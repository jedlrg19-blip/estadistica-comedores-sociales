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shua de la Roca\Downloads\"/>
    </mc:Choice>
  </mc:AlternateContent>
  <xr:revisionPtr revIDLastSave="0" documentId="13_ncr:1_{7475D9B8-2A92-43FA-8590-E2BAF2DC425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SUMEN EJECUTIVO" sheetId="12" r:id="rId1"/>
    <sheet name="INTEGRADO" sheetId="6" r:id="rId2"/>
    <sheet name="BECA MEDIA" sheetId="1" r:id="rId3"/>
    <sheet name="BECA SUPERIOR" sheetId="2" r:id="rId4"/>
    <sheet name="JOVENES PROTAGONISTAS" sheetId="10" r:id="rId5"/>
    <sheet name="BOLSA" sheetId="8" r:id="rId6"/>
    <sheet name="COMEDORES" sheetId="7" r:id="rId7"/>
    <sheet name="BASE CONSOLIDADA" sheetId="11" r:id="rId8"/>
  </sheets>
  <calcPr calcId="191029"/>
  <pivotCaches>
    <pivotCache cacheId="3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" i="12" l="1"/>
  <c r="V5" i="12"/>
  <c r="W5" i="12"/>
  <c r="U6" i="12"/>
  <c r="V6" i="12"/>
  <c r="W6" i="12"/>
  <c r="U7" i="12"/>
  <c r="V7" i="12"/>
  <c r="W7" i="12"/>
  <c r="U8" i="12"/>
  <c r="V8" i="12"/>
  <c r="W8" i="12"/>
  <c r="U9" i="12"/>
  <c r="V9" i="12"/>
  <c r="W9" i="12"/>
  <c r="A5" i="12"/>
  <c r="B5" i="12"/>
  <c r="C5" i="12"/>
  <c r="C10" i="12" s="1"/>
  <c r="D5" i="12"/>
  <c r="E5" i="12"/>
  <c r="F5" i="12"/>
  <c r="F10" i="12" s="1"/>
  <c r="G10" i="12" s="1"/>
  <c r="G5" i="12"/>
  <c r="A6" i="12"/>
  <c r="B6" i="12"/>
  <c r="C6" i="12"/>
  <c r="D6" i="12"/>
  <c r="E6" i="12"/>
  <c r="F6" i="12"/>
  <c r="G6" i="12"/>
  <c r="A7" i="12"/>
  <c r="B7" i="12"/>
  <c r="B10" i="12" s="1"/>
  <c r="C7" i="12"/>
  <c r="D7" i="12"/>
  <c r="E7" i="12"/>
  <c r="F7" i="12"/>
  <c r="G7" i="12"/>
  <c r="A8" i="12"/>
  <c r="B8" i="12"/>
  <c r="C8" i="12"/>
  <c r="D8" i="12"/>
  <c r="E8" i="12"/>
  <c r="F8" i="12"/>
  <c r="G8" i="12"/>
  <c r="A9" i="12"/>
  <c r="B9" i="12"/>
  <c r="C9" i="12"/>
  <c r="D9" i="12"/>
  <c r="E9" i="12"/>
  <c r="F9" i="12"/>
  <c r="G9" i="12"/>
  <c r="E10" i="12"/>
  <c r="G7502" i="11"/>
  <c r="H7502" i="11"/>
  <c r="G7503" i="11"/>
  <c r="H7503" i="11"/>
  <c r="G7504" i="11"/>
  <c r="H7504" i="11"/>
  <c r="G7505" i="11"/>
  <c r="H7505" i="11"/>
  <c r="G7506" i="11"/>
  <c r="H7506" i="11"/>
  <c r="G7507" i="11"/>
  <c r="H7507" i="11"/>
  <c r="G7508" i="11"/>
  <c r="H7508" i="11"/>
  <c r="G7509" i="11"/>
  <c r="H7509" i="11"/>
  <c r="G7510" i="11"/>
  <c r="H7510" i="11"/>
  <c r="G7511" i="11"/>
  <c r="H7511" i="11"/>
  <c r="G7512" i="11"/>
  <c r="H7512" i="11"/>
  <c r="G7513" i="11"/>
  <c r="H7513" i="11"/>
  <c r="G7514" i="11"/>
  <c r="H7514" i="11"/>
  <c r="G7515" i="11"/>
  <c r="H7515" i="11"/>
  <c r="G7516" i="11"/>
  <c r="H7516" i="11"/>
  <c r="G7517" i="11"/>
  <c r="H7517" i="11"/>
  <c r="G7518" i="11"/>
  <c r="H7518" i="11"/>
  <c r="G7519" i="11"/>
  <c r="H7519" i="11"/>
  <c r="G7520" i="11"/>
  <c r="H7520" i="11"/>
  <c r="G7521" i="11"/>
  <c r="H7521" i="11"/>
  <c r="G7522" i="11"/>
  <c r="H7522" i="11"/>
  <c r="G7523" i="11"/>
  <c r="H7523" i="11"/>
  <c r="G7524" i="11"/>
  <c r="H7524" i="11"/>
  <c r="G7525" i="11"/>
  <c r="H7525" i="11"/>
  <c r="G7526" i="11"/>
  <c r="H7526" i="11"/>
  <c r="G7527" i="11"/>
  <c r="H7527" i="11"/>
  <c r="G7528" i="11"/>
  <c r="H7528" i="11"/>
  <c r="G7529" i="11"/>
  <c r="H7529" i="11"/>
  <c r="G7530" i="11"/>
  <c r="H7530" i="11"/>
  <c r="G7531" i="11"/>
  <c r="H7531" i="11"/>
  <c r="G7532" i="11"/>
  <c r="H7532" i="11"/>
  <c r="G7533" i="11"/>
  <c r="H7533" i="11"/>
  <c r="G7534" i="11"/>
  <c r="H7534" i="11"/>
  <c r="G7535" i="11"/>
  <c r="H7535" i="11"/>
  <c r="G7536" i="11"/>
  <c r="H7536" i="11"/>
  <c r="G7537" i="11"/>
  <c r="H7537" i="11"/>
  <c r="G7538" i="11"/>
  <c r="H7538" i="11"/>
  <c r="G7539" i="11"/>
  <c r="H7539" i="11"/>
  <c r="G7540" i="11"/>
  <c r="H7540" i="11"/>
  <c r="G7541" i="11"/>
  <c r="H7541" i="11"/>
  <c r="G7542" i="11"/>
  <c r="H7542" i="11"/>
  <c r="G7543" i="11"/>
  <c r="H7543" i="11"/>
  <c r="G7544" i="11"/>
  <c r="H7544" i="11"/>
  <c r="G7545" i="11"/>
  <c r="H7545" i="11"/>
  <c r="G7546" i="11"/>
  <c r="H7546" i="11"/>
  <c r="G7547" i="11"/>
  <c r="H7547" i="11"/>
  <c r="G7548" i="11"/>
  <c r="H7548" i="11"/>
  <c r="G7549" i="11"/>
  <c r="H7549" i="11"/>
  <c r="G7550" i="11"/>
  <c r="H7550" i="11"/>
  <c r="G7551" i="11"/>
  <c r="H7551" i="11"/>
  <c r="G7552" i="11"/>
  <c r="H7552" i="11"/>
  <c r="G7553" i="11"/>
  <c r="H7553" i="11"/>
  <c r="G7554" i="11"/>
  <c r="H7554" i="11"/>
  <c r="G7555" i="11"/>
  <c r="H7555" i="11"/>
  <c r="G7556" i="11"/>
  <c r="H7556" i="11"/>
  <c r="G7557" i="11"/>
  <c r="H7557" i="11"/>
  <c r="G7558" i="11"/>
  <c r="H7558" i="11"/>
  <c r="G7559" i="11"/>
  <c r="H7559" i="11"/>
  <c r="G7560" i="11"/>
  <c r="H7560" i="11"/>
  <c r="G7561" i="11"/>
  <c r="H7561" i="11"/>
  <c r="G7562" i="11"/>
  <c r="H7562" i="11"/>
  <c r="G7563" i="11"/>
  <c r="H7563" i="11"/>
  <c r="G7564" i="11"/>
  <c r="H7564" i="11"/>
  <c r="G7565" i="11"/>
  <c r="H7565" i="11"/>
  <c r="G7566" i="11"/>
  <c r="H7566" i="11"/>
  <c r="G7567" i="11"/>
  <c r="H7567" i="11"/>
  <c r="G7568" i="11"/>
  <c r="H7568" i="11"/>
  <c r="G7569" i="11"/>
  <c r="H7569" i="11"/>
  <c r="G7570" i="11"/>
  <c r="H7570" i="11"/>
  <c r="G7571" i="11"/>
  <c r="H7571" i="11"/>
  <c r="G7572" i="11"/>
  <c r="H7572" i="11"/>
  <c r="G7573" i="11"/>
  <c r="H7573" i="11"/>
  <c r="G7574" i="11"/>
  <c r="H7574" i="11"/>
  <c r="G7575" i="11"/>
  <c r="H7575" i="11"/>
  <c r="G7576" i="11"/>
  <c r="H7576" i="11"/>
  <c r="G7577" i="11"/>
  <c r="H7577" i="11"/>
  <c r="G7578" i="11"/>
  <c r="H7578" i="11"/>
  <c r="G7579" i="11"/>
  <c r="H7579" i="11"/>
  <c r="G7580" i="11"/>
  <c r="H7580" i="11"/>
  <c r="G7581" i="11"/>
  <c r="H7581" i="11"/>
  <c r="G7582" i="11"/>
  <c r="H7582" i="11"/>
  <c r="G7583" i="11"/>
  <c r="H7583" i="11"/>
  <c r="G7584" i="11"/>
  <c r="H7584" i="11"/>
  <c r="G7585" i="11"/>
  <c r="H7585" i="11"/>
  <c r="G7586" i="11"/>
  <c r="H7586" i="11"/>
  <c r="G7587" i="11"/>
  <c r="H7587" i="11"/>
  <c r="G7588" i="11"/>
  <c r="H7588" i="11"/>
  <c r="G7589" i="11"/>
  <c r="H7589" i="11"/>
  <c r="G7590" i="11"/>
  <c r="H7590" i="11"/>
  <c r="G7591" i="11"/>
  <c r="H7591" i="11"/>
  <c r="G7592" i="11"/>
  <c r="H7592" i="11"/>
  <c r="G7593" i="11"/>
  <c r="H7593" i="11"/>
  <c r="G7594" i="11"/>
  <c r="H7594" i="11"/>
  <c r="G7595" i="11"/>
  <c r="H7595" i="11"/>
  <c r="G7596" i="11"/>
  <c r="H7596" i="11"/>
  <c r="G7597" i="11"/>
  <c r="H7597" i="11"/>
  <c r="G7598" i="11"/>
  <c r="H7598" i="11"/>
  <c r="G7599" i="11"/>
  <c r="H7599" i="11"/>
  <c r="G7600" i="11"/>
  <c r="H7600" i="11"/>
  <c r="G7601" i="11"/>
  <c r="H7601" i="11"/>
  <c r="G7602" i="11"/>
  <c r="H7602" i="11"/>
  <c r="G7603" i="11"/>
  <c r="H7603" i="11"/>
  <c r="G7604" i="11"/>
  <c r="H7604" i="11"/>
  <c r="G7605" i="11"/>
  <c r="H7605" i="11"/>
  <c r="G7606" i="11"/>
  <c r="H7606" i="11"/>
  <c r="G7607" i="11"/>
  <c r="H7607" i="11"/>
  <c r="G7608" i="11"/>
  <c r="H7608" i="11"/>
  <c r="G7609" i="11"/>
  <c r="H7609" i="11"/>
  <c r="G7610" i="11"/>
  <c r="H7610" i="11"/>
  <c r="G7611" i="11"/>
  <c r="H7611" i="11"/>
  <c r="G7612" i="11"/>
  <c r="H7612" i="11"/>
  <c r="G7613" i="11"/>
  <c r="H7613" i="11"/>
  <c r="G7614" i="11"/>
  <c r="H7614" i="11"/>
  <c r="G7615" i="11"/>
  <c r="H7615" i="11"/>
  <c r="G7616" i="11"/>
  <c r="H7616" i="11"/>
  <c r="G7617" i="11"/>
  <c r="H7617" i="11"/>
  <c r="G7618" i="11"/>
  <c r="H7618" i="11"/>
  <c r="G7619" i="11"/>
  <c r="H7619" i="11"/>
  <c r="G7620" i="11"/>
  <c r="H7620" i="11"/>
  <c r="G7621" i="11"/>
  <c r="H7621" i="11"/>
  <c r="G7622" i="11"/>
  <c r="H7622" i="11"/>
  <c r="G7623" i="11"/>
  <c r="H7623" i="11"/>
  <c r="G7624" i="11"/>
  <c r="H7624" i="11"/>
  <c r="G7625" i="11"/>
  <c r="H7625" i="11"/>
  <c r="G7626" i="11"/>
  <c r="H7626" i="11"/>
  <c r="G7627" i="11"/>
  <c r="H7627" i="11"/>
  <c r="G7628" i="11"/>
  <c r="H7628" i="11"/>
  <c r="G7629" i="11"/>
  <c r="H7629" i="11"/>
  <c r="G7630" i="11"/>
  <c r="H7630" i="11"/>
  <c r="G7631" i="11"/>
  <c r="H7631" i="11"/>
  <c r="G7632" i="11"/>
  <c r="H7632" i="11"/>
  <c r="G7633" i="11"/>
  <c r="H7633" i="11"/>
  <c r="G7634" i="11"/>
  <c r="H7634" i="11"/>
  <c r="G7635" i="11"/>
  <c r="H7635" i="11"/>
  <c r="G7636" i="11"/>
  <c r="H7636" i="11"/>
  <c r="G7637" i="11"/>
  <c r="H7637" i="11"/>
  <c r="G7638" i="11"/>
  <c r="H7638" i="11"/>
  <c r="G7639" i="11"/>
  <c r="H7639" i="11"/>
  <c r="G7640" i="11"/>
  <c r="H7640" i="11"/>
  <c r="G7641" i="11"/>
  <c r="H7641" i="11"/>
  <c r="G7642" i="11"/>
  <c r="H7642" i="11"/>
  <c r="G7643" i="11"/>
  <c r="H7643" i="11"/>
  <c r="G7644" i="11"/>
  <c r="H7644" i="11"/>
  <c r="G7645" i="11"/>
  <c r="H7645" i="11"/>
  <c r="G7646" i="11"/>
  <c r="H7646" i="11"/>
  <c r="G7647" i="11"/>
  <c r="H7647" i="11"/>
  <c r="G7648" i="11"/>
  <c r="H7648" i="11"/>
  <c r="G7649" i="11"/>
  <c r="H7649" i="11"/>
  <c r="G7650" i="11"/>
  <c r="H7650" i="11"/>
  <c r="G7651" i="11"/>
  <c r="H7651" i="11"/>
  <c r="G7652" i="11"/>
  <c r="H7652" i="11"/>
  <c r="G7653" i="11"/>
  <c r="H7653" i="11"/>
  <c r="G7654" i="11"/>
  <c r="H7654" i="11"/>
  <c r="G7655" i="11"/>
  <c r="H7655" i="11"/>
  <c r="G7656" i="11"/>
  <c r="H7656" i="11"/>
  <c r="G7657" i="11"/>
  <c r="H7657" i="11"/>
  <c r="G7658" i="11"/>
  <c r="H7658" i="11"/>
  <c r="G7659" i="11"/>
  <c r="H7659" i="11"/>
  <c r="G7660" i="11"/>
  <c r="H7660" i="11"/>
  <c r="G7661" i="11"/>
  <c r="H7661" i="11"/>
  <c r="G7662" i="11"/>
  <c r="H7662" i="11"/>
  <c r="G7663" i="11"/>
  <c r="H7663" i="11"/>
  <c r="G7664" i="11"/>
  <c r="H7664" i="11"/>
  <c r="G7665" i="11"/>
  <c r="H7665" i="11"/>
  <c r="G7666" i="11"/>
  <c r="H7666" i="11"/>
  <c r="G7667" i="11"/>
  <c r="H7667" i="11"/>
  <c r="G7668" i="11"/>
  <c r="H7668" i="11"/>
  <c r="G7669" i="11"/>
  <c r="H7669" i="11"/>
  <c r="G7670" i="11"/>
  <c r="H7670" i="11"/>
  <c r="G7671" i="11"/>
  <c r="H7671" i="11"/>
  <c r="G7672" i="11"/>
  <c r="H7672" i="11"/>
  <c r="G7673" i="11"/>
  <c r="H7673" i="11"/>
  <c r="G7674" i="11"/>
  <c r="H7674" i="11"/>
  <c r="G7675" i="11"/>
  <c r="H7675" i="11"/>
  <c r="G7676" i="11"/>
  <c r="H7676" i="11"/>
  <c r="G7677" i="11"/>
  <c r="H7677" i="11"/>
  <c r="G7678" i="11"/>
  <c r="H7678" i="11"/>
  <c r="G7679" i="11"/>
  <c r="H7679" i="11"/>
  <c r="G7680" i="11"/>
  <c r="H7680" i="11"/>
  <c r="G7681" i="11"/>
  <c r="H7681" i="11"/>
  <c r="G7682" i="11"/>
  <c r="H7682" i="11"/>
  <c r="G7683" i="11"/>
  <c r="H7683" i="11"/>
  <c r="G7684" i="11"/>
  <c r="H7684" i="11"/>
  <c r="G7685" i="11"/>
  <c r="H7685" i="11"/>
  <c r="G7686" i="11"/>
  <c r="H7686" i="11"/>
  <c r="G7687" i="11"/>
  <c r="H7687" i="11"/>
  <c r="G7688" i="11"/>
  <c r="H7688" i="11"/>
  <c r="G7689" i="11"/>
  <c r="H7689" i="11"/>
  <c r="G7690" i="11"/>
  <c r="H7690" i="11"/>
  <c r="G7691" i="11"/>
  <c r="H7691" i="11"/>
  <c r="G7692" i="11"/>
  <c r="H7692" i="11"/>
  <c r="G7693" i="11"/>
  <c r="H7693" i="11"/>
  <c r="G7694" i="11"/>
  <c r="H7694" i="11"/>
  <c r="G7695" i="11"/>
  <c r="H7695" i="11"/>
  <c r="G7696" i="11"/>
  <c r="H7696" i="11"/>
  <c r="G7697" i="11"/>
  <c r="H7697" i="11"/>
  <c r="G7698" i="11"/>
  <c r="H7698" i="11"/>
  <c r="G7699" i="11"/>
  <c r="H7699" i="11"/>
  <c r="G7700" i="11"/>
  <c r="H7700" i="11"/>
  <c r="G7701" i="11"/>
  <c r="H7701" i="11"/>
  <c r="G7702" i="11"/>
  <c r="H7702" i="11"/>
  <c r="G7703" i="11"/>
  <c r="H7703" i="11"/>
  <c r="G7704" i="11"/>
  <c r="H7704" i="11"/>
  <c r="G7705" i="11"/>
  <c r="H7705" i="11"/>
  <c r="G7706" i="11"/>
  <c r="H7706" i="11"/>
  <c r="G7707" i="11"/>
  <c r="H7707" i="11"/>
  <c r="G7708" i="11"/>
  <c r="H7708" i="11"/>
  <c r="G7709" i="11"/>
  <c r="H7709" i="11"/>
  <c r="G7710" i="11"/>
  <c r="H7710" i="11"/>
  <c r="G7711" i="11"/>
  <c r="H7711" i="11"/>
  <c r="G7712" i="11"/>
  <c r="H7712" i="11"/>
  <c r="G7713" i="11"/>
  <c r="H7713" i="11"/>
  <c r="G7714" i="11"/>
  <c r="H7714" i="11"/>
  <c r="G7715" i="11"/>
  <c r="H7715" i="11"/>
  <c r="G7716" i="11"/>
  <c r="H7716" i="11"/>
  <c r="G7717" i="11"/>
  <c r="H7717" i="11"/>
  <c r="G7718" i="11"/>
  <c r="H7718" i="11"/>
  <c r="G7719" i="11"/>
  <c r="H7719" i="11"/>
  <c r="G7720" i="11"/>
  <c r="H7720" i="11"/>
  <c r="G7721" i="11"/>
  <c r="H7721" i="11"/>
  <c r="G7722" i="11"/>
  <c r="H7722" i="11"/>
  <c r="G7723" i="11"/>
  <c r="H7723" i="11"/>
  <c r="G7724" i="11"/>
  <c r="H7724" i="11"/>
  <c r="G7725" i="11"/>
  <c r="H7725" i="11"/>
  <c r="G7726" i="11"/>
  <c r="H7726" i="11"/>
  <c r="G7727" i="11"/>
  <c r="H7727" i="11"/>
  <c r="G7728" i="11"/>
  <c r="H7728" i="11"/>
  <c r="G7729" i="11"/>
  <c r="H7729" i="11"/>
  <c r="G7730" i="11"/>
  <c r="H7730" i="11"/>
  <c r="G7731" i="11"/>
  <c r="H7731" i="11"/>
  <c r="G7732" i="11"/>
  <c r="H7732" i="11"/>
  <c r="G7733" i="11"/>
  <c r="H7733" i="11"/>
  <c r="G7734" i="11"/>
  <c r="H7734" i="11"/>
  <c r="G7735" i="11"/>
  <c r="H7735" i="11"/>
  <c r="G7736" i="11"/>
  <c r="H7736" i="11"/>
  <c r="G7737" i="11"/>
  <c r="H7737" i="11"/>
  <c r="G7738" i="11"/>
  <c r="H7738" i="11"/>
  <c r="G7739" i="11"/>
  <c r="H7739" i="11"/>
  <c r="G7740" i="11"/>
  <c r="H7740" i="11"/>
  <c r="G7741" i="11"/>
  <c r="H7741" i="11"/>
  <c r="G7742" i="11"/>
  <c r="H7742" i="11"/>
  <c r="G7743" i="11"/>
  <c r="H7743" i="11"/>
  <c r="G7744" i="11"/>
  <c r="H7744" i="11"/>
  <c r="G7745" i="11"/>
  <c r="H7745" i="11"/>
  <c r="G7746" i="11"/>
  <c r="H7746" i="11"/>
  <c r="G7747" i="11"/>
  <c r="H7747" i="11"/>
  <c r="G7748" i="11"/>
  <c r="H7748" i="11"/>
  <c r="G7749" i="11"/>
  <c r="H7749" i="11"/>
  <c r="G7750" i="11"/>
  <c r="H7750" i="11"/>
  <c r="G7751" i="11"/>
  <c r="H7751" i="11"/>
  <c r="G7752" i="11"/>
  <c r="H7752" i="11"/>
  <c r="G7753" i="11"/>
  <c r="H7753" i="11"/>
  <c r="G7754" i="11"/>
  <c r="H7754" i="11"/>
  <c r="G7755" i="11"/>
  <c r="H7755" i="11"/>
  <c r="G7756" i="11"/>
  <c r="H7756" i="11"/>
  <c r="G7757" i="11"/>
  <c r="H7757" i="11"/>
  <c r="G7758" i="11"/>
  <c r="H7758" i="11"/>
  <c r="G7759" i="11"/>
  <c r="H7759" i="11"/>
  <c r="G7760" i="11"/>
  <c r="H7760" i="11"/>
  <c r="G7761" i="11"/>
  <c r="H7761" i="11"/>
  <c r="G7762" i="11"/>
  <c r="H7762" i="11"/>
  <c r="G7763" i="11"/>
  <c r="H7763" i="11"/>
  <c r="G7764" i="11"/>
  <c r="H7764" i="11"/>
  <c r="G7765" i="11"/>
  <c r="H7765" i="11"/>
  <c r="G7766" i="11"/>
  <c r="H7766" i="11"/>
  <c r="G7767" i="11"/>
  <c r="H7767" i="11"/>
  <c r="G7768" i="11"/>
  <c r="H7768" i="11"/>
  <c r="G7769" i="11"/>
  <c r="H7769" i="11"/>
  <c r="G7770" i="11"/>
  <c r="H7770" i="11"/>
  <c r="G7771" i="11"/>
  <c r="H7771" i="11"/>
  <c r="G7772" i="11"/>
  <c r="H7772" i="11"/>
  <c r="G7773" i="11"/>
  <c r="H7773" i="11"/>
  <c r="G7774" i="11"/>
  <c r="H7774" i="11"/>
  <c r="G7775" i="11"/>
  <c r="H7775" i="11"/>
  <c r="G7776" i="11"/>
  <c r="H7776" i="11"/>
  <c r="G7777" i="11"/>
  <c r="H7777" i="11"/>
  <c r="G7778" i="11"/>
  <c r="H7778" i="11"/>
  <c r="G7779" i="11"/>
  <c r="H7779" i="11"/>
  <c r="G7780" i="11"/>
  <c r="H7780" i="11"/>
  <c r="G7781" i="11"/>
  <c r="H7781" i="11"/>
  <c r="G7782" i="11"/>
  <c r="H7782" i="11"/>
  <c r="G7783" i="11"/>
  <c r="H7783" i="11"/>
  <c r="G7784" i="11"/>
  <c r="H7784" i="11"/>
  <c r="G7785" i="11"/>
  <c r="H7785" i="11"/>
  <c r="G7786" i="11"/>
  <c r="H7786" i="11"/>
  <c r="G7787" i="11"/>
  <c r="H7787" i="11"/>
  <c r="G7788" i="11"/>
  <c r="H7788" i="11"/>
  <c r="G7789" i="11"/>
  <c r="H7789" i="11"/>
  <c r="G7790" i="11"/>
  <c r="H7790" i="11"/>
  <c r="G7791" i="11"/>
  <c r="H7791" i="11"/>
  <c r="G7792" i="11"/>
  <c r="H7792" i="11"/>
  <c r="G7793" i="11"/>
  <c r="H7793" i="11"/>
  <c r="G7794" i="11"/>
  <c r="H7794" i="11"/>
  <c r="G7795" i="11"/>
  <c r="H7795" i="11"/>
  <c r="G7796" i="11"/>
  <c r="H7796" i="11"/>
  <c r="G7797" i="11"/>
  <c r="H7797" i="11"/>
  <c r="G7798" i="11"/>
  <c r="H7798" i="11"/>
  <c r="G7799" i="11"/>
  <c r="H7799" i="11"/>
  <c r="G7800" i="11"/>
  <c r="H7800" i="11"/>
  <c r="G7801" i="11"/>
  <c r="H7801" i="11"/>
  <c r="G7802" i="11"/>
  <c r="H7802" i="11"/>
  <c r="G7803" i="11"/>
  <c r="H7803" i="11"/>
  <c r="G7804" i="11"/>
  <c r="H7804" i="11"/>
  <c r="G7805" i="11"/>
  <c r="H7805" i="11"/>
  <c r="G7806" i="11"/>
  <c r="H7806" i="11"/>
  <c r="G7807" i="11"/>
  <c r="H7807" i="11"/>
  <c r="G7808" i="11"/>
  <c r="H7808" i="11"/>
  <c r="G7809" i="11"/>
  <c r="H7809" i="11"/>
  <c r="G7810" i="11"/>
  <c r="H7810" i="11"/>
  <c r="G7811" i="11"/>
  <c r="H7811" i="11"/>
  <c r="G7812" i="11"/>
  <c r="H7812" i="11"/>
  <c r="G7813" i="11"/>
  <c r="H7813" i="11"/>
  <c r="G7814" i="11"/>
  <c r="H7814" i="11"/>
  <c r="G7815" i="11"/>
  <c r="H7815" i="11"/>
  <c r="G7816" i="11"/>
  <c r="H7816" i="11"/>
  <c r="G7817" i="11"/>
  <c r="H7817" i="11"/>
  <c r="G7818" i="11"/>
  <c r="H7818" i="11"/>
  <c r="G7819" i="11"/>
  <c r="H7819" i="11"/>
  <c r="G7820" i="11"/>
  <c r="H7820" i="11"/>
  <c r="G7821" i="11"/>
  <c r="H7821" i="11"/>
  <c r="G7822" i="11"/>
  <c r="H7822" i="11"/>
  <c r="G7823" i="11"/>
  <c r="H7823" i="11"/>
  <c r="G7824" i="11"/>
  <c r="H7824" i="11"/>
  <c r="G7825" i="11"/>
  <c r="H7825" i="11"/>
  <c r="G7826" i="11"/>
  <c r="H7826" i="11"/>
  <c r="G7827" i="11"/>
  <c r="H7827" i="11"/>
  <c r="G7828" i="11"/>
  <c r="H7828" i="11"/>
  <c r="G7829" i="11"/>
  <c r="H7829" i="11"/>
  <c r="G7830" i="11"/>
  <c r="H7830" i="11"/>
  <c r="G7831" i="11"/>
  <c r="H7831" i="11"/>
  <c r="G7832" i="11"/>
  <c r="H7832" i="11"/>
  <c r="G7833" i="11"/>
  <c r="H7833" i="11"/>
  <c r="G7834" i="11"/>
  <c r="H7834" i="11"/>
  <c r="G7835" i="11"/>
  <c r="H7835" i="11"/>
  <c r="G7836" i="11"/>
  <c r="H7836" i="11"/>
  <c r="G7837" i="11"/>
  <c r="H7837" i="11"/>
  <c r="G7838" i="11"/>
  <c r="H7838" i="11"/>
  <c r="G7839" i="11"/>
  <c r="H7839" i="11"/>
  <c r="G7840" i="11"/>
  <c r="H7840" i="11"/>
  <c r="G7841" i="11"/>
  <c r="H7841" i="11"/>
  <c r="G7842" i="11"/>
  <c r="H7842" i="11"/>
  <c r="G7843" i="11"/>
  <c r="H7843" i="11"/>
  <c r="G7844" i="11"/>
  <c r="H7844" i="11"/>
  <c r="G7845" i="11"/>
  <c r="H7845" i="11"/>
  <c r="G7846" i="11"/>
  <c r="H7846" i="11"/>
  <c r="G7847" i="11"/>
  <c r="H7847" i="11"/>
  <c r="G7848" i="11"/>
  <c r="H7848" i="11"/>
  <c r="G7849" i="11"/>
  <c r="H7849" i="11"/>
  <c r="G7850" i="11"/>
  <c r="H7850" i="11"/>
  <c r="G7851" i="11"/>
  <c r="H7851" i="11"/>
  <c r="G7852" i="11"/>
  <c r="H7852" i="11"/>
  <c r="G7853" i="11"/>
  <c r="H7853" i="11"/>
  <c r="G7854" i="11"/>
  <c r="H7854" i="11"/>
  <c r="G7855" i="11"/>
  <c r="H7855" i="11"/>
  <c r="G7856" i="11"/>
  <c r="H7856" i="11"/>
  <c r="G7857" i="11"/>
  <c r="H7857" i="11"/>
  <c r="G7858" i="11"/>
  <c r="H7858" i="11"/>
  <c r="G7859" i="11"/>
  <c r="H7859" i="11"/>
  <c r="G7860" i="11"/>
  <c r="H7860" i="11"/>
  <c r="G7861" i="11"/>
  <c r="H7861" i="11"/>
  <c r="G7862" i="11"/>
  <c r="H7862" i="11"/>
  <c r="G7863" i="11"/>
  <c r="H7863" i="11"/>
  <c r="G7864" i="11"/>
  <c r="H7864" i="11"/>
  <c r="G7865" i="11"/>
  <c r="H7865" i="11"/>
  <c r="G7866" i="11"/>
  <c r="H7866" i="11"/>
  <c r="G7867" i="11"/>
  <c r="H7867" i="11"/>
  <c r="G7868" i="11"/>
  <c r="H7868" i="11"/>
  <c r="G7869" i="11"/>
  <c r="H7869" i="11"/>
  <c r="G7870" i="11"/>
  <c r="H7870" i="11"/>
  <c r="G7871" i="11"/>
  <c r="H7871" i="11"/>
  <c r="G7872" i="11"/>
  <c r="H7872" i="11"/>
  <c r="G7873" i="11"/>
  <c r="H7873" i="11"/>
  <c r="G7874" i="11"/>
  <c r="H7874" i="11"/>
  <c r="G7875" i="11"/>
  <c r="H7875" i="11"/>
  <c r="G7876" i="11"/>
  <c r="H7876" i="11"/>
  <c r="G7877" i="11"/>
  <c r="H7877" i="11"/>
  <c r="G7878" i="11"/>
  <c r="H7878" i="11"/>
  <c r="G7879" i="11"/>
  <c r="H7879" i="11"/>
  <c r="G7880" i="11"/>
  <c r="H7880" i="11"/>
  <c r="G7881" i="11"/>
  <c r="H7881" i="11"/>
  <c r="G7882" i="11"/>
  <c r="H7882" i="11"/>
  <c r="G7883" i="11"/>
  <c r="H7883" i="11"/>
  <c r="G7884" i="11"/>
  <c r="H7884" i="11"/>
  <c r="G7885" i="11"/>
  <c r="H7885" i="11"/>
  <c r="G7886" i="11"/>
  <c r="H7886" i="11"/>
  <c r="G7887" i="11"/>
  <c r="H7887" i="11"/>
  <c r="G7888" i="11"/>
  <c r="H7888" i="11"/>
  <c r="G7889" i="11"/>
  <c r="H7889" i="11"/>
  <c r="G7890" i="11"/>
  <c r="H7890" i="11"/>
  <c r="G7891" i="11"/>
  <c r="H7891" i="11"/>
  <c r="G7892" i="11"/>
  <c r="H7892" i="11"/>
  <c r="G7893" i="11"/>
  <c r="H7893" i="11"/>
  <c r="G7894" i="11"/>
  <c r="H7894" i="11"/>
  <c r="G7895" i="11"/>
  <c r="H7895" i="11"/>
  <c r="G7896" i="11"/>
  <c r="H7896" i="11"/>
  <c r="G7897" i="11"/>
  <c r="H7897" i="11"/>
  <c r="G7898" i="11"/>
  <c r="H7898" i="11"/>
  <c r="G7899" i="11"/>
  <c r="H7899" i="11"/>
  <c r="G7900" i="11"/>
  <c r="H7900" i="11"/>
  <c r="G7901" i="11"/>
  <c r="H7901" i="11"/>
  <c r="G7902" i="11"/>
  <c r="H7902" i="11"/>
  <c r="G7903" i="11"/>
  <c r="H7903" i="11"/>
  <c r="G7904" i="11"/>
  <c r="H7904" i="11"/>
  <c r="G7905" i="11"/>
  <c r="H7905" i="11"/>
  <c r="G7906" i="11"/>
  <c r="H7906" i="11"/>
  <c r="G7907" i="11"/>
  <c r="H7907" i="11"/>
  <c r="G7908" i="11"/>
  <c r="H7908" i="11"/>
  <c r="G7909" i="11"/>
  <c r="H7909" i="11"/>
  <c r="G7910" i="11"/>
  <c r="H7910" i="11"/>
  <c r="G7911" i="11"/>
  <c r="H7911" i="11"/>
  <c r="G7912" i="11"/>
  <c r="H7912" i="11"/>
  <c r="G7913" i="11"/>
  <c r="H7913" i="11"/>
  <c r="G7914" i="11"/>
  <c r="H7914" i="11"/>
  <c r="G7915" i="11"/>
  <c r="H7915" i="11"/>
  <c r="G7916" i="11"/>
  <c r="H7916" i="11"/>
  <c r="G7917" i="11"/>
  <c r="H7917" i="11"/>
  <c r="G7918" i="11"/>
  <c r="H7918" i="11"/>
  <c r="G7919" i="11"/>
  <c r="H7919" i="11"/>
  <c r="G7920" i="11"/>
  <c r="H7920" i="11"/>
  <c r="G7921" i="11"/>
  <c r="H7921" i="11"/>
  <c r="G7922" i="11"/>
  <c r="H7922" i="11"/>
  <c r="G7923" i="11"/>
  <c r="H7923" i="11"/>
  <c r="G7924" i="11"/>
  <c r="H7924" i="11"/>
  <c r="G7925" i="11"/>
  <c r="H7925" i="11"/>
  <c r="G7926" i="11"/>
  <c r="H7926" i="11"/>
  <c r="G7927" i="11"/>
  <c r="H7927" i="11"/>
  <c r="G7928" i="11"/>
  <c r="H7928" i="11"/>
  <c r="G7929" i="11"/>
  <c r="H7929" i="11"/>
  <c r="G7930" i="11"/>
  <c r="H7930" i="11"/>
  <c r="G7931" i="11"/>
  <c r="H7931" i="11"/>
  <c r="G7932" i="11"/>
  <c r="H7932" i="11"/>
  <c r="G7933" i="11"/>
  <c r="H7933" i="11"/>
  <c r="G7934" i="11"/>
  <c r="H7934" i="11"/>
  <c r="G7935" i="11"/>
  <c r="H7935" i="11"/>
  <c r="G7936" i="11"/>
  <c r="H7936" i="11"/>
  <c r="G7937" i="11"/>
  <c r="H7937" i="11"/>
  <c r="G7938" i="11"/>
  <c r="H7938" i="11"/>
  <c r="G7939" i="11"/>
  <c r="H7939" i="11"/>
  <c r="G7940" i="11"/>
  <c r="H7940" i="11"/>
  <c r="G7941" i="11"/>
  <c r="H7941" i="11"/>
  <c r="G7942" i="11"/>
  <c r="H7942" i="11"/>
  <c r="G7943" i="11"/>
  <c r="H7943" i="11"/>
  <c r="G7944" i="11"/>
  <c r="H7944" i="11"/>
  <c r="G7945" i="11"/>
  <c r="H7945" i="11"/>
  <c r="G7946" i="11"/>
  <c r="H7946" i="11"/>
  <c r="G7947" i="11"/>
  <c r="H7947" i="11"/>
  <c r="G7948" i="11"/>
  <c r="H7948" i="11"/>
  <c r="G7949" i="11"/>
  <c r="H7949" i="11"/>
  <c r="G7950" i="11"/>
  <c r="H7950" i="11"/>
  <c r="G7951" i="11"/>
  <c r="H7951" i="11"/>
  <c r="G7952" i="11"/>
  <c r="H7952" i="11"/>
  <c r="G7953" i="11"/>
  <c r="H7953" i="11"/>
  <c r="G7954" i="11"/>
  <c r="H7954" i="11"/>
  <c r="G7955" i="11"/>
  <c r="H7955" i="11"/>
  <c r="G7956" i="11"/>
  <c r="H7956" i="11"/>
  <c r="G7957" i="11"/>
  <c r="H7957" i="11"/>
  <c r="G7958" i="11"/>
  <c r="H7958" i="11"/>
  <c r="G7959" i="11"/>
  <c r="H7959" i="11"/>
  <c r="G7960" i="11"/>
  <c r="H7960" i="11"/>
  <c r="G7961" i="11"/>
  <c r="H7961" i="11"/>
  <c r="G7962" i="11"/>
  <c r="H7962" i="11"/>
  <c r="G7963" i="11"/>
  <c r="H7963" i="11"/>
  <c r="G7964" i="11"/>
  <c r="H7964" i="11"/>
  <c r="G7965" i="11"/>
  <c r="H7965" i="11"/>
  <c r="G7966" i="11"/>
  <c r="H7966" i="11"/>
  <c r="G7967" i="11"/>
  <c r="H7967" i="11"/>
  <c r="G7968" i="11"/>
  <c r="H7968" i="11"/>
  <c r="G7969" i="11"/>
  <c r="H7969" i="11"/>
  <c r="G7970" i="11"/>
  <c r="H7970" i="11"/>
  <c r="G7971" i="11"/>
  <c r="H7971" i="11"/>
  <c r="G7972" i="11"/>
  <c r="H7972" i="11"/>
  <c r="G7973" i="11"/>
  <c r="H7973" i="11"/>
  <c r="G7974" i="11"/>
  <c r="H7974" i="11"/>
  <c r="G7975" i="11"/>
  <c r="H7975" i="11"/>
  <c r="G7976" i="11"/>
  <c r="H7976" i="11"/>
  <c r="G7977" i="11"/>
  <c r="H7977" i="11"/>
  <c r="G7978" i="11"/>
  <c r="H7978" i="11"/>
  <c r="G7979" i="11"/>
  <c r="H7979" i="11"/>
  <c r="G7980" i="11"/>
  <c r="H7980" i="11"/>
  <c r="G7981" i="11"/>
  <c r="H7981" i="11"/>
  <c r="G7982" i="11"/>
  <c r="H7982" i="11"/>
  <c r="G7983" i="11"/>
  <c r="H7983" i="11"/>
  <c r="G7984" i="11"/>
  <c r="H7984" i="11"/>
  <c r="G7985" i="11"/>
  <c r="H7985" i="11"/>
  <c r="G7986" i="11"/>
  <c r="H7986" i="11"/>
  <c r="G7987" i="11"/>
  <c r="H7987" i="11"/>
  <c r="G7988" i="11"/>
  <c r="H7988" i="11"/>
  <c r="G7989" i="11"/>
  <c r="H7989" i="11"/>
  <c r="G7990" i="11"/>
  <c r="H7990" i="11"/>
  <c r="G7991" i="11"/>
  <c r="H7991" i="11"/>
  <c r="G7992" i="11"/>
  <c r="H7992" i="11"/>
  <c r="G7993" i="11"/>
  <c r="H7993" i="11"/>
  <c r="G7994" i="11"/>
  <c r="H7994" i="11"/>
  <c r="G7995" i="11"/>
  <c r="H7995" i="11"/>
  <c r="G7996" i="11"/>
  <c r="H7996" i="11"/>
  <c r="G7997" i="11"/>
  <c r="H7997" i="11"/>
  <c r="G7998" i="11"/>
  <c r="H7998" i="11"/>
  <c r="G7999" i="11"/>
  <c r="H7999" i="11"/>
  <c r="G8000" i="11"/>
  <c r="H8000" i="11"/>
  <c r="G8001" i="11"/>
  <c r="H8001" i="11"/>
  <c r="G8002" i="11"/>
  <c r="H8002" i="11"/>
  <c r="G8003" i="11"/>
  <c r="H8003" i="11"/>
  <c r="G8004" i="11"/>
  <c r="H8004" i="11"/>
  <c r="G8005" i="11"/>
  <c r="H8005" i="11"/>
  <c r="G8006" i="11"/>
  <c r="H8006" i="11"/>
  <c r="G8007" i="11"/>
  <c r="H8007" i="11"/>
  <c r="G8008" i="11"/>
  <c r="H8008" i="11"/>
  <c r="G8009" i="11"/>
  <c r="H8009" i="11"/>
  <c r="G8010" i="11"/>
  <c r="H8010" i="11"/>
  <c r="G8011" i="11"/>
  <c r="H8011" i="11"/>
  <c r="G8012" i="11"/>
  <c r="H8012" i="11"/>
  <c r="G8013" i="11"/>
  <c r="H8013" i="11"/>
  <c r="G8014" i="11"/>
  <c r="H8014" i="11"/>
  <c r="G8015" i="11"/>
  <c r="H8015" i="11"/>
  <c r="G8016" i="11"/>
  <c r="H8016" i="11"/>
  <c r="G8017" i="11"/>
  <c r="H8017" i="11"/>
  <c r="G8018" i="11"/>
  <c r="H8018" i="11"/>
  <c r="G8019" i="11"/>
  <c r="H8019" i="11"/>
  <c r="G8020" i="11"/>
  <c r="H8020" i="11"/>
  <c r="G8021" i="11"/>
  <c r="H8021" i="11"/>
  <c r="G8022" i="11"/>
  <c r="H8022" i="11"/>
  <c r="G8023" i="11"/>
  <c r="H8023" i="11"/>
  <c r="G8024" i="11"/>
  <c r="H8024" i="11"/>
  <c r="G8025" i="11"/>
  <c r="H8025" i="11"/>
  <c r="G8026" i="11"/>
  <c r="H8026" i="11"/>
  <c r="G8027" i="11"/>
  <c r="H8027" i="11"/>
  <c r="G8028" i="11"/>
  <c r="H8028" i="11"/>
  <c r="G8029" i="11"/>
  <c r="H8029" i="11"/>
  <c r="G8030" i="11"/>
  <c r="H8030" i="11"/>
  <c r="G8031" i="11"/>
  <c r="H8031" i="11"/>
  <c r="G8032" i="11"/>
  <c r="H8032" i="11"/>
  <c r="G8033" i="11"/>
  <c r="H8033" i="11"/>
  <c r="G8034" i="11"/>
  <c r="H8034" i="11"/>
  <c r="G8035" i="11"/>
  <c r="H8035" i="11"/>
  <c r="G8036" i="11"/>
  <c r="H8036" i="11"/>
  <c r="G8037" i="11"/>
  <c r="H8037" i="11"/>
  <c r="G8038" i="11"/>
  <c r="H8038" i="11"/>
  <c r="G8039" i="11"/>
  <c r="H8039" i="11"/>
  <c r="G8040" i="11"/>
  <c r="H8040" i="11"/>
  <c r="G8041" i="11"/>
  <c r="H8041" i="11"/>
  <c r="G8042" i="11"/>
  <c r="H8042" i="11"/>
  <c r="G8043" i="11"/>
  <c r="H8043" i="11"/>
  <c r="G8044" i="11"/>
  <c r="H8044" i="11"/>
  <c r="G8045" i="11"/>
  <c r="H8045" i="11"/>
  <c r="G8046" i="11"/>
  <c r="H8046" i="11"/>
  <c r="G8047" i="11"/>
  <c r="H8047" i="11"/>
  <c r="G8048" i="11"/>
  <c r="H8048" i="11"/>
  <c r="G8049" i="11"/>
  <c r="H8049" i="11"/>
  <c r="G8050" i="11"/>
  <c r="H8050" i="11"/>
  <c r="G8051" i="11"/>
  <c r="H8051" i="11"/>
  <c r="G8052" i="11"/>
  <c r="H8052" i="11"/>
  <c r="G8053" i="11"/>
  <c r="H8053" i="11"/>
  <c r="G8054" i="11"/>
  <c r="H8054" i="11"/>
  <c r="G8055" i="11"/>
  <c r="H8055" i="11"/>
  <c r="G8056" i="11"/>
  <c r="H8056" i="11"/>
  <c r="G8057" i="11"/>
  <c r="H8057" i="11"/>
  <c r="G8058" i="11"/>
  <c r="H8058" i="11"/>
  <c r="G8059" i="11"/>
  <c r="H8059" i="11"/>
  <c r="G8060" i="11"/>
  <c r="H8060" i="11"/>
  <c r="G8061" i="11"/>
  <c r="H8061" i="11"/>
  <c r="G8062" i="11"/>
  <c r="H8062" i="11"/>
  <c r="G8063" i="11"/>
  <c r="H8063" i="11"/>
  <c r="G8064" i="11"/>
  <c r="H8064" i="11"/>
  <c r="G8065" i="11"/>
  <c r="H8065" i="11"/>
  <c r="G8066" i="11"/>
  <c r="H8066" i="11"/>
  <c r="G8067" i="11"/>
  <c r="H8067" i="11"/>
  <c r="G8068" i="11"/>
  <c r="H8068" i="11"/>
  <c r="G8069" i="11"/>
  <c r="H8069" i="11"/>
  <c r="G8070" i="11"/>
  <c r="H8070" i="11"/>
  <c r="G8071" i="11"/>
  <c r="H8071" i="11"/>
  <c r="G8072" i="11"/>
  <c r="H8072" i="11"/>
  <c r="G8073" i="11"/>
  <c r="H8073" i="11"/>
  <c r="G8074" i="11"/>
  <c r="H8074" i="11"/>
  <c r="G8075" i="11"/>
  <c r="H8075" i="11"/>
  <c r="G8076" i="11"/>
  <c r="H8076" i="11"/>
  <c r="G8077" i="11"/>
  <c r="H8077" i="11"/>
  <c r="G8078" i="11"/>
  <c r="H8078" i="11"/>
  <c r="G8079" i="11"/>
  <c r="H8079" i="11"/>
  <c r="G8080" i="11"/>
  <c r="H8080" i="11"/>
  <c r="G8081" i="11"/>
  <c r="H8081" i="11"/>
  <c r="G8082" i="11"/>
  <c r="H8082" i="11"/>
  <c r="G8083" i="11"/>
  <c r="H8083" i="11"/>
  <c r="G8084" i="11"/>
  <c r="H8084" i="11"/>
  <c r="G8085" i="11"/>
  <c r="H8085" i="11"/>
  <c r="G8086" i="11"/>
  <c r="H8086" i="11"/>
  <c r="G8087" i="11"/>
  <c r="H8087" i="11"/>
  <c r="G8088" i="11"/>
  <c r="H8088" i="11"/>
  <c r="G8089" i="11"/>
  <c r="H8089" i="11"/>
  <c r="G8090" i="11"/>
  <c r="H8090" i="11"/>
  <c r="G8091" i="11"/>
  <c r="H8091" i="11"/>
  <c r="G8092" i="11"/>
  <c r="H8092" i="11"/>
  <c r="G8093" i="11"/>
  <c r="H8093" i="11"/>
  <c r="G8094" i="11"/>
  <c r="H8094" i="11"/>
  <c r="G8095" i="11"/>
  <c r="H8095" i="11"/>
  <c r="G8096" i="11"/>
  <c r="H8096" i="11"/>
  <c r="G8097" i="11"/>
  <c r="H8097" i="11"/>
  <c r="G8098" i="11"/>
  <c r="H8098" i="11"/>
  <c r="G8099" i="11"/>
  <c r="H8099" i="11"/>
  <c r="G8100" i="11"/>
  <c r="H8100" i="11"/>
  <c r="G8101" i="11"/>
  <c r="H8101" i="11"/>
  <c r="G8102" i="11"/>
  <c r="H8102" i="11"/>
  <c r="G8103" i="11"/>
  <c r="H8103" i="11"/>
  <c r="G8104" i="11"/>
  <c r="H8104" i="11"/>
  <c r="G8105" i="11"/>
  <c r="H8105" i="11"/>
  <c r="G8106" i="11"/>
  <c r="H8106" i="11"/>
  <c r="G8107" i="11"/>
  <c r="H8107" i="11"/>
  <c r="G8108" i="11"/>
  <c r="H8108" i="11"/>
  <c r="G8109" i="11"/>
  <c r="H8109" i="11"/>
  <c r="G8110" i="11"/>
  <c r="H8110" i="11"/>
  <c r="G8111" i="11"/>
  <c r="H8111" i="11"/>
  <c r="G8112" i="11"/>
  <c r="H8112" i="11"/>
  <c r="G8113" i="11"/>
  <c r="H8113" i="11"/>
  <c r="G8114" i="11"/>
  <c r="H8114" i="11"/>
  <c r="G8115" i="11"/>
  <c r="H8115" i="11"/>
  <c r="G8116" i="11"/>
  <c r="H8116" i="11"/>
  <c r="G8117" i="11"/>
  <c r="H8117" i="11"/>
  <c r="G8118" i="11"/>
  <c r="H8118" i="11"/>
  <c r="G8119" i="11"/>
  <c r="H8119" i="11"/>
  <c r="G8120" i="11"/>
  <c r="H8120" i="11"/>
  <c r="G8121" i="11"/>
  <c r="H8121" i="11"/>
  <c r="G8122" i="11"/>
  <c r="H8122" i="11"/>
  <c r="G8123" i="11"/>
  <c r="H8123" i="11"/>
  <c r="G8124" i="11"/>
  <c r="H8124" i="11"/>
  <c r="G8125" i="11"/>
  <c r="H8125" i="11"/>
  <c r="G8126" i="11"/>
  <c r="H8126" i="11"/>
  <c r="G8127" i="11"/>
  <c r="H8127" i="11"/>
  <c r="G8128" i="11"/>
  <c r="H8128" i="11"/>
  <c r="G8129" i="11"/>
  <c r="H8129" i="11"/>
  <c r="G8130" i="11"/>
  <c r="H8130" i="11"/>
  <c r="G8131" i="11"/>
  <c r="H8131" i="11"/>
  <c r="G8132" i="11"/>
  <c r="H8132" i="11"/>
  <c r="G8133" i="11"/>
  <c r="H8133" i="11"/>
  <c r="G8134" i="11"/>
  <c r="H8134" i="11"/>
  <c r="G8135" i="11"/>
  <c r="H8135" i="11"/>
  <c r="G8136" i="11"/>
  <c r="H8136" i="11"/>
  <c r="G8137" i="11"/>
  <c r="H8137" i="11"/>
  <c r="G8138" i="11"/>
  <c r="H8138" i="11"/>
  <c r="G8139" i="11"/>
  <c r="H8139" i="11"/>
  <c r="G8140" i="11"/>
  <c r="H8140" i="11"/>
  <c r="G8141" i="11"/>
  <c r="H8141" i="11"/>
  <c r="G8142" i="11"/>
  <c r="H8142" i="11"/>
  <c r="G8143" i="11"/>
  <c r="H8143" i="11"/>
  <c r="G8144" i="11"/>
  <c r="H8144" i="11"/>
  <c r="G8145" i="11"/>
  <c r="H8145" i="11"/>
  <c r="G6752" i="11"/>
  <c r="H6752" i="11"/>
  <c r="G6753" i="11"/>
  <c r="H6753" i="11"/>
  <c r="G6754" i="11"/>
  <c r="H6754" i="11"/>
  <c r="G6755" i="11"/>
  <c r="H6755" i="11"/>
  <c r="G6756" i="11"/>
  <c r="H6756" i="11"/>
  <c r="G6757" i="11"/>
  <c r="H6757" i="11"/>
  <c r="G6758" i="11"/>
  <c r="H6758" i="11"/>
  <c r="G6759" i="11"/>
  <c r="H6759" i="11"/>
  <c r="G6760" i="11"/>
  <c r="H6760" i="11"/>
  <c r="G6761" i="11"/>
  <c r="H6761" i="11"/>
  <c r="G6762" i="11"/>
  <c r="H6762" i="11"/>
  <c r="G6763" i="11"/>
  <c r="H6763" i="11"/>
  <c r="G6764" i="11"/>
  <c r="H6764" i="11"/>
  <c r="G6765" i="11"/>
  <c r="H6765" i="11"/>
  <c r="G6766" i="11"/>
  <c r="H6766" i="11"/>
  <c r="G6767" i="11"/>
  <c r="H6767" i="11"/>
  <c r="G6768" i="11"/>
  <c r="H6768" i="11"/>
  <c r="G6769" i="11"/>
  <c r="H6769" i="11"/>
  <c r="G6770" i="11"/>
  <c r="H6770" i="11"/>
  <c r="G6771" i="11"/>
  <c r="H6771" i="11"/>
  <c r="G6772" i="11"/>
  <c r="H6772" i="11"/>
  <c r="G6773" i="11"/>
  <c r="H6773" i="11"/>
  <c r="G6774" i="11"/>
  <c r="H6774" i="11"/>
  <c r="G6775" i="11"/>
  <c r="H6775" i="11"/>
  <c r="G6776" i="11"/>
  <c r="H6776" i="11"/>
  <c r="G6777" i="11"/>
  <c r="H6777" i="11"/>
  <c r="G6778" i="11"/>
  <c r="H6778" i="11"/>
  <c r="G6779" i="11"/>
  <c r="H6779" i="11"/>
  <c r="G6780" i="11"/>
  <c r="H6780" i="11"/>
  <c r="G6781" i="11"/>
  <c r="H6781" i="11"/>
  <c r="G6782" i="11"/>
  <c r="H6782" i="11"/>
  <c r="G6783" i="11"/>
  <c r="H6783" i="11"/>
  <c r="G6784" i="11"/>
  <c r="H6784" i="11"/>
  <c r="G6785" i="11"/>
  <c r="H6785" i="11"/>
  <c r="G6786" i="11"/>
  <c r="H6786" i="11"/>
  <c r="G6787" i="11"/>
  <c r="H6787" i="11"/>
  <c r="G6788" i="11"/>
  <c r="H6788" i="11"/>
  <c r="G6789" i="11"/>
  <c r="H6789" i="11"/>
  <c r="G6790" i="11"/>
  <c r="H6790" i="11"/>
  <c r="G6791" i="11"/>
  <c r="H6791" i="11"/>
  <c r="G6792" i="11"/>
  <c r="H6792" i="11"/>
  <c r="G6793" i="11"/>
  <c r="H6793" i="11"/>
  <c r="G6794" i="11"/>
  <c r="H6794" i="11"/>
  <c r="G6795" i="11"/>
  <c r="H6795" i="11"/>
  <c r="G6796" i="11"/>
  <c r="H6796" i="11"/>
  <c r="G6797" i="11"/>
  <c r="H6797" i="11"/>
  <c r="G6798" i="11"/>
  <c r="H6798" i="11"/>
  <c r="G6799" i="11"/>
  <c r="H6799" i="11"/>
  <c r="G6800" i="11"/>
  <c r="H6800" i="11"/>
  <c r="G6801" i="11"/>
  <c r="H6801" i="11"/>
  <c r="G6802" i="11"/>
  <c r="H6802" i="11"/>
  <c r="G6803" i="11"/>
  <c r="H6803" i="11"/>
  <c r="G6804" i="11"/>
  <c r="H6804" i="11"/>
  <c r="G6805" i="11"/>
  <c r="H6805" i="11"/>
  <c r="G6806" i="11"/>
  <c r="H6806" i="11"/>
  <c r="G6807" i="11"/>
  <c r="H6807" i="11"/>
  <c r="G6808" i="11"/>
  <c r="H6808" i="11"/>
  <c r="G6809" i="11"/>
  <c r="H6809" i="11"/>
  <c r="G6810" i="11"/>
  <c r="H6810" i="11"/>
  <c r="G6811" i="11"/>
  <c r="H6811" i="11"/>
  <c r="G6812" i="11"/>
  <c r="H6812" i="11"/>
  <c r="G6813" i="11"/>
  <c r="H6813" i="11"/>
  <c r="G6814" i="11"/>
  <c r="H6814" i="11"/>
  <c r="G6815" i="11"/>
  <c r="H6815" i="11"/>
  <c r="G6816" i="11"/>
  <c r="H6816" i="11"/>
  <c r="G6817" i="11"/>
  <c r="H6817" i="11"/>
  <c r="G6818" i="11"/>
  <c r="H6818" i="11"/>
  <c r="G6819" i="11"/>
  <c r="H6819" i="11"/>
  <c r="G6820" i="11"/>
  <c r="H6820" i="11"/>
  <c r="G6821" i="11"/>
  <c r="H6821" i="11"/>
  <c r="G6822" i="11"/>
  <c r="H6822" i="11"/>
  <c r="G6823" i="11"/>
  <c r="H6823" i="11"/>
  <c r="G6824" i="11"/>
  <c r="H6824" i="11"/>
  <c r="G6825" i="11"/>
  <c r="H6825" i="11"/>
  <c r="G6826" i="11"/>
  <c r="H6826" i="11"/>
  <c r="G6827" i="11"/>
  <c r="H6827" i="11"/>
  <c r="G6828" i="11"/>
  <c r="H6828" i="11"/>
  <c r="G6829" i="11"/>
  <c r="H6829" i="11"/>
  <c r="G6830" i="11"/>
  <c r="H6830" i="11"/>
  <c r="G6831" i="11"/>
  <c r="H6831" i="11"/>
  <c r="G6832" i="11"/>
  <c r="H6832" i="11"/>
  <c r="G6833" i="11"/>
  <c r="H6833" i="11"/>
  <c r="G6834" i="11"/>
  <c r="H6834" i="11"/>
  <c r="G6835" i="11"/>
  <c r="H6835" i="11"/>
  <c r="G6836" i="11"/>
  <c r="H6836" i="11"/>
  <c r="G6837" i="11"/>
  <c r="H6837" i="11"/>
  <c r="G6838" i="11"/>
  <c r="H6838" i="11"/>
  <c r="G6839" i="11"/>
  <c r="H6839" i="11"/>
  <c r="G6840" i="11"/>
  <c r="H6840" i="11"/>
  <c r="G6841" i="11"/>
  <c r="H6841" i="11"/>
  <c r="G6842" i="11"/>
  <c r="H6842" i="11"/>
  <c r="G6843" i="11"/>
  <c r="H6843" i="11"/>
  <c r="G6844" i="11"/>
  <c r="H6844" i="11"/>
  <c r="G6845" i="11"/>
  <c r="H6845" i="11"/>
  <c r="G6846" i="11"/>
  <c r="H6846" i="11"/>
  <c r="G6847" i="11"/>
  <c r="H6847" i="11"/>
  <c r="G6848" i="11"/>
  <c r="H6848" i="11"/>
  <c r="G6849" i="11"/>
  <c r="H6849" i="11"/>
  <c r="G6850" i="11"/>
  <c r="H6850" i="11"/>
  <c r="G6851" i="11"/>
  <c r="H6851" i="11"/>
  <c r="G6852" i="11"/>
  <c r="H6852" i="11"/>
  <c r="G6853" i="11"/>
  <c r="H6853" i="11"/>
  <c r="G6854" i="11"/>
  <c r="H6854" i="11"/>
  <c r="G6855" i="11"/>
  <c r="H6855" i="11"/>
  <c r="G6856" i="11"/>
  <c r="H6856" i="11"/>
  <c r="G6857" i="11"/>
  <c r="H6857" i="11"/>
  <c r="G6858" i="11"/>
  <c r="H6858" i="11"/>
  <c r="G6859" i="11"/>
  <c r="H6859" i="11"/>
  <c r="G6860" i="11"/>
  <c r="H6860" i="11"/>
  <c r="G6861" i="11"/>
  <c r="H6861" i="11"/>
  <c r="G6862" i="11"/>
  <c r="H6862" i="11"/>
  <c r="G6863" i="11"/>
  <c r="H6863" i="11"/>
  <c r="G6864" i="11"/>
  <c r="H6864" i="11"/>
  <c r="G6865" i="11"/>
  <c r="H6865" i="11"/>
  <c r="G6866" i="11"/>
  <c r="H6866" i="11"/>
  <c r="G6867" i="11"/>
  <c r="H6867" i="11"/>
  <c r="G6868" i="11"/>
  <c r="H6868" i="11"/>
  <c r="G6869" i="11"/>
  <c r="H6869" i="11"/>
  <c r="G6870" i="11"/>
  <c r="H6870" i="11"/>
  <c r="G6871" i="11"/>
  <c r="H6871" i="11"/>
  <c r="G6872" i="11"/>
  <c r="H6872" i="11"/>
  <c r="G6873" i="11"/>
  <c r="H6873" i="11"/>
  <c r="G6874" i="11"/>
  <c r="H6874" i="11"/>
  <c r="G6875" i="11"/>
  <c r="H6875" i="11"/>
  <c r="G6876" i="11"/>
  <c r="H6876" i="11"/>
  <c r="G6877" i="11"/>
  <c r="H6877" i="11"/>
  <c r="G6878" i="11"/>
  <c r="H6878" i="11"/>
  <c r="G6879" i="11"/>
  <c r="H6879" i="11"/>
  <c r="G6880" i="11"/>
  <c r="H6880" i="11"/>
  <c r="G6881" i="11"/>
  <c r="H6881" i="11"/>
  <c r="G6882" i="11"/>
  <c r="H6882" i="11"/>
  <c r="G6883" i="11"/>
  <c r="H6883" i="11"/>
  <c r="G6884" i="11"/>
  <c r="H6884" i="11"/>
  <c r="G6885" i="11"/>
  <c r="H6885" i="11"/>
  <c r="G6886" i="11"/>
  <c r="H6886" i="11"/>
  <c r="G6887" i="11"/>
  <c r="H6887" i="11"/>
  <c r="G6888" i="11"/>
  <c r="H6888" i="11"/>
  <c r="G6889" i="11"/>
  <c r="H6889" i="11"/>
  <c r="G6890" i="11"/>
  <c r="H6890" i="11"/>
  <c r="G6891" i="11"/>
  <c r="H6891" i="11"/>
  <c r="G6892" i="11"/>
  <c r="H6892" i="11"/>
  <c r="G6893" i="11"/>
  <c r="H6893" i="11"/>
  <c r="G6894" i="11"/>
  <c r="H6894" i="11"/>
  <c r="G6895" i="11"/>
  <c r="H6895" i="11"/>
  <c r="G6896" i="11"/>
  <c r="H6896" i="11"/>
  <c r="G6897" i="11"/>
  <c r="H6897" i="11"/>
  <c r="G6898" i="11"/>
  <c r="H6898" i="11"/>
  <c r="G6899" i="11"/>
  <c r="H6899" i="11"/>
  <c r="G6900" i="11"/>
  <c r="H6900" i="11"/>
  <c r="G6901" i="11"/>
  <c r="H6901" i="11"/>
  <c r="G6902" i="11"/>
  <c r="H6902" i="11"/>
  <c r="G6903" i="11"/>
  <c r="H6903" i="11"/>
  <c r="G6904" i="11"/>
  <c r="H6904" i="11"/>
  <c r="G6905" i="11"/>
  <c r="H6905" i="11"/>
  <c r="G6906" i="11"/>
  <c r="H6906" i="11"/>
  <c r="G6907" i="11"/>
  <c r="H6907" i="11"/>
  <c r="G6908" i="11"/>
  <c r="H6908" i="11"/>
  <c r="G6909" i="11"/>
  <c r="H6909" i="11"/>
  <c r="G6910" i="11"/>
  <c r="H6910" i="11"/>
  <c r="G6911" i="11"/>
  <c r="H6911" i="11"/>
  <c r="G6912" i="11"/>
  <c r="H6912" i="11"/>
  <c r="G6913" i="11"/>
  <c r="H6913" i="11"/>
  <c r="G6914" i="11"/>
  <c r="H6914" i="11"/>
  <c r="G6915" i="11"/>
  <c r="H6915" i="11"/>
  <c r="G6916" i="11"/>
  <c r="H6916" i="11"/>
  <c r="G6917" i="11"/>
  <c r="H6917" i="11"/>
  <c r="G6918" i="11"/>
  <c r="H6918" i="11"/>
  <c r="G6919" i="11"/>
  <c r="H6919" i="11"/>
  <c r="G6920" i="11"/>
  <c r="H6920" i="11"/>
  <c r="G6921" i="11"/>
  <c r="H6921" i="11"/>
  <c r="G6922" i="11"/>
  <c r="H6922" i="11"/>
  <c r="G6923" i="11"/>
  <c r="H6923" i="11"/>
  <c r="G6924" i="11"/>
  <c r="H6924" i="11"/>
  <c r="G6925" i="11"/>
  <c r="H6925" i="11"/>
  <c r="G6926" i="11"/>
  <c r="H6926" i="11"/>
  <c r="G6927" i="11"/>
  <c r="H6927" i="11"/>
  <c r="G6928" i="11"/>
  <c r="H6928" i="11"/>
  <c r="G6929" i="11"/>
  <c r="H6929" i="11"/>
  <c r="G6930" i="11"/>
  <c r="H6930" i="11"/>
  <c r="G6931" i="11"/>
  <c r="H6931" i="11"/>
  <c r="G6932" i="11"/>
  <c r="H6932" i="11"/>
  <c r="G6933" i="11"/>
  <c r="H6933" i="11"/>
  <c r="G6934" i="11"/>
  <c r="H6934" i="11"/>
  <c r="G6935" i="11"/>
  <c r="H6935" i="11"/>
  <c r="G6936" i="11"/>
  <c r="H6936" i="11"/>
  <c r="G6937" i="11"/>
  <c r="H6937" i="11"/>
  <c r="G6938" i="11"/>
  <c r="H6938" i="11"/>
  <c r="G6939" i="11"/>
  <c r="H6939" i="11"/>
  <c r="G6940" i="11"/>
  <c r="H6940" i="11"/>
  <c r="G6941" i="11"/>
  <c r="H6941" i="11"/>
  <c r="G6942" i="11"/>
  <c r="H6942" i="11"/>
  <c r="G6943" i="11"/>
  <c r="H6943" i="11"/>
  <c r="G6944" i="11"/>
  <c r="H6944" i="11"/>
  <c r="G6945" i="11"/>
  <c r="H6945" i="11"/>
  <c r="G6946" i="11"/>
  <c r="H6946" i="11"/>
  <c r="G6947" i="11"/>
  <c r="H6947" i="11"/>
  <c r="G6948" i="11"/>
  <c r="H6948" i="11"/>
  <c r="G6949" i="11"/>
  <c r="H6949" i="11"/>
  <c r="G6950" i="11"/>
  <c r="H6950" i="11"/>
  <c r="G6951" i="11"/>
  <c r="H6951" i="11"/>
  <c r="G6952" i="11"/>
  <c r="H6952" i="11"/>
  <c r="G6953" i="11"/>
  <c r="H6953" i="11"/>
  <c r="G6954" i="11"/>
  <c r="H6954" i="11"/>
  <c r="G6955" i="11"/>
  <c r="H6955" i="11"/>
  <c r="G6956" i="11"/>
  <c r="H6956" i="11"/>
  <c r="G6957" i="11"/>
  <c r="H6957" i="11"/>
  <c r="G6958" i="11"/>
  <c r="H6958" i="11"/>
  <c r="G6959" i="11"/>
  <c r="H6959" i="11"/>
  <c r="G6960" i="11"/>
  <c r="H6960" i="11"/>
  <c r="G6961" i="11"/>
  <c r="H6961" i="11"/>
  <c r="G6962" i="11"/>
  <c r="H6962" i="11"/>
  <c r="G6963" i="11"/>
  <c r="H6963" i="11"/>
  <c r="G6964" i="11"/>
  <c r="H6964" i="11"/>
  <c r="G6965" i="11"/>
  <c r="H6965" i="11"/>
  <c r="G6966" i="11"/>
  <c r="H6966" i="11"/>
  <c r="G6967" i="11"/>
  <c r="H6967" i="11"/>
  <c r="G6968" i="11"/>
  <c r="H6968" i="11"/>
  <c r="G6969" i="11"/>
  <c r="H6969" i="11"/>
  <c r="G6970" i="11"/>
  <c r="H6970" i="11"/>
  <c r="G6971" i="11"/>
  <c r="H6971" i="11"/>
  <c r="G6972" i="11"/>
  <c r="H6972" i="11"/>
  <c r="G6973" i="11"/>
  <c r="H6973" i="11"/>
  <c r="G6974" i="11"/>
  <c r="H6974" i="11"/>
  <c r="G6975" i="11"/>
  <c r="H6975" i="11"/>
  <c r="G6976" i="11"/>
  <c r="H6976" i="11"/>
  <c r="G6977" i="11"/>
  <c r="H6977" i="11"/>
  <c r="G6978" i="11"/>
  <c r="H6978" i="11"/>
  <c r="G6979" i="11"/>
  <c r="H6979" i="11"/>
  <c r="G6980" i="11"/>
  <c r="H6980" i="11"/>
  <c r="G6981" i="11"/>
  <c r="H6981" i="11"/>
  <c r="G6982" i="11"/>
  <c r="H6982" i="11"/>
  <c r="G6983" i="11"/>
  <c r="H6983" i="11"/>
  <c r="G6984" i="11"/>
  <c r="H6984" i="11"/>
  <c r="G6985" i="11"/>
  <c r="H6985" i="11"/>
  <c r="G6986" i="11"/>
  <c r="H6986" i="11"/>
  <c r="G6987" i="11"/>
  <c r="H6987" i="11"/>
  <c r="G6988" i="11"/>
  <c r="H6988" i="11"/>
  <c r="G6989" i="11"/>
  <c r="H6989" i="11"/>
  <c r="G6990" i="11"/>
  <c r="H6990" i="11"/>
  <c r="G6991" i="11"/>
  <c r="H6991" i="11"/>
  <c r="G6992" i="11"/>
  <c r="H6992" i="11"/>
  <c r="G6993" i="11"/>
  <c r="H6993" i="11"/>
  <c r="G6994" i="11"/>
  <c r="H6994" i="11"/>
  <c r="G6995" i="11"/>
  <c r="H6995" i="11"/>
  <c r="G6996" i="11"/>
  <c r="H6996" i="11"/>
  <c r="G6997" i="11"/>
  <c r="H6997" i="11"/>
  <c r="G6998" i="11"/>
  <c r="H6998" i="11"/>
  <c r="G6999" i="11"/>
  <c r="H6999" i="11"/>
  <c r="G7000" i="11"/>
  <c r="H7000" i="11"/>
  <c r="G7001" i="11"/>
  <c r="H7001" i="11"/>
  <c r="G7002" i="11"/>
  <c r="H7002" i="11"/>
  <c r="G7003" i="11"/>
  <c r="H7003" i="11"/>
  <c r="G7004" i="11"/>
  <c r="H7004" i="11"/>
  <c r="G7005" i="11"/>
  <c r="H7005" i="11"/>
  <c r="G7006" i="11"/>
  <c r="H7006" i="11"/>
  <c r="G7007" i="11"/>
  <c r="H7007" i="11"/>
  <c r="G7008" i="11"/>
  <c r="H7008" i="11"/>
  <c r="G7009" i="11"/>
  <c r="H7009" i="11"/>
  <c r="G7010" i="11"/>
  <c r="H7010" i="11"/>
  <c r="G7011" i="11"/>
  <c r="H7011" i="11"/>
  <c r="G7012" i="11"/>
  <c r="H7012" i="11"/>
  <c r="G7013" i="11"/>
  <c r="H7013" i="11"/>
  <c r="G7014" i="11"/>
  <c r="H7014" i="11"/>
  <c r="G7015" i="11"/>
  <c r="H7015" i="11"/>
  <c r="G7016" i="11"/>
  <c r="H7016" i="11"/>
  <c r="G7017" i="11"/>
  <c r="H7017" i="11"/>
  <c r="G7018" i="11"/>
  <c r="H7018" i="11"/>
  <c r="G7019" i="11"/>
  <c r="H7019" i="11"/>
  <c r="G7020" i="11"/>
  <c r="H7020" i="11"/>
  <c r="G7021" i="11"/>
  <c r="H7021" i="11"/>
  <c r="G7022" i="11"/>
  <c r="H7022" i="11"/>
  <c r="G7023" i="11"/>
  <c r="H7023" i="11"/>
  <c r="G7024" i="11"/>
  <c r="H7024" i="11"/>
  <c r="G7025" i="11"/>
  <c r="H7025" i="11"/>
  <c r="G7026" i="11"/>
  <c r="H7026" i="11"/>
  <c r="G7027" i="11"/>
  <c r="H7027" i="11"/>
  <c r="G7028" i="11"/>
  <c r="H7028" i="11"/>
  <c r="G7029" i="11"/>
  <c r="H7029" i="11"/>
  <c r="G7030" i="11"/>
  <c r="H7030" i="11"/>
  <c r="G7031" i="11"/>
  <c r="H7031" i="11"/>
  <c r="G7032" i="11"/>
  <c r="H7032" i="11"/>
  <c r="G7033" i="11"/>
  <c r="H7033" i="11"/>
  <c r="G7034" i="11"/>
  <c r="H7034" i="11"/>
  <c r="G7035" i="11"/>
  <c r="H7035" i="11"/>
  <c r="G7036" i="11"/>
  <c r="H7036" i="11"/>
  <c r="G7037" i="11"/>
  <c r="H7037" i="11"/>
  <c r="G7038" i="11"/>
  <c r="H7038" i="11"/>
  <c r="G7039" i="11"/>
  <c r="H7039" i="11"/>
  <c r="G7040" i="11"/>
  <c r="H7040" i="11"/>
  <c r="G7041" i="11"/>
  <c r="H7041" i="11"/>
  <c r="G7042" i="11"/>
  <c r="H7042" i="11"/>
  <c r="G7043" i="11"/>
  <c r="H7043" i="11"/>
  <c r="G7044" i="11"/>
  <c r="H7044" i="11"/>
  <c r="G7045" i="11"/>
  <c r="H7045" i="11"/>
  <c r="G7046" i="11"/>
  <c r="H7046" i="11"/>
  <c r="G7047" i="11"/>
  <c r="H7047" i="11"/>
  <c r="G7048" i="11"/>
  <c r="H7048" i="11"/>
  <c r="G7049" i="11"/>
  <c r="H7049" i="11"/>
  <c r="G7050" i="11"/>
  <c r="H7050" i="11"/>
  <c r="G7051" i="11"/>
  <c r="H7051" i="11"/>
  <c r="G7052" i="11"/>
  <c r="H7052" i="11"/>
  <c r="G7053" i="11"/>
  <c r="H7053" i="11"/>
  <c r="G7054" i="11"/>
  <c r="H7054" i="11"/>
  <c r="G7055" i="11"/>
  <c r="H7055" i="11"/>
  <c r="G7056" i="11"/>
  <c r="H7056" i="11"/>
  <c r="G7057" i="11"/>
  <c r="H7057" i="11"/>
  <c r="G7058" i="11"/>
  <c r="H7058" i="11"/>
  <c r="G7059" i="11"/>
  <c r="H7059" i="11"/>
  <c r="G7060" i="11"/>
  <c r="H7060" i="11"/>
  <c r="G7061" i="11"/>
  <c r="H7061" i="11"/>
  <c r="G7062" i="11"/>
  <c r="H7062" i="11"/>
  <c r="G7063" i="11"/>
  <c r="H7063" i="11"/>
  <c r="G7064" i="11"/>
  <c r="H7064" i="11"/>
  <c r="G7065" i="11"/>
  <c r="H7065" i="11"/>
  <c r="G7066" i="11"/>
  <c r="H7066" i="11"/>
  <c r="G7067" i="11"/>
  <c r="H7067" i="11"/>
  <c r="G7068" i="11"/>
  <c r="H7068" i="11"/>
  <c r="G7069" i="11"/>
  <c r="H7069" i="11"/>
  <c r="G7070" i="11"/>
  <c r="H7070" i="11"/>
  <c r="G7071" i="11"/>
  <c r="H7071" i="11"/>
  <c r="G7072" i="11"/>
  <c r="H7072" i="11"/>
  <c r="G7073" i="11"/>
  <c r="H7073" i="11"/>
  <c r="G7074" i="11"/>
  <c r="H7074" i="11"/>
  <c r="G7075" i="11"/>
  <c r="H7075" i="11"/>
  <c r="G7076" i="11"/>
  <c r="H7076" i="11"/>
  <c r="G7077" i="11"/>
  <c r="H7077" i="11"/>
  <c r="G7078" i="11"/>
  <c r="H7078" i="11"/>
  <c r="G7079" i="11"/>
  <c r="H7079" i="11"/>
  <c r="G7080" i="11"/>
  <c r="H7080" i="11"/>
  <c r="G7081" i="11"/>
  <c r="H7081" i="11"/>
  <c r="G7082" i="11"/>
  <c r="H7082" i="11"/>
  <c r="G7083" i="11"/>
  <c r="H7083" i="11"/>
  <c r="G7084" i="11"/>
  <c r="H7084" i="11"/>
  <c r="G7085" i="11"/>
  <c r="H7085" i="11"/>
  <c r="G7086" i="11"/>
  <c r="H7086" i="11"/>
  <c r="G7087" i="11"/>
  <c r="H7087" i="11"/>
  <c r="G7088" i="11"/>
  <c r="H7088" i="11"/>
  <c r="G7089" i="11"/>
  <c r="H7089" i="11"/>
  <c r="G7090" i="11"/>
  <c r="H7090" i="11"/>
  <c r="G7091" i="11"/>
  <c r="H7091" i="11"/>
  <c r="G7092" i="11"/>
  <c r="H7092" i="11"/>
  <c r="G7093" i="11"/>
  <c r="H7093" i="11"/>
  <c r="G7094" i="11"/>
  <c r="H7094" i="11"/>
  <c r="G7095" i="11"/>
  <c r="H7095" i="11"/>
  <c r="G7096" i="11"/>
  <c r="H7096" i="11"/>
  <c r="G7097" i="11"/>
  <c r="H7097" i="11"/>
  <c r="G7098" i="11"/>
  <c r="H7098" i="11"/>
  <c r="G7099" i="11"/>
  <c r="H7099" i="11"/>
  <c r="G7100" i="11"/>
  <c r="H7100" i="11"/>
  <c r="G7101" i="11"/>
  <c r="H7101" i="11"/>
  <c r="G7102" i="11"/>
  <c r="H7102" i="11"/>
  <c r="G7103" i="11"/>
  <c r="H7103" i="11"/>
  <c r="G7104" i="11"/>
  <c r="H7104" i="11"/>
  <c r="G7105" i="11"/>
  <c r="H7105" i="11"/>
  <c r="G7106" i="11"/>
  <c r="H7106" i="11"/>
  <c r="G7107" i="11"/>
  <c r="H7107" i="11"/>
  <c r="G7108" i="11"/>
  <c r="H7108" i="11"/>
  <c r="G7109" i="11"/>
  <c r="H7109" i="11"/>
  <c r="G7110" i="11"/>
  <c r="H7110" i="11"/>
  <c r="G7111" i="11"/>
  <c r="H7111" i="11"/>
  <c r="G7112" i="11"/>
  <c r="H7112" i="11"/>
  <c r="G7113" i="11"/>
  <c r="H7113" i="11"/>
  <c r="G7114" i="11"/>
  <c r="H7114" i="11"/>
  <c r="G7115" i="11"/>
  <c r="H7115" i="11"/>
  <c r="G7116" i="11"/>
  <c r="H7116" i="11"/>
  <c r="G7117" i="11"/>
  <c r="H7117" i="11"/>
  <c r="G7118" i="11"/>
  <c r="H7118" i="11"/>
  <c r="G7119" i="11"/>
  <c r="H7119" i="11"/>
  <c r="G7120" i="11"/>
  <c r="H7120" i="11"/>
  <c r="G7121" i="11"/>
  <c r="H7121" i="11"/>
  <c r="G7122" i="11"/>
  <c r="H7122" i="11"/>
  <c r="G7123" i="11"/>
  <c r="H7123" i="11"/>
  <c r="G7124" i="11"/>
  <c r="H7124" i="11"/>
  <c r="G7125" i="11"/>
  <c r="H7125" i="11"/>
  <c r="G7126" i="11"/>
  <c r="H7126" i="11"/>
  <c r="G7127" i="11"/>
  <c r="H7127" i="11"/>
  <c r="G7128" i="11"/>
  <c r="H7128" i="11"/>
  <c r="G7129" i="11"/>
  <c r="H7129" i="11"/>
  <c r="G7130" i="11"/>
  <c r="H7130" i="11"/>
  <c r="G7131" i="11"/>
  <c r="H7131" i="11"/>
  <c r="G7132" i="11"/>
  <c r="H7132" i="11"/>
  <c r="G7133" i="11"/>
  <c r="H7133" i="11"/>
  <c r="G7134" i="11"/>
  <c r="H7134" i="11"/>
  <c r="G7135" i="11"/>
  <c r="H7135" i="11"/>
  <c r="G7136" i="11"/>
  <c r="H7136" i="11"/>
  <c r="G7137" i="11"/>
  <c r="H7137" i="11"/>
  <c r="G7138" i="11"/>
  <c r="H7138" i="11"/>
  <c r="G7139" i="11"/>
  <c r="H7139" i="11"/>
  <c r="G7140" i="11"/>
  <c r="H7140" i="11"/>
  <c r="G7141" i="11"/>
  <c r="H7141" i="11"/>
  <c r="G7142" i="11"/>
  <c r="H7142" i="11"/>
  <c r="G7143" i="11"/>
  <c r="H7143" i="11"/>
  <c r="G7144" i="11"/>
  <c r="H7144" i="11"/>
  <c r="G7145" i="11"/>
  <c r="H7145" i="11"/>
  <c r="G7146" i="11"/>
  <c r="H7146" i="11"/>
  <c r="G7147" i="11"/>
  <c r="H7147" i="11"/>
  <c r="G7148" i="11"/>
  <c r="H7148" i="11"/>
  <c r="G7149" i="11"/>
  <c r="H7149" i="11"/>
  <c r="G7150" i="11"/>
  <c r="H7150" i="11"/>
  <c r="G7151" i="11"/>
  <c r="H7151" i="11"/>
  <c r="G7152" i="11"/>
  <c r="H7152" i="11"/>
  <c r="G7153" i="11"/>
  <c r="H7153" i="11"/>
  <c r="G7154" i="11"/>
  <c r="H7154" i="11"/>
  <c r="G7155" i="11"/>
  <c r="H7155" i="11"/>
  <c r="G7156" i="11"/>
  <c r="H7156" i="11"/>
  <c r="G7157" i="11"/>
  <c r="H7157" i="11"/>
  <c r="G7158" i="11"/>
  <c r="H7158" i="11"/>
  <c r="G7159" i="11"/>
  <c r="H7159" i="11"/>
  <c r="G7160" i="11"/>
  <c r="H7160" i="11"/>
  <c r="G7161" i="11"/>
  <c r="H7161" i="11"/>
  <c r="G7162" i="11"/>
  <c r="H7162" i="11"/>
  <c r="G7163" i="11"/>
  <c r="H7163" i="11"/>
  <c r="G7164" i="11"/>
  <c r="H7164" i="11"/>
  <c r="G7165" i="11"/>
  <c r="H7165" i="11"/>
  <c r="G7166" i="11"/>
  <c r="H7166" i="11"/>
  <c r="G7167" i="11"/>
  <c r="H7167" i="11"/>
  <c r="G7168" i="11"/>
  <c r="H7168" i="11"/>
  <c r="G7169" i="11"/>
  <c r="H7169" i="11"/>
  <c r="G7170" i="11"/>
  <c r="H7170" i="11"/>
  <c r="G7171" i="11"/>
  <c r="H7171" i="11"/>
  <c r="G7172" i="11"/>
  <c r="H7172" i="11"/>
  <c r="G7173" i="11"/>
  <c r="H7173" i="11"/>
  <c r="G7174" i="11"/>
  <c r="H7174" i="11"/>
  <c r="G7175" i="11"/>
  <c r="H7175" i="11"/>
  <c r="G7176" i="11"/>
  <c r="H7176" i="11"/>
  <c r="G7177" i="11"/>
  <c r="H7177" i="11"/>
  <c r="G7178" i="11"/>
  <c r="H7178" i="11"/>
  <c r="G7179" i="11"/>
  <c r="H7179" i="11"/>
  <c r="G7180" i="11"/>
  <c r="H7180" i="11"/>
  <c r="G7181" i="11"/>
  <c r="H7181" i="11"/>
  <c r="G7182" i="11"/>
  <c r="H7182" i="11"/>
  <c r="G7183" i="11"/>
  <c r="H7183" i="11"/>
  <c r="G7184" i="11"/>
  <c r="H7184" i="11"/>
  <c r="G7185" i="11"/>
  <c r="H7185" i="11"/>
  <c r="G7186" i="11"/>
  <c r="H7186" i="11"/>
  <c r="G7187" i="11"/>
  <c r="H7187" i="11"/>
  <c r="G7188" i="11"/>
  <c r="H7188" i="11"/>
  <c r="G7189" i="11"/>
  <c r="H7189" i="11"/>
  <c r="G7190" i="11"/>
  <c r="H7190" i="11"/>
  <c r="G7191" i="11"/>
  <c r="H7191" i="11"/>
  <c r="G7192" i="11"/>
  <c r="H7192" i="11"/>
  <c r="G7193" i="11"/>
  <c r="H7193" i="11"/>
  <c r="G7194" i="11"/>
  <c r="H7194" i="11"/>
  <c r="G7195" i="11"/>
  <c r="H7195" i="11"/>
  <c r="G7196" i="11"/>
  <c r="H7196" i="11"/>
  <c r="G7197" i="11"/>
  <c r="H7197" i="11"/>
  <c r="G7198" i="11"/>
  <c r="H7198" i="11"/>
  <c r="G7199" i="11"/>
  <c r="H7199" i="11"/>
  <c r="G7200" i="11"/>
  <c r="H7200" i="11"/>
  <c r="G7201" i="11"/>
  <c r="H7201" i="11"/>
  <c r="G7202" i="11"/>
  <c r="H7202" i="11"/>
  <c r="G7203" i="11"/>
  <c r="H7203" i="11"/>
  <c r="G7204" i="11"/>
  <c r="H7204" i="11"/>
  <c r="G7205" i="11"/>
  <c r="H7205" i="11"/>
  <c r="G7206" i="11"/>
  <c r="H7206" i="11"/>
  <c r="G7207" i="11"/>
  <c r="H7207" i="11"/>
  <c r="G7208" i="11"/>
  <c r="H7208" i="11"/>
  <c r="G7209" i="11"/>
  <c r="H7209" i="11"/>
  <c r="G7210" i="11"/>
  <c r="H7210" i="11"/>
  <c r="G7211" i="11"/>
  <c r="H7211" i="11"/>
  <c r="G7212" i="11"/>
  <c r="H7212" i="11"/>
  <c r="G7213" i="11"/>
  <c r="H7213" i="11"/>
  <c r="G7214" i="11"/>
  <c r="H7214" i="11"/>
  <c r="G7215" i="11"/>
  <c r="H7215" i="11"/>
  <c r="G7216" i="11"/>
  <c r="H7216" i="11"/>
  <c r="G7217" i="11"/>
  <c r="H7217" i="11"/>
  <c r="G7218" i="11"/>
  <c r="H7218" i="11"/>
  <c r="G7219" i="11"/>
  <c r="H7219" i="11"/>
  <c r="G7220" i="11"/>
  <c r="H7220" i="11"/>
  <c r="G7221" i="11"/>
  <c r="H7221" i="11"/>
  <c r="G7222" i="11"/>
  <c r="H7222" i="11"/>
  <c r="G7223" i="11"/>
  <c r="H7223" i="11"/>
  <c r="G7224" i="11"/>
  <c r="H7224" i="11"/>
  <c r="G7225" i="11"/>
  <c r="H7225" i="11"/>
  <c r="G7226" i="11"/>
  <c r="H7226" i="11"/>
  <c r="G7227" i="11"/>
  <c r="H7227" i="11"/>
  <c r="G7228" i="11"/>
  <c r="H7228" i="11"/>
  <c r="G7229" i="11"/>
  <c r="H7229" i="11"/>
  <c r="G7230" i="11"/>
  <c r="H7230" i="11"/>
  <c r="G7231" i="11"/>
  <c r="H7231" i="11"/>
  <c r="G7232" i="11"/>
  <c r="H7232" i="11"/>
  <c r="G7233" i="11"/>
  <c r="H7233" i="11"/>
  <c r="G7234" i="11"/>
  <c r="H7234" i="11"/>
  <c r="G7235" i="11"/>
  <c r="H7235" i="11"/>
  <c r="G7236" i="11"/>
  <c r="H7236" i="11"/>
  <c r="G7237" i="11"/>
  <c r="H7237" i="11"/>
  <c r="G7238" i="11"/>
  <c r="H7238" i="11"/>
  <c r="G7239" i="11"/>
  <c r="H7239" i="11"/>
  <c r="G7240" i="11"/>
  <c r="H7240" i="11"/>
  <c r="G7241" i="11"/>
  <c r="H7241" i="11"/>
  <c r="G7242" i="11"/>
  <c r="H7242" i="11"/>
  <c r="G7243" i="11"/>
  <c r="H7243" i="11"/>
  <c r="G7244" i="11"/>
  <c r="H7244" i="11"/>
  <c r="G7245" i="11"/>
  <c r="H7245" i="11"/>
  <c r="G7246" i="11"/>
  <c r="H7246" i="11"/>
  <c r="G7247" i="11"/>
  <c r="H7247" i="11"/>
  <c r="G7248" i="11"/>
  <c r="H7248" i="11"/>
  <c r="G7249" i="11"/>
  <c r="H7249" i="11"/>
  <c r="G7250" i="11"/>
  <c r="H7250" i="11"/>
  <c r="G7251" i="11"/>
  <c r="H7251" i="11"/>
  <c r="G7252" i="11"/>
  <c r="H7252" i="11"/>
  <c r="G7253" i="11"/>
  <c r="H7253" i="11"/>
  <c r="G7254" i="11"/>
  <c r="H7254" i="11"/>
  <c r="G7255" i="11"/>
  <c r="H7255" i="11"/>
  <c r="G7256" i="11"/>
  <c r="H7256" i="11"/>
  <c r="G7257" i="11"/>
  <c r="H7257" i="11"/>
  <c r="G7258" i="11"/>
  <c r="H7258" i="11"/>
  <c r="G7259" i="11"/>
  <c r="H7259" i="11"/>
  <c r="G7260" i="11"/>
  <c r="H7260" i="11"/>
  <c r="G7261" i="11"/>
  <c r="H7261" i="11"/>
  <c r="G7262" i="11"/>
  <c r="H7262" i="11"/>
  <c r="G7263" i="11"/>
  <c r="H7263" i="11"/>
  <c r="G7264" i="11"/>
  <c r="H7264" i="11"/>
  <c r="G7265" i="11"/>
  <c r="H7265" i="11"/>
  <c r="G7266" i="11"/>
  <c r="H7266" i="11"/>
  <c r="G7267" i="11"/>
  <c r="H7267" i="11"/>
  <c r="G7268" i="11"/>
  <c r="H7268" i="11"/>
  <c r="G7269" i="11"/>
  <c r="H7269" i="11"/>
  <c r="G7270" i="11"/>
  <c r="H7270" i="11"/>
  <c r="G7271" i="11"/>
  <c r="H7271" i="11"/>
  <c r="G7272" i="11"/>
  <c r="H7272" i="11"/>
  <c r="G7273" i="11"/>
  <c r="H7273" i="11"/>
  <c r="G7274" i="11"/>
  <c r="H7274" i="11"/>
  <c r="G7275" i="11"/>
  <c r="H7275" i="11"/>
  <c r="G7276" i="11"/>
  <c r="H7276" i="11"/>
  <c r="G7277" i="11"/>
  <c r="H7277" i="11"/>
  <c r="G7278" i="11"/>
  <c r="H7278" i="11"/>
  <c r="G7279" i="11"/>
  <c r="H7279" i="11"/>
  <c r="G7280" i="11"/>
  <c r="H7280" i="11"/>
  <c r="G7281" i="11"/>
  <c r="H7281" i="11"/>
  <c r="G7282" i="11"/>
  <c r="H7282" i="11"/>
  <c r="G7283" i="11"/>
  <c r="H7283" i="11"/>
  <c r="G7284" i="11"/>
  <c r="H7284" i="11"/>
  <c r="G7285" i="11"/>
  <c r="H7285" i="11"/>
  <c r="G7286" i="11"/>
  <c r="H7286" i="11"/>
  <c r="G7287" i="11"/>
  <c r="H7287" i="11"/>
  <c r="G7288" i="11"/>
  <c r="H7288" i="11"/>
  <c r="G7289" i="11"/>
  <c r="H7289" i="11"/>
  <c r="G7290" i="11"/>
  <c r="H7290" i="11"/>
  <c r="G7291" i="11"/>
  <c r="H7291" i="11"/>
  <c r="G7292" i="11"/>
  <c r="H7292" i="11"/>
  <c r="G7293" i="11"/>
  <c r="H7293" i="11"/>
  <c r="G7294" i="11"/>
  <c r="H7294" i="11"/>
  <c r="G7295" i="11"/>
  <c r="H7295" i="11"/>
  <c r="G7296" i="11"/>
  <c r="H7296" i="11"/>
  <c r="G7297" i="11"/>
  <c r="H7297" i="11"/>
  <c r="G7298" i="11"/>
  <c r="H7298" i="11"/>
  <c r="G7299" i="11"/>
  <c r="H7299" i="11"/>
  <c r="G7300" i="11"/>
  <c r="H7300" i="11"/>
  <c r="G7301" i="11"/>
  <c r="H7301" i="11"/>
  <c r="G7302" i="11"/>
  <c r="H7302" i="11"/>
  <c r="G7303" i="11"/>
  <c r="H7303" i="11"/>
  <c r="G7304" i="11"/>
  <c r="H7304" i="11"/>
  <c r="G7305" i="11"/>
  <c r="H7305" i="11"/>
  <c r="G7306" i="11"/>
  <c r="H7306" i="11"/>
  <c r="G7307" i="11"/>
  <c r="H7307" i="11"/>
  <c r="G7308" i="11"/>
  <c r="H7308" i="11"/>
  <c r="G7309" i="11"/>
  <c r="H7309" i="11"/>
  <c r="G7310" i="11"/>
  <c r="H7310" i="11"/>
  <c r="G7311" i="11"/>
  <c r="H7311" i="11"/>
  <c r="G7312" i="11"/>
  <c r="H7312" i="11"/>
  <c r="G7313" i="11"/>
  <c r="H7313" i="11"/>
  <c r="G7314" i="11"/>
  <c r="H7314" i="11"/>
  <c r="G7315" i="11"/>
  <c r="H7315" i="11"/>
  <c r="G7316" i="11"/>
  <c r="H7316" i="11"/>
  <c r="G7317" i="11"/>
  <c r="H7317" i="11"/>
  <c r="G7318" i="11"/>
  <c r="H7318" i="11"/>
  <c r="G7319" i="11"/>
  <c r="H7319" i="11"/>
  <c r="G7320" i="11"/>
  <c r="H7320" i="11"/>
  <c r="G7321" i="11"/>
  <c r="H7321" i="11"/>
  <c r="G7322" i="11"/>
  <c r="H7322" i="11"/>
  <c r="G7323" i="11"/>
  <c r="H7323" i="11"/>
  <c r="G7324" i="11"/>
  <c r="H7324" i="11"/>
  <c r="G7325" i="11"/>
  <c r="H7325" i="11"/>
  <c r="G7326" i="11"/>
  <c r="H7326" i="11"/>
  <c r="G7327" i="11"/>
  <c r="H7327" i="11"/>
  <c r="G7328" i="11"/>
  <c r="H7328" i="11"/>
  <c r="G7329" i="11"/>
  <c r="H7329" i="11"/>
  <c r="G7330" i="11"/>
  <c r="H7330" i="11"/>
  <c r="G7331" i="11"/>
  <c r="H7331" i="11"/>
  <c r="G7332" i="11"/>
  <c r="H7332" i="11"/>
  <c r="G7333" i="11"/>
  <c r="H7333" i="11"/>
  <c r="G7334" i="11"/>
  <c r="H7334" i="11"/>
  <c r="G7335" i="11"/>
  <c r="H7335" i="11"/>
  <c r="G7336" i="11"/>
  <c r="H7336" i="11"/>
  <c r="G7337" i="11"/>
  <c r="H7337" i="11"/>
  <c r="G7338" i="11"/>
  <c r="H7338" i="11"/>
  <c r="G7339" i="11"/>
  <c r="H7339" i="11"/>
  <c r="G7340" i="11"/>
  <c r="H7340" i="11"/>
  <c r="G7341" i="11"/>
  <c r="H7341" i="11"/>
  <c r="G7342" i="11"/>
  <c r="H7342" i="11"/>
  <c r="G7343" i="11"/>
  <c r="H7343" i="11"/>
  <c r="G7344" i="11"/>
  <c r="H7344" i="11"/>
  <c r="G7345" i="11"/>
  <c r="H7345" i="11"/>
  <c r="G7346" i="11"/>
  <c r="H7346" i="11"/>
  <c r="G7347" i="11"/>
  <c r="H7347" i="11"/>
  <c r="G7348" i="11"/>
  <c r="H7348" i="11"/>
  <c r="G7349" i="11"/>
  <c r="H7349" i="11"/>
  <c r="G7350" i="11"/>
  <c r="H7350" i="11"/>
  <c r="G7351" i="11"/>
  <c r="H7351" i="11"/>
  <c r="G7352" i="11"/>
  <c r="H7352" i="11"/>
  <c r="G7353" i="11"/>
  <c r="H7353" i="11"/>
  <c r="G7354" i="11"/>
  <c r="H7354" i="11"/>
  <c r="G7355" i="11"/>
  <c r="H7355" i="11"/>
  <c r="G7356" i="11"/>
  <c r="H7356" i="11"/>
  <c r="G7357" i="11"/>
  <c r="H7357" i="11"/>
  <c r="G7358" i="11"/>
  <c r="H7358" i="11"/>
  <c r="G7359" i="11"/>
  <c r="H7359" i="11"/>
  <c r="G7360" i="11"/>
  <c r="H7360" i="11"/>
  <c r="G7361" i="11"/>
  <c r="H7361" i="11"/>
  <c r="G7362" i="11"/>
  <c r="H7362" i="11"/>
  <c r="G7363" i="11"/>
  <c r="H7363" i="11"/>
  <c r="G7364" i="11"/>
  <c r="H7364" i="11"/>
  <c r="G7365" i="11"/>
  <c r="H7365" i="11"/>
  <c r="G7366" i="11"/>
  <c r="H7366" i="11"/>
  <c r="G7367" i="11"/>
  <c r="H7367" i="11"/>
  <c r="G7368" i="11"/>
  <c r="H7368" i="11"/>
  <c r="G7369" i="11"/>
  <c r="H7369" i="11"/>
  <c r="G7370" i="11"/>
  <c r="H7370" i="11"/>
  <c r="G7371" i="11"/>
  <c r="H7371" i="11"/>
  <c r="G7372" i="11"/>
  <c r="H7372" i="11"/>
  <c r="G7373" i="11"/>
  <c r="H7373" i="11"/>
  <c r="G7374" i="11"/>
  <c r="H7374" i="11"/>
  <c r="G7375" i="11"/>
  <c r="H7375" i="11"/>
  <c r="G7376" i="11"/>
  <c r="H7376" i="11"/>
  <c r="G7377" i="11"/>
  <c r="H7377" i="11"/>
  <c r="G7378" i="11"/>
  <c r="H7378" i="11"/>
  <c r="G7379" i="11"/>
  <c r="H7379" i="11"/>
  <c r="G7380" i="11"/>
  <c r="H7380" i="11"/>
  <c r="G7381" i="11"/>
  <c r="H7381" i="11"/>
  <c r="G7382" i="11"/>
  <c r="H7382" i="11"/>
  <c r="G7383" i="11"/>
  <c r="H7383" i="11"/>
  <c r="G7384" i="11"/>
  <c r="H7384" i="11"/>
  <c r="G7385" i="11"/>
  <c r="H7385" i="11"/>
  <c r="G7386" i="11"/>
  <c r="H7386" i="11"/>
  <c r="G7387" i="11"/>
  <c r="H7387" i="11"/>
  <c r="G7388" i="11"/>
  <c r="H7388" i="11"/>
  <c r="G7389" i="11"/>
  <c r="H7389" i="11"/>
  <c r="G7390" i="11"/>
  <c r="H7390" i="11"/>
  <c r="G7391" i="11"/>
  <c r="H7391" i="11"/>
  <c r="G7392" i="11"/>
  <c r="H7392" i="11"/>
  <c r="G7393" i="11"/>
  <c r="H7393" i="11"/>
  <c r="G7394" i="11"/>
  <c r="H7394" i="11"/>
  <c r="G7395" i="11"/>
  <c r="H7395" i="11"/>
  <c r="G7396" i="11"/>
  <c r="H7396" i="11"/>
  <c r="G7397" i="11"/>
  <c r="H7397" i="11"/>
  <c r="G7398" i="11"/>
  <c r="H7398" i="11"/>
  <c r="G7399" i="11"/>
  <c r="H7399" i="11"/>
  <c r="G7400" i="11"/>
  <c r="H7400" i="11"/>
  <c r="G7401" i="11"/>
  <c r="H7401" i="11"/>
  <c r="G7402" i="11"/>
  <c r="H7402" i="11"/>
  <c r="G7403" i="11"/>
  <c r="H7403" i="11"/>
  <c r="G7404" i="11"/>
  <c r="H7404" i="11"/>
  <c r="G7405" i="11"/>
  <c r="H7405" i="11"/>
  <c r="G7406" i="11"/>
  <c r="H7406" i="11"/>
  <c r="G7407" i="11"/>
  <c r="H7407" i="11"/>
  <c r="G7408" i="11"/>
  <c r="H7408" i="11"/>
  <c r="G7409" i="11"/>
  <c r="H7409" i="11"/>
  <c r="G7410" i="11"/>
  <c r="H7410" i="11"/>
  <c r="G7411" i="11"/>
  <c r="H7411" i="11"/>
  <c r="G7412" i="11"/>
  <c r="H7412" i="11"/>
  <c r="G7413" i="11"/>
  <c r="H7413" i="11"/>
  <c r="G7414" i="11"/>
  <c r="H7414" i="11"/>
  <c r="G7415" i="11"/>
  <c r="H7415" i="11"/>
  <c r="G7416" i="11"/>
  <c r="H7416" i="11"/>
  <c r="G7417" i="11"/>
  <c r="H7417" i="11"/>
  <c r="G7418" i="11"/>
  <c r="H7418" i="11"/>
  <c r="G7419" i="11"/>
  <c r="H7419" i="11"/>
  <c r="G7420" i="11"/>
  <c r="H7420" i="11"/>
  <c r="G7421" i="11"/>
  <c r="H7421" i="11"/>
  <c r="G7422" i="11"/>
  <c r="H7422" i="11"/>
  <c r="G7423" i="11"/>
  <c r="H7423" i="11"/>
  <c r="G7424" i="11"/>
  <c r="H7424" i="11"/>
  <c r="G7425" i="11"/>
  <c r="H7425" i="11"/>
  <c r="G7426" i="11"/>
  <c r="H7426" i="11"/>
  <c r="G7427" i="11"/>
  <c r="H7427" i="11"/>
  <c r="G7428" i="11"/>
  <c r="H7428" i="11"/>
  <c r="G7429" i="11"/>
  <c r="H7429" i="11"/>
  <c r="G7430" i="11"/>
  <c r="H7430" i="11"/>
  <c r="G7431" i="11"/>
  <c r="H7431" i="11"/>
  <c r="G7432" i="11"/>
  <c r="H7432" i="11"/>
  <c r="G7433" i="11"/>
  <c r="H7433" i="11"/>
  <c r="G7434" i="11"/>
  <c r="H7434" i="11"/>
  <c r="G7435" i="11"/>
  <c r="H7435" i="11"/>
  <c r="G7436" i="11"/>
  <c r="H7436" i="11"/>
  <c r="G7437" i="11"/>
  <c r="H7437" i="11"/>
  <c r="G7438" i="11"/>
  <c r="H7438" i="11"/>
  <c r="G7439" i="11"/>
  <c r="H7439" i="11"/>
  <c r="G7440" i="11"/>
  <c r="H7440" i="11"/>
  <c r="G7441" i="11"/>
  <c r="H7441" i="11"/>
  <c r="G7442" i="11"/>
  <c r="H7442" i="11"/>
  <c r="G7443" i="11"/>
  <c r="H7443" i="11"/>
  <c r="G7444" i="11"/>
  <c r="H7444" i="11"/>
  <c r="G7445" i="11"/>
  <c r="H7445" i="11"/>
  <c r="G7446" i="11"/>
  <c r="H7446" i="11"/>
  <c r="G7447" i="11"/>
  <c r="H7447" i="11"/>
  <c r="G7448" i="11"/>
  <c r="H7448" i="11"/>
  <c r="G7449" i="11"/>
  <c r="H7449" i="11"/>
  <c r="G7450" i="11"/>
  <c r="H7450" i="11"/>
  <c r="G7451" i="11"/>
  <c r="H7451" i="11"/>
  <c r="G7452" i="11"/>
  <c r="H7452" i="11"/>
  <c r="G7453" i="11"/>
  <c r="H7453" i="11"/>
  <c r="G7454" i="11"/>
  <c r="H7454" i="11"/>
  <c r="G7455" i="11"/>
  <c r="H7455" i="11"/>
  <c r="G7456" i="11"/>
  <c r="H7456" i="11"/>
  <c r="G7457" i="11"/>
  <c r="H7457" i="11"/>
  <c r="G7458" i="11"/>
  <c r="H7458" i="11"/>
  <c r="G7459" i="11"/>
  <c r="H7459" i="11"/>
  <c r="G7460" i="11"/>
  <c r="H7460" i="11"/>
  <c r="G7461" i="11"/>
  <c r="H7461" i="11"/>
  <c r="G7462" i="11"/>
  <c r="H7462" i="11"/>
  <c r="G7463" i="11"/>
  <c r="H7463" i="11"/>
  <c r="G7464" i="11"/>
  <c r="H7464" i="11"/>
  <c r="G7465" i="11"/>
  <c r="H7465" i="11"/>
  <c r="G7466" i="11"/>
  <c r="H7466" i="11"/>
  <c r="G7467" i="11"/>
  <c r="H7467" i="11"/>
  <c r="G7468" i="11"/>
  <c r="H7468" i="11"/>
  <c r="G7469" i="11"/>
  <c r="H7469" i="11"/>
  <c r="G7470" i="11"/>
  <c r="H7470" i="11"/>
  <c r="G7471" i="11"/>
  <c r="H7471" i="11"/>
  <c r="G7472" i="11"/>
  <c r="H7472" i="11"/>
  <c r="G7473" i="11"/>
  <c r="H7473" i="11"/>
  <c r="G7474" i="11"/>
  <c r="H7474" i="11"/>
  <c r="G7475" i="11"/>
  <c r="H7475" i="11"/>
  <c r="G7476" i="11"/>
  <c r="H7476" i="11"/>
  <c r="G7477" i="11"/>
  <c r="H7477" i="11"/>
  <c r="G7478" i="11"/>
  <c r="H7478" i="11"/>
  <c r="G7479" i="11"/>
  <c r="H7479" i="11"/>
  <c r="G7480" i="11"/>
  <c r="H7480" i="11"/>
  <c r="G7481" i="11"/>
  <c r="H7481" i="11"/>
  <c r="G7482" i="11"/>
  <c r="H7482" i="11"/>
  <c r="G7483" i="11"/>
  <c r="H7483" i="11"/>
  <c r="G7484" i="11"/>
  <c r="H7484" i="11"/>
  <c r="G7485" i="11"/>
  <c r="H7485" i="11"/>
  <c r="G7486" i="11"/>
  <c r="H7486" i="11"/>
  <c r="G7487" i="11"/>
  <c r="H7487" i="11"/>
  <c r="G7488" i="11"/>
  <c r="H7488" i="11"/>
  <c r="G7489" i="11"/>
  <c r="H7489" i="11"/>
  <c r="G7490" i="11"/>
  <c r="H7490" i="11"/>
  <c r="G7491" i="11"/>
  <c r="H7491" i="11"/>
  <c r="G7492" i="11"/>
  <c r="H7492" i="11"/>
  <c r="G7493" i="11"/>
  <c r="H7493" i="11"/>
  <c r="G7494" i="11"/>
  <c r="H7494" i="11"/>
  <c r="G7495" i="11"/>
  <c r="H7495" i="11"/>
  <c r="G7496" i="11"/>
  <c r="H7496" i="11"/>
  <c r="G7497" i="11"/>
  <c r="H7497" i="11"/>
  <c r="G7498" i="11"/>
  <c r="H7498" i="11"/>
  <c r="G7499" i="11"/>
  <c r="H7499" i="11"/>
  <c r="G7500" i="11"/>
  <c r="H7500" i="11"/>
  <c r="G7501" i="11"/>
  <c r="H7501" i="11"/>
  <c r="G6002" i="11"/>
  <c r="H6002" i="11"/>
  <c r="G6003" i="11"/>
  <c r="H6003" i="11"/>
  <c r="G6004" i="11"/>
  <c r="H6004" i="11"/>
  <c r="G6005" i="11"/>
  <c r="H6005" i="11"/>
  <c r="G6006" i="11"/>
  <c r="H6006" i="11"/>
  <c r="G6007" i="11"/>
  <c r="H6007" i="11"/>
  <c r="G6008" i="11"/>
  <c r="H6008" i="11"/>
  <c r="G6009" i="11"/>
  <c r="H6009" i="11"/>
  <c r="G6010" i="11"/>
  <c r="H6010" i="11"/>
  <c r="G6011" i="11"/>
  <c r="H6011" i="11"/>
  <c r="G6012" i="11"/>
  <c r="H6012" i="11"/>
  <c r="G6013" i="11"/>
  <c r="H6013" i="11"/>
  <c r="G6014" i="11"/>
  <c r="H6014" i="11"/>
  <c r="G6015" i="11"/>
  <c r="H6015" i="11"/>
  <c r="G6016" i="11"/>
  <c r="H6016" i="11"/>
  <c r="G6017" i="11"/>
  <c r="H6017" i="11"/>
  <c r="G6018" i="11"/>
  <c r="H6018" i="11"/>
  <c r="G6019" i="11"/>
  <c r="H6019" i="11"/>
  <c r="G6020" i="11"/>
  <c r="H6020" i="11"/>
  <c r="G6021" i="11"/>
  <c r="H6021" i="11"/>
  <c r="G6022" i="11"/>
  <c r="H6022" i="11"/>
  <c r="G6023" i="11"/>
  <c r="H6023" i="11"/>
  <c r="G6024" i="11"/>
  <c r="H6024" i="11"/>
  <c r="G6025" i="11"/>
  <c r="H6025" i="11"/>
  <c r="G6026" i="11"/>
  <c r="H6026" i="11"/>
  <c r="G6027" i="11"/>
  <c r="H6027" i="11"/>
  <c r="G6028" i="11"/>
  <c r="H6028" i="11"/>
  <c r="G6029" i="11"/>
  <c r="H6029" i="11"/>
  <c r="G6030" i="11"/>
  <c r="H6030" i="11"/>
  <c r="G6031" i="11"/>
  <c r="H6031" i="11"/>
  <c r="G6032" i="11"/>
  <c r="H6032" i="11"/>
  <c r="G6033" i="11"/>
  <c r="H6033" i="11"/>
  <c r="G6034" i="11"/>
  <c r="H6034" i="11"/>
  <c r="G6035" i="11"/>
  <c r="H6035" i="11"/>
  <c r="G6036" i="11"/>
  <c r="H6036" i="11"/>
  <c r="G6037" i="11"/>
  <c r="H6037" i="11"/>
  <c r="G6038" i="11"/>
  <c r="H6038" i="11"/>
  <c r="G6039" i="11"/>
  <c r="H6039" i="11"/>
  <c r="G6040" i="11"/>
  <c r="H6040" i="11"/>
  <c r="G6041" i="11"/>
  <c r="H6041" i="11"/>
  <c r="G6042" i="11"/>
  <c r="H6042" i="11"/>
  <c r="G6043" i="11"/>
  <c r="H6043" i="11"/>
  <c r="G6044" i="11"/>
  <c r="H6044" i="11"/>
  <c r="G6045" i="11"/>
  <c r="H6045" i="11"/>
  <c r="G6046" i="11"/>
  <c r="H6046" i="11"/>
  <c r="G6047" i="11"/>
  <c r="H6047" i="11"/>
  <c r="G6048" i="11"/>
  <c r="H6048" i="11"/>
  <c r="G6049" i="11"/>
  <c r="H6049" i="11"/>
  <c r="G6050" i="11"/>
  <c r="H6050" i="11"/>
  <c r="G6051" i="11"/>
  <c r="H6051" i="11"/>
  <c r="G6052" i="11"/>
  <c r="H6052" i="11"/>
  <c r="G6053" i="11"/>
  <c r="H6053" i="11"/>
  <c r="G6054" i="11"/>
  <c r="H6054" i="11"/>
  <c r="G6055" i="11"/>
  <c r="H6055" i="11"/>
  <c r="G6056" i="11"/>
  <c r="H6056" i="11"/>
  <c r="G6057" i="11"/>
  <c r="H6057" i="11"/>
  <c r="G6058" i="11"/>
  <c r="H6058" i="11"/>
  <c r="G6059" i="11"/>
  <c r="H6059" i="11"/>
  <c r="G6060" i="11"/>
  <c r="H6060" i="11"/>
  <c r="G6061" i="11"/>
  <c r="H6061" i="11"/>
  <c r="G6062" i="11"/>
  <c r="H6062" i="11"/>
  <c r="G6063" i="11"/>
  <c r="H6063" i="11"/>
  <c r="G6064" i="11"/>
  <c r="H6064" i="11"/>
  <c r="G6065" i="11"/>
  <c r="H6065" i="11"/>
  <c r="G6066" i="11"/>
  <c r="H6066" i="11"/>
  <c r="G6067" i="11"/>
  <c r="H6067" i="11"/>
  <c r="G6068" i="11"/>
  <c r="H6068" i="11"/>
  <c r="G6069" i="11"/>
  <c r="H6069" i="11"/>
  <c r="G6070" i="11"/>
  <c r="H6070" i="11"/>
  <c r="G6071" i="11"/>
  <c r="H6071" i="11"/>
  <c r="G6072" i="11"/>
  <c r="H6072" i="11"/>
  <c r="G6073" i="11"/>
  <c r="H6073" i="11"/>
  <c r="G6074" i="11"/>
  <c r="H6074" i="11"/>
  <c r="G6075" i="11"/>
  <c r="H6075" i="11"/>
  <c r="G6076" i="11"/>
  <c r="H6076" i="11"/>
  <c r="G6077" i="11"/>
  <c r="H6077" i="11"/>
  <c r="G6078" i="11"/>
  <c r="H6078" i="11"/>
  <c r="G6079" i="11"/>
  <c r="H6079" i="11"/>
  <c r="G6080" i="11"/>
  <c r="H6080" i="11"/>
  <c r="G6081" i="11"/>
  <c r="H6081" i="11"/>
  <c r="G6082" i="11"/>
  <c r="H6082" i="11"/>
  <c r="G6083" i="11"/>
  <c r="H6083" i="11"/>
  <c r="G6084" i="11"/>
  <c r="H6084" i="11"/>
  <c r="G6085" i="11"/>
  <c r="H6085" i="11"/>
  <c r="G6086" i="11"/>
  <c r="H6086" i="11"/>
  <c r="G6087" i="11"/>
  <c r="H6087" i="11"/>
  <c r="G6088" i="11"/>
  <c r="H6088" i="11"/>
  <c r="G6089" i="11"/>
  <c r="H6089" i="11"/>
  <c r="G6090" i="11"/>
  <c r="H6090" i="11"/>
  <c r="G6091" i="11"/>
  <c r="H6091" i="11"/>
  <c r="G6092" i="11"/>
  <c r="H6092" i="11"/>
  <c r="G6093" i="11"/>
  <c r="H6093" i="11"/>
  <c r="G6094" i="11"/>
  <c r="H6094" i="11"/>
  <c r="G6095" i="11"/>
  <c r="H6095" i="11"/>
  <c r="G6096" i="11"/>
  <c r="H6096" i="11"/>
  <c r="G6097" i="11"/>
  <c r="H6097" i="11"/>
  <c r="G6098" i="11"/>
  <c r="H6098" i="11"/>
  <c r="G6099" i="11"/>
  <c r="H6099" i="11"/>
  <c r="G6100" i="11"/>
  <c r="H6100" i="11"/>
  <c r="G6101" i="11"/>
  <c r="H6101" i="11"/>
  <c r="G6102" i="11"/>
  <c r="H6102" i="11"/>
  <c r="G6103" i="11"/>
  <c r="H6103" i="11"/>
  <c r="G6104" i="11"/>
  <c r="H6104" i="11"/>
  <c r="G6105" i="11"/>
  <c r="H6105" i="11"/>
  <c r="G6106" i="11"/>
  <c r="H6106" i="11"/>
  <c r="G6107" i="11"/>
  <c r="H6107" i="11"/>
  <c r="G6108" i="11"/>
  <c r="H6108" i="11"/>
  <c r="G6109" i="11"/>
  <c r="H6109" i="11"/>
  <c r="G6110" i="11"/>
  <c r="H6110" i="11"/>
  <c r="G6111" i="11"/>
  <c r="H6111" i="11"/>
  <c r="G6112" i="11"/>
  <c r="H6112" i="11"/>
  <c r="G6113" i="11"/>
  <c r="H6113" i="11"/>
  <c r="G6114" i="11"/>
  <c r="H6114" i="11"/>
  <c r="G6115" i="11"/>
  <c r="H6115" i="11"/>
  <c r="G6116" i="11"/>
  <c r="H6116" i="11"/>
  <c r="G6117" i="11"/>
  <c r="H6117" i="11"/>
  <c r="G6118" i="11"/>
  <c r="H6118" i="11"/>
  <c r="G6119" i="11"/>
  <c r="H6119" i="11"/>
  <c r="G6120" i="11"/>
  <c r="H6120" i="11"/>
  <c r="G6121" i="11"/>
  <c r="H6121" i="11"/>
  <c r="G6122" i="11"/>
  <c r="H6122" i="11"/>
  <c r="G6123" i="11"/>
  <c r="H6123" i="11"/>
  <c r="G6124" i="11"/>
  <c r="H6124" i="11"/>
  <c r="G6125" i="11"/>
  <c r="H6125" i="11"/>
  <c r="G6126" i="11"/>
  <c r="H6126" i="11"/>
  <c r="G6127" i="11"/>
  <c r="H6127" i="11"/>
  <c r="G6128" i="11"/>
  <c r="H6128" i="11"/>
  <c r="G6129" i="11"/>
  <c r="H6129" i="11"/>
  <c r="G6130" i="11"/>
  <c r="H6130" i="11"/>
  <c r="G6131" i="11"/>
  <c r="H6131" i="11"/>
  <c r="G6132" i="11"/>
  <c r="H6132" i="11"/>
  <c r="G6133" i="11"/>
  <c r="H6133" i="11"/>
  <c r="G6134" i="11"/>
  <c r="H6134" i="11"/>
  <c r="G6135" i="11"/>
  <c r="H6135" i="11"/>
  <c r="G6136" i="11"/>
  <c r="H6136" i="11"/>
  <c r="G6137" i="11"/>
  <c r="H6137" i="11"/>
  <c r="G6138" i="11"/>
  <c r="H6138" i="11"/>
  <c r="G6139" i="11"/>
  <c r="H6139" i="11"/>
  <c r="G6140" i="11"/>
  <c r="H6140" i="11"/>
  <c r="G6141" i="11"/>
  <c r="H6141" i="11"/>
  <c r="G6142" i="11"/>
  <c r="H6142" i="11"/>
  <c r="G6143" i="11"/>
  <c r="H6143" i="11"/>
  <c r="G6144" i="11"/>
  <c r="H6144" i="11"/>
  <c r="G6145" i="11"/>
  <c r="H6145" i="11"/>
  <c r="G6146" i="11"/>
  <c r="H6146" i="11"/>
  <c r="G6147" i="11"/>
  <c r="H6147" i="11"/>
  <c r="G6148" i="11"/>
  <c r="H6148" i="11"/>
  <c r="G6149" i="11"/>
  <c r="H6149" i="11"/>
  <c r="G6150" i="11"/>
  <c r="H6150" i="11"/>
  <c r="G6151" i="11"/>
  <c r="H6151" i="11"/>
  <c r="G6152" i="11"/>
  <c r="H6152" i="11"/>
  <c r="G6153" i="11"/>
  <c r="H6153" i="11"/>
  <c r="G6154" i="11"/>
  <c r="H6154" i="11"/>
  <c r="G6155" i="11"/>
  <c r="H6155" i="11"/>
  <c r="G6156" i="11"/>
  <c r="H6156" i="11"/>
  <c r="G6157" i="11"/>
  <c r="H6157" i="11"/>
  <c r="G6158" i="11"/>
  <c r="H6158" i="11"/>
  <c r="G6159" i="11"/>
  <c r="H6159" i="11"/>
  <c r="G6160" i="11"/>
  <c r="H6160" i="11"/>
  <c r="G6161" i="11"/>
  <c r="H6161" i="11"/>
  <c r="G6162" i="11"/>
  <c r="H6162" i="11"/>
  <c r="G6163" i="11"/>
  <c r="H6163" i="11"/>
  <c r="G6164" i="11"/>
  <c r="H6164" i="11"/>
  <c r="G6165" i="11"/>
  <c r="H6165" i="11"/>
  <c r="G6166" i="11"/>
  <c r="H6166" i="11"/>
  <c r="G6167" i="11"/>
  <c r="H6167" i="11"/>
  <c r="G6168" i="11"/>
  <c r="H6168" i="11"/>
  <c r="G6169" i="11"/>
  <c r="H6169" i="11"/>
  <c r="G6170" i="11"/>
  <c r="H6170" i="11"/>
  <c r="G6171" i="11"/>
  <c r="H6171" i="11"/>
  <c r="G6172" i="11"/>
  <c r="H6172" i="11"/>
  <c r="G6173" i="11"/>
  <c r="H6173" i="11"/>
  <c r="G6174" i="11"/>
  <c r="H6174" i="11"/>
  <c r="G6175" i="11"/>
  <c r="H6175" i="11"/>
  <c r="G6176" i="11"/>
  <c r="H6176" i="11"/>
  <c r="G6177" i="11"/>
  <c r="H6177" i="11"/>
  <c r="G6178" i="11"/>
  <c r="H6178" i="11"/>
  <c r="G6179" i="11"/>
  <c r="H6179" i="11"/>
  <c r="G6180" i="11"/>
  <c r="H6180" i="11"/>
  <c r="G6181" i="11"/>
  <c r="H6181" i="11"/>
  <c r="G6182" i="11"/>
  <c r="H6182" i="11"/>
  <c r="G6183" i="11"/>
  <c r="H6183" i="11"/>
  <c r="G6184" i="11"/>
  <c r="H6184" i="11"/>
  <c r="G6185" i="11"/>
  <c r="H6185" i="11"/>
  <c r="G6186" i="11"/>
  <c r="H6186" i="11"/>
  <c r="G6187" i="11"/>
  <c r="H6187" i="11"/>
  <c r="G6188" i="11"/>
  <c r="H6188" i="11"/>
  <c r="G6189" i="11"/>
  <c r="H6189" i="11"/>
  <c r="G6190" i="11"/>
  <c r="H6190" i="11"/>
  <c r="G6191" i="11"/>
  <c r="H6191" i="11"/>
  <c r="G6192" i="11"/>
  <c r="H6192" i="11"/>
  <c r="G6193" i="11"/>
  <c r="H6193" i="11"/>
  <c r="G6194" i="11"/>
  <c r="H6194" i="11"/>
  <c r="G6195" i="11"/>
  <c r="H6195" i="11"/>
  <c r="G6196" i="11"/>
  <c r="H6196" i="11"/>
  <c r="G6197" i="11"/>
  <c r="H6197" i="11"/>
  <c r="G6198" i="11"/>
  <c r="H6198" i="11"/>
  <c r="G6199" i="11"/>
  <c r="H6199" i="11"/>
  <c r="G6200" i="11"/>
  <c r="H6200" i="11"/>
  <c r="G6201" i="11"/>
  <c r="H6201" i="11"/>
  <c r="G6202" i="11"/>
  <c r="H6202" i="11"/>
  <c r="G6203" i="11"/>
  <c r="H6203" i="11"/>
  <c r="G6204" i="11"/>
  <c r="H6204" i="11"/>
  <c r="G6205" i="11"/>
  <c r="H6205" i="11"/>
  <c r="G6206" i="11"/>
  <c r="H6206" i="11"/>
  <c r="G6207" i="11"/>
  <c r="H6207" i="11"/>
  <c r="G6208" i="11"/>
  <c r="H6208" i="11"/>
  <c r="G6209" i="11"/>
  <c r="H6209" i="11"/>
  <c r="G6210" i="11"/>
  <c r="H6210" i="11"/>
  <c r="G6211" i="11"/>
  <c r="H6211" i="11"/>
  <c r="G6212" i="11"/>
  <c r="H6212" i="11"/>
  <c r="G6213" i="11"/>
  <c r="H6213" i="11"/>
  <c r="G6214" i="11"/>
  <c r="H6214" i="11"/>
  <c r="G6215" i="11"/>
  <c r="H6215" i="11"/>
  <c r="G6216" i="11"/>
  <c r="H6216" i="11"/>
  <c r="G6217" i="11"/>
  <c r="H6217" i="11"/>
  <c r="G6218" i="11"/>
  <c r="H6218" i="11"/>
  <c r="G6219" i="11"/>
  <c r="H6219" i="11"/>
  <c r="G6220" i="11"/>
  <c r="H6220" i="11"/>
  <c r="G6221" i="11"/>
  <c r="H6221" i="11"/>
  <c r="G6222" i="11"/>
  <c r="H6222" i="11"/>
  <c r="G6223" i="11"/>
  <c r="H6223" i="11"/>
  <c r="G6224" i="11"/>
  <c r="H6224" i="11"/>
  <c r="G6225" i="11"/>
  <c r="H6225" i="11"/>
  <c r="G6226" i="11"/>
  <c r="H6226" i="11"/>
  <c r="G6227" i="11"/>
  <c r="H6227" i="11"/>
  <c r="G6228" i="11"/>
  <c r="H6228" i="11"/>
  <c r="G6229" i="11"/>
  <c r="H6229" i="11"/>
  <c r="G6230" i="11"/>
  <c r="H6230" i="11"/>
  <c r="G6231" i="11"/>
  <c r="H6231" i="11"/>
  <c r="G6232" i="11"/>
  <c r="H6232" i="11"/>
  <c r="G6233" i="11"/>
  <c r="H6233" i="11"/>
  <c r="G6234" i="11"/>
  <c r="H6234" i="11"/>
  <c r="G6235" i="11"/>
  <c r="H6235" i="11"/>
  <c r="G6236" i="11"/>
  <c r="H6236" i="11"/>
  <c r="G6237" i="11"/>
  <c r="H6237" i="11"/>
  <c r="G6238" i="11"/>
  <c r="H6238" i="11"/>
  <c r="G6239" i="11"/>
  <c r="H6239" i="11"/>
  <c r="G6240" i="11"/>
  <c r="H6240" i="11"/>
  <c r="G6241" i="11"/>
  <c r="H6241" i="11"/>
  <c r="G6242" i="11"/>
  <c r="H6242" i="11"/>
  <c r="G6243" i="11"/>
  <c r="H6243" i="11"/>
  <c r="G6244" i="11"/>
  <c r="H6244" i="11"/>
  <c r="G6245" i="11"/>
  <c r="H6245" i="11"/>
  <c r="G6246" i="11"/>
  <c r="H6246" i="11"/>
  <c r="G6247" i="11"/>
  <c r="H6247" i="11"/>
  <c r="G6248" i="11"/>
  <c r="H6248" i="11"/>
  <c r="G6249" i="11"/>
  <c r="H6249" i="11"/>
  <c r="G6250" i="11"/>
  <c r="H6250" i="11"/>
  <c r="G6251" i="11"/>
  <c r="H6251" i="11"/>
  <c r="G6252" i="11"/>
  <c r="H6252" i="11"/>
  <c r="G6253" i="11"/>
  <c r="H6253" i="11"/>
  <c r="G6254" i="11"/>
  <c r="H6254" i="11"/>
  <c r="G6255" i="11"/>
  <c r="H6255" i="11"/>
  <c r="G6256" i="11"/>
  <c r="H6256" i="11"/>
  <c r="G6257" i="11"/>
  <c r="H6257" i="11"/>
  <c r="G6258" i="11"/>
  <c r="H6258" i="11"/>
  <c r="G6259" i="11"/>
  <c r="H6259" i="11"/>
  <c r="G6260" i="11"/>
  <c r="H6260" i="11"/>
  <c r="G6261" i="11"/>
  <c r="H6261" i="11"/>
  <c r="G6262" i="11"/>
  <c r="H6262" i="11"/>
  <c r="G6263" i="11"/>
  <c r="H6263" i="11"/>
  <c r="G6264" i="11"/>
  <c r="H6264" i="11"/>
  <c r="G6265" i="11"/>
  <c r="H6265" i="11"/>
  <c r="G6266" i="11"/>
  <c r="H6266" i="11"/>
  <c r="G6267" i="11"/>
  <c r="H6267" i="11"/>
  <c r="G6268" i="11"/>
  <c r="H6268" i="11"/>
  <c r="G6269" i="11"/>
  <c r="H6269" i="11"/>
  <c r="G6270" i="11"/>
  <c r="H6270" i="11"/>
  <c r="G6271" i="11"/>
  <c r="H6271" i="11"/>
  <c r="G6272" i="11"/>
  <c r="H6272" i="11"/>
  <c r="G6273" i="11"/>
  <c r="H6273" i="11"/>
  <c r="G6274" i="11"/>
  <c r="H6274" i="11"/>
  <c r="G6275" i="11"/>
  <c r="H6275" i="11"/>
  <c r="G6276" i="11"/>
  <c r="H6276" i="11"/>
  <c r="G6277" i="11"/>
  <c r="H6277" i="11"/>
  <c r="G6278" i="11"/>
  <c r="H6278" i="11"/>
  <c r="G6279" i="11"/>
  <c r="H6279" i="11"/>
  <c r="G6280" i="11"/>
  <c r="H6280" i="11"/>
  <c r="G6281" i="11"/>
  <c r="H6281" i="11"/>
  <c r="G6282" i="11"/>
  <c r="H6282" i="11"/>
  <c r="G6283" i="11"/>
  <c r="H6283" i="11"/>
  <c r="G6284" i="11"/>
  <c r="H6284" i="11"/>
  <c r="G6285" i="11"/>
  <c r="H6285" i="11"/>
  <c r="G6286" i="11"/>
  <c r="H6286" i="11"/>
  <c r="G6287" i="11"/>
  <c r="H6287" i="11"/>
  <c r="G6288" i="11"/>
  <c r="H6288" i="11"/>
  <c r="G6289" i="11"/>
  <c r="H6289" i="11"/>
  <c r="G6290" i="11"/>
  <c r="H6290" i="11"/>
  <c r="G6291" i="11"/>
  <c r="H6291" i="11"/>
  <c r="G6292" i="11"/>
  <c r="H6292" i="11"/>
  <c r="G6293" i="11"/>
  <c r="H6293" i="11"/>
  <c r="G6294" i="11"/>
  <c r="H6294" i="11"/>
  <c r="G6295" i="11"/>
  <c r="H6295" i="11"/>
  <c r="G6296" i="11"/>
  <c r="H6296" i="11"/>
  <c r="G6297" i="11"/>
  <c r="H6297" i="11"/>
  <c r="G6298" i="11"/>
  <c r="H6298" i="11"/>
  <c r="G6299" i="11"/>
  <c r="H6299" i="11"/>
  <c r="G6300" i="11"/>
  <c r="H6300" i="11"/>
  <c r="G6301" i="11"/>
  <c r="H6301" i="11"/>
  <c r="G6302" i="11"/>
  <c r="H6302" i="11"/>
  <c r="G6303" i="11"/>
  <c r="H6303" i="11"/>
  <c r="G6304" i="11"/>
  <c r="H6304" i="11"/>
  <c r="G6305" i="11"/>
  <c r="H6305" i="11"/>
  <c r="G6306" i="11"/>
  <c r="H6306" i="11"/>
  <c r="G6307" i="11"/>
  <c r="H6307" i="11"/>
  <c r="G6308" i="11"/>
  <c r="H6308" i="11"/>
  <c r="G6309" i="11"/>
  <c r="H6309" i="11"/>
  <c r="G6310" i="11"/>
  <c r="H6310" i="11"/>
  <c r="G6311" i="11"/>
  <c r="H6311" i="11"/>
  <c r="G6312" i="11"/>
  <c r="H6312" i="11"/>
  <c r="G6313" i="11"/>
  <c r="H6313" i="11"/>
  <c r="G6314" i="11"/>
  <c r="H6314" i="11"/>
  <c r="G6315" i="11"/>
  <c r="H6315" i="11"/>
  <c r="G6316" i="11"/>
  <c r="H6316" i="11"/>
  <c r="G6317" i="11"/>
  <c r="H6317" i="11"/>
  <c r="G6318" i="11"/>
  <c r="H6318" i="11"/>
  <c r="G6319" i="11"/>
  <c r="H6319" i="11"/>
  <c r="G6320" i="11"/>
  <c r="H6320" i="11"/>
  <c r="G6321" i="11"/>
  <c r="H6321" i="11"/>
  <c r="G6322" i="11"/>
  <c r="H6322" i="11"/>
  <c r="G6323" i="11"/>
  <c r="H6323" i="11"/>
  <c r="G6324" i="11"/>
  <c r="H6324" i="11"/>
  <c r="G6325" i="11"/>
  <c r="H6325" i="11"/>
  <c r="G6326" i="11"/>
  <c r="H6326" i="11"/>
  <c r="G6327" i="11"/>
  <c r="H6327" i="11"/>
  <c r="G6328" i="11"/>
  <c r="H6328" i="11"/>
  <c r="G6329" i="11"/>
  <c r="H6329" i="11"/>
  <c r="G6330" i="11"/>
  <c r="H6330" i="11"/>
  <c r="G6331" i="11"/>
  <c r="H6331" i="11"/>
  <c r="G6332" i="11"/>
  <c r="H6332" i="11"/>
  <c r="G6333" i="11"/>
  <c r="H6333" i="11"/>
  <c r="G6334" i="11"/>
  <c r="H6334" i="11"/>
  <c r="G6335" i="11"/>
  <c r="H6335" i="11"/>
  <c r="G6336" i="11"/>
  <c r="H6336" i="11"/>
  <c r="G6337" i="11"/>
  <c r="H6337" i="11"/>
  <c r="G6338" i="11"/>
  <c r="H6338" i="11"/>
  <c r="G6339" i="11"/>
  <c r="H6339" i="11"/>
  <c r="G6340" i="11"/>
  <c r="H6340" i="11"/>
  <c r="G6341" i="11"/>
  <c r="H6341" i="11"/>
  <c r="G6342" i="11"/>
  <c r="H6342" i="11"/>
  <c r="G6343" i="11"/>
  <c r="H6343" i="11"/>
  <c r="G6344" i="11"/>
  <c r="H6344" i="11"/>
  <c r="G6345" i="11"/>
  <c r="H6345" i="11"/>
  <c r="G6346" i="11"/>
  <c r="H6346" i="11"/>
  <c r="G6347" i="11"/>
  <c r="H6347" i="11"/>
  <c r="G6348" i="11"/>
  <c r="H6348" i="11"/>
  <c r="G6349" i="11"/>
  <c r="H6349" i="11"/>
  <c r="G6350" i="11"/>
  <c r="H6350" i="11"/>
  <c r="G6351" i="11"/>
  <c r="H6351" i="11"/>
  <c r="G6352" i="11"/>
  <c r="H6352" i="11"/>
  <c r="G6353" i="11"/>
  <c r="H6353" i="11"/>
  <c r="G6354" i="11"/>
  <c r="H6354" i="11"/>
  <c r="G6355" i="11"/>
  <c r="H6355" i="11"/>
  <c r="G6356" i="11"/>
  <c r="H6356" i="11"/>
  <c r="G6357" i="11"/>
  <c r="H6357" i="11"/>
  <c r="G6358" i="11"/>
  <c r="H6358" i="11"/>
  <c r="G6359" i="11"/>
  <c r="H6359" i="11"/>
  <c r="G6360" i="11"/>
  <c r="H6360" i="11"/>
  <c r="G6361" i="11"/>
  <c r="H6361" i="11"/>
  <c r="G6362" i="11"/>
  <c r="H6362" i="11"/>
  <c r="G6363" i="11"/>
  <c r="H6363" i="11"/>
  <c r="G6364" i="11"/>
  <c r="H6364" i="11"/>
  <c r="G6365" i="11"/>
  <c r="H6365" i="11"/>
  <c r="G6366" i="11"/>
  <c r="H6366" i="11"/>
  <c r="G6367" i="11"/>
  <c r="H6367" i="11"/>
  <c r="G6368" i="11"/>
  <c r="H6368" i="11"/>
  <c r="G6369" i="11"/>
  <c r="H6369" i="11"/>
  <c r="G6370" i="11"/>
  <c r="H6370" i="11"/>
  <c r="G6371" i="11"/>
  <c r="H6371" i="11"/>
  <c r="G6372" i="11"/>
  <c r="H6372" i="11"/>
  <c r="G6373" i="11"/>
  <c r="H6373" i="11"/>
  <c r="G6374" i="11"/>
  <c r="H6374" i="11"/>
  <c r="G6375" i="11"/>
  <c r="H6375" i="11"/>
  <c r="G6376" i="11"/>
  <c r="H6376" i="11"/>
  <c r="G6377" i="11"/>
  <c r="H6377" i="11"/>
  <c r="G6378" i="11"/>
  <c r="H6378" i="11"/>
  <c r="G6379" i="11"/>
  <c r="H6379" i="11"/>
  <c r="G6380" i="11"/>
  <c r="H6380" i="11"/>
  <c r="G6381" i="11"/>
  <c r="H6381" i="11"/>
  <c r="G6382" i="11"/>
  <c r="H6382" i="11"/>
  <c r="G6383" i="11"/>
  <c r="H6383" i="11"/>
  <c r="G6384" i="11"/>
  <c r="H6384" i="11"/>
  <c r="G6385" i="11"/>
  <c r="H6385" i="11"/>
  <c r="G6386" i="11"/>
  <c r="H6386" i="11"/>
  <c r="G6387" i="11"/>
  <c r="H6387" i="11"/>
  <c r="G6388" i="11"/>
  <c r="H6388" i="11"/>
  <c r="G6389" i="11"/>
  <c r="H6389" i="11"/>
  <c r="G6390" i="11"/>
  <c r="H6390" i="11"/>
  <c r="G6391" i="11"/>
  <c r="H6391" i="11"/>
  <c r="G6392" i="11"/>
  <c r="H6392" i="11"/>
  <c r="G6393" i="11"/>
  <c r="H6393" i="11"/>
  <c r="G6394" i="11"/>
  <c r="H6394" i="11"/>
  <c r="G6395" i="11"/>
  <c r="H6395" i="11"/>
  <c r="G6396" i="11"/>
  <c r="H6396" i="11"/>
  <c r="G6397" i="11"/>
  <c r="H6397" i="11"/>
  <c r="G6398" i="11"/>
  <c r="H6398" i="11"/>
  <c r="G6399" i="11"/>
  <c r="H6399" i="11"/>
  <c r="G6400" i="11"/>
  <c r="H6400" i="11"/>
  <c r="G6401" i="11"/>
  <c r="H6401" i="11"/>
  <c r="G6402" i="11"/>
  <c r="H6402" i="11"/>
  <c r="G6403" i="11"/>
  <c r="H6403" i="11"/>
  <c r="G6404" i="11"/>
  <c r="H6404" i="11"/>
  <c r="G6405" i="11"/>
  <c r="H6405" i="11"/>
  <c r="G6406" i="11"/>
  <c r="H6406" i="11"/>
  <c r="G6407" i="11"/>
  <c r="H6407" i="11"/>
  <c r="G6408" i="11"/>
  <c r="H6408" i="11"/>
  <c r="G6409" i="11"/>
  <c r="H6409" i="11"/>
  <c r="G6410" i="11"/>
  <c r="H6410" i="11"/>
  <c r="G6411" i="11"/>
  <c r="H6411" i="11"/>
  <c r="G6412" i="11"/>
  <c r="H6412" i="11"/>
  <c r="G6413" i="11"/>
  <c r="H6413" i="11"/>
  <c r="G6414" i="11"/>
  <c r="H6414" i="11"/>
  <c r="G6415" i="11"/>
  <c r="H6415" i="11"/>
  <c r="G6416" i="11"/>
  <c r="H6416" i="11"/>
  <c r="G6417" i="11"/>
  <c r="H6417" i="11"/>
  <c r="G6418" i="11"/>
  <c r="H6418" i="11"/>
  <c r="G6419" i="11"/>
  <c r="H6419" i="11"/>
  <c r="G6420" i="11"/>
  <c r="H6420" i="11"/>
  <c r="G6421" i="11"/>
  <c r="H6421" i="11"/>
  <c r="G6422" i="11"/>
  <c r="H6422" i="11"/>
  <c r="G6423" i="11"/>
  <c r="H6423" i="11"/>
  <c r="G6424" i="11"/>
  <c r="H6424" i="11"/>
  <c r="G6425" i="11"/>
  <c r="H6425" i="11"/>
  <c r="G6426" i="11"/>
  <c r="H6426" i="11"/>
  <c r="G6427" i="11"/>
  <c r="H6427" i="11"/>
  <c r="G6428" i="11"/>
  <c r="H6428" i="11"/>
  <c r="G6429" i="11"/>
  <c r="H6429" i="11"/>
  <c r="G6430" i="11"/>
  <c r="H6430" i="11"/>
  <c r="G6431" i="11"/>
  <c r="H6431" i="11"/>
  <c r="G6432" i="11"/>
  <c r="H6432" i="11"/>
  <c r="G6433" i="11"/>
  <c r="H6433" i="11"/>
  <c r="G6434" i="11"/>
  <c r="H6434" i="11"/>
  <c r="G6435" i="11"/>
  <c r="H6435" i="11"/>
  <c r="G6436" i="11"/>
  <c r="H6436" i="11"/>
  <c r="G6437" i="11"/>
  <c r="H6437" i="11"/>
  <c r="G6438" i="11"/>
  <c r="H6438" i="11"/>
  <c r="G6439" i="11"/>
  <c r="H6439" i="11"/>
  <c r="G6440" i="11"/>
  <c r="H6440" i="11"/>
  <c r="G6441" i="11"/>
  <c r="H6441" i="11"/>
  <c r="G6442" i="11"/>
  <c r="H6442" i="11"/>
  <c r="G6443" i="11"/>
  <c r="H6443" i="11"/>
  <c r="G6444" i="11"/>
  <c r="H6444" i="11"/>
  <c r="G6445" i="11"/>
  <c r="H6445" i="11"/>
  <c r="G6446" i="11"/>
  <c r="H6446" i="11"/>
  <c r="G6447" i="11"/>
  <c r="H6447" i="11"/>
  <c r="G6448" i="11"/>
  <c r="H6448" i="11"/>
  <c r="G6449" i="11"/>
  <c r="H6449" i="11"/>
  <c r="G6450" i="11"/>
  <c r="H6450" i="11"/>
  <c r="G6451" i="11"/>
  <c r="H6451" i="11"/>
  <c r="G6452" i="11"/>
  <c r="H6452" i="11"/>
  <c r="G6453" i="11"/>
  <c r="H6453" i="11"/>
  <c r="G6454" i="11"/>
  <c r="H6454" i="11"/>
  <c r="G6455" i="11"/>
  <c r="H6455" i="11"/>
  <c r="G6456" i="11"/>
  <c r="H6456" i="11"/>
  <c r="G6457" i="11"/>
  <c r="H6457" i="11"/>
  <c r="G6458" i="11"/>
  <c r="H6458" i="11"/>
  <c r="G6459" i="11"/>
  <c r="H6459" i="11"/>
  <c r="G6460" i="11"/>
  <c r="H6460" i="11"/>
  <c r="G6461" i="11"/>
  <c r="H6461" i="11"/>
  <c r="G6462" i="11"/>
  <c r="H6462" i="11"/>
  <c r="G6463" i="11"/>
  <c r="H6463" i="11"/>
  <c r="G6464" i="11"/>
  <c r="H6464" i="11"/>
  <c r="G6465" i="11"/>
  <c r="H6465" i="11"/>
  <c r="G6466" i="11"/>
  <c r="H6466" i="11"/>
  <c r="G6467" i="11"/>
  <c r="H6467" i="11"/>
  <c r="G6468" i="11"/>
  <c r="H6468" i="11"/>
  <c r="G6469" i="11"/>
  <c r="H6469" i="11"/>
  <c r="G6470" i="11"/>
  <c r="H6470" i="11"/>
  <c r="G6471" i="11"/>
  <c r="H6471" i="11"/>
  <c r="G6472" i="11"/>
  <c r="H6472" i="11"/>
  <c r="G6473" i="11"/>
  <c r="H6473" i="11"/>
  <c r="G6474" i="11"/>
  <c r="H6474" i="11"/>
  <c r="G6475" i="11"/>
  <c r="H6475" i="11"/>
  <c r="G6476" i="11"/>
  <c r="H6476" i="11"/>
  <c r="G6477" i="11"/>
  <c r="H6477" i="11"/>
  <c r="G6478" i="11"/>
  <c r="H6478" i="11"/>
  <c r="G6479" i="11"/>
  <c r="H6479" i="11"/>
  <c r="G6480" i="11"/>
  <c r="H6480" i="11"/>
  <c r="G6481" i="11"/>
  <c r="H6481" i="11"/>
  <c r="G6482" i="11"/>
  <c r="H6482" i="11"/>
  <c r="G6483" i="11"/>
  <c r="H6483" i="11"/>
  <c r="G6484" i="11"/>
  <c r="H6484" i="11"/>
  <c r="G6485" i="11"/>
  <c r="H6485" i="11"/>
  <c r="G6486" i="11"/>
  <c r="H6486" i="11"/>
  <c r="G6487" i="11"/>
  <c r="H6487" i="11"/>
  <c r="G6488" i="11"/>
  <c r="H6488" i="11"/>
  <c r="G6489" i="11"/>
  <c r="H6489" i="11"/>
  <c r="G6490" i="11"/>
  <c r="H6490" i="11"/>
  <c r="G6491" i="11"/>
  <c r="H6491" i="11"/>
  <c r="G6492" i="11"/>
  <c r="H6492" i="11"/>
  <c r="G6493" i="11"/>
  <c r="H6493" i="11"/>
  <c r="G6494" i="11"/>
  <c r="H6494" i="11"/>
  <c r="G6495" i="11"/>
  <c r="H6495" i="11"/>
  <c r="G6496" i="11"/>
  <c r="H6496" i="11"/>
  <c r="G6497" i="11"/>
  <c r="H6497" i="11"/>
  <c r="G6498" i="11"/>
  <c r="H6498" i="11"/>
  <c r="G6499" i="11"/>
  <c r="H6499" i="11"/>
  <c r="G6500" i="11"/>
  <c r="H6500" i="11"/>
  <c r="G6501" i="11"/>
  <c r="H6501" i="11"/>
  <c r="G6502" i="11"/>
  <c r="H6502" i="11"/>
  <c r="G6503" i="11"/>
  <c r="H6503" i="11"/>
  <c r="G6504" i="11"/>
  <c r="H6504" i="11"/>
  <c r="G6505" i="11"/>
  <c r="H6505" i="11"/>
  <c r="G6506" i="11"/>
  <c r="H6506" i="11"/>
  <c r="G6507" i="11"/>
  <c r="H6507" i="11"/>
  <c r="G6508" i="11"/>
  <c r="H6508" i="11"/>
  <c r="G6509" i="11"/>
  <c r="H6509" i="11"/>
  <c r="G6510" i="11"/>
  <c r="H6510" i="11"/>
  <c r="G6511" i="11"/>
  <c r="H6511" i="11"/>
  <c r="G6512" i="11"/>
  <c r="H6512" i="11"/>
  <c r="G6513" i="11"/>
  <c r="H6513" i="11"/>
  <c r="G6514" i="11"/>
  <c r="H6514" i="11"/>
  <c r="G6515" i="11"/>
  <c r="H6515" i="11"/>
  <c r="G6516" i="11"/>
  <c r="H6516" i="11"/>
  <c r="G6517" i="11"/>
  <c r="H6517" i="11"/>
  <c r="G6518" i="11"/>
  <c r="H6518" i="11"/>
  <c r="G6519" i="11"/>
  <c r="H6519" i="11"/>
  <c r="G6520" i="11"/>
  <c r="H6520" i="11"/>
  <c r="G6521" i="11"/>
  <c r="H6521" i="11"/>
  <c r="G6522" i="11"/>
  <c r="H6522" i="11"/>
  <c r="G6523" i="11"/>
  <c r="H6523" i="11"/>
  <c r="G6524" i="11"/>
  <c r="H6524" i="11"/>
  <c r="G6525" i="11"/>
  <c r="H6525" i="11"/>
  <c r="G6526" i="11"/>
  <c r="H6526" i="11"/>
  <c r="G6527" i="11"/>
  <c r="H6527" i="11"/>
  <c r="G6528" i="11"/>
  <c r="H6528" i="11"/>
  <c r="G6529" i="11"/>
  <c r="H6529" i="11"/>
  <c r="G6530" i="11"/>
  <c r="H6530" i="11"/>
  <c r="G6531" i="11"/>
  <c r="H6531" i="11"/>
  <c r="G6532" i="11"/>
  <c r="H6532" i="11"/>
  <c r="G6533" i="11"/>
  <c r="H6533" i="11"/>
  <c r="G6534" i="11"/>
  <c r="H6534" i="11"/>
  <c r="G6535" i="11"/>
  <c r="H6535" i="11"/>
  <c r="G6536" i="11"/>
  <c r="H6536" i="11"/>
  <c r="G6537" i="11"/>
  <c r="H6537" i="11"/>
  <c r="G6538" i="11"/>
  <c r="H6538" i="11"/>
  <c r="G6539" i="11"/>
  <c r="H6539" i="11"/>
  <c r="G6540" i="11"/>
  <c r="H6540" i="11"/>
  <c r="G6541" i="11"/>
  <c r="H6541" i="11"/>
  <c r="G6542" i="11"/>
  <c r="H6542" i="11"/>
  <c r="G6543" i="11"/>
  <c r="H6543" i="11"/>
  <c r="G6544" i="11"/>
  <c r="H6544" i="11"/>
  <c r="G6545" i="11"/>
  <c r="H6545" i="11"/>
  <c r="G6546" i="11"/>
  <c r="H6546" i="11"/>
  <c r="G6547" i="11"/>
  <c r="H6547" i="11"/>
  <c r="G6548" i="11"/>
  <c r="H6548" i="11"/>
  <c r="G6549" i="11"/>
  <c r="H6549" i="11"/>
  <c r="G6550" i="11"/>
  <c r="H6550" i="11"/>
  <c r="G6551" i="11"/>
  <c r="H6551" i="11"/>
  <c r="G6552" i="11"/>
  <c r="H6552" i="11"/>
  <c r="G6553" i="11"/>
  <c r="H6553" i="11"/>
  <c r="G6554" i="11"/>
  <c r="H6554" i="11"/>
  <c r="G6555" i="11"/>
  <c r="H6555" i="11"/>
  <c r="G6556" i="11"/>
  <c r="H6556" i="11"/>
  <c r="G6557" i="11"/>
  <c r="H6557" i="11"/>
  <c r="G6558" i="11"/>
  <c r="H6558" i="11"/>
  <c r="G6559" i="11"/>
  <c r="H6559" i="11"/>
  <c r="G6560" i="11"/>
  <c r="H6560" i="11"/>
  <c r="G6561" i="11"/>
  <c r="H6561" i="11"/>
  <c r="G6562" i="11"/>
  <c r="H6562" i="11"/>
  <c r="G6563" i="11"/>
  <c r="H6563" i="11"/>
  <c r="G6564" i="11"/>
  <c r="H6564" i="11"/>
  <c r="G6565" i="11"/>
  <c r="H6565" i="11"/>
  <c r="G6566" i="11"/>
  <c r="H6566" i="11"/>
  <c r="G6567" i="11"/>
  <c r="H6567" i="11"/>
  <c r="G6568" i="11"/>
  <c r="H6568" i="11"/>
  <c r="G6569" i="11"/>
  <c r="H6569" i="11"/>
  <c r="G6570" i="11"/>
  <c r="H6570" i="11"/>
  <c r="G6571" i="11"/>
  <c r="H6571" i="11"/>
  <c r="G6572" i="11"/>
  <c r="H6572" i="11"/>
  <c r="G6573" i="11"/>
  <c r="H6573" i="11"/>
  <c r="G6574" i="11"/>
  <c r="H6574" i="11"/>
  <c r="G6575" i="11"/>
  <c r="H6575" i="11"/>
  <c r="G6576" i="11"/>
  <c r="H6576" i="11"/>
  <c r="G6577" i="11"/>
  <c r="H6577" i="11"/>
  <c r="G6578" i="11"/>
  <c r="H6578" i="11"/>
  <c r="G6579" i="11"/>
  <c r="H6579" i="11"/>
  <c r="G6580" i="11"/>
  <c r="H6580" i="11"/>
  <c r="G6581" i="11"/>
  <c r="H6581" i="11"/>
  <c r="G6582" i="11"/>
  <c r="H6582" i="11"/>
  <c r="G6583" i="11"/>
  <c r="H6583" i="11"/>
  <c r="G6584" i="11"/>
  <c r="H6584" i="11"/>
  <c r="G6585" i="11"/>
  <c r="H6585" i="11"/>
  <c r="G6586" i="11"/>
  <c r="H6586" i="11"/>
  <c r="G6587" i="11"/>
  <c r="H6587" i="11"/>
  <c r="G6588" i="11"/>
  <c r="H6588" i="11"/>
  <c r="G6589" i="11"/>
  <c r="H6589" i="11"/>
  <c r="G6590" i="11"/>
  <c r="H6590" i="11"/>
  <c r="G6591" i="11"/>
  <c r="H6591" i="11"/>
  <c r="G6592" i="11"/>
  <c r="H6592" i="11"/>
  <c r="G6593" i="11"/>
  <c r="H6593" i="11"/>
  <c r="G6594" i="11"/>
  <c r="H6594" i="11"/>
  <c r="G6595" i="11"/>
  <c r="H6595" i="11"/>
  <c r="G6596" i="11"/>
  <c r="H6596" i="11"/>
  <c r="G6597" i="11"/>
  <c r="H6597" i="11"/>
  <c r="G6598" i="11"/>
  <c r="H6598" i="11"/>
  <c r="G6599" i="11"/>
  <c r="H6599" i="11"/>
  <c r="G6600" i="11"/>
  <c r="H6600" i="11"/>
  <c r="G6601" i="11"/>
  <c r="H6601" i="11"/>
  <c r="G6602" i="11"/>
  <c r="H6602" i="11"/>
  <c r="G6603" i="11"/>
  <c r="H6603" i="11"/>
  <c r="G6604" i="11"/>
  <c r="H6604" i="11"/>
  <c r="G6605" i="11"/>
  <c r="H6605" i="11"/>
  <c r="G6606" i="11"/>
  <c r="H6606" i="11"/>
  <c r="G6607" i="11"/>
  <c r="H6607" i="11"/>
  <c r="G6608" i="11"/>
  <c r="H6608" i="11"/>
  <c r="G6609" i="11"/>
  <c r="H6609" i="11"/>
  <c r="G6610" i="11"/>
  <c r="H6610" i="11"/>
  <c r="G6611" i="11"/>
  <c r="H6611" i="11"/>
  <c r="G6612" i="11"/>
  <c r="H6612" i="11"/>
  <c r="G6613" i="11"/>
  <c r="H6613" i="11"/>
  <c r="G6614" i="11"/>
  <c r="H6614" i="11"/>
  <c r="G6615" i="11"/>
  <c r="H6615" i="11"/>
  <c r="G6616" i="11"/>
  <c r="H6616" i="11"/>
  <c r="G6617" i="11"/>
  <c r="H6617" i="11"/>
  <c r="G6618" i="11"/>
  <c r="H6618" i="11"/>
  <c r="G6619" i="11"/>
  <c r="H6619" i="11"/>
  <c r="G6620" i="11"/>
  <c r="H6620" i="11"/>
  <c r="G6621" i="11"/>
  <c r="H6621" i="11"/>
  <c r="G6622" i="11"/>
  <c r="H6622" i="11"/>
  <c r="G6623" i="11"/>
  <c r="H6623" i="11"/>
  <c r="G6624" i="11"/>
  <c r="H6624" i="11"/>
  <c r="G6625" i="11"/>
  <c r="H6625" i="11"/>
  <c r="G6626" i="11"/>
  <c r="H6626" i="11"/>
  <c r="G6627" i="11"/>
  <c r="H6627" i="11"/>
  <c r="G6628" i="11"/>
  <c r="H6628" i="11"/>
  <c r="G6629" i="11"/>
  <c r="H6629" i="11"/>
  <c r="G6630" i="11"/>
  <c r="H6630" i="11"/>
  <c r="G6631" i="11"/>
  <c r="H6631" i="11"/>
  <c r="G6632" i="11"/>
  <c r="H6632" i="11"/>
  <c r="G6633" i="11"/>
  <c r="H6633" i="11"/>
  <c r="G6634" i="11"/>
  <c r="H6634" i="11"/>
  <c r="G6635" i="11"/>
  <c r="H6635" i="11"/>
  <c r="G6636" i="11"/>
  <c r="H6636" i="11"/>
  <c r="G6637" i="11"/>
  <c r="H6637" i="11"/>
  <c r="G6638" i="11"/>
  <c r="H6638" i="11"/>
  <c r="G6639" i="11"/>
  <c r="H6639" i="11"/>
  <c r="G6640" i="11"/>
  <c r="H6640" i="11"/>
  <c r="G6641" i="11"/>
  <c r="H6641" i="11"/>
  <c r="G6642" i="11"/>
  <c r="H6642" i="11"/>
  <c r="G6643" i="11"/>
  <c r="H6643" i="11"/>
  <c r="G6644" i="11"/>
  <c r="H6644" i="11"/>
  <c r="G6645" i="11"/>
  <c r="H6645" i="11"/>
  <c r="G6646" i="11"/>
  <c r="H6646" i="11"/>
  <c r="G6647" i="11"/>
  <c r="H6647" i="11"/>
  <c r="G6648" i="11"/>
  <c r="H6648" i="11"/>
  <c r="G6649" i="11"/>
  <c r="H6649" i="11"/>
  <c r="G6650" i="11"/>
  <c r="H6650" i="11"/>
  <c r="G6651" i="11"/>
  <c r="H6651" i="11"/>
  <c r="G6652" i="11"/>
  <c r="H6652" i="11"/>
  <c r="G6653" i="11"/>
  <c r="H6653" i="11"/>
  <c r="G6654" i="11"/>
  <c r="H6654" i="11"/>
  <c r="G6655" i="11"/>
  <c r="H6655" i="11"/>
  <c r="G6656" i="11"/>
  <c r="H6656" i="11"/>
  <c r="G6657" i="11"/>
  <c r="H6657" i="11"/>
  <c r="G6658" i="11"/>
  <c r="H6658" i="11"/>
  <c r="G6659" i="11"/>
  <c r="H6659" i="11"/>
  <c r="G6660" i="11"/>
  <c r="H6660" i="11"/>
  <c r="G6661" i="11"/>
  <c r="H6661" i="11"/>
  <c r="G6662" i="11"/>
  <c r="H6662" i="11"/>
  <c r="G6663" i="11"/>
  <c r="H6663" i="11"/>
  <c r="G6664" i="11"/>
  <c r="H6664" i="11"/>
  <c r="G6665" i="11"/>
  <c r="H6665" i="11"/>
  <c r="G6666" i="11"/>
  <c r="H6666" i="11"/>
  <c r="G6667" i="11"/>
  <c r="H6667" i="11"/>
  <c r="G6668" i="11"/>
  <c r="H6668" i="11"/>
  <c r="G6669" i="11"/>
  <c r="H6669" i="11"/>
  <c r="G6670" i="11"/>
  <c r="H6670" i="11"/>
  <c r="G6671" i="11"/>
  <c r="H6671" i="11"/>
  <c r="G6672" i="11"/>
  <c r="H6672" i="11"/>
  <c r="G6673" i="11"/>
  <c r="H6673" i="11"/>
  <c r="G6674" i="11"/>
  <c r="H6674" i="11"/>
  <c r="G6675" i="11"/>
  <c r="H6675" i="11"/>
  <c r="G6676" i="11"/>
  <c r="H6676" i="11"/>
  <c r="G6677" i="11"/>
  <c r="H6677" i="11"/>
  <c r="G6678" i="11"/>
  <c r="H6678" i="11"/>
  <c r="G6679" i="11"/>
  <c r="H6679" i="11"/>
  <c r="G6680" i="11"/>
  <c r="H6680" i="11"/>
  <c r="G6681" i="11"/>
  <c r="H6681" i="11"/>
  <c r="G6682" i="11"/>
  <c r="H6682" i="11"/>
  <c r="G6683" i="11"/>
  <c r="H6683" i="11"/>
  <c r="G6684" i="11"/>
  <c r="H6684" i="11"/>
  <c r="G6685" i="11"/>
  <c r="H6685" i="11"/>
  <c r="G6686" i="11"/>
  <c r="H6686" i="11"/>
  <c r="G6687" i="11"/>
  <c r="H6687" i="11"/>
  <c r="G6688" i="11"/>
  <c r="H6688" i="11"/>
  <c r="G6689" i="11"/>
  <c r="H6689" i="11"/>
  <c r="G6690" i="11"/>
  <c r="H6690" i="11"/>
  <c r="G6691" i="11"/>
  <c r="H6691" i="11"/>
  <c r="G6692" i="11"/>
  <c r="H6692" i="11"/>
  <c r="G6693" i="11"/>
  <c r="H6693" i="11"/>
  <c r="G6694" i="11"/>
  <c r="H6694" i="11"/>
  <c r="G6695" i="11"/>
  <c r="H6695" i="11"/>
  <c r="G6696" i="11"/>
  <c r="H6696" i="11"/>
  <c r="G6697" i="11"/>
  <c r="H6697" i="11"/>
  <c r="G6698" i="11"/>
  <c r="H6698" i="11"/>
  <c r="G6699" i="11"/>
  <c r="H6699" i="11"/>
  <c r="G6700" i="11"/>
  <c r="H6700" i="11"/>
  <c r="G6701" i="11"/>
  <c r="H6701" i="11"/>
  <c r="G6702" i="11"/>
  <c r="H6702" i="11"/>
  <c r="G6703" i="11"/>
  <c r="H6703" i="11"/>
  <c r="G6704" i="11"/>
  <c r="H6704" i="11"/>
  <c r="G6705" i="11"/>
  <c r="H6705" i="11"/>
  <c r="G6706" i="11"/>
  <c r="H6706" i="11"/>
  <c r="G6707" i="11"/>
  <c r="H6707" i="11"/>
  <c r="G6708" i="11"/>
  <c r="H6708" i="11"/>
  <c r="G6709" i="11"/>
  <c r="H6709" i="11"/>
  <c r="G6710" i="11"/>
  <c r="H6710" i="11"/>
  <c r="G6711" i="11"/>
  <c r="H6711" i="11"/>
  <c r="G6712" i="11"/>
  <c r="H6712" i="11"/>
  <c r="G6713" i="11"/>
  <c r="H6713" i="11"/>
  <c r="G6714" i="11"/>
  <c r="H6714" i="11"/>
  <c r="G6715" i="11"/>
  <c r="H6715" i="11"/>
  <c r="G6716" i="11"/>
  <c r="H6716" i="11"/>
  <c r="G6717" i="11"/>
  <c r="H6717" i="11"/>
  <c r="G6718" i="11"/>
  <c r="H6718" i="11"/>
  <c r="G6719" i="11"/>
  <c r="H6719" i="11"/>
  <c r="G6720" i="11"/>
  <c r="H6720" i="11"/>
  <c r="G6721" i="11"/>
  <c r="H6721" i="11"/>
  <c r="G6722" i="11"/>
  <c r="H6722" i="11"/>
  <c r="G6723" i="11"/>
  <c r="H6723" i="11"/>
  <c r="G6724" i="11"/>
  <c r="H6724" i="11"/>
  <c r="G6725" i="11"/>
  <c r="H6725" i="11"/>
  <c r="G6726" i="11"/>
  <c r="H6726" i="11"/>
  <c r="G6727" i="11"/>
  <c r="H6727" i="11"/>
  <c r="G6728" i="11"/>
  <c r="H6728" i="11"/>
  <c r="G6729" i="11"/>
  <c r="H6729" i="11"/>
  <c r="G6730" i="11"/>
  <c r="H6730" i="11"/>
  <c r="G6731" i="11"/>
  <c r="H6731" i="11"/>
  <c r="G6732" i="11"/>
  <c r="H6732" i="11"/>
  <c r="G6733" i="11"/>
  <c r="H6733" i="11"/>
  <c r="G6734" i="11"/>
  <c r="H6734" i="11"/>
  <c r="G6735" i="11"/>
  <c r="H6735" i="11"/>
  <c r="G6736" i="11"/>
  <c r="H6736" i="11"/>
  <c r="G6737" i="11"/>
  <c r="H6737" i="11"/>
  <c r="G6738" i="11"/>
  <c r="H6738" i="11"/>
  <c r="G6739" i="11"/>
  <c r="H6739" i="11"/>
  <c r="G6740" i="11"/>
  <c r="H6740" i="11"/>
  <c r="G6741" i="11"/>
  <c r="H6741" i="11"/>
  <c r="G6742" i="11"/>
  <c r="H6742" i="11"/>
  <c r="G6743" i="11"/>
  <c r="H6743" i="11"/>
  <c r="G6744" i="11"/>
  <c r="H6744" i="11"/>
  <c r="G6745" i="11"/>
  <c r="H6745" i="11"/>
  <c r="G6746" i="11"/>
  <c r="H6746" i="11"/>
  <c r="G6747" i="11"/>
  <c r="H6747" i="11"/>
  <c r="G6748" i="11"/>
  <c r="H6748" i="11"/>
  <c r="G6749" i="11"/>
  <c r="H6749" i="11"/>
  <c r="G6750" i="11"/>
  <c r="H6750" i="11"/>
  <c r="G6751" i="11"/>
  <c r="H6751" i="11"/>
  <c r="G5252" i="11"/>
  <c r="H5252" i="11"/>
  <c r="G5253" i="11"/>
  <c r="H5253" i="11"/>
  <c r="G5254" i="11"/>
  <c r="H5254" i="11"/>
  <c r="G5255" i="11"/>
  <c r="H5255" i="11"/>
  <c r="G5256" i="11"/>
  <c r="H5256" i="11"/>
  <c r="G5257" i="11"/>
  <c r="H5257" i="11"/>
  <c r="G5258" i="11"/>
  <c r="H5258" i="11"/>
  <c r="G5259" i="11"/>
  <c r="H5259" i="11"/>
  <c r="G5260" i="11"/>
  <c r="H5260" i="11"/>
  <c r="G5261" i="11"/>
  <c r="H5261" i="11"/>
  <c r="G5262" i="11"/>
  <c r="H5262" i="11"/>
  <c r="G5263" i="11"/>
  <c r="H5263" i="11"/>
  <c r="G5264" i="11"/>
  <c r="H5264" i="11"/>
  <c r="G5265" i="11"/>
  <c r="H5265" i="11"/>
  <c r="G5266" i="11"/>
  <c r="H5266" i="11"/>
  <c r="G5267" i="11"/>
  <c r="H5267" i="11"/>
  <c r="G5268" i="11"/>
  <c r="H5268" i="11"/>
  <c r="G5269" i="11"/>
  <c r="H5269" i="11"/>
  <c r="G5270" i="11"/>
  <c r="H5270" i="11"/>
  <c r="G5271" i="11"/>
  <c r="H5271" i="11"/>
  <c r="G5272" i="11"/>
  <c r="H5272" i="11"/>
  <c r="G5273" i="11"/>
  <c r="H5273" i="11"/>
  <c r="G5274" i="11"/>
  <c r="H5274" i="11"/>
  <c r="G5275" i="11"/>
  <c r="H5275" i="11"/>
  <c r="G5276" i="11"/>
  <c r="H5276" i="11"/>
  <c r="G5277" i="11"/>
  <c r="H5277" i="11"/>
  <c r="G5278" i="11"/>
  <c r="H5278" i="11"/>
  <c r="G5279" i="11"/>
  <c r="H5279" i="11"/>
  <c r="G5280" i="11"/>
  <c r="H5280" i="11"/>
  <c r="G5281" i="11"/>
  <c r="H5281" i="11"/>
  <c r="G5282" i="11"/>
  <c r="H5282" i="11"/>
  <c r="G5283" i="11"/>
  <c r="H5283" i="11"/>
  <c r="G5284" i="11"/>
  <c r="H5284" i="11"/>
  <c r="G5285" i="11"/>
  <c r="H5285" i="11"/>
  <c r="G5286" i="11"/>
  <c r="H5286" i="11"/>
  <c r="G5287" i="11"/>
  <c r="H5287" i="11"/>
  <c r="G5288" i="11"/>
  <c r="H5288" i="11"/>
  <c r="G5289" i="11"/>
  <c r="H5289" i="11"/>
  <c r="G5290" i="11"/>
  <c r="H5290" i="11"/>
  <c r="G5291" i="11"/>
  <c r="H5291" i="11"/>
  <c r="G5292" i="11"/>
  <c r="H5292" i="11"/>
  <c r="G5293" i="11"/>
  <c r="H5293" i="11"/>
  <c r="G5294" i="11"/>
  <c r="H5294" i="11"/>
  <c r="G5295" i="11"/>
  <c r="H5295" i="11"/>
  <c r="G5296" i="11"/>
  <c r="H5296" i="11"/>
  <c r="G5297" i="11"/>
  <c r="H5297" i="11"/>
  <c r="G5298" i="11"/>
  <c r="H5298" i="11"/>
  <c r="G5299" i="11"/>
  <c r="H5299" i="11"/>
  <c r="G5300" i="11"/>
  <c r="H5300" i="11"/>
  <c r="G5301" i="11"/>
  <c r="H5301" i="11"/>
  <c r="G5302" i="11"/>
  <c r="H5302" i="11"/>
  <c r="G5303" i="11"/>
  <c r="H5303" i="11"/>
  <c r="G5304" i="11"/>
  <c r="H5304" i="11"/>
  <c r="G5305" i="11"/>
  <c r="H5305" i="11"/>
  <c r="G5306" i="11"/>
  <c r="H5306" i="11"/>
  <c r="G5307" i="11"/>
  <c r="H5307" i="11"/>
  <c r="G5308" i="11"/>
  <c r="H5308" i="11"/>
  <c r="G5309" i="11"/>
  <c r="H5309" i="11"/>
  <c r="G5310" i="11"/>
  <c r="H5310" i="11"/>
  <c r="G5311" i="11"/>
  <c r="H5311" i="11"/>
  <c r="G5312" i="11"/>
  <c r="H5312" i="11"/>
  <c r="G5313" i="11"/>
  <c r="H5313" i="11"/>
  <c r="G5314" i="11"/>
  <c r="H5314" i="11"/>
  <c r="G5315" i="11"/>
  <c r="H5315" i="11"/>
  <c r="G5316" i="11"/>
  <c r="H5316" i="11"/>
  <c r="G5317" i="11"/>
  <c r="H5317" i="11"/>
  <c r="G5318" i="11"/>
  <c r="H5318" i="11"/>
  <c r="G5319" i="11"/>
  <c r="H5319" i="11"/>
  <c r="G5320" i="11"/>
  <c r="H5320" i="11"/>
  <c r="G5321" i="11"/>
  <c r="H5321" i="11"/>
  <c r="G5322" i="11"/>
  <c r="H5322" i="11"/>
  <c r="G5323" i="11"/>
  <c r="H5323" i="11"/>
  <c r="G5324" i="11"/>
  <c r="H5324" i="11"/>
  <c r="G5325" i="11"/>
  <c r="H5325" i="11"/>
  <c r="G5326" i="11"/>
  <c r="H5326" i="11"/>
  <c r="G5327" i="11"/>
  <c r="H5327" i="11"/>
  <c r="G5328" i="11"/>
  <c r="H5328" i="11"/>
  <c r="G5329" i="11"/>
  <c r="H5329" i="11"/>
  <c r="G5330" i="11"/>
  <c r="H5330" i="11"/>
  <c r="G5331" i="11"/>
  <c r="H5331" i="11"/>
  <c r="G5332" i="11"/>
  <c r="H5332" i="11"/>
  <c r="G5333" i="11"/>
  <c r="H5333" i="11"/>
  <c r="G5334" i="11"/>
  <c r="H5334" i="11"/>
  <c r="G5335" i="11"/>
  <c r="H5335" i="11"/>
  <c r="G5336" i="11"/>
  <c r="H5336" i="11"/>
  <c r="G5337" i="11"/>
  <c r="H5337" i="11"/>
  <c r="G5338" i="11"/>
  <c r="H5338" i="11"/>
  <c r="G5339" i="11"/>
  <c r="H5339" i="11"/>
  <c r="G5340" i="11"/>
  <c r="H5340" i="11"/>
  <c r="G5341" i="11"/>
  <c r="H5341" i="11"/>
  <c r="G5342" i="11"/>
  <c r="H5342" i="11"/>
  <c r="G5343" i="11"/>
  <c r="H5343" i="11"/>
  <c r="G5344" i="11"/>
  <c r="H5344" i="11"/>
  <c r="G5345" i="11"/>
  <c r="H5345" i="11"/>
  <c r="G5346" i="11"/>
  <c r="H5346" i="11"/>
  <c r="G5347" i="11"/>
  <c r="H5347" i="11"/>
  <c r="G5348" i="11"/>
  <c r="H5348" i="11"/>
  <c r="G5349" i="11"/>
  <c r="H5349" i="11"/>
  <c r="G5350" i="11"/>
  <c r="H5350" i="11"/>
  <c r="G5351" i="11"/>
  <c r="H5351" i="11"/>
  <c r="G5352" i="11"/>
  <c r="H5352" i="11"/>
  <c r="G5353" i="11"/>
  <c r="H5353" i="11"/>
  <c r="G5354" i="11"/>
  <c r="H5354" i="11"/>
  <c r="G5355" i="11"/>
  <c r="H5355" i="11"/>
  <c r="G5356" i="11"/>
  <c r="H5356" i="11"/>
  <c r="G5357" i="11"/>
  <c r="H5357" i="11"/>
  <c r="G5358" i="11"/>
  <c r="H5358" i="11"/>
  <c r="G5359" i="11"/>
  <c r="H5359" i="11"/>
  <c r="G5360" i="11"/>
  <c r="H5360" i="11"/>
  <c r="G5361" i="11"/>
  <c r="H5361" i="11"/>
  <c r="G5362" i="11"/>
  <c r="H5362" i="11"/>
  <c r="G5363" i="11"/>
  <c r="H5363" i="11"/>
  <c r="G5364" i="11"/>
  <c r="H5364" i="11"/>
  <c r="G5365" i="11"/>
  <c r="H5365" i="11"/>
  <c r="G5366" i="11"/>
  <c r="H5366" i="11"/>
  <c r="G5367" i="11"/>
  <c r="H5367" i="11"/>
  <c r="G5368" i="11"/>
  <c r="H5368" i="11"/>
  <c r="G5369" i="11"/>
  <c r="H5369" i="11"/>
  <c r="G5370" i="11"/>
  <c r="H5370" i="11"/>
  <c r="G5371" i="11"/>
  <c r="H5371" i="11"/>
  <c r="G5372" i="11"/>
  <c r="H5372" i="11"/>
  <c r="G5373" i="11"/>
  <c r="H5373" i="11"/>
  <c r="G5374" i="11"/>
  <c r="H5374" i="11"/>
  <c r="G5375" i="11"/>
  <c r="H5375" i="11"/>
  <c r="G5376" i="11"/>
  <c r="H5376" i="11"/>
  <c r="G5377" i="11"/>
  <c r="H5377" i="11"/>
  <c r="G5378" i="11"/>
  <c r="H5378" i="11"/>
  <c r="G5379" i="11"/>
  <c r="H5379" i="11"/>
  <c r="G5380" i="11"/>
  <c r="H5380" i="11"/>
  <c r="G5381" i="11"/>
  <c r="H5381" i="11"/>
  <c r="G5382" i="11"/>
  <c r="H5382" i="11"/>
  <c r="G5383" i="11"/>
  <c r="H5383" i="11"/>
  <c r="G5384" i="11"/>
  <c r="H5384" i="11"/>
  <c r="G5385" i="11"/>
  <c r="H5385" i="11"/>
  <c r="G5386" i="11"/>
  <c r="H5386" i="11"/>
  <c r="G5387" i="11"/>
  <c r="H5387" i="11"/>
  <c r="G5388" i="11"/>
  <c r="H5388" i="11"/>
  <c r="G5389" i="11"/>
  <c r="H5389" i="11"/>
  <c r="G5390" i="11"/>
  <c r="H5390" i="11"/>
  <c r="G5391" i="11"/>
  <c r="H5391" i="11"/>
  <c r="G5392" i="11"/>
  <c r="H5392" i="11"/>
  <c r="G5393" i="11"/>
  <c r="H5393" i="11"/>
  <c r="G5394" i="11"/>
  <c r="H5394" i="11"/>
  <c r="G5395" i="11"/>
  <c r="H5395" i="11"/>
  <c r="G5396" i="11"/>
  <c r="H5396" i="11"/>
  <c r="G5397" i="11"/>
  <c r="H5397" i="11"/>
  <c r="G5398" i="11"/>
  <c r="H5398" i="11"/>
  <c r="G5399" i="11"/>
  <c r="H5399" i="11"/>
  <c r="G5400" i="11"/>
  <c r="H5400" i="11"/>
  <c r="G5401" i="11"/>
  <c r="H5401" i="11"/>
  <c r="G5402" i="11"/>
  <c r="H5402" i="11"/>
  <c r="G5403" i="11"/>
  <c r="H5403" i="11"/>
  <c r="G5404" i="11"/>
  <c r="H5404" i="11"/>
  <c r="G5405" i="11"/>
  <c r="H5405" i="11"/>
  <c r="G5406" i="11"/>
  <c r="H5406" i="11"/>
  <c r="G5407" i="11"/>
  <c r="H5407" i="11"/>
  <c r="G5408" i="11"/>
  <c r="H5408" i="11"/>
  <c r="G5409" i="11"/>
  <c r="H5409" i="11"/>
  <c r="G5410" i="11"/>
  <c r="H5410" i="11"/>
  <c r="G5411" i="11"/>
  <c r="H5411" i="11"/>
  <c r="G5412" i="11"/>
  <c r="H5412" i="11"/>
  <c r="G5413" i="11"/>
  <c r="H5413" i="11"/>
  <c r="G5414" i="11"/>
  <c r="H5414" i="11"/>
  <c r="G5415" i="11"/>
  <c r="H5415" i="11"/>
  <c r="G5416" i="11"/>
  <c r="H5416" i="11"/>
  <c r="G5417" i="11"/>
  <c r="H5417" i="11"/>
  <c r="G5418" i="11"/>
  <c r="H5418" i="11"/>
  <c r="G5419" i="11"/>
  <c r="H5419" i="11"/>
  <c r="G5420" i="11"/>
  <c r="H5420" i="11"/>
  <c r="G5421" i="11"/>
  <c r="H5421" i="11"/>
  <c r="G5422" i="11"/>
  <c r="H5422" i="11"/>
  <c r="G5423" i="11"/>
  <c r="H5423" i="11"/>
  <c r="G5424" i="11"/>
  <c r="H5424" i="11"/>
  <c r="G5425" i="11"/>
  <c r="H5425" i="11"/>
  <c r="G5426" i="11"/>
  <c r="H5426" i="11"/>
  <c r="G5427" i="11"/>
  <c r="H5427" i="11"/>
  <c r="G5428" i="11"/>
  <c r="H5428" i="11"/>
  <c r="G5429" i="11"/>
  <c r="H5429" i="11"/>
  <c r="G5430" i="11"/>
  <c r="H5430" i="11"/>
  <c r="G5431" i="11"/>
  <c r="H5431" i="11"/>
  <c r="G5432" i="11"/>
  <c r="H5432" i="11"/>
  <c r="G5433" i="11"/>
  <c r="H5433" i="11"/>
  <c r="G5434" i="11"/>
  <c r="H5434" i="11"/>
  <c r="G5435" i="11"/>
  <c r="H5435" i="11"/>
  <c r="G5436" i="11"/>
  <c r="H5436" i="11"/>
  <c r="G5437" i="11"/>
  <c r="H5437" i="11"/>
  <c r="G5438" i="11"/>
  <c r="H5438" i="11"/>
  <c r="G5439" i="11"/>
  <c r="H5439" i="11"/>
  <c r="G5440" i="11"/>
  <c r="H5440" i="11"/>
  <c r="G5441" i="11"/>
  <c r="H5441" i="11"/>
  <c r="G5442" i="11"/>
  <c r="H5442" i="11"/>
  <c r="G5443" i="11"/>
  <c r="H5443" i="11"/>
  <c r="G5444" i="11"/>
  <c r="H5444" i="11"/>
  <c r="G5445" i="11"/>
  <c r="H5445" i="11"/>
  <c r="G5446" i="11"/>
  <c r="H5446" i="11"/>
  <c r="G5447" i="11"/>
  <c r="H5447" i="11"/>
  <c r="G5448" i="11"/>
  <c r="H5448" i="11"/>
  <c r="G5449" i="11"/>
  <c r="H5449" i="11"/>
  <c r="G5450" i="11"/>
  <c r="H5450" i="11"/>
  <c r="G5451" i="11"/>
  <c r="H5451" i="11"/>
  <c r="G5452" i="11"/>
  <c r="H5452" i="11"/>
  <c r="G5453" i="11"/>
  <c r="H5453" i="11"/>
  <c r="G5454" i="11"/>
  <c r="H5454" i="11"/>
  <c r="G5455" i="11"/>
  <c r="H5455" i="11"/>
  <c r="G5456" i="11"/>
  <c r="H5456" i="11"/>
  <c r="G5457" i="11"/>
  <c r="H5457" i="11"/>
  <c r="G5458" i="11"/>
  <c r="H5458" i="11"/>
  <c r="G5459" i="11"/>
  <c r="H5459" i="11"/>
  <c r="G5460" i="11"/>
  <c r="H5460" i="11"/>
  <c r="G5461" i="11"/>
  <c r="H5461" i="11"/>
  <c r="G5462" i="11"/>
  <c r="H5462" i="11"/>
  <c r="G5463" i="11"/>
  <c r="H5463" i="11"/>
  <c r="G5464" i="11"/>
  <c r="H5464" i="11"/>
  <c r="G5465" i="11"/>
  <c r="H5465" i="11"/>
  <c r="G5466" i="11"/>
  <c r="H5466" i="11"/>
  <c r="G5467" i="11"/>
  <c r="H5467" i="11"/>
  <c r="G5468" i="11"/>
  <c r="H5468" i="11"/>
  <c r="G5469" i="11"/>
  <c r="H5469" i="11"/>
  <c r="G5470" i="11"/>
  <c r="H5470" i="11"/>
  <c r="G5471" i="11"/>
  <c r="H5471" i="11"/>
  <c r="G5472" i="11"/>
  <c r="H5472" i="11"/>
  <c r="G5473" i="11"/>
  <c r="H5473" i="11"/>
  <c r="G5474" i="11"/>
  <c r="H5474" i="11"/>
  <c r="G5475" i="11"/>
  <c r="H5475" i="11"/>
  <c r="G5476" i="11"/>
  <c r="H5476" i="11"/>
  <c r="G5477" i="11"/>
  <c r="H5477" i="11"/>
  <c r="G5478" i="11"/>
  <c r="H5478" i="11"/>
  <c r="G5479" i="11"/>
  <c r="H5479" i="11"/>
  <c r="G5480" i="11"/>
  <c r="H5480" i="11"/>
  <c r="G5481" i="11"/>
  <c r="H5481" i="11"/>
  <c r="G5482" i="11"/>
  <c r="H5482" i="11"/>
  <c r="G5483" i="11"/>
  <c r="H5483" i="11"/>
  <c r="G5484" i="11"/>
  <c r="H5484" i="11"/>
  <c r="G5485" i="11"/>
  <c r="H5485" i="11"/>
  <c r="G5486" i="11"/>
  <c r="H5486" i="11"/>
  <c r="G5487" i="11"/>
  <c r="H5487" i="11"/>
  <c r="G5488" i="11"/>
  <c r="H5488" i="11"/>
  <c r="G5489" i="11"/>
  <c r="H5489" i="11"/>
  <c r="G5490" i="11"/>
  <c r="H5490" i="11"/>
  <c r="G5491" i="11"/>
  <c r="H5491" i="11"/>
  <c r="G5492" i="11"/>
  <c r="H5492" i="11"/>
  <c r="G5493" i="11"/>
  <c r="H5493" i="11"/>
  <c r="G5494" i="11"/>
  <c r="H5494" i="11"/>
  <c r="G5495" i="11"/>
  <c r="H5495" i="11"/>
  <c r="G5496" i="11"/>
  <c r="H5496" i="11"/>
  <c r="G5497" i="11"/>
  <c r="H5497" i="11"/>
  <c r="G5498" i="11"/>
  <c r="H5498" i="11"/>
  <c r="G5499" i="11"/>
  <c r="H5499" i="11"/>
  <c r="G5500" i="11"/>
  <c r="H5500" i="11"/>
  <c r="G5501" i="11"/>
  <c r="H5501" i="11"/>
  <c r="G5502" i="11"/>
  <c r="H5502" i="11"/>
  <c r="G5503" i="11"/>
  <c r="H5503" i="11"/>
  <c r="G5504" i="11"/>
  <c r="H5504" i="11"/>
  <c r="G5505" i="11"/>
  <c r="H5505" i="11"/>
  <c r="G5506" i="11"/>
  <c r="H5506" i="11"/>
  <c r="G5507" i="11"/>
  <c r="H5507" i="11"/>
  <c r="G5508" i="11"/>
  <c r="H5508" i="11"/>
  <c r="G5509" i="11"/>
  <c r="H5509" i="11"/>
  <c r="G5510" i="11"/>
  <c r="H5510" i="11"/>
  <c r="G5511" i="11"/>
  <c r="H5511" i="11"/>
  <c r="G5512" i="11"/>
  <c r="H5512" i="11"/>
  <c r="G5513" i="11"/>
  <c r="H5513" i="11"/>
  <c r="G5514" i="11"/>
  <c r="H5514" i="11"/>
  <c r="G5515" i="11"/>
  <c r="H5515" i="11"/>
  <c r="G5516" i="11"/>
  <c r="H5516" i="11"/>
  <c r="G5517" i="11"/>
  <c r="H5517" i="11"/>
  <c r="G5518" i="11"/>
  <c r="H5518" i="11"/>
  <c r="G5519" i="11"/>
  <c r="H5519" i="11"/>
  <c r="G5520" i="11"/>
  <c r="H5520" i="11"/>
  <c r="G5521" i="11"/>
  <c r="H5521" i="11"/>
  <c r="G5522" i="11"/>
  <c r="H5522" i="11"/>
  <c r="G5523" i="11"/>
  <c r="H5523" i="11"/>
  <c r="G5524" i="11"/>
  <c r="H5524" i="11"/>
  <c r="G5525" i="11"/>
  <c r="H5525" i="11"/>
  <c r="G5526" i="11"/>
  <c r="H5526" i="11"/>
  <c r="G5527" i="11"/>
  <c r="H5527" i="11"/>
  <c r="G5528" i="11"/>
  <c r="H5528" i="11"/>
  <c r="G5529" i="11"/>
  <c r="H5529" i="11"/>
  <c r="G5530" i="11"/>
  <c r="H5530" i="11"/>
  <c r="G5531" i="11"/>
  <c r="H5531" i="11"/>
  <c r="G5532" i="11"/>
  <c r="H5532" i="11"/>
  <c r="G5533" i="11"/>
  <c r="H5533" i="11"/>
  <c r="G5534" i="11"/>
  <c r="H5534" i="11"/>
  <c r="G5535" i="11"/>
  <c r="H5535" i="11"/>
  <c r="G5536" i="11"/>
  <c r="H5536" i="11"/>
  <c r="G5537" i="11"/>
  <c r="H5537" i="11"/>
  <c r="G5538" i="11"/>
  <c r="H5538" i="11"/>
  <c r="G5539" i="11"/>
  <c r="H5539" i="11"/>
  <c r="G5540" i="11"/>
  <c r="H5540" i="11"/>
  <c r="G5541" i="11"/>
  <c r="H5541" i="11"/>
  <c r="G5542" i="11"/>
  <c r="H5542" i="11"/>
  <c r="G5543" i="11"/>
  <c r="H5543" i="11"/>
  <c r="G5544" i="11"/>
  <c r="H5544" i="11"/>
  <c r="G5545" i="11"/>
  <c r="H5545" i="11"/>
  <c r="G5546" i="11"/>
  <c r="H5546" i="11"/>
  <c r="G5547" i="11"/>
  <c r="H5547" i="11"/>
  <c r="G5548" i="11"/>
  <c r="H5548" i="11"/>
  <c r="G5549" i="11"/>
  <c r="H5549" i="11"/>
  <c r="G5550" i="11"/>
  <c r="H5550" i="11"/>
  <c r="G5551" i="11"/>
  <c r="H5551" i="11"/>
  <c r="G5552" i="11"/>
  <c r="H5552" i="11"/>
  <c r="G5553" i="11"/>
  <c r="H5553" i="11"/>
  <c r="G5554" i="11"/>
  <c r="H5554" i="11"/>
  <c r="G5555" i="11"/>
  <c r="H5555" i="11"/>
  <c r="G5556" i="11"/>
  <c r="H5556" i="11"/>
  <c r="G5557" i="11"/>
  <c r="H5557" i="11"/>
  <c r="G5558" i="11"/>
  <c r="H5558" i="11"/>
  <c r="G5559" i="11"/>
  <c r="H5559" i="11"/>
  <c r="G5560" i="11"/>
  <c r="H5560" i="11"/>
  <c r="G5561" i="11"/>
  <c r="H5561" i="11"/>
  <c r="G5562" i="11"/>
  <c r="H5562" i="11"/>
  <c r="G5563" i="11"/>
  <c r="H5563" i="11"/>
  <c r="G5564" i="11"/>
  <c r="H5564" i="11"/>
  <c r="G5565" i="11"/>
  <c r="H5565" i="11"/>
  <c r="G5566" i="11"/>
  <c r="H5566" i="11"/>
  <c r="G5567" i="11"/>
  <c r="H5567" i="11"/>
  <c r="G5568" i="11"/>
  <c r="H5568" i="11"/>
  <c r="G5569" i="11"/>
  <c r="H5569" i="11"/>
  <c r="G5570" i="11"/>
  <c r="H5570" i="11"/>
  <c r="G5571" i="11"/>
  <c r="H5571" i="11"/>
  <c r="G5572" i="11"/>
  <c r="H5572" i="11"/>
  <c r="G5573" i="11"/>
  <c r="H5573" i="11"/>
  <c r="G5574" i="11"/>
  <c r="H5574" i="11"/>
  <c r="G5575" i="11"/>
  <c r="H5575" i="11"/>
  <c r="G5576" i="11"/>
  <c r="H5576" i="11"/>
  <c r="G5577" i="11"/>
  <c r="H5577" i="11"/>
  <c r="G5578" i="11"/>
  <c r="H5578" i="11"/>
  <c r="G5579" i="11"/>
  <c r="H5579" i="11"/>
  <c r="G5580" i="11"/>
  <c r="H5580" i="11"/>
  <c r="G5581" i="11"/>
  <c r="H5581" i="11"/>
  <c r="G5582" i="11"/>
  <c r="H5582" i="11"/>
  <c r="G5583" i="11"/>
  <c r="H5583" i="11"/>
  <c r="G5584" i="11"/>
  <c r="H5584" i="11"/>
  <c r="G5585" i="11"/>
  <c r="H5585" i="11"/>
  <c r="G5586" i="11"/>
  <c r="H5586" i="11"/>
  <c r="G5587" i="11"/>
  <c r="H5587" i="11"/>
  <c r="G5588" i="11"/>
  <c r="H5588" i="11"/>
  <c r="G5589" i="11"/>
  <c r="H5589" i="11"/>
  <c r="G5590" i="11"/>
  <c r="H5590" i="11"/>
  <c r="G5591" i="11"/>
  <c r="H5591" i="11"/>
  <c r="G5592" i="11"/>
  <c r="H5592" i="11"/>
  <c r="G5593" i="11"/>
  <c r="H5593" i="11"/>
  <c r="G5594" i="11"/>
  <c r="H5594" i="11"/>
  <c r="G5595" i="11"/>
  <c r="H5595" i="11"/>
  <c r="G5596" i="11"/>
  <c r="H5596" i="11"/>
  <c r="G5597" i="11"/>
  <c r="H5597" i="11"/>
  <c r="G5598" i="11"/>
  <c r="H5598" i="11"/>
  <c r="G5599" i="11"/>
  <c r="H5599" i="11"/>
  <c r="G5600" i="11"/>
  <c r="H5600" i="11"/>
  <c r="G5601" i="11"/>
  <c r="H5601" i="11"/>
  <c r="G5602" i="11"/>
  <c r="H5602" i="11"/>
  <c r="G5603" i="11"/>
  <c r="H5603" i="11"/>
  <c r="G5604" i="11"/>
  <c r="H5604" i="11"/>
  <c r="G5605" i="11"/>
  <c r="H5605" i="11"/>
  <c r="G5606" i="11"/>
  <c r="H5606" i="11"/>
  <c r="G5607" i="11"/>
  <c r="H5607" i="11"/>
  <c r="G5608" i="11"/>
  <c r="H5608" i="11"/>
  <c r="G5609" i="11"/>
  <c r="H5609" i="11"/>
  <c r="G5610" i="11"/>
  <c r="H5610" i="11"/>
  <c r="G5611" i="11"/>
  <c r="H5611" i="11"/>
  <c r="G5612" i="11"/>
  <c r="H5612" i="11"/>
  <c r="G5613" i="11"/>
  <c r="H5613" i="11"/>
  <c r="G5614" i="11"/>
  <c r="H5614" i="11"/>
  <c r="G5615" i="11"/>
  <c r="H5615" i="11"/>
  <c r="G5616" i="11"/>
  <c r="H5616" i="11"/>
  <c r="G5617" i="11"/>
  <c r="H5617" i="11"/>
  <c r="G5618" i="11"/>
  <c r="H5618" i="11"/>
  <c r="G5619" i="11"/>
  <c r="H5619" i="11"/>
  <c r="G5620" i="11"/>
  <c r="H5620" i="11"/>
  <c r="G5621" i="11"/>
  <c r="H5621" i="11"/>
  <c r="G5622" i="11"/>
  <c r="H5622" i="11"/>
  <c r="G5623" i="11"/>
  <c r="H5623" i="11"/>
  <c r="G5624" i="11"/>
  <c r="H5624" i="11"/>
  <c r="G5625" i="11"/>
  <c r="H5625" i="11"/>
  <c r="G5626" i="11"/>
  <c r="H5626" i="11"/>
  <c r="G5627" i="11"/>
  <c r="H5627" i="11"/>
  <c r="G5628" i="11"/>
  <c r="H5628" i="11"/>
  <c r="G5629" i="11"/>
  <c r="H5629" i="11"/>
  <c r="G5630" i="11"/>
  <c r="H5630" i="11"/>
  <c r="G5631" i="11"/>
  <c r="H5631" i="11"/>
  <c r="G5632" i="11"/>
  <c r="H5632" i="11"/>
  <c r="G5633" i="11"/>
  <c r="H5633" i="11"/>
  <c r="G5634" i="11"/>
  <c r="H5634" i="11"/>
  <c r="G5635" i="11"/>
  <c r="H5635" i="11"/>
  <c r="G5636" i="11"/>
  <c r="H5636" i="11"/>
  <c r="G5637" i="11"/>
  <c r="H5637" i="11"/>
  <c r="G5638" i="11"/>
  <c r="H5638" i="11"/>
  <c r="G5639" i="11"/>
  <c r="H5639" i="11"/>
  <c r="G5640" i="11"/>
  <c r="H5640" i="11"/>
  <c r="G5641" i="11"/>
  <c r="H5641" i="11"/>
  <c r="G5642" i="11"/>
  <c r="H5642" i="11"/>
  <c r="G5643" i="11"/>
  <c r="H5643" i="11"/>
  <c r="G5644" i="11"/>
  <c r="H5644" i="11"/>
  <c r="G5645" i="11"/>
  <c r="H5645" i="11"/>
  <c r="G5646" i="11"/>
  <c r="H5646" i="11"/>
  <c r="G5647" i="11"/>
  <c r="H5647" i="11"/>
  <c r="G5648" i="11"/>
  <c r="H5648" i="11"/>
  <c r="G5649" i="11"/>
  <c r="H5649" i="11"/>
  <c r="G5650" i="11"/>
  <c r="H5650" i="11"/>
  <c r="G5651" i="11"/>
  <c r="H5651" i="11"/>
  <c r="G5652" i="11"/>
  <c r="H5652" i="11"/>
  <c r="G5653" i="11"/>
  <c r="H5653" i="11"/>
  <c r="G5654" i="11"/>
  <c r="H5654" i="11"/>
  <c r="G5655" i="11"/>
  <c r="H5655" i="11"/>
  <c r="G5656" i="11"/>
  <c r="H5656" i="11"/>
  <c r="G5657" i="11"/>
  <c r="H5657" i="11"/>
  <c r="G5658" i="11"/>
  <c r="H5658" i="11"/>
  <c r="G5659" i="11"/>
  <c r="H5659" i="11"/>
  <c r="G5660" i="11"/>
  <c r="H5660" i="11"/>
  <c r="G5661" i="11"/>
  <c r="H5661" i="11"/>
  <c r="G5662" i="11"/>
  <c r="H5662" i="11"/>
  <c r="G5663" i="11"/>
  <c r="H5663" i="11"/>
  <c r="G5664" i="11"/>
  <c r="H5664" i="11"/>
  <c r="G5665" i="11"/>
  <c r="H5665" i="11"/>
  <c r="G5666" i="11"/>
  <c r="H5666" i="11"/>
  <c r="G5667" i="11"/>
  <c r="H5667" i="11"/>
  <c r="G5668" i="11"/>
  <c r="H5668" i="11"/>
  <c r="G5669" i="11"/>
  <c r="H5669" i="11"/>
  <c r="G5670" i="11"/>
  <c r="H5670" i="11"/>
  <c r="G5671" i="11"/>
  <c r="H5671" i="11"/>
  <c r="G5672" i="11"/>
  <c r="H5672" i="11"/>
  <c r="G5673" i="11"/>
  <c r="H5673" i="11"/>
  <c r="G5674" i="11"/>
  <c r="H5674" i="11"/>
  <c r="G5675" i="11"/>
  <c r="H5675" i="11"/>
  <c r="G5676" i="11"/>
  <c r="H5676" i="11"/>
  <c r="G5677" i="11"/>
  <c r="H5677" i="11"/>
  <c r="G5678" i="11"/>
  <c r="H5678" i="11"/>
  <c r="G5679" i="11"/>
  <c r="H5679" i="11"/>
  <c r="G5680" i="11"/>
  <c r="H5680" i="11"/>
  <c r="G5681" i="11"/>
  <c r="H5681" i="11"/>
  <c r="G5682" i="11"/>
  <c r="H5682" i="11"/>
  <c r="G5683" i="11"/>
  <c r="H5683" i="11"/>
  <c r="G5684" i="11"/>
  <c r="H5684" i="11"/>
  <c r="G5685" i="11"/>
  <c r="H5685" i="11"/>
  <c r="G5686" i="11"/>
  <c r="H5686" i="11"/>
  <c r="G5687" i="11"/>
  <c r="H5687" i="11"/>
  <c r="G5688" i="11"/>
  <c r="H5688" i="11"/>
  <c r="G5689" i="11"/>
  <c r="H5689" i="11"/>
  <c r="G5690" i="11"/>
  <c r="H5690" i="11"/>
  <c r="G5691" i="11"/>
  <c r="H5691" i="11"/>
  <c r="G5692" i="11"/>
  <c r="H5692" i="11"/>
  <c r="G5693" i="11"/>
  <c r="H5693" i="11"/>
  <c r="G5694" i="11"/>
  <c r="H5694" i="11"/>
  <c r="G5695" i="11"/>
  <c r="H5695" i="11"/>
  <c r="G5696" i="11"/>
  <c r="H5696" i="11"/>
  <c r="G5697" i="11"/>
  <c r="H5697" i="11"/>
  <c r="G5698" i="11"/>
  <c r="H5698" i="11"/>
  <c r="G5699" i="11"/>
  <c r="H5699" i="11"/>
  <c r="G5700" i="11"/>
  <c r="H5700" i="11"/>
  <c r="G5701" i="11"/>
  <c r="H5701" i="11"/>
  <c r="G5702" i="11"/>
  <c r="H5702" i="11"/>
  <c r="G5703" i="11"/>
  <c r="H5703" i="11"/>
  <c r="G5704" i="11"/>
  <c r="H5704" i="11"/>
  <c r="G5705" i="11"/>
  <c r="H5705" i="11"/>
  <c r="G5706" i="11"/>
  <c r="H5706" i="11"/>
  <c r="G5707" i="11"/>
  <c r="H5707" i="11"/>
  <c r="G5708" i="11"/>
  <c r="H5708" i="11"/>
  <c r="G5709" i="11"/>
  <c r="H5709" i="11"/>
  <c r="G5710" i="11"/>
  <c r="H5710" i="11"/>
  <c r="G5711" i="11"/>
  <c r="H5711" i="11"/>
  <c r="G5712" i="11"/>
  <c r="H5712" i="11"/>
  <c r="G5713" i="11"/>
  <c r="H5713" i="11"/>
  <c r="G5714" i="11"/>
  <c r="H5714" i="11"/>
  <c r="G5715" i="11"/>
  <c r="H5715" i="11"/>
  <c r="G5716" i="11"/>
  <c r="H5716" i="11"/>
  <c r="G5717" i="11"/>
  <c r="H5717" i="11"/>
  <c r="G5718" i="11"/>
  <c r="H5718" i="11"/>
  <c r="G5719" i="11"/>
  <c r="H5719" i="11"/>
  <c r="G5720" i="11"/>
  <c r="H5720" i="11"/>
  <c r="G5721" i="11"/>
  <c r="H5721" i="11"/>
  <c r="G5722" i="11"/>
  <c r="H5722" i="11"/>
  <c r="G5723" i="11"/>
  <c r="H5723" i="11"/>
  <c r="G5724" i="11"/>
  <c r="H5724" i="11"/>
  <c r="G5725" i="11"/>
  <c r="H5725" i="11"/>
  <c r="G5726" i="11"/>
  <c r="H5726" i="11"/>
  <c r="G5727" i="11"/>
  <c r="H5727" i="11"/>
  <c r="G5728" i="11"/>
  <c r="H5728" i="11"/>
  <c r="G5729" i="11"/>
  <c r="H5729" i="11"/>
  <c r="G5730" i="11"/>
  <c r="H5730" i="11"/>
  <c r="G5731" i="11"/>
  <c r="H5731" i="11"/>
  <c r="G5732" i="11"/>
  <c r="H5732" i="11"/>
  <c r="G5733" i="11"/>
  <c r="H5733" i="11"/>
  <c r="G5734" i="11"/>
  <c r="H5734" i="11"/>
  <c r="G5735" i="11"/>
  <c r="H5735" i="11"/>
  <c r="G5736" i="11"/>
  <c r="H5736" i="11"/>
  <c r="G5737" i="11"/>
  <c r="H5737" i="11"/>
  <c r="G5738" i="11"/>
  <c r="H5738" i="11"/>
  <c r="G5739" i="11"/>
  <c r="H5739" i="11"/>
  <c r="G5740" i="11"/>
  <c r="H5740" i="11"/>
  <c r="G5741" i="11"/>
  <c r="H5741" i="11"/>
  <c r="G5742" i="11"/>
  <c r="H5742" i="11"/>
  <c r="G5743" i="11"/>
  <c r="H5743" i="11"/>
  <c r="G5744" i="11"/>
  <c r="H5744" i="11"/>
  <c r="G5745" i="11"/>
  <c r="H5745" i="11"/>
  <c r="G5746" i="11"/>
  <c r="H5746" i="11"/>
  <c r="G5747" i="11"/>
  <c r="H5747" i="11"/>
  <c r="G5748" i="11"/>
  <c r="H5748" i="11"/>
  <c r="G5749" i="11"/>
  <c r="H5749" i="11"/>
  <c r="G5750" i="11"/>
  <c r="H5750" i="11"/>
  <c r="G5751" i="11"/>
  <c r="H5751" i="11"/>
  <c r="G5752" i="11"/>
  <c r="H5752" i="11"/>
  <c r="G5753" i="11"/>
  <c r="H5753" i="11"/>
  <c r="G5754" i="11"/>
  <c r="H5754" i="11"/>
  <c r="G5755" i="11"/>
  <c r="H5755" i="11"/>
  <c r="G5756" i="11"/>
  <c r="H5756" i="11"/>
  <c r="G5757" i="11"/>
  <c r="H5757" i="11"/>
  <c r="G5758" i="11"/>
  <c r="H5758" i="11"/>
  <c r="G5759" i="11"/>
  <c r="H5759" i="11"/>
  <c r="G5760" i="11"/>
  <c r="H5760" i="11"/>
  <c r="G5761" i="11"/>
  <c r="H5761" i="11"/>
  <c r="G5762" i="11"/>
  <c r="H5762" i="11"/>
  <c r="G5763" i="11"/>
  <c r="H5763" i="11"/>
  <c r="G5764" i="11"/>
  <c r="H5764" i="11"/>
  <c r="G5765" i="11"/>
  <c r="H5765" i="11"/>
  <c r="G5766" i="11"/>
  <c r="H5766" i="11"/>
  <c r="G5767" i="11"/>
  <c r="H5767" i="11"/>
  <c r="G5768" i="11"/>
  <c r="H5768" i="11"/>
  <c r="G5769" i="11"/>
  <c r="H5769" i="11"/>
  <c r="G5770" i="11"/>
  <c r="H5770" i="11"/>
  <c r="G5771" i="11"/>
  <c r="H5771" i="11"/>
  <c r="G5772" i="11"/>
  <c r="H5772" i="11"/>
  <c r="G5773" i="11"/>
  <c r="H5773" i="11"/>
  <c r="G5774" i="11"/>
  <c r="H5774" i="11"/>
  <c r="G5775" i="11"/>
  <c r="H5775" i="11"/>
  <c r="G5776" i="11"/>
  <c r="H5776" i="11"/>
  <c r="G5777" i="11"/>
  <c r="H5777" i="11"/>
  <c r="G5778" i="11"/>
  <c r="H5778" i="11"/>
  <c r="G5779" i="11"/>
  <c r="H5779" i="11"/>
  <c r="G5780" i="11"/>
  <c r="H5780" i="11"/>
  <c r="G5781" i="11"/>
  <c r="H5781" i="11"/>
  <c r="G5782" i="11"/>
  <c r="H5782" i="11"/>
  <c r="G5783" i="11"/>
  <c r="H5783" i="11"/>
  <c r="G5784" i="11"/>
  <c r="H5784" i="11"/>
  <c r="G5785" i="11"/>
  <c r="H5785" i="11"/>
  <c r="G5786" i="11"/>
  <c r="H5786" i="11"/>
  <c r="G5787" i="11"/>
  <c r="H5787" i="11"/>
  <c r="G5788" i="11"/>
  <c r="H5788" i="11"/>
  <c r="G5789" i="11"/>
  <c r="H5789" i="11"/>
  <c r="G5790" i="11"/>
  <c r="H5790" i="11"/>
  <c r="G5791" i="11"/>
  <c r="H5791" i="11"/>
  <c r="G5792" i="11"/>
  <c r="H5792" i="11"/>
  <c r="G5793" i="11"/>
  <c r="H5793" i="11"/>
  <c r="G5794" i="11"/>
  <c r="H5794" i="11"/>
  <c r="G5795" i="11"/>
  <c r="H5795" i="11"/>
  <c r="G5796" i="11"/>
  <c r="H5796" i="11"/>
  <c r="G5797" i="11"/>
  <c r="H5797" i="11"/>
  <c r="G5798" i="11"/>
  <c r="H5798" i="11"/>
  <c r="G5799" i="11"/>
  <c r="H5799" i="11"/>
  <c r="G5800" i="11"/>
  <c r="H5800" i="11"/>
  <c r="G5801" i="11"/>
  <c r="H5801" i="11"/>
  <c r="G5802" i="11"/>
  <c r="H5802" i="11"/>
  <c r="G5803" i="11"/>
  <c r="H5803" i="11"/>
  <c r="G5804" i="11"/>
  <c r="H5804" i="11"/>
  <c r="G5805" i="11"/>
  <c r="H5805" i="11"/>
  <c r="G5806" i="11"/>
  <c r="H5806" i="11"/>
  <c r="G5807" i="11"/>
  <c r="H5807" i="11"/>
  <c r="G5808" i="11"/>
  <c r="H5808" i="11"/>
  <c r="G5809" i="11"/>
  <c r="H5809" i="11"/>
  <c r="G5810" i="11"/>
  <c r="H5810" i="11"/>
  <c r="G5811" i="11"/>
  <c r="H5811" i="11"/>
  <c r="G5812" i="11"/>
  <c r="H5812" i="11"/>
  <c r="G5813" i="11"/>
  <c r="H5813" i="11"/>
  <c r="G5814" i="11"/>
  <c r="H5814" i="11"/>
  <c r="G5815" i="11"/>
  <c r="H5815" i="11"/>
  <c r="G5816" i="11"/>
  <c r="H5816" i="11"/>
  <c r="G5817" i="11"/>
  <c r="H5817" i="11"/>
  <c r="G5818" i="11"/>
  <c r="H5818" i="11"/>
  <c r="G5819" i="11"/>
  <c r="H5819" i="11"/>
  <c r="G5820" i="11"/>
  <c r="H5820" i="11"/>
  <c r="G5821" i="11"/>
  <c r="H5821" i="11"/>
  <c r="G5822" i="11"/>
  <c r="H5822" i="11"/>
  <c r="G5823" i="11"/>
  <c r="H5823" i="11"/>
  <c r="G5824" i="11"/>
  <c r="H5824" i="11"/>
  <c r="G5825" i="11"/>
  <c r="H5825" i="11"/>
  <c r="G5826" i="11"/>
  <c r="H5826" i="11"/>
  <c r="G5827" i="11"/>
  <c r="H5827" i="11"/>
  <c r="G5828" i="11"/>
  <c r="H5828" i="11"/>
  <c r="G5829" i="11"/>
  <c r="H5829" i="11"/>
  <c r="G5830" i="11"/>
  <c r="H5830" i="11"/>
  <c r="G5831" i="11"/>
  <c r="H5831" i="11"/>
  <c r="G5832" i="11"/>
  <c r="H5832" i="11"/>
  <c r="G5833" i="11"/>
  <c r="H5833" i="11"/>
  <c r="G5834" i="11"/>
  <c r="H5834" i="11"/>
  <c r="G5835" i="11"/>
  <c r="H5835" i="11"/>
  <c r="G5836" i="11"/>
  <c r="H5836" i="11"/>
  <c r="G5837" i="11"/>
  <c r="H5837" i="11"/>
  <c r="G5838" i="11"/>
  <c r="H5838" i="11"/>
  <c r="G5839" i="11"/>
  <c r="H5839" i="11"/>
  <c r="G5840" i="11"/>
  <c r="H5840" i="11"/>
  <c r="G5841" i="11"/>
  <c r="H5841" i="11"/>
  <c r="G5842" i="11"/>
  <c r="H5842" i="11"/>
  <c r="G5843" i="11"/>
  <c r="H5843" i="11"/>
  <c r="G5844" i="11"/>
  <c r="H5844" i="11"/>
  <c r="G5845" i="11"/>
  <c r="H5845" i="11"/>
  <c r="G5846" i="11"/>
  <c r="H5846" i="11"/>
  <c r="G5847" i="11"/>
  <c r="H5847" i="11"/>
  <c r="G5848" i="11"/>
  <c r="H5848" i="11"/>
  <c r="G5849" i="11"/>
  <c r="H5849" i="11"/>
  <c r="G5850" i="11"/>
  <c r="H5850" i="11"/>
  <c r="G5851" i="11"/>
  <c r="H5851" i="11"/>
  <c r="G5852" i="11"/>
  <c r="H5852" i="11"/>
  <c r="G5853" i="11"/>
  <c r="H5853" i="11"/>
  <c r="G5854" i="11"/>
  <c r="H5854" i="11"/>
  <c r="G5855" i="11"/>
  <c r="H5855" i="11"/>
  <c r="G5856" i="11"/>
  <c r="H5856" i="11"/>
  <c r="G5857" i="11"/>
  <c r="H5857" i="11"/>
  <c r="G5858" i="11"/>
  <c r="H5858" i="11"/>
  <c r="G5859" i="11"/>
  <c r="H5859" i="11"/>
  <c r="G5860" i="11"/>
  <c r="H5860" i="11"/>
  <c r="G5861" i="11"/>
  <c r="H5861" i="11"/>
  <c r="G5862" i="11"/>
  <c r="H5862" i="11"/>
  <c r="G5863" i="11"/>
  <c r="H5863" i="11"/>
  <c r="G5864" i="11"/>
  <c r="H5864" i="11"/>
  <c r="G5865" i="11"/>
  <c r="H5865" i="11"/>
  <c r="G5866" i="11"/>
  <c r="H5866" i="11"/>
  <c r="G5867" i="11"/>
  <c r="H5867" i="11"/>
  <c r="G5868" i="11"/>
  <c r="H5868" i="11"/>
  <c r="G5869" i="11"/>
  <c r="H5869" i="11"/>
  <c r="G5870" i="11"/>
  <c r="H5870" i="11"/>
  <c r="G5871" i="11"/>
  <c r="H5871" i="11"/>
  <c r="G5872" i="11"/>
  <c r="H5872" i="11"/>
  <c r="G5873" i="11"/>
  <c r="H5873" i="11"/>
  <c r="G5874" i="11"/>
  <c r="H5874" i="11"/>
  <c r="G5875" i="11"/>
  <c r="H5875" i="11"/>
  <c r="G5876" i="11"/>
  <c r="H5876" i="11"/>
  <c r="G5877" i="11"/>
  <c r="H5877" i="11"/>
  <c r="G5878" i="11"/>
  <c r="H5878" i="11"/>
  <c r="G5879" i="11"/>
  <c r="H5879" i="11"/>
  <c r="G5880" i="11"/>
  <c r="H5880" i="11"/>
  <c r="G5881" i="11"/>
  <c r="H5881" i="11"/>
  <c r="G5882" i="11"/>
  <c r="H5882" i="11"/>
  <c r="G5883" i="11"/>
  <c r="H5883" i="11"/>
  <c r="G5884" i="11"/>
  <c r="H5884" i="11"/>
  <c r="G5885" i="11"/>
  <c r="H5885" i="11"/>
  <c r="G5886" i="11"/>
  <c r="H5886" i="11"/>
  <c r="G5887" i="11"/>
  <c r="H5887" i="11"/>
  <c r="G5888" i="11"/>
  <c r="H5888" i="11"/>
  <c r="G5889" i="11"/>
  <c r="H5889" i="11"/>
  <c r="G5890" i="11"/>
  <c r="H5890" i="11"/>
  <c r="G5891" i="11"/>
  <c r="H5891" i="11"/>
  <c r="G5892" i="11"/>
  <c r="H5892" i="11"/>
  <c r="G5893" i="11"/>
  <c r="H5893" i="11"/>
  <c r="G5894" i="11"/>
  <c r="H5894" i="11"/>
  <c r="G5895" i="11"/>
  <c r="H5895" i="11"/>
  <c r="G5896" i="11"/>
  <c r="H5896" i="11"/>
  <c r="G5897" i="11"/>
  <c r="H5897" i="11"/>
  <c r="G5898" i="11"/>
  <c r="H5898" i="11"/>
  <c r="G5899" i="11"/>
  <c r="H5899" i="11"/>
  <c r="G5900" i="11"/>
  <c r="H5900" i="11"/>
  <c r="G5901" i="11"/>
  <c r="H5901" i="11"/>
  <c r="G5902" i="11"/>
  <c r="H5902" i="11"/>
  <c r="G5903" i="11"/>
  <c r="H5903" i="11"/>
  <c r="G5904" i="11"/>
  <c r="H5904" i="11"/>
  <c r="G5905" i="11"/>
  <c r="H5905" i="11"/>
  <c r="G5906" i="11"/>
  <c r="H5906" i="11"/>
  <c r="G5907" i="11"/>
  <c r="H5907" i="11"/>
  <c r="G5908" i="11"/>
  <c r="H5908" i="11"/>
  <c r="G5909" i="11"/>
  <c r="H5909" i="11"/>
  <c r="G5910" i="11"/>
  <c r="H5910" i="11"/>
  <c r="G5911" i="11"/>
  <c r="H5911" i="11"/>
  <c r="G5912" i="11"/>
  <c r="H5912" i="11"/>
  <c r="G5913" i="11"/>
  <c r="H5913" i="11"/>
  <c r="G5914" i="11"/>
  <c r="H5914" i="11"/>
  <c r="G5915" i="11"/>
  <c r="H5915" i="11"/>
  <c r="G5916" i="11"/>
  <c r="H5916" i="11"/>
  <c r="G5917" i="11"/>
  <c r="H5917" i="11"/>
  <c r="G5918" i="11"/>
  <c r="H5918" i="11"/>
  <c r="G5919" i="11"/>
  <c r="H5919" i="11"/>
  <c r="G5920" i="11"/>
  <c r="H5920" i="11"/>
  <c r="G5921" i="11"/>
  <c r="H5921" i="11"/>
  <c r="G5922" i="11"/>
  <c r="H5922" i="11"/>
  <c r="G5923" i="11"/>
  <c r="H5923" i="11"/>
  <c r="G5924" i="11"/>
  <c r="H5924" i="11"/>
  <c r="G5925" i="11"/>
  <c r="H5925" i="11"/>
  <c r="G5926" i="11"/>
  <c r="H5926" i="11"/>
  <c r="G5927" i="11"/>
  <c r="H5927" i="11"/>
  <c r="G5928" i="11"/>
  <c r="H5928" i="11"/>
  <c r="G5929" i="11"/>
  <c r="H5929" i="11"/>
  <c r="G5930" i="11"/>
  <c r="H5930" i="11"/>
  <c r="G5931" i="11"/>
  <c r="H5931" i="11"/>
  <c r="G5932" i="11"/>
  <c r="H5932" i="11"/>
  <c r="G5933" i="11"/>
  <c r="H5933" i="11"/>
  <c r="G5934" i="11"/>
  <c r="H5934" i="11"/>
  <c r="G5935" i="11"/>
  <c r="H5935" i="11"/>
  <c r="G5936" i="11"/>
  <c r="H5936" i="11"/>
  <c r="G5937" i="11"/>
  <c r="H5937" i="11"/>
  <c r="G5938" i="11"/>
  <c r="H5938" i="11"/>
  <c r="G5939" i="11"/>
  <c r="H5939" i="11"/>
  <c r="G5940" i="11"/>
  <c r="H5940" i="11"/>
  <c r="G5941" i="11"/>
  <c r="H5941" i="11"/>
  <c r="G5942" i="11"/>
  <c r="H5942" i="11"/>
  <c r="G5943" i="11"/>
  <c r="H5943" i="11"/>
  <c r="G5944" i="11"/>
  <c r="H5944" i="11"/>
  <c r="G5945" i="11"/>
  <c r="H5945" i="11"/>
  <c r="G5946" i="11"/>
  <c r="H5946" i="11"/>
  <c r="G5947" i="11"/>
  <c r="H5947" i="11"/>
  <c r="G5948" i="11"/>
  <c r="H5948" i="11"/>
  <c r="G5949" i="11"/>
  <c r="H5949" i="11"/>
  <c r="G5950" i="11"/>
  <c r="H5950" i="11"/>
  <c r="G5951" i="11"/>
  <c r="H5951" i="11"/>
  <c r="G5952" i="11"/>
  <c r="H5952" i="11"/>
  <c r="G5953" i="11"/>
  <c r="H5953" i="11"/>
  <c r="G5954" i="11"/>
  <c r="H5954" i="11"/>
  <c r="G5955" i="11"/>
  <c r="H5955" i="11"/>
  <c r="G5956" i="11"/>
  <c r="H5956" i="11"/>
  <c r="G5957" i="11"/>
  <c r="H5957" i="11"/>
  <c r="G5958" i="11"/>
  <c r="H5958" i="11"/>
  <c r="G5959" i="11"/>
  <c r="H5959" i="11"/>
  <c r="G5960" i="11"/>
  <c r="H5960" i="11"/>
  <c r="G5961" i="11"/>
  <c r="H5961" i="11"/>
  <c r="G5962" i="11"/>
  <c r="H5962" i="11"/>
  <c r="G5963" i="11"/>
  <c r="H5963" i="11"/>
  <c r="G5964" i="11"/>
  <c r="H5964" i="11"/>
  <c r="G5965" i="11"/>
  <c r="H5965" i="11"/>
  <c r="G5966" i="11"/>
  <c r="H5966" i="11"/>
  <c r="G5967" i="11"/>
  <c r="H5967" i="11"/>
  <c r="G5968" i="11"/>
  <c r="H5968" i="11"/>
  <c r="G5969" i="11"/>
  <c r="H5969" i="11"/>
  <c r="G5970" i="11"/>
  <c r="H5970" i="11"/>
  <c r="G5971" i="11"/>
  <c r="H5971" i="11"/>
  <c r="G5972" i="11"/>
  <c r="H5972" i="11"/>
  <c r="G5973" i="11"/>
  <c r="H5973" i="11"/>
  <c r="G5974" i="11"/>
  <c r="H5974" i="11"/>
  <c r="G5975" i="11"/>
  <c r="H5975" i="11"/>
  <c r="G5976" i="11"/>
  <c r="H5976" i="11"/>
  <c r="G5977" i="11"/>
  <c r="H5977" i="11"/>
  <c r="G5978" i="11"/>
  <c r="H5978" i="11"/>
  <c r="G5979" i="11"/>
  <c r="H5979" i="11"/>
  <c r="G5980" i="11"/>
  <c r="H5980" i="11"/>
  <c r="G5981" i="11"/>
  <c r="H5981" i="11"/>
  <c r="G5982" i="11"/>
  <c r="H5982" i="11"/>
  <c r="G5983" i="11"/>
  <c r="H5983" i="11"/>
  <c r="G5984" i="11"/>
  <c r="H5984" i="11"/>
  <c r="G5985" i="11"/>
  <c r="H5985" i="11"/>
  <c r="G5986" i="11"/>
  <c r="H5986" i="11"/>
  <c r="G5987" i="11"/>
  <c r="H5987" i="11"/>
  <c r="G5988" i="11"/>
  <c r="H5988" i="11"/>
  <c r="G5989" i="11"/>
  <c r="H5989" i="11"/>
  <c r="G5990" i="11"/>
  <c r="H5990" i="11"/>
  <c r="G5991" i="11"/>
  <c r="H5991" i="11"/>
  <c r="G5992" i="11"/>
  <c r="H5992" i="11"/>
  <c r="G5993" i="11"/>
  <c r="H5993" i="11"/>
  <c r="G5994" i="11"/>
  <c r="H5994" i="11"/>
  <c r="G5995" i="11"/>
  <c r="H5995" i="11"/>
  <c r="G5996" i="11"/>
  <c r="H5996" i="11"/>
  <c r="G5997" i="11"/>
  <c r="H5997" i="11"/>
  <c r="G5998" i="11"/>
  <c r="H5998" i="11"/>
  <c r="G5999" i="11"/>
  <c r="H5999" i="11"/>
  <c r="G6000" i="11"/>
  <c r="H6000" i="11"/>
  <c r="G6001" i="11"/>
  <c r="H6001" i="11"/>
  <c r="G4502" i="11"/>
  <c r="H4502" i="11"/>
  <c r="G4503" i="11"/>
  <c r="H4503" i="11"/>
  <c r="G4504" i="11"/>
  <c r="H4504" i="11"/>
  <c r="G4505" i="11"/>
  <c r="H4505" i="11"/>
  <c r="G4506" i="11"/>
  <c r="H4506" i="11"/>
  <c r="G4507" i="11"/>
  <c r="H4507" i="11"/>
  <c r="G4508" i="11"/>
  <c r="H4508" i="11"/>
  <c r="G4509" i="11"/>
  <c r="H4509" i="11"/>
  <c r="G4510" i="11"/>
  <c r="H4510" i="11"/>
  <c r="G4511" i="11"/>
  <c r="H4511" i="11"/>
  <c r="G4512" i="11"/>
  <c r="H4512" i="11"/>
  <c r="G4513" i="11"/>
  <c r="H4513" i="11"/>
  <c r="G4514" i="11"/>
  <c r="H4514" i="11"/>
  <c r="G4515" i="11"/>
  <c r="H4515" i="11"/>
  <c r="G4516" i="11"/>
  <c r="H4516" i="11"/>
  <c r="G4517" i="11"/>
  <c r="H4517" i="11"/>
  <c r="G4518" i="11"/>
  <c r="H4518" i="11"/>
  <c r="G4519" i="11"/>
  <c r="H4519" i="11"/>
  <c r="G4520" i="11"/>
  <c r="H4520" i="11"/>
  <c r="G4521" i="11"/>
  <c r="H4521" i="11"/>
  <c r="G4522" i="11"/>
  <c r="H4522" i="11"/>
  <c r="G4523" i="11"/>
  <c r="H4523" i="11"/>
  <c r="G4524" i="11"/>
  <c r="H4524" i="11"/>
  <c r="G4525" i="11"/>
  <c r="H4525" i="11"/>
  <c r="G4526" i="11"/>
  <c r="H4526" i="11"/>
  <c r="G4527" i="11"/>
  <c r="H4527" i="11"/>
  <c r="G4528" i="11"/>
  <c r="H4528" i="11"/>
  <c r="G4529" i="11"/>
  <c r="H4529" i="11"/>
  <c r="G4530" i="11"/>
  <c r="H4530" i="11"/>
  <c r="G4531" i="11"/>
  <c r="H4531" i="11"/>
  <c r="G4532" i="11"/>
  <c r="H4532" i="11"/>
  <c r="G4533" i="11"/>
  <c r="H4533" i="11"/>
  <c r="G4534" i="11"/>
  <c r="H4534" i="11"/>
  <c r="G4535" i="11"/>
  <c r="H4535" i="11"/>
  <c r="G4536" i="11"/>
  <c r="H4536" i="11"/>
  <c r="G4537" i="11"/>
  <c r="H4537" i="11"/>
  <c r="G4538" i="11"/>
  <c r="H4538" i="11"/>
  <c r="G4539" i="11"/>
  <c r="H4539" i="11"/>
  <c r="G4540" i="11"/>
  <c r="H4540" i="11"/>
  <c r="G4541" i="11"/>
  <c r="H4541" i="11"/>
  <c r="G4542" i="11"/>
  <c r="H4542" i="11"/>
  <c r="G4543" i="11"/>
  <c r="H4543" i="11"/>
  <c r="G4544" i="11"/>
  <c r="H4544" i="11"/>
  <c r="G4545" i="11"/>
  <c r="H4545" i="11"/>
  <c r="G4546" i="11"/>
  <c r="H4546" i="11"/>
  <c r="G4547" i="11"/>
  <c r="H4547" i="11"/>
  <c r="G4548" i="11"/>
  <c r="H4548" i="11"/>
  <c r="G4549" i="11"/>
  <c r="H4549" i="11"/>
  <c r="G4550" i="11"/>
  <c r="H4550" i="11"/>
  <c r="G4551" i="11"/>
  <c r="H4551" i="11"/>
  <c r="G4552" i="11"/>
  <c r="H4552" i="11"/>
  <c r="G4553" i="11"/>
  <c r="H4553" i="11"/>
  <c r="G4554" i="11"/>
  <c r="H4554" i="11"/>
  <c r="G4555" i="11"/>
  <c r="H4555" i="11"/>
  <c r="G4556" i="11"/>
  <c r="H4556" i="11"/>
  <c r="G4557" i="11"/>
  <c r="H4557" i="11"/>
  <c r="G4558" i="11"/>
  <c r="H4558" i="11"/>
  <c r="G4559" i="11"/>
  <c r="H4559" i="11"/>
  <c r="G4560" i="11"/>
  <c r="H4560" i="11"/>
  <c r="G4561" i="11"/>
  <c r="H4561" i="11"/>
  <c r="G4562" i="11"/>
  <c r="H4562" i="11"/>
  <c r="G4563" i="11"/>
  <c r="H4563" i="11"/>
  <c r="G4564" i="11"/>
  <c r="H4564" i="11"/>
  <c r="G4565" i="11"/>
  <c r="H4565" i="11"/>
  <c r="G4566" i="11"/>
  <c r="H4566" i="11"/>
  <c r="G4567" i="11"/>
  <c r="H4567" i="11"/>
  <c r="G4568" i="11"/>
  <c r="H4568" i="11"/>
  <c r="G4569" i="11"/>
  <c r="H4569" i="11"/>
  <c r="G4570" i="11"/>
  <c r="H4570" i="11"/>
  <c r="G4571" i="11"/>
  <c r="H4571" i="11"/>
  <c r="G4572" i="11"/>
  <c r="H4572" i="11"/>
  <c r="G4573" i="11"/>
  <c r="H4573" i="11"/>
  <c r="G4574" i="11"/>
  <c r="H4574" i="11"/>
  <c r="G4575" i="11"/>
  <c r="H4575" i="11"/>
  <c r="G4576" i="11"/>
  <c r="H4576" i="11"/>
  <c r="G4577" i="11"/>
  <c r="H4577" i="11"/>
  <c r="G4578" i="11"/>
  <c r="H4578" i="11"/>
  <c r="G4579" i="11"/>
  <c r="H4579" i="11"/>
  <c r="G4580" i="11"/>
  <c r="H4580" i="11"/>
  <c r="G4581" i="11"/>
  <c r="H4581" i="11"/>
  <c r="G4582" i="11"/>
  <c r="H4582" i="11"/>
  <c r="G4583" i="11"/>
  <c r="H4583" i="11"/>
  <c r="G4584" i="11"/>
  <c r="H4584" i="11"/>
  <c r="G4585" i="11"/>
  <c r="H4585" i="11"/>
  <c r="G4586" i="11"/>
  <c r="H4586" i="11"/>
  <c r="G4587" i="11"/>
  <c r="H4587" i="11"/>
  <c r="G4588" i="11"/>
  <c r="H4588" i="11"/>
  <c r="G4589" i="11"/>
  <c r="H4589" i="11"/>
  <c r="G4590" i="11"/>
  <c r="H4590" i="11"/>
  <c r="G4591" i="11"/>
  <c r="H4591" i="11"/>
  <c r="G4592" i="11"/>
  <c r="H4592" i="11"/>
  <c r="G4593" i="11"/>
  <c r="H4593" i="11"/>
  <c r="G4594" i="11"/>
  <c r="H4594" i="11"/>
  <c r="G4595" i="11"/>
  <c r="H4595" i="11"/>
  <c r="G4596" i="11"/>
  <c r="H4596" i="11"/>
  <c r="G4597" i="11"/>
  <c r="H4597" i="11"/>
  <c r="G4598" i="11"/>
  <c r="H4598" i="11"/>
  <c r="G4599" i="11"/>
  <c r="H4599" i="11"/>
  <c r="G4600" i="11"/>
  <c r="H4600" i="11"/>
  <c r="G4601" i="11"/>
  <c r="H4601" i="11"/>
  <c r="G4602" i="11"/>
  <c r="H4602" i="11"/>
  <c r="G4603" i="11"/>
  <c r="H4603" i="11"/>
  <c r="G4604" i="11"/>
  <c r="H4604" i="11"/>
  <c r="G4605" i="11"/>
  <c r="H4605" i="11"/>
  <c r="G4606" i="11"/>
  <c r="H4606" i="11"/>
  <c r="G4607" i="11"/>
  <c r="H4607" i="11"/>
  <c r="G4608" i="11"/>
  <c r="H4608" i="11"/>
  <c r="G4609" i="11"/>
  <c r="H4609" i="11"/>
  <c r="G4610" i="11"/>
  <c r="H4610" i="11"/>
  <c r="G4611" i="11"/>
  <c r="H4611" i="11"/>
  <c r="G4612" i="11"/>
  <c r="H4612" i="11"/>
  <c r="G4613" i="11"/>
  <c r="H4613" i="11"/>
  <c r="G4614" i="11"/>
  <c r="H4614" i="11"/>
  <c r="G4615" i="11"/>
  <c r="H4615" i="11"/>
  <c r="G4616" i="11"/>
  <c r="H4616" i="11"/>
  <c r="G4617" i="11"/>
  <c r="H4617" i="11"/>
  <c r="G4618" i="11"/>
  <c r="H4618" i="11"/>
  <c r="G4619" i="11"/>
  <c r="H4619" i="11"/>
  <c r="G4620" i="11"/>
  <c r="H4620" i="11"/>
  <c r="G4621" i="11"/>
  <c r="H4621" i="11"/>
  <c r="G4622" i="11"/>
  <c r="H4622" i="11"/>
  <c r="G4623" i="11"/>
  <c r="H4623" i="11"/>
  <c r="G4624" i="11"/>
  <c r="H4624" i="11"/>
  <c r="G4625" i="11"/>
  <c r="H4625" i="11"/>
  <c r="G4626" i="11"/>
  <c r="H4626" i="11"/>
  <c r="G4627" i="11"/>
  <c r="H4627" i="11"/>
  <c r="G4628" i="11"/>
  <c r="H4628" i="11"/>
  <c r="G4629" i="11"/>
  <c r="H4629" i="11"/>
  <c r="G4630" i="11"/>
  <c r="H4630" i="11"/>
  <c r="G4631" i="11"/>
  <c r="H4631" i="11"/>
  <c r="G4632" i="11"/>
  <c r="H4632" i="11"/>
  <c r="G4633" i="11"/>
  <c r="H4633" i="11"/>
  <c r="G4634" i="11"/>
  <c r="H4634" i="11"/>
  <c r="G4635" i="11"/>
  <c r="H4635" i="11"/>
  <c r="G4636" i="11"/>
  <c r="H4636" i="11"/>
  <c r="G4637" i="11"/>
  <c r="H4637" i="11"/>
  <c r="G4638" i="11"/>
  <c r="H4638" i="11"/>
  <c r="G4639" i="11"/>
  <c r="H4639" i="11"/>
  <c r="G4640" i="11"/>
  <c r="H4640" i="11"/>
  <c r="G4641" i="11"/>
  <c r="H4641" i="11"/>
  <c r="G4642" i="11"/>
  <c r="H4642" i="11"/>
  <c r="G4643" i="11"/>
  <c r="H4643" i="11"/>
  <c r="G4644" i="11"/>
  <c r="H4644" i="11"/>
  <c r="G4645" i="11"/>
  <c r="H4645" i="11"/>
  <c r="G4646" i="11"/>
  <c r="H4646" i="11"/>
  <c r="G4647" i="11"/>
  <c r="H4647" i="11"/>
  <c r="G4648" i="11"/>
  <c r="H4648" i="11"/>
  <c r="G4649" i="11"/>
  <c r="H4649" i="11"/>
  <c r="G4650" i="11"/>
  <c r="H4650" i="11"/>
  <c r="G4651" i="11"/>
  <c r="H4651" i="11"/>
  <c r="G4652" i="11"/>
  <c r="H4652" i="11"/>
  <c r="G4653" i="11"/>
  <c r="H4653" i="11"/>
  <c r="G4654" i="11"/>
  <c r="H4654" i="11"/>
  <c r="G4655" i="11"/>
  <c r="H4655" i="11"/>
  <c r="G4656" i="11"/>
  <c r="H4656" i="11"/>
  <c r="G4657" i="11"/>
  <c r="H4657" i="11"/>
  <c r="G4658" i="11"/>
  <c r="H4658" i="11"/>
  <c r="G4659" i="11"/>
  <c r="H4659" i="11"/>
  <c r="G4660" i="11"/>
  <c r="H4660" i="11"/>
  <c r="G4661" i="11"/>
  <c r="H4661" i="11"/>
  <c r="G4662" i="11"/>
  <c r="H4662" i="11"/>
  <c r="G4663" i="11"/>
  <c r="H4663" i="11"/>
  <c r="G4664" i="11"/>
  <c r="H4664" i="11"/>
  <c r="G4665" i="11"/>
  <c r="H4665" i="11"/>
  <c r="G4666" i="11"/>
  <c r="H4666" i="11"/>
  <c r="G4667" i="11"/>
  <c r="H4667" i="11"/>
  <c r="G4668" i="11"/>
  <c r="H4668" i="11"/>
  <c r="G4669" i="11"/>
  <c r="H4669" i="11"/>
  <c r="G4670" i="11"/>
  <c r="H4670" i="11"/>
  <c r="G4671" i="11"/>
  <c r="H4671" i="11"/>
  <c r="G4672" i="11"/>
  <c r="H4672" i="11"/>
  <c r="G4673" i="11"/>
  <c r="H4673" i="11"/>
  <c r="G4674" i="11"/>
  <c r="H4674" i="11"/>
  <c r="G4675" i="11"/>
  <c r="H4675" i="11"/>
  <c r="G4676" i="11"/>
  <c r="H4676" i="11"/>
  <c r="G4677" i="11"/>
  <c r="H4677" i="11"/>
  <c r="G4678" i="11"/>
  <c r="H4678" i="11"/>
  <c r="G4679" i="11"/>
  <c r="H4679" i="11"/>
  <c r="G4680" i="11"/>
  <c r="H4680" i="11"/>
  <c r="G4681" i="11"/>
  <c r="H4681" i="11"/>
  <c r="G4682" i="11"/>
  <c r="H4682" i="11"/>
  <c r="G4683" i="11"/>
  <c r="H4683" i="11"/>
  <c r="G4684" i="11"/>
  <c r="H4684" i="11"/>
  <c r="G4685" i="11"/>
  <c r="H4685" i="11"/>
  <c r="G4686" i="11"/>
  <c r="H4686" i="11"/>
  <c r="G4687" i="11"/>
  <c r="H4687" i="11"/>
  <c r="G4688" i="11"/>
  <c r="H4688" i="11"/>
  <c r="G4689" i="11"/>
  <c r="H4689" i="11"/>
  <c r="G4690" i="11"/>
  <c r="H4690" i="11"/>
  <c r="G4691" i="11"/>
  <c r="H4691" i="11"/>
  <c r="G4692" i="11"/>
  <c r="H4692" i="11"/>
  <c r="G4693" i="11"/>
  <c r="H4693" i="11"/>
  <c r="G4694" i="11"/>
  <c r="H4694" i="11"/>
  <c r="G4695" i="11"/>
  <c r="H4695" i="11"/>
  <c r="G4696" i="11"/>
  <c r="H4696" i="11"/>
  <c r="G4697" i="11"/>
  <c r="H4697" i="11"/>
  <c r="G4698" i="11"/>
  <c r="H4698" i="11"/>
  <c r="G4699" i="11"/>
  <c r="H4699" i="11"/>
  <c r="G4700" i="11"/>
  <c r="H4700" i="11"/>
  <c r="G4701" i="11"/>
  <c r="H4701" i="11"/>
  <c r="G4702" i="11"/>
  <c r="H4702" i="11"/>
  <c r="G4703" i="11"/>
  <c r="H4703" i="11"/>
  <c r="G4704" i="11"/>
  <c r="H4704" i="11"/>
  <c r="G4705" i="11"/>
  <c r="H4705" i="11"/>
  <c r="G4706" i="11"/>
  <c r="H4706" i="11"/>
  <c r="G4707" i="11"/>
  <c r="H4707" i="11"/>
  <c r="G4708" i="11"/>
  <c r="H4708" i="11"/>
  <c r="G4709" i="11"/>
  <c r="H4709" i="11"/>
  <c r="G4710" i="11"/>
  <c r="H4710" i="11"/>
  <c r="G4711" i="11"/>
  <c r="H4711" i="11"/>
  <c r="G4712" i="11"/>
  <c r="H4712" i="11"/>
  <c r="G4713" i="11"/>
  <c r="H4713" i="11"/>
  <c r="G4714" i="11"/>
  <c r="H4714" i="11"/>
  <c r="G4715" i="11"/>
  <c r="H4715" i="11"/>
  <c r="G4716" i="11"/>
  <c r="H4716" i="11"/>
  <c r="G4717" i="11"/>
  <c r="H4717" i="11"/>
  <c r="G4718" i="11"/>
  <c r="H4718" i="11"/>
  <c r="G4719" i="11"/>
  <c r="H4719" i="11"/>
  <c r="G4720" i="11"/>
  <c r="H4720" i="11"/>
  <c r="G4721" i="11"/>
  <c r="H4721" i="11"/>
  <c r="G4722" i="11"/>
  <c r="H4722" i="11"/>
  <c r="G4723" i="11"/>
  <c r="H4723" i="11"/>
  <c r="G4724" i="11"/>
  <c r="H4724" i="11"/>
  <c r="G4725" i="11"/>
  <c r="H4725" i="11"/>
  <c r="G4726" i="11"/>
  <c r="H4726" i="11"/>
  <c r="G4727" i="11"/>
  <c r="H4727" i="11"/>
  <c r="G4728" i="11"/>
  <c r="H4728" i="11"/>
  <c r="G4729" i="11"/>
  <c r="H4729" i="11"/>
  <c r="G4730" i="11"/>
  <c r="H4730" i="11"/>
  <c r="G4731" i="11"/>
  <c r="H4731" i="11"/>
  <c r="G4732" i="11"/>
  <c r="H4732" i="11"/>
  <c r="G4733" i="11"/>
  <c r="H4733" i="11"/>
  <c r="G4734" i="11"/>
  <c r="H4734" i="11"/>
  <c r="G4735" i="11"/>
  <c r="H4735" i="11"/>
  <c r="G4736" i="11"/>
  <c r="H4736" i="11"/>
  <c r="G4737" i="11"/>
  <c r="H4737" i="11"/>
  <c r="G4738" i="11"/>
  <c r="H4738" i="11"/>
  <c r="G4739" i="11"/>
  <c r="H4739" i="11"/>
  <c r="G4740" i="11"/>
  <c r="H4740" i="11"/>
  <c r="G4741" i="11"/>
  <c r="H4741" i="11"/>
  <c r="G4742" i="11"/>
  <c r="H4742" i="11"/>
  <c r="G4743" i="11"/>
  <c r="H4743" i="11"/>
  <c r="G4744" i="11"/>
  <c r="H4744" i="11"/>
  <c r="G4745" i="11"/>
  <c r="H4745" i="11"/>
  <c r="G4746" i="11"/>
  <c r="H4746" i="11"/>
  <c r="G4747" i="11"/>
  <c r="H4747" i="11"/>
  <c r="G4748" i="11"/>
  <c r="H4748" i="11"/>
  <c r="G4749" i="11"/>
  <c r="H4749" i="11"/>
  <c r="G4750" i="11"/>
  <c r="H4750" i="11"/>
  <c r="G4751" i="11"/>
  <c r="H4751" i="11"/>
  <c r="G4752" i="11"/>
  <c r="H4752" i="11"/>
  <c r="G4753" i="11"/>
  <c r="H4753" i="11"/>
  <c r="G4754" i="11"/>
  <c r="H4754" i="11"/>
  <c r="G4755" i="11"/>
  <c r="H4755" i="11"/>
  <c r="G4756" i="11"/>
  <c r="H4756" i="11"/>
  <c r="G4757" i="11"/>
  <c r="H4757" i="11"/>
  <c r="G4758" i="11"/>
  <c r="H4758" i="11"/>
  <c r="G4759" i="11"/>
  <c r="H4759" i="11"/>
  <c r="G4760" i="11"/>
  <c r="H4760" i="11"/>
  <c r="G4761" i="11"/>
  <c r="H4761" i="11"/>
  <c r="G4762" i="11"/>
  <c r="H4762" i="11"/>
  <c r="G4763" i="11"/>
  <c r="H4763" i="11"/>
  <c r="G4764" i="11"/>
  <c r="H4764" i="11"/>
  <c r="G4765" i="11"/>
  <c r="H4765" i="11"/>
  <c r="G4766" i="11"/>
  <c r="H4766" i="11"/>
  <c r="G4767" i="11"/>
  <c r="H4767" i="11"/>
  <c r="G4768" i="11"/>
  <c r="H4768" i="11"/>
  <c r="G4769" i="11"/>
  <c r="H4769" i="11"/>
  <c r="G4770" i="11"/>
  <c r="H4770" i="11"/>
  <c r="G4771" i="11"/>
  <c r="H4771" i="11"/>
  <c r="G4772" i="11"/>
  <c r="H4772" i="11"/>
  <c r="G4773" i="11"/>
  <c r="H4773" i="11"/>
  <c r="G4774" i="11"/>
  <c r="H4774" i="11"/>
  <c r="G4775" i="11"/>
  <c r="H4775" i="11"/>
  <c r="G4776" i="11"/>
  <c r="H4776" i="11"/>
  <c r="G4777" i="11"/>
  <c r="H4777" i="11"/>
  <c r="G4778" i="11"/>
  <c r="H4778" i="11"/>
  <c r="G4779" i="11"/>
  <c r="H4779" i="11"/>
  <c r="G4780" i="11"/>
  <c r="H4780" i="11"/>
  <c r="G4781" i="11"/>
  <c r="H4781" i="11"/>
  <c r="G4782" i="11"/>
  <c r="H4782" i="11"/>
  <c r="G4783" i="11"/>
  <c r="H4783" i="11"/>
  <c r="G4784" i="11"/>
  <c r="H4784" i="11"/>
  <c r="G4785" i="11"/>
  <c r="H4785" i="11"/>
  <c r="G4786" i="11"/>
  <c r="H4786" i="11"/>
  <c r="G4787" i="11"/>
  <c r="H4787" i="11"/>
  <c r="G4788" i="11"/>
  <c r="H4788" i="11"/>
  <c r="G4789" i="11"/>
  <c r="H4789" i="11"/>
  <c r="G4790" i="11"/>
  <c r="H4790" i="11"/>
  <c r="G4791" i="11"/>
  <c r="H4791" i="11"/>
  <c r="G4792" i="11"/>
  <c r="H4792" i="11"/>
  <c r="G4793" i="11"/>
  <c r="H4793" i="11"/>
  <c r="G4794" i="11"/>
  <c r="H4794" i="11"/>
  <c r="G4795" i="11"/>
  <c r="H4795" i="11"/>
  <c r="G4796" i="11"/>
  <c r="H4796" i="11"/>
  <c r="G4797" i="11"/>
  <c r="H4797" i="11"/>
  <c r="G4798" i="11"/>
  <c r="H4798" i="11"/>
  <c r="G4799" i="11"/>
  <c r="H4799" i="11"/>
  <c r="G4800" i="11"/>
  <c r="H4800" i="11"/>
  <c r="G4801" i="11"/>
  <c r="H4801" i="11"/>
  <c r="G4802" i="11"/>
  <c r="H4802" i="11"/>
  <c r="G4803" i="11"/>
  <c r="H4803" i="11"/>
  <c r="G4804" i="11"/>
  <c r="H4804" i="11"/>
  <c r="G4805" i="11"/>
  <c r="H4805" i="11"/>
  <c r="G4806" i="11"/>
  <c r="H4806" i="11"/>
  <c r="G4807" i="11"/>
  <c r="H4807" i="11"/>
  <c r="G4808" i="11"/>
  <c r="H4808" i="11"/>
  <c r="G4809" i="11"/>
  <c r="H4809" i="11"/>
  <c r="G4810" i="11"/>
  <c r="H4810" i="11"/>
  <c r="G4811" i="11"/>
  <c r="H4811" i="11"/>
  <c r="G4812" i="11"/>
  <c r="H4812" i="11"/>
  <c r="G4813" i="11"/>
  <c r="H4813" i="11"/>
  <c r="G4814" i="11"/>
  <c r="H4814" i="11"/>
  <c r="G4815" i="11"/>
  <c r="H4815" i="11"/>
  <c r="G4816" i="11"/>
  <c r="H4816" i="11"/>
  <c r="G4817" i="11"/>
  <c r="H4817" i="11"/>
  <c r="G4818" i="11"/>
  <c r="H4818" i="11"/>
  <c r="G4819" i="11"/>
  <c r="H4819" i="11"/>
  <c r="G4820" i="11"/>
  <c r="H4820" i="11"/>
  <c r="G4821" i="11"/>
  <c r="H4821" i="11"/>
  <c r="G4822" i="11"/>
  <c r="H4822" i="11"/>
  <c r="G4823" i="11"/>
  <c r="H4823" i="11"/>
  <c r="G4824" i="11"/>
  <c r="H4824" i="11"/>
  <c r="G4825" i="11"/>
  <c r="H4825" i="11"/>
  <c r="G4826" i="11"/>
  <c r="H4826" i="11"/>
  <c r="G4827" i="11"/>
  <c r="H4827" i="11"/>
  <c r="G4828" i="11"/>
  <c r="H4828" i="11"/>
  <c r="G4829" i="11"/>
  <c r="H4829" i="11"/>
  <c r="G4830" i="11"/>
  <c r="H4830" i="11"/>
  <c r="G4831" i="11"/>
  <c r="H4831" i="11"/>
  <c r="G4832" i="11"/>
  <c r="H4832" i="11"/>
  <c r="G4833" i="11"/>
  <c r="H4833" i="11"/>
  <c r="G4834" i="11"/>
  <c r="H4834" i="11"/>
  <c r="G4835" i="11"/>
  <c r="H4835" i="11"/>
  <c r="G4836" i="11"/>
  <c r="H4836" i="11"/>
  <c r="G4837" i="11"/>
  <c r="H4837" i="11"/>
  <c r="G4838" i="11"/>
  <c r="H4838" i="11"/>
  <c r="G4839" i="11"/>
  <c r="H4839" i="11"/>
  <c r="G4840" i="11"/>
  <c r="H4840" i="11"/>
  <c r="G4841" i="11"/>
  <c r="H4841" i="11"/>
  <c r="G4842" i="11"/>
  <c r="H4842" i="11"/>
  <c r="G4843" i="11"/>
  <c r="H4843" i="11"/>
  <c r="G4844" i="11"/>
  <c r="H4844" i="11"/>
  <c r="G4845" i="11"/>
  <c r="H4845" i="11"/>
  <c r="G4846" i="11"/>
  <c r="H4846" i="11"/>
  <c r="G4847" i="11"/>
  <c r="H4847" i="11"/>
  <c r="G4848" i="11"/>
  <c r="H4848" i="11"/>
  <c r="G4849" i="11"/>
  <c r="H4849" i="11"/>
  <c r="G4850" i="11"/>
  <c r="H4850" i="11"/>
  <c r="G4851" i="11"/>
  <c r="H4851" i="11"/>
  <c r="G4852" i="11"/>
  <c r="H4852" i="11"/>
  <c r="G4853" i="11"/>
  <c r="H4853" i="11"/>
  <c r="G4854" i="11"/>
  <c r="H4854" i="11"/>
  <c r="G4855" i="11"/>
  <c r="H4855" i="11"/>
  <c r="G4856" i="11"/>
  <c r="H4856" i="11"/>
  <c r="G4857" i="11"/>
  <c r="H4857" i="11"/>
  <c r="G4858" i="11"/>
  <c r="H4858" i="11"/>
  <c r="G4859" i="11"/>
  <c r="H4859" i="11"/>
  <c r="G4860" i="11"/>
  <c r="H4860" i="11"/>
  <c r="G4861" i="11"/>
  <c r="H4861" i="11"/>
  <c r="G4862" i="11"/>
  <c r="H4862" i="11"/>
  <c r="G4863" i="11"/>
  <c r="H4863" i="11"/>
  <c r="G4864" i="11"/>
  <c r="H4864" i="11"/>
  <c r="G4865" i="11"/>
  <c r="H4865" i="11"/>
  <c r="G4866" i="11"/>
  <c r="H4866" i="11"/>
  <c r="G4867" i="11"/>
  <c r="H4867" i="11"/>
  <c r="G4868" i="11"/>
  <c r="H4868" i="11"/>
  <c r="G4869" i="11"/>
  <c r="H4869" i="11"/>
  <c r="G4870" i="11"/>
  <c r="H4870" i="11"/>
  <c r="G4871" i="11"/>
  <c r="H4871" i="11"/>
  <c r="G4872" i="11"/>
  <c r="H4872" i="11"/>
  <c r="G4873" i="11"/>
  <c r="H4873" i="11"/>
  <c r="G4874" i="11"/>
  <c r="H4874" i="11"/>
  <c r="G4875" i="11"/>
  <c r="H4875" i="11"/>
  <c r="G4876" i="11"/>
  <c r="H4876" i="11"/>
  <c r="G4877" i="11"/>
  <c r="H4877" i="11"/>
  <c r="G4878" i="11"/>
  <c r="H4878" i="11"/>
  <c r="G4879" i="11"/>
  <c r="H4879" i="11"/>
  <c r="G4880" i="11"/>
  <c r="H4880" i="11"/>
  <c r="G4881" i="11"/>
  <c r="H4881" i="11"/>
  <c r="G4882" i="11"/>
  <c r="H4882" i="11"/>
  <c r="G4883" i="11"/>
  <c r="H4883" i="11"/>
  <c r="G4884" i="11"/>
  <c r="H4884" i="11"/>
  <c r="G4885" i="11"/>
  <c r="H4885" i="11"/>
  <c r="G4886" i="11"/>
  <c r="H4886" i="11"/>
  <c r="G4887" i="11"/>
  <c r="H4887" i="11"/>
  <c r="G4888" i="11"/>
  <c r="H4888" i="11"/>
  <c r="G4889" i="11"/>
  <c r="H4889" i="11"/>
  <c r="G4890" i="11"/>
  <c r="H4890" i="11"/>
  <c r="G4891" i="11"/>
  <c r="H4891" i="11"/>
  <c r="G4892" i="11"/>
  <c r="H4892" i="11"/>
  <c r="G4893" i="11"/>
  <c r="H4893" i="11"/>
  <c r="G4894" i="11"/>
  <c r="H4894" i="11"/>
  <c r="G4895" i="11"/>
  <c r="H4895" i="11"/>
  <c r="G4896" i="11"/>
  <c r="H4896" i="11"/>
  <c r="G4897" i="11"/>
  <c r="H4897" i="11"/>
  <c r="G4898" i="11"/>
  <c r="H4898" i="11"/>
  <c r="G4899" i="11"/>
  <c r="H4899" i="11"/>
  <c r="G4900" i="11"/>
  <c r="H4900" i="11"/>
  <c r="G4901" i="11"/>
  <c r="H4901" i="11"/>
  <c r="G4902" i="11"/>
  <c r="H4902" i="11"/>
  <c r="G4903" i="11"/>
  <c r="H4903" i="11"/>
  <c r="G4904" i="11"/>
  <c r="H4904" i="11"/>
  <c r="G4905" i="11"/>
  <c r="H4905" i="11"/>
  <c r="G4906" i="11"/>
  <c r="H4906" i="11"/>
  <c r="G4907" i="11"/>
  <c r="H4907" i="11"/>
  <c r="G4908" i="11"/>
  <c r="H4908" i="11"/>
  <c r="G4909" i="11"/>
  <c r="H4909" i="11"/>
  <c r="G4910" i="11"/>
  <c r="H4910" i="11"/>
  <c r="G4911" i="11"/>
  <c r="H4911" i="11"/>
  <c r="G4912" i="11"/>
  <c r="H4912" i="11"/>
  <c r="G4913" i="11"/>
  <c r="H4913" i="11"/>
  <c r="G4914" i="11"/>
  <c r="H4914" i="11"/>
  <c r="G4915" i="11"/>
  <c r="H4915" i="11"/>
  <c r="G4916" i="11"/>
  <c r="H4916" i="11"/>
  <c r="G4917" i="11"/>
  <c r="H4917" i="11"/>
  <c r="G4918" i="11"/>
  <c r="H4918" i="11"/>
  <c r="G4919" i="11"/>
  <c r="H4919" i="11"/>
  <c r="G4920" i="11"/>
  <c r="H4920" i="11"/>
  <c r="G4921" i="11"/>
  <c r="H4921" i="11"/>
  <c r="G4922" i="11"/>
  <c r="H4922" i="11"/>
  <c r="G4923" i="11"/>
  <c r="H4923" i="11"/>
  <c r="G4924" i="11"/>
  <c r="H4924" i="11"/>
  <c r="G4925" i="11"/>
  <c r="H4925" i="11"/>
  <c r="G4926" i="11"/>
  <c r="H4926" i="11"/>
  <c r="G4927" i="11"/>
  <c r="H4927" i="11"/>
  <c r="G4928" i="11"/>
  <c r="H4928" i="11"/>
  <c r="G4929" i="11"/>
  <c r="H4929" i="11"/>
  <c r="G4930" i="11"/>
  <c r="H4930" i="11"/>
  <c r="G4931" i="11"/>
  <c r="H4931" i="11"/>
  <c r="G4932" i="11"/>
  <c r="H4932" i="11"/>
  <c r="G4933" i="11"/>
  <c r="H4933" i="11"/>
  <c r="G4934" i="11"/>
  <c r="H4934" i="11"/>
  <c r="G4935" i="11"/>
  <c r="H4935" i="11"/>
  <c r="G4936" i="11"/>
  <c r="H4936" i="11"/>
  <c r="G4937" i="11"/>
  <c r="H4937" i="11"/>
  <c r="G4938" i="11"/>
  <c r="H4938" i="11"/>
  <c r="G4939" i="11"/>
  <c r="H4939" i="11"/>
  <c r="G4940" i="11"/>
  <c r="H4940" i="11"/>
  <c r="G4941" i="11"/>
  <c r="H4941" i="11"/>
  <c r="G4942" i="11"/>
  <c r="H4942" i="11"/>
  <c r="G4943" i="11"/>
  <c r="H4943" i="11"/>
  <c r="G4944" i="11"/>
  <c r="H4944" i="11"/>
  <c r="G4945" i="11"/>
  <c r="H4945" i="11"/>
  <c r="G4946" i="11"/>
  <c r="H4946" i="11"/>
  <c r="G4947" i="11"/>
  <c r="H4947" i="11"/>
  <c r="G4948" i="11"/>
  <c r="H4948" i="11"/>
  <c r="G4949" i="11"/>
  <c r="H4949" i="11"/>
  <c r="G4950" i="11"/>
  <c r="H4950" i="11"/>
  <c r="G4951" i="11"/>
  <c r="H4951" i="11"/>
  <c r="G4952" i="11"/>
  <c r="H4952" i="11"/>
  <c r="G4953" i="11"/>
  <c r="H4953" i="11"/>
  <c r="G4954" i="11"/>
  <c r="H4954" i="11"/>
  <c r="G4955" i="11"/>
  <c r="H4955" i="11"/>
  <c r="G4956" i="11"/>
  <c r="H4956" i="11"/>
  <c r="G4957" i="11"/>
  <c r="H4957" i="11"/>
  <c r="G4958" i="11"/>
  <c r="H4958" i="11"/>
  <c r="G4959" i="11"/>
  <c r="H4959" i="11"/>
  <c r="G4960" i="11"/>
  <c r="H4960" i="11"/>
  <c r="G4961" i="11"/>
  <c r="H4961" i="11"/>
  <c r="G4962" i="11"/>
  <c r="H4962" i="11"/>
  <c r="G4963" i="11"/>
  <c r="H4963" i="11"/>
  <c r="G4964" i="11"/>
  <c r="H4964" i="11"/>
  <c r="G4965" i="11"/>
  <c r="H4965" i="11"/>
  <c r="G4966" i="11"/>
  <c r="H4966" i="11"/>
  <c r="G4967" i="11"/>
  <c r="H4967" i="11"/>
  <c r="G4968" i="11"/>
  <c r="H4968" i="11"/>
  <c r="G4969" i="11"/>
  <c r="H4969" i="11"/>
  <c r="G4970" i="11"/>
  <c r="H4970" i="11"/>
  <c r="G4971" i="11"/>
  <c r="H4971" i="11"/>
  <c r="G4972" i="11"/>
  <c r="H4972" i="11"/>
  <c r="G4973" i="11"/>
  <c r="H4973" i="11"/>
  <c r="G4974" i="11"/>
  <c r="H4974" i="11"/>
  <c r="G4975" i="11"/>
  <c r="H4975" i="11"/>
  <c r="G4976" i="11"/>
  <c r="H4976" i="11"/>
  <c r="G4977" i="11"/>
  <c r="H4977" i="11"/>
  <c r="G4978" i="11"/>
  <c r="H4978" i="11"/>
  <c r="G4979" i="11"/>
  <c r="H4979" i="11"/>
  <c r="G4980" i="11"/>
  <c r="H4980" i="11"/>
  <c r="G4981" i="11"/>
  <c r="H4981" i="11"/>
  <c r="G4982" i="11"/>
  <c r="H4982" i="11"/>
  <c r="G4983" i="11"/>
  <c r="H4983" i="11"/>
  <c r="G4984" i="11"/>
  <c r="H4984" i="11"/>
  <c r="G4985" i="11"/>
  <c r="H4985" i="11"/>
  <c r="G4986" i="11"/>
  <c r="H4986" i="11"/>
  <c r="G4987" i="11"/>
  <c r="H4987" i="11"/>
  <c r="G4988" i="11"/>
  <c r="H4988" i="11"/>
  <c r="G4989" i="11"/>
  <c r="H4989" i="11"/>
  <c r="G4990" i="11"/>
  <c r="H4990" i="11"/>
  <c r="G4991" i="11"/>
  <c r="H4991" i="11"/>
  <c r="G4992" i="11"/>
  <c r="H4992" i="11"/>
  <c r="G4993" i="11"/>
  <c r="H4993" i="11"/>
  <c r="G4994" i="11"/>
  <c r="H4994" i="11"/>
  <c r="G4995" i="11"/>
  <c r="H4995" i="11"/>
  <c r="G4996" i="11"/>
  <c r="H4996" i="11"/>
  <c r="G4997" i="11"/>
  <c r="H4997" i="11"/>
  <c r="G4998" i="11"/>
  <c r="H4998" i="11"/>
  <c r="G4999" i="11"/>
  <c r="H4999" i="11"/>
  <c r="G5000" i="11"/>
  <c r="H5000" i="11"/>
  <c r="G5001" i="11"/>
  <c r="H5001" i="11"/>
  <c r="G5002" i="11"/>
  <c r="H5002" i="11"/>
  <c r="G5003" i="11"/>
  <c r="H5003" i="11"/>
  <c r="G5004" i="11"/>
  <c r="H5004" i="11"/>
  <c r="G5005" i="11"/>
  <c r="H5005" i="11"/>
  <c r="G5006" i="11"/>
  <c r="H5006" i="11"/>
  <c r="G5007" i="11"/>
  <c r="H5007" i="11"/>
  <c r="G5008" i="11"/>
  <c r="H5008" i="11"/>
  <c r="G5009" i="11"/>
  <c r="H5009" i="11"/>
  <c r="G5010" i="11"/>
  <c r="H5010" i="11"/>
  <c r="G5011" i="11"/>
  <c r="H5011" i="11"/>
  <c r="G5012" i="11"/>
  <c r="H5012" i="11"/>
  <c r="G5013" i="11"/>
  <c r="H5013" i="11"/>
  <c r="G5014" i="11"/>
  <c r="H5014" i="11"/>
  <c r="G5015" i="11"/>
  <c r="H5015" i="11"/>
  <c r="G5016" i="11"/>
  <c r="H5016" i="11"/>
  <c r="G5017" i="11"/>
  <c r="H5017" i="11"/>
  <c r="G5018" i="11"/>
  <c r="H5018" i="11"/>
  <c r="G5019" i="11"/>
  <c r="H5019" i="11"/>
  <c r="G5020" i="11"/>
  <c r="H5020" i="11"/>
  <c r="G5021" i="11"/>
  <c r="H5021" i="11"/>
  <c r="G5022" i="11"/>
  <c r="H5022" i="11"/>
  <c r="G5023" i="11"/>
  <c r="H5023" i="11"/>
  <c r="G5024" i="11"/>
  <c r="H5024" i="11"/>
  <c r="G5025" i="11"/>
  <c r="H5025" i="11"/>
  <c r="G5026" i="11"/>
  <c r="H5026" i="11"/>
  <c r="G5027" i="11"/>
  <c r="H5027" i="11"/>
  <c r="G5028" i="11"/>
  <c r="H5028" i="11"/>
  <c r="G5029" i="11"/>
  <c r="H5029" i="11"/>
  <c r="G5030" i="11"/>
  <c r="H5030" i="11"/>
  <c r="G5031" i="11"/>
  <c r="H5031" i="11"/>
  <c r="G5032" i="11"/>
  <c r="H5032" i="11"/>
  <c r="G5033" i="11"/>
  <c r="H5033" i="11"/>
  <c r="G5034" i="11"/>
  <c r="H5034" i="11"/>
  <c r="G5035" i="11"/>
  <c r="H5035" i="11"/>
  <c r="G5036" i="11"/>
  <c r="H5036" i="11"/>
  <c r="G5037" i="11"/>
  <c r="H5037" i="11"/>
  <c r="G5038" i="11"/>
  <c r="H5038" i="11"/>
  <c r="G5039" i="11"/>
  <c r="H5039" i="11"/>
  <c r="G5040" i="11"/>
  <c r="H5040" i="11"/>
  <c r="G5041" i="11"/>
  <c r="H5041" i="11"/>
  <c r="G5042" i="11"/>
  <c r="H5042" i="11"/>
  <c r="G5043" i="11"/>
  <c r="H5043" i="11"/>
  <c r="G5044" i="11"/>
  <c r="H5044" i="11"/>
  <c r="G5045" i="11"/>
  <c r="H5045" i="11"/>
  <c r="G5046" i="11"/>
  <c r="H5046" i="11"/>
  <c r="G5047" i="11"/>
  <c r="H5047" i="11"/>
  <c r="G5048" i="11"/>
  <c r="H5048" i="11"/>
  <c r="G5049" i="11"/>
  <c r="H5049" i="11"/>
  <c r="G5050" i="11"/>
  <c r="H5050" i="11"/>
  <c r="G5051" i="11"/>
  <c r="H5051" i="11"/>
  <c r="G5052" i="11"/>
  <c r="H5052" i="11"/>
  <c r="G5053" i="11"/>
  <c r="H5053" i="11"/>
  <c r="G5054" i="11"/>
  <c r="H5054" i="11"/>
  <c r="G5055" i="11"/>
  <c r="H5055" i="11"/>
  <c r="G5056" i="11"/>
  <c r="H5056" i="11"/>
  <c r="G5057" i="11"/>
  <c r="H5057" i="11"/>
  <c r="G5058" i="11"/>
  <c r="H5058" i="11"/>
  <c r="G5059" i="11"/>
  <c r="H5059" i="11"/>
  <c r="G5060" i="11"/>
  <c r="H5060" i="11"/>
  <c r="G5061" i="11"/>
  <c r="H5061" i="11"/>
  <c r="G5062" i="11"/>
  <c r="H5062" i="11"/>
  <c r="G5063" i="11"/>
  <c r="H5063" i="11"/>
  <c r="G5064" i="11"/>
  <c r="H5064" i="11"/>
  <c r="G5065" i="11"/>
  <c r="H5065" i="11"/>
  <c r="G5066" i="11"/>
  <c r="H5066" i="11"/>
  <c r="G5067" i="11"/>
  <c r="H5067" i="11"/>
  <c r="G5068" i="11"/>
  <c r="H5068" i="11"/>
  <c r="G5069" i="11"/>
  <c r="H5069" i="11"/>
  <c r="G5070" i="11"/>
  <c r="H5070" i="11"/>
  <c r="G5071" i="11"/>
  <c r="H5071" i="11"/>
  <c r="G5072" i="11"/>
  <c r="H5072" i="11"/>
  <c r="G5073" i="11"/>
  <c r="H5073" i="11"/>
  <c r="G5074" i="11"/>
  <c r="H5074" i="11"/>
  <c r="G5075" i="11"/>
  <c r="H5075" i="11"/>
  <c r="G5076" i="11"/>
  <c r="H5076" i="11"/>
  <c r="G5077" i="11"/>
  <c r="H5077" i="11"/>
  <c r="G5078" i="11"/>
  <c r="H5078" i="11"/>
  <c r="G5079" i="11"/>
  <c r="H5079" i="11"/>
  <c r="G5080" i="11"/>
  <c r="H5080" i="11"/>
  <c r="G5081" i="11"/>
  <c r="H5081" i="11"/>
  <c r="G5082" i="11"/>
  <c r="H5082" i="11"/>
  <c r="G5083" i="11"/>
  <c r="H5083" i="11"/>
  <c r="G5084" i="11"/>
  <c r="H5084" i="11"/>
  <c r="G5085" i="11"/>
  <c r="H5085" i="11"/>
  <c r="G5086" i="11"/>
  <c r="H5086" i="11"/>
  <c r="G5087" i="11"/>
  <c r="H5087" i="11"/>
  <c r="G5088" i="11"/>
  <c r="H5088" i="11"/>
  <c r="G5089" i="11"/>
  <c r="H5089" i="11"/>
  <c r="G5090" i="11"/>
  <c r="H5090" i="11"/>
  <c r="G5091" i="11"/>
  <c r="H5091" i="11"/>
  <c r="G5092" i="11"/>
  <c r="H5092" i="11"/>
  <c r="G5093" i="11"/>
  <c r="H5093" i="11"/>
  <c r="G5094" i="11"/>
  <c r="H5094" i="11"/>
  <c r="G5095" i="11"/>
  <c r="H5095" i="11"/>
  <c r="G5096" i="11"/>
  <c r="H5096" i="11"/>
  <c r="G5097" i="11"/>
  <c r="H5097" i="11"/>
  <c r="G5098" i="11"/>
  <c r="H5098" i="11"/>
  <c r="G5099" i="11"/>
  <c r="H5099" i="11"/>
  <c r="G5100" i="11"/>
  <c r="H5100" i="11"/>
  <c r="G5101" i="11"/>
  <c r="H5101" i="11"/>
  <c r="G5102" i="11"/>
  <c r="H5102" i="11"/>
  <c r="G5103" i="11"/>
  <c r="H5103" i="11"/>
  <c r="G5104" i="11"/>
  <c r="H5104" i="11"/>
  <c r="G5105" i="11"/>
  <c r="H5105" i="11"/>
  <c r="G5106" i="11"/>
  <c r="H5106" i="11"/>
  <c r="G5107" i="11"/>
  <c r="H5107" i="11"/>
  <c r="G5108" i="11"/>
  <c r="H5108" i="11"/>
  <c r="G5109" i="11"/>
  <c r="H5109" i="11"/>
  <c r="G5110" i="11"/>
  <c r="H5110" i="11"/>
  <c r="G5111" i="11"/>
  <c r="H5111" i="11"/>
  <c r="G5112" i="11"/>
  <c r="H5112" i="11"/>
  <c r="G5113" i="11"/>
  <c r="H5113" i="11"/>
  <c r="G5114" i="11"/>
  <c r="H5114" i="11"/>
  <c r="G5115" i="11"/>
  <c r="H5115" i="11"/>
  <c r="G5116" i="11"/>
  <c r="H5116" i="11"/>
  <c r="G5117" i="11"/>
  <c r="H5117" i="11"/>
  <c r="G5118" i="11"/>
  <c r="H5118" i="11"/>
  <c r="G5119" i="11"/>
  <c r="H5119" i="11"/>
  <c r="G5120" i="11"/>
  <c r="H5120" i="11"/>
  <c r="G5121" i="11"/>
  <c r="H5121" i="11"/>
  <c r="G5122" i="11"/>
  <c r="H5122" i="11"/>
  <c r="G5123" i="11"/>
  <c r="H5123" i="11"/>
  <c r="G5124" i="11"/>
  <c r="H5124" i="11"/>
  <c r="G5125" i="11"/>
  <c r="H5125" i="11"/>
  <c r="G5126" i="11"/>
  <c r="H5126" i="11"/>
  <c r="G5127" i="11"/>
  <c r="H5127" i="11"/>
  <c r="G5128" i="11"/>
  <c r="H5128" i="11"/>
  <c r="G5129" i="11"/>
  <c r="H5129" i="11"/>
  <c r="G5130" i="11"/>
  <c r="H5130" i="11"/>
  <c r="G5131" i="11"/>
  <c r="H5131" i="11"/>
  <c r="G5132" i="11"/>
  <c r="H5132" i="11"/>
  <c r="G5133" i="11"/>
  <c r="H5133" i="11"/>
  <c r="G5134" i="11"/>
  <c r="H5134" i="11"/>
  <c r="G5135" i="11"/>
  <c r="H5135" i="11"/>
  <c r="G5136" i="11"/>
  <c r="H5136" i="11"/>
  <c r="G5137" i="11"/>
  <c r="H5137" i="11"/>
  <c r="G5138" i="11"/>
  <c r="H5138" i="11"/>
  <c r="G5139" i="11"/>
  <c r="H5139" i="11"/>
  <c r="G5140" i="11"/>
  <c r="H5140" i="11"/>
  <c r="G5141" i="11"/>
  <c r="H5141" i="11"/>
  <c r="G5142" i="11"/>
  <c r="H5142" i="11"/>
  <c r="G5143" i="11"/>
  <c r="H5143" i="11"/>
  <c r="G5144" i="11"/>
  <c r="H5144" i="11"/>
  <c r="G5145" i="11"/>
  <c r="H5145" i="11"/>
  <c r="G5146" i="11"/>
  <c r="H5146" i="11"/>
  <c r="G5147" i="11"/>
  <c r="H5147" i="11"/>
  <c r="G5148" i="11"/>
  <c r="H5148" i="11"/>
  <c r="G5149" i="11"/>
  <c r="H5149" i="11"/>
  <c r="G5150" i="11"/>
  <c r="H5150" i="11"/>
  <c r="G5151" i="11"/>
  <c r="H5151" i="11"/>
  <c r="G5152" i="11"/>
  <c r="H5152" i="11"/>
  <c r="G5153" i="11"/>
  <c r="H5153" i="11"/>
  <c r="G5154" i="11"/>
  <c r="H5154" i="11"/>
  <c r="G5155" i="11"/>
  <c r="H5155" i="11"/>
  <c r="G5156" i="11"/>
  <c r="H5156" i="11"/>
  <c r="G5157" i="11"/>
  <c r="H5157" i="11"/>
  <c r="G5158" i="11"/>
  <c r="H5158" i="11"/>
  <c r="G5159" i="11"/>
  <c r="H5159" i="11"/>
  <c r="G5160" i="11"/>
  <c r="H5160" i="11"/>
  <c r="G5161" i="11"/>
  <c r="H5161" i="11"/>
  <c r="G5162" i="11"/>
  <c r="H5162" i="11"/>
  <c r="G5163" i="11"/>
  <c r="H5163" i="11"/>
  <c r="G5164" i="11"/>
  <c r="H5164" i="11"/>
  <c r="G5165" i="11"/>
  <c r="H5165" i="11"/>
  <c r="G5166" i="11"/>
  <c r="H5166" i="11"/>
  <c r="G5167" i="11"/>
  <c r="H5167" i="11"/>
  <c r="G5168" i="11"/>
  <c r="H5168" i="11"/>
  <c r="G5169" i="11"/>
  <c r="H5169" i="11"/>
  <c r="G5170" i="11"/>
  <c r="H5170" i="11"/>
  <c r="G5171" i="11"/>
  <c r="H5171" i="11"/>
  <c r="G5172" i="11"/>
  <c r="H5172" i="11"/>
  <c r="G5173" i="11"/>
  <c r="H5173" i="11"/>
  <c r="G5174" i="11"/>
  <c r="H5174" i="11"/>
  <c r="G5175" i="11"/>
  <c r="H5175" i="11"/>
  <c r="G5176" i="11"/>
  <c r="H5176" i="11"/>
  <c r="G5177" i="11"/>
  <c r="H5177" i="11"/>
  <c r="G5178" i="11"/>
  <c r="H5178" i="11"/>
  <c r="G5179" i="11"/>
  <c r="H5179" i="11"/>
  <c r="G5180" i="11"/>
  <c r="H5180" i="11"/>
  <c r="G5181" i="11"/>
  <c r="H5181" i="11"/>
  <c r="G5182" i="11"/>
  <c r="H5182" i="11"/>
  <c r="G5183" i="11"/>
  <c r="H5183" i="11"/>
  <c r="G5184" i="11"/>
  <c r="H5184" i="11"/>
  <c r="G5185" i="11"/>
  <c r="H5185" i="11"/>
  <c r="G5186" i="11"/>
  <c r="H5186" i="11"/>
  <c r="G5187" i="11"/>
  <c r="H5187" i="11"/>
  <c r="G5188" i="11"/>
  <c r="H5188" i="11"/>
  <c r="G5189" i="11"/>
  <c r="H5189" i="11"/>
  <c r="G5190" i="11"/>
  <c r="H5190" i="11"/>
  <c r="G5191" i="11"/>
  <c r="H5191" i="11"/>
  <c r="G5192" i="11"/>
  <c r="H5192" i="11"/>
  <c r="G5193" i="11"/>
  <c r="H5193" i="11"/>
  <c r="G5194" i="11"/>
  <c r="H5194" i="11"/>
  <c r="G5195" i="11"/>
  <c r="H5195" i="11"/>
  <c r="G5196" i="11"/>
  <c r="H5196" i="11"/>
  <c r="G5197" i="11"/>
  <c r="H5197" i="11"/>
  <c r="G5198" i="11"/>
  <c r="H5198" i="11"/>
  <c r="G5199" i="11"/>
  <c r="H5199" i="11"/>
  <c r="G5200" i="11"/>
  <c r="H5200" i="11"/>
  <c r="G5201" i="11"/>
  <c r="H5201" i="11"/>
  <c r="G5202" i="11"/>
  <c r="H5202" i="11"/>
  <c r="G5203" i="11"/>
  <c r="H5203" i="11"/>
  <c r="G5204" i="11"/>
  <c r="H5204" i="11"/>
  <c r="G5205" i="11"/>
  <c r="H5205" i="11"/>
  <c r="G5206" i="11"/>
  <c r="H5206" i="11"/>
  <c r="G5207" i="11"/>
  <c r="H5207" i="11"/>
  <c r="G5208" i="11"/>
  <c r="H5208" i="11"/>
  <c r="G5209" i="11"/>
  <c r="H5209" i="11"/>
  <c r="G5210" i="11"/>
  <c r="H5210" i="11"/>
  <c r="G5211" i="11"/>
  <c r="H5211" i="11"/>
  <c r="G5212" i="11"/>
  <c r="H5212" i="11"/>
  <c r="G5213" i="11"/>
  <c r="H5213" i="11"/>
  <c r="G5214" i="11"/>
  <c r="H5214" i="11"/>
  <c r="G5215" i="11"/>
  <c r="H5215" i="11"/>
  <c r="G5216" i="11"/>
  <c r="H5216" i="11"/>
  <c r="G5217" i="11"/>
  <c r="H5217" i="11"/>
  <c r="G5218" i="11"/>
  <c r="H5218" i="11"/>
  <c r="G5219" i="11"/>
  <c r="H5219" i="11"/>
  <c r="G5220" i="11"/>
  <c r="H5220" i="11"/>
  <c r="G5221" i="11"/>
  <c r="H5221" i="11"/>
  <c r="G5222" i="11"/>
  <c r="H5222" i="11"/>
  <c r="G5223" i="11"/>
  <c r="H5223" i="11"/>
  <c r="G5224" i="11"/>
  <c r="H5224" i="11"/>
  <c r="G5225" i="11"/>
  <c r="H5225" i="11"/>
  <c r="G5226" i="11"/>
  <c r="H5226" i="11"/>
  <c r="G5227" i="11"/>
  <c r="H5227" i="11"/>
  <c r="G5228" i="11"/>
  <c r="H5228" i="11"/>
  <c r="G5229" i="11"/>
  <c r="H5229" i="11"/>
  <c r="G5230" i="11"/>
  <c r="H5230" i="11"/>
  <c r="G5231" i="11"/>
  <c r="H5231" i="11"/>
  <c r="G5232" i="11"/>
  <c r="H5232" i="11"/>
  <c r="G5233" i="11"/>
  <c r="H5233" i="11"/>
  <c r="G5234" i="11"/>
  <c r="H5234" i="11"/>
  <c r="G5235" i="11"/>
  <c r="H5235" i="11"/>
  <c r="G5236" i="11"/>
  <c r="H5236" i="11"/>
  <c r="G5237" i="11"/>
  <c r="H5237" i="11"/>
  <c r="G5238" i="11"/>
  <c r="H5238" i="11"/>
  <c r="G5239" i="11"/>
  <c r="H5239" i="11"/>
  <c r="G5240" i="11"/>
  <c r="H5240" i="11"/>
  <c r="G5241" i="11"/>
  <c r="H5241" i="11"/>
  <c r="G5242" i="11"/>
  <c r="H5242" i="11"/>
  <c r="G5243" i="11"/>
  <c r="H5243" i="11"/>
  <c r="G5244" i="11"/>
  <c r="H5244" i="11"/>
  <c r="G5245" i="11"/>
  <c r="H5245" i="11"/>
  <c r="G5246" i="11"/>
  <c r="H5246" i="11"/>
  <c r="G5247" i="11"/>
  <c r="H5247" i="11"/>
  <c r="G5248" i="11"/>
  <c r="H5248" i="11"/>
  <c r="G5249" i="11"/>
  <c r="H5249" i="11"/>
  <c r="G5250" i="11"/>
  <c r="H5250" i="11"/>
  <c r="G5251" i="11"/>
  <c r="H5251" i="11"/>
  <c r="G3752" i="11"/>
  <c r="H3752" i="11"/>
  <c r="G3753" i="11"/>
  <c r="H3753" i="11"/>
  <c r="G3754" i="11"/>
  <c r="H3754" i="11"/>
  <c r="G3755" i="11"/>
  <c r="H3755" i="11"/>
  <c r="G3756" i="11"/>
  <c r="H3756" i="11"/>
  <c r="G3757" i="11"/>
  <c r="H3757" i="11"/>
  <c r="G3758" i="11"/>
  <c r="H3758" i="11"/>
  <c r="G3759" i="11"/>
  <c r="H3759" i="11"/>
  <c r="G3760" i="11"/>
  <c r="H3760" i="11"/>
  <c r="G3761" i="11"/>
  <c r="H3761" i="11"/>
  <c r="G3762" i="11"/>
  <c r="H3762" i="11"/>
  <c r="G3763" i="11"/>
  <c r="H3763" i="11"/>
  <c r="G3764" i="11"/>
  <c r="H3764" i="11"/>
  <c r="G3765" i="11"/>
  <c r="H3765" i="11"/>
  <c r="G3766" i="11"/>
  <c r="H3766" i="11"/>
  <c r="G3767" i="11"/>
  <c r="H3767" i="11"/>
  <c r="G3768" i="11"/>
  <c r="H3768" i="11"/>
  <c r="G3769" i="11"/>
  <c r="H3769" i="11"/>
  <c r="G3770" i="11"/>
  <c r="H3770" i="11"/>
  <c r="G3771" i="11"/>
  <c r="H3771" i="11"/>
  <c r="G3772" i="11"/>
  <c r="H3772" i="11"/>
  <c r="G3773" i="11"/>
  <c r="H3773" i="11"/>
  <c r="G3774" i="11"/>
  <c r="H3774" i="11"/>
  <c r="G3775" i="11"/>
  <c r="H3775" i="11"/>
  <c r="G3776" i="11"/>
  <c r="H3776" i="11"/>
  <c r="G3777" i="11"/>
  <c r="H3777" i="11"/>
  <c r="G3778" i="11"/>
  <c r="H3778" i="11"/>
  <c r="G3779" i="11"/>
  <c r="H3779" i="11"/>
  <c r="G3780" i="11"/>
  <c r="H3780" i="11"/>
  <c r="G3781" i="11"/>
  <c r="H3781" i="11"/>
  <c r="G3782" i="11"/>
  <c r="H3782" i="11"/>
  <c r="G3783" i="11"/>
  <c r="H3783" i="11"/>
  <c r="G3784" i="11"/>
  <c r="H3784" i="11"/>
  <c r="G3785" i="11"/>
  <c r="H3785" i="11"/>
  <c r="G3786" i="11"/>
  <c r="H3786" i="11"/>
  <c r="G3787" i="11"/>
  <c r="H3787" i="11"/>
  <c r="G3788" i="11"/>
  <c r="H3788" i="11"/>
  <c r="G3789" i="11"/>
  <c r="H3789" i="11"/>
  <c r="G3790" i="11"/>
  <c r="H3790" i="11"/>
  <c r="G3791" i="11"/>
  <c r="H3791" i="11"/>
  <c r="G3792" i="11"/>
  <c r="H3792" i="11"/>
  <c r="G3793" i="11"/>
  <c r="H3793" i="11"/>
  <c r="G3794" i="11"/>
  <c r="H3794" i="11"/>
  <c r="G3795" i="11"/>
  <c r="H3795" i="11"/>
  <c r="G3796" i="11"/>
  <c r="H3796" i="11"/>
  <c r="G3797" i="11"/>
  <c r="H3797" i="11"/>
  <c r="G3798" i="11"/>
  <c r="H3798" i="11"/>
  <c r="G3799" i="11"/>
  <c r="H3799" i="11"/>
  <c r="G3800" i="11"/>
  <c r="H3800" i="11"/>
  <c r="G3801" i="11"/>
  <c r="H3801" i="11"/>
  <c r="G3802" i="11"/>
  <c r="H3802" i="11"/>
  <c r="G3803" i="11"/>
  <c r="H3803" i="11"/>
  <c r="G3804" i="11"/>
  <c r="H3804" i="11"/>
  <c r="G3805" i="11"/>
  <c r="H3805" i="11"/>
  <c r="G3806" i="11"/>
  <c r="H3806" i="11"/>
  <c r="G3807" i="11"/>
  <c r="H3807" i="11"/>
  <c r="G3808" i="11"/>
  <c r="H3808" i="11"/>
  <c r="G3809" i="11"/>
  <c r="H3809" i="11"/>
  <c r="G3810" i="11"/>
  <c r="H3810" i="11"/>
  <c r="G3811" i="11"/>
  <c r="H3811" i="11"/>
  <c r="G3812" i="11"/>
  <c r="H3812" i="11"/>
  <c r="G3813" i="11"/>
  <c r="H3813" i="11"/>
  <c r="G3814" i="11"/>
  <c r="H3814" i="11"/>
  <c r="G3815" i="11"/>
  <c r="H3815" i="11"/>
  <c r="G3816" i="11"/>
  <c r="H3816" i="11"/>
  <c r="G3817" i="11"/>
  <c r="H3817" i="11"/>
  <c r="G3818" i="11"/>
  <c r="H3818" i="11"/>
  <c r="G3819" i="11"/>
  <c r="H3819" i="11"/>
  <c r="G3820" i="11"/>
  <c r="H3820" i="11"/>
  <c r="G3821" i="11"/>
  <c r="H3821" i="11"/>
  <c r="G3822" i="11"/>
  <c r="H3822" i="11"/>
  <c r="G3823" i="11"/>
  <c r="H3823" i="11"/>
  <c r="G3824" i="11"/>
  <c r="H3824" i="11"/>
  <c r="G3825" i="11"/>
  <c r="H3825" i="11"/>
  <c r="G3826" i="11"/>
  <c r="H3826" i="11"/>
  <c r="G3827" i="11"/>
  <c r="H3827" i="11"/>
  <c r="G3828" i="11"/>
  <c r="H3828" i="11"/>
  <c r="G3829" i="11"/>
  <c r="H3829" i="11"/>
  <c r="G3830" i="11"/>
  <c r="H3830" i="11"/>
  <c r="G3831" i="11"/>
  <c r="H3831" i="11"/>
  <c r="G3832" i="11"/>
  <c r="H3832" i="11"/>
  <c r="G3833" i="11"/>
  <c r="H3833" i="11"/>
  <c r="G3834" i="11"/>
  <c r="H3834" i="11"/>
  <c r="G3835" i="11"/>
  <c r="H3835" i="11"/>
  <c r="G3836" i="11"/>
  <c r="H3836" i="11"/>
  <c r="G3837" i="11"/>
  <c r="H3837" i="11"/>
  <c r="G3838" i="11"/>
  <c r="H3838" i="11"/>
  <c r="G3839" i="11"/>
  <c r="H3839" i="11"/>
  <c r="G3840" i="11"/>
  <c r="H3840" i="11"/>
  <c r="G3841" i="11"/>
  <c r="H3841" i="11"/>
  <c r="G3842" i="11"/>
  <c r="H3842" i="11"/>
  <c r="G3843" i="11"/>
  <c r="H3843" i="11"/>
  <c r="G3844" i="11"/>
  <c r="H3844" i="11"/>
  <c r="G3845" i="11"/>
  <c r="H3845" i="11"/>
  <c r="G3846" i="11"/>
  <c r="H3846" i="11"/>
  <c r="G3847" i="11"/>
  <c r="H3847" i="11"/>
  <c r="G3848" i="11"/>
  <c r="H3848" i="11"/>
  <c r="G3849" i="11"/>
  <c r="H3849" i="11"/>
  <c r="G3850" i="11"/>
  <c r="H3850" i="11"/>
  <c r="G3851" i="11"/>
  <c r="H3851" i="11"/>
  <c r="G3852" i="11"/>
  <c r="H3852" i="11"/>
  <c r="G3853" i="11"/>
  <c r="H3853" i="11"/>
  <c r="G3854" i="11"/>
  <c r="H3854" i="11"/>
  <c r="G3855" i="11"/>
  <c r="H3855" i="11"/>
  <c r="G3856" i="11"/>
  <c r="H3856" i="11"/>
  <c r="G3857" i="11"/>
  <c r="H3857" i="11"/>
  <c r="G3858" i="11"/>
  <c r="H3858" i="11"/>
  <c r="G3859" i="11"/>
  <c r="H3859" i="11"/>
  <c r="G3860" i="11"/>
  <c r="H3860" i="11"/>
  <c r="G3861" i="11"/>
  <c r="H3861" i="11"/>
  <c r="G3862" i="11"/>
  <c r="H3862" i="11"/>
  <c r="G3863" i="11"/>
  <c r="H3863" i="11"/>
  <c r="G3864" i="11"/>
  <c r="H3864" i="11"/>
  <c r="G3865" i="11"/>
  <c r="H3865" i="11"/>
  <c r="G3866" i="11"/>
  <c r="H3866" i="11"/>
  <c r="G3867" i="11"/>
  <c r="H3867" i="11"/>
  <c r="G3868" i="11"/>
  <c r="H3868" i="11"/>
  <c r="G3869" i="11"/>
  <c r="H3869" i="11"/>
  <c r="G3870" i="11"/>
  <c r="H3870" i="11"/>
  <c r="G3871" i="11"/>
  <c r="H3871" i="11"/>
  <c r="G3872" i="11"/>
  <c r="H3872" i="11"/>
  <c r="G3873" i="11"/>
  <c r="H3873" i="11"/>
  <c r="G3874" i="11"/>
  <c r="H3874" i="11"/>
  <c r="G3875" i="11"/>
  <c r="H3875" i="11"/>
  <c r="G3876" i="11"/>
  <c r="H3876" i="11"/>
  <c r="G3877" i="11"/>
  <c r="H3877" i="11"/>
  <c r="G3878" i="11"/>
  <c r="H3878" i="11"/>
  <c r="G3879" i="11"/>
  <c r="H3879" i="11"/>
  <c r="G3880" i="11"/>
  <c r="H3880" i="11"/>
  <c r="G3881" i="11"/>
  <c r="H3881" i="11"/>
  <c r="G3882" i="11"/>
  <c r="H3882" i="11"/>
  <c r="G3883" i="11"/>
  <c r="H3883" i="11"/>
  <c r="G3884" i="11"/>
  <c r="H3884" i="11"/>
  <c r="G3885" i="11"/>
  <c r="H3885" i="11"/>
  <c r="G3886" i="11"/>
  <c r="H3886" i="11"/>
  <c r="G3887" i="11"/>
  <c r="H3887" i="11"/>
  <c r="G3888" i="11"/>
  <c r="H3888" i="11"/>
  <c r="G3889" i="11"/>
  <c r="H3889" i="11"/>
  <c r="G3890" i="11"/>
  <c r="H3890" i="11"/>
  <c r="G3891" i="11"/>
  <c r="H3891" i="11"/>
  <c r="G3892" i="11"/>
  <c r="H3892" i="11"/>
  <c r="G3893" i="11"/>
  <c r="H3893" i="11"/>
  <c r="G3894" i="11"/>
  <c r="H3894" i="11"/>
  <c r="G3895" i="11"/>
  <c r="H3895" i="11"/>
  <c r="G3896" i="11"/>
  <c r="H3896" i="11"/>
  <c r="G3897" i="11"/>
  <c r="H3897" i="11"/>
  <c r="G3898" i="11"/>
  <c r="H3898" i="11"/>
  <c r="G3899" i="11"/>
  <c r="H3899" i="11"/>
  <c r="G3900" i="11"/>
  <c r="H3900" i="11"/>
  <c r="G3901" i="11"/>
  <c r="H3901" i="11"/>
  <c r="G3902" i="11"/>
  <c r="H3902" i="11"/>
  <c r="G3903" i="11"/>
  <c r="H3903" i="11"/>
  <c r="G3904" i="11"/>
  <c r="H3904" i="11"/>
  <c r="G3905" i="11"/>
  <c r="H3905" i="11"/>
  <c r="G3906" i="11"/>
  <c r="H3906" i="11"/>
  <c r="G3907" i="11"/>
  <c r="H3907" i="11"/>
  <c r="G3908" i="11"/>
  <c r="H3908" i="11"/>
  <c r="G3909" i="11"/>
  <c r="H3909" i="11"/>
  <c r="G3910" i="11"/>
  <c r="H3910" i="11"/>
  <c r="G3911" i="11"/>
  <c r="H3911" i="11"/>
  <c r="G3912" i="11"/>
  <c r="H3912" i="11"/>
  <c r="G3913" i="11"/>
  <c r="H3913" i="11"/>
  <c r="G3914" i="11"/>
  <c r="H3914" i="11"/>
  <c r="G3915" i="11"/>
  <c r="H3915" i="11"/>
  <c r="G3916" i="11"/>
  <c r="H3916" i="11"/>
  <c r="G3917" i="11"/>
  <c r="H3917" i="11"/>
  <c r="G3918" i="11"/>
  <c r="H3918" i="11"/>
  <c r="G3919" i="11"/>
  <c r="H3919" i="11"/>
  <c r="G3920" i="11"/>
  <c r="H3920" i="11"/>
  <c r="G3921" i="11"/>
  <c r="H3921" i="11"/>
  <c r="G3922" i="11"/>
  <c r="H3922" i="11"/>
  <c r="G3923" i="11"/>
  <c r="H3923" i="11"/>
  <c r="G3924" i="11"/>
  <c r="H3924" i="11"/>
  <c r="G3925" i="11"/>
  <c r="H3925" i="11"/>
  <c r="G3926" i="11"/>
  <c r="H3926" i="11"/>
  <c r="G3927" i="11"/>
  <c r="H3927" i="11"/>
  <c r="G3928" i="11"/>
  <c r="H3928" i="11"/>
  <c r="G3929" i="11"/>
  <c r="H3929" i="11"/>
  <c r="G3930" i="11"/>
  <c r="H3930" i="11"/>
  <c r="G3931" i="11"/>
  <c r="H3931" i="11"/>
  <c r="G3932" i="11"/>
  <c r="H3932" i="11"/>
  <c r="G3933" i="11"/>
  <c r="H3933" i="11"/>
  <c r="G3934" i="11"/>
  <c r="H3934" i="11"/>
  <c r="G3935" i="11"/>
  <c r="H3935" i="11"/>
  <c r="G3936" i="11"/>
  <c r="H3936" i="11"/>
  <c r="G3937" i="11"/>
  <c r="H3937" i="11"/>
  <c r="G3938" i="11"/>
  <c r="H3938" i="11"/>
  <c r="G3939" i="11"/>
  <c r="H3939" i="11"/>
  <c r="G3940" i="11"/>
  <c r="H3940" i="11"/>
  <c r="G3941" i="11"/>
  <c r="H3941" i="11"/>
  <c r="G3942" i="11"/>
  <c r="H3942" i="11"/>
  <c r="G3943" i="11"/>
  <c r="H3943" i="11"/>
  <c r="G3944" i="11"/>
  <c r="H3944" i="11"/>
  <c r="G3945" i="11"/>
  <c r="H3945" i="11"/>
  <c r="G3946" i="11"/>
  <c r="H3946" i="11"/>
  <c r="G3947" i="11"/>
  <c r="H3947" i="11"/>
  <c r="G3948" i="11"/>
  <c r="H3948" i="11"/>
  <c r="G3949" i="11"/>
  <c r="H3949" i="11"/>
  <c r="G3950" i="11"/>
  <c r="H3950" i="11"/>
  <c r="G3951" i="11"/>
  <c r="H3951" i="11"/>
  <c r="G3952" i="11"/>
  <c r="H3952" i="11"/>
  <c r="G3953" i="11"/>
  <c r="H3953" i="11"/>
  <c r="G3954" i="11"/>
  <c r="H3954" i="11"/>
  <c r="G3955" i="11"/>
  <c r="H3955" i="11"/>
  <c r="G3956" i="11"/>
  <c r="H3956" i="11"/>
  <c r="G3957" i="11"/>
  <c r="H3957" i="11"/>
  <c r="G3958" i="11"/>
  <c r="H3958" i="11"/>
  <c r="G3959" i="11"/>
  <c r="H3959" i="11"/>
  <c r="G3960" i="11"/>
  <c r="H3960" i="11"/>
  <c r="G3961" i="11"/>
  <c r="H3961" i="11"/>
  <c r="G3962" i="11"/>
  <c r="H3962" i="11"/>
  <c r="G3963" i="11"/>
  <c r="H3963" i="11"/>
  <c r="G3964" i="11"/>
  <c r="H3964" i="11"/>
  <c r="G3965" i="11"/>
  <c r="H3965" i="11"/>
  <c r="G3966" i="11"/>
  <c r="H3966" i="11"/>
  <c r="G3967" i="11"/>
  <c r="H3967" i="11"/>
  <c r="G3968" i="11"/>
  <c r="H3968" i="11"/>
  <c r="G3969" i="11"/>
  <c r="H3969" i="11"/>
  <c r="G3970" i="11"/>
  <c r="H3970" i="11"/>
  <c r="G3971" i="11"/>
  <c r="H3971" i="11"/>
  <c r="G3972" i="11"/>
  <c r="H3972" i="11"/>
  <c r="G3973" i="11"/>
  <c r="H3973" i="11"/>
  <c r="G3974" i="11"/>
  <c r="H3974" i="11"/>
  <c r="G3975" i="11"/>
  <c r="H3975" i="11"/>
  <c r="G3976" i="11"/>
  <c r="H3976" i="11"/>
  <c r="G3977" i="11"/>
  <c r="H3977" i="11"/>
  <c r="G3978" i="11"/>
  <c r="H3978" i="11"/>
  <c r="G3979" i="11"/>
  <c r="H3979" i="11"/>
  <c r="G3980" i="11"/>
  <c r="H3980" i="11"/>
  <c r="G3981" i="11"/>
  <c r="H3981" i="11"/>
  <c r="G3982" i="11"/>
  <c r="H3982" i="11"/>
  <c r="G3983" i="11"/>
  <c r="H3983" i="11"/>
  <c r="G3984" i="11"/>
  <c r="H3984" i="11"/>
  <c r="G3985" i="11"/>
  <c r="H3985" i="11"/>
  <c r="G3986" i="11"/>
  <c r="H3986" i="11"/>
  <c r="G3987" i="11"/>
  <c r="H3987" i="11"/>
  <c r="G3988" i="11"/>
  <c r="H3988" i="11"/>
  <c r="G3989" i="11"/>
  <c r="H3989" i="11"/>
  <c r="G3990" i="11"/>
  <c r="H3990" i="11"/>
  <c r="G3991" i="11"/>
  <c r="H3991" i="11"/>
  <c r="G3992" i="11"/>
  <c r="H3992" i="11"/>
  <c r="G3993" i="11"/>
  <c r="H3993" i="11"/>
  <c r="G3994" i="11"/>
  <c r="H3994" i="11"/>
  <c r="G3995" i="11"/>
  <c r="H3995" i="11"/>
  <c r="G3996" i="11"/>
  <c r="H3996" i="11"/>
  <c r="G3997" i="11"/>
  <c r="H3997" i="11"/>
  <c r="G3998" i="11"/>
  <c r="H3998" i="11"/>
  <c r="G3999" i="11"/>
  <c r="H3999" i="11"/>
  <c r="G4000" i="11"/>
  <c r="H4000" i="11"/>
  <c r="G4001" i="11"/>
  <c r="H4001" i="11"/>
  <c r="G4002" i="11"/>
  <c r="H4002" i="11"/>
  <c r="G4003" i="11"/>
  <c r="H4003" i="11"/>
  <c r="G4004" i="11"/>
  <c r="H4004" i="11"/>
  <c r="G4005" i="11"/>
  <c r="H4005" i="11"/>
  <c r="G4006" i="11"/>
  <c r="H4006" i="11"/>
  <c r="G4007" i="11"/>
  <c r="H4007" i="11"/>
  <c r="G4008" i="11"/>
  <c r="H4008" i="11"/>
  <c r="G4009" i="11"/>
  <c r="H4009" i="11"/>
  <c r="G4010" i="11"/>
  <c r="H4010" i="11"/>
  <c r="G4011" i="11"/>
  <c r="H4011" i="11"/>
  <c r="G4012" i="11"/>
  <c r="H4012" i="11"/>
  <c r="G4013" i="11"/>
  <c r="H4013" i="11"/>
  <c r="G4014" i="11"/>
  <c r="H4014" i="11"/>
  <c r="G4015" i="11"/>
  <c r="H4015" i="11"/>
  <c r="G4016" i="11"/>
  <c r="H4016" i="11"/>
  <c r="G4017" i="11"/>
  <c r="H4017" i="11"/>
  <c r="G4018" i="11"/>
  <c r="H4018" i="11"/>
  <c r="G4019" i="11"/>
  <c r="H4019" i="11"/>
  <c r="G4020" i="11"/>
  <c r="H4020" i="11"/>
  <c r="G4021" i="11"/>
  <c r="H4021" i="11"/>
  <c r="G4022" i="11"/>
  <c r="H4022" i="11"/>
  <c r="G4023" i="11"/>
  <c r="H4023" i="11"/>
  <c r="G4024" i="11"/>
  <c r="H4024" i="11"/>
  <c r="G4025" i="11"/>
  <c r="H4025" i="11"/>
  <c r="G4026" i="11"/>
  <c r="H4026" i="11"/>
  <c r="G4027" i="11"/>
  <c r="H4027" i="11"/>
  <c r="G4028" i="11"/>
  <c r="H4028" i="11"/>
  <c r="G4029" i="11"/>
  <c r="H4029" i="11"/>
  <c r="G4030" i="11"/>
  <c r="H4030" i="11"/>
  <c r="G4031" i="11"/>
  <c r="H4031" i="11"/>
  <c r="G4032" i="11"/>
  <c r="H4032" i="11"/>
  <c r="G4033" i="11"/>
  <c r="H4033" i="11"/>
  <c r="G4034" i="11"/>
  <c r="H4034" i="11"/>
  <c r="G4035" i="11"/>
  <c r="H4035" i="11"/>
  <c r="G4036" i="11"/>
  <c r="H4036" i="11"/>
  <c r="G4037" i="11"/>
  <c r="H4037" i="11"/>
  <c r="G4038" i="11"/>
  <c r="H4038" i="11"/>
  <c r="G4039" i="11"/>
  <c r="H4039" i="11"/>
  <c r="G4040" i="11"/>
  <c r="H4040" i="11"/>
  <c r="G4041" i="11"/>
  <c r="H4041" i="11"/>
  <c r="G4042" i="11"/>
  <c r="H4042" i="11"/>
  <c r="G4043" i="11"/>
  <c r="H4043" i="11"/>
  <c r="G4044" i="11"/>
  <c r="H4044" i="11"/>
  <c r="G4045" i="11"/>
  <c r="H4045" i="11"/>
  <c r="G4046" i="11"/>
  <c r="H4046" i="11"/>
  <c r="G4047" i="11"/>
  <c r="H4047" i="11"/>
  <c r="G4048" i="11"/>
  <c r="H4048" i="11"/>
  <c r="G4049" i="11"/>
  <c r="H4049" i="11"/>
  <c r="G4050" i="11"/>
  <c r="H4050" i="11"/>
  <c r="G4051" i="11"/>
  <c r="H4051" i="11"/>
  <c r="G4052" i="11"/>
  <c r="H4052" i="11"/>
  <c r="G4053" i="11"/>
  <c r="H4053" i="11"/>
  <c r="G4054" i="11"/>
  <c r="H4054" i="11"/>
  <c r="G4055" i="11"/>
  <c r="H4055" i="11"/>
  <c r="G4056" i="11"/>
  <c r="H4056" i="11"/>
  <c r="G4057" i="11"/>
  <c r="H4057" i="11"/>
  <c r="G4058" i="11"/>
  <c r="H4058" i="11"/>
  <c r="G4059" i="11"/>
  <c r="H4059" i="11"/>
  <c r="G4060" i="11"/>
  <c r="H4060" i="11"/>
  <c r="G4061" i="11"/>
  <c r="H4061" i="11"/>
  <c r="G4062" i="11"/>
  <c r="H4062" i="11"/>
  <c r="G4063" i="11"/>
  <c r="H4063" i="11"/>
  <c r="G4064" i="11"/>
  <c r="H4064" i="11"/>
  <c r="G4065" i="11"/>
  <c r="H4065" i="11"/>
  <c r="G4066" i="11"/>
  <c r="H4066" i="11"/>
  <c r="G4067" i="11"/>
  <c r="H4067" i="11"/>
  <c r="G4068" i="11"/>
  <c r="H4068" i="11"/>
  <c r="G4069" i="11"/>
  <c r="H4069" i="11"/>
  <c r="G4070" i="11"/>
  <c r="H4070" i="11"/>
  <c r="G4071" i="11"/>
  <c r="H4071" i="11"/>
  <c r="G4072" i="11"/>
  <c r="H4072" i="11"/>
  <c r="G4073" i="11"/>
  <c r="H4073" i="11"/>
  <c r="G4074" i="11"/>
  <c r="H4074" i="11"/>
  <c r="G4075" i="11"/>
  <c r="H4075" i="11"/>
  <c r="G4076" i="11"/>
  <c r="H4076" i="11"/>
  <c r="G4077" i="11"/>
  <c r="H4077" i="11"/>
  <c r="G4078" i="11"/>
  <c r="H4078" i="11"/>
  <c r="G4079" i="11"/>
  <c r="H4079" i="11"/>
  <c r="G4080" i="11"/>
  <c r="H4080" i="11"/>
  <c r="G4081" i="11"/>
  <c r="H4081" i="11"/>
  <c r="G4082" i="11"/>
  <c r="H4082" i="11"/>
  <c r="G4083" i="11"/>
  <c r="H4083" i="11"/>
  <c r="G4084" i="11"/>
  <c r="H4084" i="11"/>
  <c r="G4085" i="11"/>
  <c r="H4085" i="11"/>
  <c r="G4086" i="11"/>
  <c r="H4086" i="11"/>
  <c r="G4087" i="11"/>
  <c r="H4087" i="11"/>
  <c r="G4088" i="11"/>
  <c r="H4088" i="11"/>
  <c r="G4089" i="11"/>
  <c r="H4089" i="11"/>
  <c r="G4090" i="11"/>
  <c r="H4090" i="11"/>
  <c r="G4091" i="11"/>
  <c r="H4091" i="11"/>
  <c r="G4092" i="11"/>
  <c r="H4092" i="11"/>
  <c r="G4093" i="11"/>
  <c r="H4093" i="11"/>
  <c r="G4094" i="11"/>
  <c r="H4094" i="11"/>
  <c r="G4095" i="11"/>
  <c r="H4095" i="11"/>
  <c r="G4096" i="11"/>
  <c r="H4096" i="11"/>
  <c r="G4097" i="11"/>
  <c r="H4097" i="11"/>
  <c r="G4098" i="11"/>
  <c r="H4098" i="11"/>
  <c r="G4099" i="11"/>
  <c r="H4099" i="11"/>
  <c r="G4100" i="11"/>
  <c r="H4100" i="11"/>
  <c r="G4101" i="11"/>
  <c r="H4101" i="11"/>
  <c r="G4102" i="11"/>
  <c r="H4102" i="11"/>
  <c r="G4103" i="11"/>
  <c r="H4103" i="11"/>
  <c r="G4104" i="11"/>
  <c r="H4104" i="11"/>
  <c r="G4105" i="11"/>
  <c r="H4105" i="11"/>
  <c r="G4106" i="11"/>
  <c r="H4106" i="11"/>
  <c r="G4107" i="11"/>
  <c r="H4107" i="11"/>
  <c r="G4108" i="11"/>
  <c r="H4108" i="11"/>
  <c r="G4109" i="11"/>
  <c r="H4109" i="11"/>
  <c r="G4110" i="11"/>
  <c r="H4110" i="11"/>
  <c r="G4111" i="11"/>
  <c r="H4111" i="11"/>
  <c r="G4112" i="11"/>
  <c r="H4112" i="11"/>
  <c r="G4113" i="11"/>
  <c r="H4113" i="11"/>
  <c r="G4114" i="11"/>
  <c r="H4114" i="11"/>
  <c r="G4115" i="11"/>
  <c r="H4115" i="11"/>
  <c r="G4116" i="11"/>
  <c r="H4116" i="11"/>
  <c r="G4117" i="11"/>
  <c r="H4117" i="11"/>
  <c r="G4118" i="11"/>
  <c r="H4118" i="11"/>
  <c r="G4119" i="11"/>
  <c r="H4119" i="11"/>
  <c r="G4120" i="11"/>
  <c r="H4120" i="11"/>
  <c r="G4121" i="11"/>
  <c r="H4121" i="11"/>
  <c r="G4122" i="11"/>
  <c r="H4122" i="11"/>
  <c r="G4123" i="11"/>
  <c r="H4123" i="11"/>
  <c r="G4124" i="11"/>
  <c r="H4124" i="11"/>
  <c r="G4125" i="11"/>
  <c r="H4125" i="11"/>
  <c r="G4126" i="11"/>
  <c r="H4126" i="11"/>
  <c r="G4127" i="11"/>
  <c r="H4127" i="11"/>
  <c r="G4128" i="11"/>
  <c r="H4128" i="11"/>
  <c r="G4129" i="11"/>
  <c r="H4129" i="11"/>
  <c r="G4130" i="11"/>
  <c r="H4130" i="11"/>
  <c r="G4131" i="11"/>
  <c r="H4131" i="11"/>
  <c r="G4132" i="11"/>
  <c r="H4132" i="11"/>
  <c r="G4133" i="11"/>
  <c r="H4133" i="11"/>
  <c r="G4134" i="11"/>
  <c r="H4134" i="11"/>
  <c r="G4135" i="11"/>
  <c r="H4135" i="11"/>
  <c r="G4136" i="11"/>
  <c r="H4136" i="11"/>
  <c r="G4137" i="11"/>
  <c r="H4137" i="11"/>
  <c r="G4138" i="11"/>
  <c r="H4138" i="11"/>
  <c r="G4139" i="11"/>
  <c r="H4139" i="11"/>
  <c r="G4140" i="11"/>
  <c r="H4140" i="11"/>
  <c r="G4141" i="11"/>
  <c r="H4141" i="11"/>
  <c r="G4142" i="11"/>
  <c r="H4142" i="11"/>
  <c r="G4143" i="11"/>
  <c r="H4143" i="11"/>
  <c r="G4144" i="11"/>
  <c r="H4144" i="11"/>
  <c r="G4145" i="11"/>
  <c r="H4145" i="11"/>
  <c r="G4146" i="11"/>
  <c r="H4146" i="11"/>
  <c r="G4147" i="11"/>
  <c r="H4147" i="11"/>
  <c r="G4148" i="11"/>
  <c r="H4148" i="11"/>
  <c r="G4149" i="11"/>
  <c r="H4149" i="11"/>
  <c r="G4150" i="11"/>
  <c r="H4150" i="11"/>
  <c r="G4151" i="11"/>
  <c r="H4151" i="11"/>
  <c r="G4152" i="11"/>
  <c r="H4152" i="11"/>
  <c r="G4153" i="11"/>
  <c r="H4153" i="11"/>
  <c r="G4154" i="11"/>
  <c r="H4154" i="11"/>
  <c r="G4155" i="11"/>
  <c r="H4155" i="11"/>
  <c r="G4156" i="11"/>
  <c r="H4156" i="11"/>
  <c r="G4157" i="11"/>
  <c r="H4157" i="11"/>
  <c r="G4158" i="11"/>
  <c r="H4158" i="11"/>
  <c r="G4159" i="11"/>
  <c r="H4159" i="11"/>
  <c r="G4160" i="11"/>
  <c r="H4160" i="11"/>
  <c r="G4161" i="11"/>
  <c r="H4161" i="11"/>
  <c r="G4162" i="11"/>
  <c r="H4162" i="11"/>
  <c r="G4163" i="11"/>
  <c r="H4163" i="11"/>
  <c r="G4164" i="11"/>
  <c r="H4164" i="11"/>
  <c r="G4165" i="11"/>
  <c r="H4165" i="11"/>
  <c r="G4166" i="11"/>
  <c r="H4166" i="11"/>
  <c r="G4167" i="11"/>
  <c r="H4167" i="11"/>
  <c r="G4168" i="11"/>
  <c r="H4168" i="11"/>
  <c r="G4169" i="11"/>
  <c r="H4169" i="11"/>
  <c r="G4170" i="11"/>
  <c r="H4170" i="11"/>
  <c r="G4171" i="11"/>
  <c r="H4171" i="11"/>
  <c r="G4172" i="11"/>
  <c r="H4172" i="11"/>
  <c r="G4173" i="11"/>
  <c r="H4173" i="11"/>
  <c r="G4174" i="11"/>
  <c r="H4174" i="11"/>
  <c r="G4175" i="11"/>
  <c r="H4175" i="11"/>
  <c r="G4176" i="11"/>
  <c r="H4176" i="11"/>
  <c r="G4177" i="11"/>
  <c r="H4177" i="11"/>
  <c r="G4178" i="11"/>
  <c r="H4178" i="11"/>
  <c r="G4179" i="11"/>
  <c r="H4179" i="11"/>
  <c r="G4180" i="11"/>
  <c r="H4180" i="11"/>
  <c r="G4181" i="11"/>
  <c r="H4181" i="11"/>
  <c r="G4182" i="11"/>
  <c r="H4182" i="11"/>
  <c r="G4183" i="11"/>
  <c r="H4183" i="11"/>
  <c r="G4184" i="11"/>
  <c r="H4184" i="11"/>
  <c r="G4185" i="11"/>
  <c r="H4185" i="11"/>
  <c r="G4186" i="11"/>
  <c r="H4186" i="11"/>
  <c r="G4187" i="11"/>
  <c r="H4187" i="11"/>
  <c r="G4188" i="11"/>
  <c r="H4188" i="11"/>
  <c r="G4189" i="11"/>
  <c r="H4189" i="11"/>
  <c r="G4190" i="11"/>
  <c r="H4190" i="11"/>
  <c r="G4191" i="11"/>
  <c r="H4191" i="11"/>
  <c r="G4192" i="11"/>
  <c r="H4192" i="11"/>
  <c r="G4193" i="11"/>
  <c r="H4193" i="11"/>
  <c r="G4194" i="11"/>
  <c r="H4194" i="11"/>
  <c r="G4195" i="11"/>
  <c r="H4195" i="11"/>
  <c r="G4196" i="11"/>
  <c r="H4196" i="11"/>
  <c r="G4197" i="11"/>
  <c r="H4197" i="11"/>
  <c r="G4198" i="11"/>
  <c r="H4198" i="11"/>
  <c r="G4199" i="11"/>
  <c r="H4199" i="11"/>
  <c r="G4200" i="11"/>
  <c r="H4200" i="11"/>
  <c r="G4201" i="11"/>
  <c r="H4201" i="11"/>
  <c r="G4202" i="11"/>
  <c r="H4202" i="11"/>
  <c r="G4203" i="11"/>
  <c r="H4203" i="11"/>
  <c r="G4204" i="11"/>
  <c r="H4204" i="11"/>
  <c r="G4205" i="11"/>
  <c r="H4205" i="11"/>
  <c r="G4206" i="11"/>
  <c r="H4206" i="11"/>
  <c r="G4207" i="11"/>
  <c r="H4207" i="11"/>
  <c r="G4208" i="11"/>
  <c r="H4208" i="11"/>
  <c r="G4209" i="11"/>
  <c r="H4209" i="11"/>
  <c r="G4210" i="11"/>
  <c r="H4210" i="11"/>
  <c r="G4211" i="11"/>
  <c r="H4211" i="11"/>
  <c r="G4212" i="11"/>
  <c r="H4212" i="11"/>
  <c r="G4213" i="11"/>
  <c r="H4213" i="11"/>
  <c r="G4214" i="11"/>
  <c r="H4214" i="11"/>
  <c r="G4215" i="11"/>
  <c r="H4215" i="11"/>
  <c r="G4216" i="11"/>
  <c r="H4216" i="11"/>
  <c r="G4217" i="11"/>
  <c r="H4217" i="11"/>
  <c r="G4218" i="11"/>
  <c r="H4218" i="11"/>
  <c r="G4219" i="11"/>
  <c r="H4219" i="11"/>
  <c r="G4220" i="11"/>
  <c r="H4220" i="11"/>
  <c r="G4221" i="11"/>
  <c r="H4221" i="11"/>
  <c r="G4222" i="11"/>
  <c r="H4222" i="11"/>
  <c r="G4223" i="11"/>
  <c r="H4223" i="11"/>
  <c r="G4224" i="11"/>
  <c r="H4224" i="11"/>
  <c r="G4225" i="11"/>
  <c r="H4225" i="11"/>
  <c r="G4226" i="11"/>
  <c r="H4226" i="11"/>
  <c r="G4227" i="11"/>
  <c r="H4227" i="11"/>
  <c r="G4228" i="11"/>
  <c r="H4228" i="11"/>
  <c r="G4229" i="11"/>
  <c r="H4229" i="11"/>
  <c r="G4230" i="11"/>
  <c r="H4230" i="11"/>
  <c r="G4231" i="11"/>
  <c r="H4231" i="11"/>
  <c r="G4232" i="11"/>
  <c r="H4232" i="11"/>
  <c r="G4233" i="11"/>
  <c r="H4233" i="11"/>
  <c r="G4234" i="11"/>
  <c r="H4234" i="11"/>
  <c r="G4235" i="11"/>
  <c r="H4235" i="11"/>
  <c r="G4236" i="11"/>
  <c r="H4236" i="11"/>
  <c r="G4237" i="11"/>
  <c r="H4237" i="11"/>
  <c r="G4238" i="11"/>
  <c r="H4238" i="11"/>
  <c r="G4239" i="11"/>
  <c r="H4239" i="11"/>
  <c r="G4240" i="11"/>
  <c r="H4240" i="11"/>
  <c r="G4241" i="11"/>
  <c r="H4241" i="11"/>
  <c r="G4242" i="11"/>
  <c r="H4242" i="11"/>
  <c r="G4243" i="11"/>
  <c r="H4243" i="11"/>
  <c r="G4244" i="11"/>
  <c r="H4244" i="11"/>
  <c r="G4245" i="11"/>
  <c r="H4245" i="11"/>
  <c r="G4246" i="11"/>
  <c r="H4246" i="11"/>
  <c r="G4247" i="11"/>
  <c r="H4247" i="11"/>
  <c r="G4248" i="11"/>
  <c r="H4248" i="11"/>
  <c r="G4249" i="11"/>
  <c r="H4249" i="11"/>
  <c r="G4250" i="11"/>
  <c r="H4250" i="11"/>
  <c r="G4251" i="11"/>
  <c r="H4251" i="11"/>
  <c r="G4252" i="11"/>
  <c r="H4252" i="11"/>
  <c r="G4253" i="11"/>
  <c r="H4253" i="11"/>
  <c r="G4254" i="11"/>
  <c r="H4254" i="11"/>
  <c r="G4255" i="11"/>
  <c r="H4255" i="11"/>
  <c r="G4256" i="11"/>
  <c r="H4256" i="11"/>
  <c r="G4257" i="11"/>
  <c r="H4257" i="11"/>
  <c r="G4258" i="11"/>
  <c r="H4258" i="11"/>
  <c r="G4259" i="11"/>
  <c r="H4259" i="11"/>
  <c r="G4260" i="11"/>
  <c r="H4260" i="11"/>
  <c r="G4261" i="11"/>
  <c r="H4261" i="11"/>
  <c r="G4262" i="11"/>
  <c r="H4262" i="11"/>
  <c r="G4263" i="11"/>
  <c r="H4263" i="11"/>
  <c r="G4264" i="11"/>
  <c r="H4264" i="11"/>
  <c r="G4265" i="11"/>
  <c r="H4265" i="11"/>
  <c r="G4266" i="11"/>
  <c r="H4266" i="11"/>
  <c r="G4267" i="11"/>
  <c r="H4267" i="11"/>
  <c r="G4268" i="11"/>
  <c r="H4268" i="11"/>
  <c r="G4269" i="11"/>
  <c r="H4269" i="11"/>
  <c r="G4270" i="11"/>
  <c r="H4270" i="11"/>
  <c r="G4271" i="11"/>
  <c r="H4271" i="11"/>
  <c r="G4272" i="11"/>
  <c r="H4272" i="11"/>
  <c r="G4273" i="11"/>
  <c r="H4273" i="11"/>
  <c r="G4274" i="11"/>
  <c r="H4274" i="11"/>
  <c r="G4275" i="11"/>
  <c r="H4275" i="11"/>
  <c r="G4276" i="11"/>
  <c r="H4276" i="11"/>
  <c r="G4277" i="11"/>
  <c r="H4277" i="11"/>
  <c r="G4278" i="11"/>
  <c r="H4278" i="11"/>
  <c r="G4279" i="11"/>
  <c r="H4279" i="11"/>
  <c r="G4280" i="11"/>
  <c r="H4280" i="11"/>
  <c r="G4281" i="11"/>
  <c r="H4281" i="11"/>
  <c r="G4282" i="11"/>
  <c r="H4282" i="11"/>
  <c r="G4283" i="11"/>
  <c r="H4283" i="11"/>
  <c r="G4284" i="11"/>
  <c r="H4284" i="11"/>
  <c r="G4285" i="11"/>
  <c r="H4285" i="11"/>
  <c r="G4286" i="11"/>
  <c r="H4286" i="11"/>
  <c r="G4287" i="11"/>
  <c r="H4287" i="11"/>
  <c r="G4288" i="11"/>
  <c r="H4288" i="11"/>
  <c r="G4289" i="11"/>
  <c r="H4289" i="11"/>
  <c r="G4290" i="11"/>
  <c r="H4290" i="11"/>
  <c r="G4291" i="11"/>
  <c r="H4291" i="11"/>
  <c r="G4292" i="11"/>
  <c r="H4292" i="11"/>
  <c r="G4293" i="11"/>
  <c r="H4293" i="11"/>
  <c r="G4294" i="11"/>
  <c r="H4294" i="11"/>
  <c r="G4295" i="11"/>
  <c r="H4295" i="11"/>
  <c r="G4296" i="11"/>
  <c r="H4296" i="11"/>
  <c r="G4297" i="11"/>
  <c r="H4297" i="11"/>
  <c r="G4298" i="11"/>
  <c r="H4298" i="11"/>
  <c r="G4299" i="11"/>
  <c r="H4299" i="11"/>
  <c r="G4300" i="11"/>
  <c r="H4300" i="11"/>
  <c r="G4301" i="11"/>
  <c r="H4301" i="11"/>
  <c r="G4302" i="11"/>
  <c r="H4302" i="11"/>
  <c r="G4303" i="11"/>
  <c r="H4303" i="11"/>
  <c r="G4304" i="11"/>
  <c r="H4304" i="11"/>
  <c r="G4305" i="11"/>
  <c r="H4305" i="11"/>
  <c r="G4306" i="11"/>
  <c r="H4306" i="11"/>
  <c r="G4307" i="11"/>
  <c r="H4307" i="11"/>
  <c r="G4308" i="11"/>
  <c r="H4308" i="11"/>
  <c r="G4309" i="11"/>
  <c r="H4309" i="11"/>
  <c r="G4310" i="11"/>
  <c r="H4310" i="11"/>
  <c r="G4311" i="11"/>
  <c r="H4311" i="11"/>
  <c r="G4312" i="11"/>
  <c r="H4312" i="11"/>
  <c r="G4313" i="11"/>
  <c r="H4313" i="11"/>
  <c r="G4314" i="11"/>
  <c r="H4314" i="11"/>
  <c r="G4315" i="11"/>
  <c r="H4315" i="11"/>
  <c r="G4316" i="11"/>
  <c r="H4316" i="11"/>
  <c r="G4317" i="11"/>
  <c r="H4317" i="11"/>
  <c r="G4318" i="11"/>
  <c r="H4318" i="11"/>
  <c r="G4319" i="11"/>
  <c r="H4319" i="11"/>
  <c r="G4320" i="11"/>
  <c r="H4320" i="11"/>
  <c r="G4321" i="11"/>
  <c r="H4321" i="11"/>
  <c r="G4322" i="11"/>
  <c r="H4322" i="11"/>
  <c r="G4323" i="11"/>
  <c r="H4323" i="11"/>
  <c r="G4324" i="11"/>
  <c r="H4324" i="11"/>
  <c r="G4325" i="11"/>
  <c r="H4325" i="11"/>
  <c r="G4326" i="11"/>
  <c r="H4326" i="11"/>
  <c r="G4327" i="11"/>
  <c r="H4327" i="11"/>
  <c r="G4328" i="11"/>
  <c r="H4328" i="11"/>
  <c r="G4329" i="11"/>
  <c r="H4329" i="11"/>
  <c r="G4330" i="11"/>
  <c r="H4330" i="11"/>
  <c r="G4331" i="11"/>
  <c r="H4331" i="11"/>
  <c r="G4332" i="11"/>
  <c r="H4332" i="11"/>
  <c r="G4333" i="11"/>
  <c r="H4333" i="11"/>
  <c r="G4334" i="11"/>
  <c r="H4334" i="11"/>
  <c r="G4335" i="11"/>
  <c r="H4335" i="11"/>
  <c r="G4336" i="11"/>
  <c r="H4336" i="11"/>
  <c r="G4337" i="11"/>
  <c r="H4337" i="11"/>
  <c r="G4338" i="11"/>
  <c r="H4338" i="11"/>
  <c r="G4339" i="11"/>
  <c r="H4339" i="11"/>
  <c r="G4340" i="11"/>
  <c r="H4340" i="11"/>
  <c r="G4341" i="11"/>
  <c r="H4341" i="11"/>
  <c r="G4342" i="11"/>
  <c r="H4342" i="11"/>
  <c r="G4343" i="11"/>
  <c r="H4343" i="11"/>
  <c r="G4344" i="11"/>
  <c r="H4344" i="11"/>
  <c r="G4345" i="11"/>
  <c r="H4345" i="11"/>
  <c r="G4346" i="11"/>
  <c r="H4346" i="11"/>
  <c r="G4347" i="11"/>
  <c r="H4347" i="11"/>
  <c r="G4348" i="11"/>
  <c r="H4348" i="11"/>
  <c r="G4349" i="11"/>
  <c r="H4349" i="11"/>
  <c r="G4350" i="11"/>
  <c r="H4350" i="11"/>
  <c r="G4351" i="11"/>
  <c r="H4351" i="11"/>
  <c r="G4352" i="11"/>
  <c r="H4352" i="11"/>
  <c r="G4353" i="11"/>
  <c r="H4353" i="11"/>
  <c r="G4354" i="11"/>
  <c r="H4354" i="11"/>
  <c r="G4355" i="11"/>
  <c r="H4355" i="11"/>
  <c r="G4356" i="11"/>
  <c r="H4356" i="11"/>
  <c r="G4357" i="11"/>
  <c r="H4357" i="11"/>
  <c r="G4358" i="11"/>
  <c r="H4358" i="11"/>
  <c r="G4359" i="11"/>
  <c r="H4359" i="11"/>
  <c r="G4360" i="11"/>
  <c r="H4360" i="11"/>
  <c r="G4361" i="11"/>
  <c r="H4361" i="11"/>
  <c r="G4362" i="11"/>
  <c r="H4362" i="11"/>
  <c r="G4363" i="11"/>
  <c r="H4363" i="11"/>
  <c r="G4364" i="11"/>
  <c r="H4364" i="11"/>
  <c r="G4365" i="11"/>
  <c r="H4365" i="11"/>
  <c r="G4366" i="11"/>
  <c r="H4366" i="11"/>
  <c r="G4367" i="11"/>
  <c r="H4367" i="11"/>
  <c r="G4368" i="11"/>
  <c r="H4368" i="11"/>
  <c r="G4369" i="11"/>
  <c r="H4369" i="11"/>
  <c r="G4370" i="11"/>
  <c r="H4370" i="11"/>
  <c r="G4371" i="11"/>
  <c r="H4371" i="11"/>
  <c r="G4372" i="11"/>
  <c r="H4372" i="11"/>
  <c r="G4373" i="11"/>
  <c r="H4373" i="11"/>
  <c r="G4374" i="11"/>
  <c r="H4374" i="11"/>
  <c r="G4375" i="11"/>
  <c r="H4375" i="11"/>
  <c r="G4376" i="11"/>
  <c r="H4376" i="11"/>
  <c r="G4377" i="11"/>
  <c r="H4377" i="11"/>
  <c r="G4378" i="11"/>
  <c r="H4378" i="11"/>
  <c r="G4379" i="11"/>
  <c r="H4379" i="11"/>
  <c r="G4380" i="11"/>
  <c r="H4380" i="11"/>
  <c r="G4381" i="11"/>
  <c r="H4381" i="11"/>
  <c r="G4382" i="11"/>
  <c r="H4382" i="11"/>
  <c r="G4383" i="11"/>
  <c r="H4383" i="11"/>
  <c r="G4384" i="11"/>
  <c r="H4384" i="11"/>
  <c r="G4385" i="11"/>
  <c r="H4385" i="11"/>
  <c r="G4386" i="11"/>
  <c r="H4386" i="11"/>
  <c r="G4387" i="11"/>
  <c r="H4387" i="11"/>
  <c r="G4388" i="11"/>
  <c r="H4388" i="11"/>
  <c r="G4389" i="11"/>
  <c r="H4389" i="11"/>
  <c r="G4390" i="11"/>
  <c r="H4390" i="11"/>
  <c r="G4391" i="11"/>
  <c r="H4391" i="11"/>
  <c r="G4392" i="11"/>
  <c r="H4392" i="11"/>
  <c r="G4393" i="11"/>
  <c r="H4393" i="11"/>
  <c r="G4394" i="11"/>
  <c r="H4394" i="11"/>
  <c r="G4395" i="11"/>
  <c r="H4395" i="11"/>
  <c r="G4396" i="11"/>
  <c r="H4396" i="11"/>
  <c r="G4397" i="11"/>
  <c r="H4397" i="11"/>
  <c r="G4398" i="11"/>
  <c r="H4398" i="11"/>
  <c r="G4399" i="11"/>
  <c r="H4399" i="11"/>
  <c r="G4400" i="11"/>
  <c r="H4400" i="11"/>
  <c r="G4401" i="11"/>
  <c r="H4401" i="11"/>
  <c r="G4402" i="11"/>
  <c r="H4402" i="11"/>
  <c r="G4403" i="11"/>
  <c r="H4403" i="11"/>
  <c r="G4404" i="11"/>
  <c r="H4404" i="11"/>
  <c r="G4405" i="11"/>
  <c r="H4405" i="11"/>
  <c r="G4406" i="11"/>
  <c r="H4406" i="11"/>
  <c r="G4407" i="11"/>
  <c r="H4407" i="11"/>
  <c r="G4408" i="11"/>
  <c r="H4408" i="11"/>
  <c r="G4409" i="11"/>
  <c r="H4409" i="11"/>
  <c r="G4410" i="11"/>
  <c r="H4410" i="11"/>
  <c r="G4411" i="11"/>
  <c r="H4411" i="11"/>
  <c r="G4412" i="11"/>
  <c r="H4412" i="11"/>
  <c r="G4413" i="11"/>
  <c r="H4413" i="11"/>
  <c r="G4414" i="11"/>
  <c r="H4414" i="11"/>
  <c r="G4415" i="11"/>
  <c r="H4415" i="11"/>
  <c r="G4416" i="11"/>
  <c r="H4416" i="11"/>
  <c r="G4417" i="11"/>
  <c r="H4417" i="11"/>
  <c r="G4418" i="11"/>
  <c r="H4418" i="11"/>
  <c r="G4419" i="11"/>
  <c r="H4419" i="11"/>
  <c r="G4420" i="11"/>
  <c r="H4420" i="11"/>
  <c r="G4421" i="11"/>
  <c r="H4421" i="11"/>
  <c r="G4422" i="11"/>
  <c r="H4422" i="11"/>
  <c r="G4423" i="11"/>
  <c r="H4423" i="11"/>
  <c r="G4424" i="11"/>
  <c r="H4424" i="11"/>
  <c r="G4425" i="11"/>
  <c r="H4425" i="11"/>
  <c r="G4426" i="11"/>
  <c r="H4426" i="11"/>
  <c r="G4427" i="11"/>
  <c r="H4427" i="11"/>
  <c r="G4428" i="11"/>
  <c r="H4428" i="11"/>
  <c r="G4429" i="11"/>
  <c r="H4429" i="11"/>
  <c r="G4430" i="11"/>
  <c r="H4430" i="11"/>
  <c r="G4431" i="11"/>
  <c r="H4431" i="11"/>
  <c r="G4432" i="11"/>
  <c r="H4432" i="11"/>
  <c r="G4433" i="11"/>
  <c r="H4433" i="11"/>
  <c r="G4434" i="11"/>
  <c r="H4434" i="11"/>
  <c r="G4435" i="11"/>
  <c r="H4435" i="11"/>
  <c r="G4436" i="11"/>
  <c r="H4436" i="11"/>
  <c r="G4437" i="11"/>
  <c r="H4437" i="11"/>
  <c r="G4438" i="11"/>
  <c r="H4438" i="11"/>
  <c r="G4439" i="11"/>
  <c r="H4439" i="11"/>
  <c r="G4440" i="11"/>
  <c r="H4440" i="11"/>
  <c r="G4441" i="11"/>
  <c r="H4441" i="11"/>
  <c r="G4442" i="11"/>
  <c r="H4442" i="11"/>
  <c r="G4443" i="11"/>
  <c r="H4443" i="11"/>
  <c r="G4444" i="11"/>
  <c r="H4444" i="11"/>
  <c r="G4445" i="11"/>
  <c r="H4445" i="11"/>
  <c r="G4446" i="11"/>
  <c r="H4446" i="11"/>
  <c r="G4447" i="11"/>
  <c r="H4447" i="11"/>
  <c r="G4448" i="11"/>
  <c r="H4448" i="11"/>
  <c r="G4449" i="11"/>
  <c r="H4449" i="11"/>
  <c r="G4450" i="11"/>
  <c r="H4450" i="11"/>
  <c r="G4451" i="11"/>
  <c r="H4451" i="11"/>
  <c r="G4452" i="11"/>
  <c r="H4452" i="11"/>
  <c r="G4453" i="11"/>
  <c r="H4453" i="11"/>
  <c r="G4454" i="11"/>
  <c r="H4454" i="11"/>
  <c r="G4455" i="11"/>
  <c r="H4455" i="11"/>
  <c r="G4456" i="11"/>
  <c r="H4456" i="11"/>
  <c r="G4457" i="11"/>
  <c r="H4457" i="11"/>
  <c r="G4458" i="11"/>
  <c r="H4458" i="11"/>
  <c r="G4459" i="11"/>
  <c r="H4459" i="11"/>
  <c r="G4460" i="11"/>
  <c r="H4460" i="11"/>
  <c r="G4461" i="11"/>
  <c r="H4461" i="11"/>
  <c r="G4462" i="11"/>
  <c r="H4462" i="11"/>
  <c r="G4463" i="11"/>
  <c r="H4463" i="11"/>
  <c r="G4464" i="11"/>
  <c r="H4464" i="11"/>
  <c r="G4465" i="11"/>
  <c r="H4465" i="11"/>
  <c r="G4466" i="11"/>
  <c r="H4466" i="11"/>
  <c r="G4467" i="11"/>
  <c r="H4467" i="11"/>
  <c r="G4468" i="11"/>
  <c r="H4468" i="11"/>
  <c r="G4469" i="11"/>
  <c r="H4469" i="11"/>
  <c r="G4470" i="11"/>
  <c r="H4470" i="11"/>
  <c r="G4471" i="11"/>
  <c r="H4471" i="11"/>
  <c r="G4472" i="11"/>
  <c r="H4472" i="11"/>
  <c r="G4473" i="11"/>
  <c r="H4473" i="11"/>
  <c r="G4474" i="11"/>
  <c r="H4474" i="11"/>
  <c r="G4475" i="11"/>
  <c r="H4475" i="11"/>
  <c r="G4476" i="11"/>
  <c r="H4476" i="11"/>
  <c r="G4477" i="11"/>
  <c r="H4477" i="11"/>
  <c r="G4478" i="11"/>
  <c r="H4478" i="11"/>
  <c r="G4479" i="11"/>
  <c r="H4479" i="11"/>
  <c r="G4480" i="11"/>
  <c r="H4480" i="11"/>
  <c r="G4481" i="11"/>
  <c r="H4481" i="11"/>
  <c r="G4482" i="11"/>
  <c r="H4482" i="11"/>
  <c r="G4483" i="11"/>
  <c r="H4483" i="11"/>
  <c r="G4484" i="11"/>
  <c r="H4484" i="11"/>
  <c r="G4485" i="11"/>
  <c r="H4485" i="11"/>
  <c r="G4486" i="11"/>
  <c r="H4486" i="11"/>
  <c r="G4487" i="11"/>
  <c r="H4487" i="11"/>
  <c r="G4488" i="11"/>
  <c r="H4488" i="11"/>
  <c r="G4489" i="11"/>
  <c r="H4489" i="11"/>
  <c r="G4490" i="11"/>
  <c r="H4490" i="11"/>
  <c r="G4491" i="11"/>
  <c r="H4491" i="11"/>
  <c r="G4492" i="11"/>
  <c r="H4492" i="11"/>
  <c r="G4493" i="11"/>
  <c r="H4493" i="11"/>
  <c r="G4494" i="11"/>
  <c r="H4494" i="11"/>
  <c r="G4495" i="11"/>
  <c r="H4495" i="11"/>
  <c r="G4496" i="11"/>
  <c r="H4496" i="11"/>
  <c r="G4497" i="11"/>
  <c r="H4497" i="11"/>
  <c r="G4498" i="11"/>
  <c r="H4498" i="11"/>
  <c r="G4499" i="11"/>
  <c r="H4499" i="11"/>
  <c r="G4500" i="11"/>
  <c r="H4500" i="11"/>
  <c r="G4501" i="11"/>
  <c r="H4501" i="11"/>
  <c r="G3002" i="11"/>
  <c r="H3002" i="11"/>
  <c r="G3003" i="11"/>
  <c r="H3003" i="11"/>
  <c r="G3004" i="11"/>
  <c r="H3004" i="11"/>
  <c r="G3005" i="11"/>
  <c r="H3005" i="11"/>
  <c r="G3006" i="11"/>
  <c r="H3006" i="11"/>
  <c r="G3007" i="11"/>
  <c r="H3007" i="11"/>
  <c r="G3008" i="11"/>
  <c r="H3008" i="11"/>
  <c r="G3009" i="11"/>
  <c r="H3009" i="11"/>
  <c r="G3010" i="11"/>
  <c r="H3010" i="11"/>
  <c r="G3011" i="11"/>
  <c r="H3011" i="11"/>
  <c r="G3012" i="11"/>
  <c r="H3012" i="11"/>
  <c r="G3013" i="11"/>
  <c r="H3013" i="11"/>
  <c r="G3014" i="11"/>
  <c r="H3014" i="11"/>
  <c r="G3015" i="11"/>
  <c r="H3015" i="11"/>
  <c r="G3016" i="11"/>
  <c r="H3016" i="11"/>
  <c r="G3017" i="11"/>
  <c r="H3017" i="11"/>
  <c r="G3018" i="11"/>
  <c r="H3018" i="11"/>
  <c r="G3019" i="11"/>
  <c r="H3019" i="11"/>
  <c r="G3020" i="11"/>
  <c r="H3020" i="11"/>
  <c r="G3021" i="11"/>
  <c r="H3021" i="11"/>
  <c r="G3022" i="11"/>
  <c r="H3022" i="11"/>
  <c r="G3023" i="11"/>
  <c r="H3023" i="11"/>
  <c r="G3024" i="11"/>
  <c r="H3024" i="11"/>
  <c r="G3025" i="11"/>
  <c r="H3025" i="11"/>
  <c r="G3026" i="11"/>
  <c r="H3026" i="11"/>
  <c r="G3027" i="11"/>
  <c r="H3027" i="11"/>
  <c r="G3028" i="11"/>
  <c r="H3028" i="11"/>
  <c r="G3029" i="11"/>
  <c r="H3029" i="11"/>
  <c r="G3030" i="11"/>
  <c r="H3030" i="11"/>
  <c r="G3031" i="11"/>
  <c r="H3031" i="11"/>
  <c r="G3032" i="11"/>
  <c r="H3032" i="11"/>
  <c r="G3033" i="11"/>
  <c r="H3033" i="11"/>
  <c r="G3034" i="11"/>
  <c r="H3034" i="11"/>
  <c r="G3035" i="11"/>
  <c r="H3035" i="11"/>
  <c r="G3036" i="11"/>
  <c r="H3036" i="11"/>
  <c r="G3037" i="11"/>
  <c r="H3037" i="11"/>
  <c r="G3038" i="11"/>
  <c r="H3038" i="11"/>
  <c r="G3039" i="11"/>
  <c r="H3039" i="11"/>
  <c r="G3040" i="11"/>
  <c r="H3040" i="11"/>
  <c r="G3041" i="11"/>
  <c r="H3041" i="11"/>
  <c r="G3042" i="11"/>
  <c r="H3042" i="11"/>
  <c r="G3043" i="11"/>
  <c r="H3043" i="11"/>
  <c r="G3044" i="11"/>
  <c r="H3044" i="11"/>
  <c r="G3045" i="11"/>
  <c r="H3045" i="11"/>
  <c r="G3046" i="11"/>
  <c r="H3046" i="11"/>
  <c r="G3047" i="11"/>
  <c r="H3047" i="11"/>
  <c r="G3048" i="11"/>
  <c r="H3048" i="11"/>
  <c r="G3049" i="11"/>
  <c r="H3049" i="11"/>
  <c r="G3050" i="11"/>
  <c r="H3050" i="11"/>
  <c r="G3051" i="11"/>
  <c r="H3051" i="11"/>
  <c r="G3052" i="11"/>
  <c r="H3052" i="11"/>
  <c r="G3053" i="11"/>
  <c r="H3053" i="11"/>
  <c r="G3054" i="11"/>
  <c r="H3054" i="11"/>
  <c r="G3055" i="11"/>
  <c r="H3055" i="11"/>
  <c r="G3056" i="11"/>
  <c r="H3056" i="11"/>
  <c r="G3057" i="11"/>
  <c r="H3057" i="11"/>
  <c r="G3058" i="11"/>
  <c r="H3058" i="11"/>
  <c r="G3059" i="11"/>
  <c r="H3059" i="11"/>
  <c r="G3060" i="11"/>
  <c r="H3060" i="11"/>
  <c r="G3061" i="11"/>
  <c r="H3061" i="11"/>
  <c r="G3062" i="11"/>
  <c r="H3062" i="11"/>
  <c r="G3063" i="11"/>
  <c r="H3063" i="11"/>
  <c r="G3064" i="11"/>
  <c r="H3064" i="11"/>
  <c r="G3065" i="11"/>
  <c r="H3065" i="11"/>
  <c r="G3066" i="11"/>
  <c r="H3066" i="11"/>
  <c r="G3067" i="11"/>
  <c r="H3067" i="11"/>
  <c r="G3068" i="11"/>
  <c r="H3068" i="11"/>
  <c r="G3069" i="11"/>
  <c r="H3069" i="11"/>
  <c r="G3070" i="11"/>
  <c r="H3070" i="11"/>
  <c r="G3071" i="11"/>
  <c r="H3071" i="11"/>
  <c r="G3072" i="11"/>
  <c r="H3072" i="11"/>
  <c r="G3073" i="11"/>
  <c r="H3073" i="11"/>
  <c r="G3074" i="11"/>
  <c r="H3074" i="11"/>
  <c r="G3075" i="11"/>
  <c r="H3075" i="11"/>
  <c r="G3076" i="11"/>
  <c r="H3076" i="11"/>
  <c r="G3077" i="11"/>
  <c r="H3077" i="11"/>
  <c r="G3078" i="11"/>
  <c r="H3078" i="11"/>
  <c r="G3079" i="11"/>
  <c r="H3079" i="11"/>
  <c r="G3080" i="11"/>
  <c r="H3080" i="11"/>
  <c r="G3081" i="11"/>
  <c r="H3081" i="11"/>
  <c r="G3082" i="11"/>
  <c r="H3082" i="11"/>
  <c r="G3083" i="11"/>
  <c r="H3083" i="11"/>
  <c r="G3084" i="11"/>
  <c r="H3084" i="11"/>
  <c r="G3085" i="11"/>
  <c r="H3085" i="11"/>
  <c r="G3086" i="11"/>
  <c r="H3086" i="11"/>
  <c r="G3087" i="11"/>
  <c r="H3087" i="11"/>
  <c r="G3088" i="11"/>
  <c r="H3088" i="11"/>
  <c r="G3089" i="11"/>
  <c r="H3089" i="11"/>
  <c r="G3090" i="11"/>
  <c r="H3090" i="11"/>
  <c r="G3091" i="11"/>
  <c r="H3091" i="11"/>
  <c r="G3092" i="11"/>
  <c r="H3092" i="11"/>
  <c r="G3093" i="11"/>
  <c r="H3093" i="11"/>
  <c r="G3094" i="11"/>
  <c r="H3094" i="11"/>
  <c r="G3095" i="11"/>
  <c r="H3095" i="11"/>
  <c r="G3096" i="11"/>
  <c r="H3096" i="11"/>
  <c r="G3097" i="11"/>
  <c r="H3097" i="11"/>
  <c r="G3098" i="11"/>
  <c r="H3098" i="11"/>
  <c r="G3099" i="11"/>
  <c r="H3099" i="11"/>
  <c r="G3100" i="11"/>
  <c r="H3100" i="11"/>
  <c r="G3101" i="11"/>
  <c r="H3101" i="11"/>
  <c r="G3102" i="11"/>
  <c r="H3102" i="11"/>
  <c r="G3103" i="11"/>
  <c r="H3103" i="11"/>
  <c r="G3104" i="11"/>
  <c r="H3104" i="11"/>
  <c r="G3105" i="11"/>
  <c r="H3105" i="11"/>
  <c r="G3106" i="11"/>
  <c r="H3106" i="11"/>
  <c r="G3107" i="11"/>
  <c r="H3107" i="11"/>
  <c r="G3108" i="11"/>
  <c r="H3108" i="11"/>
  <c r="G3109" i="11"/>
  <c r="H3109" i="11"/>
  <c r="G3110" i="11"/>
  <c r="H3110" i="11"/>
  <c r="G3111" i="11"/>
  <c r="H3111" i="11"/>
  <c r="G3112" i="11"/>
  <c r="H3112" i="11"/>
  <c r="G3113" i="11"/>
  <c r="H3113" i="11"/>
  <c r="G3114" i="11"/>
  <c r="H3114" i="11"/>
  <c r="G3115" i="11"/>
  <c r="H3115" i="11"/>
  <c r="G3116" i="11"/>
  <c r="H3116" i="11"/>
  <c r="G3117" i="11"/>
  <c r="H3117" i="11"/>
  <c r="G3118" i="11"/>
  <c r="H3118" i="11"/>
  <c r="G3119" i="11"/>
  <c r="H3119" i="11"/>
  <c r="G3120" i="11"/>
  <c r="H3120" i="11"/>
  <c r="G3121" i="11"/>
  <c r="H3121" i="11"/>
  <c r="G3122" i="11"/>
  <c r="H3122" i="11"/>
  <c r="G3123" i="11"/>
  <c r="H3123" i="11"/>
  <c r="G3124" i="11"/>
  <c r="H3124" i="11"/>
  <c r="G3125" i="11"/>
  <c r="H3125" i="11"/>
  <c r="G3126" i="11"/>
  <c r="H3126" i="11"/>
  <c r="G3127" i="11"/>
  <c r="H3127" i="11"/>
  <c r="G3128" i="11"/>
  <c r="H3128" i="11"/>
  <c r="G3129" i="11"/>
  <c r="H3129" i="11"/>
  <c r="G3130" i="11"/>
  <c r="H3130" i="11"/>
  <c r="G3131" i="11"/>
  <c r="H3131" i="11"/>
  <c r="G3132" i="11"/>
  <c r="H3132" i="11"/>
  <c r="G3133" i="11"/>
  <c r="H3133" i="11"/>
  <c r="G3134" i="11"/>
  <c r="H3134" i="11"/>
  <c r="G3135" i="11"/>
  <c r="H3135" i="11"/>
  <c r="G3136" i="11"/>
  <c r="H3136" i="11"/>
  <c r="G3137" i="11"/>
  <c r="H3137" i="11"/>
  <c r="G3138" i="11"/>
  <c r="H3138" i="11"/>
  <c r="G3139" i="11"/>
  <c r="H3139" i="11"/>
  <c r="G3140" i="11"/>
  <c r="H3140" i="11"/>
  <c r="G3141" i="11"/>
  <c r="H3141" i="11"/>
  <c r="G3142" i="11"/>
  <c r="H3142" i="11"/>
  <c r="G3143" i="11"/>
  <c r="H3143" i="11"/>
  <c r="G3144" i="11"/>
  <c r="H3144" i="11"/>
  <c r="G3145" i="11"/>
  <c r="H3145" i="11"/>
  <c r="G3146" i="11"/>
  <c r="H3146" i="11"/>
  <c r="G3147" i="11"/>
  <c r="H3147" i="11"/>
  <c r="G3148" i="11"/>
  <c r="H3148" i="11"/>
  <c r="G3149" i="11"/>
  <c r="H3149" i="11"/>
  <c r="G3150" i="11"/>
  <c r="H3150" i="11"/>
  <c r="G3151" i="11"/>
  <c r="H3151" i="11"/>
  <c r="G3152" i="11"/>
  <c r="H3152" i="11"/>
  <c r="G3153" i="11"/>
  <c r="H3153" i="11"/>
  <c r="G3154" i="11"/>
  <c r="H3154" i="11"/>
  <c r="G3155" i="11"/>
  <c r="H3155" i="11"/>
  <c r="G3156" i="11"/>
  <c r="H3156" i="11"/>
  <c r="G3157" i="11"/>
  <c r="H3157" i="11"/>
  <c r="G3158" i="11"/>
  <c r="H3158" i="11"/>
  <c r="G3159" i="11"/>
  <c r="H3159" i="11"/>
  <c r="G3160" i="11"/>
  <c r="H3160" i="11"/>
  <c r="G3161" i="11"/>
  <c r="H3161" i="11"/>
  <c r="G3162" i="11"/>
  <c r="H3162" i="11"/>
  <c r="G3163" i="11"/>
  <c r="H3163" i="11"/>
  <c r="G3164" i="11"/>
  <c r="H3164" i="11"/>
  <c r="G3165" i="11"/>
  <c r="H3165" i="11"/>
  <c r="G3166" i="11"/>
  <c r="H3166" i="11"/>
  <c r="G3167" i="11"/>
  <c r="H3167" i="11"/>
  <c r="G3168" i="11"/>
  <c r="H3168" i="11"/>
  <c r="G3169" i="11"/>
  <c r="H3169" i="11"/>
  <c r="G3170" i="11"/>
  <c r="H3170" i="11"/>
  <c r="G3171" i="11"/>
  <c r="H3171" i="11"/>
  <c r="G3172" i="11"/>
  <c r="H3172" i="11"/>
  <c r="G3173" i="11"/>
  <c r="H3173" i="11"/>
  <c r="G3174" i="11"/>
  <c r="H3174" i="11"/>
  <c r="G3175" i="11"/>
  <c r="H3175" i="11"/>
  <c r="G3176" i="11"/>
  <c r="H3176" i="11"/>
  <c r="G3177" i="11"/>
  <c r="H3177" i="11"/>
  <c r="G3178" i="11"/>
  <c r="H3178" i="11"/>
  <c r="G3179" i="11"/>
  <c r="H3179" i="11"/>
  <c r="G3180" i="11"/>
  <c r="H3180" i="11"/>
  <c r="G3181" i="11"/>
  <c r="H3181" i="11"/>
  <c r="G3182" i="11"/>
  <c r="H3182" i="11"/>
  <c r="G3183" i="11"/>
  <c r="H3183" i="11"/>
  <c r="G3184" i="11"/>
  <c r="H3184" i="11"/>
  <c r="G3185" i="11"/>
  <c r="H3185" i="11"/>
  <c r="G3186" i="11"/>
  <c r="H3186" i="11"/>
  <c r="G3187" i="11"/>
  <c r="H3187" i="11"/>
  <c r="G3188" i="11"/>
  <c r="H3188" i="11"/>
  <c r="G3189" i="11"/>
  <c r="H3189" i="11"/>
  <c r="G3190" i="11"/>
  <c r="H3190" i="11"/>
  <c r="G3191" i="11"/>
  <c r="H3191" i="11"/>
  <c r="G3192" i="11"/>
  <c r="H3192" i="11"/>
  <c r="G3193" i="11"/>
  <c r="H3193" i="11"/>
  <c r="G3194" i="11"/>
  <c r="H3194" i="11"/>
  <c r="G3195" i="11"/>
  <c r="H3195" i="11"/>
  <c r="G3196" i="11"/>
  <c r="H3196" i="11"/>
  <c r="G3197" i="11"/>
  <c r="H3197" i="11"/>
  <c r="G3198" i="11"/>
  <c r="H3198" i="11"/>
  <c r="G3199" i="11"/>
  <c r="H3199" i="11"/>
  <c r="G3200" i="11"/>
  <c r="H3200" i="11"/>
  <c r="G3201" i="11"/>
  <c r="H3201" i="11"/>
  <c r="G3202" i="11"/>
  <c r="H3202" i="11"/>
  <c r="G3203" i="11"/>
  <c r="H3203" i="11"/>
  <c r="G3204" i="11"/>
  <c r="H3204" i="11"/>
  <c r="G3205" i="11"/>
  <c r="H3205" i="11"/>
  <c r="G3206" i="11"/>
  <c r="H3206" i="11"/>
  <c r="G3207" i="11"/>
  <c r="H3207" i="11"/>
  <c r="G3208" i="11"/>
  <c r="H3208" i="11"/>
  <c r="G3209" i="11"/>
  <c r="H3209" i="11"/>
  <c r="G3210" i="11"/>
  <c r="H3210" i="11"/>
  <c r="G3211" i="11"/>
  <c r="H3211" i="11"/>
  <c r="G3212" i="11"/>
  <c r="H3212" i="11"/>
  <c r="G3213" i="11"/>
  <c r="H3213" i="11"/>
  <c r="G3214" i="11"/>
  <c r="H3214" i="11"/>
  <c r="G3215" i="11"/>
  <c r="H3215" i="11"/>
  <c r="G3216" i="11"/>
  <c r="H3216" i="11"/>
  <c r="G3217" i="11"/>
  <c r="H3217" i="11"/>
  <c r="G3218" i="11"/>
  <c r="H3218" i="11"/>
  <c r="G3219" i="11"/>
  <c r="H3219" i="11"/>
  <c r="G3220" i="11"/>
  <c r="H3220" i="11"/>
  <c r="G3221" i="11"/>
  <c r="H3221" i="11"/>
  <c r="G3222" i="11"/>
  <c r="H3222" i="11"/>
  <c r="G3223" i="11"/>
  <c r="H3223" i="11"/>
  <c r="G3224" i="11"/>
  <c r="H3224" i="11"/>
  <c r="G3225" i="11"/>
  <c r="H3225" i="11"/>
  <c r="G3226" i="11"/>
  <c r="H3226" i="11"/>
  <c r="G3227" i="11"/>
  <c r="H3227" i="11"/>
  <c r="G3228" i="11"/>
  <c r="H3228" i="11"/>
  <c r="G3229" i="11"/>
  <c r="H3229" i="11"/>
  <c r="G3230" i="11"/>
  <c r="H3230" i="11"/>
  <c r="G3231" i="11"/>
  <c r="H3231" i="11"/>
  <c r="G3232" i="11"/>
  <c r="H3232" i="11"/>
  <c r="G3233" i="11"/>
  <c r="H3233" i="11"/>
  <c r="G3234" i="11"/>
  <c r="H3234" i="11"/>
  <c r="G3235" i="11"/>
  <c r="H3235" i="11"/>
  <c r="G3236" i="11"/>
  <c r="H3236" i="11"/>
  <c r="G3237" i="11"/>
  <c r="H3237" i="11"/>
  <c r="G3238" i="11"/>
  <c r="H3238" i="11"/>
  <c r="G3239" i="11"/>
  <c r="H3239" i="11"/>
  <c r="G3240" i="11"/>
  <c r="H3240" i="11"/>
  <c r="G3241" i="11"/>
  <c r="H3241" i="11"/>
  <c r="G3242" i="11"/>
  <c r="H3242" i="11"/>
  <c r="G3243" i="11"/>
  <c r="H3243" i="11"/>
  <c r="G3244" i="11"/>
  <c r="H3244" i="11"/>
  <c r="G3245" i="11"/>
  <c r="H3245" i="11"/>
  <c r="G3246" i="11"/>
  <c r="H3246" i="11"/>
  <c r="G3247" i="11"/>
  <c r="H3247" i="11"/>
  <c r="G3248" i="11"/>
  <c r="H3248" i="11"/>
  <c r="G3249" i="11"/>
  <c r="H3249" i="11"/>
  <c r="G3250" i="11"/>
  <c r="H3250" i="11"/>
  <c r="G3251" i="11"/>
  <c r="H3251" i="11"/>
  <c r="G3252" i="11"/>
  <c r="H3252" i="11"/>
  <c r="G3253" i="11"/>
  <c r="H3253" i="11"/>
  <c r="G3254" i="11"/>
  <c r="H3254" i="11"/>
  <c r="G3255" i="11"/>
  <c r="H3255" i="11"/>
  <c r="G3256" i="11"/>
  <c r="H3256" i="11"/>
  <c r="G3257" i="11"/>
  <c r="H3257" i="11"/>
  <c r="G3258" i="11"/>
  <c r="H3258" i="11"/>
  <c r="G3259" i="11"/>
  <c r="H3259" i="11"/>
  <c r="G3260" i="11"/>
  <c r="H3260" i="11"/>
  <c r="G3261" i="11"/>
  <c r="H3261" i="11"/>
  <c r="G3262" i="11"/>
  <c r="H3262" i="11"/>
  <c r="G3263" i="11"/>
  <c r="H3263" i="11"/>
  <c r="G3264" i="11"/>
  <c r="H3264" i="11"/>
  <c r="G3265" i="11"/>
  <c r="H3265" i="11"/>
  <c r="G3266" i="11"/>
  <c r="H3266" i="11"/>
  <c r="G3267" i="11"/>
  <c r="H3267" i="11"/>
  <c r="G3268" i="11"/>
  <c r="H3268" i="11"/>
  <c r="G3269" i="11"/>
  <c r="H3269" i="11"/>
  <c r="G3270" i="11"/>
  <c r="H3270" i="11"/>
  <c r="G3271" i="11"/>
  <c r="H3271" i="11"/>
  <c r="G3272" i="11"/>
  <c r="H3272" i="11"/>
  <c r="G3273" i="11"/>
  <c r="H3273" i="11"/>
  <c r="G3274" i="11"/>
  <c r="H3274" i="11"/>
  <c r="G3275" i="11"/>
  <c r="H3275" i="11"/>
  <c r="G3276" i="11"/>
  <c r="H3276" i="11"/>
  <c r="G3277" i="11"/>
  <c r="H3277" i="11"/>
  <c r="G3278" i="11"/>
  <c r="H3278" i="11"/>
  <c r="G3279" i="11"/>
  <c r="H3279" i="11"/>
  <c r="G3280" i="11"/>
  <c r="H3280" i="11"/>
  <c r="G3281" i="11"/>
  <c r="H3281" i="11"/>
  <c r="G3282" i="11"/>
  <c r="H3282" i="11"/>
  <c r="G3283" i="11"/>
  <c r="H3283" i="11"/>
  <c r="G3284" i="11"/>
  <c r="H3284" i="11"/>
  <c r="G3285" i="11"/>
  <c r="H3285" i="11"/>
  <c r="G3286" i="11"/>
  <c r="H3286" i="11"/>
  <c r="G3287" i="11"/>
  <c r="H3287" i="11"/>
  <c r="G3288" i="11"/>
  <c r="H3288" i="11"/>
  <c r="G3289" i="11"/>
  <c r="H3289" i="11"/>
  <c r="G3290" i="11"/>
  <c r="H3290" i="11"/>
  <c r="G3291" i="11"/>
  <c r="H3291" i="11"/>
  <c r="G3292" i="11"/>
  <c r="H3292" i="11"/>
  <c r="G3293" i="11"/>
  <c r="H3293" i="11"/>
  <c r="G3294" i="11"/>
  <c r="H3294" i="11"/>
  <c r="G3295" i="11"/>
  <c r="H3295" i="11"/>
  <c r="G3296" i="11"/>
  <c r="H3296" i="11"/>
  <c r="G3297" i="11"/>
  <c r="H3297" i="11"/>
  <c r="G3298" i="11"/>
  <c r="H3298" i="11"/>
  <c r="G3299" i="11"/>
  <c r="H3299" i="11"/>
  <c r="G3300" i="11"/>
  <c r="H3300" i="11"/>
  <c r="G3301" i="11"/>
  <c r="H3301" i="11"/>
  <c r="G3302" i="11"/>
  <c r="H3302" i="11"/>
  <c r="G3303" i="11"/>
  <c r="H3303" i="11"/>
  <c r="G3304" i="11"/>
  <c r="H3304" i="11"/>
  <c r="G3305" i="11"/>
  <c r="H3305" i="11"/>
  <c r="G3306" i="11"/>
  <c r="H3306" i="11"/>
  <c r="G3307" i="11"/>
  <c r="H3307" i="11"/>
  <c r="G3308" i="11"/>
  <c r="H3308" i="11"/>
  <c r="G3309" i="11"/>
  <c r="H3309" i="11"/>
  <c r="G3310" i="11"/>
  <c r="H3310" i="11"/>
  <c r="G3311" i="11"/>
  <c r="H3311" i="11"/>
  <c r="G3312" i="11"/>
  <c r="H3312" i="11"/>
  <c r="G3313" i="11"/>
  <c r="H3313" i="11"/>
  <c r="G3314" i="11"/>
  <c r="H3314" i="11"/>
  <c r="G3315" i="11"/>
  <c r="H3315" i="11"/>
  <c r="G3316" i="11"/>
  <c r="H3316" i="11"/>
  <c r="G3317" i="11"/>
  <c r="H3317" i="11"/>
  <c r="G3318" i="11"/>
  <c r="H3318" i="11"/>
  <c r="G3319" i="11"/>
  <c r="H3319" i="11"/>
  <c r="G3320" i="11"/>
  <c r="H3320" i="11"/>
  <c r="G3321" i="11"/>
  <c r="H3321" i="11"/>
  <c r="G3322" i="11"/>
  <c r="H3322" i="11"/>
  <c r="G3323" i="11"/>
  <c r="H3323" i="11"/>
  <c r="G3324" i="11"/>
  <c r="H3324" i="11"/>
  <c r="G3325" i="11"/>
  <c r="H3325" i="11"/>
  <c r="G3326" i="11"/>
  <c r="H3326" i="11"/>
  <c r="G3327" i="11"/>
  <c r="H3327" i="11"/>
  <c r="G3328" i="11"/>
  <c r="H3328" i="11"/>
  <c r="G3329" i="11"/>
  <c r="H3329" i="11"/>
  <c r="G3330" i="11"/>
  <c r="H3330" i="11"/>
  <c r="G3331" i="11"/>
  <c r="H3331" i="11"/>
  <c r="G3332" i="11"/>
  <c r="H3332" i="11"/>
  <c r="G3333" i="11"/>
  <c r="H3333" i="11"/>
  <c r="G3334" i="11"/>
  <c r="H3334" i="11"/>
  <c r="G3335" i="11"/>
  <c r="H3335" i="11"/>
  <c r="G3336" i="11"/>
  <c r="H3336" i="11"/>
  <c r="G3337" i="11"/>
  <c r="H3337" i="11"/>
  <c r="G3338" i="11"/>
  <c r="H3338" i="11"/>
  <c r="G3339" i="11"/>
  <c r="H3339" i="11"/>
  <c r="G3340" i="11"/>
  <c r="H3340" i="11"/>
  <c r="G3341" i="11"/>
  <c r="H3341" i="11"/>
  <c r="G3342" i="11"/>
  <c r="H3342" i="11"/>
  <c r="G3343" i="11"/>
  <c r="H3343" i="11"/>
  <c r="G3344" i="11"/>
  <c r="H3344" i="11"/>
  <c r="G3345" i="11"/>
  <c r="H3345" i="11"/>
  <c r="G3346" i="11"/>
  <c r="H3346" i="11"/>
  <c r="G3347" i="11"/>
  <c r="H3347" i="11"/>
  <c r="G3348" i="11"/>
  <c r="H3348" i="11"/>
  <c r="G3349" i="11"/>
  <c r="H3349" i="11"/>
  <c r="G3350" i="11"/>
  <c r="H3350" i="11"/>
  <c r="G3351" i="11"/>
  <c r="H3351" i="11"/>
  <c r="G3352" i="11"/>
  <c r="H3352" i="11"/>
  <c r="G3353" i="11"/>
  <c r="H3353" i="11"/>
  <c r="G3354" i="11"/>
  <c r="H3354" i="11"/>
  <c r="G3355" i="11"/>
  <c r="H3355" i="11"/>
  <c r="G3356" i="11"/>
  <c r="H3356" i="11"/>
  <c r="G3357" i="11"/>
  <c r="H3357" i="11"/>
  <c r="G3358" i="11"/>
  <c r="H3358" i="11"/>
  <c r="G3359" i="11"/>
  <c r="H3359" i="11"/>
  <c r="G3360" i="11"/>
  <c r="H3360" i="11"/>
  <c r="G3361" i="11"/>
  <c r="H3361" i="11"/>
  <c r="G3362" i="11"/>
  <c r="H3362" i="11"/>
  <c r="G3363" i="11"/>
  <c r="H3363" i="11"/>
  <c r="G3364" i="11"/>
  <c r="H3364" i="11"/>
  <c r="G3365" i="11"/>
  <c r="H3365" i="11"/>
  <c r="G3366" i="11"/>
  <c r="H3366" i="11"/>
  <c r="G3367" i="11"/>
  <c r="H3367" i="11"/>
  <c r="G3368" i="11"/>
  <c r="H3368" i="11"/>
  <c r="G3369" i="11"/>
  <c r="H3369" i="11"/>
  <c r="G3370" i="11"/>
  <c r="H3370" i="11"/>
  <c r="G3371" i="11"/>
  <c r="H3371" i="11"/>
  <c r="G3372" i="11"/>
  <c r="H3372" i="11"/>
  <c r="G3373" i="11"/>
  <c r="H3373" i="11"/>
  <c r="G3374" i="11"/>
  <c r="H3374" i="11"/>
  <c r="G3375" i="11"/>
  <c r="H3375" i="11"/>
  <c r="G3376" i="11"/>
  <c r="H3376" i="11"/>
  <c r="G3377" i="11"/>
  <c r="H3377" i="11"/>
  <c r="G3378" i="11"/>
  <c r="H3378" i="11"/>
  <c r="G3379" i="11"/>
  <c r="H3379" i="11"/>
  <c r="G3380" i="11"/>
  <c r="H3380" i="11"/>
  <c r="G3381" i="11"/>
  <c r="H3381" i="11"/>
  <c r="G3382" i="11"/>
  <c r="H3382" i="11"/>
  <c r="G3383" i="11"/>
  <c r="H3383" i="11"/>
  <c r="G3384" i="11"/>
  <c r="H3384" i="11"/>
  <c r="G3385" i="11"/>
  <c r="H3385" i="11"/>
  <c r="G3386" i="11"/>
  <c r="H3386" i="11"/>
  <c r="G3387" i="11"/>
  <c r="H3387" i="11"/>
  <c r="G3388" i="11"/>
  <c r="H3388" i="11"/>
  <c r="G3389" i="11"/>
  <c r="H3389" i="11"/>
  <c r="G3390" i="11"/>
  <c r="H3390" i="11"/>
  <c r="G3391" i="11"/>
  <c r="H3391" i="11"/>
  <c r="G3392" i="11"/>
  <c r="H3392" i="11"/>
  <c r="G3393" i="11"/>
  <c r="H3393" i="11"/>
  <c r="G3394" i="11"/>
  <c r="H3394" i="11"/>
  <c r="G3395" i="11"/>
  <c r="H3395" i="11"/>
  <c r="G3396" i="11"/>
  <c r="H3396" i="11"/>
  <c r="G3397" i="11"/>
  <c r="H3397" i="11"/>
  <c r="G3398" i="11"/>
  <c r="H3398" i="11"/>
  <c r="G3399" i="11"/>
  <c r="H3399" i="11"/>
  <c r="G3400" i="11"/>
  <c r="H3400" i="11"/>
  <c r="G3401" i="11"/>
  <c r="H3401" i="11"/>
  <c r="G3402" i="11"/>
  <c r="H3402" i="11"/>
  <c r="G3403" i="11"/>
  <c r="H3403" i="11"/>
  <c r="G3404" i="11"/>
  <c r="H3404" i="11"/>
  <c r="G3405" i="11"/>
  <c r="H3405" i="11"/>
  <c r="G3406" i="11"/>
  <c r="H3406" i="11"/>
  <c r="G3407" i="11"/>
  <c r="H3407" i="11"/>
  <c r="G3408" i="11"/>
  <c r="H3408" i="11"/>
  <c r="G3409" i="11"/>
  <c r="H3409" i="11"/>
  <c r="G3410" i="11"/>
  <c r="H3410" i="11"/>
  <c r="G3411" i="11"/>
  <c r="H3411" i="11"/>
  <c r="G3412" i="11"/>
  <c r="H3412" i="11"/>
  <c r="G3413" i="11"/>
  <c r="H3413" i="11"/>
  <c r="G3414" i="11"/>
  <c r="H3414" i="11"/>
  <c r="G3415" i="11"/>
  <c r="H3415" i="11"/>
  <c r="G3416" i="11"/>
  <c r="H3416" i="11"/>
  <c r="G3417" i="11"/>
  <c r="H3417" i="11"/>
  <c r="G3418" i="11"/>
  <c r="H3418" i="11"/>
  <c r="G3419" i="11"/>
  <c r="H3419" i="11"/>
  <c r="G3420" i="11"/>
  <c r="H3420" i="11"/>
  <c r="G3421" i="11"/>
  <c r="H3421" i="11"/>
  <c r="G3422" i="11"/>
  <c r="H3422" i="11"/>
  <c r="G3423" i="11"/>
  <c r="H3423" i="11"/>
  <c r="G3424" i="11"/>
  <c r="H3424" i="11"/>
  <c r="G3425" i="11"/>
  <c r="H3425" i="11"/>
  <c r="G3426" i="11"/>
  <c r="H3426" i="11"/>
  <c r="G3427" i="11"/>
  <c r="H3427" i="11"/>
  <c r="G3428" i="11"/>
  <c r="H3428" i="11"/>
  <c r="G3429" i="11"/>
  <c r="H3429" i="11"/>
  <c r="G3430" i="11"/>
  <c r="H3430" i="11"/>
  <c r="G3431" i="11"/>
  <c r="H3431" i="11"/>
  <c r="G3432" i="11"/>
  <c r="H3432" i="11"/>
  <c r="G3433" i="11"/>
  <c r="H3433" i="11"/>
  <c r="G3434" i="11"/>
  <c r="H3434" i="11"/>
  <c r="G3435" i="11"/>
  <c r="H3435" i="11"/>
  <c r="G3436" i="11"/>
  <c r="H3436" i="11"/>
  <c r="G3437" i="11"/>
  <c r="H3437" i="11"/>
  <c r="G3438" i="11"/>
  <c r="H3438" i="11"/>
  <c r="G3439" i="11"/>
  <c r="H3439" i="11"/>
  <c r="G3440" i="11"/>
  <c r="H3440" i="11"/>
  <c r="G3441" i="11"/>
  <c r="H3441" i="11"/>
  <c r="G3442" i="11"/>
  <c r="H3442" i="11"/>
  <c r="G3443" i="11"/>
  <c r="H3443" i="11"/>
  <c r="G3444" i="11"/>
  <c r="H3444" i="11"/>
  <c r="G3445" i="11"/>
  <c r="H3445" i="11"/>
  <c r="G3446" i="11"/>
  <c r="H3446" i="11"/>
  <c r="G3447" i="11"/>
  <c r="H3447" i="11"/>
  <c r="G3448" i="11"/>
  <c r="H3448" i="11"/>
  <c r="G3449" i="11"/>
  <c r="H3449" i="11"/>
  <c r="G3450" i="11"/>
  <c r="H3450" i="11"/>
  <c r="G3451" i="11"/>
  <c r="H3451" i="11"/>
  <c r="G3452" i="11"/>
  <c r="H3452" i="11"/>
  <c r="G3453" i="11"/>
  <c r="H3453" i="11"/>
  <c r="G3454" i="11"/>
  <c r="H3454" i="11"/>
  <c r="G3455" i="11"/>
  <c r="H3455" i="11"/>
  <c r="G3456" i="11"/>
  <c r="H3456" i="11"/>
  <c r="G3457" i="11"/>
  <c r="H3457" i="11"/>
  <c r="G3458" i="11"/>
  <c r="H3458" i="11"/>
  <c r="G3459" i="11"/>
  <c r="H3459" i="11"/>
  <c r="G3460" i="11"/>
  <c r="H3460" i="11"/>
  <c r="G3461" i="11"/>
  <c r="H3461" i="11"/>
  <c r="G3462" i="11"/>
  <c r="H3462" i="11"/>
  <c r="G3463" i="11"/>
  <c r="H3463" i="11"/>
  <c r="G3464" i="11"/>
  <c r="H3464" i="11"/>
  <c r="G3465" i="11"/>
  <c r="H3465" i="11"/>
  <c r="G3466" i="11"/>
  <c r="H3466" i="11"/>
  <c r="G3467" i="11"/>
  <c r="H3467" i="11"/>
  <c r="G3468" i="11"/>
  <c r="H3468" i="11"/>
  <c r="G3469" i="11"/>
  <c r="H3469" i="11"/>
  <c r="G3470" i="11"/>
  <c r="H3470" i="11"/>
  <c r="G3471" i="11"/>
  <c r="H3471" i="11"/>
  <c r="G3472" i="11"/>
  <c r="H3472" i="11"/>
  <c r="G3473" i="11"/>
  <c r="H3473" i="11"/>
  <c r="G3474" i="11"/>
  <c r="H3474" i="11"/>
  <c r="G3475" i="11"/>
  <c r="H3475" i="11"/>
  <c r="G3476" i="11"/>
  <c r="H3476" i="11"/>
  <c r="G3477" i="11"/>
  <c r="H3477" i="11"/>
  <c r="G3478" i="11"/>
  <c r="H3478" i="11"/>
  <c r="G3479" i="11"/>
  <c r="H3479" i="11"/>
  <c r="G3480" i="11"/>
  <c r="H3480" i="11"/>
  <c r="G3481" i="11"/>
  <c r="H3481" i="11"/>
  <c r="G3482" i="11"/>
  <c r="H3482" i="11"/>
  <c r="G3483" i="11"/>
  <c r="H3483" i="11"/>
  <c r="G3484" i="11"/>
  <c r="H3484" i="11"/>
  <c r="G3485" i="11"/>
  <c r="H3485" i="11"/>
  <c r="G3486" i="11"/>
  <c r="H3486" i="11"/>
  <c r="G3487" i="11"/>
  <c r="H3487" i="11"/>
  <c r="G3488" i="11"/>
  <c r="H3488" i="11"/>
  <c r="G3489" i="11"/>
  <c r="H3489" i="11"/>
  <c r="G3490" i="11"/>
  <c r="H3490" i="11"/>
  <c r="G3491" i="11"/>
  <c r="H3491" i="11"/>
  <c r="G3492" i="11"/>
  <c r="H3492" i="11"/>
  <c r="G3493" i="11"/>
  <c r="H3493" i="11"/>
  <c r="G3494" i="11"/>
  <c r="H3494" i="11"/>
  <c r="G3495" i="11"/>
  <c r="H3495" i="11"/>
  <c r="G3496" i="11"/>
  <c r="H3496" i="11"/>
  <c r="G3497" i="11"/>
  <c r="H3497" i="11"/>
  <c r="G3498" i="11"/>
  <c r="H3498" i="11"/>
  <c r="G3499" i="11"/>
  <c r="H3499" i="11"/>
  <c r="G3500" i="11"/>
  <c r="H3500" i="11"/>
  <c r="G3501" i="11"/>
  <c r="H3501" i="11"/>
  <c r="G3502" i="11"/>
  <c r="H3502" i="11"/>
  <c r="G3503" i="11"/>
  <c r="H3503" i="11"/>
  <c r="G3504" i="11"/>
  <c r="H3504" i="11"/>
  <c r="G3505" i="11"/>
  <c r="H3505" i="11"/>
  <c r="G3506" i="11"/>
  <c r="H3506" i="11"/>
  <c r="G3507" i="11"/>
  <c r="H3507" i="11"/>
  <c r="G3508" i="11"/>
  <c r="H3508" i="11"/>
  <c r="G3509" i="11"/>
  <c r="H3509" i="11"/>
  <c r="G3510" i="11"/>
  <c r="H3510" i="11"/>
  <c r="G3511" i="11"/>
  <c r="H3511" i="11"/>
  <c r="G3512" i="11"/>
  <c r="H3512" i="11"/>
  <c r="G3513" i="11"/>
  <c r="H3513" i="11"/>
  <c r="G3514" i="11"/>
  <c r="H3514" i="11"/>
  <c r="G3515" i="11"/>
  <c r="H3515" i="11"/>
  <c r="G3516" i="11"/>
  <c r="H3516" i="11"/>
  <c r="G3517" i="11"/>
  <c r="H3517" i="11"/>
  <c r="G3518" i="11"/>
  <c r="H3518" i="11"/>
  <c r="G3519" i="11"/>
  <c r="H3519" i="11"/>
  <c r="G3520" i="11"/>
  <c r="H3520" i="11"/>
  <c r="G3521" i="11"/>
  <c r="H3521" i="11"/>
  <c r="G3522" i="11"/>
  <c r="H3522" i="11"/>
  <c r="G3523" i="11"/>
  <c r="H3523" i="11"/>
  <c r="G3524" i="11"/>
  <c r="H3524" i="11"/>
  <c r="G3525" i="11"/>
  <c r="H3525" i="11"/>
  <c r="G3526" i="11"/>
  <c r="H3526" i="11"/>
  <c r="G3527" i="11"/>
  <c r="H3527" i="11"/>
  <c r="G3528" i="11"/>
  <c r="H3528" i="11"/>
  <c r="G3529" i="11"/>
  <c r="H3529" i="11"/>
  <c r="G3530" i="11"/>
  <c r="H3530" i="11"/>
  <c r="G3531" i="11"/>
  <c r="H3531" i="11"/>
  <c r="G3532" i="11"/>
  <c r="H3532" i="11"/>
  <c r="G3533" i="11"/>
  <c r="H3533" i="11"/>
  <c r="G3534" i="11"/>
  <c r="H3534" i="11"/>
  <c r="G3535" i="11"/>
  <c r="H3535" i="11"/>
  <c r="G3536" i="11"/>
  <c r="H3536" i="11"/>
  <c r="G3537" i="11"/>
  <c r="H3537" i="11"/>
  <c r="G3538" i="11"/>
  <c r="H3538" i="11"/>
  <c r="G3539" i="11"/>
  <c r="H3539" i="11"/>
  <c r="G3540" i="11"/>
  <c r="H3540" i="11"/>
  <c r="G3541" i="11"/>
  <c r="H3541" i="11"/>
  <c r="G3542" i="11"/>
  <c r="H3542" i="11"/>
  <c r="G3543" i="11"/>
  <c r="H3543" i="11"/>
  <c r="G3544" i="11"/>
  <c r="H3544" i="11"/>
  <c r="G3545" i="11"/>
  <c r="H3545" i="11"/>
  <c r="G3546" i="11"/>
  <c r="H3546" i="11"/>
  <c r="G3547" i="11"/>
  <c r="H3547" i="11"/>
  <c r="G3548" i="11"/>
  <c r="H3548" i="11"/>
  <c r="G3549" i="11"/>
  <c r="H3549" i="11"/>
  <c r="G3550" i="11"/>
  <c r="H3550" i="11"/>
  <c r="G3551" i="11"/>
  <c r="H3551" i="11"/>
  <c r="G3552" i="11"/>
  <c r="H3552" i="11"/>
  <c r="G3553" i="11"/>
  <c r="H3553" i="11"/>
  <c r="G3554" i="11"/>
  <c r="H3554" i="11"/>
  <c r="G3555" i="11"/>
  <c r="H3555" i="11"/>
  <c r="G3556" i="11"/>
  <c r="H3556" i="11"/>
  <c r="G3557" i="11"/>
  <c r="H3557" i="11"/>
  <c r="G3558" i="11"/>
  <c r="H3558" i="11"/>
  <c r="G3559" i="11"/>
  <c r="H3559" i="11"/>
  <c r="G3560" i="11"/>
  <c r="H3560" i="11"/>
  <c r="G3561" i="11"/>
  <c r="H3561" i="11"/>
  <c r="G3562" i="11"/>
  <c r="H3562" i="11"/>
  <c r="G3563" i="11"/>
  <c r="H3563" i="11"/>
  <c r="G3564" i="11"/>
  <c r="H3564" i="11"/>
  <c r="G3565" i="11"/>
  <c r="H3565" i="11"/>
  <c r="G3566" i="11"/>
  <c r="H3566" i="11"/>
  <c r="G3567" i="11"/>
  <c r="H3567" i="11"/>
  <c r="G3568" i="11"/>
  <c r="H3568" i="11"/>
  <c r="G3569" i="11"/>
  <c r="H3569" i="11"/>
  <c r="G3570" i="11"/>
  <c r="H3570" i="11"/>
  <c r="G3571" i="11"/>
  <c r="H3571" i="11"/>
  <c r="G3572" i="11"/>
  <c r="H3572" i="11"/>
  <c r="G3573" i="11"/>
  <c r="H3573" i="11"/>
  <c r="G3574" i="11"/>
  <c r="H3574" i="11"/>
  <c r="G3575" i="11"/>
  <c r="H3575" i="11"/>
  <c r="G3576" i="11"/>
  <c r="H3576" i="11"/>
  <c r="G3577" i="11"/>
  <c r="H3577" i="11"/>
  <c r="G3578" i="11"/>
  <c r="H3578" i="11"/>
  <c r="G3579" i="11"/>
  <c r="H3579" i="11"/>
  <c r="G3580" i="11"/>
  <c r="H3580" i="11"/>
  <c r="G3581" i="11"/>
  <c r="H3581" i="11"/>
  <c r="G3582" i="11"/>
  <c r="H3582" i="11"/>
  <c r="G3583" i="11"/>
  <c r="H3583" i="11"/>
  <c r="G3584" i="11"/>
  <c r="H3584" i="11"/>
  <c r="G3585" i="11"/>
  <c r="H3585" i="11"/>
  <c r="G3586" i="11"/>
  <c r="H3586" i="11"/>
  <c r="G3587" i="11"/>
  <c r="H3587" i="11"/>
  <c r="G3588" i="11"/>
  <c r="H3588" i="11"/>
  <c r="G3589" i="11"/>
  <c r="H3589" i="11"/>
  <c r="G3590" i="11"/>
  <c r="H3590" i="11"/>
  <c r="G3591" i="11"/>
  <c r="H3591" i="11"/>
  <c r="G3592" i="11"/>
  <c r="H3592" i="11"/>
  <c r="G3593" i="11"/>
  <c r="H3593" i="11"/>
  <c r="G3594" i="11"/>
  <c r="H3594" i="11"/>
  <c r="G3595" i="11"/>
  <c r="H3595" i="11"/>
  <c r="G3596" i="11"/>
  <c r="H3596" i="11"/>
  <c r="G3597" i="11"/>
  <c r="H3597" i="11"/>
  <c r="G3598" i="11"/>
  <c r="H3598" i="11"/>
  <c r="G3599" i="11"/>
  <c r="H3599" i="11"/>
  <c r="G3600" i="11"/>
  <c r="H3600" i="11"/>
  <c r="G3601" i="11"/>
  <c r="H3601" i="11"/>
  <c r="G3602" i="11"/>
  <c r="H3602" i="11"/>
  <c r="G3603" i="11"/>
  <c r="H3603" i="11"/>
  <c r="G3604" i="11"/>
  <c r="H3604" i="11"/>
  <c r="G3605" i="11"/>
  <c r="H3605" i="11"/>
  <c r="G3606" i="11"/>
  <c r="H3606" i="11"/>
  <c r="G3607" i="11"/>
  <c r="H3607" i="11"/>
  <c r="G3608" i="11"/>
  <c r="H3608" i="11"/>
  <c r="G3609" i="11"/>
  <c r="H3609" i="11"/>
  <c r="G3610" i="11"/>
  <c r="H3610" i="11"/>
  <c r="G3611" i="11"/>
  <c r="H3611" i="11"/>
  <c r="G3612" i="11"/>
  <c r="H3612" i="11"/>
  <c r="G3613" i="11"/>
  <c r="H3613" i="11"/>
  <c r="G3614" i="11"/>
  <c r="H3614" i="11"/>
  <c r="G3615" i="11"/>
  <c r="H3615" i="11"/>
  <c r="G3616" i="11"/>
  <c r="H3616" i="11"/>
  <c r="G3617" i="11"/>
  <c r="H3617" i="11"/>
  <c r="G3618" i="11"/>
  <c r="H3618" i="11"/>
  <c r="G3619" i="11"/>
  <c r="H3619" i="11"/>
  <c r="G3620" i="11"/>
  <c r="H3620" i="11"/>
  <c r="G3621" i="11"/>
  <c r="H3621" i="11"/>
  <c r="G3622" i="11"/>
  <c r="H3622" i="11"/>
  <c r="G3623" i="11"/>
  <c r="H3623" i="11"/>
  <c r="G3624" i="11"/>
  <c r="H3624" i="11"/>
  <c r="G3625" i="11"/>
  <c r="H3625" i="11"/>
  <c r="G3626" i="11"/>
  <c r="H3626" i="11"/>
  <c r="G3627" i="11"/>
  <c r="H3627" i="11"/>
  <c r="G3628" i="11"/>
  <c r="H3628" i="11"/>
  <c r="G3629" i="11"/>
  <c r="H3629" i="11"/>
  <c r="G3630" i="11"/>
  <c r="H3630" i="11"/>
  <c r="G3631" i="11"/>
  <c r="H3631" i="11"/>
  <c r="G3632" i="11"/>
  <c r="H3632" i="11"/>
  <c r="G3633" i="11"/>
  <c r="H3633" i="11"/>
  <c r="G3634" i="11"/>
  <c r="H3634" i="11"/>
  <c r="G3635" i="11"/>
  <c r="H3635" i="11"/>
  <c r="G3636" i="11"/>
  <c r="H3636" i="11"/>
  <c r="G3637" i="11"/>
  <c r="H3637" i="11"/>
  <c r="G3638" i="11"/>
  <c r="H3638" i="11"/>
  <c r="G3639" i="11"/>
  <c r="H3639" i="11"/>
  <c r="G3640" i="11"/>
  <c r="H3640" i="11"/>
  <c r="G3641" i="11"/>
  <c r="H3641" i="11"/>
  <c r="G3642" i="11"/>
  <c r="H3642" i="11"/>
  <c r="G3643" i="11"/>
  <c r="H3643" i="11"/>
  <c r="G3644" i="11"/>
  <c r="H3644" i="11"/>
  <c r="G3645" i="11"/>
  <c r="H3645" i="11"/>
  <c r="G3646" i="11"/>
  <c r="H3646" i="11"/>
  <c r="G3647" i="11"/>
  <c r="H3647" i="11"/>
  <c r="G3648" i="11"/>
  <c r="H3648" i="11"/>
  <c r="G3649" i="11"/>
  <c r="H3649" i="11"/>
  <c r="G3650" i="11"/>
  <c r="H3650" i="11"/>
  <c r="G3651" i="11"/>
  <c r="H3651" i="11"/>
  <c r="G3652" i="11"/>
  <c r="H3652" i="11"/>
  <c r="G3653" i="11"/>
  <c r="H3653" i="11"/>
  <c r="G3654" i="11"/>
  <c r="H3654" i="11"/>
  <c r="G3655" i="11"/>
  <c r="H3655" i="11"/>
  <c r="G3656" i="11"/>
  <c r="H3656" i="11"/>
  <c r="G3657" i="11"/>
  <c r="H3657" i="11"/>
  <c r="G3658" i="11"/>
  <c r="H3658" i="11"/>
  <c r="G3659" i="11"/>
  <c r="H3659" i="11"/>
  <c r="G3660" i="11"/>
  <c r="H3660" i="11"/>
  <c r="G3661" i="11"/>
  <c r="H3661" i="11"/>
  <c r="G3662" i="11"/>
  <c r="H3662" i="11"/>
  <c r="G3663" i="11"/>
  <c r="H3663" i="11"/>
  <c r="G3664" i="11"/>
  <c r="H3664" i="11"/>
  <c r="G3665" i="11"/>
  <c r="H3665" i="11"/>
  <c r="G3666" i="11"/>
  <c r="H3666" i="11"/>
  <c r="G3667" i="11"/>
  <c r="H3667" i="11"/>
  <c r="G3668" i="11"/>
  <c r="H3668" i="11"/>
  <c r="G3669" i="11"/>
  <c r="H3669" i="11"/>
  <c r="G3670" i="11"/>
  <c r="H3670" i="11"/>
  <c r="G3671" i="11"/>
  <c r="H3671" i="11"/>
  <c r="G3672" i="11"/>
  <c r="H3672" i="11"/>
  <c r="G3673" i="11"/>
  <c r="H3673" i="11"/>
  <c r="G3674" i="11"/>
  <c r="H3674" i="11"/>
  <c r="G3675" i="11"/>
  <c r="H3675" i="11"/>
  <c r="G3676" i="11"/>
  <c r="H3676" i="11"/>
  <c r="G3677" i="11"/>
  <c r="H3677" i="11"/>
  <c r="G3678" i="11"/>
  <c r="H3678" i="11"/>
  <c r="G3679" i="11"/>
  <c r="H3679" i="11"/>
  <c r="G3680" i="11"/>
  <c r="H3680" i="11"/>
  <c r="G3681" i="11"/>
  <c r="H3681" i="11"/>
  <c r="G3682" i="11"/>
  <c r="H3682" i="11"/>
  <c r="G3683" i="11"/>
  <c r="H3683" i="11"/>
  <c r="G3684" i="11"/>
  <c r="H3684" i="11"/>
  <c r="G3685" i="11"/>
  <c r="H3685" i="11"/>
  <c r="G3686" i="11"/>
  <c r="H3686" i="11"/>
  <c r="G3687" i="11"/>
  <c r="H3687" i="11"/>
  <c r="G3688" i="11"/>
  <c r="H3688" i="11"/>
  <c r="G3689" i="11"/>
  <c r="H3689" i="11"/>
  <c r="G3690" i="11"/>
  <c r="H3690" i="11"/>
  <c r="G3691" i="11"/>
  <c r="H3691" i="11"/>
  <c r="G3692" i="11"/>
  <c r="H3692" i="11"/>
  <c r="G3693" i="11"/>
  <c r="H3693" i="11"/>
  <c r="G3694" i="11"/>
  <c r="H3694" i="11"/>
  <c r="G3695" i="11"/>
  <c r="H3695" i="11"/>
  <c r="G3696" i="11"/>
  <c r="H3696" i="11"/>
  <c r="G3697" i="11"/>
  <c r="H3697" i="11"/>
  <c r="G3698" i="11"/>
  <c r="H3698" i="11"/>
  <c r="G3699" i="11"/>
  <c r="H3699" i="11"/>
  <c r="G3700" i="11"/>
  <c r="H3700" i="11"/>
  <c r="G3701" i="11"/>
  <c r="H3701" i="11"/>
  <c r="G3702" i="11"/>
  <c r="H3702" i="11"/>
  <c r="G3703" i="11"/>
  <c r="H3703" i="11"/>
  <c r="G3704" i="11"/>
  <c r="H3704" i="11"/>
  <c r="G3705" i="11"/>
  <c r="H3705" i="11"/>
  <c r="G3706" i="11"/>
  <c r="H3706" i="11"/>
  <c r="G3707" i="11"/>
  <c r="H3707" i="11"/>
  <c r="G3708" i="11"/>
  <c r="H3708" i="11"/>
  <c r="G3709" i="11"/>
  <c r="H3709" i="11"/>
  <c r="G3710" i="11"/>
  <c r="H3710" i="11"/>
  <c r="G3711" i="11"/>
  <c r="H3711" i="11"/>
  <c r="G3712" i="11"/>
  <c r="H3712" i="11"/>
  <c r="G3713" i="11"/>
  <c r="H3713" i="11"/>
  <c r="G3714" i="11"/>
  <c r="H3714" i="11"/>
  <c r="G3715" i="11"/>
  <c r="H3715" i="11"/>
  <c r="G3716" i="11"/>
  <c r="H3716" i="11"/>
  <c r="G3717" i="11"/>
  <c r="H3717" i="11"/>
  <c r="G3718" i="11"/>
  <c r="H3718" i="11"/>
  <c r="G3719" i="11"/>
  <c r="H3719" i="11"/>
  <c r="G3720" i="11"/>
  <c r="H3720" i="11"/>
  <c r="G3721" i="11"/>
  <c r="H3721" i="11"/>
  <c r="G3722" i="11"/>
  <c r="H3722" i="11"/>
  <c r="G3723" i="11"/>
  <c r="H3723" i="11"/>
  <c r="G3724" i="11"/>
  <c r="H3724" i="11"/>
  <c r="G3725" i="11"/>
  <c r="H3725" i="11"/>
  <c r="G3726" i="11"/>
  <c r="H3726" i="11"/>
  <c r="G3727" i="11"/>
  <c r="H3727" i="11"/>
  <c r="G3728" i="11"/>
  <c r="H3728" i="11"/>
  <c r="G3729" i="11"/>
  <c r="H3729" i="11"/>
  <c r="G3730" i="11"/>
  <c r="H3730" i="11"/>
  <c r="G3731" i="11"/>
  <c r="H3731" i="11"/>
  <c r="G3732" i="11"/>
  <c r="H3732" i="11"/>
  <c r="G3733" i="11"/>
  <c r="H3733" i="11"/>
  <c r="G3734" i="11"/>
  <c r="H3734" i="11"/>
  <c r="G3735" i="11"/>
  <c r="H3735" i="11"/>
  <c r="G3736" i="11"/>
  <c r="H3736" i="11"/>
  <c r="G3737" i="11"/>
  <c r="H3737" i="11"/>
  <c r="G3738" i="11"/>
  <c r="H3738" i="11"/>
  <c r="G3739" i="11"/>
  <c r="H3739" i="11"/>
  <c r="G3740" i="11"/>
  <c r="H3740" i="11"/>
  <c r="G3741" i="11"/>
  <c r="H3741" i="11"/>
  <c r="G3742" i="11"/>
  <c r="H3742" i="11"/>
  <c r="G3743" i="11"/>
  <c r="H3743" i="11"/>
  <c r="G3744" i="11"/>
  <c r="H3744" i="11"/>
  <c r="G3745" i="11"/>
  <c r="H3745" i="11"/>
  <c r="G3746" i="11"/>
  <c r="H3746" i="11"/>
  <c r="G3747" i="11"/>
  <c r="H3747" i="11"/>
  <c r="G3748" i="11"/>
  <c r="H3748" i="11"/>
  <c r="G3749" i="11"/>
  <c r="H3749" i="11"/>
  <c r="G3750" i="11"/>
  <c r="H3750" i="11"/>
  <c r="G3751" i="11"/>
  <c r="H3751" i="11"/>
  <c r="G2252" i="11"/>
  <c r="H2252" i="11"/>
  <c r="G2253" i="11"/>
  <c r="H2253" i="11"/>
  <c r="G2254" i="11"/>
  <c r="H2254" i="11"/>
  <c r="G2255" i="11"/>
  <c r="H2255" i="11"/>
  <c r="G2256" i="11"/>
  <c r="H2256" i="11"/>
  <c r="G2257" i="11"/>
  <c r="H2257" i="11"/>
  <c r="G2258" i="11"/>
  <c r="H2258" i="11"/>
  <c r="G2259" i="11"/>
  <c r="H2259" i="11"/>
  <c r="G2260" i="11"/>
  <c r="H2260" i="11"/>
  <c r="G2261" i="11"/>
  <c r="H2261" i="11"/>
  <c r="G2262" i="11"/>
  <c r="H2262" i="11"/>
  <c r="G2263" i="11"/>
  <c r="H2263" i="11"/>
  <c r="G2264" i="11"/>
  <c r="H2264" i="11"/>
  <c r="G2265" i="11"/>
  <c r="H2265" i="11"/>
  <c r="G2266" i="11"/>
  <c r="H2266" i="11"/>
  <c r="G2267" i="11"/>
  <c r="H2267" i="11"/>
  <c r="G2268" i="11"/>
  <c r="H2268" i="11"/>
  <c r="G2269" i="11"/>
  <c r="H2269" i="11"/>
  <c r="G2270" i="11"/>
  <c r="H2270" i="11"/>
  <c r="G2271" i="11"/>
  <c r="H2271" i="11"/>
  <c r="G2272" i="11"/>
  <c r="H2272" i="11"/>
  <c r="G2273" i="11"/>
  <c r="H2273" i="11"/>
  <c r="G2274" i="11"/>
  <c r="H2274" i="11"/>
  <c r="G2275" i="11"/>
  <c r="H2275" i="11"/>
  <c r="G2276" i="11"/>
  <c r="H2276" i="11"/>
  <c r="G2277" i="11"/>
  <c r="H2277" i="11"/>
  <c r="G2278" i="11"/>
  <c r="H2278" i="11"/>
  <c r="G2279" i="11"/>
  <c r="H2279" i="11"/>
  <c r="G2280" i="11"/>
  <c r="H2280" i="11"/>
  <c r="G2281" i="11"/>
  <c r="H2281" i="11"/>
  <c r="G2282" i="11"/>
  <c r="H2282" i="11"/>
  <c r="G2283" i="11"/>
  <c r="H2283" i="11"/>
  <c r="G2284" i="11"/>
  <c r="H2284" i="11"/>
  <c r="G2285" i="11"/>
  <c r="H2285" i="11"/>
  <c r="G2286" i="11"/>
  <c r="H2286" i="11"/>
  <c r="G2287" i="11"/>
  <c r="H2287" i="11"/>
  <c r="G2288" i="11"/>
  <c r="H2288" i="11"/>
  <c r="G2289" i="11"/>
  <c r="H2289" i="11"/>
  <c r="G2290" i="11"/>
  <c r="H2290" i="11"/>
  <c r="G2291" i="11"/>
  <c r="H2291" i="11"/>
  <c r="G2292" i="11"/>
  <c r="H2292" i="11"/>
  <c r="G2293" i="11"/>
  <c r="H2293" i="11"/>
  <c r="G2294" i="11"/>
  <c r="H2294" i="11"/>
  <c r="G2295" i="11"/>
  <c r="H2295" i="11"/>
  <c r="G2296" i="11"/>
  <c r="H2296" i="11"/>
  <c r="G2297" i="11"/>
  <c r="H2297" i="11"/>
  <c r="G2298" i="11"/>
  <c r="H2298" i="11"/>
  <c r="G2299" i="11"/>
  <c r="H2299" i="11"/>
  <c r="G2300" i="11"/>
  <c r="H2300" i="11"/>
  <c r="G2301" i="11"/>
  <c r="H2301" i="11"/>
  <c r="G2302" i="11"/>
  <c r="H2302" i="11"/>
  <c r="G2303" i="11"/>
  <c r="H2303" i="11"/>
  <c r="G2304" i="11"/>
  <c r="H2304" i="11"/>
  <c r="G2305" i="11"/>
  <c r="H2305" i="11"/>
  <c r="G2306" i="11"/>
  <c r="H2306" i="11"/>
  <c r="G2307" i="11"/>
  <c r="H2307" i="11"/>
  <c r="G2308" i="11"/>
  <c r="H2308" i="11"/>
  <c r="G2309" i="11"/>
  <c r="H2309" i="11"/>
  <c r="G2310" i="11"/>
  <c r="H2310" i="11"/>
  <c r="G2311" i="11"/>
  <c r="H2311" i="11"/>
  <c r="G2312" i="11"/>
  <c r="H2312" i="11"/>
  <c r="G2313" i="11"/>
  <c r="H2313" i="11"/>
  <c r="G2314" i="11"/>
  <c r="H2314" i="11"/>
  <c r="G2315" i="11"/>
  <c r="H2315" i="11"/>
  <c r="G2316" i="11"/>
  <c r="H2316" i="11"/>
  <c r="G2317" i="11"/>
  <c r="H2317" i="11"/>
  <c r="G2318" i="11"/>
  <c r="H2318" i="11"/>
  <c r="G2319" i="11"/>
  <c r="H2319" i="11"/>
  <c r="G2320" i="11"/>
  <c r="H2320" i="11"/>
  <c r="G2321" i="11"/>
  <c r="H2321" i="11"/>
  <c r="G2322" i="11"/>
  <c r="H2322" i="11"/>
  <c r="G2323" i="11"/>
  <c r="H2323" i="11"/>
  <c r="G2324" i="11"/>
  <c r="H2324" i="11"/>
  <c r="G2325" i="11"/>
  <c r="H2325" i="11"/>
  <c r="G2326" i="11"/>
  <c r="H2326" i="11"/>
  <c r="G2327" i="11"/>
  <c r="H2327" i="11"/>
  <c r="G2328" i="11"/>
  <c r="H2328" i="11"/>
  <c r="G2329" i="11"/>
  <c r="H2329" i="11"/>
  <c r="G2330" i="11"/>
  <c r="H2330" i="11"/>
  <c r="G2331" i="11"/>
  <c r="H2331" i="11"/>
  <c r="G2332" i="11"/>
  <c r="H2332" i="11"/>
  <c r="G2333" i="11"/>
  <c r="H2333" i="11"/>
  <c r="G2334" i="11"/>
  <c r="H2334" i="11"/>
  <c r="G2335" i="11"/>
  <c r="H2335" i="11"/>
  <c r="G2336" i="11"/>
  <c r="H2336" i="11"/>
  <c r="G2337" i="11"/>
  <c r="H2337" i="11"/>
  <c r="G2338" i="11"/>
  <c r="H2338" i="11"/>
  <c r="G2339" i="11"/>
  <c r="H2339" i="11"/>
  <c r="G2340" i="11"/>
  <c r="H2340" i="11"/>
  <c r="G2341" i="11"/>
  <c r="H2341" i="11"/>
  <c r="G2342" i="11"/>
  <c r="H2342" i="11"/>
  <c r="G2343" i="11"/>
  <c r="H2343" i="11"/>
  <c r="G2344" i="11"/>
  <c r="H2344" i="11"/>
  <c r="G2345" i="11"/>
  <c r="H2345" i="11"/>
  <c r="G2346" i="11"/>
  <c r="H2346" i="11"/>
  <c r="G2347" i="11"/>
  <c r="H2347" i="11"/>
  <c r="G2348" i="11"/>
  <c r="H2348" i="11"/>
  <c r="G2349" i="11"/>
  <c r="H2349" i="11"/>
  <c r="G2350" i="11"/>
  <c r="H2350" i="11"/>
  <c r="G2351" i="11"/>
  <c r="H2351" i="11"/>
  <c r="G2352" i="11"/>
  <c r="H2352" i="11"/>
  <c r="G2353" i="11"/>
  <c r="H2353" i="11"/>
  <c r="G2354" i="11"/>
  <c r="H2354" i="11"/>
  <c r="G2355" i="11"/>
  <c r="H2355" i="11"/>
  <c r="G2356" i="11"/>
  <c r="H2356" i="11"/>
  <c r="G2357" i="11"/>
  <c r="H2357" i="11"/>
  <c r="G2358" i="11"/>
  <c r="H2358" i="11"/>
  <c r="G2359" i="11"/>
  <c r="H2359" i="11"/>
  <c r="G2360" i="11"/>
  <c r="H2360" i="11"/>
  <c r="G2361" i="11"/>
  <c r="H2361" i="11"/>
  <c r="G2362" i="11"/>
  <c r="H2362" i="11"/>
  <c r="G2363" i="11"/>
  <c r="H2363" i="11"/>
  <c r="G2364" i="11"/>
  <c r="H2364" i="11"/>
  <c r="G2365" i="11"/>
  <c r="H2365" i="11"/>
  <c r="G2366" i="11"/>
  <c r="H2366" i="11"/>
  <c r="G2367" i="11"/>
  <c r="H2367" i="11"/>
  <c r="G2368" i="11"/>
  <c r="H2368" i="11"/>
  <c r="G2369" i="11"/>
  <c r="H2369" i="11"/>
  <c r="G2370" i="11"/>
  <c r="H2370" i="11"/>
  <c r="G2371" i="11"/>
  <c r="H2371" i="11"/>
  <c r="G2372" i="11"/>
  <c r="H2372" i="11"/>
  <c r="G2373" i="11"/>
  <c r="H2373" i="11"/>
  <c r="G2374" i="11"/>
  <c r="H2374" i="11"/>
  <c r="G2375" i="11"/>
  <c r="H2375" i="11"/>
  <c r="G2376" i="11"/>
  <c r="H2376" i="11"/>
  <c r="G2377" i="11"/>
  <c r="H2377" i="11"/>
  <c r="G2378" i="11"/>
  <c r="H2378" i="11"/>
  <c r="G2379" i="11"/>
  <c r="H2379" i="11"/>
  <c r="G2380" i="11"/>
  <c r="H2380" i="11"/>
  <c r="G2381" i="11"/>
  <c r="H2381" i="11"/>
  <c r="G2382" i="11"/>
  <c r="H2382" i="11"/>
  <c r="G2383" i="11"/>
  <c r="H2383" i="11"/>
  <c r="G2384" i="11"/>
  <c r="H2384" i="11"/>
  <c r="G2385" i="11"/>
  <c r="H2385" i="11"/>
  <c r="G2386" i="11"/>
  <c r="H2386" i="11"/>
  <c r="G2387" i="11"/>
  <c r="H2387" i="11"/>
  <c r="G2388" i="11"/>
  <c r="H2388" i="11"/>
  <c r="G2389" i="11"/>
  <c r="H2389" i="11"/>
  <c r="G2390" i="11"/>
  <c r="H2390" i="11"/>
  <c r="G2391" i="11"/>
  <c r="H2391" i="11"/>
  <c r="G2392" i="11"/>
  <c r="H2392" i="11"/>
  <c r="G2393" i="11"/>
  <c r="H2393" i="11"/>
  <c r="G2394" i="11"/>
  <c r="H2394" i="11"/>
  <c r="G2395" i="11"/>
  <c r="H2395" i="11"/>
  <c r="G2396" i="11"/>
  <c r="H2396" i="11"/>
  <c r="G2397" i="11"/>
  <c r="H2397" i="11"/>
  <c r="G2398" i="11"/>
  <c r="H2398" i="11"/>
  <c r="G2399" i="11"/>
  <c r="H2399" i="11"/>
  <c r="G2400" i="11"/>
  <c r="H2400" i="11"/>
  <c r="G2401" i="11"/>
  <c r="H2401" i="11"/>
  <c r="G2402" i="11"/>
  <c r="H2402" i="11"/>
  <c r="G2403" i="11"/>
  <c r="H2403" i="11"/>
  <c r="G2404" i="11"/>
  <c r="H2404" i="11"/>
  <c r="G2405" i="11"/>
  <c r="H2405" i="11"/>
  <c r="G2406" i="11"/>
  <c r="H2406" i="11"/>
  <c r="G2407" i="11"/>
  <c r="H2407" i="11"/>
  <c r="G2408" i="11"/>
  <c r="H2408" i="11"/>
  <c r="G2409" i="11"/>
  <c r="H2409" i="11"/>
  <c r="G2410" i="11"/>
  <c r="H2410" i="11"/>
  <c r="G2411" i="11"/>
  <c r="H2411" i="11"/>
  <c r="G2412" i="11"/>
  <c r="H2412" i="11"/>
  <c r="G2413" i="11"/>
  <c r="H2413" i="11"/>
  <c r="G2414" i="11"/>
  <c r="H2414" i="11"/>
  <c r="G2415" i="11"/>
  <c r="H2415" i="11"/>
  <c r="G2416" i="11"/>
  <c r="H2416" i="11"/>
  <c r="G2417" i="11"/>
  <c r="H2417" i="11"/>
  <c r="G2418" i="11"/>
  <c r="H2418" i="11"/>
  <c r="G2419" i="11"/>
  <c r="H2419" i="11"/>
  <c r="G2420" i="11"/>
  <c r="H2420" i="11"/>
  <c r="G2421" i="11"/>
  <c r="H2421" i="11"/>
  <c r="G2422" i="11"/>
  <c r="H2422" i="11"/>
  <c r="G2423" i="11"/>
  <c r="H2423" i="11"/>
  <c r="G2424" i="11"/>
  <c r="H2424" i="11"/>
  <c r="G2425" i="11"/>
  <c r="H2425" i="11"/>
  <c r="G2426" i="11"/>
  <c r="H2426" i="11"/>
  <c r="G2427" i="11"/>
  <c r="H2427" i="11"/>
  <c r="G2428" i="11"/>
  <c r="H2428" i="11"/>
  <c r="G2429" i="11"/>
  <c r="H2429" i="11"/>
  <c r="G2430" i="11"/>
  <c r="H2430" i="11"/>
  <c r="G2431" i="11"/>
  <c r="H2431" i="11"/>
  <c r="G2432" i="11"/>
  <c r="H2432" i="11"/>
  <c r="G2433" i="11"/>
  <c r="H2433" i="11"/>
  <c r="G2434" i="11"/>
  <c r="H2434" i="11"/>
  <c r="G2435" i="11"/>
  <c r="H2435" i="11"/>
  <c r="G2436" i="11"/>
  <c r="H2436" i="11"/>
  <c r="G2437" i="11"/>
  <c r="H2437" i="11"/>
  <c r="G2438" i="11"/>
  <c r="H2438" i="11"/>
  <c r="G2439" i="11"/>
  <c r="H2439" i="11"/>
  <c r="G2440" i="11"/>
  <c r="H2440" i="11"/>
  <c r="G2441" i="11"/>
  <c r="H2441" i="11"/>
  <c r="G2442" i="11"/>
  <c r="H2442" i="11"/>
  <c r="G2443" i="11"/>
  <c r="H2443" i="11"/>
  <c r="G2444" i="11"/>
  <c r="H2444" i="11"/>
  <c r="G2445" i="11"/>
  <c r="H2445" i="11"/>
  <c r="G2446" i="11"/>
  <c r="H2446" i="11"/>
  <c r="G2447" i="11"/>
  <c r="H2447" i="11"/>
  <c r="G2448" i="11"/>
  <c r="H2448" i="11"/>
  <c r="G2449" i="11"/>
  <c r="H2449" i="11"/>
  <c r="G2450" i="11"/>
  <c r="H2450" i="11"/>
  <c r="G2451" i="11"/>
  <c r="H2451" i="11"/>
  <c r="G2452" i="11"/>
  <c r="H2452" i="11"/>
  <c r="G2453" i="11"/>
  <c r="H2453" i="11"/>
  <c r="G2454" i="11"/>
  <c r="H2454" i="11"/>
  <c r="G2455" i="11"/>
  <c r="H2455" i="11"/>
  <c r="G2456" i="11"/>
  <c r="H2456" i="11"/>
  <c r="G2457" i="11"/>
  <c r="H2457" i="11"/>
  <c r="G2458" i="11"/>
  <c r="H2458" i="11"/>
  <c r="G2459" i="11"/>
  <c r="H2459" i="11"/>
  <c r="G2460" i="11"/>
  <c r="H2460" i="11"/>
  <c r="G2461" i="11"/>
  <c r="H2461" i="11"/>
  <c r="G2462" i="11"/>
  <c r="H2462" i="11"/>
  <c r="G2463" i="11"/>
  <c r="H2463" i="11"/>
  <c r="G2464" i="11"/>
  <c r="H2464" i="11"/>
  <c r="G2465" i="11"/>
  <c r="H2465" i="11"/>
  <c r="G2466" i="11"/>
  <c r="H2466" i="11"/>
  <c r="G2467" i="11"/>
  <c r="H2467" i="11"/>
  <c r="G2468" i="11"/>
  <c r="H2468" i="11"/>
  <c r="G2469" i="11"/>
  <c r="H2469" i="11"/>
  <c r="G2470" i="11"/>
  <c r="H2470" i="11"/>
  <c r="G2471" i="11"/>
  <c r="H2471" i="11"/>
  <c r="G2472" i="11"/>
  <c r="H2472" i="11"/>
  <c r="G2473" i="11"/>
  <c r="H2473" i="11"/>
  <c r="G2474" i="11"/>
  <c r="H2474" i="11"/>
  <c r="G2475" i="11"/>
  <c r="H2475" i="11"/>
  <c r="G2476" i="11"/>
  <c r="H2476" i="11"/>
  <c r="G2477" i="11"/>
  <c r="H2477" i="11"/>
  <c r="G2478" i="11"/>
  <c r="H2478" i="11"/>
  <c r="G2479" i="11"/>
  <c r="H2479" i="11"/>
  <c r="G2480" i="11"/>
  <c r="H2480" i="11"/>
  <c r="G2481" i="11"/>
  <c r="H2481" i="11"/>
  <c r="G2482" i="11"/>
  <c r="H2482" i="11"/>
  <c r="G2483" i="11"/>
  <c r="H2483" i="11"/>
  <c r="G2484" i="11"/>
  <c r="H2484" i="11"/>
  <c r="G2485" i="11"/>
  <c r="H2485" i="11"/>
  <c r="G2486" i="11"/>
  <c r="H2486" i="11"/>
  <c r="G2487" i="11"/>
  <c r="H2487" i="11"/>
  <c r="G2488" i="11"/>
  <c r="H2488" i="11"/>
  <c r="G2489" i="11"/>
  <c r="H2489" i="11"/>
  <c r="G2490" i="11"/>
  <c r="H2490" i="11"/>
  <c r="G2491" i="11"/>
  <c r="H2491" i="11"/>
  <c r="G2492" i="11"/>
  <c r="H2492" i="11"/>
  <c r="G2493" i="11"/>
  <c r="H2493" i="11"/>
  <c r="G2494" i="11"/>
  <c r="H2494" i="11"/>
  <c r="G2495" i="11"/>
  <c r="H2495" i="11"/>
  <c r="G2496" i="11"/>
  <c r="H2496" i="11"/>
  <c r="G2497" i="11"/>
  <c r="H2497" i="11"/>
  <c r="G2498" i="11"/>
  <c r="H2498" i="11"/>
  <c r="G2499" i="11"/>
  <c r="H2499" i="11"/>
  <c r="G2500" i="11"/>
  <c r="H2500" i="11"/>
  <c r="G2501" i="11"/>
  <c r="H2501" i="11"/>
  <c r="G2502" i="11"/>
  <c r="H2502" i="11"/>
  <c r="G2503" i="11"/>
  <c r="H2503" i="11"/>
  <c r="G2504" i="11"/>
  <c r="H2504" i="11"/>
  <c r="G2505" i="11"/>
  <c r="H2505" i="11"/>
  <c r="G2506" i="11"/>
  <c r="H2506" i="11"/>
  <c r="G2507" i="11"/>
  <c r="H2507" i="11"/>
  <c r="G2508" i="11"/>
  <c r="H2508" i="11"/>
  <c r="G2509" i="11"/>
  <c r="H2509" i="11"/>
  <c r="G2510" i="11"/>
  <c r="H2510" i="11"/>
  <c r="G2511" i="11"/>
  <c r="H2511" i="11"/>
  <c r="G2512" i="11"/>
  <c r="H2512" i="11"/>
  <c r="G2513" i="11"/>
  <c r="H2513" i="11"/>
  <c r="G2514" i="11"/>
  <c r="H2514" i="11"/>
  <c r="G2515" i="11"/>
  <c r="H2515" i="11"/>
  <c r="G2516" i="11"/>
  <c r="H2516" i="11"/>
  <c r="G2517" i="11"/>
  <c r="H2517" i="11"/>
  <c r="G2518" i="11"/>
  <c r="H2518" i="11"/>
  <c r="G2519" i="11"/>
  <c r="H2519" i="11"/>
  <c r="G2520" i="11"/>
  <c r="H2520" i="11"/>
  <c r="G2521" i="11"/>
  <c r="H2521" i="11"/>
  <c r="G2522" i="11"/>
  <c r="H2522" i="11"/>
  <c r="G2523" i="11"/>
  <c r="H2523" i="11"/>
  <c r="G2524" i="11"/>
  <c r="H2524" i="11"/>
  <c r="G2525" i="11"/>
  <c r="H2525" i="11"/>
  <c r="G2526" i="11"/>
  <c r="H2526" i="11"/>
  <c r="G2527" i="11"/>
  <c r="H2527" i="11"/>
  <c r="G2528" i="11"/>
  <c r="H2528" i="11"/>
  <c r="G2529" i="11"/>
  <c r="H2529" i="11"/>
  <c r="G2530" i="11"/>
  <c r="H2530" i="11"/>
  <c r="G2531" i="11"/>
  <c r="H2531" i="11"/>
  <c r="G2532" i="11"/>
  <c r="H2532" i="11"/>
  <c r="G2533" i="11"/>
  <c r="H2533" i="11"/>
  <c r="G2534" i="11"/>
  <c r="H2534" i="11"/>
  <c r="G2535" i="11"/>
  <c r="H2535" i="11"/>
  <c r="G2536" i="11"/>
  <c r="H2536" i="11"/>
  <c r="G2537" i="11"/>
  <c r="H2537" i="11"/>
  <c r="G2538" i="11"/>
  <c r="H2538" i="11"/>
  <c r="G2539" i="11"/>
  <c r="H2539" i="11"/>
  <c r="G2540" i="11"/>
  <c r="H2540" i="11"/>
  <c r="G2541" i="11"/>
  <c r="H2541" i="11"/>
  <c r="G2542" i="11"/>
  <c r="H2542" i="11"/>
  <c r="G2543" i="11"/>
  <c r="H2543" i="11"/>
  <c r="G2544" i="11"/>
  <c r="H2544" i="11"/>
  <c r="G2545" i="11"/>
  <c r="H2545" i="11"/>
  <c r="G2546" i="11"/>
  <c r="H2546" i="11"/>
  <c r="G2547" i="11"/>
  <c r="H2547" i="11"/>
  <c r="G2548" i="11"/>
  <c r="H2548" i="11"/>
  <c r="G2549" i="11"/>
  <c r="H2549" i="11"/>
  <c r="G2550" i="11"/>
  <c r="H2550" i="11"/>
  <c r="G2551" i="11"/>
  <c r="H2551" i="11"/>
  <c r="G2552" i="11"/>
  <c r="H2552" i="11"/>
  <c r="G2553" i="11"/>
  <c r="H2553" i="11"/>
  <c r="G2554" i="11"/>
  <c r="H2554" i="11"/>
  <c r="G2555" i="11"/>
  <c r="H2555" i="11"/>
  <c r="G2556" i="11"/>
  <c r="H2556" i="11"/>
  <c r="G2557" i="11"/>
  <c r="H2557" i="11"/>
  <c r="G2558" i="11"/>
  <c r="H2558" i="11"/>
  <c r="G2559" i="11"/>
  <c r="H2559" i="11"/>
  <c r="G2560" i="11"/>
  <c r="H2560" i="11"/>
  <c r="G2561" i="11"/>
  <c r="H2561" i="11"/>
  <c r="G2562" i="11"/>
  <c r="H2562" i="11"/>
  <c r="G2563" i="11"/>
  <c r="H2563" i="11"/>
  <c r="G2564" i="11"/>
  <c r="H2564" i="11"/>
  <c r="G2565" i="11"/>
  <c r="H2565" i="11"/>
  <c r="G2566" i="11"/>
  <c r="H2566" i="11"/>
  <c r="G2567" i="11"/>
  <c r="H2567" i="11"/>
  <c r="G2568" i="11"/>
  <c r="H2568" i="11"/>
  <c r="G2569" i="11"/>
  <c r="H2569" i="11"/>
  <c r="G2570" i="11"/>
  <c r="H2570" i="11"/>
  <c r="G2571" i="11"/>
  <c r="H2571" i="11"/>
  <c r="G2572" i="11"/>
  <c r="H2572" i="11"/>
  <c r="G2573" i="11"/>
  <c r="H2573" i="11"/>
  <c r="G2574" i="11"/>
  <c r="H2574" i="11"/>
  <c r="G2575" i="11"/>
  <c r="H2575" i="11"/>
  <c r="G2576" i="11"/>
  <c r="H2576" i="11"/>
  <c r="G2577" i="11"/>
  <c r="H2577" i="11"/>
  <c r="G2578" i="11"/>
  <c r="H2578" i="11"/>
  <c r="G2579" i="11"/>
  <c r="H2579" i="11"/>
  <c r="G2580" i="11"/>
  <c r="H2580" i="11"/>
  <c r="G2581" i="11"/>
  <c r="H2581" i="11"/>
  <c r="G2582" i="11"/>
  <c r="H2582" i="11"/>
  <c r="G2583" i="11"/>
  <c r="H2583" i="11"/>
  <c r="G2584" i="11"/>
  <c r="H2584" i="11"/>
  <c r="G2585" i="11"/>
  <c r="H2585" i="11"/>
  <c r="G2586" i="11"/>
  <c r="H2586" i="11"/>
  <c r="G2587" i="11"/>
  <c r="H2587" i="11"/>
  <c r="G2588" i="11"/>
  <c r="H2588" i="11"/>
  <c r="G2589" i="11"/>
  <c r="H2589" i="11"/>
  <c r="G2590" i="11"/>
  <c r="H2590" i="11"/>
  <c r="G2591" i="11"/>
  <c r="H2591" i="11"/>
  <c r="G2592" i="11"/>
  <c r="H2592" i="11"/>
  <c r="G2593" i="11"/>
  <c r="H2593" i="11"/>
  <c r="G2594" i="11"/>
  <c r="H2594" i="11"/>
  <c r="G2595" i="11"/>
  <c r="H2595" i="11"/>
  <c r="G2596" i="11"/>
  <c r="H2596" i="11"/>
  <c r="G2597" i="11"/>
  <c r="H2597" i="11"/>
  <c r="G2598" i="11"/>
  <c r="H2598" i="11"/>
  <c r="G2599" i="11"/>
  <c r="H2599" i="11"/>
  <c r="G2600" i="11"/>
  <c r="H2600" i="11"/>
  <c r="G2601" i="11"/>
  <c r="H2601" i="11"/>
  <c r="G2602" i="11"/>
  <c r="H2602" i="11"/>
  <c r="G2603" i="11"/>
  <c r="H2603" i="11"/>
  <c r="G2604" i="11"/>
  <c r="H2604" i="11"/>
  <c r="G2605" i="11"/>
  <c r="H2605" i="11"/>
  <c r="G2606" i="11"/>
  <c r="H2606" i="11"/>
  <c r="G2607" i="11"/>
  <c r="H2607" i="11"/>
  <c r="G2608" i="11"/>
  <c r="H2608" i="11"/>
  <c r="G2609" i="11"/>
  <c r="H2609" i="11"/>
  <c r="G2610" i="11"/>
  <c r="H2610" i="11"/>
  <c r="G2611" i="11"/>
  <c r="H2611" i="11"/>
  <c r="G2612" i="11"/>
  <c r="H2612" i="11"/>
  <c r="G2613" i="11"/>
  <c r="H2613" i="11"/>
  <c r="G2614" i="11"/>
  <c r="H2614" i="11"/>
  <c r="G2615" i="11"/>
  <c r="H2615" i="11"/>
  <c r="G2616" i="11"/>
  <c r="H2616" i="11"/>
  <c r="G2617" i="11"/>
  <c r="H2617" i="11"/>
  <c r="G2618" i="11"/>
  <c r="H2618" i="11"/>
  <c r="G2619" i="11"/>
  <c r="H2619" i="11"/>
  <c r="G2620" i="11"/>
  <c r="H2620" i="11"/>
  <c r="G2621" i="11"/>
  <c r="H2621" i="11"/>
  <c r="G2622" i="11"/>
  <c r="H2622" i="11"/>
  <c r="G2623" i="11"/>
  <c r="H2623" i="11"/>
  <c r="G2624" i="11"/>
  <c r="H2624" i="11"/>
  <c r="G2625" i="11"/>
  <c r="H2625" i="11"/>
  <c r="G2626" i="11"/>
  <c r="H2626" i="11"/>
  <c r="G2627" i="11"/>
  <c r="H2627" i="11"/>
  <c r="G2628" i="11"/>
  <c r="H2628" i="11"/>
  <c r="G2629" i="11"/>
  <c r="H2629" i="11"/>
  <c r="G2630" i="11"/>
  <c r="H2630" i="11"/>
  <c r="G2631" i="11"/>
  <c r="H2631" i="11"/>
  <c r="G2632" i="11"/>
  <c r="H2632" i="11"/>
  <c r="G2633" i="11"/>
  <c r="H2633" i="11"/>
  <c r="G2634" i="11"/>
  <c r="H2634" i="11"/>
  <c r="G2635" i="11"/>
  <c r="H2635" i="11"/>
  <c r="G2636" i="11"/>
  <c r="H2636" i="11"/>
  <c r="G2637" i="11"/>
  <c r="H2637" i="11"/>
  <c r="G2638" i="11"/>
  <c r="H2638" i="11"/>
  <c r="G2639" i="11"/>
  <c r="H2639" i="11"/>
  <c r="G2640" i="11"/>
  <c r="H2640" i="11"/>
  <c r="G2641" i="11"/>
  <c r="H2641" i="11"/>
  <c r="G2642" i="11"/>
  <c r="H2642" i="11"/>
  <c r="G2643" i="11"/>
  <c r="H2643" i="11"/>
  <c r="G2644" i="11"/>
  <c r="H2644" i="11"/>
  <c r="G2645" i="11"/>
  <c r="H2645" i="11"/>
  <c r="G2646" i="11"/>
  <c r="H2646" i="11"/>
  <c r="G2647" i="11"/>
  <c r="H2647" i="11"/>
  <c r="G2648" i="11"/>
  <c r="H2648" i="11"/>
  <c r="G2649" i="11"/>
  <c r="H2649" i="11"/>
  <c r="G2650" i="11"/>
  <c r="H2650" i="11"/>
  <c r="G2651" i="11"/>
  <c r="H2651" i="11"/>
  <c r="G2652" i="11"/>
  <c r="H2652" i="11"/>
  <c r="G2653" i="11"/>
  <c r="H2653" i="11"/>
  <c r="G2654" i="11"/>
  <c r="H2654" i="11"/>
  <c r="G2655" i="11"/>
  <c r="H2655" i="11"/>
  <c r="G2656" i="11"/>
  <c r="H2656" i="11"/>
  <c r="G2657" i="11"/>
  <c r="H2657" i="11"/>
  <c r="G2658" i="11"/>
  <c r="H2658" i="11"/>
  <c r="G2659" i="11"/>
  <c r="H2659" i="11"/>
  <c r="G2660" i="11"/>
  <c r="H2660" i="11"/>
  <c r="G2661" i="11"/>
  <c r="H2661" i="11"/>
  <c r="G2662" i="11"/>
  <c r="H2662" i="11"/>
  <c r="G2663" i="11"/>
  <c r="H2663" i="11"/>
  <c r="G2664" i="11"/>
  <c r="H2664" i="11"/>
  <c r="G2665" i="11"/>
  <c r="H2665" i="11"/>
  <c r="G2666" i="11"/>
  <c r="H2666" i="11"/>
  <c r="G2667" i="11"/>
  <c r="H2667" i="11"/>
  <c r="G2668" i="11"/>
  <c r="H2668" i="11"/>
  <c r="G2669" i="11"/>
  <c r="H2669" i="11"/>
  <c r="G2670" i="11"/>
  <c r="H2670" i="11"/>
  <c r="G2671" i="11"/>
  <c r="H2671" i="11"/>
  <c r="G2672" i="11"/>
  <c r="H2672" i="11"/>
  <c r="G2673" i="11"/>
  <c r="H2673" i="11"/>
  <c r="G2674" i="11"/>
  <c r="H2674" i="11"/>
  <c r="G2675" i="11"/>
  <c r="H2675" i="11"/>
  <c r="G2676" i="11"/>
  <c r="H2676" i="11"/>
  <c r="G2677" i="11"/>
  <c r="H2677" i="11"/>
  <c r="G2678" i="11"/>
  <c r="H2678" i="11"/>
  <c r="G2679" i="11"/>
  <c r="H2679" i="11"/>
  <c r="G2680" i="11"/>
  <c r="H2680" i="11"/>
  <c r="G2681" i="11"/>
  <c r="H2681" i="11"/>
  <c r="G2682" i="11"/>
  <c r="H2682" i="11"/>
  <c r="G2683" i="11"/>
  <c r="H2683" i="11"/>
  <c r="G2684" i="11"/>
  <c r="H2684" i="11"/>
  <c r="G2685" i="11"/>
  <c r="H2685" i="11"/>
  <c r="G2686" i="11"/>
  <c r="H2686" i="11"/>
  <c r="G2687" i="11"/>
  <c r="H2687" i="11"/>
  <c r="G2688" i="11"/>
  <c r="H2688" i="11"/>
  <c r="G2689" i="11"/>
  <c r="H2689" i="11"/>
  <c r="G2690" i="11"/>
  <c r="H2690" i="11"/>
  <c r="G2691" i="11"/>
  <c r="H2691" i="11"/>
  <c r="G2692" i="11"/>
  <c r="H2692" i="11"/>
  <c r="G2693" i="11"/>
  <c r="H2693" i="11"/>
  <c r="G2694" i="11"/>
  <c r="H2694" i="11"/>
  <c r="G2695" i="11"/>
  <c r="H2695" i="11"/>
  <c r="G2696" i="11"/>
  <c r="H2696" i="11"/>
  <c r="G2697" i="11"/>
  <c r="H2697" i="11"/>
  <c r="G2698" i="11"/>
  <c r="H2698" i="11"/>
  <c r="G2699" i="11"/>
  <c r="H2699" i="11"/>
  <c r="G2700" i="11"/>
  <c r="H2700" i="11"/>
  <c r="G2701" i="11"/>
  <c r="H2701" i="11"/>
  <c r="G2702" i="11"/>
  <c r="H2702" i="11"/>
  <c r="G2703" i="11"/>
  <c r="H2703" i="11"/>
  <c r="G2704" i="11"/>
  <c r="H2704" i="11"/>
  <c r="G2705" i="11"/>
  <c r="H2705" i="11"/>
  <c r="G2706" i="11"/>
  <c r="H2706" i="11"/>
  <c r="G2707" i="11"/>
  <c r="H2707" i="11"/>
  <c r="G2708" i="11"/>
  <c r="H2708" i="11"/>
  <c r="G2709" i="11"/>
  <c r="H2709" i="11"/>
  <c r="G2710" i="11"/>
  <c r="H2710" i="11"/>
  <c r="G2711" i="11"/>
  <c r="H2711" i="11"/>
  <c r="G2712" i="11"/>
  <c r="H2712" i="11"/>
  <c r="G2713" i="11"/>
  <c r="H2713" i="11"/>
  <c r="G2714" i="11"/>
  <c r="H2714" i="11"/>
  <c r="G2715" i="11"/>
  <c r="H2715" i="11"/>
  <c r="G2716" i="11"/>
  <c r="H2716" i="11"/>
  <c r="G2717" i="11"/>
  <c r="H2717" i="11"/>
  <c r="G2718" i="11"/>
  <c r="H2718" i="11"/>
  <c r="G2719" i="11"/>
  <c r="H2719" i="11"/>
  <c r="G2720" i="11"/>
  <c r="H2720" i="11"/>
  <c r="G2721" i="11"/>
  <c r="H2721" i="11"/>
  <c r="G2722" i="11"/>
  <c r="H2722" i="11"/>
  <c r="G2723" i="11"/>
  <c r="H2723" i="11"/>
  <c r="G2724" i="11"/>
  <c r="H2724" i="11"/>
  <c r="G2725" i="11"/>
  <c r="H2725" i="11"/>
  <c r="G2726" i="11"/>
  <c r="H2726" i="11"/>
  <c r="G2727" i="11"/>
  <c r="H2727" i="11"/>
  <c r="G2728" i="11"/>
  <c r="H2728" i="11"/>
  <c r="G2729" i="11"/>
  <c r="H2729" i="11"/>
  <c r="G2730" i="11"/>
  <c r="H2730" i="11"/>
  <c r="G2731" i="11"/>
  <c r="H2731" i="11"/>
  <c r="G2732" i="11"/>
  <c r="H2732" i="11"/>
  <c r="G2733" i="11"/>
  <c r="H2733" i="11"/>
  <c r="G2734" i="11"/>
  <c r="H2734" i="11"/>
  <c r="G2735" i="11"/>
  <c r="H2735" i="11"/>
  <c r="G2736" i="11"/>
  <c r="H2736" i="11"/>
  <c r="G2737" i="11"/>
  <c r="H2737" i="11"/>
  <c r="G2738" i="11"/>
  <c r="H2738" i="11"/>
  <c r="G2739" i="11"/>
  <c r="H2739" i="11"/>
  <c r="G2740" i="11"/>
  <c r="H2740" i="11"/>
  <c r="G2741" i="11"/>
  <c r="H2741" i="11"/>
  <c r="G2742" i="11"/>
  <c r="H2742" i="11"/>
  <c r="G2743" i="11"/>
  <c r="H2743" i="11"/>
  <c r="G2744" i="11"/>
  <c r="H2744" i="11"/>
  <c r="G2745" i="11"/>
  <c r="H2745" i="11"/>
  <c r="G2746" i="11"/>
  <c r="H2746" i="11"/>
  <c r="G2747" i="11"/>
  <c r="H2747" i="11"/>
  <c r="G2748" i="11"/>
  <c r="H2748" i="11"/>
  <c r="G2749" i="11"/>
  <c r="H2749" i="11"/>
  <c r="G2750" i="11"/>
  <c r="H2750" i="11"/>
  <c r="G2751" i="11"/>
  <c r="H2751" i="11"/>
  <c r="G2752" i="11"/>
  <c r="H2752" i="11"/>
  <c r="G2753" i="11"/>
  <c r="H2753" i="11"/>
  <c r="G2754" i="11"/>
  <c r="H2754" i="11"/>
  <c r="G2755" i="11"/>
  <c r="H2755" i="11"/>
  <c r="G2756" i="11"/>
  <c r="H2756" i="11"/>
  <c r="G2757" i="11"/>
  <c r="H2757" i="11"/>
  <c r="G2758" i="11"/>
  <c r="H2758" i="11"/>
  <c r="G2759" i="11"/>
  <c r="H2759" i="11"/>
  <c r="G2760" i="11"/>
  <c r="H2760" i="11"/>
  <c r="G2761" i="11"/>
  <c r="H2761" i="11"/>
  <c r="G2762" i="11"/>
  <c r="H2762" i="11"/>
  <c r="G2763" i="11"/>
  <c r="H2763" i="11"/>
  <c r="G2764" i="11"/>
  <c r="H2764" i="11"/>
  <c r="G2765" i="11"/>
  <c r="H2765" i="11"/>
  <c r="G2766" i="11"/>
  <c r="H2766" i="11"/>
  <c r="G2767" i="11"/>
  <c r="H2767" i="11"/>
  <c r="G2768" i="11"/>
  <c r="H2768" i="11"/>
  <c r="G2769" i="11"/>
  <c r="H2769" i="11"/>
  <c r="G2770" i="11"/>
  <c r="H2770" i="11"/>
  <c r="G2771" i="11"/>
  <c r="H2771" i="11"/>
  <c r="G2772" i="11"/>
  <c r="H2772" i="11"/>
  <c r="G2773" i="11"/>
  <c r="H2773" i="11"/>
  <c r="G2774" i="11"/>
  <c r="H2774" i="11"/>
  <c r="G2775" i="11"/>
  <c r="H2775" i="11"/>
  <c r="G2776" i="11"/>
  <c r="H2776" i="11"/>
  <c r="G2777" i="11"/>
  <c r="H2777" i="11"/>
  <c r="G2778" i="11"/>
  <c r="H2778" i="11"/>
  <c r="G2779" i="11"/>
  <c r="H2779" i="11"/>
  <c r="G2780" i="11"/>
  <c r="H2780" i="11"/>
  <c r="G2781" i="11"/>
  <c r="H2781" i="11"/>
  <c r="G2782" i="11"/>
  <c r="H2782" i="11"/>
  <c r="G2783" i="11"/>
  <c r="H2783" i="11"/>
  <c r="G2784" i="11"/>
  <c r="H2784" i="11"/>
  <c r="G2785" i="11"/>
  <c r="H2785" i="11"/>
  <c r="G2786" i="11"/>
  <c r="H2786" i="11"/>
  <c r="G2787" i="11"/>
  <c r="H2787" i="11"/>
  <c r="G2788" i="11"/>
  <c r="H2788" i="11"/>
  <c r="G2789" i="11"/>
  <c r="H2789" i="11"/>
  <c r="G2790" i="11"/>
  <c r="H2790" i="11"/>
  <c r="G2791" i="11"/>
  <c r="H2791" i="11"/>
  <c r="G2792" i="11"/>
  <c r="H2792" i="11"/>
  <c r="G2793" i="11"/>
  <c r="H2793" i="11"/>
  <c r="G2794" i="11"/>
  <c r="H2794" i="11"/>
  <c r="G2795" i="11"/>
  <c r="H2795" i="11"/>
  <c r="G2796" i="11"/>
  <c r="H2796" i="11"/>
  <c r="G2797" i="11"/>
  <c r="H2797" i="11"/>
  <c r="G2798" i="11"/>
  <c r="H2798" i="11"/>
  <c r="G2799" i="11"/>
  <c r="H2799" i="11"/>
  <c r="G2800" i="11"/>
  <c r="H2800" i="11"/>
  <c r="G2801" i="11"/>
  <c r="H2801" i="11"/>
  <c r="G2802" i="11"/>
  <c r="H2802" i="11"/>
  <c r="G2803" i="11"/>
  <c r="H2803" i="11"/>
  <c r="G2804" i="11"/>
  <c r="H2804" i="11"/>
  <c r="G2805" i="11"/>
  <c r="H2805" i="11"/>
  <c r="G2806" i="11"/>
  <c r="H2806" i="11"/>
  <c r="G2807" i="11"/>
  <c r="H2807" i="11"/>
  <c r="G2808" i="11"/>
  <c r="H2808" i="11"/>
  <c r="G2809" i="11"/>
  <c r="H2809" i="11"/>
  <c r="G2810" i="11"/>
  <c r="H2810" i="11"/>
  <c r="G2811" i="11"/>
  <c r="H2811" i="11"/>
  <c r="G2812" i="11"/>
  <c r="H2812" i="11"/>
  <c r="G2813" i="11"/>
  <c r="H2813" i="11"/>
  <c r="G2814" i="11"/>
  <c r="H2814" i="11"/>
  <c r="G2815" i="11"/>
  <c r="H2815" i="11"/>
  <c r="G2816" i="11"/>
  <c r="H2816" i="11"/>
  <c r="G2817" i="11"/>
  <c r="H2817" i="11"/>
  <c r="G2818" i="11"/>
  <c r="H2818" i="11"/>
  <c r="G2819" i="11"/>
  <c r="H2819" i="11"/>
  <c r="G2820" i="11"/>
  <c r="H2820" i="11"/>
  <c r="G2821" i="11"/>
  <c r="H2821" i="11"/>
  <c r="G2822" i="11"/>
  <c r="H2822" i="11"/>
  <c r="G2823" i="11"/>
  <c r="H2823" i="11"/>
  <c r="G2824" i="11"/>
  <c r="H2824" i="11"/>
  <c r="G2825" i="11"/>
  <c r="H2825" i="11"/>
  <c r="G2826" i="11"/>
  <c r="H2826" i="11"/>
  <c r="G2827" i="11"/>
  <c r="H2827" i="11"/>
  <c r="G2828" i="11"/>
  <c r="H2828" i="11"/>
  <c r="G2829" i="11"/>
  <c r="H2829" i="11"/>
  <c r="G2830" i="11"/>
  <c r="H2830" i="11"/>
  <c r="G2831" i="11"/>
  <c r="H2831" i="11"/>
  <c r="G2832" i="11"/>
  <c r="H2832" i="11"/>
  <c r="G2833" i="11"/>
  <c r="H2833" i="11"/>
  <c r="G2834" i="11"/>
  <c r="H2834" i="11"/>
  <c r="G2835" i="11"/>
  <c r="H2835" i="11"/>
  <c r="G2836" i="11"/>
  <c r="H2836" i="11"/>
  <c r="G2837" i="11"/>
  <c r="H2837" i="11"/>
  <c r="G2838" i="11"/>
  <c r="H2838" i="11"/>
  <c r="G2839" i="11"/>
  <c r="H2839" i="11"/>
  <c r="G2840" i="11"/>
  <c r="H2840" i="11"/>
  <c r="G2841" i="11"/>
  <c r="H2841" i="11"/>
  <c r="G2842" i="11"/>
  <c r="H2842" i="11"/>
  <c r="G2843" i="11"/>
  <c r="H2843" i="11"/>
  <c r="G2844" i="11"/>
  <c r="H2844" i="11"/>
  <c r="G2845" i="11"/>
  <c r="H2845" i="11"/>
  <c r="G2846" i="11"/>
  <c r="H2846" i="11"/>
  <c r="G2847" i="11"/>
  <c r="H2847" i="11"/>
  <c r="G2848" i="11"/>
  <c r="H2848" i="11"/>
  <c r="G2849" i="11"/>
  <c r="H2849" i="11"/>
  <c r="G2850" i="11"/>
  <c r="H2850" i="11"/>
  <c r="G2851" i="11"/>
  <c r="H2851" i="11"/>
  <c r="G2852" i="11"/>
  <c r="H2852" i="11"/>
  <c r="G2853" i="11"/>
  <c r="H2853" i="11"/>
  <c r="G2854" i="11"/>
  <c r="H2854" i="11"/>
  <c r="G2855" i="11"/>
  <c r="H2855" i="11"/>
  <c r="G2856" i="11"/>
  <c r="H2856" i="11"/>
  <c r="G2857" i="11"/>
  <c r="H2857" i="11"/>
  <c r="G2858" i="11"/>
  <c r="H2858" i="11"/>
  <c r="G2859" i="11"/>
  <c r="H2859" i="11"/>
  <c r="G2860" i="11"/>
  <c r="H2860" i="11"/>
  <c r="G2861" i="11"/>
  <c r="H2861" i="11"/>
  <c r="G2862" i="11"/>
  <c r="H2862" i="11"/>
  <c r="G2863" i="11"/>
  <c r="H2863" i="11"/>
  <c r="G2864" i="11"/>
  <c r="H2864" i="11"/>
  <c r="G2865" i="11"/>
  <c r="H2865" i="11"/>
  <c r="G2866" i="11"/>
  <c r="H2866" i="11"/>
  <c r="G2867" i="11"/>
  <c r="H2867" i="11"/>
  <c r="G2868" i="11"/>
  <c r="H2868" i="11"/>
  <c r="G2869" i="11"/>
  <c r="H2869" i="11"/>
  <c r="G2870" i="11"/>
  <c r="H2870" i="11"/>
  <c r="G2871" i="11"/>
  <c r="H2871" i="11"/>
  <c r="G2872" i="11"/>
  <c r="H2872" i="11"/>
  <c r="G2873" i="11"/>
  <c r="H2873" i="11"/>
  <c r="G2874" i="11"/>
  <c r="H2874" i="11"/>
  <c r="G2875" i="11"/>
  <c r="H2875" i="11"/>
  <c r="G2876" i="11"/>
  <c r="H2876" i="11"/>
  <c r="G2877" i="11"/>
  <c r="H2877" i="11"/>
  <c r="G2878" i="11"/>
  <c r="H2878" i="11"/>
  <c r="G2879" i="11"/>
  <c r="H2879" i="11"/>
  <c r="G2880" i="11"/>
  <c r="H2880" i="11"/>
  <c r="G2881" i="11"/>
  <c r="H2881" i="11"/>
  <c r="G2882" i="11"/>
  <c r="H2882" i="11"/>
  <c r="G2883" i="11"/>
  <c r="H2883" i="11"/>
  <c r="G2884" i="11"/>
  <c r="H2884" i="11"/>
  <c r="G2885" i="11"/>
  <c r="H2885" i="11"/>
  <c r="G2886" i="11"/>
  <c r="H2886" i="11"/>
  <c r="G2887" i="11"/>
  <c r="H2887" i="11"/>
  <c r="G2888" i="11"/>
  <c r="H2888" i="11"/>
  <c r="G2889" i="11"/>
  <c r="H2889" i="11"/>
  <c r="G2890" i="11"/>
  <c r="H2890" i="11"/>
  <c r="G2891" i="11"/>
  <c r="H2891" i="11"/>
  <c r="G2892" i="11"/>
  <c r="H2892" i="11"/>
  <c r="G2893" i="11"/>
  <c r="H2893" i="11"/>
  <c r="G2894" i="11"/>
  <c r="H2894" i="11"/>
  <c r="G2895" i="11"/>
  <c r="H2895" i="11"/>
  <c r="G2896" i="11"/>
  <c r="H2896" i="11"/>
  <c r="G2897" i="11"/>
  <c r="H2897" i="11"/>
  <c r="G2898" i="11"/>
  <c r="H2898" i="11"/>
  <c r="G2899" i="11"/>
  <c r="H2899" i="11"/>
  <c r="G2900" i="11"/>
  <c r="H2900" i="11"/>
  <c r="G2901" i="11"/>
  <c r="H2901" i="11"/>
  <c r="G2902" i="11"/>
  <c r="H2902" i="11"/>
  <c r="G2903" i="11"/>
  <c r="H2903" i="11"/>
  <c r="G2904" i="11"/>
  <c r="H2904" i="11"/>
  <c r="G2905" i="11"/>
  <c r="H2905" i="11"/>
  <c r="G2906" i="11"/>
  <c r="H2906" i="11"/>
  <c r="G2907" i="11"/>
  <c r="H2907" i="11"/>
  <c r="G2908" i="11"/>
  <c r="H2908" i="11"/>
  <c r="G2909" i="11"/>
  <c r="H2909" i="11"/>
  <c r="G2910" i="11"/>
  <c r="H2910" i="11"/>
  <c r="G2911" i="11"/>
  <c r="H2911" i="11"/>
  <c r="G2912" i="11"/>
  <c r="H2912" i="11"/>
  <c r="G2913" i="11"/>
  <c r="H2913" i="11"/>
  <c r="G2914" i="11"/>
  <c r="H2914" i="11"/>
  <c r="G2915" i="11"/>
  <c r="H2915" i="11"/>
  <c r="G2916" i="11"/>
  <c r="H2916" i="11"/>
  <c r="G2917" i="11"/>
  <c r="H2917" i="11"/>
  <c r="G2918" i="11"/>
  <c r="H2918" i="11"/>
  <c r="G2919" i="11"/>
  <c r="H2919" i="11"/>
  <c r="G2920" i="11"/>
  <c r="H2920" i="11"/>
  <c r="G2921" i="11"/>
  <c r="H2921" i="11"/>
  <c r="G2922" i="11"/>
  <c r="H2922" i="11"/>
  <c r="G2923" i="11"/>
  <c r="H2923" i="11"/>
  <c r="G2924" i="11"/>
  <c r="H2924" i="11"/>
  <c r="G2925" i="11"/>
  <c r="H2925" i="11"/>
  <c r="G2926" i="11"/>
  <c r="H2926" i="11"/>
  <c r="G2927" i="11"/>
  <c r="H2927" i="11"/>
  <c r="G2928" i="11"/>
  <c r="H2928" i="11"/>
  <c r="G2929" i="11"/>
  <c r="H2929" i="11"/>
  <c r="G2930" i="11"/>
  <c r="H2930" i="11"/>
  <c r="G2931" i="11"/>
  <c r="H2931" i="11"/>
  <c r="G2932" i="11"/>
  <c r="H2932" i="11"/>
  <c r="G2933" i="11"/>
  <c r="H2933" i="11"/>
  <c r="G2934" i="11"/>
  <c r="H2934" i="11"/>
  <c r="G2935" i="11"/>
  <c r="H2935" i="11"/>
  <c r="G2936" i="11"/>
  <c r="H2936" i="11"/>
  <c r="G2937" i="11"/>
  <c r="H2937" i="11"/>
  <c r="G2938" i="11"/>
  <c r="H2938" i="11"/>
  <c r="G2939" i="11"/>
  <c r="H2939" i="11"/>
  <c r="G2940" i="11"/>
  <c r="H2940" i="11"/>
  <c r="G2941" i="11"/>
  <c r="H2941" i="11"/>
  <c r="G2942" i="11"/>
  <c r="H2942" i="11"/>
  <c r="G2943" i="11"/>
  <c r="H2943" i="11"/>
  <c r="G2944" i="11"/>
  <c r="H2944" i="11"/>
  <c r="G2945" i="11"/>
  <c r="H2945" i="11"/>
  <c r="G2946" i="11"/>
  <c r="H2946" i="11"/>
  <c r="G2947" i="11"/>
  <c r="H2947" i="11"/>
  <c r="G2948" i="11"/>
  <c r="H2948" i="11"/>
  <c r="G2949" i="11"/>
  <c r="H2949" i="11"/>
  <c r="G2950" i="11"/>
  <c r="H2950" i="11"/>
  <c r="G2951" i="11"/>
  <c r="H2951" i="11"/>
  <c r="G2952" i="11"/>
  <c r="H2952" i="11"/>
  <c r="G2953" i="11"/>
  <c r="H2953" i="11"/>
  <c r="G2954" i="11"/>
  <c r="H2954" i="11"/>
  <c r="G2955" i="11"/>
  <c r="H2955" i="11"/>
  <c r="G2956" i="11"/>
  <c r="H2956" i="11"/>
  <c r="G2957" i="11"/>
  <c r="H2957" i="11"/>
  <c r="G2958" i="11"/>
  <c r="H2958" i="11"/>
  <c r="G2959" i="11"/>
  <c r="H2959" i="11"/>
  <c r="G2960" i="11"/>
  <c r="H2960" i="11"/>
  <c r="G2961" i="11"/>
  <c r="H2961" i="11"/>
  <c r="G2962" i="11"/>
  <c r="H2962" i="11"/>
  <c r="G2963" i="11"/>
  <c r="H2963" i="11"/>
  <c r="G2964" i="11"/>
  <c r="H2964" i="11"/>
  <c r="G2965" i="11"/>
  <c r="H2965" i="11"/>
  <c r="G2966" i="11"/>
  <c r="H2966" i="11"/>
  <c r="G2967" i="11"/>
  <c r="H2967" i="11"/>
  <c r="G2968" i="11"/>
  <c r="H2968" i="11"/>
  <c r="G2969" i="11"/>
  <c r="H2969" i="11"/>
  <c r="G2970" i="11"/>
  <c r="H2970" i="11"/>
  <c r="G2971" i="11"/>
  <c r="H2971" i="11"/>
  <c r="G2972" i="11"/>
  <c r="H2972" i="11"/>
  <c r="G2973" i="11"/>
  <c r="H2973" i="11"/>
  <c r="G2974" i="11"/>
  <c r="H2974" i="11"/>
  <c r="G2975" i="11"/>
  <c r="H2975" i="11"/>
  <c r="G2976" i="11"/>
  <c r="H2976" i="11"/>
  <c r="G2977" i="11"/>
  <c r="H2977" i="11"/>
  <c r="G2978" i="11"/>
  <c r="H2978" i="11"/>
  <c r="G2979" i="11"/>
  <c r="H2979" i="11"/>
  <c r="G2980" i="11"/>
  <c r="H2980" i="11"/>
  <c r="G2981" i="11"/>
  <c r="H2981" i="11"/>
  <c r="G2982" i="11"/>
  <c r="H2982" i="11"/>
  <c r="G2983" i="11"/>
  <c r="H2983" i="11"/>
  <c r="G2984" i="11"/>
  <c r="H2984" i="11"/>
  <c r="G2985" i="11"/>
  <c r="H2985" i="11"/>
  <c r="G2986" i="11"/>
  <c r="H2986" i="11"/>
  <c r="G2987" i="11"/>
  <c r="H2987" i="11"/>
  <c r="G2988" i="11"/>
  <c r="H2988" i="11"/>
  <c r="G2989" i="11"/>
  <c r="H2989" i="11"/>
  <c r="G2990" i="11"/>
  <c r="H2990" i="11"/>
  <c r="G2991" i="11"/>
  <c r="H2991" i="11"/>
  <c r="G2992" i="11"/>
  <c r="H2992" i="11"/>
  <c r="G2993" i="11"/>
  <c r="H2993" i="11"/>
  <c r="G2994" i="11"/>
  <c r="H2994" i="11"/>
  <c r="G2995" i="11"/>
  <c r="H2995" i="11"/>
  <c r="G2996" i="11"/>
  <c r="H2996" i="11"/>
  <c r="G2997" i="11"/>
  <c r="H2997" i="11"/>
  <c r="G2998" i="11"/>
  <c r="H2998" i="11"/>
  <c r="G2999" i="11"/>
  <c r="H2999" i="11"/>
  <c r="G3000" i="11"/>
  <c r="H3000" i="11"/>
  <c r="G3001" i="11"/>
  <c r="H3001" i="11"/>
  <c r="G1502" i="11"/>
  <c r="H1502" i="11"/>
  <c r="G1503" i="11"/>
  <c r="H1503" i="11"/>
  <c r="G1504" i="11"/>
  <c r="H1504" i="11"/>
  <c r="G1505" i="11"/>
  <c r="H1505" i="11"/>
  <c r="G1506" i="11"/>
  <c r="H1506" i="11"/>
  <c r="G1507" i="11"/>
  <c r="H1507" i="11"/>
  <c r="G1508" i="11"/>
  <c r="H1508" i="11"/>
  <c r="G1509" i="11"/>
  <c r="H1509" i="11"/>
  <c r="G1510" i="11"/>
  <c r="H1510" i="11"/>
  <c r="G1511" i="11"/>
  <c r="H1511" i="11"/>
  <c r="G1512" i="11"/>
  <c r="H1512" i="11"/>
  <c r="G1513" i="11"/>
  <c r="H1513" i="11"/>
  <c r="G1514" i="11"/>
  <c r="H1514" i="11"/>
  <c r="G1515" i="11"/>
  <c r="H1515" i="11"/>
  <c r="G1516" i="11"/>
  <c r="H1516" i="11"/>
  <c r="G1517" i="11"/>
  <c r="H1517" i="11"/>
  <c r="G1518" i="11"/>
  <c r="H1518" i="11"/>
  <c r="G1519" i="11"/>
  <c r="H1519" i="11"/>
  <c r="G1520" i="11"/>
  <c r="H1520" i="11"/>
  <c r="G1521" i="11"/>
  <c r="H1521" i="11"/>
  <c r="G1522" i="11"/>
  <c r="H1522" i="11"/>
  <c r="G1523" i="11"/>
  <c r="H1523" i="11"/>
  <c r="G1524" i="11"/>
  <c r="H1524" i="11"/>
  <c r="G1525" i="11"/>
  <c r="H1525" i="11"/>
  <c r="G1526" i="11"/>
  <c r="H1526" i="11"/>
  <c r="G1527" i="11"/>
  <c r="H1527" i="11"/>
  <c r="G1528" i="11"/>
  <c r="H1528" i="11"/>
  <c r="G1529" i="11"/>
  <c r="H1529" i="11"/>
  <c r="G1530" i="11"/>
  <c r="H1530" i="11"/>
  <c r="G1531" i="11"/>
  <c r="H1531" i="11"/>
  <c r="G1532" i="11"/>
  <c r="H1532" i="11"/>
  <c r="G1533" i="11"/>
  <c r="H1533" i="11"/>
  <c r="G1534" i="11"/>
  <c r="H1534" i="11"/>
  <c r="G1535" i="11"/>
  <c r="H1535" i="11"/>
  <c r="G1536" i="11"/>
  <c r="H1536" i="11"/>
  <c r="G1537" i="11"/>
  <c r="H1537" i="11"/>
  <c r="G1538" i="11"/>
  <c r="H1538" i="11"/>
  <c r="G1539" i="11"/>
  <c r="H1539" i="11"/>
  <c r="G1540" i="11"/>
  <c r="H1540" i="11"/>
  <c r="G1541" i="11"/>
  <c r="H1541" i="11"/>
  <c r="G1542" i="11"/>
  <c r="H1542" i="11"/>
  <c r="G1543" i="11"/>
  <c r="H1543" i="11"/>
  <c r="G1544" i="11"/>
  <c r="H1544" i="11"/>
  <c r="G1545" i="11"/>
  <c r="H1545" i="11"/>
  <c r="G1546" i="11"/>
  <c r="H1546" i="11"/>
  <c r="G1547" i="11"/>
  <c r="H1547" i="11"/>
  <c r="G1548" i="11"/>
  <c r="H1548" i="11"/>
  <c r="G1549" i="11"/>
  <c r="H1549" i="11"/>
  <c r="G1550" i="11"/>
  <c r="H1550" i="11"/>
  <c r="G1551" i="11"/>
  <c r="H1551" i="11"/>
  <c r="G1552" i="11"/>
  <c r="H1552" i="11"/>
  <c r="G1553" i="11"/>
  <c r="H1553" i="11"/>
  <c r="G1554" i="11"/>
  <c r="H1554" i="11"/>
  <c r="G1555" i="11"/>
  <c r="H1555" i="11"/>
  <c r="G1556" i="11"/>
  <c r="H1556" i="11"/>
  <c r="G1557" i="11"/>
  <c r="H1557" i="11"/>
  <c r="G1558" i="11"/>
  <c r="H1558" i="11"/>
  <c r="G1559" i="11"/>
  <c r="H1559" i="11"/>
  <c r="G1560" i="11"/>
  <c r="H1560" i="11"/>
  <c r="G1561" i="11"/>
  <c r="H1561" i="11"/>
  <c r="G1562" i="11"/>
  <c r="H1562" i="11"/>
  <c r="G1563" i="11"/>
  <c r="H1563" i="11"/>
  <c r="G1564" i="11"/>
  <c r="H1564" i="11"/>
  <c r="G1565" i="11"/>
  <c r="H1565" i="11"/>
  <c r="G1566" i="11"/>
  <c r="H1566" i="11"/>
  <c r="G1567" i="11"/>
  <c r="H1567" i="11"/>
  <c r="G1568" i="11"/>
  <c r="H1568" i="11"/>
  <c r="G1569" i="11"/>
  <c r="H1569" i="11"/>
  <c r="G1570" i="11"/>
  <c r="H1570" i="11"/>
  <c r="G1571" i="11"/>
  <c r="H1571" i="11"/>
  <c r="G1572" i="11"/>
  <c r="H1572" i="11"/>
  <c r="G1573" i="11"/>
  <c r="H1573" i="11"/>
  <c r="G1574" i="11"/>
  <c r="H1574" i="11"/>
  <c r="G1575" i="11"/>
  <c r="H1575" i="11"/>
  <c r="G1576" i="11"/>
  <c r="H1576" i="11"/>
  <c r="G1577" i="11"/>
  <c r="H1577" i="11"/>
  <c r="G1578" i="11"/>
  <c r="H1578" i="11"/>
  <c r="G1579" i="11"/>
  <c r="H1579" i="11"/>
  <c r="G1580" i="11"/>
  <c r="H1580" i="11"/>
  <c r="G1581" i="11"/>
  <c r="H1581" i="11"/>
  <c r="G1582" i="11"/>
  <c r="H1582" i="11"/>
  <c r="G1583" i="11"/>
  <c r="H1583" i="11"/>
  <c r="G1584" i="11"/>
  <c r="H1584" i="11"/>
  <c r="G1585" i="11"/>
  <c r="H1585" i="11"/>
  <c r="G1586" i="11"/>
  <c r="H1586" i="11"/>
  <c r="G1587" i="11"/>
  <c r="H1587" i="11"/>
  <c r="G1588" i="11"/>
  <c r="H1588" i="11"/>
  <c r="G1589" i="11"/>
  <c r="H1589" i="11"/>
  <c r="G1590" i="11"/>
  <c r="H1590" i="11"/>
  <c r="G1591" i="11"/>
  <c r="H1591" i="11"/>
  <c r="G1592" i="11"/>
  <c r="H1592" i="11"/>
  <c r="G1593" i="11"/>
  <c r="H1593" i="11"/>
  <c r="G1594" i="11"/>
  <c r="H1594" i="11"/>
  <c r="G1595" i="11"/>
  <c r="H1595" i="11"/>
  <c r="G1596" i="11"/>
  <c r="H1596" i="11"/>
  <c r="G1597" i="11"/>
  <c r="H1597" i="11"/>
  <c r="G1598" i="11"/>
  <c r="H1598" i="11"/>
  <c r="G1599" i="11"/>
  <c r="H1599" i="11"/>
  <c r="G1600" i="11"/>
  <c r="H1600" i="11"/>
  <c r="G1601" i="11"/>
  <c r="H1601" i="11"/>
  <c r="G1602" i="11"/>
  <c r="H1602" i="11"/>
  <c r="G1603" i="11"/>
  <c r="H1603" i="11"/>
  <c r="G1604" i="11"/>
  <c r="H1604" i="11"/>
  <c r="G1605" i="11"/>
  <c r="H1605" i="11"/>
  <c r="G1606" i="11"/>
  <c r="H1606" i="11"/>
  <c r="G1607" i="11"/>
  <c r="H1607" i="11"/>
  <c r="G1608" i="11"/>
  <c r="H1608" i="11"/>
  <c r="G1609" i="11"/>
  <c r="H1609" i="11"/>
  <c r="G1610" i="11"/>
  <c r="H1610" i="11"/>
  <c r="G1611" i="11"/>
  <c r="H1611" i="11"/>
  <c r="G1612" i="11"/>
  <c r="H1612" i="11"/>
  <c r="G1613" i="11"/>
  <c r="H1613" i="11"/>
  <c r="G1614" i="11"/>
  <c r="H1614" i="11"/>
  <c r="G1615" i="11"/>
  <c r="H1615" i="11"/>
  <c r="G1616" i="11"/>
  <c r="H1616" i="11"/>
  <c r="G1617" i="11"/>
  <c r="H1617" i="11"/>
  <c r="G1618" i="11"/>
  <c r="H1618" i="11"/>
  <c r="G1619" i="11"/>
  <c r="H1619" i="11"/>
  <c r="G1620" i="11"/>
  <c r="H1620" i="11"/>
  <c r="G1621" i="11"/>
  <c r="H1621" i="11"/>
  <c r="G1622" i="11"/>
  <c r="H1622" i="11"/>
  <c r="G1623" i="11"/>
  <c r="H1623" i="11"/>
  <c r="G1624" i="11"/>
  <c r="H1624" i="11"/>
  <c r="G1625" i="11"/>
  <c r="H1625" i="11"/>
  <c r="G1626" i="11"/>
  <c r="H1626" i="11"/>
  <c r="G1627" i="11"/>
  <c r="H1627" i="11"/>
  <c r="G1628" i="11"/>
  <c r="H1628" i="11"/>
  <c r="G1629" i="11"/>
  <c r="H1629" i="11"/>
  <c r="G1630" i="11"/>
  <c r="H1630" i="11"/>
  <c r="G1631" i="11"/>
  <c r="H1631" i="11"/>
  <c r="G1632" i="11"/>
  <c r="H1632" i="11"/>
  <c r="G1633" i="11"/>
  <c r="H1633" i="11"/>
  <c r="G1634" i="11"/>
  <c r="H1634" i="11"/>
  <c r="G1635" i="11"/>
  <c r="H1635" i="11"/>
  <c r="G1636" i="11"/>
  <c r="H1636" i="11"/>
  <c r="G1637" i="11"/>
  <c r="H1637" i="11"/>
  <c r="G1638" i="11"/>
  <c r="H1638" i="11"/>
  <c r="G1639" i="11"/>
  <c r="H1639" i="11"/>
  <c r="G1640" i="11"/>
  <c r="H1640" i="11"/>
  <c r="G1641" i="11"/>
  <c r="H1641" i="11"/>
  <c r="G1642" i="11"/>
  <c r="H1642" i="11"/>
  <c r="G1643" i="11"/>
  <c r="H1643" i="11"/>
  <c r="G1644" i="11"/>
  <c r="H1644" i="11"/>
  <c r="G1645" i="11"/>
  <c r="H1645" i="11"/>
  <c r="G1646" i="11"/>
  <c r="H1646" i="11"/>
  <c r="G1647" i="11"/>
  <c r="H1647" i="11"/>
  <c r="G1648" i="11"/>
  <c r="H1648" i="11"/>
  <c r="G1649" i="11"/>
  <c r="H1649" i="11"/>
  <c r="G1650" i="11"/>
  <c r="H1650" i="11"/>
  <c r="G1651" i="11"/>
  <c r="H1651" i="11"/>
  <c r="G1652" i="11"/>
  <c r="H1652" i="11"/>
  <c r="G1653" i="11"/>
  <c r="H1653" i="11"/>
  <c r="G1654" i="11"/>
  <c r="H1654" i="11"/>
  <c r="G1655" i="11"/>
  <c r="H1655" i="11"/>
  <c r="G1656" i="11"/>
  <c r="H1656" i="11"/>
  <c r="G1657" i="11"/>
  <c r="H1657" i="11"/>
  <c r="G1658" i="11"/>
  <c r="H1658" i="11"/>
  <c r="G1659" i="11"/>
  <c r="H1659" i="11"/>
  <c r="G1660" i="11"/>
  <c r="H1660" i="11"/>
  <c r="G1661" i="11"/>
  <c r="H1661" i="11"/>
  <c r="G1662" i="11"/>
  <c r="H1662" i="11"/>
  <c r="G1663" i="11"/>
  <c r="H1663" i="11"/>
  <c r="G1664" i="11"/>
  <c r="H1664" i="11"/>
  <c r="G1665" i="11"/>
  <c r="H1665" i="11"/>
  <c r="G1666" i="11"/>
  <c r="H1666" i="11"/>
  <c r="G1667" i="11"/>
  <c r="H1667" i="11"/>
  <c r="G1668" i="11"/>
  <c r="H1668" i="11"/>
  <c r="G1669" i="11"/>
  <c r="H1669" i="11"/>
  <c r="G1670" i="11"/>
  <c r="H1670" i="11"/>
  <c r="G1671" i="11"/>
  <c r="H1671" i="11"/>
  <c r="G1672" i="11"/>
  <c r="H1672" i="11"/>
  <c r="G1673" i="11"/>
  <c r="H1673" i="11"/>
  <c r="G1674" i="11"/>
  <c r="H1674" i="11"/>
  <c r="G1675" i="11"/>
  <c r="H1675" i="11"/>
  <c r="G1676" i="11"/>
  <c r="H1676" i="11"/>
  <c r="G1677" i="11"/>
  <c r="H1677" i="11"/>
  <c r="G1678" i="11"/>
  <c r="H1678" i="11"/>
  <c r="G1679" i="11"/>
  <c r="H1679" i="11"/>
  <c r="G1680" i="11"/>
  <c r="H1680" i="11"/>
  <c r="G1681" i="11"/>
  <c r="H1681" i="11"/>
  <c r="G1682" i="11"/>
  <c r="H1682" i="11"/>
  <c r="G1683" i="11"/>
  <c r="H1683" i="11"/>
  <c r="G1684" i="11"/>
  <c r="H1684" i="11"/>
  <c r="G1685" i="11"/>
  <c r="H1685" i="11"/>
  <c r="G1686" i="11"/>
  <c r="H1686" i="11"/>
  <c r="G1687" i="11"/>
  <c r="H1687" i="11"/>
  <c r="G1688" i="11"/>
  <c r="H1688" i="11"/>
  <c r="G1689" i="11"/>
  <c r="H1689" i="11"/>
  <c r="G1690" i="11"/>
  <c r="H1690" i="11"/>
  <c r="G1691" i="11"/>
  <c r="H1691" i="11"/>
  <c r="G1692" i="11"/>
  <c r="H1692" i="11"/>
  <c r="G1693" i="11"/>
  <c r="H1693" i="11"/>
  <c r="G1694" i="11"/>
  <c r="H1694" i="11"/>
  <c r="G1695" i="11"/>
  <c r="H1695" i="11"/>
  <c r="G1696" i="11"/>
  <c r="H1696" i="11"/>
  <c r="G1697" i="11"/>
  <c r="H1697" i="11"/>
  <c r="G1698" i="11"/>
  <c r="H1698" i="11"/>
  <c r="G1699" i="11"/>
  <c r="H1699" i="11"/>
  <c r="G1700" i="11"/>
  <c r="H1700" i="11"/>
  <c r="G1701" i="11"/>
  <c r="H1701" i="11"/>
  <c r="G1702" i="11"/>
  <c r="H1702" i="11"/>
  <c r="G1703" i="11"/>
  <c r="H1703" i="11"/>
  <c r="G1704" i="11"/>
  <c r="H1704" i="11"/>
  <c r="G1705" i="11"/>
  <c r="H1705" i="11"/>
  <c r="G1706" i="11"/>
  <c r="H1706" i="11"/>
  <c r="G1707" i="11"/>
  <c r="H1707" i="11"/>
  <c r="G1708" i="11"/>
  <c r="H1708" i="11"/>
  <c r="G1709" i="11"/>
  <c r="H1709" i="11"/>
  <c r="G1710" i="11"/>
  <c r="H1710" i="11"/>
  <c r="G1711" i="11"/>
  <c r="H1711" i="11"/>
  <c r="G1712" i="11"/>
  <c r="H1712" i="11"/>
  <c r="G1713" i="11"/>
  <c r="H1713" i="11"/>
  <c r="G1714" i="11"/>
  <c r="H1714" i="11"/>
  <c r="G1715" i="11"/>
  <c r="H1715" i="11"/>
  <c r="G1716" i="11"/>
  <c r="H1716" i="11"/>
  <c r="G1717" i="11"/>
  <c r="H1717" i="11"/>
  <c r="G1718" i="11"/>
  <c r="H1718" i="11"/>
  <c r="G1719" i="11"/>
  <c r="H1719" i="11"/>
  <c r="G1720" i="11"/>
  <c r="H1720" i="11"/>
  <c r="G1721" i="11"/>
  <c r="H1721" i="11"/>
  <c r="G1722" i="11"/>
  <c r="H1722" i="11"/>
  <c r="G1723" i="11"/>
  <c r="H1723" i="11"/>
  <c r="G1724" i="11"/>
  <c r="H1724" i="11"/>
  <c r="G1725" i="11"/>
  <c r="H1725" i="11"/>
  <c r="G1726" i="11"/>
  <c r="H1726" i="11"/>
  <c r="G1727" i="11"/>
  <c r="H1727" i="11"/>
  <c r="G1728" i="11"/>
  <c r="H1728" i="11"/>
  <c r="G1729" i="11"/>
  <c r="H1729" i="11"/>
  <c r="G1730" i="11"/>
  <c r="H1730" i="11"/>
  <c r="G1731" i="11"/>
  <c r="H1731" i="11"/>
  <c r="G1732" i="11"/>
  <c r="H1732" i="11"/>
  <c r="G1733" i="11"/>
  <c r="H1733" i="11"/>
  <c r="G1734" i="11"/>
  <c r="H1734" i="11"/>
  <c r="G1735" i="11"/>
  <c r="H1735" i="11"/>
  <c r="G1736" i="11"/>
  <c r="H1736" i="11"/>
  <c r="G1737" i="11"/>
  <c r="H1737" i="11"/>
  <c r="G1738" i="11"/>
  <c r="H1738" i="11"/>
  <c r="G1739" i="11"/>
  <c r="H1739" i="11"/>
  <c r="G1740" i="11"/>
  <c r="H1740" i="11"/>
  <c r="G1741" i="11"/>
  <c r="H1741" i="11"/>
  <c r="G1742" i="11"/>
  <c r="H1742" i="11"/>
  <c r="G1743" i="11"/>
  <c r="H1743" i="11"/>
  <c r="G1744" i="11"/>
  <c r="H1744" i="11"/>
  <c r="G1745" i="11"/>
  <c r="H1745" i="11"/>
  <c r="G1746" i="11"/>
  <c r="H1746" i="11"/>
  <c r="G1747" i="11"/>
  <c r="H1747" i="11"/>
  <c r="G1748" i="11"/>
  <c r="H1748" i="11"/>
  <c r="G1749" i="11"/>
  <c r="H1749" i="11"/>
  <c r="G1750" i="11"/>
  <c r="H1750" i="11"/>
  <c r="G1751" i="11"/>
  <c r="H1751" i="11"/>
  <c r="G1752" i="11"/>
  <c r="H1752" i="11"/>
  <c r="G1753" i="11"/>
  <c r="H1753" i="11"/>
  <c r="G1754" i="11"/>
  <c r="H1754" i="11"/>
  <c r="G1755" i="11"/>
  <c r="H1755" i="11"/>
  <c r="G1756" i="11"/>
  <c r="H1756" i="11"/>
  <c r="G1757" i="11"/>
  <c r="H1757" i="11"/>
  <c r="G1758" i="11"/>
  <c r="H1758" i="11"/>
  <c r="G1759" i="11"/>
  <c r="H1759" i="11"/>
  <c r="G1760" i="11"/>
  <c r="H1760" i="11"/>
  <c r="G1761" i="11"/>
  <c r="H1761" i="11"/>
  <c r="G1762" i="11"/>
  <c r="H1762" i="11"/>
  <c r="G1763" i="11"/>
  <c r="H1763" i="11"/>
  <c r="G1764" i="11"/>
  <c r="H1764" i="11"/>
  <c r="G1765" i="11"/>
  <c r="H1765" i="11"/>
  <c r="G1766" i="11"/>
  <c r="H1766" i="11"/>
  <c r="G1767" i="11"/>
  <c r="H1767" i="11"/>
  <c r="G1768" i="11"/>
  <c r="H1768" i="11"/>
  <c r="G1769" i="11"/>
  <c r="H1769" i="11"/>
  <c r="G1770" i="11"/>
  <c r="H1770" i="11"/>
  <c r="G1771" i="11"/>
  <c r="H1771" i="11"/>
  <c r="G1772" i="11"/>
  <c r="H1772" i="11"/>
  <c r="G1773" i="11"/>
  <c r="H1773" i="11"/>
  <c r="G1774" i="11"/>
  <c r="H1774" i="11"/>
  <c r="G1775" i="11"/>
  <c r="H1775" i="11"/>
  <c r="G1776" i="11"/>
  <c r="H1776" i="11"/>
  <c r="G1777" i="11"/>
  <c r="H1777" i="11"/>
  <c r="G1778" i="11"/>
  <c r="H1778" i="11"/>
  <c r="G1779" i="11"/>
  <c r="H1779" i="11"/>
  <c r="G1780" i="11"/>
  <c r="H1780" i="11"/>
  <c r="G1781" i="11"/>
  <c r="H1781" i="11"/>
  <c r="G1782" i="11"/>
  <c r="H1782" i="11"/>
  <c r="G1783" i="11"/>
  <c r="H1783" i="11"/>
  <c r="G1784" i="11"/>
  <c r="H1784" i="11"/>
  <c r="G1785" i="11"/>
  <c r="H1785" i="11"/>
  <c r="G1786" i="11"/>
  <c r="H1786" i="11"/>
  <c r="G1787" i="11"/>
  <c r="H1787" i="11"/>
  <c r="G1788" i="11"/>
  <c r="H1788" i="11"/>
  <c r="G1789" i="11"/>
  <c r="H1789" i="11"/>
  <c r="G1790" i="11"/>
  <c r="H1790" i="11"/>
  <c r="G1791" i="11"/>
  <c r="H1791" i="11"/>
  <c r="G1792" i="11"/>
  <c r="H1792" i="11"/>
  <c r="G1793" i="11"/>
  <c r="H1793" i="11"/>
  <c r="G1794" i="11"/>
  <c r="H1794" i="11"/>
  <c r="G1795" i="11"/>
  <c r="H1795" i="11"/>
  <c r="G1796" i="11"/>
  <c r="H1796" i="11"/>
  <c r="G1797" i="11"/>
  <c r="H1797" i="11"/>
  <c r="G1798" i="11"/>
  <c r="H1798" i="11"/>
  <c r="G1799" i="11"/>
  <c r="H1799" i="11"/>
  <c r="G1800" i="11"/>
  <c r="H1800" i="11"/>
  <c r="G1801" i="11"/>
  <c r="H1801" i="11"/>
  <c r="G1802" i="11"/>
  <c r="H1802" i="11"/>
  <c r="G1803" i="11"/>
  <c r="H1803" i="11"/>
  <c r="G1804" i="11"/>
  <c r="H1804" i="11"/>
  <c r="G1805" i="11"/>
  <c r="H1805" i="11"/>
  <c r="G1806" i="11"/>
  <c r="H1806" i="11"/>
  <c r="G1807" i="11"/>
  <c r="H1807" i="11"/>
  <c r="G1808" i="11"/>
  <c r="H1808" i="11"/>
  <c r="G1809" i="11"/>
  <c r="H1809" i="11"/>
  <c r="G1810" i="11"/>
  <c r="H1810" i="11"/>
  <c r="G1811" i="11"/>
  <c r="H1811" i="11"/>
  <c r="G1812" i="11"/>
  <c r="H1812" i="11"/>
  <c r="G1813" i="11"/>
  <c r="H1813" i="11"/>
  <c r="G1814" i="11"/>
  <c r="H1814" i="11"/>
  <c r="G1815" i="11"/>
  <c r="H1815" i="11"/>
  <c r="G1816" i="11"/>
  <c r="H1816" i="11"/>
  <c r="G1817" i="11"/>
  <c r="H1817" i="11"/>
  <c r="G1818" i="11"/>
  <c r="H1818" i="11"/>
  <c r="G1819" i="11"/>
  <c r="H1819" i="11"/>
  <c r="G1820" i="11"/>
  <c r="H1820" i="11"/>
  <c r="G1821" i="11"/>
  <c r="H1821" i="11"/>
  <c r="G1822" i="11"/>
  <c r="H1822" i="11"/>
  <c r="G1823" i="11"/>
  <c r="H1823" i="11"/>
  <c r="G1824" i="11"/>
  <c r="H1824" i="11"/>
  <c r="G1825" i="11"/>
  <c r="H1825" i="11"/>
  <c r="G1826" i="11"/>
  <c r="H1826" i="11"/>
  <c r="G1827" i="11"/>
  <c r="H1827" i="11"/>
  <c r="G1828" i="11"/>
  <c r="H1828" i="11"/>
  <c r="G1829" i="11"/>
  <c r="H1829" i="11"/>
  <c r="G1830" i="11"/>
  <c r="H1830" i="11"/>
  <c r="G1831" i="11"/>
  <c r="H1831" i="11"/>
  <c r="G1832" i="11"/>
  <c r="H1832" i="11"/>
  <c r="G1833" i="11"/>
  <c r="H1833" i="11"/>
  <c r="G1834" i="11"/>
  <c r="H1834" i="11"/>
  <c r="G1835" i="11"/>
  <c r="H1835" i="11"/>
  <c r="G1836" i="11"/>
  <c r="H1836" i="11"/>
  <c r="G1837" i="11"/>
  <c r="H1837" i="11"/>
  <c r="G1838" i="11"/>
  <c r="H1838" i="11"/>
  <c r="G1839" i="11"/>
  <c r="H1839" i="11"/>
  <c r="G1840" i="11"/>
  <c r="H1840" i="11"/>
  <c r="G1841" i="11"/>
  <c r="H1841" i="11"/>
  <c r="G1842" i="11"/>
  <c r="H1842" i="11"/>
  <c r="G1843" i="11"/>
  <c r="H1843" i="11"/>
  <c r="G1844" i="11"/>
  <c r="H1844" i="11"/>
  <c r="G1845" i="11"/>
  <c r="H1845" i="11"/>
  <c r="G1846" i="11"/>
  <c r="H1846" i="11"/>
  <c r="G1847" i="11"/>
  <c r="H1847" i="11"/>
  <c r="G1848" i="11"/>
  <c r="H1848" i="11"/>
  <c r="G1849" i="11"/>
  <c r="H1849" i="11"/>
  <c r="G1850" i="11"/>
  <c r="H1850" i="11"/>
  <c r="G1851" i="11"/>
  <c r="H1851" i="11"/>
  <c r="G1852" i="11"/>
  <c r="H1852" i="11"/>
  <c r="G1853" i="11"/>
  <c r="H1853" i="11"/>
  <c r="G1854" i="11"/>
  <c r="H1854" i="11"/>
  <c r="G1855" i="11"/>
  <c r="H1855" i="11"/>
  <c r="G1856" i="11"/>
  <c r="H1856" i="11"/>
  <c r="G1857" i="11"/>
  <c r="H1857" i="11"/>
  <c r="G1858" i="11"/>
  <c r="H1858" i="11"/>
  <c r="G1859" i="11"/>
  <c r="H1859" i="11"/>
  <c r="G1860" i="11"/>
  <c r="H1860" i="11"/>
  <c r="G1861" i="11"/>
  <c r="H1861" i="11"/>
  <c r="G1862" i="11"/>
  <c r="H1862" i="11"/>
  <c r="G1863" i="11"/>
  <c r="H1863" i="11"/>
  <c r="G1864" i="11"/>
  <c r="H1864" i="11"/>
  <c r="G1865" i="11"/>
  <c r="H1865" i="11"/>
  <c r="G1866" i="11"/>
  <c r="H1866" i="11"/>
  <c r="G1867" i="11"/>
  <c r="H1867" i="11"/>
  <c r="G1868" i="11"/>
  <c r="H1868" i="11"/>
  <c r="G1869" i="11"/>
  <c r="H1869" i="11"/>
  <c r="G1870" i="11"/>
  <c r="H1870" i="11"/>
  <c r="G1871" i="11"/>
  <c r="H1871" i="11"/>
  <c r="G1872" i="11"/>
  <c r="H1872" i="11"/>
  <c r="G1873" i="11"/>
  <c r="H1873" i="11"/>
  <c r="G1874" i="11"/>
  <c r="H1874" i="11"/>
  <c r="G1875" i="11"/>
  <c r="H1875" i="11"/>
  <c r="G1876" i="11"/>
  <c r="H1876" i="11"/>
  <c r="G1877" i="11"/>
  <c r="H1877" i="11"/>
  <c r="G1878" i="11"/>
  <c r="H1878" i="11"/>
  <c r="G1879" i="11"/>
  <c r="H1879" i="11"/>
  <c r="G1880" i="11"/>
  <c r="H1880" i="11"/>
  <c r="G1881" i="11"/>
  <c r="H1881" i="11"/>
  <c r="G1882" i="11"/>
  <c r="H1882" i="11"/>
  <c r="G1883" i="11"/>
  <c r="H1883" i="11"/>
  <c r="G1884" i="11"/>
  <c r="H1884" i="11"/>
  <c r="G1885" i="11"/>
  <c r="H1885" i="11"/>
  <c r="G1886" i="11"/>
  <c r="H1886" i="11"/>
  <c r="G1887" i="11"/>
  <c r="H1887" i="11"/>
  <c r="G1888" i="11"/>
  <c r="H1888" i="11"/>
  <c r="G1889" i="11"/>
  <c r="H1889" i="11"/>
  <c r="G1890" i="11"/>
  <c r="H1890" i="11"/>
  <c r="G1891" i="11"/>
  <c r="H1891" i="11"/>
  <c r="G1892" i="11"/>
  <c r="H1892" i="11"/>
  <c r="G1893" i="11"/>
  <c r="H1893" i="11"/>
  <c r="G1894" i="11"/>
  <c r="H1894" i="11"/>
  <c r="G1895" i="11"/>
  <c r="H1895" i="11"/>
  <c r="G1896" i="11"/>
  <c r="H1896" i="11"/>
  <c r="G1897" i="11"/>
  <c r="H1897" i="11"/>
  <c r="G1898" i="11"/>
  <c r="H1898" i="11"/>
  <c r="G1899" i="11"/>
  <c r="H1899" i="11"/>
  <c r="G1900" i="11"/>
  <c r="H1900" i="11"/>
  <c r="G1901" i="11"/>
  <c r="H1901" i="11"/>
  <c r="G1902" i="11"/>
  <c r="H1902" i="11"/>
  <c r="G1903" i="11"/>
  <c r="H1903" i="11"/>
  <c r="G1904" i="11"/>
  <c r="H1904" i="11"/>
  <c r="G1905" i="11"/>
  <c r="H1905" i="11"/>
  <c r="G1906" i="11"/>
  <c r="H1906" i="11"/>
  <c r="G1907" i="11"/>
  <c r="H1907" i="11"/>
  <c r="G1908" i="11"/>
  <c r="H1908" i="11"/>
  <c r="G1909" i="11"/>
  <c r="H1909" i="11"/>
  <c r="G1910" i="11"/>
  <c r="H1910" i="11"/>
  <c r="G1911" i="11"/>
  <c r="H1911" i="11"/>
  <c r="G1912" i="11"/>
  <c r="H1912" i="11"/>
  <c r="G1913" i="11"/>
  <c r="H1913" i="11"/>
  <c r="G1914" i="11"/>
  <c r="H1914" i="11"/>
  <c r="G1915" i="11"/>
  <c r="H1915" i="11"/>
  <c r="G1916" i="11"/>
  <c r="H1916" i="11"/>
  <c r="G1917" i="11"/>
  <c r="H1917" i="11"/>
  <c r="G1918" i="11"/>
  <c r="H1918" i="11"/>
  <c r="G1919" i="11"/>
  <c r="H1919" i="11"/>
  <c r="G1920" i="11"/>
  <c r="H1920" i="11"/>
  <c r="G1921" i="11"/>
  <c r="H1921" i="11"/>
  <c r="G1922" i="11"/>
  <c r="H1922" i="11"/>
  <c r="G1923" i="11"/>
  <c r="H1923" i="11"/>
  <c r="G1924" i="11"/>
  <c r="H1924" i="11"/>
  <c r="G1925" i="11"/>
  <c r="H1925" i="11"/>
  <c r="G1926" i="11"/>
  <c r="H1926" i="11"/>
  <c r="G1927" i="11"/>
  <c r="H1927" i="11"/>
  <c r="G1928" i="11"/>
  <c r="H1928" i="11"/>
  <c r="G1929" i="11"/>
  <c r="H1929" i="11"/>
  <c r="G1930" i="11"/>
  <c r="H1930" i="11"/>
  <c r="G1931" i="11"/>
  <c r="H1931" i="11"/>
  <c r="G1932" i="11"/>
  <c r="H1932" i="11"/>
  <c r="G1933" i="11"/>
  <c r="H1933" i="11"/>
  <c r="G1934" i="11"/>
  <c r="H1934" i="11"/>
  <c r="G1935" i="11"/>
  <c r="H1935" i="11"/>
  <c r="G1936" i="11"/>
  <c r="H1936" i="11"/>
  <c r="G1937" i="11"/>
  <c r="H1937" i="11"/>
  <c r="G1938" i="11"/>
  <c r="H1938" i="11"/>
  <c r="G1939" i="11"/>
  <c r="H1939" i="11"/>
  <c r="G1940" i="11"/>
  <c r="H1940" i="11"/>
  <c r="G1941" i="11"/>
  <c r="H1941" i="11"/>
  <c r="G1942" i="11"/>
  <c r="H1942" i="11"/>
  <c r="G1943" i="11"/>
  <c r="H1943" i="11"/>
  <c r="G1944" i="11"/>
  <c r="H1944" i="11"/>
  <c r="G1945" i="11"/>
  <c r="H1945" i="11"/>
  <c r="G1946" i="11"/>
  <c r="H1946" i="11"/>
  <c r="G1947" i="11"/>
  <c r="H1947" i="11"/>
  <c r="G1948" i="11"/>
  <c r="H1948" i="11"/>
  <c r="G1949" i="11"/>
  <c r="H1949" i="11"/>
  <c r="G1950" i="11"/>
  <c r="H1950" i="11"/>
  <c r="G1951" i="11"/>
  <c r="H1951" i="11"/>
  <c r="G1952" i="11"/>
  <c r="H1952" i="11"/>
  <c r="G1953" i="11"/>
  <c r="H1953" i="11"/>
  <c r="G1954" i="11"/>
  <c r="H1954" i="11"/>
  <c r="G1955" i="11"/>
  <c r="H1955" i="11"/>
  <c r="G1956" i="11"/>
  <c r="H1956" i="11"/>
  <c r="G1957" i="11"/>
  <c r="H1957" i="11"/>
  <c r="G1958" i="11"/>
  <c r="H1958" i="11"/>
  <c r="G1959" i="11"/>
  <c r="H1959" i="11"/>
  <c r="G1960" i="11"/>
  <c r="H1960" i="11"/>
  <c r="G1961" i="11"/>
  <c r="H1961" i="11"/>
  <c r="G1962" i="11"/>
  <c r="H1962" i="11"/>
  <c r="G1963" i="11"/>
  <c r="H1963" i="11"/>
  <c r="G1964" i="11"/>
  <c r="H1964" i="11"/>
  <c r="G1965" i="11"/>
  <c r="H1965" i="11"/>
  <c r="G1966" i="11"/>
  <c r="H1966" i="11"/>
  <c r="G1967" i="11"/>
  <c r="H1967" i="11"/>
  <c r="G1968" i="11"/>
  <c r="H1968" i="11"/>
  <c r="G1969" i="11"/>
  <c r="H1969" i="11"/>
  <c r="G1970" i="11"/>
  <c r="H1970" i="11"/>
  <c r="G1971" i="11"/>
  <c r="H1971" i="11"/>
  <c r="G1972" i="11"/>
  <c r="H1972" i="11"/>
  <c r="G1973" i="11"/>
  <c r="H1973" i="11"/>
  <c r="G1974" i="11"/>
  <c r="H1974" i="11"/>
  <c r="G1975" i="11"/>
  <c r="H1975" i="11"/>
  <c r="G1976" i="11"/>
  <c r="H1976" i="11"/>
  <c r="G1977" i="11"/>
  <c r="H1977" i="11"/>
  <c r="G1978" i="11"/>
  <c r="H1978" i="11"/>
  <c r="G1979" i="11"/>
  <c r="H1979" i="11"/>
  <c r="G1980" i="11"/>
  <c r="H1980" i="11"/>
  <c r="G1981" i="11"/>
  <c r="H1981" i="11"/>
  <c r="G1982" i="11"/>
  <c r="H1982" i="11"/>
  <c r="G1983" i="11"/>
  <c r="H1983" i="11"/>
  <c r="G1984" i="11"/>
  <c r="H1984" i="11"/>
  <c r="G1985" i="11"/>
  <c r="H1985" i="11"/>
  <c r="G1986" i="11"/>
  <c r="H1986" i="11"/>
  <c r="G1987" i="11"/>
  <c r="H1987" i="11"/>
  <c r="G1988" i="11"/>
  <c r="H1988" i="11"/>
  <c r="G1989" i="11"/>
  <c r="H1989" i="11"/>
  <c r="G1990" i="11"/>
  <c r="H1990" i="11"/>
  <c r="G1991" i="11"/>
  <c r="H1991" i="11"/>
  <c r="G1992" i="11"/>
  <c r="H1992" i="11"/>
  <c r="G1993" i="11"/>
  <c r="H1993" i="11"/>
  <c r="G1994" i="11"/>
  <c r="H1994" i="11"/>
  <c r="G1995" i="11"/>
  <c r="H1995" i="11"/>
  <c r="G1996" i="11"/>
  <c r="H1996" i="11"/>
  <c r="G1997" i="11"/>
  <c r="H1997" i="11"/>
  <c r="G1998" i="11"/>
  <c r="H1998" i="11"/>
  <c r="G1999" i="11"/>
  <c r="H1999" i="11"/>
  <c r="G2000" i="11"/>
  <c r="H2000" i="11"/>
  <c r="G2001" i="11"/>
  <c r="H2001" i="11"/>
  <c r="G2002" i="11"/>
  <c r="H2002" i="11"/>
  <c r="G2003" i="11"/>
  <c r="H2003" i="11"/>
  <c r="G2004" i="11"/>
  <c r="H2004" i="11"/>
  <c r="G2005" i="11"/>
  <c r="H2005" i="11"/>
  <c r="G2006" i="11"/>
  <c r="H2006" i="11"/>
  <c r="G2007" i="11"/>
  <c r="H2007" i="11"/>
  <c r="G2008" i="11"/>
  <c r="H2008" i="11"/>
  <c r="G2009" i="11"/>
  <c r="H2009" i="11"/>
  <c r="G2010" i="11"/>
  <c r="H2010" i="11"/>
  <c r="G2011" i="11"/>
  <c r="H2011" i="11"/>
  <c r="G2012" i="11"/>
  <c r="H2012" i="11"/>
  <c r="G2013" i="11"/>
  <c r="H2013" i="11"/>
  <c r="G2014" i="11"/>
  <c r="H2014" i="11"/>
  <c r="G2015" i="11"/>
  <c r="H2015" i="11"/>
  <c r="G2016" i="11"/>
  <c r="H2016" i="11"/>
  <c r="G2017" i="11"/>
  <c r="H2017" i="11"/>
  <c r="G2018" i="11"/>
  <c r="H2018" i="11"/>
  <c r="G2019" i="11"/>
  <c r="H2019" i="11"/>
  <c r="G2020" i="11"/>
  <c r="H2020" i="11"/>
  <c r="G2021" i="11"/>
  <c r="H2021" i="11"/>
  <c r="G2022" i="11"/>
  <c r="H2022" i="11"/>
  <c r="G2023" i="11"/>
  <c r="H2023" i="11"/>
  <c r="G2024" i="11"/>
  <c r="H2024" i="11"/>
  <c r="G2025" i="11"/>
  <c r="H2025" i="11"/>
  <c r="G2026" i="11"/>
  <c r="H2026" i="11"/>
  <c r="G2027" i="11"/>
  <c r="H2027" i="11"/>
  <c r="G2028" i="11"/>
  <c r="H2028" i="11"/>
  <c r="G2029" i="11"/>
  <c r="H2029" i="11"/>
  <c r="G2030" i="11"/>
  <c r="H2030" i="11"/>
  <c r="G2031" i="11"/>
  <c r="H2031" i="11"/>
  <c r="G2032" i="11"/>
  <c r="H2032" i="11"/>
  <c r="G2033" i="11"/>
  <c r="H2033" i="11"/>
  <c r="G2034" i="11"/>
  <c r="H2034" i="11"/>
  <c r="G2035" i="11"/>
  <c r="H2035" i="11"/>
  <c r="G2036" i="11"/>
  <c r="H2036" i="11"/>
  <c r="G2037" i="11"/>
  <c r="H2037" i="11"/>
  <c r="G2038" i="11"/>
  <c r="H2038" i="11"/>
  <c r="G2039" i="11"/>
  <c r="H2039" i="11"/>
  <c r="G2040" i="11"/>
  <c r="H2040" i="11"/>
  <c r="G2041" i="11"/>
  <c r="H2041" i="11"/>
  <c r="G2042" i="11"/>
  <c r="H2042" i="11"/>
  <c r="G2043" i="11"/>
  <c r="H2043" i="11"/>
  <c r="G2044" i="11"/>
  <c r="H2044" i="11"/>
  <c r="G2045" i="11"/>
  <c r="H2045" i="11"/>
  <c r="G2046" i="11"/>
  <c r="H2046" i="11"/>
  <c r="G2047" i="11"/>
  <c r="H2047" i="11"/>
  <c r="G2048" i="11"/>
  <c r="H2048" i="11"/>
  <c r="G2049" i="11"/>
  <c r="H2049" i="11"/>
  <c r="G2050" i="11"/>
  <c r="H2050" i="11"/>
  <c r="G2051" i="11"/>
  <c r="H2051" i="11"/>
  <c r="G2052" i="11"/>
  <c r="H2052" i="11"/>
  <c r="G2053" i="11"/>
  <c r="H2053" i="11"/>
  <c r="G2054" i="11"/>
  <c r="H2054" i="11"/>
  <c r="G2055" i="11"/>
  <c r="H2055" i="11"/>
  <c r="G2056" i="11"/>
  <c r="H2056" i="11"/>
  <c r="G2057" i="11"/>
  <c r="H2057" i="11"/>
  <c r="G2058" i="11"/>
  <c r="H2058" i="11"/>
  <c r="G2059" i="11"/>
  <c r="H2059" i="11"/>
  <c r="G2060" i="11"/>
  <c r="H2060" i="11"/>
  <c r="G2061" i="11"/>
  <c r="H2061" i="11"/>
  <c r="G2062" i="11"/>
  <c r="H2062" i="11"/>
  <c r="G2063" i="11"/>
  <c r="H2063" i="11"/>
  <c r="G2064" i="11"/>
  <c r="H2064" i="11"/>
  <c r="G2065" i="11"/>
  <c r="H2065" i="11"/>
  <c r="G2066" i="11"/>
  <c r="H2066" i="11"/>
  <c r="G2067" i="11"/>
  <c r="H2067" i="11"/>
  <c r="G2068" i="11"/>
  <c r="H2068" i="11"/>
  <c r="G2069" i="11"/>
  <c r="H2069" i="11"/>
  <c r="G2070" i="11"/>
  <c r="H2070" i="11"/>
  <c r="G2071" i="11"/>
  <c r="H2071" i="11"/>
  <c r="G2072" i="11"/>
  <c r="H2072" i="11"/>
  <c r="G2073" i="11"/>
  <c r="H2073" i="11"/>
  <c r="G2074" i="11"/>
  <c r="H2074" i="11"/>
  <c r="G2075" i="11"/>
  <c r="H2075" i="11"/>
  <c r="G2076" i="11"/>
  <c r="H2076" i="11"/>
  <c r="G2077" i="11"/>
  <c r="H2077" i="11"/>
  <c r="G2078" i="11"/>
  <c r="H2078" i="11"/>
  <c r="G2079" i="11"/>
  <c r="H2079" i="11"/>
  <c r="G2080" i="11"/>
  <c r="H2080" i="11"/>
  <c r="G2081" i="11"/>
  <c r="H2081" i="11"/>
  <c r="G2082" i="11"/>
  <c r="H2082" i="11"/>
  <c r="G2083" i="11"/>
  <c r="H2083" i="11"/>
  <c r="G2084" i="11"/>
  <c r="H2084" i="11"/>
  <c r="G2085" i="11"/>
  <c r="H2085" i="11"/>
  <c r="G2086" i="11"/>
  <c r="H2086" i="11"/>
  <c r="G2087" i="11"/>
  <c r="H2087" i="11"/>
  <c r="G2088" i="11"/>
  <c r="H2088" i="11"/>
  <c r="G2089" i="11"/>
  <c r="H2089" i="11"/>
  <c r="G2090" i="11"/>
  <c r="H2090" i="11"/>
  <c r="G2091" i="11"/>
  <c r="H2091" i="11"/>
  <c r="G2092" i="11"/>
  <c r="H2092" i="11"/>
  <c r="G2093" i="11"/>
  <c r="H2093" i="11"/>
  <c r="G2094" i="11"/>
  <c r="H2094" i="11"/>
  <c r="G2095" i="11"/>
  <c r="H2095" i="11"/>
  <c r="G2096" i="11"/>
  <c r="H2096" i="11"/>
  <c r="G2097" i="11"/>
  <c r="H2097" i="11"/>
  <c r="G2098" i="11"/>
  <c r="H2098" i="11"/>
  <c r="G2099" i="11"/>
  <c r="H2099" i="11"/>
  <c r="G2100" i="11"/>
  <c r="H2100" i="11"/>
  <c r="G2101" i="11"/>
  <c r="H2101" i="11"/>
  <c r="G2102" i="11"/>
  <c r="H2102" i="11"/>
  <c r="G2103" i="11"/>
  <c r="H2103" i="11"/>
  <c r="G2104" i="11"/>
  <c r="H2104" i="11"/>
  <c r="G2105" i="11"/>
  <c r="H2105" i="11"/>
  <c r="G2106" i="11"/>
  <c r="H2106" i="11"/>
  <c r="G2107" i="11"/>
  <c r="H2107" i="11"/>
  <c r="G2108" i="11"/>
  <c r="H2108" i="11"/>
  <c r="G2109" i="11"/>
  <c r="H2109" i="11"/>
  <c r="G2110" i="11"/>
  <c r="H2110" i="11"/>
  <c r="G2111" i="11"/>
  <c r="H2111" i="11"/>
  <c r="G2112" i="11"/>
  <c r="H2112" i="11"/>
  <c r="G2113" i="11"/>
  <c r="H2113" i="11"/>
  <c r="G2114" i="11"/>
  <c r="H2114" i="11"/>
  <c r="G2115" i="11"/>
  <c r="H2115" i="11"/>
  <c r="G2116" i="11"/>
  <c r="H2116" i="11"/>
  <c r="G2117" i="11"/>
  <c r="H2117" i="11"/>
  <c r="G2118" i="11"/>
  <c r="H2118" i="11"/>
  <c r="G2119" i="11"/>
  <c r="H2119" i="11"/>
  <c r="G2120" i="11"/>
  <c r="H2120" i="11"/>
  <c r="G2121" i="11"/>
  <c r="H2121" i="11"/>
  <c r="G2122" i="11"/>
  <c r="H2122" i="11"/>
  <c r="G2123" i="11"/>
  <c r="H2123" i="11"/>
  <c r="G2124" i="11"/>
  <c r="H2124" i="11"/>
  <c r="G2125" i="11"/>
  <c r="H2125" i="11"/>
  <c r="G2126" i="11"/>
  <c r="H2126" i="11"/>
  <c r="G2127" i="11"/>
  <c r="H2127" i="11"/>
  <c r="G2128" i="11"/>
  <c r="H2128" i="11"/>
  <c r="G2129" i="11"/>
  <c r="H2129" i="11"/>
  <c r="G2130" i="11"/>
  <c r="H2130" i="11"/>
  <c r="G2131" i="11"/>
  <c r="H2131" i="11"/>
  <c r="G2132" i="11"/>
  <c r="H2132" i="11"/>
  <c r="G2133" i="11"/>
  <c r="H2133" i="11"/>
  <c r="G2134" i="11"/>
  <c r="H2134" i="11"/>
  <c r="G2135" i="11"/>
  <c r="H2135" i="11"/>
  <c r="G2136" i="11"/>
  <c r="H2136" i="11"/>
  <c r="G2137" i="11"/>
  <c r="H2137" i="11"/>
  <c r="G2138" i="11"/>
  <c r="H2138" i="11"/>
  <c r="G2139" i="11"/>
  <c r="H2139" i="11"/>
  <c r="G2140" i="11"/>
  <c r="H2140" i="11"/>
  <c r="G2141" i="11"/>
  <c r="H2141" i="11"/>
  <c r="G2142" i="11"/>
  <c r="H2142" i="11"/>
  <c r="G2143" i="11"/>
  <c r="H2143" i="11"/>
  <c r="G2144" i="11"/>
  <c r="H2144" i="11"/>
  <c r="G2145" i="11"/>
  <c r="H2145" i="11"/>
  <c r="G2146" i="11"/>
  <c r="H2146" i="11"/>
  <c r="G2147" i="11"/>
  <c r="H2147" i="11"/>
  <c r="G2148" i="11"/>
  <c r="H2148" i="11"/>
  <c r="G2149" i="11"/>
  <c r="H2149" i="11"/>
  <c r="G2150" i="11"/>
  <c r="H2150" i="11"/>
  <c r="G2151" i="11"/>
  <c r="H2151" i="11"/>
  <c r="G2152" i="11"/>
  <c r="H2152" i="11"/>
  <c r="G2153" i="11"/>
  <c r="H2153" i="11"/>
  <c r="G2154" i="11"/>
  <c r="H2154" i="11"/>
  <c r="G2155" i="11"/>
  <c r="H2155" i="11"/>
  <c r="G2156" i="11"/>
  <c r="H2156" i="11"/>
  <c r="G2157" i="11"/>
  <c r="H2157" i="11"/>
  <c r="G2158" i="11"/>
  <c r="H2158" i="11"/>
  <c r="G2159" i="11"/>
  <c r="H2159" i="11"/>
  <c r="G2160" i="11"/>
  <c r="H2160" i="11"/>
  <c r="G2161" i="11"/>
  <c r="H2161" i="11"/>
  <c r="G2162" i="11"/>
  <c r="H2162" i="11"/>
  <c r="G2163" i="11"/>
  <c r="H2163" i="11"/>
  <c r="G2164" i="11"/>
  <c r="H2164" i="11"/>
  <c r="G2165" i="11"/>
  <c r="H2165" i="11"/>
  <c r="G2166" i="11"/>
  <c r="H2166" i="11"/>
  <c r="G2167" i="11"/>
  <c r="H2167" i="11"/>
  <c r="G2168" i="11"/>
  <c r="H2168" i="11"/>
  <c r="G2169" i="11"/>
  <c r="H2169" i="11"/>
  <c r="G2170" i="11"/>
  <c r="H2170" i="11"/>
  <c r="G2171" i="11"/>
  <c r="H2171" i="11"/>
  <c r="G2172" i="11"/>
  <c r="H2172" i="11"/>
  <c r="G2173" i="11"/>
  <c r="H2173" i="11"/>
  <c r="G2174" i="11"/>
  <c r="H2174" i="11"/>
  <c r="G2175" i="11"/>
  <c r="H2175" i="11"/>
  <c r="G2176" i="11"/>
  <c r="H2176" i="11"/>
  <c r="G2177" i="11"/>
  <c r="H2177" i="11"/>
  <c r="G2178" i="11"/>
  <c r="H2178" i="11"/>
  <c r="G2179" i="11"/>
  <c r="H2179" i="11"/>
  <c r="G2180" i="11"/>
  <c r="H2180" i="11"/>
  <c r="G2181" i="11"/>
  <c r="H2181" i="11"/>
  <c r="G2182" i="11"/>
  <c r="H2182" i="11"/>
  <c r="G2183" i="11"/>
  <c r="H2183" i="11"/>
  <c r="G2184" i="11"/>
  <c r="H2184" i="11"/>
  <c r="G2185" i="11"/>
  <c r="H2185" i="11"/>
  <c r="G2186" i="11"/>
  <c r="H2186" i="11"/>
  <c r="G2187" i="11"/>
  <c r="H2187" i="11"/>
  <c r="G2188" i="11"/>
  <c r="H2188" i="11"/>
  <c r="G2189" i="11"/>
  <c r="H2189" i="11"/>
  <c r="G2190" i="11"/>
  <c r="H2190" i="11"/>
  <c r="G2191" i="11"/>
  <c r="H2191" i="11"/>
  <c r="G2192" i="11"/>
  <c r="H2192" i="11"/>
  <c r="G2193" i="11"/>
  <c r="H2193" i="11"/>
  <c r="G2194" i="11"/>
  <c r="H2194" i="11"/>
  <c r="G2195" i="11"/>
  <c r="H2195" i="11"/>
  <c r="G2196" i="11"/>
  <c r="H2196" i="11"/>
  <c r="G2197" i="11"/>
  <c r="H2197" i="11"/>
  <c r="G2198" i="11"/>
  <c r="H2198" i="11"/>
  <c r="G2199" i="11"/>
  <c r="H2199" i="11"/>
  <c r="G2200" i="11"/>
  <c r="H2200" i="11"/>
  <c r="G2201" i="11"/>
  <c r="H2201" i="11"/>
  <c r="G2202" i="11"/>
  <c r="H2202" i="11"/>
  <c r="G2203" i="11"/>
  <c r="H2203" i="11"/>
  <c r="G2204" i="11"/>
  <c r="H2204" i="11"/>
  <c r="G2205" i="11"/>
  <c r="H2205" i="11"/>
  <c r="G2206" i="11"/>
  <c r="H2206" i="11"/>
  <c r="G2207" i="11"/>
  <c r="H2207" i="11"/>
  <c r="G2208" i="11"/>
  <c r="H2208" i="11"/>
  <c r="G2209" i="11"/>
  <c r="H2209" i="11"/>
  <c r="G2210" i="11"/>
  <c r="H2210" i="11"/>
  <c r="G2211" i="11"/>
  <c r="H2211" i="11"/>
  <c r="G2212" i="11"/>
  <c r="H2212" i="11"/>
  <c r="G2213" i="11"/>
  <c r="H2213" i="11"/>
  <c r="G2214" i="11"/>
  <c r="H2214" i="11"/>
  <c r="G2215" i="11"/>
  <c r="H2215" i="11"/>
  <c r="G2216" i="11"/>
  <c r="H2216" i="11"/>
  <c r="G2217" i="11"/>
  <c r="H2217" i="11"/>
  <c r="G2218" i="11"/>
  <c r="H2218" i="11"/>
  <c r="G2219" i="11"/>
  <c r="H2219" i="11"/>
  <c r="G2220" i="11"/>
  <c r="H2220" i="11"/>
  <c r="G2221" i="11"/>
  <c r="H2221" i="11"/>
  <c r="G2222" i="11"/>
  <c r="H2222" i="11"/>
  <c r="G2223" i="11"/>
  <c r="H2223" i="11"/>
  <c r="G2224" i="11"/>
  <c r="H2224" i="11"/>
  <c r="G2225" i="11"/>
  <c r="H2225" i="11"/>
  <c r="G2226" i="11"/>
  <c r="H2226" i="11"/>
  <c r="G2227" i="11"/>
  <c r="H2227" i="11"/>
  <c r="G2228" i="11"/>
  <c r="H2228" i="11"/>
  <c r="G2229" i="11"/>
  <c r="H2229" i="11"/>
  <c r="G2230" i="11"/>
  <c r="H2230" i="11"/>
  <c r="G2231" i="11"/>
  <c r="H2231" i="11"/>
  <c r="G2232" i="11"/>
  <c r="H2232" i="11"/>
  <c r="G2233" i="11"/>
  <c r="H2233" i="11"/>
  <c r="G2234" i="11"/>
  <c r="H2234" i="11"/>
  <c r="G2235" i="11"/>
  <c r="H2235" i="11"/>
  <c r="G2236" i="11"/>
  <c r="H2236" i="11"/>
  <c r="G2237" i="11"/>
  <c r="H2237" i="11"/>
  <c r="G2238" i="11"/>
  <c r="H2238" i="11"/>
  <c r="G2239" i="11"/>
  <c r="H2239" i="11"/>
  <c r="G2240" i="11"/>
  <c r="H2240" i="11"/>
  <c r="G2241" i="11"/>
  <c r="H2241" i="11"/>
  <c r="G2242" i="11"/>
  <c r="H2242" i="11"/>
  <c r="G2243" i="11"/>
  <c r="H2243" i="11"/>
  <c r="G2244" i="11"/>
  <c r="H2244" i="11"/>
  <c r="G2245" i="11"/>
  <c r="H2245" i="11"/>
  <c r="G2246" i="11"/>
  <c r="H2246" i="11"/>
  <c r="G2247" i="11"/>
  <c r="H2247" i="11"/>
  <c r="G2248" i="11"/>
  <c r="H2248" i="11"/>
  <c r="G2249" i="11"/>
  <c r="H2249" i="11"/>
  <c r="G2250" i="11"/>
  <c r="H2250" i="11"/>
  <c r="G2251" i="11"/>
  <c r="H2251" i="11"/>
  <c r="G752" i="11"/>
  <c r="H752" i="11"/>
  <c r="G753" i="11"/>
  <c r="H753" i="11"/>
  <c r="G754" i="11"/>
  <c r="H754" i="11"/>
  <c r="G755" i="11"/>
  <c r="H755" i="11"/>
  <c r="G756" i="11"/>
  <c r="H756" i="11"/>
  <c r="G757" i="11"/>
  <c r="H757" i="11"/>
  <c r="G758" i="11"/>
  <c r="H758" i="11"/>
  <c r="G759" i="11"/>
  <c r="H759" i="11"/>
  <c r="G760" i="11"/>
  <c r="H760" i="11"/>
  <c r="G761" i="11"/>
  <c r="H761" i="11"/>
  <c r="G762" i="11"/>
  <c r="H762" i="11"/>
  <c r="G763" i="11"/>
  <c r="H763" i="11"/>
  <c r="G764" i="11"/>
  <c r="H764" i="11"/>
  <c r="G765" i="11"/>
  <c r="H765" i="11"/>
  <c r="G766" i="11"/>
  <c r="H766" i="11"/>
  <c r="G767" i="11"/>
  <c r="H767" i="11"/>
  <c r="G768" i="11"/>
  <c r="H768" i="11"/>
  <c r="G769" i="11"/>
  <c r="H769" i="11"/>
  <c r="G770" i="11"/>
  <c r="H770" i="11"/>
  <c r="G771" i="11"/>
  <c r="H771" i="11"/>
  <c r="G772" i="11"/>
  <c r="H772" i="11"/>
  <c r="G773" i="11"/>
  <c r="H773" i="11"/>
  <c r="G774" i="11"/>
  <c r="H774" i="11"/>
  <c r="G775" i="11"/>
  <c r="H775" i="11"/>
  <c r="G776" i="11"/>
  <c r="H776" i="11"/>
  <c r="G777" i="11"/>
  <c r="H777" i="11"/>
  <c r="G778" i="11"/>
  <c r="H778" i="11"/>
  <c r="G779" i="11"/>
  <c r="H779" i="11"/>
  <c r="G780" i="11"/>
  <c r="H780" i="11"/>
  <c r="G781" i="11"/>
  <c r="H781" i="11"/>
  <c r="G782" i="11"/>
  <c r="H782" i="11"/>
  <c r="G783" i="11"/>
  <c r="H783" i="11"/>
  <c r="G784" i="11"/>
  <c r="H784" i="11"/>
  <c r="G785" i="11"/>
  <c r="H785" i="11"/>
  <c r="G786" i="11"/>
  <c r="H786" i="11"/>
  <c r="G787" i="11"/>
  <c r="H787" i="11"/>
  <c r="G788" i="11"/>
  <c r="H788" i="11"/>
  <c r="G789" i="11"/>
  <c r="H789" i="11"/>
  <c r="G790" i="11"/>
  <c r="H790" i="11"/>
  <c r="G791" i="11"/>
  <c r="H791" i="11"/>
  <c r="G792" i="11"/>
  <c r="H792" i="11"/>
  <c r="G793" i="11"/>
  <c r="H793" i="11"/>
  <c r="G794" i="11"/>
  <c r="H794" i="11"/>
  <c r="G795" i="11"/>
  <c r="H795" i="11"/>
  <c r="G796" i="11"/>
  <c r="H796" i="11"/>
  <c r="G797" i="11"/>
  <c r="H797" i="11"/>
  <c r="G798" i="11"/>
  <c r="H798" i="11"/>
  <c r="G799" i="11"/>
  <c r="H799" i="11"/>
  <c r="G800" i="11"/>
  <c r="H800" i="11"/>
  <c r="G801" i="11"/>
  <c r="H801" i="11"/>
  <c r="G802" i="11"/>
  <c r="H802" i="11"/>
  <c r="G803" i="11"/>
  <c r="H803" i="11"/>
  <c r="G804" i="11"/>
  <c r="H804" i="11"/>
  <c r="G805" i="11"/>
  <c r="H805" i="11"/>
  <c r="G806" i="11"/>
  <c r="H806" i="11"/>
  <c r="G807" i="11"/>
  <c r="H807" i="11"/>
  <c r="G808" i="11"/>
  <c r="H808" i="11"/>
  <c r="G809" i="11"/>
  <c r="H809" i="11"/>
  <c r="G810" i="11"/>
  <c r="H810" i="11"/>
  <c r="G811" i="11"/>
  <c r="H811" i="11"/>
  <c r="G812" i="11"/>
  <c r="H812" i="11"/>
  <c r="G813" i="11"/>
  <c r="H813" i="11"/>
  <c r="G814" i="11"/>
  <c r="H814" i="11"/>
  <c r="G815" i="11"/>
  <c r="H815" i="11"/>
  <c r="G816" i="11"/>
  <c r="H816" i="11"/>
  <c r="G817" i="11"/>
  <c r="H817" i="11"/>
  <c r="G818" i="11"/>
  <c r="H818" i="11"/>
  <c r="G819" i="11"/>
  <c r="H819" i="11"/>
  <c r="G820" i="11"/>
  <c r="H820" i="11"/>
  <c r="G821" i="11"/>
  <c r="H821" i="11"/>
  <c r="G822" i="11"/>
  <c r="H822" i="11"/>
  <c r="G823" i="11"/>
  <c r="H823" i="11"/>
  <c r="G824" i="11"/>
  <c r="H824" i="11"/>
  <c r="G825" i="11"/>
  <c r="H825" i="11"/>
  <c r="G826" i="11"/>
  <c r="H826" i="11"/>
  <c r="G827" i="11"/>
  <c r="H827" i="11"/>
  <c r="G828" i="11"/>
  <c r="H828" i="11"/>
  <c r="G829" i="11"/>
  <c r="H829" i="11"/>
  <c r="G830" i="11"/>
  <c r="H830" i="11"/>
  <c r="G831" i="11"/>
  <c r="H831" i="11"/>
  <c r="G832" i="11"/>
  <c r="H832" i="11"/>
  <c r="G833" i="11"/>
  <c r="H833" i="11"/>
  <c r="G834" i="11"/>
  <c r="H834" i="11"/>
  <c r="G835" i="11"/>
  <c r="H835" i="11"/>
  <c r="G836" i="11"/>
  <c r="H836" i="11"/>
  <c r="G837" i="11"/>
  <c r="H837" i="11"/>
  <c r="G838" i="11"/>
  <c r="H838" i="11"/>
  <c r="G839" i="11"/>
  <c r="H839" i="11"/>
  <c r="G840" i="11"/>
  <c r="H840" i="11"/>
  <c r="G841" i="11"/>
  <c r="H841" i="11"/>
  <c r="G842" i="11"/>
  <c r="H842" i="11"/>
  <c r="G843" i="11"/>
  <c r="H843" i="11"/>
  <c r="G844" i="11"/>
  <c r="H844" i="11"/>
  <c r="G845" i="11"/>
  <c r="H845" i="11"/>
  <c r="G846" i="11"/>
  <c r="H846" i="11"/>
  <c r="G847" i="11"/>
  <c r="H847" i="11"/>
  <c r="G848" i="11"/>
  <c r="H848" i="11"/>
  <c r="G849" i="11"/>
  <c r="H849" i="11"/>
  <c r="G850" i="11"/>
  <c r="H850" i="11"/>
  <c r="G851" i="11"/>
  <c r="H851" i="11"/>
  <c r="G852" i="11"/>
  <c r="H852" i="11"/>
  <c r="G853" i="11"/>
  <c r="H853" i="11"/>
  <c r="G854" i="11"/>
  <c r="H854" i="11"/>
  <c r="G855" i="11"/>
  <c r="H855" i="11"/>
  <c r="G856" i="11"/>
  <c r="H856" i="11"/>
  <c r="G857" i="11"/>
  <c r="H857" i="11"/>
  <c r="G858" i="11"/>
  <c r="H858" i="11"/>
  <c r="G859" i="11"/>
  <c r="H859" i="11"/>
  <c r="G860" i="11"/>
  <c r="H860" i="11"/>
  <c r="G861" i="11"/>
  <c r="H861" i="11"/>
  <c r="G862" i="11"/>
  <c r="H862" i="11"/>
  <c r="G863" i="11"/>
  <c r="H863" i="11"/>
  <c r="G864" i="11"/>
  <c r="H864" i="11"/>
  <c r="G865" i="11"/>
  <c r="H865" i="11"/>
  <c r="G866" i="11"/>
  <c r="H866" i="11"/>
  <c r="G867" i="11"/>
  <c r="H867" i="11"/>
  <c r="G868" i="11"/>
  <c r="H868" i="11"/>
  <c r="G869" i="11"/>
  <c r="H869" i="11"/>
  <c r="G870" i="11"/>
  <c r="H870" i="11"/>
  <c r="G871" i="11"/>
  <c r="H871" i="11"/>
  <c r="G872" i="11"/>
  <c r="H872" i="11"/>
  <c r="G873" i="11"/>
  <c r="H873" i="11"/>
  <c r="G874" i="11"/>
  <c r="H874" i="11"/>
  <c r="G875" i="11"/>
  <c r="H875" i="11"/>
  <c r="G876" i="11"/>
  <c r="H876" i="11"/>
  <c r="G877" i="11"/>
  <c r="H877" i="11"/>
  <c r="G878" i="11"/>
  <c r="H878" i="11"/>
  <c r="G879" i="11"/>
  <c r="H879" i="11"/>
  <c r="G880" i="11"/>
  <c r="H880" i="11"/>
  <c r="G881" i="11"/>
  <c r="H881" i="11"/>
  <c r="G882" i="11"/>
  <c r="H882" i="11"/>
  <c r="G883" i="11"/>
  <c r="H883" i="11"/>
  <c r="G884" i="11"/>
  <c r="H884" i="11"/>
  <c r="G885" i="11"/>
  <c r="H885" i="11"/>
  <c r="G886" i="11"/>
  <c r="H886" i="11"/>
  <c r="G887" i="11"/>
  <c r="H887" i="11"/>
  <c r="G888" i="11"/>
  <c r="H888" i="11"/>
  <c r="G889" i="11"/>
  <c r="H889" i="11"/>
  <c r="G890" i="11"/>
  <c r="H890" i="11"/>
  <c r="G891" i="11"/>
  <c r="H891" i="11"/>
  <c r="G892" i="11"/>
  <c r="H892" i="11"/>
  <c r="G893" i="11"/>
  <c r="H893" i="11"/>
  <c r="G894" i="11"/>
  <c r="H894" i="11"/>
  <c r="G895" i="11"/>
  <c r="H895" i="11"/>
  <c r="G896" i="11"/>
  <c r="H896" i="11"/>
  <c r="G897" i="11"/>
  <c r="H897" i="11"/>
  <c r="G898" i="11"/>
  <c r="H898" i="11"/>
  <c r="G899" i="11"/>
  <c r="H899" i="11"/>
  <c r="G900" i="11"/>
  <c r="H900" i="11"/>
  <c r="G901" i="11"/>
  <c r="H901" i="11"/>
  <c r="G902" i="11"/>
  <c r="H902" i="11"/>
  <c r="G903" i="11"/>
  <c r="H903" i="11"/>
  <c r="G904" i="11"/>
  <c r="H904" i="11"/>
  <c r="G905" i="11"/>
  <c r="H905" i="11"/>
  <c r="G906" i="11"/>
  <c r="H906" i="11"/>
  <c r="G907" i="11"/>
  <c r="H907" i="11"/>
  <c r="G908" i="11"/>
  <c r="H908" i="11"/>
  <c r="G909" i="11"/>
  <c r="H909" i="11"/>
  <c r="G910" i="11"/>
  <c r="H910" i="11"/>
  <c r="G911" i="11"/>
  <c r="H911" i="11"/>
  <c r="G912" i="11"/>
  <c r="H912" i="11"/>
  <c r="G913" i="11"/>
  <c r="H913" i="11"/>
  <c r="G914" i="11"/>
  <c r="H914" i="11"/>
  <c r="G915" i="11"/>
  <c r="H915" i="11"/>
  <c r="G916" i="11"/>
  <c r="H916" i="11"/>
  <c r="G917" i="11"/>
  <c r="H917" i="11"/>
  <c r="G918" i="11"/>
  <c r="H918" i="11"/>
  <c r="G919" i="11"/>
  <c r="H919" i="11"/>
  <c r="G920" i="11"/>
  <c r="H920" i="11"/>
  <c r="G921" i="11"/>
  <c r="H921" i="11"/>
  <c r="G922" i="11"/>
  <c r="H922" i="11"/>
  <c r="G923" i="11"/>
  <c r="H923" i="11"/>
  <c r="G924" i="11"/>
  <c r="H924" i="11"/>
  <c r="G925" i="11"/>
  <c r="H925" i="11"/>
  <c r="G926" i="11"/>
  <c r="H926" i="11"/>
  <c r="G927" i="11"/>
  <c r="H927" i="11"/>
  <c r="G928" i="11"/>
  <c r="H928" i="11"/>
  <c r="G929" i="11"/>
  <c r="H929" i="11"/>
  <c r="G930" i="11"/>
  <c r="H930" i="11"/>
  <c r="G931" i="11"/>
  <c r="H931" i="11"/>
  <c r="G932" i="11"/>
  <c r="H932" i="11"/>
  <c r="G933" i="11"/>
  <c r="H933" i="11"/>
  <c r="G934" i="11"/>
  <c r="H934" i="11"/>
  <c r="G935" i="11"/>
  <c r="H935" i="11"/>
  <c r="G936" i="11"/>
  <c r="H936" i="11"/>
  <c r="G937" i="11"/>
  <c r="H937" i="11"/>
  <c r="G938" i="11"/>
  <c r="H938" i="11"/>
  <c r="G939" i="11"/>
  <c r="H939" i="11"/>
  <c r="G940" i="11"/>
  <c r="H940" i="11"/>
  <c r="G941" i="11"/>
  <c r="H941" i="11"/>
  <c r="G942" i="11"/>
  <c r="H942" i="11"/>
  <c r="G943" i="11"/>
  <c r="H943" i="11"/>
  <c r="G944" i="11"/>
  <c r="H944" i="11"/>
  <c r="G945" i="11"/>
  <c r="H945" i="11"/>
  <c r="G946" i="11"/>
  <c r="H946" i="11"/>
  <c r="G947" i="11"/>
  <c r="H947" i="11"/>
  <c r="G948" i="11"/>
  <c r="H948" i="11"/>
  <c r="G949" i="11"/>
  <c r="H949" i="11"/>
  <c r="G950" i="11"/>
  <c r="H950" i="11"/>
  <c r="G951" i="11"/>
  <c r="H951" i="11"/>
  <c r="G952" i="11"/>
  <c r="H952" i="11"/>
  <c r="G953" i="11"/>
  <c r="H953" i="11"/>
  <c r="G954" i="11"/>
  <c r="H954" i="11"/>
  <c r="G955" i="11"/>
  <c r="H955" i="11"/>
  <c r="G956" i="11"/>
  <c r="H956" i="11"/>
  <c r="G957" i="11"/>
  <c r="H957" i="11"/>
  <c r="G958" i="11"/>
  <c r="H958" i="11"/>
  <c r="G959" i="11"/>
  <c r="H959" i="11"/>
  <c r="G960" i="11"/>
  <c r="H960" i="11"/>
  <c r="G961" i="11"/>
  <c r="H961" i="11"/>
  <c r="G962" i="11"/>
  <c r="H962" i="11"/>
  <c r="G963" i="11"/>
  <c r="H963" i="11"/>
  <c r="G964" i="11"/>
  <c r="H964" i="11"/>
  <c r="G965" i="11"/>
  <c r="H965" i="11"/>
  <c r="G966" i="11"/>
  <c r="H966" i="11"/>
  <c r="G967" i="11"/>
  <c r="H967" i="11"/>
  <c r="G968" i="11"/>
  <c r="H968" i="11"/>
  <c r="G969" i="11"/>
  <c r="H969" i="11"/>
  <c r="G970" i="11"/>
  <c r="H970" i="11"/>
  <c r="G971" i="11"/>
  <c r="H971" i="11"/>
  <c r="G972" i="11"/>
  <c r="H972" i="11"/>
  <c r="G973" i="11"/>
  <c r="H973" i="11"/>
  <c r="G974" i="11"/>
  <c r="H974" i="11"/>
  <c r="G975" i="11"/>
  <c r="H975" i="11"/>
  <c r="G976" i="11"/>
  <c r="H976" i="11"/>
  <c r="G977" i="11"/>
  <c r="H977" i="11"/>
  <c r="G978" i="11"/>
  <c r="H978" i="11"/>
  <c r="G979" i="11"/>
  <c r="H979" i="11"/>
  <c r="G980" i="11"/>
  <c r="H980" i="11"/>
  <c r="G981" i="11"/>
  <c r="H981" i="11"/>
  <c r="G982" i="11"/>
  <c r="H982" i="11"/>
  <c r="G983" i="11"/>
  <c r="H983" i="11"/>
  <c r="G984" i="11"/>
  <c r="H984" i="11"/>
  <c r="G985" i="11"/>
  <c r="H985" i="11"/>
  <c r="G986" i="11"/>
  <c r="H986" i="11"/>
  <c r="G987" i="11"/>
  <c r="H987" i="11"/>
  <c r="G988" i="11"/>
  <c r="H988" i="11"/>
  <c r="G989" i="11"/>
  <c r="H989" i="11"/>
  <c r="G990" i="11"/>
  <c r="H990" i="11"/>
  <c r="G991" i="11"/>
  <c r="H991" i="11"/>
  <c r="G992" i="11"/>
  <c r="H992" i="11"/>
  <c r="G993" i="11"/>
  <c r="H993" i="11"/>
  <c r="G994" i="11"/>
  <c r="H994" i="11"/>
  <c r="G995" i="11"/>
  <c r="H995" i="11"/>
  <c r="G996" i="11"/>
  <c r="H996" i="11"/>
  <c r="G997" i="11"/>
  <c r="H997" i="11"/>
  <c r="G998" i="11"/>
  <c r="H998" i="11"/>
  <c r="G999" i="11"/>
  <c r="H999" i="11"/>
  <c r="G1000" i="11"/>
  <c r="H1000" i="11"/>
  <c r="G1001" i="11"/>
  <c r="H1001" i="11"/>
  <c r="G1002" i="11"/>
  <c r="H1002" i="11"/>
  <c r="G1003" i="11"/>
  <c r="H1003" i="11"/>
  <c r="G1004" i="11"/>
  <c r="H1004" i="11"/>
  <c r="G1005" i="11"/>
  <c r="H1005" i="11"/>
  <c r="G1006" i="11"/>
  <c r="H1006" i="11"/>
  <c r="G1007" i="11"/>
  <c r="H1007" i="11"/>
  <c r="G1008" i="11"/>
  <c r="H1008" i="11"/>
  <c r="G1009" i="11"/>
  <c r="H1009" i="11"/>
  <c r="G1010" i="11"/>
  <c r="H1010" i="11"/>
  <c r="G1011" i="11"/>
  <c r="H1011" i="11"/>
  <c r="G1012" i="11"/>
  <c r="H1012" i="11"/>
  <c r="G1013" i="11"/>
  <c r="H1013" i="11"/>
  <c r="G1014" i="11"/>
  <c r="H1014" i="11"/>
  <c r="G1015" i="11"/>
  <c r="H1015" i="11"/>
  <c r="G1016" i="11"/>
  <c r="H1016" i="11"/>
  <c r="G1017" i="11"/>
  <c r="H1017" i="11"/>
  <c r="G1018" i="11"/>
  <c r="H1018" i="11"/>
  <c r="G1019" i="11"/>
  <c r="H1019" i="11"/>
  <c r="G1020" i="11"/>
  <c r="H1020" i="11"/>
  <c r="G1021" i="11"/>
  <c r="H1021" i="11"/>
  <c r="G1022" i="11"/>
  <c r="H1022" i="11"/>
  <c r="G1023" i="11"/>
  <c r="H1023" i="11"/>
  <c r="G1024" i="11"/>
  <c r="H1024" i="11"/>
  <c r="G1025" i="11"/>
  <c r="H1025" i="11"/>
  <c r="G1026" i="11"/>
  <c r="H1026" i="11"/>
  <c r="G1027" i="11"/>
  <c r="H1027" i="11"/>
  <c r="G1028" i="11"/>
  <c r="H1028" i="11"/>
  <c r="G1029" i="11"/>
  <c r="H1029" i="11"/>
  <c r="G1030" i="11"/>
  <c r="H1030" i="11"/>
  <c r="G1031" i="11"/>
  <c r="H1031" i="11"/>
  <c r="G1032" i="11"/>
  <c r="H1032" i="11"/>
  <c r="G1033" i="11"/>
  <c r="H1033" i="11"/>
  <c r="G1034" i="11"/>
  <c r="H1034" i="11"/>
  <c r="G1035" i="11"/>
  <c r="H1035" i="11"/>
  <c r="G1036" i="11"/>
  <c r="H1036" i="11"/>
  <c r="G1037" i="11"/>
  <c r="H1037" i="11"/>
  <c r="G1038" i="11"/>
  <c r="H1038" i="11"/>
  <c r="G1039" i="11"/>
  <c r="H1039" i="11"/>
  <c r="G1040" i="11"/>
  <c r="H1040" i="11"/>
  <c r="G1041" i="11"/>
  <c r="H1041" i="11"/>
  <c r="G1042" i="11"/>
  <c r="H1042" i="11"/>
  <c r="G1043" i="11"/>
  <c r="H1043" i="11"/>
  <c r="G1044" i="11"/>
  <c r="H1044" i="11"/>
  <c r="G1045" i="11"/>
  <c r="H1045" i="11"/>
  <c r="G1046" i="11"/>
  <c r="H1046" i="11"/>
  <c r="G1047" i="11"/>
  <c r="H1047" i="11"/>
  <c r="G1048" i="11"/>
  <c r="H1048" i="11"/>
  <c r="G1049" i="11"/>
  <c r="H1049" i="11"/>
  <c r="G1050" i="11"/>
  <c r="H1050" i="11"/>
  <c r="G1051" i="11"/>
  <c r="H1051" i="11"/>
  <c r="G1052" i="11"/>
  <c r="H1052" i="11"/>
  <c r="G1053" i="11"/>
  <c r="H1053" i="11"/>
  <c r="G1054" i="11"/>
  <c r="H1054" i="11"/>
  <c r="G1055" i="11"/>
  <c r="H1055" i="11"/>
  <c r="G1056" i="11"/>
  <c r="H1056" i="11"/>
  <c r="G1057" i="11"/>
  <c r="H1057" i="11"/>
  <c r="G1058" i="11"/>
  <c r="H1058" i="11"/>
  <c r="G1059" i="11"/>
  <c r="H1059" i="11"/>
  <c r="G1060" i="11"/>
  <c r="H1060" i="11"/>
  <c r="G1061" i="11"/>
  <c r="H1061" i="11"/>
  <c r="G1062" i="11"/>
  <c r="H1062" i="11"/>
  <c r="G1063" i="11"/>
  <c r="H1063" i="11"/>
  <c r="G1064" i="11"/>
  <c r="H1064" i="11"/>
  <c r="G1065" i="11"/>
  <c r="H1065" i="11"/>
  <c r="G1066" i="11"/>
  <c r="H1066" i="11"/>
  <c r="G1067" i="11"/>
  <c r="H1067" i="11"/>
  <c r="G1068" i="11"/>
  <c r="H1068" i="11"/>
  <c r="G1069" i="11"/>
  <c r="H1069" i="11"/>
  <c r="G1070" i="11"/>
  <c r="H1070" i="11"/>
  <c r="G1071" i="11"/>
  <c r="H1071" i="11"/>
  <c r="G1072" i="11"/>
  <c r="H1072" i="11"/>
  <c r="G1073" i="11"/>
  <c r="H1073" i="11"/>
  <c r="G1074" i="11"/>
  <c r="H1074" i="11"/>
  <c r="G1075" i="11"/>
  <c r="H1075" i="11"/>
  <c r="G1076" i="11"/>
  <c r="H1076" i="11"/>
  <c r="G1077" i="11"/>
  <c r="H1077" i="11"/>
  <c r="G1078" i="11"/>
  <c r="H1078" i="11"/>
  <c r="G1079" i="11"/>
  <c r="H1079" i="11"/>
  <c r="G1080" i="11"/>
  <c r="H1080" i="11"/>
  <c r="G1081" i="11"/>
  <c r="H1081" i="11"/>
  <c r="G1082" i="11"/>
  <c r="H1082" i="11"/>
  <c r="G1083" i="11"/>
  <c r="H1083" i="11"/>
  <c r="G1084" i="11"/>
  <c r="H1084" i="11"/>
  <c r="G1085" i="11"/>
  <c r="H1085" i="11"/>
  <c r="G1086" i="11"/>
  <c r="H1086" i="11"/>
  <c r="G1087" i="11"/>
  <c r="H1087" i="11"/>
  <c r="G1088" i="11"/>
  <c r="H1088" i="11"/>
  <c r="G1089" i="11"/>
  <c r="H1089" i="11"/>
  <c r="G1090" i="11"/>
  <c r="H1090" i="11"/>
  <c r="G1091" i="11"/>
  <c r="H1091" i="11"/>
  <c r="G1092" i="11"/>
  <c r="H1092" i="11"/>
  <c r="G1093" i="11"/>
  <c r="H1093" i="11"/>
  <c r="G1094" i="11"/>
  <c r="H1094" i="11"/>
  <c r="G1095" i="11"/>
  <c r="H1095" i="11"/>
  <c r="G1096" i="11"/>
  <c r="H1096" i="11"/>
  <c r="G1097" i="11"/>
  <c r="H1097" i="11"/>
  <c r="G1098" i="11"/>
  <c r="H1098" i="11"/>
  <c r="G1099" i="11"/>
  <c r="H1099" i="11"/>
  <c r="G1100" i="11"/>
  <c r="H1100" i="11"/>
  <c r="G1101" i="11"/>
  <c r="H1101" i="11"/>
  <c r="G1102" i="11"/>
  <c r="H1102" i="11"/>
  <c r="G1103" i="11"/>
  <c r="H1103" i="11"/>
  <c r="G1104" i="11"/>
  <c r="H1104" i="11"/>
  <c r="G1105" i="11"/>
  <c r="H1105" i="11"/>
  <c r="G1106" i="11"/>
  <c r="H1106" i="11"/>
  <c r="G1107" i="11"/>
  <c r="H1107" i="11"/>
  <c r="G1108" i="11"/>
  <c r="H1108" i="11"/>
  <c r="G1109" i="11"/>
  <c r="H1109" i="11"/>
  <c r="G1110" i="11"/>
  <c r="H1110" i="11"/>
  <c r="G1111" i="11"/>
  <c r="H1111" i="11"/>
  <c r="G1112" i="11"/>
  <c r="H1112" i="11"/>
  <c r="G1113" i="11"/>
  <c r="H1113" i="11"/>
  <c r="G1114" i="11"/>
  <c r="H1114" i="11"/>
  <c r="G1115" i="11"/>
  <c r="H1115" i="11"/>
  <c r="G1116" i="11"/>
  <c r="H1116" i="11"/>
  <c r="G1117" i="11"/>
  <c r="H1117" i="11"/>
  <c r="G1118" i="11"/>
  <c r="H1118" i="11"/>
  <c r="G1119" i="11"/>
  <c r="H1119" i="11"/>
  <c r="G1120" i="11"/>
  <c r="H1120" i="11"/>
  <c r="G1121" i="11"/>
  <c r="H1121" i="11"/>
  <c r="G1122" i="11"/>
  <c r="H1122" i="11"/>
  <c r="G1123" i="11"/>
  <c r="H1123" i="11"/>
  <c r="G1124" i="11"/>
  <c r="H1124" i="11"/>
  <c r="G1125" i="11"/>
  <c r="H1125" i="11"/>
  <c r="G1126" i="11"/>
  <c r="H1126" i="11"/>
  <c r="G1127" i="11"/>
  <c r="H1127" i="11"/>
  <c r="G1128" i="11"/>
  <c r="H1128" i="11"/>
  <c r="G1129" i="11"/>
  <c r="H1129" i="11"/>
  <c r="G1130" i="11"/>
  <c r="H1130" i="11"/>
  <c r="G1131" i="11"/>
  <c r="H1131" i="11"/>
  <c r="G1132" i="11"/>
  <c r="H1132" i="11"/>
  <c r="G1133" i="11"/>
  <c r="H1133" i="11"/>
  <c r="G1134" i="11"/>
  <c r="H1134" i="11"/>
  <c r="G1135" i="11"/>
  <c r="H1135" i="11"/>
  <c r="G1136" i="11"/>
  <c r="H1136" i="11"/>
  <c r="G1137" i="11"/>
  <c r="H1137" i="11"/>
  <c r="G1138" i="11"/>
  <c r="H1138" i="11"/>
  <c r="G1139" i="11"/>
  <c r="H1139" i="11"/>
  <c r="G1140" i="11"/>
  <c r="H1140" i="11"/>
  <c r="G1141" i="11"/>
  <c r="H1141" i="11"/>
  <c r="G1142" i="11"/>
  <c r="H1142" i="11"/>
  <c r="G1143" i="11"/>
  <c r="H1143" i="11"/>
  <c r="G1144" i="11"/>
  <c r="H1144" i="11"/>
  <c r="G1145" i="11"/>
  <c r="H1145" i="11"/>
  <c r="G1146" i="11"/>
  <c r="H1146" i="11"/>
  <c r="G1147" i="11"/>
  <c r="H1147" i="11"/>
  <c r="G1148" i="11"/>
  <c r="H1148" i="11"/>
  <c r="G1149" i="11"/>
  <c r="H1149" i="11"/>
  <c r="G1150" i="11"/>
  <c r="H1150" i="11"/>
  <c r="G1151" i="11"/>
  <c r="H1151" i="11"/>
  <c r="G1152" i="11"/>
  <c r="H1152" i="11"/>
  <c r="G1153" i="11"/>
  <c r="H1153" i="11"/>
  <c r="G1154" i="11"/>
  <c r="H1154" i="11"/>
  <c r="G1155" i="11"/>
  <c r="H1155" i="11"/>
  <c r="G1156" i="11"/>
  <c r="H1156" i="11"/>
  <c r="G1157" i="11"/>
  <c r="H1157" i="11"/>
  <c r="G1158" i="11"/>
  <c r="H1158" i="11"/>
  <c r="G1159" i="11"/>
  <c r="H1159" i="11"/>
  <c r="G1160" i="11"/>
  <c r="H1160" i="11"/>
  <c r="G1161" i="11"/>
  <c r="H1161" i="11"/>
  <c r="G1162" i="11"/>
  <c r="H1162" i="11"/>
  <c r="G1163" i="11"/>
  <c r="H1163" i="11"/>
  <c r="G1164" i="11"/>
  <c r="H1164" i="11"/>
  <c r="G1165" i="11"/>
  <c r="H1165" i="11"/>
  <c r="G1166" i="11"/>
  <c r="H1166" i="11"/>
  <c r="G1167" i="11"/>
  <c r="H1167" i="11"/>
  <c r="G1168" i="11"/>
  <c r="H1168" i="11"/>
  <c r="G1169" i="11"/>
  <c r="H1169" i="11"/>
  <c r="G1170" i="11"/>
  <c r="H1170" i="11"/>
  <c r="G1171" i="11"/>
  <c r="H1171" i="11"/>
  <c r="G1172" i="11"/>
  <c r="H1172" i="11"/>
  <c r="G1173" i="11"/>
  <c r="H1173" i="11"/>
  <c r="G1174" i="11"/>
  <c r="H1174" i="11"/>
  <c r="G1175" i="11"/>
  <c r="H1175" i="11"/>
  <c r="G1176" i="11"/>
  <c r="H1176" i="11"/>
  <c r="G1177" i="11"/>
  <c r="H1177" i="11"/>
  <c r="G1178" i="11"/>
  <c r="H1178" i="11"/>
  <c r="G1179" i="11"/>
  <c r="H1179" i="11"/>
  <c r="G1180" i="11"/>
  <c r="H1180" i="11"/>
  <c r="G1181" i="11"/>
  <c r="H1181" i="11"/>
  <c r="G1182" i="11"/>
  <c r="H1182" i="11"/>
  <c r="G1183" i="11"/>
  <c r="H1183" i="11"/>
  <c r="G1184" i="11"/>
  <c r="H1184" i="11"/>
  <c r="G1185" i="11"/>
  <c r="H1185" i="11"/>
  <c r="G1186" i="11"/>
  <c r="H1186" i="11"/>
  <c r="G1187" i="11"/>
  <c r="H1187" i="11"/>
  <c r="G1188" i="11"/>
  <c r="H1188" i="11"/>
  <c r="G1189" i="11"/>
  <c r="H1189" i="11"/>
  <c r="G1190" i="11"/>
  <c r="H1190" i="11"/>
  <c r="G1191" i="11"/>
  <c r="H1191" i="11"/>
  <c r="G1192" i="11"/>
  <c r="H1192" i="11"/>
  <c r="G1193" i="11"/>
  <c r="H1193" i="11"/>
  <c r="G1194" i="11"/>
  <c r="H1194" i="11"/>
  <c r="G1195" i="11"/>
  <c r="H1195" i="11"/>
  <c r="G1196" i="11"/>
  <c r="H1196" i="11"/>
  <c r="G1197" i="11"/>
  <c r="H1197" i="11"/>
  <c r="G1198" i="11"/>
  <c r="H1198" i="11"/>
  <c r="G1199" i="11"/>
  <c r="H1199" i="11"/>
  <c r="G1200" i="11"/>
  <c r="H1200" i="11"/>
  <c r="G1201" i="11"/>
  <c r="H1201" i="11"/>
  <c r="G1202" i="11"/>
  <c r="H1202" i="11"/>
  <c r="G1203" i="11"/>
  <c r="H1203" i="11"/>
  <c r="G1204" i="11"/>
  <c r="H1204" i="11"/>
  <c r="G1205" i="11"/>
  <c r="H1205" i="11"/>
  <c r="G1206" i="11"/>
  <c r="H1206" i="11"/>
  <c r="G1207" i="11"/>
  <c r="H1207" i="11"/>
  <c r="G1208" i="11"/>
  <c r="H1208" i="11"/>
  <c r="G1209" i="11"/>
  <c r="H1209" i="11"/>
  <c r="G1210" i="11"/>
  <c r="H1210" i="11"/>
  <c r="G1211" i="11"/>
  <c r="H1211" i="11"/>
  <c r="G1212" i="11"/>
  <c r="H1212" i="11"/>
  <c r="G1213" i="11"/>
  <c r="H1213" i="11"/>
  <c r="G1214" i="11"/>
  <c r="H1214" i="11"/>
  <c r="G1215" i="11"/>
  <c r="H1215" i="11"/>
  <c r="G1216" i="11"/>
  <c r="H1216" i="11"/>
  <c r="G1217" i="11"/>
  <c r="H1217" i="11"/>
  <c r="G1218" i="11"/>
  <c r="H1218" i="11"/>
  <c r="G1219" i="11"/>
  <c r="H1219" i="11"/>
  <c r="G1220" i="11"/>
  <c r="H1220" i="11"/>
  <c r="G1221" i="11"/>
  <c r="H1221" i="11"/>
  <c r="G1222" i="11"/>
  <c r="H1222" i="11"/>
  <c r="G1223" i="11"/>
  <c r="H1223" i="11"/>
  <c r="G1224" i="11"/>
  <c r="H1224" i="11"/>
  <c r="G1225" i="11"/>
  <c r="H1225" i="11"/>
  <c r="G1226" i="11"/>
  <c r="H1226" i="11"/>
  <c r="G1227" i="11"/>
  <c r="H1227" i="11"/>
  <c r="G1228" i="11"/>
  <c r="H1228" i="11"/>
  <c r="G1229" i="11"/>
  <c r="H1229" i="11"/>
  <c r="G1230" i="11"/>
  <c r="H1230" i="11"/>
  <c r="G1231" i="11"/>
  <c r="H1231" i="11"/>
  <c r="G1232" i="11"/>
  <c r="H1232" i="11"/>
  <c r="G1233" i="11"/>
  <c r="H1233" i="11"/>
  <c r="G1234" i="11"/>
  <c r="H1234" i="11"/>
  <c r="G1235" i="11"/>
  <c r="H1235" i="11"/>
  <c r="G1236" i="11"/>
  <c r="H1236" i="11"/>
  <c r="G1237" i="11"/>
  <c r="H1237" i="11"/>
  <c r="G1238" i="11"/>
  <c r="H1238" i="11"/>
  <c r="G1239" i="11"/>
  <c r="H1239" i="11"/>
  <c r="G1240" i="11"/>
  <c r="H1240" i="11"/>
  <c r="G1241" i="11"/>
  <c r="H1241" i="11"/>
  <c r="G1242" i="11"/>
  <c r="H1242" i="11"/>
  <c r="G1243" i="11"/>
  <c r="H1243" i="11"/>
  <c r="G1244" i="11"/>
  <c r="H1244" i="11"/>
  <c r="G1245" i="11"/>
  <c r="H1245" i="11"/>
  <c r="G1246" i="11"/>
  <c r="H1246" i="11"/>
  <c r="G1247" i="11"/>
  <c r="H1247" i="11"/>
  <c r="G1248" i="11"/>
  <c r="H1248" i="11"/>
  <c r="G1249" i="11"/>
  <c r="H1249" i="11"/>
  <c r="G1250" i="11"/>
  <c r="H1250" i="11"/>
  <c r="G1251" i="11"/>
  <c r="H1251" i="11"/>
  <c r="G1252" i="11"/>
  <c r="H1252" i="11"/>
  <c r="G1253" i="11"/>
  <c r="H1253" i="11"/>
  <c r="G1254" i="11"/>
  <c r="H1254" i="11"/>
  <c r="G1255" i="11"/>
  <c r="H1255" i="11"/>
  <c r="G1256" i="11"/>
  <c r="H1256" i="11"/>
  <c r="G1257" i="11"/>
  <c r="H1257" i="11"/>
  <c r="G1258" i="11"/>
  <c r="H1258" i="11"/>
  <c r="G1259" i="11"/>
  <c r="H1259" i="11"/>
  <c r="G1260" i="11"/>
  <c r="H1260" i="11"/>
  <c r="G1261" i="11"/>
  <c r="H1261" i="11"/>
  <c r="G1262" i="11"/>
  <c r="H1262" i="11"/>
  <c r="G1263" i="11"/>
  <c r="H1263" i="11"/>
  <c r="G1264" i="11"/>
  <c r="H1264" i="11"/>
  <c r="G1265" i="11"/>
  <c r="H1265" i="11"/>
  <c r="G1266" i="11"/>
  <c r="H1266" i="11"/>
  <c r="G1267" i="11"/>
  <c r="H1267" i="11"/>
  <c r="G1268" i="11"/>
  <c r="H1268" i="11"/>
  <c r="G1269" i="11"/>
  <c r="H1269" i="11"/>
  <c r="G1270" i="11"/>
  <c r="H1270" i="11"/>
  <c r="G1271" i="11"/>
  <c r="H1271" i="11"/>
  <c r="G1272" i="11"/>
  <c r="H1272" i="11"/>
  <c r="G1273" i="11"/>
  <c r="H1273" i="11"/>
  <c r="G1274" i="11"/>
  <c r="H1274" i="11"/>
  <c r="G1275" i="11"/>
  <c r="H1275" i="11"/>
  <c r="G1276" i="11"/>
  <c r="H1276" i="11"/>
  <c r="G1277" i="11"/>
  <c r="H1277" i="11"/>
  <c r="G1278" i="11"/>
  <c r="H1278" i="11"/>
  <c r="G1279" i="11"/>
  <c r="H1279" i="11"/>
  <c r="G1280" i="11"/>
  <c r="H1280" i="11"/>
  <c r="G1281" i="11"/>
  <c r="H1281" i="11"/>
  <c r="G1282" i="11"/>
  <c r="H1282" i="11"/>
  <c r="G1283" i="11"/>
  <c r="H1283" i="11"/>
  <c r="G1284" i="11"/>
  <c r="H1284" i="11"/>
  <c r="G1285" i="11"/>
  <c r="H1285" i="11"/>
  <c r="G1286" i="11"/>
  <c r="H1286" i="11"/>
  <c r="G1287" i="11"/>
  <c r="H1287" i="11"/>
  <c r="G1288" i="11"/>
  <c r="H1288" i="11"/>
  <c r="G1289" i="11"/>
  <c r="H1289" i="11"/>
  <c r="G1290" i="11"/>
  <c r="H1290" i="11"/>
  <c r="G1291" i="11"/>
  <c r="H1291" i="11"/>
  <c r="G1292" i="11"/>
  <c r="H1292" i="11"/>
  <c r="G1293" i="11"/>
  <c r="H1293" i="11"/>
  <c r="G1294" i="11"/>
  <c r="H1294" i="11"/>
  <c r="G1295" i="11"/>
  <c r="H1295" i="11"/>
  <c r="G1296" i="11"/>
  <c r="H1296" i="11"/>
  <c r="G1297" i="11"/>
  <c r="H1297" i="11"/>
  <c r="G1298" i="11"/>
  <c r="H1298" i="11"/>
  <c r="G1299" i="11"/>
  <c r="H1299" i="11"/>
  <c r="G1300" i="11"/>
  <c r="H1300" i="11"/>
  <c r="G1301" i="11"/>
  <c r="H1301" i="11"/>
  <c r="G1302" i="11"/>
  <c r="H1302" i="11"/>
  <c r="G1303" i="11"/>
  <c r="H1303" i="11"/>
  <c r="G1304" i="11"/>
  <c r="H1304" i="11"/>
  <c r="G1305" i="11"/>
  <c r="H1305" i="11"/>
  <c r="G1306" i="11"/>
  <c r="H1306" i="11"/>
  <c r="G1307" i="11"/>
  <c r="H1307" i="11"/>
  <c r="G1308" i="11"/>
  <c r="H1308" i="11"/>
  <c r="G1309" i="11"/>
  <c r="H1309" i="11"/>
  <c r="G1310" i="11"/>
  <c r="H1310" i="11"/>
  <c r="G1311" i="11"/>
  <c r="H1311" i="11"/>
  <c r="G1312" i="11"/>
  <c r="H1312" i="11"/>
  <c r="G1313" i="11"/>
  <c r="H1313" i="11"/>
  <c r="G1314" i="11"/>
  <c r="H1314" i="11"/>
  <c r="G1315" i="11"/>
  <c r="H1315" i="11"/>
  <c r="G1316" i="11"/>
  <c r="H1316" i="11"/>
  <c r="G1317" i="11"/>
  <c r="H1317" i="11"/>
  <c r="G1318" i="11"/>
  <c r="H1318" i="11"/>
  <c r="G1319" i="11"/>
  <c r="H1319" i="11"/>
  <c r="G1320" i="11"/>
  <c r="H1320" i="11"/>
  <c r="G1321" i="11"/>
  <c r="H1321" i="11"/>
  <c r="G1322" i="11"/>
  <c r="H1322" i="11"/>
  <c r="G1323" i="11"/>
  <c r="H1323" i="11"/>
  <c r="G1324" i="11"/>
  <c r="H1324" i="11"/>
  <c r="G1325" i="11"/>
  <c r="H1325" i="11"/>
  <c r="G1326" i="11"/>
  <c r="H1326" i="11"/>
  <c r="G1327" i="11"/>
  <c r="H1327" i="11"/>
  <c r="G1328" i="11"/>
  <c r="H1328" i="11"/>
  <c r="G1329" i="11"/>
  <c r="H1329" i="11"/>
  <c r="G1330" i="11"/>
  <c r="H1330" i="11"/>
  <c r="G1331" i="11"/>
  <c r="H1331" i="11"/>
  <c r="G1332" i="11"/>
  <c r="H1332" i="11"/>
  <c r="G1333" i="11"/>
  <c r="H1333" i="11"/>
  <c r="G1334" i="11"/>
  <c r="H1334" i="11"/>
  <c r="G1335" i="11"/>
  <c r="H1335" i="11"/>
  <c r="G1336" i="11"/>
  <c r="H1336" i="11"/>
  <c r="G1337" i="11"/>
  <c r="H1337" i="11"/>
  <c r="G1338" i="11"/>
  <c r="H1338" i="11"/>
  <c r="G1339" i="11"/>
  <c r="H1339" i="11"/>
  <c r="G1340" i="11"/>
  <c r="H1340" i="11"/>
  <c r="G1341" i="11"/>
  <c r="H1341" i="11"/>
  <c r="G1342" i="11"/>
  <c r="H1342" i="11"/>
  <c r="G1343" i="11"/>
  <c r="H1343" i="11"/>
  <c r="G1344" i="11"/>
  <c r="H1344" i="11"/>
  <c r="G1345" i="11"/>
  <c r="H1345" i="11"/>
  <c r="G1346" i="11"/>
  <c r="H1346" i="11"/>
  <c r="G1347" i="11"/>
  <c r="H1347" i="11"/>
  <c r="G1348" i="11"/>
  <c r="H1348" i="11"/>
  <c r="G1349" i="11"/>
  <c r="H1349" i="11"/>
  <c r="G1350" i="11"/>
  <c r="H1350" i="11"/>
  <c r="G1351" i="11"/>
  <c r="H1351" i="11"/>
  <c r="G1352" i="11"/>
  <c r="H1352" i="11"/>
  <c r="G1353" i="11"/>
  <c r="H1353" i="11"/>
  <c r="G1354" i="11"/>
  <c r="H1354" i="11"/>
  <c r="G1355" i="11"/>
  <c r="H1355" i="11"/>
  <c r="G1356" i="11"/>
  <c r="H1356" i="11"/>
  <c r="G1357" i="11"/>
  <c r="H1357" i="11"/>
  <c r="G1358" i="11"/>
  <c r="H1358" i="11"/>
  <c r="G1359" i="11"/>
  <c r="H1359" i="11"/>
  <c r="G1360" i="11"/>
  <c r="H1360" i="11"/>
  <c r="G1361" i="11"/>
  <c r="H1361" i="11"/>
  <c r="G1362" i="11"/>
  <c r="H1362" i="11"/>
  <c r="G1363" i="11"/>
  <c r="H1363" i="11"/>
  <c r="G1364" i="11"/>
  <c r="H1364" i="11"/>
  <c r="G1365" i="11"/>
  <c r="H1365" i="11"/>
  <c r="G1366" i="11"/>
  <c r="H1366" i="11"/>
  <c r="G1367" i="11"/>
  <c r="H1367" i="11"/>
  <c r="G1368" i="11"/>
  <c r="H1368" i="11"/>
  <c r="G1369" i="11"/>
  <c r="H1369" i="11"/>
  <c r="G1370" i="11"/>
  <c r="H1370" i="11"/>
  <c r="G1371" i="11"/>
  <c r="H1371" i="11"/>
  <c r="G1372" i="11"/>
  <c r="H1372" i="11"/>
  <c r="G1373" i="11"/>
  <c r="H1373" i="11"/>
  <c r="G1374" i="11"/>
  <c r="H1374" i="11"/>
  <c r="G1375" i="11"/>
  <c r="H1375" i="11"/>
  <c r="G1376" i="11"/>
  <c r="H1376" i="11"/>
  <c r="G1377" i="11"/>
  <c r="H1377" i="11"/>
  <c r="G1378" i="11"/>
  <c r="H1378" i="11"/>
  <c r="G1379" i="11"/>
  <c r="H1379" i="11"/>
  <c r="G1380" i="11"/>
  <c r="H1380" i="11"/>
  <c r="G1381" i="11"/>
  <c r="H1381" i="11"/>
  <c r="G1382" i="11"/>
  <c r="H1382" i="11"/>
  <c r="G1383" i="11"/>
  <c r="H1383" i="11"/>
  <c r="G1384" i="11"/>
  <c r="H1384" i="11"/>
  <c r="G1385" i="11"/>
  <c r="H1385" i="11"/>
  <c r="G1386" i="11"/>
  <c r="H1386" i="11"/>
  <c r="G1387" i="11"/>
  <c r="H1387" i="11"/>
  <c r="G1388" i="11"/>
  <c r="H1388" i="11"/>
  <c r="G1389" i="11"/>
  <c r="H1389" i="11"/>
  <c r="G1390" i="11"/>
  <c r="H1390" i="11"/>
  <c r="G1391" i="11"/>
  <c r="H1391" i="11"/>
  <c r="G1392" i="11"/>
  <c r="H1392" i="11"/>
  <c r="G1393" i="11"/>
  <c r="H1393" i="11"/>
  <c r="G1394" i="11"/>
  <c r="H1394" i="11"/>
  <c r="G1395" i="11"/>
  <c r="H1395" i="11"/>
  <c r="G1396" i="11"/>
  <c r="H1396" i="11"/>
  <c r="G1397" i="11"/>
  <c r="H1397" i="11"/>
  <c r="G1398" i="11"/>
  <c r="H1398" i="11"/>
  <c r="G1399" i="11"/>
  <c r="H1399" i="11"/>
  <c r="G1400" i="11"/>
  <c r="H1400" i="11"/>
  <c r="G1401" i="11"/>
  <c r="H1401" i="11"/>
  <c r="G1402" i="11"/>
  <c r="H1402" i="11"/>
  <c r="G1403" i="11"/>
  <c r="H1403" i="11"/>
  <c r="G1404" i="11"/>
  <c r="H1404" i="11"/>
  <c r="G1405" i="11"/>
  <c r="H1405" i="11"/>
  <c r="G1406" i="11"/>
  <c r="H1406" i="11"/>
  <c r="G1407" i="11"/>
  <c r="H1407" i="11"/>
  <c r="G1408" i="11"/>
  <c r="H1408" i="11"/>
  <c r="G1409" i="11"/>
  <c r="H1409" i="11"/>
  <c r="G1410" i="11"/>
  <c r="H1410" i="11"/>
  <c r="G1411" i="11"/>
  <c r="H1411" i="11"/>
  <c r="G1412" i="11"/>
  <c r="H1412" i="11"/>
  <c r="G1413" i="11"/>
  <c r="H1413" i="11"/>
  <c r="G1414" i="11"/>
  <c r="H1414" i="11"/>
  <c r="G1415" i="11"/>
  <c r="H1415" i="11"/>
  <c r="G1416" i="11"/>
  <c r="H1416" i="11"/>
  <c r="G1417" i="11"/>
  <c r="H1417" i="11"/>
  <c r="G1418" i="11"/>
  <c r="H1418" i="11"/>
  <c r="G1419" i="11"/>
  <c r="H1419" i="11"/>
  <c r="G1420" i="11"/>
  <c r="H1420" i="11"/>
  <c r="G1421" i="11"/>
  <c r="H1421" i="11"/>
  <c r="G1422" i="11"/>
  <c r="H1422" i="11"/>
  <c r="G1423" i="11"/>
  <c r="H1423" i="11"/>
  <c r="G1424" i="11"/>
  <c r="H1424" i="11"/>
  <c r="G1425" i="11"/>
  <c r="H1425" i="11"/>
  <c r="G1426" i="11"/>
  <c r="H1426" i="11"/>
  <c r="G1427" i="11"/>
  <c r="H1427" i="11"/>
  <c r="G1428" i="11"/>
  <c r="H1428" i="11"/>
  <c r="G1429" i="11"/>
  <c r="H1429" i="11"/>
  <c r="G1430" i="11"/>
  <c r="H1430" i="11"/>
  <c r="G1431" i="11"/>
  <c r="H1431" i="11"/>
  <c r="G1432" i="11"/>
  <c r="H1432" i="11"/>
  <c r="G1433" i="11"/>
  <c r="H1433" i="11"/>
  <c r="G1434" i="11"/>
  <c r="H1434" i="11"/>
  <c r="G1435" i="11"/>
  <c r="H1435" i="11"/>
  <c r="G1436" i="11"/>
  <c r="H1436" i="11"/>
  <c r="G1437" i="11"/>
  <c r="H1437" i="11"/>
  <c r="G1438" i="11"/>
  <c r="H1438" i="11"/>
  <c r="G1439" i="11"/>
  <c r="H1439" i="11"/>
  <c r="G1440" i="11"/>
  <c r="H1440" i="11"/>
  <c r="G1441" i="11"/>
  <c r="H1441" i="11"/>
  <c r="G1442" i="11"/>
  <c r="H1442" i="11"/>
  <c r="G1443" i="11"/>
  <c r="H1443" i="11"/>
  <c r="G1444" i="11"/>
  <c r="H1444" i="11"/>
  <c r="G1445" i="11"/>
  <c r="H1445" i="11"/>
  <c r="G1446" i="11"/>
  <c r="H1446" i="11"/>
  <c r="G1447" i="11"/>
  <c r="H1447" i="11"/>
  <c r="G1448" i="11"/>
  <c r="H1448" i="11"/>
  <c r="G1449" i="11"/>
  <c r="H1449" i="11"/>
  <c r="G1450" i="11"/>
  <c r="H1450" i="11"/>
  <c r="G1451" i="11"/>
  <c r="H1451" i="11"/>
  <c r="G1452" i="11"/>
  <c r="H1452" i="11"/>
  <c r="G1453" i="11"/>
  <c r="H1453" i="11"/>
  <c r="G1454" i="11"/>
  <c r="H1454" i="11"/>
  <c r="G1455" i="11"/>
  <c r="H1455" i="11"/>
  <c r="G1456" i="11"/>
  <c r="H1456" i="11"/>
  <c r="G1457" i="11"/>
  <c r="H1457" i="11"/>
  <c r="G1458" i="11"/>
  <c r="H1458" i="11"/>
  <c r="G1459" i="11"/>
  <c r="H1459" i="11"/>
  <c r="G1460" i="11"/>
  <c r="H1460" i="11"/>
  <c r="G1461" i="11"/>
  <c r="H1461" i="11"/>
  <c r="G1462" i="11"/>
  <c r="H1462" i="11"/>
  <c r="G1463" i="11"/>
  <c r="H1463" i="11"/>
  <c r="G1464" i="11"/>
  <c r="H1464" i="11"/>
  <c r="G1465" i="11"/>
  <c r="H1465" i="11"/>
  <c r="G1466" i="11"/>
  <c r="H1466" i="11"/>
  <c r="G1467" i="11"/>
  <c r="H1467" i="11"/>
  <c r="G1468" i="11"/>
  <c r="H1468" i="11"/>
  <c r="G1469" i="11"/>
  <c r="H1469" i="11"/>
  <c r="G1470" i="11"/>
  <c r="H1470" i="11"/>
  <c r="G1471" i="11"/>
  <c r="H1471" i="11"/>
  <c r="G1472" i="11"/>
  <c r="H1472" i="11"/>
  <c r="G1473" i="11"/>
  <c r="H1473" i="11"/>
  <c r="G1474" i="11"/>
  <c r="H1474" i="11"/>
  <c r="G1475" i="11"/>
  <c r="H1475" i="11"/>
  <c r="G1476" i="11"/>
  <c r="H1476" i="11"/>
  <c r="G1477" i="11"/>
  <c r="H1477" i="11"/>
  <c r="G1478" i="11"/>
  <c r="H1478" i="11"/>
  <c r="G1479" i="11"/>
  <c r="H1479" i="11"/>
  <c r="G1480" i="11"/>
  <c r="H1480" i="11"/>
  <c r="G1481" i="11"/>
  <c r="H1481" i="11"/>
  <c r="G1482" i="11"/>
  <c r="H1482" i="11"/>
  <c r="G1483" i="11"/>
  <c r="H1483" i="11"/>
  <c r="G1484" i="11"/>
  <c r="H1484" i="11"/>
  <c r="G1485" i="11"/>
  <c r="H1485" i="11"/>
  <c r="G1486" i="11"/>
  <c r="H1486" i="11"/>
  <c r="G1487" i="11"/>
  <c r="H1487" i="11"/>
  <c r="G1488" i="11"/>
  <c r="H1488" i="11"/>
  <c r="G1489" i="11"/>
  <c r="H1489" i="11"/>
  <c r="G1490" i="11"/>
  <c r="H1490" i="11"/>
  <c r="G1491" i="11"/>
  <c r="H1491" i="11"/>
  <c r="G1492" i="11"/>
  <c r="H1492" i="11"/>
  <c r="G1493" i="11"/>
  <c r="H1493" i="11"/>
  <c r="G1494" i="11"/>
  <c r="H1494" i="11"/>
  <c r="G1495" i="11"/>
  <c r="H1495" i="11"/>
  <c r="G1496" i="11"/>
  <c r="H1496" i="11"/>
  <c r="G1497" i="11"/>
  <c r="H1497" i="11"/>
  <c r="G1498" i="11"/>
  <c r="H1498" i="11"/>
  <c r="G1499" i="11"/>
  <c r="H1499" i="11"/>
  <c r="G1500" i="11"/>
  <c r="H1500" i="11"/>
  <c r="G1501" i="11"/>
  <c r="H1501" i="11"/>
  <c r="G2" i="11"/>
  <c r="H2" i="11"/>
  <c r="G3" i="11"/>
  <c r="H3" i="11"/>
  <c r="G4" i="11"/>
  <c r="H4" i="11"/>
  <c r="G5" i="11"/>
  <c r="H5" i="11"/>
  <c r="G6" i="11"/>
  <c r="H6" i="11"/>
  <c r="G7" i="11"/>
  <c r="H7" i="11"/>
  <c r="G8" i="11"/>
  <c r="H8" i="11"/>
  <c r="G9" i="11"/>
  <c r="H9" i="11"/>
  <c r="G10" i="11"/>
  <c r="H10" i="11"/>
  <c r="G11" i="11"/>
  <c r="H11" i="11"/>
  <c r="G12" i="11"/>
  <c r="H12" i="11"/>
  <c r="G13" i="11"/>
  <c r="H13" i="11"/>
  <c r="G14" i="11"/>
  <c r="H14" i="11"/>
  <c r="G15" i="11"/>
  <c r="H15" i="11"/>
  <c r="G16" i="11"/>
  <c r="H16" i="11"/>
  <c r="G17" i="11"/>
  <c r="H17" i="11"/>
  <c r="G18" i="11"/>
  <c r="H18" i="11"/>
  <c r="G19" i="11"/>
  <c r="H19" i="11"/>
  <c r="G20" i="11"/>
  <c r="H20" i="11"/>
  <c r="G21" i="11"/>
  <c r="H21" i="11"/>
  <c r="G22" i="11"/>
  <c r="H22" i="11"/>
  <c r="G23" i="11"/>
  <c r="H23" i="11"/>
  <c r="G24" i="11"/>
  <c r="H24" i="11"/>
  <c r="G25" i="11"/>
  <c r="H25" i="11"/>
  <c r="G26" i="11"/>
  <c r="H26" i="11"/>
  <c r="G27" i="11"/>
  <c r="H27" i="11"/>
  <c r="G28" i="11"/>
  <c r="H28" i="11"/>
  <c r="G29" i="11"/>
  <c r="H29" i="11"/>
  <c r="G30" i="11"/>
  <c r="H30" i="11"/>
  <c r="G31" i="11"/>
  <c r="H31" i="11"/>
  <c r="G32" i="11"/>
  <c r="H32" i="11"/>
  <c r="G33" i="11"/>
  <c r="H33" i="11"/>
  <c r="G34" i="11"/>
  <c r="H34" i="11"/>
  <c r="G35" i="11"/>
  <c r="H35" i="11"/>
  <c r="G36" i="11"/>
  <c r="H36" i="11"/>
  <c r="G37" i="11"/>
  <c r="H37" i="11"/>
  <c r="G38" i="11"/>
  <c r="H38" i="11"/>
  <c r="G39" i="11"/>
  <c r="H39" i="11"/>
  <c r="G40" i="11"/>
  <c r="H40" i="11"/>
  <c r="G41" i="11"/>
  <c r="H41" i="11"/>
  <c r="G42" i="11"/>
  <c r="H42" i="11"/>
  <c r="G43" i="11"/>
  <c r="H43" i="11"/>
  <c r="G44" i="11"/>
  <c r="H44" i="11"/>
  <c r="G45" i="11"/>
  <c r="H45" i="11"/>
  <c r="G46" i="11"/>
  <c r="H46" i="11"/>
  <c r="G47" i="11"/>
  <c r="H47" i="11"/>
  <c r="G48" i="11"/>
  <c r="H48" i="11"/>
  <c r="G49" i="11"/>
  <c r="H49" i="11"/>
  <c r="G50" i="11"/>
  <c r="H50" i="11"/>
  <c r="G51" i="11"/>
  <c r="H51" i="11"/>
  <c r="G52" i="11"/>
  <c r="H52" i="11"/>
  <c r="G53" i="11"/>
  <c r="H53" i="11"/>
  <c r="G54" i="11"/>
  <c r="H54" i="11"/>
  <c r="G55" i="11"/>
  <c r="H55" i="11"/>
  <c r="G56" i="11"/>
  <c r="H56" i="11"/>
  <c r="G57" i="11"/>
  <c r="H57" i="11"/>
  <c r="G58" i="11"/>
  <c r="H58" i="11"/>
  <c r="G59" i="11"/>
  <c r="H59" i="11"/>
  <c r="G60" i="11"/>
  <c r="H60" i="11"/>
  <c r="G61" i="11"/>
  <c r="H61" i="11"/>
  <c r="G62" i="11"/>
  <c r="H62" i="11"/>
  <c r="G63" i="11"/>
  <c r="H63" i="11"/>
  <c r="G64" i="11"/>
  <c r="H64" i="11"/>
  <c r="G65" i="11"/>
  <c r="H65" i="11"/>
  <c r="G66" i="11"/>
  <c r="H66" i="11"/>
  <c r="G67" i="11"/>
  <c r="H67" i="11"/>
  <c r="G68" i="11"/>
  <c r="H68" i="11"/>
  <c r="G69" i="11"/>
  <c r="H69" i="11"/>
  <c r="G70" i="11"/>
  <c r="H70" i="11"/>
  <c r="G71" i="11"/>
  <c r="H71" i="11"/>
  <c r="G72" i="11"/>
  <c r="H72" i="11"/>
  <c r="G73" i="11"/>
  <c r="H73" i="11"/>
  <c r="G74" i="11"/>
  <c r="H74" i="11"/>
  <c r="G75" i="11"/>
  <c r="H75" i="11"/>
  <c r="G76" i="11"/>
  <c r="H76" i="11"/>
  <c r="G77" i="11"/>
  <c r="H77" i="11"/>
  <c r="G78" i="11"/>
  <c r="H78" i="11"/>
  <c r="G79" i="11"/>
  <c r="H79" i="11"/>
  <c r="G80" i="11"/>
  <c r="H80" i="11"/>
  <c r="G81" i="11"/>
  <c r="H81" i="11"/>
  <c r="G82" i="11"/>
  <c r="H82" i="11"/>
  <c r="G83" i="11"/>
  <c r="H83" i="11"/>
  <c r="G84" i="11"/>
  <c r="H84" i="11"/>
  <c r="G85" i="11"/>
  <c r="H85" i="11"/>
  <c r="G86" i="11"/>
  <c r="H86" i="11"/>
  <c r="G87" i="11"/>
  <c r="H87" i="11"/>
  <c r="G88" i="11"/>
  <c r="H88" i="11"/>
  <c r="G89" i="11"/>
  <c r="H89" i="11"/>
  <c r="G90" i="11"/>
  <c r="H90" i="11"/>
  <c r="G91" i="11"/>
  <c r="H91" i="11"/>
  <c r="G92" i="11"/>
  <c r="H92" i="11"/>
  <c r="G93" i="11"/>
  <c r="H93" i="11"/>
  <c r="G94" i="11"/>
  <c r="H94" i="11"/>
  <c r="G95" i="11"/>
  <c r="H95" i="11"/>
  <c r="G96" i="11"/>
  <c r="H96" i="11"/>
  <c r="G97" i="11"/>
  <c r="H97" i="11"/>
  <c r="G98" i="11"/>
  <c r="H98" i="11"/>
  <c r="G99" i="11"/>
  <c r="H99" i="11"/>
  <c r="G100" i="11"/>
  <c r="H100" i="11"/>
  <c r="G101" i="11"/>
  <c r="H101" i="11"/>
  <c r="G102" i="11"/>
  <c r="H102" i="11"/>
  <c r="G103" i="11"/>
  <c r="H103" i="11"/>
  <c r="G104" i="11"/>
  <c r="H104" i="11"/>
  <c r="G105" i="11"/>
  <c r="H105" i="11"/>
  <c r="G106" i="11"/>
  <c r="H106" i="11"/>
  <c r="G107" i="11"/>
  <c r="H107" i="11"/>
  <c r="G108" i="11"/>
  <c r="H108" i="11"/>
  <c r="G109" i="11"/>
  <c r="H109" i="11"/>
  <c r="G110" i="11"/>
  <c r="H110" i="11"/>
  <c r="G111" i="11"/>
  <c r="H111" i="11"/>
  <c r="G112" i="11"/>
  <c r="H112" i="11"/>
  <c r="G113" i="11"/>
  <c r="H113" i="11"/>
  <c r="G114" i="11"/>
  <c r="H114" i="11"/>
  <c r="G115" i="11"/>
  <c r="H115" i="11"/>
  <c r="G116" i="11"/>
  <c r="H116" i="11"/>
  <c r="G117" i="11"/>
  <c r="H117" i="11"/>
  <c r="G118" i="11"/>
  <c r="H118" i="11"/>
  <c r="G119" i="11"/>
  <c r="H119" i="11"/>
  <c r="G120" i="11"/>
  <c r="H120" i="11"/>
  <c r="G121" i="11"/>
  <c r="H121" i="11"/>
  <c r="G122" i="11"/>
  <c r="H122" i="11"/>
  <c r="G123" i="11"/>
  <c r="H123" i="11"/>
  <c r="G124" i="11"/>
  <c r="H124" i="11"/>
  <c r="G125" i="11"/>
  <c r="H125" i="11"/>
  <c r="G126" i="11"/>
  <c r="H126" i="11"/>
  <c r="G127" i="11"/>
  <c r="H127" i="11"/>
  <c r="G128" i="11"/>
  <c r="H128" i="11"/>
  <c r="G129" i="11"/>
  <c r="H129" i="11"/>
  <c r="G130" i="11"/>
  <c r="H130" i="11"/>
  <c r="G131" i="11"/>
  <c r="H131" i="11"/>
  <c r="G132" i="11"/>
  <c r="H132" i="11"/>
  <c r="G133" i="11"/>
  <c r="H133" i="11"/>
  <c r="G134" i="11"/>
  <c r="H134" i="11"/>
  <c r="G135" i="11"/>
  <c r="H135" i="11"/>
  <c r="G136" i="11"/>
  <c r="H136" i="11"/>
  <c r="G137" i="11"/>
  <c r="H137" i="11"/>
  <c r="G138" i="11"/>
  <c r="H138" i="11"/>
  <c r="G139" i="11"/>
  <c r="H139" i="11"/>
  <c r="G140" i="11"/>
  <c r="H140" i="11"/>
  <c r="G141" i="11"/>
  <c r="H141" i="11"/>
  <c r="G142" i="11"/>
  <c r="H142" i="11"/>
  <c r="G143" i="11"/>
  <c r="H143" i="11"/>
  <c r="G144" i="11"/>
  <c r="H144" i="11"/>
  <c r="G145" i="11"/>
  <c r="H145" i="11"/>
  <c r="G146" i="11"/>
  <c r="H146" i="11"/>
  <c r="G147" i="11"/>
  <c r="H147" i="11"/>
  <c r="G148" i="11"/>
  <c r="H148" i="11"/>
  <c r="G149" i="11"/>
  <c r="H149" i="11"/>
  <c r="G150" i="11"/>
  <c r="H150" i="11"/>
  <c r="G151" i="11"/>
  <c r="H151" i="11"/>
  <c r="G152" i="11"/>
  <c r="H152" i="11"/>
  <c r="G153" i="11"/>
  <c r="H153" i="11"/>
  <c r="G154" i="11"/>
  <c r="H154" i="11"/>
  <c r="G155" i="11"/>
  <c r="H155" i="11"/>
  <c r="G156" i="11"/>
  <c r="H156" i="11"/>
  <c r="G157" i="11"/>
  <c r="H157" i="11"/>
  <c r="G158" i="11"/>
  <c r="H158" i="11"/>
  <c r="G159" i="11"/>
  <c r="H159" i="11"/>
  <c r="G160" i="11"/>
  <c r="H160" i="11"/>
  <c r="G161" i="11"/>
  <c r="H161" i="11"/>
  <c r="G162" i="11"/>
  <c r="H162" i="11"/>
  <c r="G163" i="11"/>
  <c r="H163" i="11"/>
  <c r="G164" i="11"/>
  <c r="H164" i="11"/>
  <c r="G165" i="11"/>
  <c r="H165" i="11"/>
  <c r="G166" i="11"/>
  <c r="H166" i="11"/>
  <c r="G167" i="11"/>
  <c r="H167" i="11"/>
  <c r="G168" i="11"/>
  <c r="H168" i="11"/>
  <c r="G169" i="11"/>
  <c r="H169" i="11"/>
  <c r="G170" i="11"/>
  <c r="H170" i="11"/>
  <c r="G171" i="11"/>
  <c r="H171" i="11"/>
  <c r="G172" i="11"/>
  <c r="H172" i="11"/>
  <c r="G173" i="11"/>
  <c r="H173" i="11"/>
  <c r="G174" i="11"/>
  <c r="H174" i="11"/>
  <c r="G175" i="11"/>
  <c r="H175" i="11"/>
  <c r="G176" i="11"/>
  <c r="H176" i="11"/>
  <c r="G177" i="11"/>
  <c r="H177" i="11"/>
  <c r="G178" i="11"/>
  <c r="H178" i="11"/>
  <c r="G179" i="11"/>
  <c r="H179" i="11"/>
  <c r="G180" i="11"/>
  <c r="H180" i="11"/>
  <c r="G181" i="11"/>
  <c r="H181" i="11"/>
  <c r="G182" i="11"/>
  <c r="H182" i="11"/>
  <c r="G183" i="11"/>
  <c r="H183" i="11"/>
  <c r="G184" i="11"/>
  <c r="H184" i="11"/>
  <c r="G185" i="11"/>
  <c r="H185" i="11"/>
  <c r="G186" i="11"/>
  <c r="H186" i="11"/>
  <c r="G187" i="11"/>
  <c r="H187" i="11"/>
  <c r="G188" i="11"/>
  <c r="H188" i="11"/>
  <c r="G189" i="11"/>
  <c r="H189" i="11"/>
  <c r="G190" i="11"/>
  <c r="H190" i="11"/>
  <c r="G191" i="11"/>
  <c r="H191" i="11"/>
  <c r="G192" i="11"/>
  <c r="H192" i="11"/>
  <c r="G193" i="11"/>
  <c r="H193" i="11"/>
  <c r="G194" i="11"/>
  <c r="H194" i="11"/>
  <c r="G195" i="11"/>
  <c r="H195" i="11"/>
  <c r="G196" i="11"/>
  <c r="H196" i="11"/>
  <c r="G197" i="11"/>
  <c r="H197" i="11"/>
  <c r="G198" i="11"/>
  <c r="H198" i="11"/>
  <c r="G199" i="11"/>
  <c r="H199" i="11"/>
  <c r="G200" i="11"/>
  <c r="H200" i="11"/>
  <c r="G201" i="11"/>
  <c r="H201" i="11"/>
  <c r="G202" i="11"/>
  <c r="H202" i="11"/>
  <c r="G203" i="11"/>
  <c r="H203" i="11"/>
  <c r="G204" i="11"/>
  <c r="H204" i="11"/>
  <c r="G205" i="11"/>
  <c r="H205" i="11"/>
  <c r="G206" i="11"/>
  <c r="H206" i="11"/>
  <c r="G207" i="11"/>
  <c r="H207" i="11"/>
  <c r="G208" i="11"/>
  <c r="H208" i="11"/>
  <c r="G209" i="11"/>
  <c r="H209" i="11"/>
  <c r="G210" i="11"/>
  <c r="H210" i="11"/>
  <c r="G211" i="11"/>
  <c r="H211" i="11"/>
  <c r="G212" i="11"/>
  <c r="H212" i="11"/>
  <c r="G213" i="11"/>
  <c r="H213" i="11"/>
  <c r="G214" i="11"/>
  <c r="H214" i="11"/>
  <c r="G215" i="11"/>
  <c r="H215" i="11"/>
  <c r="G216" i="11"/>
  <c r="H216" i="11"/>
  <c r="G217" i="11"/>
  <c r="H217" i="11"/>
  <c r="G218" i="11"/>
  <c r="H218" i="11"/>
  <c r="G219" i="11"/>
  <c r="H219" i="11"/>
  <c r="G220" i="11"/>
  <c r="H220" i="11"/>
  <c r="G221" i="11"/>
  <c r="H221" i="11"/>
  <c r="G222" i="11"/>
  <c r="H222" i="11"/>
  <c r="G223" i="11"/>
  <c r="H223" i="11"/>
  <c r="G224" i="11"/>
  <c r="H224" i="11"/>
  <c r="G225" i="11"/>
  <c r="H225" i="11"/>
  <c r="G226" i="11"/>
  <c r="H226" i="11"/>
  <c r="G227" i="11"/>
  <c r="H227" i="11"/>
  <c r="G228" i="11"/>
  <c r="H228" i="11"/>
  <c r="G229" i="11"/>
  <c r="H229" i="11"/>
  <c r="G230" i="11"/>
  <c r="H230" i="11"/>
  <c r="G231" i="11"/>
  <c r="H231" i="11"/>
  <c r="G232" i="11"/>
  <c r="H232" i="11"/>
  <c r="G233" i="11"/>
  <c r="H233" i="11"/>
  <c r="G234" i="11"/>
  <c r="H234" i="11"/>
  <c r="G235" i="11"/>
  <c r="H235" i="11"/>
  <c r="G236" i="11"/>
  <c r="H236" i="11"/>
  <c r="G237" i="11"/>
  <c r="H237" i="11"/>
  <c r="G238" i="11"/>
  <c r="H238" i="11"/>
  <c r="G239" i="11"/>
  <c r="H239" i="11"/>
  <c r="G240" i="11"/>
  <c r="H240" i="11"/>
  <c r="G241" i="11"/>
  <c r="H241" i="11"/>
  <c r="G242" i="11"/>
  <c r="H242" i="11"/>
  <c r="G243" i="11"/>
  <c r="H243" i="11"/>
  <c r="G244" i="11"/>
  <c r="H244" i="11"/>
  <c r="G245" i="11"/>
  <c r="H245" i="11"/>
  <c r="G246" i="11"/>
  <c r="H246" i="11"/>
  <c r="G247" i="11"/>
  <c r="H247" i="11"/>
  <c r="G248" i="11"/>
  <c r="H248" i="11"/>
  <c r="G249" i="11"/>
  <c r="H249" i="11"/>
  <c r="G250" i="11"/>
  <c r="H250" i="11"/>
  <c r="G251" i="11"/>
  <c r="H251" i="11"/>
  <c r="G252" i="11"/>
  <c r="H252" i="11"/>
  <c r="G253" i="11"/>
  <c r="H253" i="11"/>
  <c r="G254" i="11"/>
  <c r="H254" i="11"/>
  <c r="G255" i="11"/>
  <c r="H255" i="11"/>
  <c r="G256" i="11"/>
  <c r="H256" i="11"/>
  <c r="G257" i="11"/>
  <c r="H257" i="11"/>
  <c r="G258" i="11"/>
  <c r="H258" i="11"/>
  <c r="G259" i="11"/>
  <c r="H259" i="11"/>
  <c r="G260" i="11"/>
  <c r="H260" i="11"/>
  <c r="G261" i="11"/>
  <c r="H261" i="11"/>
  <c r="G262" i="11"/>
  <c r="H262" i="11"/>
  <c r="G263" i="11"/>
  <c r="H263" i="11"/>
  <c r="G264" i="11"/>
  <c r="H264" i="11"/>
  <c r="G265" i="11"/>
  <c r="H265" i="11"/>
  <c r="G266" i="11"/>
  <c r="H266" i="11"/>
  <c r="G267" i="11"/>
  <c r="H267" i="11"/>
  <c r="G268" i="11"/>
  <c r="H268" i="11"/>
  <c r="G269" i="11"/>
  <c r="H269" i="11"/>
  <c r="G270" i="11"/>
  <c r="H270" i="11"/>
  <c r="G271" i="11"/>
  <c r="H271" i="11"/>
  <c r="G272" i="11"/>
  <c r="H272" i="11"/>
  <c r="G273" i="11"/>
  <c r="H273" i="11"/>
  <c r="G274" i="11"/>
  <c r="H274" i="11"/>
  <c r="G275" i="11"/>
  <c r="H275" i="11"/>
  <c r="G276" i="11"/>
  <c r="H276" i="11"/>
  <c r="G277" i="11"/>
  <c r="H277" i="11"/>
  <c r="G278" i="11"/>
  <c r="H278" i="11"/>
  <c r="G279" i="11"/>
  <c r="H279" i="11"/>
  <c r="G280" i="11"/>
  <c r="H280" i="11"/>
  <c r="G281" i="11"/>
  <c r="H281" i="11"/>
  <c r="G282" i="11"/>
  <c r="H282" i="11"/>
  <c r="G283" i="11"/>
  <c r="H283" i="11"/>
  <c r="G284" i="11"/>
  <c r="H284" i="11"/>
  <c r="G285" i="11"/>
  <c r="H285" i="11"/>
  <c r="G286" i="11"/>
  <c r="H286" i="11"/>
  <c r="G287" i="11"/>
  <c r="H287" i="11"/>
  <c r="G288" i="11"/>
  <c r="H288" i="11"/>
  <c r="G289" i="11"/>
  <c r="H289" i="11"/>
  <c r="G290" i="11"/>
  <c r="H290" i="11"/>
  <c r="G291" i="11"/>
  <c r="H291" i="11"/>
  <c r="G292" i="11"/>
  <c r="H292" i="11"/>
  <c r="G293" i="11"/>
  <c r="H293" i="11"/>
  <c r="G294" i="11"/>
  <c r="H294" i="11"/>
  <c r="G295" i="11"/>
  <c r="H295" i="11"/>
  <c r="G296" i="11"/>
  <c r="H296" i="11"/>
  <c r="G297" i="11"/>
  <c r="H297" i="11"/>
  <c r="G298" i="11"/>
  <c r="H298" i="11"/>
  <c r="G299" i="11"/>
  <c r="H299" i="11"/>
  <c r="G300" i="11"/>
  <c r="H300" i="11"/>
  <c r="G301" i="11"/>
  <c r="H301" i="11"/>
  <c r="G302" i="11"/>
  <c r="H302" i="11"/>
  <c r="G303" i="11"/>
  <c r="H303" i="11"/>
  <c r="G304" i="11"/>
  <c r="H304" i="11"/>
  <c r="G305" i="11"/>
  <c r="H305" i="11"/>
  <c r="G306" i="11"/>
  <c r="H306" i="11"/>
  <c r="G307" i="11"/>
  <c r="H307" i="11"/>
  <c r="G308" i="11"/>
  <c r="H308" i="11"/>
  <c r="G309" i="11"/>
  <c r="H309" i="11"/>
  <c r="G310" i="11"/>
  <c r="H310" i="11"/>
  <c r="G311" i="11"/>
  <c r="H311" i="11"/>
  <c r="G312" i="11"/>
  <c r="H312" i="11"/>
  <c r="G313" i="11"/>
  <c r="H313" i="11"/>
  <c r="G314" i="11"/>
  <c r="H314" i="11"/>
  <c r="G315" i="11"/>
  <c r="H315" i="11"/>
  <c r="G316" i="11"/>
  <c r="H316" i="11"/>
  <c r="G317" i="11"/>
  <c r="H317" i="11"/>
  <c r="G318" i="11"/>
  <c r="H318" i="11"/>
  <c r="G319" i="11"/>
  <c r="H319" i="11"/>
  <c r="G320" i="11"/>
  <c r="H320" i="11"/>
  <c r="G321" i="11"/>
  <c r="H321" i="11"/>
  <c r="G322" i="11"/>
  <c r="H322" i="11"/>
  <c r="G323" i="11"/>
  <c r="H323" i="11"/>
  <c r="G324" i="11"/>
  <c r="H324" i="11"/>
  <c r="G325" i="11"/>
  <c r="H325" i="11"/>
  <c r="G326" i="11"/>
  <c r="H326" i="11"/>
  <c r="G327" i="11"/>
  <c r="H327" i="11"/>
  <c r="G328" i="11"/>
  <c r="H328" i="11"/>
  <c r="G329" i="11"/>
  <c r="H329" i="11"/>
  <c r="G330" i="11"/>
  <c r="H330" i="11"/>
  <c r="G331" i="11"/>
  <c r="H331" i="11"/>
  <c r="G332" i="11"/>
  <c r="H332" i="11"/>
  <c r="G333" i="11"/>
  <c r="H333" i="11"/>
  <c r="G334" i="11"/>
  <c r="H334" i="11"/>
  <c r="G335" i="11"/>
  <c r="H335" i="11"/>
  <c r="G336" i="11"/>
  <c r="H336" i="11"/>
  <c r="G337" i="11"/>
  <c r="H337" i="11"/>
  <c r="G338" i="11"/>
  <c r="H338" i="11"/>
  <c r="G339" i="11"/>
  <c r="H339" i="11"/>
  <c r="G340" i="11"/>
  <c r="H340" i="11"/>
  <c r="G341" i="11"/>
  <c r="H341" i="11"/>
  <c r="G342" i="11"/>
  <c r="H342" i="11"/>
  <c r="G343" i="11"/>
  <c r="H343" i="11"/>
  <c r="G344" i="11"/>
  <c r="H344" i="11"/>
  <c r="G345" i="11"/>
  <c r="H345" i="11"/>
  <c r="G346" i="11"/>
  <c r="H346" i="11"/>
  <c r="G347" i="11"/>
  <c r="H347" i="11"/>
  <c r="G348" i="11"/>
  <c r="H348" i="11"/>
  <c r="G349" i="11"/>
  <c r="H349" i="11"/>
  <c r="G350" i="11"/>
  <c r="H350" i="11"/>
  <c r="G351" i="11"/>
  <c r="H351" i="11"/>
  <c r="G352" i="11"/>
  <c r="H352" i="11"/>
  <c r="G353" i="11"/>
  <c r="H353" i="11"/>
  <c r="G354" i="11"/>
  <c r="H354" i="11"/>
  <c r="G355" i="11"/>
  <c r="H355" i="11"/>
  <c r="G356" i="11"/>
  <c r="H356" i="11"/>
  <c r="G357" i="11"/>
  <c r="H357" i="11"/>
  <c r="G358" i="11"/>
  <c r="H358" i="11"/>
  <c r="G359" i="11"/>
  <c r="H359" i="11"/>
  <c r="G360" i="11"/>
  <c r="H360" i="11"/>
  <c r="G361" i="11"/>
  <c r="H361" i="11"/>
  <c r="G362" i="11"/>
  <c r="H362" i="11"/>
  <c r="G363" i="11"/>
  <c r="H363" i="11"/>
  <c r="G364" i="11"/>
  <c r="H364" i="11"/>
  <c r="G365" i="11"/>
  <c r="H365" i="11"/>
  <c r="G366" i="11"/>
  <c r="H366" i="11"/>
  <c r="G367" i="11"/>
  <c r="H367" i="11"/>
  <c r="G368" i="11"/>
  <c r="H368" i="11"/>
  <c r="G369" i="11"/>
  <c r="H369" i="11"/>
  <c r="G370" i="11"/>
  <c r="H370" i="11"/>
  <c r="G371" i="11"/>
  <c r="H371" i="11"/>
  <c r="G372" i="11"/>
  <c r="H372" i="11"/>
  <c r="G373" i="11"/>
  <c r="H373" i="11"/>
  <c r="G374" i="11"/>
  <c r="H374" i="11"/>
  <c r="G375" i="11"/>
  <c r="H375" i="11"/>
  <c r="G376" i="11"/>
  <c r="H376" i="11"/>
  <c r="G377" i="11"/>
  <c r="H377" i="11"/>
  <c r="G378" i="11"/>
  <c r="H378" i="11"/>
  <c r="G379" i="11"/>
  <c r="H379" i="11"/>
  <c r="G380" i="11"/>
  <c r="H380" i="11"/>
  <c r="G381" i="11"/>
  <c r="H381" i="11"/>
  <c r="G382" i="11"/>
  <c r="H382" i="11"/>
  <c r="G383" i="11"/>
  <c r="H383" i="11"/>
  <c r="G384" i="11"/>
  <c r="H384" i="11"/>
  <c r="G385" i="11"/>
  <c r="H385" i="11"/>
  <c r="G386" i="11"/>
  <c r="H386" i="11"/>
  <c r="G387" i="11"/>
  <c r="H387" i="11"/>
  <c r="G388" i="11"/>
  <c r="H388" i="11"/>
  <c r="G389" i="11"/>
  <c r="H389" i="11"/>
  <c r="G390" i="11"/>
  <c r="H390" i="11"/>
  <c r="G391" i="11"/>
  <c r="H391" i="11"/>
  <c r="G392" i="11"/>
  <c r="H392" i="11"/>
  <c r="G393" i="11"/>
  <c r="H393" i="11"/>
  <c r="G394" i="11"/>
  <c r="H394" i="11"/>
  <c r="G395" i="11"/>
  <c r="H395" i="11"/>
  <c r="G396" i="11"/>
  <c r="H396" i="11"/>
  <c r="G397" i="11"/>
  <c r="H397" i="11"/>
  <c r="G398" i="11"/>
  <c r="H398" i="11"/>
  <c r="G399" i="11"/>
  <c r="H399" i="11"/>
  <c r="G400" i="11"/>
  <c r="H400" i="11"/>
  <c r="G401" i="11"/>
  <c r="H401" i="11"/>
  <c r="G402" i="11"/>
  <c r="H402" i="11"/>
  <c r="G403" i="11"/>
  <c r="H403" i="11"/>
  <c r="G404" i="11"/>
  <c r="H404" i="11"/>
  <c r="G405" i="11"/>
  <c r="H405" i="11"/>
  <c r="G406" i="11"/>
  <c r="H406" i="11"/>
  <c r="G407" i="11"/>
  <c r="H407" i="11"/>
  <c r="G408" i="11"/>
  <c r="H408" i="11"/>
  <c r="G409" i="11"/>
  <c r="H409" i="11"/>
  <c r="G410" i="11"/>
  <c r="H410" i="11"/>
  <c r="G411" i="11"/>
  <c r="H411" i="11"/>
  <c r="G412" i="11"/>
  <c r="H412" i="11"/>
  <c r="G413" i="11"/>
  <c r="H413" i="11"/>
  <c r="G414" i="11"/>
  <c r="H414" i="11"/>
  <c r="G415" i="11"/>
  <c r="H415" i="11"/>
  <c r="G416" i="11"/>
  <c r="H416" i="11"/>
  <c r="G417" i="11"/>
  <c r="H417" i="11"/>
  <c r="G418" i="11"/>
  <c r="H418" i="11"/>
  <c r="G419" i="11"/>
  <c r="H419" i="11"/>
  <c r="G420" i="11"/>
  <c r="H420" i="11"/>
  <c r="G421" i="11"/>
  <c r="H421" i="11"/>
  <c r="G422" i="11"/>
  <c r="H422" i="11"/>
  <c r="G423" i="11"/>
  <c r="H423" i="11"/>
  <c r="G424" i="11"/>
  <c r="H424" i="11"/>
  <c r="G425" i="11"/>
  <c r="H425" i="11"/>
  <c r="G426" i="11"/>
  <c r="H426" i="11"/>
  <c r="G427" i="11"/>
  <c r="H427" i="11"/>
  <c r="G428" i="11"/>
  <c r="H428" i="11"/>
  <c r="G429" i="11"/>
  <c r="H429" i="11"/>
  <c r="G430" i="11"/>
  <c r="H430" i="11"/>
  <c r="G431" i="11"/>
  <c r="H431" i="11"/>
  <c r="G432" i="11"/>
  <c r="H432" i="11"/>
  <c r="G433" i="11"/>
  <c r="H433" i="11"/>
  <c r="G434" i="11"/>
  <c r="H434" i="11"/>
  <c r="G435" i="11"/>
  <c r="H435" i="11"/>
  <c r="G436" i="11"/>
  <c r="H436" i="11"/>
  <c r="G437" i="11"/>
  <c r="H437" i="11"/>
  <c r="G438" i="11"/>
  <c r="H438" i="11"/>
  <c r="G439" i="11"/>
  <c r="H439" i="11"/>
  <c r="G440" i="11"/>
  <c r="H440" i="11"/>
  <c r="G441" i="11"/>
  <c r="H441" i="11"/>
  <c r="G442" i="11"/>
  <c r="H442" i="11"/>
  <c r="G443" i="11"/>
  <c r="H443" i="11"/>
  <c r="G444" i="11"/>
  <c r="H444" i="11"/>
  <c r="G445" i="11"/>
  <c r="H445" i="11"/>
  <c r="G446" i="11"/>
  <c r="H446" i="11"/>
  <c r="G447" i="11"/>
  <c r="H447" i="11"/>
  <c r="G448" i="11"/>
  <c r="H448" i="11"/>
  <c r="G449" i="11"/>
  <c r="H449" i="11"/>
  <c r="G450" i="11"/>
  <c r="H450" i="11"/>
  <c r="G451" i="11"/>
  <c r="H451" i="11"/>
  <c r="G452" i="11"/>
  <c r="H452" i="11"/>
  <c r="G453" i="11"/>
  <c r="H453" i="11"/>
  <c r="G454" i="11"/>
  <c r="H454" i="11"/>
  <c r="G455" i="11"/>
  <c r="H455" i="11"/>
  <c r="G456" i="11"/>
  <c r="H456" i="11"/>
  <c r="G457" i="11"/>
  <c r="H457" i="11"/>
  <c r="G458" i="11"/>
  <c r="H458" i="11"/>
  <c r="G459" i="11"/>
  <c r="H459" i="11"/>
  <c r="G460" i="11"/>
  <c r="H460" i="11"/>
  <c r="G461" i="11"/>
  <c r="H461" i="11"/>
  <c r="G462" i="11"/>
  <c r="H462" i="11"/>
  <c r="G463" i="11"/>
  <c r="H463" i="11"/>
  <c r="G464" i="11"/>
  <c r="H464" i="11"/>
  <c r="G465" i="11"/>
  <c r="H465" i="11"/>
  <c r="G466" i="11"/>
  <c r="H466" i="11"/>
  <c r="G467" i="11"/>
  <c r="H467" i="11"/>
  <c r="G468" i="11"/>
  <c r="H468" i="11"/>
  <c r="G469" i="11"/>
  <c r="H469" i="11"/>
  <c r="G470" i="11"/>
  <c r="H470" i="11"/>
  <c r="G471" i="11"/>
  <c r="H471" i="11"/>
  <c r="G472" i="11"/>
  <c r="H472" i="11"/>
  <c r="G473" i="11"/>
  <c r="H473" i="11"/>
  <c r="G474" i="11"/>
  <c r="H474" i="11"/>
  <c r="G475" i="11"/>
  <c r="H475" i="11"/>
  <c r="G476" i="11"/>
  <c r="H476" i="11"/>
  <c r="G477" i="11"/>
  <c r="H477" i="11"/>
  <c r="G478" i="11"/>
  <c r="H478" i="11"/>
  <c r="G479" i="11"/>
  <c r="H479" i="11"/>
  <c r="G480" i="11"/>
  <c r="H480" i="11"/>
  <c r="G481" i="11"/>
  <c r="H481" i="11"/>
  <c r="G482" i="11"/>
  <c r="H482" i="11"/>
  <c r="G483" i="11"/>
  <c r="H483" i="11"/>
  <c r="G484" i="11"/>
  <c r="H484" i="11"/>
  <c r="G485" i="11"/>
  <c r="H485" i="11"/>
  <c r="G486" i="11"/>
  <c r="H486" i="11"/>
  <c r="G487" i="11"/>
  <c r="H487" i="11"/>
  <c r="G488" i="11"/>
  <c r="H488" i="11"/>
  <c r="G489" i="11"/>
  <c r="H489" i="11"/>
  <c r="G490" i="11"/>
  <c r="H490" i="11"/>
  <c r="G491" i="11"/>
  <c r="H491" i="11"/>
  <c r="G492" i="11"/>
  <c r="H492" i="11"/>
  <c r="G493" i="11"/>
  <c r="H493" i="11"/>
  <c r="G494" i="11"/>
  <c r="H494" i="11"/>
  <c r="G495" i="11"/>
  <c r="H495" i="11"/>
  <c r="G496" i="11"/>
  <c r="H496" i="11"/>
  <c r="G497" i="11"/>
  <c r="H497" i="11"/>
  <c r="G498" i="11"/>
  <c r="H498" i="11"/>
  <c r="G499" i="11"/>
  <c r="H499" i="11"/>
  <c r="G500" i="11"/>
  <c r="H500" i="11"/>
  <c r="G501" i="11"/>
  <c r="H501" i="11"/>
  <c r="G502" i="11"/>
  <c r="H502" i="11"/>
  <c r="G503" i="11"/>
  <c r="H503" i="11"/>
  <c r="G504" i="11"/>
  <c r="H504" i="11"/>
  <c r="G505" i="11"/>
  <c r="H505" i="11"/>
  <c r="G506" i="11"/>
  <c r="H506" i="11"/>
  <c r="G507" i="11"/>
  <c r="H507" i="11"/>
  <c r="G508" i="11"/>
  <c r="H508" i="11"/>
  <c r="G509" i="11"/>
  <c r="H509" i="11"/>
  <c r="G510" i="11"/>
  <c r="H510" i="11"/>
  <c r="G511" i="11"/>
  <c r="H511" i="11"/>
  <c r="G512" i="11"/>
  <c r="H512" i="11"/>
  <c r="G513" i="11"/>
  <c r="H513" i="11"/>
  <c r="G514" i="11"/>
  <c r="H514" i="11"/>
  <c r="G515" i="11"/>
  <c r="H515" i="11"/>
  <c r="G516" i="11"/>
  <c r="H516" i="11"/>
  <c r="G517" i="11"/>
  <c r="H517" i="11"/>
  <c r="G518" i="11"/>
  <c r="H518" i="11"/>
  <c r="G519" i="11"/>
  <c r="H519" i="11"/>
  <c r="G520" i="11"/>
  <c r="H520" i="11"/>
  <c r="G521" i="11"/>
  <c r="H521" i="11"/>
  <c r="G522" i="11"/>
  <c r="H522" i="11"/>
  <c r="G523" i="11"/>
  <c r="H523" i="11"/>
  <c r="G524" i="11"/>
  <c r="H524" i="11"/>
  <c r="G525" i="11"/>
  <c r="H525" i="11"/>
  <c r="G526" i="11"/>
  <c r="H526" i="11"/>
  <c r="G527" i="11"/>
  <c r="H527" i="11"/>
  <c r="G528" i="11"/>
  <c r="H528" i="11"/>
  <c r="G529" i="11"/>
  <c r="H529" i="11"/>
  <c r="G530" i="11"/>
  <c r="H530" i="11"/>
  <c r="G531" i="11"/>
  <c r="H531" i="11"/>
  <c r="G532" i="11"/>
  <c r="H532" i="11"/>
  <c r="G533" i="11"/>
  <c r="H533" i="11"/>
  <c r="G534" i="11"/>
  <c r="H534" i="11"/>
  <c r="G535" i="11"/>
  <c r="H535" i="11"/>
  <c r="G536" i="11"/>
  <c r="H536" i="11"/>
  <c r="G537" i="11"/>
  <c r="H537" i="11"/>
  <c r="G538" i="11"/>
  <c r="H538" i="11"/>
  <c r="G539" i="11"/>
  <c r="H539" i="11"/>
  <c r="G540" i="11"/>
  <c r="H540" i="11"/>
  <c r="G541" i="11"/>
  <c r="H541" i="11"/>
  <c r="G542" i="11"/>
  <c r="H542" i="11"/>
  <c r="G543" i="11"/>
  <c r="H543" i="11"/>
  <c r="G544" i="11"/>
  <c r="H544" i="11"/>
  <c r="G545" i="11"/>
  <c r="H545" i="11"/>
  <c r="G546" i="11"/>
  <c r="H546" i="11"/>
  <c r="G547" i="11"/>
  <c r="H547" i="11"/>
  <c r="G548" i="11"/>
  <c r="H548" i="11"/>
  <c r="G549" i="11"/>
  <c r="H549" i="11"/>
  <c r="G550" i="11"/>
  <c r="H550" i="11"/>
  <c r="G551" i="11"/>
  <c r="H551" i="11"/>
  <c r="G552" i="11"/>
  <c r="H552" i="11"/>
  <c r="G553" i="11"/>
  <c r="H553" i="11"/>
  <c r="G554" i="11"/>
  <c r="H554" i="11"/>
  <c r="G555" i="11"/>
  <c r="H555" i="11"/>
  <c r="G556" i="11"/>
  <c r="H556" i="11"/>
  <c r="G557" i="11"/>
  <c r="H557" i="11"/>
  <c r="G558" i="11"/>
  <c r="H558" i="11"/>
  <c r="G559" i="11"/>
  <c r="H559" i="11"/>
  <c r="G560" i="11"/>
  <c r="H560" i="11"/>
  <c r="G561" i="11"/>
  <c r="H561" i="11"/>
  <c r="G562" i="11"/>
  <c r="H562" i="11"/>
  <c r="G563" i="11"/>
  <c r="H563" i="11"/>
  <c r="G564" i="11"/>
  <c r="H564" i="11"/>
  <c r="G565" i="11"/>
  <c r="H565" i="11"/>
  <c r="G566" i="11"/>
  <c r="H566" i="11"/>
  <c r="G567" i="11"/>
  <c r="H567" i="11"/>
  <c r="G568" i="11"/>
  <c r="H568" i="11"/>
  <c r="G569" i="11"/>
  <c r="H569" i="11"/>
  <c r="G570" i="11"/>
  <c r="H570" i="11"/>
  <c r="G571" i="11"/>
  <c r="H571" i="11"/>
  <c r="G572" i="11"/>
  <c r="H572" i="11"/>
  <c r="G573" i="11"/>
  <c r="H573" i="11"/>
  <c r="G574" i="11"/>
  <c r="H574" i="11"/>
  <c r="G575" i="11"/>
  <c r="H575" i="11"/>
  <c r="G576" i="11"/>
  <c r="H576" i="11"/>
  <c r="G577" i="11"/>
  <c r="H577" i="11"/>
  <c r="G578" i="11"/>
  <c r="H578" i="11"/>
  <c r="G579" i="11"/>
  <c r="H579" i="11"/>
  <c r="G580" i="11"/>
  <c r="H580" i="11"/>
  <c r="G581" i="11"/>
  <c r="H581" i="11"/>
  <c r="G582" i="11"/>
  <c r="H582" i="11"/>
  <c r="G583" i="11"/>
  <c r="H583" i="11"/>
  <c r="G584" i="11"/>
  <c r="H584" i="11"/>
  <c r="G585" i="11"/>
  <c r="H585" i="11"/>
  <c r="G586" i="11"/>
  <c r="H586" i="11"/>
  <c r="G587" i="11"/>
  <c r="H587" i="11"/>
  <c r="G588" i="11"/>
  <c r="H588" i="11"/>
  <c r="G589" i="11"/>
  <c r="H589" i="11"/>
  <c r="G590" i="11"/>
  <c r="H590" i="11"/>
  <c r="G591" i="11"/>
  <c r="H591" i="11"/>
  <c r="G592" i="11"/>
  <c r="H592" i="11"/>
  <c r="G593" i="11"/>
  <c r="H593" i="11"/>
  <c r="G594" i="11"/>
  <c r="H594" i="11"/>
  <c r="G595" i="11"/>
  <c r="H595" i="11"/>
  <c r="G596" i="11"/>
  <c r="H596" i="11"/>
  <c r="G597" i="11"/>
  <c r="H597" i="11"/>
  <c r="G598" i="11"/>
  <c r="H598" i="11"/>
  <c r="G599" i="11"/>
  <c r="H599" i="11"/>
  <c r="G600" i="11"/>
  <c r="H600" i="11"/>
  <c r="G601" i="11"/>
  <c r="H601" i="11"/>
  <c r="G602" i="11"/>
  <c r="H602" i="11"/>
  <c r="G603" i="11"/>
  <c r="H603" i="11"/>
  <c r="G604" i="11"/>
  <c r="H604" i="11"/>
  <c r="G605" i="11"/>
  <c r="H605" i="11"/>
  <c r="G606" i="11"/>
  <c r="H606" i="11"/>
  <c r="G607" i="11"/>
  <c r="H607" i="11"/>
  <c r="G608" i="11"/>
  <c r="H608" i="11"/>
  <c r="G609" i="11"/>
  <c r="H609" i="11"/>
  <c r="G610" i="11"/>
  <c r="H610" i="11"/>
  <c r="G611" i="11"/>
  <c r="H611" i="11"/>
  <c r="G612" i="11"/>
  <c r="H612" i="11"/>
  <c r="G613" i="11"/>
  <c r="H613" i="11"/>
  <c r="G614" i="11"/>
  <c r="H614" i="11"/>
  <c r="G615" i="11"/>
  <c r="H615" i="11"/>
  <c r="G616" i="11"/>
  <c r="H616" i="11"/>
  <c r="G617" i="11"/>
  <c r="H617" i="11"/>
  <c r="G618" i="11"/>
  <c r="H618" i="11"/>
  <c r="G619" i="11"/>
  <c r="H619" i="11"/>
  <c r="G620" i="11"/>
  <c r="H620" i="11"/>
  <c r="G621" i="11"/>
  <c r="H621" i="11"/>
  <c r="G622" i="11"/>
  <c r="H622" i="11"/>
  <c r="G623" i="11"/>
  <c r="H623" i="11"/>
  <c r="G624" i="11"/>
  <c r="H624" i="11"/>
  <c r="G625" i="11"/>
  <c r="H625" i="11"/>
  <c r="G626" i="11"/>
  <c r="H626" i="11"/>
  <c r="G627" i="11"/>
  <c r="H627" i="11"/>
  <c r="G628" i="11"/>
  <c r="H628" i="11"/>
  <c r="G629" i="11"/>
  <c r="H629" i="11"/>
  <c r="G630" i="11"/>
  <c r="H630" i="11"/>
  <c r="G631" i="11"/>
  <c r="H631" i="11"/>
  <c r="G632" i="11"/>
  <c r="H632" i="11"/>
  <c r="G633" i="11"/>
  <c r="H633" i="11"/>
  <c r="G634" i="11"/>
  <c r="H634" i="11"/>
  <c r="G635" i="11"/>
  <c r="H635" i="11"/>
  <c r="G636" i="11"/>
  <c r="H636" i="11"/>
  <c r="G637" i="11"/>
  <c r="H637" i="11"/>
  <c r="G638" i="11"/>
  <c r="H638" i="11"/>
  <c r="G639" i="11"/>
  <c r="H639" i="11"/>
  <c r="G640" i="11"/>
  <c r="H640" i="11"/>
  <c r="G641" i="11"/>
  <c r="H641" i="11"/>
  <c r="G642" i="11"/>
  <c r="H642" i="11"/>
  <c r="G643" i="11"/>
  <c r="H643" i="11"/>
  <c r="G644" i="11"/>
  <c r="H644" i="11"/>
  <c r="G645" i="11"/>
  <c r="H645" i="11"/>
  <c r="G646" i="11"/>
  <c r="H646" i="11"/>
  <c r="G647" i="11"/>
  <c r="H647" i="11"/>
  <c r="G648" i="11"/>
  <c r="H648" i="11"/>
  <c r="G649" i="11"/>
  <c r="H649" i="11"/>
  <c r="G650" i="11"/>
  <c r="H650" i="11"/>
  <c r="G651" i="11"/>
  <c r="H651" i="11"/>
  <c r="G652" i="11"/>
  <c r="H652" i="11"/>
  <c r="G653" i="11"/>
  <c r="H653" i="11"/>
  <c r="G654" i="11"/>
  <c r="H654" i="11"/>
  <c r="G655" i="11"/>
  <c r="H655" i="11"/>
  <c r="G656" i="11"/>
  <c r="H656" i="11"/>
  <c r="G657" i="11"/>
  <c r="H657" i="11"/>
  <c r="G658" i="11"/>
  <c r="H658" i="11"/>
  <c r="G659" i="11"/>
  <c r="H659" i="11"/>
  <c r="G660" i="11"/>
  <c r="H660" i="11"/>
  <c r="G661" i="11"/>
  <c r="H661" i="11"/>
  <c r="G662" i="11"/>
  <c r="H662" i="11"/>
  <c r="G663" i="11"/>
  <c r="H663" i="11"/>
  <c r="G664" i="11"/>
  <c r="H664" i="11"/>
  <c r="G665" i="11"/>
  <c r="H665" i="11"/>
  <c r="G666" i="11"/>
  <c r="H666" i="11"/>
  <c r="G667" i="11"/>
  <c r="H667" i="11"/>
  <c r="G668" i="11"/>
  <c r="H668" i="11"/>
  <c r="G669" i="11"/>
  <c r="H669" i="11"/>
  <c r="G670" i="11"/>
  <c r="H670" i="11"/>
  <c r="G671" i="11"/>
  <c r="H671" i="11"/>
  <c r="G672" i="11"/>
  <c r="H672" i="11"/>
  <c r="G673" i="11"/>
  <c r="H673" i="11"/>
  <c r="G674" i="11"/>
  <c r="H674" i="11"/>
  <c r="G675" i="11"/>
  <c r="H675" i="11"/>
  <c r="G676" i="11"/>
  <c r="H676" i="11"/>
  <c r="G677" i="11"/>
  <c r="H677" i="11"/>
  <c r="G678" i="11"/>
  <c r="H678" i="11"/>
  <c r="G679" i="11"/>
  <c r="H679" i="11"/>
  <c r="G680" i="11"/>
  <c r="H680" i="11"/>
  <c r="G681" i="11"/>
  <c r="H681" i="11"/>
  <c r="G682" i="11"/>
  <c r="H682" i="11"/>
  <c r="G683" i="11"/>
  <c r="H683" i="11"/>
  <c r="G684" i="11"/>
  <c r="H684" i="11"/>
  <c r="G685" i="11"/>
  <c r="H685" i="11"/>
  <c r="G686" i="11"/>
  <c r="H686" i="11"/>
  <c r="G687" i="11"/>
  <c r="H687" i="11"/>
  <c r="G688" i="11"/>
  <c r="H688" i="11"/>
  <c r="G689" i="11"/>
  <c r="H689" i="11"/>
  <c r="G690" i="11"/>
  <c r="H690" i="11"/>
  <c r="G691" i="11"/>
  <c r="H691" i="11"/>
  <c r="G692" i="11"/>
  <c r="H692" i="11"/>
  <c r="G693" i="11"/>
  <c r="H693" i="11"/>
  <c r="G694" i="11"/>
  <c r="H694" i="11"/>
  <c r="G695" i="11"/>
  <c r="H695" i="11"/>
  <c r="G696" i="11"/>
  <c r="H696" i="11"/>
  <c r="G697" i="11"/>
  <c r="H697" i="11"/>
  <c r="G698" i="11"/>
  <c r="H698" i="11"/>
  <c r="G699" i="11"/>
  <c r="H699" i="11"/>
  <c r="G700" i="11"/>
  <c r="H700" i="11"/>
  <c r="G701" i="11"/>
  <c r="H701" i="11"/>
  <c r="G702" i="11"/>
  <c r="H702" i="11"/>
  <c r="G703" i="11"/>
  <c r="H703" i="11"/>
  <c r="G704" i="11"/>
  <c r="H704" i="11"/>
  <c r="G705" i="11"/>
  <c r="H705" i="11"/>
  <c r="G706" i="11"/>
  <c r="H706" i="11"/>
  <c r="G707" i="11"/>
  <c r="H707" i="11"/>
  <c r="G708" i="11"/>
  <c r="H708" i="11"/>
  <c r="G709" i="11"/>
  <c r="H709" i="11"/>
  <c r="G710" i="11"/>
  <c r="H710" i="11"/>
  <c r="G711" i="11"/>
  <c r="H711" i="11"/>
  <c r="G712" i="11"/>
  <c r="H712" i="11"/>
  <c r="G713" i="11"/>
  <c r="H713" i="11"/>
  <c r="G714" i="11"/>
  <c r="H714" i="11"/>
  <c r="G715" i="11"/>
  <c r="H715" i="11"/>
  <c r="G716" i="11"/>
  <c r="H716" i="11"/>
  <c r="G717" i="11"/>
  <c r="H717" i="11"/>
  <c r="G718" i="11"/>
  <c r="H718" i="11"/>
  <c r="G719" i="11"/>
  <c r="H719" i="11"/>
  <c r="G720" i="11"/>
  <c r="H720" i="11"/>
  <c r="G721" i="11"/>
  <c r="H721" i="11"/>
  <c r="G722" i="11"/>
  <c r="H722" i="11"/>
  <c r="G723" i="11"/>
  <c r="H723" i="11"/>
  <c r="G724" i="11"/>
  <c r="H724" i="11"/>
  <c r="G725" i="11"/>
  <c r="H725" i="11"/>
  <c r="G726" i="11"/>
  <c r="H726" i="11"/>
  <c r="G727" i="11"/>
  <c r="H727" i="11"/>
  <c r="G728" i="11"/>
  <c r="H728" i="11"/>
  <c r="G729" i="11"/>
  <c r="H729" i="11"/>
  <c r="G730" i="11"/>
  <c r="H730" i="11"/>
  <c r="G731" i="11"/>
  <c r="H731" i="11"/>
  <c r="G732" i="11"/>
  <c r="H732" i="11"/>
  <c r="G733" i="11"/>
  <c r="H733" i="11"/>
  <c r="G734" i="11"/>
  <c r="H734" i="11"/>
  <c r="G735" i="11"/>
  <c r="H735" i="11"/>
  <c r="G736" i="11"/>
  <c r="H736" i="11"/>
  <c r="G737" i="11"/>
  <c r="H737" i="11"/>
  <c r="G738" i="11"/>
  <c r="H738" i="11"/>
  <c r="G739" i="11"/>
  <c r="H739" i="11"/>
  <c r="G740" i="11"/>
  <c r="H740" i="11"/>
  <c r="G741" i="11"/>
  <c r="H741" i="11"/>
  <c r="G742" i="11"/>
  <c r="H742" i="11"/>
  <c r="G743" i="11"/>
  <c r="H743" i="11"/>
  <c r="G744" i="11"/>
  <c r="H744" i="11"/>
  <c r="G745" i="11"/>
  <c r="H745" i="11"/>
  <c r="G746" i="11"/>
  <c r="H746" i="11"/>
  <c r="G747" i="11"/>
  <c r="H747" i="11"/>
  <c r="G748" i="11"/>
  <c r="H748" i="11"/>
  <c r="G749" i="11"/>
  <c r="H749" i="11"/>
  <c r="G750" i="11"/>
  <c r="H750" i="11"/>
  <c r="G751" i="11"/>
  <c r="H751" i="11"/>
  <c r="P143" i="10"/>
  <c r="T140" i="10"/>
  <c r="R137" i="10"/>
  <c r="O137" i="10"/>
  <c r="M137" i="10"/>
  <c r="L137" i="10"/>
  <c r="J137" i="10"/>
  <c r="G137" i="10"/>
  <c r="F137" i="10"/>
  <c r="O136" i="10"/>
  <c r="M136" i="10"/>
  <c r="L136" i="10"/>
  <c r="T136" i="10" s="1"/>
  <c r="I136" i="10"/>
  <c r="G136" i="10"/>
  <c r="F136" i="10"/>
  <c r="J135" i="10"/>
  <c r="T135" i="10" s="1"/>
  <c r="L134" i="10"/>
  <c r="Q133" i="10"/>
  <c r="O133" i="10"/>
  <c r="M133" i="10"/>
  <c r="K133" i="10"/>
  <c r="K137" i="10" s="1"/>
  <c r="I133" i="10"/>
  <c r="I137" i="10" s="1"/>
  <c r="G133" i="10"/>
  <c r="S132" i="10"/>
  <c r="S131" i="10"/>
  <c r="S130" i="10"/>
  <c r="S129" i="10"/>
  <c r="S128" i="10"/>
  <c r="S127" i="10"/>
  <c r="S126" i="10"/>
  <c r="S125" i="10"/>
  <c r="S124" i="10"/>
  <c r="S123" i="10"/>
  <c r="S122" i="10"/>
  <c r="S121" i="10"/>
  <c r="S120" i="10"/>
  <c r="S119" i="10"/>
  <c r="S118" i="10"/>
  <c r="S117" i="10"/>
  <c r="S116" i="10"/>
  <c r="S115" i="10"/>
  <c r="S114" i="10"/>
  <c r="S113" i="10"/>
  <c r="S112" i="10"/>
  <c r="S111" i="10"/>
  <c r="S110" i="10"/>
  <c r="S109" i="10"/>
  <c r="S108" i="10"/>
  <c r="S107" i="10"/>
  <c r="S106" i="10"/>
  <c r="S105" i="10"/>
  <c r="S104" i="10"/>
  <c r="S103" i="10"/>
  <c r="S102" i="10"/>
  <c r="S101" i="10"/>
  <c r="S100" i="10"/>
  <c r="S99" i="10"/>
  <c r="S98" i="10"/>
  <c r="S97" i="10"/>
  <c r="S96" i="10"/>
  <c r="S95" i="10"/>
  <c r="S94" i="10"/>
  <c r="S93" i="10"/>
  <c r="S92" i="10"/>
  <c r="S91" i="10"/>
  <c r="S90" i="10"/>
  <c r="S89" i="10"/>
  <c r="S88" i="10"/>
  <c r="S87" i="10"/>
  <c r="S86" i="10"/>
  <c r="S85" i="10"/>
  <c r="S84" i="10"/>
  <c r="J84" i="10"/>
  <c r="S83" i="10"/>
  <c r="J83" i="10"/>
  <c r="S82" i="10"/>
  <c r="J82" i="10"/>
  <c r="S81" i="10"/>
  <c r="J81" i="10"/>
  <c r="S80" i="10"/>
  <c r="J80" i="10"/>
  <c r="S79" i="10"/>
  <c r="S78" i="10"/>
  <c r="S77" i="10"/>
  <c r="S76" i="10"/>
  <c r="S75" i="10"/>
  <c r="S74" i="10"/>
  <c r="S73" i="10"/>
  <c r="S72" i="10"/>
  <c r="S71" i="10"/>
  <c r="S70" i="10"/>
  <c r="S69" i="10"/>
  <c r="S68" i="10"/>
  <c r="S67" i="10"/>
  <c r="S66" i="10"/>
  <c r="S65" i="10"/>
  <c r="S64" i="10"/>
  <c r="S63" i="10"/>
  <c r="S62" i="10"/>
  <c r="S61" i="10"/>
  <c r="S60" i="10"/>
  <c r="S59" i="10"/>
  <c r="S58" i="10"/>
  <c r="S57" i="10"/>
  <c r="S56" i="10"/>
  <c r="S55" i="10"/>
  <c r="S54" i="10"/>
  <c r="S53" i="10"/>
  <c r="S52" i="10"/>
  <c r="S51" i="10"/>
  <c r="S50" i="10"/>
  <c r="S49" i="10"/>
  <c r="S48" i="10"/>
  <c r="S47" i="10"/>
  <c r="S46" i="10"/>
  <c r="S45" i="10"/>
  <c r="S44" i="10"/>
  <c r="S43" i="10"/>
  <c r="S42" i="10"/>
  <c r="S41" i="10"/>
  <c r="S40" i="10"/>
  <c r="S39" i="10"/>
  <c r="S38" i="10"/>
  <c r="S37" i="10"/>
  <c r="S36" i="10"/>
  <c r="S35" i="10"/>
  <c r="S34" i="10"/>
  <c r="S33" i="10"/>
  <c r="S32" i="10"/>
  <c r="S31" i="10"/>
  <c r="S30" i="10"/>
  <c r="S29" i="10"/>
  <c r="S28" i="10"/>
  <c r="S27" i="10"/>
  <c r="S26" i="10"/>
  <c r="S25" i="10"/>
  <c r="S24" i="10"/>
  <c r="S23" i="10"/>
  <c r="S22" i="10"/>
  <c r="S21" i="10"/>
  <c r="S20" i="10"/>
  <c r="S19" i="10"/>
  <c r="S18" i="10"/>
  <c r="S17" i="10"/>
  <c r="S16" i="10"/>
  <c r="S15" i="10"/>
  <c r="S14" i="10"/>
  <c r="S13" i="10"/>
  <c r="S12" i="10"/>
  <c r="S11" i="10"/>
  <c r="W10" i="10"/>
  <c r="W11" i="10" s="1"/>
  <c r="W12" i="10" s="1"/>
  <c r="W13" i="10" s="1"/>
  <c r="W14" i="10" s="1"/>
  <c r="W15" i="10" s="1"/>
  <c r="W16" i="10" s="1"/>
  <c r="W17" i="10" s="1"/>
  <c r="W18" i="10" s="1"/>
  <c r="W22" i="10" s="1"/>
  <c r="W23" i="10" s="1"/>
  <c r="W24" i="10" s="1"/>
  <c r="W27" i="10" s="1"/>
  <c r="W28" i="10" s="1"/>
  <c r="W29" i="10" s="1"/>
  <c r="W30" i="10" s="1"/>
  <c r="W31" i="10" s="1"/>
  <c r="W32" i="10" s="1"/>
  <c r="W33" i="10" s="1"/>
  <c r="W34" i="10" s="1"/>
  <c r="W35" i="10" s="1"/>
  <c r="W36" i="10" s="1"/>
  <c r="W37" i="10" s="1"/>
  <c r="W38" i="10" s="1"/>
  <c r="W42" i="10" s="1"/>
  <c r="W43" i="10" s="1"/>
  <c r="W44" i="10" s="1"/>
  <c r="W45" i="10" s="1"/>
  <c r="W46" i="10" s="1"/>
  <c r="W47" i="10" s="1"/>
  <c r="W48" i="10" s="1"/>
  <c r="W49" i="10" s="1"/>
  <c r="W50" i="10" s="1"/>
  <c r="W51" i="10" s="1"/>
  <c r="W52" i="10" s="1"/>
  <c r="W53" i="10" s="1"/>
  <c r="W54" i="10" s="1"/>
  <c r="W55" i="10" s="1"/>
  <c r="W56" i="10" s="1"/>
  <c r="W57" i="10" s="1"/>
  <c r="W58" i="10" s="1"/>
  <c r="W59" i="10" s="1"/>
  <c r="W60" i="10" s="1"/>
  <c r="W61" i="10" s="1"/>
  <c r="W62" i="10" s="1"/>
  <c r="W63" i="10" s="1"/>
  <c r="W64" i="10" s="1"/>
  <c r="W65" i="10" s="1"/>
  <c r="W66" i="10" s="1"/>
  <c r="W67" i="10" s="1"/>
  <c r="W68" i="10" s="1"/>
  <c r="W69" i="10" s="1"/>
  <c r="W70" i="10" s="1"/>
  <c r="W71" i="10" s="1"/>
  <c r="W72" i="10" s="1"/>
  <c r="W73" i="10" s="1"/>
  <c r="W74" i="10" s="1"/>
  <c r="W75" i="10" s="1"/>
  <c r="W76" i="10" s="1"/>
  <c r="W77" i="10" s="1"/>
  <c r="W78" i="10" s="1"/>
  <c r="W79" i="10" s="1"/>
  <c r="W80" i="10" s="1"/>
  <c r="W81" i="10" s="1"/>
  <c r="W82" i="10" s="1"/>
  <c r="W83" i="10" s="1"/>
  <c r="W84" i="10" s="1"/>
  <c r="W85" i="10" s="1"/>
  <c r="W86" i="10" s="1"/>
  <c r="W87" i="10" s="1"/>
  <c r="W88" i="10" s="1"/>
  <c r="W89" i="10" s="1"/>
  <c r="W90" i="10" s="1"/>
  <c r="W91" i="10" s="1"/>
  <c r="W92" i="10" s="1"/>
  <c r="W93" i="10" s="1"/>
  <c r="W94" i="10" s="1"/>
  <c r="W95" i="10" s="1"/>
  <c r="W96" i="10" s="1"/>
  <c r="W97" i="10" s="1"/>
  <c r="W98" i="10" s="1"/>
  <c r="W99" i="10" s="1"/>
  <c r="W100" i="10" s="1"/>
  <c r="W101" i="10" s="1"/>
  <c r="W102" i="10" s="1"/>
  <c r="W103" i="10" s="1"/>
  <c r="W104" i="10" s="1"/>
  <c r="W105" i="10" s="1"/>
  <c r="W106" i="10" s="1"/>
  <c r="W107" i="10" s="1"/>
  <c r="W108" i="10" s="1"/>
  <c r="W109" i="10" s="1"/>
  <c r="W110" i="10" s="1"/>
  <c r="W111" i="10" s="1"/>
  <c r="W112" i="10" s="1"/>
  <c r="W113" i="10" s="1"/>
  <c r="W114" i="10" s="1"/>
  <c r="W116" i="10" s="1"/>
  <c r="W117" i="10" s="1"/>
  <c r="W118" i="10" s="1"/>
  <c r="W119" i="10" s="1"/>
  <c r="W120" i="10" s="1"/>
  <c r="W121" i="10" s="1"/>
  <c r="W122" i="10" s="1"/>
  <c r="W123" i="10" s="1"/>
  <c r="W124" i="10" s="1"/>
  <c r="W125" i="10" s="1"/>
  <c r="W126" i="10" s="1"/>
  <c r="W127" i="10" s="1"/>
  <c r="W128" i="10" s="1"/>
  <c r="W129" i="10" s="1"/>
  <c r="W130" i="10" s="1"/>
  <c r="W131" i="10" s="1"/>
  <c r="W132" i="10" s="1"/>
  <c r="S10" i="10"/>
  <c r="S9" i="10"/>
  <c r="S8" i="10"/>
  <c r="A8" i="10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A109" i="10" s="1"/>
  <c r="A110" i="10" s="1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S7" i="10"/>
  <c r="X6" i="10"/>
  <c r="W6" i="10"/>
  <c r="W7" i="10" s="1"/>
  <c r="W8" i="10" s="1"/>
  <c r="W9" i="10" s="1"/>
  <c r="V6" i="10"/>
  <c r="V7" i="10" s="1"/>
  <c r="S6" i="10"/>
  <c r="A6" i="10"/>
  <c r="A7" i="10" s="1"/>
  <c r="X5" i="10"/>
  <c r="N5" i="10" s="1"/>
  <c r="V5" i="10"/>
  <c r="S5" i="10"/>
  <c r="R5" i="10"/>
  <c r="AA4" i="10"/>
  <c r="AA5" i="10" s="1"/>
  <c r="Z4" i="10"/>
  <c r="Z5" i="10" s="1"/>
  <c r="X4" i="10"/>
  <c r="V4" i="10"/>
  <c r="Y2" i="10"/>
  <c r="Y3" i="10" s="1"/>
  <c r="Y4" i="10" s="1"/>
  <c r="Y5" i="10" s="1"/>
  <c r="V2" i="10"/>
  <c r="D10" i="12" l="1"/>
  <c r="H6" i="10"/>
  <c r="H5" i="10"/>
  <c r="Y6" i="10"/>
  <c r="J5" i="10"/>
  <c r="Z6" i="10"/>
  <c r="V8" i="10"/>
  <c r="R7" i="10"/>
  <c r="P5" i="10"/>
  <c r="AA6" i="10"/>
  <c r="S133" i="10"/>
  <c r="S137" i="10" s="1"/>
  <c r="N6" i="10"/>
  <c r="X7" i="10"/>
  <c r="R6" i="10"/>
  <c r="K136" i="10"/>
  <c r="V9" i="10" l="1"/>
  <c r="R8" i="10"/>
  <c r="J6" i="10"/>
  <c r="T6" i="10" s="1"/>
  <c r="Z7" i="10"/>
  <c r="H7" i="10"/>
  <c r="Y7" i="10"/>
  <c r="AA7" i="10"/>
  <c r="P6" i="10"/>
  <c r="T5" i="10"/>
  <c r="X8" i="10"/>
  <c r="N7" i="10"/>
  <c r="R9" i="10" l="1"/>
  <c r="V10" i="10"/>
  <c r="P7" i="10"/>
  <c r="AA8" i="10"/>
  <c r="Y8" i="10"/>
  <c r="H8" i="10"/>
  <c r="J7" i="10"/>
  <c r="Z8" i="10"/>
  <c r="N8" i="10"/>
  <c r="X9" i="10"/>
  <c r="H9" i="10" l="1"/>
  <c r="Y9" i="10"/>
  <c r="P8" i="10"/>
  <c r="T8" i="10" s="1"/>
  <c r="AA9" i="10"/>
  <c r="R10" i="10"/>
  <c r="V11" i="10"/>
  <c r="T7" i="10"/>
  <c r="N9" i="10"/>
  <c r="X10" i="10"/>
  <c r="Z9" i="10"/>
  <c r="J8" i="10"/>
  <c r="R11" i="10" l="1"/>
  <c r="V12" i="10"/>
  <c r="N10" i="10"/>
  <c r="X11" i="10"/>
  <c r="P9" i="10"/>
  <c r="AA10" i="10"/>
  <c r="Y10" i="10"/>
  <c r="H10" i="10"/>
  <c r="J9" i="10"/>
  <c r="Z10" i="10"/>
  <c r="H12" i="10" l="1"/>
  <c r="Y12" i="10"/>
  <c r="P10" i="10"/>
  <c r="AA11" i="10"/>
  <c r="N11" i="10"/>
  <c r="X12" i="10"/>
  <c r="T9" i="10"/>
  <c r="R12" i="10"/>
  <c r="V13" i="10"/>
  <c r="J10" i="10"/>
  <c r="T10" i="10" s="1"/>
  <c r="Z12" i="10"/>
  <c r="R13" i="10" l="1"/>
  <c r="V14" i="10"/>
  <c r="N12" i="10"/>
  <c r="X13" i="10"/>
  <c r="P11" i="10"/>
  <c r="T11" i="10" s="1"/>
  <c r="AA12" i="10"/>
  <c r="H13" i="10"/>
  <c r="Y13" i="10"/>
  <c r="Z13" i="10"/>
  <c r="J12" i="10"/>
  <c r="T12" i="10" l="1"/>
  <c r="H14" i="10"/>
  <c r="Y14" i="10"/>
  <c r="P12" i="10"/>
  <c r="AA13" i="10"/>
  <c r="N13" i="10"/>
  <c r="X14" i="10"/>
  <c r="R14" i="10"/>
  <c r="V15" i="10"/>
  <c r="Z14" i="10"/>
  <c r="J13" i="10"/>
  <c r="Z15" i="10" l="1"/>
  <c r="J14" i="10"/>
  <c r="V16" i="10"/>
  <c r="R15" i="10"/>
  <c r="N14" i="10"/>
  <c r="X15" i="10"/>
  <c r="P13" i="10"/>
  <c r="T13" i="10" s="1"/>
  <c r="AA14" i="10"/>
  <c r="H15" i="10"/>
  <c r="Y15" i="10"/>
  <c r="Y16" i="10" l="1"/>
  <c r="H16" i="10"/>
  <c r="AA15" i="10"/>
  <c r="P14" i="10"/>
  <c r="T14" i="10" s="1"/>
  <c r="X16" i="10"/>
  <c r="N15" i="10"/>
  <c r="V17" i="10"/>
  <c r="R16" i="10"/>
  <c r="Z16" i="10"/>
  <c r="J15" i="10"/>
  <c r="Z17" i="10" l="1"/>
  <c r="J16" i="10"/>
  <c r="V18" i="10"/>
  <c r="R17" i="10"/>
  <c r="X17" i="10"/>
  <c r="N16" i="10"/>
  <c r="AA16" i="10"/>
  <c r="P15" i="10"/>
  <c r="T15" i="10" s="1"/>
  <c r="Y18" i="10"/>
  <c r="H18" i="10"/>
  <c r="Y22" i="10" l="1"/>
  <c r="H22" i="10"/>
  <c r="AA17" i="10"/>
  <c r="P16" i="10"/>
  <c r="T16" i="10" s="1"/>
  <c r="X18" i="10"/>
  <c r="N17" i="10"/>
  <c r="V19" i="10"/>
  <c r="R18" i="10"/>
  <c r="Z18" i="10"/>
  <c r="J17" i="10"/>
  <c r="Z22" i="10" l="1"/>
  <c r="J18" i="10"/>
  <c r="V20" i="10"/>
  <c r="R19" i="10"/>
  <c r="T19" i="10" s="1"/>
  <c r="N18" i="10"/>
  <c r="X22" i="10"/>
  <c r="AA18" i="10"/>
  <c r="P17" i="10"/>
  <c r="T17" i="10" s="1"/>
  <c r="H24" i="10"/>
  <c r="Y24" i="10"/>
  <c r="Y27" i="10" l="1"/>
  <c r="H27" i="10"/>
  <c r="X23" i="10"/>
  <c r="N22" i="10"/>
  <c r="AA22" i="10"/>
  <c r="P18" i="10"/>
  <c r="T18" i="10" s="1"/>
  <c r="R20" i="10"/>
  <c r="T20" i="10" s="1"/>
  <c r="V21" i="10"/>
  <c r="Z23" i="10"/>
  <c r="J22" i="10"/>
  <c r="R21" i="10" l="1"/>
  <c r="T21" i="10" s="1"/>
  <c r="V22" i="10"/>
  <c r="J23" i="10"/>
  <c r="Z24" i="10"/>
  <c r="P22" i="10"/>
  <c r="AA23" i="10"/>
  <c r="N23" i="10"/>
  <c r="X24" i="10"/>
  <c r="Y28" i="10"/>
  <c r="H28" i="10"/>
  <c r="H29" i="10" l="1"/>
  <c r="Y29" i="10"/>
  <c r="AA24" i="10"/>
  <c r="P23" i="10"/>
  <c r="X27" i="10"/>
  <c r="N24" i="10"/>
  <c r="J24" i="10"/>
  <c r="Z27" i="10"/>
  <c r="V23" i="10"/>
  <c r="R22" i="10"/>
  <c r="T22" i="10" s="1"/>
  <c r="Z28" i="10" l="1"/>
  <c r="J27" i="10"/>
  <c r="X28" i="10"/>
  <c r="N27" i="10"/>
  <c r="P24" i="10"/>
  <c r="AA27" i="10"/>
  <c r="H30" i="10"/>
  <c r="Y30" i="10"/>
  <c r="V24" i="10"/>
  <c r="R23" i="10"/>
  <c r="T23" i="10" s="1"/>
  <c r="V25" i="10" l="1"/>
  <c r="R24" i="10"/>
  <c r="T24" i="10" s="1"/>
  <c r="Y31" i="10"/>
  <c r="H31" i="10"/>
  <c r="P27" i="10"/>
  <c r="AA28" i="10"/>
  <c r="X29" i="10"/>
  <c r="N28" i="10"/>
  <c r="Z29" i="10"/>
  <c r="J28" i="10"/>
  <c r="X30" i="10" l="1"/>
  <c r="N29" i="10"/>
  <c r="AA29" i="10"/>
  <c r="P28" i="10"/>
  <c r="H32" i="10"/>
  <c r="Y32" i="10"/>
  <c r="V26" i="10"/>
  <c r="R25" i="10"/>
  <c r="T25" i="10" s="1"/>
  <c r="Z30" i="10"/>
  <c r="J29" i="10"/>
  <c r="Z31" i="10" l="1"/>
  <c r="J30" i="10"/>
  <c r="R26" i="10"/>
  <c r="T26" i="10" s="1"/>
  <c r="V27" i="10"/>
  <c r="H33" i="10"/>
  <c r="Y33" i="10"/>
  <c r="AA30" i="10"/>
  <c r="P29" i="10"/>
  <c r="X31" i="10"/>
  <c r="N30" i="10"/>
  <c r="P30" i="10" l="1"/>
  <c r="AA31" i="10"/>
  <c r="N31" i="10"/>
  <c r="X32" i="10"/>
  <c r="H34" i="10"/>
  <c r="Y34" i="10"/>
  <c r="V28" i="10"/>
  <c r="R27" i="10"/>
  <c r="T27" i="10" s="1"/>
  <c r="J31" i="10"/>
  <c r="Z32" i="10"/>
  <c r="H35" i="10" l="1"/>
  <c r="Y35" i="10"/>
  <c r="N32" i="10"/>
  <c r="X33" i="10"/>
  <c r="V29" i="10"/>
  <c r="R28" i="10"/>
  <c r="T28" i="10" s="1"/>
  <c r="P31" i="10"/>
  <c r="AA32" i="10"/>
  <c r="J32" i="10"/>
  <c r="Z33" i="10"/>
  <c r="P32" i="10" l="1"/>
  <c r="AA33" i="10"/>
  <c r="V30" i="10"/>
  <c r="R29" i="10"/>
  <c r="T29" i="10" s="1"/>
  <c r="N33" i="10"/>
  <c r="X34" i="10"/>
  <c r="Y42" i="10"/>
  <c r="H42" i="10"/>
  <c r="Z34" i="10"/>
  <c r="J33" i="10"/>
  <c r="X35" i="10" l="1"/>
  <c r="N34" i="10"/>
  <c r="R30" i="10"/>
  <c r="T30" i="10" s="1"/>
  <c r="V31" i="10"/>
  <c r="J34" i="10"/>
  <c r="Z35" i="10"/>
  <c r="Y43" i="10"/>
  <c r="H43" i="10"/>
  <c r="P33" i="10"/>
  <c r="AA34" i="10"/>
  <c r="H44" i="10" l="1"/>
  <c r="Y44" i="10"/>
  <c r="J35" i="10"/>
  <c r="Z42" i="10"/>
  <c r="R31" i="10"/>
  <c r="T31" i="10" s="1"/>
  <c r="V32" i="10"/>
  <c r="X36" i="10"/>
  <c r="N35" i="10"/>
  <c r="P34" i="10"/>
  <c r="AA35" i="10"/>
  <c r="N36" i="10" l="1"/>
  <c r="X37" i="10"/>
  <c r="R32" i="10"/>
  <c r="T32" i="10" s="1"/>
  <c r="V33" i="10"/>
  <c r="Z43" i="10"/>
  <c r="J42" i="10"/>
  <c r="H45" i="10"/>
  <c r="Y45" i="10"/>
  <c r="AA36" i="10"/>
  <c r="P35" i="10"/>
  <c r="Y46" i="10" l="1"/>
  <c r="H46" i="10"/>
  <c r="Z44" i="10"/>
  <c r="J43" i="10"/>
  <c r="R33" i="10"/>
  <c r="T33" i="10" s="1"/>
  <c r="V34" i="10"/>
  <c r="X38" i="10"/>
  <c r="N37" i="10"/>
  <c r="P36" i="10"/>
  <c r="AA37" i="10"/>
  <c r="N38" i="10" l="1"/>
  <c r="X42" i="10"/>
  <c r="R34" i="10"/>
  <c r="T34" i="10" s="1"/>
  <c r="V35" i="10"/>
  <c r="Z45" i="10"/>
  <c r="J44" i="10"/>
  <c r="P37" i="10"/>
  <c r="AA38" i="10"/>
  <c r="H47" i="10"/>
  <c r="Y47" i="10"/>
  <c r="AA42" i="10" l="1"/>
  <c r="P38" i="10"/>
  <c r="J45" i="10"/>
  <c r="Z46" i="10"/>
  <c r="R35" i="10"/>
  <c r="T35" i="10" s="1"/>
  <c r="V36" i="10"/>
  <c r="N42" i="10"/>
  <c r="X43" i="10"/>
  <c r="Y48" i="10"/>
  <c r="H48" i="10"/>
  <c r="Y50" i="10" l="1"/>
  <c r="H50" i="10"/>
  <c r="R36" i="10"/>
  <c r="T36" i="10" s="1"/>
  <c r="V37" i="10"/>
  <c r="N43" i="10"/>
  <c r="X44" i="10"/>
  <c r="J46" i="10"/>
  <c r="Z47" i="10"/>
  <c r="P42" i="10"/>
  <c r="AA43" i="10"/>
  <c r="P43" i="10" l="1"/>
  <c r="AA44" i="10"/>
  <c r="J47" i="10"/>
  <c r="Z48" i="10"/>
  <c r="N44" i="10"/>
  <c r="X45" i="10"/>
  <c r="V38" i="10"/>
  <c r="R37" i="10"/>
  <c r="T37" i="10" s="1"/>
  <c r="Y51" i="10"/>
  <c r="H51" i="10"/>
  <c r="X46" i="10" l="1"/>
  <c r="N45" i="10"/>
  <c r="Z50" i="10"/>
  <c r="J48" i="10"/>
  <c r="Y52" i="10"/>
  <c r="H52" i="10"/>
  <c r="V39" i="10"/>
  <c r="R38" i="10"/>
  <c r="T38" i="10" s="1"/>
  <c r="P44" i="10"/>
  <c r="AA45" i="10"/>
  <c r="V40" i="10" l="1"/>
  <c r="R39" i="10"/>
  <c r="T39" i="10" s="1"/>
  <c r="H53" i="10"/>
  <c r="Y53" i="10"/>
  <c r="Z51" i="10"/>
  <c r="J50" i="10"/>
  <c r="P45" i="10"/>
  <c r="AA46" i="10"/>
  <c r="N46" i="10"/>
  <c r="X47" i="10"/>
  <c r="Z52" i="10" l="1"/>
  <c r="J51" i="10"/>
  <c r="Y54" i="10"/>
  <c r="H54" i="10"/>
  <c r="N47" i="10"/>
  <c r="X48" i="10"/>
  <c r="V41" i="10"/>
  <c r="R40" i="10"/>
  <c r="T40" i="10" s="1"/>
  <c r="P46" i="10"/>
  <c r="AA47" i="10"/>
  <c r="V42" i="10" l="1"/>
  <c r="R41" i="10"/>
  <c r="T41" i="10" s="1"/>
  <c r="X49" i="10"/>
  <c r="N48" i="10"/>
  <c r="H55" i="10"/>
  <c r="Y55" i="10"/>
  <c r="Z53" i="10"/>
  <c r="J52" i="10"/>
  <c r="P47" i="10"/>
  <c r="AA48" i="10"/>
  <c r="R42" i="10" l="1"/>
  <c r="T42" i="10" s="1"/>
  <c r="V43" i="10"/>
  <c r="J53" i="10"/>
  <c r="Z54" i="10"/>
  <c r="H59" i="10"/>
  <c r="Y59" i="10"/>
  <c r="X50" i="10"/>
  <c r="N49" i="10"/>
  <c r="P48" i="10"/>
  <c r="AA49" i="10"/>
  <c r="X51" i="10" l="1"/>
  <c r="N50" i="10"/>
  <c r="Y60" i="10"/>
  <c r="H60" i="10"/>
  <c r="J54" i="10"/>
  <c r="Z55" i="10"/>
  <c r="R43" i="10"/>
  <c r="T43" i="10" s="1"/>
  <c r="V44" i="10"/>
  <c r="AA50" i="10"/>
  <c r="P49" i="10"/>
  <c r="Z59" i="10" l="1"/>
  <c r="J55" i="10"/>
  <c r="H64" i="10"/>
  <c r="Y64" i="10"/>
  <c r="X52" i="10"/>
  <c r="N51" i="10"/>
  <c r="AA51" i="10"/>
  <c r="P50" i="10"/>
  <c r="R44" i="10"/>
  <c r="T44" i="10" s="1"/>
  <c r="V45" i="10"/>
  <c r="P51" i="10" l="1"/>
  <c r="AA52" i="10"/>
  <c r="Z60" i="10"/>
  <c r="J59" i="10"/>
  <c r="N52" i="10"/>
  <c r="X53" i="10"/>
  <c r="H65" i="10"/>
  <c r="Y65" i="10"/>
  <c r="R45" i="10"/>
  <c r="T45" i="10" s="1"/>
  <c r="V46" i="10"/>
  <c r="X54" i="10" l="1"/>
  <c r="N53" i="10"/>
  <c r="Z61" i="10"/>
  <c r="J60" i="10"/>
  <c r="V47" i="10"/>
  <c r="R46" i="10"/>
  <c r="T46" i="10" s="1"/>
  <c r="AA53" i="10"/>
  <c r="P52" i="10"/>
  <c r="H66" i="10"/>
  <c r="Y66" i="10"/>
  <c r="P53" i="10" l="1"/>
  <c r="AA54" i="10"/>
  <c r="V48" i="10"/>
  <c r="R47" i="10"/>
  <c r="T47" i="10" s="1"/>
  <c r="Z62" i="10"/>
  <c r="J61" i="10"/>
  <c r="Y70" i="10"/>
  <c r="H70" i="10"/>
  <c r="N54" i="10"/>
  <c r="X55" i="10"/>
  <c r="Z63" i="10" l="1"/>
  <c r="J62" i="10"/>
  <c r="AA55" i="10"/>
  <c r="P54" i="10"/>
  <c r="H71" i="10"/>
  <c r="Y71" i="10"/>
  <c r="V49" i="10"/>
  <c r="R48" i="10"/>
  <c r="T48" i="10" s="1"/>
  <c r="N55" i="10"/>
  <c r="X56" i="10"/>
  <c r="R49" i="10" l="1"/>
  <c r="T49" i="10" s="1"/>
  <c r="V50" i="10"/>
  <c r="Y72" i="10"/>
  <c r="H72" i="10"/>
  <c r="AA56" i="10"/>
  <c r="P55" i="10"/>
  <c r="J63" i="10"/>
  <c r="Z64" i="10"/>
  <c r="X57" i="10"/>
  <c r="N56" i="10"/>
  <c r="J64" i="10" l="1"/>
  <c r="Z65" i="10"/>
  <c r="X58" i="10"/>
  <c r="N57" i="10"/>
  <c r="AA57" i="10"/>
  <c r="P56" i="10"/>
  <c r="Y73" i="10"/>
  <c r="H73" i="10"/>
  <c r="R50" i="10"/>
  <c r="T50" i="10" s="1"/>
  <c r="V51" i="10"/>
  <c r="H76" i="10" l="1"/>
  <c r="Y76" i="10"/>
  <c r="AA58" i="10"/>
  <c r="P57" i="10"/>
  <c r="N58" i="10"/>
  <c r="X59" i="10"/>
  <c r="J65" i="10"/>
  <c r="Z66" i="10"/>
  <c r="R51" i="10"/>
  <c r="T51" i="10" s="1"/>
  <c r="V52" i="10"/>
  <c r="R52" i="10" l="1"/>
  <c r="T52" i="10" s="1"/>
  <c r="V53" i="10"/>
  <c r="Y79" i="10"/>
  <c r="H79" i="10"/>
  <c r="J66" i="10"/>
  <c r="Z67" i="10"/>
  <c r="X60" i="10"/>
  <c r="N59" i="10"/>
  <c r="AA59" i="10"/>
  <c r="P58" i="10"/>
  <c r="AA60" i="10" l="1"/>
  <c r="P59" i="10"/>
  <c r="J67" i="10"/>
  <c r="Z68" i="10"/>
  <c r="X61" i="10"/>
  <c r="N60" i="10"/>
  <c r="V54" i="10"/>
  <c r="R53" i="10"/>
  <c r="T53" i="10" s="1"/>
  <c r="H85" i="10"/>
  <c r="Y85" i="10"/>
  <c r="V55" i="10" l="1"/>
  <c r="R54" i="10"/>
  <c r="T54" i="10" s="1"/>
  <c r="X62" i="10"/>
  <c r="N61" i="10"/>
  <c r="Z69" i="10"/>
  <c r="J68" i="10"/>
  <c r="H86" i="10"/>
  <c r="Y86" i="10"/>
  <c r="AA61" i="10"/>
  <c r="P60" i="10"/>
  <c r="Z70" i="10" l="1"/>
  <c r="J69" i="10"/>
  <c r="X63" i="10"/>
  <c r="N62" i="10"/>
  <c r="AA62" i="10"/>
  <c r="P61" i="10"/>
  <c r="Y87" i="10"/>
  <c r="H87" i="10"/>
  <c r="V56" i="10"/>
  <c r="R55" i="10"/>
  <c r="T55" i="10" s="1"/>
  <c r="H89" i="10" l="1"/>
  <c r="Y89" i="10"/>
  <c r="AA63" i="10"/>
  <c r="P62" i="10"/>
  <c r="N63" i="10"/>
  <c r="X64" i="10"/>
  <c r="Z71" i="10"/>
  <c r="J70" i="10"/>
  <c r="R56" i="10"/>
  <c r="T56" i="10" s="1"/>
  <c r="V57" i="10"/>
  <c r="N64" i="10" l="1"/>
  <c r="X65" i="10"/>
  <c r="V58" i="10"/>
  <c r="R57" i="10"/>
  <c r="T57" i="10" s="1"/>
  <c r="AA64" i="10"/>
  <c r="P63" i="10"/>
  <c r="Z72" i="10"/>
  <c r="J71" i="10"/>
  <c r="Y90" i="10"/>
  <c r="H90" i="10"/>
  <c r="Y91" i="10" l="1"/>
  <c r="H91" i="10"/>
  <c r="Z73" i="10"/>
  <c r="J72" i="10"/>
  <c r="AA65" i="10"/>
  <c r="P64" i="10"/>
  <c r="R58" i="10"/>
  <c r="T58" i="10" s="1"/>
  <c r="V59" i="10"/>
  <c r="N65" i="10"/>
  <c r="X66" i="10"/>
  <c r="V60" i="10" l="1"/>
  <c r="R59" i="10"/>
  <c r="T59" i="10" s="1"/>
  <c r="P65" i="10"/>
  <c r="AA66" i="10"/>
  <c r="Z74" i="10"/>
  <c r="J73" i="10"/>
  <c r="Y92" i="10"/>
  <c r="H92" i="10"/>
  <c r="X67" i="10"/>
  <c r="N66" i="10"/>
  <c r="H93" i="10" l="1"/>
  <c r="Y93" i="10"/>
  <c r="J74" i="10"/>
  <c r="Z75" i="10"/>
  <c r="P66" i="10"/>
  <c r="AA67" i="10"/>
  <c r="V61" i="10"/>
  <c r="R60" i="10"/>
  <c r="T60" i="10" s="1"/>
  <c r="N67" i="10"/>
  <c r="X68" i="10"/>
  <c r="R61" i="10" l="1"/>
  <c r="T61" i="10" s="1"/>
  <c r="V62" i="10"/>
  <c r="P67" i="10"/>
  <c r="AA68" i="10"/>
  <c r="J75" i="10"/>
  <c r="Z76" i="10"/>
  <c r="Y94" i="10"/>
  <c r="H94" i="10"/>
  <c r="N68" i="10"/>
  <c r="X69" i="10"/>
  <c r="H95" i="10" l="1"/>
  <c r="Y95" i="10"/>
  <c r="P68" i="10"/>
  <c r="AA69" i="10"/>
  <c r="N69" i="10"/>
  <c r="X70" i="10"/>
  <c r="R62" i="10"/>
  <c r="T62" i="10" s="1"/>
  <c r="V63" i="10"/>
  <c r="J76" i="10"/>
  <c r="Z77" i="10"/>
  <c r="N70" i="10" l="1"/>
  <c r="X71" i="10"/>
  <c r="P69" i="10"/>
  <c r="AA70" i="10"/>
  <c r="Y96" i="10"/>
  <c r="H96" i="10"/>
  <c r="J77" i="10"/>
  <c r="Z78" i="10"/>
  <c r="V64" i="10"/>
  <c r="R63" i="10"/>
  <c r="T63" i="10" s="1"/>
  <c r="Y97" i="10" l="1"/>
  <c r="H97" i="10"/>
  <c r="AA71" i="10"/>
  <c r="P70" i="10"/>
  <c r="X72" i="10"/>
  <c r="N71" i="10"/>
  <c r="Z79" i="10"/>
  <c r="J78" i="10"/>
  <c r="R64" i="10"/>
  <c r="T64" i="10" s="1"/>
  <c r="V65" i="10"/>
  <c r="X73" i="10" l="1"/>
  <c r="N72" i="10"/>
  <c r="AA72" i="10"/>
  <c r="P71" i="10"/>
  <c r="Y100" i="10"/>
  <c r="H100" i="10"/>
  <c r="Z85" i="10"/>
  <c r="J79" i="10"/>
  <c r="R65" i="10"/>
  <c r="T65" i="10" s="1"/>
  <c r="V66" i="10"/>
  <c r="N73" i="10" l="1"/>
  <c r="X74" i="10"/>
  <c r="J85" i="10"/>
  <c r="Z86" i="10"/>
  <c r="H101" i="10"/>
  <c r="Y101" i="10"/>
  <c r="AA73" i="10"/>
  <c r="P72" i="10"/>
  <c r="R66" i="10"/>
  <c r="T66" i="10" s="1"/>
  <c r="V67" i="10"/>
  <c r="AA74" i="10" l="1"/>
  <c r="P73" i="10"/>
  <c r="Y103" i="10"/>
  <c r="H103" i="10"/>
  <c r="J86" i="10"/>
  <c r="Z87" i="10"/>
  <c r="X75" i="10"/>
  <c r="N74" i="10"/>
  <c r="R67" i="10"/>
  <c r="T67" i="10" s="1"/>
  <c r="V68" i="10"/>
  <c r="N75" i="10" l="1"/>
  <c r="X76" i="10"/>
  <c r="J87" i="10"/>
  <c r="Z88" i="10"/>
  <c r="H104" i="10"/>
  <c r="Y104" i="10"/>
  <c r="V69" i="10"/>
  <c r="R68" i="10"/>
  <c r="T68" i="10" s="1"/>
  <c r="P74" i="10"/>
  <c r="AA75" i="10"/>
  <c r="H113" i="10" l="1"/>
  <c r="Y113" i="10"/>
  <c r="V70" i="10"/>
  <c r="R69" i="10"/>
  <c r="T69" i="10" s="1"/>
  <c r="J88" i="10"/>
  <c r="Z89" i="10"/>
  <c r="N76" i="10"/>
  <c r="X77" i="10"/>
  <c r="P75" i="10"/>
  <c r="AA76" i="10"/>
  <c r="X78" i="10" l="1"/>
  <c r="N77" i="10"/>
  <c r="Z90" i="10"/>
  <c r="J89" i="10"/>
  <c r="V71" i="10"/>
  <c r="R70" i="10"/>
  <c r="T70" i="10" s="1"/>
  <c r="P76" i="10"/>
  <c r="AA77" i="10"/>
  <c r="Y116" i="10"/>
  <c r="H116" i="10"/>
  <c r="Z91" i="10" l="1"/>
  <c r="J90" i="10"/>
  <c r="Y117" i="10"/>
  <c r="H117" i="10"/>
  <c r="P77" i="10"/>
  <c r="AA78" i="10"/>
  <c r="V72" i="10"/>
  <c r="R71" i="10"/>
  <c r="T71" i="10" s="1"/>
  <c r="X79" i="10"/>
  <c r="N78" i="10"/>
  <c r="P78" i="10" l="1"/>
  <c r="AA79" i="10"/>
  <c r="Z92" i="10"/>
  <c r="J91" i="10"/>
  <c r="N79" i="10"/>
  <c r="X80" i="10"/>
  <c r="V73" i="10"/>
  <c r="R72" i="10"/>
  <c r="T72" i="10" s="1"/>
  <c r="H118" i="10"/>
  <c r="Y118" i="10"/>
  <c r="V74" i="10" l="1"/>
  <c r="R73" i="10"/>
  <c r="T73" i="10" s="1"/>
  <c r="N80" i="10"/>
  <c r="X81" i="10"/>
  <c r="Z93" i="10"/>
  <c r="J92" i="10"/>
  <c r="P79" i="10"/>
  <c r="AA80" i="10"/>
  <c r="H119" i="10"/>
  <c r="Y119" i="10"/>
  <c r="H122" i="10" l="1"/>
  <c r="Y122" i="10"/>
  <c r="V75" i="10"/>
  <c r="R74" i="10"/>
  <c r="T74" i="10" s="1"/>
  <c r="P80" i="10"/>
  <c r="AA81" i="10"/>
  <c r="Z94" i="10"/>
  <c r="J93" i="10"/>
  <c r="N81" i="10"/>
  <c r="X82" i="10"/>
  <c r="Z95" i="10" l="1"/>
  <c r="J94" i="10"/>
  <c r="H123" i="10"/>
  <c r="Y123" i="10"/>
  <c r="X83" i="10"/>
  <c r="N82" i="10"/>
  <c r="P81" i="10"/>
  <c r="AA82" i="10"/>
  <c r="R75" i="10"/>
  <c r="T75" i="10" s="1"/>
  <c r="V76" i="10"/>
  <c r="P82" i="10" l="1"/>
  <c r="AA83" i="10"/>
  <c r="X84" i="10"/>
  <c r="N83" i="10"/>
  <c r="H124" i="10"/>
  <c r="Y124" i="10"/>
  <c r="Z96" i="10"/>
  <c r="J95" i="10"/>
  <c r="R76" i="10"/>
  <c r="T76" i="10" s="1"/>
  <c r="V77" i="10"/>
  <c r="Z97" i="10" l="1"/>
  <c r="J96" i="10"/>
  <c r="H129" i="10"/>
  <c r="Y129" i="10"/>
  <c r="H131" i="10" s="1"/>
  <c r="N84" i="10"/>
  <c r="X85" i="10"/>
  <c r="R77" i="10"/>
  <c r="T77" i="10" s="1"/>
  <c r="V78" i="10"/>
  <c r="AA84" i="10"/>
  <c r="P83" i="10"/>
  <c r="R78" i="10" l="1"/>
  <c r="T78" i="10" s="1"/>
  <c r="V79" i="10"/>
  <c r="N85" i="10"/>
  <c r="X86" i="10"/>
  <c r="H133" i="10"/>
  <c r="P84" i="10"/>
  <c r="AA85" i="10"/>
  <c r="H134" i="10"/>
  <c r="Z98" i="10"/>
  <c r="J97" i="10"/>
  <c r="R79" i="10" l="1"/>
  <c r="T79" i="10" s="1"/>
  <c r="V80" i="10"/>
  <c r="AA86" i="10"/>
  <c r="P85" i="10"/>
  <c r="X87" i="10"/>
  <c r="N86" i="10"/>
  <c r="Z99" i="10"/>
  <c r="J98" i="10"/>
  <c r="H137" i="10"/>
  <c r="J99" i="10" l="1"/>
  <c r="Z100" i="10"/>
  <c r="N87" i="10"/>
  <c r="X88" i="10"/>
  <c r="P86" i="10"/>
  <c r="AA87" i="10"/>
  <c r="R80" i="10"/>
  <c r="T80" i="10" s="1"/>
  <c r="V81" i="10"/>
  <c r="R81" i="10" l="1"/>
  <c r="T81" i="10" s="1"/>
  <c r="V82" i="10"/>
  <c r="P87" i="10"/>
  <c r="AA88" i="10"/>
  <c r="N88" i="10"/>
  <c r="X89" i="10"/>
  <c r="Z101" i="10"/>
  <c r="J100" i="10"/>
  <c r="Z102" i="10" l="1"/>
  <c r="J101" i="10"/>
  <c r="X90" i="10"/>
  <c r="N89" i="10"/>
  <c r="AA89" i="10"/>
  <c r="P88" i="10"/>
  <c r="R82" i="10"/>
  <c r="T82" i="10" s="1"/>
  <c r="V83" i="10"/>
  <c r="V84" i="10" l="1"/>
  <c r="R83" i="10"/>
  <c r="T83" i="10" s="1"/>
  <c r="X91" i="10"/>
  <c r="N90" i="10"/>
  <c r="P89" i="10"/>
  <c r="AA90" i="10"/>
  <c r="J102" i="10"/>
  <c r="Z103" i="10"/>
  <c r="Z104" i="10" l="1"/>
  <c r="J103" i="10"/>
  <c r="P90" i="10"/>
  <c r="AA91" i="10"/>
  <c r="X92" i="10"/>
  <c r="N91" i="10"/>
  <c r="V85" i="10"/>
  <c r="R84" i="10"/>
  <c r="T84" i="10" s="1"/>
  <c r="V86" i="10" l="1"/>
  <c r="R85" i="10"/>
  <c r="T85" i="10" s="1"/>
  <c r="N92" i="10"/>
  <c r="X93" i="10"/>
  <c r="AA92" i="10"/>
  <c r="P91" i="10"/>
  <c r="J104" i="10"/>
  <c r="Z105" i="10"/>
  <c r="Z106" i="10" l="1"/>
  <c r="J105" i="10"/>
  <c r="AA93" i="10"/>
  <c r="P92" i="10"/>
  <c r="X94" i="10"/>
  <c r="N93" i="10"/>
  <c r="R86" i="10"/>
  <c r="T86" i="10" s="1"/>
  <c r="V87" i="10"/>
  <c r="V88" i="10" l="1"/>
  <c r="R87" i="10"/>
  <c r="T87" i="10" s="1"/>
  <c r="N94" i="10"/>
  <c r="X95" i="10"/>
  <c r="P93" i="10"/>
  <c r="AA94" i="10"/>
  <c r="Z107" i="10"/>
  <c r="J106" i="10"/>
  <c r="Z109" i="10" l="1"/>
  <c r="J107" i="10"/>
  <c r="P94" i="10"/>
  <c r="AA95" i="10"/>
  <c r="X96" i="10"/>
  <c r="N95" i="10"/>
  <c r="R88" i="10"/>
  <c r="T88" i="10" s="1"/>
  <c r="V89" i="10"/>
  <c r="R89" i="10" l="1"/>
  <c r="T89" i="10" s="1"/>
  <c r="V90" i="10"/>
  <c r="X97" i="10"/>
  <c r="N96" i="10"/>
  <c r="P95" i="10"/>
  <c r="AA96" i="10"/>
  <c r="J109" i="10"/>
  <c r="Z110" i="10"/>
  <c r="J110" i="10" l="1"/>
  <c r="Z111" i="10"/>
  <c r="X98" i="10"/>
  <c r="N97" i="10"/>
  <c r="V91" i="10"/>
  <c r="R90" i="10"/>
  <c r="T90" i="10" s="1"/>
  <c r="AA97" i="10"/>
  <c r="P96" i="10"/>
  <c r="V92" i="10" l="1"/>
  <c r="R91" i="10"/>
  <c r="T91" i="10" s="1"/>
  <c r="N98" i="10"/>
  <c r="X99" i="10"/>
  <c r="J111" i="10"/>
  <c r="Z112" i="10"/>
  <c r="AA98" i="10"/>
  <c r="P97" i="10"/>
  <c r="P98" i="10" l="1"/>
  <c r="AA99" i="10"/>
  <c r="J112" i="10"/>
  <c r="Z113" i="10"/>
  <c r="X100" i="10"/>
  <c r="N99" i="10"/>
  <c r="R92" i="10"/>
  <c r="T92" i="10" s="1"/>
  <c r="V93" i="10"/>
  <c r="R93" i="10" l="1"/>
  <c r="T93" i="10" s="1"/>
  <c r="V94" i="10"/>
  <c r="N100" i="10"/>
  <c r="X101" i="10"/>
  <c r="J113" i="10"/>
  <c r="Z116" i="10"/>
  <c r="P99" i="10"/>
  <c r="AA100" i="10"/>
  <c r="Z117" i="10" l="1"/>
  <c r="J116" i="10"/>
  <c r="AA101" i="10"/>
  <c r="P100" i="10"/>
  <c r="X102" i="10"/>
  <c r="N101" i="10"/>
  <c r="R94" i="10"/>
  <c r="T94" i="10" s="1"/>
  <c r="V95" i="10"/>
  <c r="N102" i="10" l="1"/>
  <c r="X103" i="10"/>
  <c r="P101" i="10"/>
  <c r="AA102" i="10"/>
  <c r="V96" i="10"/>
  <c r="R95" i="10"/>
  <c r="T95" i="10" s="1"/>
  <c r="Z118" i="10"/>
  <c r="J117" i="10"/>
  <c r="V97" i="10" l="1"/>
  <c r="R96" i="10"/>
  <c r="T96" i="10" s="1"/>
  <c r="J118" i="10"/>
  <c r="Z119" i="10"/>
  <c r="P102" i="10"/>
  <c r="AA103" i="10"/>
  <c r="N103" i="10"/>
  <c r="X104" i="10"/>
  <c r="X105" i="10" l="1"/>
  <c r="N104" i="10"/>
  <c r="P103" i="10"/>
  <c r="AA104" i="10"/>
  <c r="J119" i="10"/>
  <c r="Z122" i="10"/>
  <c r="V98" i="10"/>
  <c r="R97" i="10"/>
  <c r="T97" i="10" s="1"/>
  <c r="Z123" i="10" l="1"/>
  <c r="J122" i="10"/>
  <c r="V99" i="10"/>
  <c r="R98" i="10"/>
  <c r="T98" i="10" s="1"/>
  <c r="AA105" i="10"/>
  <c r="P104" i="10"/>
  <c r="N105" i="10"/>
  <c r="X106" i="10"/>
  <c r="N106" i="10" l="1"/>
  <c r="X107" i="10"/>
  <c r="AA106" i="10"/>
  <c r="P105" i="10"/>
  <c r="V100" i="10"/>
  <c r="R99" i="10"/>
  <c r="T99" i="10" s="1"/>
  <c r="Z124" i="10"/>
  <c r="J123" i="10"/>
  <c r="Z129" i="10" l="1"/>
  <c r="J124" i="10"/>
  <c r="V101" i="10"/>
  <c r="R100" i="10"/>
  <c r="T100" i="10" s="1"/>
  <c r="AA107" i="10"/>
  <c r="P106" i="10"/>
  <c r="X108" i="10"/>
  <c r="N107" i="10"/>
  <c r="X109" i="10" l="1"/>
  <c r="N108" i="10"/>
  <c r="AA108" i="10"/>
  <c r="P107" i="10"/>
  <c r="R101" i="10"/>
  <c r="T101" i="10" s="1"/>
  <c r="V102" i="10"/>
  <c r="J129" i="10"/>
  <c r="Z130" i="10"/>
  <c r="J130" i="10" l="1"/>
  <c r="Z131" i="10"/>
  <c r="J131" i="10" s="1"/>
  <c r="R102" i="10"/>
  <c r="T102" i="10" s="1"/>
  <c r="V103" i="10"/>
  <c r="AA109" i="10"/>
  <c r="P108" i="10"/>
  <c r="N109" i="10"/>
  <c r="X110" i="10"/>
  <c r="N110" i="10" l="1"/>
  <c r="X111" i="10"/>
  <c r="P109" i="10"/>
  <c r="AA110" i="10"/>
  <c r="V104" i="10"/>
  <c r="R103" i="10"/>
  <c r="T103" i="10" s="1"/>
  <c r="J133" i="10"/>
  <c r="V105" i="10" l="1"/>
  <c r="R104" i="10"/>
  <c r="T104" i="10" s="1"/>
  <c r="AA111" i="10"/>
  <c r="P110" i="10"/>
  <c r="N111" i="10"/>
  <c r="X112" i="10"/>
  <c r="N112" i="10" l="1"/>
  <c r="X113" i="10"/>
  <c r="AA112" i="10"/>
  <c r="P111" i="10"/>
  <c r="V106" i="10"/>
  <c r="R105" i="10"/>
  <c r="T105" i="10" s="1"/>
  <c r="V107" i="10" l="1"/>
  <c r="R106" i="10"/>
  <c r="T106" i="10" s="1"/>
  <c r="AA113" i="10"/>
  <c r="P112" i="10"/>
  <c r="X114" i="10"/>
  <c r="N113" i="10"/>
  <c r="X116" i="10" l="1"/>
  <c r="N114" i="10"/>
  <c r="AA114" i="10"/>
  <c r="P113" i="10"/>
  <c r="R107" i="10"/>
  <c r="T107" i="10" s="1"/>
  <c r="V108" i="10"/>
  <c r="V109" i="10" l="1"/>
  <c r="R108" i="10"/>
  <c r="T108" i="10" s="1"/>
  <c r="AA116" i="10"/>
  <c r="P114" i="10"/>
  <c r="N116" i="10"/>
  <c r="X117" i="10"/>
  <c r="N117" i="10" l="1"/>
  <c r="X118" i="10"/>
  <c r="P116" i="10"/>
  <c r="AA117" i="10"/>
  <c r="R109" i="10"/>
  <c r="T109" i="10" s="1"/>
  <c r="V110" i="10"/>
  <c r="R110" i="10" l="1"/>
  <c r="T110" i="10" s="1"/>
  <c r="V111" i="10"/>
  <c r="P117" i="10"/>
  <c r="AA118" i="10"/>
  <c r="N118" i="10"/>
  <c r="X119" i="10"/>
  <c r="N119" i="10" l="1"/>
  <c r="X120" i="10"/>
  <c r="P118" i="10"/>
  <c r="AA119" i="10"/>
  <c r="V112" i="10"/>
  <c r="R111" i="10"/>
  <c r="T111" i="10" s="1"/>
  <c r="AA120" i="10" l="1"/>
  <c r="P119" i="10"/>
  <c r="N120" i="10"/>
  <c r="X121" i="10"/>
  <c r="V113" i="10"/>
  <c r="R112" i="10"/>
  <c r="T112" i="10" s="1"/>
  <c r="R113" i="10" l="1"/>
  <c r="T113" i="10" s="1"/>
  <c r="V114" i="10"/>
  <c r="N121" i="10"/>
  <c r="X122" i="10"/>
  <c r="AA121" i="10"/>
  <c r="P120" i="10"/>
  <c r="N122" i="10" l="1"/>
  <c r="X123" i="10"/>
  <c r="R114" i="10"/>
  <c r="T114" i="10" s="1"/>
  <c r="V115" i="10"/>
  <c r="P121" i="10"/>
  <c r="AA122" i="10"/>
  <c r="P122" i="10" l="1"/>
  <c r="AA123" i="10"/>
  <c r="V116" i="10"/>
  <c r="R115" i="10"/>
  <c r="T115" i="10" s="1"/>
  <c r="N123" i="10"/>
  <c r="X124" i="10"/>
  <c r="N124" i="10" l="1"/>
  <c r="X125" i="10"/>
  <c r="V117" i="10"/>
  <c r="R116" i="10"/>
  <c r="T116" i="10" s="1"/>
  <c r="AA124" i="10"/>
  <c r="P123" i="10"/>
  <c r="AA125" i="10" l="1"/>
  <c r="P124" i="10"/>
  <c r="R117" i="10"/>
  <c r="T117" i="10" s="1"/>
  <c r="V118" i="10"/>
  <c r="X126" i="10"/>
  <c r="N125" i="10"/>
  <c r="N126" i="10" l="1"/>
  <c r="X127" i="10"/>
  <c r="R118" i="10"/>
  <c r="T118" i="10" s="1"/>
  <c r="V119" i="10"/>
  <c r="AA126" i="10"/>
  <c r="P125" i="10"/>
  <c r="P126" i="10" l="1"/>
  <c r="AA127" i="10"/>
  <c r="R119" i="10"/>
  <c r="T119" i="10" s="1"/>
  <c r="V120" i="10"/>
  <c r="N127" i="10"/>
  <c r="X128" i="10"/>
  <c r="N128" i="10" l="1"/>
  <c r="X129" i="10"/>
  <c r="V121" i="10"/>
  <c r="R120" i="10"/>
  <c r="T120" i="10" s="1"/>
  <c r="P127" i="10"/>
  <c r="AA128" i="10"/>
  <c r="N129" i="10" l="1"/>
  <c r="X130" i="10"/>
  <c r="AA129" i="10"/>
  <c r="P128" i="10"/>
  <c r="R121" i="10"/>
  <c r="T121" i="10" s="1"/>
  <c r="V122" i="10"/>
  <c r="R122" i="10" l="1"/>
  <c r="T122" i="10" s="1"/>
  <c r="V123" i="10"/>
  <c r="AA130" i="10"/>
  <c r="P129" i="10"/>
  <c r="N130" i="10"/>
  <c r="X131" i="10"/>
  <c r="V124" i="10" l="1"/>
  <c r="R123" i="10"/>
  <c r="T123" i="10" s="1"/>
  <c r="N131" i="10"/>
  <c r="X132" i="10"/>
  <c r="N132" i="10" s="1"/>
  <c r="P130" i="10"/>
  <c r="AA131" i="10"/>
  <c r="P131" i="10" l="1"/>
  <c r="P133" i="10" s="1"/>
  <c r="P134" i="10" s="1"/>
  <c r="P137" i="10" s="1"/>
  <c r="AA132" i="10"/>
  <c r="N133" i="10"/>
  <c r="N134" i="10" s="1"/>
  <c r="V125" i="10"/>
  <c r="R124" i="10"/>
  <c r="T124" i="10" s="1"/>
  <c r="R125" i="10" l="1"/>
  <c r="T125" i="10" s="1"/>
  <c r="V126" i="10"/>
  <c r="N137" i="10"/>
  <c r="T137" i="10" s="1"/>
  <c r="T134" i="10"/>
  <c r="R126" i="10" l="1"/>
  <c r="T126" i="10" s="1"/>
  <c r="V127" i="10"/>
  <c r="R127" i="10" l="1"/>
  <c r="T127" i="10" s="1"/>
  <c r="V128" i="10"/>
  <c r="R128" i="10" l="1"/>
  <c r="T128" i="10" s="1"/>
  <c r="V129" i="10"/>
  <c r="R129" i="10" l="1"/>
  <c r="T129" i="10" s="1"/>
  <c r="V130" i="10"/>
  <c r="R130" i="10" l="1"/>
  <c r="T130" i="10" s="1"/>
  <c r="V131" i="10"/>
  <c r="R131" i="10" l="1"/>
  <c r="T131" i="10" s="1"/>
  <c r="T133" i="10" s="1"/>
  <c r="V132" i="10"/>
  <c r="R132" i="10" s="1"/>
  <c r="R133" i="10" l="1"/>
  <c r="T132" i="10"/>
  <c r="Q27" i="8" l="1"/>
  <c r="I2" i="6"/>
  <c r="R27" i="8" l="1"/>
  <c r="P27" i="8"/>
  <c r="O27" i="8"/>
  <c r="N27" i="8"/>
  <c r="M27" i="8"/>
  <c r="G27" i="8"/>
  <c r="V26" i="8"/>
  <c r="V27" i="8" s="1"/>
  <c r="U26" i="8"/>
  <c r="U27" i="8" s="1"/>
  <c r="T26" i="8"/>
  <c r="T27" i="8" s="1"/>
  <c r="S26" i="8"/>
  <c r="S27" i="8" s="1"/>
  <c r="R26" i="8"/>
  <c r="Q26" i="8"/>
  <c r="P26" i="8"/>
  <c r="O26" i="8"/>
  <c r="N26" i="8"/>
  <c r="M26" i="8"/>
  <c r="L26" i="8"/>
  <c r="L27" i="8" s="1"/>
  <c r="K26" i="8"/>
  <c r="K27" i="8" s="1"/>
  <c r="J26" i="8"/>
  <c r="J27" i="8" s="1"/>
  <c r="I26" i="8"/>
  <c r="I27" i="8" s="1"/>
  <c r="H26" i="8"/>
  <c r="H27" i="8" s="1"/>
  <c r="X25" i="8"/>
  <c r="W25" i="8"/>
  <c r="W24" i="8"/>
  <c r="X24" i="8" s="1"/>
  <c r="W23" i="8"/>
  <c r="X23" i="8" s="1"/>
  <c r="W22" i="8"/>
  <c r="X22" i="8" s="1"/>
  <c r="W21" i="8"/>
  <c r="X21" i="8" s="1"/>
  <c r="W20" i="8"/>
  <c r="X20" i="8" s="1"/>
  <c r="X19" i="8"/>
  <c r="W19" i="8"/>
  <c r="W18" i="8"/>
  <c r="X18" i="8" s="1"/>
  <c r="W17" i="8"/>
  <c r="X17" i="8" s="1"/>
  <c r="W16" i="8"/>
  <c r="X16" i="8" s="1"/>
  <c r="W15" i="8"/>
  <c r="X15" i="8" s="1"/>
  <c r="W14" i="8"/>
  <c r="X14" i="8" s="1"/>
  <c r="X13" i="8"/>
  <c r="W13" i="8"/>
  <c r="W12" i="8"/>
  <c r="X12" i="8" s="1"/>
  <c r="W11" i="8"/>
  <c r="X11" i="8" s="1"/>
  <c r="W10" i="8"/>
  <c r="X10" i="8" s="1"/>
  <c r="W9" i="8"/>
  <c r="W26" i="8" s="1"/>
  <c r="W27" i="8" s="1"/>
  <c r="X9" i="8" l="1"/>
  <c r="X26" i="8" s="1"/>
  <c r="X31" i="8" s="1"/>
  <c r="AB359" i="7" l="1"/>
  <c r="AA359" i="7"/>
  <c r="Z359" i="7"/>
  <c r="Y359" i="7"/>
  <c r="X359" i="7"/>
  <c r="W359" i="7"/>
  <c r="V359" i="7"/>
  <c r="U359" i="7"/>
  <c r="T359" i="7"/>
  <c r="S359" i="7"/>
  <c r="R359" i="7"/>
  <c r="Q359" i="7"/>
  <c r="O359" i="7"/>
  <c r="N359" i="7"/>
  <c r="M359" i="7"/>
  <c r="L359" i="7"/>
  <c r="K359" i="7"/>
  <c r="J359" i="7"/>
  <c r="I359" i="7"/>
  <c r="G359" i="7"/>
  <c r="F359" i="7"/>
  <c r="E359" i="7"/>
  <c r="AD358" i="7"/>
  <c r="AC358" i="7"/>
  <c r="AD357" i="7"/>
  <c r="AC357" i="7"/>
  <c r="AD356" i="7"/>
  <c r="AC356" i="7"/>
  <c r="AD355" i="7"/>
  <c r="AC355" i="7"/>
  <c r="AD354" i="7"/>
  <c r="AC354" i="7"/>
  <c r="AD353" i="7"/>
  <c r="AC353" i="7"/>
  <c r="AD352" i="7"/>
  <c r="AC352" i="7"/>
  <c r="AD351" i="7"/>
  <c r="AC351" i="7"/>
  <c r="AD350" i="7"/>
  <c r="AC350" i="7"/>
  <c r="AD349" i="7"/>
  <c r="AC349" i="7"/>
  <c r="AD348" i="7"/>
  <c r="AC348" i="7"/>
  <c r="AD347" i="7"/>
  <c r="AC347" i="7"/>
  <c r="AD346" i="7"/>
  <c r="AC346" i="7"/>
  <c r="AD345" i="7"/>
  <c r="AC345" i="7"/>
  <c r="AD344" i="7"/>
  <c r="AC344" i="7"/>
  <c r="AD343" i="7"/>
  <c r="AC343" i="7"/>
  <c r="AD342" i="7"/>
  <c r="AC342" i="7"/>
  <c r="AD341" i="7"/>
  <c r="AC341" i="7"/>
  <c r="AD340" i="7"/>
  <c r="AC340" i="7"/>
  <c r="AD339" i="7"/>
  <c r="AC339" i="7"/>
  <c r="AD338" i="7"/>
  <c r="AC338" i="7"/>
  <c r="AD337" i="7"/>
  <c r="AC337" i="7"/>
  <c r="AD336" i="7"/>
  <c r="AC336" i="7"/>
  <c r="AD335" i="7"/>
  <c r="AC335" i="7"/>
  <c r="AD334" i="7"/>
  <c r="AC334" i="7"/>
  <c r="AD333" i="7"/>
  <c r="AC333" i="7"/>
  <c r="AD332" i="7"/>
  <c r="AC332" i="7"/>
  <c r="AD331" i="7"/>
  <c r="AC331" i="7"/>
  <c r="AD330" i="7"/>
  <c r="AC330" i="7"/>
  <c r="AD329" i="7"/>
  <c r="AC329" i="7"/>
  <c r="AD328" i="7"/>
  <c r="AC328" i="7"/>
  <c r="AD327" i="7"/>
  <c r="AC327" i="7"/>
  <c r="AD326" i="7"/>
  <c r="AC326" i="7"/>
  <c r="AD325" i="7"/>
  <c r="AC325" i="7"/>
  <c r="AD324" i="7"/>
  <c r="AC324" i="7"/>
  <c r="AD323" i="7"/>
  <c r="AC323" i="7"/>
  <c r="AD322" i="7"/>
  <c r="AC322" i="7"/>
  <c r="AD321" i="7"/>
  <c r="AC321" i="7"/>
  <c r="AD320" i="7"/>
  <c r="AC320" i="7"/>
  <c r="AD319" i="7"/>
  <c r="AC319" i="7"/>
  <c r="AD318" i="7"/>
  <c r="AC318" i="7"/>
  <c r="AD317" i="7"/>
  <c r="AC317" i="7"/>
  <c r="AD316" i="7"/>
  <c r="AC316" i="7"/>
  <c r="AD315" i="7"/>
  <c r="AC315" i="7"/>
  <c r="AD314" i="7"/>
  <c r="AC314" i="7"/>
  <c r="AD313" i="7"/>
  <c r="AC313" i="7"/>
  <c r="AD312" i="7"/>
  <c r="AC312" i="7"/>
  <c r="AD311" i="7"/>
  <c r="AC311" i="7"/>
  <c r="AD310" i="7"/>
  <c r="AC310" i="7"/>
  <c r="AD309" i="7"/>
  <c r="AC309" i="7"/>
  <c r="AD308" i="7"/>
  <c r="AC308" i="7"/>
  <c r="AD307" i="7"/>
  <c r="AC307" i="7"/>
  <c r="AD306" i="7"/>
  <c r="AC306" i="7"/>
  <c r="AD305" i="7"/>
  <c r="AC305" i="7"/>
  <c r="AD304" i="7"/>
  <c r="AC304" i="7"/>
  <c r="AD303" i="7"/>
  <c r="AC303" i="7"/>
  <c r="AD302" i="7"/>
  <c r="AC302" i="7"/>
  <c r="AC301" i="7"/>
  <c r="H301" i="7"/>
  <c r="AD301" i="7" s="1"/>
  <c r="AD300" i="7"/>
  <c r="AC300" i="7"/>
  <c r="AD299" i="7"/>
  <c r="AC299" i="7"/>
  <c r="AD298" i="7"/>
  <c r="AC298" i="7"/>
  <c r="AD297" i="7"/>
  <c r="AC297" i="7"/>
  <c r="AD296" i="7"/>
  <c r="AC296" i="7"/>
  <c r="AD295" i="7"/>
  <c r="AC295" i="7"/>
  <c r="AD294" i="7"/>
  <c r="AC294" i="7"/>
  <c r="AD293" i="7"/>
  <c r="AC293" i="7"/>
  <c r="AD292" i="7"/>
  <c r="AC292" i="7"/>
  <c r="AD291" i="7"/>
  <c r="AC291" i="7"/>
  <c r="AD290" i="7"/>
  <c r="AC290" i="7"/>
  <c r="AD289" i="7"/>
  <c r="AC289" i="7"/>
  <c r="AD288" i="7"/>
  <c r="AC288" i="7"/>
  <c r="AC287" i="7"/>
  <c r="H287" i="7"/>
  <c r="AD287" i="7" s="1"/>
  <c r="AD286" i="7"/>
  <c r="AC286" i="7"/>
  <c r="AD285" i="7"/>
  <c r="AC285" i="7"/>
  <c r="AD284" i="7"/>
  <c r="AC284" i="7"/>
  <c r="AD283" i="7"/>
  <c r="AC283" i="7"/>
  <c r="AD282" i="7"/>
  <c r="AC282" i="7"/>
  <c r="AD281" i="7"/>
  <c r="AC281" i="7"/>
  <c r="AD280" i="7"/>
  <c r="AC280" i="7"/>
  <c r="AD279" i="7"/>
  <c r="AC279" i="7"/>
  <c r="AD278" i="7"/>
  <c r="AC278" i="7"/>
  <c r="AD277" i="7"/>
  <c r="AC277" i="7"/>
  <c r="AD276" i="7"/>
  <c r="AC276" i="7"/>
  <c r="AD275" i="7"/>
  <c r="AC275" i="7"/>
  <c r="AD274" i="7"/>
  <c r="AC274" i="7"/>
  <c r="AD273" i="7"/>
  <c r="AC273" i="7"/>
  <c r="AD272" i="7"/>
  <c r="AC272" i="7"/>
  <c r="AD271" i="7"/>
  <c r="AC271" i="7"/>
  <c r="AD270" i="7"/>
  <c r="AC270" i="7"/>
  <c r="AD269" i="7"/>
  <c r="AC269" i="7"/>
  <c r="AD268" i="7"/>
  <c r="AC268" i="7"/>
  <c r="AD267" i="7"/>
  <c r="AC267" i="7"/>
  <c r="AD266" i="7"/>
  <c r="AC266" i="7"/>
  <c r="AD265" i="7"/>
  <c r="AC265" i="7"/>
  <c r="AD264" i="7"/>
  <c r="AC264" i="7"/>
  <c r="AD263" i="7"/>
  <c r="AC263" i="7"/>
  <c r="AD262" i="7"/>
  <c r="AC262" i="7"/>
  <c r="AD261" i="7"/>
  <c r="AC261" i="7"/>
  <c r="AD260" i="7"/>
  <c r="AC260" i="7"/>
  <c r="AD259" i="7"/>
  <c r="AC259" i="7"/>
  <c r="AD258" i="7"/>
  <c r="AC258" i="7"/>
  <c r="AD257" i="7"/>
  <c r="AC257" i="7"/>
  <c r="AD256" i="7"/>
  <c r="AC256" i="7"/>
  <c r="AD255" i="7"/>
  <c r="AC255" i="7"/>
  <c r="AD254" i="7"/>
  <c r="AC254" i="7"/>
  <c r="AD253" i="7"/>
  <c r="AC253" i="7"/>
  <c r="AD252" i="7"/>
  <c r="AC252" i="7"/>
  <c r="AD251" i="7"/>
  <c r="AC251" i="7"/>
  <c r="AD250" i="7"/>
  <c r="AC250" i="7"/>
  <c r="AD249" i="7"/>
  <c r="AC249" i="7"/>
  <c r="AD248" i="7"/>
  <c r="AC248" i="7"/>
  <c r="AD247" i="7"/>
  <c r="AC247" i="7"/>
  <c r="AD246" i="7"/>
  <c r="AC246" i="7"/>
  <c r="AD245" i="7"/>
  <c r="AC245" i="7"/>
  <c r="AD244" i="7"/>
  <c r="AC244" i="7"/>
  <c r="AD243" i="7"/>
  <c r="AC243" i="7"/>
  <c r="AD242" i="7"/>
  <c r="AC242" i="7"/>
  <c r="AD241" i="7"/>
  <c r="AC241" i="7"/>
  <c r="AD240" i="7"/>
  <c r="AC240" i="7"/>
  <c r="AD239" i="7"/>
  <c r="AC239" i="7"/>
  <c r="AD238" i="7"/>
  <c r="AC238" i="7"/>
  <c r="AD237" i="7"/>
  <c r="AC237" i="7"/>
  <c r="AD236" i="7"/>
  <c r="AC236" i="7"/>
  <c r="AD235" i="7"/>
  <c r="AC235" i="7"/>
  <c r="AD234" i="7"/>
  <c r="AC234" i="7"/>
  <c r="AD233" i="7"/>
  <c r="AC233" i="7"/>
  <c r="AD232" i="7"/>
  <c r="AC232" i="7"/>
  <c r="AD231" i="7"/>
  <c r="AC231" i="7"/>
  <c r="AD230" i="7"/>
  <c r="AC230" i="7"/>
  <c r="AD229" i="7"/>
  <c r="AC229" i="7"/>
  <c r="AD228" i="7"/>
  <c r="AC228" i="7"/>
  <c r="AD227" i="7"/>
  <c r="AC227" i="7"/>
  <c r="AD226" i="7"/>
  <c r="AC226" i="7"/>
  <c r="AD225" i="7"/>
  <c r="AC225" i="7"/>
  <c r="AD224" i="7"/>
  <c r="AC224" i="7"/>
  <c r="AD223" i="7"/>
  <c r="AC223" i="7"/>
  <c r="AD222" i="7"/>
  <c r="AC222" i="7"/>
  <c r="AD221" i="7"/>
  <c r="AC221" i="7"/>
  <c r="AD220" i="7"/>
  <c r="AC220" i="7"/>
  <c r="AD219" i="7"/>
  <c r="AC219" i="7"/>
  <c r="AD218" i="7"/>
  <c r="AC218" i="7"/>
  <c r="AD217" i="7"/>
  <c r="AC217" i="7"/>
  <c r="AD216" i="7"/>
  <c r="AC216" i="7"/>
  <c r="AC215" i="7"/>
  <c r="H215" i="7"/>
  <c r="AD215" i="7" s="1"/>
  <c r="AD214" i="7"/>
  <c r="AC214" i="7"/>
  <c r="AC213" i="7"/>
  <c r="H213" i="7"/>
  <c r="AD213" i="7" s="1"/>
  <c r="AD212" i="7"/>
  <c r="AC212" i="7"/>
  <c r="AC211" i="7"/>
  <c r="H211" i="7"/>
  <c r="AD211" i="7" s="1"/>
  <c r="AD210" i="7"/>
  <c r="AC210" i="7"/>
  <c r="AD209" i="7"/>
  <c r="AC209" i="7"/>
  <c r="AD208" i="7"/>
  <c r="AC208" i="7"/>
  <c r="AD207" i="7"/>
  <c r="AC207" i="7"/>
  <c r="AD206" i="7"/>
  <c r="AC206" i="7"/>
  <c r="AD205" i="7"/>
  <c r="AC205" i="7"/>
  <c r="AD204" i="7"/>
  <c r="AC204" i="7"/>
  <c r="AD203" i="7"/>
  <c r="AC203" i="7"/>
  <c r="AD202" i="7"/>
  <c r="AC202" i="7"/>
  <c r="AC201" i="7"/>
  <c r="H201" i="7"/>
  <c r="AD201" i="7" s="1"/>
  <c r="AD200" i="7"/>
  <c r="AC200" i="7"/>
  <c r="AD199" i="7"/>
  <c r="AC199" i="7"/>
  <c r="AD198" i="7"/>
  <c r="AC198" i="7"/>
  <c r="AD197" i="7"/>
  <c r="AC197" i="7"/>
  <c r="AD196" i="7"/>
  <c r="AC196" i="7"/>
  <c r="AD195" i="7"/>
  <c r="AC195" i="7"/>
  <c r="AD194" i="7"/>
  <c r="AC194" i="7"/>
  <c r="AD193" i="7"/>
  <c r="AC193" i="7"/>
  <c r="AD192" i="7"/>
  <c r="AC192" i="7"/>
  <c r="AD191" i="7"/>
  <c r="AC191" i="7"/>
  <c r="AD190" i="7"/>
  <c r="AC190" i="7"/>
  <c r="AD189" i="7"/>
  <c r="AC189" i="7"/>
  <c r="AD188" i="7"/>
  <c r="AC188" i="7"/>
  <c r="AD187" i="7"/>
  <c r="AC187" i="7"/>
  <c r="AD186" i="7"/>
  <c r="AC186" i="7"/>
  <c r="AC185" i="7"/>
  <c r="H185" i="7"/>
  <c r="AD185" i="7" s="1"/>
  <c r="AD184" i="7"/>
  <c r="AC184" i="7"/>
  <c r="AD183" i="7"/>
  <c r="AC183" i="7"/>
  <c r="AD182" i="7"/>
  <c r="AC182" i="7"/>
  <c r="AD181" i="7"/>
  <c r="AC181" i="7"/>
  <c r="AD180" i="7"/>
  <c r="AC180" i="7"/>
  <c r="AD179" i="7"/>
  <c r="AC179" i="7"/>
  <c r="AD178" i="7"/>
  <c r="AC178" i="7"/>
  <c r="AD177" i="7"/>
  <c r="AC177" i="7"/>
  <c r="AD176" i="7"/>
  <c r="AC176" i="7"/>
  <c r="AD175" i="7"/>
  <c r="AC175" i="7"/>
  <c r="AD174" i="7"/>
  <c r="AC174" i="7"/>
  <c r="AD173" i="7"/>
  <c r="AC173" i="7"/>
  <c r="AD172" i="7"/>
  <c r="AC172" i="7"/>
  <c r="AD171" i="7"/>
  <c r="AC171" i="7"/>
  <c r="AD170" i="7"/>
  <c r="AC170" i="7"/>
  <c r="AD169" i="7"/>
  <c r="AC169" i="7"/>
  <c r="AD168" i="7"/>
  <c r="AC168" i="7"/>
  <c r="AD167" i="7"/>
  <c r="AC167" i="7"/>
  <c r="AD166" i="7"/>
  <c r="AC166" i="7"/>
  <c r="AD165" i="7"/>
  <c r="AC165" i="7"/>
  <c r="AD164" i="7"/>
  <c r="AC164" i="7"/>
  <c r="AD163" i="7"/>
  <c r="AC163" i="7"/>
  <c r="AD162" i="7"/>
  <c r="AC162" i="7"/>
  <c r="AD161" i="7"/>
  <c r="AC161" i="7"/>
  <c r="AD160" i="7"/>
  <c r="AC160" i="7"/>
  <c r="AD159" i="7"/>
  <c r="AC159" i="7"/>
  <c r="AD158" i="7"/>
  <c r="AC158" i="7"/>
  <c r="AD157" i="7"/>
  <c r="AC157" i="7"/>
  <c r="AD156" i="7"/>
  <c r="AC156" i="7"/>
  <c r="AD155" i="7"/>
  <c r="AC155" i="7"/>
  <c r="AD154" i="7"/>
  <c r="AC154" i="7"/>
  <c r="AD153" i="7"/>
  <c r="AC153" i="7"/>
  <c r="AD152" i="7"/>
  <c r="AC152" i="7"/>
  <c r="AD151" i="7"/>
  <c r="AC151" i="7"/>
  <c r="AD150" i="7"/>
  <c r="AC150" i="7"/>
  <c r="AD149" i="7"/>
  <c r="AC149" i="7"/>
  <c r="AD148" i="7"/>
  <c r="AC148" i="7"/>
  <c r="AD147" i="7"/>
  <c r="AC147" i="7"/>
  <c r="AD146" i="7"/>
  <c r="AC146" i="7"/>
  <c r="AD145" i="7"/>
  <c r="AC145" i="7"/>
  <c r="AD144" i="7"/>
  <c r="AC144" i="7"/>
  <c r="AD143" i="7"/>
  <c r="AC143" i="7"/>
  <c r="AD142" i="7"/>
  <c r="AC142" i="7"/>
  <c r="AD141" i="7"/>
  <c r="AC141" i="7"/>
  <c r="AD140" i="7"/>
  <c r="AC140" i="7"/>
  <c r="AD139" i="7"/>
  <c r="AC139" i="7"/>
  <c r="AD138" i="7"/>
  <c r="AC138" i="7"/>
  <c r="AD137" i="7"/>
  <c r="AC137" i="7"/>
  <c r="AD136" i="7"/>
  <c r="AC136" i="7"/>
  <c r="AD135" i="7"/>
  <c r="AC135" i="7"/>
  <c r="AD134" i="7"/>
  <c r="AC134" i="7"/>
  <c r="AC133" i="7"/>
  <c r="H133" i="7"/>
  <c r="AD133" i="7" s="1"/>
  <c r="AD132" i="7"/>
  <c r="AC132" i="7"/>
  <c r="AC131" i="7"/>
  <c r="H131" i="7"/>
  <c r="AD131" i="7" s="1"/>
  <c r="AD130" i="7"/>
  <c r="AC130" i="7"/>
  <c r="AD129" i="7"/>
  <c r="AC129" i="7"/>
  <c r="AD128" i="7"/>
  <c r="AC128" i="7"/>
  <c r="AD127" i="7"/>
  <c r="AC127" i="7"/>
  <c r="AD126" i="7"/>
  <c r="AC126" i="7"/>
  <c r="AC125" i="7"/>
  <c r="H125" i="7"/>
  <c r="AD125" i="7" s="1"/>
  <c r="AD124" i="7"/>
  <c r="AC124" i="7"/>
  <c r="AD123" i="7"/>
  <c r="AC123" i="7"/>
  <c r="AD122" i="7"/>
  <c r="AC122" i="7"/>
  <c r="AD121" i="7"/>
  <c r="AC121" i="7"/>
  <c r="AD120" i="7"/>
  <c r="AC120" i="7"/>
  <c r="AD119" i="7"/>
  <c r="AC119" i="7"/>
  <c r="AD118" i="7"/>
  <c r="AC118" i="7"/>
  <c r="AD117" i="7"/>
  <c r="AC117" i="7"/>
  <c r="AD116" i="7"/>
  <c r="AC116" i="7"/>
  <c r="AC115" i="7"/>
  <c r="H115" i="7"/>
  <c r="AD115" i="7" s="1"/>
  <c r="AD114" i="7"/>
  <c r="AC114" i="7"/>
  <c r="AD113" i="7"/>
  <c r="AC113" i="7"/>
  <c r="AD112" i="7"/>
  <c r="AC112" i="7"/>
  <c r="AD111" i="7"/>
  <c r="AC111" i="7"/>
  <c r="AD110" i="7"/>
  <c r="AC110" i="7"/>
  <c r="AD109" i="7"/>
  <c r="AC109" i="7"/>
  <c r="AD108" i="7"/>
  <c r="AC108" i="7"/>
  <c r="AD107" i="7"/>
  <c r="AC107" i="7"/>
  <c r="AD106" i="7"/>
  <c r="AC106" i="7"/>
  <c r="AD105" i="7"/>
  <c r="AC105" i="7"/>
  <c r="AD104" i="7"/>
  <c r="AC104" i="7"/>
  <c r="AD103" i="7"/>
  <c r="AC103" i="7"/>
  <c r="AD102" i="7"/>
  <c r="AC102" i="7"/>
  <c r="AD101" i="7"/>
  <c r="AC101" i="7"/>
  <c r="AD100" i="7"/>
  <c r="AC100" i="7"/>
  <c r="AD99" i="7"/>
  <c r="AC99" i="7"/>
  <c r="AD98" i="7"/>
  <c r="AC98" i="7"/>
  <c r="AD97" i="7"/>
  <c r="AC97" i="7"/>
  <c r="AD96" i="7"/>
  <c r="AC96" i="7"/>
  <c r="AD95" i="7"/>
  <c r="AC95" i="7"/>
  <c r="AD94" i="7"/>
  <c r="AC94" i="7"/>
  <c r="AD93" i="7"/>
  <c r="AC93" i="7"/>
  <c r="AD92" i="7"/>
  <c r="AC92" i="7"/>
  <c r="AD91" i="7"/>
  <c r="AC91" i="7"/>
  <c r="AD90" i="7"/>
  <c r="AC90" i="7"/>
  <c r="AD89" i="7"/>
  <c r="AC89" i="7"/>
  <c r="AD88" i="7"/>
  <c r="AC88" i="7"/>
  <c r="AD87" i="7"/>
  <c r="AC87" i="7"/>
  <c r="AD86" i="7"/>
  <c r="AC86" i="7"/>
  <c r="AD85" i="7"/>
  <c r="AC85" i="7"/>
  <c r="AD84" i="7"/>
  <c r="AC84" i="7"/>
  <c r="AD83" i="7"/>
  <c r="AC83" i="7"/>
  <c r="AD82" i="7"/>
  <c r="AC82" i="7"/>
  <c r="AD81" i="7"/>
  <c r="AC81" i="7"/>
  <c r="AD80" i="7"/>
  <c r="AC80" i="7"/>
  <c r="AD79" i="7"/>
  <c r="AC79" i="7"/>
  <c r="AD78" i="7"/>
  <c r="AC78" i="7"/>
  <c r="AC77" i="7"/>
  <c r="H77" i="7"/>
  <c r="AD77" i="7" s="1"/>
  <c r="AD76" i="7"/>
  <c r="AC76" i="7"/>
  <c r="AD75" i="7"/>
  <c r="AC75" i="7"/>
  <c r="AD74" i="7"/>
  <c r="AC74" i="7"/>
  <c r="AD73" i="7"/>
  <c r="AC73" i="7"/>
  <c r="AD72" i="7"/>
  <c r="AC72" i="7"/>
  <c r="AD71" i="7"/>
  <c r="AC71" i="7"/>
  <c r="AD70" i="7"/>
  <c r="AC70" i="7"/>
  <c r="AD69" i="7"/>
  <c r="AC69" i="7"/>
  <c r="AD68" i="7"/>
  <c r="AC68" i="7"/>
  <c r="AD67" i="7"/>
  <c r="AC67" i="7"/>
  <c r="AD66" i="7"/>
  <c r="AC66" i="7"/>
  <c r="AD65" i="7"/>
  <c r="AC65" i="7"/>
  <c r="AD64" i="7"/>
  <c r="AC64" i="7"/>
  <c r="AD63" i="7"/>
  <c r="AC63" i="7"/>
  <c r="AD62" i="7"/>
  <c r="AC62" i="7"/>
  <c r="AD61" i="7"/>
  <c r="AC61" i="7"/>
  <c r="AD60" i="7"/>
  <c r="AC60" i="7"/>
  <c r="AC59" i="7"/>
  <c r="H59" i="7"/>
  <c r="AD59" i="7" s="1"/>
  <c r="AD58" i="7"/>
  <c r="AC58" i="7"/>
  <c r="AD57" i="7"/>
  <c r="AC57" i="7"/>
  <c r="H57" i="7"/>
  <c r="AD56" i="7"/>
  <c r="AC56" i="7"/>
  <c r="AC55" i="7"/>
  <c r="H55" i="7"/>
  <c r="AD55" i="7" s="1"/>
  <c r="AD54" i="7"/>
  <c r="AC54" i="7"/>
  <c r="AD53" i="7"/>
  <c r="AC53" i="7"/>
  <c r="AD52" i="7"/>
  <c r="AC52" i="7"/>
  <c r="AC51" i="7"/>
  <c r="H51" i="7"/>
  <c r="AD51" i="7" s="1"/>
  <c r="AD50" i="7"/>
  <c r="AC50" i="7"/>
  <c r="AC49" i="7"/>
  <c r="H49" i="7"/>
  <c r="AD49" i="7" s="1"/>
  <c r="AD48" i="7"/>
  <c r="AC48" i="7"/>
  <c r="AD47" i="7"/>
  <c r="AC47" i="7"/>
  <c r="AD46" i="7"/>
  <c r="AC46" i="7"/>
  <c r="AD45" i="7"/>
  <c r="AC45" i="7"/>
  <c r="AD44" i="7"/>
  <c r="AC44" i="7"/>
  <c r="AD43" i="7"/>
  <c r="AC43" i="7"/>
  <c r="AD42" i="7"/>
  <c r="AC42" i="7"/>
  <c r="AD41" i="7"/>
  <c r="AC41" i="7"/>
  <c r="AD40" i="7"/>
  <c r="AC40" i="7"/>
  <c r="AD39" i="7"/>
  <c r="AC39" i="7"/>
  <c r="AD38" i="7"/>
  <c r="AC38" i="7"/>
  <c r="AD37" i="7"/>
  <c r="AC37" i="7"/>
  <c r="AD36" i="7"/>
  <c r="AC36" i="7"/>
  <c r="AD35" i="7"/>
  <c r="AC35" i="7"/>
  <c r="AD34" i="7"/>
  <c r="AC34" i="7"/>
  <c r="AD33" i="7"/>
  <c r="AC33" i="7"/>
  <c r="AD32" i="7"/>
  <c r="AC32" i="7"/>
  <c r="AD31" i="7"/>
  <c r="AC31" i="7"/>
  <c r="AD30" i="7"/>
  <c r="AC30" i="7"/>
  <c r="AD29" i="7"/>
  <c r="AC29" i="7"/>
  <c r="AD28" i="7"/>
  <c r="AC28" i="7"/>
  <c r="AC27" i="7"/>
  <c r="H27" i="7"/>
  <c r="AD27" i="7" s="1"/>
  <c r="AD26" i="7"/>
  <c r="AC26" i="7"/>
  <c r="AC25" i="7"/>
  <c r="H25" i="7"/>
  <c r="AD25" i="7" s="1"/>
  <c r="AD24" i="7"/>
  <c r="AC24" i="7"/>
  <c r="AD23" i="7"/>
  <c r="AC23" i="7"/>
  <c r="AD22" i="7"/>
  <c r="AC22" i="7"/>
  <c r="AC21" i="7"/>
  <c r="H21" i="7"/>
  <c r="AD21" i="7" s="1"/>
  <c r="AD20" i="7"/>
  <c r="AC20" i="7"/>
  <c r="AC19" i="7"/>
  <c r="H19" i="7"/>
  <c r="AD19" i="7" s="1"/>
  <c r="AD18" i="7"/>
  <c r="AC18" i="7"/>
  <c r="AD17" i="7"/>
  <c r="AC17" i="7"/>
  <c r="AD16" i="7"/>
  <c r="AC16" i="7"/>
  <c r="AC15" i="7"/>
  <c r="H15" i="7"/>
  <c r="AD15" i="7" s="1"/>
  <c r="AD14" i="7"/>
  <c r="AC14" i="7"/>
  <c r="AC13" i="7"/>
  <c r="H13" i="7"/>
  <c r="AD13" i="7" s="1"/>
  <c r="AD12" i="7"/>
  <c r="AC12" i="7"/>
  <c r="AC11" i="7"/>
  <c r="H11" i="7"/>
  <c r="AD11" i="7" s="1"/>
  <c r="AD10" i="7"/>
  <c r="AC10" i="7"/>
  <c r="AD9" i="7"/>
  <c r="AC9" i="7"/>
  <c r="AD8" i="7"/>
  <c r="AC8" i="7"/>
  <c r="AC7" i="7"/>
  <c r="H7" i="7"/>
  <c r="AD7" i="7" s="1"/>
  <c r="AD6" i="7"/>
  <c r="AC6" i="7"/>
  <c r="AC5" i="7"/>
  <c r="AC359" i="7" s="1"/>
  <c r="H5" i="7"/>
  <c r="AD5" i="7" s="1"/>
  <c r="AD359" i="7" l="1"/>
  <c r="AD361" i="7" s="1"/>
  <c r="H359" i="7"/>
  <c r="M6" i="6" l="1"/>
  <c r="P7" i="6"/>
  <c r="M5" i="6"/>
  <c r="P4" i="6"/>
  <c r="M4" i="6"/>
  <c r="H8" i="6"/>
  <c r="M7" i="6"/>
  <c r="H7" i="6"/>
  <c r="P6" i="6"/>
  <c r="H6" i="6"/>
  <c r="P5" i="6"/>
  <c r="H5" i="6"/>
  <c r="H4" i="6"/>
  <c r="AS344" i="2" l="1"/>
  <c r="AR344" i="2" s="1"/>
  <c r="AQ344" i="2" s="1"/>
  <c r="R344" i="2"/>
  <c r="Q344" i="2"/>
  <c r="P344" i="2" s="1"/>
  <c r="AR343" i="2"/>
  <c r="AQ343" i="2" s="1"/>
  <c r="Q343" i="2"/>
  <c r="P343" i="2" s="1"/>
  <c r="AR342" i="2"/>
  <c r="AQ342" i="2" s="1"/>
  <c r="Q342" i="2"/>
  <c r="P342" i="2" s="1"/>
  <c r="AR341" i="2"/>
  <c r="AQ341" i="2" s="1"/>
  <c r="Q341" i="2"/>
  <c r="P341" i="2" s="1"/>
  <c r="AR340" i="2"/>
  <c r="AQ340" i="2" s="1"/>
  <c r="Q340" i="2"/>
  <c r="P340" i="2" s="1"/>
  <c r="AR339" i="2"/>
  <c r="AQ339" i="2" s="1"/>
  <c r="Q339" i="2"/>
  <c r="P339" i="2"/>
  <c r="AR338" i="2"/>
  <c r="AQ338" i="2" s="1"/>
  <c r="Q338" i="2"/>
  <c r="P338" i="2" s="1"/>
  <c r="AR337" i="2"/>
  <c r="AQ337" i="2" s="1"/>
  <c r="Q337" i="2"/>
  <c r="P337" i="2" s="1"/>
  <c r="AR336" i="2"/>
  <c r="AQ336" i="2" s="1"/>
  <c r="Q336" i="2"/>
  <c r="P336" i="2" s="1"/>
  <c r="AR335" i="2"/>
  <c r="AQ335" i="2" s="1"/>
  <c r="Q335" i="2"/>
  <c r="P335" i="2" s="1"/>
  <c r="AR334" i="2"/>
  <c r="AQ334" i="2" s="1"/>
  <c r="Q334" i="2"/>
  <c r="P334" i="2" s="1"/>
  <c r="AR333" i="2"/>
  <c r="AQ333" i="2" s="1"/>
  <c r="Q333" i="2"/>
  <c r="P333" i="2" s="1"/>
  <c r="AR332" i="2"/>
  <c r="AQ332" i="2"/>
  <c r="Q332" i="2"/>
  <c r="P332" i="2" s="1"/>
  <c r="AR331" i="2"/>
  <c r="AQ331" i="2" s="1"/>
  <c r="Q331" i="2"/>
  <c r="P331" i="2" s="1"/>
  <c r="AR330" i="2"/>
  <c r="AQ330" i="2" s="1"/>
  <c r="Q330" i="2"/>
  <c r="P330" i="2" s="1"/>
  <c r="AR329" i="2"/>
  <c r="AQ329" i="2" s="1"/>
  <c r="Q329" i="2"/>
  <c r="P329" i="2" s="1"/>
  <c r="AR328" i="2"/>
  <c r="AQ328" i="2" s="1"/>
  <c r="Q328" i="2"/>
  <c r="P328" i="2" s="1"/>
  <c r="AR327" i="2"/>
  <c r="AQ327" i="2" s="1"/>
  <c r="Q327" i="2"/>
  <c r="P327" i="2" s="1"/>
  <c r="AR326" i="2"/>
  <c r="AQ326" i="2" s="1"/>
  <c r="Q326" i="2"/>
  <c r="P326" i="2" s="1"/>
  <c r="AR325" i="2"/>
  <c r="AQ325" i="2" s="1"/>
  <c r="Q325" i="2"/>
  <c r="P325" i="2" s="1"/>
  <c r="AR324" i="2"/>
  <c r="AQ324" i="2"/>
  <c r="Q324" i="2"/>
  <c r="P324" i="2" s="1"/>
  <c r="AR323" i="2"/>
  <c r="AQ323" i="2" s="1"/>
  <c r="Q323" i="2"/>
  <c r="P323" i="2"/>
  <c r="AR322" i="2"/>
  <c r="AQ322" i="2" s="1"/>
  <c r="Q322" i="2"/>
  <c r="P322" i="2" s="1"/>
  <c r="AR321" i="2"/>
  <c r="AQ321" i="2" s="1"/>
  <c r="Q321" i="2"/>
  <c r="P321" i="2" s="1"/>
  <c r="AR320" i="2"/>
  <c r="AQ320" i="2"/>
  <c r="Q320" i="2"/>
  <c r="P320" i="2" s="1"/>
  <c r="AR319" i="2"/>
  <c r="AQ319" i="2" s="1"/>
  <c r="Q319" i="2"/>
  <c r="P319" i="2"/>
  <c r="AR318" i="2"/>
  <c r="AQ318" i="2" s="1"/>
  <c r="Q318" i="2"/>
  <c r="P318" i="2" s="1"/>
  <c r="AR317" i="2"/>
  <c r="AQ317" i="2" s="1"/>
  <c r="Q317" i="2"/>
  <c r="P317" i="2" s="1"/>
  <c r="AR316" i="2"/>
  <c r="AQ316" i="2" s="1"/>
  <c r="Q316" i="2"/>
  <c r="P316" i="2" s="1"/>
  <c r="AR315" i="2"/>
  <c r="AQ315" i="2" s="1"/>
  <c r="Q315" i="2"/>
  <c r="P315" i="2"/>
  <c r="AR314" i="2"/>
  <c r="AQ314" i="2" s="1"/>
  <c r="Q314" i="2"/>
  <c r="P314" i="2" s="1"/>
  <c r="AR313" i="2"/>
  <c r="AQ313" i="2" s="1"/>
  <c r="Q313" i="2"/>
  <c r="P313" i="2" s="1"/>
  <c r="AR312" i="2"/>
  <c r="AQ312" i="2" s="1"/>
  <c r="Q312" i="2"/>
  <c r="P312" i="2" s="1"/>
  <c r="AR311" i="2"/>
  <c r="AQ311" i="2" s="1"/>
  <c r="Q311" i="2"/>
  <c r="P311" i="2"/>
  <c r="AR310" i="2"/>
  <c r="AQ310" i="2" s="1"/>
  <c r="Q310" i="2"/>
  <c r="P310" i="2" s="1"/>
  <c r="AR309" i="2"/>
  <c r="AQ309" i="2" s="1"/>
  <c r="Q309" i="2"/>
  <c r="P309" i="2" s="1"/>
  <c r="AR308" i="2"/>
  <c r="AQ308" i="2"/>
  <c r="Q308" i="2"/>
  <c r="P308" i="2" s="1"/>
  <c r="AR307" i="2"/>
  <c r="AQ307" i="2" s="1"/>
  <c r="Q307" i="2"/>
  <c r="P307" i="2" s="1"/>
  <c r="AR306" i="2"/>
  <c r="AQ306" i="2" s="1"/>
  <c r="Q306" i="2"/>
  <c r="P306" i="2" s="1"/>
  <c r="AR305" i="2"/>
  <c r="AQ305" i="2" s="1"/>
  <c r="Q305" i="2"/>
  <c r="P305" i="2" s="1"/>
  <c r="AR304" i="2"/>
  <c r="AQ304" i="2"/>
  <c r="Q304" i="2"/>
  <c r="P304" i="2" s="1"/>
  <c r="AR303" i="2"/>
  <c r="AQ303" i="2" s="1"/>
  <c r="Q303" i="2"/>
  <c r="P303" i="2" s="1"/>
  <c r="AR302" i="2"/>
  <c r="AQ302" i="2" s="1"/>
  <c r="Q302" i="2"/>
  <c r="P302" i="2" s="1"/>
  <c r="AR301" i="2"/>
  <c r="AQ301" i="2" s="1"/>
  <c r="Q301" i="2"/>
  <c r="P301" i="2" s="1"/>
  <c r="AR300" i="2"/>
  <c r="AQ300" i="2"/>
  <c r="Q300" i="2"/>
  <c r="P300" i="2" s="1"/>
  <c r="AR299" i="2"/>
  <c r="AQ299" i="2" s="1"/>
  <c r="Q299" i="2"/>
  <c r="P299" i="2"/>
  <c r="AR298" i="2"/>
  <c r="AQ298" i="2" s="1"/>
  <c r="Q298" i="2"/>
  <c r="P298" i="2" s="1"/>
  <c r="AR297" i="2"/>
  <c r="AQ297" i="2" s="1"/>
  <c r="Q297" i="2"/>
  <c r="P297" i="2" s="1"/>
  <c r="AR296" i="2"/>
  <c r="AQ296" i="2"/>
  <c r="Q296" i="2"/>
  <c r="P296" i="2" s="1"/>
  <c r="AR295" i="2"/>
  <c r="AQ295" i="2" s="1"/>
  <c r="Q295" i="2"/>
  <c r="P295" i="2"/>
  <c r="AR294" i="2"/>
  <c r="AQ294" i="2" s="1"/>
  <c r="Q294" i="2"/>
  <c r="P294" i="2" s="1"/>
  <c r="AR293" i="2"/>
  <c r="AQ293" i="2" s="1"/>
  <c r="Q293" i="2"/>
  <c r="P293" i="2" s="1"/>
  <c r="AR292" i="2"/>
  <c r="AQ292" i="2" s="1"/>
  <c r="Q292" i="2"/>
  <c r="P292" i="2" s="1"/>
  <c r="AR291" i="2"/>
  <c r="AQ291" i="2" s="1"/>
  <c r="Q291" i="2"/>
  <c r="P291" i="2"/>
  <c r="AR290" i="2"/>
  <c r="AQ290" i="2" s="1"/>
  <c r="Q290" i="2"/>
  <c r="P290" i="2" s="1"/>
  <c r="AR289" i="2"/>
  <c r="AQ289" i="2" s="1"/>
  <c r="Q289" i="2"/>
  <c r="P289" i="2" s="1"/>
  <c r="AR288" i="2"/>
  <c r="AQ288" i="2" s="1"/>
  <c r="Q288" i="2"/>
  <c r="P288" i="2" s="1"/>
  <c r="AR287" i="2"/>
  <c r="AQ287" i="2" s="1"/>
  <c r="Q287" i="2"/>
  <c r="P287" i="2"/>
  <c r="AR286" i="2"/>
  <c r="AQ286" i="2" s="1"/>
  <c r="Q286" i="2"/>
  <c r="P286" i="2" s="1"/>
  <c r="AR285" i="2"/>
  <c r="AQ285" i="2" s="1"/>
  <c r="Q285" i="2"/>
  <c r="P285" i="2" s="1"/>
  <c r="AR284" i="2"/>
  <c r="AQ284" i="2"/>
  <c r="Q284" i="2"/>
  <c r="P284" i="2" s="1"/>
  <c r="AR283" i="2"/>
  <c r="AQ283" i="2" s="1"/>
  <c r="Q283" i="2"/>
  <c r="P283" i="2" s="1"/>
  <c r="AR282" i="2"/>
  <c r="AQ282" i="2" s="1"/>
  <c r="Q282" i="2"/>
  <c r="P282" i="2" s="1"/>
  <c r="AR281" i="2"/>
  <c r="AQ281" i="2" s="1"/>
  <c r="Q281" i="2"/>
  <c r="P281" i="2" s="1"/>
  <c r="AR280" i="2"/>
  <c r="AQ280" i="2"/>
  <c r="Q280" i="2"/>
  <c r="P280" i="2" s="1"/>
  <c r="AR279" i="2"/>
  <c r="AQ279" i="2" s="1"/>
  <c r="Q279" i="2"/>
  <c r="P279" i="2" s="1"/>
  <c r="AR278" i="2"/>
  <c r="AQ278" i="2" s="1"/>
  <c r="Q278" i="2"/>
  <c r="P278" i="2" s="1"/>
  <c r="AR277" i="2"/>
  <c r="AQ277" i="2" s="1"/>
  <c r="Q277" i="2"/>
  <c r="P277" i="2" s="1"/>
  <c r="AR276" i="2"/>
  <c r="AQ276" i="2"/>
  <c r="Q276" i="2"/>
  <c r="P276" i="2" s="1"/>
  <c r="AR275" i="2"/>
  <c r="AQ275" i="2" s="1"/>
  <c r="Q275" i="2"/>
  <c r="P275" i="2"/>
  <c r="AR274" i="2"/>
  <c r="AQ274" i="2" s="1"/>
  <c r="Q274" i="2"/>
  <c r="P274" i="2" s="1"/>
  <c r="AR273" i="2"/>
  <c r="AQ273" i="2" s="1"/>
  <c r="Q273" i="2"/>
  <c r="P273" i="2" s="1"/>
  <c r="AR272" i="2"/>
  <c r="AQ272" i="2"/>
  <c r="Q272" i="2"/>
  <c r="P272" i="2" s="1"/>
  <c r="AR271" i="2"/>
  <c r="AQ271" i="2" s="1"/>
  <c r="Q271" i="2"/>
  <c r="P271" i="2"/>
  <c r="AR270" i="2"/>
  <c r="AQ270" i="2" s="1"/>
  <c r="Q270" i="2"/>
  <c r="P270" i="2" s="1"/>
  <c r="AR269" i="2"/>
  <c r="AQ269" i="2" s="1"/>
  <c r="Q269" i="2"/>
  <c r="P269" i="2" s="1"/>
  <c r="AR268" i="2"/>
  <c r="AQ268" i="2" s="1"/>
  <c r="Q268" i="2"/>
  <c r="P268" i="2" s="1"/>
  <c r="AR267" i="2"/>
  <c r="AQ267" i="2" s="1"/>
  <c r="Q267" i="2"/>
  <c r="P267" i="2"/>
  <c r="AR266" i="2"/>
  <c r="AQ266" i="2" s="1"/>
  <c r="Q266" i="2"/>
  <c r="P266" i="2" s="1"/>
  <c r="AR265" i="2"/>
  <c r="AQ265" i="2" s="1"/>
  <c r="Q265" i="2"/>
  <c r="P265" i="2" s="1"/>
  <c r="AR264" i="2"/>
  <c r="AQ264" i="2" s="1"/>
  <c r="Q264" i="2"/>
  <c r="P264" i="2" s="1"/>
  <c r="AR263" i="2"/>
  <c r="AQ263" i="2" s="1"/>
  <c r="Q263" i="2"/>
  <c r="P263" i="2" s="1"/>
  <c r="AR262" i="2"/>
  <c r="AQ262" i="2" s="1"/>
  <c r="Q262" i="2"/>
  <c r="P262" i="2" s="1"/>
  <c r="AR261" i="2"/>
  <c r="AQ261" i="2" s="1"/>
  <c r="Q261" i="2"/>
  <c r="P261" i="2" s="1"/>
  <c r="AR260" i="2"/>
  <c r="AQ260" i="2"/>
  <c r="Q260" i="2"/>
  <c r="P260" i="2" s="1"/>
  <c r="AR259" i="2"/>
  <c r="AQ259" i="2" s="1"/>
  <c r="Q259" i="2"/>
  <c r="P259" i="2" s="1"/>
  <c r="AR258" i="2"/>
  <c r="AQ258" i="2" s="1"/>
  <c r="Q258" i="2"/>
  <c r="P258" i="2" s="1"/>
  <c r="AR257" i="2"/>
  <c r="AQ257" i="2" s="1"/>
  <c r="Q257" i="2"/>
  <c r="P257" i="2" s="1"/>
  <c r="AR256" i="2"/>
  <c r="AQ256" i="2"/>
  <c r="Q256" i="2"/>
  <c r="P256" i="2" s="1"/>
  <c r="AR255" i="2"/>
  <c r="AQ255" i="2" s="1"/>
  <c r="Q255" i="2"/>
  <c r="P255" i="2" s="1"/>
  <c r="AR254" i="2"/>
  <c r="AQ254" i="2" s="1"/>
  <c r="Q254" i="2"/>
  <c r="P254" i="2" s="1"/>
  <c r="AR253" i="2"/>
  <c r="AQ253" i="2" s="1"/>
  <c r="Q253" i="2"/>
  <c r="P253" i="2" s="1"/>
  <c r="AR252" i="2"/>
  <c r="AQ252" i="2"/>
  <c r="Q252" i="2"/>
  <c r="P252" i="2" s="1"/>
  <c r="AR251" i="2"/>
  <c r="AQ251" i="2" s="1"/>
  <c r="Q251" i="2"/>
  <c r="P251" i="2"/>
  <c r="AR250" i="2"/>
  <c r="AQ250" i="2" s="1"/>
  <c r="Q250" i="2"/>
  <c r="P250" i="2" s="1"/>
  <c r="AR249" i="2"/>
  <c r="AQ249" i="2" s="1"/>
  <c r="Q249" i="2"/>
  <c r="P249" i="2" s="1"/>
  <c r="AR248" i="2"/>
  <c r="AQ248" i="2" s="1"/>
  <c r="Q248" i="2"/>
  <c r="P248" i="2" s="1"/>
  <c r="AR247" i="2"/>
  <c r="AQ247" i="2" s="1"/>
  <c r="Q247" i="2"/>
  <c r="P247" i="2"/>
  <c r="AR246" i="2"/>
  <c r="AQ246" i="2" s="1"/>
  <c r="Q246" i="2"/>
  <c r="P246" i="2" s="1"/>
  <c r="AR245" i="2"/>
  <c r="AQ245" i="2" s="1"/>
  <c r="Q245" i="2"/>
  <c r="P245" i="2" s="1"/>
  <c r="AR244" i="2"/>
  <c r="AQ244" i="2" s="1"/>
  <c r="Q244" i="2"/>
  <c r="P244" i="2" s="1"/>
  <c r="AR243" i="2"/>
  <c r="AQ243" i="2" s="1"/>
  <c r="Q243" i="2"/>
  <c r="P243" i="2"/>
  <c r="AR242" i="2"/>
  <c r="AQ242" i="2" s="1"/>
  <c r="Q242" i="2"/>
  <c r="P242" i="2" s="1"/>
  <c r="AR241" i="2"/>
  <c r="AQ241" i="2" s="1"/>
  <c r="Q241" i="2"/>
  <c r="P241" i="2" s="1"/>
  <c r="AR240" i="2"/>
  <c r="AQ240" i="2" s="1"/>
  <c r="Q240" i="2"/>
  <c r="P240" i="2" s="1"/>
  <c r="AR239" i="2"/>
  <c r="AQ239" i="2" s="1"/>
  <c r="Q239" i="2"/>
  <c r="P239" i="2" s="1"/>
  <c r="AR238" i="2"/>
  <c r="AQ238" i="2" s="1"/>
  <c r="Q238" i="2"/>
  <c r="P238" i="2" s="1"/>
  <c r="AR237" i="2"/>
  <c r="AQ237" i="2" s="1"/>
  <c r="Q237" i="2"/>
  <c r="P237" i="2" s="1"/>
  <c r="AR236" i="2"/>
  <c r="AQ236" i="2"/>
  <c r="Q236" i="2"/>
  <c r="P236" i="2" s="1"/>
  <c r="AR235" i="2"/>
  <c r="AQ235" i="2" s="1"/>
  <c r="Q235" i="2"/>
  <c r="P235" i="2" s="1"/>
  <c r="AR234" i="2"/>
  <c r="AQ234" i="2" s="1"/>
  <c r="Q234" i="2"/>
  <c r="P234" i="2" s="1"/>
  <c r="AR233" i="2"/>
  <c r="AQ233" i="2" s="1"/>
  <c r="Q233" i="2"/>
  <c r="P233" i="2" s="1"/>
  <c r="AR232" i="2"/>
  <c r="AQ232" i="2"/>
  <c r="Q232" i="2"/>
  <c r="P232" i="2" s="1"/>
  <c r="AR231" i="2"/>
  <c r="AQ231" i="2" s="1"/>
  <c r="Q231" i="2"/>
  <c r="P231" i="2" s="1"/>
  <c r="AR230" i="2"/>
  <c r="AQ230" i="2" s="1"/>
  <c r="Q230" i="2"/>
  <c r="P230" i="2" s="1"/>
  <c r="AR229" i="2"/>
  <c r="AQ229" i="2" s="1"/>
  <c r="Q229" i="2"/>
  <c r="P229" i="2" s="1"/>
  <c r="AR228" i="2"/>
  <c r="AQ228" i="2"/>
  <c r="Q228" i="2"/>
  <c r="P228" i="2" s="1"/>
  <c r="AR227" i="2"/>
  <c r="AQ227" i="2" s="1"/>
  <c r="Q227" i="2"/>
  <c r="P227" i="2"/>
  <c r="AR226" i="2"/>
  <c r="AQ226" i="2" s="1"/>
  <c r="Q226" i="2"/>
  <c r="P226" i="2" s="1"/>
  <c r="AR225" i="2"/>
  <c r="AQ225" i="2" s="1"/>
  <c r="Q225" i="2"/>
  <c r="P225" i="2" s="1"/>
  <c r="AR224" i="2"/>
  <c r="AQ224" i="2"/>
  <c r="Q224" i="2"/>
  <c r="P224" i="2" s="1"/>
  <c r="AR223" i="2"/>
  <c r="AQ223" i="2" s="1"/>
  <c r="Q223" i="2"/>
  <c r="P223" i="2"/>
  <c r="AR222" i="2"/>
  <c r="AQ222" i="2" s="1"/>
  <c r="Q222" i="2"/>
  <c r="P222" i="2" s="1"/>
  <c r="AR221" i="2"/>
  <c r="AQ221" i="2" s="1"/>
  <c r="Q221" i="2"/>
  <c r="P221" i="2" s="1"/>
  <c r="AR220" i="2"/>
  <c r="AQ220" i="2" s="1"/>
  <c r="Q220" i="2"/>
  <c r="P220" i="2" s="1"/>
  <c r="AR219" i="2"/>
  <c r="AQ219" i="2" s="1"/>
  <c r="Q219" i="2"/>
  <c r="P219" i="2"/>
  <c r="AR218" i="2"/>
  <c r="AQ218" i="2" s="1"/>
  <c r="Q218" i="2"/>
  <c r="P218" i="2" s="1"/>
  <c r="AR217" i="2"/>
  <c r="AQ217" i="2" s="1"/>
  <c r="Q217" i="2"/>
  <c r="P217" i="2" s="1"/>
  <c r="AR216" i="2"/>
  <c r="AQ216" i="2" s="1"/>
  <c r="Q216" i="2"/>
  <c r="P216" i="2" s="1"/>
  <c r="AR215" i="2"/>
  <c r="AQ215" i="2" s="1"/>
  <c r="Q215" i="2"/>
  <c r="P215" i="2"/>
  <c r="AR214" i="2"/>
  <c r="AQ214" i="2" s="1"/>
  <c r="Q214" i="2"/>
  <c r="P214" i="2" s="1"/>
  <c r="AR213" i="2"/>
  <c r="AQ213" i="2" s="1"/>
  <c r="Q213" i="2"/>
  <c r="P213" i="2" s="1"/>
  <c r="AR212" i="2"/>
  <c r="AQ212" i="2"/>
  <c r="Q212" i="2"/>
  <c r="P212" i="2" s="1"/>
  <c r="AR211" i="2"/>
  <c r="AQ211" i="2" s="1"/>
  <c r="Q211" i="2"/>
  <c r="P211" i="2" s="1"/>
  <c r="AR210" i="2"/>
  <c r="AQ210" i="2" s="1"/>
  <c r="Q210" i="2"/>
  <c r="P210" i="2" s="1"/>
  <c r="AR209" i="2"/>
  <c r="AQ209" i="2" s="1"/>
  <c r="Q209" i="2"/>
  <c r="P209" i="2" s="1"/>
  <c r="AR208" i="2"/>
  <c r="AQ208" i="2"/>
  <c r="Q208" i="2"/>
  <c r="P208" i="2" s="1"/>
  <c r="AR207" i="2"/>
  <c r="AQ207" i="2" s="1"/>
  <c r="Q207" i="2"/>
  <c r="P207" i="2" s="1"/>
  <c r="AR206" i="2"/>
  <c r="AQ206" i="2" s="1"/>
  <c r="Q206" i="2"/>
  <c r="P206" i="2" s="1"/>
  <c r="AR205" i="2"/>
  <c r="AQ205" i="2" s="1"/>
  <c r="Q205" i="2"/>
  <c r="P205" i="2" s="1"/>
  <c r="AR204" i="2"/>
  <c r="AQ204" i="2"/>
  <c r="Q204" i="2"/>
  <c r="P204" i="2" s="1"/>
  <c r="AR203" i="2"/>
  <c r="AQ203" i="2" s="1"/>
  <c r="Q203" i="2"/>
  <c r="P203" i="2"/>
  <c r="AR202" i="2"/>
  <c r="AQ202" i="2" s="1"/>
  <c r="Q202" i="2"/>
  <c r="P202" i="2" s="1"/>
  <c r="AR201" i="2"/>
  <c r="AQ201" i="2" s="1"/>
  <c r="Q201" i="2"/>
  <c r="P201" i="2" s="1"/>
  <c r="AR200" i="2"/>
  <c r="AQ200" i="2"/>
  <c r="Q200" i="2"/>
  <c r="P200" i="2" s="1"/>
  <c r="AR199" i="2"/>
  <c r="AQ199" i="2" s="1"/>
  <c r="Q199" i="2"/>
  <c r="P199" i="2"/>
  <c r="AR198" i="2"/>
  <c r="AQ198" i="2" s="1"/>
  <c r="Q198" i="2"/>
  <c r="P198" i="2" s="1"/>
  <c r="AR197" i="2"/>
  <c r="AQ197" i="2" s="1"/>
  <c r="Q197" i="2"/>
  <c r="P197" i="2" s="1"/>
  <c r="AR196" i="2"/>
  <c r="AQ196" i="2" s="1"/>
  <c r="Q196" i="2"/>
  <c r="P196" i="2" s="1"/>
  <c r="AR195" i="2"/>
  <c r="AQ195" i="2" s="1"/>
  <c r="Q195" i="2"/>
  <c r="P195" i="2"/>
  <c r="AR194" i="2"/>
  <c r="AQ194" i="2" s="1"/>
  <c r="Q194" i="2"/>
  <c r="P194" i="2" s="1"/>
  <c r="AR193" i="2"/>
  <c r="AQ193" i="2" s="1"/>
  <c r="Q193" i="2"/>
  <c r="P193" i="2" s="1"/>
  <c r="AR192" i="2"/>
  <c r="AQ192" i="2" s="1"/>
  <c r="Q192" i="2"/>
  <c r="P192" i="2" s="1"/>
  <c r="AR191" i="2"/>
  <c r="AQ191" i="2" s="1"/>
  <c r="Q191" i="2"/>
  <c r="P191" i="2"/>
  <c r="AR190" i="2"/>
  <c r="AQ190" i="2" s="1"/>
  <c r="Q190" i="2"/>
  <c r="P190" i="2" s="1"/>
  <c r="AR189" i="2"/>
  <c r="AQ189" i="2" s="1"/>
  <c r="Q189" i="2"/>
  <c r="P189" i="2" s="1"/>
  <c r="AR188" i="2"/>
  <c r="AQ188" i="2"/>
  <c r="Q188" i="2"/>
  <c r="P188" i="2" s="1"/>
  <c r="AR187" i="2"/>
  <c r="AQ187" i="2" s="1"/>
  <c r="Q187" i="2"/>
  <c r="P187" i="2" s="1"/>
  <c r="AR186" i="2"/>
  <c r="AQ186" i="2" s="1"/>
  <c r="Q186" i="2"/>
  <c r="P186" i="2" s="1"/>
  <c r="AR185" i="2"/>
  <c r="AQ185" i="2" s="1"/>
  <c r="Q185" i="2"/>
  <c r="P185" i="2" s="1"/>
  <c r="AR184" i="2"/>
  <c r="AQ184" i="2"/>
  <c r="Q184" i="2"/>
  <c r="P184" i="2" s="1"/>
  <c r="AR183" i="2"/>
  <c r="AQ183" i="2" s="1"/>
  <c r="Q183" i="2"/>
  <c r="P183" i="2" s="1"/>
  <c r="AR182" i="2"/>
  <c r="AQ182" i="2" s="1"/>
  <c r="Q182" i="2"/>
  <c r="P182" i="2" s="1"/>
  <c r="AR181" i="2"/>
  <c r="AQ181" i="2" s="1"/>
  <c r="Q181" i="2"/>
  <c r="P181" i="2" s="1"/>
  <c r="AR180" i="2"/>
  <c r="AQ180" i="2"/>
  <c r="Q180" i="2"/>
  <c r="P180" i="2" s="1"/>
  <c r="AR179" i="2"/>
  <c r="AQ179" i="2" s="1"/>
  <c r="Q179" i="2"/>
  <c r="P179" i="2"/>
  <c r="AR178" i="2"/>
  <c r="AQ178" i="2" s="1"/>
  <c r="Q178" i="2"/>
  <c r="P178" i="2" s="1"/>
  <c r="AR177" i="2"/>
  <c r="AQ177" i="2" s="1"/>
  <c r="Q177" i="2"/>
  <c r="P177" i="2" s="1"/>
  <c r="AR176" i="2"/>
  <c r="AQ176" i="2"/>
  <c r="Q176" i="2"/>
  <c r="P176" i="2" s="1"/>
  <c r="AR175" i="2"/>
  <c r="AQ175" i="2" s="1"/>
  <c r="Q175" i="2"/>
  <c r="P175" i="2"/>
  <c r="AR174" i="2"/>
  <c r="AQ174" i="2" s="1"/>
  <c r="Q174" i="2"/>
  <c r="P174" i="2"/>
  <c r="AR173" i="2"/>
  <c r="AQ173" i="2" s="1"/>
  <c r="Q173" i="2"/>
  <c r="P173" i="2" s="1"/>
  <c r="AR172" i="2"/>
  <c r="AQ172" i="2" s="1"/>
  <c r="Q172" i="2"/>
  <c r="P172" i="2"/>
  <c r="AR171" i="2"/>
  <c r="AQ171" i="2" s="1"/>
  <c r="Q171" i="2"/>
  <c r="P171" i="2"/>
  <c r="AR170" i="2"/>
  <c r="AQ170" i="2" s="1"/>
  <c r="Q170" i="2"/>
  <c r="P170" i="2"/>
  <c r="AR169" i="2"/>
  <c r="AQ169" i="2" s="1"/>
  <c r="Q169" i="2"/>
  <c r="P169" i="2" s="1"/>
  <c r="AR168" i="2"/>
  <c r="AQ168" i="2" s="1"/>
  <c r="Q168" i="2"/>
  <c r="P168" i="2"/>
  <c r="AR167" i="2"/>
  <c r="AQ167" i="2" s="1"/>
  <c r="Q167" i="2"/>
  <c r="P167" i="2"/>
  <c r="AR166" i="2"/>
  <c r="AQ166" i="2" s="1"/>
  <c r="Q166" i="2"/>
  <c r="P166" i="2"/>
  <c r="AR165" i="2"/>
  <c r="AQ165" i="2" s="1"/>
  <c r="Q165" i="2"/>
  <c r="P165" i="2" s="1"/>
  <c r="AR164" i="2"/>
  <c r="AQ164" i="2" s="1"/>
  <c r="Q164" i="2"/>
  <c r="P164" i="2"/>
  <c r="AR163" i="2"/>
  <c r="AQ163" i="2" s="1"/>
  <c r="Q163" i="2"/>
  <c r="P163" i="2"/>
  <c r="AR162" i="2"/>
  <c r="AQ162" i="2" s="1"/>
  <c r="Q162" i="2"/>
  <c r="P162" i="2"/>
  <c r="AR161" i="2"/>
  <c r="AQ161" i="2" s="1"/>
  <c r="Q161" i="2"/>
  <c r="P161" i="2" s="1"/>
  <c r="AR160" i="2"/>
  <c r="AQ160" i="2" s="1"/>
  <c r="Q160" i="2"/>
  <c r="P160" i="2"/>
  <c r="AR159" i="2"/>
  <c r="AQ159" i="2" s="1"/>
  <c r="Q159" i="2"/>
  <c r="P159" i="2"/>
  <c r="AR158" i="2"/>
  <c r="AQ158" i="2" s="1"/>
  <c r="Q158" i="2"/>
  <c r="P158" i="2"/>
  <c r="AR157" i="2"/>
  <c r="AQ157" i="2" s="1"/>
  <c r="Q157" i="2"/>
  <c r="P157" i="2" s="1"/>
  <c r="AR156" i="2"/>
  <c r="AQ156" i="2" s="1"/>
  <c r="Q156" i="2"/>
  <c r="P156" i="2"/>
  <c r="AR155" i="2"/>
  <c r="AQ155" i="2" s="1"/>
  <c r="Q155" i="2"/>
  <c r="P155" i="2"/>
  <c r="AR154" i="2"/>
  <c r="AQ154" i="2" s="1"/>
  <c r="Q154" i="2"/>
  <c r="P154" i="2"/>
  <c r="AR153" i="2"/>
  <c r="AQ153" i="2" s="1"/>
  <c r="Q153" i="2"/>
  <c r="P153" i="2" s="1"/>
  <c r="AR152" i="2"/>
  <c r="AQ152" i="2" s="1"/>
  <c r="Q152" i="2"/>
  <c r="P152" i="2"/>
  <c r="AR151" i="2"/>
  <c r="AQ151" i="2" s="1"/>
  <c r="Q151" i="2"/>
  <c r="P151" i="2"/>
  <c r="AR150" i="2"/>
  <c r="AQ150" i="2" s="1"/>
  <c r="Q150" i="2"/>
  <c r="P150" i="2"/>
  <c r="AR149" i="2"/>
  <c r="AQ149" i="2" s="1"/>
  <c r="Q149" i="2"/>
  <c r="P149" i="2" s="1"/>
  <c r="AR148" i="2"/>
  <c r="AQ148" i="2" s="1"/>
  <c r="Q148" i="2"/>
  <c r="P148" i="2"/>
  <c r="AR147" i="2"/>
  <c r="AQ147" i="2" s="1"/>
  <c r="Q147" i="2"/>
  <c r="P147" i="2"/>
  <c r="AR146" i="2"/>
  <c r="AQ146" i="2" s="1"/>
  <c r="Q146" i="2"/>
  <c r="P146" i="2"/>
  <c r="AR145" i="2"/>
  <c r="AQ145" i="2" s="1"/>
  <c r="Q145" i="2"/>
  <c r="P145" i="2" s="1"/>
  <c r="AR144" i="2"/>
  <c r="AQ144" i="2" s="1"/>
  <c r="Q144" i="2"/>
  <c r="P144" i="2"/>
  <c r="AR143" i="2"/>
  <c r="AQ143" i="2" s="1"/>
  <c r="Q143" i="2"/>
  <c r="P143" i="2"/>
  <c r="AR142" i="2"/>
  <c r="AQ142" i="2" s="1"/>
  <c r="Q142" i="2"/>
  <c r="P142" i="2"/>
  <c r="AR141" i="2"/>
  <c r="AQ141" i="2" s="1"/>
  <c r="Q141" i="2"/>
  <c r="P141" i="2" s="1"/>
  <c r="AR140" i="2"/>
  <c r="AQ140" i="2" s="1"/>
  <c r="Q140" i="2"/>
  <c r="P140" i="2"/>
  <c r="AR139" i="2"/>
  <c r="AQ139" i="2" s="1"/>
  <c r="Q139" i="2"/>
  <c r="P139" i="2"/>
  <c r="AR138" i="2"/>
  <c r="AQ138" i="2" s="1"/>
  <c r="Q138" i="2"/>
  <c r="P138" i="2"/>
  <c r="AR137" i="2"/>
  <c r="AQ137" i="2" s="1"/>
  <c r="Q137" i="2"/>
  <c r="P137" i="2" s="1"/>
  <c r="AR136" i="2"/>
  <c r="AQ136" i="2" s="1"/>
  <c r="Q136" i="2"/>
  <c r="P136" i="2"/>
  <c r="AR135" i="2"/>
  <c r="AQ135" i="2" s="1"/>
  <c r="Q135" i="2"/>
  <c r="P135" i="2"/>
  <c r="AR134" i="2"/>
  <c r="AQ134" i="2" s="1"/>
  <c r="Q134" i="2"/>
  <c r="P134" i="2"/>
  <c r="AR133" i="2"/>
  <c r="AQ133" i="2" s="1"/>
  <c r="Q133" i="2"/>
  <c r="P133" i="2" s="1"/>
  <c r="AR132" i="2"/>
  <c r="AQ132" i="2" s="1"/>
  <c r="Q132" i="2"/>
  <c r="P132" i="2"/>
  <c r="AR131" i="2"/>
  <c r="AQ131" i="2" s="1"/>
  <c r="Q131" i="2"/>
  <c r="P131" i="2"/>
  <c r="AR130" i="2"/>
  <c r="AQ130" i="2" s="1"/>
  <c r="Q130" i="2"/>
  <c r="P130" i="2"/>
  <c r="AR129" i="2"/>
  <c r="AQ129" i="2" s="1"/>
  <c r="Q129" i="2"/>
  <c r="P129" i="2" s="1"/>
  <c r="AR128" i="2"/>
  <c r="AQ128" i="2" s="1"/>
  <c r="Q128" i="2"/>
  <c r="P128" i="2"/>
  <c r="AR127" i="2"/>
  <c r="AQ127" i="2" s="1"/>
  <c r="Q127" i="2"/>
  <c r="P127" i="2"/>
  <c r="AR126" i="2"/>
  <c r="AQ126" i="2" s="1"/>
  <c r="Q126" i="2"/>
  <c r="P126" i="2"/>
  <c r="AR125" i="2"/>
  <c r="AQ125" i="2" s="1"/>
  <c r="Q125" i="2"/>
  <c r="P125" i="2" s="1"/>
  <c r="AR124" i="2"/>
  <c r="AQ124" i="2" s="1"/>
  <c r="Q124" i="2"/>
  <c r="P124" i="2"/>
  <c r="AR123" i="2"/>
  <c r="AQ123" i="2" s="1"/>
  <c r="Q123" i="2"/>
  <c r="P123" i="2"/>
  <c r="AR122" i="2"/>
  <c r="AQ122" i="2" s="1"/>
  <c r="Q122" i="2"/>
  <c r="P122" i="2"/>
  <c r="AR121" i="2"/>
  <c r="AQ121" i="2" s="1"/>
  <c r="Q121" i="2"/>
  <c r="P121" i="2" s="1"/>
  <c r="AR120" i="2"/>
  <c r="AQ120" i="2" s="1"/>
  <c r="Q120" i="2"/>
  <c r="P120" i="2"/>
  <c r="AR119" i="2"/>
  <c r="AQ119" i="2" s="1"/>
  <c r="Q119" i="2"/>
  <c r="P119" i="2"/>
  <c r="AR118" i="2"/>
  <c r="AQ118" i="2" s="1"/>
  <c r="Q118" i="2"/>
  <c r="P118" i="2"/>
  <c r="AR117" i="2"/>
  <c r="AQ117" i="2" s="1"/>
  <c r="Q117" i="2"/>
  <c r="P117" i="2" s="1"/>
  <c r="AR116" i="2"/>
  <c r="AQ116" i="2" s="1"/>
  <c r="Q116" i="2"/>
  <c r="P116" i="2"/>
  <c r="AR115" i="2"/>
  <c r="AQ115" i="2" s="1"/>
  <c r="Q115" i="2"/>
  <c r="P115" i="2"/>
  <c r="AR114" i="2"/>
  <c r="AQ114" i="2" s="1"/>
  <c r="Q114" i="2"/>
  <c r="P114" i="2"/>
  <c r="AR113" i="2"/>
  <c r="AQ113" i="2" s="1"/>
  <c r="Q113" i="2"/>
  <c r="P113" i="2" s="1"/>
  <c r="AR112" i="2"/>
  <c r="AQ112" i="2" s="1"/>
  <c r="Q112" i="2"/>
  <c r="P112" i="2"/>
  <c r="AR111" i="2"/>
  <c r="AQ111" i="2" s="1"/>
  <c r="Q111" i="2"/>
  <c r="P111" i="2"/>
  <c r="AR110" i="2"/>
  <c r="AQ110" i="2" s="1"/>
  <c r="Q110" i="2"/>
  <c r="P110" i="2"/>
  <c r="AR109" i="2"/>
  <c r="AQ109" i="2"/>
  <c r="Q109" i="2"/>
  <c r="P109" i="2"/>
  <c r="AR108" i="2"/>
  <c r="AQ108" i="2" s="1"/>
  <c r="Q108" i="2"/>
  <c r="P108" i="2"/>
  <c r="AR107" i="2"/>
  <c r="AQ107" i="2"/>
  <c r="Q107" i="2"/>
  <c r="P107" i="2"/>
  <c r="AR106" i="2"/>
  <c r="AQ106" i="2" s="1"/>
  <c r="Q106" i="2"/>
  <c r="P106" i="2"/>
  <c r="AR105" i="2"/>
  <c r="AQ105" i="2" s="1"/>
  <c r="Q105" i="2"/>
  <c r="P105" i="2" s="1"/>
  <c r="AR104" i="2"/>
  <c r="AQ104" i="2" s="1"/>
  <c r="Q104" i="2"/>
  <c r="P104" i="2" s="1"/>
  <c r="AR103" i="2"/>
  <c r="AQ103" i="2"/>
  <c r="Q103" i="2"/>
  <c r="P103" i="2"/>
  <c r="AR102" i="2"/>
  <c r="AQ102" i="2" s="1"/>
  <c r="Q102" i="2"/>
  <c r="P102" i="2" s="1"/>
  <c r="AR101" i="2"/>
  <c r="AQ101" i="2" s="1"/>
  <c r="Q101" i="2"/>
  <c r="P101" i="2"/>
  <c r="AR100" i="2"/>
  <c r="AQ100" i="2" s="1"/>
  <c r="Q100" i="2"/>
  <c r="P100" i="2"/>
  <c r="AR99" i="2"/>
  <c r="AQ99" i="2"/>
  <c r="Q99" i="2"/>
  <c r="P99" i="2" s="1"/>
  <c r="AR98" i="2"/>
  <c r="AQ98" i="2" s="1"/>
  <c r="Q98" i="2"/>
  <c r="P98" i="2"/>
  <c r="AR97" i="2"/>
  <c r="AQ97" i="2" s="1"/>
  <c r="Q97" i="2"/>
  <c r="P97" i="2"/>
  <c r="AR96" i="2"/>
  <c r="AQ96" i="2" s="1"/>
  <c r="Q96" i="2"/>
  <c r="P96" i="2"/>
  <c r="AR95" i="2"/>
  <c r="AQ95" i="2" s="1"/>
  <c r="Q95" i="2"/>
  <c r="P95" i="2" s="1"/>
  <c r="AR94" i="2"/>
  <c r="AQ94" i="2" s="1"/>
  <c r="Q94" i="2"/>
  <c r="P94" i="2"/>
  <c r="AR93" i="2"/>
  <c r="AQ93" i="2"/>
  <c r="Q93" i="2"/>
  <c r="P93" i="2" s="1"/>
  <c r="AR92" i="2"/>
  <c r="AQ92" i="2" s="1"/>
  <c r="Q92" i="2"/>
  <c r="P92" i="2"/>
  <c r="AR91" i="2"/>
  <c r="AQ91" i="2" s="1"/>
  <c r="Q91" i="2"/>
  <c r="P91" i="2" s="1"/>
  <c r="AR90" i="2"/>
  <c r="AQ90" i="2" s="1"/>
  <c r="Q90" i="2"/>
  <c r="P90" i="2"/>
  <c r="AR89" i="2"/>
  <c r="AQ89" i="2"/>
  <c r="Q89" i="2"/>
  <c r="P89" i="2"/>
  <c r="AR88" i="2"/>
  <c r="AQ88" i="2" s="1"/>
  <c r="Q88" i="2"/>
  <c r="P88" i="2" s="1"/>
  <c r="AR87" i="2"/>
  <c r="AQ87" i="2" s="1"/>
  <c r="Q87" i="2"/>
  <c r="P87" i="2"/>
  <c r="AR86" i="2"/>
  <c r="AQ86" i="2"/>
  <c r="Q86" i="2"/>
  <c r="P86" i="2"/>
  <c r="AR85" i="2"/>
  <c r="AQ85" i="2" s="1"/>
  <c r="Q85" i="2"/>
  <c r="P85" i="2" s="1"/>
  <c r="AR84" i="2"/>
  <c r="AQ84" i="2"/>
  <c r="Q84" i="2"/>
  <c r="P84" i="2"/>
  <c r="AR83" i="2"/>
  <c r="AQ83" i="2"/>
  <c r="Q83" i="2"/>
  <c r="P83" i="2"/>
  <c r="AR82" i="2"/>
  <c r="AQ82" i="2" s="1"/>
  <c r="Q82" i="2"/>
  <c r="P82" i="2" s="1"/>
  <c r="AR81" i="2"/>
  <c r="AQ81" i="2"/>
  <c r="Q81" i="2"/>
  <c r="P81" i="2"/>
  <c r="AR80" i="2"/>
  <c r="AQ80" i="2"/>
  <c r="Q80" i="2"/>
  <c r="P80" i="2"/>
  <c r="AR79" i="2"/>
  <c r="AQ79" i="2" s="1"/>
  <c r="Q79" i="2"/>
  <c r="P79" i="2" s="1"/>
  <c r="AR78" i="2"/>
  <c r="AQ78" i="2"/>
  <c r="Q78" i="2"/>
  <c r="P78" i="2"/>
  <c r="AR77" i="2"/>
  <c r="AQ77" i="2"/>
  <c r="Q77" i="2"/>
  <c r="P77" i="2"/>
  <c r="AR76" i="2"/>
  <c r="AQ76" i="2" s="1"/>
  <c r="Q76" i="2"/>
  <c r="P76" i="2" s="1"/>
  <c r="AR75" i="2"/>
  <c r="AQ75" i="2"/>
  <c r="Q75" i="2"/>
  <c r="P75" i="2"/>
  <c r="AR74" i="2"/>
  <c r="AQ74" i="2"/>
  <c r="Q74" i="2"/>
  <c r="P74" i="2"/>
  <c r="AR73" i="2"/>
  <c r="AQ73" i="2" s="1"/>
  <c r="Q73" i="2"/>
  <c r="P73" i="2" s="1"/>
  <c r="AR72" i="2"/>
  <c r="AQ72" i="2"/>
  <c r="Q72" i="2"/>
  <c r="P72" i="2"/>
  <c r="AR71" i="2"/>
  <c r="AQ71" i="2"/>
  <c r="Q71" i="2"/>
  <c r="P71" i="2"/>
  <c r="AR70" i="2"/>
  <c r="AQ70" i="2" s="1"/>
  <c r="Q70" i="2"/>
  <c r="P70" i="2" s="1"/>
  <c r="AR69" i="2"/>
  <c r="AQ69" i="2"/>
  <c r="Q69" i="2"/>
  <c r="P69" i="2"/>
  <c r="AR68" i="2"/>
  <c r="AQ68" i="2"/>
  <c r="Q68" i="2"/>
  <c r="P68" i="2"/>
  <c r="AR67" i="2"/>
  <c r="AQ67" i="2" s="1"/>
  <c r="Q67" i="2"/>
  <c r="P67" i="2" s="1"/>
  <c r="AR66" i="2"/>
  <c r="AQ66" i="2"/>
  <c r="Q66" i="2"/>
  <c r="P66" i="2"/>
  <c r="AR65" i="2"/>
  <c r="AQ65" i="2"/>
  <c r="Q65" i="2"/>
  <c r="P65" i="2"/>
  <c r="AR64" i="2"/>
  <c r="AQ64" i="2" s="1"/>
  <c r="Q64" i="2"/>
  <c r="P64" i="2" s="1"/>
  <c r="AR63" i="2"/>
  <c r="AQ63" i="2"/>
  <c r="Q63" i="2"/>
  <c r="P63" i="2"/>
  <c r="AR62" i="2"/>
  <c r="AQ62" i="2"/>
  <c r="Q62" i="2"/>
  <c r="P62" i="2"/>
  <c r="AR61" i="2"/>
  <c r="AQ61" i="2" s="1"/>
  <c r="Q61" i="2"/>
  <c r="P61" i="2" s="1"/>
  <c r="AR60" i="2"/>
  <c r="AQ60" i="2"/>
  <c r="Q60" i="2"/>
  <c r="P60" i="2"/>
  <c r="AR59" i="2"/>
  <c r="AQ59" i="2"/>
  <c r="Q59" i="2"/>
  <c r="P59" i="2"/>
  <c r="AR58" i="2"/>
  <c r="AQ58" i="2" s="1"/>
  <c r="Q58" i="2"/>
  <c r="P58" i="2" s="1"/>
  <c r="AR57" i="2"/>
  <c r="AQ57" i="2"/>
  <c r="Q57" i="2"/>
  <c r="P57" i="2"/>
  <c r="AR56" i="2"/>
  <c r="AQ56" i="2"/>
  <c r="Q56" i="2"/>
  <c r="P56" i="2"/>
  <c r="AR55" i="2"/>
  <c r="AQ55" i="2" s="1"/>
  <c r="Q55" i="2"/>
  <c r="P55" i="2" s="1"/>
  <c r="AR54" i="2"/>
  <c r="AQ54" i="2" s="1"/>
  <c r="Q54" i="2"/>
  <c r="P54" i="2"/>
  <c r="AR53" i="2"/>
  <c r="AQ53" i="2"/>
  <c r="Q53" i="2"/>
  <c r="P53" i="2"/>
  <c r="AR52" i="2"/>
  <c r="AQ52" i="2" s="1"/>
  <c r="Q52" i="2"/>
  <c r="P52" i="2" s="1"/>
  <c r="AR51" i="2"/>
  <c r="AQ51" i="2" s="1"/>
  <c r="Q51" i="2"/>
  <c r="P51" i="2"/>
  <c r="AR50" i="2"/>
  <c r="AQ50" i="2"/>
  <c r="Q50" i="2"/>
  <c r="P50" i="2"/>
  <c r="AR49" i="2"/>
  <c r="AQ49" i="2" s="1"/>
  <c r="Q49" i="2"/>
  <c r="P49" i="2" s="1"/>
  <c r="AR48" i="2"/>
  <c r="AQ48" i="2" s="1"/>
  <c r="Q48" i="2"/>
  <c r="P48" i="2"/>
  <c r="AR47" i="2"/>
  <c r="AQ47" i="2"/>
  <c r="Q47" i="2"/>
  <c r="P47" i="2"/>
  <c r="AR46" i="2"/>
  <c r="AQ46" i="2" s="1"/>
  <c r="Q46" i="2"/>
  <c r="P46" i="2" s="1"/>
  <c r="AR45" i="2"/>
  <c r="AQ45" i="2" s="1"/>
  <c r="Q45" i="2"/>
  <c r="P45" i="2"/>
  <c r="AR44" i="2"/>
  <c r="AQ44" i="2"/>
  <c r="Q44" i="2"/>
  <c r="P44" i="2"/>
  <c r="AR43" i="2"/>
  <c r="AQ43" i="2" s="1"/>
  <c r="Q43" i="2"/>
  <c r="P43" i="2" s="1"/>
  <c r="AR42" i="2"/>
  <c r="AQ42" i="2"/>
  <c r="Q42" i="2"/>
  <c r="P42" i="2"/>
  <c r="AR41" i="2"/>
  <c r="AQ41" i="2"/>
  <c r="Q41" i="2"/>
  <c r="P41" i="2"/>
  <c r="AR40" i="2"/>
  <c r="AQ40" i="2" s="1"/>
  <c r="Q40" i="2"/>
  <c r="P40" i="2" s="1"/>
  <c r="AR39" i="2"/>
  <c r="AQ39" i="2"/>
  <c r="Q39" i="2"/>
  <c r="P39" i="2"/>
  <c r="AR38" i="2"/>
  <c r="AQ38" i="2"/>
  <c r="Q38" i="2"/>
  <c r="P38" i="2"/>
  <c r="AR37" i="2"/>
  <c r="AQ37" i="2" s="1"/>
  <c r="Q37" i="2"/>
  <c r="P37" i="2" s="1"/>
  <c r="AR36" i="2"/>
  <c r="AQ36" i="2"/>
  <c r="Q36" i="2"/>
  <c r="P36" i="2"/>
  <c r="AR35" i="2"/>
  <c r="AQ35" i="2"/>
  <c r="Q35" i="2"/>
  <c r="P35" i="2"/>
  <c r="AR34" i="2"/>
  <c r="AQ34" i="2" s="1"/>
  <c r="Q34" i="2"/>
  <c r="P34" i="2" s="1"/>
  <c r="AR33" i="2"/>
  <c r="AQ33" i="2" s="1"/>
  <c r="Q33" i="2"/>
  <c r="P33" i="2"/>
  <c r="AR32" i="2"/>
  <c r="AQ32" i="2"/>
  <c r="Q32" i="2"/>
  <c r="P32" i="2"/>
  <c r="AR31" i="2"/>
  <c r="AQ31" i="2" s="1"/>
  <c r="Q31" i="2"/>
  <c r="P31" i="2" s="1"/>
  <c r="AR30" i="2"/>
  <c r="AQ30" i="2"/>
  <c r="Q30" i="2"/>
  <c r="P30" i="2"/>
  <c r="AR29" i="2"/>
  <c r="AQ29" i="2"/>
  <c r="Q29" i="2"/>
  <c r="P29" i="2"/>
  <c r="AR28" i="2"/>
  <c r="AQ28" i="2" s="1"/>
  <c r="Q28" i="2"/>
  <c r="P28" i="2" s="1"/>
  <c r="AR27" i="2"/>
  <c r="AQ27" i="2"/>
  <c r="Q27" i="2"/>
  <c r="P27" i="2"/>
  <c r="AR26" i="2"/>
  <c r="AQ26" i="2"/>
  <c r="Q26" i="2"/>
  <c r="P26" i="2"/>
  <c r="AR25" i="2"/>
  <c r="AQ25" i="2" s="1"/>
  <c r="Q25" i="2"/>
  <c r="P25" i="2" s="1"/>
  <c r="AR24" i="2"/>
  <c r="AQ24" i="2"/>
  <c r="Q24" i="2"/>
  <c r="P24" i="2"/>
  <c r="AR23" i="2"/>
  <c r="AQ23" i="2"/>
  <c r="Q23" i="2"/>
  <c r="P23" i="2"/>
  <c r="AR22" i="2"/>
  <c r="AQ22" i="2" s="1"/>
  <c r="Q22" i="2"/>
  <c r="P22" i="2" s="1"/>
  <c r="AR21" i="2"/>
  <c r="AQ21" i="2"/>
  <c r="Q21" i="2"/>
  <c r="P21" i="2"/>
  <c r="AR20" i="2"/>
  <c r="AQ20" i="2"/>
  <c r="Q20" i="2"/>
  <c r="P20" i="2"/>
  <c r="AR19" i="2"/>
  <c r="AQ19" i="2" s="1"/>
  <c r="Q19" i="2"/>
  <c r="P19" i="2" s="1"/>
  <c r="AR18" i="2"/>
  <c r="AQ18" i="2"/>
  <c r="Q18" i="2"/>
  <c r="P18" i="2"/>
  <c r="AR17" i="2"/>
  <c r="AQ17" i="2"/>
  <c r="Q17" i="2"/>
  <c r="P17" i="2"/>
  <c r="AR16" i="2"/>
  <c r="AQ16" i="2" s="1"/>
  <c r="Q16" i="2"/>
  <c r="P16" i="2" s="1"/>
  <c r="AR15" i="2"/>
  <c r="AQ15" i="2"/>
  <c r="Q15" i="2"/>
  <c r="P15" i="2"/>
  <c r="AR14" i="2"/>
  <c r="AQ14" i="2"/>
  <c r="Q14" i="2"/>
  <c r="P14" i="2"/>
  <c r="AR13" i="2"/>
  <c r="AQ13" i="2" s="1"/>
  <c r="Q13" i="2"/>
  <c r="P13" i="2" s="1"/>
  <c r="AR12" i="2"/>
  <c r="AQ12" i="2"/>
  <c r="Q12" i="2"/>
  <c r="P12" i="2"/>
  <c r="AR11" i="2"/>
  <c r="AQ11" i="2"/>
  <c r="Q11" i="2"/>
  <c r="P11" i="2"/>
  <c r="AR10" i="2"/>
  <c r="AQ10" i="2" s="1"/>
  <c r="Q10" i="2"/>
  <c r="P10" i="2" s="1"/>
  <c r="AR9" i="2"/>
  <c r="AQ9" i="2"/>
  <c r="Q9" i="2"/>
  <c r="P9" i="2"/>
  <c r="AR8" i="2"/>
  <c r="AQ8" i="2"/>
  <c r="Q8" i="2"/>
  <c r="P8" i="2"/>
  <c r="AR7" i="2"/>
  <c r="AQ7" i="2" s="1"/>
  <c r="Q7" i="2"/>
  <c r="P7" i="2" s="1"/>
  <c r="AR6" i="2"/>
  <c r="AQ6" i="2"/>
  <c r="Q6" i="2"/>
  <c r="P6" i="2"/>
  <c r="AR5" i="2"/>
  <c r="AQ5" i="2"/>
  <c r="Q5" i="2"/>
  <c r="P5" i="2"/>
  <c r="AR4" i="2"/>
  <c r="AQ4" i="2" s="1"/>
  <c r="Q4" i="2"/>
  <c r="P4" i="2" s="1"/>
  <c r="AS343" i="1" l="1"/>
  <c r="X343" i="1"/>
  <c r="W343" i="1"/>
  <c r="R343" i="1"/>
  <c r="O343" i="1"/>
  <c r="T346" i="1" s="1"/>
  <c r="N343" i="1"/>
  <c r="M343" i="1"/>
  <c r="V342" i="1"/>
  <c r="Q342" i="1"/>
  <c r="AR342" i="1" s="1"/>
  <c r="P342" i="1"/>
  <c r="AQ342" i="1" s="1"/>
  <c r="F342" i="1"/>
  <c r="V341" i="1"/>
  <c r="Q341" i="1"/>
  <c r="P341" i="1" s="1"/>
  <c r="AQ341" i="1" s="1"/>
  <c r="F341" i="1"/>
  <c r="V340" i="1"/>
  <c r="Q340" i="1"/>
  <c r="P340" i="1" s="1"/>
  <c r="AQ340" i="1" s="1"/>
  <c r="F340" i="1"/>
  <c r="V339" i="1"/>
  <c r="Q339" i="1"/>
  <c r="AR339" i="1" s="1"/>
  <c r="P339" i="1"/>
  <c r="AQ339" i="1" s="1"/>
  <c r="F339" i="1"/>
  <c r="AR338" i="1"/>
  <c r="V338" i="1"/>
  <c r="Q338" i="1"/>
  <c r="P338" i="1"/>
  <c r="AQ338" i="1" s="1"/>
  <c r="F338" i="1"/>
  <c r="AR337" i="1"/>
  <c r="AQ337" i="1"/>
  <c r="V337" i="1"/>
  <c r="Q337" i="1"/>
  <c r="P337" i="1" s="1"/>
  <c r="F337" i="1"/>
  <c r="V336" i="1"/>
  <c r="Q336" i="1"/>
  <c r="AR336" i="1" s="1"/>
  <c r="P336" i="1"/>
  <c r="AQ336" i="1" s="1"/>
  <c r="F336" i="1"/>
  <c r="V335" i="1"/>
  <c r="Q335" i="1"/>
  <c r="AR335" i="1" s="1"/>
  <c r="P335" i="1"/>
  <c r="AQ335" i="1" s="1"/>
  <c r="F335" i="1"/>
  <c r="AR334" i="1"/>
  <c r="V334" i="1"/>
  <c r="Q334" i="1"/>
  <c r="P334" i="1"/>
  <c r="AQ334" i="1" s="1"/>
  <c r="F334" i="1"/>
  <c r="V333" i="1"/>
  <c r="Q333" i="1"/>
  <c r="F333" i="1"/>
  <c r="V332" i="1"/>
  <c r="Q332" i="1"/>
  <c r="AR332" i="1" s="1"/>
  <c r="P332" i="1"/>
  <c r="AQ332" i="1" s="1"/>
  <c r="F332" i="1"/>
  <c r="V331" i="1"/>
  <c r="Q331" i="1"/>
  <c r="F331" i="1"/>
  <c r="AR330" i="1"/>
  <c r="V330" i="1"/>
  <c r="Q330" i="1"/>
  <c r="P330" i="1"/>
  <c r="F330" i="1"/>
  <c r="V329" i="1"/>
  <c r="Q329" i="1"/>
  <c r="P329" i="1" s="1"/>
  <c r="AQ329" i="1" s="1"/>
  <c r="F329" i="1"/>
  <c r="V328" i="1"/>
  <c r="Q328" i="1"/>
  <c r="P328" i="1" s="1"/>
  <c r="AQ328" i="1" s="1"/>
  <c r="F328" i="1"/>
  <c r="V327" i="1"/>
  <c r="Q327" i="1"/>
  <c r="AR327" i="1" s="1"/>
  <c r="F327" i="1"/>
  <c r="V326" i="1"/>
  <c r="Q326" i="1"/>
  <c r="AR326" i="1" s="1"/>
  <c r="F326" i="1"/>
  <c r="V325" i="1"/>
  <c r="Q325" i="1"/>
  <c r="P325" i="1" s="1"/>
  <c r="F325" i="1"/>
  <c r="V324" i="1"/>
  <c r="Q324" i="1"/>
  <c r="AR324" i="1" s="1"/>
  <c r="F324" i="1"/>
  <c r="V323" i="1"/>
  <c r="Q323" i="1"/>
  <c r="AR323" i="1" s="1"/>
  <c r="P323" i="1"/>
  <c r="F323" i="1"/>
  <c r="V322" i="1"/>
  <c r="Q322" i="1"/>
  <c r="AR322" i="1" s="1"/>
  <c r="P322" i="1"/>
  <c r="AQ322" i="1" s="1"/>
  <c r="F322" i="1"/>
  <c r="V321" i="1"/>
  <c r="AQ321" i="1" s="1"/>
  <c r="Q321" i="1"/>
  <c r="P321" i="1" s="1"/>
  <c r="F321" i="1"/>
  <c r="V320" i="1"/>
  <c r="AQ320" i="1" s="1"/>
  <c r="Q320" i="1"/>
  <c r="AR320" i="1" s="1"/>
  <c r="P320" i="1"/>
  <c r="F320" i="1"/>
  <c r="V319" i="1"/>
  <c r="Q319" i="1"/>
  <c r="AR319" i="1" s="1"/>
  <c r="F319" i="1"/>
  <c r="V318" i="1"/>
  <c r="Q318" i="1"/>
  <c r="AR318" i="1" s="1"/>
  <c r="P318" i="1"/>
  <c r="AQ318" i="1" s="1"/>
  <c r="F318" i="1"/>
  <c r="AR317" i="1"/>
  <c r="V317" i="1"/>
  <c r="Q317" i="1"/>
  <c r="P317" i="1" s="1"/>
  <c r="AQ317" i="1" s="1"/>
  <c r="F317" i="1"/>
  <c r="V316" i="1"/>
  <c r="Q316" i="1"/>
  <c r="F316" i="1"/>
  <c r="V315" i="1"/>
  <c r="Q315" i="1"/>
  <c r="AR315" i="1" s="1"/>
  <c r="P315" i="1"/>
  <c r="AQ315" i="1" s="1"/>
  <c r="F315" i="1"/>
  <c r="AR314" i="1"/>
  <c r="V314" i="1"/>
  <c r="Q314" i="1"/>
  <c r="P314" i="1"/>
  <c r="AQ314" i="1" s="1"/>
  <c r="F314" i="1"/>
  <c r="V313" i="1"/>
  <c r="Q313" i="1"/>
  <c r="F313" i="1"/>
  <c r="V312" i="1"/>
  <c r="Q312" i="1"/>
  <c r="AR312" i="1" s="1"/>
  <c r="F312" i="1"/>
  <c r="V311" i="1"/>
  <c r="Q311" i="1"/>
  <c r="AR311" i="1" s="1"/>
  <c r="F311" i="1"/>
  <c r="V310" i="1"/>
  <c r="Q310" i="1"/>
  <c r="AR310" i="1" s="1"/>
  <c r="P310" i="1"/>
  <c r="AQ310" i="1" s="1"/>
  <c r="F310" i="1"/>
  <c r="V309" i="1"/>
  <c r="Q309" i="1"/>
  <c r="P309" i="1" s="1"/>
  <c r="F309" i="1"/>
  <c r="AR308" i="1"/>
  <c r="AQ308" i="1"/>
  <c r="V308" i="1"/>
  <c r="Q308" i="1"/>
  <c r="P308" i="1"/>
  <c r="F308" i="1"/>
  <c r="V307" i="1"/>
  <c r="Q307" i="1"/>
  <c r="AR307" i="1" s="1"/>
  <c r="F307" i="1"/>
  <c r="V306" i="1"/>
  <c r="Q306" i="1"/>
  <c r="AR306" i="1" s="1"/>
  <c r="P306" i="1"/>
  <c r="AQ306" i="1" s="1"/>
  <c r="F306" i="1"/>
  <c r="V305" i="1"/>
  <c r="Q305" i="1"/>
  <c r="P305" i="1" s="1"/>
  <c r="AQ305" i="1" s="1"/>
  <c r="F305" i="1"/>
  <c r="V304" i="1"/>
  <c r="Q304" i="1"/>
  <c r="AR304" i="1" s="1"/>
  <c r="P304" i="1"/>
  <c r="AQ304" i="1" s="1"/>
  <c r="F304" i="1"/>
  <c r="V303" i="1"/>
  <c r="Q303" i="1"/>
  <c r="AR303" i="1" s="1"/>
  <c r="F303" i="1"/>
  <c r="V302" i="1"/>
  <c r="Q302" i="1"/>
  <c r="P302" i="1" s="1"/>
  <c r="AQ302" i="1" s="1"/>
  <c r="F302" i="1"/>
  <c r="V301" i="1"/>
  <c r="Q301" i="1"/>
  <c r="P301" i="1" s="1"/>
  <c r="AQ301" i="1" s="1"/>
  <c r="F301" i="1"/>
  <c r="V300" i="1"/>
  <c r="Q300" i="1"/>
  <c r="F300" i="1"/>
  <c r="V299" i="1"/>
  <c r="Q299" i="1"/>
  <c r="F299" i="1"/>
  <c r="AR298" i="1"/>
  <c r="V298" i="1"/>
  <c r="Q298" i="1"/>
  <c r="P298" i="1"/>
  <c r="AQ298" i="1" s="1"/>
  <c r="F298" i="1"/>
  <c r="V297" i="1"/>
  <c r="Q297" i="1"/>
  <c r="F297" i="1"/>
  <c r="V296" i="1"/>
  <c r="Q296" i="1"/>
  <c r="P296" i="1" s="1"/>
  <c r="F296" i="1"/>
  <c r="V295" i="1"/>
  <c r="Q295" i="1"/>
  <c r="AR295" i="1" s="1"/>
  <c r="F295" i="1"/>
  <c r="V294" i="1"/>
  <c r="Q294" i="1"/>
  <c r="AR294" i="1" s="1"/>
  <c r="P294" i="1"/>
  <c r="AQ294" i="1" s="1"/>
  <c r="F294" i="1"/>
  <c r="V293" i="1"/>
  <c r="Q293" i="1"/>
  <c r="P293" i="1" s="1"/>
  <c r="F293" i="1"/>
  <c r="V292" i="1"/>
  <c r="Q292" i="1"/>
  <c r="AR292" i="1" s="1"/>
  <c r="F292" i="1"/>
  <c r="V291" i="1"/>
  <c r="Q291" i="1"/>
  <c r="AR291" i="1" s="1"/>
  <c r="P291" i="1"/>
  <c r="F291" i="1"/>
  <c r="V290" i="1"/>
  <c r="Q290" i="1"/>
  <c r="AR290" i="1" s="1"/>
  <c r="P290" i="1"/>
  <c r="AQ290" i="1" s="1"/>
  <c r="F290" i="1"/>
  <c r="V289" i="1"/>
  <c r="Q289" i="1"/>
  <c r="P289" i="1" s="1"/>
  <c r="AQ289" i="1" s="1"/>
  <c r="F289" i="1"/>
  <c r="AR288" i="1"/>
  <c r="V288" i="1"/>
  <c r="Q288" i="1"/>
  <c r="P288" i="1"/>
  <c r="AQ288" i="1" s="1"/>
  <c r="F288" i="1"/>
  <c r="V287" i="1"/>
  <c r="Q287" i="1"/>
  <c r="AR287" i="1" s="1"/>
  <c r="F287" i="1"/>
  <c r="V286" i="1"/>
  <c r="Q286" i="1"/>
  <c r="AR286" i="1" s="1"/>
  <c r="P286" i="1"/>
  <c r="AQ286" i="1" s="1"/>
  <c r="F286" i="1"/>
  <c r="V285" i="1"/>
  <c r="Q285" i="1"/>
  <c r="P285" i="1" s="1"/>
  <c r="AQ285" i="1" s="1"/>
  <c r="F285" i="1"/>
  <c r="V284" i="1"/>
  <c r="Q284" i="1"/>
  <c r="F284" i="1"/>
  <c r="V283" i="1"/>
  <c r="Q283" i="1"/>
  <c r="F283" i="1"/>
  <c r="V282" i="1"/>
  <c r="Q282" i="1"/>
  <c r="AR282" i="1" s="1"/>
  <c r="P282" i="1"/>
  <c r="AQ282" i="1" s="1"/>
  <c r="F282" i="1"/>
  <c r="V281" i="1"/>
  <c r="Q281" i="1"/>
  <c r="F281" i="1"/>
  <c r="V280" i="1"/>
  <c r="Q280" i="1"/>
  <c r="AR280" i="1" s="1"/>
  <c r="F280" i="1"/>
  <c r="V279" i="1"/>
  <c r="Q279" i="1"/>
  <c r="AR279" i="1" s="1"/>
  <c r="F279" i="1"/>
  <c r="V278" i="1"/>
  <c r="Q278" i="1"/>
  <c r="P278" i="1" s="1"/>
  <c r="AQ278" i="1" s="1"/>
  <c r="F278" i="1"/>
  <c r="V277" i="1"/>
  <c r="Q277" i="1"/>
  <c r="P277" i="1" s="1"/>
  <c r="F277" i="1"/>
  <c r="AR276" i="1"/>
  <c r="V276" i="1"/>
  <c r="Q276" i="1"/>
  <c r="P276" i="1"/>
  <c r="AQ276" i="1" s="1"/>
  <c r="F276" i="1"/>
  <c r="V275" i="1"/>
  <c r="Q275" i="1"/>
  <c r="AR275" i="1" s="1"/>
  <c r="F275" i="1"/>
  <c r="V274" i="1"/>
  <c r="Q274" i="1"/>
  <c r="AR274" i="1" s="1"/>
  <c r="F274" i="1"/>
  <c r="V273" i="1"/>
  <c r="Q273" i="1"/>
  <c r="P273" i="1" s="1"/>
  <c r="AQ273" i="1" s="1"/>
  <c r="F273" i="1"/>
  <c r="V272" i="1"/>
  <c r="Q272" i="1"/>
  <c r="P272" i="1" s="1"/>
  <c r="AQ272" i="1" s="1"/>
  <c r="F272" i="1"/>
  <c r="V271" i="1"/>
  <c r="Q271" i="1"/>
  <c r="AR271" i="1" s="1"/>
  <c r="P271" i="1"/>
  <c r="F271" i="1"/>
  <c r="AR270" i="1"/>
  <c r="V270" i="1"/>
  <c r="Q270" i="1"/>
  <c r="P270" i="1" s="1"/>
  <c r="AQ270" i="1" s="1"/>
  <c r="F270" i="1"/>
  <c r="V269" i="1"/>
  <c r="Q269" i="1"/>
  <c r="P269" i="1" s="1"/>
  <c r="AQ269" i="1" s="1"/>
  <c r="F269" i="1"/>
  <c r="V268" i="1"/>
  <c r="Q268" i="1"/>
  <c r="F268" i="1"/>
  <c r="V267" i="1"/>
  <c r="Q267" i="1"/>
  <c r="F267" i="1"/>
  <c r="V266" i="1"/>
  <c r="Q266" i="1"/>
  <c r="AR266" i="1" s="1"/>
  <c r="P266" i="1"/>
  <c r="AQ266" i="1" s="1"/>
  <c r="F266" i="1"/>
  <c r="V265" i="1"/>
  <c r="Q265" i="1"/>
  <c r="F265" i="1"/>
  <c r="V264" i="1"/>
  <c r="Q264" i="1"/>
  <c r="P264" i="1" s="1"/>
  <c r="AQ264" i="1" s="1"/>
  <c r="F264" i="1"/>
  <c r="V263" i="1"/>
  <c r="Q263" i="1"/>
  <c r="AR263" i="1" s="1"/>
  <c r="F263" i="1"/>
  <c r="V262" i="1"/>
  <c r="Q262" i="1"/>
  <c r="AR262" i="1" s="1"/>
  <c r="F262" i="1"/>
  <c r="V261" i="1"/>
  <c r="Q261" i="1"/>
  <c r="P261" i="1" s="1"/>
  <c r="F261" i="1"/>
  <c r="V260" i="1"/>
  <c r="Q260" i="1"/>
  <c r="AR260" i="1" s="1"/>
  <c r="F260" i="1"/>
  <c r="V259" i="1"/>
  <c r="Q259" i="1"/>
  <c r="AR259" i="1" s="1"/>
  <c r="P259" i="1"/>
  <c r="F259" i="1"/>
  <c r="V258" i="1"/>
  <c r="Q258" i="1"/>
  <c r="AR258" i="1" s="1"/>
  <c r="P258" i="1"/>
  <c r="AQ258" i="1" s="1"/>
  <c r="F258" i="1"/>
  <c r="V257" i="1"/>
  <c r="Q257" i="1"/>
  <c r="P257" i="1" s="1"/>
  <c r="AQ257" i="1" s="1"/>
  <c r="F257" i="1"/>
  <c r="AR256" i="1"/>
  <c r="V256" i="1"/>
  <c r="Q256" i="1"/>
  <c r="P256" i="1"/>
  <c r="AQ256" i="1" s="1"/>
  <c r="F256" i="1"/>
  <c r="V255" i="1"/>
  <c r="Q255" i="1"/>
  <c r="AR255" i="1" s="1"/>
  <c r="F255" i="1"/>
  <c r="V254" i="1"/>
  <c r="Q254" i="1"/>
  <c r="AR254" i="1" s="1"/>
  <c r="F254" i="1"/>
  <c r="V253" i="1"/>
  <c r="Q253" i="1"/>
  <c r="P253" i="1" s="1"/>
  <c r="AQ253" i="1" s="1"/>
  <c r="F253" i="1"/>
  <c r="V252" i="1"/>
  <c r="Q252" i="1"/>
  <c r="F252" i="1"/>
  <c r="V251" i="1"/>
  <c r="Q251" i="1"/>
  <c r="F251" i="1"/>
  <c r="V250" i="1"/>
  <c r="Q250" i="1"/>
  <c r="AR250" i="1" s="1"/>
  <c r="P250" i="1"/>
  <c r="AQ250" i="1" s="1"/>
  <c r="F250" i="1"/>
  <c r="V249" i="1"/>
  <c r="Q249" i="1"/>
  <c r="F249" i="1"/>
  <c r="V248" i="1"/>
  <c r="Q248" i="1"/>
  <c r="AR248" i="1" s="1"/>
  <c r="F248" i="1"/>
  <c r="V247" i="1"/>
  <c r="Q247" i="1"/>
  <c r="AR247" i="1" s="1"/>
  <c r="F247" i="1"/>
  <c r="AR246" i="1"/>
  <c r="V246" i="1"/>
  <c r="Q246" i="1"/>
  <c r="P246" i="1" s="1"/>
  <c r="AQ246" i="1" s="1"/>
  <c r="F246" i="1"/>
  <c r="V245" i="1"/>
  <c r="Q245" i="1"/>
  <c r="P245" i="1" s="1"/>
  <c r="AQ245" i="1" s="1"/>
  <c r="F245" i="1"/>
  <c r="V244" i="1"/>
  <c r="Q244" i="1"/>
  <c r="AR244" i="1" s="1"/>
  <c r="P244" i="1"/>
  <c r="AQ244" i="1" s="1"/>
  <c r="F244" i="1"/>
  <c r="V243" i="1"/>
  <c r="Q243" i="1"/>
  <c r="AR243" i="1" s="1"/>
  <c r="P243" i="1"/>
  <c r="AQ243" i="1" s="1"/>
  <c r="F243" i="1"/>
  <c r="AR242" i="1"/>
  <c r="V242" i="1"/>
  <c r="Q242" i="1"/>
  <c r="P242" i="1"/>
  <c r="F242" i="1"/>
  <c r="AR241" i="1"/>
  <c r="V241" i="1"/>
  <c r="AQ241" i="1" s="1"/>
  <c r="Q241" i="1"/>
  <c r="P241" i="1" s="1"/>
  <c r="F241" i="1"/>
  <c r="V240" i="1"/>
  <c r="Q240" i="1"/>
  <c r="AR240" i="1" s="1"/>
  <c r="P240" i="1"/>
  <c r="AQ240" i="1" s="1"/>
  <c r="F240" i="1"/>
  <c r="V239" i="1"/>
  <c r="Q239" i="1"/>
  <c r="AR239" i="1" s="1"/>
  <c r="P239" i="1"/>
  <c r="AQ239" i="1" s="1"/>
  <c r="F239" i="1"/>
  <c r="AR238" i="1"/>
  <c r="AQ238" i="1"/>
  <c r="V238" i="1"/>
  <c r="Q238" i="1"/>
  <c r="P238" i="1"/>
  <c r="F238" i="1"/>
  <c r="AR237" i="1"/>
  <c r="V237" i="1"/>
  <c r="Q237" i="1"/>
  <c r="P237" i="1" s="1"/>
  <c r="F237" i="1"/>
  <c r="V236" i="1"/>
  <c r="Q236" i="1"/>
  <c r="F236" i="1"/>
  <c r="V235" i="1"/>
  <c r="Q235" i="1"/>
  <c r="F235" i="1"/>
  <c r="V234" i="1"/>
  <c r="Q234" i="1"/>
  <c r="AR234" i="1" s="1"/>
  <c r="P234" i="1"/>
  <c r="AQ234" i="1" s="1"/>
  <c r="F234" i="1"/>
  <c r="V233" i="1"/>
  <c r="Q233" i="1"/>
  <c r="F233" i="1"/>
  <c r="V232" i="1"/>
  <c r="Q232" i="1"/>
  <c r="P232" i="1" s="1"/>
  <c r="AQ232" i="1" s="1"/>
  <c r="F232" i="1"/>
  <c r="V231" i="1"/>
  <c r="Q231" i="1"/>
  <c r="AR231" i="1" s="1"/>
  <c r="F231" i="1"/>
  <c r="AR230" i="1"/>
  <c r="V230" i="1"/>
  <c r="Q230" i="1"/>
  <c r="P230" i="1"/>
  <c r="F230" i="1"/>
  <c r="V229" i="1"/>
  <c r="Q229" i="1"/>
  <c r="P229" i="1" s="1"/>
  <c r="F229" i="1"/>
  <c r="V228" i="1"/>
  <c r="Q228" i="1"/>
  <c r="AR228" i="1" s="1"/>
  <c r="P228" i="1"/>
  <c r="AQ228" i="1" s="1"/>
  <c r="F228" i="1"/>
  <c r="V227" i="1"/>
  <c r="Q227" i="1"/>
  <c r="AR227" i="1" s="1"/>
  <c r="F227" i="1"/>
  <c r="V226" i="1"/>
  <c r="Q226" i="1"/>
  <c r="AR226" i="1" s="1"/>
  <c r="P226" i="1"/>
  <c r="AQ226" i="1" s="1"/>
  <c r="F226" i="1"/>
  <c r="V225" i="1"/>
  <c r="Q225" i="1"/>
  <c r="P225" i="1" s="1"/>
  <c r="AQ225" i="1" s="1"/>
  <c r="F225" i="1"/>
  <c r="V224" i="1"/>
  <c r="Q224" i="1"/>
  <c r="AR224" i="1" s="1"/>
  <c r="P224" i="1"/>
  <c r="AQ224" i="1" s="1"/>
  <c r="F224" i="1"/>
  <c r="V223" i="1"/>
  <c r="Q223" i="1"/>
  <c r="AR223" i="1" s="1"/>
  <c r="P223" i="1"/>
  <c r="F223" i="1"/>
  <c r="V222" i="1"/>
  <c r="AQ222" i="1" s="1"/>
  <c r="Q222" i="1"/>
  <c r="AR222" i="1" s="1"/>
  <c r="P222" i="1"/>
  <c r="F222" i="1"/>
  <c r="AR221" i="1"/>
  <c r="V221" i="1"/>
  <c r="AQ221" i="1" s="1"/>
  <c r="Q221" i="1"/>
  <c r="P221" i="1" s="1"/>
  <c r="F221" i="1"/>
  <c r="V220" i="1"/>
  <c r="Q220" i="1"/>
  <c r="F220" i="1"/>
  <c r="V219" i="1"/>
  <c r="Q219" i="1"/>
  <c r="F219" i="1"/>
  <c r="V218" i="1"/>
  <c r="Q218" i="1"/>
  <c r="P218" i="1" s="1"/>
  <c r="AQ218" i="1" s="1"/>
  <c r="F218" i="1"/>
  <c r="V217" i="1"/>
  <c r="Q217" i="1"/>
  <c r="F217" i="1"/>
  <c r="V216" i="1"/>
  <c r="Q216" i="1"/>
  <c r="AR216" i="1" s="1"/>
  <c r="F216" i="1"/>
  <c r="V215" i="1"/>
  <c r="Q215" i="1"/>
  <c r="AR215" i="1" s="1"/>
  <c r="F215" i="1"/>
  <c r="AR214" i="1"/>
  <c r="V214" i="1"/>
  <c r="Q214" i="1"/>
  <c r="P214" i="1" s="1"/>
  <c r="AQ214" i="1" s="1"/>
  <c r="F214" i="1"/>
  <c r="V213" i="1"/>
  <c r="Q213" i="1"/>
  <c r="P213" i="1" s="1"/>
  <c r="AQ213" i="1" s="1"/>
  <c r="F213" i="1"/>
  <c r="V212" i="1"/>
  <c r="Q212" i="1"/>
  <c r="AR212" i="1" s="1"/>
  <c r="P212" i="1"/>
  <c r="AQ212" i="1" s="1"/>
  <c r="F212" i="1"/>
  <c r="V211" i="1"/>
  <c r="Q211" i="1"/>
  <c r="AR211" i="1" s="1"/>
  <c r="P211" i="1"/>
  <c r="AQ211" i="1" s="1"/>
  <c r="F211" i="1"/>
  <c r="AR210" i="1"/>
  <c r="V210" i="1"/>
  <c r="Q210" i="1"/>
  <c r="P210" i="1"/>
  <c r="AQ210" i="1" s="1"/>
  <c r="F210" i="1"/>
  <c r="AR209" i="1"/>
  <c r="AQ209" i="1"/>
  <c r="V209" i="1"/>
  <c r="Q209" i="1"/>
  <c r="P209" i="1" s="1"/>
  <c r="F209" i="1"/>
  <c r="V208" i="1"/>
  <c r="Q208" i="1"/>
  <c r="AR208" i="1" s="1"/>
  <c r="P208" i="1"/>
  <c r="AQ208" i="1" s="1"/>
  <c r="F208" i="1"/>
  <c r="V207" i="1"/>
  <c r="Q207" i="1"/>
  <c r="AR207" i="1" s="1"/>
  <c r="P207" i="1"/>
  <c r="AQ207" i="1" s="1"/>
  <c r="F207" i="1"/>
  <c r="AR206" i="1"/>
  <c r="V206" i="1"/>
  <c r="Q206" i="1"/>
  <c r="P206" i="1"/>
  <c r="AQ206" i="1" s="1"/>
  <c r="F206" i="1"/>
  <c r="V205" i="1"/>
  <c r="Q205" i="1"/>
  <c r="P205" i="1" s="1"/>
  <c r="F205" i="1"/>
  <c r="V204" i="1"/>
  <c r="Q204" i="1"/>
  <c r="F204" i="1"/>
  <c r="V203" i="1"/>
  <c r="Q203" i="1"/>
  <c r="F203" i="1"/>
  <c r="V202" i="1"/>
  <c r="Q202" i="1"/>
  <c r="AR202" i="1" s="1"/>
  <c r="P202" i="1"/>
  <c r="AQ202" i="1" s="1"/>
  <c r="F202" i="1"/>
  <c r="V201" i="1"/>
  <c r="Q201" i="1"/>
  <c r="F201" i="1"/>
  <c r="V200" i="1"/>
  <c r="Q200" i="1"/>
  <c r="P200" i="1" s="1"/>
  <c r="AQ200" i="1" s="1"/>
  <c r="F200" i="1"/>
  <c r="V199" i="1"/>
  <c r="Q199" i="1"/>
  <c r="AR199" i="1" s="1"/>
  <c r="F199" i="1"/>
  <c r="AR198" i="1"/>
  <c r="V198" i="1"/>
  <c r="Q198" i="1"/>
  <c r="P198" i="1"/>
  <c r="F198" i="1"/>
  <c r="V197" i="1"/>
  <c r="Q197" i="1"/>
  <c r="P197" i="1" s="1"/>
  <c r="F197" i="1"/>
  <c r="V196" i="1"/>
  <c r="Q196" i="1"/>
  <c r="AR196" i="1" s="1"/>
  <c r="P196" i="1"/>
  <c r="AQ196" i="1" s="1"/>
  <c r="F196" i="1"/>
  <c r="V195" i="1"/>
  <c r="Q195" i="1"/>
  <c r="AR195" i="1" s="1"/>
  <c r="F195" i="1"/>
  <c r="V194" i="1"/>
  <c r="Q194" i="1"/>
  <c r="P194" i="1" s="1"/>
  <c r="AQ194" i="1" s="1"/>
  <c r="F194" i="1"/>
  <c r="V193" i="1"/>
  <c r="Q193" i="1"/>
  <c r="P193" i="1" s="1"/>
  <c r="AQ193" i="1" s="1"/>
  <c r="F193" i="1"/>
  <c r="V192" i="1"/>
  <c r="Q192" i="1"/>
  <c r="AR192" i="1" s="1"/>
  <c r="P192" i="1"/>
  <c r="AQ192" i="1" s="1"/>
  <c r="F192" i="1"/>
  <c r="V191" i="1"/>
  <c r="Q191" i="1"/>
  <c r="AR191" i="1" s="1"/>
  <c r="F191" i="1"/>
  <c r="V190" i="1"/>
  <c r="AQ190" i="1" s="1"/>
  <c r="Q190" i="1"/>
  <c r="AR190" i="1" s="1"/>
  <c r="P190" i="1"/>
  <c r="F190" i="1"/>
  <c r="AR189" i="1"/>
  <c r="V189" i="1"/>
  <c r="AQ189" i="1" s="1"/>
  <c r="Q189" i="1"/>
  <c r="P189" i="1" s="1"/>
  <c r="F189" i="1"/>
  <c r="V188" i="1"/>
  <c r="Q188" i="1"/>
  <c r="F188" i="1"/>
  <c r="V187" i="1"/>
  <c r="Q187" i="1"/>
  <c r="F187" i="1"/>
  <c r="V186" i="1"/>
  <c r="Q186" i="1"/>
  <c r="P186" i="1" s="1"/>
  <c r="AQ186" i="1" s="1"/>
  <c r="F186" i="1"/>
  <c r="V185" i="1"/>
  <c r="Q185" i="1"/>
  <c r="F185" i="1"/>
  <c r="V184" i="1"/>
  <c r="Q184" i="1"/>
  <c r="AR184" i="1" s="1"/>
  <c r="F184" i="1"/>
  <c r="V183" i="1"/>
  <c r="Q183" i="1"/>
  <c r="AR183" i="1" s="1"/>
  <c r="F183" i="1"/>
  <c r="AR182" i="1"/>
  <c r="V182" i="1"/>
  <c r="Q182" i="1"/>
  <c r="P182" i="1"/>
  <c r="AQ182" i="1" s="1"/>
  <c r="F182" i="1"/>
  <c r="V181" i="1"/>
  <c r="Q181" i="1"/>
  <c r="P181" i="1" s="1"/>
  <c r="F181" i="1"/>
  <c r="V180" i="1"/>
  <c r="Q180" i="1"/>
  <c r="P180" i="1" s="1"/>
  <c r="AQ180" i="1" s="1"/>
  <c r="F180" i="1"/>
  <c r="V179" i="1"/>
  <c r="Q179" i="1"/>
  <c r="AR179" i="1" s="1"/>
  <c r="F179" i="1"/>
  <c r="V178" i="1"/>
  <c r="Q178" i="1"/>
  <c r="AR178" i="1" s="1"/>
  <c r="F178" i="1"/>
  <c r="V177" i="1"/>
  <c r="Q177" i="1"/>
  <c r="P177" i="1" s="1"/>
  <c r="AQ177" i="1" s="1"/>
  <c r="F177" i="1"/>
  <c r="V176" i="1"/>
  <c r="Q176" i="1"/>
  <c r="AR176" i="1" s="1"/>
  <c r="F176" i="1"/>
  <c r="V175" i="1"/>
  <c r="Q175" i="1"/>
  <c r="AR175" i="1" s="1"/>
  <c r="F175" i="1"/>
  <c r="V174" i="1"/>
  <c r="Q174" i="1"/>
  <c r="F174" i="1"/>
  <c r="V173" i="1"/>
  <c r="Q173" i="1"/>
  <c r="AR173" i="1" s="1"/>
  <c r="F173" i="1"/>
  <c r="V172" i="1"/>
  <c r="Q172" i="1"/>
  <c r="F172" i="1"/>
  <c r="V171" i="1"/>
  <c r="Q171" i="1"/>
  <c r="AR171" i="1" s="1"/>
  <c r="P171" i="1"/>
  <c r="AQ171" i="1" s="1"/>
  <c r="F171" i="1"/>
  <c r="V170" i="1"/>
  <c r="Q170" i="1"/>
  <c r="F170" i="1"/>
  <c r="V169" i="1"/>
  <c r="Q169" i="1"/>
  <c r="P169" i="1" s="1"/>
  <c r="AQ169" i="1" s="1"/>
  <c r="F169" i="1"/>
  <c r="V168" i="1"/>
  <c r="Q168" i="1"/>
  <c r="F168" i="1"/>
  <c r="V167" i="1"/>
  <c r="Q167" i="1"/>
  <c r="P167" i="1" s="1"/>
  <c r="AQ167" i="1" s="1"/>
  <c r="F167" i="1"/>
  <c r="V166" i="1"/>
  <c r="Q166" i="1"/>
  <c r="F166" i="1"/>
  <c r="AR165" i="1"/>
  <c r="V165" i="1"/>
  <c r="Q165" i="1"/>
  <c r="P165" i="1"/>
  <c r="AQ165" i="1" s="1"/>
  <c r="F165" i="1"/>
  <c r="V164" i="1"/>
  <c r="Q164" i="1"/>
  <c r="F164" i="1"/>
  <c r="V163" i="1"/>
  <c r="Q163" i="1"/>
  <c r="AR163" i="1" s="1"/>
  <c r="P163" i="1"/>
  <c r="AQ163" i="1" s="1"/>
  <c r="F163" i="1"/>
  <c r="V162" i="1"/>
  <c r="Q162" i="1"/>
  <c r="F162" i="1"/>
  <c r="V161" i="1"/>
  <c r="Q161" i="1"/>
  <c r="AR161" i="1" s="1"/>
  <c r="F161" i="1"/>
  <c r="V160" i="1"/>
  <c r="Q160" i="1"/>
  <c r="F160" i="1"/>
  <c r="V159" i="1"/>
  <c r="Q159" i="1"/>
  <c r="AR159" i="1" s="1"/>
  <c r="F159" i="1"/>
  <c r="V158" i="1"/>
  <c r="Q158" i="1"/>
  <c r="F158" i="1"/>
  <c r="AR157" i="1"/>
  <c r="V157" i="1"/>
  <c r="Q157" i="1"/>
  <c r="P157" i="1" s="1"/>
  <c r="F157" i="1"/>
  <c r="V156" i="1"/>
  <c r="Q156" i="1"/>
  <c r="F156" i="1"/>
  <c r="V155" i="1"/>
  <c r="Q155" i="1"/>
  <c r="AR155" i="1" s="1"/>
  <c r="P155" i="1"/>
  <c r="AQ155" i="1" s="1"/>
  <c r="F155" i="1"/>
  <c r="V154" i="1"/>
  <c r="Q154" i="1"/>
  <c r="F154" i="1"/>
  <c r="V153" i="1"/>
  <c r="Q153" i="1"/>
  <c r="AR153" i="1" s="1"/>
  <c r="F153" i="1"/>
  <c r="V152" i="1"/>
  <c r="Q152" i="1"/>
  <c r="F152" i="1"/>
  <c r="V151" i="1"/>
  <c r="Q151" i="1"/>
  <c r="P151" i="1" s="1"/>
  <c r="AQ151" i="1" s="1"/>
  <c r="F151" i="1"/>
  <c r="V150" i="1"/>
  <c r="Q150" i="1"/>
  <c r="F150" i="1"/>
  <c r="V149" i="1"/>
  <c r="Q149" i="1"/>
  <c r="AR149" i="1" s="1"/>
  <c r="F149" i="1"/>
  <c r="V148" i="1"/>
  <c r="Q148" i="1"/>
  <c r="F148" i="1"/>
  <c r="AR147" i="1"/>
  <c r="V147" i="1"/>
  <c r="Q147" i="1"/>
  <c r="P147" i="1"/>
  <c r="AQ147" i="1" s="1"/>
  <c r="F147" i="1"/>
  <c r="V146" i="1"/>
  <c r="Q146" i="1"/>
  <c r="F146" i="1"/>
  <c r="V145" i="1"/>
  <c r="Q145" i="1"/>
  <c r="P145" i="1" s="1"/>
  <c r="AQ145" i="1" s="1"/>
  <c r="F145" i="1"/>
  <c r="V144" i="1"/>
  <c r="Q144" i="1"/>
  <c r="F144" i="1"/>
  <c r="AR143" i="1"/>
  <c r="V143" i="1"/>
  <c r="Q143" i="1"/>
  <c r="P143" i="1"/>
  <c r="AQ143" i="1" s="1"/>
  <c r="F143" i="1"/>
  <c r="V142" i="1"/>
  <c r="Q142" i="1"/>
  <c r="F142" i="1"/>
  <c r="V141" i="1"/>
  <c r="Q141" i="1"/>
  <c r="AR141" i="1" s="1"/>
  <c r="P141" i="1"/>
  <c r="AQ141" i="1" s="1"/>
  <c r="F141" i="1"/>
  <c r="V140" i="1"/>
  <c r="Q140" i="1"/>
  <c r="F140" i="1"/>
  <c r="V139" i="1"/>
  <c r="Q139" i="1"/>
  <c r="AR139" i="1" s="1"/>
  <c r="P139" i="1"/>
  <c r="AQ139" i="1" s="1"/>
  <c r="F139" i="1"/>
  <c r="V138" i="1"/>
  <c r="Q138" i="1"/>
  <c r="F138" i="1"/>
  <c r="V137" i="1"/>
  <c r="Q137" i="1"/>
  <c r="P137" i="1" s="1"/>
  <c r="AQ137" i="1" s="1"/>
  <c r="F137" i="1"/>
  <c r="V136" i="1"/>
  <c r="Q136" i="1"/>
  <c r="F136" i="1"/>
  <c r="AR135" i="1"/>
  <c r="AQ135" i="1"/>
  <c r="V135" i="1"/>
  <c r="Q135" i="1"/>
  <c r="P135" i="1"/>
  <c r="F135" i="1"/>
  <c r="V134" i="1"/>
  <c r="Q134" i="1"/>
  <c r="F134" i="1"/>
  <c r="V133" i="1"/>
  <c r="Q133" i="1"/>
  <c r="AR133" i="1" s="1"/>
  <c r="P133" i="1"/>
  <c r="AQ133" i="1" s="1"/>
  <c r="F133" i="1"/>
  <c r="V132" i="1"/>
  <c r="Q132" i="1"/>
  <c r="F132" i="1"/>
  <c r="V131" i="1"/>
  <c r="Q131" i="1"/>
  <c r="AR131" i="1" s="1"/>
  <c r="F131" i="1"/>
  <c r="V130" i="1"/>
  <c r="Q130" i="1"/>
  <c r="F130" i="1"/>
  <c r="V129" i="1"/>
  <c r="Q129" i="1"/>
  <c r="AR129" i="1" s="1"/>
  <c r="F129" i="1"/>
  <c r="V128" i="1"/>
  <c r="Q128" i="1"/>
  <c r="F128" i="1"/>
  <c r="AR127" i="1"/>
  <c r="V127" i="1"/>
  <c r="Q127" i="1"/>
  <c r="P127" i="1"/>
  <c r="AQ127" i="1" s="1"/>
  <c r="F127" i="1"/>
  <c r="V126" i="1"/>
  <c r="Q126" i="1"/>
  <c r="F126" i="1"/>
  <c r="V125" i="1"/>
  <c r="Q125" i="1"/>
  <c r="P125" i="1" s="1"/>
  <c r="AQ125" i="1" s="1"/>
  <c r="F125" i="1"/>
  <c r="V124" i="1"/>
  <c r="Q124" i="1"/>
  <c r="F124" i="1"/>
  <c r="V123" i="1"/>
  <c r="Q123" i="1"/>
  <c r="P123" i="1" s="1"/>
  <c r="AQ123" i="1" s="1"/>
  <c r="F123" i="1"/>
  <c r="V122" i="1"/>
  <c r="Q122" i="1"/>
  <c r="F122" i="1"/>
  <c r="V121" i="1"/>
  <c r="Q121" i="1"/>
  <c r="AR121" i="1" s="1"/>
  <c r="F121" i="1"/>
  <c r="V120" i="1"/>
  <c r="Q120" i="1"/>
  <c r="F120" i="1"/>
  <c r="AR119" i="1"/>
  <c r="V119" i="1"/>
  <c r="Q119" i="1"/>
  <c r="P119" i="1"/>
  <c r="F119" i="1"/>
  <c r="V118" i="1"/>
  <c r="Q118" i="1"/>
  <c r="F118" i="1"/>
  <c r="V117" i="1"/>
  <c r="Q117" i="1"/>
  <c r="AR117" i="1" s="1"/>
  <c r="F117" i="1"/>
  <c r="V116" i="1"/>
  <c r="Q116" i="1"/>
  <c r="F116" i="1"/>
  <c r="V115" i="1"/>
  <c r="Q115" i="1"/>
  <c r="AR115" i="1" s="1"/>
  <c r="P115" i="1"/>
  <c r="AQ115" i="1" s="1"/>
  <c r="F115" i="1"/>
  <c r="V114" i="1"/>
  <c r="Q114" i="1"/>
  <c r="F114" i="1"/>
  <c r="AR113" i="1"/>
  <c r="AQ113" i="1"/>
  <c r="V113" i="1"/>
  <c r="Q113" i="1"/>
  <c r="P113" i="1"/>
  <c r="F113" i="1"/>
  <c r="V112" i="1"/>
  <c r="Q112" i="1"/>
  <c r="F112" i="1"/>
  <c r="V111" i="1"/>
  <c r="Q111" i="1"/>
  <c r="AR111" i="1" s="1"/>
  <c r="P111" i="1"/>
  <c r="AQ111" i="1" s="1"/>
  <c r="F111" i="1"/>
  <c r="V110" i="1"/>
  <c r="Q110" i="1"/>
  <c r="F110" i="1"/>
  <c r="V109" i="1"/>
  <c r="Q109" i="1"/>
  <c r="AR109" i="1" s="1"/>
  <c r="P109" i="1"/>
  <c r="AQ109" i="1" s="1"/>
  <c r="F109" i="1"/>
  <c r="V108" i="1"/>
  <c r="Q108" i="1"/>
  <c r="F108" i="1"/>
  <c r="AR107" i="1"/>
  <c r="V107" i="1"/>
  <c r="Q107" i="1"/>
  <c r="P107" i="1" s="1"/>
  <c r="AQ107" i="1" s="1"/>
  <c r="F107" i="1"/>
  <c r="V106" i="1"/>
  <c r="Q106" i="1"/>
  <c r="F106" i="1"/>
  <c r="V105" i="1"/>
  <c r="Q105" i="1"/>
  <c r="P105" i="1" s="1"/>
  <c r="AQ105" i="1" s="1"/>
  <c r="F105" i="1"/>
  <c r="V104" i="1"/>
  <c r="Q104" i="1"/>
  <c r="F104" i="1"/>
  <c r="V103" i="1"/>
  <c r="Q103" i="1"/>
  <c r="AR103" i="1" s="1"/>
  <c r="P103" i="1"/>
  <c r="AQ103" i="1" s="1"/>
  <c r="F103" i="1"/>
  <c r="V102" i="1"/>
  <c r="Q102" i="1"/>
  <c r="F102" i="1"/>
  <c r="V101" i="1"/>
  <c r="Q101" i="1"/>
  <c r="P101" i="1" s="1"/>
  <c r="AQ101" i="1" s="1"/>
  <c r="F101" i="1"/>
  <c r="V100" i="1"/>
  <c r="Q100" i="1"/>
  <c r="F100" i="1"/>
  <c r="V99" i="1"/>
  <c r="Q99" i="1"/>
  <c r="AR99" i="1" s="1"/>
  <c r="P99" i="1"/>
  <c r="F99" i="1"/>
  <c r="V98" i="1"/>
  <c r="Q98" i="1"/>
  <c r="AR98" i="1" s="1"/>
  <c r="F98" i="1"/>
  <c r="V97" i="1"/>
  <c r="Q97" i="1"/>
  <c r="P97" i="1" s="1"/>
  <c r="AQ97" i="1" s="1"/>
  <c r="F97" i="1"/>
  <c r="V96" i="1"/>
  <c r="Q96" i="1"/>
  <c r="P96" i="1" s="1"/>
  <c r="F96" i="1"/>
  <c r="V95" i="1"/>
  <c r="Q95" i="1"/>
  <c r="AR95" i="1" s="1"/>
  <c r="P95" i="1"/>
  <c r="AQ95" i="1" s="1"/>
  <c r="F95" i="1"/>
  <c r="V94" i="1"/>
  <c r="Q94" i="1"/>
  <c r="AR94" i="1" s="1"/>
  <c r="F94" i="1"/>
  <c r="V93" i="1"/>
  <c r="Q93" i="1"/>
  <c r="AR93" i="1" s="1"/>
  <c r="F93" i="1"/>
  <c r="V92" i="1"/>
  <c r="Q92" i="1"/>
  <c r="P92" i="1" s="1"/>
  <c r="AQ92" i="1" s="1"/>
  <c r="F92" i="1"/>
  <c r="AR91" i="1"/>
  <c r="V91" i="1"/>
  <c r="Q91" i="1"/>
  <c r="P91" i="1" s="1"/>
  <c r="F91" i="1"/>
  <c r="V90" i="1"/>
  <c r="Q90" i="1"/>
  <c r="AR90" i="1" s="1"/>
  <c r="F90" i="1"/>
  <c r="V89" i="1"/>
  <c r="Q89" i="1"/>
  <c r="AR89" i="1" s="1"/>
  <c r="F89" i="1"/>
  <c r="V88" i="1"/>
  <c r="Q88" i="1"/>
  <c r="P88" i="1" s="1"/>
  <c r="AQ88" i="1" s="1"/>
  <c r="F88" i="1"/>
  <c r="V87" i="1"/>
  <c r="Q87" i="1"/>
  <c r="AR87" i="1" s="1"/>
  <c r="P87" i="1"/>
  <c r="AQ87" i="1" s="1"/>
  <c r="F87" i="1"/>
  <c r="V86" i="1"/>
  <c r="Q86" i="1"/>
  <c r="AR86" i="1" s="1"/>
  <c r="F86" i="1"/>
  <c r="V85" i="1"/>
  <c r="Q85" i="1"/>
  <c r="P85" i="1" s="1"/>
  <c r="AQ85" i="1" s="1"/>
  <c r="F85" i="1"/>
  <c r="V84" i="1"/>
  <c r="Q84" i="1"/>
  <c r="P84" i="1" s="1"/>
  <c r="AQ84" i="1" s="1"/>
  <c r="F84" i="1"/>
  <c r="V83" i="1"/>
  <c r="Q83" i="1"/>
  <c r="AR83" i="1" s="1"/>
  <c r="P83" i="1"/>
  <c r="AQ83" i="1" s="1"/>
  <c r="F83" i="1"/>
  <c r="V82" i="1"/>
  <c r="Q82" i="1"/>
  <c r="AR82" i="1" s="1"/>
  <c r="F82" i="1"/>
  <c r="V81" i="1"/>
  <c r="Q81" i="1"/>
  <c r="P81" i="1" s="1"/>
  <c r="AQ81" i="1" s="1"/>
  <c r="F81" i="1"/>
  <c r="V80" i="1"/>
  <c r="Q80" i="1"/>
  <c r="P80" i="1" s="1"/>
  <c r="F80" i="1"/>
  <c r="V79" i="1"/>
  <c r="Q79" i="1"/>
  <c r="P79" i="1" s="1"/>
  <c r="AQ79" i="1" s="1"/>
  <c r="F79" i="1"/>
  <c r="V78" i="1"/>
  <c r="Q78" i="1"/>
  <c r="AR78" i="1" s="1"/>
  <c r="F78" i="1"/>
  <c r="V77" i="1"/>
  <c r="Q77" i="1"/>
  <c r="AR77" i="1" s="1"/>
  <c r="F77" i="1"/>
  <c r="V76" i="1"/>
  <c r="Q76" i="1"/>
  <c r="AR76" i="1" s="1"/>
  <c r="F76" i="1"/>
  <c r="AR75" i="1"/>
  <c r="V75" i="1"/>
  <c r="Q75" i="1"/>
  <c r="P75" i="1"/>
  <c r="AQ75" i="1" s="1"/>
  <c r="F75" i="1"/>
  <c r="V74" i="1"/>
  <c r="Q74" i="1"/>
  <c r="P74" i="1" s="1"/>
  <c r="F74" i="1"/>
  <c r="V73" i="1"/>
  <c r="Q73" i="1"/>
  <c r="AR73" i="1" s="1"/>
  <c r="F73" i="1"/>
  <c r="V72" i="1"/>
  <c r="Q72" i="1"/>
  <c r="AR72" i="1" s="1"/>
  <c r="F72" i="1"/>
  <c r="V71" i="1"/>
  <c r="Q71" i="1"/>
  <c r="AR71" i="1" s="1"/>
  <c r="F71" i="1"/>
  <c r="V70" i="1"/>
  <c r="Q70" i="1"/>
  <c r="P70" i="1" s="1"/>
  <c r="AQ70" i="1" s="1"/>
  <c r="F70" i="1"/>
  <c r="V69" i="1"/>
  <c r="Q69" i="1"/>
  <c r="AR69" i="1" s="1"/>
  <c r="F69" i="1"/>
  <c r="V68" i="1"/>
  <c r="Q68" i="1"/>
  <c r="AR68" i="1" s="1"/>
  <c r="F68" i="1"/>
  <c r="AR67" i="1"/>
  <c r="V67" i="1"/>
  <c r="Q67" i="1"/>
  <c r="P67" i="1"/>
  <c r="AQ67" i="1" s="1"/>
  <c r="F67" i="1"/>
  <c r="V66" i="1"/>
  <c r="Q66" i="1"/>
  <c r="P66" i="1" s="1"/>
  <c r="F66" i="1"/>
  <c r="V65" i="1"/>
  <c r="Q65" i="1"/>
  <c r="AR65" i="1" s="1"/>
  <c r="F65" i="1"/>
  <c r="V64" i="1"/>
  <c r="Q64" i="1"/>
  <c r="AR64" i="1" s="1"/>
  <c r="F64" i="1"/>
  <c r="V63" i="1"/>
  <c r="Q63" i="1"/>
  <c r="P63" i="1" s="1"/>
  <c r="AQ63" i="1" s="1"/>
  <c r="F63" i="1"/>
  <c r="V62" i="1"/>
  <c r="Q62" i="1"/>
  <c r="P62" i="1" s="1"/>
  <c r="AQ62" i="1" s="1"/>
  <c r="F62" i="1"/>
  <c r="V61" i="1"/>
  <c r="Q61" i="1"/>
  <c r="AR61" i="1" s="1"/>
  <c r="F61" i="1"/>
  <c r="V60" i="1"/>
  <c r="Q60" i="1"/>
  <c r="AR60" i="1" s="1"/>
  <c r="F60" i="1"/>
  <c r="AR59" i="1"/>
  <c r="V59" i="1"/>
  <c r="Q59" i="1"/>
  <c r="P59" i="1"/>
  <c r="AQ59" i="1" s="1"/>
  <c r="F59" i="1"/>
  <c r="V58" i="1"/>
  <c r="Q58" i="1"/>
  <c r="P58" i="1" s="1"/>
  <c r="F58" i="1"/>
  <c r="V57" i="1"/>
  <c r="Q57" i="1"/>
  <c r="AR57" i="1" s="1"/>
  <c r="F57" i="1"/>
  <c r="V56" i="1"/>
  <c r="Q56" i="1"/>
  <c r="AR56" i="1" s="1"/>
  <c r="F56" i="1"/>
  <c r="V55" i="1"/>
  <c r="Q55" i="1"/>
  <c r="AR55" i="1" s="1"/>
  <c r="F55" i="1"/>
  <c r="V54" i="1"/>
  <c r="Q54" i="1"/>
  <c r="P54" i="1" s="1"/>
  <c r="AQ54" i="1" s="1"/>
  <c r="F54" i="1"/>
  <c r="V53" i="1"/>
  <c r="Q53" i="1"/>
  <c r="AR53" i="1" s="1"/>
  <c r="F53" i="1"/>
  <c r="V52" i="1"/>
  <c r="Q52" i="1"/>
  <c r="AR52" i="1" s="1"/>
  <c r="F52" i="1"/>
  <c r="AR51" i="1"/>
  <c r="V51" i="1"/>
  <c r="Q51" i="1"/>
  <c r="P51" i="1"/>
  <c r="AQ51" i="1" s="1"/>
  <c r="F51" i="1"/>
  <c r="V50" i="1"/>
  <c r="Q50" i="1"/>
  <c r="P50" i="1" s="1"/>
  <c r="F50" i="1"/>
  <c r="V49" i="1"/>
  <c r="Q49" i="1"/>
  <c r="AR49" i="1" s="1"/>
  <c r="F49" i="1"/>
  <c r="V48" i="1"/>
  <c r="Q48" i="1"/>
  <c r="AR48" i="1" s="1"/>
  <c r="F48" i="1"/>
  <c r="V47" i="1"/>
  <c r="Q47" i="1"/>
  <c r="P47" i="1" s="1"/>
  <c r="AQ47" i="1" s="1"/>
  <c r="F47" i="1"/>
  <c r="V46" i="1"/>
  <c r="Q46" i="1"/>
  <c r="P46" i="1" s="1"/>
  <c r="AQ46" i="1" s="1"/>
  <c r="F46" i="1"/>
  <c r="V45" i="1"/>
  <c r="Q45" i="1"/>
  <c r="AR45" i="1" s="1"/>
  <c r="F45" i="1"/>
  <c r="V44" i="1"/>
  <c r="Q44" i="1"/>
  <c r="AR44" i="1" s="1"/>
  <c r="F44" i="1"/>
  <c r="AR43" i="1"/>
  <c r="V43" i="1"/>
  <c r="Q43" i="1"/>
  <c r="P43" i="1"/>
  <c r="AQ43" i="1" s="1"/>
  <c r="F43" i="1"/>
  <c r="V42" i="1"/>
  <c r="Q42" i="1"/>
  <c r="P42" i="1" s="1"/>
  <c r="F42" i="1"/>
  <c r="V41" i="1"/>
  <c r="Q41" i="1"/>
  <c r="AR41" i="1" s="1"/>
  <c r="F41" i="1"/>
  <c r="V40" i="1"/>
  <c r="Q40" i="1"/>
  <c r="AR40" i="1" s="1"/>
  <c r="F40" i="1"/>
  <c r="V39" i="1"/>
  <c r="Q39" i="1"/>
  <c r="AR39" i="1" s="1"/>
  <c r="F39" i="1"/>
  <c r="V38" i="1"/>
  <c r="Q38" i="1"/>
  <c r="P38" i="1" s="1"/>
  <c r="AQ38" i="1" s="1"/>
  <c r="F38" i="1"/>
  <c r="V37" i="1"/>
  <c r="Q37" i="1"/>
  <c r="AR37" i="1" s="1"/>
  <c r="F37" i="1"/>
  <c r="V36" i="1"/>
  <c r="Q36" i="1"/>
  <c r="AR36" i="1" s="1"/>
  <c r="F36" i="1"/>
  <c r="AR35" i="1"/>
  <c r="V35" i="1"/>
  <c r="Q35" i="1"/>
  <c r="P35" i="1"/>
  <c r="AQ35" i="1" s="1"/>
  <c r="F35" i="1"/>
  <c r="V34" i="1"/>
  <c r="Q34" i="1"/>
  <c r="P34" i="1" s="1"/>
  <c r="F34" i="1"/>
  <c r="V33" i="1"/>
  <c r="Q33" i="1"/>
  <c r="AR33" i="1" s="1"/>
  <c r="F33" i="1"/>
  <c r="V32" i="1"/>
  <c r="Q32" i="1"/>
  <c r="AR32" i="1" s="1"/>
  <c r="F32" i="1"/>
  <c r="V31" i="1"/>
  <c r="Q31" i="1"/>
  <c r="P31" i="1" s="1"/>
  <c r="AQ31" i="1" s="1"/>
  <c r="F31" i="1"/>
  <c r="V30" i="1"/>
  <c r="Q30" i="1"/>
  <c r="P30" i="1" s="1"/>
  <c r="AQ30" i="1" s="1"/>
  <c r="F30" i="1"/>
  <c r="V29" i="1"/>
  <c r="Q29" i="1"/>
  <c r="AR29" i="1" s="1"/>
  <c r="F29" i="1"/>
  <c r="V28" i="1"/>
  <c r="Q28" i="1"/>
  <c r="AR28" i="1" s="1"/>
  <c r="F28" i="1"/>
  <c r="AR27" i="1"/>
  <c r="V27" i="1"/>
  <c r="Q27" i="1"/>
  <c r="P27" i="1"/>
  <c r="AQ27" i="1" s="1"/>
  <c r="F27" i="1"/>
  <c r="V26" i="1"/>
  <c r="Q26" i="1"/>
  <c r="P26" i="1" s="1"/>
  <c r="F26" i="1"/>
  <c r="V25" i="1"/>
  <c r="Q25" i="1"/>
  <c r="AR25" i="1" s="1"/>
  <c r="F25" i="1"/>
  <c r="V24" i="1"/>
  <c r="Q24" i="1"/>
  <c r="AR24" i="1" s="1"/>
  <c r="F24" i="1"/>
  <c r="V23" i="1"/>
  <c r="Q23" i="1"/>
  <c r="AR23" i="1" s="1"/>
  <c r="F23" i="1"/>
  <c r="V22" i="1"/>
  <c r="Q22" i="1"/>
  <c r="P22" i="1" s="1"/>
  <c r="AQ22" i="1" s="1"/>
  <c r="F22" i="1"/>
  <c r="V21" i="1"/>
  <c r="Q21" i="1"/>
  <c r="AR21" i="1" s="1"/>
  <c r="F21" i="1"/>
  <c r="V20" i="1"/>
  <c r="Q20" i="1"/>
  <c r="AR20" i="1" s="1"/>
  <c r="F20" i="1"/>
  <c r="AR19" i="1"/>
  <c r="V19" i="1"/>
  <c r="Q19" i="1"/>
  <c r="P19" i="1"/>
  <c r="AQ19" i="1" s="1"/>
  <c r="F19" i="1"/>
  <c r="V18" i="1"/>
  <c r="Q18" i="1"/>
  <c r="P18" i="1" s="1"/>
  <c r="F18" i="1"/>
  <c r="V17" i="1"/>
  <c r="Q17" i="1"/>
  <c r="AR17" i="1" s="1"/>
  <c r="F17" i="1"/>
  <c r="V16" i="1"/>
  <c r="Q16" i="1"/>
  <c r="AR16" i="1" s="1"/>
  <c r="F16" i="1"/>
  <c r="V15" i="1"/>
  <c r="Q15" i="1"/>
  <c r="P15" i="1" s="1"/>
  <c r="AQ15" i="1" s="1"/>
  <c r="F15" i="1"/>
  <c r="V14" i="1"/>
  <c r="Q14" i="1"/>
  <c r="P14" i="1" s="1"/>
  <c r="AQ14" i="1" s="1"/>
  <c r="F14" i="1"/>
  <c r="V13" i="1"/>
  <c r="Q13" i="1"/>
  <c r="AR13" i="1" s="1"/>
  <c r="F13" i="1"/>
  <c r="V12" i="1"/>
  <c r="Q12" i="1"/>
  <c r="AR12" i="1" s="1"/>
  <c r="F12" i="1"/>
  <c r="AR11" i="1"/>
  <c r="V11" i="1"/>
  <c r="Q11" i="1"/>
  <c r="P11" i="1"/>
  <c r="AQ11" i="1" s="1"/>
  <c r="F11" i="1"/>
  <c r="V10" i="1"/>
  <c r="Q10" i="1"/>
  <c r="P10" i="1" s="1"/>
  <c r="F10" i="1"/>
  <c r="V9" i="1"/>
  <c r="Q9" i="1"/>
  <c r="AR9" i="1" s="1"/>
  <c r="F9" i="1"/>
  <c r="V8" i="1"/>
  <c r="Q8" i="1"/>
  <c r="AR8" i="1" s="1"/>
  <c r="F8" i="1"/>
  <c r="V7" i="1"/>
  <c r="Q7" i="1"/>
  <c r="AR7" i="1" s="1"/>
  <c r="F7" i="1"/>
  <c r="V6" i="1"/>
  <c r="Q6" i="1"/>
  <c r="P6" i="1" s="1"/>
  <c r="AQ6" i="1" s="1"/>
  <c r="F6" i="1"/>
  <c r="V5" i="1"/>
  <c r="Q5" i="1"/>
  <c r="AR5" i="1" s="1"/>
  <c r="F5" i="1"/>
  <c r="V4" i="1"/>
  <c r="Q4" i="1"/>
  <c r="P4" i="1"/>
  <c r="AQ4" i="1" s="1"/>
  <c r="F4" i="1"/>
  <c r="AQ197" i="1" l="1"/>
  <c r="AR278" i="1"/>
  <c r="AR15" i="1"/>
  <c r="AR31" i="1"/>
  <c r="AR47" i="1"/>
  <c r="AR63" i="1"/>
  <c r="AR85" i="1"/>
  <c r="AR88" i="1"/>
  <c r="AR123" i="1"/>
  <c r="AR145" i="1"/>
  <c r="AR167" i="1"/>
  <c r="AR177" i="1"/>
  <c r="AR186" i="1"/>
  <c r="AR218" i="1"/>
  <c r="AR253" i="1"/>
  <c r="AQ261" i="1"/>
  <c r="AR273" i="1"/>
  <c r="AQ296" i="1"/>
  <c r="AR302" i="1"/>
  <c r="AQ325" i="1"/>
  <c r="AR79" i="1"/>
  <c r="AR101" i="1"/>
  <c r="AR194" i="1"/>
  <c r="AQ229" i="1"/>
  <c r="P7" i="1"/>
  <c r="AQ7" i="1" s="1"/>
  <c r="AQ80" i="1"/>
  <c r="AQ99" i="1"/>
  <c r="AR180" i="1"/>
  <c r="AQ198" i="1"/>
  <c r="AQ230" i="1"/>
  <c r="AQ242" i="1"/>
  <c r="AQ271" i="1"/>
  <c r="AR285" i="1"/>
  <c r="AQ293" i="1"/>
  <c r="AR305" i="1"/>
  <c r="AR151" i="1"/>
  <c r="AQ10" i="1"/>
  <c r="P23" i="1"/>
  <c r="AQ23" i="1" s="1"/>
  <c r="AQ26" i="1"/>
  <c r="P39" i="1"/>
  <c r="AQ39" i="1" s="1"/>
  <c r="AQ42" i="1"/>
  <c r="P55" i="1"/>
  <c r="AQ55" i="1" s="1"/>
  <c r="AQ58" i="1"/>
  <c r="P71" i="1"/>
  <c r="AQ71" i="1" s="1"/>
  <c r="AQ74" i="1"/>
  <c r="AQ96" i="1"/>
  <c r="P131" i="1"/>
  <c r="AQ131" i="1" s="1"/>
  <c r="P159" i="1"/>
  <c r="AQ159" i="1" s="1"/>
  <c r="P175" i="1"/>
  <c r="AQ175" i="1" s="1"/>
  <c r="P178" i="1"/>
  <c r="AQ178" i="1" s="1"/>
  <c r="AQ205" i="1"/>
  <c r="P227" i="1"/>
  <c r="AQ237" i="1"/>
  <c r="P254" i="1"/>
  <c r="AQ254" i="1" s="1"/>
  <c r="P262" i="1"/>
  <c r="AQ262" i="1" s="1"/>
  <c r="P274" i="1"/>
  <c r="AQ274" i="1" s="1"/>
  <c r="P303" i="1"/>
  <c r="AQ303" i="1" s="1"/>
  <c r="P326" i="1"/>
  <c r="AQ326" i="1" s="1"/>
  <c r="AR269" i="1"/>
  <c r="AR329" i="1"/>
  <c r="AR340" i="1"/>
  <c r="AQ119" i="1"/>
  <c r="AR193" i="1"/>
  <c r="P8" i="1"/>
  <c r="AQ8" i="1" s="1"/>
  <c r="P82" i="1"/>
  <c r="AQ82" i="1" s="1"/>
  <c r="AR125" i="1"/>
  <c r="AQ157" i="1"/>
  <c r="P173" i="1"/>
  <c r="AQ173" i="1" s="1"/>
  <c r="P179" i="1"/>
  <c r="AQ179" i="1" s="1"/>
  <c r="AQ223" i="1"/>
  <c r="AR225" i="1"/>
  <c r="P260" i="1"/>
  <c r="AQ260" i="1" s="1"/>
  <c r="AR272" i="1"/>
  <c r="P275" i="1"/>
  <c r="AQ275" i="1" s="1"/>
  <c r="P292" i="1"/>
  <c r="AQ292" i="1" s="1"/>
  <c r="P324" i="1"/>
  <c r="AQ324" i="1" s="1"/>
  <c r="AQ330" i="1"/>
  <c r="AQ18" i="1"/>
  <c r="AQ34" i="1"/>
  <c r="AQ50" i="1"/>
  <c r="AQ66" i="1"/>
  <c r="AQ91" i="1"/>
  <c r="P98" i="1"/>
  <c r="AQ98" i="1" s="1"/>
  <c r="P255" i="1"/>
  <c r="AQ255" i="1" s="1"/>
  <c r="AR257" i="1"/>
  <c r="AR289" i="1"/>
  <c r="P307" i="1"/>
  <c r="AQ307" i="1" s="1"/>
  <c r="AR100" i="1"/>
  <c r="P100" i="1"/>
  <c r="AQ100" i="1" s="1"/>
  <c r="P110" i="1"/>
  <c r="AQ110" i="1" s="1"/>
  <c r="AR110" i="1"/>
  <c r="P117" i="1"/>
  <c r="AQ117" i="1" s="1"/>
  <c r="AR120" i="1"/>
  <c r="P120" i="1"/>
  <c r="AQ120" i="1" s="1"/>
  <c r="P142" i="1"/>
  <c r="AQ142" i="1" s="1"/>
  <c r="AR142" i="1"/>
  <c r="P149" i="1"/>
  <c r="AQ149" i="1" s="1"/>
  <c r="AR152" i="1"/>
  <c r="P152" i="1"/>
  <c r="AQ152" i="1" s="1"/>
  <c r="P174" i="1"/>
  <c r="AQ174" i="1" s="1"/>
  <c r="AR174" i="1"/>
  <c r="P176" i="1"/>
  <c r="AQ176" i="1" s="1"/>
  <c r="AR187" i="1"/>
  <c r="P187" i="1"/>
  <c r="AQ187" i="1" s="1"/>
  <c r="AR235" i="1"/>
  <c r="P235" i="1"/>
  <c r="AQ235" i="1" s="1"/>
  <c r="P5" i="1"/>
  <c r="AQ5" i="1" s="1"/>
  <c r="P9" i="1"/>
  <c r="AQ9" i="1" s="1"/>
  <c r="P13" i="1"/>
  <c r="AQ13" i="1" s="1"/>
  <c r="P17" i="1"/>
  <c r="AQ17" i="1" s="1"/>
  <c r="P21" i="1"/>
  <c r="AQ21" i="1" s="1"/>
  <c r="P25" i="1"/>
  <c r="AQ25" i="1" s="1"/>
  <c r="P29" i="1"/>
  <c r="AQ29" i="1" s="1"/>
  <c r="P33" i="1"/>
  <c r="AQ33" i="1" s="1"/>
  <c r="P37" i="1"/>
  <c r="AQ37" i="1" s="1"/>
  <c r="P41" i="1"/>
  <c r="AQ41" i="1" s="1"/>
  <c r="P45" i="1"/>
  <c r="AQ45" i="1" s="1"/>
  <c r="P49" i="1"/>
  <c r="AQ49" i="1" s="1"/>
  <c r="P53" i="1"/>
  <c r="AQ53" i="1" s="1"/>
  <c r="P57" i="1"/>
  <c r="AQ57" i="1" s="1"/>
  <c r="P61" i="1"/>
  <c r="AQ61" i="1" s="1"/>
  <c r="P65" i="1"/>
  <c r="AQ65" i="1" s="1"/>
  <c r="P69" i="1"/>
  <c r="AQ69" i="1" s="1"/>
  <c r="P73" i="1"/>
  <c r="AQ73" i="1" s="1"/>
  <c r="P77" i="1"/>
  <c r="AQ77" i="1" s="1"/>
  <c r="P90" i="1"/>
  <c r="AQ90" i="1" s="1"/>
  <c r="P93" i="1"/>
  <c r="AQ93" i="1" s="1"/>
  <c r="P122" i="1"/>
  <c r="AQ122" i="1" s="1"/>
  <c r="AR122" i="1"/>
  <c r="P129" i="1"/>
  <c r="AQ129" i="1" s="1"/>
  <c r="AR132" i="1"/>
  <c r="P132" i="1"/>
  <c r="AQ132" i="1" s="1"/>
  <c r="P154" i="1"/>
  <c r="AQ154" i="1" s="1"/>
  <c r="AR154" i="1"/>
  <c r="P161" i="1"/>
  <c r="AQ161" i="1" s="1"/>
  <c r="AR164" i="1"/>
  <c r="P164" i="1"/>
  <c r="AQ164" i="1" s="1"/>
  <c r="AQ181" i="1"/>
  <c r="P191" i="1"/>
  <c r="AQ191" i="1" s="1"/>
  <c r="AR204" i="1"/>
  <c r="P204" i="1"/>
  <c r="AQ204" i="1" s="1"/>
  <c r="P217" i="1"/>
  <c r="AQ217" i="1" s="1"/>
  <c r="AR217" i="1"/>
  <c r="P265" i="1"/>
  <c r="AQ265" i="1" s="1"/>
  <c r="AR265" i="1"/>
  <c r="P284" i="1"/>
  <c r="AQ284" i="1" s="1"/>
  <c r="AR284" i="1"/>
  <c r="AQ309" i="1"/>
  <c r="P319" i="1"/>
  <c r="AQ319" i="1" s="1"/>
  <c r="AR219" i="1"/>
  <c r="P219" i="1"/>
  <c r="AQ219" i="1" s="1"/>
  <c r="AR6" i="1"/>
  <c r="AR10" i="1"/>
  <c r="P12" i="1"/>
  <c r="AQ12" i="1" s="1"/>
  <c r="AR14" i="1"/>
  <c r="P16" i="1"/>
  <c r="AQ16" i="1" s="1"/>
  <c r="AR18" i="1"/>
  <c r="P20" i="1"/>
  <c r="AQ20" i="1" s="1"/>
  <c r="AR22" i="1"/>
  <c r="P24" i="1"/>
  <c r="AQ24" i="1" s="1"/>
  <c r="AR26" i="1"/>
  <c r="P28" i="1"/>
  <c r="AQ28" i="1" s="1"/>
  <c r="AR30" i="1"/>
  <c r="P32" i="1"/>
  <c r="AQ32" i="1" s="1"/>
  <c r="AR34" i="1"/>
  <c r="P36" i="1"/>
  <c r="AQ36" i="1" s="1"/>
  <c r="AR38" i="1"/>
  <c r="P40" i="1"/>
  <c r="AQ40" i="1" s="1"/>
  <c r="AR42" i="1"/>
  <c r="P44" i="1"/>
  <c r="AQ44" i="1" s="1"/>
  <c r="AR46" i="1"/>
  <c r="P48" i="1"/>
  <c r="AQ48" i="1" s="1"/>
  <c r="AR50" i="1"/>
  <c r="P52" i="1"/>
  <c r="AQ52" i="1" s="1"/>
  <c r="AR54" i="1"/>
  <c r="P56" i="1"/>
  <c r="AQ56" i="1" s="1"/>
  <c r="AR58" i="1"/>
  <c r="P60" i="1"/>
  <c r="AQ60" i="1" s="1"/>
  <c r="AR62" i="1"/>
  <c r="P64" i="1"/>
  <c r="AQ64" i="1" s="1"/>
  <c r="AR66" i="1"/>
  <c r="P68" i="1"/>
  <c r="AQ68" i="1" s="1"/>
  <c r="AR70" i="1"/>
  <c r="P72" i="1"/>
  <c r="AQ72" i="1" s="1"/>
  <c r="AR74" i="1"/>
  <c r="P76" i="1"/>
  <c r="AQ76" i="1" s="1"/>
  <c r="AR81" i="1"/>
  <c r="AR84" i="1"/>
  <c r="P86" i="1"/>
  <c r="AQ86" i="1" s="1"/>
  <c r="P89" i="1"/>
  <c r="AQ89" i="1" s="1"/>
  <c r="AR97" i="1"/>
  <c r="AR105" i="1"/>
  <c r="P114" i="1"/>
  <c r="AQ114" i="1" s="1"/>
  <c r="AR114" i="1"/>
  <c r="P121" i="1"/>
  <c r="AQ121" i="1" s="1"/>
  <c r="AR124" i="1"/>
  <c r="P124" i="1"/>
  <c r="AQ124" i="1" s="1"/>
  <c r="AR137" i="1"/>
  <c r="P146" i="1"/>
  <c r="AQ146" i="1" s="1"/>
  <c r="AR146" i="1"/>
  <c r="P153" i="1"/>
  <c r="AQ153" i="1" s="1"/>
  <c r="AR156" i="1"/>
  <c r="P156" i="1"/>
  <c r="AQ156" i="1" s="1"/>
  <c r="AR169" i="1"/>
  <c r="P188" i="1"/>
  <c r="AQ188" i="1" s="1"/>
  <c r="AR188" i="1"/>
  <c r="AR236" i="1"/>
  <c r="P236" i="1"/>
  <c r="AQ236" i="1" s="1"/>
  <c r="P249" i="1"/>
  <c r="AQ249" i="1" s="1"/>
  <c r="AR249" i="1"/>
  <c r="P297" i="1"/>
  <c r="AQ297" i="1" s="1"/>
  <c r="AR297" i="1"/>
  <c r="Q343" i="1"/>
  <c r="AR104" i="1"/>
  <c r="P104" i="1"/>
  <c r="AQ104" i="1" s="1"/>
  <c r="P126" i="1"/>
  <c r="AQ126" i="1" s="1"/>
  <c r="AR126" i="1"/>
  <c r="AR136" i="1"/>
  <c r="P136" i="1"/>
  <c r="AQ136" i="1" s="1"/>
  <c r="P158" i="1"/>
  <c r="AQ158" i="1" s="1"/>
  <c r="AR158" i="1"/>
  <c r="AR168" i="1"/>
  <c r="P168" i="1"/>
  <c r="AQ168" i="1" s="1"/>
  <c r="AR251" i="1"/>
  <c r="P251" i="1"/>
  <c r="AQ251" i="1" s="1"/>
  <c r="AR299" i="1"/>
  <c r="P299" i="1"/>
  <c r="AQ299" i="1" s="1"/>
  <c r="AR301" i="1"/>
  <c r="P316" i="1"/>
  <c r="AQ316" i="1" s="1"/>
  <c r="AR316" i="1"/>
  <c r="V343" i="1"/>
  <c r="AR80" i="1"/>
  <c r="AR96" i="1"/>
  <c r="P106" i="1"/>
  <c r="AQ106" i="1" s="1"/>
  <c r="AR106" i="1"/>
  <c r="AR116" i="1"/>
  <c r="P116" i="1"/>
  <c r="AQ116" i="1" s="1"/>
  <c r="P138" i="1"/>
  <c r="AQ138" i="1" s="1"/>
  <c r="AR138" i="1"/>
  <c r="AR148" i="1"/>
  <c r="P148" i="1"/>
  <c r="AQ148" i="1" s="1"/>
  <c r="P170" i="1"/>
  <c r="AQ170" i="1" s="1"/>
  <c r="AR170" i="1"/>
  <c r="P201" i="1"/>
  <c r="AQ201" i="1" s="1"/>
  <c r="AR201" i="1"/>
  <c r="P220" i="1"/>
  <c r="AQ220" i="1" s="1"/>
  <c r="AR220" i="1"/>
  <c r="AR268" i="1"/>
  <c r="P268" i="1"/>
  <c r="AQ268" i="1" s="1"/>
  <c r="P281" i="1"/>
  <c r="AQ281" i="1" s="1"/>
  <c r="AR281" i="1"/>
  <c r="AR331" i="1"/>
  <c r="P331" i="1"/>
  <c r="AQ331" i="1" s="1"/>
  <c r="P333" i="1"/>
  <c r="AQ333" i="1" s="1"/>
  <c r="AR333" i="1"/>
  <c r="P102" i="1"/>
  <c r="AQ102" i="1" s="1"/>
  <c r="AR102" i="1"/>
  <c r="P166" i="1"/>
  <c r="AQ166" i="1" s="1"/>
  <c r="AR166" i="1"/>
  <c r="P118" i="1"/>
  <c r="AQ118" i="1" s="1"/>
  <c r="AR118" i="1"/>
  <c r="AR128" i="1"/>
  <c r="P128" i="1"/>
  <c r="AQ128" i="1" s="1"/>
  <c r="P150" i="1"/>
  <c r="AQ150" i="1" s="1"/>
  <c r="AR150" i="1"/>
  <c r="AR160" i="1"/>
  <c r="P160" i="1"/>
  <c r="AQ160" i="1" s="1"/>
  <c r="AR203" i="1"/>
  <c r="P203" i="1"/>
  <c r="AQ203" i="1" s="1"/>
  <c r="AR205" i="1"/>
  <c r="AR283" i="1"/>
  <c r="P283" i="1"/>
  <c r="AQ283" i="1" s="1"/>
  <c r="AR112" i="1"/>
  <c r="P112" i="1"/>
  <c r="AQ112" i="1" s="1"/>
  <c r="P134" i="1"/>
  <c r="AQ134" i="1" s="1"/>
  <c r="AR134" i="1"/>
  <c r="AR144" i="1"/>
  <c r="P144" i="1"/>
  <c r="AQ144" i="1" s="1"/>
  <c r="AR267" i="1"/>
  <c r="P267" i="1"/>
  <c r="AQ267" i="1" s="1"/>
  <c r="AR4" i="1"/>
  <c r="P78" i="1"/>
  <c r="AQ78" i="1" s="1"/>
  <c r="AR92" i="1"/>
  <c r="P94" i="1"/>
  <c r="AQ94" i="1" s="1"/>
  <c r="AR108" i="1"/>
  <c r="P108" i="1"/>
  <c r="AQ108" i="1" s="1"/>
  <c r="P130" i="1"/>
  <c r="AQ130" i="1" s="1"/>
  <c r="AR130" i="1"/>
  <c r="AR140" i="1"/>
  <c r="P140" i="1"/>
  <c r="AQ140" i="1" s="1"/>
  <c r="P162" i="1"/>
  <c r="AQ162" i="1" s="1"/>
  <c r="AR162" i="1"/>
  <c r="AR172" i="1"/>
  <c r="P172" i="1"/>
  <c r="AQ172" i="1" s="1"/>
  <c r="P185" i="1"/>
  <c r="AQ185" i="1" s="1"/>
  <c r="AR185" i="1"/>
  <c r="P233" i="1"/>
  <c r="AQ233" i="1" s="1"/>
  <c r="AR233" i="1"/>
  <c r="P252" i="1"/>
  <c r="AQ252" i="1" s="1"/>
  <c r="AR252" i="1"/>
  <c r="AQ277" i="1"/>
  <c r="P287" i="1"/>
  <c r="AQ287" i="1" s="1"/>
  <c r="AR300" i="1"/>
  <c r="P300" i="1"/>
  <c r="AQ300" i="1" s="1"/>
  <c r="P313" i="1"/>
  <c r="AQ313" i="1" s="1"/>
  <c r="AR313" i="1"/>
  <c r="P184" i="1"/>
  <c r="AQ184" i="1" s="1"/>
  <c r="AR197" i="1"/>
  <c r="P199" i="1"/>
  <c r="AQ199" i="1" s="1"/>
  <c r="AR200" i="1"/>
  <c r="P216" i="1"/>
  <c r="AQ216" i="1" s="1"/>
  <c r="AR229" i="1"/>
  <c r="P231" i="1"/>
  <c r="AQ231" i="1" s="1"/>
  <c r="AR232" i="1"/>
  <c r="P248" i="1"/>
  <c r="AQ248" i="1" s="1"/>
  <c r="AR261" i="1"/>
  <c r="P263" i="1"/>
  <c r="AQ263" i="1" s="1"/>
  <c r="AR264" i="1"/>
  <c r="P280" i="1"/>
  <c r="AQ280" i="1" s="1"/>
  <c r="AR293" i="1"/>
  <c r="P295" i="1"/>
  <c r="AQ295" i="1" s="1"/>
  <c r="AR296" i="1"/>
  <c r="P312" i="1"/>
  <c r="AQ312" i="1" s="1"/>
  <c r="AR325" i="1"/>
  <c r="P327" i="1"/>
  <c r="AQ327" i="1" s="1"/>
  <c r="AR328" i="1"/>
  <c r="P195" i="1"/>
  <c r="AQ195" i="1" s="1"/>
  <c r="AQ227" i="1"/>
  <c r="AQ259" i="1"/>
  <c r="AQ291" i="1"/>
  <c r="AR321" i="1"/>
  <c r="AQ323" i="1"/>
  <c r="AR181" i="1"/>
  <c r="P183" i="1"/>
  <c r="AQ183" i="1" s="1"/>
  <c r="AR213" i="1"/>
  <c r="P215" i="1"/>
  <c r="AQ215" i="1" s="1"/>
  <c r="AR245" i="1"/>
  <c r="P247" i="1"/>
  <c r="AQ247" i="1" s="1"/>
  <c r="AR277" i="1"/>
  <c r="P279" i="1"/>
  <c r="AQ279" i="1" s="1"/>
  <c r="AR309" i="1"/>
  <c r="P311" i="1"/>
  <c r="AQ311" i="1" s="1"/>
  <c r="AR341" i="1"/>
  <c r="AQ343" i="1" l="1"/>
  <c r="P343" i="1"/>
  <c r="S346" i="1" s="1"/>
  <c r="AR343" i="1"/>
  <c r="M8" i="6"/>
  <c r="P8" i="6"/>
</calcChain>
</file>

<file path=xl/sharedStrings.xml><?xml version="1.0" encoding="utf-8"?>
<sst xmlns="http://schemas.openxmlformats.org/spreadsheetml/2006/main" count="43703" uniqueCount="778">
  <si>
    <t xml:space="preserve">PROGRAMA SOCIAL "BECA EDUCACIÓN MEDIA" </t>
  </si>
  <si>
    <t>NO.</t>
  </si>
  <si>
    <t xml:space="preserve">DEPARTAMENTO </t>
  </si>
  <si>
    <t xml:space="preserve">MUNICIPIO </t>
  </si>
  <si>
    <t xml:space="preserve">UNIDAD DE MEDIDA </t>
  </si>
  <si>
    <t xml:space="preserve">PLANIFICACIÓN </t>
  </si>
  <si>
    <t xml:space="preserve">EJECUCIÓN 30 ENERO </t>
  </si>
  <si>
    <t xml:space="preserve">EJECUCIÓN 28 FEBRERO </t>
  </si>
  <si>
    <t>EJECUCIÓN 31 MARZO</t>
  </si>
  <si>
    <t>EJECUCIÓN 30 ABRIL</t>
  </si>
  <si>
    <t>EJECUCIÓN 31 MAYO</t>
  </si>
  <si>
    <t>EJECUCIÓN 30 JUNIO</t>
  </si>
  <si>
    <t>EJECUCIÓN 31 JULIO</t>
  </si>
  <si>
    <t>EJECUCIÓN 31 AGOSTO</t>
  </si>
  <si>
    <t>EJECUCIÓN 30 SEPTIEMBRE</t>
  </si>
  <si>
    <t>EJECUCIÓN 31 OCTUBRE</t>
  </si>
  <si>
    <t>EJECUCIÓN 30 NOVIEMBRE</t>
  </si>
  <si>
    <t>EJECUCIÓN 31 DICIEMBRE</t>
  </si>
  <si>
    <t>EJECUCIÓN TOTAL 2026</t>
  </si>
  <si>
    <t xml:space="preserve">FÍSICA </t>
  </si>
  <si>
    <t xml:space="preserve">FINANCIERA </t>
  </si>
  <si>
    <t xml:space="preserve">Beneficiarios </t>
  </si>
  <si>
    <t>Beneficiarios</t>
  </si>
  <si>
    <t>ALTA VERAPAZ</t>
  </si>
  <si>
    <t>CAHABÓN</t>
  </si>
  <si>
    <t xml:space="preserve">Beca </t>
  </si>
  <si>
    <t>CHAHAL</t>
  </si>
  <si>
    <t>CHISEC</t>
  </si>
  <si>
    <t>COBÁN</t>
  </si>
  <si>
    <t>FRAY BARTOLOMÉ DE LAS CASAS</t>
  </si>
  <si>
    <t>LANQUÍN</t>
  </si>
  <si>
    <t>PANZÓS</t>
  </si>
  <si>
    <t>RAXRUHÁ</t>
  </si>
  <si>
    <t>SAN CRISTÓBAL VERAPAZ</t>
  </si>
  <si>
    <t>SAN JUAN CHAMELCO</t>
  </si>
  <si>
    <t>SAN PEDRO CARCHÁ</t>
  </si>
  <si>
    <t>SANTA CATALINA LA TINTA</t>
  </si>
  <si>
    <t>SANTA CRUZ VERAPAZ</t>
  </si>
  <si>
    <t>SENAHÚ</t>
  </si>
  <si>
    <t>TACTIC</t>
  </si>
  <si>
    <t>TAMAHÚ</t>
  </si>
  <si>
    <t>TUCURÚ</t>
  </si>
  <si>
    <t>BAJA VERAPAZ</t>
  </si>
  <si>
    <t>CUBULCO</t>
  </si>
  <si>
    <t>EL CHOL</t>
  </si>
  <si>
    <t>GRANADOS</t>
  </si>
  <si>
    <t>PURULHÁ</t>
  </si>
  <si>
    <t>RABINAL</t>
  </si>
  <si>
    <t>SALAMÁ</t>
  </si>
  <si>
    <t>SAN JERÓNIMO</t>
  </si>
  <si>
    <t>SAN MIGUEL CHICAJ</t>
  </si>
  <si>
    <t>CHIMALTENANGO</t>
  </si>
  <si>
    <t>ACATENANGO</t>
  </si>
  <si>
    <t>COMALAPA</t>
  </si>
  <si>
    <t>EL TEJAR</t>
  </si>
  <si>
    <t>PARRAMOS</t>
  </si>
  <si>
    <t>PATZICÍA</t>
  </si>
  <si>
    <t>PATZÚN</t>
  </si>
  <si>
    <t>POCHUTA</t>
  </si>
  <si>
    <t>SAN ANDRÉS ITZAPA</t>
  </si>
  <si>
    <t>SAN JOSÉ POAQUIL</t>
  </si>
  <si>
    <t>SAN MARTÍN JILOTEPEQUE</t>
  </si>
  <si>
    <t>SANTA APOLONIA</t>
  </si>
  <si>
    <t>SANTA CRUZ BALANYÁ</t>
  </si>
  <si>
    <t>TECPÁN GUATEMALA</t>
  </si>
  <si>
    <t>YEPOCAPA</t>
  </si>
  <si>
    <t>ZARAGOZA</t>
  </si>
  <si>
    <t>CHIQUIMULA</t>
  </si>
  <si>
    <t>CAMOTÁN</t>
  </si>
  <si>
    <t>CONCEPCIÓN LAS MINAS</t>
  </si>
  <si>
    <t>ESQUIPULAS</t>
  </si>
  <si>
    <t>IPALA</t>
  </si>
  <si>
    <t>JOCOTÁN</t>
  </si>
  <si>
    <t>OLOPA</t>
  </si>
  <si>
    <t>QUEZALTEPEQUE</t>
  </si>
  <si>
    <t>SAN JOSÉ LA ARADA</t>
  </si>
  <si>
    <t>SAN JUAN ERMITA</t>
  </si>
  <si>
    <t>EL PROGRESO</t>
  </si>
  <si>
    <t>EL JÍCARO</t>
  </si>
  <si>
    <t>GUASTATOYA</t>
  </si>
  <si>
    <t>MORAZÁN</t>
  </si>
  <si>
    <t>SAN AGUSTÍN ACASAGUASTLÁN</t>
  </si>
  <si>
    <t>SAN ANTONIO LA PAZ</t>
  </si>
  <si>
    <t>SAN CRISTÓBAL ACASAGUASTLÁN</t>
  </si>
  <si>
    <t>SANARATE</t>
  </si>
  <si>
    <t>SANSARE</t>
  </si>
  <si>
    <t>ESCUINTLA</t>
  </si>
  <si>
    <t>GUANAGAZAPA</t>
  </si>
  <si>
    <t>IZTAPA</t>
  </si>
  <si>
    <t>LA DEMOCRACIA</t>
  </si>
  <si>
    <t>LA GOMERA</t>
  </si>
  <si>
    <t>MASAGUA</t>
  </si>
  <si>
    <t>NUEVA CONCEPCIÓN</t>
  </si>
  <si>
    <t>PALÍN</t>
  </si>
  <si>
    <t>SAN JOSÉ</t>
  </si>
  <si>
    <t>SAN VICENTE PACAYA</t>
  </si>
  <si>
    <t>SANTA LUCÍA COTZUMALGUAPA</t>
  </si>
  <si>
    <t xml:space="preserve">SIPACATE </t>
  </si>
  <si>
    <t>SIQUINALÁ</t>
  </si>
  <si>
    <t>TIQUISATE</t>
  </si>
  <si>
    <t>GUATEMALA</t>
  </si>
  <si>
    <t>AMATITLÁN</t>
  </si>
  <si>
    <t>CHINAUTLA</t>
  </si>
  <si>
    <t>CHUARRANCHO</t>
  </si>
  <si>
    <t>FRAIJANES</t>
  </si>
  <si>
    <t>MIXCO</t>
  </si>
  <si>
    <t>PALENCIA</t>
  </si>
  <si>
    <t>SAN JOSÉ DEL GOLFO</t>
  </si>
  <si>
    <t>SAN JOSÉ PINULA</t>
  </si>
  <si>
    <t>SAN JUAN SACATEPÉQUEZ</t>
  </si>
  <si>
    <t>SAN MIGUEL PETAPA</t>
  </si>
  <si>
    <t>SAN PEDRO AYAMPUC</t>
  </si>
  <si>
    <t>SAN PEDRO SACATEPÉQUEZ</t>
  </si>
  <si>
    <t>SAN RAYMUNDO</t>
  </si>
  <si>
    <t>SANTA CATARINA PINULA</t>
  </si>
  <si>
    <t>VILLA CANALES</t>
  </si>
  <si>
    <t>VILLA NUEVA</t>
  </si>
  <si>
    <t>HUEHUETENANGO</t>
  </si>
  <si>
    <t>AGUACATÁN</t>
  </si>
  <si>
    <t>BARILLAS</t>
  </si>
  <si>
    <t>CHIANTLA</t>
  </si>
  <si>
    <t>COLOTENANGO</t>
  </si>
  <si>
    <t>CONCEPCIÓN HUISTA</t>
  </si>
  <si>
    <t>CUILCO</t>
  </si>
  <si>
    <t>JACALTENANGO</t>
  </si>
  <si>
    <t>LA LIBERTAD</t>
  </si>
  <si>
    <t>MALACATANCITO</t>
  </si>
  <si>
    <t>NENTÓN</t>
  </si>
  <si>
    <t>PETATAN</t>
  </si>
  <si>
    <t>SAN ANTONIO HUISTA</t>
  </si>
  <si>
    <t>SAN GASPAR IXCHIL</t>
  </si>
  <si>
    <t>SAN ILDEFONSO IXTAHUACÁN</t>
  </si>
  <si>
    <t>SAN JUAN ATITÁN</t>
  </si>
  <si>
    <t>SAN JUAN IXCOY</t>
  </si>
  <si>
    <t>SAN MATEO IXTATÁN</t>
  </si>
  <si>
    <t>SAN MIGUEL ACATÁN</t>
  </si>
  <si>
    <t>SAN PEDRO NECTA</t>
  </si>
  <si>
    <t>SAN RAFAEL LA INDEPENDENCIA</t>
  </si>
  <si>
    <t>SAN RAFAEL PETZAL</t>
  </si>
  <si>
    <t>SAN SEBASTIÁN COATÁN</t>
  </si>
  <si>
    <t>SAN SEBASTIÁN HUEHUETENANGO</t>
  </si>
  <si>
    <t>SANTA ANA HUISTA</t>
  </si>
  <si>
    <t>SANTA BÁRBARA</t>
  </si>
  <si>
    <t>SANTA EULALIA</t>
  </si>
  <si>
    <t>SANTIAGO CHIMALTENANGO</t>
  </si>
  <si>
    <t>SOLOMA</t>
  </si>
  <si>
    <t>TECTITÁN</t>
  </si>
  <si>
    <t>TODOS SANTOS CUCHUMATÁN</t>
  </si>
  <si>
    <t>UNIÓN CANTINIL</t>
  </si>
  <si>
    <t>IZABAL</t>
  </si>
  <si>
    <t>EL ESTOR</t>
  </si>
  <si>
    <t>LIVINGSTON</t>
  </si>
  <si>
    <t>LOS AMATES</t>
  </si>
  <si>
    <t>MORALES</t>
  </si>
  <si>
    <t>PUERTO BARRIOS</t>
  </si>
  <si>
    <t>JALAPA</t>
  </si>
  <si>
    <t>MATAQUESCUINTLA</t>
  </si>
  <si>
    <t>MONJAS</t>
  </si>
  <si>
    <t>SAN CARLOS ALZATATE</t>
  </si>
  <si>
    <t>SAN LUIS JILOTEPEQUE</t>
  </si>
  <si>
    <t>SAN MANUEL CHAPARRÓN</t>
  </si>
  <si>
    <t>SAN PEDRO PINULA</t>
  </si>
  <si>
    <t>JUTIAPA</t>
  </si>
  <si>
    <t>AGUA BLANCA</t>
  </si>
  <si>
    <t>ASUNCIÓN MITA</t>
  </si>
  <si>
    <t>ATESCATEMPA</t>
  </si>
  <si>
    <t>COMAPA</t>
  </si>
  <si>
    <t>CONGUACO</t>
  </si>
  <si>
    <t>EL ADELANTO</t>
  </si>
  <si>
    <t>JALPATAGUA</t>
  </si>
  <si>
    <t>JERÉZ</t>
  </si>
  <si>
    <t>MOYUTA</t>
  </si>
  <si>
    <t>PASACO</t>
  </si>
  <si>
    <t>QUEZADA</t>
  </si>
  <si>
    <t>SAN JOSÉ ACATEMPA</t>
  </si>
  <si>
    <t>SANTA CATARINA MITA</t>
  </si>
  <si>
    <t>YUPILTEPEQUE</t>
  </si>
  <si>
    <t>ZAPOTITLÁN</t>
  </si>
  <si>
    <t>PETEN</t>
  </si>
  <si>
    <t>DOLORES</t>
  </si>
  <si>
    <t>EL CHAL</t>
  </si>
  <si>
    <t>FLORES</t>
  </si>
  <si>
    <t>LAS CRUCES</t>
  </si>
  <si>
    <t>MELCHOR DE MENCOS</t>
  </si>
  <si>
    <t>POPTÚN</t>
  </si>
  <si>
    <t>SAN ANDRÉS</t>
  </si>
  <si>
    <t>SAN BENITO</t>
  </si>
  <si>
    <t>SAN FRANCISCO</t>
  </si>
  <si>
    <t>SAN LUIS</t>
  </si>
  <si>
    <t>SANTA ANA</t>
  </si>
  <si>
    <t>SAYAXCHÉ</t>
  </si>
  <si>
    <t>QUETZALTENANGO</t>
  </si>
  <si>
    <t>ALMOLONGA</t>
  </si>
  <si>
    <t>CABRICÁN</t>
  </si>
  <si>
    <t>CAJOLÁ</t>
  </si>
  <si>
    <t>CANTEL</t>
  </si>
  <si>
    <t>COATEPEQUE</t>
  </si>
  <si>
    <t>COLOMBA</t>
  </si>
  <si>
    <t>CONCEPCIÓN CHIQUIRICHAPA</t>
  </si>
  <si>
    <t>EL PALMAR</t>
  </si>
  <si>
    <t>FLORES COSTA CUCA</t>
  </si>
  <si>
    <t>GÉNOVA</t>
  </si>
  <si>
    <t>HUITÁN</t>
  </si>
  <si>
    <t>LA ESPERANZA</t>
  </si>
  <si>
    <t>OLINTEPEQUE</t>
  </si>
  <si>
    <t>PALESTINA DE LOS ALTOS</t>
  </si>
  <si>
    <t>SALCAJÁ</t>
  </si>
  <si>
    <t>SAN CARLOS SIJA</t>
  </si>
  <si>
    <t>SAN FRANCISCO LA UNIÓN</t>
  </si>
  <si>
    <t>SAN JUAN OSTUNCALCO</t>
  </si>
  <si>
    <t>SAN MARTÍN SACATEPÉQUEZ</t>
  </si>
  <si>
    <t>SAN MATEO</t>
  </si>
  <si>
    <t>SAN MIGUEL SIGUILÁ</t>
  </si>
  <si>
    <t>SIBILIA</t>
  </si>
  <si>
    <t>ZUNIL</t>
  </si>
  <si>
    <t>QUICHE</t>
  </si>
  <si>
    <t>CANILLÁ</t>
  </si>
  <si>
    <t>CHAJUL</t>
  </si>
  <si>
    <t>CHICAMÁN</t>
  </si>
  <si>
    <t>CHICHÉ</t>
  </si>
  <si>
    <t>CHICHICASTENANGO</t>
  </si>
  <si>
    <t>CHINIQUE</t>
  </si>
  <si>
    <t>CUNÉN</t>
  </si>
  <si>
    <t>IXCÁN</t>
  </si>
  <si>
    <t>JOYABAJ</t>
  </si>
  <si>
    <t>NEBAJ</t>
  </si>
  <si>
    <t>PACHALUM</t>
  </si>
  <si>
    <t>PATZITÉ</t>
  </si>
  <si>
    <t>SACAPULAS</t>
  </si>
  <si>
    <t>SAN ANDRÉS SAJCABAJÁ</t>
  </si>
  <si>
    <t>SAN ANTONIO ILOTENANGO</t>
  </si>
  <si>
    <t>SAN BARTOLOMÉ JOCOTENANGO</t>
  </si>
  <si>
    <t>SAN JUAN COTZAL</t>
  </si>
  <si>
    <t>SAN PEDRO JOCOPILAS</t>
  </si>
  <si>
    <t>SANTA CRUZ DEL QUICHÉ</t>
  </si>
  <si>
    <t>USPANTÁN</t>
  </si>
  <si>
    <t>ZACUALPA</t>
  </si>
  <si>
    <t>RETALHULEU</t>
  </si>
  <si>
    <t>CHAMPERICO</t>
  </si>
  <si>
    <t>EL ASINTAL</t>
  </si>
  <si>
    <t>NUEVO SAN CARLOS</t>
  </si>
  <si>
    <t>SAN ANDRÉS VILLA SECA</t>
  </si>
  <si>
    <t>SAN FELIPE</t>
  </si>
  <si>
    <t>SAN MARTÍN ZAPOTITLÁN</t>
  </si>
  <si>
    <t>SAN SEBASTIÁN</t>
  </si>
  <si>
    <t>SANTA CRUZ MULUÁ</t>
  </si>
  <si>
    <t>SACATEPEQUEZ</t>
  </si>
  <si>
    <t>ALOTENANGO</t>
  </si>
  <si>
    <t>ANTIGUA GUATEMALA</t>
  </si>
  <si>
    <t>CIUDAD VIEJA</t>
  </si>
  <si>
    <t>JOCOTENANGO</t>
  </si>
  <si>
    <t>MAGDALENA MILPAS ALTAS</t>
  </si>
  <si>
    <t>PASTORES</t>
  </si>
  <si>
    <t>SAN ANTONIO AGUAS CALIENTES</t>
  </si>
  <si>
    <t>SAN BARTOLOMÉ MILPAS ALTAS</t>
  </si>
  <si>
    <t>SAN LUCAS SACATEPÉQUEZ</t>
  </si>
  <si>
    <t>SAN MIGUEL DUEÑAS</t>
  </si>
  <si>
    <t>SANTA CATARINA BARAHONA</t>
  </si>
  <si>
    <t>SANTA LUCÍA MILPAS ALTAS</t>
  </si>
  <si>
    <t>SANTA MARÍA DE JESÚS</t>
  </si>
  <si>
    <t>SANTIAGO SACATEPÉQUEZ</t>
  </si>
  <si>
    <t>SANTO DOMINGO XENACOJ</t>
  </si>
  <si>
    <t>SUMPANGO</t>
  </si>
  <si>
    <t>SAN MARCOS</t>
  </si>
  <si>
    <t>AYUTLA</t>
  </si>
  <si>
    <t>CATARINA</t>
  </si>
  <si>
    <t>COMITANCILLO</t>
  </si>
  <si>
    <t>CONCEPCIÓN TUTUAPA</t>
  </si>
  <si>
    <t>EL QUETZAL</t>
  </si>
  <si>
    <t>EL RODEO</t>
  </si>
  <si>
    <t>EL TUMBADOR</t>
  </si>
  <si>
    <t>ESQUIPULAS PALO GORDO</t>
  </si>
  <si>
    <t>IXCHIGUÁN</t>
  </si>
  <si>
    <t>LA BLANCA</t>
  </si>
  <si>
    <t>LA REFORMA</t>
  </si>
  <si>
    <t>MALACATÁN</t>
  </si>
  <si>
    <t>NUEVO PROGRESO</t>
  </si>
  <si>
    <t>OCÓS</t>
  </si>
  <si>
    <t>PAJAPITA</t>
  </si>
  <si>
    <t>RÍO BLANCO</t>
  </si>
  <si>
    <t>SAN ANTONIO SACATEPÉQUEZ</t>
  </si>
  <si>
    <t>SAN CRISTÓBAL CUCHO</t>
  </si>
  <si>
    <t>SAN JOSÉ OJETENAM</t>
  </si>
  <si>
    <t>SAN LORENZO</t>
  </si>
  <si>
    <t>SAN MIGUEL IXTAHUACÁN</t>
  </si>
  <si>
    <t>SAN PABLO</t>
  </si>
  <si>
    <t>SAN RAFAEL PIE DE LA CUESTA</t>
  </si>
  <si>
    <t>SIBINAL</t>
  </si>
  <si>
    <t>SIPACAPA</t>
  </si>
  <si>
    <t>TACANÁ</t>
  </si>
  <si>
    <t>TAJUMULCO</t>
  </si>
  <si>
    <t>TEJUTLA</t>
  </si>
  <si>
    <t>SANTA ROSA</t>
  </si>
  <si>
    <t>BARBERENA</t>
  </si>
  <si>
    <t>CASILLAS</t>
  </si>
  <si>
    <t>CHIQUIMULILLA</t>
  </si>
  <si>
    <t>CUILAPA</t>
  </si>
  <si>
    <t>GUAZACAPÁN</t>
  </si>
  <si>
    <t>NUEVA SANTA ROSA</t>
  </si>
  <si>
    <t>ORATORIO</t>
  </si>
  <si>
    <t>PUEBLO NUEVO VIÑAS</t>
  </si>
  <si>
    <t>SAN JUAN TECUACO</t>
  </si>
  <si>
    <t>SAN RAFAEL LAS FLORES</t>
  </si>
  <si>
    <t>SANTA CRUZ NARANJO</t>
  </si>
  <si>
    <t>SANTA MARÍA IXHUATÁN</t>
  </si>
  <si>
    <t>SANTA ROSA DE LIMA</t>
  </si>
  <si>
    <t>TAXISCO</t>
  </si>
  <si>
    <t>SOLOLA</t>
  </si>
  <si>
    <t>CONCEPCIÓN</t>
  </si>
  <si>
    <t>NAHUALÁ</t>
  </si>
  <si>
    <t>PANAJACHEL</t>
  </si>
  <si>
    <t>SAN ANDRÉS SEMETABAJ</t>
  </si>
  <si>
    <t>SAN ANTONIO PALOPÓ</t>
  </si>
  <si>
    <t>SAN JOSÉ CHACAYÁ</t>
  </si>
  <si>
    <t>SAN JUAN LA LAGUNA</t>
  </si>
  <si>
    <t>SAN LUCAS TOLIMÁN</t>
  </si>
  <si>
    <t>SAN MARCOS LA LAGUNA</t>
  </si>
  <si>
    <t>SAN PABLO LA LAGUNA</t>
  </si>
  <si>
    <t>SAN PEDRO LA LAGUNA</t>
  </si>
  <si>
    <t>SANTA CATARINA IXTAHUACÁN</t>
  </si>
  <si>
    <t>SANTA CATARINA PALOPÓ</t>
  </si>
  <si>
    <t>SANTA CLARA LA LAGUNA</t>
  </si>
  <si>
    <t>SANTA CRUZ LA LAGUNA</t>
  </si>
  <si>
    <t>SANTA LUCÍA UTATLÁN</t>
  </si>
  <si>
    <t>SANTA MARÍA VISITACIÓN</t>
  </si>
  <si>
    <t>SANTIAGO ATITLÁN</t>
  </si>
  <si>
    <t>SOLOLÁ</t>
  </si>
  <si>
    <t>SUCHITEPEQUEZ</t>
  </si>
  <si>
    <t>CHICACAO</t>
  </si>
  <si>
    <t>CUYOTENANGO</t>
  </si>
  <si>
    <t>MAZATENANGO</t>
  </si>
  <si>
    <t>PATULUL</t>
  </si>
  <si>
    <t>PUEBLO NUEVO</t>
  </si>
  <si>
    <t>RÍO BRAVO</t>
  </si>
  <si>
    <t>SAMAYAC</t>
  </si>
  <si>
    <t>SAN ANTONIO SUCHITEPÉQUEZ</t>
  </si>
  <si>
    <t>SAN BERNARDINO</t>
  </si>
  <si>
    <t>SAN FRANCISCO ZAPOTITLÁN</t>
  </si>
  <si>
    <t>SAN GABRIEL</t>
  </si>
  <si>
    <t>SAN JOSÉ EL IDOLO</t>
  </si>
  <si>
    <t>SAN JOSÉ LA MÁQUINA</t>
  </si>
  <si>
    <t>SAN JUAN BAUTISTA</t>
  </si>
  <si>
    <t>SAN MIGUEL PANÁN</t>
  </si>
  <si>
    <t>SAN PABLO JOCOPILAS</t>
  </si>
  <si>
    <t>SANTO DOMINGO SUCHITEPÉQUEZ</t>
  </si>
  <si>
    <t>SANTO TOMÁS LA UNIÓN</t>
  </si>
  <si>
    <t>ZUNILITO</t>
  </si>
  <si>
    <t>TOTONICAPAN</t>
  </si>
  <si>
    <t>MOMOSTENANGO</t>
  </si>
  <si>
    <t>SAN ANDRÉS XECUL</t>
  </si>
  <si>
    <t>SAN BARTOLO</t>
  </si>
  <si>
    <t>SAN CRISTÓBAL TOTONICAPÁN</t>
  </si>
  <si>
    <t>SAN FRANCISCO EL ALTO</t>
  </si>
  <si>
    <t>SANTA LUCÍA LA REFORMA</t>
  </si>
  <si>
    <t>SANTA MARÍA CHIQUIMULA</t>
  </si>
  <si>
    <t>TOTONICAPÁN</t>
  </si>
  <si>
    <t>ZACAPA</t>
  </si>
  <si>
    <t>CABAÑAS</t>
  </si>
  <si>
    <t>ESTANZUELA</t>
  </si>
  <si>
    <t>GUALÁN</t>
  </si>
  <si>
    <t>HUITÉ</t>
  </si>
  <si>
    <t>LA UNIÓN</t>
  </si>
  <si>
    <t>RÍO HONDO</t>
  </si>
  <si>
    <t>SAN DIEGO</t>
  </si>
  <si>
    <t>SAN JORGE</t>
  </si>
  <si>
    <t>TECULUTÁN</t>
  </si>
  <si>
    <t>USUMATLÁN</t>
  </si>
  <si>
    <t xml:space="preserve">PROGRAMA SOCIAL "BECA EDUCACIÓN SUPERIOR" </t>
  </si>
  <si>
    <t xml:space="preserve">SAN JACINTO </t>
  </si>
  <si>
    <t xml:space="preserve">PROGRAMA SOCIAL "COMEDOR SOCIAL" </t>
  </si>
  <si>
    <t>AÑO 2026</t>
  </si>
  <si>
    <t>EJECUCIÓN 30 ENERO</t>
  </si>
  <si>
    <t>EJECUCIÓN 28 FEBRERO</t>
  </si>
  <si>
    <t xml:space="preserve">Desayuno </t>
  </si>
  <si>
    <t xml:space="preserve">Almuerzo </t>
  </si>
  <si>
    <t>SAN AGUSTÍN LANQUÍN</t>
  </si>
  <si>
    <t>SENAHU</t>
  </si>
  <si>
    <t>SAN MIGUEL TUCURU</t>
  </si>
  <si>
    <t>PURULHA (Movil)</t>
  </si>
  <si>
    <t>PURULHA (Fijo)</t>
  </si>
  <si>
    <t>SAN JERONIMO</t>
  </si>
  <si>
    <t>ACATENANCO (Fijo)</t>
  </si>
  <si>
    <t>ACATENANGO (Fijo)</t>
  </si>
  <si>
    <t>SAN MIGUEL POCHUTA</t>
  </si>
  <si>
    <t>SAN PEDRO YEPOCAPA</t>
  </si>
  <si>
    <t>SANTA LUCIA COTZUMALGUAPA</t>
  </si>
  <si>
    <t>SIPACATE</t>
  </si>
  <si>
    <t>FEGUA</t>
  </si>
  <si>
    <t>MAIMI</t>
  </si>
  <si>
    <t>MAINA</t>
  </si>
  <si>
    <t>ZONA 5</t>
  </si>
  <si>
    <t>ROOSEVELT</t>
  </si>
  <si>
    <t>UNOP</t>
  </si>
  <si>
    <t>LO DE CARRANZA</t>
  </si>
  <si>
    <t>SAN PEDRO SOLOMA</t>
  </si>
  <si>
    <t>SANTA BARBARA</t>
  </si>
  <si>
    <t>EL ESTOR (Pataxte)</t>
  </si>
  <si>
    <t>LIVINGSTON (Fronteras Río Dulce Móvil No. 11)</t>
  </si>
  <si>
    <t>PUERTO BARRIOS (Entre Ríos)</t>
  </si>
  <si>
    <t>SAN MANUEL CHAPARRON</t>
  </si>
  <si>
    <t>QUESADA</t>
  </si>
  <si>
    <t>ZAPOTITLAN</t>
  </si>
  <si>
    <t>PETÉN</t>
  </si>
  <si>
    <t>CHICHE</t>
  </si>
  <si>
    <t>SAN ANDRES SAJCABAJA</t>
  </si>
  <si>
    <t>SAN MIGUEL USPANTAN</t>
  </si>
  <si>
    <t>SANTA CRUZ DEL QUICHE</t>
  </si>
  <si>
    <t>CHAMPERICO 2</t>
  </si>
  <si>
    <t>SANTA MARIA DE JESUS</t>
  </si>
  <si>
    <t xml:space="preserve">MALACATAN  </t>
  </si>
  <si>
    <t>SAN JOSE OJETENAM</t>
  </si>
  <si>
    <t xml:space="preserve">SAN PABLO  </t>
  </si>
  <si>
    <t>SAN MIGUEL IXTAHUACAN</t>
  </si>
  <si>
    <t>SUCHITEPÉQUEZ</t>
  </si>
  <si>
    <t xml:space="preserve">SUCHITEPÉQUEZ </t>
  </si>
  <si>
    <t>SAN FRANCISCO ZAPOTITLAN</t>
  </si>
  <si>
    <t>SANTA LUCIA LA REFORMA</t>
  </si>
  <si>
    <t>TECULUTAN</t>
  </si>
  <si>
    <t xml:space="preserve">PROGRAMA SOCIAL "JÓVENES PROTAGONISTAS" </t>
  </si>
  <si>
    <t>EJECUCIÓN 31 DE MARZO</t>
  </si>
  <si>
    <t>EJECUCIÓN 30 DE ABRIL</t>
  </si>
  <si>
    <t>EJECUCIÓN 31 DE MAYO</t>
  </si>
  <si>
    <t>EJECUCIÓN 30 DE JUNIO</t>
  </si>
  <si>
    <t xml:space="preserve">Guatemala </t>
  </si>
  <si>
    <t xml:space="preserve">San Juan Sacatepéquez </t>
  </si>
  <si>
    <t xml:space="preserve">Persona </t>
  </si>
  <si>
    <t xml:space="preserve">San Raymundo </t>
  </si>
  <si>
    <t>Villa Nueva</t>
  </si>
  <si>
    <t xml:space="preserve">San Pedro Sacatepéquez </t>
  </si>
  <si>
    <t xml:space="preserve">Mixco </t>
  </si>
  <si>
    <t>Guatemala</t>
  </si>
  <si>
    <t>Chinautla</t>
  </si>
  <si>
    <t xml:space="preserve">Petén </t>
  </si>
  <si>
    <t xml:space="preserve">San Benito </t>
  </si>
  <si>
    <t>La Libertad</t>
  </si>
  <si>
    <t>Melchor de Mencos</t>
  </si>
  <si>
    <t xml:space="preserve">Sayaxché </t>
  </si>
  <si>
    <t>Alta Verapaz</t>
  </si>
  <si>
    <t xml:space="preserve">Cobán </t>
  </si>
  <si>
    <t xml:space="preserve">San Miguel Tucuru </t>
  </si>
  <si>
    <t>San Cristóbal Verapaz</t>
  </si>
  <si>
    <t>Baja Verapaz</t>
  </si>
  <si>
    <t xml:space="preserve">Purulhá </t>
  </si>
  <si>
    <t xml:space="preserve">Rabinal </t>
  </si>
  <si>
    <t>Salamá</t>
  </si>
  <si>
    <t>Izabal</t>
  </si>
  <si>
    <t>Livingston</t>
  </si>
  <si>
    <t xml:space="preserve">El Estor </t>
  </si>
  <si>
    <t>Los Amates</t>
  </si>
  <si>
    <t>Puerto Barrios</t>
  </si>
  <si>
    <t>Morales</t>
  </si>
  <si>
    <t xml:space="preserve">Quetzaltenango </t>
  </si>
  <si>
    <t xml:space="preserve">Cantel </t>
  </si>
  <si>
    <t xml:space="preserve">San Mateo </t>
  </si>
  <si>
    <t>Coatepeque</t>
  </si>
  <si>
    <t>Cajolá</t>
  </si>
  <si>
    <t xml:space="preserve">Huitán </t>
  </si>
  <si>
    <t>Palestian de Los Altos</t>
  </si>
  <si>
    <t xml:space="preserve">Quiché </t>
  </si>
  <si>
    <t>Chajul</t>
  </si>
  <si>
    <t xml:space="preserve">San Juan Cotzal </t>
  </si>
  <si>
    <t>Nebaj</t>
  </si>
  <si>
    <t xml:space="preserve">San Pedro Jocopilas </t>
  </si>
  <si>
    <t xml:space="preserve">Santa Cruz del Quiché </t>
  </si>
  <si>
    <t>San Miguel Uspantan</t>
  </si>
  <si>
    <t>Pachalum</t>
  </si>
  <si>
    <t>Ixcán</t>
  </si>
  <si>
    <t xml:space="preserve">San Marcos </t>
  </si>
  <si>
    <t xml:space="preserve">San Antonio Sacatepéquez </t>
  </si>
  <si>
    <t>Esquipulas Palo Gordo</t>
  </si>
  <si>
    <t>Sololá</t>
  </si>
  <si>
    <t>Santa Lucia Utatlan</t>
  </si>
  <si>
    <t xml:space="preserve">Santiago Atitlán </t>
  </si>
  <si>
    <t xml:space="preserve">Concepción </t>
  </si>
  <si>
    <t>San Pedro La Laguna</t>
  </si>
  <si>
    <t>Santa Cruz La Laguna</t>
  </si>
  <si>
    <t>Huehuetenango</t>
  </si>
  <si>
    <t>Aguacatan</t>
  </si>
  <si>
    <t xml:space="preserve">San Ildefonso Ixtahuacan  </t>
  </si>
  <si>
    <t>San Juan Ixcoy</t>
  </si>
  <si>
    <t xml:space="preserve">San Sebastian Huehuetenango </t>
  </si>
  <si>
    <t>Chiantla</t>
  </si>
  <si>
    <t>Zacapa</t>
  </si>
  <si>
    <t xml:space="preserve">La Unión </t>
  </si>
  <si>
    <t>Gualán</t>
  </si>
  <si>
    <t>Estanzuela</t>
  </si>
  <si>
    <t>Rio Hondo</t>
  </si>
  <si>
    <t>Teculutan</t>
  </si>
  <si>
    <t xml:space="preserve">Zacapa </t>
  </si>
  <si>
    <t>Jalapa</t>
  </si>
  <si>
    <t xml:space="preserve">Jalapa </t>
  </si>
  <si>
    <t>San Pedro Pinula</t>
  </si>
  <si>
    <t>San Carlos Alzatate</t>
  </si>
  <si>
    <t>San Manuel Chaparron</t>
  </si>
  <si>
    <t>Mataquescuintla</t>
  </si>
  <si>
    <t>San Luis Jilotepeque</t>
  </si>
  <si>
    <t>Jutiapa</t>
  </si>
  <si>
    <t>Comapa</t>
  </si>
  <si>
    <t>El Adelanto</t>
  </si>
  <si>
    <t>Yupiltepeque</t>
  </si>
  <si>
    <t>Moyuta</t>
  </si>
  <si>
    <t>Jalpatagua</t>
  </si>
  <si>
    <t>San José Acatempa</t>
  </si>
  <si>
    <t>Santa Catarina Mita</t>
  </si>
  <si>
    <t>Chiquimula</t>
  </si>
  <si>
    <t xml:space="preserve">Jocotán </t>
  </si>
  <si>
    <t>Olopa</t>
  </si>
  <si>
    <t>Camotan</t>
  </si>
  <si>
    <t xml:space="preserve">San Juan La Ermita </t>
  </si>
  <si>
    <t xml:space="preserve">Santa Rosa </t>
  </si>
  <si>
    <t xml:space="preserve">Barberena </t>
  </si>
  <si>
    <t>Taxisco</t>
  </si>
  <si>
    <t>Chiquimulilla</t>
  </si>
  <si>
    <t>Cuilapa</t>
  </si>
  <si>
    <t xml:space="preserve">Pueblo Nuevo Viñas </t>
  </si>
  <si>
    <t xml:space="preserve">Retalhuleu </t>
  </si>
  <si>
    <t xml:space="preserve">Nuevo San Carlos </t>
  </si>
  <si>
    <t xml:space="preserve">Santa Cruz Muluá </t>
  </si>
  <si>
    <t>Champerico</t>
  </si>
  <si>
    <t>El Asintal</t>
  </si>
  <si>
    <t xml:space="preserve">San Sebastían </t>
  </si>
  <si>
    <t xml:space="preserve">Escuintla </t>
  </si>
  <si>
    <t>Santa Lucia Cotzumalguapa</t>
  </si>
  <si>
    <t>Siquinala</t>
  </si>
  <si>
    <t>Escuintla</t>
  </si>
  <si>
    <t>Chimaltenango</t>
  </si>
  <si>
    <t>San Juan Comalapa</t>
  </si>
  <si>
    <t xml:space="preserve">Patzicia </t>
  </si>
  <si>
    <t xml:space="preserve">Patzun </t>
  </si>
  <si>
    <t>San Jose Poaquil</t>
  </si>
  <si>
    <t xml:space="preserve">Sacatepequez </t>
  </si>
  <si>
    <t xml:space="preserve">San Antonio Aguas Calientes </t>
  </si>
  <si>
    <t>Santiago Sacatepequez</t>
  </si>
  <si>
    <t>Jocotenango</t>
  </si>
  <si>
    <t xml:space="preserve">Santo Domingo Xenocoj </t>
  </si>
  <si>
    <t xml:space="preserve">San Juan Alotenango </t>
  </si>
  <si>
    <t>Sumpango</t>
  </si>
  <si>
    <t xml:space="preserve">Totonicapán </t>
  </si>
  <si>
    <t>Santa Lucia la Reforma</t>
  </si>
  <si>
    <t xml:space="preserve">Santa Maria Chiquimula </t>
  </si>
  <si>
    <t xml:space="preserve">San Francisco El Alto </t>
  </si>
  <si>
    <t>Momostenango</t>
  </si>
  <si>
    <t>San Andrés Xecul</t>
  </si>
  <si>
    <t xml:space="preserve">El Progreso </t>
  </si>
  <si>
    <t xml:space="preserve">Guastatoya </t>
  </si>
  <si>
    <t>Sanarate</t>
  </si>
  <si>
    <t xml:space="preserve">San Antonio La Paz </t>
  </si>
  <si>
    <t>El Jícaro</t>
  </si>
  <si>
    <t>San Agustín Acasaguastlán</t>
  </si>
  <si>
    <t>Sansare</t>
  </si>
  <si>
    <t>Morazán</t>
  </si>
  <si>
    <t xml:space="preserve">Suchitepéquez </t>
  </si>
  <si>
    <t xml:space="preserve">San Bernardino </t>
  </si>
  <si>
    <t xml:space="preserve">San Miguel Panam </t>
  </si>
  <si>
    <t xml:space="preserve">Mazatenango </t>
  </si>
  <si>
    <t>Chicacao</t>
  </si>
  <si>
    <t xml:space="preserve">TOTAL </t>
  </si>
  <si>
    <t>-- -</t>
  </si>
  <si>
    <t>SUBTOTALINVERSIÓN SOCIAL (INCLUYE R.036)</t>
  </si>
  <si>
    <t>SUBTOTALINVERSIÓN FUNCIONAMIENTO</t>
  </si>
  <si>
    <t>SUBTOTAL</t>
  </si>
  <si>
    <t>MINISTERIO DE DESARROLLO SOCIAL</t>
  </si>
  <si>
    <t>PROGRAMA SOCIAL BOLSA SOCIAL</t>
  </si>
  <si>
    <t>TRANSFERENCIA MONETARIA CONDICIONADA PARA ALIMENTOS</t>
  </si>
  <si>
    <t>APORTES POR DEPARTAMENTO Y MUNICIPIO AÑO 2026</t>
  </si>
  <si>
    <t>ENERO</t>
  </si>
  <si>
    <t>FEBRERO</t>
  </si>
  <si>
    <t>MARZO</t>
  </si>
  <si>
    <t>ABRIL</t>
  </si>
  <si>
    <t>MAYO</t>
  </si>
  <si>
    <t>JUNIO</t>
  </si>
  <si>
    <t>No.</t>
  </si>
  <si>
    <t>DEPARTAMENTO</t>
  </si>
  <si>
    <t>MUNICIPIO</t>
  </si>
  <si>
    <t>UBICACIÓN 
GEOGRAFICA</t>
  </si>
  <si>
    <t>PLANILLA 1</t>
  </si>
  <si>
    <t>PLANILLA 2</t>
  </si>
  <si>
    <t>PLANILLA 3</t>
  </si>
  <si>
    <t>PLANILLA 4</t>
  </si>
  <si>
    <t>PLANILLA 5</t>
  </si>
  <si>
    <t>PLANILLA 5AD</t>
  </si>
  <si>
    <t>PLANILLA 6</t>
  </si>
  <si>
    <t>PLANILLA 7</t>
  </si>
  <si>
    <t>APORTES AGOSTO</t>
  </si>
  <si>
    <t>APORTES SEPTIEMBRE</t>
  </si>
  <si>
    <t>APORTES OCTUBRE</t>
  </si>
  <si>
    <t>APORTES NOVIEMBRE</t>
  </si>
  <si>
    <t>APORTES DICIEMBRE</t>
  </si>
  <si>
    <t>TOTAL APORTES EFECTUADOS</t>
  </si>
  <si>
    <t>MONTO TOTAL EJECUTADO Q.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</si>
  <si>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</si>
  <si>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</si>
  <si>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</si>
  <si>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</si>
  <si>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</si>
  <si>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</si>
  <si>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</si>
  <si>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</si>
  <si>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</si>
  <si>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</si>
  <si>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</si>
  <si>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</si>
  <si>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</si>
  <si>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</si>
  <si>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</si>
  <si>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</si>
  <si>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</si>
  <si>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TOTAL</t>
  </si>
  <si>
    <t>Presupuesto Asignado vgente</t>
  </si>
  <si>
    <t>Presupuesto por ejecutar</t>
  </si>
  <si>
    <t>DIRECCION DE PREVENSIÓN SOCIAL 2025</t>
  </si>
  <si>
    <t>PRESUPESTO GENERAL</t>
  </si>
  <si>
    <t xml:space="preserve"> EJECUCION FISICA 2026</t>
  </si>
  <si>
    <t>EJECUCIÓN FINANCIERA 2026</t>
  </si>
  <si>
    <t xml:space="preserve">SUBDIRECCIÓN </t>
  </si>
  <si>
    <t>PROGRAMA SOCIAL</t>
  </si>
  <si>
    <t>PRESUPUESTO FINANCIERO INICIAL</t>
  </si>
  <si>
    <t>PRESUPUETO FINANCIERO VIGENTE</t>
  </si>
  <si>
    <t xml:space="preserve">EJECUCIÓN FINANCIERA </t>
  </si>
  <si>
    <t>% Ejecucion General</t>
  </si>
  <si>
    <t>FINANCIERA</t>
  </si>
  <si>
    <t>META FISICA VIGENTE</t>
  </si>
  <si>
    <t>EJECUTADO</t>
  </si>
  <si>
    <t>% Ejecución</t>
  </si>
  <si>
    <t>EJECUCIÓN VIGENTE</t>
  </si>
  <si>
    <t>EJECUCIÓN EJECUTADO</t>
  </si>
  <si>
    <t>% EJECUCIÓN</t>
  </si>
  <si>
    <t>COMEDORES</t>
  </si>
  <si>
    <t>Comedor Social</t>
  </si>
  <si>
    <t>BOLSA DE ALIMENTOS</t>
  </si>
  <si>
    <t>Bolsa Social</t>
  </si>
  <si>
    <t>FAMILIAS SEGURAS</t>
  </si>
  <si>
    <t>Jóvenes Protagonistas</t>
  </si>
  <si>
    <t>BECA EDUCACIÓN MEDIA</t>
  </si>
  <si>
    <t>Beca Media</t>
  </si>
  <si>
    <t>BECA EDUCACIÓN SUPERIOR</t>
  </si>
  <si>
    <t>Beca Superior</t>
  </si>
  <si>
    <t>x</t>
  </si>
  <si>
    <t>TAMAHU</t>
  </si>
  <si>
    <t>CUBULCO 2</t>
  </si>
  <si>
    <t>CUBULCO (Fijo)</t>
  </si>
  <si>
    <t>SALAMA</t>
  </si>
  <si>
    <t>SALAMA 2</t>
  </si>
  <si>
    <t>ACATENANGO (cerrado)</t>
  </si>
  <si>
    <t>SAN AGUSTIN ACASAGUASTLAN (Fijo)</t>
  </si>
  <si>
    <t>SAN AGUSTIN ACASAGUASTLAN</t>
  </si>
  <si>
    <t>SAN AGUSTIN ACASAGUASTLAN 2</t>
  </si>
  <si>
    <t>EL INCIENSO ZONA 3</t>
  </si>
  <si>
    <t>NENTON</t>
  </si>
  <si>
    <t>SAN SEBASTIAN HUEHUETENANGO</t>
  </si>
  <si>
    <t>MOYUTA (Fijo)</t>
  </si>
  <si>
    <t>MOYUTA 2</t>
  </si>
  <si>
    <t>CABRICAN</t>
  </si>
  <si>
    <t>SAN FRANCISCO LA UNION</t>
  </si>
  <si>
    <t>CANILLA</t>
  </si>
  <si>
    <t>SAN BARTOLOME JOCOTENANGO</t>
  </si>
  <si>
    <t>SAN ANDRES VILLA SECA</t>
  </si>
  <si>
    <t>SAN ANDRES VILLA SECA 2</t>
  </si>
  <si>
    <t>SANTA LUCIA MILPAS ALTAS</t>
  </si>
  <si>
    <t>OCOS</t>
  </si>
  <si>
    <t>OCOS 2</t>
  </si>
  <si>
    <t>JULIO</t>
  </si>
  <si>
    <t>PLANILLA 8</t>
  </si>
  <si>
    <t>EJECUCIÓN 31 DE JULIO</t>
  </si>
  <si>
    <t>Tamahú</t>
  </si>
  <si>
    <t>San Pedro Carchá</t>
  </si>
  <si>
    <t>Tactic</t>
  </si>
  <si>
    <t>San Jerónimo</t>
  </si>
  <si>
    <t>San Miguel Chicaj</t>
  </si>
  <si>
    <t>La Esperanza</t>
  </si>
  <si>
    <t>Salcajá</t>
  </si>
  <si>
    <t>San Juan Ostuncalco</t>
  </si>
  <si>
    <t>Ciudad Vieja</t>
  </si>
  <si>
    <t>5092</t>
  </si>
  <si>
    <t>8805</t>
  </si>
  <si>
    <t>1941</t>
  </si>
  <si>
    <t>1779</t>
  </si>
  <si>
    <t>11160</t>
  </si>
  <si>
    <t>33556</t>
  </si>
  <si>
    <t>4779</t>
  </si>
  <si>
    <t>Programa</t>
  </si>
  <si>
    <t>Departamento</t>
  </si>
  <si>
    <t>Municipio</t>
  </si>
  <si>
    <t>Unidad de Medida</t>
  </si>
  <si>
    <t>Mes</t>
  </si>
  <si>
    <t>No. Mes</t>
  </si>
  <si>
    <t>Física</t>
  </si>
  <si>
    <t>Financiera</t>
  </si>
  <si>
    <t>Beca Educación Media</t>
  </si>
  <si>
    <t>Beca</t>
  </si>
  <si>
    <t>Beca Educación Superior</t>
  </si>
  <si>
    <t>SAN JACINTO</t>
  </si>
  <si>
    <t>San Juan Sacatepéquez</t>
  </si>
  <si>
    <t>Persona</t>
  </si>
  <si>
    <t>San Raymundo</t>
  </si>
  <si>
    <t>San Pedro Sacatepéquez</t>
  </si>
  <si>
    <t>Mixco</t>
  </si>
  <si>
    <t>Petén</t>
  </si>
  <si>
    <t>San Benito</t>
  </si>
  <si>
    <t>Sayaxché</t>
  </si>
  <si>
    <t>Cobán</t>
  </si>
  <si>
    <t>San Miguel Tucuru</t>
  </si>
  <si>
    <t>Purulhá</t>
  </si>
  <si>
    <t>Rabinal</t>
  </si>
  <si>
    <t>El Estor</t>
  </si>
  <si>
    <t>Quetzaltenango</t>
  </si>
  <si>
    <t>Cantel</t>
  </si>
  <si>
    <t>San Mateo</t>
  </si>
  <si>
    <t>Huitán</t>
  </si>
  <si>
    <t>Quiché</t>
  </si>
  <si>
    <t>San Juan Cotzal</t>
  </si>
  <si>
    <t>San Pedro Jocopilas</t>
  </si>
  <si>
    <t>Santa Cruz del Quiché</t>
  </si>
  <si>
    <t>San Marcos</t>
  </si>
  <si>
    <t>San Antonio Sacatepéquez</t>
  </si>
  <si>
    <t>Santiago Atitlán</t>
  </si>
  <si>
    <t>Concepción</t>
  </si>
  <si>
    <t>San Ildefonso Ixtahuacan</t>
  </si>
  <si>
    <t>San Sebastian Huehuetenango</t>
  </si>
  <si>
    <t>La Unión</t>
  </si>
  <si>
    <t>Jocotán</t>
  </si>
  <si>
    <t>San Juan La Ermita</t>
  </si>
  <si>
    <t>Santa Rosa</t>
  </si>
  <si>
    <t>Barberena</t>
  </si>
  <si>
    <t>Pueblo Nuevo Viñas</t>
  </si>
  <si>
    <t>Retalhuleu</t>
  </si>
  <si>
    <t>Nuevo San Carlos</t>
  </si>
  <si>
    <t>Santa Cruz Muluá</t>
  </si>
  <si>
    <t>San Sebastían</t>
  </si>
  <si>
    <t>Patzicia</t>
  </si>
  <si>
    <t>Patzun</t>
  </si>
  <si>
    <t>Sacatepequez</t>
  </si>
  <si>
    <t>San Antonio Aguas Calientes</t>
  </si>
  <si>
    <t>Santo Domingo Xenocoj</t>
  </si>
  <si>
    <t>San Juan Alotenango</t>
  </si>
  <si>
    <t>Totonicapán</t>
  </si>
  <si>
    <t>Santa Maria Chiquimula</t>
  </si>
  <si>
    <t>San Francisco El Alto</t>
  </si>
  <si>
    <t>El Progreso</t>
  </si>
  <si>
    <t>Guastatoya</t>
  </si>
  <si>
    <t>San Antonio La Paz</t>
  </si>
  <si>
    <t>Suchitepéquez</t>
  </si>
  <si>
    <t>San Bernardino</t>
  </si>
  <si>
    <t>San Miguel Panam</t>
  </si>
  <si>
    <t>Mazatenango</t>
  </si>
  <si>
    <t>Desayuno</t>
  </si>
  <si>
    <t>Almuerzo</t>
  </si>
  <si>
    <t>MALACATAN</t>
  </si>
  <si>
    <t>Aporte</t>
  </si>
  <si>
    <t>MINISTERIO DE DESARROLLO SOCIAL  |  DIRECCIÓN DE PREVENCIÓN SOCIAL</t>
  </si>
  <si>
    <t>RESUMEN EJECUTIVO DE EJECUCIÓN FÍSICA Y FINANCIERA — JULIO 2026</t>
  </si>
  <si>
    <t>Programa Social</t>
  </si>
  <si>
    <t>Presupuesto Vigente (Q)</t>
  </si>
  <si>
    <t>Ejecución Financiera (Q)</t>
  </si>
  <si>
    <t>% Ejec. Financiera</t>
  </si>
  <si>
    <t>Meta Física Vigente</t>
  </si>
  <si>
    <t>Ejecución Física</t>
  </si>
  <si>
    <t>% Ejec. Física</t>
  </si>
  <si>
    <t>TOTAL DPS</t>
  </si>
  <si>
    <t>Etiquetas de fila</t>
  </si>
  <si>
    <t>Total general</t>
  </si>
  <si>
    <t>Etiquetas de columna</t>
  </si>
  <si>
    <t>Suma de Financiera</t>
  </si>
  <si>
    <t>Total Suma de Financiera</t>
  </si>
  <si>
    <t>Total Suma de Física</t>
  </si>
  <si>
    <t>Suma de Física</t>
  </si>
  <si>
    <t>01 Enero</t>
  </si>
  <si>
    <t>02 Febrero</t>
  </si>
  <si>
    <t>03 Marzo</t>
  </si>
  <si>
    <t>04 Abril</t>
  </si>
  <si>
    <t>05 Mayo</t>
  </si>
  <si>
    <t>06 Junio</t>
  </si>
  <si>
    <t>07 Julio</t>
  </si>
  <si>
    <t>08 Acumulado 2026</t>
  </si>
  <si>
    <t>TABLA DINÁMICA — EJECUCIÓN FÍSICA Y FINANCIERA POR PROGRAMA, DEPARTAMENTO Y MES</t>
  </si>
  <si>
    <t>% Financiera</t>
  </si>
  <si>
    <t>% Física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</si>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</sst>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&quot;Q&quot;* #,##0.00_-;\-&quot;Q&quot;* #,##0.00_-;_-&quot;Q&quot;* &quot;-&quot;??_-;_-@_-"/>
    <numFmt numFmtId="165" formatCode="_-* #,##0.00_-;\-* #,##0.00_-;_-* &quot;-&quot;??_-;_-@_-"/>
    <numFmt numFmtId="166" formatCode="_-[$Q-100A]* #,##0.00_-;\-[$Q-100A]* #,##0.00_-;_-[$Q-100A]* &quot;-&quot;??_-;_-@_-"/>
    <numFmt numFmtId="167" formatCode="#,##0_ ;\-#,##0\ "/>
    <numFmt numFmtId="168" formatCode="&quot;Q&quot;#,##0.00"/>
    <numFmt numFmtId="169" formatCode="_-* #,##0.00\ _€_-;\-* #,##0.00\ _€_-;_-* &quot;-&quot;??\ _€_-;_-@_-"/>
    <numFmt numFmtId="170" formatCode="_-&quot;Q&quot;* #,##0_-;\-&quot;Q&quot;* #,##0_-;_-&quot;Q&quot;* &quot;-&quot;??_-;_-@_-"/>
    <numFmt numFmtId="171" formatCode="0.0%"/>
    <numFmt numFmtId="172" formatCode="_-&quot;Q&quot;* #,##0_-;\-&quot;Q&quot;* #,##0_-;_-&quot;Q&quot;* &quot;-&quot;_-;_-@_-"/>
    <numFmt numFmtId="173" formatCode="#,##0;\(#,##0\);&quot;-&quot;"/>
  </numFmts>
  <fonts count="2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0"/>
      <name val="Arial Narrow"/>
      <family val="2"/>
    </font>
    <font>
      <sz val="12"/>
      <color theme="1"/>
      <name val="Calibri"/>
      <family val="2"/>
      <scheme val="minor"/>
    </font>
    <font>
      <b/>
      <sz val="10"/>
      <color theme="0"/>
      <name val="Arial Narrow"/>
      <family val="2"/>
    </font>
    <font>
      <b/>
      <sz val="11"/>
      <color theme="0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b/>
      <sz val="16"/>
      <color theme="1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theme="0"/>
      <name val="Arial Narrow"/>
      <family val="2"/>
    </font>
    <font>
      <b/>
      <sz val="14"/>
      <color theme="0"/>
      <name val="Arial Narrow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Arial Narrow"/>
      <family val="2"/>
    </font>
    <font>
      <sz val="10"/>
      <color theme="0"/>
      <name val="Arial Narrow"/>
      <family val="2"/>
    </font>
    <font>
      <sz val="10"/>
      <name val="Arial Narrow"/>
      <family val="2"/>
    </font>
    <font>
      <sz val="10"/>
      <color theme="1"/>
      <name val="Calibri"/>
      <family val="2"/>
      <scheme val="minor"/>
    </font>
    <font>
      <b/>
      <sz val="12"/>
      <name val="Arial Narrow"/>
      <family val="2"/>
    </font>
    <font>
      <b/>
      <sz val="11"/>
      <name val="Arial Narrow"/>
      <family val="2"/>
    </font>
    <font>
      <b/>
      <sz val="10"/>
      <name val="Arial Narrow"/>
      <family val="2"/>
    </font>
    <font>
      <b/>
      <sz val="14"/>
      <color rgb="FFFFFFFF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203764"/>
        <bgColor rgb="FF000000"/>
      </patternFill>
    </fill>
    <fill>
      <patternFill patternType="solid">
        <fgColor rgb="FF244062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203764"/>
        <bgColor indexed="64"/>
      </patternFill>
    </fill>
  </fills>
  <borders count="6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95B3D7"/>
      </left>
      <right style="thin">
        <color rgb="FF95B3D7"/>
      </right>
      <top style="thin">
        <color rgb="FF95B3D7"/>
      </top>
      <bottom style="thin">
        <color rgb="FF95B3D7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9" borderId="0" applyNumberFormat="0" applyBorder="0" applyAlignment="0" applyProtection="0"/>
  </cellStyleXfs>
  <cellXfs count="420">
    <xf numFmtId="0" fontId="0" fillId="0" borderId="0" xfId="0"/>
    <xf numFmtId="0" fontId="0" fillId="2" borderId="0" xfId="0" applyFill="1"/>
    <xf numFmtId="0" fontId="0" fillId="3" borderId="0" xfId="0" applyFill="1"/>
    <xf numFmtId="0" fontId="4" fillId="4" borderId="12" xfId="0" applyFont="1" applyFill="1" applyBorder="1" applyAlignment="1">
      <alignment horizontal="center" vertical="center"/>
    </xf>
    <xf numFmtId="166" fontId="4" fillId="4" borderId="12" xfId="0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vertical="center"/>
    </xf>
    <xf numFmtId="0" fontId="4" fillId="2" borderId="12" xfId="0" applyFont="1" applyFill="1" applyBorder="1" applyAlignment="1">
      <alignment horizontal="center" vertical="center"/>
    </xf>
    <xf numFmtId="166" fontId="4" fillId="2" borderId="13" xfId="0" applyNumberFormat="1" applyFont="1" applyFill="1" applyBorder="1" applyAlignment="1">
      <alignment horizontal="center" vertical="center"/>
    </xf>
    <xf numFmtId="166" fontId="4" fillId="2" borderId="14" xfId="0" applyNumberFormat="1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166" fontId="4" fillId="3" borderId="13" xfId="0" applyNumberFormat="1" applyFont="1" applyFill="1" applyBorder="1" applyAlignment="1">
      <alignment horizontal="center" vertical="center"/>
    </xf>
    <xf numFmtId="3" fontId="4" fillId="3" borderId="14" xfId="0" applyNumberFormat="1" applyFont="1" applyFill="1" applyBorder="1" applyAlignment="1">
      <alignment horizontal="center" vertical="center"/>
    </xf>
    <xf numFmtId="166" fontId="4" fillId="4" borderId="13" xfId="0" applyNumberFormat="1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166" fontId="4" fillId="3" borderId="14" xfId="0" applyNumberFormat="1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166" fontId="4" fillId="4" borderId="14" xfId="0" applyNumberFormat="1" applyFont="1" applyFill="1" applyBorder="1" applyAlignment="1">
      <alignment horizontal="center" vertical="center"/>
    </xf>
    <xf numFmtId="3" fontId="4" fillId="4" borderId="14" xfId="0" applyNumberFormat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12" xfId="0" applyBorder="1" applyAlignment="1">
      <alignment horizontal="left" vertical="center"/>
    </xf>
    <xf numFmtId="1" fontId="0" fillId="0" borderId="12" xfId="0" applyNumberFormat="1" applyBorder="1" applyAlignment="1">
      <alignment horizontal="center"/>
    </xf>
    <xf numFmtId="166" fontId="0" fillId="0" borderId="12" xfId="0" applyNumberFormat="1" applyBorder="1" applyAlignment="1">
      <alignment horizontal="center" vertical="center"/>
    </xf>
    <xf numFmtId="0" fontId="0" fillId="0" borderId="12" xfId="0" applyBorder="1"/>
    <xf numFmtId="1" fontId="0" fillId="2" borderId="12" xfId="0" applyNumberFormat="1" applyFill="1" applyBorder="1" applyAlignment="1">
      <alignment horizontal="center" vertical="center"/>
    </xf>
    <xf numFmtId="166" fontId="0" fillId="2" borderId="12" xfId="0" applyNumberFormat="1" applyFill="1" applyBorder="1" applyAlignment="1">
      <alignment horizontal="center" vertical="center"/>
    </xf>
    <xf numFmtId="0" fontId="0" fillId="2" borderId="12" xfId="0" applyFill="1" applyBorder="1"/>
    <xf numFmtId="1" fontId="0" fillId="3" borderId="12" xfId="0" applyNumberFormat="1" applyFill="1" applyBorder="1" applyAlignment="1">
      <alignment horizontal="center" vertical="center"/>
    </xf>
    <xf numFmtId="166" fontId="0" fillId="3" borderId="12" xfId="0" applyNumberFormat="1" applyFill="1" applyBorder="1" applyAlignment="1">
      <alignment horizontal="center" vertical="center"/>
    </xf>
    <xf numFmtId="0" fontId="0" fillId="3" borderId="12" xfId="0" applyFill="1" applyBorder="1" applyAlignment="1">
      <alignment horizontal="center"/>
    </xf>
    <xf numFmtId="1" fontId="5" fillId="3" borderId="12" xfId="0" applyNumberFormat="1" applyFont="1" applyFill="1" applyBorder="1" applyAlignment="1">
      <alignment horizontal="center" vertical="center"/>
    </xf>
    <xf numFmtId="164" fontId="5" fillId="3" borderId="12" xfId="1" applyFont="1" applyFill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  <xf numFmtId="166" fontId="5" fillId="0" borderId="12" xfId="0" applyNumberFormat="1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1" fontId="0" fillId="0" borderId="12" xfId="0" applyNumberFormat="1" applyBorder="1" applyAlignment="1">
      <alignment horizontal="center" vertical="center"/>
    </xf>
    <xf numFmtId="164" fontId="5" fillId="0" borderId="12" xfId="1" applyFont="1" applyBorder="1" applyAlignment="1">
      <alignment horizontal="center" vertical="center"/>
    </xf>
    <xf numFmtId="164" fontId="0" fillId="0" borderId="12" xfId="1" applyFont="1" applyBorder="1" applyAlignment="1">
      <alignment horizontal="center" vertical="center"/>
    </xf>
    <xf numFmtId="166" fontId="0" fillId="0" borderId="0" xfId="0" applyNumberFormat="1"/>
    <xf numFmtId="1" fontId="0" fillId="2" borderId="0" xfId="0" applyNumberFormat="1" applyFill="1" applyAlignment="1">
      <alignment horizontal="center"/>
    </xf>
    <xf numFmtId="166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" fontId="0" fillId="3" borderId="0" xfId="0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  <xf numFmtId="1" fontId="0" fillId="0" borderId="0" xfId="0" applyNumberFormat="1"/>
    <xf numFmtId="166" fontId="6" fillId="4" borderId="14" xfId="0" applyNumberFormat="1" applyFont="1" applyFill="1" applyBorder="1" applyAlignment="1">
      <alignment horizontal="center" vertical="center"/>
    </xf>
    <xf numFmtId="3" fontId="6" fillId="4" borderId="14" xfId="0" applyNumberFormat="1" applyFont="1" applyFill="1" applyBorder="1" applyAlignment="1">
      <alignment horizontal="center" vertical="center"/>
    </xf>
    <xf numFmtId="166" fontId="7" fillId="4" borderId="13" xfId="0" applyNumberFormat="1" applyFont="1" applyFill="1" applyBorder="1" applyAlignment="1">
      <alignment horizontal="center" vertical="center"/>
    </xf>
    <xf numFmtId="166" fontId="7" fillId="4" borderId="14" xfId="0" applyNumberFormat="1" applyFont="1" applyFill="1" applyBorder="1" applyAlignment="1">
      <alignment horizontal="center" vertical="center"/>
    </xf>
    <xf numFmtId="3" fontId="7" fillId="4" borderId="14" xfId="0" applyNumberFormat="1" applyFon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12" xfId="0" applyFill="1" applyBorder="1" applyAlignment="1">
      <alignment vertical="center"/>
    </xf>
    <xf numFmtId="0" fontId="0" fillId="5" borderId="12" xfId="0" applyFill="1" applyBorder="1" applyAlignment="1">
      <alignment horizontal="left" vertical="center"/>
    </xf>
    <xf numFmtId="166" fontId="0" fillId="5" borderId="12" xfId="0" applyNumberFormat="1" applyFill="1" applyBorder="1" applyAlignment="1">
      <alignment horizontal="center" vertical="center"/>
    </xf>
    <xf numFmtId="0" fontId="0" fillId="5" borderId="12" xfId="0" applyFill="1" applyBorder="1"/>
    <xf numFmtId="1" fontId="0" fillId="5" borderId="12" xfId="0" applyNumberFormat="1" applyFill="1" applyBorder="1" applyAlignment="1">
      <alignment horizontal="center" vertical="center"/>
    </xf>
    <xf numFmtId="166" fontId="0" fillId="5" borderId="12" xfId="0" applyNumberFormat="1" applyFill="1" applyBorder="1" applyAlignment="1">
      <alignment horizontal="center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8" fillId="0" borderId="0" xfId="0" applyFont="1" applyAlignment="1">
      <alignment horizontal="center" vertical="center"/>
    </xf>
    <xf numFmtId="3" fontId="4" fillId="4" borderId="11" xfId="0" applyNumberFormat="1" applyFont="1" applyFill="1" applyBorder="1" applyAlignment="1">
      <alignment horizontal="center" vertical="center"/>
    </xf>
    <xf numFmtId="3" fontId="4" fillId="4" borderId="12" xfId="0" applyNumberFormat="1" applyFont="1" applyFill="1" applyBorder="1" applyAlignment="1">
      <alignment horizontal="center" vertical="center"/>
    </xf>
    <xf numFmtId="3" fontId="4" fillId="4" borderId="16" xfId="0" applyNumberFormat="1" applyFont="1" applyFill="1" applyBorder="1" applyAlignment="1">
      <alignment horizontal="center" vertical="center"/>
    </xf>
    <xf numFmtId="166" fontId="4" fillId="4" borderId="19" xfId="0" applyNumberFormat="1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3" fontId="8" fillId="0" borderId="11" xfId="0" applyNumberFormat="1" applyFont="1" applyBorder="1" applyAlignment="1">
      <alignment horizontal="center" vertical="center"/>
    </xf>
    <xf numFmtId="3" fontId="8" fillId="0" borderId="15" xfId="0" applyNumberFormat="1" applyFont="1" applyBorder="1" applyAlignment="1">
      <alignment horizontal="center" vertical="center"/>
    </xf>
    <xf numFmtId="3" fontId="8" fillId="0" borderId="12" xfId="0" applyNumberFormat="1" applyFont="1" applyBorder="1" applyAlignment="1">
      <alignment horizontal="center" vertical="center"/>
    </xf>
    <xf numFmtId="3" fontId="8" fillId="0" borderId="22" xfId="0" applyNumberFormat="1" applyFont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3" fontId="8" fillId="2" borderId="11" xfId="0" applyNumberFormat="1" applyFont="1" applyFill="1" applyBorder="1" applyAlignment="1">
      <alignment horizontal="center" vertical="center"/>
    </xf>
    <xf numFmtId="3" fontId="8" fillId="2" borderId="12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167" fontId="9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166" fontId="8" fillId="0" borderId="0" xfId="0" applyNumberFormat="1" applyFont="1" applyAlignment="1">
      <alignment horizontal="center" vertical="center"/>
    </xf>
    <xf numFmtId="167" fontId="8" fillId="0" borderId="0" xfId="0" applyNumberFormat="1" applyFont="1" applyAlignment="1">
      <alignment horizontal="center" vertical="center"/>
    </xf>
    <xf numFmtId="164" fontId="8" fillId="0" borderId="0" xfId="1" applyFont="1" applyFill="1" applyAlignment="1">
      <alignment horizontal="center" vertical="center"/>
    </xf>
    <xf numFmtId="0" fontId="11" fillId="0" borderId="0" xfId="0" applyFont="1"/>
    <xf numFmtId="0" fontId="11" fillId="0" borderId="11" xfId="0" applyFont="1" applyBorder="1" applyAlignment="1">
      <alignment horizontal="center" vertical="center"/>
    </xf>
    <xf numFmtId="166" fontId="11" fillId="0" borderId="12" xfId="0" applyNumberFormat="1" applyFont="1" applyBorder="1"/>
    <xf numFmtId="0" fontId="11" fillId="0" borderId="12" xfId="0" applyFont="1" applyBorder="1" applyAlignment="1">
      <alignment horizontal="center"/>
    </xf>
    <xf numFmtId="168" fontId="11" fillId="0" borderId="12" xfId="0" applyNumberFormat="1" applyFont="1" applyBorder="1"/>
    <xf numFmtId="168" fontId="11" fillId="0" borderId="12" xfId="0" applyNumberFormat="1" applyFont="1" applyBorder="1" applyAlignment="1">
      <alignment horizontal="right"/>
    </xf>
    <xf numFmtId="0" fontId="11" fillId="0" borderId="12" xfId="0" applyFont="1" applyBorder="1"/>
    <xf numFmtId="166" fontId="11" fillId="0" borderId="13" xfId="0" applyNumberFormat="1" applyFont="1" applyBorder="1"/>
    <xf numFmtId="0" fontId="11" fillId="0" borderId="12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16" xfId="0" applyFont="1" applyBorder="1" applyAlignment="1">
      <alignment horizontal="center" vertical="center"/>
    </xf>
    <xf numFmtId="49" fontId="11" fillId="0" borderId="32" xfId="0" applyNumberFormat="1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166" fontId="12" fillId="0" borderId="32" xfId="0" applyNumberFormat="1" applyFont="1" applyBorder="1" applyAlignment="1">
      <alignment horizontal="right"/>
    </xf>
    <xf numFmtId="166" fontId="12" fillId="0" borderId="33" xfId="0" applyNumberFormat="1" applyFont="1" applyBorder="1" applyAlignment="1">
      <alignment horizontal="right"/>
    </xf>
    <xf numFmtId="49" fontId="13" fillId="4" borderId="2" xfId="0" applyNumberFormat="1" applyFont="1" applyFill="1" applyBorder="1" applyAlignment="1">
      <alignment horizontal="center"/>
    </xf>
    <xf numFmtId="168" fontId="7" fillId="4" borderId="2" xfId="0" applyNumberFormat="1" applyFont="1" applyFill="1" applyBorder="1"/>
    <xf numFmtId="168" fontId="7" fillId="4" borderId="2" xfId="0" applyNumberFormat="1" applyFont="1" applyFill="1" applyBorder="1" applyAlignment="1">
      <alignment horizontal="right"/>
    </xf>
    <xf numFmtId="0" fontId="7" fillId="4" borderId="12" xfId="0" applyFont="1" applyFill="1" applyBorder="1" applyAlignment="1">
      <alignment horizontal="center" vertical="center"/>
    </xf>
    <xf numFmtId="166" fontId="7" fillId="4" borderId="12" xfId="0" applyNumberFormat="1" applyFont="1" applyFill="1" applyBorder="1"/>
    <xf numFmtId="49" fontId="13" fillId="4" borderId="12" xfId="0" applyNumberFormat="1" applyFont="1" applyFill="1" applyBorder="1" applyAlignment="1">
      <alignment horizontal="center"/>
    </xf>
    <xf numFmtId="168" fontId="7" fillId="4" borderId="12" xfId="0" applyNumberFormat="1" applyFont="1" applyFill="1" applyBorder="1"/>
    <xf numFmtId="168" fontId="7" fillId="4" borderId="12" xfId="0" applyNumberFormat="1" applyFont="1" applyFill="1" applyBorder="1" applyAlignment="1">
      <alignment horizontal="right"/>
    </xf>
    <xf numFmtId="0" fontId="7" fillId="4" borderId="12" xfId="0" applyFont="1" applyFill="1" applyBorder="1" applyAlignment="1">
      <alignment horizontal="center"/>
    </xf>
    <xf numFmtId="0" fontId="7" fillId="4" borderId="26" xfId="0" applyFont="1" applyFill="1" applyBorder="1" applyAlignment="1">
      <alignment horizontal="center" vertical="center"/>
    </xf>
    <xf numFmtId="166" fontId="7" fillId="4" borderId="26" xfId="0" applyNumberFormat="1" applyFont="1" applyFill="1" applyBorder="1"/>
    <xf numFmtId="0" fontId="7" fillId="4" borderId="26" xfId="0" applyFont="1" applyFill="1" applyBorder="1" applyAlignment="1">
      <alignment horizontal="center"/>
    </xf>
    <xf numFmtId="168" fontId="7" fillId="4" borderId="26" xfId="0" applyNumberFormat="1" applyFont="1" applyFill="1" applyBorder="1"/>
    <xf numFmtId="168" fontId="7" fillId="4" borderId="26" xfId="0" applyNumberFormat="1" applyFont="1" applyFill="1" applyBorder="1" applyAlignment="1">
      <alignment horizontal="right"/>
    </xf>
    <xf numFmtId="0" fontId="11" fillId="0" borderId="0" xfId="0" applyFont="1" applyAlignment="1">
      <alignment horizontal="center" vertical="center"/>
    </xf>
    <xf numFmtId="168" fontId="11" fillId="0" borderId="0" xfId="0" applyNumberFormat="1" applyFont="1"/>
    <xf numFmtId="166" fontId="11" fillId="0" borderId="0" xfId="0" applyNumberFormat="1" applyFont="1"/>
    <xf numFmtId="0" fontId="10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5" fillId="6" borderId="12" xfId="0" applyFont="1" applyFill="1" applyBorder="1"/>
    <xf numFmtId="0" fontId="15" fillId="6" borderId="14" xfId="0" applyFont="1" applyFill="1" applyBorder="1"/>
    <xf numFmtId="0" fontId="15" fillId="7" borderId="12" xfId="0" applyFont="1" applyFill="1" applyBorder="1"/>
    <xf numFmtId="0" fontId="15" fillId="7" borderId="12" xfId="0" applyFont="1" applyFill="1" applyBorder="1" applyAlignment="1">
      <alignment horizontal="center"/>
    </xf>
    <xf numFmtId="0" fontId="15" fillId="8" borderId="40" xfId="0" applyFont="1" applyFill="1" applyBorder="1" applyAlignment="1">
      <alignment horizontal="center" vertical="center"/>
    </xf>
    <xf numFmtId="0" fontId="15" fillId="8" borderId="41" xfId="0" applyFont="1" applyFill="1" applyBorder="1" applyAlignment="1">
      <alignment horizontal="center" vertical="center"/>
    </xf>
    <xf numFmtId="49" fontId="15" fillId="8" borderId="41" xfId="0" applyNumberFormat="1" applyFont="1" applyFill="1" applyBorder="1" applyAlignment="1">
      <alignment horizontal="center" vertical="center" wrapText="1"/>
    </xf>
    <xf numFmtId="3" fontId="15" fillId="8" borderId="25" xfId="0" applyNumberFormat="1" applyFont="1" applyFill="1" applyBorder="1" applyAlignment="1">
      <alignment horizontal="center" vertical="center" wrapText="1"/>
    </xf>
    <xf numFmtId="3" fontId="15" fillId="8" borderId="42" xfId="0" applyNumberFormat="1" applyFont="1" applyFill="1" applyBorder="1" applyAlignment="1">
      <alignment horizontal="center" vertical="center" wrapText="1"/>
    </xf>
    <xf numFmtId="3" fontId="15" fillId="8" borderId="43" xfId="0" applyNumberFormat="1" applyFont="1" applyFill="1" applyBorder="1" applyAlignment="1">
      <alignment horizontal="center" vertical="center" wrapText="1"/>
    </xf>
    <xf numFmtId="3" fontId="15" fillId="8" borderId="44" xfId="0" applyNumberFormat="1" applyFont="1" applyFill="1" applyBorder="1" applyAlignment="1">
      <alignment horizontal="center" vertical="center" wrapText="1"/>
    </xf>
    <xf numFmtId="3" fontId="15" fillId="8" borderId="45" xfId="0" applyNumberFormat="1" applyFont="1" applyFill="1" applyBorder="1" applyAlignment="1">
      <alignment horizontal="center" vertical="center" wrapText="1"/>
    </xf>
    <xf numFmtId="3" fontId="15" fillId="8" borderId="29" xfId="0" applyNumberFormat="1" applyFont="1" applyFill="1" applyBorder="1" applyAlignment="1">
      <alignment horizontal="center" vertical="center" wrapText="1"/>
    </xf>
    <xf numFmtId="4" fontId="15" fillId="8" borderId="46" xfId="0" applyNumberFormat="1" applyFont="1" applyFill="1" applyBorder="1" applyAlignment="1">
      <alignment horizontal="center" vertical="center" wrapText="1"/>
    </xf>
    <xf numFmtId="0" fontId="15" fillId="0" borderId="0" xfId="0" applyFont="1"/>
    <xf numFmtId="0" fontId="0" fillId="0" borderId="47" xfId="0" applyBorder="1" applyAlignment="1">
      <alignment horizontal="center" vertical="center"/>
    </xf>
    <xf numFmtId="0" fontId="0" fillId="0" borderId="21" xfId="0" applyBorder="1"/>
    <xf numFmtId="0" fontId="0" fillId="0" borderId="21" xfId="0" applyBorder="1" applyAlignment="1">
      <alignment horizontal="center" vertical="center"/>
    </xf>
    <xf numFmtId="3" fontId="0" fillId="0" borderId="21" xfId="0" applyNumberFormat="1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3" fontId="0" fillId="0" borderId="47" xfId="0" applyNumberFormat="1" applyBorder="1" applyAlignment="1">
      <alignment horizontal="center" vertical="center"/>
    </xf>
    <xf numFmtId="3" fontId="0" fillId="0" borderId="23" xfId="0" applyNumberFormat="1" applyBorder="1" applyAlignment="1">
      <alignment horizontal="center" vertical="center"/>
    </xf>
    <xf numFmtId="3" fontId="0" fillId="0" borderId="48" xfId="0" applyNumberFormat="1" applyBorder="1" applyAlignment="1">
      <alignment horizontal="center" vertical="center"/>
    </xf>
    <xf numFmtId="3" fontId="0" fillId="0" borderId="49" xfId="3" applyNumberFormat="1" applyFont="1" applyFill="1" applyBorder="1" applyAlignment="1">
      <alignment horizontal="center" vertical="center"/>
    </xf>
    <xf numFmtId="3" fontId="0" fillId="0" borderId="9" xfId="3" applyNumberFormat="1" applyFont="1" applyFill="1" applyBorder="1" applyAlignment="1">
      <alignment horizontal="center" vertical="center"/>
    </xf>
    <xf numFmtId="3" fontId="0" fillId="0" borderId="21" xfId="3" applyNumberFormat="1" applyFont="1" applyFill="1" applyBorder="1" applyAlignment="1">
      <alignment horizontal="center" vertical="center"/>
    </xf>
    <xf numFmtId="170" fontId="0" fillId="0" borderId="23" xfId="1" applyNumberFormat="1" applyFont="1" applyFill="1" applyBorder="1" applyAlignment="1">
      <alignment horizontal="right" vertical="center"/>
    </xf>
    <xf numFmtId="0" fontId="0" fillId="0" borderId="11" xfId="0" applyBorder="1" applyAlignment="1">
      <alignment horizontal="center" vertical="center"/>
    </xf>
    <xf numFmtId="3" fontId="0" fillId="0" borderId="12" xfId="3" applyNumberFormat="1" applyFont="1" applyFill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16" xfId="0" applyBorder="1"/>
    <xf numFmtId="0" fontId="0" fillId="0" borderId="16" xfId="0" applyBorder="1" applyAlignment="1">
      <alignment horizontal="center" vertical="center"/>
    </xf>
    <xf numFmtId="3" fontId="0" fillId="0" borderId="51" xfId="0" applyNumberFormat="1" applyBorder="1" applyAlignment="1">
      <alignment horizontal="center" vertical="center"/>
    </xf>
    <xf numFmtId="3" fontId="0" fillId="0" borderId="52" xfId="0" applyNumberFormat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3" fontId="0" fillId="0" borderId="53" xfId="3" applyNumberFormat="1" applyFont="1" applyFill="1" applyBorder="1" applyAlignment="1">
      <alignment horizontal="center" vertical="center"/>
    </xf>
    <xf numFmtId="3" fontId="0" fillId="0" borderId="16" xfId="3" applyNumberFormat="1" applyFont="1" applyFill="1" applyBorder="1" applyAlignment="1">
      <alignment horizontal="center" vertical="center"/>
    </xf>
    <xf numFmtId="170" fontId="0" fillId="0" borderId="51" xfId="1" applyNumberFormat="1" applyFont="1" applyFill="1" applyBorder="1" applyAlignment="1">
      <alignment horizontal="right" vertical="center"/>
    </xf>
    <xf numFmtId="0" fontId="15" fillId="8" borderId="41" xfId="0" applyFont="1" applyFill="1" applyBorder="1" applyAlignment="1">
      <alignment horizontal="center"/>
    </xf>
    <xf numFmtId="3" fontId="15" fillId="8" borderId="54" xfId="0" applyNumberFormat="1" applyFont="1" applyFill="1" applyBorder="1" applyAlignment="1">
      <alignment horizontal="center"/>
    </xf>
    <xf numFmtId="3" fontId="15" fillId="8" borderId="40" xfId="0" applyNumberFormat="1" applyFont="1" applyFill="1" applyBorder="1" applyAlignment="1">
      <alignment horizontal="center"/>
    </xf>
    <xf numFmtId="3" fontId="15" fillId="8" borderId="46" xfId="0" applyNumberFormat="1" applyFont="1" applyFill="1" applyBorder="1" applyAlignment="1">
      <alignment horizontal="center"/>
    </xf>
    <xf numFmtId="3" fontId="15" fillId="8" borderId="41" xfId="0" applyNumberFormat="1" applyFont="1" applyFill="1" applyBorder="1" applyAlignment="1">
      <alignment horizontal="center"/>
    </xf>
    <xf numFmtId="3" fontId="15" fillId="8" borderId="55" xfId="0" applyNumberFormat="1" applyFont="1" applyFill="1" applyBorder="1" applyAlignment="1">
      <alignment horizontal="center"/>
    </xf>
    <xf numFmtId="170" fontId="15" fillId="8" borderId="46" xfId="1" applyNumberFormat="1" applyFont="1" applyFill="1" applyBorder="1" applyAlignment="1">
      <alignment horizontal="right"/>
    </xf>
    <xf numFmtId="164" fontId="16" fillId="0" borderId="0" xfId="1" applyFont="1" applyFill="1" applyBorder="1" applyAlignment="1">
      <alignment horizontal="center"/>
    </xf>
    <xf numFmtId="4" fontId="16" fillId="0" borderId="0" xfId="0" applyNumberFormat="1" applyFont="1" applyAlignment="1">
      <alignment horizontal="right"/>
    </xf>
    <xf numFmtId="3" fontId="15" fillId="0" borderId="0" xfId="0" applyNumberFormat="1" applyFont="1" applyAlignment="1">
      <alignment horizontal="center"/>
    </xf>
    <xf numFmtId="4" fontId="15" fillId="0" borderId="0" xfId="0" applyNumberFormat="1" applyFont="1" applyAlignment="1">
      <alignment horizontal="right"/>
    </xf>
    <xf numFmtId="49" fontId="0" fillId="0" borderId="0" xfId="0" applyNumberFormat="1" applyAlignment="1">
      <alignment horizontal="center"/>
    </xf>
    <xf numFmtId="49" fontId="0" fillId="0" borderId="0" xfId="0" applyNumberFormat="1"/>
    <xf numFmtId="167" fontId="15" fillId="8" borderId="12" xfId="2" applyNumberFormat="1" applyFont="1" applyFill="1" applyBorder="1" applyAlignment="1">
      <alignment horizontal="left" wrapText="1"/>
    </xf>
    <xf numFmtId="170" fontId="0" fillId="0" borderId="12" xfId="1" applyNumberFormat="1" applyFont="1" applyBorder="1" applyAlignment="1">
      <alignment horizontal="right"/>
    </xf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15" fillId="8" borderId="12" xfId="0" applyNumberFormat="1" applyFont="1" applyFill="1" applyBorder="1" applyAlignment="1">
      <alignment horizontal="left" wrapText="1"/>
    </xf>
    <xf numFmtId="170" fontId="15" fillId="0" borderId="12" xfId="1" applyNumberFormat="1" applyFont="1" applyBorder="1" applyAlignment="1">
      <alignment horizontal="right"/>
    </xf>
    <xf numFmtId="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4" fillId="0" borderId="0" xfId="0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166" fontId="12" fillId="0" borderId="0" xfId="0" applyNumberFormat="1" applyFont="1"/>
    <xf numFmtId="166" fontId="7" fillId="0" borderId="0" xfId="0" applyNumberFormat="1" applyFont="1"/>
    <xf numFmtId="164" fontId="0" fillId="0" borderId="0" xfId="1" applyFont="1"/>
    <xf numFmtId="0" fontId="17" fillId="4" borderId="34" xfId="0" applyFont="1" applyFill="1" applyBorder="1" applyAlignment="1">
      <alignment horizontal="center" vertical="center"/>
    </xf>
    <xf numFmtId="0" fontId="17" fillId="4" borderId="56" xfId="0" applyFont="1" applyFill="1" applyBorder="1" applyAlignment="1">
      <alignment horizontal="center" vertical="center"/>
    </xf>
    <xf numFmtId="164" fontId="17" fillId="4" borderId="36" xfId="1" applyFont="1" applyFill="1" applyBorder="1" applyAlignment="1">
      <alignment vertical="center" wrapText="1"/>
    </xf>
    <xf numFmtId="167" fontId="17" fillId="4" borderId="0" xfId="1" applyNumberFormat="1" applyFont="1" applyFill="1" applyBorder="1" applyAlignment="1">
      <alignment horizontal="center" vertical="center" wrapText="1"/>
    </xf>
    <xf numFmtId="167" fontId="17" fillId="4" borderId="0" xfId="1" applyNumberFormat="1" applyFont="1" applyFill="1" applyBorder="1" applyAlignment="1">
      <alignment vertical="center" wrapText="1"/>
    </xf>
    <xf numFmtId="167" fontId="17" fillId="4" borderId="57" xfId="1" applyNumberFormat="1" applyFont="1" applyFill="1" applyBorder="1" applyAlignment="1">
      <alignment vertical="center" wrapText="1"/>
    </xf>
    <xf numFmtId="1" fontId="17" fillId="4" borderId="36" xfId="1" applyNumberFormat="1" applyFont="1" applyFill="1" applyBorder="1" applyAlignment="1">
      <alignment horizontal="center" vertical="center"/>
    </xf>
    <xf numFmtId="164" fontId="17" fillId="4" borderId="57" xfId="1" applyFont="1" applyFill="1" applyBorder="1" applyAlignment="1">
      <alignment horizontal="center" vertical="center"/>
    </xf>
    <xf numFmtId="164" fontId="20" fillId="4" borderId="36" xfId="1" applyFont="1" applyFill="1" applyBorder="1" applyAlignment="1">
      <alignment horizontal="center" vertical="center" wrapText="1"/>
    </xf>
    <xf numFmtId="167" fontId="20" fillId="4" borderId="0" xfId="1" applyNumberFormat="1" applyFont="1" applyFill="1" applyBorder="1" applyAlignment="1">
      <alignment horizontal="center" vertical="center" wrapText="1"/>
    </xf>
    <xf numFmtId="167" fontId="20" fillId="4" borderId="0" xfId="1" applyNumberFormat="1" applyFont="1" applyFill="1" applyBorder="1" applyAlignment="1">
      <alignment horizontal="center" vertical="center"/>
    </xf>
    <xf numFmtId="164" fontId="19" fillId="10" borderId="36" xfId="0" applyNumberFormat="1" applyFont="1" applyFill="1" applyBorder="1" applyAlignment="1">
      <alignment horizontal="center" vertical="center" wrapText="1"/>
    </xf>
    <xf numFmtId="164" fontId="17" fillId="4" borderId="0" xfId="1" applyFont="1" applyFill="1" applyBorder="1" applyAlignment="1">
      <alignment horizontal="center" vertical="center" wrapText="1"/>
    </xf>
    <xf numFmtId="164" fontId="19" fillId="10" borderId="57" xfId="0" applyNumberFormat="1" applyFont="1" applyFill="1" applyBorder="1" applyAlignment="1">
      <alignment vertical="center" wrapText="1"/>
    </xf>
    <xf numFmtId="0" fontId="1" fillId="9" borderId="36" xfId="5" applyBorder="1"/>
    <xf numFmtId="0" fontId="1" fillId="9" borderId="57" xfId="5" applyBorder="1"/>
    <xf numFmtId="164" fontId="1" fillId="9" borderId="36" xfId="5" applyNumberFormat="1" applyBorder="1"/>
    <xf numFmtId="164" fontId="1" fillId="9" borderId="0" xfId="5" applyNumberFormat="1" applyBorder="1"/>
    <xf numFmtId="164" fontId="1" fillId="9" borderId="57" xfId="5" applyNumberFormat="1" applyBorder="1"/>
    <xf numFmtId="10" fontId="2" fillId="9" borderId="0" xfId="4" applyNumberFormat="1" applyFill="1" applyBorder="1"/>
    <xf numFmtId="3" fontId="15" fillId="9" borderId="36" xfId="5" applyNumberFormat="1" applyFont="1" applyBorder="1"/>
    <xf numFmtId="164" fontId="15" fillId="9" borderId="57" xfId="5" applyNumberFormat="1" applyFont="1" applyBorder="1"/>
    <xf numFmtId="3" fontId="1" fillId="9" borderId="36" xfId="5" applyNumberFormat="1" applyBorder="1"/>
    <xf numFmtId="167" fontId="15" fillId="9" borderId="0" xfId="5" applyNumberFormat="1" applyFont="1" applyBorder="1"/>
    <xf numFmtId="10" fontId="1" fillId="9" borderId="0" xfId="5" applyNumberFormat="1" applyBorder="1"/>
    <xf numFmtId="164" fontId="0" fillId="9" borderId="36" xfId="5" applyNumberFormat="1" applyFont="1" applyBorder="1"/>
    <xf numFmtId="164" fontId="15" fillId="9" borderId="0" xfId="5" applyNumberFormat="1" applyFont="1" applyBorder="1"/>
    <xf numFmtId="10" fontId="1" fillId="9" borderId="57" xfId="5" applyNumberFormat="1" applyBorder="1"/>
    <xf numFmtId="164" fontId="15" fillId="9" borderId="37" xfId="1" applyFont="1" applyFill="1" applyBorder="1"/>
    <xf numFmtId="3" fontId="1" fillId="9" borderId="0" xfId="5" applyNumberFormat="1" applyBorder="1"/>
    <xf numFmtId="10" fontId="1" fillId="9" borderId="37" xfId="5" applyNumberFormat="1" applyBorder="1"/>
    <xf numFmtId="3" fontId="15" fillId="9" borderId="0" xfId="5" applyNumberFormat="1" applyFont="1" applyBorder="1"/>
    <xf numFmtId="0" fontId="0" fillId="9" borderId="36" xfId="5" applyFont="1" applyBorder="1"/>
    <xf numFmtId="164" fontId="15" fillId="9" borderId="0" xfId="1" applyFont="1" applyFill="1" applyBorder="1"/>
    <xf numFmtId="0" fontId="1" fillId="9" borderId="28" xfId="5" applyBorder="1"/>
    <xf numFmtId="0" fontId="1" fillId="9" borderId="45" xfId="5" applyBorder="1"/>
    <xf numFmtId="164" fontId="1" fillId="9" borderId="28" xfId="5" applyNumberFormat="1" applyBorder="1"/>
    <xf numFmtId="164" fontId="1" fillId="9" borderId="27" xfId="5" applyNumberFormat="1" applyBorder="1"/>
    <xf numFmtId="164" fontId="1" fillId="9" borderId="45" xfId="5" applyNumberFormat="1" applyBorder="1"/>
    <xf numFmtId="3" fontId="15" fillId="9" borderId="28" xfId="5" applyNumberFormat="1" applyFont="1" applyBorder="1"/>
    <xf numFmtId="164" fontId="15" fillId="9" borderId="45" xfId="1" applyFont="1" applyFill="1" applyBorder="1"/>
    <xf numFmtId="3" fontId="1" fillId="9" borderId="28" xfId="5" applyNumberFormat="1" applyBorder="1"/>
    <xf numFmtId="3" fontId="15" fillId="9" borderId="27" xfId="5" applyNumberFormat="1" applyFont="1" applyBorder="1"/>
    <xf numFmtId="10" fontId="1" fillId="9" borderId="39" xfId="5" applyNumberFormat="1" applyBorder="1"/>
    <xf numFmtId="164" fontId="15" fillId="9" borderId="27" xfId="5" applyNumberFormat="1" applyFont="1" applyBorder="1"/>
    <xf numFmtId="10" fontId="1" fillId="9" borderId="45" xfId="5" applyNumberFormat="1" applyBorder="1"/>
    <xf numFmtId="164" fontId="0" fillId="0" borderId="0" xfId="1" applyFont="1" applyBorder="1"/>
    <xf numFmtId="0" fontId="8" fillId="0" borderId="16" xfId="0" applyFont="1" applyBorder="1" applyAlignment="1">
      <alignment vertical="center"/>
    </xf>
    <xf numFmtId="0" fontId="8" fillId="0" borderId="21" xfId="0" applyFont="1" applyBorder="1" applyAlignment="1">
      <alignment vertical="center"/>
    </xf>
    <xf numFmtId="0" fontId="8" fillId="2" borderId="16" xfId="0" applyFont="1" applyFill="1" applyBorder="1" applyAlignment="1">
      <alignment vertical="center"/>
    </xf>
    <xf numFmtId="3" fontId="8" fillId="2" borderId="15" xfId="0" applyNumberFormat="1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vertical="center"/>
    </xf>
    <xf numFmtId="0" fontId="15" fillId="6" borderId="33" xfId="0" applyFont="1" applyFill="1" applyBorder="1" applyAlignment="1">
      <alignment horizontal="center" vertical="center"/>
    </xf>
    <xf numFmtId="0" fontId="15" fillId="6" borderId="32" xfId="0" applyFont="1" applyFill="1" applyBorder="1" applyAlignment="1">
      <alignment horizontal="center" vertical="center"/>
    </xf>
    <xf numFmtId="0" fontId="15" fillId="7" borderId="15" xfId="0" applyFont="1" applyFill="1" applyBorder="1"/>
    <xf numFmtId="3" fontId="15" fillId="8" borderId="27" xfId="0" applyNumberFormat="1" applyFont="1" applyFill="1" applyBorder="1" applyAlignment="1">
      <alignment horizontal="center" vertical="center" wrapText="1"/>
    </xf>
    <xf numFmtId="3" fontId="15" fillId="8" borderId="31" xfId="0" applyNumberFormat="1" applyFont="1" applyFill="1" applyBorder="1" applyAlignment="1">
      <alignment horizontal="center" vertical="center" wrapText="1"/>
    </xf>
    <xf numFmtId="3" fontId="0" fillId="0" borderId="10" xfId="3" applyNumberFormat="1" applyFont="1" applyFill="1" applyBorder="1" applyAlignment="1">
      <alignment horizontal="center" vertical="center"/>
    </xf>
    <xf numFmtId="3" fontId="0" fillId="0" borderId="58" xfId="3" applyNumberFormat="1" applyFont="1" applyFill="1" applyBorder="1" applyAlignment="1">
      <alignment horizontal="center" vertical="center"/>
    </xf>
    <xf numFmtId="3" fontId="0" fillId="0" borderId="38" xfId="3" applyNumberFormat="1" applyFont="1" applyFill="1" applyBorder="1" applyAlignment="1">
      <alignment horizontal="center" vertical="center"/>
    </xf>
    <xf numFmtId="3" fontId="0" fillId="0" borderId="59" xfId="3" applyNumberFormat="1" applyFont="1" applyFill="1" applyBorder="1" applyAlignment="1">
      <alignment horizontal="center" vertical="center"/>
    </xf>
    <xf numFmtId="3" fontId="0" fillId="0" borderId="24" xfId="3" applyNumberFormat="1" applyFont="1" applyFill="1" applyBorder="1" applyAlignment="1">
      <alignment horizontal="center" vertical="center"/>
    </xf>
    <xf numFmtId="3" fontId="0" fillId="0" borderId="60" xfId="3" applyNumberFormat="1" applyFont="1" applyFill="1" applyBorder="1" applyAlignment="1">
      <alignment horizontal="center" vertical="center"/>
    </xf>
    <xf numFmtId="3" fontId="0" fillId="0" borderId="0" xfId="3" applyNumberFormat="1" applyFont="1" applyFill="1" applyBorder="1" applyAlignment="1">
      <alignment horizontal="center" vertical="center"/>
    </xf>
    <xf numFmtId="3" fontId="15" fillId="8" borderId="29" xfId="0" applyNumberFormat="1" applyFont="1" applyFill="1" applyBorder="1" applyAlignment="1">
      <alignment horizontal="center"/>
    </xf>
    <xf numFmtId="3" fontId="15" fillId="8" borderId="32" xfId="0" applyNumberFormat="1" applyFont="1" applyFill="1" applyBorder="1" applyAlignment="1">
      <alignment horizontal="center"/>
    </xf>
    <xf numFmtId="168" fontId="11" fillId="0" borderId="0" xfId="0" applyNumberFormat="1" applyFont="1" applyAlignment="1">
      <alignment horizontal="center" vertical="center"/>
    </xf>
    <xf numFmtId="0" fontId="4" fillId="4" borderId="50" xfId="0" applyFont="1" applyFill="1" applyBorder="1" applyAlignment="1">
      <alignment horizontal="center" vertical="center"/>
    </xf>
    <xf numFmtId="166" fontId="4" fillId="4" borderId="16" xfId="0" applyNumberFormat="1" applyFont="1" applyFill="1" applyBorder="1" applyAlignment="1">
      <alignment horizontal="center" vertical="center"/>
    </xf>
    <xf numFmtId="168" fontId="4" fillId="4" borderId="16" xfId="0" applyNumberFormat="1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166" fontId="11" fillId="0" borderId="2" xfId="0" applyNumberFormat="1" applyFont="1" applyBorder="1"/>
    <xf numFmtId="0" fontId="11" fillId="0" borderId="2" xfId="0" applyFont="1" applyBorder="1" applyAlignment="1">
      <alignment horizontal="center"/>
    </xf>
    <xf numFmtId="168" fontId="11" fillId="0" borderId="2" xfId="0" applyNumberFormat="1" applyFont="1" applyBorder="1"/>
    <xf numFmtId="168" fontId="11" fillId="0" borderId="2" xfId="0" applyNumberFormat="1" applyFont="1" applyBorder="1" applyAlignment="1">
      <alignment horizontal="right"/>
    </xf>
    <xf numFmtId="0" fontId="11" fillId="0" borderId="2" xfId="0" applyFont="1" applyBorder="1"/>
    <xf numFmtId="166" fontId="11" fillId="0" borderId="7" xfId="0" applyNumberFormat="1" applyFont="1" applyBorder="1"/>
    <xf numFmtId="166" fontId="11" fillId="0" borderId="16" xfId="0" applyNumberFormat="1" applyFont="1" applyBorder="1"/>
    <xf numFmtId="0" fontId="11" fillId="0" borderId="16" xfId="0" applyFont="1" applyBorder="1" applyAlignment="1">
      <alignment horizontal="center"/>
    </xf>
    <xf numFmtId="168" fontId="11" fillId="0" borderId="16" xfId="0" applyNumberFormat="1" applyFont="1" applyBorder="1"/>
    <xf numFmtId="168" fontId="11" fillId="0" borderId="16" xfId="0" applyNumberFormat="1" applyFont="1" applyBorder="1" applyAlignment="1">
      <alignment horizontal="right"/>
    </xf>
    <xf numFmtId="0" fontId="11" fillId="0" borderId="16" xfId="0" applyFont="1" applyBorder="1"/>
    <xf numFmtId="166" fontId="11" fillId="0" borderId="19" xfId="0" applyNumberFormat="1" applyFont="1" applyBorder="1"/>
    <xf numFmtId="0" fontId="12" fillId="0" borderId="41" xfId="0" applyFont="1" applyBorder="1" applyAlignment="1">
      <alignment horizontal="right"/>
    </xf>
    <xf numFmtId="166" fontId="12" fillId="0" borderId="41" xfId="0" applyNumberFormat="1" applyFont="1" applyBorder="1" applyAlignment="1">
      <alignment horizontal="right"/>
    </xf>
    <xf numFmtId="166" fontId="12" fillId="0" borderId="46" xfId="0" applyNumberFormat="1" applyFont="1" applyBorder="1"/>
    <xf numFmtId="49" fontId="7" fillId="4" borderId="2" xfId="0" applyNumberFormat="1" applyFont="1" applyFill="1" applyBorder="1" applyAlignment="1">
      <alignment horizontal="center"/>
    </xf>
    <xf numFmtId="49" fontId="7" fillId="4" borderId="2" xfId="0" applyNumberFormat="1" applyFont="1" applyFill="1" applyBorder="1" applyAlignment="1">
      <alignment horizontal="center" vertical="center"/>
    </xf>
    <xf numFmtId="166" fontId="7" fillId="4" borderId="7" xfId="0" applyNumberFormat="1" applyFont="1" applyFill="1" applyBorder="1"/>
    <xf numFmtId="49" fontId="13" fillId="4" borderId="12" xfId="0" applyNumberFormat="1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vertical="center" wrapText="1"/>
    </xf>
    <xf numFmtId="168" fontId="7" fillId="4" borderId="12" xfId="0" applyNumberFormat="1" applyFont="1" applyFill="1" applyBorder="1" applyAlignment="1">
      <alignment horizontal="center" vertical="center"/>
    </xf>
    <xf numFmtId="0" fontId="21" fillId="0" borderId="0" xfId="0" applyFont="1"/>
    <xf numFmtId="166" fontId="22" fillId="5" borderId="0" xfId="0" applyNumberFormat="1" applyFont="1" applyFill="1"/>
    <xf numFmtId="0" fontId="23" fillId="5" borderId="0" xfId="0" applyFont="1" applyFill="1"/>
    <xf numFmtId="0" fontId="22" fillId="5" borderId="0" xfId="0" applyFont="1" applyFill="1"/>
    <xf numFmtId="0" fontId="22" fillId="0" borderId="0" xfId="0" applyFont="1"/>
    <xf numFmtId="0" fontId="13" fillId="0" borderId="0" xfId="0" applyFont="1"/>
    <xf numFmtId="164" fontId="21" fillId="0" borderId="0" xfId="0" applyNumberFormat="1" applyFont="1"/>
    <xf numFmtId="166" fontId="23" fillId="5" borderId="0" xfId="0" applyNumberFormat="1" applyFont="1" applyFill="1"/>
    <xf numFmtId="2" fontId="11" fillId="0" borderId="0" xfId="0" applyNumberFormat="1" applyFont="1"/>
    <xf numFmtId="164" fontId="23" fillId="5" borderId="0" xfId="1" applyFont="1" applyFill="1"/>
    <xf numFmtId="166" fontId="22" fillId="0" borderId="0" xfId="0" applyNumberFormat="1" applyFont="1"/>
    <xf numFmtId="166" fontId="25" fillId="0" borderId="0" xfId="0" applyNumberFormat="1" applyFont="1" applyAlignment="1">
      <alignment horizontal="center" vertical="center"/>
    </xf>
    <xf numFmtId="2" fontId="22" fillId="5" borderId="0" xfId="0" applyNumberFormat="1" applyFont="1" applyFill="1"/>
    <xf numFmtId="166" fontId="21" fillId="0" borderId="0" xfId="0" applyNumberFormat="1" applyFont="1"/>
    <xf numFmtId="164" fontId="23" fillId="5" borderId="0" xfId="0" applyNumberFormat="1" applyFont="1" applyFill="1"/>
    <xf numFmtId="164" fontId="22" fillId="5" borderId="0" xfId="0" applyNumberFormat="1" applyFont="1" applyFill="1"/>
    <xf numFmtId="0" fontId="12" fillId="0" borderId="41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/>
    </xf>
    <xf numFmtId="166" fontId="26" fillId="0" borderId="0" xfId="0" applyNumberFormat="1" applyFont="1"/>
    <xf numFmtId="166" fontId="6" fillId="5" borderId="0" xfId="0" applyNumberFormat="1" applyFont="1" applyFill="1"/>
    <xf numFmtId="0" fontId="27" fillId="5" borderId="0" xfId="0" applyFont="1" applyFill="1"/>
    <xf numFmtId="166" fontId="27" fillId="5" borderId="0" xfId="0" applyNumberFormat="1" applyFont="1" applyFill="1"/>
    <xf numFmtId="2" fontId="6" fillId="5" borderId="0" xfId="0" applyNumberFormat="1" applyFont="1" applyFill="1"/>
    <xf numFmtId="0" fontId="6" fillId="0" borderId="0" xfId="0" applyFont="1"/>
    <xf numFmtId="0" fontId="7" fillId="0" borderId="0" xfId="0" applyFont="1"/>
    <xf numFmtId="0" fontId="26" fillId="0" borderId="0" xfId="0" applyFont="1"/>
    <xf numFmtId="0" fontId="6" fillId="5" borderId="0" xfId="0" applyFont="1" applyFill="1"/>
    <xf numFmtId="4" fontId="11" fillId="0" borderId="0" xfId="0" applyNumberFormat="1" applyFont="1"/>
    <xf numFmtId="4" fontId="11" fillId="0" borderId="0" xfId="0" applyNumberFormat="1" applyFont="1" applyAlignment="1">
      <alignment horizontal="center" vertical="center"/>
    </xf>
    <xf numFmtId="4" fontId="11" fillId="0" borderId="0" xfId="0" applyNumberFormat="1" applyFont="1" applyAlignment="1">
      <alignment horizontal="center"/>
    </xf>
    <xf numFmtId="166" fontId="13" fillId="5" borderId="0" xfId="0" applyNumberFormat="1" applyFont="1" applyFill="1"/>
    <xf numFmtId="0" fontId="21" fillId="5" borderId="0" xfId="0" applyFont="1" applyFill="1"/>
    <xf numFmtId="4" fontId="0" fillId="0" borderId="0" xfId="0" applyNumberFormat="1"/>
    <xf numFmtId="164" fontId="24" fillId="0" borderId="0" xfId="1" applyFont="1"/>
    <xf numFmtId="0" fontId="24" fillId="0" borderId="0" xfId="0" applyFont="1"/>
    <xf numFmtId="4" fontId="0" fillId="0" borderId="0" xfId="0" applyNumberFormat="1" applyAlignment="1">
      <alignment horizontal="center" vertical="center"/>
    </xf>
    <xf numFmtId="0" fontId="17" fillId="4" borderId="33" xfId="0" applyFont="1" applyFill="1" applyBorder="1" applyAlignment="1">
      <alignment horizontal="center" vertical="center" wrapText="1"/>
    </xf>
    <xf numFmtId="0" fontId="17" fillId="4" borderId="30" xfId="0" applyFont="1" applyFill="1" applyBorder="1" applyAlignment="1">
      <alignment horizontal="center" vertical="center" wrapText="1"/>
    </xf>
    <xf numFmtId="164" fontId="17" fillId="4" borderId="34" xfId="1" applyFont="1" applyFill="1" applyBorder="1" applyAlignment="1">
      <alignment horizontal="center" vertical="center" wrapText="1"/>
    </xf>
    <xf numFmtId="164" fontId="17" fillId="4" borderId="35" xfId="1" applyFont="1" applyFill="1" applyBorder="1" applyAlignment="1">
      <alignment horizontal="center" vertical="center" wrapText="1"/>
    </xf>
    <xf numFmtId="164" fontId="17" fillId="4" borderId="56" xfId="1" applyFont="1" applyFill="1" applyBorder="1" applyAlignment="1">
      <alignment horizontal="center" vertical="center" wrapText="1"/>
    </xf>
    <xf numFmtId="17" fontId="17" fillId="4" borderId="34" xfId="1" applyNumberFormat="1" applyFont="1" applyFill="1" applyBorder="1" applyAlignment="1">
      <alignment horizontal="center" vertical="center" wrapText="1"/>
    </xf>
    <xf numFmtId="17" fontId="17" fillId="4" borderId="56" xfId="1" applyNumberFormat="1" applyFont="1" applyFill="1" applyBorder="1" applyAlignment="1">
      <alignment horizontal="center" vertical="center" wrapText="1"/>
    </xf>
    <xf numFmtId="164" fontId="18" fillId="10" borderId="34" xfId="0" applyNumberFormat="1" applyFont="1" applyFill="1" applyBorder="1" applyAlignment="1">
      <alignment horizontal="center" vertical="center"/>
    </xf>
    <xf numFmtId="164" fontId="18" fillId="10" borderId="35" xfId="0" applyNumberFormat="1" applyFont="1" applyFill="1" applyBorder="1" applyAlignment="1">
      <alignment horizontal="center" vertical="center"/>
    </xf>
    <xf numFmtId="164" fontId="19" fillId="10" borderId="34" xfId="0" applyNumberFormat="1" applyFont="1" applyFill="1" applyBorder="1" applyAlignment="1">
      <alignment horizontal="center"/>
    </xf>
    <xf numFmtId="164" fontId="19" fillId="10" borderId="35" xfId="0" applyNumberFormat="1" applyFont="1" applyFill="1" applyBorder="1" applyAlignment="1">
      <alignment horizontal="center"/>
    </xf>
    <xf numFmtId="164" fontId="19" fillId="10" borderId="56" xfId="0" applyNumberFormat="1" applyFont="1" applyFill="1" applyBorder="1" applyAlignment="1">
      <alignment horizontal="center"/>
    </xf>
    <xf numFmtId="0" fontId="0" fillId="0" borderId="12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64" fontId="24" fillId="0" borderId="0" xfId="0" applyNumberFormat="1" applyFont="1" applyAlignment="1">
      <alignment horizont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 wrapText="1"/>
    </xf>
    <xf numFmtId="0" fontId="11" fillId="0" borderId="5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56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left" vertical="center"/>
    </xf>
    <xf numFmtId="0" fontId="7" fillId="4" borderId="12" xfId="0" applyFont="1" applyFill="1" applyBorder="1" applyAlignment="1">
      <alignment horizontal="left" vertical="center"/>
    </xf>
    <xf numFmtId="0" fontId="14" fillId="4" borderId="61" xfId="0" applyFont="1" applyFill="1" applyBorder="1" applyAlignment="1">
      <alignment horizontal="center" vertical="center"/>
    </xf>
    <xf numFmtId="0" fontId="14" fillId="4" borderId="26" xfId="0" applyFont="1" applyFill="1" applyBorder="1" applyAlignment="1">
      <alignment horizontal="center" vertical="center"/>
    </xf>
    <xf numFmtId="164" fontId="24" fillId="0" borderId="0" xfId="1" applyFont="1" applyAlignment="1">
      <alignment horizontal="center"/>
    </xf>
    <xf numFmtId="0" fontId="0" fillId="0" borderId="17" xfId="0" applyBorder="1" applyAlignment="1">
      <alignment horizontal="center" vertical="center"/>
    </xf>
    <xf numFmtId="0" fontId="15" fillId="8" borderId="40" xfId="0" applyFont="1" applyFill="1" applyBorder="1" applyAlignment="1">
      <alignment horizontal="center"/>
    </xf>
    <xf numFmtId="0" fontId="15" fillId="8" borderId="41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6" borderId="40" xfId="0" applyFont="1" applyFill="1" applyBorder="1" applyAlignment="1">
      <alignment horizontal="center"/>
    </xf>
    <xf numFmtId="0" fontId="15" fillId="6" borderId="46" xfId="0" applyFont="1" applyFill="1" applyBorder="1" applyAlignment="1">
      <alignment horizontal="center"/>
    </xf>
    <xf numFmtId="0" fontId="15" fillId="6" borderId="33" xfId="0" applyFont="1" applyFill="1" applyBorder="1" applyAlignment="1">
      <alignment horizontal="center"/>
    </xf>
    <xf numFmtId="0" fontId="15" fillId="6" borderId="29" xfId="0" applyFont="1" applyFill="1" applyBorder="1" applyAlignment="1">
      <alignment horizontal="center"/>
    </xf>
    <xf numFmtId="0" fontId="15" fillId="6" borderId="30" xfId="0" applyFont="1" applyFill="1" applyBorder="1" applyAlignment="1">
      <alignment horizontal="center"/>
    </xf>
    <xf numFmtId="0" fontId="15" fillId="6" borderId="33" xfId="0" applyFont="1" applyFill="1" applyBorder="1" applyAlignment="1">
      <alignment horizontal="center" wrapText="1"/>
    </xf>
    <xf numFmtId="0" fontId="15" fillId="6" borderId="30" xfId="0" applyFont="1" applyFill="1" applyBorder="1" applyAlignment="1">
      <alignment horizontal="center" wrapText="1"/>
    </xf>
    <xf numFmtId="164" fontId="8" fillId="0" borderId="13" xfId="1" applyFont="1" applyFill="1" applyBorder="1" applyAlignment="1">
      <alignment horizontal="center" vertical="center"/>
    </xf>
    <xf numFmtId="164" fontId="8" fillId="0" borderId="19" xfId="1" applyFont="1" applyFill="1" applyBorder="1" applyAlignment="1">
      <alignment horizontal="center" vertical="center"/>
    </xf>
    <xf numFmtId="164" fontId="8" fillId="0" borderId="23" xfId="1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8" fillId="2" borderId="13" xfId="1" applyFont="1" applyFill="1" applyBorder="1" applyAlignment="1">
      <alignment horizontal="center" vertical="center"/>
    </xf>
    <xf numFmtId="164" fontId="8" fillId="2" borderId="19" xfId="1" applyFont="1" applyFill="1" applyBorder="1" applyAlignment="1">
      <alignment horizontal="center" vertical="center"/>
    </xf>
    <xf numFmtId="164" fontId="8" fillId="2" borderId="23" xfId="1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164" fontId="8" fillId="0" borderId="20" xfId="1" applyFont="1" applyFill="1" applyBorder="1" applyAlignment="1">
      <alignment horizontal="center" vertical="center"/>
    </xf>
    <xf numFmtId="164" fontId="8" fillId="0" borderId="7" xfId="1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0" fontId="18" fillId="11" borderId="0" xfId="0" applyFont="1" applyFill="1" applyAlignment="1">
      <alignment horizontal="center" vertical="center"/>
    </xf>
    <xf numFmtId="0" fontId="19" fillId="11" borderId="62" xfId="0" applyFont="1" applyFill="1" applyBorder="1" applyAlignment="1">
      <alignment horizontal="center" wrapText="1"/>
    </xf>
    <xf numFmtId="0" fontId="0" fillId="12" borderId="62" xfId="0" applyFill="1" applyBorder="1"/>
    <xf numFmtId="164" fontId="0" fillId="12" borderId="62" xfId="0" applyNumberFormat="1" applyFill="1" applyBorder="1"/>
    <xf numFmtId="171" fontId="0" fillId="12" borderId="62" xfId="0" applyNumberFormat="1" applyFill="1" applyBorder="1"/>
    <xf numFmtId="3" fontId="0" fillId="12" borderId="62" xfId="0" applyNumberFormat="1" applyFill="1" applyBorder="1"/>
    <xf numFmtId="0" fontId="15" fillId="13" borderId="62" xfId="0" applyFont="1" applyFill="1" applyBorder="1"/>
    <xf numFmtId="164" fontId="15" fillId="13" borderId="62" xfId="0" applyNumberFormat="1" applyFont="1" applyFill="1" applyBorder="1"/>
    <xf numFmtId="171" fontId="15" fillId="13" borderId="62" xfId="0" applyNumberFormat="1" applyFont="1" applyFill="1" applyBorder="1"/>
    <xf numFmtId="3" fontId="15" fillId="13" borderId="62" xfId="0" applyNumberFormat="1" applyFont="1" applyFill="1" applyBorder="1"/>
    <xf numFmtId="0" fontId="18" fillId="14" borderId="0" xfId="0" applyFont="1" applyFill="1"/>
    <xf numFmtId="0" fontId="19" fillId="14" borderId="0" xfId="0" applyFont="1" applyFill="1"/>
    <xf numFmtId="0" fontId="24" fillId="0" borderId="62" xfId="0" applyFont="1" applyBorder="1" applyAlignment="1">
      <alignment horizontal="left"/>
    </xf>
    <xf numFmtId="172" fontId="0" fillId="0" borderId="62" xfId="0" applyNumberFormat="1" applyBorder="1"/>
    <xf numFmtId="173" fontId="0" fillId="0" borderId="62" xfId="0" applyNumberFormat="1" applyBorder="1"/>
    <xf numFmtId="0" fontId="24" fillId="0" borderId="62" xfId="0" applyFont="1" applyBorder="1" applyAlignment="1">
      <alignment horizontal="left" indent="1"/>
    </xf>
    <xf numFmtId="0" fontId="16" fillId="13" borderId="62" xfId="0" applyFont="1" applyFill="1" applyBorder="1" applyAlignment="1">
      <alignment horizontal="left"/>
    </xf>
    <xf numFmtId="172" fontId="15" fillId="13" borderId="62" xfId="0" applyNumberFormat="1" applyFont="1" applyFill="1" applyBorder="1"/>
    <xf numFmtId="173" fontId="15" fillId="13" borderId="62" xfId="0" applyNumberFormat="1" applyFont="1" applyFill="1" applyBorder="1"/>
    <xf numFmtId="171" fontId="0" fillId="0" borderId="0" xfId="0" applyNumberFormat="1"/>
    <xf numFmtId="0" fontId="0" fillId="0" borderId="62" xfId="0" pivotButton="1" applyBorder="1"/>
    <xf numFmtId="0" fontId="0" fillId="0" borderId="62" xfId="0" applyBorder="1"/>
  </cellXfs>
  <cellStyles count="6">
    <cellStyle name="20% - Énfasis5" xfId="5" builtinId="46"/>
    <cellStyle name="Millares" xfId="2" builtinId="3"/>
    <cellStyle name="Millares 2" xfId="3" xr:uid="{00000000-0005-0000-0000-000001000000}"/>
    <cellStyle name="Moneda" xfId="1" builtinId="4"/>
    <cellStyle name="Normal" xfId="0" builtinId="0"/>
    <cellStyle name="Porcentaje" xfId="4" builtinId="5"/>
  </cellStyles>
  <dxfs count="982"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fgColor indexed="64"/>
          <bgColor rgb="FFB7DEE8"/>
        </patternFill>
      </fill>
    </dxf>
    <dxf>
      <fill>
        <patternFill patternType="solid">
          <fgColor indexed="64"/>
          <bgColor rgb="FFB7DEE8"/>
        </patternFill>
      </fill>
    </dxf>
    <dxf>
      <font>
        <b/>
      </font>
    </dxf>
    <dxf>
      <font>
        <b/>
      </font>
    </dxf>
    <dxf>
      <numFmt numFmtId="172" formatCode="_-&quot;Q&quot;* #,##0_-;\-&quot;Q&quot;* #,##0_-;_-&quot;Q&quot;* &quot;-&quot;_-;_-@_-"/>
    </dxf>
    <dxf>
      <numFmt numFmtId="172" formatCode="_-&quot;Q&quot;* #,##0_-;\-&quot;Q&quot;* #,##0_-;_-&quot;Q&quot;* &quot;-&quot;_-;_-@_-"/>
    </dxf>
    <dxf>
      <numFmt numFmtId="172" formatCode="_-&quot;Q&quot;* #,##0_-;\-&quot;Q&quot;* #,##0_-;_-&quot;Q&quot;* &quot;-&quot;_-;_-@_-"/>
    </dxf>
    <dxf>
      <numFmt numFmtId="172" formatCode="_-&quot;Q&quot;* #,##0_-;\-&quot;Q&quot;* #,##0_-;_-&quot;Q&quot;* &quot;-&quot;_-;_-@_-"/>
    </dxf>
    <dxf>
      <numFmt numFmtId="172" formatCode="_-&quot;Q&quot;* #,##0_-;\-&quot;Q&quot;* #,##0_-;_-&quot;Q&quot;* &quot;-&quot;_-;_-@_-"/>
    </dxf>
    <dxf>
      <numFmt numFmtId="172" formatCode="_-&quot;Q&quot;* #,##0_-;\-&quot;Q&quot;* #,##0_-;_-&quot;Q&quot;* &quot;-&quot;_-;_-@_-"/>
    </dxf>
    <dxf>
      <numFmt numFmtId="172" formatCode="_-&quot;Q&quot;* #,##0_-;\-&quot;Q&quot;* #,##0_-;_-&quot;Q&quot;* &quot;-&quot;_-;_-@_-"/>
    </dxf>
    <dxf>
      <numFmt numFmtId="172" formatCode="_-&quot;Q&quot;* #,##0_-;\-&quot;Q&quot;* #,##0_-;_-&quot;Q&quot;* &quot;-&quot;_-;_-@_-"/>
    </dxf>
    <dxf>
      <numFmt numFmtId="172" formatCode="_-&quot;Q&quot;* #,##0_-;\-&quot;Q&quot;* #,##0_-;_-&quot;Q&quot;* &quot;-&quot;_-;_-@_-"/>
    </dxf>
    <dxf>
      <numFmt numFmtId="173" formatCode="#,##0;\(#,##0\);&quot;-&quot;"/>
    </dxf>
    <dxf>
      <numFmt numFmtId="173" formatCode="#,##0;\(#,##0\);&quot;-&quot;"/>
    </dxf>
    <dxf>
      <numFmt numFmtId="173" formatCode="#,##0;\(#,##0\);&quot;-&quot;"/>
    </dxf>
    <dxf>
      <numFmt numFmtId="173" formatCode="#,##0;\(#,##0\);&quot;-&quot;"/>
    </dxf>
    <dxf>
      <numFmt numFmtId="173" formatCode="#,##0;\(#,##0\);&quot;-&quot;"/>
    </dxf>
    <dxf>
      <numFmt numFmtId="173" formatCode="#,##0;\(#,##0\);&quot;-&quot;"/>
    </dxf>
    <dxf>
      <numFmt numFmtId="173" formatCode="#,##0;\(#,##0\);&quot;-&quot;"/>
    </dxf>
    <dxf>
      <numFmt numFmtId="173" formatCode="#,##0;\(#,##0\);&quot;-&quot;"/>
    </dxf>
    <dxf>
      <numFmt numFmtId="173" formatCode="#,##0;\(#,##0\);&quot;-&quot;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fgColor indexed="64"/>
          <bgColor rgb="FFB7DEE8"/>
        </patternFill>
      </fill>
    </dxf>
    <dxf>
      <fill>
        <patternFill patternType="solid">
          <fgColor indexed="64"/>
          <bgColor rgb="FFB7DEE8"/>
        </patternFill>
      </fill>
    </dxf>
    <dxf>
      <font>
        <b/>
      </font>
    </dxf>
    <dxf>
      <font>
        <b/>
      </font>
    </dxf>
    <dxf>
      <numFmt numFmtId="172" formatCode="_-&quot;Q&quot;* #,##0_-;\-&quot;Q&quot;* #,##0_-;_-&quot;Q&quot;* &quot;-&quot;_-;_-@_-"/>
    </dxf>
    <dxf>
      <numFmt numFmtId="172" formatCode="_-&quot;Q&quot;* #,##0_-;\-&quot;Q&quot;* #,##0_-;_-&quot;Q&quot;* &quot;-&quot;_-;_-@_-"/>
    </dxf>
    <dxf>
      <numFmt numFmtId="172" formatCode="_-&quot;Q&quot;* #,##0_-;\-&quot;Q&quot;* #,##0_-;_-&quot;Q&quot;* &quot;-&quot;_-;_-@_-"/>
    </dxf>
    <dxf>
      <numFmt numFmtId="172" formatCode="_-&quot;Q&quot;* #,##0_-;\-&quot;Q&quot;* #,##0_-;_-&quot;Q&quot;* &quot;-&quot;_-;_-@_-"/>
    </dxf>
    <dxf>
      <numFmt numFmtId="172" formatCode="_-&quot;Q&quot;* #,##0_-;\-&quot;Q&quot;* #,##0_-;_-&quot;Q&quot;* &quot;-&quot;_-;_-@_-"/>
    </dxf>
    <dxf>
      <numFmt numFmtId="172" formatCode="_-&quot;Q&quot;* #,##0_-;\-&quot;Q&quot;* #,##0_-;_-&quot;Q&quot;* &quot;-&quot;_-;_-@_-"/>
    </dxf>
    <dxf>
      <numFmt numFmtId="172" formatCode="_-&quot;Q&quot;* #,##0_-;\-&quot;Q&quot;* #,##0_-;_-&quot;Q&quot;* &quot;-&quot;_-;_-@_-"/>
    </dxf>
    <dxf>
      <numFmt numFmtId="172" formatCode="_-&quot;Q&quot;* #,##0_-;\-&quot;Q&quot;* #,##0_-;_-&quot;Q&quot;* &quot;-&quot;_-;_-@_-"/>
    </dxf>
    <dxf>
      <numFmt numFmtId="172" formatCode="_-&quot;Q&quot;* #,##0_-;\-&quot;Q&quot;* #,##0_-;_-&quot;Q&quot;* &quot;-&quot;_-;_-@_-"/>
    </dxf>
    <dxf>
      <numFmt numFmtId="173" formatCode="#,##0;\(#,##0\);&quot;-&quot;"/>
    </dxf>
    <dxf>
      <numFmt numFmtId="173" formatCode="#,##0;\(#,##0\);&quot;-&quot;"/>
    </dxf>
    <dxf>
      <numFmt numFmtId="173" formatCode="#,##0;\(#,##0\);&quot;-&quot;"/>
    </dxf>
    <dxf>
      <numFmt numFmtId="173" formatCode="#,##0;\(#,##0\);&quot;-&quot;"/>
    </dxf>
    <dxf>
      <numFmt numFmtId="173" formatCode="#,##0;\(#,##0\);&quot;-&quot;"/>
    </dxf>
    <dxf>
      <numFmt numFmtId="173" formatCode="#,##0;\(#,##0\);&quot;-&quot;"/>
    </dxf>
    <dxf>
      <numFmt numFmtId="173" formatCode="#,##0;\(#,##0\);&quot;-&quot;"/>
    </dxf>
    <dxf>
      <numFmt numFmtId="173" formatCode="#,##0;\(#,##0\);&quot;-&quot;"/>
    </dxf>
    <dxf>
      <numFmt numFmtId="173" formatCode="#,##0;\(#,##0\);&quot;-&quot;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fgColor indexed="64"/>
          <bgColor rgb="FFB7DEE8"/>
        </patternFill>
      </fill>
    </dxf>
    <dxf>
      <fill>
        <patternFill patternType="solid">
          <fgColor indexed="64"/>
          <bgColor rgb="FFB7DEE8"/>
        </patternFill>
      </fill>
    </dxf>
    <dxf>
      <font>
        <b/>
      </font>
    </dxf>
    <dxf>
      <font>
        <b/>
      </font>
    </dxf>
    <dxf>
      <numFmt numFmtId="172" formatCode="_-&quot;Q&quot;* #,##0_-;\-&quot;Q&quot;* #,##0_-;_-&quot;Q&quot;* &quot;-&quot;_-;_-@_-"/>
    </dxf>
    <dxf>
      <numFmt numFmtId="172" formatCode="_-&quot;Q&quot;* #,##0_-;\-&quot;Q&quot;* #,##0_-;_-&quot;Q&quot;* &quot;-&quot;_-;_-@_-"/>
    </dxf>
    <dxf>
      <numFmt numFmtId="172" formatCode="_-&quot;Q&quot;* #,##0_-;\-&quot;Q&quot;* #,##0_-;_-&quot;Q&quot;* &quot;-&quot;_-;_-@_-"/>
    </dxf>
    <dxf>
      <numFmt numFmtId="172" formatCode="_-&quot;Q&quot;* #,##0_-;\-&quot;Q&quot;* #,##0_-;_-&quot;Q&quot;* &quot;-&quot;_-;_-@_-"/>
    </dxf>
    <dxf>
      <numFmt numFmtId="172" formatCode="_-&quot;Q&quot;* #,##0_-;\-&quot;Q&quot;* #,##0_-;_-&quot;Q&quot;* &quot;-&quot;_-;_-@_-"/>
    </dxf>
    <dxf>
      <numFmt numFmtId="172" formatCode="_-&quot;Q&quot;* #,##0_-;\-&quot;Q&quot;* #,##0_-;_-&quot;Q&quot;* &quot;-&quot;_-;_-@_-"/>
    </dxf>
    <dxf>
      <numFmt numFmtId="172" formatCode="_-&quot;Q&quot;* #,##0_-;\-&quot;Q&quot;* #,##0_-;_-&quot;Q&quot;* &quot;-&quot;_-;_-@_-"/>
    </dxf>
    <dxf>
      <numFmt numFmtId="172" formatCode="_-&quot;Q&quot;* #,##0_-;\-&quot;Q&quot;* #,##0_-;_-&quot;Q&quot;* &quot;-&quot;_-;_-@_-"/>
    </dxf>
    <dxf>
      <numFmt numFmtId="172" formatCode="_-&quot;Q&quot;* #,##0_-;\-&quot;Q&quot;* #,##0_-;_-&quot;Q&quot;* &quot;-&quot;_-;_-@_-"/>
    </dxf>
    <dxf>
      <numFmt numFmtId="173" formatCode="#,##0;\(#,##0\);&quot;-&quot;"/>
    </dxf>
    <dxf>
      <numFmt numFmtId="173" formatCode="#,##0;\(#,##0\);&quot;-&quot;"/>
    </dxf>
    <dxf>
      <numFmt numFmtId="173" formatCode="#,##0;\(#,##0\);&quot;-&quot;"/>
    </dxf>
    <dxf>
      <numFmt numFmtId="173" formatCode="#,##0;\(#,##0\);&quot;-&quot;"/>
    </dxf>
    <dxf>
      <numFmt numFmtId="173" formatCode="#,##0;\(#,##0\);&quot;-&quot;"/>
    </dxf>
    <dxf>
      <numFmt numFmtId="173" formatCode="#,##0;\(#,##0\);&quot;-&quot;"/>
    </dxf>
    <dxf>
      <numFmt numFmtId="173" formatCode="#,##0;\(#,##0\);&quot;-&quot;"/>
    </dxf>
    <dxf>
      <numFmt numFmtId="173" formatCode="#,##0;\(#,##0\);&quot;-&quot;"/>
    </dxf>
    <dxf>
      <numFmt numFmtId="173" formatCode="#,##0;\(#,##0\);&quot;-&quot;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fgColor indexed="64"/>
          <bgColor rgb="FFB7DEE8"/>
        </patternFill>
      </fill>
    </dxf>
    <dxf>
      <fill>
        <patternFill patternType="solid">
          <fgColor indexed="64"/>
          <bgColor rgb="FFB7DEE8"/>
        </patternFill>
      </fill>
    </dxf>
    <dxf>
      <font>
        <b/>
      </font>
    </dxf>
    <dxf>
      <font>
        <b/>
      </font>
    </dxf>
    <dxf>
      <numFmt numFmtId="172" formatCode="_-&quot;Q&quot;* #,##0_-;\-&quot;Q&quot;* #,##0_-;_-&quot;Q&quot;* &quot;-&quot;_-;_-@_-"/>
    </dxf>
    <dxf>
      <numFmt numFmtId="172" formatCode="_-&quot;Q&quot;* #,##0_-;\-&quot;Q&quot;* #,##0_-;_-&quot;Q&quot;* &quot;-&quot;_-;_-@_-"/>
    </dxf>
    <dxf>
      <numFmt numFmtId="172" formatCode="_-&quot;Q&quot;* #,##0_-;\-&quot;Q&quot;* #,##0_-;_-&quot;Q&quot;* &quot;-&quot;_-;_-@_-"/>
    </dxf>
    <dxf>
      <numFmt numFmtId="172" formatCode="_-&quot;Q&quot;* #,##0_-;\-&quot;Q&quot;* #,##0_-;_-&quot;Q&quot;* &quot;-&quot;_-;_-@_-"/>
    </dxf>
    <dxf>
      <numFmt numFmtId="172" formatCode="_-&quot;Q&quot;* #,##0_-;\-&quot;Q&quot;* #,##0_-;_-&quot;Q&quot;* &quot;-&quot;_-;_-@_-"/>
    </dxf>
    <dxf>
      <numFmt numFmtId="172" formatCode="_-&quot;Q&quot;* #,##0_-;\-&quot;Q&quot;* #,##0_-;_-&quot;Q&quot;* &quot;-&quot;_-;_-@_-"/>
    </dxf>
    <dxf>
      <numFmt numFmtId="172" formatCode="_-&quot;Q&quot;* #,##0_-;\-&quot;Q&quot;* #,##0_-;_-&quot;Q&quot;* &quot;-&quot;_-;_-@_-"/>
    </dxf>
    <dxf>
      <numFmt numFmtId="172" formatCode="_-&quot;Q&quot;* #,##0_-;\-&quot;Q&quot;* #,##0_-;_-&quot;Q&quot;* &quot;-&quot;_-;_-@_-"/>
    </dxf>
    <dxf>
      <numFmt numFmtId="172" formatCode="_-&quot;Q&quot;* #,##0_-;\-&quot;Q&quot;* #,##0_-;_-&quot;Q&quot;* &quot;-&quot;_-;_-@_-"/>
    </dxf>
    <dxf>
      <numFmt numFmtId="173" formatCode="#,##0;\(#,##0\);&quot;-&quot;"/>
    </dxf>
    <dxf>
      <numFmt numFmtId="173" formatCode="#,##0;\(#,##0\);&quot;-&quot;"/>
    </dxf>
    <dxf>
      <numFmt numFmtId="173" formatCode="#,##0;\(#,##0\);&quot;-&quot;"/>
    </dxf>
    <dxf>
      <numFmt numFmtId="173" formatCode="#,##0;\(#,##0\);&quot;-&quot;"/>
    </dxf>
    <dxf>
      <numFmt numFmtId="173" formatCode="#,##0;\(#,##0\);&quot;-&quot;"/>
    </dxf>
    <dxf>
      <numFmt numFmtId="173" formatCode="#,##0;\(#,##0\);&quot;-&quot;"/>
    </dxf>
    <dxf>
      <numFmt numFmtId="173" formatCode="#,##0;\(#,##0\);&quot;-&quot;"/>
    </dxf>
    <dxf>
      <numFmt numFmtId="173" formatCode="#,##0;\(#,##0\);&quot;-&quot;"/>
    </dxf>
    <dxf>
      <numFmt numFmtId="173" formatCode="#,##0;\(#,##0\);&quot;-&quot;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auto="1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auto="1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auto="1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auto="1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auto="1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auto="1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auto="1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auto="1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auto="1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auto="1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auto="1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auto="1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auto="1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auto="1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auto="1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auto="1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auto="1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auto="1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auto="1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auto="1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auto="1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auto="1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auto="1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auto="1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auto="1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auto="1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 style="thin">
          <color auto="1"/>
        </right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rgb="FF95B3D7"/>
        </left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auto="1"/>
        </left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auto="1"/>
        </left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auto="1"/>
        </left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auto="1"/>
        </left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auto="1"/>
        </left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auto="1"/>
        </left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auto="1"/>
        </left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auto="1"/>
        </left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auto="1"/>
        </left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auto="1"/>
        </left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auto="1"/>
        </left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auto="1"/>
        </left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auto="1"/>
        </left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auto="1"/>
        </left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auto="1"/>
        </left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auto="1"/>
        </left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auto="1"/>
        </left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auto="1"/>
        </left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auto="1"/>
        </left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auto="1"/>
        </left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auto="1"/>
        </left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auto="1"/>
        </left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auto="1"/>
        </left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auto="1"/>
        </left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auto="1"/>
        </left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auto="1"/>
        </left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 style="thin">
          <color auto="1"/>
        </left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/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/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/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/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/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/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/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/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/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/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/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/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/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/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/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/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/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/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/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/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/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/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/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/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/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/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/>
        <right/>
        <top style="thin">
          <color rgb="FF95B3D7"/>
        </top>
        <bottom style="thin">
          <color rgb="FF95B3D7"/>
        </bottom>
      </border>
    </dxf>
    <dxf>
      <border diagonalUp="0" diagonalDown="0" outline="0">
        <left/>
        <right/>
        <top style="thin">
          <color rgb="FF95B3D7"/>
        </top>
        <bottom style="thin">
          <color auto="1"/>
        </bottom>
      </border>
    </dxf>
    <dxf>
      <border diagonalUp="0" diagonalDown="0" outline="0">
        <left/>
        <right/>
        <top style="thin">
          <color rgb="FF95B3D7"/>
        </top>
        <bottom style="thin">
          <color auto="1"/>
        </bottom>
      </border>
    </dxf>
    <dxf>
      <border diagonalUp="0" diagonalDown="0" outline="0">
        <left/>
        <right/>
        <top style="thin">
          <color rgb="FF95B3D7"/>
        </top>
        <bottom style="thin">
          <color auto="1"/>
        </bottom>
      </border>
    </dxf>
    <dxf>
      <border diagonalUp="0" diagonalDown="0" outline="0">
        <left/>
        <right/>
        <top style="thin">
          <color rgb="FF95B3D7"/>
        </top>
        <bottom style="thin">
          <color auto="1"/>
        </bottom>
      </border>
    </dxf>
    <dxf>
      <border diagonalUp="0" diagonalDown="0" outline="0">
        <left/>
        <right/>
        <top style="thin">
          <color rgb="FF95B3D7"/>
        </top>
        <bottom style="thin">
          <color auto="1"/>
        </bottom>
      </border>
    </dxf>
    <dxf>
      <border diagonalUp="0" diagonalDown="0" outline="0">
        <left/>
        <right/>
        <top style="thin">
          <color rgb="FF95B3D7"/>
        </top>
        <bottom style="thin">
          <color auto="1"/>
        </bottom>
      </border>
    </dxf>
    <dxf>
      <border diagonalUp="0" diagonalDown="0" outline="0">
        <left/>
        <right/>
        <top style="thin">
          <color rgb="FF95B3D7"/>
        </top>
        <bottom style="thin">
          <color auto="1"/>
        </bottom>
      </border>
    </dxf>
    <dxf>
      <border diagonalUp="0" diagonalDown="0" outline="0">
        <left/>
        <right/>
        <top style="thin">
          <color rgb="FF95B3D7"/>
        </top>
        <bottom style="thin">
          <color auto="1"/>
        </bottom>
      </border>
    </dxf>
    <dxf>
      <border diagonalUp="0" diagonalDown="0" outline="0">
        <left/>
        <right/>
        <top style="thin">
          <color rgb="FF95B3D7"/>
        </top>
        <bottom style="thin">
          <color auto="1"/>
        </bottom>
      </border>
    </dxf>
    <dxf>
      <border diagonalUp="0" diagonalDown="0" outline="0">
        <left/>
        <right/>
        <top style="thin">
          <color rgb="FF95B3D7"/>
        </top>
        <bottom style="thin">
          <color auto="1"/>
        </bottom>
      </border>
    </dxf>
    <dxf>
      <border diagonalUp="0" diagonalDown="0" outline="0">
        <left/>
        <right/>
        <top style="thin">
          <color rgb="FF95B3D7"/>
        </top>
        <bottom style="thin">
          <color auto="1"/>
        </bottom>
      </border>
    </dxf>
    <dxf>
      <border diagonalUp="0" diagonalDown="0" outline="0">
        <left/>
        <right/>
        <top style="thin">
          <color rgb="FF95B3D7"/>
        </top>
        <bottom style="thin">
          <color auto="1"/>
        </bottom>
      </border>
    </dxf>
    <dxf>
      <border diagonalUp="0" diagonalDown="0" outline="0">
        <left/>
        <right/>
        <top style="thin">
          <color rgb="FF95B3D7"/>
        </top>
        <bottom style="thin">
          <color auto="1"/>
        </bottom>
      </border>
    </dxf>
    <dxf>
      <border diagonalUp="0" diagonalDown="0" outline="0">
        <left/>
        <right/>
        <top style="thin">
          <color rgb="FF95B3D7"/>
        </top>
        <bottom style="thin">
          <color auto="1"/>
        </bottom>
      </border>
    </dxf>
    <dxf>
      <border diagonalUp="0" diagonalDown="0" outline="0">
        <left/>
        <right/>
        <top style="thin">
          <color rgb="FF95B3D7"/>
        </top>
        <bottom style="thin">
          <color auto="1"/>
        </bottom>
      </border>
    </dxf>
    <dxf>
      <border diagonalUp="0" diagonalDown="0" outline="0">
        <left/>
        <right/>
        <top style="thin">
          <color rgb="FF95B3D7"/>
        </top>
        <bottom style="thin">
          <color auto="1"/>
        </bottom>
      </border>
    </dxf>
    <dxf>
      <border diagonalUp="0" diagonalDown="0" outline="0">
        <left/>
        <right/>
        <top style="thin">
          <color rgb="FF95B3D7"/>
        </top>
        <bottom style="thin">
          <color auto="1"/>
        </bottom>
      </border>
    </dxf>
    <dxf>
      <border diagonalUp="0" diagonalDown="0" outline="0">
        <left/>
        <right/>
        <top style="thin">
          <color rgb="FF95B3D7"/>
        </top>
        <bottom style="thin">
          <color auto="1"/>
        </bottom>
      </border>
    </dxf>
    <dxf>
      <border diagonalUp="0" diagonalDown="0" outline="0">
        <left/>
        <right/>
        <top style="thin">
          <color rgb="FF95B3D7"/>
        </top>
        <bottom style="thin">
          <color auto="1"/>
        </bottom>
      </border>
    </dxf>
    <dxf>
      <border diagonalUp="0" diagonalDown="0" outline="0">
        <left/>
        <right/>
        <top style="thin">
          <color rgb="FF95B3D7"/>
        </top>
        <bottom style="thin">
          <color auto="1"/>
        </bottom>
      </border>
    </dxf>
    <dxf>
      <border diagonalUp="0" diagonalDown="0" outline="0">
        <left/>
        <right/>
        <top style="thin">
          <color rgb="FF95B3D7"/>
        </top>
        <bottom style="thin">
          <color auto="1"/>
        </bottom>
      </border>
    </dxf>
    <dxf>
      <border diagonalUp="0" diagonalDown="0" outline="0">
        <left/>
        <right/>
        <top style="thin">
          <color rgb="FF95B3D7"/>
        </top>
        <bottom style="thin">
          <color auto="1"/>
        </bottom>
      </border>
    </dxf>
    <dxf>
      <border diagonalUp="0" diagonalDown="0" outline="0">
        <left/>
        <right/>
        <top style="thin">
          <color rgb="FF95B3D7"/>
        </top>
        <bottom style="thin">
          <color auto="1"/>
        </bottom>
      </border>
    </dxf>
    <dxf>
      <border diagonalUp="0" diagonalDown="0" outline="0">
        <left/>
        <right/>
        <top style="thin">
          <color rgb="FF95B3D7"/>
        </top>
        <bottom style="thin">
          <color auto="1"/>
        </bottom>
      </border>
    </dxf>
    <dxf>
      <border diagonalUp="0" diagonalDown="0" outline="0">
        <left/>
        <right/>
        <top style="thin">
          <color rgb="FF95B3D7"/>
        </top>
        <bottom style="thin">
          <color auto="1"/>
        </bottom>
      </border>
    </dxf>
    <dxf>
      <border diagonalUp="0" diagonalDown="0" outline="0">
        <left/>
        <right/>
        <top style="thin">
          <color rgb="FF95B3D7"/>
        </top>
        <bottom style="thin">
          <color auto="1"/>
        </bottom>
      </border>
    </dxf>
    <dxf>
      <border diagonalUp="0" diagonalDown="0" outline="0">
        <left/>
        <right/>
        <top style="thin">
          <color rgb="FF95B3D7"/>
        </top>
        <bottom style="thin">
          <color auto="1"/>
        </bottom>
      </border>
    </dxf>
    <dxf>
      <border diagonalUp="0" diagonalDown="0" outline="0">
        <left/>
        <right/>
        <top style="thin">
          <color rgb="FF95B3D7"/>
        </top>
        <bottom/>
      </border>
    </dxf>
    <dxf>
      <border diagonalUp="0" diagonalDown="0" outline="0">
        <left/>
        <right/>
        <top style="thin">
          <color rgb="FF95B3D7"/>
        </top>
        <bottom/>
      </border>
    </dxf>
    <dxf>
      <border diagonalUp="0" diagonalDown="0" outline="0">
        <left/>
        <right/>
        <top style="thin">
          <color rgb="FF95B3D7"/>
        </top>
        <bottom/>
      </border>
    </dxf>
    <dxf>
      <border diagonalUp="0" diagonalDown="0" outline="0">
        <left/>
        <right/>
        <top style="thin">
          <color rgb="FF95B3D7"/>
        </top>
        <bottom/>
      </border>
    </dxf>
    <dxf>
      <border diagonalUp="0" diagonalDown="0" outline="0">
        <left/>
        <right/>
        <top style="thin">
          <color rgb="FF95B3D7"/>
        </top>
        <bottom/>
      </border>
    </dxf>
    <dxf>
      <border diagonalUp="0" diagonalDown="0" outline="0">
        <left/>
        <right/>
        <top style="thin">
          <color rgb="FF95B3D7"/>
        </top>
        <bottom/>
      </border>
    </dxf>
    <dxf>
      <border diagonalUp="0" diagonalDown="0" outline="0">
        <left/>
        <right/>
        <top style="thin">
          <color rgb="FF95B3D7"/>
        </top>
        <bottom/>
      </border>
    </dxf>
    <dxf>
      <border diagonalUp="0" diagonalDown="0" outline="0">
        <left/>
        <right/>
        <top style="thin">
          <color rgb="FF95B3D7"/>
        </top>
        <bottom/>
      </border>
    </dxf>
    <dxf>
      <border diagonalUp="0" diagonalDown="0" outline="0">
        <left/>
        <right/>
        <top style="thin">
          <color rgb="FF95B3D7"/>
        </top>
        <bottom/>
      </border>
    </dxf>
    <dxf>
      <border diagonalUp="0" diagonalDown="0" outline="0">
        <left/>
        <right/>
        <top style="thin">
          <color rgb="FF95B3D7"/>
        </top>
        <bottom/>
      </border>
    </dxf>
    <dxf>
      <border diagonalUp="0" diagonalDown="0" outline="0">
        <left/>
        <right/>
        <top style="thin">
          <color rgb="FF95B3D7"/>
        </top>
        <bottom/>
      </border>
    </dxf>
    <dxf>
      <border diagonalUp="0" diagonalDown="0" outline="0">
        <left/>
        <right/>
        <top style="thin">
          <color rgb="FF95B3D7"/>
        </top>
        <bottom/>
      </border>
    </dxf>
    <dxf>
      <border diagonalUp="0" diagonalDown="0" outline="0">
        <left/>
        <right/>
        <top style="thin">
          <color rgb="FF95B3D7"/>
        </top>
        <bottom/>
      </border>
    </dxf>
    <dxf>
      <border diagonalUp="0" diagonalDown="0" outline="0">
        <left/>
        <right/>
        <top style="thin">
          <color rgb="FF95B3D7"/>
        </top>
        <bottom/>
      </border>
    </dxf>
    <dxf>
      <border diagonalUp="0" diagonalDown="0" outline="0">
        <left/>
        <right/>
        <top style="thin">
          <color rgb="FF95B3D7"/>
        </top>
        <bottom/>
      </border>
    </dxf>
    <dxf>
      <border diagonalUp="0" diagonalDown="0" outline="0">
        <left/>
        <right/>
        <top style="thin">
          <color rgb="FF95B3D7"/>
        </top>
        <bottom/>
      </border>
    </dxf>
    <dxf>
      <border diagonalUp="0" diagonalDown="0" outline="0">
        <left/>
        <right/>
        <top style="thin">
          <color rgb="FF95B3D7"/>
        </top>
        <bottom/>
      </border>
    </dxf>
    <dxf>
      <border diagonalUp="0" diagonalDown="0" outline="0">
        <left/>
        <right/>
        <top style="thin">
          <color rgb="FF95B3D7"/>
        </top>
        <bottom/>
      </border>
    </dxf>
    <dxf>
      <border diagonalUp="0" diagonalDown="0" outline="0">
        <left/>
        <right/>
        <top style="thin">
          <color rgb="FF95B3D7"/>
        </top>
        <bottom/>
      </border>
    </dxf>
    <dxf>
      <border diagonalUp="0" diagonalDown="0" outline="0">
        <left/>
        <right/>
        <top style="thin">
          <color rgb="FF95B3D7"/>
        </top>
        <bottom/>
      </border>
    </dxf>
    <dxf>
      <border diagonalUp="0" diagonalDown="0" outline="0">
        <left/>
        <right/>
        <top style="thin">
          <color rgb="FF95B3D7"/>
        </top>
        <bottom/>
      </border>
    </dxf>
    <dxf>
      <border diagonalUp="0" diagonalDown="0" outline="0">
        <left/>
        <right/>
        <top style="thin">
          <color rgb="FF95B3D7"/>
        </top>
        <bottom/>
      </border>
    </dxf>
    <dxf>
      <border diagonalUp="0" diagonalDown="0" outline="0">
        <left/>
        <right/>
        <top style="thin">
          <color rgb="FF95B3D7"/>
        </top>
        <bottom/>
      </border>
    </dxf>
    <dxf>
      <border diagonalUp="0" diagonalDown="0" outline="0">
        <left/>
        <right/>
        <top style="thin">
          <color rgb="FF95B3D7"/>
        </top>
        <bottom/>
      </border>
    </dxf>
    <dxf>
      <border diagonalUp="0" diagonalDown="0" outline="0">
        <left/>
        <right/>
        <top style="thin">
          <color rgb="FF95B3D7"/>
        </top>
        <bottom/>
      </border>
    </dxf>
    <dxf>
      <border diagonalUp="0" diagonalDown="0" outline="0">
        <left/>
        <right/>
        <top style="thin">
          <color rgb="FF95B3D7"/>
        </top>
        <bottom/>
      </border>
    </dxf>
    <dxf>
      <border diagonalUp="0" diagonalDown="0" outline="0">
        <left/>
        <right/>
        <top style="thin">
          <color rgb="FF95B3D7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73" formatCode="#,##0;\(#,##0\);&quot;-&quot;"/>
    </dxf>
    <dxf>
      <numFmt numFmtId="173" formatCode="#,##0;\(#,##0\);&quot;-&quot;"/>
    </dxf>
    <dxf>
      <numFmt numFmtId="173" formatCode="#,##0;\(#,##0\);&quot;-&quot;"/>
    </dxf>
    <dxf>
      <numFmt numFmtId="173" formatCode="#,##0;\(#,##0\);&quot;-&quot;"/>
    </dxf>
    <dxf>
      <numFmt numFmtId="173" formatCode="#,##0;\(#,##0\);&quot;-&quot;"/>
    </dxf>
    <dxf>
      <numFmt numFmtId="173" formatCode="#,##0;\(#,##0\);&quot;-&quot;"/>
    </dxf>
    <dxf>
      <numFmt numFmtId="173" formatCode="#,##0;\(#,##0\);&quot;-&quot;"/>
    </dxf>
    <dxf>
      <numFmt numFmtId="173" formatCode="#,##0;\(#,##0\);&quot;-&quot;"/>
    </dxf>
    <dxf>
      <numFmt numFmtId="173" formatCode="#,##0;\(#,##0\);&quot;-&quot;"/>
    </dxf>
    <dxf>
      <numFmt numFmtId="172" formatCode="_-&quot;Q&quot;* #,##0_-;\-&quot;Q&quot;* #,##0_-;_-&quot;Q&quot;* &quot;-&quot;_-;_-@_-"/>
    </dxf>
    <dxf>
      <numFmt numFmtId="172" formatCode="_-&quot;Q&quot;* #,##0_-;\-&quot;Q&quot;* #,##0_-;_-&quot;Q&quot;* &quot;-&quot;_-;_-@_-"/>
    </dxf>
    <dxf>
      <numFmt numFmtId="172" formatCode="_-&quot;Q&quot;* #,##0_-;\-&quot;Q&quot;* #,##0_-;_-&quot;Q&quot;* &quot;-&quot;_-;_-@_-"/>
    </dxf>
    <dxf>
      <numFmt numFmtId="172" formatCode="_-&quot;Q&quot;* #,##0_-;\-&quot;Q&quot;* #,##0_-;_-&quot;Q&quot;* &quot;-&quot;_-;_-@_-"/>
    </dxf>
    <dxf>
      <numFmt numFmtId="172" formatCode="_-&quot;Q&quot;* #,##0_-;\-&quot;Q&quot;* #,##0_-;_-&quot;Q&quot;* &quot;-&quot;_-;_-@_-"/>
    </dxf>
    <dxf>
      <numFmt numFmtId="172" formatCode="_-&quot;Q&quot;* #,##0_-;\-&quot;Q&quot;* #,##0_-;_-&quot;Q&quot;* &quot;-&quot;_-;_-@_-"/>
    </dxf>
    <dxf>
      <numFmt numFmtId="172" formatCode="_-&quot;Q&quot;* #,##0_-;\-&quot;Q&quot;* #,##0_-;_-&quot;Q&quot;* &quot;-&quot;_-;_-@_-"/>
    </dxf>
    <dxf>
      <numFmt numFmtId="172" formatCode="_-&quot;Q&quot;* #,##0_-;\-&quot;Q&quot;* #,##0_-;_-&quot;Q&quot;* &quot;-&quot;_-;_-@_-"/>
    </dxf>
    <dxf>
      <numFmt numFmtId="172" formatCode="_-&quot;Q&quot;* #,##0_-;\-&quot;Q&quot;* #,##0_-;_-&quot;Q&quot;* &quot;-&quot;_-;_-@_-"/>
    </dxf>
    <dxf>
      <font>
        <b/>
      </font>
    </dxf>
    <dxf>
      <font>
        <b/>
      </font>
    </dxf>
    <dxf>
      <fill>
        <patternFill patternType="solid">
          <fgColor indexed="64"/>
          <bgColor rgb="FFB7DEE8"/>
        </patternFill>
      </fill>
    </dxf>
    <dxf>
      <fill>
        <patternFill patternType="solid">
          <fgColor indexed="64"/>
          <bgColor rgb="FFB7DEE8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ill>
        <patternFill patternType="solid">
          <fgColor indexed="64"/>
          <bgColor rgb="FF244062"/>
        </patternFill>
      </fill>
    </dxf>
    <dxf>
      <font>
        <b/>
      </font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de Ejecución por Programa — Financiera vs. Física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'RESUMEN EJECUTIVO'!$V$4</c:f>
              <c:strCache>
                <c:ptCount val="1"/>
                <c:pt idx="0">
                  <c:v>% Financiera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G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'RESUMEN EJECUTIVO'!$U$5:$U$9</c:f>
              <c:strCache>
                <c:ptCount val="5"/>
                <c:pt idx="0">
                  <c:v>Comedor Social</c:v>
                </c:pt>
                <c:pt idx="1">
                  <c:v>Bolsa Social</c:v>
                </c:pt>
                <c:pt idx="2">
                  <c:v>Jóvenes Protagonistas</c:v>
                </c:pt>
                <c:pt idx="3">
                  <c:v>Beca Media</c:v>
                </c:pt>
                <c:pt idx="4">
                  <c:v>Beca Superior</c:v>
                </c:pt>
              </c:strCache>
            </c:strRef>
          </c:cat>
          <c:val>
            <c:numRef>
              <c:f>'RESUMEN EJECUTIVO'!$V$5:$V$9</c:f>
              <c:numCache>
                <c:formatCode>0.0%</c:formatCode>
                <c:ptCount val="5"/>
                <c:pt idx="0">
                  <c:v>0.45386322750878766</c:v>
                </c:pt>
                <c:pt idx="1">
                  <c:v>0.62520584112149535</c:v>
                </c:pt>
                <c:pt idx="2">
                  <c:v>0.22246076061849937</c:v>
                </c:pt>
                <c:pt idx="3">
                  <c:v>0.79993704161322954</c:v>
                </c:pt>
                <c:pt idx="4">
                  <c:v>0.71990674783059194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29-4BEF-9A0E-3BD8568CE81A}"/>
            </c:ext>
          </c:extLst>
        </c:ser>
        <c:ser>
          <c:idx val="1"/>
          <c:order val="1"/>
          <c:tx>
            <c:strRef>
              <c:f>'RESUMEN EJECUTIVO'!$W$4</c:f>
              <c:strCache>
                <c:ptCount val="1"/>
                <c:pt idx="0">
                  <c:v>% Física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G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'RESUMEN EJECUTIVO'!$U$5:$U$9</c:f>
              <c:strCache>
                <c:ptCount val="5"/>
                <c:pt idx="0">
                  <c:v>Comedor Social</c:v>
                </c:pt>
                <c:pt idx="1">
                  <c:v>Bolsa Social</c:v>
                </c:pt>
                <c:pt idx="2">
                  <c:v>Jóvenes Protagonistas</c:v>
                </c:pt>
                <c:pt idx="3">
                  <c:v>Beca Media</c:v>
                </c:pt>
                <c:pt idx="4">
                  <c:v>Beca Superior</c:v>
                </c:pt>
              </c:strCache>
            </c:strRef>
          </c:cat>
          <c:val>
            <c:numRef>
              <c:f>'RESUMEN EJECUTIVO'!$W$5:$W$9</c:f>
              <c:numCache>
                <c:formatCode>0.0%</c:formatCode>
                <c:ptCount val="5"/>
                <c:pt idx="0">
                  <c:v>0.57376081309014393</c:v>
                </c:pt>
                <c:pt idx="1">
                  <c:v>0.6252063523883723</c:v>
                </c:pt>
                <c:pt idx="2">
                  <c:v>0.43298064516129031</c:v>
                </c:pt>
                <c:pt idx="3">
                  <c:v>0.79996589940323992</c:v>
                </c:pt>
                <c:pt idx="4">
                  <c:v>0.72000000000000008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29-4BEF-9A0E-3BD8568CE8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4362448"/>
        <c:axId val="43480080"/>
      </c:barChart>
      <c:catAx>
        <c:axId val="59436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43480080"/>
        <c:crosses val="autoZero"/>
        <c:auto val="1"/>
        <c:lblAlgn val="ctr"/>
        <c:lblOffset val="100"/>
        <c:noMultiLvlLbl val="0"/>
      </c:catAx>
      <c:valAx>
        <c:axId val="43480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594362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19</xdr:col>
      <xdr:colOff>0</xdr:colOff>
      <xdr:row>10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9BE2A52-EA86-1F80-1FDA-F39FD846BD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436881</xdr:colOff>
      <xdr:row>2</xdr:row>
      <xdr:rowOff>39811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A0E5014-9FE7-1A40-A1AA-61D46457E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262380" cy="420811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hua DJ Producer" refreshedDate="46245.525384375003" createdVersion="8" refreshedVersion="8" minRefreshableVersion="3" recordCount="8144" xr:uid="{7C0F7464-78DC-43F5-8699-D613CE615203}">
  <cacheSource type="worksheet">
    <worksheetSource ref="A1:H8145" sheet="BASE CONSOLIDADA"/>
  </cacheSource>
  <cacheFields count="8">
    <cacheField name="Programa" numFmtId="0">
      <sharedItems count="5">
        <s v="Beca Educación Media"/>
        <s v="Beca Educación Superior"/>
        <s v="Jóvenes Protagonistas"/>
        <s v="Comedor Social"/>
        <s v="Bolsa Social"/>
      </sharedItems>
    </cacheField>
    <cacheField name="Departamento" numFmtId="0">
      <sharedItems count="27">
        <s v="ALTA VERAPAZ"/>
        <s v="BAJA VERAPAZ"/>
        <s v="CHIMALTENANGO"/>
        <s v="CHIQUIMULA"/>
        <s v="EL PROGRESO"/>
        <s v="ESCUINTLA"/>
        <s v="GUATEMALA"/>
        <s v="HUEHUETENANGO"/>
        <s v="IZABAL"/>
        <s v="JALAPA"/>
        <s v="JUTIAPA"/>
        <s v="PETEN"/>
        <s v="QUETZALTENANGO"/>
        <s v="QUICHE"/>
        <s v="RETALHULEU"/>
        <s v="SACATEPEQUEZ"/>
        <s v="SAN MARCOS"/>
        <s v="SANTA ROSA"/>
        <s v="SOLOLA"/>
        <s v="SUCHITEPEQUEZ"/>
        <s v="TOTONICAPAN"/>
        <s v="ZACAPA"/>
        <s v="Petén"/>
        <s v="Quiché"/>
        <s v="Sololá"/>
        <s v="Totonicapán"/>
        <s v="Suchitepéquez"/>
      </sharedItems>
    </cacheField>
    <cacheField name="Municipio" numFmtId="0">
      <sharedItems count="415">
        <s v="CAHABÓN"/>
        <s v="CHAHAL"/>
        <s v="CHISEC"/>
        <s v="COBÁN"/>
        <s v="FRAY BARTOLOMÉ DE LAS CASAS"/>
        <s v="LANQUÍN"/>
        <s v="PANZÓS"/>
        <s v="RAXRUHÁ"/>
        <s v="SAN CRISTÓBAL VERAPAZ"/>
        <s v="SAN JUAN CHAMELCO"/>
        <s v="SAN PEDRO CARCHÁ"/>
        <s v="SANTA CATALINA LA TINTA"/>
        <s v="SANTA CRUZ VERAPAZ"/>
        <s v="SENAHÚ"/>
        <s v="TACTIC"/>
        <s v="TAMAHÚ"/>
        <s v="TUCURÚ"/>
        <s v="CUBULCO"/>
        <s v="EL CHOL"/>
        <s v="GRANADOS"/>
        <s v="PURULHÁ"/>
        <s v="RABINAL"/>
        <s v="SALAMÁ"/>
        <s v="SAN JERÓNIMO"/>
        <s v="SAN MIGUEL CHICAJ"/>
        <s v="ACATENANGO"/>
        <s v="CHIMALTENANGO"/>
        <s v="COMALAPA"/>
        <s v="EL TEJAR"/>
        <s v="PARRAMOS"/>
        <s v="PATZICÍA"/>
        <s v="PATZÚN"/>
        <s v="POCHUTA"/>
        <s v="SAN ANDRÉS ITZAPA"/>
        <s v="SAN JOSÉ POAQUIL"/>
        <s v="SAN MARTÍN JILOTEPEQUE"/>
        <s v="SANTA APOLONIA"/>
        <s v="SANTA CRUZ BALANYÁ"/>
        <s v="TECPÁN GUATEMALA"/>
        <s v="YEPOCAPA"/>
        <s v="ZARAGOZA"/>
        <s v="CAMOTÁN"/>
        <s v="CHIQUIMULA"/>
        <s v="CONCEPCIÓN LAS MINAS"/>
        <s v="ESQUIPULAS"/>
        <s v="IPALA"/>
        <s v="JOCOTÁN"/>
        <s v="OLOPA"/>
        <s v="QUEZALTEPEQUE"/>
        <s v="SAN JOSÉ LA ARADA"/>
        <s v="SAN JUAN ERMITA"/>
        <s v="EL JÍCARO"/>
        <s v="GUASTATOYA"/>
        <s v="MORAZÁN"/>
        <s v="SAN AGUSTÍN ACASAGUASTLÁN"/>
        <s v="SAN ANTONIO LA PAZ"/>
        <s v="SAN CRISTÓBAL ACASAGUASTLÁN"/>
        <s v="SANARATE"/>
        <s v="SANSARE"/>
        <s v="ESCUINTLA"/>
        <s v="GUANAGAZAPA"/>
        <s v="IZTAPA"/>
        <s v="LA DEMOCRACIA"/>
        <s v="LA GOMERA"/>
        <s v="MASAGUA"/>
        <s v="NUEVA CONCEPCIÓN"/>
        <s v="PALÍN"/>
        <s v="SAN JOSÉ"/>
        <s v="SAN VICENTE PACAYA"/>
        <s v="SANTA LUCÍA COTZUMALGUAPA"/>
        <s v="SIPACATE"/>
        <s v="SIQUINALÁ"/>
        <s v="TIQUISATE"/>
        <s v="AMATITLÁN"/>
        <s v="CHINAUTLA"/>
        <s v="CHUARRANCHO"/>
        <s v="FRAIJANES"/>
        <s v="GUATEMALA"/>
        <s v="MIXCO"/>
        <s v="PALENCIA"/>
        <s v="SAN JOSÉ DEL GOLFO"/>
        <s v="SAN JOSÉ PINULA"/>
        <s v="SAN JUAN SACATEPÉQUEZ"/>
        <s v="SAN MIGUEL PETAPA"/>
        <s v="SAN PEDRO AYAMPUC"/>
        <s v="SAN PEDRO SACATEPÉQUEZ"/>
        <s v="SAN RAYMUNDO"/>
        <s v="SANTA CATARINA PINULA"/>
        <s v="VILLA CANALES"/>
        <s v="VILLA NUEVA"/>
        <s v="AGUACATÁN"/>
        <s v="BARILLAS"/>
        <s v="CHIANTLA"/>
        <s v="COLOTENANGO"/>
        <s v="CONCEPCIÓN HUISTA"/>
        <s v="CUILCO"/>
        <s v="HUEHUETENANGO"/>
        <s v="JACALTENANGO"/>
        <s v="LA LIBERTAD"/>
        <s v="MALACATANCITO"/>
        <s v="NENTÓN"/>
        <s v="PETATAN"/>
        <s v="SAN ANTONIO HUISTA"/>
        <s v="SAN GASPAR IXCHIL"/>
        <s v="SAN ILDEFONSO IXTAHUACÁN"/>
        <s v="SAN JUAN ATITÁN"/>
        <s v="SAN JUAN IXCOY"/>
        <s v="SAN MATEO IXTATÁN"/>
        <s v="SAN MIGUEL ACATÁN"/>
        <s v="SAN PEDRO NECTA"/>
        <s v="SAN RAFAEL LA INDEPENDENCIA"/>
        <s v="SAN RAFAEL PETZAL"/>
        <s v="SAN SEBASTIÁN COATÁN"/>
        <s v="SAN SEBASTIÁN HUEHUETENANGO"/>
        <s v="SANTA ANA HUISTA"/>
        <s v="SANTA BÁRBARA"/>
        <s v="SANTA EULALIA"/>
        <s v="SANTIAGO CHIMALTENANGO"/>
        <s v="SOLOMA"/>
        <s v="TECTITÁN"/>
        <s v="TODOS SANTOS CUCHUMATÁN"/>
        <s v="UNIÓN CANTINIL"/>
        <s v="EL ESTOR"/>
        <s v="LIVINGSTON"/>
        <s v="LOS AMATES"/>
        <s v="MORALES"/>
        <s v="PUERTO BARRIOS"/>
        <s v="JALAPA"/>
        <s v="MATAQUESCUINTLA"/>
        <s v="MONJAS"/>
        <s v="SAN CARLOS ALZATATE"/>
        <s v="SAN LUIS JILOTEPEQUE"/>
        <s v="SAN MANUEL CHAPARRÓN"/>
        <s v="SAN PEDRO PINULA"/>
        <s v="AGUA BLANCA"/>
        <s v="ASUNCIÓN MITA"/>
        <s v="ATESCATEMPA"/>
        <s v="COMAPA"/>
        <s v="CONGUACO"/>
        <s v="EL ADELANTO"/>
        <s v="EL PROGRESO"/>
        <s v="JALPATAGUA"/>
        <s v="JERÉZ"/>
        <s v="JUTIAPA"/>
        <s v="MOYUTA"/>
        <s v="PASACO"/>
        <s v="QUEZADA"/>
        <s v="SAN JOSÉ ACATEMPA"/>
        <s v="SANTA CATARINA MITA"/>
        <s v="YUPILTEPEQUE"/>
        <s v="ZAPOTITLÁN"/>
        <s v="DOLORES"/>
        <s v="EL CHAL"/>
        <s v="FLORES"/>
        <s v="LAS CRUCES"/>
        <s v="MELCHOR DE MENCOS"/>
        <s v="POPTÚN"/>
        <s v="SAN ANDRÉS"/>
        <s v="SAN BENITO"/>
        <s v="SAN FRANCISCO"/>
        <s v="SAN LUIS"/>
        <s v="SANTA ANA"/>
        <s v="SAYAXCHÉ"/>
        <s v="ALMOLONGA"/>
        <s v="CABRICÁN"/>
        <s v="CAJOLÁ"/>
        <s v="CANTEL"/>
        <s v="COATEPEQUE"/>
        <s v="COLOMBA"/>
        <s v="CONCEPCIÓN CHIQUIRICHAPA"/>
        <s v="EL PALMAR"/>
        <s v="FLORES COSTA CUCA"/>
        <s v="GÉNOVA"/>
        <s v="HUITÁN"/>
        <s v="LA ESPERANZA"/>
        <s v="OLINTEPEQUE"/>
        <s v="PALESTINA DE LOS ALTOS"/>
        <s v="QUETZALTENANGO"/>
        <s v="SALCAJÁ"/>
        <s v="SAN CARLOS SIJA"/>
        <s v="SAN FRANCISCO LA UNIÓN"/>
        <s v="SAN JUAN OSTUNCALCO"/>
        <s v="SAN MARTÍN SACATEPÉQUEZ"/>
        <s v="SAN MATEO"/>
        <s v="SAN MIGUEL SIGUILÁ"/>
        <s v="SIBILIA"/>
        <s v="ZUNIL"/>
        <s v="CANILLÁ"/>
        <s v="CHAJUL"/>
        <s v="CHICAMÁN"/>
        <s v="CHICHÉ"/>
        <s v="CHICHICASTENANGO"/>
        <s v="CHINIQUE"/>
        <s v="CUNÉN"/>
        <s v="IXCÁN"/>
        <s v="JOYABAJ"/>
        <s v="NEBAJ"/>
        <s v="PACHALUM"/>
        <s v="PATZITÉ"/>
        <s v="SACAPULAS"/>
        <s v="SAN ANDRÉS SAJCABAJÁ"/>
        <s v="SAN ANTONIO ILOTENANGO"/>
        <s v="SAN BARTOLOMÉ JOCOTENANGO"/>
        <s v="SAN JUAN COTZAL"/>
        <s v="SAN PEDRO JOCOPILAS"/>
        <s v="SANTA CRUZ DEL QUICHÉ"/>
        <s v="USPANTÁN"/>
        <s v="ZACUALPA"/>
        <s v="CHAMPERICO"/>
        <s v="EL ASINTAL"/>
        <s v="NUEVO SAN CARLOS"/>
        <s v="RETALHULEU"/>
        <s v="SAN ANDRÉS VILLA SECA"/>
        <s v="SAN FELIPE"/>
        <s v="SAN MARTÍN ZAPOTITLÁN"/>
        <s v="SAN SEBASTIÁN"/>
        <s v="SANTA CRUZ MULUÁ"/>
        <s v="ALOTENANGO"/>
        <s v="ANTIGUA GUATEMALA"/>
        <s v="CIUDAD VIEJA"/>
        <s v="JOCOTENANGO"/>
        <s v="MAGDALENA MILPAS ALTAS"/>
        <s v="PASTORES"/>
        <s v="SAN ANTONIO AGUAS CALIENTES"/>
        <s v="SAN BARTOLOMÉ MILPAS ALTAS"/>
        <s v="SAN LUCAS SACATEPÉQUEZ"/>
        <s v="SAN MIGUEL DUEÑAS"/>
        <s v="SANTA CATARINA BARAHONA"/>
        <s v="SANTA LUCÍA MILPAS ALTAS"/>
        <s v="SANTA MARÍA DE JESÚS"/>
        <s v="SANTIAGO SACATEPÉQUEZ"/>
        <s v="SANTO DOMINGO XENACOJ"/>
        <s v="SUMPANGO"/>
        <s v="AYUTLA"/>
        <s v="CATARINA"/>
        <s v="COMITANCILLO"/>
        <s v="CONCEPCIÓN TUTUAPA"/>
        <s v="EL QUETZAL"/>
        <s v="EL RODEO"/>
        <s v="EL TUMBADOR"/>
        <s v="ESQUIPULAS PALO GORDO"/>
        <s v="IXCHIGUÁN"/>
        <s v="LA BLANCA"/>
        <s v="LA REFORMA"/>
        <s v="MALACATÁN"/>
        <s v="NUEVO PROGRESO"/>
        <s v="OCÓS"/>
        <s v="PAJAPITA"/>
        <s v="RÍO BLANCO"/>
        <s v="SAN ANTONIO SACATEPÉQUEZ"/>
        <s v="SAN CRISTÓBAL CUCHO"/>
        <s v="SAN JOSÉ OJETENAM"/>
        <s v="SAN LORENZO"/>
        <s v="SAN MARCOS"/>
        <s v="SAN MIGUEL IXTAHUACÁN"/>
        <s v="SAN PABLO"/>
        <s v="SAN RAFAEL PIE DE LA CUESTA"/>
        <s v="SIBINAL"/>
        <s v="SIPACAPA"/>
        <s v="TACANÁ"/>
        <s v="TAJUMULCO"/>
        <s v="TEJUTLA"/>
        <s v="BARBERENA"/>
        <s v="CASILLAS"/>
        <s v="CHIQUIMULILLA"/>
        <s v="CUILAPA"/>
        <s v="GUAZACAPÁN"/>
        <s v="NUEVA SANTA ROSA"/>
        <s v="ORATORIO"/>
        <s v="PUEBLO NUEVO VIÑAS"/>
        <s v="SAN JUAN TECUACO"/>
        <s v="SAN RAFAEL LAS FLORES"/>
        <s v="SANTA CRUZ NARANJO"/>
        <s v="SANTA MARÍA IXHUATÁN"/>
        <s v="SANTA ROSA DE LIMA"/>
        <s v="TAXISCO"/>
        <s v="CONCEPCIÓN"/>
        <s v="NAHUALÁ"/>
        <s v="PANAJACHEL"/>
        <s v="SAN ANDRÉS SEMETABAJ"/>
        <s v="SAN ANTONIO PALOPÓ"/>
        <s v="SAN JOSÉ CHACAYÁ"/>
        <s v="SAN JUAN LA LAGUNA"/>
        <s v="SAN LUCAS TOLIMÁN"/>
        <s v="SAN MARCOS LA LAGUNA"/>
        <s v="SAN PABLO LA LAGUNA"/>
        <s v="SAN PEDRO LA LAGUNA"/>
        <s v="SANTA CATARINA IXTAHUACÁN"/>
        <s v="SANTA CATARINA PALOPÓ"/>
        <s v="SANTA CLARA LA LAGUNA"/>
        <s v="SANTA CRUZ LA LAGUNA"/>
        <s v="SANTA LUCÍA UTATLÁN"/>
        <s v="SANTA MARÍA VISITACIÓN"/>
        <s v="SANTIAGO ATITLÁN"/>
        <s v="SOLOLÁ"/>
        <s v="CHICACAO"/>
        <s v="CUYOTENANGO"/>
        <s v="MAZATENANGO"/>
        <s v="PATULUL"/>
        <s v="PUEBLO NUEVO"/>
        <s v="RÍO BRAVO"/>
        <s v="SAMAYAC"/>
        <s v="SAN ANTONIO SUCHITEPÉQUEZ"/>
        <s v="SAN BERNARDINO"/>
        <s v="SAN FRANCISCO ZAPOTITLÁN"/>
        <s v="SAN GABRIEL"/>
        <s v="SAN JOSÉ EL IDOLO"/>
        <s v="SAN JOSÉ LA MÁQUINA"/>
        <s v="SAN JUAN BAUTISTA"/>
        <s v="SAN MIGUEL PANÁN"/>
        <s v="SAN PABLO JOCOPILAS"/>
        <s v="SANTO DOMINGO SUCHITEPÉQUEZ"/>
        <s v="SANTO TOMÁS LA UNIÓN"/>
        <s v="ZUNILITO"/>
        <s v="MOMOSTENANGO"/>
        <s v="SAN ANDRÉS XECUL"/>
        <s v="SAN BARTOLO"/>
        <s v="SAN CRISTÓBAL TOTONICAPÁN"/>
        <s v="SAN FRANCISCO EL ALTO"/>
        <s v="SANTA LUCÍA LA REFORMA"/>
        <s v="SANTA MARÍA CHIQUIMULA"/>
        <s v="TOTONICAPÁN"/>
        <s v="CABAÑAS"/>
        <s v="ESTANZUELA"/>
        <s v="GUALÁN"/>
        <s v="HUITÉ"/>
        <s v="LA UNIÓN"/>
        <s v="RÍO HONDO"/>
        <s v="SAN DIEGO"/>
        <s v="SAN JORGE"/>
        <s v="TECULUTÁN"/>
        <s v="USUMATLÁN"/>
        <s v="ZACAPA"/>
        <s v="SAN JACINTO"/>
        <s v="San Miguel Tucuru"/>
        <s v="Palestian de Los Altos"/>
        <s v="San Miguel Uspantan"/>
        <s v="Santa Lucia Utatlan"/>
        <s v="Aguacatan"/>
        <s v="San Ildefonso Ixtahuacan"/>
        <s v="San Sebastian Huehuetenango"/>
        <s v="Rio Hondo"/>
        <s v="Teculutan"/>
        <s v="San Manuel Chaparron"/>
        <s v="Camotan"/>
        <s v="San Juan La Ermita"/>
        <s v="San Sebastían"/>
        <s v="Santa Lucia Cotzumalguapa"/>
        <s v="Siquinala"/>
        <s v="San Juan Comalapa"/>
        <s v="Patzicia"/>
        <s v="Patzun"/>
        <s v="San Jose Poaquil"/>
        <s v="Santiago Sacatepequez"/>
        <s v="Santo Domingo Xenocoj"/>
        <s v="San Juan Alotenango"/>
        <s v="Santa Lucia la Reforma"/>
        <s v="Santa Maria Chiquimula"/>
        <s v="San Miguel Panam"/>
        <s v="SAN AGUSTÍN LANQUÍN"/>
        <s v="SENAHU"/>
        <s v="TAMAHU"/>
        <s v="CUBULCO 2"/>
        <s v="CUBULCO (Fijo)"/>
        <s v="PURULHA (Movil)"/>
        <s v="PURULHA (Fijo)"/>
        <s v="SALAMA"/>
        <s v="SALAMA 2"/>
        <s v="SAN JERONIMO"/>
        <s v="ACATENANGO (cerrado)"/>
        <s v="ACATENANCO (Fijo)"/>
        <s v="ACATENANGO (Fijo)"/>
        <s v="SAN MIGUEL POCHUTA"/>
        <s v="SAN PEDRO YEPOCAPA"/>
        <s v="SAN AGUSTIN ACASAGUASTLAN (Fijo)"/>
        <s v="SAN AGUSTIN ACASAGUASTLAN"/>
        <s v="SAN AGUSTIN ACASAGUASTLAN 2"/>
        <s v="EL INCIENSO ZONA 3"/>
        <s v="FEGUA"/>
        <s v="MAIMI"/>
        <s v="MAINA"/>
        <s v="ZONA 5"/>
        <s v="ROOSEVELT"/>
        <s v="UNOP"/>
        <s v="LO DE CARRANZA"/>
        <s v="NENTON"/>
        <s v="SAN PEDRO SOLOMA"/>
        <s v="SANTA BARBARA"/>
        <s v="EL ESTOR (Pataxte)"/>
        <s v="LIVINGSTON (Fronteras Río Dulce Móvil No. 11)"/>
        <s v="PUERTO BARRIOS (Entre Ríos)"/>
        <s v="MOYUTA (Fijo)"/>
        <s v="MOYUTA 2"/>
        <s v="QUESADA"/>
        <s v="ZAPOTITLAN"/>
        <s v="CABRICAN"/>
        <s v="SAN FRANCISCO LA UNION"/>
        <s v="CANILLA"/>
        <s v="CHICHE"/>
        <s v="SAN ANDRES SAJCABAJA"/>
        <s v="SAN BARTOLOME JOCOTENANGO"/>
        <s v="SANTA CRUZ DEL QUICHE"/>
        <s v="CHAMPERICO 2"/>
        <s v="SAN ANDRES VILLA SECA"/>
        <s v="SAN ANDRES VILLA SECA 2"/>
        <s v="SANTA LUCIA MILPAS ALTAS"/>
        <s v="SANTA MARIA DE JESUS"/>
        <s v="MALACATAN"/>
        <s v="OCOS"/>
        <s v="OCOS 2"/>
        <s v="SAN JOSE OJETENAM"/>
        <s v="SAN MIGUEL IXTAHUACAN"/>
        <s v="SOLOLA"/>
        <s v="SAN FRANCISCO ZAPOTITLAN"/>
        <s v="TOTONICAPAN"/>
      </sharedItems>
    </cacheField>
    <cacheField name="Unidad de Medida" numFmtId="0">
      <sharedItems count="5">
        <s v="Beca"/>
        <s v="Persona"/>
        <s v="Desayuno"/>
        <s v="Almuerzo"/>
        <s v="Aporte"/>
      </sharedItems>
    </cacheField>
    <cacheField name="Mes" numFmtId="0">
      <sharedItems count="16">
        <s v="01 Enero"/>
        <s v="02 Febrero"/>
        <s v="03 Marzo"/>
        <s v="04 Abril"/>
        <s v="05 Mayo"/>
        <s v="06 Junio"/>
        <s v="07 Julio"/>
        <s v="08 Acumulado 2026"/>
        <s v="Enero" u="1"/>
        <s v="Febrero" u="1"/>
        <s v="Marzo" u="1"/>
        <s v="Abril" u="1"/>
        <s v="Mayo" u="1"/>
        <s v="Junio" u="1"/>
        <s v="Julio" u="1"/>
        <s v="Acumulado 2026" u="1"/>
      </sharedItems>
    </cacheField>
    <cacheField name="No. Mes" numFmtId="0">
      <sharedItems containsSemiMixedTypes="0" containsString="0" containsNumber="1" containsInteger="1" minValue="1" maxValue="8"/>
    </cacheField>
    <cacheField name="Física" numFmtId="4">
      <sharedItems containsSemiMixedTypes="0" containsString="0" containsNumber="1" minValue="0" maxValue="76340"/>
    </cacheField>
    <cacheField name="Financiera" numFmtId="4">
      <sharedItems containsSemiMixedTypes="0" containsString="0" containsNumber="1" minValue="0" maxValue="24810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44">
  <r>
    <x v="0"/>
    <x v="0"/>
    <x v="0"/>
    <x v="0"/>
    <x v="0"/>
    <n v="1"/>
    <n v="0"/>
    <n v="0"/>
  </r>
  <r>
    <x v="0"/>
    <x v="0"/>
    <x v="0"/>
    <x v="0"/>
    <x v="1"/>
    <n v="2"/>
    <n v="0"/>
    <n v="0"/>
  </r>
  <r>
    <x v="0"/>
    <x v="0"/>
    <x v="0"/>
    <x v="0"/>
    <x v="2"/>
    <n v="3"/>
    <n v="5.6"/>
    <n v="14000"/>
  </r>
  <r>
    <x v="0"/>
    <x v="0"/>
    <x v="0"/>
    <x v="0"/>
    <x v="3"/>
    <n v="4"/>
    <n v="4.8"/>
    <n v="12000"/>
  </r>
  <r>
    <x v="0"/>
    <x v="0"/>
    <x v="0"/>
    <x v="0"/>
    <x v="4"/>
    <n v="5"/>
    <n v="0"/>
    <n v="0"/>
  </r>
  <r>
    <x v="0"/>
    <x v="0"/>
    <x v="0"/>
    <x v="0"/>
    <x v="5"/>
    <n v="6"/>
    <n v="10.4"/>
    <n v="26000"/>
  </r>
  <r>
    <x v="0"/>
    <x v="0"/>
    <x v="0"/>
    <x v="0"/>
    <x v="6"/>
    <n v="7"/>
    <n v="0"/>
    <n v="0"/>
  </r>
  <r>
    <x v="0"/>
    <x v="0"/>
    <x v="1"/>
    <x v="0"/>
    <x v="0"/>
    <n v="1"/>
    <n v="0"/>
    <n v="0"/>
  </r>
  <r>
    <x v="0"/>
    <x v="0"/>
    <x v="1"/>
    <x v="0"/>
    <x v="1"/>
    <n v="2"/>
    <n v="0"/>
    <n v="0"/>
  </r>
  <r>
    <x v="0"/>
    <x v="0"/>
    <x v="1"/>
    <x v="0"/>
    <x v="2"/>
    <n v="3"/>
    <n v="6"/>
    <n v="15000"/>
  </r>
  <r>
    <x v="0"/>
    <x v="0"/>
    <x v="1"/>
    <x v="0"/>
    <x v="3"/>
    <n v="4"/>
    <n v="6.8"/>
    <n v="17000"/>
  </r>
  <r>
    <x v="0"/>
    <x v="0"/>
    <x v="1"/>
    <x v="0"/>
    <x v="4"/>
    <n v="5"/>
    <n v="0"/>
    <n v="0"/>
  </r>
  <r>
    <x v="0"/>
    <x v="0"/>
    <x v="1"/>
    <x v="0"/>
    <x v="5"/>
    <n v="6"/>
    <n v="12.8"/>
    <n v="32000"/>
  </r>
  <r>
    <x v="0"/>
    <x v="0"/>
    <x v="1"/>
    <x v="0"/>
    <x v="6"/>
    <n v="7"/>
    <n v="0"/>
    <n v="0"/>
  </r>
  <r>
    <x v="0"/>
    <x v="0"/>
    <x v="2"/>
    <x v="0"/>
    <x v="0"/>
    <n v="1"/>
    <n v="0"/>
    <n v="0"/>
  </r>
  <r>
    <x v="0"/>
    <x v="0"/>
    <x v="2"/>
    <x v="0"/>
    <x v="1"/>
    <n v="2"/>
    <n v="0"/>
    <n v="0"/>
  </r>
  <r>
    <x v="0"/>
    <x v="0"/>
    <x v="2"/>
    <x v="0"/>
    <x v="2"/>
    <n v="3"/>
    <n v="6.8"/>
    <n v="17000"/>
  </r>
  <r>
    <x v="0"/>
    <x v="0"/>
    <x v="2"/>
    <x v="0"/>
    <x v="3"/>
    <n v="4"/>
    <n v="2.8"/>
    <n v="7000"/>
  </r>
  <r>
    <x v="0"/>
    <x v="0"/>
    <x v="2"/>
    <x v="0"/>
    <x v="4"/>
    <n v="5"/>
    <n v="0"/>
    <n v="0"/>
  </r>
  <r>
    <x v="0"/>
    <x v="0"/>
    <x v="2"/>
    <x v="0"/>
    <x v="5"/>
    <n v="6"/>
    <n v="9.1999999999999993"/>
    <n v="23000"/>
  </r>
  <r>
    <x v="0"/>
    <x v="0"/>
    <x v="2"/>
    <x v="0"/>
    <x v="6"/>
    <n v="7"/>
    <n v="0"/>
    <n v="0"/>
  </r>
  <r>
    <x v="0"/>
    <x v="0"/>
    <x v="3"/>
    <x v="0"/>
    <x v="0"/>
    <n v="1"/>
    <n v="0"/>
    <n v="0"/>
  </r>
  <r>
    <x v="0"/>
    <x v="0"/>
    <x v="3"/>
    <x v="0"/>
    <x v="1"/>
    <n v="2"/>
    <n v="0"/>
    <n v="0"/>
  </r>
  <r>
    <x v="0"/>
    <x v="0"/>
    <x v="3"/>
    <x v="0"/>
    <x v="2"/>
    <n v="3"/>
    <n v="6"/>
    <n v="15000"/>
  </r>
  <r>
    <x v="0"/>
    <x v="0"/>
    <x v="3"/>
    <x v="0"/>
    <x v="3"/>
    <n v="4"/>
    <n v="3.2"/>
    <n v="8000"/>
  </r>
  <r>
    <x v="0"/>
    <x v="0"/>
    <x v="3"/>
    <x v="0"/>
    <x v="4"/>
    <n v="5"/>
    <n v="0"/>
    <n v="0"/>
  </r>
  <r>
    <x v="0"/>
    <x v="0"/>
    <x v="3"/>
    <x v="0"/>
    <x v="5"/>
    <n v="6"/>
    <n v="8.8000000000000007"/>
    <n v="22000"/>
  </r>
  <r>
    <x v="0"/>
    <x v="0"/>
    <x v="3"/>
    <x v="0"/>
    <x v="6"/>
    <n v="7"/>
    <n v="0"/>
    <n v="0"/>
  </r>
  <r>
    <x v="0"/>
    <x v="0"/>
    <x v="4"/>
    <x v="0"/>
    <x v="0"/>
    <n v="1"/>
    <n v="0"/>
    <n v="0"/>
  </r>
  <r>
    <x v="0"/>
    <x v="0"/>
    <x v="4"/>
    <x v="0"/>
    <x v="1"/>
    <n v="2"/>
    <n v="0"/>
    <n v="0"/>
  </r>
  <r>
    <x v="0"/>
    <x v="0"/>
    <x v="4"/>
    <x v="0"/>
    <x v="2"/>
    <n v="3"/>
    <n v="1.6"/>
    <n v="4000"/>
  </r>
  <r>
    <x v="0"/>
    <x v="0"/>
    <x v="4"/>
    <x v="0"/>
    <x v="3"/>
    <n v="4"/>
    <n v="2.4"/>
    <n v="6000"/>
  </r>
  <r>
    <x v="0"/>
    <x v="0"/>
    <x v="4"/>
    <x v="0"/>
    <x v="4"/>
    <n v="5"/>
    <n v="0"/>
    <n v="0"/>
  </r>
  <r>
    <x v="0"/>
    <x v="0"/>
    <x v="4"/>
    <x v="0"/>
    <x v="5"/>
    <n v="6"/>
    <n v="4"/>
    <n v="10000"/>
  </r>
  <r>
    <x v="0"/>
    <x v="0"/>
    <x v="4"/>
    <x v="0"/>
    <x v="6"/>
    <n v="7"/>
    <n v="0"/>
    <n v="0"/>
  </r>
  <r>
    <x v="0"/>
    <x v="0"/>
    <x v="5"/>
    <x v="0"/>
    <x v="0"/>
    <n v="1"/>
    <n v="0"/>
    <n v="0"/>
  </r>
  <r>
    <x v="0"/>
    <x v="0"/>
    <x v="5"/>
    <x v="0"/>
    <x v="1"/>
    <n v="2"/>
    <n v="0"/>
    <n v="0"/>
  </r>
  <r>
    <x v="0"/>
    <x v="0"/>
    <x v="5"/>
    <x v="0"/>
    <x v="2"/>
    <n v="3"/>
    <n v="2.4"/>
    <n v="6000"/>
  </r>
  <r>
    <x v="0"/>
    <x v="0"/>
    <x v="5"/>
    <x v="0"/>
    <x v="3"/>
    <n v="4"/>
    <n v="7.6"/>
    <n v="19000"/>
  </r>
  <r>
    <x v="0"/>
    <x v="0"/>
    <x v="5"/>
    <x v="0"/>
    <x v="4"/>
    <n v="5"/>
    <n v="0"/>
    <n v="0"/>
  </r>
  <r>
    <x v="0"/>
    <x v="0"/>
    <x v="5"/>
    <x v="0"/>
    <x v="5"/>
    <n v="6"/>
    <n v="9.6"/>
    <n v="24000"/>
  </r>
  <r>
    <x v="0"/>
    <x v="0"/>
    <x v="5"/>
    <x v="0"/>
    <x v="6"/>
    <n v="7"/>
    <n v="0"/>
    <n v="0"/>
  </r>
  <r>
    <x v="0"/>
    <x v="0"/>
    <x v="6"/>
    <x v="0"/>
    <x v="0"/>
    <n v="1"/>
    <n v="0"/>
    <n v="0"/>
  </r>
  <r>
    <x v="0"/>
    <x v="0"/>
    <x v="6"/>
    <x v="0"/>
    <x v="1"/>
    <n v="2"/>
    <n v="0"/>
    <n v="0"/>
  </r>
  <r>
    <x v="0"/>
    <x v="0"/>
    <x v="6"/>
    <x v="0"/>
    <x v="2"/>
    <n v="3"/>
    <n v="6"/>
    <n v="15000"/>
  </r>
  <r>
    <x v="0"/>
    <x v="0"/>
    <x v="6"/>
    <x v="0"/>
    <x v="3"/>
    <n v="4"/>
    <n v="4.8"/>
    <n v="12000"/>
  </r>
  <r>
    <x v="0"/>
    <x v="0"/>
    <x v="6"/>
    <x v="0"/>
    <x v="4"/>
    <n v="5"/>
    <n v="0"/>
    <n v="0"/>
  </r>
  <r>
    <x v="0"/>
    <x v="0"/>
    <x v="6"/>
    <x v="0"/>
    <x v="5"/>
    <n v="6"/>
    <n v="10.4"/>
    <n v="26000"/>
  </r>
  <r>
    <x v="0"/>
    <x v="0"/>
    <x v="6"/>
    <x v="0"/>
    <x v="6"/>
    <n v="7"/>
    <n v="0"/>
    <n v="0"/>
  </r>
  <r>
    <x v="0"/>
    <x v="0"/>
    <x v="7"/>
    <x v="0"/>
    <x v="0"/>
    <n v="1"/>
    <n v="0"/>
    <n v="0"/>
  </r>
  <r>
    <x v="0"/>
    <x v="0"/>
    <x v="7"/>
    <x v="0"/>
    <x v="1"/>
    <n v="2"/>
    <n v="0"/>
    <n v="0"/>
  </r>
  <r>
    <x v="0"/>
    <x v="0"/>
    <x v="7"/>
    <x v="0"/>
    <x v="2"/>
    <n v="3"/>
    <n v="4.4000000000000004"/>
    <n v="11000"/>
  </r>
  <r>
    <x v="0"/>
    <x v="0"/>
    <x v="7"/>
    <x v="0"/>
    <x v="3"/>
    <n v="4"/>
    <n v="0"/>
    <n v="0"/>
  </r>
  <r>
    <x v="0"/>
    <x v="0"/>
    <x v="7"/>
    <x v="0"/>
    <x v="4"/>
    <n v="5"/>
    <n v="0"/>
    <n v="0"/>
  </r>
  <r>
    <x v="0"/>
    <x v="0"/>
    <x v="7"/>
    <x v="0"/>
    <x v="5"/>
    <n v="6"/>
    <n v="3.6"/>
    <n v="9000"/>
  </r>
  <r>
    <x v="0"/>
    <x v="0"/>
    <x v="7"/>
    <x v="0"/>
    <x v="6"/>
    <n v="7"/>
    <n v="0"/>
    <n v="0"/>
  </r>
  <r>
    <x v="0"/>
    <x v="0"/>
    <x v="8"/>
    <x v="0"/>
    <x v="0"/>
    <n v="1"/>
    <n v="0"/>
    <n v="0"/>
  </r>
  <r>
    <x v="0"/>
    <x v="0"/>
    <x v="8"/>
    <x v="0"/>
    <x v="1"/>
    <n v="2"/>
    <n v="0"/>
    <n v="0"/>
  </r>
  <r>
    <x v="0"/>
    <x v="0"/>
    <x v="8"/>
    <x v="0"/>
    <x v="2"/>
    <n v="3"/>
    <n v="8.8000000000000007"/>
    <n v="22000"/>
  </r>
  <r>
    <x v="0"/>
    <x v="0"/>
    <x v="8"/>
    <x v="0"/>
    <x v="3"/>
    <n v="4"/>
    <n v="2.8"/>
    <n v="7000"/>
  </r>
  <r>
    <x v="0"/>
    <x v="0"/>
    <x v="8"/>
    <x v="0"/>
    <x v="4"/>
    <n v="5"/>
    <n v="0"/>
    <n v="0"/>
  </r>
  <r>
    <x v="0"/>
    <x v="0"/>
    <x v="8"/>
    <x v="0"/>
    <x v="5"/>
    <n v="6"/>
    <n v="11.2"/>
    <n v="28000"/>
  </r>
  <r>
    <x v="0"/>
    <x v="0"/>
    <x v="8"/>
    <x v="0"/>
    <x v="6"/>
    <n v="7"/>
    <n v="0"/>
    <n v="0"/>
  </r>
  <r>
    <x v="0"/>
    <x v="0"/>
    <x v="9"/>
    <x v="0"/>
    <x v="0"/>
    <n v="1"/>
    <n v="0"/>
    <n v="0"/>
  </r>
  <r>
    <x v="0"/>
    <x v="0"/>
    <x v="9"/>
    <x v="0"/>
    <x v="1"/>
    <n v="2"/>
    <n v="0"/>
    <n v="0"/>
  </r>
  <r>
    <x v="0"/>
    <x v="0"/>
    <x v="9"/>
    <x v="0"/>
    <x v="2"/>
    <n v="3"/>
    <n v="1.6"/>
    <n v="4000"/>
  </r>
  <r>
    <x v="0"/>
    <x v="0"/>
    <x v="9"/>
    <x v="0"/>
    <x v="3"/>
    <n v="4"/>
    <n v="1.2"/>
    <n v="3000"/>
  </r>
  <r>
    <x v="0"/>
    <x v="0"/>
    <x v="9"/>
    <x v="0"/>
    <x v="4"/>
    <n v="5"/>
    <n v="0"/>
    <n v="0"/>
  </r>
  <r>
    <x v="0"/>
    <x v="0"/>
    <x v="9"/>
    <x v="0"/>
    <x v="5"/>
    <n v="6"/>
    <n v="2.4"/>
    <n v="6000"/>
  </r>
  <r>
    <x v="0"/>
    <x v="0"/>
    <x v="9"/>
    <x v="0"/>
    <x v="6"/>
    <n v="7"/>
    <n v="0"/>
    <n v="0"/>
  </r>
  <r>
    <x v="0"/>
    <x v="0"/>
    <x v="10"/>
    <x v="0"/>
    <x v="0"/>
    <n v="1"/>
    <n v="0"/>
    <n v="0"/>
  </r>
  <r>
    <x v="0"/>
    <x v="0"/>
    <x v="10"/>
    <x v="0"/>
    <x v="1"/>
    <n v="2"/>
    <n v="0"/>
    <n v="0"/>
  </r>
  <r>
    <x v="0"/>
    <x v="0"/>
    <x v="10"/>
    <x v="0"/>
    <x v="2"/>
    <n v="3"/>
    <n v="1.6"/>
    <n v="4000"/>
  </r>
  <r>
    <x v="0"/>
    <x v="0"/>
    <x v="10"/>
    <x v="0"/>
    <x v="3"/>
    <n v="4"/>
    <n v="4"/>
    <n v="10000"/>
  </r>
  <r>
    <x v="0"/>
    <x v="0"/>
    <x v="10"/>
    <x v="0"/>
    <x v="4"/>
    <n v="5"/>
    <n v="0"/>
    <n v="0"/>
  </r>
  <r>
    <x v="0"/>
    <x v="0"/>
    <x v="10"/>
    <x v="0"/>
    <x v="5"/>
    <n v="6"/>
    <n v="5.6"/>
    <n v="14000"/>
  </r>
  <r>
    <x v="0"/>
    <x v="0"/>
    <x v="10"/>
    <x v="0"/>
    <x v="6"/>
    <n v="7"/>
    <n v="0"/>
    <n v="0"/>
  </r>
  <r>
    <x v="0"/>
    <x v="0"/>
    <x v="11"/>
    <x v="0"/>
    <x v="0"/>
    <n v="1"/>
    <n v="0"/>
    <n v="0"/>
  </r>
  <r>
    <x v="0"/>
    <x v="0"/>
    <x v="11"/>
    <x v="0"/>
    <x v="1"/>
    <n v="2"/>
    <n v="0"/>
    <n v="0"/>
  </r>
  <r>
    <x v="0"/>
    <x v="0"/>
    <x v="11"/>
    <x v="0"/>
    <x v="2"/>
    <n v="3"/>
    <n v="2"/>
    <n v="5000"/>
  </r>
  <r>
    <x v="0"/>
    <x v="0"/>
    <x v="11"/>
    <x v="0"/>
    <x v="3"/>
    <n v="4"/>
    <n v="1.2"/>
    <n v="3000"/>
  </r>
  <r>
    <x v="0"/>
    <x v="0"/>
    <x v="11"/>
    <x v="0"/>
    <x v="4"/>
    <n v="5"/>
    <n v="0"/>
    <n v="0"/>
  </r>
  <r>
    <x v="0"/>
    <x v="0"/>
    <x v="11"/>
    <x v="0"/>
    <x v="5"/>
    <n v="6"/>
    <n v="2.8"/>
    <n v="7000"/>
  </r>
  <r>
    <x v="0"/>
    <x v="0"/>
    <x v="11"/>
    <x v="0"/>
    <x v="6"/>
    <n v="7"/>
    <n v="0"/>
    <n v="0"/>
  </r>
  <r>
    <x v="0"/>
    <x v="0"/>
    <x v="12"/>
    <x v="0"/>
    <x v="0"/>
    <n v="1"/>
    <n v="0"/>
    <n v="0"/>
  </r>
  <r>
    <x v="0"/>
    <x v="0"/>
    <x v="12"/>
    <x v="0"/>
    <x v="1"/>
    <n v="2"/>
    <n v="0"/>
    <n v="0"/>
  </r>
  <r>
    <x v="0"/>
    <x v="0"/>
    <x v="12"/>
    <x v="0"/>
    <x v="2"/>
    <n v="3"/>
    <n v="8"/>
    <n v="20000"/>
  </r>
  <r>
    <x v="0"/>
    <x v="0"/>
    <x v="12"/>
    <x v="0"/>
    <x v="3"/>
    <n v="4"/>
    <n v="6"/>
    <n v="15000"/>
  </r>
  <r>
    <x v="0"/>
    <x v="0"/>
    <x v="12"/>
    <x v="0"/>
    <x v="4"/>
    <n v="5"/>
    <n v="0"/>
    <n v="0"/>
  </r>
  <r>
    <x v="0"/>
    <x v="0"/>
    <x v="12"/>
    <x v="0"/>
    <x v="5"/>
    <n v="6"/>
    <n v="14"/>
    <n v="35000"/>
  </r>
  <r>
    <x v="0"/>
    <x v="0"/>
    <x v="12"/>
    <x v="0"/>
    <x v="6"/>
    <n v="7"/>
    <n v="0"/>
    <n v="0"/>
  </r>
  <r>
    <x v="0"/>
    <x v="0"/>
    <x v="13"/>
    <x v="0"/>
    <x v="0"/>
    <n v="1"/>
    <n v="0"/>
    <n v="0"/>
  </r>
  <r>
    <x v="0"/>
    <x v="0"/>
    <x v="13"/>
    <x v="0"/>
    <x v="1"/>
    <n v="2"/>
    <n v="0"/>
    <n v="0"/>
  </r>
  <r>
    <x v="0"/>
    <x v="0"/>
    <x v="13"/>
    <x v="0"/>
    <x v="2"/>
    <n v="3"/>
    <n v="7.6"/>
    <n v="19000"/>
  </r>
  <r>
    <x v="0"/>
    <x v="0"/>
    <x v="13"/>
    <x v="0"/>
    <x v="3"/>
    <n v="4"/>
    <n v="3.6"/>
    <n v="9000"/>
  </r>
  <r>
    <x v="0"/>
    <x v="0"/>
    <x v="13"/>
    <x v="0"/>
    <x v="4"/>
    <n v="5"/>
    <n v="0"/>
    <n v="0"/>
  </r>
  <r>
    <x v="0"/>
    <x v="0"/>
    <x v="13"/>
    <x v="0"/>
    <x v="5"/>
    <n v="6"/>
    <n v="11.2"/>
    <n v="28000"/>
  </r>
  <r>
    <x v="0"/>
    <x v="0"/>
    <x v="13"/>
    <x v="0"/>
    <x v="6"/>
    <n v="7"/>
    <n v="0"/>
    <n v="0"/>
  </r>
  <r>
    <x v="0"/>
    <x v="0"/>
    <x v="14"/>
    <x v="0"/>
    <x v="0"/>
    <n v="1"/>
    <n v="0"/>
    <n v="0"/>
  </r>
  <r>
    <x v="0"/>
    <x v="0"/>
    <x v="14"/>
    <x v="0"/>
    <x v="1"/>
    <n v="2"/>
    <n v="0"/>
    <n v="0"/>
  </r>
  <r>
    <x v="0"/>
    <x v="0"/>
    <x v="14"/>
    <x v="0"/>
    <x v="2"/>
    <n v="3"/>
    <n v="1"/>
    <n v="1000"/>
  </r>
  <r>
    <x v="0"/>
    <x v="0"/>
    <x v="14"/>
    <x v="0"/>
    <x v="3"/>
    <n v="4"/>
    <n v="0.8"/>
    <n v="2000"/>
  </r>
  <r>
    <x v="0"/>
    <x v="0"/>
    <x v="14"/>
    <x v="0"/>
    <x v="4"/>
    <n v="5"/>
    <n v="0"/>
    <n v="0"/>
  </r>
  <r>
    <x v="0"/>
    <x v="0"/>
    <x v="14"/>
    <x v="0"/>
    <x v="5"/>
    <n v="6"/>
    <n v="1.2"/>
    <n v="3000"/>
  </r>
  <r>
    <x v="0"/>
    <x v="0"/>
    <x v="14"/>
    <x v="0"/>
    <x v="6"/>
    <n v="7"/>
    <n v="0"/>
    <n v="0"/>
  </r>
  <r>
    <x v="0"/>
    <x v="0"/>
    <x v="15"/>
    <x v="0"/>
    <x v="0"/>
    <n v="1"/>
    <n v="0"/>
    <n v="0"/>
  </r>
  <r>
    <x v="0"/>
    <x v="0"/>
    <x v="15"/>
    <x v="0"/>
    <x v="1"/>
    <n v="2"/>
    <n v="0"/>
    <n v="0"/>
  </r>
  <r>
    <x v="0"/>
    <x v="0"/>
    <x v="15"/>
    <x v="0"/>
    <x v="2"/>
    <n v="3"/>
    <n v="0.8"/>
    <n v="2000"/>
  </r>
  <r>
    <x v="0"/>
    <x v="0"/>
    <x v="15"/>
    <x v="0"/>
    <x v="3"/>
    <n v="4"/>
    <n v="0.8"/>
    <n v="2000"/>
  </r>
  <r>
    <x v="0"/>
    <x v="0"/>
    <x v="15"/>
    <x v="0"/>
    <x v="4"/>
    <n v="5"/>
    <n v="0"/>
    <n v="0"/>
  </r>
  <r>
    <x v="0"/>
    <x v="0"/>
    <x v="15"/>
    <x v="0"/>
    <x v="5"/>
    <n v="6"/>
    <n v="1.6"/>
    <n v="4000"/>
  </r>
  <r>
    <x v="0"/>
    <x v="0"/>
    <x v="15"/>
    <x v="0"/>
    <x v="6"/>
    <n v="7"/>
    <n v="0"/>
    <n v="0"/>
  </r>
  <r>
    <x v="0"/>
    <x v="0"/>
    <x v="16"/>
    <x v="0"/>
    <x v="0"/>
    <n v="1"/>
    <n v="0"/>
    <n v="0"/>
  </r>
  <r>
    <x v="0"/>
    <x v="0"/>
    <x v="16"/>
    <x v="0"/>
    <x v="1"/>
    <n v="2"/>
    <n v="0"/>
    <n v="0"/>
  </r>
  <r>
    <x v="0"/>
    <x v="0"/>
    <x v="16"/>
    <x v="0"/>
    <x v="2"/>
    <n v="3"/>
    <n v="3.6"/>
    <n v="9000"/>
  </r>
  <r>
    <x v="0"/>
    <x v="0"/>
    <x v="16"/>
    <x v="0"/>
    <x v="3"/>
    <n v="4"/>
    <n v="2"/>
    <n v="5000"/>
  </r>
  <r>
    <x v="0"/>
    <x v="0"/>
    <x v="16"/>
    <x v="0"/>
    <x v="4"/>
    <n v="5"/>
    <n v="0"/>
    <n v="0"/>
  </r>
  <r>
    <x v="0"/>
    <x v="0"/>
    <x v="16"/>
    <x v="0"/>
    <x v="5"/>
    <n v="6"/>
    <n v="5.6"/>
    <n v="14000"/>
  </r>
  <r>
    <x v="0"/>
    <x v="0"/>
    <x v="16"/>
    <x v="0"/>
    <x v="6"/>
    <n v="7"/>
    <n v="0"/>
    <n v="0"/>
  </r>
  <r>
    <x v="0"/>
    <x v="1"/>
    <x v="17"/>
    <x v="0"/>
    <x v="0"/>
    <n v="1"/>
    <n v="0"/>
    <n v="0"/>
  </r>
  <r>
    <x v="0"/>
    <x v="1"/>
    <x v="17"/>
    <x v="0"/>
    <x v="1"/>
    <n v="2"/>
    <n v="0"/>
    <n v="0"/>
  </r>
  <r>
    <x v="0"/>
    <x v="1"/>
    <x v="17"/>
    <x v="0"/>
    <x v="2"/>
    <n v="3"/>
    <n v="4.8"/>
    <n v="12000"/>
  </r>
  <r>
    <x v="0"/>
    <x v="1"/>
    <x v="17"/>
    <x v="0"/>
    <x v="3"/>
    <n v="4"/>
    <n v="1.2"/>
    <n v="3000"/>
  </r>
  <r>
    <x v="0"/>
    <x v="1"/>
    <x v="17"/>
    <x v="0"/>
    <x v="4"/>
    <n v="5"/>
    <n v="0"/>
    <n v="0"/>
  </r>
  <r>
    <x v="0"/>
    <x v="1"/>
    <x v="17"/>
    <x v="0"/>
    <x v="5"/>
    <n v="6"/>
    <n v="6"/>
    <n v="15000"/>
  </r>
  <r>
    <x v="0"/>
    <x v="1"/>
    <x v="17"/>
    <x v="0"/>
    <x v="6"/>
    <n v="7"/>
    <n v="0"/>
    <n v="0"/>
  </r>
  <r>
    <x v="0"/>
    <x v="1"/>
    <x v="18"/>
    <x v="0"/>
    <x v="0"/>
    <n v="1"/>
    <n v="0"/>
    <n v="0"/>
  </r>
  <r>
    <x v="0"/>
    <x v="1"/>
    <x v="18"/>
    <x v="0"/>
    <x v="1"/>
    <n v="2"/>
    <n v="0"/>
    <n v="0"/>
  </r>
  <r>
    <x v="0"/>
    <x v="1"/>
    <x v="18"/>
    <x v="0"/>
    <x v="2"/>
    <n v="3"/>
    <n v="8.4"/>
    <n v="21000"/>
  </r>
  <r>
    <x v="0"/>
    <x v="1"/>
    <x v="18"/>
    <x v="0"/>
    <x v="3"/>
    <n v="4"/>
    <n v="3.6"/>
    <n v="9000"/>
  </r>
  <r>
    <x v="0"/>
    <x v="1"/>
    <x v="18"/>
    <x v="0"/>
    <x v="4"/>
    <n v="5"/>
    <n v="0"/>
    <n v="0"/>
  </r>
  <r>
    <x v="0"/>
    <x v="1"/>
    <x v="18"/>
    <x v="0"/>
    <x v="5"/>
    <n v="6"/>
    <n v="11.6"/>
    <n v="29000"/>
  </r>
  <r>
    <x v="0"/>
    <x v="1"/>
    <x v="18"/>
    <x v="0"/>
    <x v="6"/>
    <n v="7"/>
    <n v="0"/>
    <n v="0"/>
  </r>
  <r>
    <x v="0"/>
    <x v="1"/>
    <x v="19"/>
    <x v="0"/>
    <x v="0"/>
    <n v="1"/>
    <n v="0"/>
    <n v="0"/>
  </r>
  <r>
    <x v="0"/>
    <x v="1"/>
    <x v="19"/>
    <x v="0"/>
    <x v="1"/>
    <n v="2"/>
    <n v="0"/>
    <n v="0"/>
  </r>
  <r>
    <x v="0"/>
    <x v="1"/>
    <x v="19"/>
    <x v="0"/>
    <x v="2"/>
    <n v="3"/>
    <n v="3.2"/>
    <n v="8000"/>
  </r>
  <r>
    <x v="0"/>
    <x v="1"/>
    <x v="19"/>
    <x v="0"/>
    <x v="3"/>
    <n v="4"/>
    <n v="2"/>
    <n v="5000"/>
  </r>
  <r>
    <x v="0"/>
    <x v="1"/>
    <x v="19"/>
    <x v="0"/>
    <x v="4"/>
    <n v="5"/>
    <n v="0"/>
    <n v="0"/>
  </r>
  <r>
    <x v="0"/>
    <x v="1"/>
    <x v="19"/>
    <x v="0"/>
    <x v="5"/>
    <n v="6"/>
    <n v="5.2"/>
    <n v="13000"/>
  </r>
  <r>
    <x v="0"/>
    <x v="1"/>
    <x v="19"/>
    <x v="0"/>
    <x v="6"/>
    <n v="7"/>
    <n v="0"/>
    <n v="0"/>
  </r>
  <r>
    <x v="0"/>
    <x v="1"/>
    <x v="20"/>
    <x v="0"/>
    <x v="0"/>
    <n v="1"/>
    <n v="0"/>
    <n v="0"/>
  </r>
  <r>
    <x v="0"/>
    <x v="1"/>
    <x v="20"/>
    <x v="0"/>
    <x v="1"/>
    <n v="2"/>
    <n v="0"/>
    <n v="0"/>
  </r>
  <r>
    <x v="0"/>
    <x v="1"/>
    <x v="20"/>
    <x v="0"/>
    <x v="2"/>
    <n v="3"/>
    <n v="8"/>
    <n v="20000"/>
  </r>
  <r>
    <x v="0"/>
    <x v="1"/>
    <x v="20"/>
    <x v="0"/>
    <x v="3"/>
    <n v="4"/>
    <n v="2.8"/>
    <n v="7000"/>
  </r>
  <r>
    <x v="0"/>
    <x v="1"/>
    <x v="20"/>
    <x v="0"/>
    <x v="4"/>
    <n v="5"/>
    <n v="0"/>
    <n v="0"/>
  </r>
  <r>
    <x v="0"/>
    <x v="1"/>
    <x v="20"/>
    <x v="0"/>
    <x v="5"/>
    <n v="6"/>
    <n v="10.4"/>
    <n v="26000"/>
  </r>
  <r>
    <x v="0"/>
    <x v="1"/>
    <x v="20"/>
    <x v="0"/>
    <x v="6"/>
    <n v="7"/>
    <n v="0"/>
    <n v="0"/>
  </r>
  <r>
    <x v="0"/>
    <x v="1"/>
    <x v="21"/>
    <x v="0"/>
    <x v="0"/>
    <n v="1"/>
    <n v="0"/>
    <n v="0"/>
  </r>
  <r>
    <x v="0"/>
    <x v="1"/>
    <x v="21"/>
    <x v="0"/>
    <x v="1"/>
    <n v="2"/>
    <n v="0"/>
    <n v="0"/>
  </r>
  <r>
    <x v="0"/>
    <x v="1"/>
    <x v="21"/>
    <x v="0"/>
    <x v="2"/>
    <n v="3"/>
    <n v="1.6"/>
    <n v="4000"/>
  </r>
  <r>
    <x v="0"/>
    <x v="1"/>
    <x v="21"/>
    <x v="0"/>
    <x v="3"/>
    <n v="4"/>
    <n v="1.2"/>
    <n v="3000"/>
  </r>
  <r>
    <x v="0"/>
    <x v="1"/>
    <x v="21"/>
    <x v="0"/>
    <x v="4"/>
    <n v="5"/>
    <n v="0"/>
    <n v="0"/>
  </r>
  <r>
    <x v="0"/>
    <x v="1"/>
    <x v="21"/>
    <x v="0"/>
    <x v="5"/>
    <n v="6"/>
    <n v="2.8"/>
    <n v="7000"/>
  </r>
  <r>
    <x v="0"/>
    <x v="1"/>
    <x v="21"/>
    <x v="0"/>
    <x v="6"/>
    <n v="7"/>
    <n v="0"/>
    <n v="0"/>
  </r>
  <r>
    <x v="0"/>
    <x v="1"/>
    <x v="22"/>
    <x v="0"/>
    <x v="0"/>
    <n v="1"/>
    <n v="0"/>
    <n v="0"/>
  </r>
  <r>
    <x v="0"/>
    <x v="1"/>
    <x v="22"/>
    <x v="0"/>
    <x v="1"/>
    <n v="2"/>
    <n v="0"/>
    <n v="0"/>
  </r>
  <r>
    <x v="0"/>
    <x v="1"/>
    <x v="22"/>
    <x v="0"/>
    <x v="2"/>
    <n v="3"/>
    <n v="3.6"/>
    <n v="9000"/>
  </r>
  <r>
    <x v="0"/>
    <x v="1"/>
    <x v="22"/>
    <x v="0"/>
    <x v="3"/>
    <n v="4"/>
    <n v="0.8"/>
    <n v="2000"/>
  </r>
  <r>
    <x v="0"/>
    <x v="1"/>
    <x v="22"/>
    <x v="0"/>
    <x v="4"/>
    <n v="5"/>
    <n v="0"/>
    <n v="0"/>
  </r>
  <r>
    <x v="0"/>
    <x v="1"/>
    <x v="22"/>
    <x v="0"/>
    <x v="5"/>
    <n v="6"/>
    <n v="4.4000000000000004"/>
    <n v="11000"/>
  </r>
  <r>
    <x v="0"/>
    <x v="1"/>
    <x v="22"/>
    <x v="0"/>
    <x v="6"/>
    <n v="7"/>
    <n v="0"/>
    <n v="0"/>
  </r>
  <r>
    <x v="0"/>
    <x v="1"/>
    <x v="23"/>
    <x v="0"/>
    <x v="0"/>
    <n v="1"/>
    <n v="0"/>
    <n v="0"/>
  </r>
  <r>
    <x v="0"/>
    <x v="1"/>
    <x v="23"/>
    <x v="0"/>
    <x v="1"/>
    <n v="2"/>
    <n v="0"/>
    <n v="0"/>
  </r>
  <r>
    <x v="0"/>
    <x v="1"/>
    <x v="23"/>
    <x v="0"/>
    <x v="2"/>
    <n v="3"/>
    <n v="6.8"/>
    <n v="17000"/>
  </r>
  <r>
    <x v="0"/>
    <x v="1"/>
    <x v="23"/>
    <x v="0"/>
    <x v="3"/>
    <n v="4"/>
    <n v="1.6"/>
    <n v="4000"/>
  </r>
  <r>
    <x v="0"/>
    <x v="1"/>
    <x v="23"/>
    <x v="0"/>
    <x v="4"/>
    <n v="5"/>
    <n v="0"/>
    <n v="0"/>
  </r>
  <r>
    <x v="0"/>
    <x v="1"/>
    <x v="23"/>
    <x v="0"/>
    <x v="5"/>
    <n v="6"/>
    <n v="8.4"/>
    <n v="21000"/>
  </r>
  <r>
    <x v="0"/>
    <x v="1"/>
    <x v="23"/>
    <x v="0"/>
    <x v="6"/>
    <n v="7"/>
    <n v="0"/>
    <n v="0"/>
  </r>
  <r>
    <x v="0"/>
    <x v="1"/>
    <x v="24"/>
    <x v="0"/>
    <x v="0"/>
    <n v="1"/>
    <n v="0"/>
    <n v="0"/>
  </r>
  <r>
    <x v="0"/>
    <x v="1"/>
    <x v="24"/>
    <x v="0"/>
    <x v="1"/>
    <n v="2"/>
    <n v="0"/>
    <n v="0"/>
  </r>
  <r>
    <x v="0"/>
    <x v="1"/>
    <x v="24"/>
    <x v="0"/>
    <x v="2"/>
    <n v="3"/>
    <n v="6"/>
    <n v="15000"/>
  </r>
  <r>
    <x v="0"/>
    <x v="1"/>
    <x v="24"/>
    <x v="0"/>
    <x v="3"/>
    <n v="4"/>
    <n v="2.4"/>
    <n v="6000"/>
  </r>
  <r>
    <x v="0"/>
    <x v="1"/>
    <x v="24"/>
    <x v="0"/>
    <x v="4"/>
    <n v="5"/>
    <n v="0"/>
    <n v="0"/>
  </r>
  <r>
    <x v="0"/>
    <x v="1"/>
    <x v="24"/>
    <x v="0"/>
    <x v="5"/>
    <n v="6"/>
    <n v="8.4"/>
    <n v="21000"/>
  </r>
  <r>
    <x v="0"/>
    <x v="1"/>
    <x v="24"/>
    <x v="0"/>
    <x v="6"/>
    <n v="7"/>
    <n v="0"/>
    <n v="0"/>
  </r>
  <r>
    <x v="0"/>
    <x v="2"/>
    <x v="25"/>
    <x v="0"/>
    <x v="0"/>
    <n v="1"/>
    <n v="0"/>
    <n v="0"/>
  </r>
  <r>
    <x v="0"/>
    <x v="2"/>
    <x v="25"/>
    <x v="0"/>
    <x v="1"/>
    <n v="2"/>
    <n v="0"/>
    <n v="0"/>
  </r>
  <r>
    <x v="0"/>
    <x v="2"/>
    <x v="25"/>
    <x v="0"/>
    <x v="2"/>
    <n v="3"/>
    <n v="2.4"/>
    <n v="6000"/>
  </r>
  <r>
    <x v="0"/>
    <x v="2"/>
    <x v="25"/>
    <x v="0"/>
    <x v="3"/>
    <n v="4"/>
    <n v="0.8"/>
    <n v="2000"/>
  </r>
  <r>
    <x v="0"/>
    <x v="2"/>
    <x v="25"/>
    <x v="0"/>
    <x v="4"/>
    <n v="5"/>
    <n v="0"/>
    <n v="0"/>
  </r>
  <r>
    <x v="0"/>
    <x v="2"/>
    <x v="25"/>
    <x v="0"/>
    <x v="5"/>
    <n v="6"/>
    <n v="3.2"/>
    <n v="8000"/>
  </r>
  <r>
    <x v="0"/>
    <x v="2"/>
    <x v="25"/>
    <x v="0"/>
    <x v="6"/>
    <n v="7"/>
    <n v="0"/>
    <n v="0"/>
  </r>
  <r>
    <x v="0"/>
    <x v="2"/>
    <x v="26"/>
    <x v="0"/>
    <x v="0"/>
    <n v="1"/>
    <n v="0"/>
    <n v="0"/>
  </r>
  <r>
    <x v="0"/>
    <x v="2"/>
    <x v="26"/>
    <x v="0"/>
    <x v="1"/>
    <n v="2"/>
    <n v="0"/>
    <n v="0"/>
  </r>
  <r>
    <x v="0"/>
    <x v="2"/>
    <x v="26"/>
    <x v="0"/>
    <x v="2"/>
    <n v="3"/>
    <n v="5.6"/>
    <n v="14000"/>
  </r>
  <r>
    <x v="0"/>
    <x v="2"/>
    <x v="26"/>
    <x v="0"/>
    <x v="3"/>
    <n v="4"/>
    <n v="3.2"/>
    <n v="8000"/>
  </r>
  <r>
    <x v="0"/>
    <x v="2"/>
    <x v="26"/>
    <x v="0"/>
    <x v="4"/>
    <n v="5"/>
    <n v="0"/>
    <n v="0"/>
  </r>
  <r>
    <x v="0"/>
    <x v="2"/>
    <x v="26"/>
    <x v="0"/>
    <x v="5"/>
    <n v="6"/>
    <n v="8.8000000000000007"/>
    <n v="22000"/>
  </r>
  <r>
    <x v="0"/>
    <x v="2"/>
    <x v="26"/>
    <x v="0"/>
    <x v="6"/>
    <n v="7"/>
    <n v="0"/>
    <n v="0"/>
  </r>
  <r>
    <x v="0"/>
    <x v="2"/>
    <x v="27"/>
    <x v="0"/>
    <x v="0"/>
    <n v="1"/>
    <n v="0"/>
    <n v="0"/>
  </r>
  <r>
    <x v="0"/>
    <x v="2"/>
    <x v="27"/>
    <x v="0"/>
    <x v="1"/>
    <n v="2"/>
    <n v="0"/>
    <n v="0"/>
  </r>
  <r>
    <x v="0"/>
    <x v="2"/>
    <x v="27"/>
    <x v="0"/>
    <x v="2"/>
    <n v="3"/>
    <n v="3.2"/>
    <n v="8000"/>
  </r>
  <r>
    <x v="0"/>
    <x v="2"/>
    <x v="27"/>
    <x v="0"/>
    <x v="3"/>
    <n v="4"/>
    <n v="3.2"/>
    <n v="8000"/>
  </r>
  <r>
    <x v="0"/>
    <x v="2"/>
    <x v="27"/>
    <x v="0"/>
    <x v="4"/>
    <n v="5"/>
    <n v="0"/>
    <n v="0"/>
  </r>
  <r>
    <x v="0"/>
    <x v="2"/>
    <x v="27"/>
    <x v="0"/>
    <x v="5"/>
    <n v="6"/>
    <n v="6.4"/>
    <n v="16000"/>
  </r>
  <r>
    <x v="0"/>
    <x v="2"/>
    <x v="27"/>
    <x v="0"/>
    <x v="6"/>
    <n v="7"/>
    <n v="0"/>
    <n v="0"/>
  </r>
  <r>
    <x v="0"/>
    <x v="2"/>
    <x v="28"/>
    <x v="0"/>
    <x v="0"/>
    <n v="1"/>
    <n v="0"/>
    <n v="0"/>
  </r>
  <r>
    <x v="0"/>
    <x v="2"/>
    <x v="28"/>
    <x v="0"/>
    <x v="1"/>
    <n v="2"/>
    <n v="0"/>
    <n v="0"/>
  </r>
  <r>
    <x v="0"/>
    <x v="2"/>
    <x v="28"/>
    <x v="0"/>
    <x v="2"/>
    <n v="3"/>
    <n v="5.2"/>
    <n v="13000"/>
  </r>
  <r>
    <x v="0"/>
    <x v="2"/>
    <x v="28"/>
    <x v="0"/>
    <x v="3"/>
    <n v="4"/>
    <n v="1.2"/>
    <n v="3000"/>
  </r>
  <r>
    <x v="0"/>
    <x v="2"/>
    <x v="28"/>
    <x v="0"/>
    <x v="4"/>
    <n v="5"/>
    <n v="0"/>
    <n v="0"/>
  </r>
  <r>
    <x v="0"/>
    <x v="2"/>
    <x v="28"/>
    <x v="0"/>
    <x v="5"/>
    <n v="6"/>
    <n v="5.6"/>
    <n v="14000"/>
  </r>
  <r>
    <x v="0"/>
    <x v="2"/>
    <x v="28"/>
    <x v="0"/>
    <x v="6"/>
    <n v="7"/>
    <n v="0"/>
    <n v="0"/>
  </r>
  <r>
    <x v="0"/>
    <x v="2"/>
    <x v="29"/>
    <x v="0"/>
    <x v="0"/>
    <n v="1"/>
    <n v="0"/>
    <n v="0"/>
  </r>
  <r>
    <x v="0"/>
    <x v="2"/>
    <x v="29"/>
    <x v="0"/>
    <x v="1"/>
    <n v="2"/>
    <n v="0"/>
    <n v="0"/>
  </r>
  <r>
    <x v="0"/>
    <x v="2"/>
    <x v="29"/>
    <x v="0"/>
    <x v="2"/>
    <n v="3"/>
    <n v="4"/>
    <n v="10000"/>
  </r>
  <r>
    <x v="0"/>
    <x v="2"/>
    <x v="29"/>
    <x v="0"/>
    <x v="3"/>
    <n v="4"/>
    <n v="4"/>
    <n v="10000"/>
  </r>
  <r>
    <x v="0"/>
    <x v="2"/>
    <x v="29"/>
    <x v="0"/>
    <x v="4"/>
    <n v="5"/>
    <n v="0"/>
    <n v="0"/>
  </r>
  <r>
    <x v="0"/>
    <x v="2"/>
    <x v="29"/>
    <x v="0"/>
    <x v="5"/>
    <n v="6"/>
    <n v="8"/>
    <n v="20000"/>
  </r>
  <r>
    <x v="0"/>
    <x v="2"/>
    <x v="29"/>
    <x v="0"/>
    <x v="6"/>
    <n v="7"/>
    <n v="0"/>
    <n v="0"/>
  </r>
  <r>
    <x v="0"/>
    <x v="2"/>
    <x v="30"/>
    <x v="0"/>
    <x v="0"/>
    <n v="1"/>
    <n v="0"/>
    <n v="0"/>
  </r>
  <r>
    <x v="0"/>
    <x v="2"/>
    <x v="30"/>
    <x v="0"/>
    <x v="1"/>
    <n v="2"/>
    <n v="0"/>
    <n v="0"/>
  </r>
  <r>
    <x v="0"/>
    <x v="2"/>
    <x v="30"/>
    <x v="0"/>
    <x v="2"/>
    <n v="3"/>
    <n v="3.2"/>
    <n v="8000"/>
  </r>
  <r>
    <x v="0"/>
    <x v="2"/>
    <x v="30"/>
    <x v="0"/>
    <x v="3"/>
    <n v="4"/>
    <n v="1.6"/>
    <n v="4000"/>
  </r>
  <r>
    <x v="0"/>
    <x v="2"/>
    <x v="30"/>
    <x v="0"/>
    <x v="4"/>
    <n v="5"/>
    <n v="0"/>
    <n v="0"/>
  </r>
  <r>
    <x v="0"/>
    <x v="2"/>
    <x v="30"/>
    <x v="0"/>
    <x v="5"/>
    <n v="6"/>
    <n v="4.8"/>
    <n v="12000"/>
  </r>
  <r>
    <x v="0"/>
    <x v="2"/>
    <x v="30"/>
    <x v="0"/>
    <x v="6"/>
    <n v="7"/>
    <n v="0"/>
    <n v="0"/>
  </r>
  <r>
    <x v="0"/>
    <x v="2"/>
    <x v="31"/>
    <x v="0"/>
    <x v="0"/>
    <n v="1"/>
    <n v="0"/>
    <n v="0"/>
  </r>
  <r>
    <x v="0"/>
    <x v="2"/>
    <x v="31"/>
    <x v="0"/>
    <x v="1"/>
    <n v="2"/>
    <n v="0"/>
    <n v="0"/>
  </r>
  <r>
    <x v="0"/>
    <x v="2"/>
    <x v="31"/>
    <x v="0"/>
    <x v="2"/>
    <n v="3"/>
    <n v="4"/>
    <n v="10000"/>
  </r>
  <r>
    <x v="0"/>
    <x v="2"/>
    <x v="31"/>
    <x v="0"/>
    <x v="3"/>
    <n v="4"/>
    <n v="4"/>
    <n v="10000"/>
  </r>
  <r>
    <x v="0"/>
    <x v="2"/>
    <x v="31"/>
    <x v="0"/>
    <x v="4"/>
    <n v="5"/>
    <n v="0"/>
    <n v="0"/>
  </r>
  <r>
    <x v="0"/>
    <x v="2"/>
    <x v="31"/>
    <x v="0"/>
    <x v="5"/>
    <n v="6"/>
    <n v="7.2"/>
    <n v="18000"/>
  </r>
  <r>
    <x v="0"/>
    <x v="2"/>
    <x v="31"/>
    <x v="0"/>
    <x v="6"/>
    <n v="7"/>
    <n v="0"/>
    <n v="0"/>
  </r>
  <r>
    <x v="0"/>
    <x v="2"/>
    <x v="32"/>
    <x v="0"/>
    <x v="0"/>
    <n v="1"/>
    <n v="0"/>
    <n v="0"/>
  </r>
  <r>
    <x v="0"/>
    <x v="2"/>
    <x v="32"/>
    <x v="0"/>
    <x v="1"/>
    <n v="2"/>
    <n v="0"/>
    <n v="0"/>
  </r>
  <r>
    <x v="0"/>
    <x v="2"/>
    <x v="32"/>
    <x v="0"/>
    <x v="2"/>
    <n v="3"/>
    <n v="4.8"/>
    <n v="12000"/>
  </r>
  <r>
    <x v="0"/>
    <x v="2"/>
    <x v="32"/>
    <x v="0"/>
    <x v="3"/>
    <n v="4"/>
    <n v="6.4"/>
    <n v="16000"/>
  </r>
  <r>
    <x v="0"/>
    <x v="2"/>
    <x v="32"/>
    <x v="0"/>
    <x v="4"/>
    <n v="5"/>
    <n v="0"/>
    <n v="0"/>
  </r>
  <r>
    <x v="0"/>
    <x v="2"/>
    <x v="32"/>
    <x v="0"/>
    <x v="5"/>
    <n v="6"/>
    <n v="9.6"/>
    <n v="24000"/>
  </r>
  <r>
    <x v="0"/>
    <x v="2"/>
    <x v="32"/>
    <x v="0"/>
    <x v="6"/>
    <n v="7"/>
    <n v="0"/>
    <n v="0"/>
  </r>
  <r>
    <x v="0"/>
    <x v="2"/>
    <x v="33"/>
    <x v="0"/>
    <x v="0"/>
    <n v="1"/>
    <n v="0"/>
    <n v="0"/>
  </r>
  <r>
    <x v="0"/>
    <x v="2"/>
    <x v="33"/>
    <x v="0"/>
    <x v="1"/>
    <n v="2"/>
    <n v="0"/>
    <n v="0"/>
  </r>
  <r>
    <x v="0"/>
    <x v="2"/>
    <x v="33"/>
    <x v="0"/>
    <x v="2"/>
    <n v="3"/>
    <n v="3.6"/>
    <n v="9000"/>
  </r>
  <r>
    <x v="0"/>
    <x v="2"/>
    <x v="33"/>
    <x v="0"/>
    <x v="3"/>
    <n v="4"/>
    <n v="4.4000000000000004"/>
    <n v="11000"/>
  </r>
  <r>
    <x v="0"/>
    <x v="2"/>
    <x v="33"/>
    <x v="0"/>
    <x v="4"/>
    <n v="5"/>
    <n v="0"/>
    <n v="0"/>
  </r>
  <r>
    <x v="0"/>
    <x v="2"/>
    <x v="33"/>
    <x v="0"/>
    <x v="5"/>
    <n v="6"/>
    <n v="7.6"/>
    <n v="19000"/>
  </r>
  <r>
    <x v="0"/>
    <x v="2"/>
    <x v="33"/>
    <x v="0"/>
    <x v="6"/>
    <n v="7"/>
    <n v="0"/>
    <n v="0"/>
  </r>
  <r>
    <x v="0"/>
    <x v="2"/>
    <x v="34"/>
    <x v="0"/>
    <x v="0"/>
    <n v="1"/>
    <n v="0"/>
    <n v="0"/>
  </r>
  <r>
    <x v="0"/>
    <x v="2"/>
    <x v="34"/>
    <x v="0"/>
    <x v="1"/>
    <n v="2"/>
    <n v="0"/>
    <n v="0"/>
  </r>
  <r>
    <x v="0"/>
    <x v="2"/>
    <x v="34"/>
    <x v="0"/>
    <x v="2"/>
    <n v="3"/>
    <n v="2.8"/>
    <n v="7000"/>
  </r>
  <r>
    <x v="0"/>
    <x v="2"/>
    <x v="34"/>
    <x v="0"/>
    <x v="3"/>
    <n v="4"/>
    <n v="4.8"/>
    <n v="12000"/>
  </r>
  <r>
    <x v="0"/>
    <x v="2"/>
    <x v="34"/>
    <x v="0"/>
    <x v="4"/>
    <n v="5"/>
    <n v="0"/>
    <n v="0"/>
  </r>
  <r>
    <x v="0"/>
    <x v="2"/>
    <x v="34"/>
    <x v="0"/>
    <x v="5"/>
    <n v="6"/>
    <n v="7.6"/>
    <n v="19000"/>
  </r>
  <r>
    <x v="0"/>
    <x v="2"/>
    <x v="34"/>
    <x v="0"/>
    <x v="6"/>
    <n v="7"/>
    <n v="0"/>
    <n v="0"/>
  </r>
  <r>
    <x v="0"/>
    <x v="2"/>
    <x v="35"/>
    <x v="0"/>
    <x v="0"/>
    <n v="1"/>
    <n v="0"/>
    <n v="0"/>
  </r>
  <r>
    <x v="0"/>
    <x v="2"/>
    <x v="35"/>
    <x v="0"/>
    <x v="1"/>
    <n v="2"/>
    <n v="0"/>
    <n v="0"/>
  </r>
  <r>
    <x v="0"/>
    <x v="2"/>
    <x v="35"/>
    <x v="0"/>
    <x v="2"/>
    <n v="3"/>
    <n v="2.4"/>
    <n v="6000"/>
  </r>
  <r>
    <x v="0"/>
    <x v="2"/>
    <x v="35"/>
    <x v="0"/>
    <x v="3"/>
    <n v="4"/>
    <n v="0"/>
    <n v="0"/>
  </r>
  <r>
    <x v="0"/>
    <x v="2"/>
    <x v="35"/>
    <x v="0"/>
    <x v="4"/>
    <n v="5"/>
    <n v="0"/>
    <n v="0"/>
  </r>
  <r>
    <x v="0"/>
    <x v="2"/>
    <x v="35"/>
    <x v="0"/>
    <x v="5"/>
    <n v="6"/>
    <n v="2.4"/>
    <n v="6000"/>
  </r>
  <r>
    <x v="0"/>
    <x v="2"/>
    <x v="35"/>
    <x v="0"/>
    <x v="6"/>
    <n v="7"/>
    <n v="0"/>
    <n v="0"/>
  </r>
  <r>
    <x v="0"/>
    <x v="2"/>
    <x v="36"/>
    <x v="0"/>
    <x v="0"/>
    <n v="1"/>
    <n v="0"/>
    <n v="0"/>
  </r>
  <r>
    <x v="0"/>
    <x v="2"/>
    <x v="36"/>
    <x v="0"/>
    <x v="1"/>
    <n v="2"/>
    <n v="0"/>
    <n v="0"/>
  </r>
  <r>
    <x v="0"/>
    <x v="2"/>
    <x v="36"/>
    <x v="0"/>
    <x v="2"/>
    <n v="3"/>
    <n v="5.2"/>
    <n v="13000"/>
  </r>
  <r>
    <x v="0"/>
    <x v="2"/>
    <x v="36"/>
    <x v="0"/>
    <x v="3"/>
    <n v="4"/>
    <n v="0"/>
    <n v="0"/>
  </r>
  <r>
    <x v="0"/>
    <x v="2"/>
    <x v="36"/>
    <x v="0"/>
    <x v="4"/>
    <n v="5"/>
    <n v="0"/>
    <n v="0"/>
  </r>
  <r>
    <x v="0"/>
    <x v="2"/>
    <x v="36"/>
    <x v="0"/>
    <x v="5"/>
    <n v="6"/>
    <n v="5.2"/>
    <n v="13000"/>
  </r>
  <r>
    <x v="0"/>
    <x v="2"/>
    <x v="36"/>
    <x v="0"/>
    <x v="6"/>
    <n v="7"/>
    <n v="0"/>
    <n v="0"/>
  </r>
  <r>
    <x v="0"/>
    <x v="2"/>
    <x v="37"/>
    <x v="0"/>
    <x v="0"/>
    <n v="1"/>
    <n v="0"/>
    <n v="0"/>
  </r>
  <r>
    <x v="0"/>
    <x v="2"/>
    <x v="37"/>
    <x v="0"/>
    <x v="1"/>
    <n v="2"/>
    <n v="0"/>
    <n v="0"/>
  </r>
  <r>
    <x v="0"/>
    <x v="2"/>
    <x v="37"/>
    <x v="0"/>
    <x v="2"/>
    <n v="3"/>
    <n v="4.4000000000000004"/>
    <n v="11000"/>
  </r>
  <r>
    <x v="0"/>
    <x v="2"/>
    <x v="37"/>
    <x v="0"/>
    <x v="3"/>
    <n v="4"/>
    <n v="1.6"/>
    <n v="4000"/>
  </r>
  <r>
    <x v="0"/>
    <x v="2"/>
    <x v="37"/>
    <x v="0"/>
    <x v="4"/>
    <n v="5"/>
    <n v="0"/>
    <n v="0"/>
  </r>
  <r>
    <x v="0"/>
    <x v="2"/>
    <x v="37"/>
    <x v="0"/>
    <x v="5"/>
    <n v="6"/>
    <n v="6"/>
    <n v="15000"/>
  </r>
  <r>
    <x v="0"/>
    <x v="2"/>
    <x v="37"/>
    <x v="0"/>
    <x v="6"/>
    <n v="7"/>
    <n v="0"/>
    <n v="0"/>
  </r>
  <r>
    <x v="0"/>
    <x v="2"/>
    <x v="38"/>
    <x v="0"/>
    <x v="0"/>
    <n v="1"/>
    <n v="0"/>
    <n v="0"/>
  </r>
  <r>
    <x v="0"/>
    <x v="2"/>
    <x v="38"/>
    <x v="0"/>
    <x v="1"/>
    <n v="2"/>
    <n v="0"/>
    <n v="0"/>
  </r>
  <r>
    <x v="0"/>
    <x v="2"/>
    <x v="38"/>
    <x v="0"/>
    <x v="2"/>
    <n v="3"/>
    <n v="3.2"/>
    <n v="8000"/>
  </r>
  <r>
    <x v="0"/>
    <x v="2"/>
    <x v="38"/>
    <x v="0"/>
    <x v="3"/>
    <n v="4"/>
    <n v="1.6"/>
    <n v="4000"/>
  </r>
  <r>
    <x v="0"/>
    <x v="2"/>
    <x v="38"/>
    <x v="0"/>
    <x v="4"/>
    <n v="5"/>
    <n v="0"/>
    <n v="0"/>
  </r>
  <r>
    <x v="0"/>
    <x v="2"/>
    <x v="38"/>
    <x v="0"/>
    <x v="5"/>
    <n v="6"/>
    <n v="4.4000000000000004"/>
    <n v="11000"/>
  </r>
  <r>
    <x v="0"/>
    <x v="2"/>
    <x v="38"/>
    <x v="0"/>
    <x v="6"/>
    <n v="7"/>
    <n v="0"/>
    <n v="0"/>
  </r>
  <r>
    <x v="0"/>
    <x v="2"/>
    <x v="39"/>
    <x v="0"/>
    <x v="0"/>
    <n v="1"/>
    <n v="0"/>
    <n v="0"/>
  </r>
  <r>
    <x v="0"/>
    <x v="2"/>
    <x v="39"/>
    <x v="0"/>
    <x v="1"/>
    <n v="2"/>
    <n v="0"/>
    <n v="0"/>
  </r>
  <r>
    <x v="0"/>
    <x v="2"/>
    <x v="39"/>
    <x v="0"/>
    <x v="2"/>
    <n v="3"/>
    <n v="5.2"/>
    <n v="13000"/>
  </r>
  <r>
    <x v="0"/>
    <x v="2"/>
    <x v="39"/>
    <x v="0"/>
    <x v="3"/>
    <n v="4"/>
    <n v="1.6"/>
    <n v="4000"/>
  </r>
  <r>
    <x v="0"/>
    <x v="2"/>
    <x v="39"/>
    <x v="0"/>
    <x v="4"/>
    <n v="5"/>
    <n v="0"/>
    <n v="0"/>
  </r>
  <r>
    <x v="0"/>
    <x v="2"/>
    <x v="39"/>
    <x v="0"/>
    <x v="5"/>
    <n v="6"/>
    <n v="6.8"/>
    <n v="17000"/>
  </r>
  <r>
    <x v="0"/>
    <x v="2"/>
    <x v="39"/>
    <x v="0"/>
    <x v="6"/>
    <n v="7"/>
    <n v="0"/>
    <n v="0"/>
  </r>
  <r>
    <x v="0"/>
    <x v="2"/>
    <x v="40"/>
    <x v="0"/>
    <x v="0"/>
    <n v="1"/>
    <n v="0"/>
    <n v="0"/>
  </r>
  <r>
    <x v="0"/>
    <x v="2"/>
    <x v="40"/>
    <x v="0"/>
    <x v="1"/>
    <n v="2"/>
    <n v="0"/>
    <n v="0"/>
  </r>
  <r>
    <x v="0"/>
    <x v="2"/>
    <x v="40"/>
    <x v="0"/>
    <x v="2"/>
    <n v="3"/>
    <n v="2.4"/>
    <n v="6000"/>
  </r>
  <r>
    <x v="0"/>
    <x v="2"/>
    <x v="40"/>
    <x v="0"/>
    <x v="3"/>
    <n v="4"/>
    <n v="1.6"/>
    <n v="4000"/>
  </r>
  <r>
    <x v="0"/>
    <x v="2"/>
    <x v="40"/>
    <x v="0"/>
    <x v="4"/>
    <n v="5"/>
    <n v="0"/>
    <n v="0"/>
  </r>
  <r>
    <x v="0"/>
    <x v="2"/>
    <x v="40"/>
    <x v="0"/>
    <x v="5"/>
    <n v="6"/>
    <n v="4"/>
    <n v="10000"/>
  </r>
  <r>
    <x v="0"/>
    <x v="2"/>
    <x v="40"/>
    <x v="0"/>
    <x v="6"/>
    <n v="7"/>
    <n v="0"/>
    <n v="0"/>
  </r>
  <r>
    <x v="0"/>
    <x v="3"/>
    <x v="41"/>
    <x v="0"/>
    <x v="0"/>
    <n v="1"/>
    <n v="0"/>
    <n v="0"/>
  </r>
  <r>
    <x v="0"/>
    <x v="3"/>
    <x v="41"/>
    <x v="0"/>
    <x v="1"/>
    <n v="2"/>
    <n v="0"/>
    <n v="0"/>
  </r>
  <r>
    <x v="0"/>
    <x v="3"/>
    <x v="41"/>
    <x v="0"/>
    <x v="2"/>
    <n v="3"/>
    <n v="15.2"/>
    <n v="38000"/>
  </r>
  <r>
    <x v="0"/>
    <x v="3"/>
    <x v="41"/>
    <x v="0"/>
    <x v="3"/>
    <n v="4"/>
    <n v="2"/>
    <n v="5000"/>
  </r>
  <r>
    <x v="0"/>
    <x v="3"/>
    <x v="41"/>
    <x v="0"/>
    <x v="4"/>
    <n v="5"/>
    <n v="0"/>
    <n v="0"/>
  </r>
  <r>
    <x v="0"/>
    <x v="3"/>
    <x v="41"/>
    <x v="0"/>
    <x v="5"/>
    <n v="6"/>
    <n v="16.8"/>
    <n v="42000"/>
  </r>
  <r>
    <x v="0"/>
    <x v="3"/>
    <x v="41"/>
    <x v="0"/>
    <x v="6"/>
    <n v="7"/>
    <n v="0"/>
    <n v="0"/>
  </r>
  <r>
    <x v="0"/>
    <x v="3"/>
    <x v="42"/>
    <x v="0"/>
    <x v="0"/>
    <n v="1"/>
    <n v="0"/>
    <n v="0"/>
  </r>
  <r>
    <x v="0"/>
    <x v="3"/>
    <x v="42"/>
    <x v="0"/>
    <x v="1"/>
    <n v="2"/>
    <n v="0"/>
    <n v="0"/>
  </r>
  <r>
    <x v="0"/>
    <x v="3"/>
    <x v="42"/>
    <x v="0"/>
    <x v="2"/>
    <n v="3"/>
    <n v="11.6"/>
    <n v="29000"/>
  </r>
  <r>
    <x v="0"/>
    <x v="3"/>
    <x v="42"/>
    <x v="0"/>
    <x v="3"/>
    <n v="4"/>
    <n v="6.8"/>
    <n v="17000"/>
  </r>
  <r>
    <x v="0"/>
    <x v="3"/>
    <x v="42"/>
    <x v="0"/>
    <x v="4"/>
    <n v="5"/>
    <n v="0"/>
    <n v="0"/>
  </r>
  <r>
    <x v="0"/>
    <x v="3"/>
    <x v="42"/>
    <x v="0"/>
    <x v="5"/>
    <n v="6"/>
    <n v="18.8"/>
    <n v="47000"/>
  </r>
  <r>
    <x v="0"/>
    <x v="3"/>
    <x v="42"/>
    <x v="0"/>
    <x v="6"/>
    <n v="7"/>
    <n v="0"/>
    <n v="0"/>
  </r>
  <r>
    <x v="0"/>
    <x v="3"/>
    <x v="43"/>
    <x v="0"/>
    <x v="0"/>
    <n v="1"/>
    <n v="0"/>
    <n v="0"/>
  </r>
  <r>
    <x v="0"/>
    <x v="3"/>
    <x v="43"/>
    <x v="0"/>
    <x v="1"/>
    <n v="2"/>
    <n v="0"/>
    <n v="0"/>
  </r>
  <r>
    <x v="0"/>
    <x v="3"/>
    <x v="43"/>
    <x v="0"/>
    <x v="2"/>
    <n v="3"/>
    <n v="3.6"/>
    <n v="9000"/>
  </r>
  <r>
    <x v="0"/>
    <x v="3"/>
    <x v="43"/>
    <x v="0"/>
    <x v="3"/>
    <n v="4"/>
    <n v="1.2"/>
    <n v="3000"/>
  </r>
  <r>
    <x v="0"/>
    <x v="3"/>
    <x v="43"/>
    <x v="0"/>
    <x v="4"/>
    <n v="5"/>
    <n v="0"/>
    <n v="0"/>
  </r>
  <r>
    <x v="0"/>
    <x v="3"/>
    <x v="43"/>
    <x v="0"/>
    <x v="5"/>
    <n v="6"/>
    <n v="5.6"/>
    <n v="14000"/>
  </r>
  <r>
    <x v="0"/>
    <x v="3"/>
    <x v="43"/>
    <x v="0"/>
    <x v="6"/>
    <n v="7"/>
    <n v="0"/>
    <n v="0"/>
  </r>
  <r>
    <x v="0"/>
    <x v="3"/>
    <x v="44"/>
    <x v="0"/>
    <x v="0"/>
    <n v="1"/>
    <n v="0"/>
    <n v="0"/>
  </r>
  <r>
    <x v="0"/>
    <x v="3"/>
    <x v="44"/>
    <x v="0"/>
    <x v="1"/>
    <n v="2"/>
    <n v="0"/>
    <n v="0"/>
  </r>
  <r>
    <x v="0"/>
    <x v="3"/>
    <x v="44"/>
    <x v="0"/>
    <x v="2"/>
    <n v="3"/>
    <n v="5.6"/>
    <n v="14000"/>
  </r>
  <r>
    <x v="0"/>
    <x v="3"/>
    <x v="44"/>
    <x v="0"/>
    <x v="3"/>
    <n v="4"/>
    <n v="0.4"/>
    <n v="1000"/>
  </r>
  <r>
    <x v="0"/>
    <x v="3"/>
    <x v="44"/>
    <x v="0"/>
    <x v="4"/>
    <n v="5"/>
    <n v="0"/>
    <n v="0"/>
  </r>
  <r>
    <x v="0"/>
    <x v="3"/>
    <x v="44"/>
    <x v="0"/>
    <x v="5"/>
    <n v="6"/>
    <n v="6"/>
    <n v="15000"/>
  </r>
  <r>
    <x v="0"/>
    <x v="3"/>
    <x v="44"/>
    <x v="0"/>
    <x v="6"/>
    <n v="7"/>
    <n v="0"/>
    <n v="0"/>
  </r>
  <r>
    <x v="0"/>
    <x v="3"/>
    <x v="45"/>
    <x v="0"/>
    <x v="0"/>
    <n v="1"/>
    <n v="0"/>
    <n v="0"/>
  </r>
  <r>
    <x v="0"/>
    <x v="3"/>
    <x v="45"/>
    <x v="0"/>
    <x v="1"/>
    <n v="2"/>
    <n v="0"/>
    <n v="0"/>
  </r>
  <r>
    <x v="0"/>
    <x v="3"/>
    <x v="45"/>
    <x v="0"/>
    <x v="2"/>
    <n v="3"/>
    <n v="0.8"/>
    <n v="2000"/>
  </r>
  <r>
    <x v="0"/>
    <x v="3"/>
    <x v="45"/>
    <x v="0"/>
    <x v="3"/>
    <n v="4"/>
    <n v="0"/>
    <n v="0"/>
  </r>
  <r>
    <x v="0"/>
    <x v="3"/>
    <x v="45"/>
    <x v="0"/>
    <x v="4"/>
    <n v="5"/>
    <n v="0"/>
    <n v="0"/>
  </r>
  <r>
    <x v="0"/>
    <x v="3"/>
    <x v="45"/>
    <x v="0"/>
    <x v="5"/>
    <n v="6"/>
    <n v="0.8"/>
    <n v="2000"/>
  </r>
  <r>
    <x v="0"/>
    <x v="3"/>
    <x v="45"/>
    <x v="0"/>
    <x v="6"/>
    <n v="7"/>
    <n v="0"/>
    <n v="0"/>
  </r>
  <r>
    <x v="0"/>
    <x v="3"/>
    <x v="46"/>
    <x v="0"/>
    <x v="0"/>
    <n v="1"/>
    <n v="0"/>
    <n v="0"/>
  </r>
  <r>
    <x v="0"/>
    <x v="3"/>
    <x v="46"/>
    <x v="0"/>
    <x v="1"/>
    <n v="2"/>
    <n v="0"/>
    <n v="0"/>
  </r>
  <r>
    <x v="0"/>
    <x v="3"/>
    <x v="46"/>
    <x v="0"/>
    <x v="2"/>
    <n v="3"/>
    <n v="4"/>
    <n v="10000"/>
  </r>
  <r>
    <x v="0"/>
    <x v="3"/>
    <x v="46"/>
    <x v="0"/>
    <x v="3"/>
    <n v="4"/>
    <n v="2.8"/>
    <n v="7000"/>
  </r>
  <r>
    <x v="0"/>
    <x v="3"/>
    <x v="46"/>
    <x v="0"/>
    <x v="4"/>
    <n v="5"/>
    <n v="0"/>
    <n v="0"/>
  </r>
  <r>
    <x v="0"/>
    <x v="3"/>
    <x v="46"/>
    <x v="0"/>
    <x v="5"/>
    <n v="6"/>
    <n v="6"/>
    <n v="15000"/>
  </r>
  <r>
    <x v="0"/>
    <x v="3"/>
    <x v="46"/>
    <x v="0"/>
    <x v="6"/>
    <n v="7"/>
    <n v="0"/>
    <n v="0"/>
  </r>
  <r>
    <x v="0"/>
    <x v="3"/>
    <x v="47"/>
    <x v="0"/>
    <x v="0"/>
    <n v="1"/>
    <n v="0"/>
    <n v="0"/>
  </r>
  <r>
    <x v="0"/>
    <x v="3"/>
    <x v="47"/>
    <x v="0"/>
    <x v="1"/>
    <n v="2"/>
    <n v="0"/>
    <n v="0"/>
  </r>
  <r>
    <x v="0"/>
    <x v="3"/>
    <x v="47"/>
    <x v="0"/>
    <x v="2"/>
    <n v="3"/>
    <n v="4"/>
    <n v="10000"/>
  </r>
  <r>
    <x v="0"/>
    <x v="3"/>
    <x v="47"/>
    <x v="0"/>
    <x v="3"/>
    <n v="4"/>
    <n v="2.4"/>
    <n v="6000"/>
  </r>
  <r>
    <x v="0"/>
    <x v="3"/>
    <x v="47"/>
    <x v="0"/>
    <x v="4"/>
    <n v="5"/>
    <n v="0"/>
    <n v="0"/>
  </r>
  <r>
    <x v="0"/>
    <x v="3"/>
    <x v="47"/>
    <x v="0"/>
    <x v="5"/>
    <n v="6"/>
    <n v="5.6"/>
    <n v="14000"/>
  </r>
  <r>
    <x v="0"/>
    <x v="3"/>
    <x v="47"/>
    <x v="0"/>
    <x v="6"/>
    <n v="7"/>
    <n v="0"/>
    <n v="0"/>
  </r>
  <r>
    <x v="0"/>
    <x v="3"/>
    <x v="48"/>
    <x v="0"/>
    <x v="0"/>
    <n v="1"/>
    <n v="0"/>
    <n v="0"/>
  </r>
  <r>
    <x v="0"/>
    <x v="3"/>
    <x v="48"/>
    <x v="0"/>
    <x v="1"/>
    <n v="2"/>
    <n v="0"/>
    <n v="0"/>
  </r>
  <r>
    <x v="0"/>
    <x v="3"/>
    <x v="48"/>
    <x v="0"/>
    <x v="2"/>
    <n v="3"/>
    <n v="1.2"/>
    <n v="3000"/>
  </r>
  <r>
    <x v="0"/>
    <x v="3"/>
    <x v="48"/>
    <x v="0"/>
    <x v="3"/>
    <n v="4"/>
    <n v="2"/>
    <n v="5000"/>
  </r>
  <r>
    <x v="0"/>
    <x v="3"/>
    <x v="48"/>
    <x v="0"/>
    <x v="4"/>
    <n v="5"/>
    <n v="0"/>
    <n v="0"/>
  </r>
  <r>
    <x v="0"/>
    <x v="3"/>
    <x v="48"/>
    <x v="0"/>
    <x v="5"/>
    <n v="6"/>
    <n v="3.2"/>
    <n v="8000"/>
  </r>
  <r>
    <x v="0"/>
    <x v="3"/>
    <x v="48"/>
    <x v="0"/>
    <x v="6"/>
    <n v="7"/>
    <n v="0"/>
    <n v="0"/>
  </r>
  <r>
    <x v="0"/>
    <x v="3"/>
    <x v="49"/>
    <x v="0"/>
    <x v="0"/>
    <n v="1"/>
    <n v="0"/>
    <n v="0"/>
  </r>
  <r>
    <x v="0"/>
    <x v="3"/>
    <x v="49"/>
    <x v="0"/>
    <x v="1"/>
    <n v="2"/>
    <n v="0"/>
    <n v="0"/>
  </r>
  <r>
    <x v="0"/>
    <x v="3"/>
    <x v="49"/>
    <x v="0"/>
    <x v="2"/>
    <n v="3"/>
    <n v="3.2"/>
    <n v="8000"/>
  </r>
  <r>
    <x v="0"/>
    <x v="3"/>
    <x v="49"/>
    <x v="0"/>
    <x v="3"/>
    <n v="4"/>
    <n v="2.4"/>
    <n v="6000"/>
  </r>
  <r>
    <x v="0"/>
    <x v="3"/>
    <x v="49"/>
    <x v="0"/>
    <x v="4"/>
    <n v="5"/>
    <n v="0"/>
    <n v="0"/>
  </r>
  <r>
    <x v="0"/>
    <x v="3"/>
    <x v="49"/>
    <x v="0"/>
    <x v="5"/>
    <n v="6"/>
    <n v="5.6"/>
    <n v="14000"/>
  </r>
  <r>
    <x v="0"/>
    <x v="3"/>
    <x v="49"/>
    <x v="0"/>
    <x v="6"/>
    <n v="7"/>
    <n v="0"/>
    <n v="0"/>
  </r>
  <r>
    <x v="0"/>
    <x v="3"/>
    <x v="50"/>
    <x v="0"/>
    <x v="0"/>
    <n v="1"/>
    <n v="0"/>
    <n v="0"/>
  </r>
  <r>
    <x v="0"/>
    <x v="3"/>
    <x v="50"/>
    <x v="0"/>
    <x v="1"/>
    <n v="2"/>
    <n v="0"/>
    <n v="0"/>
  </r>
  <r>
    <x v="0"/>
    <x v="3"/>
    <x v="50"/>
    <x v="0"/>
    <x v="2"/>
    <n v="3"/>
    <n v="3.2"/>
    <n v="8000"/>
  </r>
  <r>
    <x v="0"/>
    <x v="3"/>
    <x v="50"/>
    <x v="0"/>
    <x v="3"/>
    <n v="4"/>
    <n v="1.6"/>
    <n v="4000"/>
  </r>
  <r>
    <x v="0"/>
    <x v="3"/>
    <x v="50"/>
    <x v="0"/>
    <x v="4"/>
    <n v="5"/>
    <n v="0"/>
    <n v="0"/>
  </r>
  <r>
    <x v="0"/>
    <x v="3"/>
    <x v="50"/>
    <x v="0"/>
    <x v="5"/>
    <n v="6"/>
    <n v="4.8"/>
    <n v="12000"/>
  </r>
  <r>
    <x v="0"/>
    <x v="3"/>
    <x v="50"/>
    <x v="0"/>
    <x v="6"/>
    <n v="7"/>
    <n v="0"/>
    <n v="0"/>
  </r>
  <r>
    <x v="0"/>
    <x v="4"/>
    <x v="51"/>
    <x v="0"/>
    <x v="0"/>
    <n v="1"/>
    <n v="0"/>
    <n v="0"/>
  </r>
  <r>
    <x v="0"/>
    <x v="4"/>
    <x v="51"/>
    <x v="0"/>
    <x v="1"/>
    <n v="2"/>
    <n v="0"/>
    <n v="0"/>
  </r>
  <r>
    <x v="0"/>
    <x v="4"/>
    <x v="51"/>
    <x v="0"/>
    <x v="2"/>
    <n v="3"/>
    <n v="2.4"/>
    <n v="6000"/>
  </r>
  <r>
    <x v="0"/>
    <x v="4"/>
    <x v="51"/>
    <x v="0"/>
    <x v="3"/>
    <n v="4"/>
    <n v="2.4"/>
    <n v="6000"/>
  </r>
  <r>
    <x v="0"/>
    <x v="4"/>
    <x v="51"/>
    <x v="0"/>
    <x v="4"/>
    <n v="5"/>
    <n v="0"/>
    <n v="0"/>
  </r>
  <r>
    <x v="0"/>
    <x v="4"/>
    <x v="51"/>
    <x v="0"/>
    <x v="5"/>
    <n v="6"/>
    <n v="4.8"/>
    <n v="12000"/>
  </r>
  <r>
    <x v="0"/>
    <x v="4"/>
    <x v="51"/>
    <x v="0"/>
    <x v="6"/>
    <n v="7"/>
    <n v="0"/>
    <n v="0"/>
  </r>
  <r>
    <x v="0"/>
    <x v="4"/>
    <x v="52"/>
    <x v="0"/>
    <x v="0"/>
    <n v="1"/>
    <n v="0"/>
    <n v="0"/>
  </r>
  <r>
    <x v="0"/>
    <x v="4"/>
    <x v="52"/>
    <x v="0"/>
    <x v="1"/>
    <n v="2"/>
    <n v="0"/>
    <n v="0"/>
  </r>
  <r>
    <x v="0"/>
    <x v="4"/>
    <x v="52"/>
    <x v="0"/>
    <x v="2"/>
    <n v="3"/>
    <n v="1.6"/>
    <n v="4000"/>
  </r>
  <r>
    <x v="0"/>
    <x v="4"/>
    <x v="52"/>
    <x v="0"/>
    <x v="3"/>
    <n v="4"/>
    <n v="0.8"/>
    <n v="2000"/>
  </r>
  <r>
    <x v="0"/>
    <x v="4"/>
    <x v="52"/>
    <x v="0"/>
    <x v="4"/>
    <n v="5"/>
    <n v="0"/>
    <n v="0"/>
  </r>
  <r>
    <x v="0"/>
    <x v="4"/>
    <x v="52"/>
    <x v="0"/>
    <x v="5"/>
    <n v="6"/>
    <n v="2.4"/>
    <n v="6000"/>
  </r>
  <r>
    <x v="0"/>
    <x v="4"/>
    <x v="52"/>
    <x v="0"/>
    <x v="6"/>
    <n v="7"/>
    <n v="0"/>
    <n v="0"/>
  </r>
  <r>
    <x v="0"/>
    <x v="4"/>
    <x v="53"/>
    <x v="0"/>
    <x v="0"/>
    <n v="1"/>
    <n v="0"/>
    <n v="0"/>
  </r>
  <r>
    <x v="0"/>
    <x v="4"/>
    <x v="53"/>
    <x v="0"/>
    <x v="1"/>
    <n v="2"/>
    <n v="0"/>
    <n v="0"/>
  </r>
  <r>
    <x v="0"/>
    <x v="4"/>
    <x v="53"/>
    <x v="0"/>
    <x v="2"/>
    <n v="3"/>
    <n v="0.8"/>
    <n v="2000"/>
  </r>
  <r>
    <x v="0"/>
    <x v="4"/>
    <x v="53"/>
    <x v="0"/>
    <x v="3"/>
    <n v="4"/>
    <n v="2"/>
    <n v="5000"/>
  </r>
  <r>
    <x v="0"/>
    <x v="4"/>
    <x v="53"/>
    <x v="0"/>
    <x v="4"/>
    <n v="5"/>
    <n v="0"/>
    <n v="0"/>
  </r>
  <r>
    <x v="0"/>
    <x v="4"/>
    <x v="53"/>
    <x v="0"/>
    <x v="5"/>
    <n v="6"/>
    <n v="2.8"/>
    <n v="7000"/>
  </r>
  <r>
    <x v="0"/>
    <x v="4"/>
    <x v="53"/>
    <x v="0"/>
    <x v="6"/>
    <n v="7"/>
    <n v="0"/>
    <n v="0"/>
  </r>
  <r>
    <x v="0"/>
    <x v="4"/>
    <x v="54"/>
    <x v="0"/>
    <x v="0"/>
    <n v="1"/>
    <n v="0"/>
    <n v="0"/>
  </r>
  <r>
    <x v="0"/>
    <x v="4"/>
    <x v="54"/>
    <x v="0"/>
    <x v="1"/>
    <n v="2"/>
    <n v="0"/>
    <n v="0"/>
  </r>
  <r>
    <x v="0"/>
    <x v="4"/>
    <x v="54"/>
    <x v="0"/>
    <x v="2"/>
    <n v="3"/>
    <n v="4.8"/>
    <n v="12000"/>
  </r>
  <r>
    <x v="0"/>
    <x v="4"/>
    <x v="54"/>
    <x v="0"/>
    <x v="3"/>
    <n v="4"/>
    <n v="2.4"/>
    <n v="6000"/>
  </r>
  <r>
    <x v="0"/>
    <x v="4"/>
    <x v="54"/>
    <x v="0"/>
    <x v="4"/>
    <n v="5"/>
    <n v="0"/>
    <n v="0"/>
  </r>
  <r>
    <x v="0"/>
    <x v="4"/>
    <x v="54"/>
    <x v="0"/>
    <x v="5"/>
    <n v="6"/>
    <n v="6.8"/>
    <n v="17000"/>
  </r>
  <r>
    <x v="0"/>
    <x v="4"/>
    <x v="54"/>
    <x v="0"/>
    <x v="6"/>
    <n v="7"/>
    <n v="0"/>
    <n v="0"/>
  </r>
  <r>
    <x v="0"/>
    <x v="4"/>
    <x v="55"/>
    <x v="0"/>
    <x v="0"/>
    <n v="1"/>
    <n v="0"/>
    <n v="0"/>
  </r>
  <r>
    <x v="0"/>
    <x v="4"/>
    <x v="55"/>
    <x v="0"/>
    <x v="1"/>
    <n v="2"/>
    <n v="0"/>
    <n v="0"/>
  </r>
  <r>
    <x v="0"/>
    <x v="4"/>
    <x v="55"/>
    <x v="0"/>
    <x v="2"/>
    <n v="3"/>
    <n v="2.4"/>
    <n v="6000"/>
  </r>
  <r>
    <x v="0"/>
    <x v="4"/>
    <x v="55"/>
    <x v="0"/>
    <x v="3"/>
    <n v="4"/>
    <n v="2"/>
    <n v="5000"/>
  </r>
  <r>
    <x v="0"/>
    <x v="4"/>
    <x v="55"/>
    <x v="0"/>
    <x v="4"/>
    <n v="5"/>
    <n v="0"/>
    <n v="0"/>
  </r>
  <r>
    <x v="0"/>
    <x v="4"/>
    <x v="55"/>
    <x v="0"/>
    <x v="5"/>
    <n v="6"/>
    <n v="4"/>
    <n v="10000"/>
  </r>
  <r>
    <x v="0"/>
    <x v="4"/>
    <x v="55"/>
    <x v="0"/>
    <x v="6"/>
    <n v="7"/>
    <n v="0"/>
    <n v="0"/>
  </r>
  <r>
    <x v="0"/>
    <x v="4"/>
    <x v="56"/>
    <x v="0"/>
    <x v="0"/>
    <n v="1"/>
    <n v="0"/>
    <n v="0"/>
  </r>
  <r>
    <x v="0"/>
    <x v="4"/>
    <x v="56"/>
    <x v="0"/>
    <x v="1"/>
    <n v="2"/>
    <n v="0"/>
    <n v="0"/>
  </r>
  <r>
    <x v="0"/>
    <x v="4"/>
    <x v="56"/>
    <x v="0"/>
    <x v="2"/>
    <n v="3"/>
    <n v="4.4000000000000004"/>
    <n v="11000"/>
  </r>
  <r>
    <x v="0"/>
    <x v="4"/>
    <x v="56"/>
    <x v="0"/>
    <x v="3"/>
    <n v="4"/>
    <n v="2.8"/>
    <n v="7000"/>
  </r>
  <r>
    <x v="0"/>
    <x v="4"/>
    <x v="56"/>
    <x v="0"/>
    <x v="4"/>
    <n v="5"/>
    <n v="0"/>
    <n v="0"/>
  </r>
  <r>
    <x v="0"/>
    <x v="4"/>
    <x v="56"/>
    <x v="0"/>
    <x v="5"/>
    <n v="6"/>
    <n v="7.2"/>
    <n v="18000"/>
  </r>
  <r>
    <x v="0"/>
    <x v="4"/>
    <x v="56"/>
    <x v="0"/>
    <x v="6"/>
    <n v="7"/>
    <n v="0"/>
    <n v="0"/>
  </r>
  <r>
    <x v="0"/>
    <x v="4"/>
    <x v="57"/>
    <x v="0"/>
    <x v="0"/>
    <n v="1"/>
    <n v="0"/>
    <n v="0"/>
  </r>
  <r>
    <x v="0"/>
    <x v="4"/>
    <x v="57"/>
    <x v="0"/>
    <x v="1"/>
    <n v="2"/>
    <n v="0"/>
    <n v="0"/>
  </r>
  <r>
    <x v="0"/>
    <x v="4"/>
    <x v="57"/>
    <x v="0"/>
    <x v="2"/>
    <n v="3"/>
    <n v="4"/>
    <n v="10000"/>
  </r>
  <r>
    <x v="0"/>
    <x v="4"/>
    <x v="57"/>
    <x v="0"/>
    <x v="3"/>
    <n v="4"/>
    <n v="1.6"/>
    <n v="4000"/>
  </r>
  <r>
    <x v="0"/>
    <x v="4"/>
    <x v="57"/>
    <x v="0"/>
    <x v="4"/>
    <n v="5"/>
    <n v="0"/>
    <n v="0"/>
  </r>
  <r>
    <x v="0"/>
    <x v="4"/>
    <x v="57"/>
    <x v="0"/>
    <x v="5"/>
    <n v="6"/>
    <n v="5.6"/>
    <n v="14000"/>
  </r>
  <r>
    <x v="0"/>
    <x v="4"/>
    <x v="57"/>
    <x v="0"/>
    <x v="6"/>
    <n v="7"/>
    <n v="0"/>
    <n v="0"/>
  </r>
  <r>
    <x v="0"/>
    <x v="4"/>
    <x v="58"/>
    <x v="0"/>
    <x v="0"/>
    <n v="1"/>
    <n v="0"/>
    <n v="0"/>
  </r>
  <r>
    <x v="0"/>
    <x v="4"/>
    <x v="58"/>
    <x v="0"/>
    <x v="1"/>
    <n v="2"/>
    <n v="0"/>
    <n v="0"/>
  </r>
  <r>
    <x v="0"/>
    <x v="4"/>
    <x v="58"/>
    <x v="0"/>
    <x v="2"/>
    <n v="3"/>
    <n v="4.4000000000000004"/>
    <n v="11000"/>
  </r>
  <r>
    <x v="0"/>
    <x v="4"/>
    <x v="58"/>
    <x v="0"/>
    <x v="3"/>
    <n v="4"/>
    <n v="2.4"/>
    <n v="6000"/>
  </r>
  <r>
    <x v="0"/>
    <x v="4"/>
    <x v="58"/>
    <x v="0"/>
    <x v="4"/>
    <n v="5"/>
    <n v="0"/>
    <n v="0"/>
  </r>
  <r>
    <x v="0"/>
    <x v="4"/>
    <x v="58"/>
    <x v="0"/>
    <x v="5"/>
    <n v="6"/>
    <n v="6.8"/>
    <n v="17000"/>
  </r>
  <r>
    <x v="0"/>
    <x v="4"/>
    <x v="58"/>
    <x v="0"/>
    <x v="6"/>
    <n v="7"/>
    <n v="0"/>
    <n v="0"/>
  </r>
  <r>
    <x v="0"/>
    <x v="5"/>
    <x v="59"/>
    <x v="0"/>
    <x v="0"/>
    <n v="1"/>
    <n v="0"/>
    <n v="0"/>
  </r>
  <r>
    <x v="0"/>
    <x v="5"/>
    <x v="59"/>
    <x v="0"/>
    <x v="1"/>
    <n v="2"/>
    <n v="0"/>
    <n v="0"/>
  </r>
  <r>
    <x v="0"/>
    <x v="5"/>
    <x v="59"/>
    <x v="0"/>
    <x v="2"/>
    <n v="3"/>
    <n v="4.4000000000000004"/>
    <n v="11000"/>
  </r>
  <r>
    <x v="0"/>
    <x v="5"/>
    <x v="59"/>
    <x v="0"/>
    <x v="3"/>
    <n v="4"/>
    <n v="3.2"/>
    <n v="8000"/>
  </r>
  <r>
    <x v="0"/>
    <x v="5"/>
    <x v="59"/>
    <x v="0"/>
    <x v="4"/>
    <n v="5"/>
    <n v="0"/>
    <n v="0"/>
  </r>
  <r>
    <x v="0"/>
    <x v="5"/>
    <x v="59"/>
    <x v="0"/>
    <x v="5"/>
    <n v="6"/>
    <n v="8"/>
    <n v="20000"/>
  </r>
  <r>
    <x v="0"/>
    <x v="5"/>
    <x v="59"/>
    <x v="0"/>
    <x v="6"/>
    <n v="7"/>
    <n v="0"/>
    <n v="0"/>
  </r>
  <r>
    <x v="0"/>
    <x v="5"/>
    <x v="60"/>
    <x v="0"/>
    <x v="0"/>
    <n v="1"/>
    <n v="0"/>
    <n v="0"/>
  </r>
  <r>
    <x v="0"/>
    <x v="5"/>
    <x v="60"/>
    <x v="0"/>
    <x v="1"/>
    <n v="2"/>
    <n v="0"/>
    <n v="0"/>
  </r>
  <r>
    <x v="0"/>
    <x v="5"/>
    <x v="60"/>
    <x v="0"/>
    <x v="2"/>
    <n v="3"/>
    <n v="10"/>
    <n v="25000"/>
  </r>
  <r>
    <x v="0"/>
    <x v="5"/>
    <x v="60"/>
    <x v="0"/>
    <x v="3"/>
    <n v="4"/>
    <n v="5.6"/>
    <n v="14000"/>
  </r>
  <r>
    <x v="0"/>
    <x v="5"/>
    <x v="60"/>
    <x v="0"/>
    <x v="4"/>
    <n v="5"/>
    <n v="0"/>
    <n v="0"/>
  </r>
  <r>
    <x v="0"/>
    <x v="5"/>
    <x v="60"/>
    <x v="0"/>
    <x v="5"/>
    <n v="6"/>
    <n v="16.399999999999999"/>
    <n v="41000"/>
  </r>
  <r>
    <x v="0"/>
    <x v="5"/>
    <x v="60"/>
    <x v="0"/>
    <x v="6"/>
    <n v="7"/>
    <n v="0"/>
    <n v="0"/>
  </r>
  <r>
    <x v="0"/>
    <x v="5"/>
    <x v="61"/>
    <x v="0"/>
    <x v="0"/>
    <n v="1"/>
    <n v="0"/>
    <n v="0"/>
  </r>
  <r>
    <x v="0"/>
    <x v="5"/>
    <x v="61"/>
    <x v="0"/>
    <x v="1"/>
    <n v="2"/>
    <n v="0"/>
    <n v="0"/>
  </r>
  <r>
    <x v="0"/>
    <x v="5"/>
    <x v="61"/>
    <x v="0"/>
    <x v="2"/>
    <n v="3"/>
    <n v="4.4000000000000004"/>
    <n v="11000"/>
  </r>
  <r>
    <x v="0"/>
    <x v="5"/>
    <x v="61"/>
    <x v="0"/>
    <x v="3"/>
    <n v="4"/>
    <n v="1.2"/>
    <n v="3000"/>
  </r>
  <r>
    <x v="0"/>
    <x v="5"/>
    <x v="61"/>
    <x v="0"/>
    <x v="4"/>
    <n v="5"/>
    <n v="0"/>
    <n v="0"/>
  </r>
  <r>
    <x v="0"/>
    <x v="5"/>
    <x v="61"/>
    <x v="0"/>
    <x v="5"/>
    <n v="6"/>
    <n v="5.2"/>
    <n v="13000"/>
  </r>
  <r>
    <x v="0"/>
    <x v="5"/>
    <x v="61"/>
    <x v="0"/>
    <x v="6"/>
    <n v="7"/>
    <n v="0"/>
    <n v="0"/>
  </r>
  <r>
    <x v="0"/>
    <x v="5"/>
    <x v="62"/>
    <x v="0"/>
    <x v="0"/>
    <n v="1"/>
    <n v="0"/>
    <n v="0"/>
  </r>
  <r>
    <x v="0"/>
    <x v="5"/>
    <x v="62"/>
    <x v="0"/>
    <x v="1"/>
    <n v="2"/>
    <n v="0"/>
    <n v="0"/>
  </r>
  <r>
    <x v="0"/>
    <x v="5"/>
    <x v="62"/>
    <x v="0"/>
    <x v="2"/>
    <n v="3"/>
    <n v="4.8"/>
    <n v="12000"/>
  </r>
  <r>
    <x v="0"/>
    <x v="5"/>
    <x v="62"/>
    <x v="0"/>
    <x v="3"/>
    <n v="4"/>
    <n v="2.8"/>
    <n v="7000"/>
  </r>
  <r>
    <x v="0"/>
    <x v="5"/>
    <x v="62"/>
    <x v="0"/>
    <x v="4"/>
    <n v="5"/>
    <n v="0"/>
    <n v="0"/>
  </r>
  <r>
    <x v="0"/>
    <x v="5"/>
    <x v="62"/>
    <x v="0"/>
    <x v="5"/>
    <n v="6"/>
    <n v="7.2"/>
    <n v="18000"/>
  </r>
  <r>
    <x v="0"/>
    <x v="5"/>
    <x v="62"/>
    <x v="0"/>
    <x v="6"/>
    <n v="7"/>
    <n v="0"/>
    <n v="0"/>
  </r>
  <r>
    <x v="0"/>
    <x v="5"/>
    <x v="63"/>
    <x v="0"/>
    <x v="0"/>
    <n v="1"/>
    <n v="0"/>
    <n v="0"/>
  </r>
  <r>
    <x v="0"/>
    <x v="5"/>
    <x v="63"/>
    <x v="0"/>
    <x v="1"/>
    <n v="2"/>
    <n v="0"/>
    <n v="0"/>
  </r>
  <r>
    <x v="0"/>
    <x v="5"/>
    <x v="63"/>
    <x v="0"/>
    <x v="2"/>
    <n v="3"/>
    <n v="8.4"/>
    <n v="21000"/>
  </r>
  <r>
    <x v="0"/>
    <x v="5"/>
    <x v="63"/>
    <x v="0"/>
    <x v="3"/>
    <n v="4"/>
    <n v="2"/>
    <n v="5000"/>
  </r>
  <r>
    <x v="0"/>
    <x v="5"/>
    <x v="63"/>
    <x v="0"/>
    <x v="4"/>
    <n v="5"/>
    <n v="0"/>
    <n v="0"/>
  </r>
  <r>
    <x v="0"/>
    <x v="5"/>
    <x v="63"/>
    <x v="0"/>
    <x v="5"/>
    <n v="6"/>
    <n v="10.4"/>
    <n v="26000"/>
  </r>
  <r>
    <x v="0"/>
    <x v="5"/>
    <x v="63"/>
    <x v="0"/>
    <x v="6"/>
    <n v="7"/>
    <n v="0"/>
    <n v="0"/>
  </r>
  <r>
    <x v="0"/>
    <x v="5"/>
    <x v="64"/>
    <x v="0"/>
    <x v="0"/>
    <n v="1"/>
    <n v="0"/>
    <n v="0"/>
  </r>
  <r>
    <x v="0"/>
    <x v="5"/>
    <x v="64"/>
    <x v="0"/>
    <x v="1"/>
    <n v="2"/>
    <n v="0"/>
    <n v="0"/>
  </r>
  <r>
    <x v="0"/>
    <x v="5"/>
    <x v="64"/>
    <x v="0"/>
    <x v="2"/>
    <n v="3"/>
    <n v="7.2"/>
    <n v="18000"/>
  </r>
  <r>
    <x v="0"/>
    <x v="5"/>
    <x v="64"/>
    <x v="0"/>
    <x v="3"/>
    <n v="4"/>
    <n v="5.6"/>
    <n v="14000"/>
  </r>
  <r>
    <x v="0"/>
    <x v="5"/>
    <x v="64"/>
    <x v="0"/>
    <x v="4"/>
    <n v="5"/>
    <n v="0"/>
    <n v="0"/>
  </r>
  <r>
    <x v="0"/>
    <x v="5"/>
    <x v="64"/>
    <x v="0"/>
    <x v="5"/>
    <n v="6"/>
    <n v="12.4"/>
    <n v="31000"/>
  </r>
  <r>
    <x v="0"/>
    <x v="5"/>
    <x v="64"/>
    <x v="0"/>
    <x v="6"/>
    <n v="7"/>
    <n v="0"/>
    <n v="0"/>
  </r>
  <r>
    <x v="0"/>
    <x v="5"/>
    <x v="65"/>
    <x v="0"/>
    <x v="0"/>
    <n v="1"/>
    <n v="0"/>
    <n v="0"/>
  </r>
  <r>
    <x v="0"/>
    <x v="5"/>
    <x v="65"/>
    <x v="0"/>
    <x v="1"/>
    <n v="2"/>
    <n v="0"/>
    <n v="0"/>
  </r>
  <r>
    <x v="0"/>
    <x v="5"/>
    <x v="65"/>
    <x v="0"/>
    <x v="2"/>
    <n v="3"/>
    <n v="7.6"/>
    <n v="19000"/>
  </r>
  <r>
    <x v="0"/>
    <x v="5"/>
    <x v="65"/>
    <x v="0"/>
    <x v="3"/>
    <n v="4"/>
    <n v="1.6"/>
    <n v="4000"/>
  </r>
  <r>
    <x v="0"/>
    <x v="5"/>
    <x v="65"/>
    <x v="0"/>
    <x v="4"/>
    <n v="5"/>
    <n v="0"/>
    <n v="0"/>
  </r>
  <r>
    <x v="0"/>
    <x v="5"/>
    <x v="65"/>
    <x v="0"/>
    <x v="5"/>
    <n v="6"/>
    <n v="8.8000000000000007"/>
    <n v="22000"/>
  </r>
  <r>
    <x v="0"/>
    <x v="5"/>
    <x v="65"/>
    <x v="0"/>
    <x v="6"/>
    <n v="7"/>
    <n v="0"/>
    <n v="0"/>
  </r>
  <r>
    <x v="0"/>
    <x v="5"/>
    <x v="66"/>
    <x v="0"/>
    <x v="0"/>
    <n v="1"/>
    <n v="0"/>
    <n v="0"/>
  </r>
  <r>
    <x v="0"/>
    <x v="5"/>
    <x v="66"/>
    <x v="0"/>
    <x v="1"/>
    <n v="2"/>
    <n v="0"/>
    <n v="0"/>
  </r>
  <r>
    <x v="0"/>
    <x v="5"/>
    <x v="66"/>
    <x v="0"/>
    <x v="2"/>
    <n v="3"/>
    <n v="4.8"/>
    <n v="12000"/>
  </r>
  <r>
    <x v="0"/>
    <x v="5"/>
    <x v="66"/>
    <x v="0"/>
    <x v="3"/>
    <n v="4"/>
    <n v="1.6"/>
    <n v="4000"/>
  </r>
  <r>
    <x v="0"/>
    <x v="5"/>
    <x v="66"/>
    <x v="0"/>
    <x v="4"/>
    <n v="5"/>
    <n v="0"/>
    <n v="0"/>
  </r>
  <r>
    <x v="0"/>
    <x v="5"/>
    <x v="66"/>
    <x v="0"/>
    <x v="5"/>
    <n v="6"/>
    <n v="6"/>
    <n v="15000"/>
  </r>
  <r>
    <x v="0"/>
    <x v="5"/>
    <x v="66"/>
    <x v="0"/>
    <x v="6"/>
    <n v="7"/>
    <n v="0"/>
    <n v="0"/>
  </r>
  <r>
    <x v="0"/>
    <x v="5"/>
    <x v="67"/>
    <x v="0"/>
    <x v="0"/>
    <n v="1"/>
    <n v="0"/>
    <n v="0"/>
  </r>
  <r>
    <x v="0"/>
    <x v="5"/>
    <x v="67"/>
    <x v="0"/>
    <x v="1"/>
    <n v="2"/>
    <n v="0"/>
    <n v="0"/>
  </r>
  <r>
    <x v="0"/>
    <x v="5"/>
    <x v="67"/>
    <x v="0"/>
    <x v="2"/>
    <n v="3"/>
    <n v="5.6"/>
    <n v="14000"/>
  </r>
  <r>
    <x v="0"/>
    <x v="5"/>
    <x v="67"/>
    <x v="0"/>
    <x v="3"/>
    <n v="4"/>
    <n v="1.2"/>
    <n v="3000"/>
  </r>
  <r>
    <x v="0"/>
    <x v="5"/>
    <x v="67"/>
    <x v="0"/>
    <x v="4"/>
    <n v="5"/>
    <n v="0"/>
    <n v="0"/>
  </r>
  <r>
    <x v="0"/>
    <x v="5"/>
    <x v="67"/>
    <x v="0"/>
    <x v="5"/>
    <n v="6"/>
    <n v="6.4"/>
    <n v="16000"/>
  </r>
  <r>
    <x v="0"/>
    <x v="5"/>
    <x v="67"/>
    <x v="0"/>
    <x v="6"/>
    <n v="7"/>
    <n v="0"/>
    <n v="0"/>
  </r>
  <r>
    <x v="0"/>
    <x v="5"/>
    <x v="68"/>
    <x v="0"/>
    <x v="0"/>
    <n v="1"/>
    <n v="0"/>
    <n v="0"/>
  </r>
  <r>
    <x v="0"/>
    <x v="5"/>
    <x v="68"/>
    <x v="0"/>
    <x v="1"/>
    <n v="2"/>
    <n v="0"/>
    <n v="0"/>
  </r>
  <r>
    <x v="0"/>
    <x v="5"/>
    <x v="68"/>
    <x v="0"/>
    <x v="2"/>
    <n v="3"/>
    <n v="3.2"/>
    <n v="8000"/>
  </r>
  <r>
    <x v="0"/>
    <x v="5"/>
    <x v="68"/>
    <x v="0"/>
    <x v="3"/>
    <n v="4"/>
    <n v="2"/>
    <n v="5000"/>
  </r>
  <r>
    <x v="0"/>
    <x v="5"/>
    <x v="68"/>
    <x v="0"/>
    <x v="4"/>
    <n v="5"/>
    <n v="0"/>
    <n v="0"/>
  </r>
  <r>
    <x v="0"/>
    <x v="5"/>
    <x v="68"/>
    <x v="0"/>
    <x v="5"/>
    <n v="6"/>
    <n v="5.6"/>
    <n v="14000"/>
  </r>
  <r>
    <x v="0"/>
    <x v="5"/>
    <x v="68"/>
    <x v="0"/>
    <x v="6"/>
    <n v="7"/>
    <n v="0"/>
    <n v="0"/>
  </r>
  <r>
    <x v="0"/>
    <x v="5"/>
    <x v="69"/>
    <x v="0"/>
    <x v="0"/>
    <n v="1"/>
    <n v="0"/>
    <n v="0"/>
  </r>
  <r>
    <x v="0"/>
    <x v="5"/>
    <x v="69"/>
    <x v="0"/>
    <x v="1"/>
    <n v="2"/>
    <n v="0"/>
    <n v="0"/>
  </r>
  <r>
    <x v="0"/>
    <x v="5"/>
    <x v="69"/>
    <x v="0"/>
    <x v="2"/>
    <n v="3"/>
    <n v="3.2"/>
    <n v="8000"/>
  </r>
  <r>
    <x v="0"/>
    <x v="5"/>
    <x v="69"/>
    <x v="0"/>
    <x v="3"/>
    <n v="4"/>
    <n v="2.4"/>
    <n v="6000"/>
  </r>
  <r>
    <x v="0"/>
    <x v="5"/>
    <x v="69"/>
    <x v="0"/>
    <x v="4"/>
    <n v="5"/>
    <n v="0"/>
    <n v="0"/>
  </r>
  <r>
    <x v="0"/>
    <x v="5"/>
    <x v="69"/>
    <x v="0"/>
    <x v="5"/>
    <n v="6"/>
    <n v="5.2"/>
    <n v="13000"/>
  </r>
  <r>
    <x v="0"/>
    <x v="5"/>
    <x v="69"/>
    <x v="0"/>
    <x v="6"/>
    <n v="7"/>
    <n v="0"/>
    <n v="0"/>
  </r>
  <r>
    <x v="0"/>
    <x v="5"/>
    <x v="70"/>
    <x v="0"/>
    <x v="0"/>
    <n v="1"/>
    <n v="0"/>
    <n v="0"/>
  </r>
  <r>
    <x v="0"/>
    <x v="5"/>
    <x v="70"/>
    <x v="0"/>
    <x v="1"/>
    <n v="2"/>
    <n v="0"/>
    <n v="0"/>
  </r>
  <r>
    <x v="0"/>
    <x v="5"/>
    <x v="70"/>
    <x v="0"/>
    <x v="2"/>
    <n v="3"/>
    <n v="6.8"/>
    <n v="17000"/>
  </r>
  <r>
    <x v="0"/>
    <x v="5"/>
    <x v="70"/>
    <x v="0"/>
    <x v="3"/>
    <n v="4"/>
    <n v="3.2"/>
    <n v="8000"/>
  </r>
  <r>
    <x v="0"/>
    <x v="5"/>
    <x v="70"/>
    <x v="0"/>
    <x v="4"/>
    <n v="5"/>
    <n v="0"/>
    <n v="0"/>
  </r>
  <r>
    <x v="0"/>
    <x v="5"/>
    <x v="70"/>
    <x v="0"/>
    <x v="5"/>
    <n v="6"/>
    <n v="10"/>
    <n v="25000"/>
  </r>
  <r>
    <x v="0"/>
    <x v="5"/>
    <x v="70"/>
    <x v="0"/>
    <x v="6"/>
    <n v="7"/>
    <n v="0"/>
    <n v="0"/>
  </r>
  <r>
    <x v="0"/>
    <x v="5"/>
    <x v="71"/>
    <x v="0"/>
    <x v="0"/>
    <n v="1"/>
    <n v="0"/>
    <n v="0"/>
  </r>
  <r>
    <x v="0"/>
    <x v="5"/>
    <x v="71"/>
    <x v="0"/>
    <x v="1"/>
    <n v="2"/>
    <n v="0"/>
    <n v="0"/>
  </r>
  <r>
    <x v="0"/>
    <x v="5"/>
    <x v="71"/>
    <x v="0"/>
    <x v="2"/>
    <n v="3"/>
    <n v="6.8"/>
    <n v="17000"/>
  </r>
  <r>
    <x v="0"/>
    <x v="5"/>
    <x v="71"/>
    <x v="0"/>
    <x v="3"/>
    <n v="4"/>
    <n v="1.2"/>
    <n v="3000"/>
  </r>
  <r>
    <x v="0"/>
    <x v="5"/>
    <x v="71"/>
    <x v="0"/>
    <x v="4"/>
    <n v="5"/>
    <n v="0"/>
    <n v="0"/>
  </r>
  <r>
    <x v="0"/>
    <x v="5"/>
    <x v="71"/>
    <x v="0"/>
    <x v="5"/>
    <n v="6"/>
    <n v="7.2"/>
    <n v="18000"/>
  </r>
  <r>
    <x v="0"/>
    <x v="5"/>
    <x v="71"/>
    <x v="0"/>
    <x v="6"/>
    <n v="7"/>
    <n v="0"/>
    <n v="0"/>
  </r>
  <r>
    <x v="0"/>
    <x v="5"/>
    <x v="72"/>
    <x v="0"/>
    <x v="0"/>
    <n v="1"/>
    <n v="0"/>
    <n v="0"/>
  </r>
  <r>
    <x v="0"/>
    <x v="5"/>
    <x v="72"/>
    <x v="0"/>
    <x v="1"/>
    <n v="2"/>
    <n v="0"/>
    <n v="0"/>
  </r>
  <r>
    <x v="0"/>
    <x v="5"/>
    <x v="72"/>
    <x v="0"/>
    <x v="2"/>
    <n v="3"/>
    <n v="6.8"/>
    <n v="17000"/>
  </r>
  <r>
    <x v="0"/>
    <x v="5"/>
    <x v="72"/>
    <x v="0"/>
    <x v="3"/>
    <n v="4"/>
    <n v="0.4"/>
    <n v="1000"/>
  </r>
  <r>
    <x v="0"/>
    <x v="5"/>
    <x v="72"/>
    <x v="0"/>
    <x v="4"/>
    <n v="5"/>
    <n v="0"/>
    <n v="0"/>
  </r>
  <r>
    <x v="0"/>
    <x v="5"/>
    <x v="72"/>
    <x v="0"/>
    <x v="5"/>
    <n v="6"/>
    <n v="6.8"/>
    <n v="17000"/>
  </r>
  <r>
    <x v="0"/>
    <x v="5"/>
    <x v="72"/>
    <x v="0"/>
    <x v="6"/>
    <n v="7"/>
    <n v="0"/>
    <n v="0"/>
  </r>
  <r>
    <x v="0"/>
    <x v="6"/>
    <x v="73"/>
    <x v="0"/>
    <x v="0"/>
    <n v="1"/>
    <n v="0"/>
    <n v="0"/>
  </r>
  <r>
    <x v="0"/>
    <x v="6"/>
    <x v="73"/>
    <x v="0"/>
    <x v="1"/>
    <n v="2"/>
    <n v="0"/>
    <n v="0"/>
  </r>
  <r>
    <x v="0"/>
    <x v="6"/>
    <x v="73"/>
    <x v="0"/>
    <x v="2"/>
    <n v="3"/>
    <n v="2"/>
    <n v="5000"/>
  </r>
  <r>
    <x v="0"/>
    <x v="6"/>
    <x v="73"/>
    <x v="0"/>
    <x v="3"/>
    <n v="4"/>
    <n v="1.6"/>
    <n v="4000"/>
  </r>
  <r>
    <x v="0"/>
    <x v="6"/>
    <x v="73"/>
    <x v="0"/>
    <x v="4"/>
    <n v="5"/>
    <n v="0"/>
    <n v="0"/>
  </r>
  <r>
    <x v="0"/>
    <x v="6"/>
    <x v="73"/>
    <x v="0"/>
    <x v="5"/>
    <n v="6"/>
    <n v="3.6"/>
    <n v="9000"/>
  </r>
  <r>
    <x v="0"/>
    <x v="6"/>
    <x v="73"/>
    <x v="0"/>
    <x v="6"/>
    <n v="7"/>
    <n v="0"/>
    <n v="0"/>
  </r>
  <r>
    <x v="0"/>
    <x v="6"/>
    <x v="74"/>
    <x v="0"/>
    <x v="0"/>
    <n v="1"/>
    <n v="0"/>
    <n v="0"/>
  </r>
  <r>
    <x v="0"/>
    <x v="6"/>
    <x v="74"/>
    <x v="0"/>
    <x v="1"/>
    <n v="2"/>
    <n v="0"/>
    <n v="0"/>
  </r>
  <r>
    <x v="0"/>
    <x v="6"/>
    <x v="74"/>
    <x v="0"/>
    <x v="2"/>
    <n v="3"/>
    <n v="2.4"/>
    <n v="6000"/>
  </r>
  <r>
    <x v="0"/>
    <x v="6"/>
    <x v="74"/>
    <x v="0"/>
    <x v="3"/>
    <n v="4"/>
    <n v="1.6"/>
    <n v="4000"/>
  </r>
  <r>
    <x v="0"/>
    <x v="6"/>
    <x v="74"/>
    <x v="0"/>
    <x v="4"/>
    <n v="5"/>
    <n v="0"/>
    <n v="0"/>
  </r>
  <r>
    <x v="0"/>
    <x v="6"/>
    <x v="74"/>
    <x v="0"/>
    <x v="5"/>
    <n v="6"/>
    <n v="4.4000000000000004"/>
    <n v="11000"/>
  </r>
  <r>
    <x v="0"/>
    <x v="6"/>
    <x v="74"/>
    <x v="0"/>
    <x v="6"/>
    <n v="7"/>
    <n v="0"/>
    <n v="0"/>
  </r>
  <r>
    <x v="0"/>
    <x v="6"/>
    <x v="75"/>
    <x v="0"/>
    <x v="0"/>
    <n v="1"/>
    <n v="0"/>
    <n v="0"/>
  </r>
  <r>
    <x v="0"/>
    <x v="6"/>
    <x v="75"/>
    <x v="0"/>
    <x v="1"/>
    <n v="2"/>
    <n v="0"/>
    <n v="0"/>
  </r>
  <r>
    <x v="0"/>
    <x v="6"/>
    <x v="75"/>
    <x v="0"/>
    <x v="2"/>
    <n v="3"/>
    <n v="2"/>
    <n v="5000"/>
  </r>
  <r>
    <x v="0"/>
    <x v="6"/>
    <x v="75"/>
    <x v="0"/>
    <x v="3"/>
    <n v="4"/>
    <n v="0.4"/>
    <n v="1000"/>
  </r>
  <r>
    <x v="0"/>
    <x v="6"/>
    <x v="75"/>
    <x v="0"/>
    <x v="4"/>
    <n v="5"/>
    <n v="0"/>
    <n v="0"/>
  </r>
  <r>
    <x v="0"/>
    <x v="6"/>
    <x v="75"/>
    <x v="0"/>
    <x v="5"/>
    <n v="6"/>
    <n v="2.4"/>
    <n v="6000"/>
  </r>
  <r>
    <x v="0"/>
    <x v="6"/>
    <x v="75"/>
    <x v="0"/>
    <x v="6"/>
    <n v="7"/>
    <n v="0"/>
    <n v="0"/>
  </r>
  <r>
    <x v="0"/>
    <x v="6"/>
    <x v="76"/>
    <x v="0"/>
    <x v="0"/>
    <n v="1"/>
    <n v="0"/>
    <n v="0"/>
  </r>
  <r>
    <x v="0"/>
    <x v="6"/>
    <x v="76"/>
    <x v="0"/>
    <x v="1"/>
    <n v="2"/>
    <n v="0"/>
    <n v="0"/>
  </r>
  <r>
    <x v="0"/>
    <x v="6"/>
    <x v="76"/>
    <x v="0"/>
    <x v="2"/>
    <n v="3"/>
    <n v="3.6"/>
    <n v="9000"/>
  </r>
  <r>
    <x v="0"/>
    <x v="6"/>
    <x v="76"/>
    <x v="0"/>
    <x v="3"/>
    <n v="4"/>
    <n v="1.6"/>
    <n v="4000"/>
  </r>
  <r>
    <x v="0"/>
    <x v="6"/>
    <x v="76"/>
    <x v="0"/>
    <x v="4"/>
    <n v="5"/>
    <n v="0"/>
    <n v="0"/>
  </r>
  <r>
    <x v="0"/>
    <x v="6"/>
    <x v="76"/>
    <x v="0"/>
    <x v="5"/>
    <n v="6"/>
    <n v="5.2"/>
    <n v="13000"/>
  </r>
  <r>
    <x v="0"/>
    <x v="6"/>
    <x v="76"/>
    <x v="0"/>
    <x v="6"/>
    <n v="7"/>
    <n v="0"/>
    <n v="0"/>
  </r>
  <r>
    <x v="0"/>
    <x v="6"/>
    <x v="77"/>
    <x v="0"/>
    <x v="0"/>
    <n v="1"/>
    <n v="0"/>
    <n v="0"/>
  </r>
  <r>
    <x v="0"/>
    <x v="6"/>
    <x v="77"/>
    <x v="0"/>
    <x v="1"/>
    <n v="2"/>
    <n v="0"/>
    <n v="0"/>
  </r>
  <r>
    <x v="0"/>
    <x v="6"/>
    <x v="77"/>
    <x v="0"/>
    <x v="2"/>
    <n v="3"/>
    <n v="6.8"/>
    <n v="17000"/>
  </r>
  <r>
    <x v="0"/>
    <x v="6"/>
    <x v="77"/>
    <x v="0"/>
    <x v="3"/>
    <n v="4"/>
    <n v="2"/>
    <n v="5000"/>
  </r>
  <r>
    <x v="0"/>
    <x v="6"/>
    <x v="77"/>
    <x v="0"/>
    <x v="4"/>
    <n v="5"/>
    <n v="0"/>
    <n v="0"/>
  </r>
  <r>
    <x v="0"/>
    <x v="6"/>
    <x v="77"/>
    <x v="0"/>
    <x v="5"/>
    <n v="6"/>
    <n v="8.8000000000000007"/>
    <n v="22000"/>
  </r>
  <r>
    <x v="0"/>
    <x v="6"/>
    <x v="77"/>
    <x v="0"/>
    <x v="6"/>
    <n v="7"/>
    <n v="0"/>
    <n v="0"/>
  </r>
  <r>
    <x v="0"/>
    <x v="6"/>
    <x v="78"/>
    <x v="0"/>
    <x v="0"/>
    <n v="1"/>
    <n v="0"/>
    <n v="0"/>
  </r>
  <r>
    <x v="0"/>
    <x v="6"/>
    <x v="78"/>
    <x v="0"/>
    <x v="1"/>
    <n v="2"/>
    <n v="0"/>
    <n v="0"/>
  </r>
  <r>
    <x v="0"/>
    <x v="6"/>
    <x v="78"/>
    <x v="0"/>
    <x v="2"/>
    <n v="3"/>
    <n v="4.8"/>
    <n v="12000"/>
  </r>
  <r>
    <x v="0"/>
    <x v="6"/>
    <x v="78"/>
    <x v="0"/>
    <x v="3"/>
    <n v="4"/>
    <n v="1.6"/>
    <n v="4000"/>
  </r>
  <r>
    <x v="0"/>
    <x v="6"/>
    <x v="78"/>
    <x v="0"/>
    <x v="4"/>
    <n v="5"/>
    <n v="0"/>
    <n v="0"/>
  </r>
  <r>
    <x v="0"/>
    <x v="6"/>
    <x v="78"/>
    <x v="0"/>
    <x v="5"/>
    <n v="6"/>
    <n v="6.4"/>
    <n v="16000"/>
  </r>
  <r>
    <x v="0"/>
    <x v="6"/>
    <x v="78"/>
    <x v="0"/>
    <x v="6"/>
    <n v="7"/>
    <n v="0"/>
    <n v="0"/>
  </r>
  <r>
    <x v="0"/>
    <x v="6"/>
    <x v="79"/>
    <x v="0"/>
    <x v="0"/>
    <n v="1"/>
    <n v="0"/>
    <n v="0"/>
  </r>
  <r>
    <x v="0"/>
    <x v="6"/>
    <x v="79"/>
    <x v="0"/>
    <x v="1"/>
    <n v="2"/>
    <n v="0"/>
    <n v="0"/>
  </r>
  <r>
    <x v="0"/>
    <x v="6"/>
    <x v="79"/>
    <x v="0"/>
    <x v="2"/>
    <n v="3"/>
    <n v="4"/>
    <n v="10000"/>
  </r>
  <r>
    <x v="0"/>
    <x v="6"/>
    <x v="79"/>
    <x v="0"/>
    <x v="3"/>
    <n v="4"/>
    <n v="0.8"/>
    <n v="2000"/>
  </r>
  <r>
    <x v="0"/>
    <x v="6"/>
    <x v="79"/>
    <x v="0"/>
    <x v="4"/>
    <n v="5"/>
    <n v="0"/>
    <n v="0"/>
  </r>
  <r>
    <x v="0"/>
    <x v="6"/>
    <x v="79"/>
    <x v="0"/>
    <x v="5"/>
    <n v="6"/>
    <n v="5.2"/>
    <n v="13000"/>
  </r>
  <r>
    <x v="0"/>
    <x v="6"/>
    <x v="79"/>
    <x v="0"/>
    <x v="6"/>
    <n v="7"/>
    <n v="0"/>
    <n v="0"/>
  </r>
  <r>
    <x v="0"/>
    <x v="6"/>
    <x v="80"/>
    <x v="0"/>
    <x v="0"/>
    <n v="1"/>
    <n v="0"/>
    <n v="0"/>
  </r>
  <r>
    <x v="0"/>
    <x v="6"/>
    <x v="80"/>
    <x v="0"/>
    <x v="1"/>
    <n v="2"/>
    <n v="0"/>
    <n v="0"/>
  </r>
  <r>
    <x v="0"/>
    <x v="6"/>
    <x v="80"/>
    <x v="0"/>
    <x v="2"/>
    <n v="3"/>
    <n v="3.2"/>
    <n v="8000"/>
  </r>
  <r>
    <x v="0"/>
    <x v="6"/>
    <x v="80"/>
    <x v="0"/>
    <x v="3"/>
    <n v="4"/>
    <n v="2"/>
    <n v="5000"/>
  </r>
  <r>
    <x v="0"/>
    <x v="6"/>
    <x v="80"/>
    <x v="0"/>
    <x v="4"/>
    <n v="5"/>
    <n v="0"/>
    <n v="0"/>
  </r>
  <r>
    <x v="0"/>
    <x v="6"/>
    <x v="80"/>
    <x v="0"/>
    <x v="5"/>
    <n v="6"/>
    <n v="5.2"/>
    <n v="13000"/>
  </r>
  <r>
    <x v="0"/>
    <x v="6"/>
    <x v="80"/>
    <x v="0"/>
    <x v="6"/>
    <n v="7"/>
    <n v="0"/>
    <n v="0"/>
  </r>
  <r>
    <x v="0"/>
    <x v="6"/>
    <x v="81"/>
    <x v="0"/>
    <x v="0"/>
    <n v="1"/>
    <n v="0"/>
    <n v="0"/>
  </r>
  <r>
    <x v="0"/>
    <x v="6"/>
    <x v="81"/>
    <x v="0"/>
    <x v="1"/>
    <n v="2"/>
    <n v="0"/>
    <n v="0"/>
  </r>
  <r>
    <x v="0"/>
    <x v="6"/>
    <x v="81"/>
    <x v="0"/>
    <x v="2"/>
    <n v="3"/>
    <n v="2"/>
    <n v="5000"/>
  </r>
  <r>
    <x v="0"/>
    <x v="6"/>
    <x v="81"/>
    <x v="0"/>
    <x v="3"/>
    <n v="4"/>
    <n v="1.2"/>
    <n v="3000"/>
  </r>
  <r>
    <x v="0"/>
    <x v="6"/>
    <x v="81"/>
    <x v="0"/>
    <x v="4"/>
    <n v="5"/>
    <n v="0"/>
    <n v="0"/>
  </r>
  <r>
    <x v="0"/>
    <x v="6"/>
    <x v="81"/>
    <x v="0"/>
    <x v="5"/>
    <n v="6"/>
    <n v="3.2"/>
    <n v="8000"/>
  </r>
  <r>
    <x v="0"/>
    <x v="6"/>
    <x v="81"/>
    <x v="0"/>
    <x v="6"/>
    <n v="7"/>
    <n v="0"/>
    <n v="0"/>
  </r>
  <r>
    <x v="0"/>
    <x v="6"/>
    <x v="82"/>
    <x v="0"/>
    <x v="0"/>
    <n v="1"/>
    <n v="0"/>
    <n v="0"/>
  </r>
  <r>
    <x v="0"/>
    <x v="6"/>
    <x v="82"/>
    <x v="0"/>
    <x v="1"/>
    <n v="2"/>
    <n v="0"/>
    <n v="0"/>
  </r>
  <r>
    <x v="0"/>
    <x v="6"/>
    <x v="82"/>
    <x v="0"/>
    <x v="2"/>
    <n v="3"/>
    <n v="4.4000000000000004"/>
    <n v="11000"/>
  </r>
  <r>
    <x v="0"/>
    <x v="6"/>
    <x v="82"/>
    <x v="0"/>
    <x v="3"/>
    <n v="4"/>
    <n v="2.8"/>
    <n v="7000"/>
  </r>
  <r>
    <x v="0"/>
    <x v="6"/>
    <x v="82"/>
    <x v="0"/>
    <x v="4"/>
    <n v="5"/>
    <n v="0"/>
    <n v="0"/>
  </r>
  <r>
    <x v="0"/>
    <x v="6"/>
    <x v="82"/>
    <x v="0"/>
    <x v="5"/>
    <n v="6"/>
    <n v="7.2"/>
    <n v="18000"/>
  </r>
  <r>
    <x v="0"/>
    <x v="6"/>
    <x v="82"/>
    <x v="0"/>
    <x v="6"/>
    <n v="7"/>
    <n v="0"/>
    <n v="0"/>
  </r>
  <r>
    <x v="0"/>
    <x v="6"/>
    <x v="83"/>
    <x v="0"/>
    <x v="0"/>
    <n v="1"/>
    <n v="0"/>
    <n v="0"/>
  </r>
  <r>
    <x v="0"/>
    <x v="6"/>
    <x v="83"/>
    <x v="0"/>
    <x v="1"/>
    <n v="2"/>
    <n v="0"/>
    <n v="0"/>
  </r>
  <r>
    <x v="0"/>
    <x v="6"/>
    <x v="83"/>
    <x v="0"/>
    <x v="2"/>
    <n v="3"/>
    <n v="2"/>
    <n v="5000"/>
  </r>
  <r>
    <x v="0"/>
    <x v="6"/>
    <x v="83"/>
    <x v="0"/>
    <x v="3"/>
    <n v="4"/>
    <n v="2"/>
    <n v="5000"/>
  </r>
  <r>
    <x v="0"/>
    <x v="6"/>
    <x v="83"/>
    <x v="0"/>
    <x v="4"/>
    <n v="5"/>
    <n v="0"/>
    <n v="0"/>
  </r>
  <r>
    <x v="0"/>
    <x v="6"/>
    <x v="83"/>
    <x v="0"/>
    <x v="5"/>
    <n v="6"/>
    <n v="4.8"/>
    <n v="12000"/>
  </r>
  <r>
    <x v="0"/>
    <x v="6"/>
    <x v="83"/>
    <x v="0"/>
    <x v="6"/>
    <n v="7"/>
    <n v="0"/>
    <n v="0"/>
  </r>
  <r>
    <x v="0"/>
    <x v="6"/>
    <x v="84"/>
    <x v="0"/>
    <x v="0"/>
    <n v="1"/>
    <n v="0"/>
    <n v="0"/>
  </r>
  <r>
    <x v="0"/>
    <x v="6"/>
    <x v="84"/>
    <x v="0"/>
    <x v="1"/>
    <n v="2"/>
    <n v="0"/>
    <n v="0"/>
  </r>
  <r>
    <x v="0"/>
    <x v="6"/>
    <x v="84"/>
    <x v="0"/>
    <x v="2"/>
    <n v="3"/>
    <n v="4.4000000000000004"/>
    <n v="11000"/>
  </r>
  <r>
    <x v="0"/>
    <x v="6"/>
    <x v="84"/>
    <x v="0"/>
    <x v="3"/>
    <n v="4"/>
    <n v="1.2"/>
    <n v="3000"/>
  </r>
  <r>
    <x v="0"/>
    <x v="6"/>
    <x v="84"/>
    <x v="0"/>
    <x v="4"/>
    <n v="5"/>
    <n v="0"/>
    <n v="0"/>
  </r>
  <r>
    <x v="0"/>
    <x v="6"/>
    <x v="84"/>
    <x v="0"/>
    <x v="5"/>
    <n v="6"/>
    <n v="5.6"/>
    <n v="14000"/>
  </r>
  <r>
    <x v="0"/>
    <x v="6"/>
    <x v="84"/>
    <x v="0"/>
    <x v="6"/>
    <n v="7"/>
    <n v="0"/>
    <n v="0"/>
  </r>
  <r>
    <x v="0"/>
    <x v="6"/>
    <x v="85"/>
    <x v="0"/>
    <x v="0"/>
    <n v="1"/>
    <n v="0"/>
    <n v="0"/>
  </r>
  <r>
    <x v="0"/>
    <x v="6"/>
    <x v="85"/>
    <x v="0"/>
    <x v="1"/>
    <n v="2"/>
    <n v="0"/>
    <n v="0"/>
  </r>
  <r>
    <x v="0"/>
    <x v="6"/>
    <x v="85"/>
    <x v="0"/>
    <x v="2"/>
    <n v="3"/>
    <n v="2.8"/>
    <n v="7000"/>
  </r>
  <r>
    <x v="0"/>
    <x v="6"/>
    <x v="85"/>
    <x v="0"/>
    <x v="3"/>
    <n v="4"/>
    <n v="2.4"/>
    <n v="6000"/>
  </r>
  <r>
    <x v="0"/>
    <x v="6"/>
    <x v="85"/>
    <x v="0"/>
    <x v="4"/>
    <n v="5"/>
    <n v="0"/>
    <n v="0"/>
  </r>
  <r>
    <x v="0"/>
    <x v="6"/>
    <x v="85"/>
    <x v="0"/>
    <x v="5"/>
    <n v="6"/>
    <n v="5.6"/>
    <n v="14000"/>
  </r>
  <r>
    <x v="0"/>
    <x v="6"/>
    <x v="85"/>
    <x v="0"/>
    <x v="6"/>
    <n v="7"/>
    <n v="0"/>
    <n v="0"/>
  </r>
  <r>
    <x v="0"/>
    <x v="6"/>
    <x v="86"/>
    <x v="0"/>
    <x v="0"/>
    <n v="1"/>
    <n v="0"/>
    <n v="0"/>
  </r>
  <r>
    <x v="0"/>
    <x v="6"/>
    <x v="86"/>
    <x v="0"/>
    <x v="1"/>
    <n v="2"/>
    <n v="0"/>
    <n v="0"/>
  </r>
  <r>
    <x v="0"/>
    <x v="6"/>
    <x v="86"/>
    <x v="0"/>
    <x v="2"/>
    <n v="3"/>
    <n v="4"/>
    <n v="10000"/>
  </r>
  <r>
    <x v="0"/>
    <x v="6"/>
    <x v="86"/>
    <x v="0"/>
    <x v="3"/>
    <n v="4"/>
    <n v="2"/>
    <n v="5000"/>
  </r>
  <r>
    <x v="0"/>
    <x v="6"/>
    <x v="86"/>
    <x v="0"/>
    <x v="4"/>
    <n v="5"/>
    <n v="0"/>
    <n v="0"/>
  </r>
  <r>
    <x v="0"/>
    <x v="6"/>
    <x v="86"/>
    <x v="0"/>
    <x v="5"/>
    <n v="6"/>
    <n v="6.4"/>
    <n v="16000"/>
  </r>
  <r>
    <x v="0"/>
    <x v="6"/>
    <x v="86"/>
    <x v="0"/>
    <x v="6"/>
    <n v="7"/>
    <n v="0"/>
    <n v="0"/>
  </r>
  <r>
    <x v="0"/>
    <x v="6"/>
    <x v="87"/>
    <x v="0"/>
    <x v="0"/>
    <n v="1"/>
    <n v="0"/>
    <n v="0"/>
  </r>
  <r>
    <x v="0"/>
    <x v="6"/>
    <x v="87"/>
    <x v="0"/>
    <x v="1"/>
    <n v="2"/>
    <n v="0"/>
    <n v="0"/>
  </r>
  <r>
    <x v="0"/>
    <x v="6"/>
    <x v="87"/>
    <x v="0"/>
    <x v="2"/>
    <n v="3"/>
    <n v="3.2"/>
    <n v="8000"/>
  </r>
  <r>
    <x v="0"/>
    <x v="6"/>
    <x v="87"/>
    <x v="0"/>
    <x v="3"/>
    <n v="4"/>
    <n v="0.8"/>
    <n v="2000"/>
  </r>
  <r>
    <x v="0"/>
    <x v="6"/>
    <x v="87"/>
    <x v="0"/>
    <x v="4"/>
    <n v="5"/>
    <n v="0"/>
    <n v="0"/>
  </r>
  <r>
    <x v="0"/>
    <x v="6"/>
    <x v="87"/>
    <x v="0"/>
    <x v="5"/>
    <n v="6"/>
    <n v="4"/>
    <n v="10000"/>
  </r>
  <r>
    <x v="0"/>
    <x v="6"/>
    <x v="87"/>
    <x v="0"/>
    <x v="6"/>
    <n v="7"/>
    <n v="0"/>
    <n v="0"/>
  </r>
  <r>
    <x v="0"/>
    <x v="6"/>
    <x v="88"/>
    <x v="0"/>
    <x v="0"/>
    <n v="1"/>
    <n v="0"/>
    <n v="0"/>
  </r>
  <r>
    <x v="0"/>
    <x v="6"/>
    <x v="88"/>
    <x v="0"/>
    <x v="1"/>
    <n v="2"/>
    <n v="0"/>
    <n v="0"/>
  </r>
  <r>
    <x v="0"/>
    <x v="6"/>
    <x v="88"/>
    <x v="0"/>
    <x v="2"/>
    <n v="3"/>
    <n v="2.8"/>
    <n v="7000"/>
  </r>
  <r>
    <x v="0"/>
    <x v="6"/>
    <x v="88"/>
    <x v="0"/>
    <x v="3"/>
    <n v="4"/>
    <n v="1.2"/>
    <n v="3000"/>
  </r>
  <r>
    <x v="0"/>
    <x v="6"/>
    <x v="88"/>
    <x v="0"/>
    <x v="4"/>
    <n v="5"/>
    <n v="0"/>
    <n v="0"/>
  </r>
  <r>
    <x v="0"/>
    <x v="6"/>
    <x v="88"/>
    <x v="0"/>
    <x v="5"/>
    <n v="6"/>
    <n v="3.6"/>
    <n v="9000"/>
  </r>
  <r>
    <x v="0"/>
    <x v="6"/>
    <x v="88"/>
    <x v="0"/>
    <x v="6"/>
    <n v="7"/>
    <n v="0"/>
    <n v="0"/>
  </r>
  <r>
    <x v="0"/>
    <x v="6"/>
    <x v="89"/>
    <x v="0"/>
    <x v="0"/>
    <n v="1"/>
    <n v="0"/>
    <n v="0"/>
  </r>
  <r>
    <x v="0"/>
    <x v="6"/>
    <x v="89"/>
    <x v="0"/>
    <x v="1"/>
    <n v="2"/>
    <n v="0"/>
    <n v="0"/>
  </r>
  <r>
    <x v="0"/>
    <x v="6"/>
    <x v="89"/>
    <x v="0"/>
    <x v="2"/>
    <n v="3"/>
    <n v="6.8"/>
    <n v="17000"/>
  </r>
  <r>
    <x v="0"/>
    <x v="6"/>
    <x v="89"/>
    <x v="0"/>
    <x v="3"/>
    <n v="4"/>
    <n v="3.6"/>
    <n v="9000"/>
  </r>
  <r>
    <x v="0"/>
    <x v="6"/>
    <x v="89"/>
    <x v="0"/>
    <x v="4"/>
    <n v="5"/>
    <n v="0"/>
    <n v="0"/>
  </r>
  <r>
    <x v="0"/>
    <x v="6"/>
    <x v="89"/>
    <x v="0"/>
    <x v="5"/>
    <n v="6"/>
    <n v="9.6"/>
    <n v="24000"/>
  </r>
  <r>
    <x v="0"/>
    <x v="6"/>
    <x v="89"/>
    <x v="0"/>
    <x v="6"/>
    <n v="7"/>
    <n v="0"/>
    <n v="0"/>
  </r>
  <r>
    <x v="0"/>
    <x v="7"/>
    <x v="90"/>
    <x v="0"/>
    <x v="0"/>
    <n v="1"/>
    <n v="0"/>
    <n v="0"/>
  </r>
  <r>
    <x v="0"/>
    <x v="7"/>
    <x v="90"/>
    <x v="0"/>
    <x v="1"/>
    <n v="2"/>
    <n v="0"/>
    <n v="0"/>
  </r>
  <r>
    <x v="0"/>
    <x v="7"/>
    <x v="90"/>
    <x v="0"/>
    <x v="2"/>
    <n v="3"/>
    <n v="2"/>
    <n v="5000"/>
  </r>
  <r>
    <x v="0"/>
    <x v="7"/>
    <x v="90"/>
    <x v="0"/>
    <x v="3"/>
    <n v="4"/>
    <n v="1.2"/>
    <n v="3000"/>
  </r>
  <r>
    <x v="0"/>
    <x v="7"/>
    <x v="90"/>
    <x v="0"/>
    <x v="4"/>
    <n v="5"/>
    <n v="0"/>
    <n v="0"/>
  </r>
  <r>
    <x v="0"/>
    <x v="7"/>
    <x v="90"/>
    <x v="0"/>
    <x v="5"/>
    <n v="6"/>
    <n v="3.2"/>
    <n v="8000"/>
  </r>
  <r>
    <x v="0"/>
    <x v="7"/>
    <x v="90"/>
    <x v="0"/>
    <x v="6"/>
    <n v="7"/>
    <n v="0"/>
    <n v="0"/>
  </r>
  <r>
    <x v="0"/>
    <x v="7"/>
    <x v="91"/>
    <x v="0"/>
    <x v="0"/>
    <n v="1"/>
    <n v="0"/>
    <n v="0"/>
  </r>
  <r>
    <x v="0"/>
    <x v="7"/>
    <x v="91"/>
    <x v="0"/>
    <x v="1"/>
    <n v="2"/>
    <n v="0"/>
    <n v="0"/>
  </r>
  <r>
    <x v="0"/>
    <x v="7"/>
    <x v="91"/>
    <x v="0"/>
    <x v="2"/>
    <n v="3"/>
    <n v="5.6"/>
    <n v="14000"/>
  </r>
  <r>
    <x v="0"/>
    <x v="7"/>
    <x v="91"/>
    <x v="0"/>
    <x v="3"/>
    <n v="4"/>
    <n v="4.8"/>
    <n v="12000"/>
  </r>
  <r>
    <x v="0"/>
    <x v="7"/>
    <x v="91"/>
    <x v="0"/>
    <x v="4"/>
    <n v="5"/>
    <n v="0"/>
    <n v="0"/>
  </r>
  <r>
    <x v="0"/>
    <x v="7"/>
    <x v="91"/>
    <x v="0"/>
    <x v="5"/>
    <n v="6"/>
    <n v="10.4"/>
    <n v="26000"/>
  </r>
  <r>
    <x v="0"/>
    <x v="7"/>
    <x v="91"/>
    <x v="0"/>
    <x v="6"/>
    <n v="7"/>
    <n v="0"/>
    <n v="0"/>
  </r>
  <r>
    <x v="0"/>
    <x v="7"/>
    <x v="92"/>
    <x v="0"/>
    <x v="0"/>
    <n v="1"/>
    <n v="0"/>
    <n v="0"/>
  </r>
  <r>
    <x v="0"/>
    <x v="7"/>
    <x v="92"/>
    <x v="0"/>
    <x v="1"/>
    <n v="2"/>
    <n v="0"/>
    <n v="0"/>
  </r>
  <r>
    <x v="0"/>
    <x v="7"/>
    <x v="92"/>
    <x v="0"/>
    <x v="2"/>
    <n v="3"/>
    <n v="3.2"/>
    <n v="8000"/>
  </r>
  <r>
    <x v="0"/>
    <x v="7"/>
    <x v="92"/>
    <x v="0"/>
    <x v="3"/>
    <n v="4"/>
    <n v="2"/>
    <n v="5000"/>
  </r>
  <r>
    <x v="0"/>
    <x v="7"/>
    <x v="92"/>
    <x v="0"/>
    <x v="4"/>
    <n v="5"/>
    <n v="0"/>
    <n v="0"/>
  </r>
  <r>
    <x v="0"/>
    <x v="7"/>
    <x v="92"/>
    <x v="0"/>
    <x v="5"/>
    <n v="6"/>
    <n v="5.2"/>
    <n v="13000"/>
  </r>
  <r>
    <x v="0"/>
    <x v="7"/>
    <x v="92"/>
    <x v="0"/>
    <x v="6"/>
    <n v="7"/>
    <n v="0"/>
    <n v="0"/>
  </r>
  <r>
    <x v="0"/>
    <x v="7"/>
    <x v="93"/>
    <x v="0"/>
    <x v="0"/>
    <n v="1"/>
    <n v="0"/>
    <n v="0"/>
  </r>
  <r>
    <x v="0"/>
    <x v="7"/>
    <x v="93"/>
    <x v="0"/>
    <x v="1"/>
    <n v="2"/>
    <n v="0"/>
    <n v="0"/>
  </r>
  <r>
    <x v="0"/>
    <x v="7"/>
    <x v="93"/>
    <x v="0"/>
    <x v="2"/>
    <n v="3"/>
    <n v="4"/>
    <n v="10000"/>
  </r>
  <r>
    <x v="0"/>
    <x v="7"/>
    <x v="93"/>
    <x v="0"/>
    <x v="3"/>
    <n v="4"/>
    <n v="1.6"/>
    <n v="4000"/>
  </r>
  <r>
    <x v="0"/>
    <x v="7"/>
    <x v="93"/>
    <x v="0"/>
    <x v="4"/>
    <n v="5"/>
    <n v="0"/>
    <n v="0"/>
  </r>
  <r>
    <x v="0"/>
    <x v="7"/>
    <x v="93"/>
    <x v="0"/>
    <x v="5"/>
    <n v="6"/>
    <n v="5.6"/>
    <n v="14000"/>
  </r>
  <r>
    <x v="0"/>
    <x v="7"/>
    <x v="93"/>
    <x v="0"/>
    <x v="6"/>
    <n v="7"/>
    <n v="0"/>
    <n v="0"/>
  </r>
  <r>
    <x v="0"/>
    <x v="7"/>
    <x v="94"/>
    <x v="0"/>
    <x v="0"/>
    <n v="1"/>
    <n v="0"/>
    <n v="0"/>
  </r>
  <r>
    <x v="0"/>
    <x v="7"/>
    <x v="94"/>
    <x v="0"/>
    <x v="1"/>
    <n v="2"/>
    <n v="0"/>
    <n v="0"/>
  </r>
  <r>
    <x v="0"/>
    <x v="7"/>
    <x v="94"/>
    <x v="0"/>
    <x v="2"/>
    <n v="3"/>
    <n v="5.2"/>
    <n v="13000"/>
  </r>
  <r>
    <x v="0"/>
    <x v="7"/>
    <x v="94"/>
    <x v="0"/>
    <x v="3"/>
    <n v="4"/>
    <n v="2.8"/>
    <n v="7000"/>
  </r>
  <r>
    <x v="0"/>
    <x v="7"/>
    <x v="94"/>
    <x v="0"/>
    <x v="4"/>
    <n v="5"/>
    <n v="0"/>
    <n v="0"/>
  </r>
  <r>
    <x v="0"/>
    <x v="7"/>
    <x v="94"/>
    <x v="0"/>
    <x v="5"/>
    <n v="6"/>
    <n v="8"/>
    <n v="20000"/>
  </r>
  <r>
    <x v="0"/>
    <x v="7"/>
    <x v="94"/>
    <x v="0"/>
    <x v="6"/>
    <n v="7"/>
    <n v="0"/>
    <n v="0"/>
  </r>
  <r>
    <x v="0"/>
    <x v="7"/>
    <x v="95"/>
    <x v="0"/>
    <x v="0"/>
    <n v="1"/>
    <n v="0"/>
    <n v="0"/>
  </r>
  <r>
    <x v="0"/>
    <x v="7"/>
    <x v="95"/>
    <x v="0"/>
    <x v="1"/>
    <n v="2"/>
    <n v="0"/>
    <n v="0"/>
  </r>
  <r>
    <x v="0"/>
    <x v="7"/>
    <x v="95"/>
    <x v="0"/>
    <x v="2"/>
    <n v="3"/>
    <n v="4"/>
    <n v="10000"/>
  </r>
  <r>
    <x v="0"/>
    <x v="7"/>
    <x v="95"/>
    <x v="0"/>
    <x v="3"/>
    <n v="4"/>
    <n v="4"/>
    <n v="10000"/>
  </r>
  <r>
    <x v="0"/>
    <x v="7"/>
    <x v="95"/>
    <x v="0"/>
    <x v="4"/>
    <n v="5"/>
    <n v="0"/>
    <n v="0"/>
  </r>
  <r>
    <x v="0"/>
    <x v="7"/>
    <x v="95"/>
    <x v="0"/>
    <x v="5"/>
    <n v="6"/>
    <n v="7.6"/>
    <n v="19000"/>
  </r>
  <r>
    <x v="0"/>
    <x v="7"/>
    <x v="95"/>
    <x v="0"/>
    <x v="6"/>
    <n v="7"/>
    <n v="0"/>
    <n v="0"/>
  </r>
  <r>
    <x v="0"/>
    <x v="7"/>
    <x v="96"/>
    <x v="0"/>
    <x v="0"/>
    <n v="1"/>
    <n v="0"/>
    <n v="0"/>
  </r>
  <r>
    <x v="0"/>
    <x v="7"/>
    <x v="96"/>
    <x v="0"/>
    <x v="1"/>
    <n v="2"/>
    <n v="0"/>
    <n v="0"/>
  </r>
  <r>
    <x v="0"/>
    <x v="7"/>
    <x v="96"/>
    <x v="0"/>
    <x v="2"/>
    <n v="3"/>
    <n v="4"/>
    <n v="10000"/>
  </r>
  <r>
    <x v="0"/>
    <x v="7"/>
    <x v="96"/>
    <x v="0"/>
    <x v="3"/>
    <n v="4"/>
    <n v="1.2"/>
    <n v="3000"/>
  </r>
  <r>
    <x v="0"/>
    <x v="7"/>
    <x v="96"/>
    <x v="0"/>
    <x v="4"/>
    <n v="5"/>
    <n v="0"/>
    <n v="0"/>
  </r>
  <r>
    <x v="0"/>
    <x v="7"/>
    <x v="96"/>
    <x v="0"/>
    <x v="5"/>
    <n v="6"/>
    <n v="5.2"/>
    <n v="13000"/>
  </r>
  <r>
    <x v="0"/>
    <x v="7"/>
    <x v="96"/>
    <x v="0"/>
    <x v="6"/>
    <n v="7"/>
    <n v="0"/>
    <n v="0"/>
  </r>
  <r>
    <x v="0"/>
    <x v="7"/>
    <x v="97"/>
    <x v="0"/>
    <x v="0"/>
    <n v="1"/>
    <n v="0"/>
    <n v="0"/>
  </r>
  <r>
    <x v="0"/>
    <x v="7"/>
    <x v="97"/>
    <x v="0"/>
    <x v="1"/>
    <n v="2"/>
    <n v="0"/>
    <n v="0"/>
  </r>
  <r>
    <x v="0"/>
    <x v="7"/>
    <x v="97"/>
    <x v="0"/>
    <x v="2"/>
    <n v="3"/>
    <n v="2.4"/>
    <n v="6000"/>
  </r>
  <r>
    <x v="0"/>
    <x v="7"/>
    <x v="97"/>
    <x v="0"/>
    <x v="3"/>
    <n v="4"/>
    <n v="1.2"/>
    <n v="3000"/>
  </r>
  <r>
    <x v="0"/>
    <x v="7"/>
    <x v="97"/>
    <x v="0"/>
    <x v="4"/>
    <n v="5"/>
    <n v="0"/>
    <n v="0"/>
  </r>
  <r>
    <x v="0"/>
    <x v="7"/>
    <x v="97"/>
    <x v="0"/>
    <x v="5"/>
    <n v="6"/>
    <n v="3.6"/>
    <n v="9000"/>
  </r>
  <r>
    <x v="0"/>
    <x v="7"/>
    <x v="97"/>
    <x v="0"/>
    <x v="6"/>
    <n v="7"/>
    <n v="0"/>
    <n v="0"/>
  </r>
  <r>
    <x v="0"/>
    <x v="7"/>
    <x v="62"/>
    <x v="0"/>
    <x v="0"/>
    <n v="1"/>
    <n v="0"/>
    <n v="0"/>
  </r>
  <r>
    <x v="0"/>
    <x v="7"/>
    <x v="62"/>
    <x v="0"/>
    <x v="1"/>
    <n v="2"/>
    <n v="0"/>
    <n v="0"/>
  </r>
  <r>
    <x v="0"/>
    <x v="7"/>
    <x v="62"/>
    <x v="0"/>
    <x v="2"/>
    <n v="3"/>
    <n v="2.4"/>
    <n v="6000"/>
  </r>
  <r>
    <x v="0"/>
    <x v="7"/>
    <x v="62"/>
    <x v="0"/>
    <x v="3"/>
    <n v="4"/>
    <n v="1.2"/>
    <n v="3000"/>
  </r>
  <r>
    <x v="0"/>
    <x v="7"/>
    <x v="62"/>
    <x v="0"/>
    <x v="4"/>
    <n v="5"/>
    <n v="0"/>
    <n v="0"/>
  </r>
  <r>
    <x v="0"/>
    <x v="7"/>
    <x v="62"/>
    <x v="0"/>
    <x v="5"/>
    <n v="6"/>
    <n v="3.2"/>
    <n v="8000"/>
  </r>
  <r>
    <x v="0"/>
    <x v="7"/>
    <x v="62"/>
    <x v="0"/>
    <x v="6"/>
    <n v="7"/>
    <n v="0"/>
    <n v="0"/>
  </r>
  <r>
    <x v="0"/>
    <x v="7"/>
    <x v="98"/>
    <x v="0"/>
    <x v="0"/>
    <n v="1"/>
    <n v="0"/>
    <n v="0"/>
  </r>
  <r>
    <x v="0"/>
    <x v="7"/>
    <x v="98"/>
    <x v="0"/>
    <x v="1"/>
    <n v="2"/>
    <n v="0"/>
    <n v="0"/>
  </r>
  <r>
    <x v="0"/>
    <x v="7"/>
    <x v="98"/>
    <x v="0"/>
    <x v="2"/>
    <n v="3"/>
    <n v="4.4000000000000004"/>
    <n v="11000"/>
  </r>
  <r>
    <x v="0"/>
    <x v="7"/>
    <x v="98"/>
    <x v="0"/>
    <x v="3"/>
    <n v="4"/>
    <n v="2"/>
    <n v="5000"/>
  </r>
  <r>
    <x v="0"/>
    <x v="7"/>
    <x v="98"/>
    <x v="0"/>
    <x v="4"/>
    <n v="5"/>
    <n v="0"/>
    <n v="0"/>
  </r>
  <r>
    <x v="0"/>
    <x v="7"/>
    <x v="98"/>
    <x v="0"/>
    <x v="5"/>
    <n v="6"/>
    <n v="6"/>
    <n v="15000"/>
  </r>
  <r>
    <x v="0"/>
    <x v="7"/>
    <x v="98"/>
    <x v="0"/>
    <x v="6"/>
    <n v="7"/>
    <n v="0"/>
    <n v="0"/>
  </r>
  <r>
    <x v="0"/>
    <x v="7"/>
    <x v="99"/>
    <x v="0"/>
    <x v="0"/>
    <n v="1"/>
    <n v="0"/>
    <n v="0"/>
  </r>
  <r>
    <x v="0"/>
    <x v="7"/>
    <x v="99"/>
    <x v="0"/>
    <x v="1"/>
    <n v="2"/>
    <n v="0"/>
    <n v="0"/>
  </r>
  <r>
    <x v="0"/>
    <x v="7"/>
    <x v="99"/>
    <x v="0"/>
    <x v="2"/>
    <n v="3"/>
    <n v="4.8"/>
    <n v="12000"/>
  </r>
  <r>
    <x v="0"/>
    <x v="7"/>
    <x v="99"/>
    <x v="0"/>
    <x v="3"/>
    <n v="4"/>
    <n v="4"/>
    <n v="10000"/>
  </r>
  <r>
    <x v="0"/>
    <x v="7"/>
    <x v="99"/>
    <x v="0"/>
    <x v="4"/>
    <n v="5"/>
    <n v="0"/>
    <n v="0"/>
  </r>
  <r>
    <x v="0"/>
    <x v="7"/>
    <x v="99"/>
    <x v="0"/>
    <x v="5"/>
    <n v="6"/>
    <n v="8.8000000000000007"/>
    <n v="22000"/>
  </r>
  <r>
    <x v="0"/>
    <x v="7"/>
    <x v="99"/>
    <x v="0"/>
    <x v="6"/>
    <n v="7"/>
    <n v="0"/>
    <n v="0"/>
  </r>
  <r>
    <x v="0"/>
    <x v="7"/>
    <x v="100"/>
    <x v="0"/>
    <x v="0"/>
    <n v="1"/>
    <n v="0"/>
    <n v="0"/>
  </r>
  <r>
    <x v="0"/>
    <x v="7"/>
    <x v="100"/>
    <x v="0"/>
    <x v="1"/>
    <n v="2"/>
    <n v="0"/>
    <n v="0"/>
  </r>
  <r>
    <x v="0"/>
    <x v="7"/>
    <x v="100"/>
    <x v="0"/>
    <x v="2"/>
    <n v="3"/>
    <n v="3.6"/>
    <n v="9000"/>
  </r>
  <r>
    <x v="0"/>
    <x v="7"/>
    <x v="100"/>
    <x v="0"/>
    <x v="3"/>
    <n v="4"/>
    <n v="4"/>
    <n v="10000"/>
  </r>
  <r>
    <x v="0"/>
    <x v="7"/>
    <x v="100"/>
    <x v="0"/>
    <x v="4"/>
    <n v="5"/>
    <n v="0"/>
    <n v="0"/>
  </r>
  <r>
    <x v="0"/>
    <x v="7"/>
    <x v="100"/>
    <x v="0"/>
    <x v="5"/>
    <n v="6"/>
    <n v="7.2"/>
    <n v="18000"/>
  </r>
  <r>
    <x v="0"/>
    <x v="7"/>
    <x v="100"/>
    <x v="0"/>
    <x v="6"/>
    <n v="7"/>
    <n v="0"/>
    <n v="0"/>
  </r>
  <r>
    <x v="0"/>
    <x v="7"/>
    <x v="101"/>
    <x v="0"/>
    <x v="0"/>
    <n v="1"/>
    <n v="0"/>
    <n v="0"/>
  </r>
  <r>
    <x v="0"/>
    <x v="7"/>
    <x v="101"/>
    <x v="0"/>
    <x v="1"/>
    <n v="2"/>
    <n v="0"/>
    <n v="0"/>
  </r>
  <r>
    <x v="0"/>
    <x v="7"/>
    <x v="101"/>
    <x v="0"/>
    <x v="2"/>
    <n v="3"/>
    <n v="3.6"/>
    <n v="9000"/>
  </r>
  <r>
    <x v="0"/>
    <x v="7"/>
    <x v="101"/>
    <x v="0"/>
    <x v="3"/>
    <n v="4"/>
    <n v="0.8"/>
    <n v="2000"/>
  </r>
  <r>
    <x v="0"/>
    <x v="7"/>
    <x v="101"/>
    <x v="0"/>
    <x v="4"/>
    <n v="5"/>
    <n v="0"/>
    <n v="0"/>
  </r>
  <r>
    <x v="0"/>
    <x v="7"/>
    <x v="101"/>
    <x v="0"/>
    <x v="5"/>
    <n v="6"/>
    <n v="4.4000000000000004"/>
    <n v="11000"/>
  </r>
  <r>
    <x v="0"/>
    <x v="7"/>
    <x v="101"/>
    <x v="0"/>
    <x v="6"/>
    <n v="7"/>
    <n v="0"/>
    <n v="0"/>
  </r>
  <r>
    <x v="0"/>
    <x v="7"/>
    <x v="102"/>
    <x v="0"/>
    <x v="0"/>
    <n v="1"/>
    <n v="0"/>
    <n v="0"/>
  </r>
  <r>
    <x v="0"/>
    <x v="7"/>
    <x v="102"/>
    <x v="0"/>
    <x v="1"/>
    <n v="2"/>
    <n v="0"/>
    <n v="0"/>
  </r>
  <r>
    <x v="0"/>
    <x v="7"/>
    <x v="102"/>
    <x v="0"/>
    <x v="2"/>
    <n v="3"/>
    <n v="5.2"/>
    <n v="13000"/>
  </r>
  <r>
    <x v="0"/>
    <x v="7"/>
    <x v="102"/>
    <x v="0"/>
    <x v="3"/>
    <n v="4"/>
    <n v="1.2"/>
    <n v="3000"/>
  </r>
  <r>
    <x v="0"/>
    <x v="7"/>
    <x v="102"/>
    <x v="0"/>
    <x v="4"/>
    <n v="5"/>
    <n v="0"/>
    <n v="0"/>
  </r>
  <r>
    <x v="0"/>
    <x v="7"/>
    <x v="102"/>
    <x v="0"/>
    <x v="5"/>
    <n v="6"/>
    <n v="6.4"/>
    <n v="16000"/>
  </r>
  <r>
    <x v="0"/>
    <x v="7"/>
    <x v="102"/>
    <x v="0"/>
    <x v="6"/>
    <n v="7"/>
    <n v="0"/>
    <n v="0"/>
  </r>
  <r>
    <x v="0"/>
    <x v="7"/>
    <x v="103"/>
    <x v="0"/>
    <x v="0"/>
    <n v="1"/>
    <n v="0"/>
    <n v="0"/>
  </r>
  <r>
    <x v="0"/>
    <x v="7"/>
    <x v="103"/>
    <x v="0"/>
    <x v="1"/>
    <n v="2"/>
    <n v="0"/>
    <n v="0"/>
  </r>
  <r>
    <x v="0"/>
    <x v="7"/>
    <x v="103"/>
    <x v="0"/>
    <x v="2"/>
    <n v="3"/>
    <n v="5.6"/>
    <n v="14000"/>
  </r>
  <r>
    <x v="0"/>
    <x v="7"/>
    <x v="103"/>
    <x v="0"/>
    <x v="3"/>
    <n v="4"/>
    <n v="5.2"/>
    <n v="13000"/>
  </r>
  <r>
    <x v="0"/>
    <x v="7"/>
    <x v="103"/>
    <x v="0"/>
    <x v="4"/>
    <n v="5"/>
    <n v="0"/>
    <n v="0"/>
  </r>
  <r>
    <x v="0"/>
    <x v="7"/>
    <x v="103"/>
    <x v="0"/>
    <x v="5"/>
    <n v="6"/>
    <n v="11.2"/>
    <n v="28000"/>
  </r>
  <r>
    <x v="0"/>
    <x v="7"/>
    <x v="103"/>
    <x v="0"/>
    <x v="6"/>
    <n v="7"/>
    <n v="0"/>
    <n v="0"/>
  </r>
  <r>
    <x v="0"/>
    <x v="7"/>
    <x v="104"/>
    <x v="0"/>
    <x v="0"/>
    <n v="1"/>
    <n v="0"/>
    <n v="0"/>
  </r>
  <r>
    <x v="0"/>
    <x v="7"/>
    <x v="104"/>
    <x v="0"/>
    <x v="1"/>
    <n v="2"/>
    <n v="0"/>
    <n v="0"/>
  </r>
  <r>
    <x v="0"/>
    <x v="7"/>
    <x v="104"/>
    <x v="0"/>
    <x v="2"/>
    <n v="3"/>
    <n v="5.6"/>
    <n v="14000"/>
  </r>
  <r>
    <x v="0"/>
    <x v="7"/>
    <x v="104"/>
    <x v="0"/>
    <x v="3"/>
    <n v="4"/>
    <n v="4.8"/>
    <n v="12000"/>
  </r>
  <r>
    <x v="0"/>
    <x v="7"/>
    <x v="104"/>
    <x v="0"/>
    <x v="4"/>
    <n v="5"/>
    <n v="0"/>
    <n v="0"/>
  </r>
  <r>
    <x v="0"/>
    <x v="7"/>
    <x v="104"/>
    <x v="0"/>
    <x v="5"/>
    <n v="6"/>
    <n v="10"/>
    <n v="25000"/>
  </r>
  <r>
    <x v="0"/>
    <x v="7"/>
    <x v="104"/>
    <x v="0"/>
    <x v="6"/>
    <n v="7"/>
    <n v="0"/>
    <n v="0"/>
  </r>
  <r>
    <x v="0"/>
    <x v="7"/>
    <x v="105"/>
    <x v="0"/>
    <x v="0"/>
    <n v="1"/>
    <n v="0"/>
    <n v="0"/>
  </r>
  <r>
    <x v="0"/>
    <x v="7"/>
    <x v="105"/>
    <x v="0"/>
    <x v="1"/>
    <n v="2"/>
    <n v="0"/>
    <n v="0"/>
  </r>
  <r>
    <x v="0"/>
    <x v="7"/>
    <x v="105"/>
    <x v="0"/>
    <x v="2"/>
    <n v="3"/>
    <n v="3.6"/>
    <n v="9000"/>
  </r>
  <r>
    <x v="0"/>
    <x v="7"/>
    <x v="105"/>
    <x v="0"/>
    <x v="3"/>
    <n v="4"/>
    <n v="3.6"/>
    <n v="9000"/>
  </r>
  <r>
    <x v="0"/>
    <x v="7"/>
    <x v="105"/>
    <x v="0"/>
    <x v="4"/>
    <n v="5"/>
    <n v="0"/>
    <n v="0"/>
  </r>
  <r>
    <x v="0"/>
    <x v="7"/>
    <x v="105"/>
    <x v="0"/>
    <x v="5"/>
    <n v="6"/>
    <n v="7.6"/>
    <n v="19000"/>
  </r>
  <r>
    <x v="0"/>
    <x v="7"/>
    <x v="105"/>
    <x v="0"/>
    <x v="6"/>
    <n v="7"/>
    <n v="0"/>
    <n v="0"/>
  </r>
  <r>
    <x v="0"/>
    <x v="7"/>
    <x v="106"/>
    <x v="0"/>
    <x v="0"/>
    <n v="1"/>
    <n v="0"/>
    <n v="0"/>
  </r>
  <r>
    <x v="0"/>
    <x v="7"/>
    <x v="106"/>
    <x v="0"/>
    <x v="1"/>
    <n v="2"/>
    <n v="0"/>
    <n v="0"/>
  </r>
  <r>
    <x v="0"/>
    <x v="7"/>
    <x v="106"/>
    <x v="0"/>
    <x v="2"/>
    <n v="3"/>
    <n v="2.8"/>
    <n v="7000"/>
  </r>
  <r>
    <x v="0"/>
    <x v="7"/>
    <x v="106"/>
    <x v="0"/>
    <x v="3"/>
    <n v="4"/>
    <n v="0"/>
    <n v="0"/>
  </r>
  <r>
    <x v="0"/>
    <x v="7"/>
    <x v="106"/>
    <x v="0"/>
    <x v="4"/>
    <n v="5"/>
    <n v="0"/>
    <n v="0"/>
  </r>
  <r>
    <x v="0"/>
    <x v="7"/>
    <x v="106"/>
    <x v="0"/>
    <x v="5"/>
    <n v="6"/>
    <n v="3.2"/>
    <n v="8000"/>
  </r>
  <r>
    <x v="0"/>
    <x v="7"/>
    <x v="106"/>
    <x v="0"/>
    <x v="6"/>
    <n v="7"/>
    <n v="0"/>
    <n v="0"/>
  </r>
  <r>
    <x v="0"/>
    <x v="7"/>
    <x v="107"/>
    <x v="0"/>
    <x v="0"/>
    <n v="1"/>
    <n v="0"/>
    <n v="0"/>
  </r>
  <r>
    <x v="0"/>
    <x v="7"/>
    <x v="107"/>
    <x v="0"/>
    <x v="1"/>
    <n v="2"/>
    <n v="0"/>
    <n v="0"/>
  </r>
  <r>
    <x v="0"/>
    <x v="7"/>
    <x v="107"/>
    <x v="0"/>
    <x v="2"/>
    <n v="3"/>
    <n v="3.6"/>
    <n v="9000"/>
  </r>
  <r>
    <x v="0"/>
    <x v="7"/>
    <x v="107"/>
    <x v="0"/>
    <x v="3"/>
    <n v="4"/>
    <n v="5.6"/>
    <n v="14000"/>
  </r>
  <r>
    <x v="0"/>
    <x v="7"/>
    <x v="107"/>
    <x v="0"/>
    <x v="4"/>
    <n v="5"/>
    <n v="0"/>
    <n v="0"/>
  </r>
  <r>
    <x v="0"/>
    <x v="7"/>
    <x v="107"/>
    <x v="0"/>
    <x v="5"/>
    <n v="6"/>
    <n v="9.1999999999999993"/>
    <n v="23000"/>
  </r>
  <r>
    <x v="0"/>
    <x v="7"/>
    <x v="107"/>
    <x v="0"/>
    <x v="6"/>
    <n v="7"/>
    <n v="0"/>
    <n v="0"/>
  </r>
  <r>
    <x v="0"/>
    <x v="7"/>
    <x v="108"/>
    <x v="0"/>
    <x v="0"/>
    <n v="1"/>
    <n v="0"/>
    <n v="0"/>
  </r>
  <r>
    <x v="0"/>
    <x v="7"/>
    <x v="108"/>
    <x v="0"/>
    <x v="1"/>
    <n v="2"/>
    <n v="0"/>
    <n v="0"/>
  </r>
  <r>
    <x v="0"/>
    <x v="7"/>
    <x v="108"/>
    <x v="0"/>
    <x v="2"/>
    <n v="3"/>
    <n v="5.2"/>
    <n v="13000"/>
  </r>
  <r>
    <x v="0"/>
    <x v="7"/>
    <x v="108"/>
    <x v="0"/>
    <x v="3"/>
    <n v="4"/>
    <n v="2.8"/>
    <n v="7000"/>
  </r>
  <r>
    <x v="0"/>
    <x v="7"/>
    <x v="108"/>
    <x v="0"/>
    <x v="4"/>
    <n v="5"/>
    <n v="0"/>
    <n v="0"/>
  </r>
  <r>
    <x v="0"/>
    <x v="7"/>
    <x v="108"/>
    <x v="0"/>
    <x v="5"/>
    <n v="6"/>
    <n v="7.6"/>
    <n v="19000"/>
  </r>
  <r>
    <x v="0"/>
    <x v="7"/>
    <x v="108"/>
    <x v="0"/>
    <x v="6"/>
    <n v="7"/>
    <n v="0"/>
    <n v="0"/>
  </r>
  <r>
    <x v="0"/>
    <x v="7"/>
    <x v="109"/>
    <x v="0"/>
    <x v="0"/>
    <n v="1"/>
    <n v="0"/>
    <n v="0"/>
  </r>
  <r>
    <x v="0"/>
    <x v="7"/>
    <x v="109"/>
    <x v="0"/>
    <x v="1"/>
    <n v="2"/>
    <n v="0"/>
    <n v="0"/>
  </r>
  <r>
    <x v="0"/>
    <x v="7"/>
    <x v="109"/>
    <x v="0"/>
    <x v="2"/>
    <n v="3"/>
    <n v="2.8"/>
    <n v="7000"/>
  </r>
  <r>
    <x v="0"/>
    <x v="7"/>
    <x v="109"/>
    <x v="0"/>
    <x v="3"/>
    <n v="4"/>
    <n v="2"/>
    <n v="5000"/>
  </r>
  <r>
    <x v="0"/>
    <x v="7"/>
    <x v="109"/>
    <x v="0"/>
    <x v="4"/>
    <n v="5"/>
    <n v="0"/>
    <n v="0"/>
  </r>
  <r>
    <x v="0"/>
    <x v="7"/>
    <x v="109"/>
    <x v="0"/>
    <x v="5"/>
    <n v="6"/>
    <n v="5.6"/>
    <n v="14000"/>
  </r>
  <r>
    <x v="0"/>
    <x v="7"/>
    <x v="109"/>
    <x v="0"/>
    <x v="6"/>
    <n v="7"/>
    <n v="0"/>
    <n v="0"/>
  </r>
  <r>
    <x v="0"/>
    <x v="7"/>
    <x v="110"/>
    <x v="0"/>
    <x v="0"/>
    <n v="1"/>
    <n v="0"/>
    <n v="0"/>
  </r>
  <r>
    <x v="0"/>
    <x v="7"/>
    <x v="110"/>
    <x v="0"/>
    <x v="1"/>
    <n v="2"/>
    <n v="0"/>
    <n v="0"/>
  </r>
  <r>
    <x v="0"/>
    <x v="7"/>
    <x v="110"/>
    <x v="0"/>
    <x v="2"/>
    <n v="3"/>
    <n v="2.4"/>
    <n v="6000"/>
  </r>
  <r>
    <x v="0"/>
    <x v="7"/>
    <x v="110"/>
    <x v="0"/>
    <x v="3"/>
    <n v="4"/>
    <n v="4.4000000000000004"/>
    <n v="11000"/>
  </r>
  <r>
    <x v="0"/>
    <x v="7"/>
    <x v="110"/>
    <x v="0"/>
    <x v="4"/>
    <n v="5"/>
    <n v="0"/>
    <n v="0"/>
  </r>
  <r>
    <x v="0"/>
    <x v="7"/>
    <x v="110"/>
    <x v="0"/>
    <x v="5"/>
    <n v="6"/>
    <n v="7.6"/>
    <n v="19000"/>
  </r>
  <r>
    <x v="0"/>
    <x v="7"/>
    <x v="110"/>
    <x v="0"/>
    <x v="6"/>
    <n v="7"/>
    <n v="0"/>
    <n v="0"/>
  </r>
  <r>
    <x v="0"/>
    <x v="7"/>
    <x v="111"/>
    <x v="0"/>
    <x v="0"/>
    <n v="1"/>
    <n v="0"/>
    <n v="0"/>
  </r>
  <r>
    <x v="0"/>
    <x v="7"/>
    <x v="111"/>
    <x v="0"/>
    <x v="1"/>
    <n v="2"/>
    <n v="0"/>
    <n v="0"/>
  </r>
  <r>
    <x v="0"/>
    <x v="7"/>
    <x v="111"/>
    <x v="0"/>
    <x v="2"/>
    <n v="3"/>
    <n v="2.8"/>
    <n v="7000"/>
  </r>
  <r>
    <x v="0"/>
    <x v="7"/>
    <x v="111"/>
    <x v="0"/>
    <x v="3"/>
    <n v="4"/>
    <n v="2"/>
    <n v="5000"/>
  </r>
  <r>
    <x v="0"/>
    <x v="7"/>
    <x v="111"/>
    <x v="0"/>
    <x v="4"/>
    <n v="5"/>
    <n v="0"/>
    <n v="0"/>
  </r>
  <r>
    <x v="0"/>
    <x v="7"/>
    <x v="111"/>
    <x v="0"/>
    <x v="5"/>
    <n v="6"/>
    <n v="4.8"/>
    <n v="12000"/>
  </r>
  <r>
    <x v="0"/>
    <x v="7"/>
    <x v="111"/>
    <x v="0"/>
    <x v="6"/>
    <n v="7"/>
    <n v="0"/>
    <n v="0"/>
  </r>
  <r>
    <x v="0"/>
    <x v="7"/>
    <x v="112"/>
    <x v="0"/>
    <x v="0"/>
    <n v="1"/>
    <n v="0"/>
    <n v="0"/>
  </r>
  <r>
    <x v="0"/>
    <x v="7"/>
    <x v="112"/>
    <x v="0"/>
    <x v="1"/>
    <n v="2"/>
    <n v="0"/>
    <n v="0"/>
  </r>
  <r>
    <x v="0"/>
    <x v="7"/>
    <x v="112"/>
    <x v="0"/>
    <x v="2"/>
    <n v="3"/>
    <n v="1.6"/>
    <n v="4000"/>
  </r>
  <r>
    <x v="0"/>
    <x v="7"/>
    <x v="112"/>
    <x v="0"/>
    <x v="3"/>
    <n v="4"/>
    <n v="0"/>
    <n v="0"/>
  </r>
  <r>
    <x v="0"/>
    <x v="7"/>
    <x v="112"/>
    <x v="0"/>
    <x v="4"/>
    <n v="5"/>
    <n v="0"/>
    <n v="0"/>
  </r>
  <r>
    <x v="0"/>
    <x v="7"/>
    <x v="112"/>
    <x v="0"/>
    <x v="5"/>
    <n v="6"/>
    <n v="1.6"/>
    <n v="4000"/>
  </r>
  <r>
    <x v="0"/>
    <x v="7"/>
    <x v="112"/>
    <x v="0"/>
    <x v="6"/>
    <n v="7"/>
    <n v="0"/>
    <n v="0"/>
  </r>
  <r>
    <x v="0"/>
    <x v="7"/>
    <x v="113"/>
    <x v="0"/>
    <x v="0"/>
    <n v="1"/>
    <n v="0"/>
    <n v="0"/>
  </r>
  <r>
    <x v="0"/>
    <x v="7"/>
    <x v="113"/>
    <x v="0"/>
    <x v="1"/>
    <n v="2"/>
    <n v="0"/>
    <n v="0"/>
  </r>
  <r>
    <x v="0"/>
    <x v="7"/>
    <x v="113"/>
    <x v="0"/>
    <x v="2"/>
    <n v="3"/>
    <n v="3.6"/>
    <n v="9000"/>
  </r>
  <r>
    <x v="0"/>
    <x v="7"/>
    <x v="113"/>
    <x v="0"/>
    <x v="3"/>
    <n v="4"/>
    <n v="2.8"/>
    <n v="7000"/>
  </r>
  <r>
    <x v="0"/>
    <x v="7"/>
    <x v="113"/>
    <x v="0"/>
    <x v="4"/>
    <n v="5"/>
    <n v="0"/>
    <n v="0"/>
  </r>
  <r>
    <x v="0"/>
    <x v="7"/>
    <x v="113"/>
    <x v="0"/>
    <x v="5"/>
    <n v="6"/>
    <n v="6.4"/>
    <n v="16000"/>
  </r>
  <r>
    <x v="0"/>
    <x v="7"/>
    <x v="113"/>
    <x v="0"/>
    <x v="6"/>
    <n v="7"/>
    <n v="0"/>
    <n v="0"/>
  </r>
  <r>
    <x v="0"/>
    <x v="7"/>
    <x v="114"/>
    <x v="0"/>
    <x v="0"/>
    <n v="1"/>
    <n v="0"/>
    <n v="0"/>
  </r>
  <r>
    <x v="0"/>
    <x v="7"/>
    <x v="114"/>
    <x v="0"/>
    <x v="1"/>
    <n v="2"/>
    <n v="0"/>
    <n v="0"/>
  </r>
  <r>
    <x v="0"/>
    <x v="7"/>
    <x v="114"/>
    <x v="0"/>
    <x v="2"/>
    <n v="3"/>
    <n v="1.6"/>
    <n v="4000"/>
  </r>
  <r>
    <x v="0"/>
    <x v="7"/>
    <x v="114"/>
    <x v="0"/>
    <x v="3"/>
    <n v="4"/>
    <n v="0"/>
    <n v="0"/>
  </r>
  <r>
    <x v="0"/>
    <x v="7"/>
    <x v="114"/>
    <x v="0"/>
    <x v="4"/>
    <n v="5"/>
    <n v="0"/>
    <n v="0"/>
  </r>
  <r>
    <x v="0"/>
    <x v="7"/>
    <x v="114"/>
    <x v="0"/>
    <x v="5"/>
    <n v="6"/>
    <n v="1.6"/>
    <n v="4000"/>
  </r>
  <r>
    <x v="0"/>
    <x v="7"/>
    <x v="114"/>
    <x v="0"/>
    <x v="6"/>
    <n v="7"/>
    <n v="0"/>
    <n v="0"/>
  </r>
  <r>
    <x v="0"/>
    <x v="7"/>
    <x v="115"/>
    <x v="0"/>
    <x v="0"/>
    <n v="1"/>
    <n v="0"/>
    <n v="0"/>
  </r>
  <r>
    <x v="0"/>
    <x v="7"/>
    <x v="115"/>
    <x v="0"/>
    <x v="1"/>
    <n v="2"/>
    <n v="0"/>
    <n v="0"/>
  </r>
  <r>
    <x v="0"/>
    <x v="7"/>
    <x v="115"/>
    <x v="0"/>
    <x v="2"/>
    <n v="3"/>
    <n v="4.4000000000000004"/>
    <n v="11000"/>
  </r>
  <r>
    <x v="0"/>
    <x v="7"/>
    <x v="115"/>
    <x v="0"/>
    <x v="3"/>
    <n v="4"/>
    <n v="4.4000000000000004"/>
    <n v="11000"/>
  </r>
  <r>
    <x v="0"/>
    <x v="7"/>
    <x v="115"/>
    <x v="0"/>
    <x v="4"/>
    <n v="5"/>
    <n v="0"/>
    <n v="0"/>
  </r>
  <r>
    <x v="0"/>
    <x v="7"/>
    <x v="115"/>
    <x v="0"/>
    <x v="5"/>
    <n v="6"/>
    <n v="9.1999999999999993"/>
    <n v="23000"/>
  </r>
  <r>
    <x v="0"/>
    <x v="7"/>
    <x v="115"/>
    <x v="0"/>
    <x v="6"/>
    <n v="7"/>
    <n v="0"/>
    <n v="0"/>
  </r>
  <r>
    <x v="0"/>
    <x v="7"/>
    <x v="116"/>
    <x v="0"/>
    <x v="0"/>
    <n v="1"/>
    <n v="0"/>
    <n v="0"/>
  </r>
  <r>
    <x v="0"/>
    <x v="7"/>
    <x v="116"/>
    <x v="0"/>
    <x v="1"/>
    <n v="2"/>
    <n v="0"/>
    <n v="0"/>
  </r>
  <r>
    <x v="0"/>
    <x v="7"/>
    <x v="116"/>
    <x v="0"/>
    <x v="2"/>
    <n v="3"/>
    <n v="5.2"/>
    <n v="13000"/>
  </r>
  <r>
    <x v="0"/>
    <x v="7"/>
    <x v="116"/>
    <x v="0"/>
    <x v="3"/>
    <n v="4"/>
    <n v="4"/>
    <n v="10000"/>
  </r>
  <r>
    <x v="0"/>
    <x v="7"/>
    <x v="116"/>
    <x v="0"/>
    <x v="4"/>
    <n v="5"/>
    <n v="0"/>
    <n v="0"/>
  </r>
  <r>
    <x v="0"/>
    <x v="7"/>
    <x v="116"/>
    <x v="0"/>
    <x v="5"/>
    <n v="6"/>
    <n v="8.8000000000000007"/>
    <n v="22000"/>
  </r>
  <r>
    <x v="0"/>
    <x v="7"/>
    <x v="116"/>
    <x v="0"/>
    <x v="6"/>
    <n v="7"/>
    <n v="0"/>
    <n v="0"/>
  </r>
  <r>
    <x v="0"/>
    <x v="7"/>
    <x v="117"/>
    <x v="0"/>
    <x v="0"/>
    <n v="1"/>
    <n v="0"/>
    <n v="0"/>
  </r>
  <r>
    <x v="0"/>
    <x v="7"/>
    <x v="117"/>
    <x v="0"/>
    <x v="1"/>
    <n v="2"/>
    <n v="0"/>
    <n v="0"/>
  </r>
  <r>
    <x v="0"/>
    <x v="7"/>
    <x v="117"/>
    <x v="0"/>
    <x v="2"/>
    <n v="3"/>
    <n v="4.4000000000000004"/>
    <n v="11000"/>
  </r>
  <r>
    <x v="0"/>
    <x v="7"/>
    <x v="117"/>
    <x v="0"/>
    <x v="3"/>
    <n v="4"/>
    <n v="2.8"/>
    <n v="7000"/>
  </r>
  <r>
    <x v="0"/>
    <x v="7"/>
    <x v="117"/>
    <x v="0"/>
    <x v="4"/>
    <n v="5"/>
    <n v="0"/>
    <n v="0"/>
  </r>
  <r>
    <x v="0"/>
    <x v="7"/>
    <x v="117"/>
    <x v="0"/>
    <x v="5"/>
    <n v="6"/>
    <n v="7.6"/>
    <n v="19000"/>
  </r>
  <r>
    <x v="0"/>
    <x v="7"/>
    <x v="117"/>
    <x v="0"/>
    <x v="6"/>
    <n v="7"/>
    <n v="0"/>
    <n v="0"/>
  </r>
  <r>
    <x v="0"/>
    <x v="7"/>
    <x v="118"/>
    <x v="0"/>
    <x v="0"/>
    <n v="1"/>
    <n v="0"/>
    <n v="0"/>
  </r>
  <r>
    <x v="0"/>
    <x v="7"/>
    <x v="118"/>
    <x v="0"/>
    <x v="1"/>
    <n v="2"/>
    <n v="0"/>
    <n v="0"/>
  </r>
  <r>
    <x v="0"/>
    <x v="7"/>
    <x v="118"/>
    <x v="0"/>
    <x v="2"/>
    <n v="3"/>
    <n v="4"/>
    <n v="10000"/>
  </r>
  <r>
    <x v="0"/>
    <x v="7"/>
    <x v="118"/>
    <x v="0"/>
    <x v="3"/>
    <n v="4"/>
    <n v="4"/>
    <n v="10000"/>
  </r>
  <r>
    <x v="0"/>
    <x v="7"/>
    <x v="118"/>
    <x v="0"/>
    <x v="4"/>
    <n v="5"/>
    <n v="0"/>
    <n v="0"/>
  </r>
  <r>
    <x v="0"/>
    <x v="7"/>
    <x v="118"/>
    <x v="0"/>
    <x v="5"/>
    <n v="6"/>
    <n v="8"/>
    <n v="20000"/>
  </r>
  <r>
    <x v="0"/>
    <x v="7"/>
    <x v="118"/>
    <x v="0"/>
    <x v="6"/>
    <n v="7"/>
    <n v="0"/>
    <n v="0"/>
  </r>
  <r>
    <x v="0"/>
    <x v="7"/>
    <x v="119"/>
    <x v="0"/>
    <x v="0"/>
    <n v="1"/>
    <n v="0"/>
    <n v="0"/>
  </r>
  <r>
    <x v="0"/>
    <x v="7"/>
    <x v="119"/>
    <x v="0"/>
    <x v="1"/>
    <n v="2"/>
    <n v="0"/>
    <n v="0"/>
  </r>
  <r>
    <x v="0"/>
    <x v="7"/>
    <x v="119"/>
    <x v="0"/>
    <x v="2"/>
    <n v="3"/>
    <n v="7.2"/>
    <n v="18000"/>
  </r>
  <r>
    <x v="0"/>
    <x v="7"/>
    <x v="119"/>
    <x v="0"/>
    <x v="3"/>
    <n v="4"/>
    <n v="4.8"/>
    <n v="12000"/>
  </r>
  <r>
    <x v="0"/>
    <x v="7"/>
    <x v="119"/>
    <x v="0"/>
    <x v="4"/>
    <n v="5"/>
    <n v="0"/>
    <n v="0"/>
  </r>
  <r>
    <x v="0"/>
    <x v="7"/>
    <x v="119"/>
    <x v="0"/>
    <x v="5"/>
    <n v="6"/>
    <n v="12"/>
    <n v="30000"/>
  </r>
  <r>
    <x v="0"/>
    <x v="7"/>
    <x v="119"/>
    <x v="0"/>
    <x v="6"/>
    <n v="7"/>
    <n v="0"/>
    <n v="0"/>
  </r>
  <r>
    <x v="0"/>
    <x v="7"/>
    <x v="120"/>
    <x v="0"/>
    <x v="0"/>
    <n v="1"/>
    <n v="0"/>
    <n v="0"/>
  </r>
  <r>
    <x v="0"/>
    <x v="7"/>
    <x v="120"/>
    <x v="0"/>
    <x v="1"/>
    <n v="2"/>
    <n v="0"/>
    <n v="0"/>
  </r>
  <r>
    <x v="0"/>
    <x v="7"/>
    <x v="120"/>
    <x v="0"/>
    <x v="2"/>
    <n v="3"/>
    <n v="5.6"/>
    <n v="14000"/>
  </r>
  <r>
    <x v="0"/>
    <x v="7"/>
    <x v="120"/>
    <x v="0"/>
    <x v="3"/>
    <n v="4"/>
    <n v="0"/>
    <n v="0"/>
  </r>
  <r>
    <x v="0"/>
    <x v="7"/>
    <x v="120"/>
    <x v="0"/>
    <x v="4"/>
    <n v="5"/>
    <n v="0"/>
    <n v="0"/>
  </r>
  <r>
    <x v="0"/>
    <x v="7"/>
    <x v="120"/>
    <x v="0"/>
    <x v="5"/>
    <n v="6"/>
    <n v="5.6"/>
    <n v="14000"/>
  </r>
  <r>
    <x v="0"/>
    <x v="7"/>
    <x v="120"/>
    <x v="0"/>
    <x v="6"/>
    <n v="7"/>
    <n v="0"/>
    <n v="0"/>
  </r>
  <r>
    <x v="0"/>
    <x v="7"/>
    <x v="121"/>
    <x v="0"/>
    <x v="0"/>
    <n v="1"/>
    <n v="0"/>
    <n v="0"/>
  </r>
  <r>
    <x v="0"/>
    <x v="7"/>
    <x v="121"/>
    <x v="0"/>
    <x v="1"/>
    <n v="2"/>
    <n v="0"/>
    <n v="0"/>
  </r>
  <r>
    <x v="0"/>
    <x v="7"/>
    <x v="121"/>
    <x v="0"/>
    <x v="2"/>
    <n v="3"/>
    <n v="4"/>
    <n v="10000"/>
  </r>
  <r>
    <x v="0"/>
    <x v="7"/>
    <x v="121"/>
    <x v="0"/>
    <x v="3"/>
    <n v="4"/>
    <n v="1.6"/>
    <n v="4000"/>
  </r>
  <r>
    <x v="0"/>
    <x v="7"/>
    <x v="121"/>
    <x v="0"/>
    <x v="4"/>
    <n v="5"/>
    <n v="0"/>
    <n v="0"/>
  </r>
  <r>
    <x v="0"/>
    <x v="7"/>
    <x v="121"/>
    <x v="0"/>
    <x v="5"/>
    <n v="6"/>
    <n v="5.6"/>
    <n v="14000"/>
  </r>
  <r>
    <x v="0"/>
    <x v="7"/>
    <x v="121"/>
    <x v="0"/>
    <x v="6"/>
    <n v="7"/>
    <n v="0"/>
    <n v="0"/>
  </r>
  <r>
    <x v="0"/>
    <x v="8"/>
    <x v="122"/>
    <x v="0"/>
    <x v="0"/>
    <n v="1"/>
    <n v="0"/>
    <n v="0"/>
  </r>
  <r>
    <x v="0"/>
    <x v="8"/>
    <x v="122"/>
    <x v="0"/>
    <x v="1"/>
    <n v="2"/>
    <n v="0"/>
    <n v="0"/>
  </r>
  <r>
    <x v="0"/>
    <x v="8"/>
    <x v="122"/>
    <x v="0"/>
    <x v="2"/>
    <n v="3"/>
    <n v="8.8000000000000007"/>
    <n v="22000"/>
  </r>
  <r>
    <x v="0"/>
    <x v="8"/>
    <x v="122"/>
    <x v="0"/>
    <x v="3"/>
    <n v="4"/>
    <n v="1.2"/>
    <n v="3000"/>
  </r>
  <r>
    <x v="0"/>
    <x v="8"/>
    <x v="122"/>
    <x v="0"/>
    <x v="4"/>
    <n v="5"/>
    <n v="0"/>
    <n v="0"/>
  </r>
  <r>
    <x v="0"/>
    <x v="8"/>
    <x v="122"/>
    <x v="0"/>
    <x v="5"/>
    <n v="6"/>
    <n v="9.6"/>
    <n v="24000"/>
  </r>
  <r>
    <x v="0"/>
    <x v="8"/>
    <x v="122"/>
    <x v="0"/>
    <x v="6"/>
    <n v="7"/>
    <n v="0"/>
    <n v="0"/>
  </r>
  <r>
    <x v="0"/>
    <x v="8"/>
    <x v="123"/>
    <x v="0"/>
    <x v="0"/>
    <n v="1"/>
    <n v="0"/>
    <n v="0"/>
  </r>
  <r>
    <x v="0"/>
    <x v="8"/>
    <x v="123"/>
    <x v="0"/>
    <x v="1"/>
    <n v="2"/>
    <n v="0"/>
    <n v="0"/>
  </r>
  <r>
    <x v="0"/>
    <x v="8"/>
    <x v="123"/>
    <x v="0"/>
    <x v="2"/>
    <n v="3"/>
    <n v="6.8"/>
    <n v="17000"/>
  </r>
  <r>
    <x v="0"/>
    <x v="8"/>
    <x v="123"/>
    <x v="0"/>
    <x v="3"/>
    <n v="4"/>
    <n v="2"/>
    <n v="5000"/>
  </r>
  <r>
    <x v="0"/>
    <x v="8"/>
    <x v="123"/>
    <x v="0"/>
    <x v="4"/>
    <n v="5"/>
    <n v="0"/>
    <n v="0"/>
  </r>
  <r>
    <x v="0"/>
    <x v="8"/>
    <x v="123"/>
    <x v="0"/>
    <x v="5"/>
    <n v="6"/>
    <n v="8.8000000000000007"/>
    <n v="22000"/>
  </r>
  <r>
    <x v="0"/>
    <x v="8"/>
    <x v="123"/>
    <x v="0"/>
    <x v="6"/>
    <n v="7"/>
    <n v="0"/>
    <n v="0"/>
  </r>
  <r>
    <x v="0"/>
    <x v="8"/>
    <x v="124"/>
    <x v="0"/>
    <x v="0"/>
    <n v="1"/>
    <n v="0"/>
    <n v="0"/>
  </r>
  <r>
    <x v="0"/>
    <x v="8"/>
    <x v="124"/>
    <x v="0"/>
    <x v="1"/>
    <n v="2"/>
    <n v="0"/>
    <n v="0"/>
  </r>
  <r>
    <x v="0"/>
    <x v="8"/>
    <x v="124"/>
    <x v="0"/>
    <x v="2"/>
    <n v="3"/>
    <n v="9.6"/>
    <n v="24000"/>
  </r>
  <r>
    <x v="0"/>
    <x v="8"/>
    <x v="124"/>
    <x v="0"/>
    <x v="3"/>
    <n v="4"/>
    <n v="1.2"/>
    <n v="3000"/>
  </r>
  <r>
    <x v="0"/>
    <x v="8"/>
    <x v="124"/>
    <x v="0"/>
    <x v="4"/>
    <n v="5"/>
    <n v="0"/>
    <n v="0"/>
  </r>
  <r>
    <x v="0"/>
    <x v="8"/>
    <x v="124"/>
    <x v="0"/>
    <x v="5"/>
    <n v="6"/>
    <n v="11.6"/>
    <n v="29000"/>
  </r>
  <r>
    <x v="0"/>
    <x v="8"/>
    <x v="124"/>
    <x v="0"/>
    <x v="6"/>
    <n v="7"/>
    <n v="0"/>
    <n v="0"/>
  </r>
  <r>
    <x v="0"/>
    <x v="8"/>
    <x v="125"/>
    <x v="0"/>
    <x v="0"/>
    <n v="1"/>
    <n v="0"/>
    <n v="0"/>
  </r>
  <r>
    <x v="0"/>
    <x v="8"/>
    <x v="125"/>
    <x v="0"/>
    <x v="1"/>
    <n v="2"/>
    <n v="0"/>
    <n v="0"/>
  </r>
  <r>
    <x v="0"/>
    <x v="8"/>
    <x v="125"/>
    <x v="0"/>
    <x v="2"/>
    <n v="3"/>
    <n v="7.6"/>
    <n v="19000"/>
  </r>
  <r>
    <x v="0"/>
    <x v="8"/>
    <x v="125"/>
    <x v="0"/>
    <x v="3"/>
    <n v="4"/>
    <n v="0"/>
    <n v="0"/>
  </r>
  <r>
    <x v="0"/>
    <x v="8"/>
    <x v="125"/>
    <x v="0"/>
    <x v="4"/>
    <n v="5"/>
    <n v="0"/>
    <n v="0"/>
  </r>
  <r>
    <x v="0"/>
    <x v="8"/>
    <x v="125"/>
    <x v="0"/>
    <x v="5"/>
    <n v="6"/>
    <n v="8.4"/>
    <n v="21000"/>
  </r>
  <r>
    <x v="0"/>
    <x v="8"/>
    <x v="125"/>
    <x v="0"/>
    <x v="6"/>
    <n v="7"/>
    <n v="0"/>
    <n v="0"/>
  </r>
  <r>
    <x v="0"/>
    <x v="8"/>
    <x v="126"/>
    <x v="0"/>
    <x v="0"/>
    <n v="1"/>
    <n v="0"/>
    <n v="0"/>
  </r>
  <r>
    <x v="0"/>
    <x v="8"/>
    <x v="126"/>
    <x v="0"/>
    <x v="1"/>
    <n v="2"/>
    <n v="0"/>
    <n v="0"/>
  </r>
  <r>
    <x v="0"/>
    <x v="8"/>
    <x v="126"/>
    <x v="0"/>
    <x v="2"/>
    <n v="3"/>
    <n v="3.6"/>
    <n v="9000"/>
  </r>
  <r>
    <x v="0"/>
    <x v="8"/>
    <x v="126"/>
    <x v="0"/>
    <x v="3"/>
    <n v="4"/>
    <n v="1.6"/>
    <n v="4000"/>
  </r>
  <r>
    <x v="0"/>
    <x v="8"/>
    <x v="126"/>
    <x v="0"/>
    <x v="4"/>
    <n v="5"/>
    <n v="0"/>
    <n v="0"/>
  </r>
  <r>
    <x v="0"/>
    <x v="8"/>
    <x v="126"/>
    <x v="0"/>
    <x v="5"/>
    <n v="6"/>
    <n v="4.8"/>
    <n v="12000"/>
  </r>
  <r>
    <x v="0"/>
    <x v="8"/>
    <x v="126"/>
    <x v="0"/>
    <x v="6"/>
    <n v="7"/>
    <n v="0"/>
    <n v="0"/>
  </r>
  <r>
    <x v="0"/>
    <x v="9"/>
    <x v="127"/>
    <x v="0"/>
    <x v="0"/>
    <n v="1"/>
    <n v="0"/>
    <n v="0"/>
  </r>
  <r>
    <x v="0"/>
    <x v="9"/>
    <x v="127"/>
    <x v="0"/>
    <x v="1"/>
    <n v="2"/>
    <n v="0"/>
    <n v="0"/>
  </r>
  <r>
    <x v="0"/>
    <x v="9"/>
    <x v="127"/>
    <x v="0"/>
    <x v="2"/>
    <n v="3"/>
    <n v="4"/>
    <n v="10000"/>
  </r>
  <r>
    <x v="0"/>
    <x v="9"/>
    <x v="127"/>
    <x v="0"/>
    <x v="3"/>
    <n v="4"/>
    <n v="4.4000000000000004"/>
    <n v="11000"/>
  </r>
  <r>
    <x v="0"/>
    <x v="9"/>
    <x v="127"/>
    <x v="0"/>
    <x v="4"/>
    <n v="5"/>
    <n v="0"/>
    <n v="0"/>
  </r>
  <r>
    <x v="0"/>
    <x v="9"/>
    <x v="127"/>
    <x v="0"/>
    <x v="5"/>
    <n v="6"/>
    <n v="8.8000000000000007"/>
    <n v="22000"/>
  </r>
  <r>
    <x v="0"/>
    <x v="9"/>
    <x v="127"/>
    <x v="0"/>
    <x v="6"/>
    <n v="7"/>
    <n v="0"/>
    <n v="0"/>
  </r>
  <r>
    <x v="0"/>
    <x v="9"/>
    <x v="128"/>
    <x v="0"/>
    <x v="0"/>
    <n v="1"/>
    <n v="0"/>
    <n v="0"/>
  </r>
  <r>
    <x v="0"/>
    <x v="9"/>
    <x v="128"/>
    <x v="0"/>
    <x v="1"/>
    <n v="2"/>
    <n v="0"/>
    <n v="0"/>
  </r>
  <r>
    <x v="0"/>
    <x v="9"/>
    <x v="128"/>
    <x v="0"/>
    <x v="2"/>
    <n v="3"/>
    <n v="7.2"/>
    <n v="18000"/>
  </r>
  <r>
    <x v="0"/>
    <x v="9"/>
    <x v="128"/>
    <x v="0"/>
    <x v="3"/>
    <n v="4"/>
    <n v="1.6"/>
    <n v="4000"/>
  </r>
  <r>
    <x v="0"/>
    <x v="9"/>
    <x v="128"/>
    <x v="0"/>
    <x v="4"/>
    <n v="5"/>
    <n v="0"/>
    <n v="0"/>
  </r>
  <r>
    <x v="0"/>
    <x v="9"/>
    <x v="128"/>
    <x v="0"/>
    <x v="5"/>
    <n v="6"/>
    <n v="8.8000000000000007"/>
    <n v="22000"/>
  </r>
  <r>
    <x v="0"/>
    <x v="9"/>
    <x v="128"/>
    <x v="0"/>
    <x v="6"/>
    <n v="7"/>
    <n v="0"/>
    <n v="0"/>
  </r>
  <r>
    <x v="0"/>
    <x v="9"/>
    <x v="129"/>
    <x v="0"/>
    <x v="0"/>
    <n v="1"/>
    <n v="0"/>
    <n v="0"/>
  </r>
  <r>
    <x v="0"/>
    <x v="9"/>
    <x v="129"/>
    <x v="0"/>
    <x v="1"/>
    <n v="2"/>
    <n v="0"/>
    <n v="0"/>
  </r>
  <r>
    <x v="0"/>
    <x v="9"/>
    <x v="129"/>
    <x v="0"/>
    <x v="2"/>
    <n v="3"/>
    <n v="3.2"/>
    <n v="8000"/>
  </r>
  <r>
    <x v="0"/>
    <x v="9"/>
    <x v="129"/>
    <x v="0"/>
    <x v="3"/>
    <n v="4"/>
    <n v="2.4"/>
    <n v="6000"/>
  </r>
  <r>
    <x v="0"/>
    <x v="9"/>
    <x v="129"/>
    <x v="0"/>
    <x v="4"/>
    <n v="5"/>
    <n v="0"/>
    <n v="0"/>
  </r>
  <r>
    <x v="0"/>
    <x v="9"/>
    <x v="129"/>
    <x v="0"/>
    <x v="5"/>
    <n v="6"/>
    <n v="6"/>
    <n v="15000"/>
  </r>
  <r>
    <x v="0"/>
    <x v="9"/>
    <x v="129"/>
    <x v="0"/>
    <x v="6"/>
    <n v="7"/>
    <n v="0"/>
    <n v="0"/>
  </r>
  <r>
    <x v="0"/>
    <x v="9"/>
    <x v="130"/>
    <x v="0"/>
    <x v="0"/>
    <n v="1"/>
    <n v="0"/>
    <n v="0"/>
  </r>
  <r>
    <x v="0"/>
    <x v="9"/>
    <x v="130"/>
    <x v="0"/>
    <x v="1"/>
    <n v="2"/>
    <n v="0"/>
    <n v="0"/>
  </r>
  <r>
    <x v="0"/>
    <x v="9"/>
    <x v="130"/>
    <x v="0"/>
    <x v="2"/>
    <n v="3"/>
    <n v="8.8000000000000007"/>
    <n v="22000"/>
  </r>
  <r>
    <x v="0"/>
    <x v="9"/>
    <x v="130"/>
    <x v="0"/>
    <x v="3"/>
    <n v="4"/>
    <n v="2.8"/>
    <n v="7000"/>
  </r>
  <r>
    <x v="0"/>
    <x v="9"/>
    <x v="130"/>
    <x v="0"/>
    <x v="4"/>
    <n v="5"/>
    <n v="0"/>
    <n v="0"/>
  </r>
  <r>
    <x v="0"/>
    <x v="9"/>
    <x v="130"/>
    <x v="0"/>
    <x v="5"/>
    <n v="6"/>
    <n v="11.2"/>
    <n v="28000"/>
  </r>
  <r>
    <x v="0"/>
    <x v="9"/>
    <x v="130"/>
    <x v="0"/>
    <x v="6"/>
    <n v="7"/>
    <n v="0"/>
    <n v="0"/>
  </r>
  <r>
    <x v="0"/>
    <x v="9"/>
    <x v="131"/>
    <x v="0"/>
    <x v="0"/>
    <n v="1"/>
    <n v="0"/>
    <n v="0"/>
  </r>
  <r>
    <x v="0"/>
    <x v="9"/>
    <x v="131"/>
    <x v="0"/>
    <x v="1"/>
    <n v="2"/>
    <n v="0"/>
    <n v="0"/>
  </r>
  <r>
    <x v="0"/>
    <x v="9"/>
    <x v="131"/>
    <x v="0"/>
    <x v="2"/>
    <n v="3"/>
    <n v="5.6"/>
    <n v="14000"/>
  </r>
  <r>
    <x v="0"/>
    <x v="9"/>
    <x v="131"/>
    <x v="0"/>
    <x v="3"/>
    <n v="4"/>
    <n v="2.4"/>
    <n v="6000"/>
  </r>
  <r>
    <x v="0"/>
    <x v="9"/>
    <x v="131"/>
    <x v="0"/>
    <x v="4"/>
    <n v="5"/>
    <n v="0"/>
    <n v="0"/>
  </r>
  <r>
    <x v="0"/>
    <x v="9"/>
    <x v="131"/>
    <x v="0"/>
    <x v="5"/>
    <n v="6"/>
    <n v="8"/>
    <n v="20000"/>
  </r>
  <r>
    <x v="0"/>
    <x v="9"/>
    <x v="131"/>
    <x v="0"/>
    <x v="6"/>
    <n v="7"/>
    <n v="0"/>
    <n v="0"/>
  </r>
  <r>
    <x v="0"/>
    <x v="9"/>
    <x v="132"/>
    <x v="0"/>
    <x v="0"/>
    <n v="1"/>
    <n v="0"/>
    <n v="0"/>
  </r>
  <r>
    <x v="0"/>
    <x v="9"/>
    <x v="132"/>
    <x v="0"/>
    <x v="1"/>
    <n v="2"/>
    <n v="0"/>
    <n v="0"/>
  </r>
  <r>
    <x v="0"/>
    <x v="9"/>
    <x v="132"/>
    <x v="0"/>
    <x v="2"/>
    <n v="3"/>
    <n v="4.8"/>
    <n v="12000"/>
  </r>
  <r>
    <x v="0"/>
    <x v="9"/>
    <x v="132"/>
    <x v="0"/>
    <x v="3"/>
    <n v="4"/>
    <n v="2"/>
    <n v="5000"/>
  </r>
  <r>
    <x v="0"/>
    <x v="9"/>
    <x v="132"/>
    <x v="0"/>
    <x v="4"/>
    <n v="5"/>
    <n v="0"/>
    <n v="0"/>
  </r>
  <r>
    <x v="0"/>
    <x v="9"/>
    <x v="132"/>
    <x v="0"/>
    <x v="5"/>
    <n v="6"/>
    <n v="6.4"/>
    <n v="16000"/>
  </r>
  <r>
    <x v="0"/>
    <x v="9"/>
    <x v="132"/>
    <x v="0"/>
    <x v="6"/>
    <n v="7"/>
    <n v="0"/>
    <n v="0"/>
  </r>
  <r>
    <x v="0"/>
    <x v="9"/>
    <x v="133"/>
    <x v="0"/>
    <x v="0"/>
    <n v="1"/>
    <n v="0"/>
    <n v="0"/>
  </r>
  <r>
    <x v="0"/>
    <x v="9"/>
    <x v="133"/>
    <x v="0"/>
    <x v="1"/>
    <n v="2"/>
    <n v="0"/>
    <n v="0"/>
  </r>
  <r>
    <x v="0"/>
    <x v="9"/>
    <x v="133"/>
    <x v="0"/>
    <x v="2"/>
    <n v="3"/>
    <n v="3.2"/>
    <n v="8000"/>
  </r>
  <r>
    <x v="0"/>
    <x v="9"/>
    <x v="133"/>
    <x v="0"/>
    <x v="3"/>
    <n v="4"/>
    <n v="4.4000000000000004"/>
    <n v="11000"/>
  </r>
  <r>
    <x v="0"/>
    <x v="9"/>
    <x v="133"/>
    <x v="0"/>
    <x v="4"/>
    <n v="5"/>
    <n v="0"/>
    <n v="0"/>
  </r>
  <r>
    <x v="0"/>
    <x v="9"/>
    <x v="133"/>
    <x v="0"/>
    <x v="5"/>
    <n v="6"/>
    <n v="7.2"/>
    <n v="18000"/>
  </r>
  <r>
    <x v="0"/>
    <x v="9"/>
    <x v="133"/>
    <x v="0"/>
    <x v="6"/>
    <n v="7"/>
    <n v="0"/>
    <n v="0"/>
  </r>
  <r>
    <x v="0"/>
    <x v="10"/>
    <x v="134"/>
    <x v="0"/>
    <x v="0"/>
    <n v="1"/>
    <n v="0"/>
    <n v="0"/>
  </r>
  <r>
    <x v="0"/>
    <x v="10"/>
    <x v="134"/>
    <x v="0"/>
    <x v="1"/>
    <n v="2"/>
    <n v="0"/>
    <n v="0"/>
  </r>
  <r>
    <x v="0"/>
    <x v="10"/>
    <x v="134"/>
    <x v="0"/>
    <x v="2"/>
    <n v="3"/>
    <n v="4"/>
    <n v="10000"/>
  </r>
  <r>
    <x v="0"/>
    <x v="10"/>
    <x v="134"/>
    <x v="0"/>
    <x v="3"/>
    <n v="4"/>
    <n v="3.2"/>
    <n v="8000"/>
  </r>
  <r>
    <x v="0"/>
    <x v="10"/>
    <x v="134"/>
    <x v="0"/>
    <x v="4"/>
    <n v="5"/>
    <n v="0"/>
    <n v="0"/>
  </r>
  <r>
    <x v="0"/>
    <x v="10"/>
    <x v="134"/>
    <x v="0"/>
    <x v="5"/>
    <n v="6"/>
    <n v="7.2"/>
    <n v="18000"/>
  </r>
  <r>
    <x v="0"/>
    <x v="10"/>
    <x v="134"/>
    <x v="0"/>
    <x v="6"/>
    <n v="7"/>
    <n v="0"/>
    <n v="0"/>
  </r>
  <r>
    <x v="0"/>
    <x v="10"/>
    <x v="135"/>
    <x v="0"/>
    <x v="0"/>
    <n v="1"/>
    <n v="0"/>
    <n v="0"/>
  </r>
  <r>
    <x v="0"/>
    <x v="10"/>
    <x v="135"/>
    <x v="0"/>
    <x v="1"/>
    <n v="2"/>
    <n v="0"/>
    <n v="0"/>
  </r>
  <r>
    <x v="0"/>
    <x v="10"/>
    <x v="135"/>
    <x v="0"/>
    <x v="2"/>
    <n v="3"/>
    <n v="6"/>
    <n v="15000"/>
  </r>
  <r>
    <x v="0"/>
    <x v="10"/>
    <x v="135"/>
    <x v="0"/>
    <x v="3"/>
    <n v="4"/>
    <n v="1.6"/>
    <n v="4000"/>
  </r>
  <r>
    <x v="0"/>
    <x v="10"/>
    <x v="135"/>
    <x v="0"/>
    <x v="4"/>
    <n v="5"/>
    <n v="0"/>
    <n v="0"/>
  </r>
  <r>
    <x v="0"/>
    <x v="10"/>
    <x v="135"/>
    <x v="0"/>
    <x v="5"/>
    <n v="6"/>
    <n v="8"/>
    <n v="20000"/>
  </r>
  <r>
    <x v="0"/>
    <x v="10"/>
    <x v="135"/>
    <x v="0"/>
    <x v="6"/>
    <n v="7"/>
    <n v="0"/>
    <n v="0"/>
  </r>
  <r>
    <x v="0"/>
    <x v="10"/>
    <x v="136"/>
    <x v="0"/>
    <x v="0"/>
    <n v="1"/>
    <n v="0"/>
    <n v="0"/>
  </r>
  <r>
    <x v="0"/>
    <x v="10"/>
    <x v="136"/>
    <x v="0"/>
    <x v="1"/>
    <n v="2"/>
    <n v="0"/>
    <n v="0"/>
  </r>
  <r>
    <x v="0"/>
    <x v="10"/>
    <x v="136"/>
    <x v="0"/>
    <x v="2"/>
    <n v="3"/>
    <n v="2.8"/>
    <n v="7000"/>
  </r>
  <r>
    <x v="0"/>
    <x v="10"/>
    <x v="136"/>
    <x v="0"/>
    <x v="3"/>
    <n v="4"/>
    <n v="4.8"/>
    <n v="12000"/>
  </r>
  <r>
    <x v="0"/>
    <x v="10"/>
    <x v="136"/>
    <x v="0"/>
    <x v="4"/>
    <n v="5"/>
    <n v="0"/>
    <n v="0"/>
  </r>
  <r>
    <x v="0"/>
    <x v="10"/>
    <x v="136"/>
    <x v="0"/>
    <x v="5"/>
    <n v="6"/>
    <n v="7.6"/>
    <n v="19000"/>
  </r>
  <r>
    <x v="0"/>
    <x v="10"/>
    <x v="136"/>
    <x v="0"/>
    <x v="6"/>
    <n v="7"/>
    <n v="0"/>
    <n v="0"/>
  </r>
  <r>
    <x v="0"/>
    <x v="10"/>
    <x v="137"/>
    <x v="0"/>
    <x v="0"/>
    <n v="1"/>
    <n v="0"/>
    <n v="0"/>
  </r>
  <r>
    <x v="0"/>
    <x v="10"/>
    <x v="137"/>
    <x v="0"/>
    <x v="1"/>
    <n v="2"/>
    <n v="0"/>
    <n v="0"/>
  </r>
  <r>
    <x v="0"/>
    <x v="10"/>
    <x v="137"/>
    <x v="0"/>
    <x v="2"/>
    <n v="3"/>
    <n v="4.4000000000000004"/>
    <n v="11000"/>
  </r>
  <r>
    <x v="0"/>
    <x v="10"/>
    <x v="137"/>
    <x v="0"/>
    <x v="3"/>
    <n v="4"/>
    <n v="1.6"/>
    <n v="4000"/>
  </r>
  <r>
    <x v="0"/>
    <x v="10"/>
    <x v="137"/>
    <x v="0"/>
    <x v="4"/>
    <n v="5"/>
    <n v="0"/>
    <n v="0"/>
  </r>
  <r>
    <x v="0"/>
    <x v="10"/>
    <x v="137"/>
    <x v="0"/>
    <x v="5"/>
    <n v="6"/>
    <n v="6"/>
    <n v="15000"/>
  </r>
  <r>
    <x v="0"/>
    <x v="10"/>
    <x v="137"/>
    <x v="0"/>
    <x v="6"/>
    <n v="7"/>
    <n v="0"/>
    <n v="0"/>
  </r>
  <r>
    <x v="0"/>
    <x v="10"/>
    <x v="138"/>
    <x v="0"/>
    <x v="0"/>
    <n v="1"/>
    <n v="0"/>
    <n v="0"/>
  </r>
  <r>
    <x v="0"/>
    <x v="10"/>
    <x v="138"/>
    <x v="0"/>
    <x v="1"/>
    <n v="2"/>
    <n v="0"/>
    <n v="0"/>
  </r>
  <r>
    <x v="0"/>
    <x v="10"/>
    <x v="138"/>
    <x v="0"/>
    <x v="2"/>
    <n v="3"/>
    <n v="10.4"/>
    <n v="26000"/>
  </r>
  <r>
    <x v="0"/>
    <x v="10"/>
    <x v="138"/>
    <x v="0"/>
    <x v="3"/>
    <n v="4"/>
    <n v="7.6"/>
    <n v="19000"/>
  </r>
  <r>
    <x v="0"/>
    <x v="10"/>
    <x v="138"/>
    <x v="0"/>
    <x v="4"/>
    <n v="5"/>
    <n v="0"/>
    <n v="0"/>
  </r>
  <r>
    <x v="0"/>
    <x v="10"/>
    <x v="138"/>
    <x v="0"/>
    <x v="5"/>
    <n v="6"/>
    <n v="16.8"/>
    <n v="42000"/>
  </r>
  <r>
    <x v="0"/>
    <x v="10"/>
    <x v="138"/>
    <x v="0"/>
    <x v="6"/>
    <n v="7"/>
    <n v="0"/>
    <n v="0"/>
  </r>
  <r>
    <x v="0"/>
    <x v="10"/>
    <x v="139"/>
    <x v="0"/>
    <x v="0"/>
    <n v="1"/>
    <n v="0"/>
    <n v="0"/>
  </r>
  <r>
    <x v="0"/>
    <x v="10"/>
    <x v="139"/>
    <x v="0"/>
    <x v="1"/>
    <n v="2"/>
    <n v="0"/>
    <n v="0"/>
  </r>
  <r>
    <x v="0"/>
    <x v="10"/>
    <x v="139"/>
    <x v="0"/>
    <x v="2"/>
    <n v="3"/>
    <n v="2.4"/>
    <n v="6000"/>
  </r>
  <r>
    <x v="0"/>
    <x v="10"/>
    <x v="139"/>
    <x v="0"/>
    <x v="3"/>
    <n v="4"/>
    <n v="0.8"/>
    <n v="2000"/>
  </r>
  <r>
    <x v="0"/>
    <x v="10"/>
    <x v="139"/>
    <x v="0"/>
    <x v="4"/>
    <n v="5"/>
    <n v="0"/>
    <n v="0"/>
  </r>
  <r>
    <x v="0"/>
    <x v="10"/>
    <x v="139"/>
    <x v="0"/>
    <x v="5"/>
    <n v="6"/>
    <n v="3.2"/>
    <n v="8000"/>
  </r>
  <r>
    <x v="0"/>
    <x v="10"/>
    <x v="139"/>
    <x v="0"/>
    <x v="6"/>
    <n v="7"/>
    <n v="0"/>
    <n v="0"/>
  </r>
  <r>
    <x v="0"/>
    <x v="10"/>
    <x v="140"/>
    <x v="0"/>
    <x v="0"/>
    <n v="1"/>
    <n v="0"/>
    <n v="0"/>
  </r>
  <r>
    <x v="0"/>
    <x v="10"/>
    <x v="140"/>
    <x v="0"/>
    <x v="1"/>
    <n v="2"/>
    <n v="0"/>
    <n v="0"/>
  </r>
  <r>
    <x v="0"/>
    <x v="10"/>
    <x v="140"/>
    <x v="0"/>
    <x v="2"/>
    <n v="3"/>
    <n v="1"/>
    <n v="1000"/>
  </r>
  <r>
    <x v="0"/>
    <x v="10"/>
    <x v="140"/>
    <x v="0"/>
    <x v="3"/>
    <n v="4"/>
    <n v="0.8"/>
    <n v="2000"/>
  </r>
  <r>
    <x v="0"/>
    <x v="10"/>
    <x v="140"/>
    <x v="0"/>
    <x v="4"/>
    <n v="5"/>
    <n v="0"/>
    <n v="0"/>
  </r>
  <r>
    <x v="0"/>
    <x v="10"/>
    <x v="140"/>
    <x v="0"/>
    <x v="5"/>
    <n v="6"/>
    <n v="1.6"/>
    <n v="4000"/>
  </r>
  <r>
    <x v="0"/>
    <x v="10"/>
    <x v="140"/>
    <x v="0"/>
    <x v="6"/>
    <n v="7"/>
    <n v="0"/>
    <n v="0"/>
  </r>
  <r>
    <x v="0"/>
    <x v="10"/>
    <x v="141"/>
    <x v="0"/>
    <x v="0"/>
    <n v="1"/>
    <n v="0"/>
    <n v="0"/>
  </r>
  <r>
    <x v="0"/>
    <x v="10"/>
    <x v="141"/>
    <x v="0"/>
    <x v="1"/>
    <n v="2"/>
    <n v="0"/>
    <n v="0"/>
  </r>
  <r>
    <x v="0"/>
    <x v="10"/>
    <x v="141"/>
    <x v="0"/>
    <x v="2"/>
    <n v="3"/>
    <n v="4.4000000000000004"/>
    <n v="11000"/>
  </r>
  <r>
    <x v="0"/>
    <x v="10"/>
    <x v="141"/>
    <x v="0"/>
    <x v="3"/>
    <n v="4"/>
    <n v="2.8"/>
    <n v="7000"/>
  </r>
  <r>
    <x v="0"/>
    <x v="10"/>
    <x v="141"/>
    <x v="0"/>
    <x v="4"/>
    <n v="5"/>
    <n v="0"/>
    <n v="0"/>
  </r>
  <r>
    <x v="0"/>
    <x v="10"/>
    <x v="141"/>
    <x v="0"/>
    <x v="5"/>
    <n v="6"/>
    <n v="6.8"/>
    <n v="17000"/>
  </r>
  <r>
    <x v="0"/>
    <x v="10"/>
    <x v="141"/>
    <x v="0"/>
    <x v="6"/>
    <n v="7"/>
    <n v="0"/>
    <n v="0"/>
  </r>
  <r>
    <x v="0"/>
    <x v="10"/>
    <x v="142"/>
    <x v="0"/>
    <x v="0"/>
    <n v="1"/>
    <n v="0"/>
    <n v="0"/>
  </r>
  <r>
    <x v="0"/>
    <x v="10"/>
    <x v="142"/>
    <x v="0"/>
    <x v="1"/>
    <n v="2"/>
    <n v="0"/>
    <n v="0"/>
  </r>
  <r>
    <x v="0"/>
    <x v="10"/>
    <x v="142"/>
    <x v="0"/>
    <x v="2"/>
    <n v="3"/>
    <n v="1.2"/>
    <n v="3000"/>
  </r>
  <r>
    <x v="0"/>
    <x v="10"/>
    <x v="142"/>
    <x v="0"/>
    <x v="3"/>
    <n v="4"/>
    <n v="0.4"/>
    <n v="1000"/>
  </r>
  <r>
    <x v="0"/>
    <x v="10"/>
    <x v="142"/>
    <x v="0"/>
    <x v="4"/>
    <n v="5"/>
    <n v="0"/>
    <n v="0"/>
  </r>
  <r>
    <x v="0"/>
    <x v="10"/>
    <x v="142"/>
    <x v="0"/>
    <x v="5"/>
    <n v="6"/>
    <n v="1.6"/>
    <n v="4000"/>
  </r>
  <r>
    <x v="0"/>
    <x v="10"/>
    <x v="142"/>
    <x v="0"/>
    <x v="6"/>
    <n v="7"/>
    <n v="0"/>
    <n v="0"/>
  </r>
  <r>
    <x v="0"/>
    <x v="10"/>
    <x v="143"/>
    <x v="0"/>
    <x v="0"/>
    <n v="1"/>
    <n v="0"/>
    <n v="0"/>
  </r>
  <r>
    <x v="0"/>
    <x v="10"/>
    <x v="143"/>
    <x v="0"/>
    <x v="1"/>
    <n v="2"/>
    <n v="0"/>
    <n v="0"/>
  </r>
  <r>
    <x v="0"/>
    <x v="10"/>
    <x v="143"/>
    <x v="0"/>
    <x v="2"/>
    <n v="3"/>
    <n v="4.8"/>
    <n v="12000"/>
  </r>
  <r>
    <x v="0"/>
    <x v="10"/>
    <x v="143"/>
    <x v="0"/>
    <x v="3"/>
    <n v="4"/>
    <n v="2.4"/>
    <n v="6000"/>
  </r>
  <r>
    <x v="0"/>
    <x v="10"/>
    <x v="143"/>
    <x v="0"/>
    <x v="4"/>
    <n v="5"/>
    <n v="0"/>
    <n v="0"/>
  </r>
  <r>
    <x v="0"/>
    <x v="10"/>
    <x v="143"/>
    <x v="0"/>
    <x v="5"/>
    <n v="6"/>
    <n v="6.4"/>
    <n v="16000"/>
  </r>
  <r>
    <x v="0"/>
    <x v="10"/>
    <x v="143"/>
    <x v="0"/>
    <x v="6"/>
    <n v="7"/>
    <n v="0"/>
    <n v="0"/>
  </r>
  <r>
    <x v="0"/>
    <x v="10"/>
    <x v="144"/>
    <x v="0"/>
    <x v="0"/>
    <n v="1"/>
    <n v="0"/>
    <n v="0"/>
  </r>
  <r>
    <x v="0"/>
    <x v="10"/>
    <x v="144"/>
    <x v="0"/>
    <x v="1"/>
    <n v="2"/>
    <n v="0"/>
    <n v="0"/>
  </r>
  <r>
    <x v="0"/>
    <x v="10"/>
    <x v="144"/>
    <x v="0"/>
    <x v="2"/>
    <n v="3"/>
    <n v="10"/>
    <n v="25000"/>
  </r>
  <r>
    <x v="0"/>
    <x v="10"/>
    <x v="144"/>
    <x v="0"/>
    <x v="3"/>
    <n v="4"/>
    <n v="2"/>
    <n v="5000"/>
  </r>
  <r>
    <x v="0"/>
    <x v="10"/>
    <x v="144"/>
    <x v="0"/>
    <x v="4"/>
    <n v="5"/>
    <n v="0"/>
    <n v="0"/>
  </r>
  <r>
    <x v="0"/>
    <x v="10"/>
    <x v="144"/>
    <x v="0"/>
    <x v="5"/>
    <n v="6"/>
    <n v="12"/>
    <n v="30000"/>
  </r>
  <r>
    <x v="0"/>
    <x v="10"/>
    <x v="144"/>
    <x v="0"/>
    <x v="6"/>
    <n v="7"/>
    <n v="0"/>
    <n v="0"/>
  </r>
  <r>
    <x v="0"/>
    <x v="10"/>
    <x v="145"/>
    <x v="0"/>
    <x v="0"/>
    <n v="1"/>
    <n v="0"/>
    <n v="0"/>
  </r>
  <r>
    <x v="0"/>
    <x v="10"/>
    <x v="145"/>
    <x v="0"/>
    <x v="1"/>
    <n v="2"/>
    <n v="0"/>
    <n v="0"/>
  </r>
  <r>
    <x v="0"/>
    <x v="10"/>
    <x v="145"/>
    <x v="0"/>
    <x v="2"/>
    <n v="3"/>
    <n v="11.6"/>
    <n v="29000"/>
  </r>
  <r>
    <x v="0"/>
    <x v="10"/>
    <x v="145"/>
    <x v="0"/>
    <x v="3"/>
    <n v="4"/>
    <n v="5.2"/>
    <n v="13000"/>
  </r>
  <r>
    <x v="0"/>
    <x v="10"/>
    <x v="145"/>
    <x v="0"/>
    <x v="4"/>
    <n v="5"/>
    <n v="0"/>
    <n v="0"/>
  </r>
  <r>
    <x v="0"/>
    <x v="10"/>
    <x v="145"/>
    <x v="0"/>
    <x v="5"/>
    <n v="6"/>
    <n v="17.2"/>
    <n v="43000"/>
  </r>
  <r>
    <x v="0"/>
    <x v="10"/>
    <x v="145"/>
    <x v="0"/>
    <x v="6"/>
    <n v="7"/>
    <n v="0"/>
    <n v="0"/>
  </r>
  <r>
    <x v="0"/>
    <x v="10"/>
    <x v="146"/>
    <x v="0"/>
    <x v="0"/>
    <n v="1"/>
    <n v="0"/>
    <n v="0"/>
  </r>
  <r>
    <x v="0"/>
    <x v="10"/>
    <x v="146"/>
    <x v="0"/>
    <x v="1"/>
    <n v="2"/>
    <n v="0"/>
    <n v="0"/>
  </r>
  <r>
    <x v="0"/>
    <x v="10"/>
    <x v="146"/>
    <x v="0"/>
    <x v="2"/>
    <n v="3"/>
    <n v="2.4"/>
    <n v="6000"/>
  </r>
  <r>
    <x v="0"/>
    <x v="10"/>
    <x v="146"/>
    <x v="0"/>
    <x v="3"/>
    <n v="4"/>
    <n v="1.6"/>
    <n v="4000"/>
  </r>
  <r>
    <x v="0"/>
    <x v="10"/>
    <x v="146"/>
    <x v="0"/>
    <x v="4"/>
    <n v="5"/>
    <n v="0"/>
    <n v="0"/>
  </r>
  <r>
    <x v="0"/>
    <x v="10"/>
    <x v="146"/>
    <x v="0"/>
    <x v="5"/>
    <n v="6"/>
    <n v="4"/>
    <n v="10000"/>
  </r>
  <r>
    <x v="0"/>
    <x v="10"/>
    <x v="146"/>
    <x v="0"/>
    <x v="6"/>
    <n v="7"/>
    <n v="0"/>
    <n v="0"/>
  </r>
  <r>
    <x v="0"/>
    <x v="10"/>
    <x v="147"/>
    <x v="0"/>
    <x v="0"/>
    <n v="1"/>
    <n v="0"/>
    <n v="0"/>
  </r>
  <r>
    <x v="0"/>
    <x v="10"/>
    <x v="147"/>
    <x v="0"/>
    <x v="1"/>
    <n v="2"/>
    <n v="0"/>
    <n v="0"/>
  </r>
  <r>
    <x v="0"/>
    <x v="10"/>
    <x v="147"/>
    <x v="0"/>
    <x v="2"/>
    <n v="3"/>
    <n v="3.2"/>
    <n v="8000"/>
  </r>
  <r>
    <x v="0"/>
    <x v="10"/>
    <x v="147"/>
    <x v="0"/>
    <x v="3"/>
    <n v="4"/>
    <n v="0.4"/>
    <n v="1000"/>
  </r>
  <r>
    <x v="0"/>
    <x v="10"/>
    <x v="147"/>
    <x v="0"/>
    <x v="4"/>
    <n v="5"/>
    <n v="0"/>
    <n v="0"/>
  </r>
  <r>
    <x v="0"/>
    <x v="10"/>
    <x v="147"/>
    <x v="0"/>
    <x v="5"/>
    <n v="6"/>
    <n v="4"/>
    <n v="10000"/>
  </r>
  <r>
    <x v="0"/>
    <x v="10"/>
    <x v="147"/>
    <x v="0"/>
    <x v="6"/>
    <n v="7"/>
    <n v="0"/>
    <n v="0"/>
  </r>
  <r>
    <x v="0"/>
    <x v="10"/>
    <x v="148"/>
    <x v="0"/>
    <x v="0"/>
    <n v="1"/>
    <n v="0"/>
    <n v="0"/>
  </r>
  <r>
    <x v="0"/>
    <x v="10"/>
    <x v="148"/>
    <x v="0"/>
    <x v="1"/>
    <n v="2"/>
    <n v="0"/>
    <n v="0"/>
  </r>
  <r>
    <x v="0"/>
    <x v="10"/>
    <x v="148"/>
    <x v="0"/>
    <x v="2"/>
    <n v="3"/>
    <n v="2.4"/>
    <n v="6000"/>
  </r>
  <r>
    <x v="0"/>
    <x v="10"/>
    <x v="148"/>
    <x v="0"/>
    <x v="3"/>
    <n v="4"/>
    <n v="2.8"/>
    <n v="7000"/>
  </r>
  <r>
    <x v="0"/>
    <x v="10"/>
    <x v="148"/>
    <x v="0"/>
    <x v="4"/>
    <n v="5"/>
    <n v="0"/>
    <n v="0"/>
  </r>
  <r>
    <x v="0"/>
    <x v="10"/>
    <x v="148"/>
    <x v="0"/>
    <x v="5"/>
    <n v="6"/>
    <n v="5.2"/>
    <n v="13000"/>
  </r>
  <r>
    <x v="0"/>
    <x v="10"/>
    <x v="148"/>
    <x v="0"/>
    <x v="6"/>
    <n v="7"/>
    <n v="0"/>
    <n v="0"/>
  </r>
  <r>
    <x v="0"/>
    <x v="10"/>
    <x v="149"/>
    <x v="0"/>
    <x v="0"/>
    <n v="1"/>
    <n v="0"/>
    <n v="0"/>
  </r>
  <r>
    <x v="0"/>
    <x v="10"/>
    <x v="149"/>
    <x v="0"/>
    <x v="1"/>
    <n v="2"/>
    <n v="0"/>
    <n v="0"/>
  </r>
  <r>
    <x v="0"/>
    <x v="10"/>
    <x v="149"/>
    <x v="0"/>
    <x v="2"/>
    <n v="3"/>
    <n v="4.8"/>
    <n v="12000"/>
  </r>
  <r>
    <x v="0"/>
    <x v="10"/>
    <x v="149"/>
    <x v="0"/>
    <x v="3"/>
    <n v="4"/>
    <n v="0.4"/>
    <n v="1000"/>
  </r>
  <r>
    <x v="0"/>
    <x v="10"/>
    <x v="149"/>
    <x v="0"/>
    <x v="4"/>
    <n v="5"/>
    <n v="0"/>
    <n v="0"/>
  </r>
  <r>
    <x v="0"/>
    <x v="10"/>
    <x v="149"/>
    <x v="0"/>
    <x v="5"/>
    <n v="6"/>
    <n v="4.8"/>
    <n v="12000"/>
  </r>
  <r>
    <x v="0"/>
    <x v="10"/>
    <x v="149"/>
    <x v="0"/>
    <x v="6"/>
    <n v="7"/>
    <n v="0"/>
    <n v="0"/>
  </r>
  <r>
    <x v="0"/>
    <x v="10"/>
    <x v="150"/>
    <x v="0"/>
    <x v="0"/>
    <n v="1"/>
    <n v="0"/>
    <n v="0"/>
  </r>
  <r>
    <x v="0"/>
    <x v="10"/>
    <x v="150"/>
    <x v="0"/>
    <x v="1"/>
    <n v="2"/>
    <n v="0"/>
    <n v="0"/>
  </r>
  <r>
    <x v="0"/>
    <x v="10"/>
    <x v="150"/>
    <x v="0"/>
    <x v="2"/>
    <n v="3"/>
    <n v="4.4000000000000004"/>
    <n v="11000"/>
  </r>
  <r>
    <x v="0"/>
    <x v="10"/>
    <x v="150"/>
    <x v="0"/>
    <x v="3"/>
    <n v="4"/>
    <n v="2"/>
    <n v="5000"/>
  </r>
  <r>
    <x v="0"/>
    <x v="10"/>
    <x v="150"/>
    <x v="0"/>
    <x v="4"/>
    <n v="5"/>
    <n v="0"/>
    <n v="0"/>
  </r>
  <r>
    <x v="0"/>
    <x v="10"/>
    <x v="150"/>
    <x v="0"/>
    <x v="5"/>
    <n v="6"/>
    <n v="6.4"/>
    <n v="16000"/>
  </r>
  <r>
    <x v="0"/>
    <x v="10"/>
    <x v="150"/>
    <x v="0"/>
    <x v="6"/>
    <n v="7"/>
    <n v="0"/>
    <n v="0"/>
  </r>
  <r>
    <x v="0"/>
    <x v="11"/>
    <x v="151"/>
    <x v="0"/>
    <x v="0"/>
    <n v="1"/>
    <n v="0"/>
    <n v="0"/>
  </r>
  <r>
    <x v="0"/>
    <x v="11"/>
    <x v="151"/>
    <x v="0"/>
    <x v="1"/>
    <n v="2"/>
    <n v="0"/>
    <n v="0"/>
  </r>
  <r>
    <x v="0"/>
    <x v="11"/>
    <x v="151"/>
    <x v="0"/>
    <x v="2"/>
    <n v="3"/>
    <n v="4.4000000000000004"/>
    <n v="11000"/>
  </r>
  <r>
    <x v="0"/>
    <x v="11"/>
    <x v="151"/>
    <x v="0"/>
    <x v="3"/>
    <n v="4"/>
    <n v="2.4"/>
    <n v="6000"/>
  </r>
  <r>
    <x v="0"/>
    <x v="11"/>
    <x v="151"/>
    <x v="0"/>
    <x v="4"/>
    <n v="5"/>
    <n v="0"/>
    <n v="0"/>
  </r>
  <r>
    <x v="0"/>
    <x v="11"/>
    <x v="151"/>
    <x v="0"/>
    <x v="5"/>
    <n v="6"/>
    <n v="6.8"/>
    <n v="17000"/>
  </r>
  <r>
    <x v="0"/>
    <x v="11"/>
    <x v="151"/>
    <x v="0"/>
    <x v="6"/>
    <n v="7"/>
    <n v="0"/>
    <n v="0"/>
  </r>
  <r>
    <x v="0"/>
    <x v="11"/>
    <x v="152"/>
    <x v="0"/>
    <x v="0"/>
    <n v="1"/>
    <n v="0"/>
    <n v="0"/>
  </r>
  <r>
    <x v="0"/>
    <x v="11"/>
    <x v="152"/>
    <x v="0"/>
    <x v="1"/>
    <n v="2"/>
    <n v="0"/>
    <n v="0"/>
  </r>
  <r>
    <x v="0"/>
    <x v="11"/>
    <x v="152"/>
    <x v="0"/>
    <x v="2"/>
    <n v="3"/>
    <n v="6.4"/>
    <n v="16000"/>
  </r>
  <r>
    <x v="0"/>
    <x v="11"/>
    <x v="152"/>
    <x v="0"/>
    <x v="3"/>
    <n v="4"/>
    <n v="4.4000000000000004"/>
    <n v="11000"/>
  </r>
  <r>
    <x v="0"/>
    <x v="11"/>
    <x v="152"/>
    <x v="0"/>
    <x v="4"/>
    <n v="5"/>
    <n v="0"/>
    <n v="0"/>
  </r>
  <r>
    <x v="0"/>
    <x v="11"/>
    <x v="152"/>
    <x v="0"/>
    <x v="5"/>
    <n v="6"/>
    <n v="10.8"/>
    <n v="27000"/>
  </r>
  <r>
    <x v="0"/>
    <x v="11"/>
    <x v="152"/>
    <x v="0"/>
    <x v="6"/>
    <n v="7"/>
    <n v="0"/>
    <n v="0"/>
  </r>
  <r>
    <x v="0"/>
    <x v="11"/>
    <x v="153"/>
    <x v="0"/>
    <x v="0"/>
    <n v="1"/>
    <n v="0"/>
    <n v="0"/>
  </r>
  <r>
    <x v="0"/>
    <x v="11"/>
    <x v="153"/>
    <x v="0"/>
    <x v="1"/>
    <n v="2"/>
    <n v="0"/>
    <n v="0"/>
  </r>
  <r>
    <x v="0"/>
    <x v="11"/>
    <x v="153"/>
    <x v="0"/>
    <x v="2"/>
    <n v="3"/>
    <n v="4"/>
    <n v="10000"/>
  </r>
  <r>
    <x v="0"/>
    <x v="11"/>
    <x v="153"/>
    <x v="0"/>
    <x v="3"/>
    <n v="4"/>
    <n v="0.4"/>
    <n v="1000"/>
  </r>
  <r>
    <x v="0"/>
    <x v="11"/>
    <x v="153"/>
    <x v="0"/>
    <x v="4"/>
    <n v="5"/>
    <n v="0"/>
    <n v="0"/>
  </r>
  <r>
    <x v="0"/>
    <x v="11"/>
    <x v="153"/>
    <x v="0"/>
    <x v="5"/>
    <n v="6"/>
    <n v="4.8"/>
    <n v="12000"/>
  </r>
  <r>
    <x v="0"/>
    <x v="11"/>
    <x v="153"/>
    <x v="0"/>
    <x v="6"/>
    <n v="7"/>
    <n v="0"/>
    <n v="0"/>
  </r>
  <r>
    <x v="0"/>
    <x v="11"/>
    <x v="98"/>
    <x v="0"/>
    <x v="0"/>
    <n v="1"/>
    <n v="0"/>
    <n v="0"/>
  </r>
  <r>
    <x v="0"/>
    <x v="11"/>
    <x v="98"/>
    <x v="0"/>
    <x v="1"/>
    <n v="2"/>
    <n v="0"/>
    <n v="0"/>
  </r>
  <r>
    <x v="0"/>
    <x v="11"/>
    <x v="98"/>
    <x v="0"/>
    <x v="2"/>
    <n v="3"/>
    <n v="2.4"/>
    <n v="6000"/>
  </r>
  <r>
    <x v="0"/>
    <x v="11"/>
    <x v="98"/>
    <x v="0"/>
    <x v="3"/>
    <n v="4"/>
    <n v="8"/>
    <n v="20000"/>
  </r>
  <r>
    <x v="0"/>
    <x v="11"/>
    <x v="98"/>
    <x v="0"/>
    <x v="4"/>
    <n v="5"/>
    <n v="0"/>
    <n v="0"/>
  </r>
  <r>
    <x v="0"/>
    <x v="11"/>
    <x v="98"/>
    <x v="0"/>
    <x v="5"/>
    <n v="6"/>
    <n v="11.2"/>
    <n v="28000"/>
  </r>
  <r>
    <x v="0"/>
    <x v="11"/>
    <x v="98"/>
    <x v="0"/>
    <x v="6"/>
    <n v="7"/>
    <n v="0"/>
    <n v="0"/>
  </r>
  <r>
    <x v="0"/>
    <x v="11"/>
    <x v="154"/>
    <x v="0"/>
    <x v="0"/>
    <n v="1"/>
    <n v="0"/>
    <n v="0"/>
  </r>
  <r>
    <x v="0"/>
    <x v="11"/>
    <x v="154"/>
    <x v="0"/>
    <x v="1"/>
    <n v="2"/>
    <n v="0"/>
    <n v="0"/>
  </r>
  <r>
    <x v="0"/>
    <x v="11"/>
    <x v="154"/>
    <x v="0"/>
    <x v="2"/>
    <n v="3"/>
    <n v="3.2"/>
    <n v="8000"/>
  </r>
  <r>
    <x v="0"/>
    <x v="11"/>
    <x v="154"/>
    <x v="0"/>
    <x v="3"/>
    <n v="4"/>
    <n v="2.8"/>
    <n v="7000"/>
  </r>
  <r>
    <x v="0"/>
    <x v="11"/>
    <x v="154"/>
    <x v="0"/>
    <x v="4"/>
    <n v="5"/>
    <n v="0"/>
    <n v="0"/>
  </r>
  <r>
    <x v="0"/>
    <x v="11"/>
    <x v="154"/>
    <x v="0"/>
    <x v="5"/>
    <n v="6"/>
    <n v="6.4"/>
    <n v="16000"/>
  </r>
  <r>
    <x v="0"/>
    <x v="11"/>
    <x v="154"/>
    <x v="0"/>
    <x v="6"/>
    <n v="7"/>
    <n v="0"/>
    <n v="0"/>
  </r>
  <r>
    <x v="0"/>
    <x v="11"/>
    <x v="155"/>
    <x v="0"/>
    <x v="0"/>
    <n v="1"/>
    <n v="0"/>
    <n v="0"/>
  </r>
  <r>
    <x v="0"/>
    <x v="11"/>
    <x v="155"/>
    <x v="0"/>
    <x v="1"/>
    <n v="2"/>
    <n v="0"/>
    <n v="0"/>
  </r>
  <r>
    <x v="0"/>
    <x v="11"/>
    <x v="155"/>
    <x v="0"/>
    <x v="2"/>
    <n v="3"/>
    <n v="4"/>
    <n v="10000"/>
  </r>
  <r>
    <x v="0"/>
    <x v="11"/>
    <x v="155"/>
    <x v="0"/>
    <x v="3"/>
    <n v="4"/>
    <n v="0.8"/>
    <n v="2000"/>
  </r>
  <r>
    <x v="0"/>
    <x v="11"/>
    <x v="155"/>
    <x v="0"/>
    <x v="4"/>
    <n v="5"/>
    <n v="0"/>
    <n v="0"/>
  </r>
  <r>
    <x v="0"/>
    <x v="11"/>
    <x v="155"/>
    <x v="0"/>
    <x v="5"/>
    <n v="6"/>
    <n v="4.8"/>
    <n v="12000"/>
  </r>
  <r>
    <x v="0"/>
    <x v="11"/>
    <x v="155"/>
    <x v="0"/>
    <x v="6"/>
    <n v="7"/>
    <n v="0"/>
    <n v="0"/>
  </r>
  <r>
    <x v="0"/>
    <x v="11"/>
    <x v="156"/>
    <x v="0"/>
    <x v="0"/>
    <n v="1"/>
    <n v="0"/>
    <n v="0"/>
  </r>
  <r>
    <x v="0"/>
    <x v="11"/>
    <x v="156"/>
    <x v="0"/>
    <x v="1"/>
    <n v="2"/>
    <n v="0"/>
    <n v="0"/>
  </r>
  <r>
    <x v="0"/>
    <x v="11"/>
    <x v="156"/>
    <x v="0"/>
    <x v="2"/>
    <n v="3"/>
    <n v="8"/>
    <n v="20000"/>
  </r>
  <r>
    <x v="0"/>
    <x v="11"/>
    <x v="156"/>
    <x v="0"/>
    <x v="3"/>
    <n v="4"/>
    <n v="6.4"/>
    <n v="16000"/>
  </r>
  <r>
    <x v="0"/>
    <x v="11"/>
    <x v="156"/>
    <x v="0"/>
    <x v="4"/>
    <n v="5"/>
    <n v="0"/>
    <n v="0"/>
  </r>
  <r>
    <x v="0"/>
    <x v="11"/>
    <x v="156"/>
    <x v="0"/>
    <x v="5"/>
    <n v="6"/>
    <n v="13.2"/>
    <n v="33000"/>
  </r>
  <r>
    <x v="0"/>
    <x v="11"/>
    <x v="156"/>
    <x v="0"/>
    <x v="6"/>
    <n v="7"/>
    <n v="0"/>
    <n v="0"/>
  </r>
  <r>
    <x v="0"/>
    <x v="11"/>
    <x v="157"/>
    <x v="0"/>
    <x v="0"/>
    <n v="1"/>
    <n v="0"/>
    <n v="0"/>
  </r>
  <r>
    <x v="0"/>
    <x v="11"/>
    <x v="157"/>
    <x v="0"/>
    <x v="1"/>
    <n v="2"/>
    <n v="0"/>
    <n v="0"/>
  </r>
  <r>
    <x v="0"/>
    <x v="11"/>
    <x v="157"/>
    <x v="0"/>
    <x v="2"/>
    <n v="3"/>
    <n v="0"/>
    <n v="0"/>
  </r>
  <r>
    <x v="0"/>
    <x v="11"/>
    <x v="157"/>
    <x v="0"/>
    <x v="3"/>
    <n v="4"/>
    <n v="2"/>
    <n v="5000"/>
  </r>
  <r>
    <x v="0"/>
    <x v="11"/>
    <x v="157"/>
    <x v="0"/>
    <x v="4"/>
    <n v="5"/>
    <n v="0"/>
    <n v="0"/>
  </r>
  <r>
    <x v="0"/>
    <x v="11"/>
    <x v="157"/>
    <x v="0"/>
    <x v="5"/>
    <n v="6"/>
    <n v="6.4"/>
    <n v="16000"/>
  </r>
  <r>
    <x v="0"/>
    <x v="11"/>
    <x v="157"/>
    <x v="0"/>
    <x v="6"/>
    <n v="7"/>
    <n v="0"/>
    <n v="0"/>
  </r>
  <r>
    <x v="0"/>
    <x v="11"/>
    <x v="158"/>
    <x v="0"/>
    <x v="0"/>
    <n v="1"/>
    <n v="0"/>
    <n v="0"/>
  </r>
  <r>
    <x v="0"/>
    <x v="11"/>
    <x v="158"/>
    <x v="0"/>
    <x v="1"/>
    <n v="2"/>
    <n v="0"/>
    <n v="0"/>
  </r>
  <r>
    <x v="0"/>
    <x v="11"/>
    <x v="158"/>
    <x v="0"/>
    <x v="2"/>
    <n v="3"/>
    <n v="6"/>
    <n v="15000"/>
  </r>
  <r>
    <x v="0"/>
    <x v="11"/>
    <x v="158"/>
    <x v="0"/>
    <x v="3"/>
    <n v="4"/>
    <n v="1.6"/>
    <n v="4000"/>
  </r>
  <r>
    <x v="0"/>
    <x v="11"/>
    <x v="158"/>
    <x v="0"/>
    <x v="4"/>
    <n v="5"/>
    <n v="0"/>
    <n v="0"/>
  </r>
  <r>
    <x v="0"/>
    <x v="11"/>
    <x v="158"/>
    <x v="0"/>
    <x v="5"/>
    <n v="6"/>
    <n v="7.6"/>
    <n v="19000"/>
  </r>
  <r>
    <x v="0"/>
    <x v="11"/>
    <x v="158"/>
    <x v="0"/>
    <x v="6"/>
    <n v="7"/>
    <n v="0"/>
    <n v="0"/>
  </r>
  <r>
    <x v="0"/>
    <x v="11"/>
    <x v="159"/>
    <x v="0"/>
    <x v="0"/>
    <n v="1"/>
    <n v="0"/>
    <n v="0"/>
  </r>
  <r>
    <x v="0"/>
    <x v="11"/>
    <x v="159"/>
    <x v="0"/>
    <x v="1"/>
    <n v="2"/>
    <n v="0"/>
    <n v="0"/>
  </r>
  <r>
    <x v="0"/>
    <x v="11"/>
    <x v="159"/>
    <x v="0"/>
    <x v="2"/>
    <n v="3"/>
    <n v="3.2"/>
    <n v="8000"/>
  </r>
  <r>
    <x v="0"/>
    <x v="11"/>
    <x v="159"/>
    <x v="0"/>
    <x v="3"/>
    <n v="4"/>
    <n v="6.8"/>
    <n v="17000"/>
  </r>
  <r>
    <x v="0"/>
    <x v="11"/>
    <x v="159"/>
    <x v="0"/>
    <x v="4"/>
    <n v="5"/>
    <n v="0"/>
    <n v="0"/>
  </r>
  <r>
    <x v="0"/>
    <x v="11"/>
    <x v="159"/>
    <x v="0"/>
    <x v="5"/>
    <n v="6"/>
    <n v="4.8"/>
    <n v="12000"/>
  </r>
  <r>
    <x v="0"/>
    <x v="11"/>
    <x v="159"/>
    <x v="0"/>
    <x v="6"/>
    <n v="7"/>
    <n v="0"/>
    <n v="0"/>
  </r>
  <r>
    <x v="0"/>
    <x v="11"/>
    <x v="67"/>
    <x v="0"/>
    <x v="0"/>
    <n v="1"/>
    <n v="0"/>
    <n v="0"/>
  </r>
  <r>
    <x v="0"/>
    <x v="11"/>
    <x v="67"/>
    <x v="0"/>
    <x v="1"/>
    <n v="2"/>
    <n v="0"/>
    <n v="0"/>
  </r>
  <r>
    <x v="0"/>
    <x v="11"/>
    <x v="67"/>
    <x v="0"/>
    <x v="2"/>
    <n v="3"/>
    <n v="0"/>
    <n v="0"/>
  </r>
  <r>
    <x v="0"/>
    <x v="11"/>
    <x v="67"/>
    <x v="0"/>
    <x v="3"/>
    <n v="4"/>
    <n v="0.4"/>
    <n v="1000"/>
  </r>
  <r>
    <x v="0"/>
    <x v="11"/>
    <x v="67"/>
    <x v="0"/>
    <x v="4"/>
    <n v="5"/>
    <n v="0"/>
    <n v="0"/>
  </r>
  <r>
    <x v="0"/>
    <x v="11"/>
    <x v="67"/>
    <x v="0"/>
    <x v="5"/>
    <n v="6"/>
    <n v="6.4"/>
    <n v="16000"/>
  </r>
  <r>
    <x v="0"/>
    <x v="11"/>
    <x v="67"/>
    <x v="0"/>
    <x v="6"/>
    <n v="7"/>
    <n v="0"/>
    <n v="0"/>
  </r>
  <r>
    <x v="0"/>
    <x v="11"/>
    <x v="160"/>
    <x v="0"/>
    <x v="0"/>
    <n v="1"/>
    <n v="0"/>
    <n v="0"/>
  </r>
  <r>
    <x v="0"/>
    <x v="11"/>
    <x v="160"/>
    <x v="0"/>
    <x v="1"/>
    <n v="2"/>
    <n v="0"/>
    <n v="0"/>
  </r>
  <r>
    <x v="0"/>
    <x v="11"/>
    <x v="160"/>
    <x v="0"/>
    <x v="2"/>
    <n v="3"/>
    <n v="7.2"/>
    <n v="18000"/>
  </r>
  <r>
    <x v="0"/>
    <x v="11"/>
    <x v="160"/>
    <x v="0"/>
    <x v="3"/>
    <n v="4"/>
    <n v="3.2"/>
    <n v="8000"/>
  </r>
  <r>
    <x v="0"/>
    <x v="11"/>
    <x v="160"/>
    <x v="0"/>
    <x v="4"/>
    <n v="5"/>
    <n v="0"/>
    <n v="0"/>
  </r>
  <r>
    <x v="0"/>
    <x v="11"/>
    <x v="160"/>
    <x v="0"/>
    <x v="5"/>
    <n v="6"/>
    <n v="7.2"/>
    <n v="18000"/>
  </r>
  <r>
    <x v="0"/>
    <x v="11"/>
    <x v="160"/>
    <x v="0"/>
    <x v="6"/>
    <n v="7"/>
    <n v="0"/>
    <n v="0"/>
  </r>
  <r>
    <x v="0"/>
    <x v="11"/>
    <x v="161"/>
    <x v="0"/>
    <x v="0"/>
    <n v="1"/>
    <n v="0"/>
    <n v="0"/>
  </r>
  <r>
    <x v="0"/>
    <x v="11"/>
    <x v="161"/>
    <x v="0"/>
    <x v="1"/>
    <n v="2"/>
    <n v="0"/>
    <n v="0"/>
  </r>
  <r>
    <x v="0"/>
    <x v="11"/>
    <x v="161"/>
    <x v="0"/>
    <x v="2"/>
    <n v="3"/>
    <n v="4.4000000000000004"/>
    <n v="11000"/>
  </r>
  <r>
    <x v="0"/>
    <x v="11"/>
    <x v="161"/>
    <x v="0"/>
    <x v="3"/>
    <n v="4"/>
    <n v="2.4"/>
    <n v="6000"/>
  </r>
  <r>
    <x v="0"/>
    <x v="11"/>
    <x v="161"/>
    <x v="0"/>
    <x v="4"/>
    <n v="5"/>
    <n v="0"/>
    <n v="0"/>
  </r>
  <r>
    <x v="0"/>
    <x v="11"/>
    <x v="161"/>
    <x v="0"/>
    <x v="5"/>
    <n v="6"/>
    <n v="7.2"/>
    <n v="18000"/>
  </r>
  <r>
    <x v="0"/>
    <x v="11"/>
    <x v="161"/>
    <x v="0"/>
    <x v="6"/>
    <n v="7"/>
    <n v="0"/>
    <n v="0"/>
  </r>
  <r>
    <x v="0"/>
    <x v="11"/>
    <x v="162"/>
    <x v="0"/>
    <x v="0"/>
    <n v="1"/>
    <n v="0"/>
    <n v="0"/>
  </r>
  <r>
    <x v="0"/>
    <x v="11"/>
    <x v="162"/>
    <x v="0"/>
    <x v="1"/>
    <n v="2"/>
    <n v="0"/>
    <n v="0"/>
  </r>
  <r>
    <x v="0"/>
    <x v="11"/>
    <x v="162"/>
    <x v="0"/>
    <x v="2"/>
    <n v="3"/>
    <n v="6.8"/>
    <n v="17000"/>
  </r>
  <r>
    <x v="0"/>
    <x v="11"/>
    <x v="162"/>
    <x v="0"/>
    <x v="3"/>
    <n v="4"/>
    <n v="6.8"/>
    <n v="17000"/>
  </r>
  <r>
    <x v="0"/>
    <x v="11"/>
    <x v="162"/>
    <x v="0"/>
    <x v="4"/>
    <n v="5"/>
    <n v="0"/>
    <n v="0"/>
  </r>
  <r>
    <x v="0"/>
    <x v="11"/>
    <x v="162"/>
    <x v="0"/>
    <x v="5"/>
    <n v="6"/>
    <n v="8.8000000000000007"/>
    <n v="22000"/>
  </r>
  <r>
    <x v="0"/>
    <x v="11"/>
    <x v="162"/>
    <x v="0"/>
    <x v="6"/>
    <n v="7"/>
    <n v="0"/>
    <n v="0"/>
  </r>
  <r>
    <x v="0"/>
    <x v="12"/>
    <x v="163"/>
    <x v="0"/>
    <x v="0"/>
    <n v="1"/>
    <n v="0"/>
    <n v="0"/>
  </r>
  <r>
    <x v="0"/>
    <x v="12"/>
    <x v="163"/>
    <x v="0"/>
    <x v="1"/>
    <n v="2"/>
    <n v="0"/>
    <n v="0"/>
  </r>
  <r>
    <x v="0"/>
    <x v="12"/>
    <x v="163"/>
    <x v="0"/>
    <x v="2"/>
    <n v="3"/>
    <n v="2"/>
    <n v="5000"/>
  </r>
  <r>
    <x v="0"/>
    <x v="12"/>
    <x v="163"/>
    <x v="0"/>
    <x v="3"/>
    <n v="4"/>
    <n v="2"/>
    <n v="5000"/>
  </r>
  <r>
    <x v="0"/>
    <x v="12"/>
    <x v="163"/>
    <x v="0"/>
    <x v="4"/>
    <n v="5"/>
    <n v="0"/>
    <n v="0"/>
  </r>
  <r>
    <x v="0"/>
    <x v="12"/>
    <x v="163"/>
    <x v="0"/>
    <x v="5"/>
    <n v="6"/>
    <n v="4.4000000000000004"/>
    <n v="11000"/>
  </r>
  <r>
    <x v="0"/>
    <x v="12"/>
    <x v="163"/>
    <x v="0"/>
    <x v="6"/>
    <n v="7"/>
    <n v="0"/>
    <n v="0"/>
  </r>
  <r>
    <x v="0"/>
    <x v="12"/>
    <x v="164"/>
    <x v="0"/>
    <x v="0"/>
    <n v="1"/>
    <n v="0"/>
    <n v="0"/>
  </r>
  <r>
    <x v="0"/>
    <x v="12"/>
    <x v="164"/>
    <x v="0"/>
    <x v="1"/>
    <n v="2"/>
    <n v="0"/>
    <n v="0"/>
  </r>
  <r>
    <x v="0"/>
    <x v="12"/>
    <x v="164"/>
    <x v="0"/>
    <x v="2"/>
    <n v="3"/>
    <n v="2"/>
    <n v="5000"/>
  </r>
  <r>
    <x v="0"/>
    <x v="12"/>
    <x v="164"/>
    <x v="0"/>
    <x v="3"/>
    <n v="4"/>
    <n v="0.4"/>
    <n v="1000"/>
  </r>
  <r>
    <x v="0"/>
    <x v="12"/>
    <x v="164"/>
    <x v="0"/>
    <x v="4"/>
    <n v="5"/>
    <n v="0"/>
    <n v="0"/>
  </r>
  <r>
    <x v="0"/>
    <x v="12"/>
    <x v="164"/>
    <x v="0"/>
    <x v="5"/>
    <n v="6"/>
    <n v="2.8"/>
    <n v="7000"/>
  </r>
  <r>
    <x v="0"/>
    <x v="12"/>
    <x v="164"/>
    <x v="0"/>
    <x v="6"/>
    <n v="7"/>
    <n v="0"/>
    <n v="0"/>
  </r>
  <r>
    <x v="0"/>
    <x v="12"/>
    <x v="165"/>
    <x v="0"/>
    <x v="0"/>
    <n v="1"/>
    <n v="0"/>
    <n v="0"/>
  </r>
  <r>
    <x v="0"/>
    <x v="12"/>
    <x v="165"/>
    <x v="0"/>
    <x v="1"/>
    <n v="2"/>
    <n v="0"/>
    <n v="0"/>
  </r>
  <r>
    <x v="0"/>
    <x v="12"/>
    <x v="165"/>
    <x v="0"/>
    <x v="2"/>
    <n v="3"/>
    <n v="2"/>
    <n v="5000"/>
  </r>
  <r>
    <x v="0"/>
    <x v="12"/>
    <x v="165"/>
    <x v="0"/>
    <x v="3"/>
    <n v="4"/>
    <n v="5.2"/>
    <n v="13000"/>
  </r>
  <r>
    <x v="0"/>
    <x v="12"/>
    <x v="165"/>
    <x v="0"/>
    <x v="4"/>
    <n v="5"/>
    <n v="0"/>
    <n v="0"/>
  </r>
  <r>
    <x v="0"/>
    <x v="12"/>
    <x v="165"/>
    <x v="0"/>
    <x v="5"/>
    <n v="6"/>
    <n v="7.6"/>
    <n v="19000"/>
  </r>
  <r>
    <x v="0"/>
    <x v="12"/>
    <x v="165"/>
    <x v="0"/>
    <x v="6"/>
    <n v="7"/>
    <n v="0"/>
    <n v="0"/>
  </r>
  <r>
    <x v="0"/>
    <x v="12"/>
    <x v="166"/>
    <x v="0"/>
    <x v="0"/>
    <n v="1"/>
    <n v="0"/>
    <n v="0"/>
  </r>
  <r>
    <x v="0"/>
    <x v="12"/>
    <x v="166"/>
    <x v="0"/>
    <x v="1"/>
    <n v="2"/>
    <n v="0"/>
    <n v="0"/>
  </r>
  <r>
    <x v="0"/>
    <x v="12"/>
    <x v="166"/>
    <x v="0"/>
    <x v="2"/>
    <n v="3"/>
    <n v="3.6"/>
    <n v="9000"/>
  </r>
  <r>
    <x v="0"/>
    <x v="12"/>
    <x v="166"/>
    <x v="0"/>
    <x v="3"/>
    <n v="4"/>
    <n v="3.2"/>
    <n v="8000"/>
  </r>
  <r>
    <x v="0"/>
    <x v="12"/>
    <x v="166"/>
    <x v="0"/>
    <x v="4"/>
    <n v="5"/>
    <n v="0"/>
    <n v="0"/>
  </r>
  <r>
    <x v="0"/>
    <x v="12"/>
    <x v="166"/>
    <x v="0"/>
    <x v="5"/>
    <n v="6"/>
    <n v="7.2"/>
    <n v="18000"/>
  </r>
  <r>
    <x v="0"/>
    <x v="12"/>
    <x v="166"/>
    <x v="0"/>
    <x v="6"/>
    <n v="7"/>
    <n v="0"/>
    <n v="0"/>
  </r>
  <r>
    <x v="0"/>
    <x v="12"/>
    <x v="167"/>
    <x v="0"/>
    <x v="0"/>
    <n v="1"/>
    <n v="0"/>
    <n v="0"/>
  </r>
  <r>
    <x v="0"/>
    <x v="12"/>
    <x v="167"/>
    <x v="0"/>
    <x v="1"/>
    <n v="2"/>
    <n v="0"/>
    <n v="0"/>
  </r>
  <r>
    <x v="0"/>
    <x v="12"/>
    <x v="167"/>
    <x v="0"/>
    <x v="2"/>
    <n v="3"/>
    <n v="3.6"/>
    <n v="9000"/>
  </r>
  <r>
    <x v="0"/>
    <x v="12"/>
    <x v="167"/>
    <x v="0"/>
    <x v="3"/>
    <n v="4"/>
    <n v="1.6"/>
    <n v="4000"/>
  </r>
  <r>
    <x v="0"/>
    <x v="12"/>
    <x v="167"/>
    <x v="0"/>
    <x v="4"/>
    <n v="5"/>
    <n v="0"/>
    <n v="0"/>
  </r>
  <r>
    <x v="0"/>
    <x v="12"/>
    <x v="167"/>
    <x v="0"/>
    <x v="5"/>
    <n v="6"/>
    <n v="5.6"/>
    <n v="14000"/>
  </r>
  <r>
    <x v="0"/>
    <x v="12"/>
    <x v="167"/>
    <x v="0"/>
    <x v="6"/>
    <n v="7"/>
    <n v="0"/>
    <n v="0"/>
  </r>
  <r>
    <x v="0"/>
    <x v="12"/>
    <x v="168"/>
    <x v="0"/>
    <x v="0"/>
    <n v="1"/>
    <n v="0"/>
    <n v="0"/>
  </r>
  <r>
    <x v="0"/>
    <x v="12"/>
    <x v="168"/>
    <x v="0"/>
    <x v="1"/>
    <n v="2"/>
    <n v="0"/>
    <n v="0"/>
  </r>
  <r>
    <x v="0"/>
    <x v="12"/>
    <x v="168"/>
    <x v="0"/>
    <x v="2"/>
    <n v="3"/>
    <n v="2"/>
    <n v="5000"/>
  </r>
  <r>
    <x v="0"/>
    <x v="12"/>
    <x v="168"/>
    <x v="0"/>
    <x v="3"/>
    <n v="4"/>
    <n v="0.4"/>
    <n v="1000"/>
  </r>
  <r>
    <x v="0"/>
    <x v="12"/>
    <x v="168"/>
    <x v="0"/>
    <x v="4"/>
    <n v="5"/>
    <n v="0"/>
    <n v="0"/>
  </r>
  <r>
    <x v="0"/>
    <x v="12"/>
    <x v="168"/>
    <x v="0"/>
    <x v="5"/>
    <n v="6"/>
    <n v="3.2"/>
    <n v="8000"/>
  </r>
  <r>
    <x v="0"/>
    <x v="12"/>
    <x v="168"/>
    <x v="0"/>
    <x v="6"/>
    <n v="7"/>
    <n v="0"/>
    <n v="0"/>
  </r>
  <r>
    <x v="0"/>
    <x v="12"/>
    <x v="169"/>
    <x v="0"/>
    <x v="0"/>
    <n v="1"/>
    <n v="0"/>
    <n v="0"/>
  </r>
  <r>
    <x v="0"/>
    <x v="12"/>
    <x v="169"/>
    <x v="0"/>
    <x v="1"/>
    <n v="2"/>
    <n v="0"/>
    <n v="0"/>
  </r>
  <r>
    <x v="0"/>
    <x v="12"/>
    <x v="169"/>
    <x v="0"/>
    <x v="2"/>
    <n v="3"/>
    <n v="4.4000000000000004"/>
    <n v="11000"/>
  </r>
  <r>
    <x v="0"/>
    <x v="12"/>
    <x v="169"/>
    <x v="0"/>
    <x v="3"/>
    <n v="4"/>
    <n v="3.6"/>
    <n v="9000"/>
  </r>
  <r>
    <x v="0"/>
    <x v="12"/>
    <x v="169"/>
    <x v="0"/>
    <x v="4"/>
    <n v="5"/>
    <n v="0"/>
    <n v="0"/>
  </r>
  <r>
    <x v="0"/>
    <x v="12"/>
    <x v="169"/>
    <x v="0"/>
    <x v="5"/>
    <n v="6"/>
    <n v="8"/>
    <n v="20000"/>
  </r>
  <r>
    <x v="0"/>
    <x v="12"/>
    <x v="169"/>
    <x v="0"/>
    <x v="6"/>
    <n v="7"/>
    <n v="0"/>
    <n v="0"/>
  </r>
  <r>
    <x v="0"/>
    <x v="12"/>
    <x v="170"/>
    <x v="0"/>
    <x v="0"/>
    <n v="1"/>
    <n v="0"/>
    <n v="0"/>
  </r>
  <r>
    <x v="0"/>
    <x v="12"/>
    <x v="170"/>
    <x v="0"/>
    <x v="1"/>
    <n v="2"/>
    <n v="0"/>
    <n v="0"/>
  </r>
  <r>
    <x v="0"/>
    <x v="12"/>
    <x v="170"/>
    <x v="0"/>
    <x v="2"/>
    <n v="3"/>
    <n v="3.2"/>
    <n v="8000"/>
  </r>
  <r>
    <x v="0"/>
    <x v="12"/>
    <x v="170"/>
    <x v="0"/>
    <x v="3"/>
    <n v="4"/>
    <n v="2.8"/>
    <n v="7000"/>
  </r>
  <r>
    <x v="0"/>
    <x v="12"/>
    <x v="170"/>
    <x v="0"/>
    <x v="4"/>
    <n v="5"/>
    <n v="0"/>
    <n v="0"/>
  </r>
  <r>
    <x v="0"/>
    <x v="12"/>
    <x v="170"/>
    <x v="0"/>
    <x v="5"/>
    <n v="6"/>
    <n v="6.4"/>
    <n v="16000"/>
  </r>
  <r>
    <x v="0"/>
    <x v="12"/>
    <x v="170"/>
    <x v="0"/>
    <x v="6"/>
    <n v="7"/>
    <n v="0"/>
    <n v="0"/>
  </r>
  <r>
    <x v="0"/>
    <x v="12"/>
    <x v="171"/>
    <x v="0"/>
    <x v="0"/>
    <n v="1"/>
    <n v="0"/>
    <n v="0"/>
  </r>
  <r>
    <x v="0"/>
    <x v="12"/>
    <x v="171"/>
    <x v="0"/>
    <x v="1"/>
    <n v="2"/>
    <n v="0"/>
    <n v="0"/>
  </r>
  <r>
    <x v="0"/>
    <x v="12"/>
    <x v="171"/>
    <x v="0"/>
    <x v="2"/>
    <n v="3"/>
    <n v="2.4"/>
    <n v="6000"/>
  </r>
  <r>
    <x v="0"/>
    <x v="12"/>
    <x v="171"/>
    <x v="0"/>
    <x v="3"/>
    <n v="4"/>
    <n v="2.8"/>
    <n v="7000"/>
  </r>
  <r>
    <x v="0"/>
    <x v="12"/>
    <x v="171"/>
    <x v="0"/>
    <x v="4"/>
    <n v="5"/>
    <n v="0"/>
    <n v="0"/>
  </r>
  <r>
    <x v="0"/>
    <x v="12"/>
    <x v="171"/>
    <x v="0"/>
    <x v="5"/>
    <n v="6"/>
    <n v="5.6"/>
    <n v="14000"/>
  </r>
  <r>
    <x v="0"/>
    <x v="12"/>
    <x v="171"/>
    <x v="0"/>
    <x v="6"/>
    <n v="7"/>
    <n v="0"/>
    <n v="0"/>
  </r>
  <r>
    <x v="0"/>
    <x v="12"/>
    <x v="172"/>
    <x v="0"/>
    <x v="0"/>
    <n v="1"/>
    <n v="0"/>
    <n v="0"/>
  </r>
  <r>
    <x v="0"/>
    <x v="12"/>
    <x v="172"/>
    <x v="0"/>
    <x v="1"/>
    <n v="2"/>
    <n v="0"/>
    <n v="0"/>
  </r>
  <r>
    <x v="0"/>
    <x v="12"/>
    <x v="172"/>
    <x v="0"/>
    <x v="2"/>
    <n v="3"/>
    <n v="3.6"/>
    <n v="9000"/>
  </r>
  <r>
    <x v="0"/>
    <x v="12"/>
    <x v="172"/>
    <x v="0"/>
    <x v="3"/>
    <n v="4"/>
    <n v="4.4000000000000004"/>
    <n v="11000"/>
  </r>
  <r>
    <x v="0"/>
    <x v="12"/>
    <x v="172"/>
    <x v="0"/>
    <x v="4"/>
    <n v="5"/>
    <n v="0"/>
    <n v="0"/>
  </r>
  <r>
    <x v="0"/>
    <x v="12"/>
    <x v="172"/>
    <x v="0"/>
    <x v="5"/>
    <n v="6"/>
    <n v="8"/>
    <n v="20000"/>
  </r>
  <r>
    <x v="0"/>
    <x v="12"/>
    <x v="172"/>
    <x v="0"/>
    <x v="6"/>
    <n v="7"/>
    <n v="0"/>
    <n v="0"/>
  </r>
  <r>
    <x v="0"/>
    <x v="12"/>
    <x v="173"/>
    <x v="0"/>
    <x v="0"/>
    <n v="1"/>
    <n v="0"/>
    <n v="0"/>
  </r>
  <r>
    <x v="0"/>
    <x v="12"/>
    <x v="173"/>
    <x v="0"/>
    <x v="1"/>
    <n v="2"/>
    <n v="0"/>
    <n v="0"/>
  </r>
  <r>
    <x v="0"/>
    <x v="12"/>
    <x v="173"/>
    <x v="0"/>
    <x v="2"/>
    <n v="3"/>
    <n v="1.6"/>
    <n v="4000"/>
  </r>
  <r>
    <x v="0"/>
    <x v="12"/>
    <x v="173"/>
    <x v="0"/>
    <x v="3"/>
    <n v="4"/>
    <n v="0.4"/>
    <n v="1000"/>
  </r>
  <r>
    <x v="0"/>
    <x v="12"/>
    <x v="173"/>
    <x v="0"/>
    <x v="4"/>
    <n v="5"/>
    <n v="0"/>
    <n v="0"/>
  </r>
  <r>
    <x v="0"/>
    <x v="12"/>
    <x v="173"/>
    <x v="0"/>
    <x v="5"/>
    <n v="6"/>
    <n v="2.4"/>
    <n v="6000"/>
  </r>
  <r>
    <x v="0"/>
    <x v="12"/>
    <x v="173"/>
    <x v="0"/>
    <x v="6"/>
    <n v="7"/>
    <n v="0"/>
    <n v="0"/>
  </r>
  <r>
    <x v="0"/>
    <x v="12"/>
    <x v="174"/>
    <x v="0"/>
    <x v="0"/>
    <n v="1"/>
    <n v="0"/>
    <n v="0"/>
  </r>
  <r>
    <x v="0"/>
    <x v="12"/>
    <x v="174"/>
    <x v="0"/>
    <x v="1"/>
    <n v="2"/>
    <n v="0"/>
    <n v="0"/>
  </r>
  <r>
    <x v="0"/>
    <x v="12"/>
    <x v="174"/>
    <x v="0"/>
    <x v="2"/>
    <n v="3"/>
    <n v="3.2"/>
    <n v="8000"/>
  </r>
  <r>
    <x v="0"/>
    <x v="12"/>
    <x v="174"/>
    <x v="0"/>
    <x v="3"/>
    <n v="4"/>
    <n v="0.4"/>
    <n v="1000"/>
  </r>
  <r>
    <x v="0"/>
    <x v="12"/>
    <x v="174"/>
    <x v="0"/>
    <x v="4"/>
    <n v="5"/>
    <n v="0"/>
    <n v="0"/>
  </r>
  <r>
    <x v="0"/>
    <x v="12"/>
    <x v="174"/>
    <x v="0"/>
    <x v="5"/>
    <n v="6"/>
    <n v="3.6"/>
    <n v="9000"/>
  </r>
  <r>
    <x v="0"/>
    <x v="12"/>
    <x v="174"/>
    <x v="0"/>
    <x v="6"/>
    <n v="7"/>
    <n v="0"/>
    <n v="0"/>
  </r>
  <r>
    <x v="0"/>
    <x v="12"/>
    <x v="175"/>
    <x v="0"/>
    <x v="0"/>
    <n v="1"/>
    <n v="0"/>
    <n v="0"/>
  </r>
  <r>
    <x v="0"/>
    <x v="12"/>
    <x v="175"/>
    <x v="0"/>
    <x v="1"/>
    <n v="2"/>
    <n v="0"/>
    <n v="0"/>
  </r>
  <r>
    <x v="0"/>
    <x v="12"/>
    <x v="175"/>
    <x v="0"/>
    <x v="2"/>
    <n v="3"/>
    <n v="2.4"/>
    <n v="6000"/>
  </r>
  <r>
    <x v="0"/>
    <x v="12"/>
    <x v="175"/>
    <x v="0"/>
    <x v="3"/>
    <n v="4"/>
    <n v="1.6"/>
    <n v="4000"/>
  </r>
  <r>
    <x v="0"/>
    <x v="12"/>
    <x v="175"/>
    <x v="0"/>
    <x v="4"/>
    <n v="5"/>
    <n v="0"/>
    <n v="0"/>
  </r>
  <r>
    <x v="0"/>
    <x v="12"/>
    <x v="175"/>
    <x v="0"/>
    <x v="5"/>
    <n v="6"/>
    <n v="4"/>
    <n v="10000"/>
  </r>
  <r>
    <x v="0"/>
    <x v="12"/>
    <x v="175"/>
    <x v="0"/>
    <x v="6"/>
    <n v="7"/>
    <n v="0"/>
    <n v="0"/>
  </r>
  <r>
    <x v="0"/>
    <x v="12"/>
    <x v="176"/>
    <x v="0"/>
    <x v="0"/>
    <n v="1"/>
    <n v="0"/>
    <n v="0"/>
  </r>
  <r>
    <x v="0"/>
    <x v="12"/>
    <x v="176"/>
    <x v="0"/>
    <x v="1"/>
    <n v="2"/>
    <n v="0"/>
    <n v="0"/>
  </r>
  <r>
    <x v="0"/>
    <x v="12"/>
    <x v="176"/>
    <x v="0"/>
    <x v="2"/>
    <n v="3"/>
    <n v="2.4"/>
    <n v="6000"/>
  </r>
  <r>
    <x v="0"/>
    <x v="12"/>
    <x v="176"/>
    <x v="0"/>
    <x v="3"/>
    <n v="4"/>
    <n v="2.4"/>
    <n v="6000"/>
  </r>
  <r>
    <x v="0"/>
    <x v="12"/>
    <x v="176"/>
    <x v="0"/>
    <x v="4"/>
    <n v="5"/>
    <n v="0"/>
    <n v="0"/>
  </r>
  <r>
    <x v="0"/>
    <x v="12"/>
    <x v="176"/>
    <x v="0"/>
    <x v="5"/>
    <n v="6"/>
    <n v="5.2"/>
    <n v="13000"/>
  </r>
  <r>
    <x v="0"/>
    <x v="12"/>
    <x v="176"/>
    <x v="0"/>
    <x v="6"/>
    <n v="7"/>
    <n v="0"/>
    <n v="0"/>
  </r>
  <r>
    <x v="0"/>
    <x v="12"/>
    <x v="177"/>
    <x v="0"/>
    <x v="0"/>
    <n v="1"/>
    <n v="0"/>
    <n v="0"/>
  </r>
  <r>
    <x v="0"/>
    <x v="12"/>
    <x v="177"/>
    <x v="0"/>
    <x v="1"/>
    <n v="2"/>
    <n v="0"/>
    <n v="0"/>
  </r>
  <r>
    <x v="0"/>
    <x v="12"/>
    <x v="177"/>
    <x v="0"/>
    <x v="2"/>
    <n v="3"/>
    <n v="2"/>
    <n v="5000"/>
  </r>
  <r>
    <x v="0"/>
    <x v="12"/>
    <x v="177"/>
    <x v="0"/>
    <x v="3"/>
    <n v="4"/>
    <n v="2.4"/>
    <n v="6000"/>
  </r>
  <r>
    <x v="0"/>
    <x v="12"/>
    <x v="177"/>
    <x v="0"/>
    <x v="4"/>
    <n v="5"/>
    <n v="0"/>
    <n v="0"/>
  </r>
  <r>
    <x v="0"/>
    <x v="12"/>
    <x v="177"/>
    <x v="0"/>
    <x v="5"/>
    <n v="6"/>
    <n v="5.2"/>
    <n v="13000"/>
  </r>
  <r>
    <x v="0"/>
    <x v="12"/>
    <x v="177"/>
    <x v="0"/>
    <x v="6"/>
    <n v="7"/>
    <n v="0"/>
    <n v="0"/>
  </r>
  <r>
    <x v="0"/>
    <x v="12"/>
    <x v="178"/>
    <x v="0"/>
    <x v="0"/>
    <n v="1"/>
    <n v="0"/>
    <n v="0"/>
  </r>
  <r>
    <x v="0"/>
    <x v="12"/>
    <x v="178"/>
    <x v="0"/>
    <x v="1"/>
    <n v="2"/>
    <n v="0"/>
    <n v="0"/>
  </r>
  <r>
    <x v="0"/>
    <x v="12"/>
    <x v="178"/>
    <x v="0"/>
    <x v="2"/>
    <n v="3"/>
    <n v="2.8"/>
    <n v="7000"/>
  </r>
  <r>
    <x v="0"/>
    <x v="12"/>
    <x v="178"/>
    <x v="0"/>
    <x v="3"/>
    <n v="4"/>
    <n v="1.2"/>
    <n v="3000"/>
  </r>
  <r>
    <x v="0"/>
    <x v="12"/>
    <x v="178"/>
    <x v="0"/>
    <x v="4"/>
    <n v="5"/>
    <n v="0"/>
    <n v="0"/>
  </r>
  <r>
    <x v="0"/>
    <x v="12"/>
    <x v="178"/>
    <x v="0"/>
    <x v="5"/>
    <n v="6"/>
    <n v="4"/>
    <n v="10000"/>
  </r>
  <r>
    <x v="0"/>
    <x v="12"/>
    <x v="178"/>
    <x v="0"/>
    <x v="6"/>
    <n v="7"/>
    <n v="0"/>
    <n v="0"/>
  </r>
  <r>
    <x v="0"/>
    <x v="12"/>
    <x v="179"/>
    <x v="0"/>
    <x v="0"/>
    <n v="1"/>
    <n v="0"/>
    <n v="0"/>
  </r>
  <r>
    <x v="0"/>
    <x v="12"/>
    <x v="179"/>
    <x v="0"/>
    <x v="1"/>
    <n v="2"/>
    <n v="0"/>
    <n v="0"/>
  </r>
  <r>
    <x v="0"/>
    <x v="12"/>
    <x v="179"/>
    <x v="0"/>
    <x v="2"/>
    <n v="3"/>
    <n v="3.6"/>
    <n v="9000"/>
  </r>
  <r>
    <x v="0"/>
    <x v="12"/>
    <x v="179"/>
    <x v="0"/>
    <x v="3"/>
    <n v="4"/>
    <n v="2"/>
    <n v="5000"/>
  </r>
  <r>
    <x v="0"/>
    <x v="12"/>
    <x v="179"/>
    <x v="0"/>
    <x v="4"/>
    <n v="5"/>
    <n v="0"/>
    <n v="0"/>
  </r>
  <r>
    <x v="0"/>
    <x v="12"/>
    <x v="179"/>
    <x v="0"/>
    <x v="5"/>
    <n v="6"/>
    <n v="5.6"/>
    <n v="14000"/>
  </r>
  <r>
    <x v="0"/>
    <x v="12"/>
    <x v="179"/>
    <x v="0"/>
    <x v="6"/>
    <n v="7"/>
    <n v="0"/>
    <n v="0"/>
  </r>
  <r>
    <x v="0"/>
    <x v="12"/>
    <x v="180"/>
    <x v="0"/>
    <x v="0"/>
    <n v="1"/>
    <n v="0"/>
    <n v="0"/>
  </r>
  <r>
    <x v="0"/>
    <x v="12"/>
    <x v="180"/>
    <x v="0"/>
    <x v="1"/>
    <n v="2"/>
    <n v="0"/>
    <n v="0"/>
  </r>
  <r>
    <x v="0"/>
    <x v="12"/>
    <x v="180"/>
    <x v="0"/>
    <x v="2"/>
    <n v="3"/>
    <n v="1.6"/>
    <n v="4000"/>
  </r>
  <r>
    <x v="0"/>
    <x v="12"/>
    <x v="180"/>
    <x v="0"/>
    <x v="3"/>
    <n v="4"/>
    <n v="2.4"/>
    <n v="6000"/>
  </r>
  <r>
    <x v="0"/>
    <x v="12"/>
    <x v="180"/>
    <x v="0"/>
    <x v="4"/>
    <n v="5"/>
    <n v="0"/>
    <n v="0"/>
  </r>
  <r>
    <x v="0"/>
    <x v="12"/>
    <x v="180"/>
    <x v="0"/>
    <x v="5"/>
    <n v="6"/>
    <n v="4.4000000000000004"/>
    <n v="11000"/>
  </r>
  <r>
    <x v="0"/>
    <x v="12"/>
    <x v="180"/>
    <x v="0"/>
    <x v="6"/>
    <n v="7"/>
    <n v="0"/>
    <n v="0"/>
  </r>
  <r>
    <x v="0"/>
    <x v="12"/>
    <x v="181"/>
    <x v="0"/>
    <x v="0"/>
    <n v="1"/>
    <n v="0"/>
    <n v="0"/>
  </r>
  <r>
    <x v="0"/>
    <x v="12"/>
    <x v="181"/>
    <x v="0"/>
    <x v="1"/>
    <n v="2"/>
    <n v="0"/>
    <n v="0"/>
  </r>
  <r>
    <x v="0"/>
    <x v="12"/>
    <x v="181"/>
    <x v="0"/>
    <x v="2"/>
    <n v="3"/>
    <n v="4.4000000000000004"/>
    <n v="11000"/>
  </r>
  <r>
    <x v="0"/>
    <x v="12"/>
    <x v="181"/>
    <x v="0"/>
    <x v="3"/>
    <n v="4"/>
    <n v="3.6"/>
    <n v="9000"/>
  </r>
  <r>
    <x v="0"/>
    <x v="12"/>
    <x v="181"/>
    <x v="0"/>
    <x v="4"/>
    <n v="5"/>
    <n v="0"/>
    <n v="0"/>
  </r>
  <r>
    <x v="0"/>
    <x v="12"/>
    <x v="181"/>
    <x v="0"/>
    <x v="5"/>
    <n v="6"/>
    <n v="8"/>
    <n v="20000"/>
  </r>
  <r>
    <x v="0"/>
    <x v="12"/>
    <x v="181"/>
    <x v="0"/>
    <x v="6"/>
    <n v="7"/>
    <n v="0"/>
    <n v="0"/>
  </r>
  <r>
    <x v="0"/>
    <x v="12"/>
    <x v="182"/>
    <x v="0"/>
    <x v="0"/>
    <n v="1"/>
    <n v="0"/>
    <n v="0"/>
  </r>
  <r>
    <x v="0"/>
    <x v="12"/>
    <x v="182"/>
    <x v="0"/>
    <x v="1"/>
    <n v="2"/>
    <n v="0"/>
    <n v="0"/>
  </r>
  <r>
    <x v="0"/>
    <x v="12"/>
    <x v="182"/>
    <x v="0"/>
    <x v="2"/>
    <n v="3"/>
    <n v="2.8"/>
    <n v="7000"/>
  </r>
  <r>
    <x v="0"/>
    <x v="12"/>
    <x v="182"/>
    <x v="0"/>
    <x v="3"/>
    <n v="4"/>
    <n v="5.2"/>
    <n v="13000"/>
  </r>
  <r>
    <x v="0"/>
    <x v="12"/>
    <x v="182"/>
    <x v="0"/>
    <x v="4"/>
    <n v="5"/>
    <n v="0"/>
    <n v="0"/>
  </r>
  <r>
    <x v="0"/>
    <x v="12"/>
    <x v="182"/>
    <x v="0"/>
    <x v="5"/>
    <n v="6"/>
    <n v="7.6"/>
    <n v="19000"/>
  </r>
  <r>
    <x v="0"/>
    <x v="12"/>
    <x v="182"/>
    <x v="0"/>
    <x v="6"/>
    <n v="7"/>
    <n v="0"/>
    <n v="0"/>
  </r>
  <r>
    <x v="0"/>
    <x v="12"/>
    <x v="183"/>
    <x v="0"/>
    <x v="0"/>
    <n v="1"/>
    <n v="0"/>
    <n v="0"/>
  </r>
  <r>
    <x v="0"/>
    <x v="12"/>
    <x v="183"/>
    <x v="0"/>
    <x v="1"/>
    <n v="2"/>
    <n v="0"/>
    <n v="0"/>
  </r>
  <r>
    <x v="0"/>
    <x v="12"/>
    <x v="183"/>
    <x v="0"/>
    <x v="2"/>
    <n v="3"/>
    <n v="2.4"/>
    <n v="6000"/>
  </r>
  <r>
    <x v="0"/>
    <x v="12"/>
    <x v="183"/>
    <x v="0"/>
    <x v="3"/>
    <n v="4"/>
    <n v="3.2"/>
    <n v="8000"/>
  </r>
  <r>
    <x v="0"/>
    <x v="12"/>
    <x v="183"/>
    <x v="0"/>
    <x v="4"/>
    <n v="5"/>
    <n v="0"/>
    <n v="0"/>
  </r>
  <r>
    <x v="0"/>
    <x v="12"/>
    <x v="183"/>
    <x v="0"/>
    <x v="5"/>
    <n v="6"/>
    <n v="5.6"/>
    <n v="14000"/>
  </r>
  <r>
    <x v="0"/>
    <x v="12"/>
    <x v="183"/>
    <x v="0"/>
    <x v="6"/>
    <n v="7"/>
    <n v="0"/>
    <n v="0"/>
  </r>
  <r>
    <x v="0"/>
    <x v="12"/>
    <x v="184"/>
    <x v="0"/>
    <x v="0"/>
    <n v="1"/>
    <n v="0"/>
    <n v="0"/>
  </r>
  <r>
    <x v="0"/>
    <x v="12"/>
    <x v="184"/>
    <x v="0"/>
    <x v="1"/>
    <n v="2"/>
    <n v="0"/>
    <n v="0"/>
  </r>
  <r>
    <x v="0"/>
    <x v="12"/>
    <x v="184"/>
    <x v="0"/>
    <x v="2"/>
    <n v="3"/>
    <n v="3.2"/>
    <n v="8000"/>
  </r>
  <r>
    <x v="0"/>
    <x v="12"/>
    <x v="184"/>
    <x v="0"/>
    <x v="3"/>
    <n v="4"/>
    <n v="4.8"/>
    <n v="12000"/>
  </r>
  <r>
    <x v="0"/>
    <x v="12"/>
    <x v="184"/>
    <x v="0"/>
    <x v="4"/>
    <n v="5"/>
    <n v="0"/>
    <n v="0"/>
  </r>
  <r>
    <x v="0"/>
    <x v="12"/>
    <x v="184"/>
    <x v="0"/>
    <x v="5"/>
    <n v="6"/>
    <n v="8"/>
    <n v="20000"/>
  </r>
  <r>
    <x v="0"/>
    <x v="12"/>
    <x v="184"/>
    <x v="0"/>
    <x v="6"/>
    <n v="7"/>
    <n v="0"/>
    <n v="0"/>
  </r>
  <r>
    <x v="0"/>
    <x v="12"/>
    <x v="185"/>
    <x v="0"/>
    <x v="0"/>
    <n v="1"/>
    <n v="0"/>
    <n v="0"/>
  </r>
  <r>
    <x v="0"/>
    <x v="12"/>
    <x v="185"/>
    <x v="0"/>
    <x v="1"/>
    <n v="2"/>
    <n v="0"/>
    <n v="0"/>
  </r>
  <r>
    <x v="0"/>
    <x v="12"/>
    <x v="185"/>
    <x v="0"/>
    <x v="2"/>
    <n v="3"/>
    <n v="4.4000000000000004"/>
    <n v="11000"/>
  </r>
  <r>
    <x v="0"/>
    <x v="12"/>
    <x v="185"/>
    <x v="0"/>
    <x v="3"/>
    <n v="4"/>
    <n v="2.8"/>
    <n v="7000"/>
  </r>
  <r>
    <x v="0"/>
    <x v="12"/>
    <x v="185"/>
    <x v="0"/>
    <x v="4"/>
    <n v="5"/>
    <n v="0"/>
    <n v="0"/>
  </r>
  <r>
    <x v="0"/>
    <x v="12"/>
    <x v="185"/>
    <x v="0"/>
    <x v="5"/>
    <n v="6"/>
    <n v="7.6"/>
    <n v="19000"/>
  </r>
  <r>
    <x v="0"/>
    <x v="12"/>
    <x v="185"/>
    <x v="0"/>
    <x v="6"/>
    <n v="7"/>
    <n v="0"/>
    <n v="0"/>
  </r>
  <r>
    <x v="0"/>
    <x v="12"/>
    <x v="186"/>
    <x v="0"/>
    <x v="0"/>
    <n v="1"/>
    <n v="0"/>
    <n v="0"/>
  </r>
  <r>
    <x v="0"/>
    <x v="12"/>
    <x v="186"/>
    <x v="0"/>
    <x v="1"/>
    <n v="2"/>
    <n v="0"/>
    <n v="0"/>
  </r>
  <r>
    <x v="0"/>
    <x v="12"/>
    <x v="186"/>
    <x v="0"/>
    <x v="2"/>
    <n v="3"/>
    <n v="1.6"/>
    <n v="4000"/>
  </r>
  <r>
    <x v="0"/>
    <x v="12"/>
    <x v="186"/>
    <x v="0"/>
    <x v="3"/>
    <n v="4"/>
    <n v="1.6"/>
    <n v="4000"/>
  </r>
  <r>
    <x v="0"/>
    <x v="12"/>
    <x v="186"/>
    <x v="0"/>
    <x v="4"/>
    <n v="5"/>
    <n v="0"/>
    <n v="0"/>
  </r>
  <r>
    <x v="0"/>
    <x v="12"/>
    <x v="186"/>
    <x v="0"/>
    <x v="5"/>
    <n v="6"/>
    <n v="3.2"/>
    <n v="8000"/>
  </r>
  <r>
    <x v="0"/>
    <x v="12"/>
    <x v="186"/>
    <x v="0"/>
    <x v="6"/>
    <n v="7"/>
    <n v="0"/>
    <n v="0"/>
  </r>
  <r>
    <x v="0"/>
    <x v="13"/>
    <x v="187"/>
    <x v="0"/>
    <x v="0"/>
    <n v="1"/>
    <n v="0"/>
    <n v="0"/>
  </r>
  <r>
    <x v="0"/>
    <x v="13"/>
    <x v="187"/>
    <x v="0"/>
    <x v="1"/>
    <n v="2"/>
    <n v="0"/>
    <n v="0"/>
  </r>
  <r>
    <x v="0"/>
    <x v="13"/>
    <x v="187"/>
    <x v="0"/>
    <x v="2"/>
    <n v="3"/>
    <n v="7.6"/>
    <n v="19000"/>
  </r>
  <r>
    <x v="0"/>
    <x v="13"/>
    <x v="187"/>
    <x v="0"/>
    <x v="3"/>
    <n v="4"/>
    <n v="3.6"/>
    <n v="9000"/>
  </r>
  <r>
    <x v="0"/>
    <x v="13"/>
    <x v="187"/>
    <x v="0"/>
    <x v="4"/>
    <n v="5"/>
    <n v="0"/>
    <n v="0"/>
  </r>
  <r>
    <x v="0"/>
    <x v="13"/>
    <x v="187"/>
    <x v="0"/>
    <x v="5"/>
    <n v="6"/>
    <n v="11.2"/>
    <n v="28000"/>
  </r>
  <r>
    <x v="0"/>
    <x v="13"/>
    <x v="187"/>
    <x v="0"/>
    <x v="6"/>
    <n v="7"/>
    <n v="0"/>
    <n v="0"/>
  </r>
  <r>
    <x v="0"/>
    <x v="13"/>
    <x v="188"/>
    <x v="0"/>
    <x v="0"/>
    <n v="1"/>
    <n v="0"/>
    <n v="0"/>
  </r>
  <r>
    <x v="0"/>
    <x v="13"/>
    <x v="188"/>
    <x v="0"/>
    <x v="1"/>
    <n v="2"/>
    <n v="0"/>
    <n v="0"/>
  </r>
  <r>
    <x v="0"/>
    <x v="13"/>
    <x v="188"/>
    <x v="0"/>
    <x v="2"/>
    <n v="3"/>
    <n v="7.6"/>
    <n v="19000"/>
  </r>
  <r>
    <x v="0"/>
    <x v="13"/>
    <x v="188"/>
    <x v="0"/>
    <x v="3"/>
    <n v="4"/>
    <n v="2"/>
    <n v="5000"/>
  </r>
  <r>
    <x v="0"/>
    <x v="13"/>
    <x v="188"/>
    <x v="0"/>
    <x v="4"/>
    <n v="5"/>
    <n v="0"/>
    <n v="0"/>
  </r>
  <r>
    <x v="0"/>
    <x v="13"/>
    <x v="188"/>
    <x v="0"/>
    <x v="5"/>
    <n v="6"/>
    <n v="9.6"/>
    <n v="24000"/>
  </r>
  <r>
    <x v="0"/>
    <x v="13"/>
    <x v="188"/>
    <x v="0"/>
    <x v="6"/>
    <n v="7"/>
    <n v="0"/>
    <n v="0"/>
  </r>
  <r>
    <x v="0"/>
    <x v="13"/>
    <x v="189"/>
    <x v="0"/>
    <x v="0"/>
    <n v="1"/>
    <n v="0"/>
    <n v="0"/>
  </r>
  <r>
    <x v="0"/>
    <x v="13"/>
    <x v="189"/>
    <x v="0"/>
    <x v="1"/>
    <n v="2"/>
    <n v="0"/>
    <n v="0"/>
  </r>
  <r>
    <x v="0"/>
    <x v="13"/>
    <x v="189"/>
    <x v="0"/>
    <x v="2"/>
    <n v="3"/>
    <n v="6.4"/>
    <n v="16000"/>
  </r>
  <r>
    <x v="0"/>
    <x v="13"/>
    <x v="189"/>
    <x v="0"/>
    <x v="3"/>
    <n v="4"/>
    <n v="8"/>
    <n v="20000"/>
  </r>
  <r>
    <x v="0"/>
    <x v="13"/>
    <x v="189"/>
    <x v="0"/>
    <x v="4"/>
    <n v="5"/>
    <n v="0"/>
    <n v="0"/>
  </r>
  <r>
    <x v="0"/>
    <x v="13"/>
    <x v="189"/>
    <x v="0"/>
    <x v="5"/>
    <n v="6"/>
    <n v="14"/>
    <n v="35000"/>
  </r>
  <r>
    <x v="0"/>
    <x v="13"/>
    <x v="189"/>
    <x v="0"/>
    <x v="6"/>
    <n v="7"/>
    <n v="0"/>
    <n v="0"/>
  </r>
  <r>
    <x v="0"/>
    <x v="13"/>
    <x v="190"/>
    <x v="0"/>
    <x v="0"/>
    <n v="1"/>
    <n v="0"/>
    <n v="0"/>
  </r>
  <r>
    <x v="0"/>
    <x v="13"/>
    <x v="190"/>
    <x v="0"/>
    <x v="1"/>
    <n v="2"/>
    <n v="0"/>
    <n v="0"/>
  </r>
  <r>
    <x v="0"/>
    <x v="13"/>
    <x v="190"/>
    <x v="0"/>
    <x v="2"/>
    <n v="3"/>
    <n v="3.6"/>
    <n v="9000"/>
  </r>
  <r>
    <x v="0"/>
    <x v="13"/>
    <x v="190"/>
    <x v="0"/>
    <x v="3"/>
    <n v="4"/>
    <n v="1.2"/>
    <n v="3000"/>
  </r>
  <r>
    <x v="0"/>
    <x v="13"/>
    <x v="190"/>
    <x v="0"/>
    <x v="4"/>
    <n v="5"/>
    <n v="0"/>
    <n v="0"/>
  </r>
  <r>
    <x v="0"/>
    <x v="13"/>
    <x v="190"/>
    <x v="0"/>
    <x v="5"/>
    <n v="6"/>
    <n v="4.8"/>
    <n v="12000"/>
  </r>
  <r>
    <x v="0"/>
    <x v="13"/>
    <x v="190"/>
    <x v="0"/>
    <x v="6"/>
    <n v="7"/>
    <n v="0"/>
    <n v="0"/>
  </r>
  <r>
    <x v="0"/>
    <x v="13"/>
    <x v="191"/>
    <x v="0"/>
    <x v="0"/>
    <n v="1"/>
    <n v="0"/>
    <n v="0"/>
  </r>
  <r>
    <x v="0"/>
    <x v="13"/>
    <x v="191"/>
    <x v="0"/>
    <x v="1"/>
    <n v="2"/>
    <n v="0"/>
    <n v="0"/>
  </r>
  <r>
    <x v="0"/>
    <x v="13"/>
    <x v="191"/>
    <x v="0"/>
    <x v="2"/>
    <n v="3"/>
    <n v="6"/>
    <n v="15000"/>
  </r>
  <r>
    <x v="0"/>
    <x v="13"/>
    <x v="191"/>
    <x v="0"/>
    <x v="3"/>
    <n v="4"/>
    <n v="0"/>
    <n v="0"/>
  </r>
  <r>
    <x v="0"/>
    <x v="13"/>
    <x v="191"/>
    <x v="0"/>
    <x v="4"/>
    <n v="5"/>
    <n v="0"/>
    <n v="0"/>
  </r>
  <r>
    <x v="0"/>
    <x v="13"/>
    <x v="191"/>
    <x v="0"/>
    <x v="5"/>
    <n v="6"/>
    <n v="6"/>
    <n v="15000"/>
  </r>
  <r>
    <x v="0"/>
    <x v="13"/>
    <x v="191"/>
    <x v="0"/>
    <x v="6"/>
    <n v="7"/>
    <n v="0"/>
    <n v="0"/>
  </r>
  <r>
    <x v="0"/>
    <x v="13"/>
    <x v="192"/>
    <x v="0"/>
    <x v="0"/>
    <n v="1"/>
    <n v="0"/>
    <n v="0"/>
  </r>
  <r>
    <x v="0"/>
    <x v="13"/>
    <x v="192"/>
    <x v="0"/>
    <x v="1"/>
    <n v="2"/>
    <n v="0"/>
    <n v="0"/>
  </r>
  <r>
    <x v="0"/>
    <x v="13"/>
    <x v="192"/>
    <x v="0"/>
    <x v="2"/>
    <n v="3"/>
    <n v="2.8"/>
    <n v="7000"/>
  </r>
  <r>
    <x v="0"/>
    <x v="13"/>
    <x v="192"/>
    <x v="0"/>
    <x v="3"/>
    <n v="4"/>
    <n v="1.2"/>
    <n v="3000"/>
  </r>
  <r>
    <x v="0"/>
    <x v="13"/>
    <x v="192"/>
    <x v="0"/>
    <x v="4"/>
    <n v="5"/>
    <n v="0"/>
    <n v="0"/>
  </r>
  <r>
    <x v="0"/>
    <x v="13"/>
    <x v="192"/>
    <x v="0"/>
    <x v="5"/>
    <n v="6"/>
    <n v="4"/>
    <n v="10000"/>
  </r>
  <r>
    <x v="0"/>
    <x v="13"/>
    <x v="192"/>
    <x v="0"/>
    <x v="6"/>
    <n v="7"/>
    <n v="0"/>
    <n v="0"/>
  </r>
  <r>
    <x v="0"/>
    <x v="13"/>
    <x v="193"/>
    <x v="0"/>
    <x v="0"/>
    <n v="1"/>
    <n v="0"/>
    <n v="0"/>
  </r>
  <r>
    <x v="0"/>
    <x v="13"/>
    <x v="193"/>
    <x v="0"/>
    <x v="1"/>
    <n v="2"/>
    <n v="0"/>
    <n v="0"/>
  </r>
  <r>
    <x v="0"/>
    <x v="13"/>
    <x v="193"/>
    <x v="0"/>
    <x v="2"/>
    <n v="3"/>
    <n v="7.6"/>
    <n v="19000"/>
  </r>
  <r>
    <x v="0"/>
    <x v="13"/>
    <x v="193"/>
    <x v="0"/>
    <x v="3"/>
    <n v="4"/>
    <n v="2.4"/>
    <n v="6000"/>
  </r>
  <r>
    <x v="0"/>
    <x v="13"/>
    <x v="193"/>
    <x v="0"/>
    <x v="4"/>
    <n v="5"/>
    <n v="0"/>
    <n v="0"/>
  </r>
  <r>
    <x v="0"/>
    <x v="13"/>
    <x v="193"/>
    <x v="0"/>
    <x v="5"/>
    <n v="6"/>
    <n v="10"/>
    <n v="25000"/>
  </r>
  <r>
    <x v="0"/>
    <x v="13"/>
    <x v="193"/>
    <x v="0"/>
    <x v="6"/>
    <n v="7"/>
    <n v="0"/>
    <n v="0"/>
  </r>
  <r>
    <x v="0"/>
    <x v="13"/>
    <x v="194"/>
    <x v="0"/>
    <x v="0"/>
    <n v="1"/>
    <n v="0"/>
    <n v="0"/>
  </r>
  <r>
    <x v="0"/>
    <x v="13"/>
    <x v="194"/>
    <x v="0"/>
    <x v="1"/>
    <n v="2"/>
    <n v="0"/>
    <n v="0"/>
  </r>
  <r>
    <x v="0"/>
    <x v="13"/>
    <x v="194"/>
    <x v="0"/>
    <x v="2"/>
    <n v="3"/>
    <n v="2"/>
    <n v="5000"/>
  </r>
  <r>
    <x v="0"/>
    <x v="13"/>
    <x v="194"/>
    <x v="0"/>
    <x v="3"/>
    <n v="4"/>
    <n v="0.4"/>
    <n v="1000"/>
  </r>
  <r>
    <x v="0"/>
    <x v="13"/>
    <x v="194"/>
    <x v="0"/>
    <x v="4"/>
    <n v="5"/>
    <n v="0"/>
    <n v="0"/>
  </r>
  <r>
    <x v="0"/>
    <x v="13"/>
    <x v="194"/>
    <x v="0"/>
    <x v="5"/>
    <n v="6"/>
    <n v="2.4"/>
    <n v="6000"/>
  </r>
  <r>
    <x v="0"/>
    <x v="13"/>
    <x v="194"/>
    <x v="0"/>
    <x v="6"/>
    <n v="7"/>
    <n v="0"/>
    <n v="0"/>
  </r>
  <r>
    <x v="0"/>
    <x v="13"/>
    <x v="195"/>
    <x v="0"/>
    <x v="0"/>
    <n v="1"/>
    <n v="0"/>
    <n v="0"/>
  </r>
  <r>
    <x v="0"/>
    <x v="13"/>
    <x v="195"/>
    <x v="0"/>
    <x v="1"/>
    <n v="2"/>
    <n v="0"/>
    <n v="0"/>
  </r>
  <r>
    <x v="0"/>
    <x v="13"/>
    <x v="195"/>
    <x v="0"/>
    <x v="2"/>
    <n v="3"/>
    <n v="5.6"/>
    <n v="14000"/>
  </r>
  <r>
    <x v="0"/>
    <x v="13"/>
    <x v="195"/>
    <x v="0"/>
    <x v="3"/>
    <n v="4"/>
    <n v="2"/>
    <n v="5000"/>
  </r>
  <r>
    <x v="0"/>
    <x v="13"/>
    <x v="195"/>
    <x v="0"/>
    <x v="4"/>
    <n v="5"/>
    <n v="0"/>
    <n v="0"/>
  </r>
  <r>
    <x v="0"/>
    <x v="13"/>
    <x v="195"/>
    <x v="0"/>
    <x v="5"/>
    <n v="6"/>
    <n v="7.6"/>
    <n v="19000"/>
  </r>
  <r>
    <x v="0"/>
    <x v="13"/>
    <x v="195"/>
    <x v="0"/>
    <x v="6"/>
    <n v="7"/>
    <n v="0"/>
    <n v="0"/>
  </r>
  <r>
    <x v="0"/>
    <x v="13"/>
    <x v="196"/>
    <x v="0"/>
    <x v="0"/>
    <n v="1"/>
    <n v="0"/>
    <n v="0"/>
  </r>
  <r>
    <x v="0"/>
    <x v="13"/>
    <x v="196"/>
    <x v="0"/>
    <x v="1"/>
    <n v="2"/>
    <n v="0"/>
    <n v="0"/>
  </r>
  <r>
    <x v="0"/>
    <x v="13"/>
    <x v="196"/>
    <x v="0"/>
    <x v="2"/>
    <n v="3"/>
    <n v="2.4"/>
    <n v="6000"/>
  </r>
  <r>
    <x v="0"/>
    <x v="13"/>
    <x v="196"/>
    <x v="0"/>
    <x v="3"/>
    <n v="4"/>
    <n v="2"/>
    <n v="5000"/>
  </r>
  <r>
    <x v="0"/>
    <x v="13"/>
    <x v="196"/>
    <x v="0"/>
    <x v="4"/>
    <n v="5"/>
    <n v="0"/>
    <n v="0"/>
  </r>
  <r>
    <x v="0"/>
    <x v="13"/>
    <x v="196"/>
    <x v="0"/>
    <x v="5"/>
    <n v="6"/>
    <n v="4.4000000000000004"/>
    <n v="11000"/>
  </r>
  <r>
    <x v="0"/>
    <x v="13"/>
    <x v="196"/>
    <x v="0"/>
    <x v="6"/>
    <n v="7"/>
    <n v="0"/>
    <n v="0"/>
  </r>
  <r>
    <x v="0"/>
    <x v="13"/>
    <x v="197"/>
    <x v="0"/>
    <x v="0"/>
    <n v="1"/>
    <n v="0"/>
    <n v="0"/>
  </r>
  <r>
    <x v="0"/>
    <x v="13"/>
    <x v="197"/>
    <x v="0"/>
    <x v="1"/>
    <n v="2"/>
    <n v="0"/>
    <n v="0"/>
  </r>
  <r>
    <x v="0"/>
    <x v="13"/>
    <x v="197"/>
    <x v="0"/>
    <x v="2"/>
    <n v="3"/>
    <n v="8"/>
    <n v="20000"/>
  </r>
  <r>
    <x v="0"/>
    <x v="13"/>
    <x v="197"/>
    <x v="0"/>
    <x v="3"/>
    <n v="4"/>
    <n v="1.2"/>
    <n v="3000"/>
  </r>
  <r>
    <x v="0"/>
    <x v="13"/>
    <x v="197"/>
    <x v="0"/>
    <x v="4"/>
    <n v="5"/>
    <n v="0"/>
    <n v="0"/>
  </r>
  <r>
    <x v="0"/>
    <x v="13"/>
    <x v="197"/>
    <x v="0"/>
    <x v="5"/>
    <n v="6"/>
    <n v="9.1999999999999993"/>
    <n v="23000"/>
  </r>
  <r>
    <x v="0"/>
    <x v="13"/>
    <x v="197"/>
    <x v="0"/>
    <x v="6"/>
    <n v="7"/>
    <n v="0"/>
    <n v="0"/>
  </r>
  <r>
    <x v="0"/>
    <x v="13"/>
    <x v="198"/>
    <x v="0"/>
    <x v="0"/>
    <n v="1"/>
    <n v="0"/>
    <n v="0"/>
  </r>
  <r>
    <x v="0"/>
    <x v="13"/>
    <x v="198"/>
    <x v="0"/>
    <x v="1"/>
    <n v="2"/>
    <n v="0"/>
    <n v="0"/>
  </r>
  <r>
    <x v="0"/>
    <x v="13"/>
    <x v="198"/>
    <x v="0"/>
    <x v="2"/>
    <n v="3"/>
    <n v="6.4"/>
    <n v="16000"/>
  </r>
  <r>
    <x v="0"/>
    <x v="13"/>
    <x v="198"/>
    <x v="0"/>
    <x v="3"/>
    <n v="4"/>
    <n v="0"/>
    <n v="0"/>
  </r>
  <r>
    <x v="0"/>
    <x v="13"/>
    <x v="198"/>
    <x v="0"/>
    <x v="4"/>
    <n v="5"/>
    <n v="0"/>
    <n v="0"/>
  </r>
  <r>
    <x v="0"/>
    <x v="13"/>
    <x v="198"/>
    <x v="0"/>
    <x v="5"/>
    <n v="6"/>
    <n v="7.2"/>
    <n v="18000"/>
  </r>
  <r>
    <x v="0"/>
    <x v="13"/>
    <x v="198"/>
    <x v="0"/>
    <x v="6"/>
    <n v="7"/>
    <n v="0"/>
    <n v="0"/>
  </r>
  <r>
    <x v="0"/>
    <x v="13"/>
    <x v="199"/>
    <x v="0"/>
    <x v="0"/>
    <n v="1"/>
    <n v="0"/>
    <n v="0"/>
  </r>
  <r>
    <x v="0"/>
    <x v="13"/>
    <x v="199"/>
    <x v="0"/>
    <x v="1"/>
    <n v="2"/>
    <n v="0"/>
    <n v="0"/>
  </r>
  <r>
    <x v="0"/>
    <x v="13"/>
    <x v="199"/>
    <x v="0"/>
    <x v="2"/>
    <n v="3"/>
    <n v="9.1999999999999993"/>
    <n v="23000"/>
  </r>
  <r>
    <x v="0"/>
    <x v="13"/>
    <x v="199"/>
    <x v="0"/>
    <x v="3"/>
    <n v="4"/>
    <n v="1.2"/>
    <n v="3000"/>
  </r>
  <r>
    <x v="0"/>
    <x v="13"/>
    <x v="199"/>
    <x v="0"/>
    <x v="4"/>
    <n v="5"/>
    <n v="0"/>
    <n v="0"/>
  </r>
  <r>
    <x v="0"/>
    <x v="13"/>
    <x v="199"/>
    <x v="0"/>
    <x v="5"/>
    <n v="6"/>
    <n v="10.4"/>
    <n v="26000"/>
  </r>
  <r>
    <x v="0"/>
    <x v="13"/>
    <x v="199"/>
    <x v="0"/>
    <x v="6"/>
    <n v="7"/>
    <n v="0"/>
    <n v="0"/>
  </r>
  <r>
    <x v="0"/>
    <x v="13"/>
    <x v="200"/>
    <x v="0"/>
    <x v="0"/>
    <n v="1"/>
    <n v="0"/>
    <n v="0"/>
  </r>
  <r>
    <x v="0"/>
    <x v="13"/>
    <x v="200"/>
    <x v="0"/>
    <x v="1"/>
    <n v="2"/>
    <n v="0"/>
    <n v="0"/>
  </r>
  <r>
    <x v="0"/>
    <x v="13"/>
    <x v="200"/>
    <x v="0"/>
    <x v="2"/>
    <n v="3"/>
    <n v="5.6"/>
    <n v="14000"/>
  </r>
  <r>
    <x v="0"/>
    <x v="13"/>
    <x v="200"/>
    <x v="0"/>
    <x v="3"/>
    <n v="4"/>
    <n v="0"/>
    <n v="0"/>
  </r>
  <r>
    <x v="0"/>
    <x v="13"/>
    <x v="200"/>
    <x v="0"/>
    <x v="4"/>
    <n v="5"/>
    <n v="0"/>
    <n v="0"/>
  </r>
  <r>
    <x v="0"/>
    <x v="13"/>
    <x v="200"/>
    <x v="0"/>
    <x v="5"/>
    <n v="6"/>
    <n v="5.6"/>
    <n v="14000"/>
  </r>
  <r>
    <x v="0"/>
    <x v="13"/>
    <x v="200"/>
    <x v="0"/>
    <x v="6"/>
    <n v="7"/>
    <n v="0"/>
    <n v="0"/>
  </r>
  <r>
    <x v="0"/>
    <x v="13"/>
    <x v="201"/>
    <x v="0"/>
    <x v="0"/>
    <n v="1"/>
    <n v="0"/>
    <n v="0"/>
  </r>
  <r>
    <x v="0"/>
    <x v="13"/>
    <x v="201"/>
    <x v="0"/>
    <x v="1"/>
    <n v="2"/>
    <n v="0"/>
    <n v="0"/>
  </r>
  <r>
    <x v="0"/>
    <x v="13"/>
    <x v="201"/>
    <x v="0"/>
    <x v="2"/>
    <n v="3"/>
    <n v="2.4"/>
    <n v="6000"/>
  </r>
  <r>
    <x v="0"/>
    <x v="13"/>
    <x v="201"/>
    <x v="0"/>
    <x v="3"/>
    <n v="4"/>
    <n v="0"/>
    <n v="0"/>
  </r>
  <r>
    <x v="0"/>
    <x v="13"/>
    <x v="201"/>
    <x v="0"/>
    <x v="4"/>
    <n v="5"/>
    <n v="0"/>
    <n v="0"/>
  </r>
  <r>
    <x v="0"/>
    <x v="13"/>
    <x v="201"/>
    <x v="0"/>
    <x v="5"/>
    <n v="6"/>
    <n v="2.4"/>
    <n v="6000"/>
  </r>
  <r>
    <x v="0"/>
    <x v="13"/>
    <x v="201"/>
    <x v="0"/>
    <x v="6"/>
    <n v="7"/>
    <n v="0"/>
    <n v="0"/>
  </r>
  <r>
    <x v="0"/>
    <x v="13"/>
    <x v="202"/>
    <x v="0"/>
    <x v="0"/>
    <n v="1"/>
    <n v="0"/>
    <n v="0"/>
  </r>
  <r>
    <x v="0"/>
    <x v="13"/>
    <x v="202"/>
    <x v="0"/>
    <x v="1"/>
    <n v="2"/>
    <n v="0"/>
    <n v="0"/>
  </r>
  <r>
    <x v="0"/>
    <x v="13"/>
    <x v="202"/>
    <x v="0"/>
    <x v="2"/>
    <n v="3"/>
    <n v="2.4"/>
    <n v="6000"/>
  </r>
  <r>
    <x v="0"/>
    <x v="13"/>
    <x v="202"/>
    <x v="0"/>
    <x v="3"/>
    <n v="4"/>
    <n v="0"/>
    <n v="0"/>
  </r>
  <r>
    <x v="0"/>
    <x v="13"/>
    <x v="202"/>
    <x v="0"/>
    <x v="4"/>
    <n v="5"/>
    <n v="0"/>
    <n v="0"/>
  </r>
  <r>
    <x v="0"/>
    <x v="13"/>
    <x v="202"/>
    <x v="0"/>
    <x v="5"/>
    <n v="6"/>
    <n v="2.4"/>
    <n v="6000"/>
  </r>
  <r>
    <x v="0"/>
    <x v="13"/>
    <x v="202"/>
    <x v="0"/>
    <x v="6"/>
    <n v="7"/>
    <n v="0"/>
    <n v="0"/>
  </r>
  <r>
    <x v="0"/>
    <x v="13"/>
    <x v="203"/>
    <x v="0"/>
    <x v="0"/>
    <n v="1"/>
    <n v="0"/>
    <n v="0"/>
  </r>
  <r>
    <x v="0"/>
    <x v="13"/>
    <x v="203"/>
    <x v="0"/>
    <x v="1"/>
    <n v="2"/>
    <n v="0"/>
    <n v="0"/>
  </r>
  <r>
    <x v="0"/>
    <x v="13"/>
    <x v="203"/>
    <x v="0"/>
    <x v="2"/>
    <n v="3"/>
    <n v="4.8"/>
    <n v="12000"/>
  </r>
  <r>
    <x v="0"/>
    <x v="13"/>
    <x v="203"/>
    <x v="0"/>
    <x v="3"/>
    <n v="4"/>
    <n v="2.8"/>
    <n v="7000"/>
  </r>
  <r>
    <x v="0"/>
    <x v="13"/>
    <x v="203"/>
    <x v="0"/>
    <x v="4"/>
    <n v="5"/>
    <n v="0"/>
    <n v="0"/>
  </r>
  <r>
    <x v="0"/>
    <x v="13"/>
    <x v="203"/>
    <x v="0"/>
    <x v="5"/>
    <n v="6"/>
    <n v="7.6"/>
    <n v="19000"/>
  </r>
  <r>
    <x v="0"/>
    <x v="13"/>
    <x v="203"/>
    <x v="0"/>
    <x v="6"/>
    <n v="7"/>
    <n v="0"/>
    <n v="0"/>
  </r>
  <r>
    <x v="0"/>
    <x v="13"/>
    <x v="204"/>
    <x v="0"/>
    <x v="0"/>
    <n v="1"/>
    <n v="0"/>
    <n v="0"/>
  </r>
  <r>
    <x v="0"/>
    <x v="13"/>
    <x v="204"/>
    <x v="0"/>
    <x v="1"/>
    <n v="2"/>
    <n v="0"/>
    <n v="0"/>
  </r>
  <r>
    <x v="0"/>
    <x v="13"/>
    <x v="204"/>
    <x v="0"/>
    <x v="2"/>
    <n v="3"/>
    <n v="0.8"/>
    <n v="2000"/>
  </r>
  <r>
    <x v="0"/>
    <x v="13"/>
    <x v="204"/>
    <x v="0"/>
    <x v="3"/>
    <n v="4"/>
    <n v="0"/>
    <n v="0"/>
  </r>
  <r>
    <x v="0"/>
    <x v="13"/>
    <x v="204"/>
    <x v="0"/>
    <x v="4"/>
    <n v="5"/>
    <n v="0"/>
    <n v="0"/>
  </r>
  <r>
    <x v="0"/>
    <x v="13"/>
    <x v="204"/>
    <x v="0"/>
    <x v="5"/>
    <n v="6"/>
    <n v="0.8"/>
    <n v="2000"/>
  </r>
  <r>
    <x v="0"/>
    <x v="13"/>
    <x v="204"/>
    <x v="0"/>
    <x v="6"/>
    <n v="7"/>
    <n v="0"/>
    <n v="0"/>
  </r>
  <r>
    <x v="0"/>
    <x v="13"/>
    <x v="205"/>
    <x v="0"/>
    <x v="0"/>
    <n v="1"/>
    <n v="0"/>
    <n v="0"/>
  </r>
  <r>
    <x v="0"/>
    <x v="13"/>
    <x v="205"/>
    <x v="0"/>
    <x v="1"/>
    <n v="2"/>
    <n v="0"/>
    <n v="0"/>
  </r>
  <r>
    <x v="0"/>
    <x v="13"/>
    <x v="205"/>
    <x v="0"/>
    <x v="2"/>
    <n v="3"/>
    <n v="8.8000000000000007"/>
    <n v="22000"/>
  </r>
  <r>
    <x v="0"/>
    <x v="13"/>
    <x v="205"/>
    <x v="0"/>
    <x v="3"/>
    <n v="4"/>
    <n v="2"/>
    <n v="5000"/>
  </r>
  <r>
    <x v="0"/>
    <x v="13"/>
    <x v="205"/>
    <x v="0"/>
    <x v="4"/>
    <n v="5"/>
    <n v="0"/>
    <n v="0"/>
  </r>
  <r>
    <x v="0"/>
    <x v="13"/>
    <x v="205"/>
    <x v="0"/>
    <x v="5"/>
    <n v="6"/>
    <n v="10"/>
    <n v="25000"/>
  </r>
  <r>
    <x v="0"/>
    <x v="13"/>
    <x v="205"/>
    <x v="0"/>
    <x v="6"/>
    <n v="7"/>
    <n v="0"/>
    <n v="0"/>
  </r>
  <r>
    <x v="0"/>
    <x v="13"/>
    <x v="206"/>
    <x v="0"/>
    <x v="0"/>
    <n v="1"/>
    <n v="0"/>
    <n v="0"/>
  </r>
  <r>
    <x v="0"/>
    <x v="13"/>
    <x v="206"/>
    <x v="0"/>
    <x v="1"/>
    <n v="2"/>
    <n v="0"/>
    <n v="0"/>
  </r>
  <r>
    <x v="0"/>
    <x v="13"/>
    <x v="206"/>
    <x v="0"/>
    <x v="2"/>
    <n v="3"/>
    <n v="2"/>
    <n v="5000"/>
  </r>
  <r>
    <x v="0"/>
    <x v="13"/>
    <x v="206"/>
    <x v="0"/>
    <x v="3"/>
    <n v="4"/>
    <n v="0"/>
    <n v="0"/>
  </r>
  <r>
    <x v="0"/>
    <x v="13"/>
    <x v="206"/>
    <x v="0"/>
    <x v="4"/>
    <n v="5"/>
    <n v="0"/>
    <n v="0"/>
  </r>
  <r>
    <x v="0"/>
    <x v="13"/>
    <x v="206"/>
    <x v="0"/>
    <x v="5"/>
    <n v="6"/>
    <n v="2.4"/>
    <n v="6000"/>
  </r>
  <r>
    <x v="0"/>
    <x v="13"/>
    <x v="206"/>
    <x v="0"/>
    <x v="6"/>
    <n v="7"/>
    <n v="0"/>
    <n v="0"/>
  </r>
  <r>
    <x v="0"/>
    <x v="13"/>
    <x v="207"/>
    <x v="0"/>
    <x v="0"/>
    <n v="1"/>
    <n v="0"/>
    <n v="0"/>
  </r>
  <r>
    <x v="0"/>
    <x v="13"/>
    <x v="207"/>
    <x v="0"/>
    <x v="1"/>
    <n v="2"/>
    <n v="0"/>
    <n v="0"/>
  </r>
  <r>
    <x v="0"/>
    <x v="13"/>
    <x v="207"/>
    <x v="0"/>
    <x v="2"/>
    <n v="3"/>
    <n v="4"/>
    <n v="10000"/>
  </r>
  <r>
    <x v="0"/>
    <x v="13"/>
    <x v="207"/>
    <x v="0"/>
    <x v="3"/>
    <n v="4"/>
    <n v="0.4"/>
    <n v="1000"/>
  </r>
  <r>
    <x v="0"/>
    <x v="13"/>
    <x v="207"/>
    <x v="0"/>
    <x v="4"/>
    <n v="5"/>
    <n v="0"/>
    <n v="0"/>
  </r>
  <r>
    <x v="0"/>
    <x v="13"/>
    <x v="207"/>
    <x v="0"/>
    <x v="5"/>
    <n v="6"/>
    <n v="5.6"/>
    <n v="14000"/>
  </r>
  <r>
    <x v="0"/>
    <x v="13"/>
    <x v="207"/>
    <x v="0"/>
    <x v="6"/>
    <n v="7"/>
    <n v="0"/>
    <n v="0"/>
  </r>
  <r>
    <x v="0"/>
    <x v="14"/>
    <x v="208"/>
    <x v="0"/>
    <x v="0"/>
    <n v="1"/>
    <n v="0"/>
    <n v="0"/>
  </r>
  <r>
    <x v="0"/>
    <x v="14"/>
    <x v="208"/>
    <x v="0"/>
    <x v="1"/>
    <n v="2"/>
    <n v="0"/>
    <n v="0"/>
  </r>
  <r>
    <x v="0"/>
    <x v="14"/>
    <x v="208"/>
    <x v="0"/>
    <x v="2"/>
    <n v="3"/>
    <n v="7.2"/>
    <n v="18000"/>
  </r>
  <r>
    <x v="0"/>
    <x v="14"/>
    <x v="208"/>
    <x v="0"/>
    <x v="3"/>
    <n v="4"/>
    <n v="1.2"/>
    <n v="3000"/>
  </r>
  <r>
    <x v="0"/>
    <x v="14"/>
    <x v="208"/>
    <x v="0"/>
    <x v="4"/>
    <n v="5"/>
    <n v="0"/>
    <n v="0"/>
  </r>
  <r>
    <x v="0"/>
    <x v="14"/>
    <x v="208"/>
    <x v="0"/>
    <x v="5"/>
    <n v="6"/>
    <n v="8.4"/>
    <n v="21000"/>
  </r>
  <r>
    <x v="0"/>
    <x v="14"/>
    <x v="208"/>
    <x v="0"/>
    <x v="6"/>
    <n v="7"/>
    <n v="0"/>
    <n v="0"/>
  </r>
  <r>
    <x v="0"/>
    <x v="14"/>
    <x v="209"/>
    <x v="0"/>
    <x v="0"/>
    <n v="1"/>
    <n v="0"/>
    <n v="0"/>
  </r>
  <r>
    <x v="0"/>
    <x v="14"/>
    <x v="209"/>
    <x v="0"/>
    <x v="1"/>
    <n v="2"/>
    <n v="0"/>
    <n v="0"/>
  </r>
  <r>
    <x v="0"/>
    <x v="14"/>
    <x v="209"/>
    <x v="0"/>
    <x v="2"/>
    <n v="3"/>
    <n v="4.8"/>
    <n v="12000"/>
  </r>
  <r>
    <x v="0"/>
    <x v="14"/>
    <x v="209"/>
    <x v="0"/>
    <x v="3"/>
    <n v="4"/>
    <n v="1.2"/>
    <n v="3000"/>
  </r>
  <r>
    <x v="0"/>
    <x v="14"/>
    <x v="209"/>
    <x v="0"/>
    <x v="4"/>
    <n v="5"/>
    <n v="0"/>
    <n v="0"/>
  </r>
  <r>
    <x v="0"/>
    <x v="14"/>
    <x v="209"/>
    <x v="0"/>
    <x v="5"/>
    <n v="6"/>
    <n v="6.4"/>
    <n v="16000"/>
  </r>
  <r>
    <x v="0"/>
    <x v="14"/>
    <x v="209"/>
    <x v="0"/>
    <x v="6"/>
    <n v="7"/>
    <n v="0"/>
    <n v="0"/>
  </r>
  <r>
    <x v="0"/>
    <x v="14"/>
    <x v="210"/>
    <x v="0"/>
    <x v="0"/>
    <n v="1"/>
    <n v="0"/>
    <n v="0"/>
  </r>
  <r>
    <x v="0"/>
    <x v="14"/>
    <x v="210"/>
    <x v="0"/>
    <x v="1"/>
    <n v="2"/>
    <n v="0"/>
    <n v="0"/>
  </r>
  <r>
    <x v="0"/>
    <x v="14"/>
    <x v="210"/>
    <x v="0"/>
    <x v="2"/>
    <n v="3"/>
    <n v="7.2"/>
    <n v="18000"/>
  </r>
  <r>
    <x v="0"/>
    <x v="14"/>
    <x v="210"/>
    <x v="0"/>
    <x v="3"/>
    <n v="4"/>
    <n v="3.2"/>
    <n v="8000"/>
  </r>
  <r>
    <x v="0"/>
    <x v="14"/>
    <x v="210"/>
    <x v="0"/>
    <x v="4"/>
    <n v="5"/>
    <n v="0"/>
    <n v="0"/>
  </r>
  <r>
    <x v="0"/>
    <x v="14"/>
    <x v="210"/>
    <x v="0"/>
    <x v="5"/>
    <n v="6"/>
    <n v="10.4"/>
    <n v="26000"/>
  </r>
  <r>
    <x v="0"/>
    <x v="14"/>
    <x v="210"/>
    <x v="0"/>
    <x v="6"/>
    <n v="7"/>
    <n v="0"/>
    <n v="0"/>
  </r>
  <r>
    <x v="0"/>
    <x v="14"/>
    <x v="211"/>
    <x v="0"/>
    <x v="0"/>
    <n v="1"/>
    <n v="0"/>
    <n v="0"/>
  </r>
  <r>
    <x v="0"/>
    <x v="14"/>
    <x v="211"/>
    <x v="0"/>
    <x v="1"/>
    <n v="2"/>
    <n v="0"/>
    <n v="0"/>
  </r>
  <r>
    <x v="0"/>
    <x v="14"/>
    <x v="211"/>
    <x v="0"/>
    <x v="2"/>
    <n v="3"/>
    <n v="1.6"/>
    <n v="4000"/>
  </r>
  <r>
    <x v="0"/>
    <x v="14"/>
    <x v="211"/>
    <x v="0"/>
    <x v="3"/>
    <n v="4"/>
    <n v="0.8"/>
    <n v="2000"/>
  </r>
  <r>
    <x v="0"/>
    <x v="14"/>
    <x v="211"/>
    <x v="0"/>
    <x v="4"/>
    <n v="5"/>
    <n v="0"/>
    <n v="0"/>
  </r>
  <r>
    <x v="0"/>
    <x v="14"/>
    <x v="211"/>
    <x v="0"/>
    <x v="5"/>
    <n v="6"/>
    <n v="3.6"/>
    <n v="9000"/>
  </r>
  <r>
    <x v="0"/>
    <x v="14"/>
    <x v="211"/>
    <x v="0"/>
    <x v="6"/>
    <n v="7"/>
    <n v="0"/>
    <n v="0"/>
  </r>
  <r>
    <x v="0"/>
    <x v="14"/>
    <x v="212"/>
    <x v="0"/>
    <x v="0"/>
    <n v="1"/>
    <n v="0"/>
    <n v="0"/>
  </r>
  <r>
    <x v="0"/>
    <x v="14"/>
    <x v="212"/>
    <x v="0"/>
    <x v="1"/>
    <n v="2"/>
    <n v="0"/>
    <n v="0"/>
  </r>
  <r>
    <x v="0"/>
    <x v="14"/>
    <x v="212"/>
    <x v="0"/>
    <x v="2"/>
    <n v="3"/>
    <n v="6.4"/>
    <n v="16000"/>
  </r>
  <r>
    <x v="0"/>
    <x v="14"/>
    <x v="212"/>
    <x v="0"/>
    <x v="3"/>
    <n v="4"/>
    <n v="0.8"/>
    <n v="2000"/>
  </r>
  <r>
    <x v="0"/>
    <x v="14"/>
    <x v="212"/>
    <x v="0"/>
    <x v="4"/>
    <n v="5"/>
    <n v="0"/>
    <n v="0"/>
  </r>
  <r>
    <x v="0"/>
    <x v="14"/>
    <x v="212"/>
    <x v="0"/>
    <x v="5"/>
    <n v="6"/>
    <n v="7.6"/>
    <n v="19000"/>
  </r>
  <r>
    <x v="0"/>
    <x v="14"/>
    <x v="212"/>
    <x v="0"/>
    <x v="6"/>
    <n v="7"/>
    <n v="0"/>
    <n v="0"/>
  </r>
  <r>
    <x v="0"/>
    <x v="14"/>
    <x v="213"/>
    <x v="0"/>
    <x v="0"/>
    <n v="1"/>
    <n v="0"/>
    <n v="0"/>
  </r>
  <r>
    <x v="0"/>
    <x v="14"/>
    <x v="213"/>
    <x v="0"/>
    <x v="1"/>
    <n v="2"/>
    <n v="0"/>
    <n v="0"/>
  </r>
  <r>
    <x v="0"/>
    <x v="14"/>
    <x v="213"/>
    <x v="0"/>
    <x v="2"/>
    <n v="3"/>
    <n v="5.2"/>
    <n v="13000"/>
  </r>
  <r>
    <x v="0"/>
    <x v="14"/>
    <x v="213"/>
    <x v="0"/>
    <x v="3"/>
    <n v="4"/>
    <n v="0.4"/>
    <n v="1000"/>
  </r>
  <r>
    <x v="0"/>
    <x v="14"/>
    <x v="213"/>
    <x v="0"/>
    <x v="4"/>
    <n v="5"/>
    <n v="0"/>
    <n v="0"/>
  </r>
  <r>
    <x v="0"/>
    <x v="14"/>
    <x v="213"/>
    <x v="0"/>
    <x v="5"/>
    <n v="6"/>
    <n v="5.6"/>
    <n v="14000"/>
  </r>
  <r>
    <x v="0"/>
    <x v="14"/>
    <x v="213"/>
    <x v="0"/>
    <x v="6"/>
    <n v="7"/>
    <n v="0"/>
    <n v="0"/>
  </r>
  <r>
    <x v="0"/>
    <x v="14"/>
    <x v="214"/>
    <x v="0"/>
    <x v="0"/>
    <n v="1"/>
    <n v="0"/>
    <n v="0"/>
  </r>
  <r>
    <x v="0"/>
    <x v="14"/>
    <x v="214"/>
    <x v="0"/>
    <x v="1"/>
    <n v="2"/>
    <n v="0"/>
    <n v="0"/>
  </r>
  <r>
    <x v="0"/>
    <x v="14"/>
    <x v="214"/>
    <x v="0"/>
    <x v="2"/>
    <n v="3"/>
    <n v="4.8"/>
    <n v="12000"/>
  </r>
  <r>
    <x v="0"/>
    <x v="14"/>
    <x v="214"/>
    <x v="0"/>
    <x v="3"/>
    <n v="4"/>
    <n v="2.4"/>
    <n v="6000"/>
  </r>
  <r>
    <x v="0"/>
    <x v="14"/>
    <x v="214"/>
    <x v="0"/>
    <x v="4"/>
    <n v="5"/>
    <n v="0"/>
    <n v="0"/>
  </r>
  <r>
    <x v="0"/>
    <x v="14"/>
    <x v="214"/>
    <x v="0"/>
    <x v="5"/>
    <n v="6"/>
    <n v="7.2"/>
    <n v="18000"/>
  </r>
  <r>
    <x v="0"/>
    <x v="14"/>
    <x v="214"/>
    <x v="0"/>
    <x v="6"/>
    <n v="7"/>
    <n v="0"/>
    <n v="0"/>
  </r>
  <r>
    <x v="0"/>
    <x v="14"/>
    <x v="215"/>
    <x v="0"/>
    <x v="0"/>
    <n v="1"/>
    <n v="0"/>
    <n v="0"/>
  </r>
  <r>
    <x v="0"/>
    <x v="14"/>
    <x v="215"/>
    <x v="0"/>
    <x v="1"/>
    <n v="2"/>
    <n v="0"/>
    <n v="0"/>
  </r>
  <r>
    <x v="0"/>
    <x v="14"/>
    <x v="215"/>
    <x v="0"/>
    <x v="2"/>
    <n v="3"/>
    <n v="3.2"/>
    <n v="8000"/>
  </r>
  <r>
    <x v="0"/>
    <x v="14"/>
    <x v="215"/>
    <x v="0"/>
    <x v="3"/>
    <n v="4"/>
    <n v="0.8"/>
    <n v="2000"/>
  </r>
  <r>
    <x v="0"/>
    <x v="14"/>
    <x v="215"/>
    <x v="0"/>
    <x v="4"/>
    <n v="5"/>
    <n v="0"/>
    <n v="0"/>
  </r>
  <r>
    <x v="0"/>
    <x v="14"/>
    <x v="215"/>
    <x v="0"/>
    <x v="5"/>
    <n v="6"/>
    <n v="3.6"/>
    <n v="9000"/>
  </r>
  <r>
    <x v="0"/>
    <x v="14"/>
    <x v="215"/>
    <x v="0"/>
    <x v="6"/>
    <n v="7"/>
    <n v="0"/>
    <n v="0"/>
  </r>
  <r>
    <x v="0"/>
    <x v="14"/>
    <x v="216"/>
    <x v="0"/>
    <x v="0"/>
    <n v="1"/>
    <n v="0"/>
    <n v="0"/>
  </r>
  <r>
    <x v="0"/>
    <x v="14"/>
    <x v="216"/>
    <x v="0"/>
    <x v="1"/>
    <n v="2"/>
    <n v="0"/>
    <n v="0"/>
  </r>
  <r>
    <x v="0"/>
    <x v="14"/>
    <x v="216"/>
    <x v="0"/>
    <x v="2"/>
    <n v="3"/>
    <n v="4.4000000000000004"/>
    <n v="11000"/>
  </r>
  <r>
    <x v="0"/>
    <x v="14"/>
    <x v="216"/>
    <x v="0"/>
    <x v="3"/>
    <n v="4"/>
    <n v="1.2"/>
    <n v="3000"/>
  </r>
  <r>
    <x v="0"/>
    <x v="14"/>
    <x v="216"/>
    <x v="0"/>
    <x v="4"/>
    <n v="5"/>
    <n v="0"/>
    <n v="0"/>
  </r>
  <r>
    <x v="0"/>
    <x v="14"/>
    <x v="216"/>
    <x v="0"/>
    <x v="5"/>
    <n v="6"/>
    <n v="5.2"/>
    <n v="13000"/>
  </r>
  <r>
    <x v="0"/>
    <x v="14"/>
    <x v="216"/>
    <x v="0"/>
    <x v="6"/>
    <n v="7"/>
    <n v="0"/>
    <n v="0"/>
  </r>
  <r>
    <x v="0"/>
    <x v="15"/>
    <x v="217"/>
    <x v="0"/>
    <x v="0"/>
    <n v="1"/>
    <n v="0"/>
    <n v="0"/>
  </r>
  <r>
    <x v="0"/>
    <x v="15"/>
    <x v="217"/>
    <x v="0"/>
    <x v="1"/>
    <n v="2"/>
    <n v="0"/>
    <n v="0"/>
  </r>
  <r>
    <x v="0"/>
    <x v="15"/>
    <x v="217"/>
    <x v="0"/>
    <x v="2"/>
    <n v="3"/>
    <n v="5.6"/>
    <n v="14000"/>
  </r>
  <r>
    <x v="0"/>
    <x v="15"/>
    <x v="217"/>
    <x v="0"/>
    <x v="3"/>
    <n v="4"/>
    <n v="0.8"/>
    <n v="2000"/>
  </r>
  <r>
    <x v="0"/>
    <x v="15"/>
    <x v="217"/>
    <x v="0"/>
    <x v="4"/>
    <n v="5"/>
    <n v="0"/>
    <n v="0"/>
  </r>
  <r>
    <x v="0"/>
    <x v="15"/>
    <x v="217"/>
    <x v="0"/>
    <x v="5"/>
    <n v="6"/>
    <n v="6.4"/>
    <n v="16000"/>
  </r>
  <r>
    <x v="0"/>
    <x v="15"/>
    <x v="217"/>
    <x v="0"/>
    <x v="6"/>
    <n v="7"/>
    <n v="0"/>
    <n v="0"/>
  </r>
  <r>
    <x v="0"/>
    <x v="15"/>
    <x v="218"/>
    <x v="0"/>
    <x v="0"/>
    <n v="1"/>
    <n v="0"/>
    <n v="0"/>
  </r>
  <r>
    <x v="0"/>
    <x v="15"/>
    <x v="218"/>
    <x v="0"/>
    <x v="1"/>
    <n v="2"/>
    <n v="0"/>
    <n v="0"/>
  </r>
  <r>
    <x v="0"/>
    <x v="15"/>
    <x v="218"/>
    <x v="0"/>
    <x v="2"/>
    <n v="3"/>
    <n v="3.2"/>
    <n v="8000"/>
  </r>
  <r>
    <x v="0"/>
    <x v="15"/>
    <x v="218"/>
    <x v="0"/>
    <x v="3"/>
    <n v="4"/>
    <n v="1.6"/>
    <n v="4000"/>
  </r>
  <r>
    <x v="0"/>
    <x v="15"/>
    <x v="218"/>
    <x v="0"/>
    <x v="4"/>
    <n v="5"/>
    <n v="0"/>
    <n v="0"/>
  </r>
  <r>
    <x v="0"/>
    <x v="15"/>
    <x v="218"/>
    <x v="0"/>
    <x v="5"/>
    <n v="6"/>
    <n v="4.8"/>
    <n v="12000"/>
  </r>
  <r>
    <x v="0"/>
    <x v="15"/>
    <x v="218"/>
    <x v="0"/>
    <x v="6"/>
    <n v="7"/>
    <n v="0"/>
    <n v="0"/>
  </r>
  <r>
    <x v="0"/>
    <x v="15"/>
    <x v="219"/>
    <x v="0"/>
    <x v="0"/>
    <n v="1"/>
    <n v="0"/>
    <n v="0"/>
  </r>
  <r>
    <x v="0"/>
    <x v="15"/>
    <x v="219"/>
    <x v="0"/>
    <x v="1"/>
    <n v="2"/>
    <n v="0"/>
    <n v="0"/>
  </r>
  <r>
    <x v="0"/>
    <x v="15"/>
    <x v="219"/>
    <x v="0"/>
    <x v="2"/>
    <n v="3"/>
    <n v="4.4000000000000004"/>
    <n v="11000"/>
  </r>
  <r>
    <x v="0"/>
    <x v="15"/>
    <x v="219"/>
    <x v="0"/>
    <x v="3"/>
    <n v="4"/>
    <n v="0.8"/>
    <n v="2000"/>
  </r>
  <r>
    <x v="0"/>
    <x v="15"/>
    <x v="219"/>
    <x v="0"/>
    <x v="4"/>
    <n v="5"/>
    <n v="0"/>
    <n v="0"/>
  </r>
  <r>
    <x v="0"/>
    <x v="15"/>
    <x v="219"/>
    <x v="0"/>
    <x v="5"/>
    <n v="6"/>
    <n v="5.6"/>
    <n v="14000"/>
  </r>
  <r>
    <x v="0"/>
    <x v="15"/>
    <x v="219"/>
    <x v="0"/>
    <x v="6"/>
    <n v="7"/>
    <n v="0"/>
    <n v="0"/>
  </r>
  <r>
    <x v="0"/>
    <x v="15"/>
    <x v="220"/>
    <x v="0"/>
    <x v="0"/>
    <n v="1"/>
    <n v="0"/>
    <n v="0"/>
  </r>
  <r>
    <x v="0"/>
    <x v="15"/>
    <x v="220"/>
    <x v="0"/>
    <x v="1"/>
    <n v="2"/>
    <n v="0"/>
    <n v="0"/>
  </r>
  <r>
    <x v="0"/>
    <x v="15"/>
    <x v="220"/>
    <x v="0"/>
    <x v="2"/>
    <n v="3"/>
    <n v="2.4"/>
    <n v="6000"/>
  </r>
  <r>
    <x v="0"/>
    <x v="15"/>
    <x v="220"/>
    <x v="0"/>
    <x v="3"/>
    <n v="4"/>
    <n v="0"/>
    <n v="0"/>
  </r>
  <r>
    <x v="0"/>
    <x v="15"/>
    <x v="220"/>
    <x v="0"/>
    <x v="4"/>
    <n v="5"/>
    <n v="0"/>
    <n v="0"/>
  </r>
  <r>
    <x v="0"/>
    <x v="15"/>
    <x v="220"/>
    <x v="0"/>
    <x v="5"/>
    <n v="6"/>
    <n v="2.4"/>
    <n v="6000"/>
  </r>
  <r>
    <x v="0"/>
    <x v="15"/>
    <x v="220"/>
    <x v="0"/>
    <x v="6"/>
    <n v="7"/>
    <n v="0"/>
    <n v="0"/>
  </r>
  <r>
    <x v="0"/>
    <x v="15"/>
    <x v="221"/>
    <x v="0"/>
    <x v="0"/>
    <n v="1"/>
    <n v="0"/>
    <n v="0"/>
  </r>
  <r>
    <x v="0"/>
    <x v="15"/>
    <x v="221"/>
    <x v="0"/>
    <x v="1"/>
    <n v="2"/>
    <n v="0"/>
    <n v="0"/>
  </r>
  <r>
    <x v="0"/>
    <x v="15"/>
    <x v="221"/>
    <x v="0"/>
    <x v="2"/>
    <n v="3"/>
    <n v="4"/>
    <n v="10000"/>
  </r>
  <r>
    <x v="0"/>
    <x v="15"/>
    <x v="221"/>
    <x v="0"/>
    <x v="3"/>
    <n v="4"/>
    <n v="1.2"/>
    <n v="3000"/>
  </r>
  <r>
    <x v="0"/>
    <x v="15"/>
    <x v="221"/>
    <x v="0"/>
    <x v="4"/>
    <n v="5"/>
    <n v="0"/>
    <n v="0"/>
  </r>
  <r>
    <x v="0"/>
    <x v="15"/>
    <x v="221"/>
    <x v="0"/>
    <x v="5"/>
    <n v="6"/>
    <n v="4.8"/>
    <n v="12000"/>
  </r>
  <r>
    <x v="0"/>
    <x v="15"/>
    <x v="221"/>
    <x v="0"/>
    <x v="6"/>
    <n v="7"/>
    <n v="0"/>
    <n v="0"/>
  </r>
  <r>
    <x v="0"/>
    <x v="15"/>
    <x v="222"/>
    <x v="0"/>
    <x v="0"/>
    <n v="1"/>
    <n v="0"/>
    <n v="0"/>
  </r>
  <r>
    <x v="0"/>
    <x v="15"/>
    <x v="222"/>
    <x v="0"/>
    <x v="1"/>
    <n v="2"/>
    <n v="0"/>
    <n v="0"/>
  </r>
  <r>
    <x v="0"/>
    <x v="15"/>
    <x v="222"/>
    <x v="0"/>
    <x v="2"/>
    <n v="3"/>
    <n v="2.8"/>
    <n v="7000"/>
  </r>
  <r>
    <x v="0"/>
    <x v="15"/>
    <x v="222"/>
    <x v="0"/>
    <x v="3"/>
    <n v="4"/>
    <n v="0.4"/>
    <n v="1000"/>
  </r>
  <r>
    <x v="0"/>
    <x v="15"/>
    <x v="222"/>
    <x v="0"/>
    <x v="4"/>
    <n v="5"/>
    <n v="0"/>
    <n v="0"/>
  </r>
  <r>
    <x v="0"/>
    <x v="15"/>
    <x v="222"/>
    <x v="0"/>
    <x v="5"/>
    <n v="6"/>
    <n v="3.2"/>
    <n v="8000"/>
  </r>
  <r>
    <x v="0"/>
    <x v="15"/>
    <x v="222"/>
    <x v="0"/>
    <x v="6"/>
    <n v="7"/>
    <n v="0"/>
    <n v="0"/>
  </r>
  <r>
    <x v="0"/>
    <x v="15"/>
    <x v="223"/>
    <x v="0"/>
    <x v="0"/>
    <n v="1"/>
    <n v="0"/>
    <n v="0"/>
  </r>
  <r>
    <x v="0"/>
    <x v="15"/>
    <x v="223"/>
    <x v="0"/>
    <x v="1"/>
    <n v="2"/>
    <n v="0"/>
    <n v="0"/>
  </r>
  <r>
    <x v="0"/>
    <x v="15"/>
    <x v="223"/>
    <x v="0"/>
    <x v="2"/>
    <n v="3"/>
    <n v="4.4000000000000004"/>
    <n v="11000"/>
  </r>
  <r>
    <x v="0"/>
    <x v="15"/>
    <x v="223"/>
    <x v="0"/>
    <x v="3"/>
    <n v="4"/>
    <n v="2"/>
    <n v="5000"/>
  </r>
  <r>
    <x v="0"/>
    <x v="15"/>
    <x v="223"/>
    <x v="0"/>
    <x v="4"/>
    <n v="5"/>
    <n v="0"/>
    <n v="0"/>
  </r>
  <r>
    <x v="0"/>
    <x v="15"/>
    <x v="223"/>
    <x v="0"/>
    <x v="5"/>
    <n v="6"/>
    <n v="6.8"/>
    <n v="17000"/>
  </r>
  <r>
    <x v="0"/>
    <x v="15"/>
    <x v="223"/>
    <x v="0"/>
    <x v="6"/>
    <n v="7"/>
    <n v="0"/>
    <n v="0"/>
  </r>
  <r>
    <x v="0"/>
    <x v="15"/>
    <x v="224"/>
    <x v="0"/>
    <x v="0"/>
    <n v="1"/>
    <n v="0"/>
    <n v="0"/>
  </r>
  <r>
    <x v="0"/>
    <x v="15"/>
    <x v="224"/>
    <x v="0"/>
    <x v="1"/>
    <n v="2"/>
    <n v="0"/>
    <n v="0"/>
  </r>
  <r>
    <x v="0"/>
    <x v="15"/>
    <x v="224"/>
    <x v="0"/>
    <x v="2"/>
    <n v="3"/>
    <n v="1.6"/>
    <n v="4000"/>
  </r>
  <r>
    <x v="0"/>
    <x v="15"/>
    <x v="224"/>
    <x v="0"/>
    <x v="3"/>
    <n v="4"/>
    <n v="1.2"/>
    <n v="3000"/>
  </r>
  <r>
    <x v="0"/>
    <x v="15"/>
    <x v="224"/>
    <x v="0"/>
    <x v="4"/>
    <n v="5"/>
    <n v="0"/>
    <n v="0"/>
  </r>
  <r>
    <x v="0"/>
    <x v="15"/>
    <x v="224"/>
    <x v="0"/>
    <x v="5"/>
    <n v="6"/>
    <n v="2.8"/>
    <n v="7000"/>
  </r>
  <r>
    <x v="0"/>
    <x v="15"/>
    <x v="224"/>
    <x v="0"/>
    <x v="6"/>
    <n v="7"/>
    <n v="0"/>
    <n v="0"/>
  </r>
  <r>
    <x v="0"/>
    <x v="15"/>
    <x v="225"/>
    <x v="0"/>
    <x v="0"/>
    <n v="1"/>
    <n v="0"/>
    <n v="0"/>
  </r>
  <r>
    <x v="0"/>
    <x v="15"/>
    <x v="225"/>
    <x v="0"/>
    <x v="1"/>
    <n v="2"/>
    <n v="0"/>
    <n v="0"/>
  </r>
  <r>
    <x v="0"/>
    <x v="15"/>
    <x v="225"/>
    <x v="0"/>
    <x v="2"/>
    <n v="3"/>
    <n v="1.6"/>
    <n v="4000"/>
  </r>
  <r>
    <x v="0"/>
    <x v="15"/>
    <x v="225"/>
    <x v="0"/>
    <x v="3"/>
    <n v="4"/>
    <n v="0.8"/>
    <n v="2000"/>
  </r>
  <r>
    <x v="0"/>
    <x v="15"/>
    <x v="225"/>
    <x v="0"/>
    <x v="4"/>
    <n v="5"/>
    <n v="0"/>
    <n v="0"/>
  </r>
  <r>
    <x v="0"/>
    <x v="15"/>
    <x v="225"/>
    <x v="0"/>
    <x v="5"/>
    <n v="6"/>
    <n v="2.8"/>
    <n v="7000"/>
  </r>
  <r>
    <x v="0"/>
    <x v="15"/>
    <x v="225"/>
    <x v="0"/>
    <x v="6"/>
    <n v="7"/>
    <n v="0"/>
    <n v="0"/>
  </r>
  <r>
    <x v="0"/>
    <x v="15"/>
    <x v="226"/>
    <x v="0"/>
    <x v="0"/>
    <n v="1"/>
    <n v="0"/>
    <n v="0"/>
  </r>
  <r>
    <x v="0"/>
    <x v="15"/>
    <x v="226"/>
    <x v="0"/>
    <x v="1"/>
    <n v="2"/>
    <n v="0"/>
    <n v="0"/>
  </r>
  <r>
    <x v="0"/>
    <x v="15"/>
    <x v="226"/>
    <x v="0"/>
    <x v="2"/>
    <n v="3"/>
    <n v="1.6"/>
    <n v="4000"/>
  </r>
  <r>
    <x v="0"/>
    <x v="15"/>
    <x v="226"/>
    <x v="0"/>
    <x v="3"/>
    <n v="4"/>
    <n v="2"/>
    <n v="5000"/>
  </r>
  <r>
    <x v="0"/>
    <x v="15"/>
    <x v="226"/>
    <x v="0"/>
    <x v="4"/>
    <n v="5"/>
    <n v="0"/>
    <n v="0"/>
  </r>
  <r>
    <x v="0"/>
    <x v="15"/>
    <x v="226"/>
    <x v="0"/>
    <x v="5"/>
    <n v="6"/>
    <n v="3.6"/>
    <n v="9000"/>
  </r>
  <r>
    <x v="0"/>
    <x v="15"/>
    <x v="226"/>
    <x v="0"/>
    <x v="6"/>
    <n v="7"/>
    <n v="0"/>
    <n v="0"/>
  </r>
  <r>
    <x v="0"/>
    <x v="15"/>
    <x v="227"/>
    <x v="0"/>
    <x v="0"/>
    <n v="1"/>
    <n v="0"/>
    <n v="0"/>
  </r>
  <r>
    <x v="0"/>
    <x v="15"/>
    <x v="227"/>
    <x v="0"/>
    <x v="1"/>
    <n v="2"/>
    <n v="0"/>
    <n v="0"/>
  </r>
  <r>
    <x v="0"/>
    <x v="15"/>
    <x v="227"/>
    <x v="0"/>
    <x v="2"/>
    <n v="3"/>
    <n v="6.4"/>
    <n v="16000"/>
  </r>
  <r>
    <x v="0"/>
    <x v="15"/>
    <x v="227"/>
    <x v="0"/>
    <x v="3"/>
    <n v="4"/>
    <n v="0.8"/>
    <n v="2000"/>
  </r>
  <r>
    <x v="0"/>
    <x v="15"/>
    <x v="227"/>
    <x v="0"/>
    <x v="4"/>
    <n v="5"/>
    <n v="0"/>
    <n v="0"/>
  </r>
  <r>
    <x v="0"/>
    <x v="15"/>
    <x v="227"/>
    <x v="0"/>
    <x v="5"/>
    <n v="6"/>
    <n v="7.2"/>
    <n v="18000"/>
  </r>
  <r>
    <x v="0"/>
    <x v="15"/>
    <x v="227"/>
    <x v="0"/>
    <x v="6"/>
    <n v="7"/>
    <n v="0"/>
    <n v="0"/>
  </r>
  <r>
    <x v="0"/>
    <x v="15"/>
    <x v="228"/>
    <x v="0"/>
    <x v="0"/>
    <n v="1"/>
    <n v="0"/>
    <n v="0"/>
  </r>
  <r>
    <x v="0"/>
    <x v="15"/>
    <x v="228"/>
    <x v="0"/>
    <x v="1"/>
    <n v="2"/>
    <n v="0"/>
    <n v="0"/>
  </r>
  <r>
    <x v="0"/>
    <x v="15"/>
    <x v="228"/>
    <x v="0"/>
    <x v="2"/>
    <n v="3"/>
    <n v="3.2"/>
    <n v="8000"/>
  </r>
  <r>
    <x v="0"/>
    <x v="15"/>
    <x v="228"/>
    <x v="0"/>
    <x v="3"/>
    <n v="4"/>
    <n v="1.6"/>
    <n v="4000"/>
  </r>
  <r>
    <x v="0"/>
    <x v="15"/>
    <x v="228"/>
    <x v="0"/>
    <x v="4"/>
    <n v="5"/>
    <n v="0"/>
    <n v="0"/>
  </r>
  <r>
    <x v="0"/>
    <x v="15"/>
    <x v="228"/>
    <x v="0"/>
    <x v="5"/>
    <n v="6"/>
    <n v="4.8"/>
    <n v="12000"/>
  </r>
  <r>
    <x v="0"/>
    <x v="15"/>
    <x v="228"/>
    <x v="0"/>
    <x v="6"/>
    <n v="7"/>
    <n v="0"/>
    <n v="0"/>
  </r>
  <r>
    <x v="0"/>
    <x v="15"/>
    <x v="229"/>
    <x v="0"/>
    <x v="0"/>
    <n v="1"/>
    <n v="0"/>
    <n v="0"/>
  </r>
  <r>
    <x v="0"/>
    <x v="15"/>
    <x v="229"/>
    <x v="0"/>
    <x v="1"/>
    <n v="2"/>
    <n v="0"/>
    <n v="0"/>
  </r>
  <r>
    <x v="0"/>
    <x v="15"/>
    <x v="229"/>
    <x v="0"/>
    <x v="2"/>
    <n v="3"/>
    <n v="5.6"/>
    <n v="14000"/>
  </r>
  <r>
    <x v="0"/>
    <x v="15"/>
    <x v="229"/>
    <x v="0"/>
    <x v="3"/>
    <n v="4"/>
    <n v="0.8"/>
    <n v="2000"/>
  </r>
  <r>
    <x v="0"/>
    <x v="15"/>
    <x v="229"/>
    <x v="0"/>
    <x v="4"/>
    <n v="5"/>
    <n v="0"/>
    <n v="0"/>
  </r>
  <r>
    <x v="0"/>
    <x v="15"/>
    <x v="229"/>
    <x v="0"/>
    <x v="5"/>
    <n v="6"/>
    <n v="6"/>
    <n v="15000"/>
  </r>
  <r>
    <x v="0"/>
    <x v="15"/>
    <x v="229"/>
    <x v="0"/>
    <x v="6"/>
    <n v="7"/>
    <n v="0"/>
    <n v="0"/>
  </r>
  <r>
    <x v="0"/>
    <x v="15"/>
    <x v="230"/>
    <x v="0"/>
    <x v="0"/>
    <n v="1"/>
    <n v="0"/>
    <n v="0"/>
  </r>
  <r>
    <x v="0"/>
    <x v="15"/>
    <x v="230"/>
    <x v="0"/>
    <x v="1"/>
    <n v="2"/>
    <n v="0"/>
    <n v="0"/>
  </r>
  <r>
    <x v="0"/>
    <x v="15"/>
    <x v="230"/>
    <x v="0"/>
    <x v="2"/>
    <n v="3"/>
    <n v="4"/>
    <n v="10000"/>
  </r>
  <r>
    <x v="0"/>
    <x v="15"/>
    <x v="230"/>
    <x v="0"/>
    <x v="3"/>
    <n v="4"/>
    <n v="1.2"/>
    <n v="3000"/>
  </r>
  <r>
    <x v="0"/>
    <x v="15"/>
    <x v="230"/>
    <x v="0"/>
    <x v="4"/>
    <n v="5"/>
    <n v="0"/>
    <n v="0"/>
  </r>
  <r>
    <x v="0"/>
    <x v="15"/>
    <x v="230"/>
    <x v="0"/>
    <x v="5"/>
    <n v="6"/>
    <n v="5.2"/>
    <n v="13000"/>
  </r>
  <r>
    <x v="0"/>
    <x v="15"/>
    <x v="230"/>
    <x v="0"/>
    <x v="6"/>
    <n v="7"/>
    <n v="0"/>
    <n v="0"/>
  </r>
  <r>
    <x v="0"/>
    <x v="15"/>
    <x v="231"/>
    <x v="0"/>
    <x v="0"/>
    <n v="1"/>
    <n v="0"/>
    <n v="0"/>
  </r>
  <r>
    <x v="0"/>
    <x v="15"/>
    <x v="231"/>
    <x v="0"/>
    <x v="1"/>
    <n v="2"/>
    <n v="0"/>
    <n v="0"/>
  </r>
  <r>
    <x v="0"/>
    <x v="15"/>
    <x v="231"/>
    <x v="0"/>
    <x v="2"/>
    <n v="3"/>
    <n v="6"/>
    <n v="15000"/>
  </r>
  <r>
    <x v="0"/>
    <x v="15"/>
    <x v="231"/>
    <x v="0"/>
    <x v="3"/>
    <n v="4"/>
    <n v="0.4"/>
    <n v="1000"/>
  </r>
  <r>
    <x v="0"/>
    <x v="15"/>
    <x v="231"/>
    <x v="0"/>
    <x v="4"/>
    <n v="5"/>
    <n v="0"/>
    <n v="0"/>
  </r>
  <r>
    <x v="0"/>
    <x v="15"/>
    <x v="231"/>
    <x v="0"/>
    <x v="5"/>
    <n v="6"/>
    <n v="8"/>
    <n v="20000"/>
  </r>
  <r>
    <x v="0"/>
    <x v="15"/>
    <x v="231"/>
    <x v="0"/>
    <x v="6"/>
    <n v="7"/>
    <n v="0"/>
    <n v="0"/>
  </r>
  <r>
    <x v="0"/>
    <x v="15"/>
    <x v="232"/>
    <x v="0"/>
    <x v="0"/>
    <n v="1"/>
    <n v="0"/>
    <n v="0"/>
  </r>
  <r>
    <x v="0"/>
    <x v="15"/>
    <x v="232"/>
    <x v="0"/>
    <x v="1"/>
    <n v="2"/>
    <n v="0"/>
    <n v="0"/>
  </r>
  <r>
    <x v="0"/>
    <x v="15"/>
    <x v="232"/>
    <x v="0"/>
    <x v="2"/>
    <n v="3"/>
    <n v="7.6"/>
    <n v="19000"/>
  </r>
  <r>
    <x v="0"/>
    <x v="15"/>
    <x v="232"/>
    <x v="0"/>
    <x v="3"/>
    <n v="4"/>
    <n v="1.6"/>
    <n v="4000"/>
  </r>
  <r>
    <x v="0"/>
    <x v="15"/>
    <x v="232"/>
    <x v="0"/>
    <x v="4"/>
    <n v="5"/>
    <n v="0"/>
    <n v="0"/>
  </r>
  <r>
    <x v="0"/>
    <x v="15"/>
    <x v="232"/>
    <x v="0"/>
    <x v="5"/>
    <n v="6"/>
    <n v="9.1999999999999993"/>
    <n v="23000"/>
  </r>
  <r>
    <x v="0"/>
    <x v="15"/>
    <x v="232"/>
    <x v="0"/>
    <x v="6"/>
    <n v="7"/>
    <n v="0"/>
    <n v="0"/>
  </r>
  <r>
    <x v="0"/>
    <x v="16"/>
    <x v="233"/>
    <x v="0"/>
    <x v="0"/>
    <n v="1"/>
    <n v="0"/>
    <n v="0"/>
  </r>
  <r>
    <x v="0"/>
    <x v="16"/>
    <x v="233"/>
    <x v="0"/>
    <x v="1"/>
    <n v="2"/>
    <n v="0"/>
    <n v="0"/>
  </r>
  <r>
    <x v="0"/>
    <x v="16"/>
    <x v="233"/>
    <x v="0"/>
    <x v="2"/>
    <n v="3"/>
    <n v="2.8"/>
    <n v="7000"/>
  </r>
  <r>
    <x v="0"/>
    <x v="16"/>
    <x v="233"/>
    <x v="0"/>
    <x v="3"/>
    <n v="4"/>
    <n v="1.6"/>
    <n v="4000"/>
  </r>
  <r>
    <x v="0"/>
    <x v="16"/>
    <x v="233"/>
    <x v="0"/>
    <x v="4"/>
    <n v="5"/>
    <n v="0"/>
    <n v="0"/>
  </r>
  <r>
    <x v="0"/>
    <x v="16"/>
    <x v="233"/>
    <x v="0"/>
    <x v="5"/>
    <n v="6"/>
    <n v="4.4000000000000004"/>
    <n v="11000"/>
  </r>
  <r>
    <x v="0"/>
    <x v="16"/>
    <x v="233"/>
    <x v="0"/>
    <x v="6"/>
    <n v="7"/>
    <n v="0"/>
    <n v="0"/>
  </r>
  <r>
    <x v="0"/>
    <x v="16"/>
    <x v="234"/>
    <x v="0"/>
    <x v="0"/>
    <n v="1"/>
    <n v="0"/>
    <n v="0"/>
  </r>
  <r>
    <x v="0"/>
    <x v="16"/>
    <x v="234"/>
    <x v="0"/>
    <x v="1"/>
    <n v="2"/>
    <n v="0"/>
    <n v="0"/>
  </r>
  <r>
    <x v="0"/>
    <x v="16"/>
    <x v="234"/>
    <x v="0"/>
    <x v="2"/>
    <n v="3"/>
    <n v="7.6"/>
    <n v="19000"/>
  </r>
  <r>
    <x v="0"/>
    <x v="16"/>
    <x v="234"/>
    <x v="0"/>
    <x v="3"/>
    <n v="4"/>
    <n v="6.4"/>
    <n v="16000"/>
  </r>
  <r>
    <x v="0"/>
    <x v="16"/>
    <x v="234"/>
    <x v="0"/>
    <x v="4"/>
    <n v="5"/>
    <n v="0"/>
    <n v="0"/>
  </r>
  <r>
    <x v="0"/>
    <x v="16"/>
    <x v="234"/>
    <x v="0"/>
    <x v="5"/>
    <n v="6"/>
    <n v="14.8"/>
    <n v="37000"/>
  </r>
  <r>
    <x v="0"/>
    <x v="16"/>
    <x v="234"/>
    <x v="0"/>
    <x v="6"/>
    <n v="7"/>
    <n v="0"/>
    <n v="0"/>
  </r>
  <r>
    <x v="0"/>
    <x v="16"/>
    <x v="235"/>
    <x v="0"/>
    <x v="0"/>
    <n v="1"/>
    <n v="0"/>
    <n v="0"/>
  </r>
  <r>
    <x v="0"/>
    <x v="16"/>
    <x v="235"/>
    <x v="0"/>
    <x v="1"/>
    <n v="2"/>
    <n v="0"/>
    <n v="0"/>
  </r>
  <r>
    <x v="0"/>
    <x v="16"/>
    <x v="235"/>
    <x v="0"/>
    <x v="2"/>
    <n v="3"/>
    <n v="4.4000000000000004"/>
    <n v="11000"/>
  </r>
  <r>
    <x v="0"/>
    <x v="16"/>
    <x v="235"/>
    <x v="0"/>
    <x v="3"/>
    <n v="4"/>
    <n v="3.2"/>
    <n v="8000"/>
  </r>
  <r>
    <x v="0"/>
    <x v="16"/>
    <x v="235"/>
    <x v="0"/>
    <x v="4"/>
    <n v="5"/>
    <n v="0"/>
    <n v="0"/>
  </r>
  <r>
    <x v="0"/>
    <x v="16"/>
    <x v="235"/>
    <x v="0"/>
    <x v="5"/>
    <n v="6"/>
    <n v="7.6"/>
    <n v="19000"/>
  </r>
  <r>
    <x v="0"/>
    <x v="16"/>
    <x v="235"/>
    <x v="0"/>
    <x v="6"/>
    <n v="7"/>
    <n v="0"/>
    <n v="0"/>
  </r>
  <r>
    <x v="0"/>
    <x v="16"/>
    <x v="236"/>
    <x v="0"/>
    <x v="0"/>
    <n v="1"/>
    <n v="0"/>
    <n v="0"/>
  </r>
  <r>
    <x v="0"/>
    <x v="16"/>
    <x v="236"/>
    <x v="0"/>
    <x v="1"/>
    <n v="2"/>
    <n v="0"/>
    <n v="0"/>
  </r>
  <r>
    <x v="0"/>
    <x v="16"/>
    <x v="236"/>
    <x v="0"/>
    <x v="2"/>
    <n v="3"/>
    <n v="4.4000000000000004"/>
    <n v="11000"/>
  </r>
  <r>
    <x v="0"/>
    <x v="16"/>
    <x v="236"/>
    <x v="0"/>
    <x v="3"/>
    <n v="4"/>
    <n v="3.6"/>
    <n v="9000"/>
  </r>
  <r>
    <x v="0"/>
    <x v="16"/>
    <x v="236"/>
    <x v="0"/>
    <x v="4"/>
    <n v="5"/>
    <n v="0"/>
    <n v="0"/>
  </r>
  <r>
    <x v="0"/>
    <x v="16"/>
    <x v="236"/>
    <x v="0"/>
    <x v="5"/>
    <n v="6"/>
    <n v="8.4"/>
    <n v="21000"/>
  </r>
  <r>
    <x v="0"/>
    <x v="16"/>
    <x v="236"/>
    <x v="0"/>
    <x v="6"/>
    <n v="7"/>
    <n v="0"/>
    <n v="0"/>
  </r>
  <r>
    <x v="0"/>
    <x v="16"/>
    <x v="237"/>
    <x v="0"/>
    <x v="0"/>
    <n v="1"/>
    <n v="0"/>
    <n v="0"/>
  </r>
  <r>
    <x v="0"/>
    <x v="16"/>
    <x v="237"/>
    <x v="0"/>
    <x v="1"/>
    <n v="2"/>
    <n v="0"/>
    <n v="0"/>
  </r>
  <r>
    <x v="0"/>
    <x v="16"/>
    <x v="237"/>
    <x v="0"/>
    <x v="2"/>
    <n v="3"/>
    <n v="4.8"/>
    <n v="12000"/>
  </r>
  <r>
    <x v="0"/>
    <x v="16"/>
    <x v="237"/>
    <x v="0"/>
    <x v="3"/>
    <n v="4"/>
    <n v="2.8"/>
    <n v="7000"/>
  </r>
  <r>
    <x v="0"/>
    <x v="16"/>
    <x v="237"/>
    <x v="0"/>
    <x v="4"/>
    <n v="5"/>
    <n v="0"/>
    <n v="0"/>
  </r>
  <r>
    <x v="0"/>
    <x v="16"/>
    <x v="237"/>
    <x v="0"/>
    <x v="5"/>
    <n v="6"/>
    <n v="7.6"/>
    <n v="19000"/>
  </r>
  <r>
    <x v="0"/>
    <x v="16"/>
    <x v="237"/>
    <x v="0"/>
    <x v="6"/>
    <n v="7"/>
    <n v="0"/>
    <n v="0"/>
  </r>
  <r>
    <x v="0"/>
    <x v="16"/>
    <x v="238"/>
    <x v="0"/>
    <x v="0"/>
    <n v="1"/>
    <n v="0"/>
    <n v="0"/>
  </r>
  <r>
    <x v="0"/>
    <x v="16"/>
    <x v="238"/>
    <x v="0"/>
    <x v="1"/>
    <n v="2"/>
    <n v="0"/>
    <n v="0"/>
  </r>
  <r>
    <x v="0"/>
    <x v="16"/>
    <x v="238"/>
    <x v="0"/>
    <x v="2"/>
    <n v="3"/>
    <n v="5.6"/>
    <n v="14000"/>
  </r>
  <r>
    <x v="0"/>
    <x v="16"/>
    <x v="238"/>
    <x v="0"/>
    <x v="3"/>
    <n v="4"/>
    <n v="1.2"/>
    <n v="3000"/>
  </r>
  <r>
    <x v="0"/>
    <x v="16"/>
    <x v="238"/>
    <x v="0"/>
    <x v="4"/>
    <n v="5"/>
    <n v="0"/>
    <n v="0"/>
  </r>
  <r>
    <x v="0"/>
    <x v="16"/>
    <x v="238"/>
    <x v="0"/>
    <x v="5"/>
    <n v="6"/>
    <n v="6.8"/>
    <n v="17000"/>
  </r>
  <r>
    <x v="0"/>
    <x v="16"/>
    <x v="238"/>
    <x v="0"/>
    <x v="6"/>
    <n v="7"/>
    <n v="0"/>
    <n v="0"/>
  </r>
  <r>
    <x v="0"/>
    <x v="16"/>
    <x v="239"/>
    <x v="0"/>
    <x v="0"/>
    <n v="1"/>
    <n v="0"/>
    <n v="0"/>
  </r>
  <r>
    <x v="0"/>
    <x v="16"/>
    <x v="239"/>
    <x v="0"/>
    <x v="1"/>
    <n v="2"/>
    <n v="0"/>
    <n v="0"/>
  </r>
  <r>
    <x v="0"/>
    <x v="16"/>
    <x v="239"/>
    <x v="0"/>
    <x v="2"/>
    <n v="3"/>
    <n v="2.4"/>
    <n v="6000"/>
  </r>
  <r>
    <x v="0"/>
    <x v="16"/>
    <x v="239"/>
    <x v="0"/>
    <x v="3"/>
    <n v="4"/>
    <n v="2.8"/>
    <n v="7000"/>
  </r>
  <r>
    <x v="0"/>
    <x v="16"/>
    <x v="239"/>
    <x v="0"/>
    <x v="4"/>
    <n v="5"/>
    <n v="0"/>
    <n v="0"/>
  </r>
  <r>
    <x v="0"/>
    <x v="16"/>
    <x v="239"/>
    <x v="0"/>
    <x v="5"/>
    <n v="6"/>
    <n v="5.6"/>
    <n v="14000"/>
  </r>
  <r>
    <x v="0"/>
    <x v="16"/>
    <x v="239"/>
    <x v="0"/>
    <x v="6"/>
    <n v="7"/>
    <n v="0"/>
    <n v="0"/>
  </r>
  <r>
    <x v="0"/>
    <x v="16"/>
    <x v="240"/>
    <x v="0"/>
    <x v="0"/>
    <n v="1"/>
    <n v="0"/>
    <n v="0"/>
  </r>
  <r>
    <x v="0"/>
    <x v="16"/>
    <x v="240"/>
    <x v="0"/>
    <x v="1"/>
    <n v="2"/>
    <n v="0"/>
    <n v="0"/>
  </r>
  <r>
    <x v="0"/>
    <x v="16"/>
    <x v="240"/>
    <x v="0"/>
    <x v="2"/>
    <n v="3"/>
    <n v="3.6"/>
    <n v="9000"/>
  </r>
  <r>
    <x v="0"/>
    <x v="16"/>
    <x v="240"/>
    <x v="0"/>
    <x v="3"/>
    <n v="4"/>
    <n v="3.6"/>
    <n v="9000"/>
  </r>
  <r>
    <x v="0"/>
    <x v="16"/>
    <x v="240"/>
    <x v="0"/>
    <x v="4"/>
    <n v="5"/>
    <n v="0"/>
    <n v="0"/>
  </r>
  <r>
    <x v="0"/>
    <x v="16"/>
    <x v="240"/>
    <x v="0"/>
    <x v="5"/>
    <n v="6"/>
    <n v="7.2"/>
    <n v="18000"/>
  </r>
  <r>
    <x v="0"/>
    <x v="16"/>
    <x v="240"/>
    <x v="0"/>
    <x v="6"/>
    <n v="7"/>
    <n v="0"/>
    <n v="0"/>
  </r>
  <r>
    <x v="0"/>
    <x v="16"/>
    <x v="241"/>
    <x v="0"/>
    <x v="0"/>
    <n v="1"/>
    <n v="0"/>
    <n v="0"/>
  </r>
  <r>
    <x v="0"/>
    <x v="16"/>
    <x v="241"/>
    <x v="0"/>
    <x v="1"/>
    <n v="2"/>
    <n v="0"/>
    <n v="0"/>
  </r>
  <r>
    <x v="0"/>
    <x v="16"/>
    <x v="241"/>
    <x v="0"/>
    <x v="2"/>
    <n v="3"/>
    <n v="4.4000000000000004"/>
    <n v="11000"/>
  </r>
  <r>
    <x v="0"/>
    <x v="16"/>
    <x v="241"/>
    <x v="0"/>
    <x v="3"/>
    <n v="4"/>
    <n v="1.6"/>
    <n v="4000"/>
  </r>
  <r>
    <x v="0"/>
    <x v="16"/>
    <x v="241"/>
    <x v="0"/>
    <x v="4"/>
    <n v="5"/>
    <n v="0"/>
    <n v="0"/>
  </r>
  <r>
    <x v="0"/>
    <x v="16"/>
    <x v="241"/>
    <x v="0"/>
    <x v="5"/>
    <n v="6"/>
    <n v="6"/>
    <n v="15000"/>
  </r>
  <r>
    <x v="0"/>
    <x v="16"/>
    <x v="241"/>
    <x v="0"/>
    <x v="6"/>
    <n v="7"/>
    <n v="0"/>
    <n v="0"/>
  </r>
  <r>
    <x v="0"/>
    <x v="16"/>
    <x v="242"/>
    <x v="0"/>
    <x v="0"/>
    <n v="1"/>
    <n v="0"/>
    <n v="0"/>
  </r>
  <r>
    <x v="0"/>
    <x v="16"/>
    <x v="242"/>
    <x v="0"/>
    <x v="1"/>
    <n v="2"/>
    <n v="0"/>
    <n v="0"/>
  </r>
  <r>
    <x v="0"/>
    <x v="16"/>
    <x v="242"/>
    <x v="0"/>
    <x v="2"/>
    <n v="3"/>
    <n v="4.4000000000000004"/>
    <n v="11000"/>
  </r>
  <r>
    <x v="0"/>
    <x v="16"/>
    <x v="242"/>
    <x v="0"/>
    <x v="3"/>
    <n v="4"/>
    <n v="1.2"/>
    <n v="3000"/>
  </r>
  <r>
    <x v="0"/>
    <x v="16"/>
    <x v="242"/>
    <x v="0"/>
    <x v="4"/>
    <n v="5"/>
    <n v="0"/>
    <n v="0"/>
  </r>
  <r>
    <x v="0"/>
    <x v="16"/>
    <x v="242"/>
    <x v="0"/>
    <x v="5"/>
    <n v="6"/>
    <n v="6"/>
    <n v="15000"/>
  </r>
  <r>
    <x v="0"/>
    <x v="16"/>
    <x v="242"/>
    <x v="0"/>
    <x v="6"/>
    <n v="7"/>
    <n v="0"/>
    <n v="0"/>
  </r>
  <r>
    <x v="0"/>
    <x v="16"/>
    <x v="243"/>
    <x v="0"/>
    <x v="0"/>
    <n v="1"/>
    <n v="0"/>
    <n v="0"/>
  </r>
  <r>
    <x v="0"/>
    <x v="16"/>
    <x v="243"/>
    <x v="0"/>
    <x v="1"/>
    <n v="2"/>
    <n v="0"/>
    <n v="0"/>
  </r>
  <r>
    <x v="0"/>
    <x v="16"/>
    <x v="243"/>
    <x v="0"/>
    <x v="2"/>
    <n v="3"/>
    <n v="5.2"/>
    <n v="13000"/>
  </r>
  <r>
    <x v="0"/>
    <x v="16"/>
    <x v="243"/>
    <x v="0"/>
    <x v="3"/>
    <n v="4"/>
    <n v="18"/>
    <n v="45000"/>
  </r>
  <r>
    <x v="0"/>
    <x v="16"/>
    <x v="243"/>
    <x v="0"/>
    <x v="4"/>
    <n v="5"/>
    <n v="0"/>
    <n v="0"/>
  </r>
  <r>
    <x v="0"/>
    <x v="16"/>
    <x v="243"/>
    <x v="0"/>
    <x v="5"/>
    <n v="6"/>
    <n v="23.2"/>
    <n v="58000"/>
  </r>
  <r>
    <x v="0"/>
    <x v="16"/>
    <x v="243"/>
    <x v="0"/>
    <x v="6"/>
    <n v="7"/>
    <n v="0"/>
    <n v="0"/>
  </r>
  <r>
    <x v="0"/>
    <x v="16"/>
    <x v="244"/>
    <x v="0"/>
    <x v="0"/>
    <n v="1"/>
    <n v="0"/>
    <n v="0"/>
  </r>
  <r>
    <x v="0"/>
    <x v="16"/>
    <x v="244"/>
    <x v="0"/>
    <x v="1"/>
    <n v="2"/>
    <n v="0"/>
    <n v="0"/>
  </r>
  <r>
    <x v="0"/>
    <x v="16"/>
    <x v="244"/>
    <x v="0"/>
    <x v="2"/>
    <n v="3"/>
    <n v="2.4"/>
    <n v="6000"/>
  </r>
  <r>
    <x v="0"/>
    <x v="16"/>
    <x v="244"/>
    <x v="0"/>
    <x v="3"/>
    <n v="4"/>
    <n v="1.2"/>
    <n v="3000"/>
  </r>
  <r>
    <x v="0"/>
    <x v="16"/>
    <x v="244"/>
    <x v="0"/>
    <x v="4"/>
    <n v="5"/>
    <n v="0"/>
    <n v="0"/>
  </r>
  <r>
    <x v="0"/>
    <x v="16"/>
    <x v="244"/>
    <x v="0"/>
    <x v="5"/>
    <n v="6"/>
    <n v="4.4000000000000004"/>
    <n v="11000"/>
  </r>
  <r>
    <x v="0"/>
    <x v="16"/>
    <x v="244"/>
    <x v="0"/>
    <x v="6"/>
    <n v="7"/>
    <n v="0"/>
    <n v="0"/>
  </r>
  <r>
    <x v="0"/>
    <x v="16"/>
    <x v="245"/>
    <x v="0"/>
    <x v="0"/>
    <n v="1"/>
    <n v="0"/>
    <n v="0"/>
  </r>
  <r>
    <x v="0"/>
    <x v="16"/>
    <x v="245"/>
    <x v="0"/>
    <x v="1"/>
    <n v="2"/>
    <n v="0"/>
    <n v="0"/>
  </r>
  <r>
    <x v="0"/>
    <x v="16"/>
    <x v="245"/>
    <x v="0"/>
    <x v="2"/>
    <n v="3"/>
    <n v="7.2"/>
    <n v="18000"/>
  </r>
  <r>
    <x v="0"/>
    <x v="16"/>
    <x v="245"/>
    <x v="0"/>
    <x v="3"/>
    <n v="4"/>
    <n v="4.4000000000000004"/>
    <n v="11000"/>
  </r>
  <r>
    <x v="0"/>
    <x v="16"/>
    <x v="245"/>
    <x v="0"/>
    <x v="4"/>
    <n v="5"/>
    <n v="0"/>
    <n v="0"/>
  </r>
  <r>
    <x v="0"/>
    <x v="16"/>
    <x v="245"/>
    <x v="0"/>
    <x v="5"/>
    <n v="6"/>
    <n v="12.4"/>
    <n v="31000"/>
  </r>
  <r>
    <x v="0"/>
    <x v="16"/>
    <x v="245"/>
    <x v="0"/>
    <x v="6"/>
    <n v="7"/>
    <n v="0"/>
    <n v="0"/>
  </r>
  <r>
    <x v="0"/>
    <x v="16"/>
    <x v="246"/>
    <x v="0"/>
    <x v="0"/>
    <n v="1"/>
    <n v="0"/>
    <n v="0"/>
  </r>
  <r>
    <x v="0"/>
    <x v="16"/>
    <x v="246"/>
    <x v="0"/>
    <x v="1"/>
    <n v="2"/>
    <n v="0"/>
    <n v="0"/>
  </r>
  <r>
    <x v="0"/>
    <x v="16"/>
    <x v="246"/>
    <x v="0"/>
    <x v="2"/>
    <n v="3"/>
    <n v="7.2"/>
    <n v="18000"/>
  </r>
  <r>
    <x v="0"/>
    <x v="16"/>
    <x v="246"/>
    <x v="0"/>
    <x v="3"/>
    <n v="4"/>
    <n v="4.8"/>
    <n v="12000"/>
  </r>
  <r>
    <x v="0"/>
    <x v="16"/>
    <x v="246"/>
    <x v="0"/>
    <x v="4"/>
    <n v="5"/>
    <n v="0"/>
    <n v="0"/>
  </r>
  <r>
    <x v="0"/>
    <x v="16"/>
    <x v="246"/>
    <x v="0"/>
    <x v="5"/>
    <n v="6"/>
    <n v="13.2"/>
    <n v="33000"/>
  </r>
  <r>
    <x v="0"/>
    <x v="16"/>
    <x v="246"/>
    <x v="0"/>
    <x v="6"/>
    <n v="7"/>
    <n v="0"/>
    <n v="0"/>
  </r>
  <r>
    <x v="0"/>
    <x v="16"/>
    <x v="247"/>
    <x v="0"/>
    <x v="0"/>
    <n v="1"/>
    <n v="0"/>
    <n v="0"/>
  </r>
  <r>
    <x v="0"/>
    <x v="16"/>
    <x v="247"/>
    <x v="0"/>
    <x v="1"/>
    <n v="2"/>
    <n v="0"/>
    <n v="0"/>
  </r>
  <r>
    <x v="0"/>
    <x v="16"/>
    <x v="247"/>
    <x v="0"/>
    <x v="2"/>
    <n v="3"/>
    <n v="6"/>
    <n v="15000"/>
  </r>
  <r>
    <x v="0"/>
    <x v="16"/>
    <x v="247"/>
    <x v="0"/>
    <x v="3"/>
    <n v="4"/>
    <n v="3.2"/>
    <n v="8000"/>
  </r>
  <r>
    <x v="0"/>
    <x v="16"/>
    <x v="247"/>
    <x v="0"/>
    <x v="4"/>
    <n v="5"/>
    <n v="0"/>
    <n v="0"/>
  </r>
  <r>
    <x v="0"/>
    <x v="16"/>
    <x v="247"/>
    <x v="0"/>
    <x v="5"/>
    <n v="6"/>
    <n v="9.6"/>
    <n v="24000"/>
  </r>
  <r>
    <x v="0"/>
    <x v="16"/>
    <x v="247"/>
    <x v="0"/>
    <x v="6"/>
    <n v="7"/>
    <n v="0"/>
    <n v="0"/>
  </r>
  <r>
    <x v="0"/>
    <x v="16"/>
    <x v="248"/>
    <x v="0"/>
    <x v="0"/>
    <n v="1"/>
    <n v="0"/>
    <n v="0"/>
  </r>
  <r>
    <x v="0"/>
    <x v="16"/>
    <x v="248"/>
    <x v="0"/>
    <x v="1"/>
    <n v="2"/>
    <n v="0"/>
    <n v="0"/>
  </r>
  <r>
    <x v="0"/>
    <x v="16"/>
    <x v="248"/>
    <x v="0"/>
    <x v="2"/>
    <n v="3"/>
    <n v="2"/>
    <n v="5000"/>
  </r>
  <r>
    <x v="0"/>
    <x v="16"/>
    <x v="248"/>
    <x v="0"/>
    <x v="3"/>
    <n v="4"/>
    <n v="0.4"/>
    <n v="1000"/>
  </r>
  <r>
    <x v="0"/>
    <x v="16"/>
    <x v="248"/>
    <x v="0"/>
    <x v="4"/>
    <n v="5"/>
    <n v="0"/>
    <n v="0"/>
  </r>
  <r>
    <x v="0"/>
    <x v="16"/>
    <x v="248"/>
    <x v="0"/>
    <x v="5"/>
    <n v="6"/>
    <n v="2.4"/>
    <n v="6000"/>
  </r>
  <r>
    <x v="0"/>
    <x v="16"/>
    <x v="248"/>
    <x v="0"/>
    <x v="6"/>
    <n v="7"/>
    <n v="0"/>
    <n v="0"/>
  </r>
  <r>
    <x v="0"/>
    <x v="16"/>
    <x v="249"/>
    <x v="0"/>
    <x v="0"/>
    <n v="1"/>
    <n v="0"/>
    <n v="0"/>
  </r>
  <r>
    <x v="0"/>
    <x v="16"/>
    <x v="249"/>
    <x v="0"/>
    <x v="1"/>
    <n v="2"/>
    <n v="0"/>
    <n v="0"/>
  </r>
  <r>
    <x v="0"/>
    <x v="16"/>
    <x v="249"/>
    <x v="0"/>
    <x v="2"/>
    <n v="3"/>
    <n v="1.6"/>
    <n v="4000"/>
  </r>
  <r>
    <x v="0"/>
    <x v="16"/>
    <x v="249"/>
    <x v="0"/>
    <x v="3"/>
    <n v="4"/>
    <n v="1.2"/>
    <n v="3000"/>
  </r>
  <r>
    <x v="0"/>
    <x v="16"/>
    <x v="249"/>
    <x v="0"/>
    <x v="4"/>
    <n v="5"/>
    <n v="0"/>
    <n v="0"/>
  </r>
  <r>
    <x v="0"/>
    <x v="16"/>
    <x v="249"/>
    <x v="0"/>
    <x v="5"/>
    <n v="6"/>
    <n v="3.6"/>
    <n v="9000"/>
  </r>
  <r>
    <x v="0"/>
    <x v="16"/>
    <x v="249"/>
    <x v="0"/>
    <x v="6"/>
    <n v="7"/>
    <n v="0"/>
    <n v="0"/>
  </r>
  <r>
    <x v="0"/>
    <x v="16"/>
    <x v="250"/>
    <x v="0"/>
    <x v="0"/>
    <n v="1"/>
    <n v="0"/>
    <n v="0"/>
  </r>
  <r>
    <x v="0"/>
    <x v="16"/>
    <x v="250"/>
    <x v="0"/>
    <x v="1"/>
    <n v="2"/>
    <n v="0"/>
    <n v="0"/>
  </r>
  <r>
    <x v="0"/>
    <x v="16"/>
    <x v="250"/>
    <x v="0"/>
    <x v="2"/>
    <n v="3"/>
    <n v="6.4"/>
    <n v="16000"/>
  </r>
  <r>
    <x v="0"/>
    <x v="16"/>
    <x v="250"/>
    <x v="0"/>
    <x v="3"/>
    <n v="4"/>
    <n v="10"/>
    <n v="25000"/>
  </r>
  <r>
    <x v="0"/>
    <x v="16"/>
    <x v="250"/>
    <x v="0"/>
    <x v="4"/>
    <n v="5"/>
    <n v="0"/>
    <n v="0"/>
  </r>
  <r>
    <x v="0"/>
    <x v="16"/>
    <x v="250"/>
    <x v="0"/>
    <x v="5"/>
    <n v="6"/>
    <n v="16.399999999999999"/>
    <n v="41000"/>
  </r>
  <r>
    <x v="0"/>
    <x v="16"/>
    <x v="250"/>
    <x v="0"/>
    <x v="6"/>
    <n v="7"/>
    <n v="0"/>
    <n v="0"/>
  </r>
  <r>
    <x v="0"/>
    <x v="16"/>
    <x v="251"/>
    <x v="0"/>
    <x v="0"/>
    <n v="1"/>
    <n v="0"/>
    <n v="0"/>
  </r>
  <r>
    <x v="0"/>
    <x v="16"/>
    <x v="251"/>
    <x v="0"/>
    <x v="1"/>
    <n v="2"/>
    <n v="0"/>
    <n v="0"/>
  </r>
  <r>
    <x v="0"/>
    <x v="16"/>
    <x v="251"/>
    <x v="0"/>
    <x v="2"/>
    <n v="3"/>
    <n v="5.6"/>
    <n v="14000"/>
  </r>
  <r>
    <x v="0"/>
    <x v="16"/>
    <x v="251"/>
    <x v="0"/>
    <x v="3"/>
    <n v="4"/>
    <n v="1.6"/>
    <n v="4000"/>
  </r>
  <r>
    <x v="0"/>
    <x v="16"/>
    <x v="251"/>
    <x v="0"/>
    <x v="4"/>
    <n v="5"/>
    <n v="0"/>
    <n v="0"/>
  </r>
  <r>
    <x v="0"/>
    <x v="16"/>
    <x v="251"/>
    <x v="0"/>
    <x v="5"/>
    <n v="6"/>
    <n v="7.2"/>
    <n v="18000"/>
  </r>
  <r>
    <x v="0"/>
    <x v="16"/>
    <x v="251"/>
    <x v="0"/>
    <x v="6"/>
    <n v="7"/>
    <n v="0"/>
    <n v="0"/>
  </r>
  <r>
    <x v="0"/>
    <x v="16"/>
    <x v="252"/>
    <x v="0"/>
    <x v="0"/>
    <n v="1"/>
    <n v="0"/>
    <n v="0"/>
  </r>
  <r>
    <x v="0"/>
    <x v="16"/>
    <x v="252"/>
    <x v="0"/>
    <x v="1"/>
    <n v="2"/>
    <n v="0"/>
    <n v="0"/>
  </r>
  <r>
    <x v="0"/>
    <x v="16"/>
    <x v="252"/>
    <x v="0"/>
    <x v="2"/>
    <n v="3"/>
    <n v="2.8"/>
    <n v="7000"/>
  </r>
  <r>
    <x v="0"/>
    <x v="16"/>
    <x v="252"/>
    <x v="0"/>
    <x v="3"/>
    <n v="4"/>
    <n v="0.4"/>
    <n v="1000"/>
  </r>
  <r>
    <x v="0"/>
    <x v="16"/>
    <x v="252"/>
    <x v="0"/>
    <x v="4"/>
    <n v="5"/>
    <n v="0"/>
    <n v="0"/>
  </r>
  <r>
    <x v="0"/>
    <x v="16"/>
    <x v="252"/>
    <x v="0"/>
    <x v="5"/>
    <n v="6"/>
    <n v="3.2"/>
    <n v="8000"/>
  </r>
  <r>
    <x v="0"/>
    <x v="16"/>
    <x v="252"/>
    <x v="0"/>
    <x v="6"/>
    <n v="7"/>
    <n v="0"/>
    <n v="0"/>
  </r>
  <r>
    <x v="0"/>
    <x v="16"/>
    <x v="253"/>
    <x v="0"/>
    <x v="0"/>
    <n v="1"/>
    <n v="0"/>
    <n v="0"/>
  </r>
  <r>
    <x v="0"/>
    <x v="16"/>
    <x v="253"/>
    <x v="0"/>
    <x v="1"/>
    <n v="2"/>
    <n v="0"/>
    <n v="0"/>
  </r>
  <r>
    <x v="0"/>
    <x v="16"/>
    <x v="253"/>
    <x v="0"/>
    <x v="2"/>
    <n v="3"/>
    <n v="2.8"/>
    <n v="7000"/>
  </r>
  <r>
    <x v="0"/>
    <x v="16"/>
    <x v="253"/>
    <x v="0"/>
    <x v="3"/>
    <n v="4"/>
    <n v="0.4"/>
    <n v="1000"/>
  </r>
  <r>
    <x v="0"/>
    <x v="16"/>
    <x v="253"/>
    <x v="0"/>
    <x v="4"/>
    <n v="5"/>
    <n v="0"/>
    <n v="0"/>
  </r>
  <r>
    <x v="0"/>
    <x v="16"/>
    <x v="253"/>
    <x v="0"/>
    <x v="5"/>
    <n v="6"/>
    <n v="4.4000000000000004"/>
    <n v="11000"/>
  </r>
  <r>
    <x v="0"/>
    <x v="16"/>
    <x v="253"/>
    <x v="0"/>
    <x v="6"/>
    <n v="7"/>
    <n v="0"/>
    <n v="0"/>
  </r>
  <r>
    <x v="0"/>
    <x v="16"/>
    <x v="254"/>
    <x v="0"/>
    <x v="0"/>
    <n v="1"/>
    <n v="0"/>
    <n v="0"/>
  </r>
  <r>
    <x v="0"/>
    <x v="16"/>
    <x v="254"/>
    <x v="0"/>
    <x v="1"/>
    <n v="2"/>
    <n v="0"/>
    <n v="0"/>
  </r>
  <r>
    <x v="0"/>
    <x v="16"/>
    <x v="254"/>
    <x v="0"/>
    <x v="2"/>
    <n v="3"/>
    <n v="4"/>
    <n v="10000"/>
  </r>
  <r>
    <x v="0"/>
    <x v="16"/>
    <x v="254"/>
    <x v="0"/>
    <x v="3"/>
    <n v="4"/>
    <n v="0.8"/>
    <n v="2000"/>
  </r>
  <r>
    <x v="0"/>
    <x v="16"/>
    <x v="254"/>
    <x v="0"/>
    <x v="4"/>
    <n v="5"/>
    <n v="0"/>
    <n v="0"/>
  </r>
  <r>
    <x v="0"/>
    <x v="16"/>
    <x v="254"/>
    <x v="0"/>
    <x v="5"/>
    <n v="6"/>
    <n v="5.2"/>
    <n v="13000"/>
  </r>
  <r>
    <x v="0"/>
    <x v="16"/>
    <x v="254"/>
    <x v="0"/>
    <x v="6"/>
    <n v="7"/>
    <n v="0"/>
    <n v="0"/>
  </r>
  <r>
    <x v="0"/>
    <x v="16"/>
    <x v="255"/>
    <x v="0"/>
    <x v="0"/>
    <n v="1"/>
    <n v="0"/>
    <n v="0"/>
  </r>
  <r>
    <x v="0"/>
    <x v="16"/>
    <x v="255"/>
    <x v="0"/>
    <x v="1"/>
    <n v="2"/>
    <n v="0"/>
    <n v="0"/>
  </r>
  <r>
    <x v="0"/>
    <x v="16"/>
    <x v="255"/>
    <x v="0"/>
    <x v="2"/>
    <n v="3"/>
    <n v="2.8"/>
    <n v="7000"/>
  </r>
  <r>
    <x v="0"/>
    <x v="16"/>
    <x v="255"/>
    <x v="0"/>
    <x v="3"/>
    <n v="4"/>
    <n v="2"/>
    <n v="5000"/>
  </r>
  <r>
    <x v="0"/>
    <x v="16"/>
    <x v="255"/>
    <x v="0"/>
    <x v="4"/>
    <n v="5"/>
    <n v="0"/>
    <n v="0"/>
  </r>
  <r>
    <x v="0"/>
    <x v="16"/>
    <x v="255"/>
    <x v="0"/>
    <x v="5"/>
    <n v="6"/>
    <n v="4.8"/>
    <n v="12000"/>
  </r>
  <r>
    <x v="0"/>
    <x v="16"/>
    <x v="255"/>
    <x v="0"/>
    <x v="6"/>
    <n v="7"/>
    <n v="0"/>
    <n v="0"/>
  </r>
  <r>
    <x v="0"/>
    <x v="16"/>
    <x v="85"/>
    <x v="0"/>
    <x v="0"/>
    <n v="1"/>
    <n v="0"/>
    <n v="0"/>
  </r>
  <r>
    <x v="0"/>
    <x v="16"/>
    <x v="85"/>
    <x v="0"/>
    <x v="1"/>
    <n v="2"/>
    <n v="0"/>
    <n v="0"/>
  </r>
  <r>
    <x v="0"/>
    <x v="16"/>
    <x v="85"/>
    <x v="0"/>
    <x v="2"/>
    <n v="3"/>
    <n v="4.8"/>
    <n v="12000"/>
  </r>
  <r>
    <x v="0"/>
    <x v="16"/>
    <x v="85"/>
    <x v="0"/>
    <x v="3"/>
    <n v="4"/>
    <n v="0.4"/>
    <n v="1000"/>
  </r>
  <r>
    <x v="0"/>
    <x v="16"/>
    <x v="85"/>
    <x v="0"/>
    <x v="4"/>
    <n v="5"/>
    <n v="0"/>
    <n v="0"/>
  </r>
  <r>
    <x v="0"/>
    <x v="16"/>
    <x v="85"/>
    <x v="0"/>
    <x v="5"/>
    <n v="6"/>
    <n v="5.2"/>
    <n v="13000"/>
  </r>
  <r>
    <x v="0"/>
    <x v="16"/>
    <x v="85"/>
    <x v="0"/>
    <x v="6"/>
    <n v="7"/>
    <n v="0"/>
    <n v="0"/>
  </r>
  <r>
    <x v="0"/>
    <x v="16"/>
    <x v="256"/>
    <x v="0"/>
    <x v="0"/>
    <n v="1"/>
    <n v="0"/>
    <n v="0"/>
  </r>
  <r>
    <x v="0"/>
    <x v="16"/>
    <x v="256"/>
    <x v="0"/>
    <x v="1"/>
    <n v="2"/>
    <n v="0"/>
    <n v="0"/>
  </r>
  <r>
    <x v="0"/>
    <x v="16"/>
    <x v="256"/>
    <x v="0"/>
    <x v="2"/>
    <n v="3"/>
    <n v="1"/>
    <n v="1000"/>
  </r>
  <r>
    <x v="0"/>
    <x v="16"/>
    <x v="256"/>
    <x v="0"/>
    <x v="3"/>
    <n v="4"/>
    <n v="0.4"/>
    <n v="1000"/>
  </r>
  <r>
    <x v="0"/>
    <x v="16"/>
    <x v="256"/>
    <x v="0"/>
    <x v="4"/>
    <n v="5"/>
    <n v="0"/>
    <n v="0"/>
  </r>
  <r>
    <x v="0"/>
    <x v="16"/>
    <x v="256"/>
    <x v="0"/>
    <x v="5"/>
    <n v="6"/>
    <n v="0.8"/>
    <n v="2000"/>
  </r>
  <r>
    <x v="0"/>
    <x v="16"/>
    <x v="256"/>
    <x v="0"/>
    <x v="6"/>
    <n v="7"/>
    <n v="0"/>
    <n v="0"/>
  </r>
  <r>
    <x v="0"/>
    <x v="16"/>
    <x v="257"/>
    <x v="0"/>
    <x v="0"/>
    <n v="1"/>
    <n v="0"/>
    <n v="0"/>
  </r>
  <r>
    <x v="0"/>
    <x v="16"/>
    <x v="257"/>
    <x v="0"/>
    <x v="1"/>
    <n v="2"/>
    <n v="0"/>
    <n v="0"/>
  </r>
  <r>
    <x v="0"/>
    <x v="16"/>
    <x v="257"/>
    <x v="0"/>
    <x v="2"/>
    <n v="3"/>
    <n v="3.2"/>
    <n v="8000"/>
  </r>
  <r>
    <x v="0"/>
    <x v="16"/>
    <x v="257"/>
    <x v="0"/>
    <x v="3"/>
    <n v="4"/>
    <n v="0.4"/>
    <n v="1000"/>
  </r>
  <r>
    <x v="0"/>
    <x v="16"/>
    <x v="257"/>
    <x v="0"/>
    <x v="4"/>
    <n v="5"/>
    <n v="0"/>
    <n v="0"/>
  </r>
  <r>
    <x v="0"/>
    <x v="16"/>
    <x v="257"/>
    <x v="0"/>
    <x v="5"/>
    <n v="6"/>
    <n v="4"/>
    <n v="10000"/>
  </r>
  <r>
    <x v="0"/>
    <x v="16"/>
    <x v="257"/>
    <x v="0"/>
    <x v="6"/>
    <n v="7"/>
    <n v="0"/>
    <n v="0"/>
  </r>
  <r>
    <x v="0"/>
    <x v="16"/>
    <x v="258"/>
    <x v="0"/>
    <x v="0"/>
    <n v="1"/>
    <n v="0"/>
    <n v="0"/>
  </r>
  <r>
    <x v="0"/>
    <x v="16"/>
    <x v="258"/>
    <x v="0"/>
    <x v="1"/>
    <n v="2"/>
    <n v="0"/>
    <n v="0"/>
  </r>
  <r>
    <x v="0"/>
    <x v="16"/>
    <x v="258"/>
    <x v="0"/>
    <x v="2"/>
    <n v="3"/>
    <n v="7.2"/>
    <n v="18000"/>
  </r>
  <r>
    <x v="0"/>
    <x v="16"/>
    <x v="258"/>
    <x v="0"/>
    <x v="3"/>
    <n v="4"/>
    <n v="0.4"/>
    <n v="1000"/>
  </r>
  <r>
    <x v="0"/>
    <x v="16"/>
    <x v="258"/>
    <x v="0"/>
    <x v="4"/>
    <n v="5"/>
    <n v="0"/>
    <n v="0"/>
  </r>
  <r>
    <x v="0"/>
    <x v="16"/>
    <x v="258"/>
    <x v="0"/>
    <x v="5"/>
    <n v="6"/>
    <n v="7.6"/>
    <n v="19000"/>
  </r>
  <r>
    <x v="0"/>
    <x v="16"/>
    <x v="258"/>
    <x v="0"/>
    <x v="6"/>
    <n v="7"/>
    <n v="0"/>
    <n v="0"/>
  </r>
  <r>
    <x v="0"/>
    <x v="16"/>
    <x v="259"/>
    <x v="0"/>
    <x v="0"/>
    <n v="1"/>
    <n v="0"/>
    <n v="0"/>
  </r>
  <r>
    <x v="0"/>
    <x v="16"/>
    <x v="259"/>
    <x v="0"/>
    <x v="1"/>
    <n v="2"/>
    <n v="0"/>
    <n v="0"/>
  </r>
  <r>
    <x v="0"/>
    <x v="16"/>
    <x v="259"/>
    <x v="0"/>
    <x v="2"/>
    <n v="3"/>
    <n v="4.4000000000000004"/>
    <n v="11000"/>
  </r>
  <r>
    <x v="0"/>
    <x v="16"/>
    <x v="259"/>
    <x v="0"/>
    <x v="3"/>
    <n v="4"/>
    <n v="0.4"/>
    <n v="1000"/>
  </r>
  <r>
    <x v="0"/>
    <x v="16"/>
    <x v="259"/>
    <x v="0"/>
    <x v="4"/>
    <n v="5"/>
    <n v="0"/>
    <n v="0"/>
  </r>
  <r>
    <x v="0"/>
    <x v="16"/>
    <x v="259"/>
    <x v="0"/>
    <x v="5"/>
    <n v="6"/>
    <n v="4.8"/>
    <n v="12000"/>
  </r>
  <r>
    <x v="0"/>
    <x v="16"/>
    <x v="259"/>
    <x v="0"/>
    <x v="6"/>
    <n v="7"/>
    <n v="0"/>
    <n v="0"/>
  </r>
  <r>
    <x v="0"/>
    <x v="16"/>
    <x v="260"/>
    <x v="0"/>
    <x v="0"/>
    <n v="1"/>
    <n v="0"/>
    <n v="0"/>
  </r>
  <r>
    <x v="0"/>
    <x v="16"/>
    <x v="260"/>
    <x v="0"/>
    <x v="1"/>
    <n v="2"/>
    <n v="0"/>
    <n v="0"/>
  </r>
  <r>
    <x v="0"/>
    <x v="16"/>
    <x v="260"/>
    <x v="0"/>
    <x v="2"/>
    <n v="3"/>
    <n v="5.2"/>
    <n v="13000"/>
  </r>
  <r>
    <x v="0"/>
    <x v="16"/>
    <x v="260"/>
    <x v="0"/>
    <x v="3"/>
    <n v="4"/>
    <n v="0"/>
    <n v="0"/>
  </r>
  <r>
    <x v="0"/>
    <x v="16"/>
    <x v="260"/>
    <x v="0"/>
    <x v="4"/>
    <n v="5"/>
    <n v="0"/>
    <n v="0"/>
  </r>
  <r>
    <x v="0"/>
    <x v="16"/>
    <x v="260"/>
    <x v="0"/>
    <x v="5"/>
    <n v="6"/>
    <n v="4.8"/>
    <n v="12000"/>
  </r>
  <r>
    <x v="0"/>
    <x v="16"/>
    <x v="260"/>
    <x v="0"/>
    <x v="6"/>
    <n v="7"/>
    <n v="0"/>
    <n v="0"/>
  </r>
  <r>
    <x v="0"/>
    <x v="16"/>
    <x v="261"/>
    <x v="0"/>
    <x v="0"/>
    <n v="1"/>
    <n v="0"/>
    <n v="0"/>
  </r>
  <r>
    <x v="0"/>
    <x v="16"/>
    <x v="261"/>
    <x v="0"/>
    <x v="1"/>
    <n v="2"/>
    <n v="0"/>
    <n v="0"/>
  </r>
  <r>
    <x v="0"/>
    <x v="16"/>
    <x v="261"/>
    <x v="0"/>
    <x v="2"/>
    <n v="3"/>
    <n v="11.6"/>
    <n v="29000"/>
  </r>
  <r>
    <x v="0"/>
    <x v="16"/>
    <x v="261"/>
    <x v="0"/>
    <x v="3"/>
    <n v="4"/>
    <n v="1.6"/>
    <n v="4000"/>
  </r>
  <r>
    <x v="0"/>
    <x v="16"/>
    <x v="261"/>
    <x v="0"/>
    <x v="4"/>
    <n v="5"/>
    <n v="0"/>
    <n v="0"/>
  </r>
  <r>
    <x v="0"/>
    <x v="16"/>
    <x v="261"/>
    <x v="0"/>
    <x v="5"/>
    <n v="6"/>
    <n v="12.4"/>
    <n v="31000"/>
  </r>
  <r>
    <x v="0"/>
    <x v="16"/>
    <x v="261"/>
    <x v="0"/>
    <x v="6"/>
    <n v="7"/>
    <n v="0"/>
    <n v="0"/>
  </r>
  <r>
    <x v="0"/>
    <x v="17"/>
    <x v="262"/>
    <x v="0"/>
    <x v="0"/>
    <n v="1"/>
    <n v="0"/>
    <n v="0"/>
  </r>
  <r>
    <x v="0"/>
    <x v="17"/>
    <x v="262"/>
    <x v="0"/>
    <x v="1"/>
    <n v="2"/>
    <n v="0"/>
    <n v="0"/>
  </r>
  <r>
    <x v="0"/>
    <x v="17"/>
    <x v="262"/>
    <x v="0"/>
    <x v="2"/>
    <n v="3"/>
    <n v="3.6"/>
    <n v="9000"/>
  </r>
  <r>
    <x v="0"/>
    <x v="17"/>
    <x v="262"/>
    <x v="0"/>
    <x v="3"/>
    <n v="4"/>
    <n v="1.6"/>
    <n v="4000"/>
  </r>
  <r>
    <x v="0"/>
    <x v="17"/>
    <x v="262"/>
    <x v="0"/>
    <x v="4"/>
    <n v="5"/>
    <n v="0"/>
    <n v="0"/>
  </r>
  <r>
    <x v="0"/>
    <x v="17"/>
    <x v="262"/>
    <x v="0"/>
    <x v="5"/>
    <n v="6"/>
    <n v="4.8"/>
    <n v="12000"/>
  </r>
  <r>
    <x v="0"/>
    <x v="17"/>
    <x v="262"/>
    <x v="0"/>
    <x v="6"/>
    <n v="7"/>
    <n v="0"/>
    <n v="0"/>
  </r>
  <r>
    <x v="0"/>
    <x v="17"/>
    <x v="263"/>
    <x v="0"/>
    <x v="0"/>
    <n v="1"/>
    <n v="0"/>
    <n v="0"/>
  </r>
  <r>
    <x v="0"/>
    <x v="17"/>
    <x v="263"/>
    <x v="0"/>
    <x v="1"/>
    <n v="2"/>
    <n v="0"/>
    <n v="0"/>
  </r>
  <r>
    <x v="0"/>
    <x v="17"/>
    <x v="263"/>
    <x v="0"/>
    <x v="2"/>
    <n v="3"/>
    <n v="2.8"/>
    <n v="7000"/>
  </r>
  <r>
    <x v="0"/>
    <x v="17"/>
    <x v="263"/>
    <x v="0"/>
    <x v="3"/>
    <n v="4"/>
    <n v="1.2"/>
    <n v="3000"/>
  </r>
  <r>
    <x v="0"/>
    <x v="17"/>
    <x v="263"/>
    <x v="0"/>
    <x v="4"/>
    <n v="5"/>
    <n v="0"/>
    <n v="0"/>
  </r>
  <r>
    <x v="0"/>
    <x v="17"/>
    <x v="263"/>
    <x v="0"/>
    <x v="5"/>
    <n v="6"/>
    <n v="3.6"/>
    <n v="9000"/>
  </r>
  <r>
    <x v="0"/>
    <x v="17"/>
    <x v="263"/>
    <x v="0"/>
    <x v="6"/>
    <n v="7"/>
    <n v="0"/>
    <n v="0"/>
  </r>
  <r>
    <x v="0"/>
    <x v="17"/>
    <x v="264"/>
    <x v="0"/>
    <x v="0"/>
    <n v="1"/>
    <n v="0"/>
    <n v="0"/>
  </r>
  <r>
    <x v="0"/>
    <x v="17"/>
    <x v="264"/>
    <x v="0"/>
    <x v="1"/>
    <n v="2"/>
    <n v="0"/>
    <n v="0"/>
  </r>
  <r>
    <x v="0"/>
    <x v="17"/>
    <x v="264"/>
    <x v="0"/>
    <x v="2"/>
    <n v="3"/>
    <n v="13.2"/>
    <n v="33000"/>
  </r>
  <r>
    <x v="0"/>
    <x v="17"/>
    <x v="264"/>
    <x v="0"/>
    <x v="3"/>
    <n v="4"/>
    <n v="1.6"/>
    <n v="4000"/>
  </r>
  <r>
    <x v="0"/>
    <x v="17"/>
    <x v="264"/>
    <x v="0"/>
    <x v="4"/>
    <n v="5"/>
    <n v="0"/>
    <n v="0"/>
  </r>
  <r>
    <x v="0"/>
    <x v="17"/>
    <x v="264"/>
    <x v="0"/>
    <x v="5"/>
    <n v="6"/>
    <n v="14.8"/>
    <n v="37000"/>
  </r>
  <r>
    <x v="0"/>
    <x v="17"/>
    <x v="264"/>
    <x v="0"/>
    <x v="6"/>
    <n v="7"/>
    <n v="0"/>
    <n v="0"/>
  </r>
  <r>
    <x v="0"/>
    <x v="17"/>
    <x v="265"/>
    <x v="0"/>
    <x v="0"/>
    <n v="1"/>
    <n v="0"/>
    <n v="0"/>
  </r>
  <r>
    <x v="0"/>
    <x v="17"/>
    <x v="265"/>
    <x v="0"/>
    <x v="1"/>
    <n v="2"/>
    <n v="0"/>
    <n v="0"/>
  </r>
  <r>
    <x v="0"/>
    <x v="17"/>
    <x v="265"/>
    <x v="0"/>
    <x v="2"/>
    <n v="3"/>
    <n v="5.6"/>
    <n v="14000"/>
  </r>
  <r>
    <x v="0"/>
    <x v="17"/>
    <x v="265"/>
    <x v="0"/>
    <x v="3"/>
    <n v="4"/>
    <n v="0.4"/>
    <n v="1000"/>
  </r>
  <r>
    <x v="0"/>
    <x v="17"/>
    <x v="265"/>
    <x v="0"/>
    <x v="4"/>
    <n v="5"/>
    <n v="0"/>
    <n v="0"/>
  </r>
  <r>
    <x v="0"/>
    <x v="17"/>
    <x v="265"/>
    <x v="0"/>
    <x v="5"/>
    <n v="6"/>
    <n v="6"/>
    <n v="15000"/>
  </r>
  <r>
    <x v="0"/>
    <x v="17"/>
    <x v="265"/>
    <x v="0"/>
    <x v="6"/>
    <n v="7"/>
    <n v="0"/>
    <n v="0"/>
  </r>
  <r>
    <x v="0"/>
    <x v="17"/>
    <x v="266"/>
    <x v="0"/>
    <x v="0"/>
    <n v="1"/>
    <n v="0"/>
    <n v="0"/>
  </r>
  <r>
    <x v="0"/>
    <x v="17"/>
    <x v="266"/>
    <x v="0"/>
    <x v="1"/>
    <n v="2"/>
    <n v="0"/>
    <n v="0"/>
  </r>
  <r>
    <x v="0"/>
    <x v="17"/>
    <x v="266"/>
    <x v="0"/>
    <x v="2"/>
    <n v="3"/>
    <n v="2.4"/>
    <n v="6000"/>
  </r>
  <r>
    <x v="0"/>
    <x v="17"/>
    <x v="266"/>
    <x v="0"/>
    <x v="3"/>
    <n v="4"/>
    <n v="0"/>
    <n v="0"/>
  </r>
  <r>
    <x v="0"/>
    <x v="17"/>
    <x v="266"/>
    <x v="0"/>
    <x v="4"/>
    <n v="5"/>
    <n v="0"/>
    <n v="0"/>
  </r>
  <r>
    <x v="0"/>
    <x v="17"/>
    <x v="266"/>
    <x v="0"/>
    <x v="5"/>
    <n v="6"/>
    <n v="1.6"/>
    <n v="4000"/>
  </r>
  <r>
    <x v="0"/>
    <x v="17"/>
    <x v="266"/>
    <x v="0"/>
    <x v="6"/>
    <n v="7"/>
    <n v="0"/>
    <n v="0"/>
  </r>
  <r>
    <x v="0"/>
    <x v="17"/>
    <x v="267"/>
    <x v="0"/>
    <x v="0"/>
    <n v="1"/>
    <n v="0"/>
    <n v="0"/>
  </r>
  <r>
    <x v="0"/>
    <x v="17"/>
    <x v="267"/>
    <x v="0"/>
    <x v="1"/>
    <n v="2"/>
    <n v="0"/>
    <n v="0"/>
  </r>
  <r>
    <x v="0"/>
    <x v="17"/>
    <x v="267"/>
    <x v="0"/>
    <x v="2"/>
    <n v="3"/>
    <n v="2.4"/>
    <n v="6000"/>
  </r>
  <r>
    <x v="0"/>
    <x v="17"/>
    <x v="267"/>
    <x v="0"/>
    <x v="3"/>
    <n v="4"/>
    <n v="1.2"/>
    <n v="3000"/>
  </r>
  <r>
    <x v="0"/>
    <x v="17"/>
    <x v="267"/>
    <x v="0"/>
    <x v="4"/>
    <n v="5"/>
    <n v="0"/>
    <n v="0"/>
  </r>
  <r>
    <x v="0"/>
    <x v="17"/>
    <x v="267"/>
    <x v="0"/>
    <x v="5"/>
    <n v="6"/>
    <n v="4"/>
    <n v="10000"/>
  </r>
  <r>
    <x v="0"/>
    <x v="17"/>
    <x v="267"/>
    <x v="0"/>
    <x v="6"/>
    <n v="7"/>
    <n v="0"/>
    <n v="0"/>
  </r>
  <r>
    <x v="0"/>
    <x v="17"/>
    <x v="268"/>
    <x v="0"/>
    <x v="0"/>
    <n v="1"/>
    <n v="0"/>
    <n v="0"/>
  </r>
  <r>
    <x v="0"/>
    <x v="17"/>
    <x v="268"/>
    <x v="0"/>
    <x v="1"/>
    <n v="2"/>
    <n v="0"/>
    <n v="0"/>
  </r>
  <r>
    <x v="0"/>
    <x v="17"/>
    <x v="268"/>
    <x v="0"/>
    <x v="2"/>
    <n v="3"/>
    <n v="3.2"/>
    <n v="8000"/>
  </r>
  <r>
    <x v="0"/>
    <x v="17"/>
    <x v="268"/>
    <x v="0"/>
    <x v="3"/>
    <n v="4"/>
    <n v="0.8"/>
    <n v="2000"/>
  </r>
  <r>
    <x v="0"/>
    <x v="17"/>
    <x v="268"/>
    <x v="0"/>
    <x v="4"/>
    <n v="5"/>
    <n v="0"/>
    <n v="0"/>
  </r>
  <r>
    <x v="0"/>
    <x v="17"/>
    <x v="268"/>
    <x v="0"/>
    <x v="5"/>
    <n v="6"/>
    <n v="4"/>
    <n v="10000"/>
  </r>
  <r>
    <x v="0"/>
    <x v="17"/>
    <x v="268"/>
    <x v="0"/>
    <x v="6"/>
    <n v="7"/>
    <n v="0"/>
    <n v="0"/>
  </r>
  <r>
    <x v="0"/>
    <x v="17"/>
    <x v="269"/>
    <x v="0"/>
    <x v="0"/>
    <n v="1"/>
    <n v="0"/>
    <n v="0"/>
  </r>
  <r>
    <x v="0"/>
    <x v="17"/>
    <x v="269"/>
    <x v="0"/>
    <x v="1"/>
    <n v="2"/>
    <n v="0"/>
    <n v="0"/>
  </r>
  <r>
    <x v="0"/>
    <x v="17"/>
    <x v="269"/>
    <x v="0"/>
    <x v="2"/>
    <n v="3"/>
    <n v="12.4"/>
    <n v="31000"/>
  </r>
  <r>
    <x v="0"/>
    <x v="17"/>
    <x v="269"/>
    <x v="0"/>
    <x v="3"/>
    <n v="4"/>
    <n v="2.4"/>
    <n v="6000"/>
  </r>
  <r>
    <x v="0"/>
    <x v="17"/>
    <x v="269"/>
    <x v="0"/>
    <x v="4"/>
    <n v="5"/>
    <n v="0"/>
    <n v="0"/>
  </r>
  <r>
    <x v="0"/>
    <x v="17"/>
    <x v="269"/>
    <x v="0"/>
    <x v="5"/>
    <n v="6"/>
    <n v="14.4"/>
    <n v="36000"/>
  </r>
  <r>
    <x v="0"/>
    <x v="17"/>
    <x v="269"/>
    <x v="0"/>
    <x v="6"/>
    <n v="7"/>
    <n v="0"/>
    <n v="0"/>
  </r>
  <r>
    <x v="0"/>
    <x v="17"/>
    <x v="270"/>
    <x v="0"/>
    <x v="0"/>
    <n v="1"/>
    <n v="0"/>
    <n v="0"/>
  </r>
  <r>
    <x v="0"/>
    <x v="17"/>
    <x v="270"/>
    <x v="0"/>
    <x v="1"/>
    <n v="2"/>
    <n v="0"/>
    <n v="0"/>
  </r>
  <r>
    <x v="0"/>
    <x v="17"/>
    <x v="270"/>
    <x v="0"/>
    <x v="2"/>
    <n v="3"/>
    <n v="4"/>
    <n v="10000"/>
  </r>
  <r>
    <x v="0"/>
    <x v="17"/>
    <x v="270"/>
    <x v="0"/>
    <x v="3"/>
    <n v="4"/>
    <n v="0"/>
    <n v="0"/>
  </r>
  <r>
    <x v="0"/>
    <x v="17"/>
    <x v="270"/>
    <x v="0"/>
    <x v="4"/>
    <n v="5"/>
    <n v="0"/>
    <n v="0"/>
  </r>
  <r>
    <x v="0"/>
    <x v="17"/>
    <x v="270"/>
    <x v="0"/>
    <x v="5"/>
    <n v="6"/>
    <n v="4"/>
    <n v="10000"/>
  </r>
  <r>
    <x v="0"/>
    <x v="17"/>
    <x v="270"/>
    <x v="0"/>
    <x v="6"/>
    <n v="7"/>
    <n v="0"/>
    <n v="0"/>
  </r>
  <r>
    <x v="0"/>
    <x v="17"/>
    <x v="271"/>
    <x v="0"/>
    <x v="0"/>
    <n v="1"/>
    <n v="0"/>
    <n v="0"/>
  </r>
  <r>
    <x v="0"/>
    <x v="17"/>
    <x v="271"/>
    <x v="0"/>
    <x v="1"/>
    <n v="2"/>
    <n v="0"/>
    <n v="0"/>
  </r>
  <r>
    <x v="0"/>
    <x v="17"/>
    <x v="271"/>
    <x v="0"/>
    <x v="2"/>
    <n v="3"/>
    <n v="7.6"/>
    <n v="19000"/>
  </r>
  <r>
    <x v="0"/>
    <x v="17"/>
    <x v="271"/>
    <x v="0"/>
    <x v="3"/>
    <n v="4"/>
    <n v="2.4"/>
    <n v="6000"/>
  </r>
  <r>
    <x v="0"/>
    <x v="17"/>
    <x v="271"/>
    <x v="0"/>
    <x v="4"/>
    <n v="5"/>
    <n v="0"/>
    <n v="0"/>
  </r>
  <r>
    <x v="0"/>
    <x v="17"/>
    <x v="271"/>
    <x v="0"/>
    <x v="5"/>
    <n v="6"/>
    <n v="9.6"/>
    <n v="24000"/>
  </r>
  <r>
    <x v="0"/>
    <x v="17"/>
    <x v="271"/>
    <x v="0"/>
    <x v="6"/>
    <n v="7"/>
    <n v="0"/>
    <n v="0"/>
  </r>
  <r>
    <x v="0"/>
    <x v="17"/>
    <x v="272"/>
    <x v="0"/>
    <x v="0"/>
    <n v="1"/>
    <n v="0"/>
    <n v="0"/>
  </r>
  <r>
    <x v="0"/>
    <x v="17"/>
    <x v="272"/>
    <x v="0"/>
    <x v="1"/>
    <n v="2"/>
    <n v="0"/>
    <n v="0"/>
  </r>
  <r>
    <x v="0"/>
    <x v="17"/>
    <x v="272"/>
    <x v="0"/>
    <x v="2"/>
    <n v="3"/>
    <n v="5.6"/>
    <n v="14000"/>
  </r>
  <r>
    <x v="0"/>
    <x v="17"/>
    <x v="272"/>
    <x v="0"/>
    <x v="3"/>
    <n v="4"/>
    <n v="2.4"/>
    <n v="6000"/>
  </r>
  <r>
    <x v="0"/>
    <x v="17"/>
    <x v="272"/>
    <x v="0"/>
    <x v="4"/>
    <n v="5"/>
    <n v="0"/>
    <n v="0"/>
  </r>
  <r>
    <x v="0"/>
    <x v="17"/>
    <x v="272"/>
    <x v="0"/>
    <x v="5"/>
    <n v="6"/>
    <n v="8"/>
    <n v="20000"/>
  </r>
  <r>
    <x v="0"/>
    <x v="17"/>
    <x v="272"/>
    <x v="0"/>
    <x v="6"/>
    <n v="7"/>
    <n v="0"/>
    <n v="0"/>
  </r>
  <r>
    <x v="0"/>
    <x v="17"/>
    <x v="273"/>
    <x v="0"/>
    <x v="0"/>
    <n v="1"/>
    <n v="0"/>
    <n v="0"/>
  </r>
  <r>
    <x v="0"/>
    <x v="17"/>
    <x v="273"/>
    <x v="0"/>
    <x v="1"/>
    <n v="2"/>
    <n v="0"/>
    <n v="0"/>
  </r>
  <r>
    <x v="0"/>
    <x v="17"/>
    <x v="273"/>
    <x v="0"/>
    <x v="2"/>
    <n v="3"/>
    <n v="10.8"/>
    <n v="27000"/>
  </r>
  <r>
    <x v="0"/>
    <x v="17"/>
    <x v="273"/>
    <x v="0"/>
    <x v="3"/>
    <n v="4"/>
    <n v="2.8"/>
    <n v="7000"/>
  </r>
  <r>
    <x v="0"/>
    <x v="17"/>
    <x v="273"/>
    <x v="0"/>
    <x v="4"/>
    <n v="5"/>
    <n v="0"/>
    <n v="0"/>
  </r>
  <r>
    <x v="0"/>
    <x v="17"/>
    <x v="273"/>
    <x v="0"/>
    <x v="5"/>
    <n v="6"/>
    <n v="14"/>
    <n v="35000"/>
  </r>
  <r>
    <x v="0"/>
    <x v="17"/>
    <x v="273"/>
    <x v="0"/>
    <x v="6"/>
    <n v="7"/>
    <n v="0"/>
    <n v="0"/>
  </r>
  <r>
    <x v="0"/>
    <x v="17"/>
    <x v="274"/>
    <x v="0"/>
    <x v="0"/>
    <n v="1"/>
    <n v="0"/>
    <n v="0"/>
  </r>
  <r>
    <x v="0"/>
    <x v="17"/>
    <x v="274"/>
    <x v="0"/>
    <x v="1"/>
    <n v="2"/>
    <n v="0"/>
    <n v="0"/>
  </r>
  <r>
    <x v="0"/>
    <x v="17"/>
    <x v="274"/>
    <x v="0"/>
    <x v="2"/>
    <n v="3"/>
    <n v="2"/>
    <n v="5000"/>
  </r>
  <r>
    <x v="0"/>
    <x v="17"/>
    <x v="274"/>
    <x v="0"/>
    <x v="3"/>
    <n v="4"/>
    <n v="2"/>
    <n v="5000"/>
  </r>
  <r>
    <x v="0"/>
    <x v="17"/>
    <x v="274"/>
    <x v="0"/>
    <x v="4"/>
    <n v="5"/>
    <n v="0"/>
    <n v="0"/>
  </r>
  <r>
    <x v="0"/>
    <x v="17"/>
    <x v="274"/>
    <x v="0"/>
    <x v="5"/>
    <n v="6"/>
    <n v="4.4000000000000004"/>
    <n v="11000"/>
  </r>
  <r>
    <x v="0"/>
    <x v="17"/>
    <x v="274"/>
    <x v="0"/>
    <x v="6"/>
    <n v="7"/>
    <n v="0"/>
    <n v="0"/>
  </r>
  <r>
    <x v="0"/>
    <x v="17"/>
    <x v="275"/>
    <x v="0"/>
    <x v="0"/>
    <n v="1"/>
    <n v="0"/>
    <n v="0"/>
  </r>
  <r>
    <x v="0"/>
    <x v="17"/>
    <x v="275"/>
    <x v="0"/>
    <x v="1"/>
    <n v="2"/>
    <n v="0"/>
    <n v="0"/>
  </r>
  <r>
    <x v="0"/>
    <x v="17"/>
    <x v="275"/>
    <x v="0"/>
    <x v="2"/>
    <n v="3"/>
    <n v="6"/>
    <n v="15000"/>
  </r>
  <r>
    <x v="0"/>
    <x v="17"/>
    <x v="275"/>
    <x v="0"/>
    <x v="3"/>
    <n v="4"/>
    <n v="1.2"/>
    <n v="3000"/>
  </r>
  <r>
    <x v="0"/>
    <x v="17"/>
    <x v="275"/>
    <x v="0"/>
    <x v="4"/>
    <n v="5"/>
    <n v="0"/>
    <n v="0"/>
  </r>
  <r>
    <x v="0"/>
    <x v="17"/>
    <x v="275"/>
    <x v="0"/>
    <x v="5"/>
    <n v="6"/>
    <n v="7.6"/>
    <n v="19000"/>
  </r>
  <r>
    <x v="0"/>
    <x v="17"/>
    <x v="275"/>
    <x v="0"/>
    <x v="6"/>
    <n v="7"/>
    <n v="0"/>
    <n v="0"/>
  </r>
  <r>
    <x v="0"/>
    <x v="18"/>
    <x v="276"/>
    <x v="0"/>
    <x v="0"/>
    <n v="1"/>
    <n v="0"/>
    <n v="0"/>
  </r>
  <r>
    <x v="0"/>
    <x v="18"/>
    <x v="276"/>
    <x v="0"/>
    <x v="1"/>
    <n v="2"/>
    <n v="0"/>
    <n v="0"/>
  </r>
  <r>
    <x v="0"/>
    <x v="18"/>
    <x v="276"/>
    <x v="0"/>
    <x v="2"/>
    <n v="3"/>
    <n v="7.6"/>
    <n v="19000"/>
  </r>
  <r>
    <x v="0"/>
    <x v="18"/>
    <x v="276"/>
    <x v="0"/>
    <x v="3"/>
    <n v="4"/>
    <n v="0.4"/>
    <n v="1000"/>
  </r>
  <r>
    <x v="0"/>
    <x v="18"/>
    <x v="276"/>
    <x v="0"/>
    <x v="4"/>
    <n v="5"/>
    <n v="0"/>
    <n v="0"/>
  </r>
  <r>
    <x v="0"/>
    <x v="18"/>
    <x v="276"/>
    <x v="0"/>
    <x v="5"/>
    <n v="6"/>
    <n v="8"/>
    <n v="20000"/>
  </r>
  <r>
    <x v="0"/>
    <x v="18"/>
    <x v="276"/>
    <x v="0"/>
    <x v="6"/>
    <n v="7"/>
    <n v="0"/>
    <n v="0"/>
  </r>
  <r>
    <x v="0"/>
    <x v="18"/>
    <x v="277"/>
    <x v="0"/>
    <x v="0"/>
    <n v="1"/>
    <n v="0"/>
    <n v="0"/>
  </r>
  <r>
    <x v="0"/>
    <x v="18"/>
    <x v="277"/>
    <x v="0"/>
    <x v="1"/>
    <n v="2"/>
    <n v="0"/>
    <n v="0"/>
  </r>
  <r>
    <x v="0"/>
    <x v="18"/>
    <x v="277"/>
    <x v="0"/>
    <x v="2"/>
    <n v="3"/>
    <n v="9.1999999999999993"/>
    <n v="23000"/>
  </r>
  <r>
    <x v="0"/>
    <x v="18"/>
    <x v="277"/>
    <x v="0"/>
    <x v="3"/>
    <n v="4"/>
    <n v="2"/>
    <n v="5000"/>
  </r>
  <r>
    <x v="0"/>
    <x v="18"/>
    <x v="277"/>
    <x v="0"/>
    <x v="4"/>
    <n v="5"/>
    <n v="0"/>
    <n v="0"/>
  </r>
  <r>
    <x v="0"/>
    <x v="18"/>
    <x v="277"/>
    <x v="0"/>
    <x v="5"/>
    <n v="6"/>
    <n v="11.2"/>
    <n v="28000"/>
  </r>
  <r>
    <x v="0"/>
    <x v="18"/>
    <x v="277"/>
    <x v="0"/>
    <x v="6"/>
    <n v="7"/>
    <n v="0"/>
    <n v="0"/>
  </r>
  <r>
    <x v="0"/>
    <x v="18"/>
    <x v="278"/>
    <x v="0"/>
    <x v="0"/>
    <n v="1"/>
    <n v="0"/>
    <n v="0"/>
  </r>
  <r>
    <x v="0"/>
    <x v="18"/>
    <x v="278"/>
    <x v="0"/>
    <x v="1"/>
    <n v="2"/>
    <n v="0"/>
    <n v="0"/>
  </r>
  <r>
    <x v="0"/>
    <x v="18"/>
    <x v="278"/>
    <x v="0"/>
    <x v="2"/>
    <n v="3"/>
    <n v="4"/>
    <n v="10000"/>
  </r>
  <r>
    <x v="0"/>
    <x v="18"/>
    <x v="278"/>
    <x v="0"/>
    <x v="3"/>
    <n v="4"/>
    <n v="1.6"/>
    <n v="4000"/>
  </r>
  <r>
    <x v="0"/>
    <x v="18"/>
    <x v="278"/>
    <x v="0"/>
    <x v="4"/>
    <n v="5"/>
    <n v="0"/>
    <n v="0"/>
  </r>
  <r>
    <x v="0"/>
    <x v="18"/>
    <x v="278"/>
    <x v="0"/>
    <x v="5"/>
    <n v="6"/>
    <n v="6"/>
    <n v="15000"/>
  </r>
  <r>
    <x v="0"/>
    <x v="18"/>
    <x v="278"/>
    <x v="0"/>
    <x v="6"/>
    <n v="7"/>
    <n v="0"/>
    <n v="0"/>
  </r>
  <r>
    <x v="0"/>
    <x v="18"/>
    <x v="279"/>
    <x v="0"/>
    <x v="0"/>
    <n v="1"/>
    <n v="0"/>
    <n v="0"/>
  </r>
  <r>
    <x v="0"/>
    <x v="18"/>
    <x v="279"/>
    <x v="0"/>
    <x v="1"/>
    <n v="2"/>
    <n v="0"/>
    <n v="0"/>
  </r>
  <r>
    <x v="0"/>
    <x v="18"/>
    <x v="279"/>
    <x v="0"/>
    <x v="2"/>
    <n v="3"/>
    <n v="3.6"/>
    <n v="9000"/>
  </r>
  <r>
    <x v="0"/>
    <x v="18"/>
    <x v="279"/>
    <x v="0"/>
    <x v="3"/>
    <n v="4"/>
    <n v="2"/>
    <n v="5000"/>
  </r>
  <r>
    <x v="0"/>
    <x v="18"/>
    <x v="279"/>
    <x v="0"/>
    <x v="4"/>
    <n v="5"/>
    <n v="0"/>
    <n v="0"/>
  </r>
  <r>
    <x v="0"/>
    <x v="18"/>
    <x v="279"/>
    <x v="0"/>
    <x v="5"/>
    <n v="6"/>
    <n v="5.6"/>
    <n v="14000"/>
  </r>
  <r>
    <x v="0"/>
    <x v="18"/>
    <x v="279"/>
    <x v="0"/>
    <x v="6"/>
    <n v="7"/>
    <n v="0"/>
    <n v="0"/>
  </r>
  <r>
    <x v="0"/>
    <x v="18"/>
    <x v="280"/>
    <x v="0"/>
    <x v="0"/>
    <n v="1"/>
    <n v="0"/>
    <n v="0"/>
  </r>
  <r>
    <x v="0"/>
    <x v="18"/>
    <x v="280"/>
    <x v="0"/>
    <x v="1"/>
    <n v="2"/>
    <n v="0"/>
    <n v="0"/>
  </r>
  <r>
    <x v="0"/>
    <x v="18"/>
    <x v="280"/>
    <x v="0"/>
    <x v="2"/>
    <n v="3"/>
    <n v="3.2"/>
    <n v="8000"/>
  </r>
  <r>
    <x v="0"/>
    <x v="18"/>
    <x v="280"/>
    <x v="0"/>
    <x v="3"/>
    <n v="4"/>
    <n v="2"/>
    <n v="5000"/>
  </r>
  <r>
    <x v="0"/>
    <x v="18"/>
    <x v="280"/>
    <x v="0"/>
    <x v="4"/>
    <n v="5"/>
    <n v="0"/>
    <n v="0"/>
  </r>
  <r>
    <x v="0"/>
    <x v="18"/>
    <x v="280"/>
    <x v="0"/>
    <x v="5"/>
    <n v="6"/>
    <n v="5.2"/>
    <n v="13000"/>
  </r>
  <r>
    <x v="0"/>
    <x v="18"/>
    <x v="280"/>
    <x v="0"/>
    <x v="6"/>
    <n v="7"/>
    <n v="0"/>
    <n v="0"/>
  </r>
  <r>
    <x v="0"/>
    <x v="18"/>
    <x v="281"/>
    <x v="0"/>
    <x v="0"/>
    <n v="1"/>
    <n v="0"/>
    <n v="0"/>
  </r>
  <r>
    <x v="0"/>
    <x v="18"/>
    <x v="281"/>
    <x v="0"/>
    <x v="1"/>
    <n v="2"/>
    <n v="0"/>
    <n v="0"/>
  </r>
  <r>
    <x v="0"/>
    <x v="18"/>
    <x v="281"/>
    <x v="0"/>
    <x v="2"/>
    <n v="3"/>
    <n v="3.2"/>
    <n v="8000"/>
  </r>
  <r>
    <x v="0"/>
    <x v="18"/>
    <x v="281"/>
    <x v="0"/>
    <x v="3"/>
    <n v="4"/>
    <n v="0.4"/>
    <n v="1000"/>
  </r>
  <r>
    <x v="0"/>
    <x v="18"/>
    <x v="281"/>
    <x v="0"/>
    <x v="4"/>
    <n v="5"/>
    <n v="0"/>
    <n v="0"/>
  </r>
  <r>
    <x v="0"/>
    <x v="18"/>
    <x v="281"/>
    <x v="0"/>
    <x v="5"/>
    <n v="6"/>
    <n v="3.2"/>
    <n v="8000"/>
  </r>
  <r>
    <x v="0"/>
    <x v="18"/>
    <x v="281"/>
    <x v="0"/>
    <x v="6"/>
    <n v="7"/>
    <n v="0"/>
    <n v="0"/>
  </r>
  <r>
    <x v="0"/>
    <x v="18"/>
    <x v="282"/>
    <x v="0"/>
    <x v="0"/>
    <n v="1"/>
    <n v="0"/>
    <n v="0"/>
  </r>
  <r>
    <x v="0"/>
    <x v="18"/>
    <x v="282"/>
    <x v="0"/>
    <x v="1"/>
    <n v="2"/>
    <n v="0"/>
    <n v="0"/>
  </r>
  <r>
    <x v="0"/>
    <x v="18"/>
    <x v="282"/>
    <x v="0"/>
    <x v="2"/>
    <n v="3"/>
    <n v="4.8"/>
    <n v="12000"/>
  </r>
  <r>
    <x v="0"/>
    <x v="18"/>
    <x v="282"/>
    <x v="0"/>
    <x v="3"/>
    <n v="4"/>
    <n v="1.2"/>
    <n v="3000"/>
  </r>
  <r>
    <x v="0"/>
    <x v="18"/>
    <x v="282"/>
    <x v="0"/>
    <x v="4"/>
    <n v="5"/>
    <n v="0"/>
    <n v="0"/>
  </r>
  <r>
    <x v="0"/>
    <x v="18"/>
    <x v="282"/>
    <x v="0"/>
    <x v="5"/>
    <n v="6"/>
    <n v="5.6"/>
    <n v="14000"/>
  </r>
  <r>
    <x v="0"/>
    <x v="18"/>
    <x v="282"/>
    <x v="0"/>
    <x v="6"/>
    <n v="7"/>
    <n v="0"/>
    <n v="0"/>
  </r>
  <r>
    <x v="0"/>
    <x v="18"/>
    <x v="283"/>
    <x v="0"/>
    <x v="0"/>
    <n v="1"/>
    <n v="0"/>
    <n v="0"/>
  </r>
  <r>
    <x v="0"/>
    <x v="18"/>
    <x v="283"/>
    <x v="0"/>
    <x v="1"/>
    <n v="2"/>
    <n v="0"/>
    <n v="0"/>
  </r>
  <r>
    <x v="0"/>
    <x v="18"/>
    <x v="283"/>
    <x v="0"/>
    <x v="2"/>
    <n v="3"/>
    <n v="18"/>
    <n v="45000"/>
  </r>
  <r>
    <x v="0"/>
    <x v="18"/>
    <x v="283"/>
    <x v="0"/>
    <x v="3"/>
    <n v="4"/>
    <n v="2.8"/>
    <n v="7000"/>
  </r>
  <r>
    <x v="0"/>
    <x v="18"/>
    <x v="283"/>
    <x v="0"/>
    <x v="4"/>
    <n v="5"/>
    <n v="0"/>
    <n v="0"/>
  </r>
  <r>
    <x v="0"/>
    <x v="18"/>
    <x v="283"/>
    <x v="0"/>
    <x v="5"/>
    <n v="6"/>
    <n v="20.8"/>
    <n v="52000"/>
  </r>
  <r>
    <x v="0"/>
    <x v="18"/>
    <x v="283"/>
    <x v="0"/>
    <x v="6"/>
    <n v="7"/>
    <n v="0"/>
    <n v="0"/>
  </r>
  <r>
    <x v="0"/>
    <x v="18"/>
    <x v="284"/>
    <x v="0"/>
    <x v="0"/>
    <n v="1"/>
    <n v="0"/>
    <n v="0"/>
  </r>
  <r>
    <x v="0"/>
    <x v="18"/>
    <x v="284"/>
    <x v="0"/>
    <x v="1"/>
    <n v="2"/>
    <n v="0"/>
    <n v="0"/>
  </r>
  <r>
    <x v="0"/>
    <x v="18"/>
    <x v="284"/>
    <x v="0"/>
    <x v="2"/>
    <n v="3"/>
    <n v="5.2"/>
    <n v="13000"/>
  </r>
  <r>
    <x v="0"/>
    <x v="18"/>
    <x v="284"/>
    <x v="0"/>
    <x v="3"/>
    <n v="4"/>
    <n v="2"/>
    <n v="5000"/>
  </r>
  <r>
    <x v="0"/>
    <x v="18"/>
    <x v="284"/>
    <x v="0"/>
    <x v="4"/>
    <n v="5"/>
    <n v="0"/>
    <n v="0"/>
  </r>
  <r>
    <x v="0"/>
    <x v="18"/>
    <x v="284"/>
    <x v="0"/>
    <x v="5"/>
    <n v="6"/>
    <n v="7.2"/>
    <n v="18000"/>
  </r>
  <r>
    <x v="0"/>
    <x v="18"/>
    <x v="284"/>
    <x v="0"/>
    <x v="6"/>
    <n v="7"/>
    <n v="0"/>
    <n v="0"/>
  </r>
  <r>
    <x v="0"/>
    <x v="18"/>
    <x v="285"/>
    <x v="0"/>
    <x v="0"/>
    <n v="1"/>
    <n v="0"/>
    <n v="0"/>
  </r>
  <r>
    <x v="0"/>
    <x v="18"/>
    <x v="285"/>
    <x v="0"/>
    <x v="1"/>
    <n v="2"/>
    <n v="0"/>
    <n v="0"/>
  </r>
  <r>
    <x v="0"/>
    <x v="18"/>
    <x v="285"/>
    <x v="0"/>
    <x v="2"/>
    <n v="3"/>
    <n v="8.4"/>
    <n v="21000"/>
  </r>
  <r>
    <x v="0"/>
    <x v="18"/>
    <x v="285"/>
    <x v="0"/>
    <x v="3"/>
    <n v="4"/>
    <n v="2.4"/>
    <n v="6000"/>
  </r>
  <r>
    <x v="0"/>
    <x v="18"/>
    <x v="285"/>
    <x v="0"/>
    <x v="4"/>
    <n v="5"/>
    <n v="0"/>
    <n v="0"/>
  </r>
  <r>
    <x v="0"/>
    <x v="18"/>
    <x v="285"/>
    <x v="0"/>
    <x v="5"/>
    <n v="6"/>
    <n v="10.8"/>
    <n v="27000"/>
  </r>
  <r>
    <x v="0"/>
    <x v="18"/>
    <x v="285"/>
    <x v="0"/>
    <x v="6"/>
    <n v="7"/>
    <n v="0"/>
    <n v="0"/>
  </r>
  <r>
    <x v="0"/>
    <x v="18"/>
    <x v="286"/>
    <x v="0"/>
    <x v="0"/>
    <n v="1"/>
    <n v="0"/>
    <n v="0"/>
  </r>
  <r>
    <x v="0"/>
    <x v="18"/>
    <x v="286"/>
    <x v="0"/>
    <x v="1"/>
    <n v="2"/>
    <n v="0"/>
    <n v="0"/>
  </r>
  <r>
    <x v="0"/>
    <x v="18"/>
    <x v="286"/>
    <x v="0"/>
    <x v="2"/>
    <n v="3"/>
    <n v="4.4000000000000004"/>
    <n v="11000"/>
  </r>
  <r>
    <x v="0"/>
    <x v="18"/>
    <x v="286"/>
    <x v="0"/>
    <x v="3"/>
    <n v="4"/>
    <n v="4"/>
    <n v="10000"/>
  </r>
  <r>
    <x v="0"/>
    <x v="18"/>
    <x v="286"/>
    <x v="0"/>
    <x v="4"/>
    <n v="5"/>
    <n v="0"/>
    <n v="0"/>
  </r>
  <r>
    <x v="0"/>
    <x v="18"/>
    <x v="286"/>
    <x v="0"/>
    <x v="5"/>
    <n v="6"/>
    <n v="8.4"/>
    <n v="21000"/>
  </r>
  <r>
    <x v="0"/>
    <x v="18"/>
    <x v="286"/>
    <x v="0"/>
    <x v="6"/>
    <n v="7"/>
    <n v="0"/>
    <n v="0"/>
  </r>
  <r>
    <x v="0"/>
    <x v="18"/>
    <x v="287"/>
    <x v="0"/>
    <x v="0"/>
    <n v="1"/>
    <n v="0"/>
    <n v="0"/>
  </r>
  <r>
    <x v="0"/>
    <x v="18"/>
    <x v="287"/>
    <x v="0"/>
    <x v="1"/>
    <n v="2"/>
    <n v="0"/>
    <n v="0"/>
  </r>
  <r>
    <x v="0"/>
    <x v="18"/>
    <x v="287"/>
    <x v="0"/>
    <x v="2"/>
    <n v="3"/>
    <n v="1.2"/>
    <n v="3000"/>
  </r>
  <r>
    <x v="0"/>
    <x v="18"/>
    <x v="287"/>
    <x v="0"/>
    <x v="3"/>
    <n v="4"/>
    <n v="1.2"/>
    <n v="3000"/>
  </r>
  <r>
    <x v="0"/>
    <x v="18"/>
    <x v="287"/>
    <x v="0"/>
    <x v="4"/>
    <n v="5"/>
    <n v="0"/>
    <n v="0"/>
  </r>
  <r>
    <x v="0"/>
    <x v="18"/>
    <x v="287"/>
    <x v="0"/>
    <x v="5"/>
    <n v="6"/>
    <n v="2.8"/>
    <n v="7000"/>
  </r>
  <r>
    <x v="0"/>
    <x v="18"/>
    <x v="287"/>
    <x v="0"/>
    <x v="6"/>
    <n v="7"/>
    <n v="0"/>
    <n v="0"/>
  </r>
  <r>
    <x v="0"/>
    <x v="18"/>
    <x v="288"/>
    <x v="0"/>
    <x v="0"/>
    <n v="1"/>
    <n v="0"/>
    <n v="0"/>
  </r>
  <r>
    <x v="0"/>
    <x v="18"/>
    <x v="288"/>
    <x v="0"/>
    <x v="1"/>
    <n v="2"/>
    <n v="0"/>
    <n v="0"/>
  </r>
  <r>
    <x v="0"/>
    <x v="18"/>
    <x v="288"/>
    <x v="0"/>
    <x v="2"/>
    <n v="3"/>
    <n v="5.6"/>
    <n v="14000"/>
  </r>
  <r>
    <x v="0"/>
    <x v="18"/>
    <x v="288"/>
    <x v="0"/>
    <x v="3"/>
    <n v="4"/>
    <n v="2"/>
    <n v="5000"/>
  </r>
  <r>
    <x v="0"/>
    <x v="18"/>
    <x v="288"/>
    <x v="0"/>
    <x v="4"/>
    <n v="5"/>
    <n v="0"/>
    <n v="0"/>
  </r>
  <r>
    <x v="0"/>
    <x v="18"/>
    <x v="288"/>
    <x v="0"/>
    <x v="5"/>
    <n v="6"/>
    <n v="7.6"/>
    <n v="19000"/>
  </r>
  <r>
    <x v="0"/>
    <x v="18"/>
    <x v="288"/>
    <x v="0"/>
    <x v="6"/>
    <n v="7"/>
    <n v="0"/>
    <n v="0"/>
  </r>
  <r>
    <x v="0"/>
    <x v="18"/>
    <x v="289"/>
    <x v="0"/>
    <x v="0"/>
    <n v="1"/>
    <n v="0"/>
    <n v="0"/>
  </r>
  <r>
    <x v="0"/>
    <x v="18"/>
    <x v="289"/>
    <x v="0"/>
    <x v="1"/>
    <n v="2"/>
    <n v="0"/>
    <n v="0"/>
  </r>
  <r>
    <x v="0"/>
    <x v="18"/>
    <x v="289"/>
    <x v="0"/>
    <x v="2"/>
    <n v="3"/>
    <n v="3.2"/>
    <n v="8000"/>
  </r>
  <r>
    <x v="0"/>
    <x v="18"/>
    <x v="289"/>
    <x v="0"/>
    <x v="3"/>
    <n v="4"/>
    <n v="0.8"/>
    <n v="2000"/>
  </r>
  <r>
    <x v="0"/>
    <x v="18"/>
    <x v="289"/>
    <x v="0"/>
    <x v="4"/>
    <n v="5"/>
    <n v="0"/>
    <n v="0"/>
  </r>
  <r>
    <x v="0"/>
    <x v="18"/>
    <x v="289"/>
    <x v="0"/>
    <x v="5"/>
    <n v="6"/>
    <n v="4"/>
    <n v="10000"/>
  </r>
  <r>
    <x v="0"/>
    <x v="18"/>
    <x v="289"/>
    <x v="0"/>
    <x v="6"/>
    <n v="7"/>
    <n v="0"/>
    <n v="0"/>
  </r>
  <r>
    <x v="0"/>
    <x v="18"/>
    <x v="290"/>
    <x v="0"/>
    <x v="0"/>
    <n v="1"/>
    <n v="0"/>
    <n v="0"/>
  </r>
  <r>
    <x v="0"/>
    <x v="18"/>
    <x v="290"/>
    <x v="0"/>
    <x v="1"/>
    <n v="2"/>
    <n v="0"/>
    <n v="0"/>
  </r>
  <r>
    <x v="0"/>
    <x v="18"/>
    <x v="290"/>
    <x v="0"/>
    <x v="2"/>
    <n v="3"/>
    <n v="5.6"/>
    <n v="14000"/>
  </r>
  <r>
    <x v="0"/>
    <x v="18"/>
    <x v="290"/>
    <x v="0"/>
    <x v="3"/>
    <n v="4"/>
    <n v="0.4"/>
    <n v="1000"/>
  </r>
  <r>
    <x v="0"/>
    <x v="18"/>
    <x v="290"/>
    <x v="0"/>
    <x v="4"/>
    <n v="5"/>
    <n v="0"/>
    <n v="0"/>
  </r>
  <r>
    <x v="0"/>
    <x v="18"/>
    <x v="290"/>
    <x v="0"/>
    <x v="5"/>
    <n v="6"/>
    <n v="6"/>
    <n v="15000"/>
  </r>
  <r>
    <x v="0"/>
    <x v="18"/>
    <x v="290"/>
    <x v="0"/>
    <x v="6"/>
    <n v="7"/>
    <n v="0"/>
    <n v="0"/>
  </r>
  <r>
    <x v="0"/>
    <x v="18"/>
    <x v="291"/>
    <x v="0"/>
    <x v="0"/>
    <n v="1"/>
    <n v="0"/>
    <n v="0"/>
  </r>
  <r>
    <x v="0"/>
    <x v="18"/>
    <x v="291"/>
    <x v="0"/>
    <x v="1"/>
    <n v="2"/>
    <n v="0"/>
    <n v="0"/>
  </r>
  <r>
    <x v="0"/>
    <x v="18"/>
    <x v="291"/>
    <x v="0"/>
    <x v="2"/>
    <n v="3"/>
    <n v="1.6"/>
    <n v="4000"/>
  </r>
  <r>
    <x v="0"/>
    <x v="18"/>
    <x v="291"/>
    <x v="0"/>
    <x v="3"/>
    <n v="4"/>
    <n v="0.8"/>
    <n v="2000"/>
  </r>
  <r>
    <x v="0"/>
    <x v="18"/>
    <x v="291"/>
    <x v="0"/>
    <x v="4"/>
    <n v="5"/>
    <n v="0"/>
    <n v="0"/>
  </r>
  <r>
    <x v="0"/>
    <x v="18"/>
    <x v="291"/>
    <x v="0"/>
    <x v="5"/>
    <n v="6"/>
    <n v="2.4"/>
    <n v="6000"/>
  </r>
  <r>
    <x v="0"/>
    <x v="18"/>
    <x v="291"/>
    <x v="0"/>
    <x v="6"/>
    <n v="7"/>
    <n v="0"/>
    <n v="0"/>
  </r>
  <r>
    <x v="0"/>
    <x v="18"/>
    <x v="292"/>
    <x v="0"/>
    <x v="0"/>
    <n v="1"/>
    <n v="0"/>
    <n v="0"/>
  </r>
  <r>
    <x v="0"/>
    <x v="18"/>
    <x v="292"/>
    <x v="0"/>
    <x v="1"/>
    <n v="2"/>
    <n v="0"/>
    <n v="0"/>
  </r>
  <r>
    <x v="0"/>
    <x v="18"/>
    <x v="292"/>
    <x v="0"/>
    <x v="2"/>
    <n v="3"/>
    <n v="2"/>
    <n v="5000"/>
  </r>
  <r>
    <x v="0"/>
    <x v="18"/>
    <x v="292"/>
    <x v="0"/>
    <x v="3"/>
    <n v="4"/>
    <n v="1.2"/>
    <n v="3000"/>
  </r>
  <r>
    <x v="0"/>
    <x v="18"/>
    <x v="292"/>
    <x v="0"/>
    <x v="4"/>
    <n v="5"/>
    <n v="0"/>
    <n v="0"/>
  </r>
  <r>
    <x v="0"/>
    <x v="18"/>
    <x v="292"/>
    <x v="0"/>
    <x v="5"/>
    <n v="6"/>
    <n v="3.2"/>
    <n v="8000"/>
  </r>
  <r>
    <x v="0"/>
    <x v="18"/>
    <x v="292"/>
    <x v="0"/>
    <x v="6"/>
    <n v="7"/>
    <n v="0"/>
    <n v="0"/>
  </r>
  <r>
    <x v="0"/>
    <x v="18"/>
    <x v="293"/>
    <x v="0"/>
    <x v="0"/>
    <n v="1"/>
    <n v="0"/>
    <n v="0"/>
  </r>
  <r>
    <x v="0"/>
    <x v="18"/>
    <x v="293"/>
    <x v="0"/>
    <x v="1"/>
    <n v="2"/>
    <n v="0"/>
    <n v="0"/>
  </r>
  <r>
    <x v="0"/>
    <x v="18"/>
    <x v="293"/>
    <x v="0"/>
    <x v="2"/>
    <n v="3"/>
    <n v="9.6"/>
    <n v="24000"/>
  </r>
  <r>
    <x v="0"/>
    <x v="18"/>
    <x v="293"/>
    <x v="0"/>
    <x v="3"/>
    <n v="4"/>
    <n v="1.2"/>
    <n v="3000"/>
  </r>
  <r>
    <x v="0"/>
    <x v="18"/>
    <x v="293"/>
    <x v="0"/>
    <x v="4"/>
    <n v="5"/>
    <n v="0"/>
    <n v="0"/>
  </r>
  <r>
    <x v="0"/>
    <x v="18"/>
    <x v="293"/>
    <x v="0"/>
    <x v="5"/>
    <n v="6"/>
    <n v="10.8"/>
    <n v="27000"/>
  </r>
  <r>
    <x v="0"/>
    <x v="18"/>
    <x v="293"/>
    <x v="0"/>
    <x v="6"/>
    <n v="7"/>
    <n v="0"/>
    <n v="0"/>
  </r>
  <r>
    <x v="0"/>
    <x v="18"/>
    <x v="294"/>
    <x v="0"/>
    <x v="0"/>
    <n v="1"/>
    <n v="0"/>
    <n v="0"/>
  </r>
  <r>
    <x v="0"/>
    <x v="18"/>
    <x v="294"/>
    <x v="0"/>
    <x v="1"/>
    <n v="2"/>
    <n v="0"/>
    <n v="0"/>
  </r>
  <r>
    <x v="0"/>
    <x v="18"/>
    <x v="294"/>
    <x v="0"/>
    <x v="2"/>
    <n v="3"/>
    <n v="3.2"/>
    <n v="8000"/>
  </r>
  <r>
    <x v="0"/>
    <x v="18"/>
    <x v="294"/>
    <x v="0"/>
    <x v="3"/>
    <n v="4"/>
    <n v="0.4"/>
    <n v="1000"/>
  </r>
  <r>
    <x v="0"/>
    <x v="18"/>
    <x v="294"/>
    <x v="0"/>
    <x v="4"/>
    <n v="5"/>
    <n v="0"/>
    <n v="0"/>
  </r>
  <r>
    <x v="0"/>
    <x v="18"/>
    <x v="294"/>
    <x v="0"/>
    <x v="5"/>
    <n v="6"/>
    <n v="3.6"/>
    <n v="9000"/>
  </r>
  <r>
    <x v="0"/>
    <x v="18"/>
    <x v="294"/>
    <x v="0"/>
    <x v="6"/>
    <n v="7"/>
    <n v="0"/>
    <n v="0"/>
  </r>
  <r>
    <x v="0"/>
    <x v="19"/>
    <x v="295"/>
    <x v="0"/>
    <x v="0"/>
    <n v="1"/>
    <n v="0"/>
    <n v="0"/>
  </r>
  <r>
    <x v="0"/>
    <x v="19"/>
    <x v="295"/>
    <x v="0"/>
    <x v="1"/>
    <n v="2"/>
    <n v="0"/>
    <n v="0"/>
  </r>
  <r>
    <x v="0"/>
    <x v="19"/>
    <x v="295"/>
    <x v="0"/>
    <x v="2"/>
    <n v="3"/>
    <n v="8"/>
    <n v="20000"/>
  </r>
  <r>
    <x v="0"/>
    <x v="19"/>
    <x v="295"/>
    <x v="0"/>
    <x v="3"/>
    <n v="4"/>
    <n v="3.6"/>
    <n v="9000"/>
  </r>
  <r>
    <x v="0"/>
    <x v="19"/>
    <x v="295"/>
    <x v="0"/>
    <x v="4"/>
    <n v="5"/>
    <n v="0"/>
    <n v="0"/>
  </r>
  <r>
    <x v="0"/>
    <x v="19"/>
    <x v="295"/>
    <x v="0"/>
    <x v="5"/>
    <n v="6"/>
    <n v="11.2"/>
    <n v="28000"/>
  </r>
  <r>
    <x v="0"/>
    <x v="19"/>
    <x v="295"/>
    <x v="0"/>
    <x v="6"/>
    <n v="7"/>
    <n v="0"/>
    <n v="0"/>
  </r>
  <r>
    <x v="0"/>
    <x v="19"/>
    <x v="296"/>
    <x v="0"/>
    <x v="0"/>
    <n v="1"/>
    <n v="0"/>
    <n v="0"/>
  </r>
  <r>
    <x v="0"/>
    <x v="19"/>
    <x v="296"/>
    <x v="0"/>
    <x v="1"/>
    <n v="2"/>
    <n v="0"/>
    <n v="0"/>
  </r>
  <r>
    <x v="0"/>
    <x v="19"/>
    <x v="296"/>
    <x v="0"/>
    <x v="2"/>
    <n v="3"/>
    <n v="4.8"/>
    <n v="12000"/>
  </r>
  <r>
    <x v="0"/>
    <x v="19"/>
    <x v="296"/>
    <x v="0"/>
    <x v="3"/>
    <n v="4"/>
    <n v="1.6"/>
    <n v="4000"/>
  </r>
  <r>
    <x v="0"/>
    <x v="19"/>
    <x v="296"/>
    <x v="0"/>
    <x v="4"/>
    <n v="5"/>
    <n v="0"/>
    <n v="0"/>
  </r>
  <r>
    <x v="0"/>
    <x v="19"/>
    <x v="296"/>
    <x v="0"/>
    <x v="5"/>
    <n v="6"/>
    <n v="6.8"/>
    <n v="17000"/>
  </r>
  <r>
    <x v="0"/>
    <x v="19"/>
    <x v="296"/>
    <x v="0"/>
    <x v="6"/>
    <n v="7"/>
    <n v="0"/>
    <n v="0"/>
  </r>
  <r>
    <x v="0"/>
    <x v="19"/>
    <x v="297"/>
    <x v="0"/>
    <x v="0"/>
    <n v="1"/>
    <n v="0"/>
    <n v="0"/>
  </r>
  <r>
    <x v="0"/>
    <x v="19"/>
    <x v="297"/>
    <x v="0"/>
    <x v="1"/>
    <n v="2"/>
    <n v="0"/>
    <n v="0"/>
  </r>
  <r>
    <x v="0"/>
    <x v="19"/>
    <x v="297"/>
    <x v="0"/>
    <x v="2"/>
    <n v="3"/>
    <n v="6"/>
    <n v="15000"/>
  </r>
  <r>
    <x v="0"/>
    <x v="19"/>
    <x v="297"/>
    <x v="0"/>
    <x v="3"/>
    <n v="4"/>
    <n v="2.4"/>
    <n v="6000"/>
  </r>
  <r>
    <x v="0"/>
    <x v="19"/>
    <x v="297"/>
    <x v="0"/>
    <x v="4"/>
    <n v="5"/>
    <n v="0"/>
    <n v="0"/>
  </r>
  <r>
    <x v="0"/>
    <x v="19"/>
    <x v="297"/>
    <x v="0"/>
    <x v="5"/>
    <n v="6"/>
    <n v="8.8000000000000007"/>
    <n v="22000"/>
  </r>
  <r>
    <x v="0"/>
    <x v="19"/>
    <x v="297"/>
    <x v="0"/>
    <x v="6"/>
    <n v="7"/>
    <n v="0"/>
    <n v="0"/>
  </r>
  <r>
    <x v="0"/>
    <x v="19"/>
    <x v="298"/>
    <x v="0"/>
    <x v="0"/>
    <n v="1"/>
    <n v="0"/>
    <n v="0"/>
  </r>
  <r>
    <x v="0"/>
    <x v="19"/>
    <x v="298"/>
    <x v="0"/>
    <x v="1"/>
    <n v="2"/>
    <n v="0"/>
    <n v="0"/>
  </r>
  <r>
    <x v="0"/>
    <x v="19"/>
    <x v="298"/>
    <x v="0"/>
    <x v="2"/>
    <n v="3"/>
    <n v="6.8"/>
    <n v="17000"/>
  </r>
  <r>
    <x v="0"/>
    <x v="19"/>
    <x v="298"/>
    <x v="0"/>
    <x v="3"/>
    <n v="4"/>
    <n v="1.2"/>
    <n v="3000"/>
  </r>
  <r>
    <x v="0"/>
    <x v="19"/>
    <x v="298"/>
    <x v="0"/>
    <x v="4"/>
    <n v="5"/>
    <n v="0"/>
    <n v="0"/>
  </r>
  <r>
    <x v="0"/>
    <x v="19"/>
    <x v="298"/>
    <x v="0"/>
    <x v="5"/>
    <n v="6"/>
    <n v="8.4"/>
    <n v="21000"/>
  </r>
  <r>
    <x v="0"/>
    <x v="19"/>
    <x v="298"/>
    <x v="0"/>
    <x v="6"/>
    <n v="7"/>
    <n v="0"/>
    <n v="0"/>
  </r>
  <r>
    <x v="0"/>
    <x v="19"/>
    <x v="299"/>
    <x v="0"/>
    <x v="0"/>
    <n v="1"/>
    <n v="0"/>
    <n v="0"/>
  </r>
  <r>
    <x v="0"/>
    <x v="19"/>
    <x v="299"/>
    <x v="0"/>
    <x v="1"/>
    <n v="2"/>
    <n v="0"/>
    <n v="0"/>
  </r>
  <r>
    <x v="0"/>
    <x v="19"/>
    <x v="299"/>
    <x v="0"/>
    <x v="2"/>
    <n v="3"/>
    <n v="7.2"/>
    <n v="18000"/>
  </r>
  <r>
    <x v="0"/>
    <x v="19"/>
    <x v="299"/>
    <x v="0"/>
    <x v="3"/>
    <n v="4"/>
    <n v="2"/>
    <n v="5000"/>
  </r>
  <r>
    <x v="0"/>
    <x v="19"/>
    <x v="299"/>
    <x v="0"/>
    <x v="4"/>
    <n v="5"/>
    <n v="0"/>
    <n v="0"/>
  </r>
  <r>
    <x v="0"/>
    <x v="19"/>
    <x v="299"/>
    <x v="0"/>
    <x v="5"/>
    <n v="6"/>
    <n v="9.1999999999999993"/>
    <n v="23000"/>
  </r>
  <r>
    <x v="0"/>
    <x v="19"/>
    <x v="299"/>
    <x v="0"/>
    <x v="6"/>
    <n v="7"/>
    <n v="0"/>
    <n v="0"/>
  </r>
  <r>
    <x v="0"/>
    <x v="19"/>
    <x v="300"/>
    <x v="0"/>
    <x v="0"/>
    <n v="1"/>
    <n v="0"/>
    <n v="0"/>
  </r>
  <r>
    <x v="0"/>
    <x v="19"/>
    <x v="300"/>
    <x v="0"/>
    <x v="1"/>
    <n v="2"/>
    <n v="0"/>
    <n v="0"/>
  </r>
  <r>
    <x v="0"/>
    <x v="19"/>
    <x v="300"/>
    <x v="0"/>
    <x v="2"/>
    <n v="3"/>
    <n v="5.2"/>
    <n v="13000"/>
  </r>
  <r>
    <x v="0"/>
    <x v="19"/>
    <x v="300"/>
    <x v="0"/>
    <x v="3"/>
    <n v="4"/>
    <n v="2"/>
    <n v="5000"/>
  </r>
  <r>
    <x v="0"/>
    <x v="19"/>
    <x v="300"/>
    <x v="0"/>
    <x v="4"/>
    <n v="5"/>
    <n v="0"/>
    <n v="0"/>
  </r>
  <r>
    <x v="0"/>
    <x v="19"/>
    <x v="300"/>
    <x v="0"/>
    <x v="5"/>
    <n v="6"/>
    <n v="7.2"/>
    <n v="18000"/>
  </r>
  <r>
    <x v="0"/>
    <x v="19"/>
    <x v="300"/>
    <x v="0"/>
    <x v="6"/>
    <n v="7"/>
    <n v="0"/>
    <n v="0"/>
  </r>
  <r>
    <x v="0"/>
    <x v="19"/>
    <x v="301"/>
    <x v="0"/>
    <x v="0"/>
    <n v="1"/>
    <n v="0"/>
    <n v="0"/>
  </r>
  <r>
    <x v="0"/>
    <x v="19"/>
    <x v="301"/>
    <x v="0"/>
    <x v="1"/>
    <n v="2"/>
    <n v="0"/>
    <n v="0"/>
  </r>
  <r>
    <x v="0"/>
    <x v="19"/>
    <x v="301"/>
    <x v="0"/>
    <x v="2"/>
    <n v="3"/>
    <n v="6.8"/>
    <n v="17000"/>
  </r>
  <r>
    <x v="0"/>
    <x v="19"/>
    <x v="301"/>
    <x v="0"/>
    <x v="3"/>
    <n v="4"/>
    <n v="1.2"/>
    <n v="3000"/>
  </r>
  <r>
    <x v="0"/>
    <x v="19"/>
    <x v="301"/>
    <x v="0"/>
    <x v="4"/>
    <n v="5"/>
    <n v="0"/>
    <n v="0"/>
  </r>
  <r>
    <x v="0"/>
    <x v="19"/>
    <x v="301"/>
    <x v="0"/>
    <x v="5"/>
    <n v="6"/>
    <n v="7.6"/>
    <n v="19000"/>
  </r>
  <r>
    <x v="0"/>
    <x v="19"/>
    <x v="301"/>
    <x v="0"/>
    <x v="6"/>
    <n v="7"/>
    <n v="0"/>
    <n v="0"/>
  </r>
  <r>
    <x v="0"/>
    <x v="19"/>
    <x v="302"/>
    <x v="0"/>
    <x v="0"/>
    <n v="1"/>
    <n v="0"/>
    <n v="0"/>
  </r>
  <r>
    <x v="0"/>
    <x v="19"/>
    <x v="302"/>
    <x v="0"/>
    <x v="1"/>
    <n v="2"/>
    <n v="0"/>
    <n v="0"/>
  </r>
  <r>
    <x v="0"/>
    <x v="19"/>
    <x v="302"/>
    <x v="0"/>
    <x v="2"/>
    <n v="3"/>
    <n v="2.4"/>
    <n v="6000"/>
  </r>
  <r>
    <x v="0"/>
    <x v="19"/>
    <x v="302"/>
    <x v="0"/>
    <x v="3"/>
    <n v="4"/>
    <n v="3.2"/>
    <n v="8000"/>
  </r>
  <r>
    <x v="0"/>
    <x v="19"/>
    <x v="302"/>
    <x v="0"/>
    <x v="4"/>
    <n v="5"/>
    <n v="0"/>
    <n v="0"/>
  </r>
  <r>
    <x v="0"/>
    <x v="19"/>
    <x v="302"/>
    <x v="0"/>
    <x v="5"/>
    <n v="6"/>
    <n v="5.2"/>
    <n v="13000"/>
  </r>
  <r>
    <x v="0"/>
    <x v="19"/>
    <x v="302"/>
    <x v="0"/>
    <x v="6"/>
    <n v="7"/>
    <n v="0"/>
    <n v="0"/>
  </r>
  <r>
    <x v="0"/>
    <x v="19"/>
    <x v="303"/>
    <x v="0"/>
    <x v="0"/>
    <n v="1"/>
    <n v="0"/>
    <n v="0"/>
  </r>
  <r>
    <x v="0"/>
    <x v="19"/>
    <x v="303"/>
    <x v="0"/>
    <x v="1"/>
    <n v="2"/>
    <n v="0"/>
    <n v="0"/>
  </r>
  <r>
    <x v="0"/>
    <x v="19"/>
    <x v="303"/>
    <x v="0"/>
    <x v="2"/>
    <n v="3"/>
    <n v="4.4000000000000004"/>
    <n v="11000"/>
  </r>
  <r>
    <x v="0"/>
    <x v="19"/>
    <x v="303"/>
    <x v="0"/>
    <x v="3"/>
    <n v="4"/>
    <n v="1.2"/>
    <n v="3000"/>
  </r>
  <r>
    <x v="0"/>
    <x v="19"/>
    <x v="303"/>
    <x v="0"/>
    <x v="4"/>
    <n v="5"/>
    <n v="0"/>
    <n v="0"/>
  </r>
  <r>
    <x v="0"/>
    <x v="19"/>
    <x v="303"/>
    <x v="0"/>
    <x v="5"/>
    <n v="6"/>
    <n v="6"/>
    <n v="15000"/>
  </r>
  <r>
    <x v="0"/>
    <x v="19"/>
    <x v="303"/>
    <x v="0"/>
    <x v="6"/>
    <n v="7"/>
    <n v="0"/>
    <n v="0"/>
  </r>
  <r>
    <x v="0"/>
    <x v="19"/>
    <x v="304"/>
    <x v="0"/>
    <x v="0"/>
    <n v="1"/>
    <n v="0"/>
    <n v="0"/>
  </r>
  <r>
    <x v="0"/>
    <x v="19"/>
    <x v="304"/>
    <x v="0"/>
    <x v="1"/>
    <n v="2"/>
    <n v="0"/>
    <n v="0"/>
  </r>
  <r>
    <x v="0"/>
    <x v="19"/>
    <x v="304"/>
    <x v="0"/>
    <x v="2"/>
    <n v="3"/>
    <n v="3.2"/>
    <n v="8000"/>
  </r>
  <r>
    <x v="0"/>
    <x v="19"/>
    <x v="304"/>
    <x v="0"/>
    <x v="3"/>
    <n v="4"/>
    <n v="2.8"/>
    <n v="7000"/>
  </r>
  <r>
    <x v="0"/>
    <x v="19"/>
    <x v="304"/>
    <x v="0"/>
    <x v="4"/>
    <n v="5"/>
    <n v="0"/>
    <n v="0"/>
  </r>
  <r>
    <x v="0"/>
    <x v="19"/>
    <x v="304"/>
    <x v="0"/>
    <x v="5"/>
    <n v="6"/>
    <n v="6"/>
    <n v="15000"/>
  </r>
  <r>
    <x v="0"/>
    <x v="19"/>
    <x v="304"/>
    <x v="0"/>
    <x v="6"/>
    <n v="7"/>
    <n v="0"/>
    <n v="0"/>
  </r>
  <r>
    <x v="0"/>
    <x v="19"/>
    <x v="305"/>
    <x v="0"/>
    <x v="0"/>
    <n v="1"/>
    <n v="0"/>
    <n v="0"/>
  </r>
  <r>
    <x v="0"/>
    <x v="19"/>
    <x v="305"/>
    <x v="0"/>
    <x v="1"/>
    <n v="2"/>
    <n v="0"/>
    <n v="0"/>
  </r>
  <r>
    <x v="0"/>
    <x v="19"/>
    <x v="305"/>
    <x v="0"/>
    <x v="2"/>
    <n v="3"/>
    <n v="7.6"/>
    <n v="19000"/>
  </r>
  <r>
    <x v="0"/>
    <x v="19"/>
    <x v="305"/>
    <x v="0"/>
    <x v="3"/>
    <n v="4"/>
    <n v="0.8"/>
    <n v="2000"/>
  </r>
  <r>
    <x v="0"/>
    <x v="19"/>
    <x v="305"/>
    <x v="0"/>
    <x v="4"/>
    <n v="5"/>
    <n v="0"/>
    <n v="0"/>
  </r>
  <r>
    <x v="0"/>
    <x v="19"/>
    <x v="305"/>
    <x v="0"/>
    <x v="5"/>
    <n v="6"/>
    <n v="8.4"/>
    <n v="21000"/>
  </r>
  <r>
    <x v="0"/>
    <x v="19"/>
    <x v="305"/>
    <x v="0"/>
    <x v="6"/>
    <n v="7"/>
    <n v="0"/>
    <n v="0"/>
  </r>
  <r>
    <x v="0"/>
    <x v="19"/>
    <x v="306"/>
    <x v="0"/>
    <x v="0"/>
    <n v="1"/>
    <n v="0"/>
    <n v="0"/>
  </r>
  <r>
    <x v="0"/>
    <x v="19"/>
    <x v="306"/>
    <x v="0"/>
    <x v="1"/>
    <n v="2"/>
    <n v="0"/>
    <n v="0"/>
  </r>
  <r>
    <x v="0"/>
    <x v="19"/>
    <x v="306"/>
    <x v="0"/>
    <x v="2"/>
    <n v="3"/>
    <n v="6"/>
    <n v="15000"/>
  </r>
  <r>
    <x v="0"/>
    <x v="19"/>
    <x v="306"/>
    <x v="0"/>
    <x v="3"/>
    <n v="4"/>
    <n v="2.8"/>
    <n v="7000"/>
  </r>
  <r>
    <x v="0"/>
    <x v="19"/>
    <x v="306"/>
    <x v="0"/>
    <x v="4"/>
    <n v="5"/>
    <n v="0"/>
    <n v="0"/>
  </r>
  <r>
    <x v="0"/>
    <x v="19"/>
    <x v="306"/>
    <x v="0"/>
    <x v="5"/>
    <n v="6"/>
    <n v="8.4"/>
    <n v="21000"/>
  </r>
  <r>
    <x v="0"/>
    <x v="19"/>
    <x v="306"/>
    <x v="0"/>
    <x v="6"/>
    <n v="7"/>
    <n v="0"/>
    <n v="0"/>
  </r>
  <r>
    <x v="0"/>
    <x v="19"/>
    <x v="307"/>
    <x v="0"/>
    <x v="0"/>
    <n v="1"/>
    <n v="0"/>
    <n v="0"/>
  </r>
  <r>
    <x v="0"/>
    <x v="19"/>
    <x v="307"/>
    <x v="0"/>
    <x v="1"/>
    <n v="2"/>
    <n v="0"/>
    <n v="0"/>
  </r>
  <r>
    <x v="0"/>
    <x v="19"/>
    <x v="307"/>
    <x v="0"/>
    <x v="2"/>
    <n v="3"/>
    <n v="10.8"/>
    <n v="27000"/>
  </r>
  <r>
    <x v="0"/>
    <x v="19"/>
    <x v="307"/>
    <x v="0"/>
    <x v="3"/>
    <n v="4"/>
    <n v="1.6"/>
    <n v="4000"/>
  </r>
  <r>
    <x v="0"/>
    <x v="19"/>
    <x v="307"/>
    <x v="0"/>
    <x v="4"/>
    <n v="5"/>
    <n v="0"/>
    <n v="0"/>
  </r>
  <r>
    <x v="0"/>
    <x v="19"/>
    <x v="307"/>
    <x v="0"/>
    <x v="5"/>
    <n v="6"/>
    <n v="12.4"/>
    <n v="31000"/>
  </r>
  <r>
    <x v="0"/>
    <x v="19"/>
    <x v="307"/>
    <x v="0"/>
    <x v="6"/>
    <n v="7"/>
    <n v="0"/>
    <n v="0"/>
  </r>
  <r>
    <x v="0"/>
    <x v="19"/>
    <x v="308"/>
    <x v="0"/>
    <x v="0"/>
    <n v="1"/>
    <n v="0"/>
    <n v="0"/>
  </r>
  <r>
    <x v="0"/>
    <x v="19"/>
    <x v="308"/>
    <x v="0"/>
    <x v="1"/>
    <n v="2"/>
    <n v="0"/>
    <n v="0"/>
  </r>
  <r>
    <x v="0"/>
    <x v="19"/>
    <x v="308"/>
    <x v="0"/>
    <x v="2"/>
    <n v="3"/>
    <n v="10"/>
    <n v="25000"/>
  </r>
  <r>
    <x v="0"/>
    <x v="19"/>
    <x v="308"/>
    <x v="0"/>
    <x v="3"/>
    <n v="4"/>
    <n v="3.2"/>
    <n v="8000"/>
  </r>
  <r>
    <x v="0"/>
    <x v="19"/>
    <x v="308"/>
    <x v="0"/>
    <x v="4"/>
    <n v="5"/>
    <n v="0"/>
    <n v="0"/>
  </r>
  <r>
    <x v="0"/>
    <x v="19"/>
    <x v="308"/>
    <x v="0"/>
    <x v="5"/>
    <n v="6"/>
    <n v="12.8"/>
    <n v="32000"/>
  </r>
  <r>
    <x v="0"/>
    <x v="19"/>
    <x v="308"/>
    <x v="0"/>
    <x v="6"/>
    <n v="7"/>
    <n v="0"/>
    <n v="0"/>
  </r>
  <r>
    <x v="0"/>
    <x v="19"/>
    <x v="252"/>
    <x v="0"/>
    <x v="0"/>
    <n v="1"/>
    <n v="0"/>
    <n v="0"/>
  </r>
  <r>
    <x v="0"/>
    <x v="19"/>
    <x v="252"/>
    <x v="0"/>
    <x v="1"/>
    <n v="2"/>
    <n v="0"/>
    <n v="0"/>
  </r>
  <r>
    <x v="0"/>
    <x v="19"/>
    <x v="252"/>
    <x v="0"/>
    <x v="2"/>
    <n v="3"/>
    <n v="8"/>
    <n v="20000"/>
  </r>
  <r>
    <x v="0"/>
    <x v="19"/>
    <x v="252"/>
    <x v="0"/>
    <x v="3"/>
    <n v="4"/>
    <n v="2.4"/>
    <n v="6000"/>
  </r>
  <r>
    <x v="0"/>
    <x v="19"/>
    <x v="252"/>
    <x v="0"/>
    <x v="4"/>
    <n v="5"/>
    <n v="0"/>
    <n v="0"/>
  </r>
  <r>
    <x v="0"/>
    <x v="19"/>
    <x v="252"/>
    <x v="0"/>
    <x v="5"/>
    <n v="6"/>
    <n v="10.4"/>
    <n v="26000"/>
  </r>
  <r>
    <x v="0"/>
    <x v="19"/>
    <x v="252"/>
    <x v="0"/>
    <x v="6"/>
    <n v="7"/>
    <n v="0"/>
    <n v="0"/>
  </r>
  <r>
    <x v="0"/>
    <x v="19"/>
    <x v="309"/>
    <x v="0"/>
    <x v="0"/>
    <n v="1"/>
    <n v="0"/>
    <n v="0"/>
  </r>
  <r>
    <x v="0"/>
    <x v="19"/>
    <x v="309"/>
    <x v="0"/>
    <x v="1"/>
    <n v="2"/>
    <n v="0"/>
    <n v="0"/>
  </r>
  <r>
    <x v="0"/>
    <x v="19"/>
    <x v="309"/>
    <x v="0"/>
    <x v="2"/>
    <n v="3"/>
    <n v="6.4"/>
    <n v="16000"/>
  </r>
  <r>
    <x v="0"/>
    <x v="19"/>
    <x v="309"/>
    <x v="0"/>
    <x v="3"/>
    <n v="4"/>
    <n v="1.6"/>
    <n v="4000"/>
  </r>
  <r>
    <x v="0"/>
    <x v="19"/>
    <x v="309"/>
    <x v="0"/>
    <x v="4"/>
    <n v="5"/>
    <n v="0"/>
    <n v="0"/>
  </r>
  <r>
    <x v="0"/>
    <x v="19"/>
    <x v="309"/>
    <x v="0"/>
    <x v="5"/>
    <n v="6"/>
    <n v="8"/>
    <n v="20000"/>
  </r>
  <r>
    <x v="0"/>
    <x v="19"/>
    <x v="309"/>
    <x v="0"/>
    <x v="6"/>
    <n v="7"/>
    <n v="0"/>
    <n v="0"/>
  </r>
  <r>
    <x v="0"/>
    <x v="19"/>
    <x v="310"/>
    <x v="0"/>
    <x v="0"/>
    <n v="1"/>
    <n v="0"/>
    <n v="0"/>
  </r>
  <r>
    <x v="0"/>
    <x v="19"/>
    <x v="310"/>
    <x v="0"/>
    <x v="1"/>
    <n v="2"/>
    <n v="0"/>
    <n v="0"/>
  </r>
  <r>
    <x v="0"/>
    <x v="19"/>
    <x v="310"/>
    <x v="0"/>
    <x v="2"/>
    <n v="3"/>
    <n v="3.2"/>
    <n v="8000"/>
  </r>
  <r>
    <x v="0"/>
    <x v="19"/>
    <x v="310"/>
    <x v="0"/>
    <x v="3"/>
    <n v="4"/>
    <n v="2"/>
    <n v="5000"/>
  </r>
  <r>
    <x v="0"/>
    <x v="19"/>
    <x v="310"/>
    <x v="0"/>
    <x v="4"/>
    <n v="5"/>
    <n v="0"/>
    <n v="0"/>
  </r>
  <r>
    <x v="0"/>
    <x v="19"/>
    <x v="310"/>
    <x v="0"/>
    <x v="5"/>
    <n v="6"/>
    <n v="4.8"/>
    <n v="12000"/>
  </r>
  <r>
    <x v="0"/>
    <x v="19"/>
    <x v="310"/>
    <x v="0"/>
    <x v="6"/>
    <n v="7"/>
    <n v="0"/>
    <n v="0"/>
  </r>
  <r>
    <x v="0"/>
    <x v="19"/>
    <x v="115"/>
    <x v="0"/>
    <x v="0"/>
    <n v="1"/>
    <n v="0"/>
    <n v="0"/>
  </r>
  <r>
    <x v="0"/>
    <x v="19"/>
    <x v="115"/>
    <x v="0"/>
    <x v="1"/>
    <n v="2"/>
    <n v="0"/>
    <n v="0"/>
  </r>
  <r>
    <x v="0"/>
    <x v="19"/>
    <x v="115"/>
    <x v="0"/>
    <x v="2"/>
    <n v="3"/>
    <n v="8"/>
    <n v="22000"/>
  </r>
  <r>
    <x v="0"/>
    <x v="19"/>
    <x v="115"/>
    <x v="0"/>
    <x v="3"/>
    <n v="4"/>
    <n v="1.6"/>
    <n v="4000"/>
  </r>
  <r>
    <x v="0"/>
    <x v="19"/>
    <x v="115"/>
    <x v="0"/>
    <x v="4"/>
    <n v="5"/>
    <n v="0"/>
    <n v="0"/>
  </r>
  <r>
    <x v="0"/>
    <x v="19"/>
    <x v="115"/>
    <x v="0"/>
    <x v="5"/>
    <n v="6"/>
    <n v="10.4"/>
    <n v="26000"/>
  </r>
  <r>
    <x v="0"/>
    <x v="19"/>
    <x v="115"/>
    <x v="0"/>
    <x v="6"/>
    <n v="7"/>
    <n v="0"/>
    <n v="0"/>
  </r>
  <r>
    <x v="0"/>
    <x v="19"/>
    <x v="311"/>
    <x v="0"/>
    <x v="0"/>
    <n v="1"/>
    <n v="0"/>
    <n v="0"/>
  </r>
  <r>
    <x v="0"/>
    <x v="19"/>
    <x v="311"/>
    <x v="0"/>
    <x v="1"/>
    <n v="2"/>
    <n v="0"/>
    <n v="0"/>
  </r>
  <r>
    <x v="0"/>
    <x v="19"/>
    <x v="311"/>
    <x v="0"/>
    <x v="2"/>
    <n v="3"/>
    <n v="6.8"/>
    <n v="17000"/>
  </r>
  <r>
    <x v="0"/>
    <x v="19"/>
    <x v="311"/>
    <x v="0"/>
    <x v="3"/>
    <n v="4"/>
    <n v="1.6"/>
    <n v="4000"/>
  </r>
  <r>
    <x v="0"/>
    <x v="19"/>
    <x v="311"/>
    <x v="0"/>
    <x v="4"/>
    <n v="5"/>
    <n v="0"/>
    <n v="0"/>
  </r>
  <r>
    <x v="0"/>
    <x v="19"/>
    <x v="311"/>
    <x v="0"/>
    <x v="5"/>
    <n v="6"/>
    <n v="8.4"/>
    <n v="21000"/>
  </r>
  <r>
    <x v="0"/>
    <x v="19"/>
    <x v="311"/>
    <x v="0"/>
    <x v="6"/>
    <n v="7"/>
    <n v="0"/>
    <n v="0"/>
  </r>
  <r>
    <x v="0"/>
    <x v="19"/>
    <x v="312"/>
    <x v="0"/>
    <x v="0"/>
    <n v="1"/>
    <n v="0"/>
    <n v="0"/>
  </r>
  <r>
    <x v="0"/>
    <x v="19"/>
    <x v="312"/>
    <x v="0"/>
    <x v="1"/>
    <n v="2"/>
    <n v="0"/>
    <n v="0"/>
  </r>
  <r>
    <x v="0"/>
    <x v="19"/>
    <x v="312"/>
    <x v="0"/>
    <x v="2"/>
    <n v="3"/>
    <n v="6.4"/>
    <n v="16000"/>
  </r>
  <r>
    <x v="0"/>
    <x v="19"/>
    <x v="312"/>
    <x v="0"/>
    <x v="3"/>
    <n v="4"/>
    <n v="2"/>
    <n v="5000"/>
  </r>
  <r>
    <x v="0"/>
    <x v="19"/>
    <x v="312"/>
    <x v="0"/>
    <x v="4"/>
    <n v="5"/>
    <n v="0"/>
    <n v="0"/>
  </r>
  <r>
    <x v="0"/>
    <x v="19"/>
    <x v="312"/>
    <x v="0"/>
    <x v="5"/>
    <n v="6"/>
    <n v="8.4"/>
    <n v="21000"/>
  </r>
  <r>
    <x v="0"/>
    <x v="19"/>
    <x v="312"/>
    <x v="0"/>
    <x v="6"/>
    <n v="7"/>
    <n v="0"/>
    <n v="0"/>
  </r>
  <r>
    <x v="0"/>
    <x v="19"/>
    <x v="313"/>
    <x v="0"/>
    <x v="0"/>
    <n v="1"/>
    <n v="0"/>
    <n v="0"/>
  </r>
  <r>
    <x v="0"/>
    <x v="19"/>
    <x v="313"/>
    <x v="0"/>
    <x v="1"/>
    <n v="2"/>
    <n v="0"/>
    <n v="0"/>
  </r>
  <r>
    <x v="0"/>
    <x v="19"/>
    <x v="313"/>
    <x v="0"/>
    <x v="2"/>
    <n v="3"/>
    <n v="5"/>
    <n v="14000"/>
  </r>
  <r>
    <x v="0"/>
    <x v="19"/>
    <x v="313"/>
    <x v="0"/>
    <x v="3"/>
    <n v="4"/>
    <n v="1.2"/>
    <n v="3000"/>
  </r>
  <r>
    <x v="0"/>
    <x v="19"/>
    <x v="313"/>
    <x v="0"/>
    <x v="4"/>
    <n v="5"/>
    <n v="0"/>
    <n v="0"/>
  </r>
  <r>
    <x v="0"/>
    <x v="19"/>
    <x v="313"/>
    <x v="0"/>
    <x v="5"/>
    <n v="6"/>
    <n v="6.8"/>
    <n v="17000"/>
  </r>
  <r>
    <x v="0"/>
    <x v="19"/>
    <x v="313"/>
    <x v="0"/>
    <x v="6"/>
    <n v="7"/>
    <n v="0"/>
    <n v="0"/>
  </r>
  <r>
    <x v="0"/>
    <x v="20"/>
    <x v="314"/>
    <x v="0"/>
    <x v="0"/>
    <n v="1"/>
    <n v="0"/>
    <n v="0"/>
  </r>
  <r>
    <x v="0"/>
    <x v="20"/>
    <x v="314"/>
    <x v="0"/>
    <x v="1"/>
    <n v="2"/>
    <n v="0"/>
    <n v="0"/>
  </r>
  <r>
    <x v="0"/>
    <x v="20"/>
    <x v="314"/>
    <x v="0"/>
    <x v="2"/>
    <n v="3"/>
    <n v="5"/>
    <n v="14000"/>
  </r>
  <r>
    <x v="0"/>
    <x v="20"/>
    <x v="314"/>
    <x v="0"/>
    <x v="3"/>
    <n v="4"/>
    <n v="2.8"/>
    <n v="7000"/>
  </r>
  <r>
    <x v="0"/>
    <x v="20"/>
    <x v="314"/>
    <x v="0"/>
    <x v="4"/>
    <n v="5"/>
    <n v="0"/>
    <n v="0"/>
  </r>
  <r>
    <x v="0"/>
    <x v="20"/>
    <x v="314"/>
    <x v="0"/>
    <x v="5"/>
    <n v="6"/>
    <n v="8.4"/>
    <n v="21000"/>
  </r>
  <r>
    <x v="0"/>
    <x v="20"/>
    <x v="314"/>
    <x v="0"/>
    <x v="6"/>
    <n v="7"/>
    <n v="0"/>
    <n v="0"/>
  </r>
  <r>
    <x v="0"/>
    <x v="20"/>
    <x v="315"/>
    <x v="0"/>
    <x v="0"/>
    <n v="1"/>
    <n v="0"/>
    <n v="0"/>
  </r>
  <r>
    <x v="0"/>
    <x v="20"/>
    <x v="315"/>
    <x v="0"/>
    <x v="1"/>
    <n v="2"/>
    <n v="0"/>
    <n v="0"/>
  </r>
  <r>
    <x v="0"/>
    <x v="20"/>
    <x v="315"/>
    <x v="0"/>
    <x v="2"/>
    <n v="3"/>
    <n v="4"/>
    <n v="10000"/>
  </r>
  <r>
    <x v="0"/>
    <x v="20"/>
    <x v="315"/>
    <x v="0"/>
    <x v="3"/>
    <n v="4"/>
    <n v="2.4"/>
    <n v="6000"/>
  </r>
  <r>
    <x v="0"/>
    <x v="20"/>
    <x v="315"/>
    <x v="0"/>
    <x v="4"/>
    <n v="5"/>
    <n v="0"/>
    <n v="0"/>
  </r>
  <r>
    <x v="0"/>
    <x v="20"/>
    <x v="315"/>
    <x v="0"/>
    <x v="5"/>
    <n v="6"/>
    <n v="6.4"/>
    <n v="16000"/>
  </r>
  <r>
    <x v="0"/>
    <x v="20"/>
    <x v="315"/>
    <x v="0"/>
    <x v="6"/>
    <n v="7"/>
    <n v="0"/>
    <n v="0"/>
  </r>
  <r>
    <x v="0"/>
    <x v="20"/>
    <x v="316"/>
    <x v="0"/>
    <x v="0"/>
    <n v="1"/>
    <n v="0"/>
    <n v="0"/>
  </r>
  <r>
    <x v="0"/>
    <x v="20"/>
    <x v="316"/>
    <x v="0"/>
    <x v="1"/>
    <n v="2"/>
    <n v="0"/>
    <n v="0"/>
  </r>
  <r>
    <x v="0"/>
    <x v="20"/>
    <x v="316"/>
    <x v="0"/>
    <x v="2"/>
    <n v="3"/>
    <n v="6.4"/>
    <n v="16000"/>
  </r>
  <r>
    <x v="0"/>
    <x v="20"/>
    <x v="316"/>
    <x v="0"/>
    <x v="3"/>
    <n v="4"/>
    <n v="1.2"/>
    <n v="3000"/>
  </r>
  <r>
    <x v="0"/>
    <x v="20"/>
    <x v="316"/>
    <x v="0"/>
    <x v="4"/>
    <n v="5"/>
    <n v="0"/>
    <n v="0"/>
  </r>
  <r>
    <x v="0"/>
    <x v="20"/>
    <x v="316"/>
    <x v="0"/>
    <x v="5"/>
    <n v="6"/>
    <n v="7.2"/>
    <n v="18000"/>
  </r>
  <r>
    <x v="0"/>
    <x v="20"/>
    <x v="316"/>
    <x v="0"/>
    <x v="6"/>
    <n v="7"/>
    <n v="0"/>
    <n v="0"/>
  </r>
  <r>
    <x v="0"/>
    <x v="20"/>
    <x v="317"/>
    <x v="0"/>
    <x v="0"/>
    <n v="1"/>
    <n v="0"/>
    <n v="0"/>
  </r>
  <r>
    <x v="0"/>
    <x v="20"/>
    <x v="317"/>
    <x v="0"/>
    <x v="1"/>
    <n v="2"/>
    <n v="0"/>
    <n v="0"/>
  </r>
  <r>
    <x v="0"/>
    <x v="20"/>
    <x v="317"/>
    <x v="0"/>
    <x v="2"/>
    <n v="3"/>
    <n v="3.6"/>
    <n v="9000"/>
  </r>
  <r>
    <x v="0"/>
    <x v="20"/>
    <x v="317"/>
    <x v="0"/>
    <x v="3"/>
    <n v="4"/>
    <n v="0.4"/>
    <n v="1000"/>
  </r>
  <r>
    <x v="0"/>
    <x v="20"/>
    <x v="317"/>
    <x v="0"/>
    <x v="4"/>
    <n v="5"/>
    <n v="0"/>
    <n v="0"/>
  </r>
  <r>
    <x v="0"/>
    <x v="20"/>
    <x v="317"/>
    <x v="0"/>
    <x v="5"/>
    <n v="6"/>
    <n v="4"/>
    <n v="10000"/>
  </r>
  <r>
    <x v="0"/>
    <x v="20"/>
    <x v="317"/>
    <x v="0"/>
    <x v="6"/>
    <n v="7"/>
    <n v="0"/>
    <n v="0"/>
  </r>
  <r>
    <x v="0"/>
    <x v="20"/>
    <x v="318"/>
    <x v="0"/>
    <x v="0"/>
    <n v="1"/>
    <n v="0"/>
    <n v="0"/>
  </r>
  <r>
    <x v="0"/>
    <x v="20"/>
    <x v="318"/>
    <x v="0"/>
    <x v="1"/>
    <n v="2"/>
    <n v="0"/>
    <n v="0"/>
  </r>
  <r>
    <x v="0"/>
    <x v="20"/>
    <x v="318"/>
    <x v="0"/>
    <x v="2"/>
    <n v="3"/>
    <n v="2.4"/>
    <n v="6000"/>
  </r>
  <r>
    <x v="0"/>
    <x v="20"/>
    <x v="318"/>
    <x v="0"/>
    <x v="3"/>
    <n v="4"/>
    <n v="2.4"/>
    <n v="6000"/>
  </r>
  <r>
    <x v="0"/>
    <x v="20"/>
    <x v="318"/>
    <x v="0"/>
    <x v="4"/>
    <n v="5"/>
    <n v="0"/>
    <n v="0"/>
  </r>
  <r>
    <x v="0"/>
    <x v="20"/>
    <x v="318"/>
    <x v="0"/>
    <x v="5"/>
    <n v="6"/>
    <n v="4.8"/>
    <n v="12000"/>
  </r>
  <r>
    <x v="0"/>
    <x v="20"/>
    <x v="318"/>
    <x v="0"/>
    <x v="6"/>
    <n v="7"/>
    <n v="0"/>
    <n v="0"/>
  </r>
  <r>
    <x v="0"/>
    <x v="20"/>
    <x v="319"/>
    <x v="0"/>
    <x v="0"/>
    <n v="1"/>
    <n v="0"/>
    <n v="0"/>
  </r>
  <r>
    <x v="0"/>
    <x v="20"/>
    <x v="319"/>
    <x v="0"/>
    <x v="1"/>
    <n v="2"/>
    <n v="0"/>
    <n v="0"/>
  </r>
  <r>
    <x v="0"/>
    <x v="20"/>
    <x v="319"/>
    <x v="0"/>
    <x v="2"/>
    <n v="3"/>
    <n v="5.2"/>
    <n v="13000"/>
  </r>
  <r>
    <x v="0"/>
    <x v="20"/>
    <x v="319"/>
    <x v="0"/>
    <x v="3"/>
    <n v="4"/>
    <n v="1.6"/>
    <n v="4000"/>
  </r>
  <r>
    <x v="0"/>
    <x v="20"/>
    <x v="319"/>
    <x v="0"/>
    <x v="4"/>
    <n v="5"/>
    <n v="0"/>
    <n v="0"/>
  </r>
  <r>
    <x v="0"/>
    <x v="20"/>
    <x v="319"/>
    <x v="0"/>
    <x v="5"/>
    <n v="6"/>
    <n v="6.8"/>
    <n v="17000"/>
  </r>
  <r>
    <x v="0"/>
    <x v="20"/>
    <x v="319"/>
    <x v="0"/>
    <x v="6"/>
    <n v="7"/>
    <n v="0"/>
    <n v="0"/>
  </r>
  <r>
    <x v="0"/>
    <x v="20"/>
    <x v="320"/>
    <x v="0"/>
    <x v="0"/>
    <n v="1"/>
    <n v="0"/>
    <n v="0"/>
  </r>
  <r>
    <x v="0"/>
    <x v="20"/>
    <x v="320"/>
    <x v="0"/>
    <x v="1"/>
    <n v="2"/>
    <n v="0"/>
    <n v="0"/>
  </r>
  <r>
    <x v="0"/>
    <x v="20"/>
    <x v="320"/>
    <x v="0"/>
    <x v="2"/>
    <n v="3"/>
    <n v="8.8000000000000007"/>
    <n v="22000"/>
  </r>
  <r>
    <x v="0"/>
    <x v="20"/>
    <x v="320"/>
    <x v="0"/>
    <x v="3"/>
    <n v="4"/>
    <n v="2.4"/>
    <n v="6000"/>
  </r>
  <r>
    <x v="0"/>
    <x v="20"/>
    <x v="320"/>
    <x v="0"/>
    <x v="4"/>
    <n v="5"/>
    <n v="0"/>
    <n v="0"/>
  </r>
  <r>
    <x v="0"/>
    <x v="20"/>
    <x v="320"/>
    <x v="0"/>
    <x v="5"/>
    <n v="6"/>
    <n v="11.2"/>
    <n v="28000"/>
  </r>
  <r>
    <x v="0"/>
    <x v="20"/>
    <x v="320"/>
    <x v="0"/>
    <x v="6"/>
    <n v="7"/>
    <n v="0"/>
    <n v="0"/>
  </r>
  <r>
    <x v="0"/>
    <x v="20"/>
    <x v="321"/>
    <x v="0"/>
    <x v="0"/>
    <n v="1"/>
    <n v="0"/>
    <n v="0"/>
  </r>
  <r>
    <x v="0"/>
    <x v="20"/>
    <x v="321"/>
    <x v="0"/>
    <x v="1"/>
    <n v="2"/>
    <n v="0"/>
    <n v="0"/>
  </r>
  <r>
    <x v="0"/>
    <x v="20"/>
    <x v="321"/>
    <x v="0"/>
    <x v="2"/>
    <n v="3"/>
    <n v="6.8"/>
    <n v="17000"/>
  </r>
  <r>
    <x v="0"/>
    <x v="20"/>
    <x v="321"/>
    <x v="0"/>
    <x v="3"/>
    <n v="4"/>
    <n v="1.2"/>
    <n v="3000"/>
  </r>
  <r>
    <x v="0"/>
    <x v="20"/>
    <x v="321"/>
    <x v="0"/>
    <x v="4"/>
    <n v="5"/>
    <n v="0"/>
    <n v="0"/>
  </r>
  <r>
    <x v="0"/>
    <x v="20"/>
    <x v="321"/>
    <x v="0"/>
    <x v="5"/>
    <n v="6"/>
    <n v="8"/>
    <n v="20000"/>
  </r>
  <r>
    <x v="0"/>
    <x v="20"/>
    <x v="321"/>
    <x v="0"/>
    <x v="6"/>
    <n v="7"/>
    <n v="0"/>
    <n v="0"/>
  </r>
  <r>
    <x v="0"/>
    <x v="21"/>
    <x v="322"/>
    <x v="0"/>
    <x v="0"/>
    <n v="1"/>
    <n v="0"/>
    <n v="0"/>
  </r>
  <r>
    <x v="0"/>
    <x v="21"/>
    <x v="322"/>
    <x v="0"/>
    <x v="1"/>
    <n v="2"/>
    <n v="0"/>
    <n v="0"/>
  </r>
  <r>
    <x v="0"/>
    <x v="21"/>
    <x v="322"/>
    <x v="0"/>
    <x v="2"/>
    <n v="3"/>
    <n v="5.2"/>
    <n v="13000"/>
  </r>
  <r>
    <x v="0"/>
    <x v="21"/>
    <x v="322"/>
    <x v="0"/>
    <x v="3"/>
    <n v="4"/>
    <n v="3.2"/>
    <n v="8000"/>
  </r>
  <r>
    <x v="0"/>
    <x v="21"/>
    <x v="322"/>
    <x v="0"/>
    <x v="4"/>
    <n v="5"/>
    <n v="0"/>
    <n v="0"/>
  </r>
  <r>
    <x v="0"/>
    <x v="21"/>
    <x v="322"/>
    <x v="0"/>
    <x v="5"/>
    <n v="6"/>
    <n v="8.4"/>
    <n v="21000"/>
  </r>
  <r>
    <x v="0"/>
    <x v="21"/>
    <x v="322"/>
    <x v="0"/>
    <x v="6"/>
    <n v="7"/>
    <n v="0"/>
    <n v="0"/>
  </r>
  <r>
    <x v="0"/>
    <x v="21"/>
    <x v="323"/>
    <x v="0"/>
    <x v="0"/>
    <n v="1"/>
    <n v="0"/>
    <n v="0"/>
  </r>
  <r>
    <x v="0"/>
    <x v="21"/>
    <x v="323"/>
    <x v="0"/>
    <x v="1"/>
    <n v="2"/>
    <n v="0"/>
    <n v="0"/>
  </r>
  <r>
    <x v="0"/>
    <x v="21"/>
    <x v="323"/>
    <x v="0"/>
    <x v="2"/>
    <n v="3"/>
    <n v="8"/>
    <n v="20000"/>
  </r>
  <r>
    <x v="0"/>
    <x v="21"/>
    <x v="323"/>
    <x v="0"/>
    <x v="3"/>
    <n v="4"/>
    <n v="4"/>
    <n v="10000"/>
  </r>
  <r>
    <x v="0"/>
    <x v="21"/>
    <x v="323"/>
    <x v="0"/>
    <x v="4"/>
    <n v="5"/>
    <n v="0"/>
    <n v="0"/>
  </r>
  <r>
    <x v="0"/>
    <x v="21"/>
    <x v="323"/>
    <x v="0"/>
    <x v="5"/>
    <n v="6"/>
    <n v="11.2"/>
    <n v="28000"/>
  </r>
  <r>
    <x v="0"/>
    <x v="21"/>
    <x v="323"/>
    <x v="0"/>
    <x v="6"/>
    <n v="7"/>
    <n v="0"/>
    <n v="0"/>
  </r>
  <r>
    <x v="0"/>
    <x v="21"/>
    <x v="324"/>
    <x v="0"/>
    <x v="0"/>
    <n v="1"/>
    <n v="0"/>
    <n v="0"/>
  </r>
  <r>
    <x v="0"/>
    <x v="21"/>
    <x v="324"/>
    <x v="0"/>
    <x v="1"/>
    <n v="2"/>
    <n v="0"/>
    <n v="0"/>
  </r>
  <r>
    <x v="0"/>
    <x v="21"/>
    <x v="324"/>
    <x v="0"/>
    <x v="2"/>
    <n v="3"/>
    <n v="8.8000000000000007"/>
    <n v="22000"/>
  </r>
  <r>
    <x v="0"/>
    <x v="21"/>
    <x v="324"/>
    <x v="0"/>
    <x v="3"/>
    <n v="4"/>
    <n v="3.6"/>
    <n v="9000"/>
  </r>
  <r>
    <x v="0"/>
    <x v="21"/>
    <x v="324"/>
    <x v="0"/>
    <x v="4"/>
    <n v="5"/>
    <n v="0"/>
    <n v="0"/>
  </r>
  <r>
    <x v="0"/>
    <x v="21"/>
    <x v="324"/>
    <x v="0"/>
    <x v="5"/>
    <n v="6"/>
    <n v="12.4"/>
    <n v="31000"/>
  </r>
  <r>
    <x v="0"/>
    <x v="21"/>
    <x v="324"/>
    <x v="0"/>
    <x v="6"/>
    <n v="7"/>
    <n v="0"/>
    <n v="0"/>
  </r>
  <r>
    <x v="0"/>
    <x v="21"/>
    <x v="325"/>
    <x v="0"/>
    <x v="0"/>
    <n v="1"/>
    <n v="0"/>
    <n v="0"/>
  </r>
  <r>
    <x v="0"/>
    <x v="21"/>
    <x v="325"/>
    <x v="0"/>
    <x v="1"/>
    <n v="2"/>
    <n v="0"/>
    <n v="0"/>
  </r>
  <r>
    <x v="0"/>
    <x v="21"/>
    <x v="325"/>
    <x v="0"/>
    <x v="2"/>
    <n v="3"/>
    <n v="9.1999999999999993"/>
    <n v="23000"/>
  </r>
  <r>
    <x v="0"/>
    <x v="21"/>
    <x v="325"/>
    <x v="0"/>
    <x v="3"/>
    <n v="4"/>
    <n v="3.6"/>
    <n v="9000"/>
  </r>
  <r>
    <x v="0"/>
    <x v="21"/>
    <x v="325"/>
    <x v="0"/>
    <x v="4"/>
    <n v="5"/>
    <n v="0"/>
    <n v="0"/>
  </r>
  <r>
    <x v="0"/>
    <x v="21"/>
    <x v="325"/>
    <x v="0"/>
    <x v="5"/>
    <n v="6"/>
    <n v="12.4"/>
    <n v="31000"/>
  </r>
  <r>
    <x v="0"/>
    <x v="21"/>
    <x v="325"/>
    <x v="0"/>
    <x v="6"/>
    <n v="7"/>
    <n v="0"/>
    <n v="0"/>
  </r>
  <r>
    <x v="0"/>
    <x v="21"/>
    <x v="326"/>
    <x v="0"/>
    <x v="0"/>
    <n v="1"/>
    <n v="0"/>
    <n v="0"/>
  </r>
  <r>
    <x v="0"/>
    <x v="21"/>
    <x v="326"/>
    <x v="0"/>
    <x v="1"/>
    <n v="2"/>
    <n v="0"/>
    <n v="0"/>
  </r>
  <r>
    <x v="0"/>
    <x v="21"/>
    <x v="326"/>
    <x v="0"/>
    <x v="2"/>
    <n v="3"/>
    <n v="4.8"/>
    <n v="12000"/>
  </r>
  <r>
    <x v="0"/>
    <x v="21"/>
    <x v="326"/>
    <x v="0"/>
    <x v="3"/>
    <n v="4"/>
    <n v="3.6"/>
    <n v="9000"/>
  </r>
  <r>
    <x v="0"/>
    <x v="21"/>
    <x v="326"/>
    <x v="0"/>
    <x v="4"/>
    <n v="5"/>
    <n v="0"/>
    <n v="0"/>
  </r>
  <r>
    <x v="0"/>
    <x v="21"/>
    <x v="326"/>
    <x v="0"/>
    <x v="5"/>
    <n v="6"/>
    <n v="8"/>
    <n v="20000"/>
  </r>
  <r>
    <x v="0"/>
    <x v="21"/>
    <x v="326"/>
    <x v="0"/>
    <x v="6"/>
    <n v="7"/>
    <n v="0"/>
    <n v="0"/>
  </r>
  <r>
    <x v="0"/>
    <x v="21"/>
    <x v="327"/>
    <x v="0"/>
    <x v="0"/>
    <n v="1"/>
    <n v="0"/>
    <n v="0"/>
  </r>
  <r>
    <x v="0"/>
    <x v="21"/>
    <x v="327"/>
    <x v="0"/>
    <x v="1"/>
    <n v="2"/>
    <n v="0"/>
    <n v="0"/>
  </r>
  <r>
    <x v="0"/>
    <x v="21"/>
    <x v="327"/>
    <x v="0"/>
    <x v="2"/>
    <n v="3"/>
    <n v="11.6"/>
    <n v="29000"/>
  </r>
  <r>
    <x v="0"/>
    <x v="21"/>
    <x v="327"/>
    <x v="0"/>
    <x v="3"/>
    <n v="4"/>
    <n v="2.8"/>
    <n v="7000"/>
  </r>
  <r>
    <x v="0"/>
    <x v="21"/>
    <x v="327"/>
    <x v="0"/>
    <x v="4"/>
    <n v="5"/>
    <n v="0"/>
    <n v="0"/>
  </r>
  <r>
    <x v="0"/>
    <x v="21"/>
    <x v="327"/>
    <x v="0"/>
    <x v="5"/>
    <n v="6"/>
    <n v="14"/>
    <n v="35000"/>
  </r>
  <r>
    <x v="0"/>
    <x v="21"/>
    <x v="327"/>
    <x v="0"/>
    <x v="6"/>
    <n v="7"/>
    <n v="0"/>
    <n v="0"/>
  </r>
  <r>
    <x v="0"/>
    <x v="21"/>
    <x v="328"/>
    <x v="0"/>
    <x v="0"/>
    <n v="1"/>
    <n v="0"/>
    <n v="0"/>
  </r>
  <r>
    <x v="0"/>
    <x v="21"/>
    <x v="328"/>
    <x v="0"/>
    <x v="1"/>
    <n v="2"/>
    <n v="0"/>
    <n v="0"/>
  </r>
  <r>
    <x v="0"/>
    <x v="21"/>
    <x v="328"/>
    <x v="0"/>
    <x v="2"/>
    <n v="3"/>
    <n v="5.2"/>
    <n v="13000"/>
  </r>
  <r>
    <x v="0"/>
    <x v="21"/>
    <x v="328"/>
    <x v="0"/>
    <x v="3"/>
    <n v="4"/>
    <n v="0.8"/>
    <n v="2000"/>
  </r>
  <r>
    <x v="0"/>
    <x v="21"/>
    <x v="328"/>
    <x v="0"/>
    <x v="4"/>
    <n v="5"/>
    <n v="0"/>
    <n v="0"/>
  </r>
  <r>
    <x v="0"/>
    <x v="21"/>
    <x v="328"/>
    <x v="0"/>
    <x v="5"/>
    <n v="6"/>
    <n v="6.4"/>
    <n v="16000"/>
  </r>
  <r>
    <x v="0"/>
    <x v="21"/>
    <x v="328"/>
    <x v="0"/>
    <x v="6"/>
    <n v="7"/>
    <n v="0"/>
    <n v="0"/>
  </r>
  <r>
    <x v="0"/>
    <x v="21"/>
    <x v="329"/>
    <x v="0"/>
    <x v="0"/>
    <n v="1"/>
    <n v="0"/>
    <n v="0"/>
  </r>
  <r>
    <x v="0"/>
    <x v="21"/>
    <x v="329"/>
    <x v="0"/>
    <x v="1"/>
    <n v="2"/>
    <n v="0"/>
    <n v="0"/>
  </r>
  <r>
    <x v="0"/>
    <x v="21"/>
    <x v="329"/>
    <x v="0"/>
    <x v="2"/>
    <n v="3"/>
    <n v="5.2"/>
    <n v="13000"/>
  </r>
  <r>
    <x v="0"/>
    <x v="21"/>
    <x v="329"/>
    <x v="0"/>
    <x v="3"/>
    <n v="4"/>
    <n v="0.8"/>
    <n v="2000"/>
  </r>
  <r>
    <x v="0"/>
    <x v="21"/>
    <x v="329"/>
    <x v="0"/>
    <x v="4"/>
    <n v="5"/>
    <n v="0"/>
    <n v="0"/>
  </r>
  <r>
    <x v="0"/>
    <x v="21"/>
    <x v="329"/>
    <x v="0"/>
    <x v="5"/>
    <n v="6"/>
    <n v="6"/>
    <n v="15000"/>
  </r>
  <r>
    <x v="0"/>
    <x v="21"/>
    <x v="329"/>
    <x v="0"/>
    <x v="6"/>
    <n v="7"/>
    <n v="0"/>
    <n v="0"/>
  </r>
  <r>
    <x v="0"/>
    <x v="21"/>
    <x v="330"/>
    <x v="0"/>
    <x v="0"/>
    <n v="1"/>
    <n v="0"/>
    <n v="0"/>
  </r>
  <r>
    <x v="0"/>
    <x v="21"/>
    <x v="330"/>
    <x v="0"/>
    <x v="1"/>
    <n v="2"/>
    <n v="0"/>
    <n v="0"/>
  </r>
  <r>
    <x v="0"/>
    <x v="21"/>
    <x v="330"/>
    <x v="0"/>
    <x v="2"/>
    <n v="3"/>
    <n v="4"/>
    <n v="10000"/>
  </r>
  <r>
    <x v="0"/>
    <x v="21"/>
    <x v="330"/>
    <x v="0"/>
    <x v="3"/>
    <n v="4"/>
    <n v="2"/>
    <n v="5000"/>
  </r>
  <r>
    <x v="0"/>
    <x v="21"/>
    <x v="330"/>
    <x v="0"/>
    <x v="4"/>
    <n v="5"/>
    <n v="0"/>
    <n v="0"/>
  </r>
  <r>
    <x v="0"/>
    <x v="21"/>
    <x v="330"/>
    <x v="0"/>
    <x v="5"/>
    <n v="6"/>
    <n v="6"/>
    <n v="15000"/>
  </r>
  <r>
    <x v="0"/>
    <x v="21"/>
    <x v="330"/>
    <x v="0"/>
    <x v="6"/>
    <n v="7"/>
    <n v="0"/>
    <n v="0"/>
  </r>
  <r>
    <x v="0"/>
    <x v="21"/>
    <x v="331"/>
    <x v="0"/>
    <x v="0"/>
    <n v="1"/>
    <n v="0"/>
    <n v="0"/>
  </r>
  <r>
    <x v="0"/>
    <x v="21"/>
    <x v="331"/>
    <x v="0"/>
    <x v="1"/>
    <n v="2"/>
    <n v="0"/>
    <n v="0"/>
  </r>
  <r>
    <x v="0"/>
    <x v="21"/>
    <x v="331"/>
    <x v="0"/>
    <x v="2"/>
    <n v="3"/>
    <n v="6.4"/>
    <n v="16000"/>
  </r>
  <r>
    <x v="0"/>
    <x v="21"/>
    <x v="331"/>
    <x v="0"/>
    <x v="3"/>
    <n v="4"/>
    <n v="0.8"/>
    <n v="2000"/>
  </r>
  <r>
    <x v="0"/>
    <x v="21"/>
    <x v="331"/>
    <x v="0"/>
    <x v="4"/>
    <n v="5"/>
    <n v="0"/>
    <n v="0"/>
  </r>
  <r>
    <x v="0"/>
    <x v="21"/>
    <x v="331"/>
    <x v="0"/>
    <x v="5"/>
    <n v="6"/>
    <n v="7.2"/>
    <n v="18000"/>
  </r>
  <r>
    <x v="0"/>
    <x v="21"/>
    <x v="331"/>
    <x v="0"/>
    <x v="6"/>
    <n v="7"/>
    <n v="0"/>
    <n v="0"/>
  </r>
  <r>
    <x v="0"/>
    <x v="21"/>
    <x v="332"/>
    <x v="0"/>
    <x v="0"/>
    <n v="1"/>
    <n v="0"/>
    <n v="0"/>
  </r>
  <r>
    <x v="0"/>
    <x v="21"/>
    <x v="332"/>
    <x v="0"/>
    <x v="1"/>
    <n v="2"/>
    <n v="0"/>
    <n v="0"/>
  </r>
  <r>
    <x v="0"/>
    <x v="21"/>
    <x v="332"/>
    <x v="0"/>
    <x v="2"/>
    <n v="3"/>
    <n v="6.8"/>
    <n v="17000"/>
  </r>
  <r>
    <x v="0"/>
    <x v="21"/>
    <x v="332"/>
    <x v="0"/>
    <x v="3"/>
    <n v="4"/>
    <n v="2.8"/>
    <n v="7000"/>
  </r>
  <r>
    <x v="0"/>
    <x v="21"/>
    <x v="332"/>
    <x v="0"/>
    <x v="4"/>
    <n v="5"/>
    <n v="0"/>
    <n v="0"/>
  </r>
  <r>
    <x v="0"/>
    <x v="21"/>
    <x v="332"/>
    <x v="0"/>
    <x v="5"/>
    <n v="6"/>
    <n v="9.6"/>
    <n v="24000"/>
  </r>
  <r>
    <x v="0"/>
    <x v="21"/>
    <x v="332"/>
    <x v="0"/>
    <x v="6"/>
    <n v="7"/>
    <n v="0"/>
    <n v="0"/>
  </r>
  <r>
    <x v="1"/>
    <x v="0"/>
    <x v="0"/>
    <x v="0"/>
    <x v="0"/>
    <n v="1"/>
    <n v="0"/>
    <n v="0"/>
  </r>
  <r>
    <x v="1"/>
    <x v="0"/>
    <x v="0"/>
    <x v="0"/>
    <x v="1"/>
    <n v="2"/>
    <n v="0"/>
    <n v="0"/>
  </r>
  <r>
    <x v="1"/>
    <x v="0"/>
    <x v="0"/>
    <x v="0"/>
    <x v="2"/>
    <n v="3"/>
    <n v="0"/>
    <n v="0"/>
  </r>
  <r>
    <x v="1"/>
    <x v="0"/>
    <x v="0"/>
    <x v="0"/>
    <x v="3"/>
    <n v="4"/>
    <n v="8.64"/>
    <n v="21600"/>
  </r>
  <r>
    <x v="1"/>
    <x v="0"/>
    <x v="0"/>
    <x v="0"/>
    <x v="4"/>
    <n v="5"/>
    <n v="0"/>
    <n v="0"/>
  </r>
  <r>
    <x v="1"/>
    <x v="0"/>
    <x v="0"/>
    <x v="0"/>
    <x v="5"/>
    <n v="6"/>
    <n v="0"/>
    <n v="0"/>
  </r>
  <r>
    <x v="1"/>
    <x v="0"/>
    <x v="0"/>
    <x v="0"/>
    <x v="6"/>
    <n v="7"/>
    <n v="0"/>
    <n v="0"/>
  </r>
  <r>
    <x v="1"/>
    <x v="0"/>
    <x v="1"/>
    <x v="0"/>
    <x v="0"/>
    <n v="1"/>
    <n v="0"/>
    <n v="0"/>
  </r>
  <r>
    <x v="1"/>
    <x v="0"/>
    <x v="1"/>
    <x v="0"/>
    <x v="1"/>
    <n v="2"/>
    <n v="0"/>
    <n v="0"/>
  </r>
  <r>
    <x v="1"/>
    <x v="0"/>
    <x v="1"/>
    <x v="0"/>
    <x v="2"/>
    <n v="3"/>
    <n v="0"/>
    <n v="0"/>
  </r>
  <r>
    <x v="1"/>
    <x v="0"/>
    <x v="1"/>
    <x v="0"/>
    <x v="3"/>
    <n v="4"/>
    <n v="0"/>
    <n v="0"/>
  </r>
  <r>
    <x v="1"/>
    <x v="0"/>
    <x v="1"/>
    <x v="0"/>
    <x v="4"/>
    <n v="5"/>
    <n v="0"/>
    <n v="0"/>
  </r>
  <r>
    <x v="1"/>
    <x v="0"/>
    <x v="1"/>
    <x v="0"/>
    <x v="5"/>
    <n v="6"/>
    <n v="0"/>
    <n v="0"/>
  </r>
  <r>
    <x v="1"/>
    <x v="0"/>
    <x v="1"/>
    <x v="0"/>
    <x v="6"/>
    <n v="7"/>
    <n v="0"/>
    <n v="0"/>
  </r>
  <r>
    <x v="1"/>
    <x v="0"/>
    <x v="2"/>
    <x v="0"/>
    <x v="0"/>
    <n v="1"/>
    <n v="0"/>
    <n v="0"/>
  </r>
  <r>
    <x v="1"/>
    <x v="0"/>
    <x v="2"/>
    <x v="0"/>
    <x v="1"/>
    <n v="2"/>
    <n v="0"/>
    <n v="0"/>
  </r>
  <r>
    <x v="1"/>
    <x v="0"/>
    <x v="2"/>
    <x v="0"/>
    <x v="2"/>
    <n v="3"/>
    <n v="0"/>
    <n v="0"/>
  </r>
  <r>
    <x v="1"/>
    <x v="0"/>
    <x v="2"/>
    <x v="0"/>
    <x v="3"/>
    <n v="4"/>
    <n v="0"/>
    <n v="0"/>
  </r>
  <r>
    <x v="1"/>
    <x v="0"/>
    <x v="2"/>
    <x v="0"/>
    <x v="4"/>
    <n v="5"/>
    <n v="0"/>
    <n v="0"/>
  </r>
  <r>
    <x v="1"/>
    <x v="0"/>
    <x v="2"/>
    <x v="0"/>
    <x v="5"/>
    <n v="6"/>
    <n v="0"/>
    <n v="0"/>
  </r>
  <r>
    <x v="1"/>
    <x v="0"/>
    <x v="2"/>
    <x v="0"/>
    <x v="6"/>
    <n v="7"/>
    <n v="0"/>
    <n v="0"/>
  </r>
  <r>
    <x v="1"/>
    <x v="0"/>
    <x v="3"/>
    <x v="0"/>
    <x v="0"/>
    <n v="1"/>
    <n v="0"/>
    <n v="0"/>
  </r>
  <r>
    <x v="1"/>
    <x v="0"/>
    <x v="3"/>
    <x v="0"/>
    <x v="1"/>
    <n v="2"/>
    <n v="0"/>
    <n v="0"/>
  </r>
  <r>
    <x v="1"/>
    <x v="0"/>
    <x v="3"/>
    <x v="0"/>
    <x v="2"/>
    <n v="3"/>
    <n v="0"/>
    <n v="0"/>
  </r>
  <r>
    <x v="1"/>
    <x v="0"/>
    <x v="3"/>
    <x v="0"/>
    <x v="3"/>
    <n v="4"/>
    <n v="10.08"/>
    <n v="25200"/>
  </r>
  <r>
    <x v="1"/>
    <x v="0"/>
    <x v="3"/>
    <x v="0"/>
    <x v="4"/>
    <n v="5"/>
    <n v="0"/>
    <n v="0"/>
  </r>
  <r>
    <x v="1"/>
    <x v="0"/>
    <x v="3"/>
    <x v="0"/>
    <x v="5"/>
    <n v="6"/>
    <n v="0"/>
    <n v="0"/>
  </r>
  <r>
    <x v="1"/>
    <x v="0"/>
    <x v="3"/>
    <x v="0"/>
    <x v="6"/>
    <n v="7"/>
    <n v="0"/>
    <n v="0"/>
  </r>
  <r>
    <x v="1"/>
    <x v="0"/>
    <x v="4"/>
    <x v="0"/>
    <x v="0"/>
    <n v="1"/>
    <n v="0"/>
    <n v="0"/>
  </r>
  <r>
    <x v="1"/>
    <x v="0"/>
    <x v="4"/>
    <x v="0"/>
    <x v="1"/>
    <n v="2"/>
    <n v="0"/>
    <n v="0"/>
  </r>
  <r>
    <x v="1"/>
    <x v="0"/>
    <x v="4"/>
    <x v="0"/>
    <x v="2"/>
    <n v="3"/>
    <n v="0"/>
    <n v="0"/>
  </r>
  <r>
    <x v="1"/>
    <x v="0"/>
    <x v="4"/>
    <x v="0"/>
    <x v="3"/>
    <n v="4"/>
    <n v="0"/>
    <n v="0"/>
  </r>
  <r>
    <x v="1"/>
    <x v="0"/>
    <x v="4"/>
    <x v="0"/>
    <x v="4"/>
    <n v="5"/>
    <n v="0"/>
    <n v="0"/>
  </r>
  <r>
    <x v="1"/>
    <x v="0"/>
    <x v="4"/>
    <x v="0"/>
    <x v="5"/>
    <n v="6"/>
    <n v="0"/>
    <n v="0"/>
  </r>
  <r>
    <x v="1"/>
    <x v="0"/>
    <x v="4"/>
    <x v="0"/>
    <x v="6"/>
    <n v="7"/>
    <n v="0"/>
    <n v="0"/>
  </r>
  <r>
    <x v="1"/>
    <x v="0"/>
    <x v="5"/>
    <x v="0"/>
    <x v="0"/>
    <n v="1"/>
    <n v="0"/>
    <n v="0"/>
  </r>
  <r>
    <x v="1"/>
    <x v="0"/>
    <x v="5"/>
    <x v="0"/>
    <x v="1"/>
    <n v="2"/>
    <n v="0"/>
    <n v="0"/>
  </r>
  <r>
    <x v="1"/>
    <x v="0"/>
    <x v="5"/>
    <x v="0"/>
    <x v="2"/>
    <n v="3"/>
    <n v="0"/>
    <n v="0"/>
  </r>
  <r>
    <x v="1"/>
    <x v="0"/>
    <x v="5"/>
    <x v="0"/>
    <x v="3"/>
    <n v="4"/>
    <n v="5.04"/>
    <n v="12600"/>
  </r>
  <r>
    <x v="1"/>
    <x v="0"/>
    <x v="5"/>
    <x v="0"/>
    <x v="4"/>
    <n v="5"/>
    <n v="0"/>
    <n v="0"/>
  </r>
  <r>
    <x v="1"/>
    <x v="0"/>
    <x v="5"/>
    <x v="0"/>
    <x v="5"/>
    <n v="6"/>
    <n v="0"/>
    <n v="0"/>
  </r>
  <r>
    <x v="1"/>
    <x v="0"/>
    <x v="5"/>
    <x v="0"/>
    <x v="6"/>
    <n v="7"/>
    <n v="0"/>
    <n v="0"/>
  </r>
  <r>
    <x v="1"/>
    <x v="0"/>
    <x v="6"/>
    <x v="0"/>
    <x v="0"/>
    <n v="1"/>
    <n v="0"/>
    <n v="0"/>
  </r>
  <r>
    <x v="1"/>
    <x v="0"/>
    <x v="6"/>
    <x v="0"/>
    <x v="1"/>
    <n v="2"/>
    <n v="0"/>
    <n v="0"/>
  </r>
  <r>
    <x v="1"/>
    <x v="0"/>
    <x v="6"/>
    <x v="0"/>
    <x v="2"/>
    <n v="3"/>
    <n v="0"/>
    <n v="0"/>
  </r>
  <r>
    <x v="1"/>
    <x v="0"/>
    <x v="6"/>
    <x v="0"/>
    <x v="3"/>
    <n v="4"/>
    <n v="0"/>
    <n v="0"/>
  </r>
  <r>
    <x v="1"/>
    <x v="0"/>
    <x v="6"/>
    <x v="0"/>
    <x v="4"/>
    <n v="5"/>
    <n v="0"/>
    <n v="0"/>
  </r>
  <r>
    <x v="1"/>
    <x v="0"/>
    <x v="6"/>
    <x v="0"/>
    <x v="5"/>
    <n v="6"/>
    <n v="0"/>
    <n v="0"/>
  </r>
  <r>
    <x v="1"/>
    <x v="0"/>
    <x v="6"/>
    <x v="0"/>
    <x v="6"/>
    <n v="7"/>
    <n v="0"/>
    <n v="0"/>
  </r>
  <r>
    <x v="1"/>
    <x v="0"/>
    <x v="7"/>
    <x v="0"/>
    <x v="0"/>
    <n v="1"/>
    <n v="0"/>
    <n v="0"/>
  </r>
  <r>
    <x v="1"/>
    <x v="0"/>
    <x v="7"/>
    <x v="0"/>
    <x v="1"/>
    <n v="2"/>
    <n v="0"/>
    <n v="0"/>
  </r>
  <r>
    <x v="1"/>
    <x v="0"/>
    <x v="7"/>
    <x v="0"/>
    <x v="2"/>
    <n v="3"/>
    <n v="0"/>
    <n v="0"/>
  </r>
  <r>
    <x v="1"/>
    <x v="0"/>
    <x v="7"/>
    <x v="0"/>
    <x v="3"/>
    <n v="4"/>
    <n v="0"/>
    <n v="0"/>
  </r>
  <r>
    <x v="1"/>
    <x v="0"/>
    <x v="7"/>
    <x v="0"/>
    <x v="4"/>
    <n v="5"/>
    <n v="0"/>
    <n v="0"/>
  </r>
  <r>
    <x v="1"/>
    <x v="0"/>
    <x v="7"/>
    <x v="0"/>
    <x v="5"/>
    <n v="6"/>
    <n v="0"/>
    <n v="0"/>
  </r>
  <r>
    <x v="1"/>
    <x v="0"/>
    <x v="7"/>
    <x v="0"/>
    <x v="6"/>
    <n v="7"/>
    <n v="0"/>
    <n v="0"/>
  </r>
  <r>
    <x v="1"/>
    <x v="0"/>
    <x v="8"/>
    <x v="0"/>
    <x v="0"/>
    <n v="1"/>
    <n v="0"/>
    <n v="0"/>
  </r>
  <r>
    <x v="1"/>
    <x v="0"/>
    <x v="8"/>
    <x v="0"/>
    <x v="1"/>
    <n v="2"/>
    <n v="0"/>
    <n v="0"/>
  </r>
  <r>
    <x v="1"/>
    <x v="0"/>
    <x v="8"/>
    <x v="0"/>
    <x v="2"/>
    <n v="3"/>
    <n v="0"/>
    <n v="0"/>
  </r>
  <r>
    <x v="1"/>
    <x v="0"/>
    <x v="8"/>
    <x v="0"/>
    <x v="3"/>
    <n v="4"/>
    <n v="2.16"/>
    <n v="5400"/>
  </r>
  <r>
    <x v="1"/>
    <x v="0"/>
    <x v="8"/>
    <x v="0"/>
    <x v="4"/>
    <n v="5"/>
    <n v="0"/>
    <n v="0"/>
  </r>
  <r>
    <x v="1"/>
    <x v="0"/>
    <x v="8"/>
    <x v="0"/>
    <x v="5"/>
    <n v="6"/>
    <n v="0"/>
    <n v="0"/>
  </r>
  <r>
    <x v="1"/>
    <x v="0"/>
    <x v="8"/>
    <x v="0"/>
    <x v="6"/>
    <n v="7"/>
    <n v="0"/>
    <n v="0"/>
  </r>
  <r>
    <x v="1"/>
    <x v="0"/>
    <x v="9"/>
    <x v="0"/>
    <x v="0"/>
    <n v="1"/>
    <n v="0"/>
    <n v="0"/>
  </r>
  <r>
    <x v="1"/>
    <x v="0"/>
    <x v="9"/>
    <x v="0"/>
    <x v="1"/>
    <n v="2"/>
    <n v="0"/>
    <n v="0"/>
  </r>
  <r>
    <x v="1"/>
    <x v="0"/>
    <x v="9"/>
    <x v="0"/>
    <x v="2"/>
    <n v="3"/>
    <n v="0"/>
    <n v="0"/>
  </r>
  <r>
    <x v="1"/>
    <x v="0"/>
    <x v="9"/>
    <x v="0"/>
    <x v="3"/>
    <n v="4"/>
    <n v="0"/>
    <n v="0"/>
  </r>
  <r>
    <x v="1"/>
    <x v="0"/>
    <x v="9"/>
    <x v="0"/>
    <x v="4"/>
    <n v="5"/>
    <n v="0"/>
    <n v="0"/>
  </r>
  <r>
    <x v="1"/>
    <x v="0"/>
    <x v="9"/>
    <x v="0"/>
    <x v="5"/>
    <n v="6"/>
    <n v="0"/>
    <n v="0"/>
  </r>
  <r>
    <x v="1"/>
    <x v="0"/>
    <x v="9"/>
    <x v="0"/>
    <x v="6"/>
    <n v="7"/>
    <n v="0"/>
    <n v="0"/>
  </r>
  <r>
    <x v="1"/>
    <x v="0"/>
    <x v="10"/>
    <x v="0"/>
    <x v="0"/>
    <n v="1"/>
    <n v="0"/>
    <n v="0"/>
  </r>
  <r>
    <x v="1"/>
    <x v="0"/>
    <x v="10"/>
    <x v="0"/>
    <x v="1"/>
    <n v="2"/>
    <n v="0"/>
    <n v="0"/>
  </r>
  <r>
    <x v="1"/>
    <x v="0"/>
    <x v="10"/>
    <x v="0"/>
    <x v="2"/>
    <n v="3"/>
    <n v="0"/>
    <n v="0"/>
  </r>
  <r>
    <x v="1"/>
    <x v="0"/>
    <x v="10"/>
    <x v="0"/>
    <x v="3"/>
    <n v="4"/>
    <n v="0.72"/>
    <n v="1800"/>
  </r>
  <r>
    <x v="1"/>
    <x v="0"/>
    <x v="10"/>
    <x v="0"/>
    <x v="4"/>
    <n v="5"/>
    <n v="0"/>
    <n v="0"/>
  </r>
  <r>
    <x v="1"/>
    <x v="0"/>
    <x v="10"/>
    <x v="0"/>
    <x v="5"/>
    <n v="6"/>
    <n v="0"/>
    <n v="0"/>
  </r>
  <r>
    <x v="1"/>
    <x v="0"/>
    <x v="10"/>
    <x v="0"/>
    <x v="6"/>
    <n v="7"/>
    <n v="0"/>
    <n v="0"/>
  </r>
  <r>
    <x v="1"/>
    <x v="0"/>
    <x v="11"/>
    <x v="0"/>
    <x v="0"/>
    <n v="1"/>
    <n v="0"/>
    <n v="0"/>
  </r>
  <r>
    <x v="1"/>
    <x v="0"/>
    <x v="11"/>
    <x v="0"/>
    <x v="1"/>
    <n v="2"/>
    <n v="0"/>
    <n v="0"/>
  </r>
  <r>
    <x v="1"/>
    <x v="0"/>
    <x v="11"/>
    <x v="0"/>
    <x v="2"/>
    <n v="3"/>
    <n v="0"/>
    <n v="0"/>
  </r>
  <r>
    <x v="1"/>
    <x v="0"/>
    <x v="11"/>
    <x v="0"/>
    <x v="3"/>
    <n v="4"/>
    <n v="0"/>
    <n v="0"/>
  </r>
  <r>
    <x v="1"/>
    <x v="0"/>
    <x v="11"/>
    <x v="0"/>
    <x v="4"/>
    <n v="5"/>
    <n v="0"/>
    <n v="0"/>
  </r>
  <r>
    <x v="1"/>
    <x v="0"/>
    <x v="11"/>
    <x v="0"/>
    <x v="5"/>
    <n v="6"/>
    <n v="0"/>
    <n v="0"/>
  </r>
  <r>
    <x v="1"/>
    <x v="0"/>
    <x v="11"/>
    <x v="0"/>
    <x v="6"/>
    <n v="7"/>
    <n v="0"/>
    <n v="0"/>
  </r>
  <r>
    <x v="1"/>
    <x v="0"/>
    <x v="12"/>
    <x v="0"/>
    <x v="0"/>
    <n v="1"/>
    <n v="0"/>
    <n v="0"/>
  </r>
  <r>
    <x v="1"/>
    <x v="0"/>
    <x v="12"/>
    <x v="0"/>
    <x v="1"/>
    <n v="2"/>
    <n v="0"/>
    <n v="0"/>
  </r>
  <r>
    <x v="1"/>
    <x v="0"/>
    <x v="12"/>
    <x v="0"/>
    <x v="2"/>
    <n v="3"/>
    <n v="0"/>
    <n v="0"/>
  </r>
  <r>
    <x v="1"/>
    <x v="0"/>
    <x v="12"/>
    <x v="0"/>
    <x v="3"/>
    <n v="4"/>
    <n v="2.16"/>
    <n v="5400"/>
  </r>
  <r>
    <x v="1"/>
    <x v="0"/>
    <x v="12"/>
    <x v="0"/>
    <x v="4"/>
    <n v="5"/>
    <n v="0"/>
    <n v="0"/>
  </r>
  <r>
    <x v="1"/>
    <x v="0"/>
    <x v="12"/>
    <x v="0"/>
    <x v="5"/>
    <n v="6"/>
    <n v="0"/>
    <n v="0"/>
  </r>
  <r>
    <x v="1"/>
    <x v="0"/>
    <x v="12"/>
    <x v="0"/>
    <x v="6"/>
    <n v="7"/>
    <n v="0"/>
    <n v="0"/>
  </r>
  <r>
    <x v="1"/>
    <x v="0"/>
    <x v="13"/>
    <x v="0"/>
    <x v="0"/>
    <n v="1"/>
    <n v="0"/>
    <n v="0"/>
  </r>
  <r>
    <x v="1"/>
    <x v="0"/>
    <x v="13"/>
    <x v="0"/>
    <x v="1"/>
    <n v="2"/>
    <n v="0"/>
    <n v="0"/>
  </r>
  <r>
    <x v="1"/>
    <x v="0"/>
    <x v="13"/>
    <x v="0"/>
    <x v="2"/>
    <n v="3"/>
    <n v="0"/>
    <n v="0"/>
  </r>
  <r>
    <x v="1"/>
    <x v="0"/>
    <x v="13"/>
    <x v="0"/>
    <x v="3"/>
    <n v="4"/>
    <n v="2.16"/>
    <n v="5400"/>
  </r>
  <r>
    <x v="1"/>
    <x v="0"/>
    <x v="13"/>
    <x v="0"/>
    <x v="4"/>
    <n v="5"/>
    <n v="0"/>
    <n v="0"/>
  </r>
  <r>
    <x v="1"/>
    <x v="0"/>
    <x v="13"/>
    <x v="0"/>
    <x v="5"/>
    <n v="6"/>
    <n v="0"/>
    <n v="0"/>
  </r>
  <r>
    <x v="1"/>
    <x v="0"/>
    <x v="13"/>
    <x v="0"/>
    <x v="6"/>
    <n v="7"/>
    <n v="0"/>
    <n v="0"/>
  </r>
  <r>
    <x v="1"/>
    <x v="0"/>
    <x v="14"/>
    <x v="0"/>
    <x v="0"/>
    <n v="1"/>
    <n v="0"/>
    <n v="0"/>
  </r>
  <r>
    <x v="1"/>
    <x v="0"/>
    <x v="14"/>
    <x v="0"/>
    <x v="1"/>
    <n v="2"/>
    <n v="0"/>
    <n v="0"/>
  </r>
  <r>
    <x v="1"/>
    <x v="0"/>
    <x v="14"/>
    <x v="0"/>
    <x v="2"/>
    <n v="3"/>
    <n v="0"/>
    <n v="0"/>
  </r>
  <r>
    <x v="1"/>
    <x v="0"/>
    <x v="14"/>
    <x v="0"/>
    <x v="3"/>
    <n v="4"/>
    <n v="0"/>
    <n v="0"/>
  </r>
  <r>
    <x v="1"/>
    <x v="0"/>
    <x v="14"/>
    <x v="0"/>
    <x v="4"/>
    <n v="5"/>
    <n v="0"/>
    <n v="0"/>
  </r>
  <r>
    <x v="1"/>
    <x v="0"/>
    <x v="14"/>
    <x v="0"/>
    <x v="5"/>
    <n v="6"/>
    <n v="0"/>
    <n v="0"/>
  </r>
  <r>
    <x v="1"/>
    <x v="0"/>
    <x v="14"/>
    <x v="0"/>
    <x v="6"/>
    <n v="7"/>
    <n v="0"/>
    <n v="0"/>
  </r>
  <r>
    <x v="1"/>
    <x v="0"/>
    <x v="15"/>
    <x v="0"/>
    <x v="0"/>
    <n v="1"/>
    <n v="0"/>
    <n v="0"/>
  </r>
  <r>
    <x v="1"/>
    <x v="0"/>
    <x v="15"/>
    <x v="0"/>
    <x v="1"/>
    <n v="2"/>
    <n v="0"/>
    <n v="0"/>
  </r>
  <r>
    <x v="1"/>
    <x v="0"/>
    <x v="15"/>
    <x v="0"/>
    <x v="2"/>
    <n v="3"/>
    <n v="0"/>
    <n v="0"/>
  </r>
  <r>
    <x v="1"/>
    <x v="0"/>
    <x v="15"/>
    <x v="0"/>
    <x v="3"/>
    <n v="4"/>
    <n v="0"/>
    <n v="0"/>
  </r>
  <r>
    <x v="1"/>
    <x v="0"/>
    <x v="15"/>
    <x v="0"/>
    <x v="4"/>
    <n v="5"/>
    <n v="0"/>
    <n v="0"/>
  </r>
  <r>
    <x v="1"/>
    <x v="0"/>
    <x v="15"/>
    <x v="0"/>
    <x v="5"/>
    <n v="6"/>
    <n v="0"/>
    <n v="0"/>
  </r>
  <r>
    <x v="1"/>
    <x v="0"/>
    <x v="15"/>
    <x v="0"/>
    <x v="6"/>
    <n v="7"/>
    <n v="0"/>
    <n v="0"/>
  </r>
  <r>
    <x v="1"/>
    <x v="0"/>
    <x v="16"/>
    <x v="0"/>
    <x v="0"/>
    <n v="1"/>
    <n v="0"/>
    <n v="0"/>
  </r>
  <r>
    <x v="1"/>
    <x v="0"/>
    <x v="16"/>
    <x v="0"/>
    <x v="1"/>
    <n v="2"/>
    <n v="0"/>
    <n v="0"/>
  </r>
  <r>
    <x v="1"/>
    <x v="0"/>
    <x v="16"/>
    <x v="0"/>
    <x v="2"/>
    <n v="3"/>
    <n v="0"/>
    <n v="0"/>
  </r>
  <r>
    <x v="1"/>
    <x v="0"/>
    <x v="16"/>
    <x v="0"/>
    <x v="3"/>
    <n v="4"/>
    <n v="0"/>
    <n v="0"/>
  </r>
  <r>
    <x v="1"/>
    <x v="0"/>
    <x v="16"/>
    <x v="0"/>
    <x v="4"/>
    <n v="5"/>
    <n v="0"/>
    <n v="0"/>
  </r>
  <r>
    <x v="1"/>
    <x v="0"/>
    <x v="16"/>
    <x v="0"/>
    <x v="5"/>
    <n v="6"/>
    <n v="0"/>
    <n v="0"/>
  </r>
  <r>
    <x v="1"/>
    <x v="0"/>
    <x v="16"/>
    <x v="0"/>
    <x v="6"/>
    <n v="7"/>
    <n v="0"/>
    <n v="0"/>
  </r>
  <r>
    <x v="1"/>
    <x v="1"/>
    <x v="17"/>
    <x v="0"/>
    <x v="0"/>
    <n v="1"/>
    <n v="0"/>
    <n v="0"/>
  </r>
  <r>
    <x v="1"/>
    <x v="1"/>
    <x v="17"/>
    <x v="0"/>
    <x v="1"/>
    <n v="2"/>
    <n v="0"/>
    <n v="0"/>
  </r>
  <r>
    <x v="1"/>
    <x v="1"/>
    <x v="17"/>
    <x v="0"/>
    <x v="2"/>
    <n v="3"/>
    <n v="0"/>
    <n v="0"/>
  </r>
  <r>
    <x v="1"/>
    <x v="1"/>
    <x v="17"/>
    <x v="0"/>
    <x v="3"/>
    <n v="4"/>
    <n v="5.04"/>
    <n v="12600"/>
  </r>
  <r>
    <x v="1"/>
    <x v="1"/>
    <x v="17"/>
    <x v="0"/>
    <x v="4"/>
    <n v="5"/>
    <n v="0"/>
    <n v="0"/>
  </r>
  <r>
    <x v="1"/>
    <x v="1"/>
    <x v="17"/>
    <x v="0"/>
    <x v="5"/>
    <n v="6"/>
    <n v="0"/>
    <n v="0"/>
  </r>
  <r>
    <x v="1"/>
    <x v="1"/>
    <x v="17"/>
    <x v="0"/>
    <x v="6"/>
    <n v="7"/>
    <n v="0"/>
    <n v="0"/>
  </r>
  <r>
    <x v="1"/>
    <x v="1"/>
    <x v="18"/>
    <x v="0"/>
    <x v="0"/>
    <n v="1"/>
    <n v="0"/>
    <n v="0"/>
  </r>
  <r>
    <x v="1"/>
    <x v="1"/>
    <x v="18"/>
    <x v="0"/>
    <x v="1"/>
    <n v="2"/>
    <n v="0"/>
    <n v="0"/>
  </r>
  <r>
    <x v="1"/>
    <x v="1"/>
    <x v="18"/>
    <x v="0"/>
    <x v="2"/>
    <n v="3"/>
    <n v="0"/>
    <n v="0"/>
  </r>
  <r>
    <x v="1"/>
    <x v="1"/>
    <x v="18"/>
    <x v="0"/>
    <x v="3"/>
    <n v="4"/>
    <n v="5.76"/>
    <n v="14400"/>
  </r>
  <r>
    <x v="1"/>
    <x v="1"/>
    <x v="18"/>
    <x v="0"/>
    <x v="4"/>
    <n v="5"/>
    <n v="0"/>
    <n v="0"/>
  </r>
  <r>
    <x v="1"/>
    <x v="1"/>
    <x v="18"/>
    <x v="0"/>
    <x v="5"/>
    <n v="6"/>
    <n v="0"/>
    <n v="0"/>
  </r>
  <r>
    <x v="1"/>
    <x v="1"/>
    <x v="18"/>
    <x v="0"/>
    <x v="6"/>
    <n v="7"/>
    <n v="0"/>
    <n v="0"/>
  </r>
  <r>
    <x v="1"/>
    <x v="1"/>
    <x v="19"/>
    <x v="0"/>
    <x v="0"/>
    <n v="1"/>
    <n v="0"/>
    <n v="0"/>
  </r>
  <r>
    <x v="1"/>
    <x v="1"/>
    <x v="19"/>
    <x v="0"/>
    <x v="1"/>
    <n v="2"/>
    <n v="0"/>
    <n v="0"/>
  </r>
  <r>
    <x v="1"/>
    <x v="1"/>
    <x v="19"/>
    <x v="0"/>
    <x v="2"/>
    <n v="3"/>
    <n v="0"/>
    <n v="0"/>
  </r>
  <r>
    <x v="1"/>
    <x v="1"/>
    <x v="19"/>
    <x v="0"/>
    <x v="3"/>
    <n v="4"/>
    <n v="8.64"/>
    <n v="21600"/>
  </r>
  <r>
    <x v="1"/>
    <x v="1"/>
    <x v="19"/>
    <x v="0"/>
    <x v="4"/>
    <n v="5"/>
    <n v="0"/>
    <n v="0"/>
  </r>
  <r>
    <x v="1"/>
    <x v="1"/>
    <x v="19"/>
    <x v="0"/>
    <x v="5"/>
    <n v="6"/>
    <n v="0"/>
    <n v="0"/>
  </r>
  <r>
    <x v="1"/>
    <x v="1"/>
    <x v="19"/>
    <x v="0"/>
    <x v="6"/>
    <n v="7"/>
    <n v="0"/>
    <n v="0"/>
  </r>
  <r>
    <x v="1"/>
    <x v="1"/>
    <x v="20"/>
    <x v="0"/>
    <x v="0"/>
    <n v="1"/>
    <n v="0"/>
    <n v="0"/>
  </r>
  <r>
    <x v="1"/>
    <x v="1"/>
    <x v="20"/>
    <x v="0"/>
    <x v="1"/>
    <n v="2"/>
    <n v="0"/>
    <n v="0"/>
  </r>
  <r>
    <x v="1"/>
    <x v="1"/>
    <x v="20"/>
    <x v="0"/>
    <x v="2"/>
    <n v="3"/>
    <n v="0"/>
    <n v="0"/>
  </r>
  <r>
    <x v="1"/>
    <x v="1"/>
    <x v="20"/>
    <x v="0"/>
    <x v="3"/>
    <n v="4"/>
    <n v="7.92"/>
    <n v="19800"/>
  </r>
  <r>
    <x v="1"/>
    <x v="1"/>
    <x v="20"/>
    <x v="0"/>
    <x v="4"/>
    <n v="5"/>
    <n v="0"/>
    <n v="0"/>
  </r>
  <r>
    <x v="1"/>
    <x v="1"/>
    <x v="20"/>
    <x v="0"/>
    <x v="5"/>
    <n v="6"/>
    <n v="0"/>
    <n v="0"/>
  </r>
  <r>
    <x v="1"/>
    <x v="1"/>
    <x v="20"/>
    <x v="0"/>
    <x v="6"/>
    <n v="7"/>
    <n v="0"/>
    <n v="0"/>
  </r>
  <r>
    <x v="1"/>
    <x v="1"/>
    <x v="21"/>
    <x v="0"/>
    <x v="0"/>
    <n v="1"/>
    <n v="0"/>
    <n v="0"/>
  </r>
  <r>
    <x v="1"/>
    <x v="1"/>
    <x v="21"/>
    <x v="0"/>
    <x v="1"/>
    <n v="2"/>
    <n v="0"/>
    <n v="0"/>
  </r>
  <r>
    <x v="1"/>
    <x v="1"/>
    <x v="21"/>
    <x v="0"/>
    <x v="2"/>
    <n v="3"/>
    <n v="0"/>
    <n v="0"/>
  </r>
  <r>
    <x v="1"/>
    <x v="1"/>
    <x v="21"/>
    <x v="0"/>
    <x v="3"/>
    <n v="4"/>
    <n v="1.44"/>
    <n v="3600"/>
  </r>
  <r>
    <x v="1"/>
    <x v="1"/>
    <x v="21"/>
    <x v="0"/>
    <x v="4"/>
    <n v="5"/>
    <n v="0"/>
    <n v="0"/>
  </r>
  <r>
    <x v="1"/>
    <x v="1"/>
    <x v="21"/>
    <x v="0"/>
    <x v="5"/>
    <n v="6"/>
    <n v="0"/>
    <n v="0"/>
  </r>
  <r>
    <x v="1"/>
    <x v="1"/>
    <x v="21"/>
    <x v="0"/>
    <x v="6"/>
    <n v="7"/>
    <n v="0"/>
    <n v="0"/>
  </r>
  <r>
    <x v="1"/>
    <x v="1"/>
    <x v="22"/>
    <x v="0"/>
    <x v="0"/>
    <n v="1"/>
    <n v="0"/>
    <n v="0"/>
  </r>
  <r>
    <x v="1"/>
    <x v="1"/>
    <x v="22"/>
    <x v="0"/>
    <x v="1"/>
    <n v="2"/>
    <n v="0"/>
    <n v="0"/>
  </r>
  <r>
    <x v="1"/>
    <x v="1"/>
    <x v="22"/>
    <x v="0"/>
    <x v="2"/>
    <n v="3"/>
    <n v="0"/>
    <n v="0"/>
  </r>
  <r>
    <x v="1"/>
    <x v="1"/>
    <x v="22"/>
    <x v="0"/>
    <x v="3"/>
    <n v="4"/>
    <n v="6.48"/>
    <n v="16200"/>
  </r>
  <r>
    <x v="1"/>
    <x v="1"/>
    <x v="22"/>
    <x v="0"/>
    <x v="4"/>
    <n v="5"/>
    <n v="0"/>
    <n v="0"/>
  </r>
  <r>
    <x v="1"/>
    <x v="1"/>
    <x v="22"/>
    <x v="0"/>
    <x v="5"/>
    <n v="6"/>
    <n v="0"/>
    <n v="0"/>
  </r>
  <r>
    <x v="1"/>
    <x v="1"/>
    <x v="22"/>
    <x v="0"/>
    <x v="6"/>
    <n v="7"/>
    <n v="0"/>
    <n v="0"/>
  </r>
  <r>
    <x v="1"/>
    <x v="1"/>
    <x v="23"/>
    <x v="0"/>
    <x v="0"/>
    <n v="1"/>
    <n v="0"/>
    <n v="0"/>
  </r>
  <r>
    <x v="1"/>
    <x v="1"/>
    <x v="23"/>
    <x v="0"/>
    <x v="1"/>
    <n v="2"/>
    <n v="0"/>
    <n v="0"/>
  </r>
  <r>
    <x v="1"/>
    <x v="1"/>
    <x v="23"/>
    <x v="0"/>
    <x v="2"/>
    <n v="3"/>
    <n v="0"/>
    <n v="0"/>
  </r>
  <r>
    <x v="1"/>
    <x v="1"/>
    <x v="23"/>
    <x v="0"/>
    <x v="3"/>
    <n v="4"/>
    <n v="4.32"/>
    <n v="10800"/>
  </r>
  <r>
    <x v="1"/>
    <x v="1"/>
    <x v="23"/>
    <x v="0"/>
    <x v="4"/>
    <n v="5"/>
    <n v="0"/>
    <n v="0"/>
  </r>
  <r>
    <x v="1"/>
    <x v="1"/>
    <x v="23"/>
    <x v="0"/>
    <x v="5"/>
    <n v="6"/>
    <n v="0"/>
    <n v="0"/>
  </r>
  <r>
    <x v="1"/>
    <x v="1"/>
    <x v="23"/>
    <x v="0"/>
    <x v="6"/>
    <n v="7"/>
    <n v="0"/>
    <n v="0"/>
  </r>
  <r>
    <x v="1"/>
    <x v="1"/>
    <x v="24"/>
    <x v="0"/>
    <x v="0"/>
    <n v="1"/>
    <n v="0"/>
    <n v="0"/>
  </r>
  <r>
    <x v="1"/>
    <x v="1"/>
    <x v="24"/>
    <x v="0"/>
    <x v="1"/>
    <n v="2"/>
    <n v="0"/>
    <n v="0"/>
  </r>
  <r>
    <x v="1"/>
    <x v="1"/>
    <x v="24"/>
    <x v="0"/>
    <x v="2"/>
    <n v="3"/>
    <n v="0"/>
    <n v="0"/>
  </r>
  <r>
    <x v="1"/>
    <x v="1"/>
    <x v="24"/>
    <x v="0"/>
    <x v="3"/>
    <n v="4"/>
    <n v="3.6"/>
    <n v="9000"/>
  </r>
  <r>
    <x v="1"/>
    <x v="1"/>
    <x v="24"/>
    <x v="0"/>
    <x v="4"/>
    <n v="5"/>
    <n v="0"/>
    <n v="0"/>
  </r>
  <r>
    <x v="1"/>
    <x v="1"/>
    <x v="24"/>
    <x v="0"/>
    <x v="5"/>
    <n v="6"/>
    <n v="0"/>
    <n v="0"/>
  </r>
  <r>
    <x v="1"/>
    <x v="1"/>
    <x v="24"/>
    <x v="0"/>
    <x v="6"/>
    <n v="7"/>
    <n v="0"/>
    <n v="0"/>
  </r>
  <r>
    <x v="1"/>
    <x v="2"/>
    <x v="25"/>
    <x v="0"/>
    <x v="0"/>
    <n v="1"/>
    <n v="0"/>
    <n v="0"/>
  </r>
  <r>
    <x v="1"/>
    <x v="2"/>
    <x v="25"/>
    <x v="0"/>
    <x v="1"/>
    <n v="2"/>
    <n v="0"/>
    <n v="0"/>
  </r>
  <r>
    <x v="1"/>
    <x v="2"/>
    <x v="25"/>
    <x v="0"/>
    <x v="2"/>
    <n v="3"/>
    <n v="0"/>
    <n v="0"/>
  </r>
  <r>
    <x v="1"/>
    <x v="2"/>
    <x v="25"/>
    <x v="0"/>
    <x v="3"/>
    <n v="4"/>
    <n v="1.44"/>
    <n v="3600"/>
  </r>
  <r>
    <x v="1"/>
    <x v="2"/>
    <x v="25"/>
    <x v="0"/>
    <x v="4"/>
    <n v="5"/>
    <n v="0"/>
    <n v="0"/>
  </r>
  <r>
    <x v="1"/>
    <x v="2"/>
    <x v="25"/>
    <x v="0"/>
    <x v="5"/>
    <n v="6"/>
    <n v="0"/>
    <n v="0"/>
  </r>
  <r>
    <x v="1"/>
    <x v="2"/>
    <x v="25"/>
    <x v="0"/>
    <x v="6"/>
    <n v="7"/>
    <n v="0"/>
    <n v="0"/>
  </r>
  <r>
    <x v="1"/>
    <x v="2"/>
    <x v="26"/>
    <x v="0"/>
    <x v="0"/>
    <n v="1"/>
    <n v="0"/>
    <n v="0"/>
  </r>
  <r>
    <x v="1"/>
    <x v="2"/>
    <x v="26"/>
    <x v="0"/>
    <x v="1"/>
    <n v="2"/>
    <n v="0"/>
    <n v="0"/>
  </r>
  <r>
    <x v="1"/>
    <x v="2"/>
    <x v="26"/>
    <x v="0"/>
    <x v="2"/>
    <n v="3"/>
    <n v="0"/>
    <n v="0"/>
  </r>
  <r>
    <x v="1"/>
    <x v="2"/>
    <x v="26"/>
    <x v="0"/>
    <x v="3"/>
    <n v="4"/>
    <n v="4.32"/>
    <n v="10800"/>
  </r>
  <r>
    <x v="1"/>
    <x v="2"/>
    <x v="26"/>
    <x v="0"/>
    <x v="4"/>
    <n v="5"/>
    <n v="0"/>
    <n v="0"/>
  </r>
  <r>
    <x v="1"/>
    <x v="2"/>
    <x v="26"/>
    <x v="0"/>
    <x v="5"/>
    <n v="6"/>
    <n v="0"/>
    <n v="0"/>
  </r>
  <r>
    <x v="1"/>
    <x v="2"/>
    <x v="26"/>
    <x v="0"/>
    <x v="6"/>
    <n v="7"/>
    <n v="0"/>
    <n v="0"/>
  </r>
  <r>
    <x v="1"/>
    <x v="2"/>
    <x v="27"/>
    <x v="0"/>
    <x v="0"/>
    <n v="1"/>
    <n v="0"/>
    <n v="0"/>
  </r>
  <r>
    <x v="1"/>
    <x v="2"/>
    <x v="27"/>
    <x v="0"/>
    <x v="1"/>
    <n v="2"/>
    <n v="0"/>
    <n v="0"/>
  </r>
  <r>
    <x v="1"/>
    <x v="2"/>
    <x v="27"/>
    <x v="0"/>
    <x v="2"/>
    <n v="3"/>
    <n v="0"/>
    <n v="0"/>
  </r>
  <r>
    <x v="1"/>
    <x v="2"/>
    <x v="27"/>
    <x v="0"/>
    <x v="3"/>
    <n v="4"/>
    <n v="6.48"/>
    <n v="16200"/>
  </r>
  <r>
    <x v="1"/>
    <x v="2"/>
    <x v="27"/>
    <x v="0"/>
    <x v="4"/>
    <n v="5"/>
    <n v="0"/>
    <n v="0"/>
  </r>
  <r>
    <x v="1"/>
    <x v="2"/>
    <x v="27"/>
    <x v="0"/>
    <x v="5"/>
    <n v="6"/>
    <n v="0"/>
    <n v="0"/>
  </r>
  <r>
    <x v="1"/>
    <x v="2"/>
    <x v="27"/>
    <x v="0"/>
    <x v="6"/>
    <n v="7"/>
    <n v="0"/>
    <n v="0"/>
  </r>
  <r>
    <x v="1"/>
    <x v="2"/>
    <x v="28"/>
    <x v="0"/>
    <x v="0"/>
    <n v="1"/>
    <n v="0"/>
    <n v="0"/>
  </r>
  <r>
    <x v="1"/>
    <x v="2"/>
    <x v="28"/>
    <x v="0"/>
    <x v="1"/>
    <n v="2"/>
    <n v="0"/>
    <n v="0"/>
  </r>
  <r>
    <x v="1"/>
    <x v="2"/>
    <x v="28"/>
    <x v="0"/>
    <x v="2"/>
    <n v="3"/>
    <n v="0"/>
    <n v="0"/>
  </r>
  <r>
    <x v="1"/>
    <x v="2"/>
    <x v="28"/>
    <x v="0"/>
    <x v="3"/>
    <n v="4"/>
    <n v="2.16"/>
    <n v="5400"/>
  </r>
  <r>
    <x v="1"/>
    <x v="2"/>
    <x v="28"/>
    <x v="0"/>
    <x v="4"/>
    <n v="5"/>
    <n v="0"/>
    <n v="0"/>
  </r>
  <r>
    <x v="1"/>
    <x v="2"/>
    <x v="28"/>
    <x v="0"/>
    <x v="5"/>
    <n v="6"/>
    <n v="0"/>
    <n v="0"/>
  </r>
  <r>
    <x v="1"/>
    <x v="2"/>
    <x v="28"/>
    <x v="0"/>
    <x v="6"/>
    <n v="7"/>
    <n v="0"/>
    <n v="0"/>
  </r>
  <r>
    <x v="1"/>
    <x v="2"/>
    <x v="29"/>
    <x v="0"/>
    <x v="0"/>
    <n v="1"/>
    <n v="0"/>
    <n v="0"/>
  </r>
  <r>
    <x v="1"/>
    <x v="2"/>
    <x v="29"/>
    <x v="0"/>
    <x v="1"/>
    <n v="2"/>
    <n v="0"/>
    <n v="0"/>
  </r>
  <r>
    <x v="1"/>
    <x v="2"/>
    <x v="29"/>
    <x v="0"/>
    <x v="2"/>
    <n v="3"/>
    <n v="0"/>
    <n v="0"/>
  </r>
  <r>
    <x v="1"/>
    <x v="2"/>
    <x v="29"/>
    <x v="0"/>
    <x v="3"/>
    <n v="4"/>
    <n v="2.16"/>
    <n v="5400"/>
  </r>
  <r>
    <x v="1"/>
    <x v="2"/>
    <x v="29"/>
    <x v="0"/>
    <x v="4"/>
    <n v="5"/>
    <n v="0"/>
    <n v="0"/>
  </r>
  <r>
    <x v="1"/>
    <x v="2"/>
    <x v="29"/>
    <x v="0"/>
    <x v="5"/>
    <n v="6"/>
    <n v="0"/>
    <n v="0"/>
  </r>
  <r>
    <x v="1"/>
    <x v="2"/>
    <x v="29"/>
    <x v="0"/>
    <x v="6"/>
    <n v="7"/>
    <n v="0"/>
    <n v="0"/>
  </r>
  <r>
    <x v="1"/>
    <x v="2"/>
    <x v="30"/>
    <x v="0"/>
    <x v="0"/>
    <n v="1"/>
    <n v="0"/>
    <n v="0"/>
  </r>
  <r>
    <x v="1"/>
    <x v="2"/>
    <x v="30"/>
    <x v="0"/>
    <x v="1"/>
    <n v="2"/>
    <n v="0"/>
    <n v="0"/>
  </r>
  <r>
    <x v="1"/>
    <x v="2"/>
    <x v="30"/>
    <x v="0"/>
    <x v="2"/>
    <n v="3"/>
    <n v="0"/>
    <n v="0"/>
  </r>
  <r>
    <x v="1"/>
    <x v="2"/>
    <x v="30"/>
    <x v="0"/>
    <x v="3"/>
    <n v="4"/>
    <n v="3.6"/>
    <n v="9000"/>
  </r>
  <r>
    <x v="1"/>
    <x v="2"/>
    <x v="30"/>
    <x v="0"/>
    <x v="4"/>
    <n v="5"/>
    <n v="0"/>
    <n v="0"/>
  </r>
  <r>
    <x v="1"/>
    <x v="2"/>
    <x v="30"/>
    <x v="0"/>
    <x v="5"/>
    <n v="6"/>
    <n v="0"/>
    <n v="0"/>
  </r>
  <r>
    <x v="1"/>
    <x v="2"/>
    <x v="30"/>
    <x v="0"/>
    <x v="6"/>
    <n v="7"/>
    <n v="0"/>
    <n v="0"/>
  </r>
  <r>
    <x v="1"/>
    <x v="2"/>
    <x v="31"/>
    <x v="0"/>
    <x v="0"/>
    <n v="1"/>
    <n v="0"/>
    <n v="0"/>
  </r>
  <r>
    <x v="1"/>
    <x v="2"/>
    <x v="31"/>
    <x v="0"/>
    <x v="1"/>
    <n v="2"/>
    <n v="0"/>
    <n v="0"/>
  </r>
  <r>
    <x v="1"/>
    <x v="2"/>
    <x v="31"/>
    <x v="0"/>
    <x v="2"/>
    <n v="3"/>
    <n v="0"/>
    <n v="0"/>
  </r>
  <r>
    <x v="1"/>
    <x v="2"/>
    <x v="31"/>
    <x v="0"/>
    <x v="3"/>
    <n v="4"/>
    <n v="1.44"/>
    <n v="3600"/>
  </r>
  <r>
    <x v="1"/>
    <x v="2"/>
    <x v="31"/>
    <x v="0"/>
    <x v="4"/>
    <n v="5"/>
    <n v="0"/>
    <n v="0"/>
  </r>
  <r>
    <x v="1"/>
    <x v="2"/>
    <x v="31"/>
    <x v="0"/>
    <x v="5"/>
    <n v="6"/>
    <n v="0"/>
    <n v="0"/>
  </r>
  <r>
    <x v="1"/>
    <x v="2"/>
    <x v="31"/>
    <x v="0"/>
    <x v="6"/>
    <n v="7"/>
    <n v="0"/>
    <n v="0"/>
  </r>
  <r>
    <x v="1"/>
    <x v="2"/>
    <x v="32"/>
    <x v="0"/>
    <x v="0"/>
    <n v="1"/>
    <n v="0"/>
    <n v="0"/>
  </r>
  <r>
    <x v="1"/>
    <x v="2"/>
    <x v="32"/>
    <x v="0"/>
    <x v="1"/>
    <n v="2"/>
    <n v="0"/>
    <n v="0"/>
  </r>
  <r>
    <x v="1"/>
    <x v="2"/>
    <x v="32"/>
    <x v="0"/>
    <x v="2"/>
    <n v="3"/>
    <n v="0"/>
    <n v="0"/>
  </r>
  <r>
    <x v="1"/>
    <x v="2"/>
    <x v="32"/>
    <x v="0"/>
    <x v="3"/>
    <n v="4"/>
    <n v="4.32"/>
    <n v="10800"/>
  </r>
  <r>
    <x v="1"/>
    <x v="2"/>
    <x v="32"/>
    <x v="0"/>
    <x v="4"/>
    <n v="5"/>
    <n v="0"/>
    <n v="0"/>
  </r>
  <r>
    <x v="1"/>
    <x v="2"/>
    <x v="32"/>
    <x v="0"/>
    <x v="5"/>
    <n v="6"/>
    <n v="0"/>
    <n v="0"/>
  </r>
  <r>
    <x v="1"/>
    <x v="2"/>
    <x v="32"/>
    <x v="0"/>
    <x v="6"/>
    <n v="7"/>
    <n v="0"/>
    <n v="0"/>
  </r>
  <r>
    <x v="1"/>
    <x v="2"/>
    <x v="33"/>
    <x v="0"/>
    <x v="0"/>
    <n v="1"/>
    <n v="0"/>
    <n v="0"/>
  </r>
  <r>
    <x v="1"/>
    <x v="2"/>
    <x v="33"/>
    <x v="0"/>
    <x v="1"/>
    <n v="2"/>
    <n v="0"/>
    <n v="0"/>
  </r>
  <r>
    <x v="1"/>
    <x v="2"/>
    <x v="33"/>
    <x v="0"/>
    <x v="2"/>
    <n v="3"/>
    <n v="0"/>
    <n v="0"/>
  </r>
  <r>
    <x v="1"/>
    <x v="2"/>
    <x v="33"/>
    <x v="0"/>
    <x v="3"/>
    <n v="4"/>
    <n v="1.44"/>
    <n v="3600"/>
  </r>
  <r>
    <x v="1"/>
    <x v="2"/>
    <x v="33"/>
    <x v="0"/>
    <x v="4"/>
    <n v="5"/>
    <n v="0"/>
    <n v="0"/>
  </r>
  <r>
    <x v="1"/>
    <x v="2"/>
    <x v="33"/>
    <x v="0"/>
    <x v="5"/>
    <n v="6"/>
    <n v="0"/>
    <n v="0"/>
  </r>
  <r>
    <x v="1"/>
    <x v="2"/>
    <x v="33"/>
    <x v="0"/>
    <x v="6"/>
    <n v="7"/>
    <n v="0"/>
    <n v="0"/>
  </r>
  <r>
    <x v="1"/>
    <x v="2"/>
    <x v="34"/>
    <x v="0"/>
    <x v="0"/>
    <n v="1"/>
    <n v="0"/>
    <n v="0"/>
  </r>
  <r>
    <x v="1"/>
    <x v="2"/>
    <x v="34"/>
    <x v="0"/>
    <x v="1"/>
    <n v="2"/>
    <n v="0"/>
    <n v="0"/>
  </r>
  <r>
    <x v="1"/>
    <x v="2"/>
    <x v="34"/>
    <x v="0"/>
    <x v="2"/>
    <n v="3"/>
    <n v="0"/>
    <n v="0"/>
  </r>
  <r>
    <x v="1"/>
    <x v="2"/>
    <x v="34"/>
    <x v="0"/>
    <x v="3"/>
    <n v="4"/>
    <n v="0.72"/>
    <n v="1800"/>
  </r>
  <r>
    <x v="1"/>
    <x v="2"/>
    <x v="34"/>
    <x v="0"/>
    <x v="4"/>
    <n v="5"/>
    <n v="0"/>
    <n v="0"/>
  </r>
  <r>
    <x v="1"/>
    <x v="2"/>
    <x v="34"/>
    <x v="0"/>
    <x v="5"/>
    <n v="6"/>
    <n v="0"/>
    <n v="0"/>
  </r>
  <r>
    <x v="1"/>
    <x v="2"/>
    <x v="34"/>
    <x v="0"/>
    <x v="6"/>
    <n v="7"/>
    <n v="0"/>
    <n v="0"/>
  </r>
  <r>
    <x v="1"/>
    <x v="2"/>
    <x v="35"/>
    <x v="0"/>
    <x v="0"/>
    <n v="1"/>
    <n v="0"/>
    <n v="0"/>
  </r>
  <r>
    <x v="1"/>
    <x v="2"/>
    <x v="35"/>
    <x v="0"/>
    <x v="1"/>
    <n v="2"/>
    <n v="0"/>
    <n v="0"/>
  </r>
  <r>
    <x v="1"/>
    <x v="2"/>
    <x v="35"/>
    <x v="0"/>
    <x v="2"/>
    <n v="3"/>
    <n v="0"/>
    <n v="0"/>
  </r>
  <r>
    <x v="1"/>
    <x v="2"/>
    <x v="35"/>
    <x v="0"/>
    <x v="3"/>
    <n v="4"/>
    <n v="0"/>
    <n v="0"/>
  </r>
  <r>
    <x v="1"/>
    <x v="2"/>
    <x v="35"/>
    <x v="0"/>
    <x v="4"/>
    <n v="5"/>
    <n v="0"/>
    <n v="0"/>
  </r>
  <r>
    <x v="1"/>
    <x v="2"/>
    <x v="35"/>
    <x v="0"/>
    <x v="5"/>
    <n v="6"/>
    <n v="0"/>
    <n v="0"/>
  </r>
  <r>
    <x v="1"/>
    <x v="2"/>
    <x v="35"/>
    <x v="0"/>
    <x v="6"/>
    <n v="7"/>
    <n v="0"/>
    <n v="0"/>
  </r>
  <r>
    <x v="1"/>
    <x v="2"/>
    <x v="36"/>
    <x v="0"/>
    <x v="0"/>
    <n v="1"/>
    <n v="0"/>
    <n v="0"/>
  </r>
  <r>
    <x v="1"/>
    <x v="2"/>
    <x v="36"/>
    <x v="0"/>
    <x v="1"/>
    <n v="2"/>
    <n v="0"/>
    <n v="0"/>
  </r>
  <r>
    <x v="1"/>
    <x v="2"/>
    <x v="36"/>
    <x v="0"/>
    <x v="2"/>
    <n v="3"/>
    <n v="0"/>
    <n v="0"/>
  </r>
  <r>
    <x v="1"/>
    <x v="2"/>
    <x v="36"/>
    <x v="0"/>
    <x v="3"/>
    <n v="4"/>
    <n v="0.72"/>
    <n v="1800"/>
  </r>
  <r>
    <x v="1"/>
    <x v="2"/>
    <x v="36"/>
    <x v="0"/>
    <x v="4"/>
    <n v="5"/>
    <n v="0"/>
    <n v="0"/>
  </r>
  <r>
    <x v="1"/>
    <x v="2"/>
    <x v="36"/>
    <x v="0"/>
    <x v="5"/>
    <n v="6"/>
    <n v="0"/>
    <n v="0"/>
  </r>
  <r>
    <x v="1"/>
    <x v="2"/>
    <x v="36"/>
    <x v="0"/>
    <x v="6"/>
    <n v="7"/>
    <n v="0"/>
    <n v="0"/>
  </r>
  <r>
    <x v="1"/>
    <x v="2"/>
    <x v="37"/>
    <x v="0"/>
    <x v="0"/>
    <n v="1"/>
    <n v="0"/>
    <n v="0"/>
  </r>
  <r>
    <x v="1"/>
    <x v="2"/>
    <x v="37"/>
    <x v="0"/>
    <x v="1"/>
    <n v="2"/>
    <n v="0"/>
    <n v="0"/>
  </r>
  <r>
    <x v="1"/>
    <x v="2"/>
    <x v="37"/>
    <x v="0"/>
    <x v="2"/>
    <n v="3"/>
    <n v="0"/>
    <n v="0"/>
  </r>
  <r>
    <x v="1"/>
    <x v="2"/>
    <x v="37"/>
    <x v="0"/>
    <x v="3"/>
    <n v="4"/>
    <n v="1.44"/>
    <n v="3600"/>
  </r>
  <r>
    <x v="1"/>
    <x v="2"/>
    <x v="37"/>
    <x v="0"/>
    <x v="4"/>
    <n v="5"/>
    <n v="0"/>
    <n v="0"/>
  </r>
  <r>
    <x v="1"/>
    <x v="2"/>
    <x v="37"/>
    <x v="0"/>
    <x v="5"/>
    <n v="6"/>
    <n v="0"/>
    <n v="0"/>
  </r>
  <r>
    <x v="1"/>
    <x v="2"/>
    <x v="37"/>
    <x v="0"/>
    <x v="6"/>
    <n v="7"/>
    <n v="0"/>
    <n v="0"/>
  </r>
  <r>
    <x v="1"/>
    <x v="2"/>
    <x v="38"/>
    <x v="0"/>
    <x v="0"/>
    <n v="1"/>
    <n v="0"/>
    <n v="0"/>
  </r>
  <r>
    <x v="1"/>
    <x v="2"/>
    <x v="38"/>
    <x v="0"/>
    <x v="1"/>
    <n v="2"/>
    <n v="0"/>
    <n v="0"/>
  </r>
  <r>
    <x v="1"/>
    <x v="2"/>
    <x v="38"/>
    <x v="0"/>
    <x v="2"/>
    <n v="3"/>
    <n v="0"/>
    <n v="0"/>
  </r>
  <r>
    <x v="1"/>
    <x v="2"/>
    <x v="38"/>
    <x v="0"/>
    <x v="3"/>
    <n v="4"/>
    <n v="2.16"/>
    <n v="5400"/>
  </r>
  <r>
    <x v="1"/>
    <x v="2"/>
    <x v="38"/>
    <x v="0"/>
    <x v="4"/>
    <n v="5"/>
    <n v="0"/>
    <n v="0"/>
  </r>
  <r>
    <x v="1"/>
    <x v="2"/>
    <x v="38"/>
    <x v="0"/>
    <x v="5"/>
    <n v="6"/>
    <n v="0"/>
    <n v="0"/>
  </r>
  <r>
    <x v="1"/>
    <x v="2"/>
    <x v="38"/>
    <x v="0"/>
    <x v="6"/>
    <n v="7"/>
    <n v="0"/>
    <n v="0"/>
  </r>
  <r>
    <x v="1"/>
    <x v="2"/>
    <x v="39"/>
    <x v="0"/>
    <x v="0"/>
    <n v="1"/>
    <n v="0"/>
    <n v="0"/>
  </r>
  <r>
    <x v="1"/>
    <x v="2"/>
    <x v="39"/>
    <x v="0"/>
    <x v="1"/>
    <n v="2"/>
    <n v="0"/>
    <n v="0"/>
  </r>
  <r>
    <x v="1"/>
    <x v="2"/>
    <x v="39"/>
    <x v="0"/>
    <x v="2"/>
    <n v="3"/>
    <n v="0"/>
    <n v="0"/>
  </r>
  <r>
    <x v="1"/>
    <x v="2"/>
    <x v="39"/>
    <x v="0"/>
    <x v="3"/>
    <n v="4"/>
    <n v="0"/>
    <n v="0"/>
  </r>
  <r>
    <x v="1"/>
    <x v="2"/>
    <x v="39"/>
    <x v="0"/>
    <x v="4"/>
    <n v="5"/>
    <n v="0"/>
    <n v="0"/>
  </r>
  <r>
    <x v="1"/>
    <x v="2"/>
    <x v="39"/>
    <x v="0"/>
    <x v="5"/>
    <n v="6"/>
    <n v="0"/>
    <n v="0"/>
  </r>
  <r>
    <x v="1"/>
    <x v="2"/>
    <x v="39"/>
    <x v="0"/>
    <x v="6"/>
    <n v="7"/>
    <n v="0"/>
    <n v="0"/>
  </r>
  <r>
    <x v="1"/>
    <x v="2"/>
    <x v="40"/>
    <x v="0"/>
    <x v="0"/>
    <n v="1"/>
    <n v="0"/>
    <n v="0"/>
  </r>
  <r>
    <x v="1"/>
    <x v="2"/>
    <x v="40"/>
    <x v="0"/>
    <x v="1"/>
    <n v="2"/>
    <n v="0"/>
    <n v="0"/>
  </r>
  <r>
    <x v="1"/>
    <x v="2"/>
    <x v="40"/>
    <x v="0"/>
    <x v="2"/>
    <n v="3"/>
    <n v="0"/>
    <n v="0"/>
  </r>
  <r>
    <x v="1"/>
    <x v="2"/>
    <x v="40"/>
    <x v="0"/>
    <x v="3"/>
    <n v="4"/>
    <n v="3.6"/>
    <n v="9000"/>
  </r>
  <r>
    <x v="1"/>
    <x v="2"/>
    <x v="40"/>
    <x v="0"/>
    <x v="4"/>
    <n v="5"/>
    <n v="0"/>
    <n v="0"/>
  </r>
  <r>
    <x v="1"/>
    <x v="2"/>
    <x v="40"/>
    <x v="0"/>
    <x v="5"/>
    <n v="6"/>
    <n v="0"/>
    <n v="0"/>
  </r>
  <r>
    <x v="1"/>
    <x v="2"/>
    <x v="40"/>
    <x v="0"/>
    <x v="6"/>
    <n v="7"/>
    <n v="0"/>
    <n v="0"/>
  </r>
  <r>
    <x v="1"/>
    <x v="3"/>
    <x v="41"/>
    <x v="0"/>
    <x v="0"/>
    <n v="1"/>
    <n v="0"/>
    <n v="0"/>
  </r>
  <r>
    <x v="1"/>
    <x v="3"/>
    <x v="41"/>
    <x v="0"/>
    <x v="1"/>
    <n v="2"/>
    <n v="0"/>
    <n v="0"/>
  </r>
  <r>
    <x v="1"/>
    <x v="3"/>
    <x v="41"/>
    <x v="0"/>
    <x v="2"/>
    <n v="3"/>
    <n v="0"/>
    <n v="0"/>
  </r>
  <r>
    <x v="1"/>
    <x v="3"/>
    <x v="41"/>
    <x v="0"/>
    <x v="3"/>
    <n v="4"/>
    <n v="0.72"/>
    <n v="1800"/>
  </r>
  <r>
    <x v="1"/>
    <x v="3"/>
    <x v="41"/>
    <x v="0"/>
    <x v="4"/>
    <n v="5"/>
    <n v="0"/>
    <n v="0"/>
  </r>
  <r>
    <x v="1"/>
    <x v="3"/>
    <x v="41"/>
    <x v="0"/>
    <x v="5"/>
    <n v="6"/>
    <n v="0"/>
    <n v="0"/>
  </r>
  <r>
    <x v="1"/>
    <x v="3"/>
    <x v="41"/>
    <x v="0"/>
    <x v="6"/>
    <n v="7"/>
    <n v="0"/>
    <n v="0"/>
  </r>
  <r>
    <x v="1"/>
    <x v="3"/>
    <x v="42"/>
    <x v="0"/>
    <x v="0"/>
    <n v="1"/>
    <n v="0"/>
    <n v="0"/>
  </r>
  <r>
    <x v="1"/>
    <x v="3"/>
    <x v="42"/>
    <x v="0"/>
    <x v="1"/>
    <n v="2"/>
    <n v="0"/>
    <n v="0"/>
  </r>
  <r>
    <x v="1"/>
    <x v="3"/>
    <x v="42"/>
    <x v="0"/>
    <x v="2"/>
    <n v="3"/>
    <n v="0"/>
    <n v="0"/>
  </r>
  <r>
    <x v="1"/>
    <x v="3"/>
    <x v="42"/>
    <x v="0"/>
    <x v="3"/>
    <n v="4"/>
    <n v="8.64"/>
    <n v="21600"/>
  </r>
  <r>
    <x v="1"/>
    <x v="3"/>
    <x v="42"/>
    <x v="0"/>
    <x v="4"/>
    <n v="5"/>
    <n v="0"/>
    <n v="0"/>
  </r>
  <r>
    <x v="1"/>
    <x v="3"/>
    <x v="42"/>
    <x v="0"/>
    <x v="5"/>
    <n v="6"/>
    <n v="0"/>
    <n v="0"/>
  </r>
  <r>
    <x v="1"/>
    <x v="3"/>
    <x v="42"/>
    <x v="0"/>
    <x v="6"/>
    <n v="7"/>
    <n v="0"/>
    <n v="0"/>
  </r>
  <r>
    <x v="1"/>
    <x v="3"/>
    <x v="43"/>
    <x v="0"/>
    <x v="0"/>
    <n v="1"/>
    <n v="0"/>
    <n v="0"/>
  </r>
  <r>
    <x v="1"/>
    <x v="3"/>
    <x v="43"/>
    <x v="0"/>
    <x v="1"/>
    <n v="2"/>
    <n v="0"/>
    <n v="0"/>
  </r>
  <r>
    <x v="1"/>
    <x v="3"/>
    <x v="43"/>
    <x v="0"/>
    <x v="2"/>
    <n v="3"/>
    <n v="0"/>
    <n v="0"/>
  </r>
  <r>
    <x v="1"/>
    <x v="3"/>
    <x v="43"/>
    <x v="0"/>
    <x v="3"/>
    <n v="4"/>
    <n v="0"/>
    <n v="0"/>
  </r>
  <r>
    <x v="1"/>
    <x v="3"/>
    <x v="43"/>
    <x v="0"/>
    <x v="4"/>
    <n v="5"/>
    <n v="0"/>
    <n v="0"/>
  </r>
  <r>
    <x v="1"/>
    <x v="3"/>
    <x v="43"/>
    <x v="0"/>
    <x v="5"/>
    <n v="6"/>
    <n v="0"/>
    <n v="0"/>
  </r>
  <r>
    <x v="1"/>
    <x v="3"/>
    <x v="43"/>
    <x v="0"/>
    <x v="6"/>
    <n v="7"/>
    <n v="0"/>
    <n v="0"/>
  </r>
  <r>
    <x v="1"/>
    <x v="3"/>
    <x v="44"/>
    <x v="0"/>
    <x v="0"/>
    <n v="1"/>
    <n v="0"/>
    <n v="0"/>
  </r>
  <r>
    <x v="1"/>
    <x v="3"/>
    <x v="44"/>
    <x v="0"/>
    <x v="1"/>
    <n v="2"/>
    <n v="0"/>
    <n v="0"/>
  </r>
  <r>
    <x v="1"/>
    <x v="3"/>
    <x v="44"/>
    <x v="0"/>
    <x v="2"/>
    <n v="3"/>
    <n v="0"/>
    <n v="0"/>
  </r>
  <r>
    <x v="1"/>
    <x v="3"/>
    <x v="44"/>
    <x v="0"/>
    <x v="3"/>
    <n v="4"/>
    <n v="0"/>
    <n v="0"/>
  </r>
  <r>
    <x v="1"/>
    <x v="3"/>
    <x v="44"/>
    <x v="0"/>
    <x v="4"/>
    <n v="5"/>
    <n v="0"/>
    <n v="0"/>
  </r>
  <r>
    <x v="1"/>
    <x v="3"/>
    <x v="44"/>
    <x v="0"/>
    <x v="5"/>
    <n v="6"/>
    <n v="0"/>
    <n v="0"/>
  </r>
  <r>
    <x v="1"/>
    <x v="3"/>
    <x v="44"/>
    <x v="0"/>
    <x v="6"/>
    <n v="7"/>
    <n v="0"/>
    <n v="0"/>
  </r>
  <r>
    <x v="1"/>
    <x v="3"/>
    <x v="45"/>
    <x v="0"/>
    <x v="0"/>
    <n v="1"/>
    <n v="0"/>
    <n v="0"/>
  </r>
  <r>
    <x v="1"/>
    <x v="3"/>
    <x v="45"/>
    <x v="0"/>
    <x v="1"/>
    <n v="2"/>
    <n v="0"/>
    <n v="0"/>
  </r>
  <r>
    <x v="1"/>
    <x v="3"/>
    <x v="45"/>
    <x v="0"/>
    <x v="2"/>
    <n v="3"/>
    <n v="0"/>
    <n v="0"/>
  </r>
  <r>
    <x v="1"/>
    <x v="3"/>
    <x v="45"/>
    <x v="0"/>
    <x v="3"/>
    <n v="4"/>
    <n v="0.72"/>
    <n v="1800"/>
  </r>
  <r>
    <x v="1"/>
    <x v="3"/>
    <x v="45"/>
    <x v="0"/>
    <x v="4"/>
    <n v="5"/>
    <n v="0"/>
    <n v="0"/>
  </r>
  <r>
    <x v="1"/>
    <x v="3"/>
    <x v="45"/>
    <x v="0"/>
    <x v="5"/>
    <n v="6"/>
    <n v="0"/>
    <n v="0"/>
  </r>
  <r>
    <x v="1"/>
    <x v="3"/>
    <x v="45"/>
    <x v="0"/>
    <x v="6"/>
    <n v="7"/>
    <n v="0"/>
    <n v="0"/>
  </r>
  <r>
    <x v="1"/>
    <x v="3"/>
    <x v="46"/>
    <x v="0"/>
    <x v="0"/>
    <n v="1"/>
    <n v="0"/>
    <n v="0"/>
  </r>
  <r>
    <x v="1"/>
    <x v="3"/>
    <x v="46"/>
    <x v="0"/>
    <x v="1"/>
    <n v="2"/>
    <n v="0"/>
    <n v="0"/>
  </r>
  <r>
    <x v="1"/>
    <x v="3"/>
    <x v="46"/>
    <x v="0"/>
    <x v="2"/>
    <n v="3"/>
    <n v="0"/>
    <n v="0"/>
  </r>
  <r>
    <x v="1"/>
    <x v="3"/>
    <x v="46"/>
    <x v="0"/>
    <x v="3"/>
    <n v="4"/>
    <n v="5.04"/>
    <n v="12600"/>
  </r>
  <r>
    <x v="1"/>
    <x v="3"/>
    <x v="46"/>
    <x v="0"/>
    <x v="4"/>
    <n v="5"/>
    <n v="0"/>
    <n v="0"/>
  </r>
  <r>
    <x v="1"/>
    <x v="3"/>
    <x v="46"/>
    <x v="0"/>
    <x v="5"/>
    <n v="6"/>
    <n v="0"/>
    <n v="0"/>
  </r>
  <r>
    <x v="1"/>
    <x v="3"/>
    <x v="46"/>
    <x v="0"/>
    <x v="6"/>
    <n v="7"/>
    <n v="0"/>
    <n v="0"/>
  </r>
  <r>
    <x v="1"/>
    <x v="3"/>
    <x v="47"/>
    <x v="0"/>
    <x v="0"/>
    <n v="1"/>
    <n v="0"/>
    <n v="0"/>
  </r>
  <r>
    <x v="1"/>
    <x v="3"/>
    <x v="47"/>
    <x v="0"/>
    <x v="1"/>
    <n v="2"/>
    <n v="0"/>
    <n v="0"/>
  </r>
  <r>
    <x v="1"/>
    <x v="3"/>
    <x v="47"/>
    <x v="0"/>
    <x v="2"/>
    <n v="3"/>
    <n v="0"/>
    <n v="0"/>
  </r>
  <r>
    <x v="1"/>
    <x v="3"/>
    <x v="47"/>
    <x v="0"/>
    <x v="3"/>
    <n v="4"/>
    <n v="1.44"/>
    <n v="3600"/>
  </r>
  <r>
    <x v="1"/>
    <x v="3"/>
    <x v="47"/>
    <x v="0"/>
    <x v="4"/>
    <n v="5"/>
    <n v="0"/>
    <n v="0"/>
  </r>
  <r>
    <x v="1"/>
    <x v="3"/>
    <x v="47"/>
    <x v="0"/>
    <x v="5"/>
    <n v="6"/>
    <n v="0"/>
    <n v="0"/>
  </r>
  <r>
    <x v="1"/>
    <x v="3"/>
    <x v="47"/>
    <x v="0"/>
    <x v="6"/>
    <n v="7"/>
    <n v="0"/>
    <n v="0"/>
  </r>
  <r>
    <x v="1"/>
    <x v="3"/>
    <x v="48"/>
    <x v="0"/>
    <x v="0"/>
    <n v="1"/>
    <n v="0"/>
    <n v="0"/>
  </r>
  <r>
    <x v="1"/>
    <x v="3"/>
    <x v="48"/>
    <x v="0"/>
    <x v="1"/>
    <n v="2"/>
    <n v="0"/>
    <n v="0"/>
  </r>
  <r>
    <x v="1"/>
    <x v="3"/>
    <x v="48"/>
    <x v="0"/>
    <x v="2"/>
    <n v="3"/>
    <n v="0"/>
    <n v="0"/>
  </r>
  <r>
    <x v="1"/>
    <x v="3"/>
    <x v="48"/>
    <x v="0"/>
    <x v="3"/>
    <n v="4"/>
    <n v="3.6"/>
    <n v="9000"/>
  </r>
  <r>
    <x v="1"/>
    <x v="3"/>
    <x v="48"/>
    <x v="0"/>
    <x v="4"/>
    <n v="5"/>
    <n v="0"/>
    <n v="0"/>
  </r>
  <r>
    <x v="1"/>
    <x v="3"/>
    <x v="48"/>
    <x v="0"/>
    <x v="5"/>
    <n v="6"/>
    <n v="0"/>
    <n v="0"/>
  </r>
  <r>
    <x v="1"/>
    <x v="3"/>
    <x v="48"/>
    <x v="0"/>
    <x v="6"/>
    <n v="7"/>
    <n v="0"/>
    <n v="0"/>
  </r>
  <r>
    <x v="1"/>
    <x v="3"/>
    <x v="49"/>
    <x v="0"/>
    <x v="0"/>
    <n v="1"/>
    <n v="0"/>
    <n v="0"/>
  </r>
  <r>
    <x v="1"/>
    <x v="3"/>
    <x v="49"/>
    <x v="0"/>
    <x v="1"/>
    <n v="2"/>
    <n v="0"/>
    <n v="0"/>
  </r>
  <r>
    <x v="1"/>
    <x v="3"/>
    <x v="49"/>
    <x v="0"/>
    <x v="2"/>
    <n v="3"/>
    <n v="0"/>
    <n v="0"/>
  </r>
  <r>
    <x v="1"/>
    <x v="3"/>
    <x v="49"/>
    <x v="0"/>
    <x v="3"/>
    <n v="4"/>
    <n v="3.6"/>
    <n v="9000"/>
  </r>
  <r>
    <x v="1"/>
    <x v="3"/>
    <x v="49"/>
    <x v="0"/>
    <x v="4"/>
    <n v="5"/>
    <n v="0"/>
    <n v="0"/>
  </r>
  <r>
    <x v="1"/>
    <x v="3"/>
    <x v="49"/>
    <x v="0"/>
    <x v="5"/>
    <n v="6"/>
    <n v="0"/>
    <n v="0"/>
  </r>
  <r>
    <x v="1"/>
    <x v="3"/>
    <x v="49"/>
    <x v="0"/>
    <x v="6"/>
    <n v="7"/>
    <n v="0"/>
    <n v="0"/>
  </r>
  <r>
    <x v="1"/>
    <x v="3"/>
    <x v="333"/>
    <x v="0"/>
    <x v="0"/>
    <n v="1"/>
    <n v="0"/>
    <n v="0"/>
  </r>
  <r>
    <x v="1"/>
    <x v="3"/>
    <x v="333"/>
    <x v="0"/>
    <x v="1"/>
    <n v="2"/>
    <n v="0"/>
    <n v="0"/>
  </r>
  <r>
    <x v="1"/>
    <x v="3"/>
    <x v="333"/>
    <x v="0"/>
    <x v="2"/>
    <n v="3"/>
    <n v="0"/>
    <n v="0"/>
  </r>
  <r>
    <x v="1"/>
    <x v="3"/>
    <x v="333"/>
    <x v="0"/>
    <x v="3"/>
    <n v="4"/>
    <n v="1.44"/>
    <n v="3600"/>
  </r>
  <r>
    <x v="1"/>
    <x v="3"/>
    <x v="333"/>
    <x v="0"/>
    <x v="4"/>
    <n v="5"/>
    <n v="0"/>
    <n v="0"/>
  </r>
  <r>
    <x v="1"/>
    <x v="3"/>
    <x v="333"/>
    <x v="0"/>
    <x v="5"/>
    <n v="6"/>
    <n v="0"/>
    <n v="0"/>
  </r>
  <r>
    <x v="1"/>
    <x v="3"/>
    <x v="333"/>
    <x v="0"/>
    <x v="6"/>
    <n v="7"/>
    <n v="0"/>
    <n v="0"/>
  </r>
  <r>
    <x v="1"/>
    <x v="3"/>
    <x v="50"/>
    <x v="0"/>
    <x v="0"/>
    <n v="1"/>
    <n v="0"/>
    <n v="0"/>
  </r>
  <r>
    <x v="1"/>
    <x v="3"/>
    <x v="50"/>
    <x v="0"/>
    <x v="1"/>
    <n v="2"/>
    <n v="0"/>
    <n v="0"/>
  </r>
  <r>
    <x v="1"/>
    <x v="3"/>
    <x v="50"/>
    <x v="0"/>
    <x v="2"/>
    <n v="3"/>
    <n v="0"/>
    <n v="0"/>
  </r>
  <r>
    <x v="1"/>
    <x v="3"/>
    <x v="50"/>
    <x v="0"/>
    <x v="3"/>
    <n v="4"/>
    <n v="0"/>
    <n v="0"/>
  </r>
  <r>
    <x v="1"/>
    <x v="3"/>
    <x v="50"/>
    <x v="0"/>
    <x v="4"/>
    <n v="5"/>
    <n v="0"/>
    <n v="0"/>
  </r>
  <r>
    <x v="1"/>
    <x v="3"/>
    <x v="50"/>
    <x v="0"/>
    <x v="5"/>
    <n v="6"/>
    <n v="0"/>
    <n v="0"/>
  </r>
  <r>
    <x v="1"/>
    <x v="3"/>
    <x v="50"/>
    <x v="0"/>
    <x v="6"/>
    <n v="7"/>
    <n v="0"/>
    <n v="0"/>
  </r>
  <r>
    <x v="1"/>
    <x v="4"/>
    <x v="51"/>
    <x v="0"/>
    <x v="0"/>
    <n v="1"/>
    <n v="0"/>
    <n v="0"/>
  </r>
  <r>
    <x v="1"/>
    <x v="4"/>
    <x v="51"/>
    <x v="0"/>
    <x v="1"/>
    <n v="2"/>
    <n v="0"/>
    <n v="0"/>
  </r>
  <r>
    <x v="1"/>
    <x v="4"/>
    <x v="51"/>
    <x v="0"/>
    <x v="2"/>
    <n v="3"/>
    <n v="0"/>
    <n v="0"/>
  </r>
  <r>
    <x v="1"/>
    <x v="4"/>
    <x v="51"/>
    <x v="0"/>
    <x v="3"/>
    <n v="4"/>
    <n v="0.72"/>
    <n v="1800"/>
  </r>
  <r>
    <x v="1"/>
    <x v="4"/>
    <x v="51"/>
    <x v="0"/>
    <x v="4"/>
    <n v="5"/>
    <n v="0"/>
    <n v="0"/>
  </r>
  <r>
    <x v="1"/>
    <x v="4"/>
    <x v="51"/>
    <x v="0"/>
    <x v="5"/>
    <n v="6"/>
    <n v="0"/>
    <n v="0"/>
  </r>
  <r>
    <x v="1"/>
    <x v="4"/>
    <x v="51"/>
    <x v="0"/>
    <x v="6"/>
    <n v="7"/>
    <n v="0"/>
    <n v="0"/>
  </r>
  <r>
    <x v="1"/>
    <x v="4"/>
    <x v="52"/>
    <x v="0"/>
    <x v="0"/>
    <n v="1"/>
    <n v="0"/>
    <n v="0"/>
  </r>
  <r>
    <x v="1"/>
    <x v="4"/>
    <x v="52"/>
    <x v="0"/>
    <x v="1"/>
    <n v="2"/>
    <n v="0"/>
    <n v="0"/>
  </r>
  <r>
    <x v="1"/>
    <x v="4"/>
    <x v="52"/>
    <x v="0"/>
    <x v="2"/>
    <n v="3"/>
    <n v="0"/>
    <n v="0"/>
  </r>
  <r>
    <x v="1"/>
    <x v="4"/>
    <x v="52"/>
    <x v="0"/>
    <x v="3"/>
    <n v="4"/>
    <n v="3.6"/>
    <n v="9000"/>
  </r>
  <r>
    <x v="1"/>
    <x v="4"/>
    <x v="52"/>
    <x v="0"/>
    <x v="4"/>
    <n v="5"/>
    <n v="0"/>
    <n v="0"/>
  </r>
  <r>
    <x v="1"/>
    <x v="4"/>
    <x v="52"/>
    <x v="0"/>
    <x v="5"/>
    <n v="6"/>
    <n v="0"/>
    <n v="0"/>
  </r>
  <r>
    <x v="1"/>
    <x v="4"/>
    <x v="52"/>
    <x v="0"/>
    <x v="6"/>
    <n v="7"/>
    <n v="0"/>
    <n v="0"/>
  </r>
  <r>
    <x v="1"/>
    <x v="4"/>
    <x v="53"/>
    <x v="0"/>
    <x v="0"/>
    <n v="1"/>
    <n v="0"/>
    <n v="0"/>
  </r>
  <r>
    <x v="1"/>
    <x v="4"/>
    <x v="53"/>
    <x v="0"/>
    <x v="1"/>
    <n v="2"/>
    <n v="0"/>
    <n v="0"/>
  </r>
  <r>
    <x v="1"/>
    <x v="4"/>
    <x v="53"/>
    <x v="0"/>
    <x v="2"/>
    <n v="3"/>
    <n v="0"/>
    <n v="0"/>
  </r>
  <r>
    <x v="1"/>
    <x v="4"/>
    <x v="53"/>
    <x v="0"/>
    <x v="3"/>
    <n v="4"/>
    <n v="0.72"/>
    <n v="1800"/>
  </r>
  <r>
    <x v="1"/>
    <x v="4"/>
    <x v="53"/>
    <x v="0"/>
    <x v="4"/>
    <n v="5"/>
    <n v="0"/>
    <n v="0"/>
  </r>
  <r>
    <x v="1"/>
    <x v="4"/>
    <x v="53"/>
    <x v="0"/>
    <x v="5"/>
    <n v="6"/>
    <n v="0"/>
    <n v="0"/>
  </r>
  <r>
    <x v="1"/>
    <x v="4"/>
    <x v="53"/>
    <x v="0"/>
    <x v="6"/>
    <n v="7"/>
    <n v="0"/>
    <n v="0"/>
  </r>
  <r>
    <x v="1"/>
    <x v="4"/>
    <x v="54"/>
    <x v="0"/>
    <x v="0"/>
    <n v="1"/>
    <n v="0"/>
    <n v="0"/>
  </r>
  <r>
    <x v="1"/>
    <x v="4"/>
    <x v="54"/>
    <x v="0"/>
    <x v="1"/>
    <n v="2"/>
    <n v="0"/>
    <n v="0"/>
  </r>
  <r>
    <x v="1"/>
    <x v="4"/>
    <x v="54"/>
    <x v="0"/>
    <x v="2"/>
    <n v="3"/>
    <n v="0"/>
    <n v="0"/>
  </r>
  <r>
    <x v="1"/>
    <x v="4"/>
    <x v="54"/>
    <x v="0"/>
    <x v="3"/>
    <n v="4"/>
    <n v="5.76"/>
    <n v="14400"/>
  </r>
  <r>
    <x v="1"/>
    <x v="4"/>
    <x v="54"/>
    <x v="0"/>
    <x v="4"/>
    <n v="5"/>
    <n v="0"/>
    <n v="0"/>
  </r>
  <r>
    <x v="1"/>
    <x v="4"/>
    <x v="54"/>
    <x v="0"/>
    <x v="5"/>
    <n v="6"/>
    <n v="0"/>
    <n v="0"/>
  </r>
  <r>
    <x v="1"/>
    <x v="4"/>
    <x v="54"/>
    <x v="0"/>
    <x v="6"/>
    <n v="7"/>
    <n v="0"/>
    <n v="0"/>
  </r>
  <r>
    <x v="1"/>
    <x v="4"/>
    <x v="55"/>
    <x v="0"/>
    <x v="0"/>
    <n v="1"/>
    <n v="0"/>
    <n v="0"/>
  </r>
  <r>
    <x v="1"/>
    <x v="4"/>
    <x v="55"/>
    <x v="0"/>
    <x v="1"/>
    <n v="2"/>
    <n v="0"/>
    <n v="0"/>
  </r>
  <r>
    <x v="1"/>
    <x v="4"/>
    <x v="55"/>
    <x v="0"/>
    <x v="2"/>
    <n v="3"/>
    <n v="0"/>
    <n v="0"/>
  </r>
  <r>
    <x v="1"/>
    <x v="4"/>
    <x v="55"/>
    <x v="0"/>
    <x v="3"/>
    <n v="4"/>
    <n v="2.16"/>
    <n v="5400"/>
  </r>
  <r>
    <x v="1"/>
    <x v="4"/>
    <x v="55"/>
    <x v="0"/>
    <x v="4"/>
    <n v="5"/>
    <n v="0"/>
    <n v="0"/>
  </r>
  <r>
    <x v="1"/>
    <x v="4"/>
    <x v="55"/>
    <x v="0"/>
    <x v="5"/>
    <n v="6"/>
    <n v="0"/>
    <n v="0"/>
  </r>
  <r>
    <x v="1"/>
    <x v="4"/>
    <x v="55"/>
    <x v="0"/>
    <x v="6"/>
    <n v="7"/>
    <n v="0"/>
    <n v="0"/>
  </r>
  <r>
    <x v="1"/>
    <x v="4"/>
    <x v="56"/>
    <x v="0"/>
    <x v="0"/>
    <n v="1"/>
    <n v="0"/>
    <n v="0"/>
  </r>
  <r>
    <x v="1"/>
    <x v="4"/>
    <x v="56"/>
    <x v="0"/>
    <x v="1"/>
    <n v="2"/>
    <n v="0"/>
    <n v="0"/>
  </r>
  <r>
    <x v="1"/>
    <x v="4"/>
    <x v="56"/>
    <x v="0"/>
    <x v="2"/>
    <n v="3"/>
    <n v="0"/>
    <n v="0"/>
  </r>
  <r>
    <x v="1"/>
    <x v="4"/>
    <x v="56"/>
    <x v="0"/>
    <x v="3"/>
    <n v="4"/>
    <n v="2.16"/>
    <n v="5400"/>
  </r>
  <r>
    <x v="1"/>
    <x v="4"/>
    <x v="56"/>
    <x v="0"/>
    <x v="4"/>
    <n v="5"/>
    <n v="0"/>
    <n v="0"/>
  </r>
  <r>
    <x v="1"/>
    <x v="4"/>
    <x v="56"/>
    <x v="0"/>
    <x v="5"/>
    <n v="6"/>
    <n v="0"/>
    <n v="0"/>
  </r>
  <r>
    <x v="1"/>
    <x v="4"/>
    <x v="56"/>
    <x v="0"/>
    <x v="6"/>
    <n v="7"/>
    <n v="0"/>
    <n v="0"/>
  </r>
  <r>
    <x v="1"/>
    <x v="4"/>
    <x v="57"/>
    <x v="0"/>
    <x v="0"/>
    <n v="1"/>
    <n v="0"/>
    <n v="0"/>
  </r>
  <r>
    <x v="1"/>
    <x v="4"/>
    <x v="57"/>
    <x v="0"/>
    <x v="1"/>
    <n v="2"/>
    <n v="0"/>
    <n v="0"/>
  </r>
  <r>
    <x v="1"/>
    <x v="4"/>
    <x v="57"/>
    <x v="0"/>
    <x v="2"/>
    <n v="3"/>
    <n v="0"/>
    <n v="0"/>
  </r>
  <r>
    <x v="1"/>
    <x v="4"/>
    <x v="57"/>
    <x v="0"/>
    <x v="3"/>
    <n v="4"/>
    <n v="15.12"/>
    <n v="37800"/>
  </r>
  <r>
    <x v="1"/>
    <x v="4"/>
    <x v="57"/>
    <x v="0"/>
    <x v="4"/>
    <n v="5"/>
    <n v="0"/>
    <n v="0"/>
  </r>
  <r>
    <x v="1"/>
    <x v="4"/>
    <x v="57"/>
    <x v="0"/>
    <x v="5"/>
    <n v="6"/>
    <n v="0"/>
    <n v="0"/>
  </r>
  <r>
    <x v="1"/>
    <x v="4"/>
    <x v="57"/>
    <x v="0"/>
    <x v="6"/>
    <n v="7"/>
    <n v="0"/>
    <n v="0"/>
  </r>
  <r>
    <x v="1"/>
    <x v="4"/>
    <x v="58"/>
    <x v="0"/>
    <x v="0"/>
    <n v="1"/>
    <n v="0"/>
    <n v="0"/>
  </r>
  <r>
    <x v="1"/>
    <x v="4"/>
    <x v="58"/>
    <x v="0"/>
    <x v="1"/>
    <n v="2"/>
    <n v="0"/>
    <n v="0"/>
  </r>
  <r>
    <x v="1"/>
    <x v="4"/>
    <x v="58"/>
    <x v="0"/>
    <x v="2"/>
    <n v="3"/>
    <n v="0"/>
    <n v="0"/>
  </r>
  <r>
    <x v="1"/>
    <x v="4"/>
    <x v="58"/>
    <x v="0"/>
    <x v="3"/>
    <n v="4"/>
    <n v="5.76"/>
    <n v="14400"/>
  </r>
  <r>
    <x v="1"/>
    <x v="4"/>
    <x v="58"/>
    <x v="0"/>
    <x v="4"/>
    <n v="5"/>
    <n v="0"/>
    <n v="0"/>
  </r>
  <r>
    <x v="1"/>
    <x v="4"/>
    <x v="58"/>
    <x v="0"/>
    <x v="5"/>
    <n v="6"/>
    <n v="0"/>
    <n v="0"/>
  </r>
  <r>
    <x v="1"/>
    <x v="4"/>
    <x v="58"/>
    <x v="0"/>
    <x v="6"/>
    <n v="7"/>
    <n v="0"/>
    <n v="0"/>
  </r>
  <r>
    <x v="1"/>
    <x v="5"/>
    <x v="59"/>
    <x v="0"/>
    <x v="0"/>
    <n v="1"/>
    <n v="0"/>
    <n v="0"/>
  </r>
  <r>
    <x v="1"/>
    <x v="5"/>
    <x v="59"/>
    <x v="0"/>
    <x v="1"/>
    <n v="2"/>
    <n v="0"/>
    <n v="0"/>
  </r>
  <r>
    <x v="1"/>
    <x v="5"/>
    <x v="59"/>
    <x v="0"/>
    <x v="2"/>
    <n v="3"/>
    <n v="0"/>
    <n v="0"/>
  </r>
  <r>
    <x v="1"/>
    <x v="5"/>
    <x v="59"/>
    <x v="0"/>
    <x v="3"/>
    <n v="4"/>
    <n v="7.92"/>
    <n v="19800"/>
  </r>
  <r>
    <x v="1"/>
    <x v="5"/>
    <x v="59"/>
    <x v="0"/>
    <x v="4"/>
    <n v="5"/>
    <n v="0"/>
    <n v="0"/>
  </r>
  <r>
    <x v="1"/>
    <x v="5"/>
    <x v="59"/>
    <x v="0"/>
    <x v="5"/>
    <n v="6"/>
    <n v="0"/>
    <n v="0"/>
  </r>
  <r>
    <x v="1"/>
    <x v="5"/>
    <x v="59"/>
    <x v="0"/>
    <x v="6"/>
    <n v="7"/>
    <n v="0"/>
    <n v="0"/>
  </r>
  <r>
    <x v="1"/>
    <x v="5"/>
    <x v="60"/>
    <x v="0"/>
    <x v="0"/>
    <n v="1"/>
    <n v="0"/>
    <n v="0"/>
  </r>
  <r>
    <x v="1"/>
    <x v="5"/>
    <x v="60"/>
    <x v="0"/>
    <x v="1"/>
    <n v="2"/>
    <n v="0"/>
    <n v="0"/>
  </r>
  <r>
    <x v="1"/>
    <x v="5"/>
    <x v="60"/>
    <x v="0"/>
    <x v="2"/>
    <n v="3"/>
    <n v="0"/>
    <n v="0"/>
  </r>
  <r>
    <x v="1"/>
    <x v="5"/>
    <x v="60"/>
    <x v="0"/>
    <x v="3"/>
    <n v="4"/>
    <n v="1.44"/>
    <n v="3600"/>
  </r>
  <r>
    <x v="1"/>
    <x v="5"/>
    <x v="60"/>
    <x v="0"/>
    <x v="4"/>
    <n v="5"/>
    <n v="0"/>
    <n v="0"/>
  </r>
  <r>
    <x v="1"/>
    <x v="5"/>
    <x v="60"/>
    <x v="0"/>
    <x v="5"/>
    <n v="6"/>
    <n v="0"/>
    <n v="0"/>
  </r>
  <r>
    <x v="1"/>
    <x v="5"/>
    <x v="60"/>
    <x v="0"/>
    <x v="6"/>
    <n v="7"/>
    <n v="0"/>
    <n v="0"/>
  </r>
  <r>
    <x v="1"/>
    <x v="5"/>
    <x v="61"/>
    <x v="0"/>
    <x v="0"/>
    <n v="1"/>
    <n v="0"/>
    <n v="0"/>
  </r>
  <r>
    <x v="1"/>
    <x v="5"/>
    <x v="61"/>
    <x v="0"/>
    <x v="1"/>
    <n v="2"/>
    <n v="0"/>
    <n v="0"/>
  </r>
  <r>
    <x v="1"/>
    <x v="5"/>
    <x v="61"/>
    <x v="0"/>
    <x v="2"/>
    <n v="3"/>
    <n v="0"/>
    <n v="0"/>
  </r>
  <r>
    <x v="1"/>
    <x v="5"/>
    <x v="61"/>
    <x v="0"/>
    <x v="3"/>
    <n v="4"/>
    <n v="2.16"/>
    <n v="5400"/>
  </r>
  <r>
    <x v="1"/>
    <x v="5"/>
    <x v="61"/>
    <x v="0"/>
    <x v="4"/>
    <n v="5"/>
    <n v="0"/>
    <n v="0"/>
  </r>
  <r>
    <x v="1"/>
    <x v="5"/>
    <x v="61"/>
    <x v="0"/>
    <x v="5"/>
    <n v="6"/>
    <n v="0"/>
    <n v="0"/>
  </r>
  <r>
    <x v="1"/>
    <x v="5"/>
    <x v="61"/>
    <x v="0"/>
    <x v="6"/>
    <n v="7"/>
    <n v="0"/>
    <n v="0"/>
  </r>
  <r>
    <x v="1"/>
    <x v="5"/>
    <x v="62"/>
    <x v="0"/>
    <x v="0"/>
    <n v="1"/>
    <n v="0"/>
    <n v="0"/>
  </r>
  <r>
    <x v="1"/>
    <x v="5"/>
    <x v="62"/>
    <x v="0"/>
    <x v="1"/>
    <n v="2"/>
    <n v="0"/>
    <n v="0"/>
  </r>
  <r>
    <x v="1"/>
    <x v="5"/>
    <x v="62"/>
    <x v="0"/>
    <x v="2"/>
    <n v="3"/>
    <n v="0"/>
    <n v="0"/>
  </r>
  <r>
    <x v="1"/>
    <x v="5"/>
    <x v="62"/>
    <x v="0"/>
    <x v="3"/>
    <n v="4"/>
    <n v="5.76"/>
    <n v="14400"/>
  </r>
  <r>
    <x v="1"/>
    <x v="5"/>
    <x v="62"/>
    <x v="0"/>
    <x v="4"/>
    <n v="5"/>
    <n v="0"/>
    <n v="0"/>
  </r>
  <r>
    <x v="1"/>
    <x v="5"/>
    <x v="62"/>
    <x v="0"/>
    <x v="5"/>
    <n v="6"/>
    <n v="0"/>
    <n v="0"/>
  </r>
  <r>
    <x v="1"/>
    <x v="5"/>
    <x v="62"/>
    <x v="0"/>
    <x v="6"/>
    <n v="7"/>
    <n v="0"/>
    <n v="0"/>
  </r>
  <r>
    <x v="1"/>
    <x v="5"/>
    <x v="63"/>
    <x v="0"/>
    <x v="0"/>
    <n v="1"/>
    <n v="0"/>
    <n v="0"/>
  </r>
  <r>
    <x v="1"/>
    <x v="5"/>
    <x v="63"/>
    <x v="0"/>
    <x v="1"/>
    <n v="2"/>
    <n v="0"/>
    <n v="0"/>
  </r>
  <r>
    <x v="1"/>
    <x v="5"/>
    <x v="63"/>
    <x v="0"/>
    <x v="2"/>
    <n v="3"/>
    <n v="0"/>
    <n v="0"/>
  </r>
  <r>
    <x v="1"/>
    <x v="5"/>
    <x v="63"/>
    <x v="0"/>
    <x v="3"/>
    <n v="4"/>
    <n v="5.76"/>
    <n v="14400"/>
  </r>
  <r>
    <x v="1"/>
    <x v="5"/>
    <x v="63"/>
    <x v="0"/>
    <x v="4"/>
    <n v="5"/>
    <n v="0"/>
    <n v="0"/>
  </r>
  <r>
    <x v="1"/>
    <x v="5"/>
    <x v="63"/>
    <x v="0"/>
    <x v="5"/>
    <n v="6"/>
    <n v="0"/>
    <n v="0"/>
  </r>
  <r>
    <x v="1"/>
    <x v="5"/>
    <x v="63"/>
    <x v="0"/>
    <x v="6"/>
    <n v="7"/>
    <n v="0"/>
    <n v="0"/>
  </r>
  <r>
    <x v="1"/>
    <x v="5"/>
    <x v="64"/>
    <x v="0"/>
    <x v="0"/>
    <n v="1"/>
    <n v="0"/>
    <n v="0"/>
  </r>
  <r>
    <x v="1"/>
    <x v="5"/>
    <x v="64"/>
    <x v="0"/>
    <x v="1"/>
    <n v="2"/>
    <n v="0"/>
    <n v="0"/>
  </r>
  <r>
    <x v="1"/>
    <x v="5"/>
    <x v="64"/>
    <x v="0"/>
    <x v="2"/>
    <n v="3"/>
    <n v="0"/>
    <n v="0"/>
  </r>
  <r>
    <x v="1"/>
    <x v="5"/>
    <x v="64"/>
    <x v="0"/>
    <x v="3"/>
    <n v="4"/>
    <n v="10.8"/>
    <n v="27000"/>
  </r>
  <r>
    <x v="1"/>
    <x v="5"/>
    <x v="64"/>
    <x v="0"/>
    <x v="4"/>
    <n v="5"/>
    <n v="0"/>
    <n v="0"/>
  </r>
  <r>
    <x v="1"/>
    <x v="5"/>
    <x v="64"/>
    <x v="0"/>
    <x v="5"/>
    <n v="6"/>
    <n v="0"/>
    <n v="0"/>
  </r>
  <r>
    <x v="1"/>
    <x v="5"/>
    <x v="64"/>
    <x v="0"/>
    <x v="6"/>
    <n v="7"/>
    <n v="0"/>
    <n v="0"/>
  </r>
  <r>
    <x v="1"/>
    <x v="5"/>
    <x v="65"/>
    <x v="0"/>
    <x v="0"/>
    <n v="1"/>
    <n v="0"/>
    <n v="0"/>
  </r>
  <r>
    <x v="1"/>
    <x v="5"/>
    <x v="65"/>
    <x v="0"/>
    <x v="1"/>
    <n v="2"/>
    <n v="0"/>
    <n v="0"/>
  </r>
  <r>
    <x v="1"/>
    <x v="5"/>
    <x v="65"/>
    <x v="0"/>
    <x v="2"/>
    <n v="3"/>
    <n v="0"/>
    <n v="0"/>
  </r>
  <r>
    <x v="1"/>
    <x v="5"/>
    <x v="65"/>
    <x v="0"/>
    <x v="3"/>
    <n v="4"/>
    <n v="5.04"/>
    <n v="12600"/>
  </r>
  <r>
    <x v="1"/>
    <x v="5"/>
    <x v="65"/>
    <x v="0"/>
    <x v="4"/>
    <n v="5"/>
    <n v="0"/>
    <n v="0"/>
  </r>
  <r>
    <x v="1"/>
    <x v="5"/>
    <x v="65"/>
    <x v="0"/>
    <x v="5"/>
    <n v="6"/>
    <n v="0"/>
    <n v="0"/>
  </r>
  <r>
    <x v="1"/>
    <x v="5"/>
    <x v="65"/>
    <x v="0"/>
    <x v="6"/>
    <n v="7"/>
    <n v="0"/>
    <n v="0"/>
  </r>
  <r>
    <x v="1"/>
    <x v="5"/>
    <x v="66"/>
    <x v="0"/>
    <x v="0"/>
    <n v="1"/>
    <n v="0"/>
    <n v="0"/>
  </r>
  <r>
    <x v="1"/>
    <x v="5"/>
    <x v="66"/>
    <x v="0"/>
    <x v="1"/>
    <n v="2"/>
    <n v="0"/>
    <n v="0"/>
  </r>
  <r>
    <x v="1"/>
    <x v="5"/>
    <x v="66"/>
    <x v="0"/>
    <x v="2"/>
    <n v="3"/>
    <n v="0"/>
    <n v="0"/>
  </r>
  <r>
    <x v="1"/>
    <x v="5"/>
    <x v="66"/>
    <x v="0"/>
    <x v="3"/>
    <n v="4"/>
    <n v="6.48"/>
    <n v="16200"/>
  </r>
  <r>
    <x v="1"/>
    <x v="5"/>
    <x v="66"/>
    <x v="0"/>
    <x v="4"/>
    <n v="5"/>
    <n v="0"/>
    <n v="0"/>
  </r>
  <r>
    <x v="1"/>
    <x v="5"/>
    <x v="66"/>
    <x v="0"/>
    <x v="5"/>
    <n v="6"/>
    <n v="0"/>
    <n v="0"/>
  </r>
  <r>
    <x v="1"/>
    <x v="5"/>
    <x v="66"/>
    <x v="0"/>
    <x v="6"/>
    <n v="7"/>
    <n v="0"/>
    <n v="0"/>
  </r>
  <r>
    <x v="1"/>
    <x v="5"/>
    <x v="67"/>
    <x v="0"/>
    <x v="0"/>
    <n v="1"/>
    <n v="0"/>
    <n v="0"/>
  </r>
  <r>
    <x v="1"/>
    <x v="5"/>
    <x v="67"/>
    <x v="0"/>
    <x v="1"/>
    <n v="2"/>
    <n v="0"/>
    <n v="0"/>
  </r>
  <r>
    <x v="1"/>
    <x v="5"/>
    <x v="67"/>
    <x v="0"/>
    <x v="2"/>
    <n v="3"/>
    <n v="0"/>
    <n v="0"/>
  </r>
  <r>
    <x v="1"/>
    <x v="5"/>
    <x v="67"/>
    <x v="0"/>
    <x v="3"/>
    <n v="4"/>
    <n v="5.76"/>
    <n v="14400"/>
  </r>
  <r>
    <x v="1"/>
    <x v="5"/>
    <x v="67"/>
    <x v="0"/>
    <x v="4"/>
    <n v="5"/>
    <n v="0"/>
    <n v="0"/>
  </r>
  <r>
    <x v="1"/>
    <x v="5"/>
    <x v="67"/>
    <x v="0"/>
    <x v="5"/>
    <n v="6"/>
    <n v="0"/>
    <n v="0"/>
  </r>
  <r>
    <x v="1"/>
    <x v="5"/>
    <x v="67"/>
    <x v="0"/>
    <x v="6"/>
    <n v="7"/>
    <n v="0"/>
    <n v="0"/>
  </r>
  <r>
    <x v="1"/>
    <x v="5"/>
    <x v="68"/>
    <x v="0"/>
    <x v="0"/>
    <n v="1"/>
    <n v="0"/>
    <n v="0"/>
  </r>
  <r>
    <x v="1"/>
    <x v="5"/>
    <x v="68"/>
    <x v="0"/>
    <x v="1"/>
    <n v="2"/>
    <n v="0"/>
    <n v="0"/>
  </r>
  <r>
    <x v="1"/>
    <x v="5"/>
    <x v="68"/>
    <x v="0"/>
    <x v="2"/>
    <n v="3"/>
    <n v="0"/>
    <n v="0"/>
  </r>
  <r>
    <x v="1"/>
    <x v="5"/>
    <x v="68"/>
    <x v="0"/>
    <x v="3"/>
    <n v="4"/>
    <n v="8.64"/>
    <n v="21600"/>
  </r>
  <r>
    <x v="1"/>
    <x v="5"/>
    <x v="68"/>
    <x v="0"/>
    <x v="4"/>
    <n v="5"/>
    <n v="0"/>
    <n v="0"/>
  </r>
  <r>
    <x v="1"/>
    <x v="5"/>
    <x v="68"/>
    <x v="0"/>
    <x v="5"/>
    <n v="6"/>
    <n v="0"/>
    <n v="0"/>
  </r>
  <r>
    <x v="1"/>
    <x v="5"/>
    <x v="68"/>
    <x v="0"/>
    <x v="6"/>
    <n v="7"/>
    <n v="0"/>
    <n v="0"/>
  </r>
  <r>
    <x v="1"/>
    <x v="5"/>
    <x v="69"/>
    <x v="0"/>
    <x v="0"/>
    <n v="1"/>
    <n v="0"/>
    <n v="0"/>
  </r>
  <r>
    <x v="1"/>
    <x v="5"/>
    <x v="69"/>
    <x v="0"/>
    <x v="1"/>
    <n v="2"/>
    <n v="0"/>
    <n v="0"/>
  </r>
  <r>
    <x v="1"/>
    <x v="5"/>
    <x v="69"/>
    <x v="0"/>
    <x v="2"/>
    <n v="3"/>
    <n v="0"/>
    <n v="0"/>
  </r>
  <r>
    <x v="1"/>
    <x v="5"/>
    <x v="69"/>
    <x v="0"/>
    <x v="3"/>
    <n v="4"/>
    <n v="7.92"/>
    <n v="19800"/>
  </r>
  <r>
    <x v="1"/>
    <x v="5"/>
    <x v="69"/>
    <x v="0"/>
    <x v="4"/>
    <n v="5"/>
    <n v="0"/>
    <n v="0"/>
  </r>
  <r>
    <x v="1"/>
    <x v="5"/>
    <x v="69"/>
    <x v="0"/>
    <x v="5"/>
    <n v="6"/>
    <n v="0"/>
    <n v="0"/>
  </r>
  <r>
    <x v="1"/>
    <x v="5"/>
    <x v="69"/>
    <x v="0"/>
    <x v="6"/>
    <n v="7"/>
    <n v="0"/>
    <n v="0"/>
  </r>
  <r>
    <x v="1"/>
    <x v="5"/>
    <x v="70"/>
    <x v="0"/>
    <x v="0"/>
    <n v="1"/>
    <n v="0"/>
    <n v="0"/>
  </r>
  <r>
    <x v="1"/>
    <x v="5"/>
    <x v="70"/>
    <x v="0"/>
    <x v="1"/>
    <n v="2"/>
    <n v="0"/>
    <n v="0"/>
  </r>
  <r>
    <x v="1"/>
    <x v="5"/>
    <x v="70"/>
    <x v="0"/>
    <x v="2"/>
    <n v="3"/>
    <n v="0"/>
    <n v="0"/>
  </r>
  <r>
    <x v="1"/>
    <x v="5"/>
    <x v="70"/>
    <x v="0"/>
    <x v="3"/>
    <n v="4"/>
    <n v="2.88"/>
    <n v="7200"/>
  </r>
  <r>
    <x v="1"/>
    <x v="5"/>
    <x v="70"/>
    <x v="0"/>
    <x v="4"/>
    <n v="5"/>
    <n v="0"/>
    <n v="0"/>
  </r>
  <r>
    <x v="1"/>
    <x v="5"/>
    <x v="70"/>
    <x v="0"/>
    <x v="5"/>
    <n v="6"/>
    <n v="0"/>
    <n v="0"/>
  </r>
  <r>
    <x v="1"/>
    <x v="5"/>
    <x v="70"/>
    <x v="0"/>
    <x v="6"/>
    <n v="7"/>
    <n v="0"/>
    <n v="0"/>
  </r>
  <r>
    <x v="1"/>
    <x v="5"/>
    <x v="71"/>
    <x v="0"/>
    <x v="0"/>
    <n v="1"/>
    <n v="0"/>
    <n v="0"/>
  </r>
  <r>
    <x v="1"/>
    <x v="5"/>
    <x v="71"/>
    <x v="0"/>
    <x v="1"/>
    <n v="2"/>
    <n v="0"/>
    <n v="0"/>
  </r>
  <r>
    <x v="1"/>
    <x v="5"/>
    <x v="71"/>
    <x v="0"/>
    <x v="2"/>
    <n v="3"/>
    <n v="0"/>
    <n v="0"/>
  </r>
  <r>
    <x v="1"/>
    <x v="5"/>
    <x v="71"/>
    <x v="0"/>
    <x v="3"/>
    <n v="4"/>
    <n v="5.04"/>
    <n v="12600"/>
  </r>
  <r>
    <x v="1"/>
    <x v="5"/>
    <x v="71"/>
    <x v="0"/>
    <x v="4"/>
    <n v="5"/>
    <n v="0"/>
    <n v="0"/>
  </r>
  <r>
    <x v="1"/>
    <x v="5"/>
    <x v="71"/>
    <x v="0"/>
    <x v="5"/>
    <n v="6"/>
    <n v="0"/>
    <n v="0"/>
  </r>
  <r>
    <x v="1"/>
    <x v="5"/>
    <x v="71"/>
    <x v="0"/>
    <x v="6"/>
    <n v="7"/>
    <n v="0"/>
    <n v="0"/>
  </r>
  <r>
    <x v="1"/>
    <x v="5"/>
    <x v="72"/>
    <x v="0"/>
    <x v="0"/>
    <n v="1"/>
    <n v="0"/>
    <n v="0"/>
  </r>
  <r>
    <x v="1"/>
    <x v="5"/>
    <x v="72"/>
    <x v="0"/>
    <x v="1"/>
    <n v="2"/>
    <n v="0"/>
    <n v="0"/>
  </r>
  <r>
    <x v="1"/>
    <x v="5"/>
    <x v="72"/>
    <x v="0"/>
    <x v="2"/>
    <n v="3"/>
    <n v="0"/>
    <n v="0"/>
  </r>
  <r>
    <x v="1"/>
    <x v="5"/>
    <x v="72"/>
    <x v="0"/>
    <x v="3"/>
    <n v="4"/>
    <n v="2.16"/>
    <n v="5400"/>
  </r>
  <r>
    <x v="1"/>
    <x v="5"/>
    <x v="72"/>
    <x v="0"/>
    <x v="4"/>
    <n v="5"/>
    <n v="0"/>
    <n v="0"/>
  </r>
  <r>
    <x v="1"/>
    <x v="5"/>
    <x v="72"/>
    <x v="0"/>
    <x v="5"/>
    <n v="6"/>
    <n v="0"/>
    <n v="0"/>
  </r>
  <r>
    <x v="1"/>
    <x v="5"/>
    <x v="72"/>
    <x v="0"/>
    <x v="6"/>
    <n v="7"/>
    <n v="0"/>
    <n v="0"/>
  </r>
  <r>
    <x v="1"/>
    <x v="6"/>
    <x v="73"/>
    <x v="0"/>
    <x v="0"/>
    <n v="1"/>
    <n v="0"/>
    <n v="0"/>
  </r>
  <r>
    <x v="1"/>
    <x v="6"/>
    <x v="73"/>
    <x v="0"/>
    <x v="1"/>
    <n v="2"/>
    <n v="0"/>
    <n v="0"/>
  </r>
  <r>
    <x v="1"/>
    <x v="6"/>
    <x v="73"/>
    <x v="0"/>
    <x v="2"/>
    <n v="3"/>
    <n v="0"/>
    <n v="0"/>
  </r>
  <r>
    <x v="1"/>
    <x v="6"/>
    <x v="73"/>
    <x v="0"/>
    <x v="3"/>
    <n v="4"/>
    <n v="3.6"/>
    <n v="9000"/>
  </r>
  <r>
    <x v="1"/>
    <x v="6"/>
    <x v="73"/>
    <x v="0"/>
    <x v="4"/>
    <n v="5"/>
    <n v="0"/>
    <n v="0"/>
  </r>
  <r>
    <x v="1"/>
    <x v="6"/>
    <x v="73"/>
    <x v="0"/>
    <x v="5"/>
    <n v="6"/>
    <n v="0"/>
    <n v="0"/>
  </r>
  <r>
    <x v="1"/>
    <x v="6"/>
    <x v="73"/>
    <x v="0"/>
    <x v="6"/>
    <n v="7"/>
    <n v="0"/>
    <n v="0"/>
  </r>
  <r>
    <x v="1"/>
    <x v="6"/>
    <x v="74"/>
    <x v="0"/>
    <x v="0"/>
    <n v="1"/>
    <n v="0"/>
    <n v="0"/>
  </r>
  <r>
    <x v="1"/>
    <x v="6"/>
    <x v="74"/>
    <x v="0"/>
    <x v="1"/>
    <n v="2"/>
    <n v="0"/>
    <n v="0"/>
  </r>
  <r>
    <x v="1"/>
    <x v="6"/>
    <x v="74"/>
    <x v="0"/>
    <x v="2"/>
    <n v="3"/>
    <n v="0"/>
    <n v="0"/>
  </r>
  <r>
    <x v="1"/>
    <x v="6"/>
    <x v="74"/>
    <x v="0"/>
    <x v="3"/>
    <n v="4"/>
    <n v="2.16"/>
    <n v="5400"/>
  </r>
  <r>
    <x v="1"/>
    <x v="6"/>
    <x v="74"/>
    <x v="0"/>
    <x v="4"/>
    <n v="5"/>
    <n v="0"/>
    <n v="0"/>
  </r>
  <r>
    <x v="1"/>
    <x v="6"/>
    <x v="74"/>
    <x v="0"/>
    <x v="5"/>
    <n v="6"/>
    <n v="0"/>
    <n v="0"/>
  </r>
  <r>
    <x v="1"/>
    <x v="6"/>
    <x v="74"/>
    <x v="0"/>
    <x v="6"/>
    <n v="7"/>
    <n v="0"/>
    <n v="0"/>
  </r>
  <r>
    <x v="1"/>
    <x v="6"/>
    <x v="75"/>
    <x v="0"/>
    <x v="0"/>
    <n v="1"/>
    <n v="0"/>
    <n v="0"/>
  </r>
  <r>
    <x v="1"/>
    <x v="6"/>
    <x v="75"/>
    <x v="0"/>
    <x v="1"/>
    <n v="2"/>
    <n v="0"/>
    <n v="0"/>
  </r>
  <r>
    <x v="1"/>
    <x v="6"/>
    <x v="75"/>
    <x v="0"/>
    <x v="2"/>
    <n v="3"/>
    <n v="0"/>
    <n v="0"/>
  </r>
  <r>
    <x v="1"/>
    <x v="6"/>
    <x v="75"/>
    <x v="0"/>
    <x v="3"/>
    <n v="4"/>
    <n v="0"/>
    <n v="0"/>
  </r>
  <r>
    <x v="1"/>
    <x v="6"/>
    <x v="75"/>
    <x v="0"/>
    <x v="4"/>
    <n v="5"/>
    <n v="0"/>
    <n v="0"/>
  </r>
  <r>
    <x v="1"/>
    <x v="6"/>
    <x v="75"/>
    <x v="0"/>
    <x v="5"/>
    <n v="6"/>
    <n v="0"/>
    <n v="0"/>
  </r>
  <r>
    <x v="1"/>
    <x v="6"/>
    <x v="75"/>
    <x v="0"/>
    <x v="6"/>
    <n v="7"/>
    <n v="0"/>
    <n v="0"/>
  </r>
  <r>
    <x v="1"/>
    <x v="6"/>
    <x v="76"/>
    <x v="0"/>
    <x v="0"/>
    <n v="1"/>
    <n v="0"/>
    <n v="0"/>
  </r>
  <r>
    <x v="1"/>
    <x v="6"/>
    <x v="76"/>
    <x v="0"/>
    <x v="1"/>
    <n v="2"/>
    <n v="0"/>
    <n v="0"/>
  </r>
  <r>
    <x v="1"/>
    <x v="6"/>
    <x v="76"/>
    <x v="0"/>
    <x v="2"/>
    <n v="3"/>
    <n v="0"/>
    <n v="0"/>
  </r>
  <r>
    <x v="1"/>
    <x v="6"/>
    <x v="76"/>
    <x v="0"/>
    <x v="3"/>
    <n v="4"/>
    <n v="2.88"/>
    <n v="7200"/>
  </r>
  <r>
    <x v="1"/>
    <x v="6"/>
    <x v="76"/>
    <x v="0"/>
    <x v="4"/>
    <n v="5"/>
    <n v="0"/>
    <n v="0"/>
  </r>
  <r>
    <x v="1"/>
    <x v="6"/>
    <x v="76"/>
    <x v="0"/>
    <x v="5"/>
    <n v="6"/>
    <n v="0"/>
    <n v="0"/>
  </r>
  <r>
    <x v="1"/>
    <x v="6"/>
    <x v="76"/>
    <x v="0"/>
    <x v="6"/>
    <n v="7"/>
    <n v="0"/>
    <n v="0"/>
  </r>
  <r>
    <x v="1"/>
    <x v="6"/>
    <x v="77"/>
    <x v="0"/>
    <x v="0"/>
    <n v="1"/>
    <n v="0"/>
    <n v="0"/>
  </r>
  <r>
    <x v="1"/>
    <x v="6"/>
    <x v="77"/>
    <x v="0"/>
    <x v="1"/>
    <n v="2"/>
    <n v="0"/>
    <n v="0"/>
  </r>
  <r>
    <x v="1"/>
    <x v="6"/>
    <x v="77"/>
    <x v="0"/>
    <x v="2"/>
    <n v="3"/>
    <n v="0"/>
    <n v="0"/>
  </r>
  <r>
    <x v="1"/>
    <x v="6"/>
    <x v="77"/>
    <x v="0"/>
    <x v="3"/>
    <n v="4"/>
    <n v="4.32"/>
    <n v="10800"/>
  </r>
  <r>
    <x v="1"/>
    <x v="6"/>
    <x v="77"/>
    <x v="0"/>
    <x v="4"/>
    <n v="5"/>
    <n v="0"/>
    <n v="0"/>
  </r>
  <r>
    <x v="1"/>
    <x v="6"/>
    <x v="77"/>
    <x v="0"/>
    <x v="5"/>
    <n v="6"/>
    <n v="0"/>
    <n v="0"/>
  </r>
  <r>
    <x v="1"/>
    <x v="6"/>
    <x v="77"/>
    <x v="0"/>
    <x v="6"/>
    <n v="7"/>
    <n v="0"/>
    <n v="0"/>
  </r>
  <r>
    <x v="1"/>
    <x v="6"/>
    <x v="78"/>
    <x v="0"/>
    <x v="0"/>
    <n v="1"/>
    <n v="0"/>
    <n v="0"/>
  </r>
  <r>
    <x v="1"/>
    <x v="6"/>
    <x v="78"/>
    <x v="0"/>
    <x v="1"/>
    <n v="2"/>
    <n v="0"/>
    <n v="0"/>
  </r>
  <r>
    <x v="1"/>
    <x v="6"/>
    <x v="78"/>
    <x v="0"/>
    <x v="2"/>
    <n v="3"/>
    <n v="0"/>
    <n v="0"/>
  </r>
  <r>
    <x v="1"/>
    <x v="6"/>
    <x v="78"/>
    <x v="0"/>
    <x v="3"/>
    <n v="4"/>
    <n v="2.16"/>
    <n v="5400"/>
  </r>
  <r>
    <x v="1"/>
    <x v="6"/>
    <x v="78"/>
    <x v="0"/>
    <x v="4"/>
    <n v="5"/>
    <n v="0"/>
    <n v="0"/>
  </r>
  <r>
    <x v="1"/>
    <x v="6"/>
    <x v="78"/>
    <x v="0"/>
    <x v="5"/>
    <n v="6"/>
    <n v="0"/>
    <n v="0"/>
  </r>
  <r>
    <x v="1"/>
    <x v="6"/>
    <x v="78"/>
    <x v="0"/>
    <x v="6"/>
    <n v="7"/>
    <n v="0"/>
    <n v="0"/>
  </r>
  <r>
    <x v="1"/>
    <x v="6"/>
    <x v="79"/>
    <x v="0"/>
    <x v="0"/>
    <n v="1"/>
    <n v="0"/>
    <n v="0"/>
  </r>
  <r>
    <x v="1"/>
    <x v="6"/>
    <x v="79"/>
    <x v="0"/>
    <x v="1"/>
    <n v="2"/>
    <n v="0"/>
    <n v="0"/>
  </r>
  <r>
    <x v="1"/>
    <x v="6"/>
    <x v="79"/>
    <x v="0"/>
    <x v="2"/>
    <n v="3"/>
    <n v="0"/>
    <n v="0"/>
  </r>
  <r>
    <x v="1"/>
    <x v="6"/>
    <x v="79"/>
    <x v="0"/>
    <x v="3"/>
    <n v="4"/>
    <n v="7.92"/>
    <n v="19800"/>
  </r>
  <r>
    <x v="1"/>
    <x v="6"/>
    <x v="79"/>
    <x v="0"/>
    <x v="4"/>
    <n v="5"/>
    <n v="0"/>
    <n v="0"/>
  </r>
  <r>
    <x v="1"/>
    <x v="6"/>
    <x v="79"/>
    <x v="0"/>
    <x v="5"/>
    <n v="6"/>
    <n v="0"/>
    <n v="0"/>
  </r>
  <r>
    <x v="1"/>
    <x v="6"/>
    <x v="79"/>
    <x v="0"/>
    <x v="6"/>
    <n v="7"/>
    <n v="0"/>
    <n v="0"/>
  </r>
  <r>
    <x v="1"/>
    <x v="6"/>
    <x v="80"/>
    <x v="0"/>
    <x v="0"/>
    <n v="1"/>
    <n v="0"/>
    <n v="0"/>
  </r>
  <r>
    <x v="1"/>
    <x v="6"/>
    <x v="80"/>
    <x v="0"/>
    <x v="1"/>
    <n v="2"/>
    <n v="0"/>
    <n v="0"/>
  </r>
  <r>
    <x v="1"/>
    <x v="6"/>
    <x v="80"/>
    <x v="0"/>
    <x v="2"/>
    <n v="3"/>
    <n v="0"/>
    <n v="0"/>
  </r>
  <r>
    <x v="1"/>
    <x v="6"/>
    <x v="80"/>
    <x v="0"/>
    <x v="3"/>
    <n v="4"/>
    <n v="2.88"/>
    <n v="7200"/>
  </r>
  <r>
    <x v="1"/>
    <x v="6"/>
    <x v="80"/>
    <x v="0"/>
    <x v="4"/>
    <n v="5"/>
    <n v="0"/>
    <n v="0"/>
  </r>
  <r>
    <x v="1"/>
    <x v="6"/>
    <x v="80"/>
    <x v="0"/>
    <x v="5"/>
    <n v="6"/>
    <n v="0"/>
    <n v="0"/>
  </r>
  <r>
    <x v="1"/>
    <x v="6"/>
    <x v="80"/>
    <x v="0"/>
    <x v="6"/>
    <n v="7"/>
    <n v="0"/>
    <n v="0"/>
  </r>
  <r>
    <x v="1"/>
    <x v="6"/>
    <x v="81"/>
    <x v="0"/>
    <x v="0"/>
    <n v="1"/>
    <n v="0"/>
    <n v="0"/>
  </r>
  <r>
    <x v="1"/>
    <x v="6"/>
    <x v="81"/>
    <x v="0"/>
    <x v="1"/>
    <n v="2"/>
    <n v="0"/>
    <n v="0"/>
  </r>
  <r>
    <x v="1"/>
    <x v="6"/>
    <x v="81"/>
    <x v="0"/>
    <x v="2"/>
    <n v="3"/>
    <n v="0"/>
    <n v="0"/>
  </r>
  <r>
    <x v="1"/>
    <x v="6"/>
    <x v="81"/>
    <x v="0"/>
    <x v="3"/>
    <n v="4"/>
    <n v="1.44"/>
    <n v="3600"/>
  </r>
  <r>
    <x v="1"/>
    <x v="6"/>
    <x v="81"/>
    <x v="0"/>
    <x v="4"/>
    <n v="5"/>
    <n v="0"/>
    <n v="0"/>
  </r>
  <r>
    <x v="1"/>
    <x v="6"/>
    <x v="81"/>
    <x v="0"/>
    <x v="5"/>
    <n v="6"/>
    <n v="0"/>
    <n v="0"/>
  </r>
  <r>
    <x v="1"/>
    <x v="6"/>
    <x v="81"/>
    <x v="0"/>
    <x v="6"/>
    <n v="7"/>
    <n v="0"/>
    <n v="0"/>
  </r>
  <r>
    <x v="1"/>
    <x v="6"/>
    <x v="82"/>
    <x v="0"/>
    <x v="0"/>
    <n v="1"/>
    <n v="0"/>
    <n v="0"/>
  </r>
  <r>
    <x v="1"/>
    <x v="6"/>
    <x v="82"/>
    <x v="0"/>
    <x v="1"/>
    <n v="2"/>
    <n v="0"/>
    <n v="0"/>
  </r>
  <r>
    <x v="1"/>
    <x v="6"/>
    <x v="82"/>
    <x v="0"/>
    <x v="2"/>
    <n v="3"/>
    <n v="0"/>
    <n v="0"/>
  </r>
  <r>
    <x v="1"/>
    <x v="6"/>
    <x v="82"/>
    <x v="0"/>
    <x v="3"/>
    <n v="4"/>
    <n v="5.04"/>
    <n v="12600"/>
  </r>
  <r>
    <x v="1"/>
    <x v="6"/>
    <x v="82"/>
    <x v="0"/>
    <x v="4"/>
    <n v="5"/>
    <n v="0"/>
    <n v="0"/>
  </r>
  <r>
    <x v="1"/>
    <x v="6"/>
    <x v="82"/>
    <x v="0"/>
    <x v="5"/>
    <n v="6"/>
    <n v="0"/>
    <n v="0"/>
  </r>
  <r>
    <x v="1"/>
    <x v="6"/>
    <x v="82"/>
    <x v="0"/>
    <x v="6"/>
    <n v="7"/>
    <n v="0"/>
    <n v="0"/>
  </r>
  <r>
    <x v="1"/>
    <x v="6"/>
    <x v="83"/>
    <x v="0"/>
    <x v="0"/>
    <n v="1"/>
    <n v="0"/>
    <n v="0"/>
  </r>
  <r>
    <x v="1"/>
    <x v="6"/>
    <x v="83"/>
    <x v="0"/>
    <x v="1"/>
    <n v="2"/>
    <n v="0"/>
    <n v="0"/>
  </r>
  <r>
    <x v="1"/>
    <x v="6"/>
    <x v="83"/>
    <x v="0"/>
    <x v="2"/>
    <n v="3"/>
    <n v="0"/>
    <n v="0"/>
  </r>
  <r>
    <x v="1"/>
    <x v="6"/>
    <x v="83"/>
    <x v="0"/>
    <x v="3"/>
    <n v="4"/>
    <n v="3.6"/>
    <n v="9000"/>
  </r>
  <r>
    <x v="1"/>
    <x v="6"/>
    <x v="83"/>
    <x v="0"/>
    <x v="4"/>
    <n v="5"/>
    <n v="0"/>
    <n v="0"/>
  </r>
  <r>
    <x v="1"/>
    <x v="6"/>
    <x v="83"/>
    <x v="0"/>
    <x v="5"/>
    <n v="6"/>
    <n v="0"/>
    <n v="0"/>
  </r>
  <r>
    <x v="1"/>
    <x v="6"/>
    <x v="83"/>
    <x v="0"/>
    <x v="6"/>
    <n v="7"/>
    <n v="0"/>
    <n v="0"/>
  </r>
  <r>
    <x v="1"/>
    <x v="6"/>
    <x v="84"/>
    <x v="0"/>
    <x v="0"/>
    <n v="1"/>
    <n v="0"/>
    <n v="0"/>
  </r>
  <r>
    <x v="1"/>
    <x v="6"/>
    <x v="84"/>
    <x v="0"/>
    <x v="1"/>
    <n v="2"/>
    <n v="0"/>
    <n v="0"/>
  </r>
  <r>
    <x v="1"/>
    <x v="6"/>
    <x v="84"/>
    <x v="0"/>
    <x v="2"/>
    <n v="3"/>
    <n v="0"/>
    <n v="0"/>
  </r>
  <r>
    <x v="1"/>
    <x v="6"/>
    <x v="84"/>
    <x v="0"/>
    <x v="3"/>
    <n v="4"/>
    <n v="0"/>
    <n v="0"/>
  </r>
  <r>
    <x v="1"/>
    <x v="6"/>
    <x v="84"/>
    <x v="0"/>
    <x v="4"/>
    <n v="5"/>
    <n v="0"/>
    <n v="0"/>
  </r>
  <r>
    <x v="1"/>
    <x v="6"/>
    <x v="84"/>
    <x v="0"/>
    <x v="5"/>
    <n v="6"/>
    <n v="0"/>
    <n v="0"/>
  </r>
  <r>
    <x v="1"/>
    <x v="6"/>
    <x v="84"/>
    <x v="0"/>
    <x v="6"/>
    <n v="7"/>
    <n v="0"/>
    <n v="0"/>
  </r>
  <r>
    <x v="1"/>
    <x v="6"/>
    <x v="85"/>
    <x v="0"/>
    <x v="0"/>
    <n v="1"/>
    <n v="0"/>
    <n v="0"/>
  </r>
  <r>
    <x v="1"/>
    <x v="6"/>
    <x v="85"/>
    <x v="0"/>
    <x v="1"/>
    <n v="2"/>
    <n v="0"/>
    <n v="0"/>
  </r>
  <r>
    <x v="1"/>
    <x v="6"/>
    <x v="85"/>
    <x v="0"/>
    <x v="2"/>
    <n v="3"/>
    <n v="0"/>
    <n v="0"/>
  </r>
  <r>
    <x v="1"/>
    <x v="6"/>
    <x v="85"/>
    <x v="0"/>
    <x v="3"/>
    <n v="4"/>
    <n v="9.36"/>
    <n v="23400"/>
  </r>
  <r>
    <x v="1"/>
    <x v="6"/>
    <x v="85"/>
    <x v="0"/>
    <x v="4"/>
    <n v="5"/>
    <n v="0"/>
    <n v="0"/>
  </r>
  <r>
    <x v="1"/>
    <x v="6"/>
    <x v="85"/>
    <x v="0"/>
    <x v="5"/>
    <n v="6"/>
    <n v="0"/>
    <n v="0"/>
  </r>
  <r>
    <x v="1"/>
    <x v="6"/>
    <x v="85"/>
    <x v="0"/>
    <x v="6"/>
    <n v="7"/>
    <n v="0"/>
    <n v="0"/>
  </r>
  <r>
    <x v="1"/>
    <x v="6"/>
    <x v="86"/>
    <x v="0"/>
    <x v="0"/>
    <n v="1"/>
    <n v="0"/>
    <n v="0"/>
  </r>
  <r>
    <x v="1"/>
    <x v="6"/>
    <x v="86"/>
    <x v="0"/>
    <x v="1"/>
    <n v="2"/>
    <n v="0"/>
    <n v="0"/>
  </r>
  <r>
    <x v="1"/>
    <x v="6"/>
    <x v="86"/>
    <x v="0"/>
    <x v="2"/>
    <n v="3"/>
    <n v="0"/>
    <n v="0"/>
  </r>
  <r>
    <x v="1"/>
    <x v="6"/>
    <x v="86"/>
    <x v="0"/>
    <x v="3"/>
    <n v="4"/>
    <n v="3.6"/>
    <n v="9000"/>
  </r>
  <r>
    <x v="1"/>
    <x v="6"/>
    <x v="86"/>
    <x v="0"/>
    <x v="4"/>
    <n v="5"/>
    <n v="0"/>
    <n v="0"/>
  </r>
  <r>
    <x v="1"/>
    <x v="6"/>
    <x v="86"/>
    <x v="0"/>
    <x v="5"/>
    <n v="6"/>
    <n v="0"/>
    <n v="0"/>
  </r>
  <r>
    <x v="1"/>
    <x v="6"/>
    <x v="86"/>
    <x v="0"/>
    <x v="6"/>
    <n v="7"/>
    <n v="0"/>
    <n v="0"/>
  </r>
  <r>
    <x v="1"/>
    <x v="6"/>
    <x v="87"/>
    <x v="0"/>
    <x v="0"/>
    <n v="1"/>
    <n v="0"/>
    <n v="0"/>
  </r>
  <r>
    <x v="1"/>
    <x v="6"/>
    <x v="87"/>
    <x v="0"/>
    <x v="1"/>
    <n v="2"/>
    <n v="0"/>
    <n v="0"/>
  </r>
  <r>
    <x v="1"/>
    <x v="6"/>
    <x v="87"/>
    <x v="0"/>
    <x v="2"/>
    <n v="3"/>
    <n v="0"/>
    <n v="0"/>
  </r>
  <r>
    <x v="1"/>
    <x v="6"/>
    <x v="87"/>
    <x v="0"/>
    <x v="3"/>
    <n v="4"/>
    <n v="4.32"/>
    <n v="10800"/>
  </r>
  <r>
    <x v="1"/>
    <x v="6"/>
    <x v="87"/>
    <x v="0"/>
    <x v="4"/>
    <n v="5"/>
    <n v="0"/>
    <n v="0"/>
  </r>
  <r>
    <x v="1"/>
    <x v="6"/>
    <x v="87"/>
    <x v="0"/>
    <x v="5"/>
    <n v="6"/>
    <n v="0"/>
    <n v="0"/>
  </r>
  <r>
    <x v="1"/>
    <x v="6"/>
    <x v="87"/>
    <x v="0"/>
    <x v="6"/>
    <n v="7"/>
    <n v="0"/>
    <n v="0"/>
  </r>
  <r>
    <x v="1"/>
    <x v="6"/>
    <x v="88"/>
    <x v="0"/>
    <x v="0"/>
    <n v="1"/>
    <n v="0"/>
    <n v="0"/>
  </r>
  <r>
    <x v="1"/>
    <x v="6"/>
    <x v="88"/>
    <x v="0"/>
    <x v="1"/>
    <n v="2"/>
    <n v="0"/>
    <n v="0"/>
  </r>
  <r>
    <x v="1"/>
    <x v="6"/>
    <x v="88"/>
    <x v="0"/>
    <x v="2"/>
    <n v="3"/>
    <n v="0"/>
    <n v="0"/>
  </r>
  <r>
    <x v="1"/>
    <x v="6"/>
    <x v="88"/>
    <x v="0"/>
    <x v="3"/>
    <n v="4"/>
    <n v="2.88"/>
    <n v="7200"/>
  </r>
  <r>
    <x v="1"/>
    <x v="6"/>
    <x v="88"/>
    <x v="0"/>
    <x v="4"/>
    <n v="5"/>
    <n v="0"/>
    <n v="0"/>
  </r>
  <r>
    <x v="1"/>
    <x v="6"/>
    <x v="88"/>
    <x v="0"/>
    <x v="5"/>
    <n v="6"/>
    <n v="0"/>
    <n v="0"/>
  </r>
  <r>
    <x v="1"/>
    <x v="6"/>
    <x v="88"/>
    <x v="0"/>
    <x v="6"/>
    <n v="7"/>
    <n v="0"/>
    <n v="0"/>
  </r>
  <r>
    <x v="1"/>
    <x v="6"/>
    <x v="89"/>
    <x v="0"/>
    <x v="0"/>
    <n v="1"/>
    <n v="0"/>
    <n v="0"/>
  </r>
  <r>
    <x v="1"/>
    <x v="6"/>
    <x v="89"/>
    <x v="0"/>
    <x v="1"/>
    <n v="2"/>
    <n v="0"/>
    <n v="0"/>
  </r>
  <r>
    <x v="1"/>
    <x v="6"/>
    <x v="89"/>
    <x v="0"/>
    <x v="2"/>
    <n v="3"/>
    <n v="0"/>
    <n v="0"/>
  </r>
  <r>
    <x v="1"/>
    <x v="6"/>
    <x v="89"/>
    <x v="0"/>
    <x v="3"/>
    <n v="4"/>
    <n v="23.04"/>
    <n v="57600"/>
  </r>
  <r>
    <x v="1"/>
    <x v="6"/>
    <x v="89"/>
    <x v="0"/>
    <x v="4"/>
    <n v="5"/>
    <n v="0"/>
    <n v="0"/>
  </r>
  <r>
    <x v="1"/>
    <x v="6"/>
    <x v="89"/>
    <x v="0"/>
    <x v="5"/>
    <n v="6"/>
    <n v="0"/>
    <n v="0"/>
  </r>
  <r>
    <x v="1"/>
    <x v="6"/>
    <x v="89"/>
    <x v="0"/>
    <x v="6"/>
    <n v="7"/>
    <n v="0"/>
    <n v="0"/>
  </r>
  <r>
    <x v="1"/>
    <x v="7"/>
    <x v="90"/>
    <x v="0"/>
    <x v="0"/>
    <n v="1"/>
    <n v="0"/>
    <n v="0"/>
  </r>
  <r>
    <x v="1"/>
    <x v="7"/>
    <x v="90"/>
    <x v="0"/>
    <x v="1"/>
    <n v="2"/>
    <n v="0"/>
    <n v="0"/>
  </r>
  <r>
    <x v="1"/>
    <x v="7"/>
    <x v="90"/>
    <x v="0"/>
    <x v="2"/>
    <n v="3"/>
    <n v="0"/>
    <n v="0"/>
  </r>
  <r>
    <x v="1"/>
    <x v="7"/>
    <x v="90"/>
    <x v="0"/>
    <x v="3"/>
    <n v="4"/>
    <n v="2.88"/>
    <n v="7200"/>
  </r>
  <r>
    <x v="1"/>
    <x v="7"/>
    <x v="90"/>
    <x v="0"/>
    <x v="4"/>
    <n v="5"/>
    <n v="0"/>
    <n v="0"/>
  </r>
  <r>
    <x v="1"/>
    <x v="7"/>
    <x v="90"/>
    <x v="0"/>
    <x v="5"/>
    <n v="6"/>
    <n v="0"/>
    <n v="0"/>
  </r>
  <r>
    <x v="1"/>
    <x v="7"/>
    <x v="90"/>
    <x v="0"/>
    <x v="6"/>
    <n v="7"/>
    <n v="0"/>
    <n v="0"/>
  </r>
  <r>
    <x v="1"/>
    <x v="7"/>
    <x v="91"/>
    <x v="0"/>
    <x v="0"/>
    <n v="1"/>
    <n v="0"/>
    <n v="0"/>
  </r>
  <r>
    <x v="1"/>
    <x v="7"/>
    <x v="91"/>
    <x v="0"/>
    <x v="1"/>
    <n v="2"/>
    <n v="0"/>
    <n v="0"/>
  </r>
  <r>
    <x v="1"/>
    <x v="7"/>
    <x v="91"/>
    <x v="0"/>
    <x v="2"/>
    <n v="3"/>
    <n v="0"/>
    <n v="0"/>
  </r>
  <r>
    <x v="1"/>
    <x v="7"/>
    <x v="91"/>
    <x v="0"/>
    <x v="3"/>
    <n v="4"/>
    <n v="2.16"/>
    <n v="5400"/>
  </r>
  <r>
    <x v="1"/>
    <x v="7"/>
    <x v="91"/>
    <x v="0"/>
    <x v="4"/>
    <n v="5"/>
    <n v="0"/>
    <n v="0"/>
  </r>
  <r>
    <x v="1"/>
    <x v="7"/>
    <x v="91"/>
    <x v="0"/>
    <x v="5"/>
    <n v="6"/>
    <n v="0"/>
    <n v="0"/>
  </r>
  <r>
    <x v="1"/>
    <x v="7"/>
    <x v="91"/>
    <x v="0"/>
    <x v="6"/>
    <n v="7"/>
    <n v="0"/>
    <n v="0"/>
  </r>
  <r>
    <x v="1"/>
    <x v="7"/>
    <x v="92"/>
    <x v="0"/>
    <x v="0"/>
    <n v="1"/>
    <n v="0"/>
    <n v="0"/>
  </r>
  <r>
    <x v="1"/>
    <x v="7"/>
    <x v="92"/>
    <x v="0"/>
    <x v="1"/>
    <n v="2"/>
    <n v="0"/>
    <n v="0"/>
  </r>
  <r>
    <x v="1"/>
    <x v="7"/>
    <x v="92"/>
    <x v="0"/>
    <x v="2"/>
    <n v="3"/>
    <n v="0"/>
    <n v="0"/>
  </r>
  <r>
    <x v="1"/>
    <x v="7"/>
    <x v="92"/>
    <x v="0"/>
    <x v="3"/>
    <n v="4"/>
    <n v="0.72"/>
    <n v="1800"/>
  </r>
  <r>
    <x v="1"/>
    <x v="7"/>
    <x v="92"/>
    <x v="0"/>
    <x v="4"/>
    <n v="5"/>
    <n v="0"/>
    <n v="0"/>
  </r>
  <r>
    <x v="1"/>
    <x v="7"/>
    <x v="92"/>
    <x v="0"/>
    <x v="5"/>
    <n v="6"/>
    <n v="0"/>
    <n v="0"/>
  </r>
  <r>
    <x v="1"/>
    <x v="7"/>
    <x v="92"/>
    <x v="0"/>
    <x v="6"/>
    <n v="7"/>
    <n v="0"/>
    <n v="0"/>
  </r>
  <r>
    <x v="1"/>
    <x v="7"/>
    <x v="93"/>
    <x v="0"/>
    <x v="0"/>
    <n v="1"/>
    <n v="0"/>
    <n v="0"/>
  </r>
  <r>
    <x v="1"/>
    <x v="7"/>
    <x v="93"/>
    <x v="0"/>
    <x v="1"/>
    <n v="2"/>
    <n v="0"/>
    <n v="0"/>
  </r>
  <r>
    <x v="1"/>
    <x v="7"/>
    <x v="93"/>
    <x v="0"/>
    <x v="2"/>
    <n v="3"/>
    <n v="0"/>
    <n v="0"/>
  </r>
  <r>
    <x v="1"/>
    <x v="7"/>
    <x v="93"/>
    <x v="0"/>
    <x v="3"/>
    <n v="4"/>
    <n v="2.88"/>
    <n v="7200"/>
  </r>
  <r>
    <x v="1"/>
    <x v="7"/>
    <x v="93"/>
    <x v="0"/>
    <x v="4"/>
    <n v="5"/>
    <n v="0"/>
    <n v="0"/>
  </r>
  <r>
    <x v="1"/>
    <x v="7"/>
    <x v="93"/>
    <x v="0"/>
    <x v="5"/>
    <n v="6"/>
    <n v="0"/>
    <n v="0"/>
  </r>
  <r>
    <x v="1"/>
    <x v="7"/>
    <x v="93"/>
    <x v="0"/>
    <x v="6"/>
    <n v="7"/>
    <n v="0"/>
    <n v="0"/>
  </r>
  <r>
    <x v="1"/>
    <x v="7"/>
    <x v="94"/>
    <x v="0"/>
    <x v="0"/>
    <n v="1"/>
    <n v="0"/>
    <n v="0"/>
  </r>
  <r>
    <x v="1"/>
    <x v="7"/>
    <x v="94"/>
    <x v="0"/>
    <x v="1"/>
    <n v="2"/>
    <n v="0"/>
    <n v="0"/>
  </r>
  <r>
    <x v="1"/>
    <x v="7"/>
    <x v="94"/>
    <x v="0"/>
    <x v="2"/>
    <n v="3"/>
    <n v="0"/>
    <n v="0"/>
  </r>
  <r>
    <x v="1"/>
    <x v="7"/>
    <x v="94"/>
    <x v="0"/>
    <x v="3"/>
    <n v="4"/>
    <n v="2.16"/>
    <n v="5400"/>
  </r>
  <r>
    <x v="1"/>
    <x v="7"/>
    <x v="94"/>
    <x v="0"/>
    <x v="4"/>
    <n v="5"/>
    <n v="0"/>
    <n v="0"/>
  </r>
  <r>
    <x v="1"/>
    <x v="7"/>
    <x v="94"/>
    <x v="0"/>
    <x v="5"/>
    <n v="6"/>
    <n v="0"/>
    <n v="0"/>
  </r>
  <r>
    <x v="1"/>
    <x v="7"/>
    <x v="94"/>
    <x v="0"/>
    <x v="6"/>
    <n v="7"/>
    <n v="0"/>
    <n v="0"/>
  </r>
  <r>
    <x v="1"/>
    <x v="7"/>
    <x v="95"/>
    <x v="0"/>
    <x v="0"/>
    <n v="1"/>
    <n v="0"/>
    <n v="0"/>
  </r>
  <r>
    <x v="1"/>
    <x v="7"/>
    <x v="95"/>
    <x v="0"/>
    <x v="1"/>
    <n v="2"/>
    <n v="0"/>
    <n v="0"/>
  </r>
  <r>
    <x v="1"/>
    <x v="7"/>
    <x v="95"/>
    <x v="0"/>
    <x v="2"/>
    <n v="3"/>
    <n v="0"/>
    <n v="0"/>
  </r>
  <r>
    <x v="1"/>
    <x v="7"/>
    <x v="95"/>
    <x v="0"/>
    <x v="3"/>
    <n v="4"/>
    <n v="2.16"/>
    <n v="5400"/>
  </r>
  <r>
    <x v="1"/>
    <x v="7"/>
    <x v="95"/>
    <x v="0"/>
    <x v="4"/>
    <n v="5"/>
    <n v="0"/>
    <n v="0"/>
  </r>
  <r>
    <x v="1"/>
    <x v="7"/>
    <x v="95"/>
    <x v="0"/>
    <x v="5"/>
    <n v="6"/>
    <n v="0"/>
    <n v="0"/>
  </r>
  <r>
    <x v="1"/>
    <x v="7"/>
    <x v="95"/>
    <x v="0"/>
    <x v="6"/>
    <n v="7"/>
    <n v="0"/>
    <n v="0"/>
  </r>
  <r>
    <x v="1"/>
    <x v="7"/>
    <x v="96"/>
    <x v="0"/>
    <x v="0"/>
    <n v="1"/>
    <n v="0"/>
    <n v="0"/>
  </r>
  <r>
    <x v="1"/>
    <x v="7"/>
    <x v="96"/>
    <x v="0"/>
    <x v="1"/>
    <n v="2"/>
    <n v="0"/>
    <n v="0"/>
  </r>
  <r>
    <x v="1"/>
    <x v="7"/>
    <x v="96"/>
    <x v="0"/>
    <x v="2"/>
    <n v="3"/>
    <n v="0"/>
    <n v="0"/>
  </r>
  <r>
    <x v="1"/>
    <x v="7"/>
    <x v="96"/>
    <x v="0"/>
    <x v="3"/>
    <n v="4"/>
    <n v="1.44"/>
    <n v="3600"/>
  </r>
  <r>
    <x v="1"/>
    <x v="7"/>
    <x v="96"/>
    <x v="0"/>
    <x v="4"/>
    <n v="5"/>
    <n v="0"/>
    <n v="0"/>
  </r>
  <r>
    <x v="1"/>
    <x v="7"/>
    <x v="96"/>
    <x v="0"/>
    <x v="5"/>
    <n v="6"/>
    <n v="0"/>
    <n v="0"/>
  </r>
  <r>
    <x v="1"/>
    <x v="7"/>
    <x v="96"/>
    <x v="0"/>
    <x v="6"/>
    <n v="7"/>
    <n v="0"/>
    <n v="0"/>
  </r>
  <r>
    <x v="1"/>
    <x v="7"/>
    <x v="97"/>
    <x v="0"/>
    <x v="0"/>
    <n v="1"/>
    <n v="0"/>
    <n v="0"/>
  </r>
  <r>
    <x v="1"/>
    <x v="7"/>
    <x v="97"/>
    <x v="0"/>
    <x v="1"/>
    <n v="2"/>
    <n v="0"/>
    <n v="0"/>
  </r>
  <r>
    <x v="1"/>
    <x v="7"/>
    <x v="97"/>
    <x v="0"/>
    <x v="2"/>
    <n v="3"/>
    <n v="0"/>
    <n v="0"/>
  </r>
  <r>
    <x v="1"/>
    <x v="7"/>
    <x v="97"/>
    <x v="0"/>
    <x v="3"/>
    <n v="4"/>
    <n v="2.16"/>
    <n v="5400"/>
  </r>
  <r>
    <x v="1"/>
    <x v="7"/>
    <x v="97"/>
    <x v="0"/>
    <x v="4"/>
    <n v="5"/>
    <n v="0"/>
    <n v="0"/>
  </r>
  <r>
    <x v="1"/>
    <x v="7"/>
    <x v="97"/>
    <x v="0"/>
    <x v="5"/>
    <n v="6"/>
    <n v="0"/>
    <n v="0"/>
  </r>
  <r>
    <x v="1"/>
    <x v="7"/>
    <x v="97"/>
    <x v="0"/>
    <x v="6"/>
    <n v="7"/>
    <n v="0"/>
    <n v="0"/>
  </r>
  <r>
    <x v="1"/>
    <x v="7"/>
    <x v="62"/>
    <x v="0"/>
    <x v="0"/>
    <n v="1"/>
    <n v="0"/>
    <n v="0"/>
  </r>
  <r>
    <x v="1"/>
    <x v="7"/>
    <x v="62"/>
    <x v="0"/>
    <x v="1"/>
    <n v="2"/>
    <n v="0"/>
    <n v="0"/>
  </r>
  <r>
    <x v="1"/>
    <x v="7"/>
    <x v="62"/>
    <x v="0"/>
    <x v="2"/>
    <n v="3"/>
    <n v="0"/>
    <n v="0"/>
  </r>
  <r>
    <x v="1"/>
    <x v="7"/>
    <x v="62"/>
    <x v="0"/>
    <x v="3"/>
    <n v="4"/>
    <n v="0"/>
    <n v="0"/>
  </r>
  <r>
    <x v="1"/>
    <x v="7"/>
    <x v="62"/>
    <x v="0"/>
    <x v="4"/>
    <n v="5"/>
    <n v="0"/>
    <n v="0"/>
  </r>
  <r>
    <x v="1"/>
    <x v="7"/>
    <x v="62"/>
    <x v="0"/>
    <x v="5"/>
    <n v="6"/>
    <n v="0"/>
    <n v="0"/>
  </r>
  <r>
    <x v="1"/>
    <x v="7"/>
    <x v="62"/>
    <x v="0"/>
    <x v="6"/>
    <n v="7"/>
    <n v="0"/>
    <n v="0"/>
  </r>
  <r>
    <x v="1"/>
    <x v="7"/>
    <x v="98"/>
    <x v="0"/>
    <x v="0"/>
    <n v="1"/>
    <n v="0"/>
    <n v="0"/>
  </r>
  <r>
    <x v="1"/>
    <x v="7"/>
    <x v="98"/>
    <x v="0"/>
    <x v="1"/>
    <n v="2"/>
    <n v="0"/>
    <n v="0"/>
  </r>
  <r>
    <x v="1"/>
    <x v="7"/>
    <x v="98"/>
    <x v="0"/>
    <x v="2"/>
    <n v="3"/>
    <n v="0"/>
    <n v="0"/>
  </r>
  <r>
    <x v="1"/>
    <x v="7"/>
    <x v="98"/>
    <x v="0"/>
    <x v="3"/>
    <n v="4"/>
    <n v="1.44"/>
    <n v="3600"/>
  </r>
  <r>
    <x v="1"/>
    <x v="7"/>
    <x v="98"/>
    <x v="0"/>
    <x v="4"/>
    <n v="5"/>
    <n v="0"/>
    <n v="0"/>
  </r>
  <r>
    <x v="1"/>
    <x v="7"/>
    <x v="98"/>
    <x v="0"/>
    <x v="5"/>
    <n v="6"/>
    <n v="0"/>
    <n v="0"/>
  </r>
  <r>
    <x v="1"/>
    <x v="7"/>
    <x v="98"/>
    <x v="0"/>
    <x v="6"/>
    <n v="7"/>
    <n v="0"/>
    <n v="0"/>
  </r>
  <r>
    <x v="1"/>
    <x v="7"/>
    <x v="99"/>
    <x v="0"/>
    <x v="0"/>
    <n v="1"/>
    <n v="0"/>
    <n v="0"/>
  </r>
  <r>
    <x v="1"/>
    <x v="7"/>
    <x v="99"/>
    <x v="0"/>
    <x v="1"/>
    <n v="2"/>
    <n v="0"/>
    <n v="0"/>
  </r>
  <r>
    <x v="1"/>
    <x v="7"/>
    <x v="99"/>
    <x v="0"/>
    <x v="2"/>
    <n v="3"/>
    <n v="0"/>
    <n v="0"/>
  </r>
  <r>
    <x v="1"/>
    <x v="7"/>
    <x v="99"/>
    <x v="0"/>
    <x v="3"/>
    <n v="4"/>
    <n v="0"/>
    <n v="0"/>
  </r>
  <r>
    <x v="1"/>
    <x v="7"/>
    <x v="99"/>
    <x v="0"/>
    <x v="4"/>
    <n v="5"/>
    <n v="0"/>
    <n v="0"/>
  </r>
  <r>
    <x v="1"/>
    <x v="7"/>
    <x v="99"/>
    <x v="0"/>
    <x v="5"/>
    <n v="6"/>
    <n v="0"/>
    <n v="0"/>
  </r>
  <r>
    <x v="1"/>
    <x v="7"/>
    <x v="99"/>
    <x v="0"/>
    <x v="6"/>
    <n v="7"/>
    <n v="0"/>
    <n v="0"/>
  </r>
  <r>
    <x v="1"/>
    <x v="7"/>
    <x v="100"/>
    <x v="0"/>
    <x v="0"/>
    <n v="1"/>
    <n v="0"/>
    <n v="0"/>
  </r>
  <r>
    <x v="1"/>
    <x v="7"/>
    <x v="100"/>
    <x v="0"/>
    <x v="1"/>
    <n v="2"/>
    <n v="0"/>
    <n v="0"/>
  </r>
  <r>
    <x v="1"/>
    <x v="7"/>
    <x v="100"/>
    <x v="0"/>
    <x v="2"/>
    <n v="3"/>
    <n v="0"/>
    <n v="0"/>
  </r>
  <r>
    <x v="1"/>
    <x v="7"/>
    <x v="100"/>
    <x v="0"/>
    <x v="3"/>
    <n v="4"/>
    <n v="1.44"/>
    <n v="3600"/>
  </r>
  <r>
    <x v="1"/>
    <x v="7"/>
    <x v="100"/>
    <x v="0"/>
    <x v="4"/>
    <n v="5"/>
    <n v="0"/>
    <n v="0"/>
  </r>
  <r>
    <x v="1"/>
    <x v="7"/>
    <x v="100"/>
    <x v="0"/>
    <x v="5"/>
    <n v="6"/>
    <n v="0"/>
    <n v="0"/>
  </r>
  <r>
    <x v="1"/>
    <x v="7"/>
    <x v="100"/>
    <x v="0"/>
    <x v="6"/>
    <n v="7"/>
    <n v="0"/>
    <n v="0"/>
  </r>
  <r>
    <x v="1"/>
    <x v="7"/>
    <x v="101"/>
    <x v="0"/>
    <x v="0"/>
    <n v="1"/>
    <n v="0"/>
    <n v="0"/>
  </r>
  <r>
    <x v="1"/>
    <x v="7"/>
    <x v="101"/>
    <x v="0"/>
    <x v="1"/>
    <n v="2"/>
    <n v="0"/>
    <n v="0"/>
  </r>
  <r>
    <x v="1"/>
    <x v="7"/>
    <x v="101"/>
    <x v="0"/>
    <x v="2"/>
    <n v="3"/>
    <n v="0"/>
    <n v="0"/>
  </r>
  <r>
    <x v="1"/>
    <x v="7"/>
    <x v="101"/>
    <x v="0"/>
    <x v="3"/>
    <n v="4"/>
    <n v="0.72"/>
    <n v="1800"/>
  </r>
  <r>
    <x v="1"/>
    <x v="7"/>
    <x v="101"/>
    <x v="0"/>
    <x v="4"/>
    <n v="5"/>
    <n v="0"/>
    <n v="0"/>
  </r>
  <r>
    <x v="1"/>
    <x v="7"/>
    <x v="101"/>
    <x v="0"/>
    <x v="5"/>
    <n v="6"/>
    <n v="0"/>
    <n v="0"/>
  </r>
  <r>
    <x v="1"/>
    <x v="7"/>
    <x v="101"/>
    <x v="0"/>
    <x v="6"/>
    <n v="7"/>
    <n v="0"/>
    <n v="0"/>
  </r>
  <r>
    <x v="1"/>
    <x v="7"/>
    <x v="102"/>
    <x v="0"/>
    <x v="0"/>
    <n v="1"/>
    <n v="0"/>
    <n v="0"/>
  </r>
  <r>
    <x v="1"/>
    <x v="7"/>
    <x v="102"/>
    <x v="0"/>
    <x v="1"/>
    <n v="2"/>
    <n v="0"/>
    <n v="0"/>
  </r>
  <r>
    <x v="1"/>
    <x v="7"/>
    <x v="102"/>
    <x v="0"/>
    <x v="2"/>
    <n v="3"/>
    <n v="0"/>
    <n v="0"/>
  </r>
  <r>
    <x v="1"/>
    <x v="7"/>
    <x v="102"/>
    <x v="0"/>
    <x v="3"/>
    <n v="4"/>
    <n v="0.72"/>
    <n v="1800"/>
  </r>
  <r>
    <x v="1"/>
    <x v="7"/>
    <x v="102"/>
    <x v="0"/>
    <x v="4"/>
    <n v="5"/>
    <n v="0"/>
    <n v="0"/>
  </r>
  <r>
    <x v="1"/>
    <x v="7"/>
    <x v="102"/>
    <x v="0"/>
    <x v="5"/>
    <n v="6"/>
    <n v="0"/>
    <n v="0"/>
  </r>
  <r>
    <x v="1"/>
    <x v="7"/>
    <x v="102"/>
    <x v="0"/>
    <x v="6"/>
    <n v="7"/>
    <n v="0"/>
    <n v="0"/>
  </r>
  <r>
    <x v="1"/>
    <x v="7"/>
    <x v="103"/>
    <x v="0"/>
    <x v="0"/>
    <n v="1"/>
    <n v="0"/>
    <n v="0"/>
  </r>
  <r>
    <x v="1"/>
    <x v="7"/>
    <x v="103"/>
    <x v="0"/>
    <x v="1"/>
    <n v="2"/>
    <n v="0"/>
    <n v="0"/>
  </r>
  <r>
    <x v="1"/>
    <x v="7"/>
    <x v="103"/>
    <x v="0"/>
    <x v="2"/>
    <n v="3"/>
    <n v="0"/>
    <n v="0"/>
  </r>
  <r>
    <x v="1"/>
    <x v="7"/>
    <x v="103"/>
    <x v="0"/>
    <x v="3"/>
    <n v="4"/>
    <n v="0.72"/>
    <n v="1800"/>
  </r>
  <r>
    <x v="1"/>
    <x v="7"/>
    <x v="103"/>
    <x v="0"/>
    <x v="4"/>
    <n v="5"/>
    <n v="0"/>
    <n v="0"/>
  </r>
  <r>
    <x v="1"/>
    <x v="7"/>
    <x v="103"/>
    <x v="0"/>
    <x v="5"/>
    <n v="6"/>
    <n v="0"/>
    <n v="0"/>
  </r>
  <r>
    <x v="1"/>
    <x v="7"/>
    <x v="103"/>
    <x v="0"/>
    <x v="6"/>
    <n v="7"/>
    <n v="0"/>
    <n v="0"/>
  </r>
  <r>
    <x v="1"/>
    <x v="7"/>
    <x v="104"/>
    <x v="0"/>
    <x v="0"/>
    <n v="1"/>
    <n v="0"/>
    <n v="0"/>
  </r>
  <r>
    <x v="1"/>
    <x v="7"/>
    <x v="104"/>
    <x v="0"/>
    <x v="1"/>
    <n v="2"/>
    <n v="0"/>
    <n v="0"/>
  </r>
  <r>
    <x v="1"/>
    <x v="7"/>
    <x v="104"/>
    <x v="0"/>
    <x v="2"/>
    <n v="3"/>
    <n v="0"/>
    <n v="0"/>
  </r>
  <r>
    <x v="1"/>
    <x v="7"/>
    <x v="104"/>
    <x v="0"/>
    <x v="3"/>
    <n v="4"/>
    <n v="4.32"/>
    <n v="10800"/>
  </r>
  <r>
    <x v="1"/>
    <x v="7"/>
    <x v="104"/>
    <x v="0"/>
    <x v="4"/>
    <n v="5"/>
    <n v="0"/>
    <n v="0"/>
  </r>
  <r>
    <x v="1"/>
    <x v="7"/>
    <x v="104"/>
    <x v="0"/>
    <x v="5"/>
    <n v="6"/>
    <n v="0"/>
    <n v="0"/>
  </r>
  <r>
    <x v="1"/>
    <x v="7"/>
    <x v="104"/>
    <x v="0"/>
    <x v="6"/>
    <n v="7"/>
    <n v="0"/>
    <n v="0"/>
  </r>
  <r>
    <x v="1"/>
    <x v="7"/>
    <x v="105"/>
    <x v="0"/>
    <x v="0"/>
    <n v="1"/>
    <n v="0"/>
    <n v="0"/>
  </r>
  <r>
    <x v="1"/>
    <x v="7"/>
    <x v="105"/>
    <x v="0"/>
    <x v="1"/>
    <n v="2"/>
    <n v="0"/>
    <n v="0"/>
  </r>
  <r>
    <x v="1"/>
    <x v="7"/>
    <x v="105"/>
    <x v="0"/>
    <x v="2"/>
    <n v="3"/>
    <n v="0"/>
    <n v="0"/>
  </r>
  <r>
    <x v="1"/>
    <x v="7"/>
    <x v="105"/>
    <x v="0"/>
    <x v="3"/>
    <n v="4"/>
    <n v="0"/>
    <n v="0"/>
  </r>
  <r>
    <x v="1"/>
    <x v="7"/>
    <x v="105"/>
    <x v="0"/>
    <x v="4"/>
    <n v="5"/>
    <n v="0"/>
    <n v="0"/>
  </r>
  <r>
    <x v="1"/>
    <x v="7"/>
    <x v="105"/>
    <x v="0"/>
    <x v="5"/>
    <n v="6"/>
    <n v="0"/>
    <n v="0"/>
  </r>
  <r>
    <x v="1"/>
    <x v="7"/>
    <x v="105"/>
    <x v="0"/>
    <x v="6"/>
    <n v="7"/>
    <n v="0"/>
    <n v="0"/>
  </r>
  <r>
    <x v="1"/>
    <x v="7"/>
    <x v="106"/>
    <x v="0"/>
    <x v="0"/>
    <n v="1"/>
    <n v="0"/>
    <n v="0"/>
  </r>
  <r>
    <x v="1"/>
    <x v="7"/>
    <x v="106"/>
    <x v="0"/>
    <x v="1"/>
    <n v="2"/>
    <n v="0"/>
    <n v="0"/>
  </r>
  <r>
    <x v="1"/>
    <x v="7"/>
    <x v="106"/>
    <x v="0"/>
    <x v="2"/>
    <n v="3"/>
    <n v="0"/>
    <n v="0"/>
  </r>
  <r>
    <x v="1"/>
    <x v="7"/>
    <x v="106"/>
    <x v="0"/>
    <x v="3"/>
    <n v="4"/>
    <n v="0"/>
    <n v="0"/>
  </r>
  <r>
    <x v="1"/>
    <x v="7"/>
    <x v="106"/>
    <x v="0"/>
    <x v="4"/>
    <n v="5"/>
    <n v="0"/>
    <n v="0"/>
  </r>
  <r>
    <x v="1"/>
    <x v="7"/>
    <x v="106"/>
    <x v="0"/>
    <x v="5"/>
    <n v="6"/>
    <n v="0"/>
    <n v="0"/>
  </r>
  <r>
    <x v="1"/>
    <x v="7"/>
    <x v="106"/>
    <x v="0"/>
    <x v="6"/>
    <n v="7"/>
    <n v="0"/>
    <n v="0"/>
  </r>
  <r>
    <x v="1"/>
    <x v="7"/>
    <x v="107"/>
    <x v="0"/>
    <x v="0"/>
    <n v="1"/>
    <n v="0"/>
    <n v="0"/>
  </r>
  <r>
    <x v="1"/>
    <x v="7"/>
    <x v="107"/>
    <x v="0"/>
    <x v="1"/>
    <n v="2"/>
    <n v="0"/>
    <n v="0"/>
  </r>
  <r>
    <x v="1"/>
    <x v="7"/>
    <x v="107"/>
    <x v="0"/>
    <x v="2"/>
    <n v="3"/>
    <n v="0"/>
    <n v="0"/>
  </r>
  <r>
    <x v="1"/>
    <x v="7"/>
    <x v="107"/>
    <x v="0"/>
    <x v="3"/>
    <n v="4"/>
    <n v="5.04"/>
    <n v="12600"/>
  </r>
  <r>
    <x v="1"/>
    <x v="7"/>
    <x v="107"/>
    <x v="0"/>
    <x v="4"/>
    <n v="5"/>
    <n v="0"/>
    <n v="0"/>
  </r>
  <r>
    <x v="1"/>
    <x v="7"/>
    <x v="107"/>
    <x v="0"/>
    <x v="5"/>
    <n v="6"/>
    <n v="0"/>
    <n v="0"/>
  </r>
  <r>
    <x v="1"/>
    <x v="7"/>
    <x v="107"/>
    <x v="0"/>
    <x v="6"/>
    <n v="7"/>
    <n v="0"/>
    <n v="0"/>
  </r>
  <r>
    <x v="1"/>
    <x v="7"/>
    <x v="108"/>
    <x v="0"/>
    <x v="0"/>
    <n v="1"/>
    <n v="0"/>
    <n v="0"/>
  </r>
  <r>
    <x v="1"/>
    <x v="7"/>
    <x v="108"/>
    <x v="0"/>
    <x v="1"/>
    <n v="2"/>
    <n v="0"/>
    <n v="0"/>
  </r>
  <r>
    <x v="1"/>
    <x v="7"/>
    <x v="108"/>
    <x v="0"/>
    <x v="2"/>
    <n v="3"/>
    <n v="0"/>
    <n v="0"/>
  </r>
  <r>
    <x v="1"/>
    <x v="7"/>
    <x v="108"/>
    <x v="0"/>
    <x v="3"/>
    <n v="4"/>
    <n v="0"/>
    <n v="0"/>
  </r>
  <r>
    <x v="1"/>
    <x v="7"/>
    <x v="108"/>
    <x v="0"/>
    <x v="4"/>
    <n v="5"/>
    <n v="0"/>
    <n v="0"/>
  </r>
  <r>
    <x v="1"/>
    <x v="7"/>
    <x v="108"/>
    <x v="0"/>
    <x v="5"/>
    <n v="6"/>
    <n v="0"/>
    <n v="0"/>
  </r>
  <r>
    <x v="1"/>
    <x v="7"/>
    <x v="108"/>
    <x v="0"/>
    <x v="6"/>
    <n v="7"/>
    <n v="0"/>
    <n v="0"/>
  </r>
  <r>
    <x v="1"/>
    <x v="7"/>
    <x v="109"/>
    <x v="0"/>
    <x v="0"/>
    <n v="1"/>
    <n v="0"/>
    <n v="0"/>
  </r>
  <r>
    <x v="1"/>
    <x v="7"/>
    <x v="109"/>
    <x v="0"/>
    <x v="1"/>
    <n v="2"/>
    <n v="0"/>
    <n v="0"/>
  </r>
  <r>
    <x v="1"/>
    <x v="7"/>
    <x v="109"/>
    <x v="0"/>
    <x v="2"/>
    <n v="3"/>
    <n v="0"/>
    <n v="0"/>
  </r>
  <r>
    <x v="1"/>
    <x v="7"/>
    <x v="109"/>
    <x v="0"/>
    <x v="3"/>
    <n v="4"/>
    <n v="0"/>
    <n v="0"/>
  </r>
  <r>
    <x v="1"/>
    <x v="7"/>
    <x v="109"/>
    <x v="0"/>
    <x v="4"/>
    <n v="5"/>
    <n v="0"/>
    <n v="0"/>
  </r>
  <r>
    <x v="1"/>
    <x v="7"/>
    <x v="109"/>
    <x v="0"/>
    <x v="5"/>
    <n v="6"/>
    <n v="0"/>
    <n v="0"/>
  </r>
  <r>
    <x v="1"/>
    <x v="7"/>
    <x v="109"/>
    <x v="0"/>
    <x v="6"/>
    <n v="7"/>
    <n v="0"/>
    <n v="0"/>
  </r>
  <r>
    <x v="1"/>
    <x v="7"/>
    <x v="110"/>
    <x v="0"/>
    <x v="0"/>
    <n v="1"/>
    <n v="0"/>
    <n v="0"/>
  </r>
  <r>
    <x v="1"/>
    <x v="7"/>
    <x v="110"/>
    <x v="0"/>
    <x v="1"/>
    <n v="2"/>
    <n v="0"/>
    <n v="0"/>
  </r>
  <r>
    <x v="1"/>
    <x v="7"/>
    <x v="110"/>
    <x v="0"/>
    <x v="2"/>
    <n v="3"/>
    <n v="0"/>
    <n v="0"/>
  </r>
  <r>
    <x v="1"/>
    <x v="7"/>
    <x v="110"/>
    <x v="0"/>
    <x v="3"/>
    <n v="4"/>
    <n v="0.72"/>
    <n v="1800"/>
  </r>
  <r>
    <x v="1"/>
    <x v="7"/>
    <x v="110"/>
    <x v="0"/>
    <x v="4"/>
    <n v="5"/>
    <n v="0"/>
    <n v="0"/>
  </r>
  <r>
    <x v="1"/>
    <x v="7"/>
    <x v="110"/>
    <x v="0"/>
    <x v="5"/>
    <n v="6"/>
    <n v="0"/>
    <n v="0"/>
  </r>
  <r>
    <x v="1"/>
    <x v="7"/>
    <x v="110"/>
    <x v="0"/>
    <x v="6"/>
    <n v="7"/>
    <n v="0"/>
    <n v="0"/>
  </r>
  <r>
    <x v="1"/>
    <x v="7"/>
    <x v="111"/>
    <x v="0"/>
    <x v="0"/>
    <n v="1"/>
    <n v="0"/>
    <n v="0"/>
  </r>
  <r>
    <x v="1"/>
    <x v="7"/>
    <x v="111"/>
    <x v="0"/>
    <x v="1"/>
    <n v="2"/>
    <n v="0"/>
    <n v="0"/>
  </r>
  <r>
    <x v="1"/>
    <x v="7"/>
    <x v="111"/>
    <x v="0"/>
    <x v="2"/>
    <n v="3"/>
    <n v="0"/>
    <n v="0"/>
  </r>
  <r>
    <x v="1"/>
    <x v="7"/>
    <x v="111"/>
    <x v="0"/>
    <x v="3"/>
    <n v="4"/>
    <n v="0"/>
    <n v="0"/>
  </r>
  <r>
    <x v="1"/>
    <x v="7"/>
    <x v="111"/>
    <x v="0"/>
    <x v="4"/>
    <n v="5"/>
    <n v="0"/>
    <n v="0"/>
  </r>
  <r>
    <x v="1"/>
    <x v="7"/>
    <x v="111"/>
    <x v="0"/>
    <x v="5"/>
    <n v="6"/>
    <n v="0"/>
    <n v="0"/>
  </r>
  <r>
    <x v="1"/>
    <x v="7"/>
    <x v="111"/>
    <x v="0"/>
    <x v="6"/>
    <n v="7"/>
    <n v="0"/>
    <n v="0"/>
  </r>
  <r>
    <x v="1"/>
    <x v="7"/>
    <x v="112"/>
    <x v="0"/>
    <x v="0"/>
    <n v="1"/>
    <n v="0"/>
    <n v="0"/>
  </r>
  <r>
    <x v="1"/>
    <x v="7"/>
    <x v="112"/>
    <x v="0"/>
    <x v="1"/>
    <n v="2"/>
    <n v="0"/>
    <n v="0"/>
  </r>
  <r>
    <x v="1"/>
    <x v="7"/>
    <x v="112"/>
    <x v="0"/>
    <x v="2"/>
    <n v="3"/>
    <n v="0"/>
    <n v="0"/>
  </r>
  <r>
    <x v="1"/>
    <x v="7"/>
    <x v="112"/>
    <x v="0"/>
    <x v="3"/>
    <n v="4"/>
    <n v="0"/>
    <n v="0"/>
  </r>
  <r>
    <x v="1"/>
    <x v="7"/>
    <x v="112"/>
    <x v="0"/>
    <x v="4"/>
    <n v="5"/>
    <n v="0"/>
    <n v="0"/>
  </r>
  <r>
    <x v="1"/>
    <x v="7"/>
    <x v="112"/>
    <x v="0"/>
    <x v="5"/>
    <n v="6"/>
    <n v="0"/>
    <n v="0"/>
  </r>
  <r>
    <x v="1"/>
    <x v="7"/>
    <x v="112"/>
    <x v="0"/>
    <x v="6"/>
    <n v="7"/>
    <n v="0"/>
    <n v="0"/>
  </r>
  <r>
    <x v="1"/>
    <x v="7"/>
    <x v="113"/>
    <x v="0"/>
    <x v="0"/>
    <n v="1"/>
    <n v="0"/>
    <n v="0"/>
  </r>
  <r>
    <x v="1"/>
    <x v="7"/>
    <x v="113"/>
    <x v="0"/>
    <x v="1"/>
    <n v="2"/>
    <n v="0"/>
    <n v="0"/>
  </r>
  <r>
    <x v="1"/>
    <x v="7"/>
    <x v="113"/>
    <x v="0"/>
    <x v="2"/>
    <n v="3"/>
    <n v="0"/>
    <n v="0"/>
  </r>
  <r>
    <x v="1"/>
    <x v="7"/>
    <x v="113"/>
    <x v="0"/>
    <x v="3"/>
    <n v="4"/>
    <n v="2.88"/>
    <n v="7200"/>
  </r>
  <r>
    <x v="1"/>
    <x v="7"/>
    <x v="113"/>
    <x v="0"/>
    <x v="4"/>
    <n v="5"/>
    <n v="0"/>
    <n v="0"/>
  </r>
  <r>
    <x v="1"/>
    <x v="7"/>
    <x v="113"/>
    <x v="0"/>
    <x v="5"/>
    <n v="6"/>
    <n v="0"/>
    <n v="0"/>
  </r>
  <r>
    <x v="1"/>
    <x v="7"/>
    <x v="113"/>
    <x v="0"/>
    <x v="6"/>
    <n v="7"/>
    <n v="0"/>
    <n v="0"/>
  </r>
  <r>
    <x v="1"/>
    <x v="7"/>
    <x v="114"/>
    <x v="0"/>
    <x v="0"/>
    <n v="1"/>
    <n v="0"/>
    <n v="0"/>
  </r>
  <r>
    <x v="1"/>
    <x v="7"/>
    <x v="114"/>
    <x v="0"/>
    <x v="1"/>
    <n v="2"/>
    <n v="0"/>
    <n v="0"/>
  </r>
  <r>
    <x v="1"/>
    <x v="7"/>
    <x v="114"/>
    <x v="0"/>
    <x v="2"/>
    <n v="3"/>
    <n v="0"/>
    <n v="0"/>
  </r>
  <r>
    <x v="1"/>
    <x v="7"/>
    <x v="114"/>
    <x v="0"/>
    <x v="3"/>
    <n v="4"/>
    <n v="0.72"/>
    <n v="1800"/>
  </r>
  <r>
    <x v="1"/>
    <x v="7"/>
    <x v="114"/>
    <x v="0"/>
    <x v="4"/>
    <n v="5"/>
    <n v="0"/>
    <n v="0"/>
  </r>
  <r>
    <x v="1"/>
    <x v="7"/>
    <x v="114"/>
    <x v="0"/>
    <x v="5"/>
    <n v="6"/>
    <n v="0"/>
    <n v="0"/>
  </r>
  <r>
    <x v="1"/>
    <x v="7"/>
    <x v="114"/>
    <x v="0"/>
    <x v="6"/>
    <n v="7"/>
    <n v="0"/>
    <n v="0"/>
  </r>
  <r>
    <x v="1"/>
    <x v="7"/>
    <x v="115"/>
    <x v="0"/>
    <x v="0"/>
    <n v="1"/>
    <n v="0"/>
    <n v="0"/>
  </r>
  <r>
    <x v="1"/>
    <x v="7"/>
    <x v="115"/>
    <x v="0"/>
    <x v="1"/>
    <n v="2"/>
    <n v="0"/>
    <n v="0"/>
  </r>
  <r>
    <x v="1"/>
    <x v="7"/>
    <x v="115"/>
    <x v="0"/>
    <x v="2"/>
    <n v="3"/>
    <n v="0"/>
    <n v="0"/>
  </r>
  <r>
    <x v="1"/>
    <x v="7"/>
    <x v="115"/>
    <x v="0"/>
    <x v="3"/>
    <n v="4"/>
    <n v="0"/>
    <n v="0"/>
  </r>
  <r>
    <x v="1"/>
    <x v="7"/>
    <x v="115"/>
    <x v="0"/>
    <x v="4"/>
    <n v="5"/>
    <n v="0"/>
    <n v="0"/>
  </r>
  <r>
    <x v="1"/>
    <x v="7"/>
    <x v="115"/>
    <x v="0"/>
    <x v="5"/>
    <n v="6"/>
    <n v="0"/>
    <n v="0"/>
  </r>
  <r>
    <x v="1"/>
    <x v="7"/>
    <x v="115"/>
    <x v="0"/>
    <x v="6"/>
    <n v="7"/>
    <n v="0"/>
    <n v="0"/>
  </r>
  <r>
    <x v="1"/>
    <x v="7"/>
    <x v="116"/>
    <x v="0"/>
    <x v="0"/>
    <n v="1"/>
    <n v="0"/>
    <n v="0"/>
  </r>
  <r>
    <x v="1"/>
    <x v="7"/>
    <x v="116"/>
    <x v="0"/>
    <x v="1"/>
    <n v="2"/>
    <n v="0"/>
    <n v="0"/>
  </r>
  <r>
    <x v="1"/>
    <x v="7"/>
    <x v="116"/>
    <x v="0"/>
    <x v="2"/>
    <n v="3"/>
    <n v="0"/>
    <n v="0"/>
  </r>
  <r>
    <x v="1"/>
    <x v="7"/>
    <x v="116"/>
    <x v="0"/>
    <x v="3"/>
    <n v="4"/>
    <n v="0"/>
    <n v="0"/>
  </r>
  <r>
    <x v="1"/>
    <x v="7"/>
    <x v="116"/>
    <x v="0"/>
    <x v="4"/>
    <n v="5"/>
    <n v="0"/>
    <n v="0"/>
  </r>
  <r>
    <x v="1"/>
    <x v="7"/>
    <x v="116"/>
    <x v="0"/>
    <x v="5"/>
    <n v="6"/>
    <n v="0"/>
    <n v="0"/>
  </r>
  <r>
    <x v="1"/>
    <x v="7"/>
    <x v="116"/>
    <x v="0"/>
    <x v="6"/>
    <n v="7"/>
    <n v="0"/>
    <n v="0"/>
  </r>
  <r>
    <x v="1"/>
    <x v="7"/>
    <x v="117"/>
    <x v="0"/>
    <x v="0"/>
    <n v="1"/>
    <n v="0"/>
    <n v="0"/>
  </r>
  <r>
    <x v="1"/>
    <x v="7"/>
    <x v="117"/>
    <x v="0"/>
    <x v="1"/>
    <n v="2"/>
    <n v="0"/>
    <n v="0"/>
  </r>
  <r>
    <x v="1"/>
    <x v="7"/>
    <x v="117"/>
    <x v="0"/>
    <x v="2"/>
    <n v="3"/>
    <n v="0"/>
    <n v="0"/>
  </r>
  <r>
    <x v="1"/>
    <x v="7"/>
    <x v="117"/>
    <x v="0"/>
    <x v="3"/>
    <n v="4"/>
    <n v="0"/>
    <n v="0"/>
  </r>
  <r>
    <x v="1"/>
    <x v="7"/>
    <x v="117"/>
    <x v="0"/>
    <x v="4"/>
    <n v="5"/>
    <n v="0"/>
    <n v="0"/>
  </r>
  <r>
    <x v="1"/>
    <x v="7"/>
    <x v="117"/>
    <x v="0"/>
    <x v="5"/>
    <n v="6"/>
    <n v="0"/>
    <n v="0"/>
  </r>
  <r>
    <x v="1"/>
    <x v="7"/>
    <x v="117"/>
    <x v="0"/>
    <x v="6"/>
    <n v="7"/>
    <n v="0"/>
    <n v="0"/>
  </r>
  <r>
    <x v="1"/>
    <x v="7"/>
    <x v="118"/>
    <x v="0"/>
    <x v="0"/>
    <n v="1"/>
    <n v="0"/>
    <n v="0"/>
  </r>
  <r>
    <x v="1"/>
    <x v="7"/>
    <x v="118"/>
    <x v="0"/>
    <x v="1"/>
    <n v="2"/>
    <n v="0"/>
    <n v="0"/>
  </r>
  <r>
    <x v="1"/>
    <x v="7"/>
    <x v="118"/>
    <x v="0"/>
    <x v="2"/>
    <n v="3"/>
    <n v="0"/>
    <n v="0"/>
  </r>
  <r>
    <x v="1"/>
    <x v="7"/>
    <x v="118"/>
    <x v="0"/>
    <x v="3"/>
    <n v="4"/>
    <n v="0.72"/>
    <n v="1800"/>
  </r>
  <r>
    <x v="1"/>
    <x v="7"/>
    <x v="118"/>
    <x v="0"/>
    <x v="4"/>
    <n v="5"/>
    <n v="0"/>
    <n v="0"/>
  </r>
  <r>
    <x v="1"/>
    <x v="7"/>
    <x v="118"/>
    <x v="0"/>
    <x v="5"/>
    <n v="6"/>
    <n v="0"/>
    <n v="0"/>
  </r>
  <r>
    <x v="1"/>
    <x v="7"/>
    <x v="118"/>
    <x v="0"/>
    <x v="6"/>
    <n v="7"/>
    <n v="0"/>
    <n v="0"/>
  </r>
  <r>
    <x v="1"/>
    <x v="7"/>
    <x v="119"/>
    <x v="0"/>
    <x v="0"/>
    <n v="1"/>
    <n v="0"/>
    <n v="0"/>
  </r>
  <r>
    <x v="1"/>
    <x v="7"/>
    <x v="119"/>
    <x v="0"/>
    <x v="1"/>
    <n v="2"/>
    <n v="0"/>
    <n v="0"/>
  </r>
  <r>
    <x v="1"/>
    <x v="7"/>
    <x v="119"/>
    <x v="0"/>
    <x v="2"/>
    <n v="3"/>
    <n v="0"/>
    <n v="0"/>
  </r>
  <r>
    <x v="1"/>
    <x v="7"/>
    <x v="119"/>
    <x v="0"/>
    <x v="3"/>
    <n v="4"/>
    <n v="4.32"/>
    <n v="10800"/>
  </r>
  <r>
    <x v="1"/>
    <x v="7"/>
    <x v="119"/>
    <x v="0"/>
    <x v="4"/>
    <n v="5"/>
    <n v="0"/>
    <n v="0"/>
  </r>
  <r>
    <x v="1"/>
    <x v="7"/>
    <x v="119"/>
    <x v="0"/>
    <x v="5"/>
    <n v="6"/>
    <n v="0"/>
    <n v="0"/>
  </r>
  <r>
    <x v="1"/>
    <x v="7"/>
    <x v="119"/>
    <x v="0"/>
    <x v="6"/>
    <n v="7"/>
    <n v="0"/>
    <n v="0"/>
  </r>
  <r>
    <x v="1"/>
    <x v="7"/>
    <x v="120"/>
    <x v="0"/>
    <x v="0"/>
    <n v="1"/>
    <n v="0"/>
    <n v="0"/>
  </r>
  <r>
    <x v="1"/>
    <x v="7"/>
    <x v="120"/>
    <x v="0"/>
    <x v="1"/>
    <n v="2"/>
    <n v="0"/>
    <n v="0"/>
  </r>
  <r>
    <x v="1"/>
    <x v="7"/>
    <x v="120"/>
    <x v="0"/>
    <x v="2"/>
    <n v="3"/>
    <n v="0"/>
    <n v="0"/>
  </r>
  <r>
    <x v="1"/>
    <x v="7"/>
    <x v="120"/>
    <x v="0"/>
    <x v="3"/>
    <n v="4"/>
    <n v="0.72"/>
    <n v="1800"/>
  </r>
  <r>
    <x v="1"/>
    <x v="7"/>
    <x v="120"/>
    <x v="0"/>
    <x v="4"/>
    <n v="5"/>
    <n v="0"/>
    <n v="0"/>
  </r>
  <r>
    <x v="1"/>
    <x v="7"/>
    <x v="120"/>
    <x v="0"/>
    <x v="5"/>
    <n v="6"/>
    <n v="0"/>
    <n v="0"/>
  </r>
  <r>
    <x v="1"/>
    <x v="7"/>
    <x v="120"/>
    <x v="0"/>
    <x v="6"/>
    <n v="7"/>
    <n v="0"/>
    <n v="0"/>
  </r>
  <r>
    <x v="1"/>
    <x v="7"/>
    <x v="121"/>
    <x v="0"/>
    <x v="0"/>
    <n v="1"/>
    <n v="0"/>
    <n v="0"/>
  </r>
  <r>
    <x v="1"/>
    <x v="7"/>
    <x v="121"/>
    <x v="0"/>
    <x v="1"/>
    <n v="2"/>
    <n v="0"/>
    <n v="0"/>
  </r>
  <r>
    <x v="1"/>
    <x v="7"/>
    <x v="121"/>
    <x v="0"/>
    <x v="2"/>
    <n v="3"/>
    <n v="0"/>
    <n v="0"/>
  </r>
  <r>
    <x v="1"/>
    <x v="7"/>
    <x v="121"/>
    <x v="0"/>
    <x v="3"/>
    <n v="4"/>
    <n v="2.16"/>
    <n v="5400"/>
  </r>
  <r>
    <x v="1"/>
    <x v="7"/>
    <x v="121"/>
    <x v="0"/>
    <x v="4"/>
    <n v="5"/>
    <n v="0"/>
    <n v="0"/>
  </r>
  <r>
    <x v="1"/>
    <x v="7"/>
    <x v="121"/>
    <x v="0"/>
    <x v="5"/>
    <n v="6"/>
    <n v="0"/>
    <n v="0"/>
  </r>
  <r>
    <x v="1"/>
    <x v="7"/>
    <x v="121"/>
    <x v="0"/>
    <x v="6"/>
    <n v="7"/>
    <n v="0"/>
    <n v="0"/>
  </r>
  <r>
    <x v="1"/>
    <x v="8"/>
    <x v="122"/>
    <x v="0"/>
    <x v="0"/>
    <n v="1"/>
    <n v="0"/>
    <n v="0"/>
  </r>
  <r>
    <x v="1"/>
    <x v="8"/>
    <x v="122"/>
    <x v="0"/>
    <x v="1"/>
    <n v="2"/>
    <n v="0"/>
    <n v="0"/>
  </r>
  <r>
    <x v="1"/>
    <x v="8"/>
    <x v="122"/>
    <x v="0"/>
    <x v="2"/>
    <n v="3"/>
    <n v="0"/>
    <n v="0"/>
  </r>
  <r>
    <x v="1"/>
    <x v="8"/>
    <x v="122"/>
    <x v="0"/>
    <x v="3"/>
    <n v="4"/>
    <n v="13.68"/>
    <n v="34200"/>
  </r>
  <r>
    <x v="1"/>
    <x v="8"/>
    <x v="122"/>
    <x v="0"/>
    <x v="4"/>
    <n v="5"/>
    <n v="0"/>
    <n v="0"/>
  </r>
  <r>
    <x v="1"/>
    <x v="8"/>
    <x v="122"/>
    <x v="0"/>
    <x v="5"/>
    <n v="6"/>
    <n v="0"/>
    <n v="0"/>
  </r>
  <r>
    <x v="1"/>
    <x v="8"/>
    <x v="122"/>
    <x v="0"/>
    <x v="6"/>
    <n v="7"/>
    <n v="0"/>
    <n v="0"/>
  </r>
  <r>
    <x v="1"/>
    <x v="8"/>
    <x v="123"/>
    <x v="0"/>
    <x v="0"/>
    <n v="1"/>
    <n v="0"/>
    <n v="0"/>
  </r>
  <r>
    <x v="1"/>
    <x v="8"/>
    <x v="123"/>
    <x v="0"/>
    <x v="1"/>
    <n v="2"/>
    <n v="0"/>
    <n v="0"/>
  </r>
  <r>
    <x v="1"/>
    <x v="8"/>
    <x v="123"/>
    <x v="0"/>
    <x v="2"/>
    <n v="3"/>
    <n v="0"/>
    <n v="0"/>
  </r>
  <r>
    <x v="1"/>
    <x v="8"/>
    <x v="123"/>
    <x v="0"/>
    <x v="3"/>
    <n v="4"/>
    <n v="19.440000000000001"/>
    <n v="48600"/>
  </r>
  <r>
    <x v="1"/>
    <x v="8"/>
    <x v="123"/>
    <x v="0"/>
    <x v="4"/>
    <n v="5"/>
    <n v="0"/>
    <n v="0"/>
  </r>
  <r>
    <x v="1"/>
    <x v="8"/>
    <x v="123"/>
    <x v="0"/>
    <x v="5"/>
    <n v="6"/>
    <n v="0"/>
    <n v="0"/>
  </r>
  <r>
    <x v="1"/>
    <x v="8"/>
    <x v="123"/>
    <x v="0"/>
    <x v="6"/>
    <n v="7"/>
    <n v="0"/>
    <n v="0"/>
  </r>
  <r>
    <x v="1"/>
    <x v="8"/>
    <x v="124"/>
    <x v="0"/>
    <x v="0"/>
    <n v="1"/>
    <n v="0"/>
    <n v="0"/>
  </r>
  <r>
    <x v="1"/>
    <x v="8"/>
    <x v="124"/>
    <x v="0"/>
    <x v="1"/>
    <n v="2"/>
    <n v="0"/>
    <n v="0"/>
  </r>
  <r>
    <x v="1"/>
    <x v="8"/>
    <x v="124"/>
    <x v="0"/>
    <x v="2"/>
    <n v="3"/>
    <n v="0"/>
    <n v="0"/>
  </r>
  <r>
    <x v="1"/>
    <x v="8"/>
    <x v="124"/>
    <x v="0"/>
    <x v="3"/>
    <n v="4"/>
    <n v="9.36"/>
    <n v="23400"/>
  </r>
  <r>
    <x v="1"/>
    <x v="8"/>
    <x v="124"/>
    <x v="0"/>
    <x v="4"/>
    <n v="5"/>
    <n v="0"/>
    <n v="0"/>
  </r>
  <r>
    <x v="1"/>
    <x v="8"/>
    <x v="124"/>
    <x v="0"/>
    <x v="5"/>
    <n v="6"/>
    <n v="0"/>
    <n v="0"/>
  </r>
  <r>
    <x v="1"/>
    <x v="8"/>
    <x v="124"/>
    <x v="0"/>
    <x v="6"/>
    <n v="7"/>
    <n v="0"/>
    <n v="0"/>
  </r>
  <r>
    <x v="1"/>
    <x v="8"/>
    <x v="125"/>
    <x v="0"/>
    <x v="0"/>
    <n v="1"/>
    <n v="0"/>
    <n v="0"/>
  </r>
  <r>
    <x v="1"/>
    <x v="8"/>
    <x v="125"/>
    <x v="0"/>
    <x v="1"/>
    <n v="2"/>
    <n v="0"/>
    <n v="0"/>
  </r>
  <r>
    <x v="1"/>
    <x v="8"/>
    <x v="125"/>
    <x v="0"/>
    <x v="2"/>
    <n v="3"/>
    <n v="0"/>
    <n v="0"/>
  </r>
  <r>
    <x v="1"/>
    <x v="8"/>
    <x v="125"/>
    <x v="0"/>
    <x v="3"/>
    <n v="4"/>
    <n v="9.36"/>
    <n v="23400"/>
  </r>
  <r>
    <x v="1"/>
    <x v="8"/>
    <x v="125"/>
    <x v="0"/>
    <x v="4"/>
    <n v="5"/>
    <n v="0"/>
    <n v="0"/>
  </r>
  <r>
    <x v="1"/>
    <x v="8"/>
    <x v="125"/>
    <x v="0"/>
    <x v="5"/>
    <n v="6"/>
    <n v="0"/>
    <n v="0"/>
  </r>
  <r>
    <x v="1"/>
    <x v="8"/>
    <x v="125"/>
    <x v="0"/>
    <x v="6"/>
    <n v="7"/>
    <n v="0"/>
    <n v="0"/>
  </r>
  <r>
    <x v="1"/>
    <x v="8"/>
    <x v="126"/>
    <x v="0"/>
    <x v="0"/>
    <n v="1"/>
    <n v="0"/>
    <n v="0"/>
  </r>
  <r>
    <x v="1"/>
    <x v="8"/>
    <x v="126"/>
    <x v="0"/>
    <x v="1"/>
    <n v="2"/>
    <n v="0"/>
    <n v="0"/>
  </r>
  <r>
    <x v="1"/>
    <x v="8"/>
    <x v="126"/>
    <x v="0"/>
    <x v="2"/>
    <n v="3"/>
    <n v="0"/>
    <n v="0"/>
  </r>
  <r>
    <x v="1"/>
    <x v="8"/>
    <x v="126"/>
    <x v="0"/>
    <x v="3"/>
    <n v="4"/>
    <n v="5.76"/>
    <n v="14400"/>
  </r>
  <r>
    <x v="1"/>
    <x v="8"/>
    <x v="126"/>
    <x v="0"/>
    <x v="4"/>
    <n v="5"/>
    <n v="0"/>
    <n v="0"/>
  </r>
  <r>
    <x v="1"/>
    <x v="8"/>
    <x v="126"/>
    <x v="0"/>
    <x v="5"/>
    <n v="6"/>
    <n v="0"/>
    <n v="0"/>
  </r>
  <r>
    <x v="1"/>
    <x v="8"/>
    <x v="126"/>
    <x v="0"/>
    <x v="6"/>
    <n v="7"/>
    <n v="0"/>
    <n v="0"/>
  </r>
  <r>
    <x v="1"/>
    <x v="9"/>
    <x v="127"/>
    <x v="0"/>
    <x v="0"/>
    <n v="1"/>
    <n v="0"/>
    <n v="0"/>
  </r>
  <r>
    <x v="1"/>
    <x v="9"/>
    <x v="127"/>
    <x v="0"/>
    <x v="1"/>
    <n v="2"/>
    <n v="0"/>
    <n v="0"/>
  </r>
  <r>
    <x v="1"/>
    <x v="9"/>
    <x v="127"/>
    <x v="0"/>
    <x v="2"/>
    <n v="3"/>
    <n v="0"/>
    <n v="0"/>
  </r>
  <r>
    <x v="1"/>
    <x v="9"/>
    <x v="127"/>
    <x v="0"/>
    <x v="3"/>
    <n v="4"/>
    <n v="16.559999999999999"/>
    <n v="41400"/>
  </r>
  <r>
    <x v="1"/>
    <x v="9"/>
    <x v="127"/>
    <x v="0"/>
    <x v="4"/>
    <n v="5"/>
    <n v="0"/>
    <n v="0"/>
  </r>
  <r>
    <x v="1"/>
    <x v="9"/>
    <x v="127"/>
    <x v="0"/>
    <x v="5"/>
    <n v="6"/>
    <n v="0"/>
    <n v="0"/>
  </r>
  <r>
    <x v="1"/>
    <x v="9"/>
    <x v="127"/>
    <x v="0"/>
    <x v="6"/>
    <n v="7"/>
    <n v="0"/>
    <n v="0"/>
  </r>
  <r>
    <x v="1"/>
    <x v="9"/>
    <x v="128"/>
    <x v="0"/>
    <x v="0"/>
    <n v="1"/>
    <n v="0"/>
    <n v="0"/>
  </r>
  <r>
    <x v="1"/>
    <x v="9"/>
    <x v="128"/>
    <x v="0"/>
    <x v="1"/>
    <n v="2"/>
    <n v="0"/>
    <n v="0"/>
  </r>
  <r>
    <x v="1"/>
    <x v="9"/>
    <x v="128"/>
    <x v="0"/>
    <x v="2"/>
    <n v="3"/>
    <n v="0"/>
    <n v="0"/>
  </r>
  <r>
    <x v="1"/>
    <x v="9"/>
    <x v="128"/>
    <x v="0"/>
    <x v="3"/>
    <n v="4"/>
    <n v="12.96"/>
    <n v="32400"/>
  </r>
  <r>
    <x v="1"/>
    <x v="9"/>
    <x v="128"/>
    <x v="0"/>
    <x v="4"/>
    <n v="5"/>
    <n v="0"/>
    <n v="0"/>
  </r>
  <r>
    <x v="1"/>
    <x v="9"/>
    <x v="128"/>
    <x v="0"/>
    <x v="5"/>
    <n v="6"/>
    <n v="0"/>
    <n v="0"/>
  </r>
  <r>
    <x v="1"/>
    <x v="9"/>
    <x v="128"/>
    <x v="0"/>
    <x v="6"/>
    <n v="7"/>
    <n v="0"/>
    <n v="0"/>
  </r>
  <r>
    <x v="1"/>
    <x v="9"/>
    <x v="129"/>
    <x v="0"/>
    <x v="0"/>
    <n v="1"/>
    <n v="0"/>
    <n v="0"/>
  </r>
  <r>
    <x v="1"/>
    <x v="9"/>
    <x v="129"/>
    <x v="0"/>
    <x v="1"/>
    <n v="2"/>
    <n v="0"/>
    <n v="0"/>
  </r>
  <r>
    <x v="1"/>
    <x v="9"/>
    <x v="129"/>
    <x v="0"/>
    <x v="2"/>
    <n v="3"/>
    <n v="0"/>
    <n v="0"/>
  </r>
  <r>
    <x v="1"/>
    <x v="9"/>
    <x v="129"/>
    <x v="0"/>
    <x v="3"/>
    <n v="4"/>
    <n v="9.36"/>
    <n v="23400"/>
  </r>
  <r>
    <x v="1"/>
    <x v="9"/>
    <x v="129"/>
    <x v="0"/>
    <x v="4"/>
    <n v="5"/>
    <n v="0"/>
    <n v="0"/>
  </r>
  <r>
    <x v="1"/>
    <x v="9"/>
    <x v="129"/>
    <x v="0"/>
    <x v="5"/>
    <n v="6"/>
    <n v="0"/>
    <n v="0"/>
  </r>
  <r>
    <x v="1"/>
    <x v="9"/>
    <x v="129"/>
    <x v="0"/>
    <x v="6"/>
    <n v="7"/>
    <n v="0"/>
    <n v="0"/>
  </r>
  <r>
    <x v="1"/>
    <x v="9"/>
    <x v="130"/>
    <x v="0"/>
    <x v="0"/>
    <n v="1"/>
    <n v="0"/>
    <n v="0"/>
  </r>
  <r>
    <x v="1"/>
    <x v="9"/>
    <x v="130"/>
    <x v="0"/>
    <x v="1"/>
    <n v="2"/>
    <n v="0"/>
    <n v="0"/>
  </r>
  <r>
    <x v="1"/>
    <x v="9"/>
    <x v="130"/>
    <x v="0"/>
    <x v="2"/>
    <n v="3"/>
    <n v="0"/>
    <n v="0"/>
  </r>
  <r>
    <x v="1"/>
    <x v="9"/>
    <x v="130"/>
    <x v="0"/>
    <x v="3"/>
    <n v="4"/>
    <n v="7.92"/>
    <n v="19800"/>
  </r>
  <r>
    <x v="1"/>
    <x v="9"/>
    <x v="130"/>
    <x v="0"/>
    <x v="4"/>
    <n v="5"/>
    <n v="0"/>
    <n v="0"/>
  </r>
  <r>
    <x v="1"/>
    <x v="9"/>
    <x v="130"/>
    <x v="0"/>
    <x v="5"/>
    <n v="6"/>
    <n v="0"/>
    <n v="0"/>
  </r>
  <r>
    <x v="1"/>
    <x v="9"/>
    <x v="130"/>
    <x v="0"/>
    <x v="6"/>
    <n v="7"/>
    <n v="0"/>
    <n v="0"/>
  </r>
  <r>
    <x v="1"/>
    <x v="9"/>
    <x v="131"/>
    <x v="0"/>
    <x v="0"/>
    <n v="1"/>
    <n v="0"/>
    <n v="0"/>
  </r>
  <r>
    <x v="1"/>
    <x v="9"/>
    <x v="131"/>
    <x v="0"/>
    <x v="1"/>
    <n v="2"/>
    <n v="0"/>
    <n v="0"/>
  </r>
  <r>
    <x v="1"/>
    <x v="9"/>
    <x v="131"/>
    <x v="0"/>
    <x v="2"/>
    <n v="3"/>
    <n v="0"/>
    <n v="0"/>
  </r>
  <r>
    <x v="1"/>
    <x v="9"/>
    <x v="131"/>
    <x v="0"/>
    <x v="3"/>
    <n v="4"/>
    <n v="5.76"/>
    <n v="14400"/>
  </r>
  <r>
    <x v="1"/>
    <x v="9"/>
    <x v="131"/>
    <x v="0"/>
    <x v="4"/>
    <n v="5"/>
    <n v="0"/>
    <n v="0"/>
  </r>
  <r>
    <x v="1"/>
    <x v="9"/>
    <x v="131"/>
    <x v="0"/>
    <x v="5"/>
    <n v="6"/>
    <n v="0"/>
    <n v="0"/>
  </r>
  <r>
    <x v="1"/>
    <x v="9"/>
    <x v="131"/>
    <x v="0"/>
    <x v="6"/>
    <n v="7"/>
    <n v="0"/>
    <n v="0"/>
  </r>
  <r>
    <x v="1"/>
    <x v="9"/>
    <x v="132"/>
    <x v="0"/>
    <x v="0"/>
    <n v="1"/>
    <n v="0"/>
    <n v="0"/>
  </r>
  <r>
    <x v="1"/>
    <x v="9"/>
    <x v="132"/>
    <x v="0"/>
    <x v="1"/>
    <n v="2"/>
    <n v="0"/>
    <n v="0"/>
  </r>
  <r>
    <x v="1"/>
    <x v="9"/>
    <x v="132"/>
    <x v="0"/>
    <x v="2"/>
    <n v="3"/>
    <n v="0"/>
    <n v="0"/>
  </r>
  <r>
    <x v="1"/>
    <x v="9"/>
    <x v="132"/>
    <x v="0"/>
    <x v="3"/>
    <n v="4"/>
    <n v="7.2"/>
    <n v="18000"/>
  </r>
  <r>
    <x v="1"/>
    <x v="9"/>
    <x v="132"/>
    <x v="0"/>
    <x v="4"/>
    <n v="5"/>
    <n v="0"/>
    <n v="0"/>
  </r>
  <r>
    <x v="1"/>
    <x v="9"/>
    <x v="132"/>
    <x v="0"/>
    <x v="5"/>
    <n v="6"/>
    <n v="0"/>
    <n v="0"/>
  </r>
  <r>
    <x v="1"/>
    <x v="9"/>
    <x v="132"/>
    <x v="0"/>
    <x v="6"/>
    <n v="7"/>
    <n v="0"/>
    <n v="0"/>
  </r>
  <r>
    <x v="1"/>
    <x v="9"/>
    <x v="133"/>
    <x v="0"/>
    <x v="0"/>
    <n v="1"/>
    <n v="0"/>
    <n v="0"/>
  </r>
  <r>
    <x v="1"/>
    <x v="9"/>
    <x v="133"/>
    <x v="0"/>
    <x v="1"/>
    <n v="2"/>
    <n v="0"/>
    <n v="0"/>
  </r>
  <r>
    <x v="1"/>
    <x v="9"/>
    <x v="133"/>
    <x v="0"/>
    <x v="2"/>
    <n v="3"/>
    <n v="0"/>
    <n v="0"/>
  </r>
  <r>
    <x v="1"/>
    <x v="9"/>
    <x v="133"/>
    <x v="0"/>
    <x v="3"/>
    <n v="4"/>
    <n v="11.52"/>
    <n v="28800"/>
  </r>
  <r>
    <x v="1"/>
    <x v="9"/>
    <x v="133"/>
    <x v="0"/>
    <x v="4"/>
    <n v="5"/>
    <n v="0"/>
    <n v="0"/>
  </r>
  <r>
    <x v="1"/>
    <x v="9"/>
    <x v="133"/>
    <x v="0"/>
    <x v="5"/>
    <n v="6"/>
    <n v="0"/>
    <n v="0"/>
  </r>
  <r>
    <x v="1"/>
    <x v="9"/>
    <x v="133"/>
    <x v="0"/>
    <x v="6"/>
    <n v="7"/>
    <n v="0"/>
    <n v="0"/>
  </r>
  <r>
    <x v="1"/>
    <x v="10"/>
    <x v="134"/>
    <x v="0"/>
    <x v="0"/>
    <n v="1"/>
    <n v="0"/>
    <n v="0"/>
  </r>
  <r>
    <x v="1"/>
    <x v="10"/>
    <x v="134"/>
    <x v="0"/>
    <x v="1"/>
    <n v="2"/>
    <n v="0"/>
    <n v="0"/>
  </r>
  <r>
    <x v="1"/>
    <x v="10"/>
    <x v="134"/>
    <x v="0"/>
    <x v="2"/>
    <n v="3"/>
    <n v="0"/>
    <n v="0"/>
  </r>
  <r>
    <x v="1"/>
    <x v="10"/>
    <x v="134"/>
    <x v="0"/>
    <x v="3"/>
    <n v="4"/>
    <n v="6.48"/>
    <n v="16200"/>
  </r>
  <r>
    <x v="1"/>
    <x v="10"/>
    <x v="134"/>
    <x v="0"/>
    <x v="4"/>
    <n v="5"/>
    <n v="0"/>
    <n v="0"/>
  </r>
  <r>
    <x v="1"/>
    <x v="10"/>
    <x v="134"/>
    <x v="0"/>
    <x v="5"/>
    <n v="6"/>
    <n v="0"/>
    <n v="0"/>
  </r>
  <r>
    <x v="1"/>
    <x v="10"/>
    <x v="134"/>
    <x v="0"/>
    <x v="6"/>
    <n v="7"/>
    <n v="0"/>
    <n v="0"/>
  </r>
  <r>
    <x v="1"/>
    <x v="10"/>
    <x v="135"/>
    <x v="0"/>
    <x v="0"/>
    <n v="1"/>
    <n v="0"/>
    <n v="0"/>
  </r>
  <r>
    <x v="1"/>
    <x v="10"/>
    <x v="135"/>
    <x v="0"/>
    <x v="1"/>
    <n v="2"/>
    <n v="0"/>
    <n v="0"/>
  </r>
  <r>
    <x v="1"/>
    <x v="10"/>
    <x v="135"/>
    <x v="0"/>
    <x v="2"/>
    <n v="3"/>
    <n v="0"/>
    <n v="0"/>
  </r>
  <r>
    <x v="1"/>
    <x v="10"/>
    <x v="135"/>
    <x v="0"/>
    <x v="3"/>
    <n v="4"/>
    <n v="3.6"/>
    <n v="9000"/>
  </r>
  <r>
    <x v="1"/>
    <x v="10"/>
    <x v="135"/>
    <x v="0"/>
    <x v="4"/>
    <n v="5"/>
    <n v="0"/>
    <n v="0"/>
  </r>
  <r>
    <x v="1"/>
    <x v="10"/>
    <x v="135"/>
    <x v="0"/>
    <x v="5"/>
    <n v="6"/>
    <n v="0"/>
    <n v="0"/>
  </r>
  <r>
    <x v="1"/>
    <x v="10"/>
    <x v="135"/>
    <x v="0"/>
    <x v="6"/>
    <n v="7"/>
    <n v="0"/>
    <n v="0"/>
  </r>
  <r>
    <x v="1"/>
    <x v="10"/>
    <x v="136"/>
    <x v="0"/>
    <x v="0"/>
    <n v="1"/>
    <n v="0"/>
    <n v="0"/>
  </r>
  <r>
    <x v="1"/>
    <x v="10"/>
    <x v="136"/>
    <x v="0"/>
    <x v="1"/>
    <n v="2"/>
    <n v="0"/>
    <n v="0"/>
  </r>
  <r>
    <x v="1"/>
    <x v="10"/>
    <x v="136"/>
    <x v="0"/>
    <x v="2"/>
    <n v="3"/>
    <n v="0"/>
    <n v="0"/>
  </r>
  <r>
    <x v="1"/>
    <x v="10"/>
    <x v="136"/>
    <x v="0"/>
    <x v="3"/>
    <n v="4"/>
    <n v="12.24"/>
    <n v="30600"/>
  </r>
  <r>
    <x v="1"/>
    <x v="10"/>
    <x v="136"/>
    <x v="0"/>
    <x v="4"/>
    <n v="5"/>
    <n v="0"/>
    <n v="0"/>
  </r>
  <r>
    <x v="1"/>
    <x v="10"/>
    <x v="136"/>
    <x v="0"/>
    <x v="5"/>
    <n v="6"/>
    <n v="0"/>
    <n v="0"/>
  </r>
  <r>
    <x v="1"/>
    <x v="10"/>
    <x v="136"/>
    <x v="0"/>
    <x v="6"/>
    <n v="7"/>
    <n v="0"/>
    <n v="0"/>
  </r>
  <r>
    <x v="1"/>
    <x v="10"/>
    <x v="137"/>
    <x v="0"/>
    <x v="0"/>
    <n v="1"/>
    <n v="0"/>
    <n v="0"/>
  </r>
  <r>
    <x v="1"/>
    <x v="10"/>
    <x v="137"/>
    <x v="0"/>
    <x v="1"/>
    <n v="2"/>
    <n v="0"/>
    <n v="0"/>
  </r>
  <r>
    <x v="1"/>
    <x v="10"/>
    <x v="137"/>
    <x v="0"/>
    <x v="2"/>
    <n v="3"/>
    <n v="0"/>
    <n v="0"/>
  </r>
  <r>
    <x v="1"/>
    <x v="10"/>
    <x v="137"/>
    <x v="0"/>
    <x v="3"/>
    <n v="4"/>
    <n v="3.6"/>
    <n v="9000"/>
  </r>
  <r>
    <x v="1"/>
    <x v="10"/>
    <x v="137"/>
    <x v="0"/>
    <x v="4"/>
    <n v="5"/>
    <n v="0"/>
    <n v="0"/>
  </r>
  <r>
    <x v="1"/>
    <x v="10"/>
    <x v="137"/>
    <x v="0"/>
    <x v="5"/>
    <n v="6"/>
    <n v="0"/>
    <n v="0"/>
  </r>
  <r>
    <x v="1"/>
    <x v="10"/>
    <x v="137"/>
    <x v="0"/>
    <x v="6"/>
    <n v="7"/>
    <n v="0"/>
    <n v="0"/>
  </r>
  <r>
    <x v="1"/>
    <x v="10"/>
    <x v="138"/>
    <x v="0"/>
    <x v="0"/>
    <n v="1"/>
    <n v="0"/>
    <n v="0"/>
  </r>
  <r>
    <x v="1"/>
    <x v="10"/>
    <x v="138"/>
    <x v="0"/>
    <x v="1"/>
    <n v="2"/>
    <n v="0"/>
    <n v="0"/>
  </r>
  <r>
    <x v="1"/>
    <x v="10"/>
    <x v="138"/>
    <x v="0"/>
    <x v="2"/>
    <n v="3"/>
    <n v="0"/>
    <n v="0"/>
  </r>
  <r>
    <x v="1"/>
    <x v="10"/>
    <x v="138"/>
    <x v="0"/>
    <x v="3"/>
    <n v="4"/>
    <n v="3.6"/>
    <n v="9000"/>
  </r>
  <r>
    <x v="1"/>
    <x v="10"/>
    <x v="138"/>
    <x v="0"/>
    <x v="4"/>
    <n v="5"/>
    <n v="0"/>
    <n v="0"/>
  </r>
  <r>
    <x v="1"/>
    <x v="10"/>
    <x v="138"/>
    <x v="0"/>
    <x v="5"/>
    <n v="6"/>
    <n v="0"/>
    <n v="0"/>
  </r>
  <r>
    <x v="1"/>
    <x v="10"/>
    <x v="138"/>
    <x v="0"/>
    <x v="6"/>
    <n v="7"/>
    <n v="0"/>
    <n v="0"/>
  </r>
  <r>
    <x v="1"/>
    <x v="10"/>
    <x v="139"/>
    <x v="0"/>
    <x v="0"/>
    <n v="1"/>
    <n v="0"/>
    <n v="0"/>
  </r>
  <r>
    <x v="1"/>
    <x v="10"/>
    <x v="139"/>
    <x v="0"/>
    <x v="1"/>
    <n v="2"/>
    <n v="0"/>
    <n v="0"/>
  </r>
  <r>
    <x v="1"/>
    <x v="10"/>
    <x v="139"/>
    <x v="0"/>
    <x v="2"/>
    <n v="3"/>
    <n v="0"/>
    <n v="0"/>
  </r>
  <r>
    <x v="1"/>
    <x v="10"/>
    <x v="139"/>
    <x v="0"/>
    <x v="3"/>
    <n v="4"/>
    <n v="4.32"/>
    <n v="10800"/>
  </r>
  <r>
    <x v="1"/>
    <x v="10"/>
    <x v="139"/>
    <x v="0"/>
    <x v="4"/>
    <n v="5"/>
    <n v="0"/>
    <n v="0"/>
  </r>
  <r>
    <x v="1"/>
    <x v="10"/>
    <x v="139"/>
    <x v="0"/>
    <x v="5"/>
    <n v="6"/>
    <n v="0"/>
    <n v="0"/>
  </r>
  <r>
    <x v="1"/>
    <x v="10"/>
    <x v="139"/>
    <x v="0"/>
    <x v="6"/>
    <n v="7"/>
    <n v="0"/>
    <n v="0"/>
  </r>
  <r>
    <x v="1"/>
    <x v="10"/>
    <x v="140"/>
    <x v="0"/>
    <x v="0"/>
    <n v="1"/>
    <n v="0"/>
    <n v="0"/>
  </r>
  <r>
    <x v="1"/>
    <x v="10"/>
    <x v="140"/>
    <x v="0"/>
    <x v="1"/>
    <n v="2"/>
    <n v="0"/>
    <n v="0"/>
  </r>
  <r>
    <x v="1"/>
    <x v="10"/>
    <x v="140"/>
    <x v="0"/>
    <x v="2"/>
    <n v="3"/>
    <n v="0"/>
    <n v="0"/>
  </r>
  <r>
    <x v="1"/>
    <x v="10"/>
    <x v="140"/>
    <x v="0"/>
    <x v="3"/>
    <n v="4"/>
    <n v="2.16"/>
    <n v="5400"/>
  </r>
  <r>
    <x v="1"/>
    <x v="10"/>
    <x v="140"/>
    <x v="0"/>
    <x v="4"/>
    <n v="5"/>
    <n v="0"/>
    <n v="0"/>
  </r>
  <r>
    <x v="1"/>
    <x v="10"/>
    <x v="140"/>
    <x v="0"/>
    <x v="5"/>
    <n v="6"/>
    <n v="0"/>
    <n v="0"/>
  </r>
  <r>
    <x v="1"/>
    <x v="10"/>
    <x v="140"/>
    <x v="0"/>
    <x v="6"/>
    <n v="7"/>
    <n v="0"/>
    <n v="0"/>
  </r>
  <r>
    <x v="1"/>
    <x v="10"/>
    <x v="141"/>
    <x v="0"/>
    <x v="0"/>
    <n v="1"/>
    <n v="0"/>
    <n v="0"/>
  </r>
  <r>
    <x v="1"/>
    <x v="10"/>
    <x v="141"/>
    <x v="0"/>
    <x v="1"/>
    <n v="2"/>
    <n v="0"/>
    <n v="0"/>
  </r>
  <r>
    <x v="1"/>
    <x v="10"/>
    <x v="141"/>
    <x v="0"/>
    <x v="2"/>
    <n v="3"/>
    <n v="0"/>
    <n v="0"/>
  </r>
  <r>
    <x v="1"/>
    <x v="10"/>
    <x v="141"/>
    <x v="0"/>
    <x v="3"/>
    <n v="4"/>
    <n v="5.04"/>
    <n v="12600"/>
  </r>
  <r>
    <x v="1"/>
    <x v="10"/>
    <x v="141"/>
    <x v="0"/>
    <x v="4"/>
    <n v="5"/>
    <n v="0"/>
    <n v="0"/>
  </r>
  <r>
    <x v="1"/>
    <x v="10"/>
    <x v="141"/>
    <x v="0"/>
    <x v="5"/>
    <n v="6"/>
    <n v="0"/>
    <n v="0"/>
  </r>
  <r>
    <x v="1"/>
    <x v="10"/>
    <x v="141"/>
    <x v="0"/>
    <x v="6"/>
    <n v="7"/>
    <n v="0"/>
    <n v="0"/>
  </r>
  <r>
    <x v="1"/>
    <x v="10"/>
    <x v="142"/>
    <x v="0"/>
    <x v="0"/>
    <n v="1"/>
    <n v="0"/>
    <n v="0"/>
  </r>
  <r>
    <x v="1"/>
    <x v="10"/>
    <x v="142"/>
    <x v="0"/>
    <x v="1"/>
    <n v="2"/>
    <n v="0"/>
    <n v="0"/>
  </r>
  <r>
    <x v="1"/>
    <x v="10"/>
    <x v="142"/>
    <x v="0"/>
    <x v="2"/>
    <n v="3"/>
    <n v="0"/>
    <n v="0"/>
  </r>
  <r>
    <x v="1"/>
    <x v="10"/>
    <x v="142"/>
    <x v="0"/>
    <x v="3"/>
    <n v="4"/>
    <n v="5.76"/>
    <n v="14400"/>
  </r>
  <r>
    <x v="1"/>
    <x v="10"/>
    <x v="142"/>
    <x v="0"/>
    <x v="4"/>
    <n v="5"/>
    <n v="0"/>
    <n v="0"/>
  </r>
  <r>
    <x v="1"/>
    <x v="10"/>
    <x v="142"/>
    <x v="0"/>
    <x v="5"/>
    <n v="6"/>
    <n v="0"/>
    <n v="0"/>
  </r>
  <r>
    <x v="1"/>
    <x v="10"/>
    <x v="142"/>
    <x v="0"/>
    <x v="6"/>
    <n v="7"/>
    <n v="0"/>
    <n v="0"/>
  </r>
  <r>
    <x v="1"/>
    <x v="10"/>
    <x v="143"/>
    <x v="0"/>
    <x v="0"/>
    <n v="1"/>
    <n v="0"/>
    <n v="0"/>
  </r>
  <r>
    <x v="1"/>
    <x v="10"/>
    <x v="143"/>
    <x v="0"/>
    <x v="1"/>
    <n v="2"/>
    <n v="0"/>
    <n v="0"/>
  </r>
  <r>
    <x v="1"/>
    <x v="10"/>
    <x v="143"/>
    <x v="0"/>
    <x v="2"/>
    <n v="3"/>
    <n v="0"/>
    <n v="0"/>
  </r>
  <r>
    <x v="1"/>
    <x v="10"/>
    <x v="143"/>
    <x v="0"/>
    <x v="3"/>
    <n v="4"/>
    <n v="14.4"/>
    <n v="36000"/>
  </r>
  <r>
    <x v="1"/>
    <x v="10"/>
    <x v="143"/>
    <x v="0"/>
    <x v="4"/>
    <n v="5"/>
    <n v="0"/>
    <n v="0"/>
  </r>
  <r>
    <x v="1"/>
    <x v="10"/>
    <x v="143"/>
    <x v="0"/>
    <x v="5"/>
    <n v="6"/>
    <n v="0"/>
    <n v="0"/>
  </r>
  <r>
    <x v="1"/>
    <x v="10"/>
    <x v="143"/>
    <x v="0"/>
    <x v="6"/>
    <n v="7"/>
    <n v="0"/>
    <n v="0"/>
  </r>
  <r>
    <x v="1"/>
    <x v="10"/>
    <x v="144"/>
    <x v="0"/>
    <x v="0"/>
    <n v="1"/>
    <n v="0"/>
    <n v="0"/>
  </r>
  <r>
    <x v="1"/>
    <x v="10"/>
    <x v="144"/>
    <x v="0"/>
    <x v="1"/>
    <n v="2"/>
    <n v="0"/>
    <n v="0"/>
  </r>
  <r>
    <x v="1"/>
    <x v="10"/>
    <x v="144"/>
    <x v="0"/>
    <x v="2"/>
    <n v="3"/>
    <n v="0"/>
    <n v="0"/>
  </r>
  <r>
    <x v="1"/>
    <x v="10"/>
    <x v="144"/>
    <x v="0"/>
    <x v="3"/>
    <n v="4"/>
    <n v="0.72"/>
    <n v="1800"/>
  </r>
  <r>
    <x v="1"/>
    <x v="10"/>
    <x v="144"/>
    <x v="0"/>
    <x v="4"/>
    <n v="5"/>
    <n v="0"/>
    <n v="0"/>
  </r>
  <r>
    <x v="1"/>
    <x v="10"/>
    <x v="144"/>
    <x v="0"/>
    <x v="5"/>
    <n v="6"/>
    <n v="0"/>
    <n v="0"/>
  </r>
  <r>
    <x v="1"/>
    <x v="10"/>
    <x v="144"/>
    <x v="0"/>
    <x v="6"/>
    <n v="7"/>
    <n v="0"/>
    <n v="0"/>
  </r>
  <r>
    <x v="1"/>
    <x v="10"/>
    <x v="145"/>
    <x v="0"/>
    <x v="0"/>
    <n v="1"/>
    <n v="0"/>
    <n v="0"/>
  </r>
  <r>
    <x v="1"/>
    <x v="10"/>
    <x v="145"/>
    <x v="0"/>
    <x v="1"/>
    <n v="2"/>
    <n v="0"/>
    <n v="0"/>
  </r>
  <r>
    <x v="1"/>
    <x v="10"/>
    <x v="145"/>
    <x v="0"/>
    <x v="2"/>
    <n v="3"/>
    <n v="0"/>
    <n v="0"/>
  </r>
  <r>
    <x v="1"/>
    <x v="10"/>
    <x v="145"/>
    <x v="0"/>
    <x v="3"/>
    <n v="4"/>
    <n v="3.6"/>
    <n v="9000"/>
  </r>
  <r>
    <x v="1"/>
    <x v="10"/>
    <x v="145"/>
    <x v="0"/>
    <x v="4"/>
    <n v="5"/>
    <n v="0"/>
    <n v="0"/>
  </r>
  <r>
    <x v="1"/>
    <x v="10"/>
    <x v="145"/>
    <x v="0"/>
    <x v="5"/>
    <n v="6"/>
    <n v="0"/>
    <n v="0"/>
  </r>
  <r>
    <x v="1"/>
    <x v="10"/>
    <x v="145"/>
    <x v="0"/>
    <x v="6"/>
    <n v="7"/>
    <n v="0"/>
    <n v="0"/>
  </r>
  <r>
    <x v="1"/>
    <x v="10"/>
    <x v="146"/>
    <x v="0"/>
    <x v="0"/>
    <n v="1"/>
    <n v="0"/>
    <n v="0"/>
  </r>
  <r>
    <x v="1"/>
    <x v="10"/>
    <x v="146"/>
    <x v="0"/>
    <x v="1"/>
    <n v="2"/>
    <n v="0"/>
    <n v="0"/>
  </r>
  <r>
    <x v="1"/>
    <x v="10"/>
    <x v="146"/>
    <x v="0"/>
    <x v="2"/>
    <n v="3"/>
    <n v="0"/>
    <n v="0"/>
  </r>
  <r>
    <x v="1"/>
    <x v="10"/>
    <x v="146"/>
    <x v="0"/>
    <x v="3"/>
    <n v="4"/>
    <n v="2.88"/>
    <n v="7200"/>
  </r>
  <r>
    <x v="1"/>
    <x v="10"/>
    <x v="146"/>
    <x v="0"/>
    <x v="4"/>
    <n v="5"/>
    <n v="0"/>
    <n v="0"/>
  </r>
  <r>
    <x v="1"/>
    <x v="10"/>
    <x v="146"/>
    <x v="0"/>
    <x v="5"/>
    <n v="6"/>
    <n v="0"/>
    <n v="0"/>
  </r>
  <r>
    <x v="1"/>
    <x v="10"/>
    <x v="146"/>
    <x v="0"/>
    <x v="6"/>
    <n v="7"/>
    <n v="0"/>
    <n v="0"/>
  </r>
  <r>
    <x v="1"/>
    <x v="10"/>
    <x v="147"/>
    <x v="0"/>
    <x v="0"/>
    <n v="1"/>
    <n v="0"/>
    <n v="0"/>
  </r>
  <r>
    <x v="1"/>
    <x v="10"/>
    <x v="147"/>
    <x v="0"/>
    <x v="1"/>
    <n v="2"/>
    <n v="0"/>
    <n v="0"/>
  </r>
  <r>
    <x v="1"/>
    <x v="10"/>
    <x v="147"/>
    <x v="0"/>
    <x v="2"/>
    <n v="3"/>
    <n v="0"/>
    <n v="0"/>
  </r>
  <r>
    <x v="1"/>
    <x v="10"/>
    <x v="147"/>
    <x v="0"/>
    <x v="3"/>
    <n v="4"/>
    <n v="2.16"/>
    <n v="5400"/>
  </r>
  <r>
    <x v="1"/>
    <x v="10"/>
    <x v="147"/>
    <x v="0"/>
    <x v="4"/>
    <n v="5"/>
    <n v="0"/>
    <n v="0"/>
  </r>
  <r>
    <x v="1"/>
    <x v="10"/>
    <x v="147"/>
    <x v="0"/>
    <x v="5"/>
    <n v="6"/>
    <n v="0"/>
    <n v="0"/>
  </r>
  <r>
    <x v="1"/>
    <x v="10"/>
    <x v="147"/>
    <x v="0"/>
    <x v="6"/>
    <n v="7"/>
    <n v="0"/>
    <n v="0"/>
  </r>
  <r>
    <x v="1"/>
    <x v="10"/>
    <x v="148"/>
    <x v="0"/>
    <x v="0"/>
    <n v="1"/>
    <n v="0"/>
    <n v="0"/>
  </r>
  <r>
    <x v="1"/>
    <x v="10"/>
    <x v="148"/>
    <x v="0"/>
    <x v="1"/>
    <n v="2"/>
    <n v="0"/>
    <n v="0"/>
  </r>
  <r>
    <x v="1"/>
    <x v="10"/>
    <x v="148"/>
    <x v="0"/>
    <x v="2"/>
    <n v="3"/>
    <n v="0"/>
    <n v="0"/>
  </r>
  <r>
    <x v="1"/>
    <x v="10"/>
    <x v="148"/>
    <x v="0"/>
    <x v="3"/>
    <n v="4"/>
    <n v="1.44"/>
    <n v="3600"/>
  </r>
  <r>
    <x v="1"/>
    <x v="10"/>
    <x v="148"/>
    <x v="0"/>
    <x v="4"/>
    <n v="5"/>
    <n v="0"/>
    <n v="0"/>
  </r>
  <r>
    <x v="1"/>
    <x v="10"/>
    <x v="148"/>
    <x v="0"/>
    <x v="5"/>
    <n v="6"/>
    <n v="0"/>
    <n v="0"/>
  </r>
  <r>
    <x v="1"/>
    <x v="10"/>
    <x v="148"/>
    <x v="0"/>
    <x v="6"/>
    <n v="7"/>
    <n v="0"/>
    <n v="0"/>
  </r>
  <r>
    <x v="1"/>
    <x v="10"/>
    <x v="149"/>
    <x v="0"/>
    <x v="0"/>
    <n v="1"/>
    <n v="0"/>
    <n v="0"/>
  </r>
  <r>
    <x v="1"/>
    <x v="10"/>
    <x v="149"/>
    <x v="0"/>
    <x v="1"/>
    <n v="2"/>
    <n v="0"/>
    <n v="0"/>
  </r>
  <r>
    <x v="1"/>
    <x v="10"/>
    <x v="149"/>
    <x v="0"/>
    <x v="2"/>
    <n v="3"/>
    <n v="0"/>
    <n v="0"/>
  </r>
  <r>
    <x v="1"/>
    <x v="10"/>
    <x v="149"/>
    <x v="0"/>
    <x v="3"/>
    <n v="4"/>
    <n v="2.88"/>
    <n v="7200"/>
  </r>
  <r>
    <x v="1"/>
    <x v="10"/>
    <x v="149"/>
    <x v="0"/>
    <x v="4"/>
    <n v="5"/>
    <n v="0"/>
    <n v="0"/>
  </r>
  <r>
    <x v="1"/>
    <x v="10"/>
    <x v="149"/>
    <x v="0"/>
    <x v="5"/>
    <n v="6"/>
    <n v="0"/>
    <n v="0"/>
  </r>
  <r>
    <x v="1"/>
    <x v="10"/>
    <x v="149"/>
    <x v="0"/>
    <x v="6"/>
    <n v="7"/>
    <n v="0"/>
    <n v="0"/>
  </r>
  <r>
    <x v="1"/>
    <x v="10"/>
    <x v="150"/>
    <x v="0"/>
    <x v="0"/>
    <n v="1"/>
    <n v="0"/>
    <n v="0"/>
  </r>
  <r>
    <x v="1"/>
    <x v="10"/>
    <x v="150"/>
    <x v="0"/>
    <x v="1"/>
    <n v="2"/>
    <n v="0"/>
    <n v="0"/>
  </r>
  <r>
    <x v="1"/>
    <x v="10"/>
    <x v="150"/>
    <x v="0"/>
    <x v="2"/>
    <n v="3"/>
    <n v="0"/>
    <n v="0"/>
  </r>
  <r>
    <x v="1"/>
    <x v="10"/>
    <x v="150"/>
    <x v="0"/>
    <x v="3"/>
    <n v="4"/>
    <n v="5.04"/>
    <n v="12600"/>
  </r>
  <r>
    <x v="1"/>
    <x v="10"/>
    <x v="150"/>
    <x v="0"/>
    <x v="4"/>
    <n v="5"/>
    <n v="0"/>
    <n v="0"/>
  </r>
  <r>
    <x v="1"/>
    <x v="10"/>
    <x v="150"/>
    <x v="0"/>
    <x v="5"/>
    <n v="6"/>
    <n v="0"/>
    <n v="0"/>
  </r>
  <r>
    <x v="1"/>
    <x v="10"/>
    <x v="150"/>
    <x v="0"/>
    <x v="6"/>
    <n v="7"/>
    <n v="0"/>
    <n v="0"/>
  </r>
  <r>
    <x v="1"/>
    <x v="11"/>
    <x v="151"/>
    <x v="0"/>
    <x v="0"/>
    <n v="1"/>
    <n v="0"/>
    <n v="0"/>
  </r>
  <r>
    <x v="1"/>
    <x v="11"/>
    <x v="151"/>
    <x v="0"/>
    <x v="1"/>
    <n v="2"/>
    <n v="0"/>
    <n v="0"/>
  </r>
  <r>
    <x v="1"/>
    <x v="11"/>
    <x v="151"/>
    <x v="0"/>
    <x v="2"/>
    <n v="3"/>
    <n v="0"/>
    <n v="0"/>
  </r>
  <r>
    <x v="1"/>
    <x v="11"/>
    <x v="151"/>
    <x v="0"/>
    <x v="3"/>
    <n v="4"/>
    <n v="4.32"/>
    <n v="10800"/>
  </r>
  <r>
    <x v="1"/>
    <x v="11"/>
    <x v="151"/>
    <x v="0"/>
    <x v="4"/>
    <n v="5"/>
    <n v="0"/>
    <n v="0"/>
  </r>
  <r>
    <x v="1"/>
    <x v="11"/>
    <x v="151"/>
    <x v="0"/>
    <x v="5"/>
    <n v="6"/>
    <n v="0"/>
    <n v="0"/>
  </r>
  <r>
    <x v="1"/>
    <x v="11"/>
    <x v="151"/>
    <x v="0"/>
    <x v="6"/>
    <n v="7"/>
    <n v="0"/>
    <n v="0"/>
  </r>
  <r>
    <x v="1"/>
    <x v="11"/>
    <x v="152"/>
    <x v="0"/>
    <x v="0"/>
    <n v="1"/>
    <n v="0"/>
    <n v="0"/>
  </r>
  <r>
    <x v="1"/>
    <x v="11"/>
    <x v="152"/>
    <x v="0"/>
    <x v="1"/>
    <n v="2"/>
    <n v="0"/>
    <n v="0"/>
  </r>
  <r>
    <x v="1"/>
    <x v="11"/>
    <x v="152"/>
    <x v="0"/>
    <x v="2"/>
    <n v="3"/>
    <n v="0"/>
    <n v="0"/>
  </r>
  <r>
    <x v="1"/>
    <x v="11"/>
    <x v="152"/>
    <x v="0"/>
    <x v="3"/>
    <n v="4"/>
    <n v="1.44"/>
    <n v="3600"/>
  </r>
  <r>
    <x v="1"/>
    <x v="11"/>
    <x v="152"/>
    <x v="0"/>
    <x v="4"/>
    <n v="5"/>
    <n v="0"/>
    <n v="0"/>
  </r>
  <r>
    <x v="1"/>
    <x v="11"/>
    <x v="152"/>
    <x v="0"/>
    <x v="5"/>
    <n v="6"/>
    <n v="0"/>
    <n v="0"/>
  </r>
  <r>
    <x v="1"/>
    <x v="11"/>
    <x v="152"/>
    <x v="0"/>
    <x v="6"/>
    <n v="7"/>
    <n v="0"/>
    <n v="0"/>
  </r>
  <r>
    <x v="1"/>
    <x v="11"/>
    <x v="153"/>
    <x v="0"/>
    <x v="0"/>
    <n v="1"/>
    <n v="0"/>
    <n v="0"/>
  </r>
  <r>
    <x v="1"/>
    <x v="11"/>
    <x v="153"/>
    <x v="0"/>
    <x v="1"/>
    <n v="2"/>
    <n v="0"/>
    <n v="0"/>
  </r>
  <r>
    <x v="1"/>
    <x v="11"/>
    <x v="153"/>
    <x v="0"/>
    <x v="2"/>
    <n v="3"/>
    <n v="0"/>
    <n v="0"/>
  </r>
  <r>
    <x v="1"/>
    <x v="11"/>
    <x v="153"/>
    <x v="0"/>
    <x v="3"/>
    <n v="4"/>
    <n v="4.32"/>
    <n v="10800"/>
  </r>
  <r>
    <x v="1"/>
    <x v="11"/>
    <x v="153"/>
    <x v="0"/>
    <x v="4"/>
    <n v="5"/>
    <n v="0"/>
    <n v="0"/>
  </r>
  <r>
    <x v="1"/>
    <x v="11"/>
    <x v="153"/>
    <x v="0"/>
    <x v="5"/>
    <n v="6"/>
    <n v="0"/>
    <n v="0"/>
  </r>
  <r>
    <x v="1"/>
    <x v="11"/>
    <x v="153"/>
    <x v="0"/>
    <x v="6"/>
    <n v="7"/>
    <n v="0"/>
    <n v="0"/>
  </r>
  <r>
    <x v="1"/>
    <x v="11"/>
    <x v="98"/>
    <x v="0"/>
    <x v="0"/>
    <n v="1"/>
    <n v="0"/>
    <n v="0"/>
  </r>
  <r>
    <x v="1"/>
    <x v="11"/>
    <x v="98"/>
    <x v="0"/>
    <x v="1"/>
    <n v="2"/>
    <n v="0"/>
    <n v="0"/>
  </r>
  <r>
    <x v="1"/>
    <x v="11"/>
    <x v="98"/>
    <x v="0"/>
    <x v="2"/>
    <n v="3"/>
    <n v="0"/>
    <n v="0"/>
  </r>
  <r>
    <x v="1"/>
    <x v="11"/>
    <x v="98"/>
    <x v="0"/>
    <x v="3"/>
    <n v="4"/>
    <n v="5.76"/>
    <n v="14400"/>
  </r>
  <r>
    <x v="1"/>
    <x v="11"/>
    <x v="98"/>
    <x v="0"/>
    <x v="4"/>
    <n v="5"/>
    <n v="0"/>
    <n v="0"/>
  </r>
  <r>
    <x v="1"/>
    <x v="11"/>
    <x v="98"/>
    <x v="0"/>
    <x v="5"/>
    <n v="6"/>
    <n v="0"/>
    <n v="0"/>
  </r>
  <r>
    <x v="1"/>
    <x v="11"/>
    <x v="98"/>
    <x v="0"/>
    <x v="6"/>
    <n v="7"/>
    <n v="0"/>
    <n v="0"/>
  </r>
  <r>
    <x v="1"/>
    <x v="11"/>
    <x v="154"/>
    <x v="0"/>
    <x v="0"/>
    <n v="1"/>
    <n v="0"/>
    <n v="0"/>
  </r>
  <r>
    <x v="1"/>
    <x v="11"/>
    <x v="154"/>
    <x v="0"/>
    <x v="1"/>
    <n v="2"/>
    <n v="0"/>
    <n v="0"/>
  </r>
  <r>
    <x v="1"/>
    <x v="11"/>
    <x v="154"/>
    <x v="0"/>
    <x v="2"/>
    <n v="3"/>
    <n v="0"/>
    <n v="0"/>
  </r>
  <r>
    <x v="1"/>
    <x v="11"/>
    <x v="154"/>
    <x v="0"/>
    <x v="3"/>
    <n v="4"/>
    <n v="1.44"/>
    <n v="3600"/>
  </r>
  <r>
    <x v="1"/>
    <x v="11"/>
    <x v="154"/>
    <x v="0"/>
    <x v="4"/>
    <n v="5"/>
    <n v="0"/>
    <n v="0"/>
  </r>
  <r>
    <x v="1"/>
    <x v="11"/>
    <x v="154"/>
    <x v="0"/>
    <x v="5"/>
    <n v="6"/>
    <n v="0"/>
    <n v="0"/>
  </r>
  <r>
    <x v="1"/>
    <x v="11"/>
    <x v="154"/>
    <x v="0"/>
    <x v="6"/>
    <n v="7"/>
    <n v="0"/>
    <n v="0"/>
  </r>
  <r>
    <x v="1"/>
    <x v="11"/>
    <x v="155"/>
    <x v="0"/>
    <x v="0"/>
    <n v="1"/>
    <n v="0"/>
    <n v="0"/>
  </r>
  <r>
    <x v="1"/>
    <x v="11"/>
    <x v="155"/>
    <x v="0"/>
    <x v="1"/>
    <n v="2"/>
    <n v="0"/>
    <n v="0"/>
  </r>
  <r>
    <x v="1"/>
    <x v="11"/>
    <x v="155"/>
    <x v="0"/>
    <x v="2"/>
    <n v="3"/>
    <n v="0"/>
    <n v="0"/>
  </r>
  <r>
    <x v="1"/>
    <x v="11"/>
    <x v="155"/>
    <x v="0"/>
    <x v="3"/>
    <n v="4"/>
    <n v="3.6"/>
    <n v="9000"/>
  </r>
  <r>
    <x v="1"/>
    <x v="11"/>
    <x v="155"/>
    <x v="0"/>
    <x v="4"/>
    <n v="5"/>
    <n v="0"/>
    <n v="0"/>
  </r>
  <r>
    <x v="1"/>
    <x v="11"/>
    <x v="155"/>
    <x v="0"/>
    <x v="5"/>
    <n v="6"/>
    <n v="0"/>
    <n v="0"/>
  </r>
  <r>
    <x v="1"/>
    <x v="11"/>
    <x v="155"/>
    <x v="0"/>
    <x v="6"/>
    <n v="7"/>
    <n v="0"/>
    <n v="0"/>
  </r>
  <r>
    <x v="1"/>
    <x v="11"/>
    <x v="156"/>
    <x v="0"/>
    <x v="0"/>
    <n v="1"/>
    <n v="0"/>
    <n v="0"/>
  </r>
  <r>
    <x v="1"/>
    <x v="11"/>
    <x v="156"/>
    <x v="0"/>
    <x v="1"/>
    <n v="2"/>
    <n v="0"/>
    <n v="0"/>
  </r>
  <r>
    <x v="1"/>
    <x v="11"/>
    <x v="156"/>
    <x v="0"/>
    <x v="2"/>
    <n v="3"/>
    <n v="0"/>
    <n v="0"/>
  </r>
  <r>
    <x v="1"/>
    <x v="11"/>
    <x v="156"/>
    <x v="0"/>
    <x v="3"/>
    <n v="4"/>
    <n v="6.48"/>
    <n v="16200"/>
  </r>
  <r>
    <x v="1"/>
    <x v="11"/>
    <x v="156"/>
    <x v="0"/>
    <x v="4"/>
    <n v="5"/>
    <n v="0"/>
    <n v="0"/>
  </r>
  <r>
    <x v="1"/>
    <x v="11"/>
    <x v="156"/>
    <x v="0"/>
    <x v="5"/>
    <n v="6"/>
    <n v="0"/>
    <n v="0"/>
  </r>
  <r>
    <x v="1"/>
    <x v="11"/>
    <x v="156"/>
    <x v="0"/>
    <x v="6"/>
    <n v="7"/>
    <n v="0"/>
    <n v="0"/>
  </r>
  <r>
    <x v="1"/>
    <x v="11"/>
    <x v="157"/>
    <x v="0"/>
    <x v="0"/>
    <n v="1"/>
    <n v="0"/>
    <n v="0"/>
  </r>
  <r>
    <x v="1"/>
    <x v="11"/>
    <x v="157"/>
    <x v="0"/>
    <x v="1"/>
    <n v="2"/>
    <n v="0"/>
    <n v="0"/>
  </r>
  <r>
    <x v="1"/>
    <x v="11"/>
    <x v="157"/>
    <x v="0"/>
    <x v="2"/>
    <n v="3"/>
    <n v="0"/>
    <n v="0"/>
  </r>
  <r>
    <x v="1"/>
    <x v="11"/>
    <x v="157"/>
    <x v="0"/>
    <x v="3"/>
    <n v="4"/>
    <n v="0.72"/>
    <n v="1800"/>
  </r>
  <r>
    <x v="1"/>
    <x v="11"/>
    <x v="157"/>
    <x v="0"/>
    <x v="4"/>
    <n v="5"/>
    <n v="0"/>
    <n v="0"/>
  </r>
  <r>
    <x v="1"/>
    <x v="11"/>
    <x v="157"/>
    <x v="0"/>
    <x v="5"/>
    <n v="6"/>
    <n v="0"/>
    <n v="0"/>
  </r>
  <r>
    <x v="1"/>
    <x v="11"/>
    <x v="157"/>
    <x v="0"/>
    <x v="6"/>
    <n v="7"/>
    <n v="0"/>
    <n v="0"/>
  </r>
  <r>
    <x v="1"/>
    <x v="11"/>
    <x v="158"/>
    <x v="0"/>
    <x v="0"/>
    <n v="1"/>
    <n v="0"/>
    <n v="0"/>
  </r>
  <r>
    <x v="1"/>
    <x v="11"/>
    <x v="158"/>
    <x v="0"/>
    <x v="1"/>
    <n v="2"/>
    <n v="0"/>
    <n v="0"/>
  </r>
  <r>
    <x v="1"/>
    <x v="11"/>
    <x v="158"/>
    <x v="0"/>
    <x v="2"/>
    <n v="3"/>
    <n v="0"/>
    <n v="0"/>
  </r>
  <r>
    <x v="1"/>
    <x v="11"/>
    <x v="158"/>
    <x v="0"/>
    <x v="3"/>
    <n v="4"/>
    <n v="7.2"/>
    <n v="18000"/>
  </r>
  <r>
    <x v="1"/>
    <x v="11"/>
    <x v="158"/>
    <x v="0"/>
    <x v="4"/>
    <n v="5"/>
    <n v="0"/>
    <n v="0"/>
  </r>
  <r>
    <x v="1"/>
    <x v="11"/>
    <x v="158"/>
    <x v="0"/>
    <x v="5"/>
    <n v="6"/>
    <n v="0"/>
    <n v="0"/>
  </r>
  <r>
    <x v="1"/>
    <x v="11"/>
    <x v="158"/>
    <x v="0"/>
    <x v="6"/>
    <n v="7"/>
    <n v="0"/>
    <n v="0"/>
  </r>
  <r>
    <x v="1"/>
    <x v="11"/>
    <x v="159"/>
    <x v="0"/>
    <x v="0"/>
    <n v="1"/>
    <n v="0"/>
    <n v="0"/>
  </r>
  <r>
    <x v="1"/>
    <x v="11"/>
    <x v="159"/>
    <x v="0"/>
    <x v="1"/>
    <n v="2"/>
    <n v="0"/>
    <n v="0"/>
  </r>
  <r>
    <x v="1"/>
    <x v="11"/>
    <x v="159"/>
    <x v="0"/>
    <x v="2"/>
    <n v="3"/>
    <n v="0"/>
    <n v="0"/>
  </r>
  <r>
    <x v="1"/>
    <x v="11"/>
    <x v="159"/>
    <x v="0"/>
    <x v="3"/>
    <n v="4"/>
    <n v="5.04"/>
    <n v="12600"/>
  </r>
  <r>
    <x v="1"/>
    <x v="11"/>
    <x v="159"/>
    <x v="0"/>
    <x v="4"/>
    <n v="5"/>
    <n v="0"/>
    <n v="0"/>
  </r>
  <r>
    <x v="1"/>
    <x v="11"/>
    <x v="159"/>
    <x v="0"/>
    <x v="5"/>
    <n v="6"/>
    <n v="0"/>
    <n v="0"/>
  </r>
  <r>
    <x v="1"/>
    <x v="11"/>
    <x v="159"/>
    <x v="0"/>
    <x v="6"/>
    <n v="7"/>
    <n v="0"/>
    <n v="0"/>
  </r>
  <r>
    <x v="1"/>
    <x v="11"/>
    <x v="67"/>
    <x v="0"/>
    <x v="0"/>
    <n v="1"/>
    <n v="0"/>
    <n v="0"/>
  </r>
  <r>
    <x v="1"/>
    <x v="11"/>
    <x v="67"/>
    <x v="0"/>
    <x v="1"/>
    <n v="2"/>
    <n v="0"/>
    <n v="0"/>
  </r>
  <r>
    <x v="1"/>
    <x v="11"/>
    <x v="67"/>
    <x v="0"/>
    <x v="2"/>
    <n v="3"/>
    <n v="0"/>
    <n v="0"/>
  </r>
  <r>
    <x v="1"/>
    <x v="11"/>
    <x v="67"/>
    <x v="0"/>
    <x v="3"/>
    <n v="4"/>
    <n v="0"/>
    <n v="0"/>
  </r>
  <r>
    <x v="1"/>
    <x v="11"/>
    <x v="67"/>
    <x v="0"/>
    <x v="4"/>
    <n v="5"/>
    <n v="0"/>
    <n v="0"/>
  </r>
  <r>
    <x v="1"/>
    <x v="11"/>
    <x v="67"/>
    <x v="0"/>
    <x v="5"/>
    <n v="6"/>
    <n v="0"/>
    <n v="0"/>
  </r>
  <r>
    <x v="1"/>
    <x v="11"/>
    <x v="67"/>
    <x v="0"/>
    <x v="6"/>
    <n v="7"/>
    <n v="0"/>
    <n v="0"/>
  </r>
  <r>
    <x v="1"/>
    <x v="11"/>
    <x v="160"/>
    <x v="0"/>
    <x v="0"/>
    <n v="1"/>
    <n v="0"/>
    <n v="0"/>
  </r>
  <r>
    <x v="1"/>
    <x v="11"/>
    <x v="160"/>
    <x v="0"/>
    <x v="1"/>
    <n v="2"/>
    <n v="0"/>
    <n v="0"/>
  </r>
  <r>
    <x v="1"/>
    <x v="11"/>
    <x v="160"/>
    <x v="0"/>
    <x v="2"/>
    <n v="3"/>
    <n v="0"/>
    <n v="0"/>
  </r>
  <r>
    <x v="1"/>
    <x v="11"/>
    <x v="160"/>
    <x v="0"/>
    <x v="3"/>
    <n v="4"/>
    <n v="11.52"/>
    <n v="28800"/>
  </r>
  <r>
    <x v="1"/>
    <x v="11"/>
    <x v="160"/>
    <x v="0"/>
    <x v="4"/>
    <n v="5"/>
    <n v="0"/>
    <n v="0"/>
  </r>
  <r>
    <x v="1"/>
    <x v="11"/>
    <x v="160"/>
    <x v="0"/>
    <x v="5"/>
    <n v="6"/>
    <n v="0"/>
    <n v="0"/>
  </r>
  <r>
    <x v="1"/>
    <x v="11"/>
    <x v="160"/>
    <x v="0"/>
    <x v="6"/>
    <n v="7"/>
    <n v="0"/>
    <n v="0"/>
  </r>
  <r>
    <x v="1"/>
    <x v="11"/>
    <x v="161"/>
    <x v="0"/>
    <x v="0"/>
    <n v="1"/>
    <n v="0"/>
    <n v="0"/>
  </r>
  <r>
    <x v="1"/>
    <x v="11"/>
    <x v="161"/>
    <x v="0"/>
    <x v="1"/>
    <n v="2"/>
    <n v="0"/>
    <n v="0"/>
  </r>
  <r>
    <x v="1"/>
    <x v="11"/>
    <x v="161"/>
    <x v="0"/>
    <x v="2"/>
    <n v="3"/>
    <n v="0"/>
    <n v="0"/>
  </r>
  <r>
    <x v="1"/>
    <x v="11"/>
    <x v="161"/>
    <x v="0"/>
    <x v="3"/>
    <n v="4"/>
    <n v="0.72"/>
    <n v="1800"/>
  </r>
  <r>
    <x v="1"/>
    <x v="11"/>
    <x v="161"/>
    <x v="0"/>
    <x v="4"/>
    <n v="5"/>
    <n v="0"/>
    <n v="0"/>
  </r>
  <r>
    <x v="1"/>
    <x v="11"/>
    <x v="161"/>
    <x v="0"/>
    <x v="5"/>
    <n v="6"/>
    <n v="0"/>
    <n v="0"/>
  </r>
  <r>
    <x v="1"/>
    <x v="11"/>
    <x v="161"/>
    <x v="0"/>
    <x v="6"/>
    <n v="7"/>
    <n v="0"/>
    <n v="0"/>
  </r>
  <r>
    <x v="1"/>
    <x v="11"/>
    <x v="162"/>
    <x v="0"/>
    <x v="0"/>
    <n v="1"/>
    <n v="0"/>
    <n v="0"/>
  </r>
  <r>
    <x v="1"/>
    <x v="11"/>
    <x v="162"/>
    <x v="0"/>
    <x v="1"/>
    <n v="2"/>
    <n v="0"/>
    <n v="0"/>
  </r>
  <r>
    <x v="1"/>
    <x v="11"/>
    <x v="162"/>
    <x v="0"/>
    <x v="2"/>
    <n v="3"/>
    <n v="0"/>
    <n v="0"/>
  </r>
  <r>
    <x v="1"/>
    <x v="11"/>
    <x v="162"/>
    <x v="0"/>
    <x v="3"/>
    <n v="4"/>
    <n v="2.16"/>
    <n v="5400"/>
  </r>
  <r>
    <x v="1"/>
    <x v="11"/>
    <x v="162"/>
    <x v="0"/>
    <x v="4"/>
    <n v="5"/>
    <n v="0"/>
    <n v="0"/>
  </r>
  <r>
    <x v="1"/>
    <x v="11"/>
    <x v="162"/>
    <x v="0"/>
    <x v="5"/>
    <n v="6"/>
    <n v="0"/>
    <n v="0"/>
  </r>
  <r>
    <x v="1"/>
    <x v="11"/>
    <x v="162"/>
    <x v="0"/>
    <x v="6"/>
    <n v="7"/>
    <n v="0"/>
    <n v="0"/>
  </r>
  <r>
    <x v="1"/>
    <x v="12"/>
    <x v="163"/>
    <x v="0"/>
    <x v="0"/>
    <n v="1"/>
    <n v="0"/>
    <n v="0"/>
  </r>
  <r>
    <x v="1"/>
    <x v="12"/>
    <x v="163"/>
    <x v="0"/>
    <x v="1"/>
    <n v="2"/>
    <n v="0"/>
    <n v="0"/>
  </r>
  <r>
    <x v="1"/>
    <x v="12"/>
    <x v="163"/>
    <x v="0"/>
    <x v="2"/>
    <n v="3"/>
    <n v="0"/>
    <n v="0"/>
  </r>
  <r>
    <x v="1"/>
    <x v="12"/>
    <x v="163"/>
    <x v="0"/>
    <x v="3"/>
    <n v="4"/>
    <n v="0"/>
    <n v="0"/>
  </r>
  <r>
    <x v="1"/>
    <x v="12"/>
    <x v="163"/>
    <x v="0"/>
    <x v="4"/>
    <n v="5"/>
    <n v="0"/>
    <n v="0"/>
  </r>
  <r>
    <x v="1"/>
    <x v="12"/>
    <x v="163"/>
    <x v="0"/>
    <x v="5"/>
    <n v="6"/>
    <n v="0"/>
    <n v="0"/>
  </r>
  <r>
    <x v="1"/>
    <x v="12"/>
    <x v="163"/>
    <x v="0"/>
    <x v="6"/>
    <n v="7"/>
    <n v="0"/>
    <n v="0"/>
  </r>
  <r>
    <x v="1"/>
    <x v="12"/>
    <x v="164"/>
    <x v="0"/>
    <x v="0"/>
    <n v="1"/>
    <n v="0"/>
    <n v="0"/>
  </r>
  <r>
    <x v="1"/>
    <x v="12"/>
    <x v="164"/>
    <x v="0"/>
    <x v="1"/>
    <n v="2"/>
    <n v="0"/>
    <n v="0"/>
  </r>
  <r>
    <x v="1"/>
    <x v="12"/>
    <x v="164"/>
    <x v="0"/>
    <x v="2"/>
    <n v="3"/>
    <n v="0"/>
    <n v="0"/>
  </r>
  <r>
    <x v="1"/>
    <x v="12"/>
    <x v="164"/>
    <x v="0"/>
    <x v="3"/>
    <n v="4"/>
    <n v="0"/>
    <n v="0"/>
  </r>
  <r>
    <x v="1"/>
    <x v="12"/>
    <x v="164"/>
    <x v="0"/>
    <x v="4"/>
    <n v="5"/>
    <n v="0"/>
    <n v="0"/>
  </r>
  <r>
    <x v="1"/>
    <x v="12"/>
    <x v="164"/>
    <x v="0"/>
    <x v="5"/>
    <n v="6"/>
    <n v="0"/>
    <n v="0"/>
  </r>
  <r>
    <x v="1"/>
    <x v="12"/>
    <x v="164"/>
    <x v="0"/>
    <x v="6"/>
    <n v="7"/>
    <n v="0"/>
    <n v="0"/>
  </r>
  <r>
    <x v="1"/>
    <x v="12"/>
    <x v="165"/>
    <x v="0"/>
    <x v="0"/>
    <n v="1"/>
    <n v="0"/>
    <n v="0"/>
  </r>
  <r>
    <x v="1"/>
    <x v="12"/>
    <x v="165"/>
    <x v="0"/>
    <x v="1"/>
    <n v="2"/>
    <n v="0"/>
    <n v="0"/>
  </r>
  <r>
    <x v="1"/>
    <x v="12"/>
    <x v="165"/>
    <x v="0"/>
    <x v="2"/>
    <n v="3"/>
    <n v="0"/>
    <n v="0"/>
  </r>
  <r>
    <x v="1"/>
    <x v="12"/>
    <x v="165"/>
    <x v="0"/>
    <x v="3"/>
    <n v="4"/>
    <n v="0.72"/>
    <n v="1800"/>
  </r>
  <r>
    <x v="1"/>
    <x v="12"/>
    <x v="165"/>
    <x v="0"/>
    <x v="4"/>
    <n v="5"/>
    <n v="0"/>
    <n v="0"/>
  </r>
  <r>
    <x v="1"/>
    <x v="12"/>
    <x v="165"/>
    <x v="0"/>
    <x v="5"/>
    <n v="6"/>
    <n v="0"/>
    <n v="0"/>
  </r>
  <r>
    <x v="1"/>
    <x v="12"/>
    <x v="165"/>
    <x v="0"/>
    <x v="6"/>
    <n v="7"/>
    <n v="0"/>
    <n v="0"/>
  </r>
  <r>
    <x v="1"/>
    <x v="12"/>
    <x v="166"/>
    <x v="0"/>
    <x v="0"/>
    <n v="1"/>
    <n v="0"/>
    <n v="0"/>
  </r>
  <r>
    <x v="1"/>
    <x v="12"/>
    <x v="166"/>
    <x v="0"/>
    <x v="1"/>
    <n v="2"/>
    <n v="0"/>
    <n v="0"/>
  </r>
  <r>
    <x v="1"/>
    <x v="12"/>
    <x v="166"/>
    <x v="0"/>
    <x v="2"/>
    <n v="3"/>
    <n v="0"/>
    <n v="0"/>
  </r>
  <r>
    <x v="1"/>
    <x v="12"/>
    <x v="166"/>
    <x v="0"/>
    <x v="3"/>
    <n v="4"/>
    <n v="2.88"/>
    <n v="7200"/>
  </r>
  <r>
    <x v="1"/>
    <x v="12"/>
    <x v="166"/>
    <x v="0"/>
    <x v="4"/>
    <n v="5"/>
    <n v="0"/>
    <n v="0"/>
  </r>
  <r>
    <x v="1"/>
    <x v="12"/>
    <x v="166"/>
    <x v="0"/>
    <x v="5"/>
    <n v="6"/>
    <n v="0"/>
    <n v="0"/>
  </r>
  <r>
    <x v="1"/>
    <x v="12"/>
    <x v="166"/>
    <x v="0"/>
    <x v="6"/>
    <n v="7"/>
    <n v="0"/>
    <n v="0"/>
  </r>
  <r>
    <x v="1"/>
    <x v="12"/>
    <x v="167"/>
    <x v="0"/>
    <x v="0"/>
    <n v="1"/>
    <n v="0"/>
    <n v="0"/>
  </r>
  <r>
    <x v="1"/>
    <x v="12"/>
    <x v="167"/>
    <x v="0"/>
    <x v="1"/>
    <n v="2"/>
    <n v="0"/>
    <n v="0"/>
  </r>
  <r>
    <x v="1"/>
    <x v="12"/>
    <x v="167"/>
    <x v="0"/>
    <x v="2"/>
    <n v="3"/>
    <n v="0"/>
    <n v="0"/>
  </r>
  <r>
    <x v="1"/>
    <x v="12"/>
    <x v="167"/>
    <x v="0"/>
    <x v="3"/>
    <n v="4"/>
    <n v="7.2"/>
    <n v="18000"/>
  </r>
  <r>
    <x v="1"/>
    <x v="12"/>
    <x v="167"/>
    <x v="0"/>
    <x v="4"/>
    <n v="5"/>
    <n v="0"/>
    <n v="0"/>
  </r>
  <r>
    <x v="1"/>
    <x v="12"/>
    <x v="167"/>
    <x v="0"/>
    <x v="5"/>
    <n v="6"/>
    <n v="0"/>
    <n v="0"/>
  </r>
  <r>
    <x v="1"/>
    <x v="12"/>
    <x v="167"/>
    <x v="0"/>
    <x v="6"/>
    <n v="7"/>
    <n v="0"/>
    <n v="0"/>
  </r>
  <r>
    <x v="1"/>
    <x v="12"/>
    <x v="168"/>
    <x v="0"/>
    <x v="0"/>
    <n v="1"/>
    <n v="0"/>
    <n v="0"/>
  </r>
  <r>
    <x v="1"/>
    <x v="12"/>
    <x v="168"/>
    <x v="0"/>
    <x v="1"/>
    <n v="2"/>
    <n v="0"/>
    <n v="0"/>
  </r>
  <r>
    <x v="1"/>
    <x v="12"/>
    <x v="168"/>
    <x v="0"/>
    <x v="2"/>
    <n v="3"/>
    <n v="0"/>
    <n v="0"/>
  </r>
  <r>
    <x v="1"/>
    <x v="12"/>
    <x v="168"/>
    <x v="0"/>
    <x v="3"/>
    <n v="4"/>
    <n v="3.6"/>
    <n v="9000"/>
  </r>
  <r>
    <x v="1"/>
    <x v="12"/>
    <x v="168"/>
    <x v="0"/>
    <x v="4"/>
    <n v="5"/>
    <n v="0"/>
    <n v="0"/>
  </r>
  <r>
    <x v="1"/>
    <x v="12"/>
    <x v="168"/>
    <x v="0"/>
    <x v="5"/>
    <n v="6"/>
    <n v="0"/>
    <n v="0"/>
  </r>
  <r>
    <x v="1"/>
    <x v="12"/>
    <x v="168"/>
    <x v="0"/>
    <x v="6"/>
    <n v="7"/>
    <n v="0"/>
    <n v="0"/>
  </r>
  <r>
    <x v="1"/>
    <x v="12"/>
    <x v="169"/>
    <x v="0"/>
    <x v="0"/>
    <n v="1"/>
    <n v="0"/>
    <n v="0"/>
  </r>
  <r>
    <x v="1"/>
    <x v="12"/>
    <x v="169"/>
    <x v="0"/>
    <x v="1"/>
    <n v="2"/>
    <n v="0"/>
    <n v="0"/>
  </r>
  <r>
    <x v="1"/>
    <x v="12"/>
    <x v="169"/>
    <x v="0"/>
    <x v="2"/>
    <n v="3"/>
    <n v="0"/>
    <n v="0"/>
  </r>
  <r>
    <x v="1"/>
    <x v="12"/>
    <x v="169"/>
    <x v="0"/>
    <x v="3"/>
    <n v="4"/>
    <n v="0"/>
    <n v="0"/>
  </r>
  <r>
    <x v="1"/>
    <x v="12"/>
    <x v="169"/>
    <x v="0"/>
    <x v="4"/>
    <n v="5"/>
    <n v="0"/>
    <n v="0"/>
  </r>
  <r>
    <x v="1"/>
    <x v="12"/>
    <x v="169"/>
    <x v="0"/>
    <x v="5"/>
    <n v="6"/>
    <n v="0"/>
    <n v="0"/>
  </r>
  <r>
    <x v="1"/>
    <x v="12"/>
    <x v="169"/>
    <x v="0"/>
    <x v="6"/>
    <n v="7"/>
    <n v="0"/>
    <n v="0"/>
  </r>
  <r>
    <x v="1"/>
    <x v="12"/>
    <x v="170"/>
    <x v="0"/>
    <x v="0"/>
    <n v="1"/>
    <n v="0"/>
    <n v="0"/>
  </r>
  <r>
    <x v="1"/>
    <x v="12"/>
    <x v="170"/>
    <x v="0"/>
    <x v="1"/>
    <n v="2"/>
    <n v="0"/>
    <n v="0"/>
  </r>
  <r>
    <x v="1"/>
    <x v="12"/>
    <x v="170"/>
    <x v="0"/>
    <x v="2"/>
    <n v="3"/>
    <n v="0"/>
    <n v="0"/>
  </r>
  <r>
    <x v="1"/>
    <x v="12"/>
    <x v="170"/>
    <x v="0"/>
    <x v="3"/>
    <n v="4"/>
    <n v="10.8"/>
    <n v="27000"/>
  </r>
  <r>
    <x v="1"/>
    <x v="12"/>
    <x v="170"/>
    <x v="0"/>
    <x v="4"/>
    <n v="5"/>
    <n v="0"/>
    <n v="0"/>
  </r>
  <r>
    <x v="1"/>
    <x v="12"/>
    <x v="170"/>
    <x v="0"/>
    <x v="5"/>
    <n v="6"/>
    <n v="0"/>
    <n v="0"/>
  </r>
  <r>
    <x v="1"/>
    <x v="12"/>
    <x v="170"/>
    <x v="0"/>
    <x v="6"/>
    <n v="7"/>
    <n v="0"/>
    <n v="0"/>
  </r>
  <r>
    <x v="1"/>
    <x v="12"/>
    <x v="171"/>
    <x v="0"/>
    <x v="0"/>
    <n v="1"/>
    <n v="0"/>
    <n v="0"/>
  </r>
  <r>
    <x v="1"/>
    <x v="12"/>
    <x v="171"/>
    <x v="0"/>
    <x v="1"/>
    <n v="2"/>
    <n v="0"/>
    <n v="0"/>
  </r>
  <r>
    <x v="1"/>
    <x v="12"/>
    <x v="171"/>
    <x v="0"/>
    <x v="2"/>
    <n v="3"/>
    <n v="0"/>
    <n v="0"/>
  </r>
  <r>
    <x v="1"/>
    <x v="12"/>
    <x v="171"/>
    <x v="0"/>
    <x v="3"/>
    <n v="4"/>
    <n v="2.16"/>
    <n v="5400"/>
  </r>
  <r>
    <x v="1"/>
    <x v="12"/>
    <x v="171"/>
    <x v="0"/>
    <x v="4"/>
    <n v="5"/>
    <n v="0"/>
    <n v="0"/>
  </r>
  <r>
    <x v="1"/>
    <x v="12"/>
    <x v="171"/>
    <x v="0"/>
    <x v="5"/>
    <n v="6"/>
    <n v="0"/>
    <n v="0"/>
  </r>
  <r>
    <x v="1"/>
    <x v="12"/>
    <x v="171"/>
    <x v="0"/>
    <x v="6"/>
    <n v="7"/>
    <n v="0"/>
    <n v="0"/>
  </r>
  <r>
    <x v="1"/>
    <x v="12"/>
    <x v="172"/>
    <x v="0"/>
    <x v="0"/>
    <n v="1"/>
    <n v="0"/>
    <n v="0"/>
  </r>
  <r>
    <x v="1"/>
    <x v="12"/>
    <x v="172"/>
    <x v="0"/>
    <x v="1"/>
    <n v="2"/>
    <n v="0"/>
    <n v="0"/>
  </r>
  <r>
    <x v="1"/>
    <x v="12"/>
    <x v="172"/>
    <x v="0"/>
    <x v="2"/>
    <n v="3"/>
    <n v="0"/>
    <n v="0"/>
  </r>
  <r>
    <x v="1"/>
    <x v="12"/>
    <x v="172"/>
    <x v="0"/>
    <x v="3"/>
    <n v="4"/>
    <n v="3.6"/>
    <n v="9000"/>
  </r>
  <r>
    <x v="1"/>
    <x v="12"/>
    <x v="172"/>
    <x v="0"/>
    <x v="4"/>
    <n v="5"/>
    <n v="0"/>
    <n v="0"/>
  </r>
  <r>
    <x v="1"/>
    <x v="12"/>
    <x v="172"/>
    <x v="0"/>
    <x v="5"/>
    <n v="6"/>
    <n v="0"/>
    <n v="0"/>
  </r>
  <r>
    <x v="1"/>
    <x v="12"/>
    <x v="172"/>
    <x v="0"/>
    <x v="6"/>
    <n v="7"/>
    <n v="0"/>
    <n v="0"/>
  </r>
  <r>
    <x v="1"/>
    <x v="12"/>
    <x v="173"/>
    <x v="0"/>
    <x v="0"/>
    <n v="1"/>
    <n v="0"/>
    <n v="0"/>
  </r>
  <r>
    <x v="1"/>
    <x v="12"/>
    <x v="173"/>
    <x v="0"/>
    <x v="1"/>
    <n v="2"/>
    <n v="0"/>
    <n v="0"/>
  </r>
  <r>
    <x v="1"/>
    <x v="12"/>
    <x v="173"/>
    <x v="0"/>
    <x v="2"/>
    <n v="3"/>
    <n v="0"/>
    <n v="0"/>
  </r>
  <r>
    <x v="1"/>
    <x v="12"/>
    <x v="173"/>
    <x v="0"/>
    <x v="3"/>
    <n v="4"/>
    <n v="0"/>
    <n v="0"/>
  </r>
  <r>
    <x v="1"/>
    <x v="12"/>
    <x v="173"/>
    <x v="0"/>
    <x v="4"/>
    <n v="5"/>
    <n v="0"/>
    <n v="0"/>
  </r>
  <r>
    <x v="1"/>
    <x v="12"/>
    <x v="173"/>
    <x v="0"/>
    <x v="5"/>
    <n v="6"/>
    <n v="0"/>
    <n v="0"/>
  </r>
  <r>
    <x v="1"/>
    <x v="12"/>
    <x v="173"/>
    <x v="0"/>
    <x v="6"/>
    <n v="7"/>
    <n v="0"/>
    <n v="0"/>
  </r>
  <r>
    <x v="1"/>
    <x v="12"/>
    <x v="174"/>
    <x v="0"/>
    <x v="0"/>
    <n v="1"/>
    <n v="0"/>
    <n v="0"/>
  </r>
  <r>
    <x v="1"/>
    <x v="12"/>
    <x v="174"/>
    <x v="0"/>
    <x v="1"/>
    <n v="2"/>
    <n v="0"/>
    <n v="0"/>
  </r>
  <r>
    <x v="1"/>
    <x v="12"/>
    <x v="174"/>
    <x v="0"/>
    <x v="2"/>
    <n v="3"/>
    <n v="0"/>
    <n v="0"/>
  </r>
  <r>
    <x v="1"/>
    <x v="12"/>
    <x v="174"/>
    <x v="0"/>
    <x v="3"/>
    <n v="4"/>
    <n v="0.72"/>
    <n v="1800"/>
  </r>
  <r>
    <x v="1"/>
    <x v="12"/>
    <x v="174"/>
    <x v="0"/>
    <x v="4"/>
    <n v="5"/>
    <n v="0"/>
    <n v="0"/>
  </r>
  <r>
    <x v="1"/>
    <x v="12"/>
    <x v="174"/>
    <x v="0"/>
    <x v="5"/>
    <n v="6"/>
    <n v="0"/>
    <n v="0"/>
  </r>
  <r>
    <x v="1"/>
    <x v="12"/>
    <x v="174"/>
    <x v="0"/>
    <x v="6"/>
    <n v="7"/>
    <n v="0"/>
    <n v="0"/>
  </r>
  <r>
    <x v="1"/>
    <x v="12"/>
    <x v="175"/>
    <x v="0"/>
    <x v="0"/>
    <n v="1"/>
    <n v="0"/>
    <n v="0"/>
  </r>
  <r>
    <x v="1"/>
    <x v="12"/>
    <x v="175"/>
    <x v="0"/>
    <x v="1"/>
    <n v="2"/>
    <n v="0"/>
    <n v="0"/>
  </r>
  <r>
    <x v="1"/>
    <x v="12"/>
    <x v="175"/>
    <x v="0"/>
    <x v="2"/>
    <n v="3"/>
    <n v="0"/>
    <n v="0"/>
  </r>
  <r>
    <x v="1"/>
    <x v="12"/>
    <x v="175"/>
    <x v="0"/>
    <x v="3"/>
    <n v="4"/>
    <n v="0.72"/>
    <n v="1800"/>
  </r>
  <r>
    <x v="1"/>
    <x v="12"/>
    <x v="175"/>
    <x v="0"/>
    <x v="4"/>
    <n v="5"/>
    <n v="0"/>
    <n v="0"/>
  </r>
  <r>
    <x v="1"/>
    <x v="12"/>
    <x v="175"/>
    <x v="0"/>
    <x v="5"/>
    <n v="6"/>
    <n v="0"/>
    <n v="0"/>
  </r>
  <r>
    <x v="1"/>
    <x v="12"/>
    <x v="175"/>
    <x v="0"/>
    <x v="6"/>
    <n v="7"/>
    <n v="0"/>
    <n v="0"/>
  </r>
  <r>
    <x v="1"/>
    <x v="12"/>
    <x v="176"/>
    <x v="0"/>
    <x v="0"/>
    <n v="1"/>
    <n v="0"/>
    <n v="0"/>
  </r>
  <r>
    <x v="1"/>
    <x v="12"/>
    <x v="176"/>
    <x v="0"/>
    <x v="1"/>
    <n v="2"/>
    <n v="0"/>
    <n v="0"/>
  </r>
  <r>
    <x v="1"/>
    <x v="12"/>
    <x v="176"/>
    <x v="0"/>
    <x v="2"/>
    <n v="3"/>
    <n v="0"/>
    <n v="0"/>
  </r>
  <r>
    <x v="1"/>
    <x v="12"/>
    <x v="176"/>
    <x v="0"/>
    <x v="3"/>
    <n v="4"/>
    <n v="0"/>
    <n v="0"/>
  </r>
  <r>
    <x v="1"/>
    <x v="12"/>
    <x v="176"/>
    <x v="0"/>
    <x v="4"/>
    <n v="5"/>
    <n v="0"/>
    <n v="0"/>
  </r>
  <r>
    <x v="1"/>
    <x v="12"/>
    <x v="176"/>
    <x v="0"/>
    <x v="5"/>
    <n v="6"/>
    <n v="0"/>
    <n v="0"/>
  </r>
  <r>
    <x v="1"/>
    <x v="12"/>
    <x v="176"/>
    <x v="0"/>
    <x v="6"/>
    <n v="7"/>
    <n v="0"/>
    <n v="0"/>
  </r>
  <r>
    <x v="1"/>
    <x v="12"/>
    <x v="177"/>
    <x v="0"/>
    <x v="0"/>
    <n v="1"/>
    <n v="0"/>
    <n v="0"/>
  </r>
  <r>
    <x v="1"/>
    <x v="12"/>
    <x v="177"/>
    <x v="0"/>
    <x v="1"/>
    <n v="2"/>
    <n v="0"/>
    <n v="0"/>
  </r>
  <r>
    <x v="1"/>
    <x v="12"/>
    <x v="177"/>
    <x v="0"/>
    <x v="2"/>
    <n v="3"/>
    <n v="0"/>
    <n v="0"/>
  </r>
  <r>
    <x v="1"/>
    <x v="12"/>
    <x v="177"/>
    <x v="0"/>
    <x v="3"/>
    <n v="4"/>
    <n v="5.76"/>
    <n v="14400"/>
  </r>
  <r>
    <x v="1"/>
    <x v="12"/>
    <x v="177"/>
    <x v="0"/>
    <x v="4"/>
    <n v="5"/>
    <n v="0"/>
    <n v="0"/>
  </r>
  <r>
    <x v="1"/>
    <x v="12"/>
    <x v="177"/>
    <x v="0"/>
    <x v="5"/>
    <n v="6"/>
    <n v="0"/>
    <n v="0"/>
  </r>
  <r>
    <x v="1"/>
    <x v="12"/>
    <x v="177"/>
    <x v="0"/>
    <x v="6"/>
    <n v="7"/>
    <n v="0"/>
    <n v="0"/>
  </r>
  <r>
    <x v="1"/>
    <x v="12"/>
    <x v="178"/>
    <x v="0"/>
    <x v="0"/>
    <n v="1"/>
    <n v="0"/>
    <n v="0"/>
  </r>
  <r>
    <x v="1"/>
    <x v="12"/>
    <x v="178"/>
    <x v="0"/>
    <x v="1"/>
    <n v="2"/>
    <n v="0"/>
    <n v="0"/>
  </r>
  <r>
    <x v="1"/>
    <x v="12"/>
    <x v="178"/>
    <x v="0"/>
    <x v="2"/>
    <n v="3"/>
    <n v="0"/>
    <n v="0"/>
  </r>
  <r>
    <x v="1"/>
    <x v="12"/>
    <x v="178"/>
    <x v="0"/>
    <x v="3"/>
    <n v="4"/>
    <n v="4.32"/>
    <n v="10800"/>
  </r>
  <r>
    <x v="1"/>
    <x v="12"/>
    <x v="178"/>
    <x v="0"/>
    <x v="4"/>
    <n v="5"/>
    <n v="0"/>
    <n v="0"/>
  </r>
  <r>
    <x v="1"/>
    <x v="12"/>
    <x v="178"/>
    <x v="0"/>
    <x v="5"/>
    <n v="6"/>
    <n v="0"/>
    <n v="0"/>
  </r>
  <r>
    <x v="1"/>
    <x v="12"/>
    <x v="178"/>
    <x v="0"/>
    <x v="6"/>
    <n v="7"/>
    <n v="0"/>
    <n v="0"/>
  </r>
  <r>
    <x v="1"/>
    <x v="12"/>
    <x v="179"/>
    <x v="0"/>
    <x v="0"/>
    <n v="1"/>
    <n v="0"/>
    <n v="0"/>
  </r>
  <r>
    <x v="1"/>
    <x v="12"/>
    <x v="179"/>
    <x v="0"/>
    <x v="1"/>
    <n v="2"/>
    <n v="0"/>
    <n v="0"/>
  </r>
  <r>
    <x v="1"/>
    <x v="12"/>
    <x v="179"/>
    <x v="0"/>
    <x v="2"/>
    <n v="3"/>
    <n v="0"/>
    <n v="0"/>
  </r>
  <r>
    <x v="1"/>
    <x v="12"/>
    <x v="179"/>
    <x v="0"/>
    <x v="3"/>
    <n v="4"/>
    <n v="2.16"/>
    <n v="5400"/>
  </r>
  <r>
    <x v="1"/>
    <x v="12"/>
    <x v="179"/>
    <x v="0"/>
    <x v="4"/>
    <n v="5"/>
    <n v="0"/>
    <n v="0"/>
  </r>
  <r>
    <x v="1"/>
    <x v="12"/>
    <x v="179"/>
    <x v="0"/>
    <x v="5"/>
    <n v="6"/>
    <n v="0"/>
    <n v="0"/>
  </r>
  <r>
    <x v="1"/>
    <x v="12"/>
    <x v="179"/>
    <x v="0"/>
    <x v="6"/>
    <n v="7"/>
    <n v="0"/>
    <n v="0"/>
  </r>
  <r>
    <x v="1"/>
    <x v="12"/>
    <x v="180"/>
    <x v="0"/>
    <x v="0"/>
    <n v="1"/>
    <n v="0"/>
    <n v="0"/>
  </r>
  <r>
    <x v="1"/>
    <x v="12"/>
    <x v="180"/>
    <x v="0"/>
    <x v="1"/>
    <n v="2"/>
    <n v="0"/>
    <n v="0"/>
  </r>
  <r>
    <x v="1"/>
    <x v="12"/>
    <x v="180"/>
    <x v="0"/>
    <x v="2"/>
    <n v="3"/>
    <n v="0"/>
    <n v="0"/>
  </r>
  <r>
    <x v="1"/>
    <x v="12"/>
    <x v="180"/>
    <x v="0"/>
    <x v="3"/>
    <n v="4"/>
    <n v="0"/>
    <n v="0"/>
  </r>
  <r>
    <x v="1"/>
    <x v="12"/>
    <x v="180"/>
    <x v="0"/>
    <x v="4"/>
    <n v="5"/>
    <n v="0"/>
    <n v="0"/>
  </r>
  <r>
    <x v="1"/>
    <x v="12"/>
    <x v="180"/>
    <x v="0"/>
    <x v="5"/>
    <n v="6"/>
    <n v="0"/>
    <n v="0"/>
  </r>
  <r>
    <x v="1"/>
    <x v="12"/>
    <x v="180"/>
    <x v="0"/>
    <x v="6"/>
    <n v="7"/>
    <n v="0"/>
    <n v="0"/>
  </r>
  <r>
    <x v="1"/>
    <x v="12"/>
    <x v="181"/>
    <x v="0"/>
    <x v="0"/>
    <n v="1"/>
    <n v="0"/>
    <n v="0"/>
  </r>
  <r>
    <x v="1"/>
    <x v="12"/>
    <x v="181"/>
    <x v="0"/>
    <x v="1"/>
    <n v="2"/>
    <n v="0"/>
    <n v="0"/>
  </r>
  <r>
    <x v="1"/>
    <x v="12"/>
    <x v="181"/>
    <x v="0"/>
    <x v="2"/>
    <n v="3"/>
    <n v="0"/>
    <n v="0"/>
  </r>
  <r>
    <x v="1"/>
    <x v="12"/>
    <x v="181"/>
    <x v="0"/>
    <x v="3"/>
    <n v="4"/>
    <n v="2.88"/>
    <n v="7200"/>
  </r>
  <r>
    <x v="1"/>
    <x v="12"/>
    <x v="181"/>
    <x v="0"/>
    <x v="4"/>
    <n v="5"/>
    <n v="0"/>
    <n v="0"/>
  </r>
  <r>
    <x v="1"/>
    <x v="12"/>
    <x v="181"/>
    <x v="0"/>
    <x v="5"/>
    <n v="6"/>
    <n v="0"/>
    <n v="0"/>
  </r>
  <r>
    <x v="1"/>
    <x v="12"/>
    <x v="181"/>
    <x v="0"/>
    <x v="6"/>
    <n v="7"/>
    <n v="0"/>
    <n v="0"/>
  </r>
  <r>
    <x v="1"/>
    <x v="12"/>
    <x v="182"/>
    <x v="0"/>
    <x v="0"/>
    <n v="1"/>
    <n v="0"/>
    <n v="0"/>
  </r>
  <r>
    <x v="1"/>
    <x v="12"/>
    <x v="182"/>
    <x v="0"/>
    <x v="1"/>
    <n v="2"/>
    <n v="0"/>
    <n v="0"/>
  </r>
  <r>
    <x v="1"/>
    <x v="12"/>
    <x v="182"/>
    <x v="0"/>
    <x v="2"/>
    <n v="3"/>
    <n v="0"/>
    <n v="0"/>
  </r>
  <r>
    <x v="1"/>
    <x v="12"/>
    <x v="182"/>
    <x v="0"/>
    <x v="3"/>
    <n v="4"/>
    <n v="0"/>
    <n v="0"/>
  </r>
  <r>
    <x v="1"/>
    <x v="12"/>
    <x v="182"/>
    <x v="0"/>
    <x v="4"/>
    <n v="5"/>
    <n v="0"/>
    <n v="0"/>
  </r>
  <r>
    <x v="1"/>
    <x v="12"/>
    <x v="182"/>
    <x v="0"/>
    <x v="5"/>
    <n v="6"/>
    <n v="0"/>
    <n v="0"/>
  </r>
  <r>
    <x v="1"/>
    <x v="12"/>
    <x v="182"/>
    <x v="0"/>
    <x v="6"/>
    <n v="7"/>
    <n v="0"/>
    <n v="0"/>
  </r>
  <r>
    <x v="1"/>
    <x v="12"/>
    <x v="183"/>
    <x v="0"/>
    <x v="0"/>
    <n v="1"/>
    <n v="0"/>
    <n v="0"/>
  </r>
  <r>
    <x v="1"/>
    <x v="12"/>
    <x v="183"/>
    <x v="0"/>
    <x v="1"/>
    <n v="2"/>
    <n v="0"/>
    <n v="0"/>
  </r>
  <r>
    <x v="1"/>
    <x v="12"/>
    <x v="183"/>
    <x v="0"/>
    <x v="2"/>
    <n v="3"/>
    <n v="0"/>
    <n v="0"/>
  </r>
  <r>
    <x v="1"/>
    <x v="12"/>
    <x v="183"/>
    <x v="0"/>
    <x v="3"/>
    <n v="4"/>
    <n v="0"/>
    <n v="0"/>
  </r>
  <r>
    <x v="1"/>
    <x v="12"/>
    <x v="183"/>
    <x v="0"/>
    <x v="4"/>
    <n v="5"/>
    <n v="0"/>
    <n v="0"/>
  </r>
  <r>
    <x v="1"/>
    <x v="12"/>
    <x v="183"/>
    <x v="0"/>
    <x v="5"/>
    <n v="6"/>
    <n v="0"/>
    <n v="0"/>
  </r>
  <r>
    <x v="1"/>
    <x v="12"/>
    <x v="183"/>
    <x v="0"/>
    <x v="6"/>
    <n v="7"/>
    <n v="0"/>
    <n v="0"/>
  </r>
  <r>
    <x v="1"/>
    <x v="12"/>
    <x v="184"/>
    <x v="0"/>
    <x v="0"/>
    <n v="1"/>
    <n v="0"/>
    <n v="0"/>
  </r>
  <r>
    <x v="1"/>
    <x v="12"/>
    <x v="184"/>
    <x v="0"/>
    <x v="1"/>
    <n v="2"/>
    <n v="0"/>
    <n v="0"/>
  </r>
  <r>
    <x v="1"/>
    <x v="12"/>
    <x v="184"/>
    <x v="0"/>
    <x v="2"/>
    <n v="3"/>
    <n v="0"/>
    <n v="0"/>
  </r>
  <r>
    <x v="1"/>
    <x v="12"/>
    <x v="184"/>
    <x v="0"/>
    <x v="3"/>
    <n v="4"/>
    <n v="0"/>
    <n v="0"/>
  </r>
  <r>
    <x v="1"/>
    <x v="12"/>
    <x v="184"/>
    <x v="0"/>
    <x v="4"/>
    <n v="5"/>
    <n v="0"/>
    <n v="0"/>
  </r>
  <r>
    <x v="1"/>
    <x v="12"/>
    <x v="184"/>
    <x v="0"/>
    <x v="5"/>
    <n v="6"/>
    <n v="0"/>
    <n v="0"/>
  </r>
  <r>
    <x v="1"/>
    <x v="12"/>
    <x v="184"/>
    <x v="0"/>
    <x v="6"/>
    <n v="7"/>
    <n v="0"/>
    <n v="0"/>
  </r>
  <r>
    <x v="1"/>
    <x v="12"/>
    <x v="185"/>
    <x v="0"/>
    <x v="0"/>
    <n v="1"/>
    <n v="0"/>
    <n v="0"/>
  </r>
  <r>
    <x v="1"/>
    <x v="12"/>
    <x v="185"/>
    <x v="0"/>
    <x v="1"/>
    <n v="2"/>
    <n v="0"/>
    <n v="0"/>
  </r>
  <r>
    <x v="1"/>
    <x v="12"/>
    <x v="185"/>
    <x v="0"/>
    <x v="2"/>
    <n v="3"/>
    <n v="0"/>
    <n v="0"/>
  </r>
  <r>
    <x v="1"/>
    <x v="12"/>
    <x v="185"/>
    <x v="0"/>
    <x v="3"/>
    <n v="4"/>
    <n v="0"/>
    <n v="0"/>
  </r>
  <r>
    <x v="1"/>
    <x v="12"/>
    <x v="185"/>
    <x v="0"/>
    <x v="4"/>
    <n v="5"/>
    <n v="0"/>
    <n v="0"/>
  </r>
  <r>
    <x v="1"/>
    <x v="12"/>
    <x v="185"/>
    <x v="0"/>
    <x v="5"/>
    <n v="6"/>
    <n v="0"/>
    <n v="0"/>
  </r>
  <r>
    <x v="1"/>
    <x v="12"/>
    <x v="185"/>
    <x v="0"/>
    <x v="6"/>
    <n v="7"/>
    <n v="0"/>
    <n v="0"/>
  </r>
  <r>
    <x v="1"/>
    <x v="12"/>
    <x v="186"/>
    <x v="0"/>
    <x v="0"/>
    <n v="1"/>
    <n v="0"/>
    <n v="0"/>
  </r>
  <r>
    <x v="1"/>
    <x v="12"/>
    <x v="186"/>
    <x v="0"/>
    <x v="1"/>
    <n v="2"/>
    <n v="0"/>
    <n v="0"/>
  </r>
  <r>
    <x v="1"/>
    <x v="12"/>
    <x v="186"/>
    <x v="0"/>
    <x v="2"/>
    <n v="3"/>
    <n v="0"/>
    <n v="0"/>
  </r>
  <r>
    <x v="1"/>
    <x v="12"/>
    <x v="186"/>
    <x v="0"/>
    <x v="3"/>
    <n v="4"/>
    <n v="0.72"/>
    <n v="1800"/>
  </r>
  <r>
    <x v="1"/>
    <x v="12"/>
    <x v="186"/>
    <x v="0"/>
    <x v="4"/>
    <n v="5"/>
    <n v="0"/>
    <n v="0"/>
  </r>
  <r>
    <x v="1"/>
    <x v="12"/>
    <x v="186"/>
    <x v="0"/>
    <x v="5"/>
    <n v="6"/>
    <n v="0"/>
    <n v="0"/>
  </r>
  <r>
    <x v="1"/>
    <x v="12"/>
    <x v="186"/>
    <x v="0"/>
    <x v="6"/>
    <n v="7"/>
    <n v="0"/>
    <n v="0"/>
  </r>
  <r>
    <x v="1"/>
    <x v="13"/>
    <x v="187"/>
    <x v="0"/>
    <x v="0"/>
    <n v="1"/>
    <n v="0"/>
    <n v="0"/>
  </r>
  <r>
    <x v="1"/>
    <x v="13"/>
    <x v="187"/>
    <x v="0"/>
    <x v="1"/>
    <n v="2"/>
    <n v="0"/>
    <n v="0"/>
  </r>
  <r>
    <x v="1"/>
    <x v="13"/>
    <x v="187"/>
    <x v="0"/>
    <x v="2"/>
    <n v="3"/>
    <n v="0"/>
    <n v="0"/>
  </r>
  <r>
    <x v="1"/>
    <x v="13"/>
    <x v="187"/>
    <x v="0"/>
    <x v="3"/>
    <n v="4"/>
    <n v="2.16"/>
    <n v="5400"/>
  </r>
  <r>
    <x v="1"/>
    <x v="13"/>
    <x v="187"/>
    <x v="0"/>
    <x v="4"/>
    <n v="5"/>
    <n v="0"/>
    <n v="0"/>
  </r>
  <r>
    <x v="1"/>
    <x v="13"/>
    <x v="187"/>
    <x v="0"/>
    <x v="5"/>
    <n v="6"/>
    <n v="0"/>
    <n v="0"/>
  </r>
  <r>
    <x v="1"/>
    <x v="13"/>
    <x v="187"/>
    <x v="0"/>
    <x v="6"/>
    <n v="7"/>
    <n v="0"/>
    <n v="0"/>
  </r>
  <r>
    <x v="1"/>
    <x v="13"/>
    <x v="188"/>
    <x v="0"/>
    <x v="0"/>
    <n v="1"/>
    <n v="0"/>
    <n v="0"/>
  </r>
  <r>
    <x v="1"/>
    <x v="13"/>
    <x v="188"/>
    <x v="0"/>
    <x v="1"/>
    <n v="2"/>
    <n v="0"/>
    <n v="0"/>
  </r>
  <r>
    <x v="1"/>
    <x v="13"/>
    <x v="188"/>
    <x v="0"/>
    <x v="2"/>
    <n v="3"/>
    <n v="0"/>
    <n v="0"/>
  </r>
  <r>
    <x v="1"/>
    <x v="13"/>
    <x v="188"/>
    <x v="0"/>
    <x v="3"/>
    <n v="4"/>
    <n v="0"/>
    <n v="0"/>
  </r>
  <r>
    <x v="1"/>
    <x v="13"/>
    <x v="188"/>
    <x v="0"/>
    <x v="4"/>
    <n v="5"/>
    <n v="0"/>
    <n v="0"/>
  </r>
  <r>
    <x v="1"/>
    <x v="13"/>
    <x v="188"/>
    <x v="0"/>
    <x v="5"/>
    <n v="6"/>
    <n v="0"/>
    <n v="0"/>
  </r>
  <r>
    <x v="1"/>
    <x v="13"/>
    <x v="188"/>
    <x v="0"/>
    <x v="6"/>
    <n v="7"/>
    <n v="0"/>
    <n v="0"/>
  </r>
  <r>
    <x v="1"/>
    <x v="13"/>
    <x v="189"/>
    <x v="0"/>
    <x v="0"/>
    <n v="1"/>
    <n v="0"/>
    <n v="0"/>
  </r>
  <r>
    <x v="1"/>
    <x v="13"/>
    <x v="189"/>
    <x v="0"/>
    <x v="1"/>
    <n v="2"/>
    <n v="0"/>
    <n v="0"/>
  </r>
  <r>
    <x v="1"/>
    <x v="13"/>
    <x v="189"/>
    <x v="0"/>
    <x v="2"/>
    <n v="3"/>
    <n v="0"/>
    <n v="0"/>
  </r>
  <r>
    <x v="1"/>
    <x v="13"/>
    <x v="189"/>
    <x v="0"/>
    <x v="3"/>
    <n v="4"/>
    <n v="5.04"/>
    <n v="12600"/>
  </r>
  <r>
    <x v="1"/>
    <x v="13"/>
    <x v="189"/>
    <x v="0"/>
    <x v="4"/>
    <n v="5"/>
    <n v="0"/>
    <n v="0"/>
  </r>
  <r>
    <x v="1"/>
    <x v="13"/>
    <x v="189"/>
    <x v="0"/>
    <x v="5"/>
    <n v="6"/>
    <n v="0"/>
    <n v="0"/>
  </r>
  <r>
    <x v="1"/>
    <x v="13"/>
    <x v="189"/>
    <x v="0"/>
    <x v="6"/>
    <n v="7"/>
    <n v="0"/>
    <n v="0"/>
  </r>
  <r>
    <x v="1"/>
    <x v="13"/>
    <x v="190"/>
    <x v="0"/>
    <x v="0"/>
    <n v="1"/>
    <n v="0"/>
    <n v="0"/>
  </r>
  <r>
    <x v="1"/>
    <x v="13"/>
    <x v="190"/>
    <x v="0"/>
    <x v="1"/>
    <n v="2"/>
    <n v="0"/>
    <n v="0"/>
  </r>
  <r>
    <x v="1"/>
    <x v="13"/>
    <x v="190"/>
    <x v="0"/>
    <x v="2"/>
    <n v="3"/>
    <n v="0"/>
    <n v="0"/>
  </r>
  <r>
    <x v="1"/>
    <x v="13"/>
    <x v="190"/>
    <x v="0"/>
    <x v="3"/>
    <n v="4"/>
    <n v="1.44"/>
    <n v="3600"/>
  </r>
  <r>
    <x v="1"/>
    <x v="13"/>
    <x v="190"/>
    <x v="0"/>
    <x v="4"/>
    <n v="5"/>
    <n v="0"/>
    <n v="0"/>
  </r>
  <r>
    <x v="1"/>
    <x v="13"/>
    <x v="190"/>
    <x v="0"/>
    <x v="5"/>
    <n v="6"/>
    <n v="0"/>
    <n v="0"/>
  </r>
  <r>
    <x v="1"/>
    <x v="13"/>
    <x v="190"/>
    <x v="0"/>
    <x v="6"/>
    <n v="7"/>
    <n v="0"/>
    <n v="0"/>
  </r>
  <r>
    <x v="1"/>
    <x v="13"/>
    <x v="191"/>
    <x v="0"/>
    <x v="0"/>
    <n v="1"/>
    <n v="0"/>
    <n v="0"/>
  </r>
  <r>
    <x v="1"/>
    <x v="13"/>
    <x v="191"/>
    <x v="0"/>
    <x v="1"/>
    <n v="2"/>
    <n v="0"/>
    <n v="0"/>
  </r>
  <r>
    <x v="1"/>
    <x v="13"/>
    <x v="191"/>
    <x v="0"/>
    <x v="2"/>
    <n v="3"/>
    <n v="0"/>
    <n v="0"/>
  </r>
  <r>
    <x v="1"/>
    <x v="13"/>
    <x v="191"/>
    <x v="0"/>
    <x v="3"/>
    <n v="4"/>
    <n v="3.6"/>
    <n v="9000"/>
  </r>
  <r>
    <x v="1"/>
    <x v="13"/>
    <x v="191"/>
    <x v="0"/>
    <x v="4"/>
    <n v="5"/>
    <n v="0"/>
    <n v="0"/>
  </r>
  <r>
    <x v="1"/>
    <x v="13"/>
    <x v="191"/>
    <x v="0"/>
    <x v="5"/>
    <n v="6"/>
    <n v="0"/>
    <n v="0"/>
  </r>
  <r>
    <x v="1"/>
    <x v="13"/>
    <x v="191"/>
    <x v="0"/>
    <x v="6"/>
    <n v="7"/>
    <n v="0"/>
    <n v="0"/>
  </r>
  <r>
    <x v="1"/>
    <x v="13"/>
    <x v="192"/>
    <x v="0"/>
    <x v="0"/>
    <n v="1"/>
    <n v="0"/>
    <n v="0"/>
  </r>
  <r>
    <x v="1"/>
    <x v="13"/>
    <x v="192"/>
    <x v="0"/>
    <x v="1"/>
    <n v="2"/>
    <n v="0"/>
    <n v="0"/>
  </r>
  <r>
    <x v="1"/>
    <x v="13"/>
    <x v="192"/>
    <x v="0"/>
    <x v="2"/>
    <n v="3"/>
    <n v="0"/>
    <n v="0"/>
  </r>
  <r>
    <x v="1"/>
    <x v="13"/>
    <x v="192"/>
    <x v="0"/>
    <x v="3"/>
    <n v="4"/>
    <n v="0"/>
    <n v="0"/>
  </r>
  <r>
    <x v="1"/>
    <x v="13"/>
    <x v="192"/>
    <x v="0"/>
    <x v="4"/>
    <n v="5"/>
    <n v="0"/>
    <n v="0"/>
  </r>
  <r>
    <x v="1"/>
    <x v="13"/>
    <x v="192"/>
    <x v="0"/>
    <x v="5"/>
    <n v="6"/>
    <n v="0"/>
    <n v="0"/>
  </r>
  <r>
    <x v="1"/>
    <x v="13"/>
    <x v="192"/>
    <x v="0"/>
    <x v="6"/>
    <n v="7"/>
    <n v="0"/>
    <n v="0"/>
  </r>
  <r>
    <x v="1"/>
    <x v="13"/>
    <x v="193"/>
    <x v="0"/>
    <x v="0"/>
    <n v="1"/>
    <n v="0"/>
    <n v="0"/>
  </r>
  <r>
    <x v="1"/>
    <x v="13"/>
    <x v="193"/>
    <x v="0"/>
    <x v="1"/>
    <n v="2"/>
    <n v="0"/>
    <n v="0"/>
  </r>
  <r>
    <x v="1"/>
    <x v="13"/>
    <x v="193"/>
    <x v="0"/>
    <x v="2"/>
    <n v="3"/>
    <n v="0"/>
    <n v="0"/>
  </r>
  <r>
    <x v="1"/>
    <x v="13"/>
    <x v="193"/>
    <x v="0"/>
    <x v="3"/>
    <n v="4"/>
    <n v="1.44"/>
    <n v="3600"/>
  </r>
  <r>
    <x v="1"/>
    <x v="13"/>
    <x v="193"/>
    <x v="0"/>
    <x v="4"/>
    <n v="5"/>
    <n v="0"/>
    <n v="0"/>
  </r>
  <r>
    <x v="1"/>
    <x v="13"/>
    <x v="193"/>
    <x v="0"/>
    <x v="5"/>
    <n v="6"/>
    <n v="0"/>
    <n v="0"/>
  </r>
  <r>
    <x v="1"/>
    <x v="13"/>
    <x v="193"/>
    <x v="0"/>
    <x v="6"/>
    <n v="7"/>
    <n v="0"/>
    <n v="0"/>
  </r>
  <r>
    <x v="1"/>
    <x v="13"/>
    <x v="194"/>
    <x v="0"/>
    <x v="0"/>
    <n v="1"/>
    <n v="0"/>
    <n v="0"/>
  </r>
  <r>
    <x v="1"/>
    <x v="13"/>
    <x v="194"/>
    <x v="0"/>
    <x v="1"/>
    <n v="2"/>
    <n v="0"/>
    <n v="0"/>
  </r>
  <r>
    <x v="1"/>
    <x v="13"/>
    <x v="194"/>
    <x v="0"/>
    <x v="2"/>
    <n v="3"/>
    <n v="0"/>
    <n v="0"/>
  </r>
  <r>
    <x v="1"/>
    <x v="13"/>
    <x v="194"/>
    <x v="0"/>
    <x v="3"/>
    <n v="4"/>
    <n v="10.08"/>
    <n v="25200"/>
  </r>
  <r>
    <x v="1"/>
    <x v="13"/>
    <x v="194"/>
    <x v="0"/>
    <x v="4"/>
    <n v="5"/>
    <n v="0"/>
    <n v="0"/>
  </r>
  <r>
    <x v="1"/>
    <x v="13"/>
    <x v="194"/>
    <x v="0"/>
    <x v="5"/>
    <n v="6"/>
    <n v="0"/>
    <n v="0"/>
  </r>
  <r>
    <x v="1"/>
    <x v="13"/>
    <x v="194"/>
    <x v="0"/>
    <x v="6"/>
    <n v="7"/>
    <n v="0"/>
    <n v="0"/>
  </r>
  <r>
    <x v="1"/>
    <x v="13"/>
    <x v="195"/>
    <x v="0"/>
    <x v="0"/>
    <n v="1"/>
    <n v="0"/>
    <n v="0"/>
  </r>
  <r>
    <x v="1"/>
    <x v="13"/>
    <x v="195"/>
    <x v="0"/>
    <x v="1"/>
    <n v="2"/>
    <n v="0"/>
    <n v="0"/>
  </r>
  <r>
    <x v="1"/>
    <x v="13"/>
    <x v="195"/>
    <x v="0"/>
    <x v="2"/>
    <n v="3"/>
    <n v="0"/>
    <n v="0"/>
  </r>
  <r>
    <x v="1"/>
    <x v="13"/>
    <x v="195"/>
    <x v="0"/>
    <x v="3"/>
    <n v="4"/>
    <n v="5.76"/>
    <n v="14400"/>
  </r>
  <r>
    <x v="1"/>
    <x v="13"/>
    <x v="195"/>
    <x v="0"/>
    <x v="4"/>
    <n v="5"/>
    <n v="0"/>
    <n v="0"/>
  </r>
  <r>
    <x v="1"/>
    <x v="13"/>
    <x v="195"/>
    <x v="0"/>
    <x v="5"/>
    <n v="6"/>
    <n v="0"/>
    <n v="0"/>
  </r>
  <r>
    <x v="1"/>
    <x v="13"/>
    <x v="195"/>
    <x v="0"/>
    <x v="6"/>
    <n v="7"/>
    <n v="0"/>
    <n v="0"/>
  </r>
  <r>
    <x v="1"/>
    <x v="13"/>
    <x v="196"/>
    <x v="0"/>
    <x v="0"/>
    <n v="1"/>
    <n v="0"/>
    <n v="0"/>
  </r>
  <r>
    <x v="1"/>
    <x v="13"/>
    <x v="196"/>
    <x v="0"/>
    <x v="1"/>
    <n v="2"/>
    <n v="0"/>
    <n v="0"/>
  </r>
  <r>
    <x v="1"/>
    <x v="13"/>
    <x v="196"/>
    <x v="0"/>
    <x v="2"/>
    <n v="3"/>
    <n v="0"/>
    <n v="0"/>
  </r>
  <r>
    <x v="1"/>
    <x v="13"/>
    <x v="196"/>
    <x v="0"/>
    <x v="3"/>
    <n v="4"/>
    <n v="3.6"/>
    <n v="9000"/>
  </r>
  <r>
    <x v="1"/>
    <x v="13"/>
    <x v="196"/>
    <x v="0"/>
    <x v="4"/>
    <n v="5"/>
    <n v="0"/>
    <n v="0"/>
  </r>
  <r>
    <x v="1"/>
    <x v="13"/>
    <x v="196"/>
    <x v="0"/>
    <x v="5"/>
    <n v="6"/>
    <n v="0"/>
    <n v="0"/>
  </r>
  <r>
    <x v="1"/>
    <x v="13"/>
    <x v="196"/>
    <x v="0"/>
    <x v="6"/>
    <n v="7"/>
    <n v="0"/>
    <n v="0"/>
  </r>
  <r>
    <x v="1"/>
    <x v="13"/>
    <x v="197"/>
    <x v="0"/>
    <x v="0"/>
    <n v="1"/>
    <n v="0"/>
    <n v="0"/>
  </r>
  <r>
    <x v="1"/>
    <x v="13"/>
    <x v="197"/>
    <x v="0"/>
    <x v="1"/>
    <n v="2"/>
    <n v="0"/>
    <n v="0"/>
  </r>
  <r>
    <x v="1"/>
    <x v="13"/>
    <x v="197"/>
    <x v="0"/>
    <x v="2"/>
    <n v="3"/>
    <n v="0"/>
    <n v="0"/>
  </r>
  <r>
    <x v="1"/>
    <x v="13"/>
    <x v="197"/>
    <x v="0"/>
    <x v="3"/>
    <n v="4"/>
    <n v="8.64"/>
    <n v="21600"/>
  </r>
  <r>
    <x v="1"/>
    <x v="13"/>
    <x v="197"/>
    <x v="0"/>
    <x v="4"/>
    <n v="5"/>
    <n v="0"/>
    <n v="0"/>
  </r>
  <r>
    <x v="1"/>
    <x v="13"/>
    <x v="197"/>
    <x v="0"/>
    <x v="5"/>
    <n v="6"/>
    <n v="0"/>
    <n v="0"/>
  </r>
  <r>
    <x v="1"/>
    <x v="13"/>
    <x v="197"/>
    <x v="0"/>
    <x v="6"/>
    <n v="7"/>
    <n v="0"/>
    <n v="0"/>
  </r>
  <r>
    <x v="1"/>
    <x v="13"/>
    <x v="198"/>
    <x v="0"/>
    <x v="0"/>
    <n v="1"/>
    <n v="0"/>
    <n v="0"/>
  </r>
  <r>
    <x v="1"/>
    <x v="13"/>
    <x v="198"/>
    <x v="0"/>
    <x v="1"/>
    <n v="2"/>
    <n v="0"/>
    <n v="0"/>
  </r>
  <r>
    <x v="1"/>
    <x v="13"/>
    <x v="198"/>
    <x v="0"/>
    <x v="2"/>
    <n v="3"/>
    <n v="0"/>
    <n v="0"/>
  </r>
  <r>
    <x v="1"/>
    <x v="13"/>
    <x v="198"/>
    <x v="0"/>
    <x v="3"/>
    <n v="4"/>
    <n v="0.72"/>
    <n v="1800"/>
  </r>
  <r>
    <x v="1"/>
    <x v="13"/>
    <x v="198"/>
    <x v="0"/>
    <x v="4"/>
    <n v="5"/>
    <n v="0"/>
    <n v="0"/>
  </r>
  <r>
    <x v="1"/>
    <x v="13"/>
    <x v="198"/>
    <x v="0"/>
    <x v="5"/>
    <n v="6"/>
    <n v="0"/>
    <n v="0"/>
  </r>
  <r>
    <x v="1"/>
    <x v="13"/>
    <x v="198"/>
    <x v="0"/>
    <x v="6"/>
    <n v="7"/>
    <n v="0"/>
    <n v="0"/>
  </r>
  <r>
    <x v="1"/>
    <x v="13"/>
    <x v="199"/>
    <x v="0"/>
    <x v="0"/>
    <n v="1"/>
    <n v="0"/>
    <n v="0"/>
  </r>
  <r>
    <x v="1"/>
    <x v="13"/>
    <x v="199"/>
    <x v="0"/>
    <x v="1"/>
    <n v="2"/>
    <n v="0"/>
    <n v="0"/>
  </r>
  <r>
    <x v="1"/>
    <x v="13"/>
    <x v="199"/>
    <x v="0"/>
    <x v="2"/>
    <n v="3"/>
    <n v="0"/>
    <n v="0"/>
  </r>
  <r>
    <x v="1"/>
    <x v="13"/>
    <x v="199"/>
    <x v="0"/>
    <x v="3"/>
    <n v="4"/>
    <n v="1.44"/>
    <n v="3600"/>
  </r>
  <r>
    <x v="1"/>
    <x v="13"/>
    <x v="199"/>
    <x v="0"/>
    <x v="4"/>
    <n v="5"/>
    <n v="0"/>
    <n v="0"/>
  </r>
  <r>
    <x v="1"/>
    <x v="13"/>
    <x v="199"/>
    <x v="0"/>
    <x v="5"/>
    <n v="6"/>
    <n v="0"/>
    <n v="0"/>
  </r>
  <r>
    <x v="1"/>
    <x v="13"/>
    <x v="199"/>
    <x v="0"/>
    <x v="6"/>
    <n v="7"/>
    <n v="0"/>
    <n v="0"/>
  </r>
  <r>
    <x v="1"/>
    <x v="13"/>
    <x v="200"/>
    <x v="0"/>
    <x v="0"/>
    <n v="1"/>
    <n v="0"/>
    <n v="0"/>
  </r>
  <r>
    <x v="1"/>
    <x v="13"/>
    <x v="200"/>
    <x v="0"/>
    <x v="1"/>
    <n v="2"/>
    <n v="0"/>
    <n v="0"/>
  </r>
  <r>
    <x v="1"/>
    <x v="13"/>
    <x v="200"/>
    <x v="0"/>
    <x v="2"/>
    <n v="3"/>
    <n v="0"/>
    <n v="0"/>
  </r>
  <r>
    <x v="1"/>
    <x v="13"/>
    <x v="200"/>
    <x v="0"/>
    <x v="3"/>
    <n v="4"/>
    <n v="7.2"/>
    <n v="18000"/>
  </r>
  <r>
    <x v="1"/>
    <x v="13"/>
    <x v="200"/>
    <x v="0"/>
    <x v="4"/>
    <n v="5"/>
    <n v="0"/>
    <n v="0"/>
  </r>
  <r>
    <x v="1"/>
    <x v="13"/>
    <x v="200"/>
    <x v="0"/>
    <x v="5"/>
    <n v="6"/>
    <n v="0"/>
    <n v="0"/>
  </r>
  <r>
    <x v="1"/>
    <x v="13"/>
    <x v="200"/>
    <x v="0"/>
    <x v="6"/>
    <n v="7"/>
    <n v="0"/>
    <n v="0"/>
  </r>
  <r>
    <x v="1"/>
    <x v="13"/>
    <x v="201"/>
    <x v="0"/>
    <x v="0"/>
    <n v="1"/>
    <n v="0"/>
    <n v="0"/>
  </r>
  <r>
    <x v="1"/>
    <x v="13"/>
    <x v="201"/>
    <x v="0"/>
    <x v="1"/>
    <n v="2"/>
    <n v="0"/>
    <n v="0"/>
  </r>
  <r>
    <x v="1"/>
    <x v="13"/>
    <x v="201"/>
    <x v="0"/>
    <x v="2"/>
    <n v="3"/>
    <n v="0"/>
    <n v="0"/>
  </r>
  <r>
    <x v="1"/>
    <x v="13"/>
    <x v="201"/>
    <x v="0"/>
    <x v="3"/>
    <n v="4"/>
    <n v="2.16"/>
    <n v="5400"/>
  </r>
  <r>
    <x v="1"/>
    <x v="13"/>
    <x v="201"/>
    <x v="0"/>
    <x v="4"/>
    <n v="5"/>
    <n v="0"/>
    <n v="0"/>
  </r>
  <r>
    <x v="1"/>
    <x v="13"/>
    <x v="201"/>
    <x v="0"/>
    <x v="5"/>
    <n v="6"/>
    <n v="0"/>
    <n v="0"/>
  </r>
  <r>
    <x v="1"/>
    <x v="13"/>
    <x v="201"/>
    <x v="0"/>
    <x v="6"/>
    <n v="7"/>
    <n v="0"/>
    <n v="0"/>
  </r>
  <r>
    <x v="1"/>
    <x v="13"/>
    <x v="202"/>
    <x v="0"/>
    <x v="0"/>
    <n v="1"/>
    <n v="0"/>
    <n v="0"/>
  </r>
  <r>
    <x v="1"/>
    <x v="13"/>
    <x v="202"/>
    <x v="0"/>
    <x v="1"/>
    <n v="2"/>
    <n v="0"/>
    <n v="0"/>
  </r>
  <r>
    <x v="1"/>
    <x v="13"/>
    <x v="202"/>
    <x v="0"/>
    <x v="2"/>
    <n v="3"/>
    <n v="0"/>
    <n v="0"/>
  </r>
  <r>
    <x v="1"/>
    <x v="13"/>
    <x v="202"/>
    <x v="0"/>
    <x v="3"/>
    <n v="4"/>
    <n v="0"/>
    <n v="0"/>
  </r>
  <r>
    <x v="1"/>
    <x v="13"/>
    <x v="202"/>
    <x v="0"/>
    <x v="4"/>
    <n v="5"/>
    <n v="0"/>
    <n v="0"/>
  </r>
  <r>
    <x v="1"/>
    <x v="13"/>
    <x v="202"/>
    <x v="0"/>
    <x v="5"/>
    <n v="6"/>
    <n v="0"/>
    <n v="0"/>
  </r>
  <r>
    <x v="1"/>
    <x v="13"/>
    <x v="202"/>
    <x v="0"/>
    <x v="6"/>
    <n v="7"/>
    <n v="0"/>
    <n v="0"/>
  </r>
  <r>
    <x v="1"/>
    <x v="13"/>
    <x v="203"/>
    <x v="0"/>
    <x v="0"/>
    <n v="1"/>
    <n v="0"/>
    <n v="0"/>
  </r>
  <r>
    <x v="1"/>
    <x v="13"/>
    <x v="203"/>
    <x v="0"/>
    <x v="1"/>
    <n v="2"/>
    <n v="0"/>
    <n v="0"/>
  </r>
  <r>
    <x v="1"/>
    <x v="13"/>
    <x v="203"/>
    <x v="0"/>
    <x v="2"/>
    <n v="3"/>
    <n v="0"/>
    <n v="0"/>
  </r>
  <r>
    <x v="1"/>
    <x v="13"/>
    <x v="203"/>
    <x v="0"/>
    <x v="3"/>
    <n v="4"/>
    <n v="2.16"/>
    <n v="5400"/>
  </r>
  <r>
    <x v="1"/>
    <x v="13"/>
    <x v="203"/>
    <x v="0"/>
    <x v="4"/>
    <n v="5"/>
    <n v="0"/>
    <n v="0"/>
  </r>
  <r>
    <x v="1"/>
    <x v="13"/>
    <x v="203"/>
    <x v="0"/>
    <x v="5"/>
    <n v="6"/>
    <n v="0"/>
    <n v="0"/>
  </r>
  <r>
    <x v="1"/>
    <x v="13"/>
    <x v="203"/>
    <x v="0"/>
    <x v="6"/>
    <n v="7"/>
    <n v="0"/>
    <n v="0"/>
  </r>
  <r>
    <x v="1"/>
    <x v="13"/>
    <x v="204"/>
    <x v="0"/>
    <x v="0"/>
    <n v="1"/>
    <n v="0"/>
    <n v="0"/>
  </r>
  <r>
    <x v="1"/>
    <x v="13"/>
    <x v="204"/>
    <x v="0"/>
    <x v="1"/>
    <n v="2"/>
    <n v="0"/>
    <n v="0"/>
  </r>
  <r>
    <x v="1"/>
    <x v="13"/>
    <x v="204"/>
    <x v="0"/>
    <x v="2"/>
    <n v="3"/>
    <n v="0"/>
    <n v="0"/>
  </r>
  <r>
    <x v="1"/>
    <x v="13"/>
    <x v="204"/>
    <x v="0"/>
    <x v="3"/>
    <n v="4"/>
    <n v="0.72"/>
    <n v="1800"/>
  </r>
  <r>
    <x v="1"/>
    <x v="13"/>
    <x v="204"/>
    <x v="0"/>
    <x v="4"/>
    <n v="5"/>
    <n v="0"/>
    <n v="0"/>
  </r>
  <r>
    <x v="1"/>
    <x v="13"/>
    <x v="204"/>
    <x v="0"/>
    <x v="5"/>
    <n v="6"/>
    <n v="0"/>
    <n v="0"/>
  </r>
  <r>
    <x v="1"/>
    <x v="13"/>
    <x v="204"/>
    <x v="0"/>
    <x v="6"/>
    <n v="7"/>
    <n v="0"/>
    <n v="0"/>
  </r>
  <r>
    <x v="1"/>
    <x v="13"/>
    <x v="205"/>
    <x v="0"/>
    <x v="0"/>
    <n v="1"/>
    <n v="0"/>
    <n v="0"/>
  </r>
  <r>
    <x v="1"/>
    <x v="13"/>
    <x v="205"/>
    <x v="0"/>
    <x v="1"/>
    <n v="2"/>
    <n v="0"/>
    <n v="0"/>
  </r>
  <r>
    <x v="1"/>
    <x v="13"/>
    <x v="205"/>
    <x v="0"/>
    <x v="2"/>
    <n v="3"/>
    <n v="0"/>
    <n v="0"/>
  </r>
  <r>
    <x v="1"/>
    <x v="13"/>
    <x v="205"/>
    <x v="0"/>
    <x v="3"/>
    <n v="4"/>
    <n v="2.88"/>
    <n v="7200"/>
  </r>
  <r>
    <x v="1"/>
    <x v="13"/>
    <x v="205"/>
    <x v="0"/>
    <x v="4"/>
    <n v="5"/>
    <n v="0"/>
    <n v="0"/>
  </r>
  <r>
    <x v="1"/>
    <x v="13"/>
    <x v="205"/>
    <x v="0"/>
    <x v="5"/>
    <n v="6"/>
    <n v="0"/>
    <n v="0"/>
  </r>
  <r>
    <x v="1"/>
    <x v="13"/>
    <x v="205"/>
    <x v="0"/>
    <x v="6"/>
    <n v="7"/>
    <n v="0"/>
    <n v="0"/>
  </r>
  <r>
    <x v="1"/>
    <x v="13"/>
    <x v="206"/>
    <x v="0"/>
    <x v="0"/>
    <n v="1"/>
    <n v="0"/>
    <n v="0"/>
  </r>
  <r>
    <x v="1"/>
    <x v="13"/>
    <x v="206"/>
    <x v="0"/>
    <x v="1"/>
    <n v="2"/>
    <n v="0"/>
    <n v="0"/>
  </r>
  <r>
    <x v="1"/>
    <x v="13"/>
    <x v="206"/>
    <x v="0"/>
    <x v="2"/>
    <n v="3"/>
    <n v="0"/>
    <n v="0"/>
  </r>
  <r>
    <x v="1"/>
    <x v="13"/>
    <x v="206"/>
    <x v="0"/>
    <x v="3"/>
    <n v="4"/>
    <n v="0"/>
    <n v="0"/>
  </r>
  <r>
    <x v="1"/>
    <x v="13"/>
    <x v="206"/>
    <x v="0"/>
    <x v="4"/>
    <n v="5"/>
    <n v="0"/>
    <n v="0"/>
  </r>
  <r>
    <x v="1"/>
    <x v="13"/>
    <x v="206"/>
    <x v="0"/>
    <x v="5"/>
    <n v="6"/>
    <n v="0"/>
    <n v="0"/>
  </r>
  <r>
    <x v="1"/>
    <x v="13"/>
    <x v="206"/>
    <x v="0"/>
    <x v="6"/>
    <n v="7"/>
    <n v="0"/>
    <n v="0"/>
  </r>
  <r>
    <x v="1"/>
    <x v="13"/>
    <x v="207"/>
    <x v="0"/>
    <x v="0"/>
    <n v="1"/>
    <n v="0"/>
    <n v="0"/>
  </r>
  <r>
    <x v="1"/>
    <x v="13"/>
    <x v="207"/>
    <x v="0"/>
    <x v="1"/>
    <n v="2"/>
    <n v="0"/>
    <n v="0"/>
  </r>
  <r>
    <x v="1"/>
    <x v="13"/>
    <x v="207"/>
    <x v="0"/>
    <x v="2"/>
    <n v="3"/>
    <n v="0"/>
    <n v="0"/>
  </r>
  <r>
    <x v="1"/>
    <x v="13"/>
    <x v="207"/>
    <x v="0"/>
    <x v="3"/>
    <n v="4"/>
    <n v="2.16"/>
    <n v="5400"/>
  </r>
  <r>
    <x v="1"/>
    <x v="13"/>
    <x v="207"/>
    <x v="0"/>
    <x v="4"/>
    <n v="5"/>
    <n v="0"/>
    <n v="0"/>
  </r>
  <r>
    <x v="1"/>
    <x v="13"/>
    <x v="207"/>
    <x v="0"/>
    <x v="5"/>
    <n v="6"/>
    <n v="0"/>
    <n v="0"/>
  </r>
  <r>
    <x v="1"/>
    <x v="13"/>
    <x v="207"/>
    <x v="0"/>
    <x v="6"/>
    <n v="7"/>
    <n v="0"/>
    <n v="0"/>
  </r>
  <r>
    <x v="1"/>
    <x v="14"/>
    <x v="208"/>
    <x v="0"/>
    <x v="0"/>
    <n v="1"/>
    <n v="0"/>
    <n v="0"/>
  </r>
  <r>
    <x v="1"/>
    <x v="14"/>
    <x v="208"/>
    <x v="0"/>
    <x v="1"/>
    <n v="2"/>
    <n v="0"/>
    <n v="0"/>
  </r>
  <r>
    <x v="1"/>
    <x v="14"/>
    <x v="208"/>
    <x v="0"/>
    <x v="2"/>
    <n v="3"/>
    <n v="0"/>
    <n v="0"/>
  </r>
  <r>
    <x v="1"/>
    <x v="14"/>
    <x v="208"/>
    <x v="0"/>
    <x v="3"/>
    <n v="4"/>
    <n v="3.6"/>
    <n v="9000"/>
  </r>
  <r>
    <x v="1"/>
    <x v="14"/>
    <x v="208"/>
    <x v="0"/>
    <x v="4"/>
    <n v="5"/>
    <n v="0"/>
    <n v="0"/>
  </r>
  <r>
    <x v="1"/>
    <x v="14"/>
    <x v="208"/>
    <x v="0"/>
    <x v="5"/>
    <n v="6"/>
    <n v="0"/>
    <n v="0"/>
  </r>
  <r>
    <x v="1"/>
    <x v="14"/>
    <x v="208"/>
    <x v="0"/>
    <x v="6"/>
    <n v="7"/>
    <n v="0"/>
    <n v="0"/>
  </r>
  <r>
    <x v="1"/>
    <x v="14"/>
    <x v="209"/>
    <x v="0"/>
    <x v="0"/>
    <n v="1"/>
    <n v="0"/>
    <n v="0"/>
  </r>
  <r>
    <x v="1"/>
    <x v="14"/>
    <x v="209"/>
    <x v="0"/>
    <x v="1"/>
    <n v="2"/>
    <n v="0"/>
    <n v="0"/>
  </r>
  <r>
    <x v="1"/>
    <x v="14"/>
    <x v="209"/>
    <x v="0"/>
    <x v="2"/>
    <n v="3"/>
    <n v="0"/>
    <n v="0"/>
  </r>
  <r>
    <x v="1"/>
    <x v="14"/>
    <x v="209"/>
    <x v="0"/>
    <x v="3"/>
    <n v="4"/>
    <n v="3.6"/>
    <n v="9000"/>
  </r>
  <r>
    <x v="1"/>
    <x v="14"/>
    <x v="209"/>
    <x v="0"/>
    <x v="4"/>
    <n v="5"/>
    <n v="0"/>
    <n v="0"/>
  </r>
  <r>
    <x v="1"/>
    <x v="14"/>
    <x v="209"/>
    <x v="0"/>
    <x v="5"/>
    <n v="6"/>
    <n v="0"/>
    <n v="0"/>
  </r>
  <r>
    <x v="1"/>
    <x v="14"/>
    <x v="209"/>
    <x v="0"/>
    <x v="6"/>
    <n v="7"/>
    <n v="0"/>
    <n v="0"/>
  </r>
  <r>
    <x v="1"/>
    <x v="14"/>
    <x v="210"/>
    <x v="0"/>
    <x v="0"/>
    <n v="1"/>
    <n v="0"/>
    <n v="0"/>
  </r>
  <r>
    <x v="1"/>
    <x v="14"/>
    <x v="210"/>
    <x v="0"/>
    <x v="1"/>
    <n v="2"/>
    <n v="0"/>
    <n v="0"/>
  </r>
  <r>
    <x v="1"/>
    <x v="14"/>
    <x v="210"/>
    <x v="0"/>
    <x v="2"/>
    <n v="3"/>
    <n v="0"/>
    <n v="0"/>
  </r>
  <r>
    <x v="1"/>
    <x v="14"/>
    <x v="210"/>
    <x v="0"/>
    <x v="3"/>
    <n v="4"/>
    <n v="6.48"/>
    <n v="16200"/>
  </r>
  <r>
    <x v="1"/>
    <x v="14"/>
    <x v="210"/>
    <x v="0"/>
    <x v="4"/>
    <n v="5"/>
    <n v="0"/>
    <n v="0"/>
  </r>
  <r>
    <x v="1"/>
    <x v="14"/>
    <x v="210"/>
    <x v="0"/>
    <x v="5"/>
    <n v="6"/>
    <n v="0"/>
    <n v="0"/>
  </r>
  <r>
    <x v="1"/>
    <x v="14"/>
    <x v="210"/>
    <x v="0"/>
    <x v="6"/>
    <n v="7"/>
    <n v="0"/>
    <n v="0"/>
  </r>
  <r>
    <x v="1"/>
    <x v="14"/>
    <x v="211"/>
    <x v="0"/>
    <x v="0"/>
    <n v="1"/>
    <n v="0"/>
    <n v="0"/>
  </r>
  <r>
    <x v="1"/>
    <x v="14"/>
    <x v="211"/>
    <x v="0"/>
    <x v="1"/>
    <n v="2"/>
    <n v="0"/>
    <n v="0"/>
  </r>
  <r>
    <x v="1"/>
    <x v="14"/>
    <x v="211"/>
    <x v="0"/>
    <x v="2"/>
    <n v="3"/>
    <n v="0"/>
    <n v="0"/>
  </r>
  <r>
    <x v="1"/>
    <x v="14"/>
    <x v="211"/>
    <x v="0"/>
    <x v="3"/>
    <n v="4"/>
    <n v="8.64"/>
    <n v="21600"/>
  </r>
  <r>
    <x v="1"/>
    <x v="14"/>
    <x v="211"/>
    <x v="0"/>
    <x v="4"/>
    <n v="5"/>
    <n v="0"/>
    <n v="0"/>
  </r>
  <r>
    <x v="1"/>
    <x v="14"/>
    <x v="211"/>
    <x v="0"/>
    <x v="5"/>
    <n v="6"/>
    <n v="0"/>
    <n v="0"/>
  </r>
  <r>
    <x v="1"/>
    <x v="14"/>
    <x v="211"/>
    <x v="0"/>
    <x v="6"/>
    <n v="7"/>
    <n v="0"/>
    <n v="0"/>
  </r>
  <r>
    <x v="1"/>
    <x v="14"/>
    <x v="212"/>
    <x v="0"/>
    <x v="0"/>
    <n v="1"/>
    <n v="0"/>
    <n v="0"/>
  </r>
  <r>
    <x v="1"/>
    <x v="14"/>
    <x v="212"/>
    <x v="0"/>
    <x v="1"/>
    <n v="2"/>
    <n v="0"/>
    <n v="0"/>
  </r>
  <r>
    <x v="1"/>
    <x v="14"/>
    <x v="212"/>
    <x v="0"/>
    <x v="2"/>
    <n v="3"/>
    <n v="0"/>
    <n v="0"/>
  </r>
  <r>
    <x v="1"/>
    <x v="14"/>
    <x v="212"/>
    <x v="0"/>
    <x v="3"/>
    <n v="4"/>
    <n v="7.92"/>
    <n v="19800"/>
  </r>
  <r>
    <x v="1"/>
    <x v="14"/>
    <x v="212"/>
    <x v="0"/>
    <x v="4"/>
    <n v="5"/>
    <n v="0"/>
    <n v="0"/>
  </r>
  <r>
    <x v="1"/>
    <x v="14"/>
    <x v="212"/>
    <x v="0"/>
    <x v="5"/>
    <n v="6"/>
    <n v="0"/>
    <n v="0"/>
  </r>
  <r>
    <x v="1"/>
    <x v="14"/>
    <x v="212"/>
    <x v="0"/>
    <x v="6"/>
    <n v="7"/>
    <n v="0"/>
    <n v="0"/>
  </r>
  <r>
    <x v="1"/>
    <x v="14"/>
    <x v="213"/>
    <x v="0"/>
    <x v="0"/>
    <n v="1"/>
    <n v="0"/>
    <n v="0"/>
  </r>
  <r>
    <x v="1"/>
    <x v="14"/>
    <x v="213"/>
    <x v="0"/>
    <x v="1"/>
    <n v="2"/>
    <n v="0"/>
    <n v="0"/>
  </r>
  <r>
    <x v="1"/>
    <x v="14"/>
    <x v="213"/>
    <x v="0"/>
    <x v="2"/>
    <n v="3"/>
    <n v="0"/>
    <n v="0"/>
  </r>
  <r>
    <x v="1"/>
    <x v="14"/>
    <x v="213"/>
    <x v="0"/>
    <x v="3"/>
    <n v="4"/>
    <n v="3.6"/>
    <n v="9000"/>
  </r>
  <r>
    <x v="1"/>
    <x v="14"/>
    <x v="213"/>
    <x v="0"/>
    <x v="4"/>
    <n v="5"/>
    <n v="0"/>
    <n v="0"/>
  </r>
  <r>
    <x v="1"/>
    <x v="14"/>
    <x v="213"/>
    <x v="0"/>
    <x v="5"/>
    <n v="6"/>
    <n v="0"/>
    <n v="0"/>
  </r>
  <r>
    <x v="1"/>
    <x v="14"/>
    <x v="213"/>
    <x v="0"/>
    <x v="6"/>
    <n v="7"/>
    <n v="0"/>
    <n v="0"/>
  </r>
  <r>
    <x v="1"/>
    <x v="14"/>
    <x v="214"/>
    <x v="0"/>
    <x v="0"/>
    <n v="1"/>
    <n v="0"/>
    <n v="0"/>
  </r>
  <r>
    <x v="1"/>
    <x v="14"/>
    <x v="214"/>
    <x v="0"/>
    <x v="1"/>
    <n v="2"/>
    <n v="0"/>
    <n v="0"/>
  </r>
  <r>
    <x v="1"/>
    <x v="14"/>
    <x v="214"/>
    <x v="0"/>
    <x v="2"/>
    <n v="3"/>
    <n v="0"/>
    <n v="0"/>
  </r>
  <r>
    <x v="1"/>
    <x v="14"/>
    <x v="214"/>
    <x v="0"/>
    <x v="3"/>
    <n v="4"/>
    <n v="2.16"/>
    <n v="5400"/>
  </r>
  <r>
    <x v="1"/>
    <x v="14"/>
    <x v="214"/>
    <x v="0"/>
    <x v="4"/>
    <n v="5"/>
    <n v="0"/>
    <n v="0"/>
  </r>
  <r>
    <x v="1"/>
    <x v="14"/>
    <x v="214"/>
    <x v="0"/>
    <x v="5"/>
    <n v="6"/>
    <n v="0"/>
    <n v="0"/>
  </r>
  <r>
    <x v="1"/>
    <x v="14"/>
    <x v="214"/>
    <x v="0"/>
    <x v="6"/>
    <n v="7"/>
    <n v="0"/>
    <n v="0"/>
  </r>
  <r>
    <x v="1"/>
    <x v="14"/>
    <x v="215"/>
    <x v="0"/>
    <x v="0"/>
    <n v="1"/>
    <n v="0"/>
    <n v="0"/>
  </r>
  <r>
    <x v="1"/>
    <x v="14"/>
    <x v="215"/>
    <x v="0"/>
    <x v="1"/>
    <n v="2"/>
    <n v="0"/>
    <n v="0"/>
  </r>
  <r>
    <x v="1"/>
    <x v="14"/>
    <x v="215"/>
    <x v="0"/>
    <x v="2"/>
    <n v="3"/>
    <n v="0"/>
    <n v="0"/>
  </r>
  <r>
    <x v="1"/>
    <x v="14"/>
    <x v="215"/>
    <x v="0"/>
    <x v="3"/>
    <n v="4"/>
    <n v="2.16"/>
    <n v="5400"/>
  </r>
  <r>
    <x v="1"/>
    <x v="14"/>
    <x v="215"/>
    <x v="0"/>
    <x v="4"/>
    <n v="5"/>
    <n v="0"/>
    <n v="0"/>
  </r>
  <r>
    <x v="1"/>
    <x v="14"/>
    <x v="215"/>
    <x v="0"/>
    <x v="5"/>
    <n v="6"/>
    <n v="0"/>
    <n v="0"/>
  </r>
  <r>
    <x v="1"/>
    <x v="14"/>
    <x v="215"/>
    <x v="0"/>
    <x v="6"/>
    <n v="7"/>
    <n v="0"/>
    <n v="0"/>
  </r>
  <r>
    <x v="1"/>
    <x v="14"/>
    <x v="216"/>
    <x v="0"/>
    <x v="0"/>
    <n v="1"/>
    <n v="0"/>
    <n v="0"/>
  </r>
  <r>
    <x v="1"/>
    <x v="14"/>
    <x v="216"/>
    <x v="0"/>
    <x v="1"/>
    <n v="2"/>
    <n v="0"/>
    <n v="0"/>
  </r>
  <r>
    <x v="1"/>
    <x v="14"/>
    <x v="216"/>
    <x v="0"/>
    <x v="2"/>
    <n v="3"/>
    <n v="0"/>
    <n v="0"/>
  </r>
  <r>
    <x v="1"/>
    <x v="14"/>
    <x v="216"/>
    <x v="0"/>
    <x v="3"/>
    <n v="4"/>
    <n v="6.48"/>
    <n v="16200"/>
  </r>
  <r>
    <x v="1"/>
    <x v="14"/>
    <x v="216"/>
    <x v="0"/>
    <x v="4"/>
    <n v="5"/>
    <n v="0"/>
    <n v="0"/>
  </r>
  <r>
    <x v="1"/>
    <x v="14"/>
    <x v="216"/>
    <x v="0"/>
    <x v="5"/>
    <n v="6"/>
    <n v="0"/>
    <n v="0"/>
  </r>
  <r>
    <x v="1"/>
    <x v="14"/>
    <x v="216"/>
    <x v="0"/>
    <x v="6"/>
    <n v="7"/>
    <n v="0"/>
    <n v="0"/>
  </r>
  <r>
    <x v="1"/>
    <x v="15"/>
    <x v="217"/>
    <x v="0"/>
    <x v="0"/>
    <n v="1"/>
    <n v="0"/>
    <n v="0"/>
  </r>
  <r>
    <x v="1"/>
    <x v="15"/>
    <x v="217"/>
    <x v="0"/>
    <x v="1"/>
    <n v="2"/>
    <n v="0"/>
    <n v="0"/>
  </r>
  <r>
    <x v="1"/>
    <x v="15"/>
    <x v="217"/>
    <x v="0"/>
    <x v="2"/>
    <n v="3"/>
    <n v="0"/>
    <n v="0"/>
  </r>
  <r>
    <x v="1"/>
    <x v="15"/>
    <x v="217"/>
    <x v="0"/>
    <x v="3"/>
    <n v="4"/>
    <n v="1.44"/>
    <n v="3600"/>
  </r>
  <r>
    <x v="1"/>
    <x v="15"/>
    <x v="217"/>
    <x v="0"/>
    <x v="4"/>
    <n v="5"/>
    <n v="0"/>
    <n v="0"/>
  </r>
  <r>
    <x v="1"/>
    <x v="15"/>
    <x v="217"/>
    <x v="0"/>
    <x v="5"/>
    <n v="6"/>
    <n v="0"/>
    <n v="0"/>
  </r>
  <r>
    <x v="1"/>
    <x v="15"/>
    <x v="217"/>
    <x v="0"/>
    <x v="6"/>
    <n v="7"/>
    <n v="0"/>
    <n v="0"/>
  </r>
  <r>
    <x v="1"/>
    <x v="15"/>
    <x v="218"/>
    <x v="0"/>
    <x v="0"/>
    <n v="1"/>
    <n v="0"/>
    <n v="0"/>
  </r>
  <r>
    <x v="1"/>
    <x v="15"/>
    <x v="218"/>
    <x v="0"/>
    <x v="1"/>
    <n v="2"/>
    <n v="0"/>
    <n v="0"/>
  </r>
  <r>
    <x v="1"/>
    <x v="15"/>
    <x v="218"/>
    <x v="0"/>
    <x v="2"/>
    <n v="3"/>
    <n v="0"/>
    <n v="0"/>
  </r>
  <r>
    <x v="1"/>
    <x v="15"/>
    <x v="218"/>
    <x v="0"/>
    <x v="3"/>
    <n v="4"/>
    <n v="2.16"/>
    <n v="5400"/>
  </r>
  <r>
    <x v="1"/>
    <x v="15"/>
    <x v="218"/>
    <x v="0"/>
    <x v="4"/>
    <n v="5"/>
    <n v="0"/>
    <n v="0"/>
  </r>
  <r>
    <x v="1"/>
    <x v="15"/>
    <x v="218"/>
    <x v="0"/>
    <x v="5"/>
    <n v="6"/>
    <n v="0"/>
    <n v="0"/>
  </r>
  <r>
    <x v="1"/>
    <x v="15"/>
    <x v="218"/>
    <x v="0"/>
    <x v="6"/>
    <n v="7"/>
    <n v="0"/>
    <n v="0"/>
  </r>
  <r>
    <x v="1"/>
    <x v="15"/>
    <x v="219"/>
    <x v="0"/>
    <x v="0"/>
    <n v="1"/>
    <n v="0"/>
    <n v="0"/>
  </r>
  <r>
    <x v="1"/>
    <x v="15"/>
    <x v="219"/>
    <x v="0"/>
    <x v="1"/>
    <n v="2"/>
    <n v="0"/>
    <n v="0"/>
  </r>
  <r>
    <x v="1"/>
    <x v="15"/>
    <x v="219"/>
    <x v="0"/>
    <x v="2"/>
    <n v="3"/>
    <n v="0"/>
    <n v="0"/>
  </r>
  <r>
    <x v="1"/>
    <x v="15"/>
    <x v="219"/>
    <x v="0"/>
    <x v="3"/>
    <n v="4"/>
    <n v="2.16"/>
    <n v="5400"/>
  </r>
  <r>
    <x v="1"/>
    <x v="15"/>
    <x v="219"/>
    <x v="0"/>
    <x v="4"/>
    <n v="5"/>
    <n v="0"/>
    <n v="0"/>
  </r>
  <r>
    <x v="1"/>
    <x v="15"/>
    <x v="219"/>
    <x v="0"/>
    <x v="5"/>
    <n v="6"/>
    <n v="0"/>
    <n v="0"/>
  </r>
  <r>
    <x v="1"/>
    <x v="15"/>
    <x v="219"/>
    <x v="0"/>
    <x v="6"/>
    <n v="7"/>
    <n v="0"/>
    <n v="0"/>
  </r>
  <r>
    <x v="1"/>
    <x v="15"/>
    <x v="220"/>
    <x v="0"/>
    <x v="0"/>
    <n v="1"/>
    <n v="0"/>
    <n v="0"/>
  </r>
  <r>
    <x v="1"/>
    <x v="15"/>
    <x v="220"/>
    <x v="0"/>
    <x v="1"/>
    <n v="2"/>
    <n v="0"/>
    <n v="0"/>
  </r>
  <r>
    <x v="1"/>
    <x v="15"/>
    <x v="220"/>
    <x v="0"/>
    <x v="2"/>
    <n v="3"/>
    <n v="0"/>
    <n v="0"/>
  </r>
  <r>
    <x v="1"/>
    <x v="15"/>
    <x v="220"/>
    <x v="0"/>
    <x v="3"/>
    <n v="4"/>
    <n v="1.44"/>
    <n v="3600"/>
  </r>
  <r>
    <x v="1"/>
    <x v="15"/>
    <x v="220"/>
    <x v="0"/>
    <x v="4"/>
    <n v="5"/>
    <n v="0"/>
    <n v="0"/>
  </r>
  <r>
    <x v="1"/>
    <x v="15"/>
    <x v="220"/>
    <x v="0"/>
    <x v="5"/>
    <n v="6"/>
    <n v="0"/>
    <n v="0"/>
  </r>
  <r>
    <x v="1"/>
    <x v="15"/>
    <x v="220"/>
    <x v="0"/>
    <x v="6"/>
    <n v="7"/>
    <n v="0"/>
    <n v="0"/>
  </r>
  <r>
    <x v="1"/>
    <x v="15"/>
    <x v="221"/>
    <x v="0"/>
    <x v="0"/>
    <n v="1"/>
    <n v="0"/>
    <n v="0"/>
  </r>
  <r>
    <x v="1"/>
    <x v="15"/>
    <x v="221"/>
    <x v="0"/>
    <x v="1"/>
    <n v="2"/>
    <n v="0"/>
    <n v="0"/>
  </r>
  <r>
    <x v="1"/>
    <x v="15"/>
    <x v="221"/>
    <x v="0"/>
    <x v="2"/>
    <n v="3"/>
    <n v="0"/>
    <n v="0"/>
  </r>
  <r>
    <x v="1"/>
    <x v="15"/>
    <x v="221"/>
    <x v="0"/>
    <x v="3"/>
    <n v="4"/>
    <n v="1.44"/>
    <n v="3600"/>
  </r>
  <r>
    <x v="1"/>
    <x v="15"/>
    <x v="221"/>
    <x v="0"/>
    <x v="4"/>
    <n v="5"/>
    <n v="0"/>
    <n v="0"/>
  </r>
  <r>
    <x v="1"/>
    <x v="15"/>
    <x v="221"/>
    <x v="0"/>
    <x v="5"/>
    <n v="6"/>
    <n v="0"/>
    <n v="0"/>
  </r>
  <r>
    <x v="1"/>
    <x v="15"/>
    <x v="221"/>
    <x v="0"/>
    <x v="6"/>
    <n v="7"/>
    <n v="0"/>
    <n v="0"/>
  </r>
  <r>
    <x v="1"/>
    <x v="15"/>
    <x v="222"/>
    <x v="0"/>
    <x v="0"/>
    <n v="1"/>
    <n v="0"/>
    <n v="0"/>
  </r>
  <r>
    <x v="1"/>
    <x v="15"/>
    <x v="222"/>
    <x v="0"/>
    <x v="1"/>
    <n v="2"/>
    <n v="0"/>
    <n v="0"/>
  </r>
  <r>
    <x v="1"/>
    <x v="15"/>
    <x v="222"/>
    <x v="0"/>
    <x v="2"/>
    <n v="3"/>
    <n v="0"/>
    <n v="0"/>
  </r>
  <r>
    <x v="1"/>
    <x v="15"/>
    <x v="222"/>
    <x v="0"/>
    <x v="3"/>
    <n v="4"/>
    <n v="0.72"/>
    <n v="1800"/>
  </r>
  <r>
    <x v="1"/>
    <x v="15"/>
    <x v="222"/>
    <x v="0"/>
    <x v="4"/>
    <n v="5"/>
    <n v="0"/>
    <n v="0"/>
  </r>
  <r>
    <x v="1"/>
    <x v="15"/>
    <x v="222"/>
    <x v="0"/>
    <x v="5"/>
    <n v="6"/>
    <n v="0"/>
    <n v="0"/>
  </r>
  <r>
    <x v="1"/>
    <x v="15"/>
    <x v="222"/>
    <x v="0"/>
    <x v="6"/>
    <n v="7"/>
    <n v="0"/>
    <n v="0"/>
  </r>
  <r>
    <x v="1"/>
    <x v="15"/>
    <x v="223"/>
    <x v="0"/>
    <x v="0"/>
    <n v="1"/>
    <n v="0"/>
    <n v="0"/>
  </r>
  <r>
    <x v="1"/>
    <x v="15"/>
    <x v="223"/>
    <x v="0"/>
    <x v="1"/>
    <n v="2"/>
    <n v="0"/>
    <n v="0"/>
  </r>
  <r>
    <x v="1"/>
    <x v="15"/>
    <x v="223"/>
    <x v="0"/>
    <x v="2"/>
    <n v="3"/>
    <n v="0"/>
    <n v="0"/>
  </r>
  <r>
    <x v="1"/>
    <x v="15"/>
    <x v="223"/>
    <x v="0"/>
    <x v="3"/>
    <n v="4"/>
    <n v="2.16"/>
    <n v="5400"/>
  </r>
  <r>
    <x v="1"/>
    <x v="15"/>
    <x v="223"/>
    <x v="0"/>
    <x v="4"/>
    <n v="5"/>
    <n v="0"/>
    <n v="0"/>
  </r>
  <r>
    <x v="1"/>
    <x v="15"/>
    <x v="223"/>
    <x v="0"/>
    <x v="5"/>
    <n v="6"/>
    <n v="0"/>
    <n v="0"/>
  </r>
  <r>
    <x v="1"/>
    <x v="15"/>
    <x v="223"/>
    <x v="0"/>
    <x v="6"/>
    <n v="7"/>
    <n v="0"/>
    <n v="0"/>
  </r>
  <r>
    <x v="1"/>
    <x v="15"/>
    <x v="224"/>
    <x v="0"/>
    <x v="0"/>
    <n v="1"/>
    <n v="0"/>
    <n v="0"/>
  </r>
  <r>
    <x v="1"/>
    <x v="15"/>
    <x v="224"/>
    <x v="0"/>
    <x v="1"/>
    <n v="2"/>
    <n v="0"/>
    <n v="0"/>
  </r>
  <r>
    <x v="1"/>
    <x v="15"/>
    <x v="224"/>
    <x v="0"/>
    <x v="2"/>
    <n v="3"/>
    <n v="0"/>
    <n v="0"/>
  </r>
  <r>
    <x v="1"/>
    <x v="15"/>
    <x v="224"/>
    <x v="0"/>
    <x v="3"/>
    <n v="4"/>
    <n v="2.88"/>
    <n v="7200"/>
  </r>
  <r>
    <x v="1"/>
    <x v="15"/>
    <x v="224"/>
    <x v="0"/>
    <x v="4"/>
    <n v="5"/>
    <n v="0"/>
    <n v="0"/>
  </r>
  <r>
    <x v="1"/>
    <x v="15"/>
    <x v="224"/>
    <x v="0"/>
    <x v="5"/>
    <n v="6"/>
    <n v="0"/>
    <n v="0"/>
  </r>
  <r>
    <x v="1"/>
    <x v="15"/>
    <x v="224"/>
    <x v="0"/>
    <x v="6"/>
    <n v="7"/>
    <n v="0"/>
    <n v="0"/>
  </r>
  <r>
    <x v="1"/>
    <x v="15"/>
    <x v="225"/>
    <x v="0"/>
    <x v="0"/>
    <n v="1"/>
    <n v="0"/>
    <n v="0"/>
  </r>
  <r>
    <x v="1"/>
    <x v="15"/>
    <x v="225"/>
    <x v="0"/>
    <x v="1"/>
    <n v="2"/>
    <n v="0"/>
    <n v="0"/>
  </r>
  <r>
    <x v="1"/>
    <x v="15"/>
    <x v="225"/>
    <x v="0"/>
    <x v="2"/>
    <n v="3"/>
    <n v="0"/>
    <n v="0"/>
  </r>
  <r>
    <x v="1"/>
    <x v="15"/>
    <x v="225"/>
    <x v="0"/>
    <x v="3"/>
    <n v="4"/>
    <n v="2.16"/>
    <n v="5400"/>
  </r>
  <r>
    <x v="1"/>
    <x v="15"/>
    <x v="225"/>
    <x v="0"/>
    <x v="4"/>
    <n v="5"/>
    <n v="0"/>
    <n v="0"/>
  </r>
  <r>
    <x v="1"/>
    <x v="15"/>
    <x v="225"/>
    <x v="0"/>
    <x v="5"/>
    <n v="6"/>
    <n v="0"/>
    <n v="0"/>
  </r>
  <r>
    <x v="1"/>
    <x v="15"/>
    <x v="225"/>
    <x v="0"/>
    <x v="6"/>
    <n v="7"/>
    <n v="0"/>
    <n v="0"/>
  </r>
  <r>
    <x v="1"/>
    <x v="15"/>
    <x v="226"/>
    <x v="0"/>
    <x v="0"/>
    <n v="1"/>
    <n v="0"/>
    <n v="0"/>
  </r>
  <r>
    <x v="1"/>
    <x v="15"/>
    <x v="226"/>
    <x v="0"/>
    <x v="1"/>
    <n v="2"/>
    <n v="0"/>
    <n v="0"/>
  </r>
  <r>
    <x v="1"/>
    <x v="15"/>
    <x v="226"/>
    <x v="0"/>
    <x v="2"/>
    <n v="3"/>
    <n v="0"/>
    <n v="0"/>
  </r>
  <r>
    <x v="1"/>
    <x v="15"/>
    <x v="226"/>
    <x v="0"/>
    <x v="3"/>
    <n v="4"/>
    <n v="2.16"/>
    <n v="5400"/>
  </r>
  <r>
    <x v="1"/>
    <x v="15"/>
    <x v="226"/>
    <x v="0"/>
    <x v="4"/>
    <n v="5"/>
    <n v="0"/>
    <n v="0"/>
  </r>
  <r>
    <x v="1"/>
    <x v="15"/>
    <x v="226"/>
    <x v="0"/>
    <x v="5"/>
    <n v="6"/>
    <n v="0"/>
    <n v="0"/>
  </r>
  <r>
    <x v="1"/>
    <x v="15"/>
    <x v="226"/>
    <x v="0"/>
    <x v="6"/>
    <n v="7"/>
    <n v="0"/>
    <n v="0"/>
  </r>
  <r>
    <x v="1"/>
    <x v="15"/>
    <x v="227"/>
    <x v="0"/>
    <x v="0"/>
    <n v="1"/>
    <n v="0"/>
    <n v="0"/>
  </r>
  <r>
    <x v="1"/>
    <x v="15"/>
    <x v="227"/>
    <x v="0"/>
    <x v="1"/>
    <n v="2"/>
    <n v="0"/>
    <n v="0"/>
  </r>
  <r>
    <x v="1"/>
    <x v="15"/>
    <x v="227"/>
    <x v="0"/>
    <x v="2"/>
    <n v="3"/>
    <n v="0"/>
    <n v="0"/>
  </r>
  <r>
    <x v="1"/>
    <x v="15"/>
    <x v="227"/>
    <x v="0"/>
    <x v="3"/>
    <n v="4"/>
    <n v="2.88"/>
    <n v="7200"/>
  </r>
  <r>
    <x v="1"/>
    <x v="15"/>
    <x v="227"/>
    <x v="0"/>
    <x v="4"/>
    <n v="5"/>
    <n v="0"/>
    <n v="0"/>
  </r>
  <r>
    <x v="1"/>
    <x v="15"/>
    <x v="227"/>
    <x v="0"/>
    <x v="5"/>
    <n v="6"/>
    <n v="0"/>
    <n v="0"/>
  </r>
  <r>
    <x v="1"/>
    <x v="15"/>
    <x v="227"/>
    <x v="0"/>
    <x v="6"/>
    <n v="7"/>
    <n v="0"/>
    <n v="0"/>
  </r>
  <r>
    <x v="1"/>
    <x v="15"/>
    <x v="228"/>
    <x v="0"/>
    <x v="0"/>
    <n v="1"/>
    <n v="0"/>
    <n v="0"/>
  </r>
  <r>
    <x v="1"/>
    <x v="15"/>
    <x v="228"/>
    <x v="0"/>
    <x v="1"/>
    <n v="2"/>
    <n v="0"/>
    <n v="0"/>
  </r>
  <r>
    <x v="1"/>
    <x v="15"/>
    <x v="228"/>
    <x v="0"/>
    <x v="2"/>
    <n v="3"/>
    <n v="0"/>
    <n v="0"/>
  </r>
  <r>
    <x v="1"/>
    <x v="15"/>
    <x v="228"/>
    <x v="0"/>
    <x v="3"/>
    <n v="4"/>
    <n v="2.88"/>
    <n v="7200"/>
  </r>
  <r>
    <x v="1"/>
    <x v="15"/>
    <x v="228"/>
    <x v="0"/>
    <x v="4"/>
    <n v="5"/>
    <n v="0"/>
    <n v="0"/>
  </r>
  <r>
    <x v="1"/>
    <x v="15"/>
    <x v="228"/>
    <x v="0"/>
    <x v="5"/>
    <n v="6"/>
    <n v="0"/>
    <n v="0"/>
  </r>
  <r>
    <x v="1"/>
    <x v="15"/>
    <x v="228"/>
    <x v="0"/>
    <x v="6"/>
    <n v="7"/>
    <n v="0"/>
    <n v="0"/>
  </r>
  <r>
    <x v="1"/>
    <x v="15"/>
    <x v="229"/>
    <x v="0"/>
    <x v="0"/>
    <n v="1"/>
    <n v="0"/>
    <n v="0"/>
  </r>
  <r>
    <x v="1"/>
    <x v="15"/>
    <x v="229"/>
    <x v="0"/>
    <x v="1"/>
    <n v="2"/>
    <n v="0"/>
    <n v="0"/>
  </r>
  <r>
    <x v="1"/>
    <x v="15"/>
    <x v="229"/>
    <x v="0"/>
    <x v="2"/>
    <n v="3"/>
    <n v="0"/>
    <n v="0"/>
  </r>
  <r>
    <x v="1"/>
    <x v="15"/>
    <x v="229"/>
    <x v="0"/>
    <x v="3"/>
    <n v="4"/>
    <n v="0.72"/>
    <n v="1800"/>
  </r>
  <r>
    <x v="1"/>
    <x v="15"/>
    <x v="229"/>
    <x v="0"/>
    <x v="4"/>
    <n v="5"/>
    <n v="0"/>
    <n v="0"/>
  </r>
  <r>
    <x v="1"/>
    <x v="15"/>
    <x v="229"/>
    <x v="0"/>
    <x v="5"/>
    <n v="6"/>
    <n v="0"/>
    <n v="0"/>
  </r>
  <r>
    <x v="1"/>
    <x v="15"/>
    <x v="229"/>
    <x v="0"/>
    <x v="6"/>
    <n v="7"/>
    <n v="0"/>
    <n v="0"/>
  </r>
  <r>
    <x v="1"/>
    <x v="15"/>
    <x v="230"/>
    <x v="0"/>
    <x v="0"/>
    <n v="1"/>
    <n v="0"/>
    <n v="0"/>
  </r>
  <r>
    <x v="1"/>
    <x v="15"/>
    <x v="230"/>
    <x v="0"/>
    <x v="1"/>
    <n v="2"/>
    <n v="0"/>
    <n v="0"/>
  </r>
  <r>
    <x v="1"/>
    <x v="15"/>
    <x v="230"/>
    <x v="0"/>
    <x v="2"/>
    <n v="3"/>
    <n v="0"/>
    <n v="0"/>
  </r>
  <r>
    <x v="1"/>
    <x v="15"/>
    <x v="230"/>
    <x v="0"/>
    <x v="3"/>
    <n v="4"/>
    <n v="2.16"/>
    <n v="5400"/>
  </r>
  <r>
    <x v="1"/>
    <x v="15"/>
    <x v="230"/>
    <x v="0"/>
    <x v="4"/>
    <n v="5"/>
    <n v="0"/>
    <n v="0"/>
  </r>
  <r>
    <x v="1"/>
    <x v="15"/>
    <x v="230"/>
    <x v="0"/>
    <x v="5"/>
    <n v="6"/>
    <n v="0"/>
    <n v="0"/>
  </r>
  <r>
    <x v="1"/>
    <x v="15"/>
    <x v="230"/>
    <x v="0"/>
    <x v="6"/>
    <n v="7"/>
    <n v="0"/>
    <n v="0"/>
  </r>
  <r>
    <x v="1"/>
    <x v="15"/>
    <x v="231"/>
    <x v="0"/>
    <x v="0"/>
    <n v="1"/>
    <n v="0"/>
    <n v="0"/>
  </r>
  <r>
    <x v="1"/>
    <x v="15"/>
    <x v="231"/>
    <x v="0"/>
    <x v="1"/>
    <n v="2"/>
    <n v="0"/>
    <n v="0"/>
  </r>
  <r>
    <x v="1"/>
    <x v="15"/>
    <x v="231"/>
    <x v="0"/>
    <x v="2"/>
    <n v="3"/>
    <n v="0"/>
    <n v="0"/>
  </r>
  <r>
    <x v="1"/>
    <x v="15"/>
    <x v="231"/>
    <x v="0"/>
    <x v="3"/>
    <n v="4"/>
    <n v="2.16"/>
    <n v="5400"/>
  </r>
  <r>
    <x v="1"/>
    <x v="15"/>
    <x v="231"/>
    <x v="0"/>
    <x v="4"/>
    <n v="5"/>
    <n v="0"/>
    <n v="0"/>
  </r>
  <r>
    <x v="1"/>
    <x v="15"/>
    <x v="231"/>
    <x v="0"/>
    <x v="5"/>
    <n v="6"/>
    <n v="0"/>
    <n v="0"/>
  </r>
  <r>
    <x v="1"/>
    <x v="15"/>
    <x v="231"/>
    <x v="0"/>
    <x v="6"/>
    <n v="7"/>
    <n v="0"/>
    <n v="0"/>
  </r>
  <r>
    <x v="1"/>
    <x v="15"/>
    <x v="232"/>
    <x v="0"/>
    <x v="0"/>
    <n v="1"/>
    <n v="0"/>
    <n v="0"/>
  </r>
  <r>
    <x v="1"/>
    <x v="15"/>
    <x v="232"/>
    <x v="0"/>
    <x v="1"/>
    <n v="2"/>
    <n v="0"/>
    <n v="0"/>
  </r>
  <r>
    <x v="1"/>
    <x v="15"/>
    <x v="232"/>
    <x v="0"/>
    <x v="2"/>
    <n v="3"/>
    <n v="0"/>
    <n v="0"/>
  </r>
  <r>
    <x v="1"/>
    <x v="15"/>
    <x v="232"/>
    <x v="0"/>
    <x v="3"/>
    <n v="4"/>
    <n v="4.32"/>
    <n v="10800"/>
  </r>
  <r>
    <x v="1"/>
    <x v="15"/>
    <x v="232"/>
    <x v="0"/>
    <x v="4"/>
    <n v="5"/>
    <n v="0"/>
    <n v="0"/>
  </r>
  <r>
    <x v="1"/>
    <x v="15"/>
    <x v="232"/>
    <x v="0"/>
    <x v="5"/>
    <n v="6"/>
    <n v="0"/>
    <n v="0"/>
  </r>
  <r>
    <x v="1"/>
    <x v="15"/>
    <x v="232"/>
    <x v="0"/>
    <x v="6"/>
    <n v="7"/>
    <n v="0"/>
    <n v="0"/>
  </r>
  <r>
    <x v="1"/>
    <x v="16"/>
    <x v="233"/>
    <x v="0"/>
    <x v="0"/>
    <n v="1"/>
    <n v="0"/>
    <n v="0"/>
  </r>
  <r>
    <x v="1"/>
    <x v="16"/>
    <x v="233"/>
    <x v="0"/>
    <x v="1"/>
    <n v="2"/>
    <n v="0"/>
    <n v="0"/>
  </r>
  <r>
    <x v="1"/>
    <x v="16"/>
    <x v="233"/>
    <x v="0"/>
    <x v="2"/>
    <n v="3"/>
    <n v="0"/>
    <n v="0"/>
  </r>
  <r>
    <x v="1"/>
    <x v="16"/>
    <x v="233"/>
    <x v="0"/>
    <x v="3"/>
    <n v="4"/>
    <n v="1.44"/>
    <n v="3600"/>
  </r>
  <r>
    <x v="1"/>
    <x v="16"/>
    <x v="233"/>
    <x v="0"/>
    <x v="4"/>
    <n v="5"/>
    <n v="0"/>
    <n v="0"/>
  </r>
  <r>
    <x v="1"/>
    <x v="16"/>
    <x v="233"/>
    <x v="0"/>
    <x v="5"/>
    <n v="6"/>
    <n v="0"/>
    <n v="0"/>
  </r>
  <r>
    <x v="1"/>
    <x v="16"/>
    <x v="233"/>
    <x v="0"/>
    <x v="6"/>
    <n v="7"/>
    <n v="0"/>
    <n v="0"/>
  </r>
  <r>
    <x v="1"/>
    <x v="16"/>
    <x v="234"/>
    <x v="0"/>
    <x v="0"/>
    <n v="1"/>
    <n v="0"/>
    <n v="0"/>
  </r>
  <r>
    <x v="1"/>
    <x v="16"/>
    <x v="234"/>
    <x v="0"/>
    <x v="1"/>
    <n v="2"/>
    <n v="0"/>
    <n v="0"/>
  </r>
  <r>
    <x v="1"/>
    <x v="16"/>
    <x v="234"/>
    <x v="0"/>
    <x v="2"/>
    <n v="3"/>
    <n v="0"/>
    <n v="0"/>
  </r>
  <r>
    <x v="1"/>
    <x v="16"/>
    <x v="234"/>
    <x v="0"/>
    <x v="3"/>
    <n v="4"/>
    <n v="4.32"/>
    <n v="10800"/>
  </r>
  <r>
    <x v="1"/>
    <x v="16"/>
    <x v="234"/>
    <x v="0"/>
    <x v="4"/>
    <n v="5"/>
    <n v="0"/>
    <n v="0"/>
  </r>
  <r>
    <x v="1"/>
    <x v="16"/>
    <x v="234"/>
    <x v="0"/>
    <x v="5"/>
    <n v="6"/>
    <n v="0"/>
    <n v="0"/>
  </r>
  <r>
    <x v="1"/>
    <x v="16"/>
    <x v="234"/>
    <x v="0"/>
    <x v="6"/>
    <n v="7"/>
    <n v="0"/>
    <n v="0"/>
  </r>
  <r>
    <x v="1"/>
    <x v="16"/>
    <x v="235"/>
    <x v="0"/>
    <x v="0"/>
    <n v="1"/>
    <n v="0"/>
    <n v="0"/>
  </r>
  <r>
    <x v="1"/>
    <x v="16"/>
    <x v="235"/>
    <x v="0"/>
    <x v="1"/>
    <n v="2"/>
    <n v="0"/>
    <n v="0"/>
  </r>
  <r>
    <x v="1"/>
    <x v="16"/>
    <x v="235"/>
    <x v="0"/>
    <x v="2"/>
    <n v="3"/>
    <n v="0"/>
    <n v="0"/>
  </r>
  <r>
    <x v="1"/>
    <x v="16"/>
    <x v="235"/>
    <x v="0"/>
    <x v="3"/>
    <n v="4"/>
    <n v="0.72"/>
    <n v="1800"/>
  </r>
  <r>
    <x v="1"/>
    <x v="16"/>
    <x v="235"/>
    <x v="0"/>
    <x v="4"/>
    <n v="5"/>
    <n v="0"/>
    <n v="0"/>
  </r>
  <r>
    <x v="1"/>
    <x v="16"/>
    <x v="235"/>
    <x v="0"/>
    <x v="5"/>
    <n v="6"/>
    <n v="0"/>
    <n v="0"/>
  </r>
  <r>
    <x v="1"/>
    <x v="16"/>
    <x v="235"/>
    <x v="0"/>
    <x v="6"/>
    <n v="7"/>
    <n v="0"/>
    <n v="0"/>
  </r>
  <r>
    <x v="1"/>
    <x v="16"/>
    <x v="236"/>
    <x v="0"/>
    <x v="0"/>
    <n v="1"/>
    <n v="0"/>
    <n v="0"/>
  </r>
  <r>
    <x v="1"/>
    <x v="16"/>
    <x v="236"/>
    <x v="0"/>
    <x v="1"/>
    <n v="2"/>
    <n v="0"/>
    <n v="0"/>
  </r>
  <r>
    <x v="1"/>
    <x v="16"/>
    <x v="236"/>
    <x v="0"/>
    <x v="2"/>
    <n v="3"/>
    <n v="0"/>
    <n v="0"/>
  </r>
  <r>
    <x v="1"/>
    <x v="16"/>
    <x v="236"/>
    <x v="0"/>
    <x v="3"/>
    <n v="4"/>
    <n v="1.44"/>
    <n v="3600"/>
  </r>
  <r>
    <x v="1"/>
    <x v="16"/>
    <x v="236"/>
    <x v="0"/>
    <x v="4"/>
    <n v="5"/>
    <n v="0"/>
    <n v="0"/>
  </r>
  <r>
    <x v="1"/>
    <x v="16"/>
    <x v="236"/>
    <x v="0"/>
    <x v="5"/>
    <n v="6"/>
    <n v="0"/>
    <n v="0"/>
  </r>
  <r>
    <x v="1"/>
    <x v="16"/>
    <x v="236"/>
    <x v="0"/>
    <x v="6"/>
    <n v="7"/>
    <n v="0"/>
    <n v="0"/>
  </r>
  <r>
    <x v="1"/>
    <x v="16"/>
    <x v="237"/>
    <x v="0"/>
    <x v="0"/>
    <n v="1"/>
    <n v="0"/>
    <n v="0"/>
  </r>
  <r>
    <x v="1"/>
    <x v="16"/>
    <x v="237"/>
    <x v="0"/>
    <x v="1"/>
    <n v="2"/>
    <n v="0"/>
    <n v="0"/>
  </r>
  <r>
    <x v="1"/>
    <x v="16"/>
    <x v="237"/>
    <x v="0"/>
    <x v="2"/>
    <n v="3"/>
    <n v="0"/>
    <n v="0"/>
  </r>
  <r>
    <x v="1"/>
    <x v="16"/>
    <x v="237"/>
    <x v="0"/>
    <x v="3"/>
    <n v="4"/>
    <n v="0.72"/>
    <n v="1800"/>
  </r>
  <r>
    <x v="1"/>
    <x v="16"/>
    <x v="237"/>
    <x v="0"/>
    <x v="4"/>
    <n v="5"/>
    <n v="0"/>
    <n v="0"/>
  </r>
  <r>
    <x v="1"/>
    <x v="16"/>
    <x v="237"/>
    <x v="0"/>
    <x v="5"/>
    <n v="6"/>
    <n v="0"/>
    <n v="0"/>
  </r>
  <r>
    <x v="1"/>
    <x v="16"/>
    <x v="237"/>
    <x v="0"/>
    <x v="6"/>
    <n v="7"/>
    <n v="0"/>
    <n v="0"/>
  </r>
  <r>
    <x v="1"/>
    <x v="16"/>
    <x v="238"/>
    <x v="0"/>
    <x v="0"/>
    <n v="1"/>
    <n v="0"/>
    <n v="0"/>
  </r>
  <r>
    <x v="1"/>
    <x v="16"/>
    <x v="238"/>
    <x v="0"/>
    <x v="1"/>
    <n v="2"/>
    <n v="0"/>
    <n v="0"/>
  </r>
  <r>
    <x v="1"/>
    <x v="16"/>
    <x v="238"/>
    <x v="0"/>
    <x v="2"/>
    <n v="3"/>
    <n v="0"/>
    <n v="0"/>
  </r>
  <r>
    <x v="1"/>
    <x v="16"/>
    <x v="238"/>
    <x v="0"/>
    <x v="3"/>
    <n v="4"/>
    <n v="0"/>
    <n v="0"/>
  </r>
  <r>
    <x v="1"/>
    <x v="16"/>
    <x v="238"/>
    <x v="0"/>
    <x v="4"/>
    <n v="5"/>
    <n v="0"/>
    <n v="0"/>
  </r>
  <r>
    <x v="1"/>
    <x v="16"/>
    <x v="238"/>
    <x v="0"/>
    <x v="5"/>
    <n v="6"/>
    <n v="0"/>
    <n v="0"/>
  </r>
  <r>
    <x v="1"/>
    <x v="16"/>
    <x v="238"/>
    <x v="0"/>
    <x v="6"/>
    <n v="7"/>
    <n v="0"/>
    <n v="0"/>
  </r>
  <r>
    <x v="1"/>
    <x v="16"/>
    <x v="239"/>
    <x v="0"/>
    <x v="0"/>
    <n v="1"/>
    <n v="0"/>
    <n v="0"/>
  </r>
  <r>
    <x v="1"/>
    <x v="16"/>
    <x v="239"/>
    <x v="0"/>
    <x v="1"/>
    <n v="2"/>
    <n v="0"/>
    <n v="0"/>
  </r>
  <r>
    <x v="1"/>
    <x v="16"/>
    <x v="239"/>
    <x v="0"/>
    <x v="2"/>
    <n v="3"/>
    <n v="0"/>
    <n v="0"/>
  </r>
  <r>
    <x v="1"/>
    <x v="16"/>
    <x v="239"/>
    <x v="0"/>
    <x v="3"/>
    <n v="4"/>
    <n v="0"/>
    <n v="0"/>
  </r>
  <r>
    <x v="1"/>
    <x v="16"/>
    <x v="239"/>
    <x v="0"/>
    <x v="4"/>
    <n v="5"/>
    <n v="0"/>
    <n v="0"/>
  </r>
  <r>
    <x v="1"/>
    <x v="16"/>
    <x v="239"/>
    <x v="0"/>
    <x v="5"/>
    <n v="6"/>
    <n v="0"/>
    <n v="0"/>
  </r>
  <r>
    <x v="1"/>
    <x v="16"/>
    <x v="239"/>
    <x v="0"/>
    <x v="6"/>
    <n v="7"/>
    <n v="0"/>
    <n v="0"/>
  </r>
  <r>
    <x v="1"/>
    <x v="16"/>
    <x v="240"/>
    <x v="0"/>
    <x v="0"/>
    <n v="1"/>
    <n v="0"/>
    <n v="0"/>
  </r>
  <r>
    <x v="1"/>
    <x v="16"/>
    <x v="240"/>
    <x v="0"/>
    <x v="1"/>
    <n v="2"/>
    <n v="0"/>
    <n v="0"/>
  </r>
  <r>
    <x v="1"/>
    <x v="16"/>
    <x v="240"/>
    <x v="0"/>
    <x v="2"/>
    <n v="3"/>
    <n v="0"/>
    <n v="0"/>
  </r>
  <r>
    <x v="1"/>
    <x v="16"/>
    <x v="240"/>
    <x v="0"/>
    <x v="3"/>
    <n v="4"/>
    <n v="1.44"/>
    <n v="3600"/>
  </r>
  <r>
    <x v="1"/>
    <x v="16"/>
    <x v="240"/>
    <x v="0"/>
    <x v="4"/>
    <n v="5"/>
    <n v="0"/>
    <n v="0"/>
  </r>
  <r>
    <x v="1"/>
    <x v="16"/>
    <x v="240"/>
    <x v="0"/>
    <x v="5"/>
    <n v="6"/>
    <n v="0"/>
    <n v="0"/>
  </r>
  <r>
    <x v="1"/>
    <x v="16"/>
    <x v="240"/>
    <x v="0"/>
    <x v="6"/>
    <n v="7"/>
    <n v="0"/>
    <n v="0"/>
  </r>
  <r>
    <x v="1"/>
    <x v="16"/>
    <x v="241"/>
    <x v="0"/>
    <x v="0"/>
    <n v="1"/>
    <n v="0"/>
    <n v="0"/>
  </r>
  <r>
    <x v="1"/>
    <x v="16"/>
    <x v="241"/>
    <x v="0"/>
    <x v="1"/>
    <n v="2"/>
    <n v="0"/>
    <n v="0"/>
  </r>
  <r>
    <x v="1"/>
    <x v="16"/>
    <x v="241"/>
    <x v="0"/>
    <x v="2"/>
    <n v="3"/>
    <n v="0"/>
    <n v="0"/>
  </r>
  <r>
    <x v="1"/>
    <x v="16"/>
    <x v="241"/>
    <x v="0"/>
    <x v="3"/>
    <n v="4"/>
    <n v="0"/>
    <n v="0"/>
  </r>
  <r>
    <x v="1"/>
    <x v="16"/>
    <x v="241"/>
    <x v="0"/>
    <x v="4"/>
    <n v="5"/>
    <n v="0"/>
    <n v="0"/>
  </r>
  <r>
    <x v="1"/>
    <x v="16"/>
    <x v="241"/>
    <x v="0"/>
    <x v="5"/>
    <n v="6"/>
    <n v="0"/>
    <n v="0"/>
  </r>
  <r>
    <x v="1"/>
    <x v="16"/>
    <x v="241"/>
    <x v="0"/>
    <x v="6"/>
    <n v="7"/>
    <n v="0"/>
    <n v="0"/>
  </r>
  <r>
    <x v="1"/>
    <x v="16"/>
    <x v="242"/>
    <x v="0"/>
    <x v="0"/>
    <n v="1"/>
    <n v="0"/>
    <n v="0"/>
  </r>
  <r>
    <x v="1"/>
    <x v="16"/>
    <x v="242"/>
    <x v="0"/>
    <x v="1"/>
    <n v="2"/>
    <n v="0"/>
    <n v="0"/>
  </r>
  <r>
    <x v="1"/>
    <x v="16"/>
    <x v="242"/>
    <x v="0"/>
    <x v="2"/>
    <n v="3"/>
    <n v="0"/>
    <n v="0"/>
  </r>
  <r>
    <x v="1"/>
    <x v="16"/>
    <x v="242"/>
    <x v="0"/>
    <x v="3"/>
    <n v="4"/>
    <n v="0"/>
    <n v="0"/>
  </r>
  <r>
    <x v="1"/>
    <x v="16"/>
    <x v="242"/>
    <x v="0"/>
    <x v="4"/>
    <n v="5"/>
    <n v="0"/>
    <n v="0"/>
  </r>
  <r>
    <x v="1"/>
    <x v="16"/>
    <x v="242"/>
    <x v="0"/>
    <x v="5"/>
    <n v="6"/>
    <n v="0"/>
    <n v="0"/>
  </r>
  <r>
    <x v="1"/>
    <x v="16"/>
    <x v="242"/>
    <x v="0"/>
    <x v="6"/>
    <n v="7"/>
    <n v="0"/>
    <n v="0"/>
  </r>
  <r>
    <x v="1"/>
    <x v="16"/>
    <x v="243"/>
    <x v="0"/>
    <x v="0"/>
    <n v="1"/>
    <n v="0"/>
    <n v="0"/>
  </r>
  <r>
    <x v="1"/>
    <x v="16"/>
    <x v="243"/>
    <x v="0"/>
    <x v="1"/>
    <n v="2"/>
    <n v="0"/>
    <n v="0"/>
  </r>
  <r>
    <x v="1"/>
    <x v="16"/>
    <x v="243"/>
    <x v="0"/>
    <x v="2"/>
    <n v="3"/>
    <n v="0"/>
    <n v="0"/>
  </r>
  <r>
    <x v="1"/>
    <x v="16"/>
    <x v="243"/>
    <x v="0"/>
    <x v="3"/>
    <n v="4"/>
    <n v="0"/>
    <n v="0"/>
  </r>
  <r>
    <x v="1"/>
    <x v="16"/>
    <x v="243"/>
    <x v="0"/>
    <x v="4"/>
    <n v="5"/>
    <n v="0"/>
    <n v="0"/>
  </r>
  <r>
    <x v="1"/>
    <x v="16"/>
    <x v="243"/>
    <x v="0"/>
    <x v="5"/>
    <n v="6"/>
    <n v="0"/>
    <n v="0"/>
  </r>
  <r>
    <x v="1"/>
    <x v="16"/>
    <x v="243"/>
    <x v="0"/>
    <x v="6"/>
    <n v="7"/>
    <n v="0"/>
    <n v="0"/>
  </r>
  <r>
    <x v="1"/>
    <x v="16"/>
    <x v="244"/>
    <x v="0"/>
    <x v="0"/>
    <n v="1"/>
    <n v="0"/>
    <n v="0"/>
  </r>
  <r>
    <x v="1"/>
    <x v="16"/>
    <x v="244"/>
    <x v="0"/>
    <x v="1"/>
    <n v="2"/>
    <n v="0"/>
    <n v="0"/>
  </r>
  <r>
    <x v="1"/>
    <x v="16"/>
    <x v="244"/>
    <x v="0"/>
    <x v="2"/>
    <n v="3"/>
    <n v="0"/>
    <n v="0"/>
  </r>
  <r>
    <x v="1"/>
    <x v="16"/>
    <x v="244"/>
    <x v="0"/>
    <x v="3"/>
    <n v="4"/>
    <n v="0"/>
    <n v="0"/>
  </r>
  <r>
    <x v="1"/>
    <x v="16"/>
    <x v="244"/>
    <x v="0"/>
    <x v="4"/>
    <n v="5"/>
    <n v="0"/>
    <n v="0"/>
  </r>
  <r>
    <x v="1"/>
    <x v="16"/>
    <x v="244"/>
    <x v="0"/>
    <x v="5"/>
    <n v="6"/>
    <n v="0"/>
    <n v="0"/>
  </r>
  <r>
    <x v="1"/>
    <x v="16"/>
    <x v="244"/>
    <x v="0"/>
    <x v="6"/>
    <n v="7"/>
    <n v="0"/>
    <n v="0"/>
  </r>
  <r>
    <x v="1"/>
    <x v="16"/>
    <x v="245"/>
    <x v="0"/>
    <x v="0"/>
    <n v="1"/>
    <n v="0"/>
    <n v="0"/>
  </r>
  <r>
    <x v="1"/>
    <x v="16"/>
    <x v="245"/>
    <x v="0"/>
    <x v="1"/>
    <n v="2"/>
    <n v="0"/>
    <n v="0"/>
  </r>
  <r>
    <x v="1"/>
    <x v="16"/>
    <x v="245"/>
    <x v="0"/>
    <x v="2"/>
    <n v="3"/>
    <n v="0"/>
    <n v="0"/>
  </r>
  <r>
    <x v="1"/>
    <x v="16"/>
    <x v="245"/>
    <x v="0"/>
    <x v="3"/>
    <n v="4"/>
    <n v="2.16"/>
    <n v="5400"/>
  </r>
  <r>
    <x v="1"/>
    <x v="16"/>
    <x v="245"/>
    <x v="0"/>
    <x v="4"/>
    <n v="5"/>
    <n v="0"/>
    <n v="0"/>
  </r>
  <r>
    <x v="1"/>
    <x v="16"/>
    <x v="245"/>
    <x v="0"/>
    <x v="5"/>
    <n v="6"/>
    <n v="0"/>
    <n v="0"/>
  </r>
  <r>
    <x v="1"/>
    <x v="16"/>
    <x v="245"/>
    <x v="0"/>
    <x v="6"/>
    <n v="7"/>
    <n v="0"/>
    <n v="0"/>
  </r>
  <r>
    <x v="1"/>
    <x v="16"/>
    <x v="246"/>
    <x v="0"/>
    <x v="0"/>
    <n v="1"/>
    <n v="0"/>
    <n v="0"/>
  </r>
  <r>
    <x v="1"/>
    <x v="16"/>
    <x v="246"/>
    <x v="0"/>
    <x v="1"/>
    <n v="2"/>
    <n v="0"/>
    <n v="0"/>
  </r>
  <r>
    <x v="1"/>
    <x v="16"/>
    <x v="246"/>
    <x v="0"/>
    <x v="2"/>
    <n v="3"/>
    <n v="0"/>
    <n v="0"/>
  </r>
  <r>
    <x v="1"/>
    <x v="16"/>
    <x v="246"/>
    <x v="0"/>
    <x v="3"/>
    <n v="4"/>
    <n v="2.16"/>
    <n v="5400"/>
  </r>
  <r>
    <x v="1"/>
    <x v="16"/>
    <x v="246"/>
    <x v="0"/>
    <x v="4"/>
    <n v="5"/>
    <n v="0"/>
    <n v="0"/>
  </r>
  <r>
    <x v="1"/>
    <x v="16"/>
    <x v="246"/>
    <x v="0"/>
    <x v="5"/>
    <n v="6"/>
    <n v="0"/>
    <n v="0"/>
  </r>
  <r>
    <x v="1"/>
    <x v="16"/>
    <x v="246"/>
    <x v="0"/>
    <x v="6"/>
    <n v="7"/>
    <n v="0"/>
    <n v="0"/>
  </r>
  <r>
    <x v="1"/>
    <x v="16"/>
    <x v="247"/>
    <x v="0"/>
    <x v="0"/>
    <n v="1"/>
    <n v="0"/>
    <n v="0"/>
  </r>
  <r>
    <x v="1"/>
    <x v="16"/>
    <x v="247"/>
    <x v="0"/>
    <x v="1"/>
    <n v="2"/>
    <n v="0"/>
    <n v="0"/>
  </r>
  <r>
    <x v="1"/>
    <x v="16"/>
    <x v="247"/>
    <x v="0"/>
    <x v="2"/>
    <n v="3"/>
    <n v="0"/>
    <n v="0"/>
  </r>
  <r>
    <x v="1"/>
    <x v="16"/>
    <x v="247"/>
    <x v="0"/>
    <x v="3"/>
    <n v="4"/>
    <n v="0"/>
    <n v="0"/>
  </r>
  <r>
    <x v="1"/>
    <x v="16"/>
    <x v="247"/>
    <x v="0"/>
    <x v="4"/>
    <n v="5"/>
    <n v="0"/>
    <n v="0"/>
  </r>
  <r>
    <x v="1"/>
    <x v="16"/>
    <x v="247"/>
    <x v="0"/>
    <x v="5"/>
    <n v="6"/>
    <n v="0"/>
    <n v="0"/>
  </r>
  <r>
    <x v="1"/>
    <x v="16"/>
    <x v="247"/>
    <x v="0"/>
    <x v="6"/>
    <n v="7"/>
    <n v="0"/>
    <n v="0"/>
  </r>
  <r>
    <x v="1"/>
    <x v="16"/>
    <x v="248"/>
    <x v="0"/>
    <x v="0"/>
    <n v="1"/>
    <n v="0"/>
    <n v="0"/>
  </r>
  <r>
    <x v="1"/>
    <x v="16"/>
    <x v="248"/>
    <x v="0"/>
    <x v="1"/>
    <n v="2"/>
    <n v="0"/>
    <n v="0"/>
  </r>
  <r>
    <x v="1"/>
    <x v="16"/>
    <x v="248"/>
    <x v="0"/>
    <x v="2"/>
    <n v="3"/>
    <n v="0"/>
    <n v="0"/>
  </r>
  <r>
    <x v="1"/>
    <x v="16"/>
    <x v="248"/>
    <x v="0"/>
    <x v="3"/>
    <n v="4"/>
    <n v="0"/>
    <n v="0"/>
  </r>
  <r>
    <x v="1"/>
    <x v="16"/>
    <x v="248"/>
    <x v="0"/>
    <x v="4"/>
    <n v="5"/>
    <n v="0"/>
    <n v="0"/>
  </r>
  <r>
    <x v="1"/>
    <x v="16"/>
    <x v="248"/>
    <x v="0"/>
    <x v="5"/>
    <n v="6"/>
    <n v="0"/>
    <n v="0"/>
  </r>
  <r>
    <x v="1"/>
    <x v="16"/>
    <x v="248"/>
    <x v="0"/>
    <x v="6"/>
    <n v="7"/>
    <n v="0"/>
    <n v="0"/>
  </r>
  <r>
    <x v="1"/>
    <x v="16"/>
    <x v="249"/>
    <x v="0"/>
    <x v="0"/>
    <n v="1"/>
    <n v="0"/>
    <n v="0"/>
  </r>
  <r>
    <x v="1"/>
    <x v="16"/>
    <x v="249"/>
    <x v="0"/>
    <x v="1"/>
    <n v="2"/>
    <n v="0"/>
    <n v="0"/>
  </r>
  <r>
    <x v="1"/>
    <x v="16"/>
    <x v="249"/>
    <x v="0"/>
    <x v="2"/>
    <n v="3"/>
    <n v="0"/>
    <n v="0"/>
  </r>
  <r>
    <x v="1"/>
    <x v="16"/>
    <x v="249"/>
    <x v="0"/>
    <x v="3"/>
    <n v="4"/>
    <n v="2.16"/>
    <n v="5400"/>
  </r>
  <r>
    <x v="1"/>
    <x v="16"/>
    <x v="249"/>
    <x v="0"/>
    <x v="4"/>
    <n v="5"/>
    <n v="0"/>
    <n v="0"/>
  </r>
  <r>
    <x v="1"/>
    <x v="16"/>
    <x v="249"/>
    <x v="0"/>
    <x v="5"/>
    <n v="6"/>
    <n v="0"/>
    <n v="0"/>
  </r>
  <r>
    <x v="1"/>
    <x v="16"/>
    <x v="249"/>
    <x v="0"/>
    <x v="6"/>
    <n v="7"/>
    <n v="0"/>
    <n v="0"/>
  </r>
  <r>
    <x v="1"/>
    <x v="16"/>
    <x v="250"/>
    <x v="0"/>
    <x v="0"/>
    <n v="1"/>
    <n v="0"/>
    <n v="0"/>
  </r>
  <r>
    <x v="1"/>
    <x v="16"/>
    <x v="250"/>
    <x v="0"/>
    <x v="1"/>
    <n v="2"/>
    <n v="0"/>
    <n v="0"/>
  </r>
  <r>
    <x v="1"/>
    <x v="16"/>
    <x v="250"/>
    <x v="0"/>
    <x v="2"/>
    <n v="3"/>
    <n v="0"/>
    <n v="0"/>
  </r>
  <r>
    <x v="1"/>
    <x v="16"/>
    <x v="250"/>
    <x v="0"/>
    <x v="3"/>
    <n v="4"/>
    <n v="0"/>
    <n v="0"/>
  </r>
  <r>
    <x v="1"/>
    <x v="16"/>
    <x v="250"/>
    <x v="0"/>
    <x v="4"/>
    <n v="5"/>
    <n v="0"/>
    <n v="0"/>
  </r>
  <r>
    <x v="1"/>
    <x v="16"/>
    <x v="250"/>
    <x v="0"/>
    <x v="5"/>
    <n v="6"/>
    <n v="0"/>
    <n v="0"/>
  </r>
  <r>
    <x v="1"/>
    <x v="16"/>
    <x v="250"/>
    <x v="0"/>
    <x v="6"/>
    <n v="7"/>
    <n v="0"/>
    <n v="0"/>
  </r>
  <r>
    <x v="1"/>
    <x v="16"/>
    <x v="251"/>
    <x v="0"/>
    <x v="0"/>
    <n v="1"/>
    <n v="0"/>
    <n v="0"/>
  </r>
  <r>
    <x v="1"/>
    <x v="16"/>
    <x v="251"/>
    <x v="0"/>
    <x v="1"/>
    <n v="2"/>
    <n v="0"/>
    <n v="0"/>
  </r>
  <r>
    <x v="1"/>
    <x v="16"/>
    <x v="251"/>
    <x v="0"/>
    <x v="2"/>
    <n v="3"/>
    <n v="0"/>
    <n v="0"/>
  </r>
  <r>
    <x v="1"/>
    <x v="16"/>
    <x v="251"/>
    <x v="0"/>
    <x v="3"/>
    <n v="4"/>
    <n v="0"/>
    <n v="0"/>
  </r>
  <r>
    <x v="1"/>
    <x v="16"/>
    <x v="251"/>
    <x v="0"/>
    <x v="4"/>
    <n v="5"/>
    <n v="0"/>
    <n v="0"/>
  </r>
  <r>
    <x v="1"/>
    <x v="16"/>
    <x v="251"/>
    <x v="0"/>
    <x v="5"/>
    <n v="6"/>
    <n v="0"/>
    <n v="0"/>
  </r>
  <r>
    <x v="1"/>
    <x v="16"/>
    <x v="251"/>
    <x v="0"/>
    <x v="6"/>
    <n v="7"/>
    <n v="0"/>
    <n v="0"/>
  </r>
  <r>
    <x v="1"/>
    <x v="16"/>
    <x v="252"/>
    <x v="0"/>
    <x v="0"/>
    <n v="1"/>
    <n v="0"/>
    <n v="0"/>
  </r>
  <r>
    <x v="1"/>
    <x v="16"/>
    <x v="252"/>
    <x v="0"/>
    <x v="1"/>
    <n v="2"/>
    <n v="0"/>
    <n v="0"/>
  </r>
  <r>
    <x v="1"/>
    <x v="16"/>
    <x v="252"/>
    <x v="0"/>
    <x v="2"/>
    <n v="3"/>
    <n v="0"/>
    <n v="0"/>
  </r>
  <r>
    <x v="1"/>
    <x v="16"/>
    <x v="252"/>
    <x v="0"/>
    <x v="3"/>
    <n v="4"/>
    <n v="0"/>
    <n v="0"/>
  </r>
  <r>
    <x v="1"/>
    <x v="16"/>
    <x v="252"/>
    <x v="0"/>
    <x v="4"/>
    <n v="5"/>
    <n v="0"/>
    <n v="0"/>
  </r>
  <r>
    <x v="1"/>
    <x v="16"/>
    <x v="252"/>
    <x v="0"/>
    <x v="5"/>
    <n v="6"/>
    <n v="0"/>
    <n v="0"/>
  </r>
  <r>
    <x v="1"/>
    <x v="16"/>
    <x v="252"/>
    <x v="0"/>
    <x v="6"/>
    <n v="7"/>
    <n v="0"/>
    <n v="0"/>
  </r>
  <r>
    <x v="1"/>
    <x v="16"/>
    <x v="253"/>
    <x v="0"/>
    <x v="0"/>
    <n v="1"/>
    <n v="0"/>
    <n v="0"/>
  </r>
  <r>
    <x v="1"/>
    <x v="16"/>
    <x v="253"/>
    <x v="0"/>
    <x v="1"/>
    <n v="2"/>
    <n v="0"/>
    <n v="0"/>
  </r>
  <r>
    <x v="1"/>
    <x v="16"/>
    <x v="253"/>
    <x v="0"/>
    <x v="2"/>
    <n v="3"/>
    <n v="0"/>
    <n v="0"/>
  </r>
  <r>
    <x v="1"/>
    <x v="16"/>
    <x v="253"/>
    <x v="0"/>
    <x v="3"/>
    <n v="4"/>
    <n v="5.04"/>
    <n v="12600"/>
  </r>
  <r>
    <x v="1"/>
    <x v="16"/>
    <x v="253"/>
    <x v="0"/>
    <x v="4"/>
    <n v="5"/>
    <n v="0"/>
    <n v="0"/>
  </r>
  <r>
    <x v="1"/>
    <x v="16"/>
    <x v="253"/>
    <x v="0"/>
    <x v="5"/>
    <n v="6"/>
    <n v="0"/>
    <n v="0"/>
  </r>
  <r>
    <x v="1"/>
    <x v="16"/>
    <x v="253"/>
    <x v="0"/>
    <x v="6"/>
    <n v="7"/>
    <n v="0"/>
    <n v="0"/>
  </r>
  <r>
    <x v="1"/>
    <x v="16"/>
    <x v="254"/>
    <x v="0"/>
    <x v="0"/>
    <n v="1"/>
    <n v="0"/>
    <n v="0"/>
  </r>
  <r>
    <x v="1"/>
    <x v="16"/>
    <x v="254"/>
    <x v="0"/>
    <x v="1"/>
    <n v="2"/>
    <n v="0"/>
    <n v="0"/>
  </r>
  <r>
    <x v="1"/>
    <x v="16"/>
    <x v="254"/>
    <x v="0"/>
    <x v="2"/>
    <n v="3"/>
    <n v="0"/>
    <n v="0"/>
  </r>
  <r>
    <x v="1"/>
    <x v="16"/>
    <x v="254"/>
    <x v="0"/>
    <x v="3"/>
    <n v="4"/>
    <n v="3.6"/>
    <n v="9000"/>
  </r>
  <r>
    <x v="1"/>
    <x v="16"/>
    <x v="254"/>
    <x v="0"/>
    <x v="4"/>
    <n v="5"/>
    <n v="0"/>
    <n v="0"/>
  </r>
  <r>
    <x v="1"/>
    <x v="16"/>
    <x v="254"/>
    <x v="0"/>
    <x v="5"/>
    <n v="6"/>
    <n v="0"/>
    <n v="0"/>
  </r>
  <r>
    <x v="1"/>
    <x v="16"/>
    <x v="254"/>
    <x v="0"/>
    <x v="6"/>
    <n v="7"/>
    <n v="0"/>
    <n v="0"/>
  </r>
  <r>
    <x v="1"/>
    <x v="16"/>
    <x v="255"/>
    <x v="0"/>
    <x v="0"/>
    <n v="1"/>
    <n v="0"/>
    <n v="0"/>
  </r>
  <r>
    <x v="1"/>
    <x v="16"/>
    <x v="255"/>
    <x v="0"/>
    <x v="1"/>
    <n v="2"/>
    <n v="0"/>
    <n v="0"/>
  </r>
  <r>
    <x v="1"/>
    <x v="16"/>
    <x v="255"/>
    <x v="0"/>
    <x v="2"/>
    <n v="3"/>
    <n v="0"/>
    <n v="0"/>
  </r>
  <r>
    <x v="1"/>
    <x v="16"/>
    <x v="255"/>
    <x v="0"/>
    <x v="3"/>
    <n v="4"/>
    <n v="1.44"/>
    <n v="3600"/>
  </r>
  <r>
    <x v="1"/>
    <x v="16"/>
    <x v="255"/>
    <x v="0"/>
    <x v="4"/>
    <n v="5"/>
    <n v="0"/>
    <n v="0"/>
  </r>
  <r>
    <x v="1"/>
    <x v="16"/>
    <x v="255"/>
    <x v="0"/>
    <x v="5"/>
    <n v="6"/>
    <n v="0"/>
    <n v="0"/>
  </r>
  <r>
    <x v="1"/>
    <x v="16"/>
    <x v="255"/>
    <x v="0"/>
    <x v="6"/>
    <n v="7"/>
    <n v="0"/>
    <n v="0"/>
  </r>
  <r>
    <x v="1"/>
    <x v="16"/>
    <x v="85"/>
    <x v="0"/>
    <x v="0"/>
    <n v="1"/>
    <n v="0"/>
    <n v="0"/>
  </r>
  <r>
    <x v="1"/>
    <x v="16"/>
    <x v="85"/>
    <x v="0"/>
    <x v="1"/>
    <n v="2"/>
    <n v="0"/>
    <n v="0"/>
  </r>
  <r>
    <x v="1"/>
    <x v="16"/>
    <x v="85"/>
    <x v="0"/>
    <x v="2"/>
    <n v="3"/>
    <n v="0"/>
    <n v="0"/>
  </r>
  <r>
    <x v="1"/>
    <x v="16"/>
    <x v="85"/>
    <x v="0"/>
    <x v="3"/>
    <n v="4"/>
    <n v="4.32"/>
    <n v="10800"/>
  </r>
  <r>
    <x v="1"/>
    <x v="16"/>
    <x v="85"/>
    <x v="0"/>
    <x v="4"/>
    <n v="5"/>
    <n v="0"/>
    <n v="0"/>
  </r>
  <r>
    <x v="1"/>
    <x v="16"/>
    <x v="85"/>
    <x v="0"/>
    <x v="5"/>
    <n v="6"/>
    <n v="0"/>
    <n v="0"/>
  </r>
  <r>
    <x v="1"/>
    <x v="16"/>
    <x v="85"/>
    <x v="0"/>
    <x v="6"/>
    <n v="7"/>
    <n v="0"/>
    <n v="0"/>
  </r>
  <r>
    <x v="1"/>
    <x v="16"/>
    <x v="256"/>
    <x v="0"/>
    <x v="0"/>
    <n v="1"/>
    <n v="0"/>
    <n v="0"/>
  </r>
  <r>
    <x v="1"/>
    <x v="16"/>
    <x v="256"/>
    <x v="0"/>
    <x v="1"/>
    <n v="2"/>
    <n v="0"/>
    <n v="0"/>
  </r>
  <r>
    <x v="1"/>
    <x v="16"/>
    <x v="256"/>
    <x v="0"/>
    <x v="2"/>
    <n v="3"/>
    <n v="0"/>
    <n v="0"/>
  </r>
  <r>
    <x v="1"/>
    <x v="16"/>
    <x v="256"/>
    <x v="0"/>
    <x v="3"/>
    <n v="4"/>
    <n v="0.72"/>
    <n v="1800"/>
  </r>
  <r>
    <x v="1"/>
    <x v="16"/>
    <x v="256"/>
    <x v="0"/>
    <x v="4"/>
    <n v="5"/>
    <n v="0"/>
    <n v="0"/>
  </r>
  <r>
    <x v="1"/>
    <x v="16"/>
    <x v="256"/>
    <x v="0"/>
    <x v="5"/>
    <n v="6"/>
    <n v="0"/>
    <n v="0"/>
  </r>
  <r>
    <x v="1"/>
    <x v="16"/>
    <x v="256"/>
    <x v="0"/>
    <x v="6"/>
    <n v="7"/>
    <n v="0"/>
    <n v="0"/>
  </r>
  <r>
    <x v="1"/>
    <x v="16"/>
    <x v="257"/>
    <x v="0"/>
    <x v="0"/>
    <n v="1"/>
    <n v="0"/>
    <n v="0"/>
  </r>
  <r>
    <x v="1"/>
    <x v="16"/>
    <x v="257"/>
    <x v="0"/>
    <x v="1"/>
    <n v="2"/>
    <n v="0"/>
    <n v="0"/>
  </r>
  <r>
    <x v="1"/>
    <x v="16"/>
    <x v="257"/>
    <x v="0"/>
    <x v="2"/>
    <n v="3"/>
    <n v="0"/>
    <n v="0"/>
  </r>
  <r>
    <x v="1"/>
    <x v="16"/>
    <x v="257"/>
    <x v="0"/>
    <x v="3"/>
    <n v="4"/>
    <n v="0"/>
    <n v="0"/>
  </r>
  <r>
    <x v="1"/>
    <x v="16"/>
    <x v="257"/>
    <x v="0"/>
    <x v="4"/>
    <n v="5"/>
    <n v="0"/>
    <n v="0"/>
  </r>
  <r>
    <x v="1"/>
    <x v="16"/>
    <x v="257"/>
    <x v="0"/>
    <x v="5"/>
    <n v="6"/>
    <n v="0"/>
    <n v="0"/>
  </r>
  <r>
    <x v="1"/>
    <x v="16"/>
    <x v="257"/>
    <x v="0"/>
    <x v="6"/>
    <n v="7"/>
    <n v="0"/>
    <n v="0"/>
  </r>
  <r>
    <x v="1"/>
    <x v="16"/>
    <x v="258"/>
    <x v="0"/>
    <x v="0"/>
    <n v="1"/>
    <n v="0"/>
    <n v="0"/>
  </r>
  <r>
    <x v="1"/>
    <x v="16"/>
    <x v="258"/>
    <x v="0"/>
    <x v="1"/>
    <n v="2"/>
    <n v="0"/>
    <n v="0"/>
  </r>
  <r>
    <x v="1"/>
    <x v="16"/>
    <x v="258"/>
    <x v="0"/>
    <x v="2"/>
    <n v="3"/>
    <n v="0"/>
    <n v="0"/>
  </r>
  <r>
    <x v="1"/>
    <x v="16"/>
    <x v="258"/>
    <x v="0"/>
    <x v="3"/>
    <n v="4"/>
    <n v="0"/>
    <n v="0"/>
  </r>
  <r>
    <x v="1"/>
    <x v="16"/>
    <x v="258"/>
    <x v="0"/>
    <x v="4"/>
    <n v="5"/>
    <n v="0"/>
    <n v="0"/>
  </r>
  <r>
    <x v="1"/>
    <x v="16"/>
    <x v="258"/>
    <x v="0"/>
    <x v="5"/>
    <n v="6"/>
    <n v="0"/>
    <n v="0"/>
  </r>
  <r>
    <x v="1"/>
    <x v="16"/>
    <x v="258"/>
    <x v="0"/>
    <x v="6"/>
    <n v="7"/>
    <n v="0"/>
    <n v="0"/>
  </r>
  <r>
    <x v="1"/>
    <x v="16"/>
    <x v="259"/>
    <x v="0"/>
    <x v="0"/>
    <n v="1"/>
    <n v="0"/>
    <n v="0"/>
  </r>
  <r>
    <x v="1"/>
    <x v="16"/>
    <x v="259"/>
    <x v="0"/>
    <x v="1"/>
    <n v="2"/>
    <n v="0"/>
    <n v="0"/>
  </r>
  <r>
    <x v="1"/>
    <x v="16"/>
    <x v="259"/>
    <x v="0"/>
    <x v="2"/>
    <n v="3"/>
    <n v="0"/>
    <n v="0"/>
  </r>
  <r>
    <x v="1"/>
    <x v="16"/>
    <x v="259"/>
    <x v="0"/>
    <x v="3"/>
    <n v="4"/>
    <n v="0"/>
    <n v="0"/>
  </r>
  <r>
    <x v="1"/>
    <x v="16"/>
    <x v="259"/>
    <x v="0"/>
    <x v="4"/>
    <n v="5"/>
    <n v="0"/>
    <n v="0"/>
  </r>
  <r>
    <x v="1"/>
    <x v="16"/>
    <x v="259"/>
    <x v="0"/>
    <x v="5"/>
    <n v="6"/>
    <n v="0"/>
    <n v="0"/>
  </r>
  <r>
    <x v="1"/>
    <x v="16"/>
    <x v="259"/>
    <x v="0"/>
    <x v="6"/>
    <n v="7"/>
    <n v="0"/>
    <n v="0"/>
  </r>
  <r>
    <x v="1"/>
    <x v="16"/>
    <x v="260"/>
    <x v="0"/>
    <x v="0"/>
    <n v="1"/>
    <n v="0"/>
    <n v="0"/>
  </r>
  <r>
    <x v="1"/>
    <x v="16"/>
    <x v="260"/>
    <x v="0"/>
    <x v="1"/>
    <n v="2"/>
    <n v="0"/>
    <n v="0"/>
  </r>
  <r>
    <x v="1"/>
    <x v="16"/>
    <x v="260"/>
    <x v="0"/>
    <x v="2"/>
    <n v="3"/>
    <n v="0"/>
    <n v="0"/>
  </r>
  <r>
    <x v="1"/>
    <x v="16"/>
    <x v="260"/>
    <x v="0"/>
    <x v="3"/>
    <n v="4"/>
    <n v="0"/>
    <n v="0"/>
  </r>
  <r>
    <x v="1"/>
    <x v="16"/>
    <x v="260"/>
    <x v="0"/>
    <x v="4"/>
    <n v="5"/>
    <n v="0"/>
    <n v="0"/>
  </r>
  <r>
    <x v="1"/>
    <x v="16"/>
    <x v="260"/>
    <x v="0"/>
    <x v="5"/>
    <n v="6"/>
    <n v="0"/>
    <n v="0"/>
  </r>
  <r>
    <x v="1"/>
    <x v="16"/>
    <x v="260"/>
    <x v="0"/>
    <x v="6"/>
    <n v="7"/>
    <n v="0"/>
    <n v="0"/>
  </r>
  <r>
    <x v="1"/>
    <x v="16"/>
    <x v="261"/>
    <x v="0"/>
    <x v="0"/>
    <n v="1"/>
    <n v="0"/>
    <n v="0"/>
  </r>
  <r>
    <x v="1"/>
    <x v="16"/>
    <x v="261"/>
    <x v="0"/>
    <x v="1"/>
    <n v="2"/>
    <n v="0"/>
    <n v="0"/>
  </r>
  <r>
    <x v="1"/>
    <x v="16"/>
    <x v="261"/>
    <x v="0"/>
    <x v="2"/>
    <n v="3"/>
    <n v="0"/>
    <n v="0"/>
  </r>
  <r>
    <x v="1"/>
    <x v="16"/>
    <x v="261"/>
    <x v="0"/>
    <x v="3"/>
    <n v="4"/>
    <n v="4.32"/>
    <n v="10800"/>
  </r>
  <r>
    <x v="1"/>
    <x v="16"/>
    <x v="261"/>
    <x v="0"/>
    <x v="4"/>
    <n v="5"/>
    <n v="0"/>
    <n v="0"/>
  </r>
  <r>
    <x v="1"/>
    <x v="16"/>
    <x v="261"/>
    <x v="0"/>
    <x v="5"/>
    <n v="6"/>
    <n v="0"/>
    <n v="0"/>
  </r>
  <r>
    <x v="1"/>
    <x v="16"/>
    <x v="261"/>
    <x v="0"/>
    <x v="6"/>
    <n v="7"/>
    <n v="0"/>
    <n v="0"/>
  </r>
  <r>
    <x v="1"/>
    <x v="17"/>
    <x v="262"/>
    <x v="0"/>
    <x v="0"/>
    <n v="1"/>
    <n v="0"/>
    <n v="0"/>
  </r>
  <r>
    <x v="1"/>
    <x v="17"/>
    <x v="262"/>
    <x v="0"/>
    <x v="1"/>
    <n v="2"/>
    <n v="0"/>
    <n v="0"/>
  </r>
  <r>
    <x v="1"/>
    <x v="17"/>
    <x v="262"/>
    <x v="0"/>
    <x v="2"/>
    <n v="3"/>
    <n v="0"/>
    <n v="0"/>
  </r>
  <r>
    <x v="1"/>
    <x v="17"/>
    <x v="262"/>
    <x v="0"/>
    <x v="3"/>
    <n v="4"/>
    <n v="1.44"/>
    <n v="3600"/>
  </r>
  <r>
    <x v="1"/>
    <x v="17"/>
    <x v="262"/>
    <x v="0"/>
    <x v="4"/>
    <n v="5"/>
    <n v="0"/>
    <n v="0"/>
  </r>
  <r>
    <x v="1"/>
    <x v="17"/>
    <x v="262"/>
    <x v="0"/>
    <x v="5"/>
    <n v="6"/>
    <n v="0"/>
    <n v="0"/>
  </r>
  <r>
    <x v="1"/>
    <x v="17"/>
    <x v="262"/>
    <x v="0"/>
    <x v="6"/>
    <n v="7"/>
    <n v="0"/>
    <n v="0"/>
  </r>
  <r>
    <x v="1"/>
    <x v="17"/>
    <x v="263"/>
    <x v="0"/>
    <x v="0"/>
    <n v="1"/>
    <n v="0"/>
    <n v="0"/>
  </r>
  <r>
    <x v="1"/>
    <x v="17"/>
    <x v="263"/>
    <x v="0"/>
    <x v="1"/>
    <n v="2"/>
    <n v="0"/>
    <n v="0"/>
  </r>
  <r>
    <x v="1"/>
    <x v="17"/>
    <x v="263"/>
    <x v="0"/>
    <x v="2"/>
    <n v="3"/>
    <n v="0"/>
    <n v="0"/>
  </r>
  <r>
    <x v="1"/>
    <x v="17"/>
    <x v="263"/>
    <x v="0"/>
    <x v="3"/>
    <n v="4"/>
    <n v="3.6"/>
    <n v="9000"/>
  </r>
  <r>
    <x v="1"/>
    <x v="17"/>
    <x v="263"/>
    <x v="0"/>
    <x v="4"/>
    <n v="5"/>
    <n v="0"/>
    <n v="0"/>
  </r>
  <r>
    <x v="1"/>
    <x v="17"/>
    <x v="263"/>
    <x v="0"/>
    <x v="5"/>
    <n v="6"/>
    <n v="0"/>
    <n v="0"/>
  </r>
  <r>
    <x v="1"/>
    <x v="17"/>
    <x v="263"/>
    <x v="0"/>
    <x v="6"/>
    <n v="7"/>
    <n v="0"/>
    <n v="0"/>
  </r>
  <r>
    <x v="1"/>
    <x v="17"/>
    <x v="264"/>
    <x v="0"/>
    <x v="0"/>
    <n v="1"/>
    <n v="0"/>
    <n v="0"/>
  </r>
  <r>
    <x v="1"/>
    <x v="17"/>
    <x v="264"/>
    <x v="0"/>
    <x v="1"/>
    <n v="2"/>
    <n v="0"/>
    <n v="0"/>
  </r>
  <r>
    <x v="1"/>
    <x v="17"/>
    <x v="264"/>
    <x v="0"/>
    <x v="2"/>
    <n v="3"/>
    <n v="0"/>
    <n v="0"/>
  </r>
  <r>
    <x v="1"/>
    <x v="17"/>
    <x v="264"/>
    <x v="0"/>
    <x v="3"/>
    <n v="4"/>
    <n v="7.2"/>
    <n v="18000"/>
  </r>
  <r>
    <x v="1"/>
    <x v="17"/>
    <x v="264"/>
    <x v="0"/>
    <x v="4"/>
    <n v="5"/>
    <n v="0"/>
    <n v="0"/>
  </r>
  <r>
    <x v="1"/>
    <x v="17"/>
    <x v="264"/>
    <x v="0"/>
    <x v="5"/>
    <n v="6"/>
    <n v="0"/>
    <n v="0"/>
  </r>
  <r>
    <x v="1"/>
    <x v="17"/>
    <x v="264"/>
    <x v="0"/>
    <x v="6"/>
    <n v="7"/>
    <n v="0"/>
    <n v="0"/>
  </r>
  <r>
    <x v="1"/>
    <x v="17"/>
    <x v="265"/>
    <x v="0"/>
    <x v="0"/>
    <n v="1"/>
    <n v="0"/>
    <n v="0"/>
  </r>
  <r>
    <x v="1"/>
    <x v="17"/>
    <x v="265"/>
    <x v="0"/>
    <x v="1"/>
    <n v="2"/>
    <n v="0"/>
    <n v="0"/>
  </r>
  <r>
    <x v="1"/>
    <x v="17"/>
    <x v="265"/>
    <x v="0"/>
    <x v="2"/>
    <n v="3"/>
    <n v="0"/>
    <n v="0"/>
  </r>
  <r>
    <x v="1"/>
    <x v="17"/>
    <x v="265"/>
    <x v="0"/>
    <x v="3"/>
    <n v="4"/>
    <n v="7.92"/>
    <n v="19800"/>
  </r>
  <r>
    <x v="1"/>
    <x v="17"/>
    <x v="265"/>
    <x v="0"/>
    <x v="4"/>
    <n v="5"/>
    <n v="0"/>
    <n v="0"/>
  </r>
  <r>
    <x v="1"/>
    <x v="17"/>
    <x v="265"/>
    <x v="0"/>
    <x v="5"/>
    <n v="6"/>
    <n v="0"/>
    <n v="0"/>
  </r>
  <r>
    <x v="1"/>
    <x v="17"/>
    <x v="265"/>
    <x v="0"/>
    <x v="6"/>
    <n v="7"/>
    <n v="0"/>
    <n v="0"/>
  </r>
  <r>
    <x v="1"/>
    <x v="17"/>
    <x v="266"/>
    <x v="0"/>
    <x v="0"/>
    <n v="1"/>
    <n v="0"/>
    <n v="0"/>
  </r>
  <r>
    <x v="1"/>
    <x v="17"/>
    <x v="266"/>
    <x v="0"/>
    <x v="1"/>
    <n v="2"/>
    <n v="0"/>
    <n v="0"/>
  </r>
  <r>
    <x v="1"/>
    <x v="17"/>
    <x v="266"/>
    <x v="0"/>
    <x v="2"/>
    <n v="3"/>
    <n v="0"/>
    <n v="0"/>
  </r>
  <r>
    <x v="1"/>
    <x v="17"/>
    <x v="266"/>
    <x v="0"/>
    <x v="3"/>
    <n v="4"/>
    <n v="0.72"/>
    <n v="1800"/>
  </r>
  <r>
    <x v="1"/>
    <x v="17"/>
    <x v="266"/>
    <x v="0"/>
    <x v="4"/>
    <n v="5"/>
    <n v="0"/>
    <n v="0"/>
  </r>
  <r>
    <x v="1"/>
    <x v="17"/>
    <x v="266"/>
    <x v="0"/>
    <x v="5"/>
    <n v="6"/>
    <n v="0"/>
    <n v="0"/>
  </r>
  <r>
    <x v="1"/>
    <x v="17"/>
    <x v="266"/>
    <x v="0"/>
    <x v="6"/>
    <n v="7"/>
    <n v="0"/>
    <n v="0"/>
  </r>
  <r>
    <x v="1"/>
    <x v="17"/>
    <x v="267"/>
    <x v="0"/>
    <x v="0"/>
    <n v="1"/>
    <n v="0"/>
    <n v="0"/>
  </r>
  <r>
    <x v="1"/>
    <x v="17"/>
    <x v="267"/>
    <x v="0"/>
    <x v="1"/>
    <n v="2"/>
    <n v="0"/>
    <n v="0"/>
  </r>
  <r>
    <x v="1"/>
    <x v="17"/>
    <x v="267"/>
    <x v="0"/>
    <x v="2"/>
    <n v="3"/>
    <n v="0"/>
    <n v="0"/>
  </r>
  <r>
    <x v="1"/>
    <x v="17"/>
    <x v="267"/>
    <x v="0"/>
    <x v="3"/>
    <n v="4"/>
    <n v="2.88"/>
    <n v="7200"/>
  </r>
  <r>
    <x v="1"/>
    <x v="17"/>
    <x v="267"/>
    <x v="0"/>
    <x v="4"/>
    <n v="5"/>
    <n v="0"/>
    <n v="0"/>
  </r>
  <r>
    <x v="1"/>
    <x v="17"/>
    <x v="267"/>
    <x v="0"/>
    <x v="5"/>
    <n v="6"/>
    <n v="0"/>
    <n v="0"/>
  </r>
  <r>
    <x v="1"/>
    <x v="17"/>
    <x v="267"/>
    <x v="0"/>
    <x v="6"/>
    <n v="7"/>
    <n v="0"/>
    <n v="0"/>
  </r>
  <r>
    <x v="1"/>
    <x v="17"/>
    <x v="268"/>
    <x v="0"/>
    <x v="0"/>
    <n v="1"/>
    <n v="0"/>
    <n v="0"/>
  </r>
  <r>
    <x v="1"/>
    <x v="17"/>
    <x v="268"/>
    <x v="0"/>
    <x v="1"/>
    <n v="2"/>
    <n v="0"/>
    <n v="0"/>
  </r>
  <r>
    <x v="1"/>
    <x v="17"/>
    <x v="268"/>
    <x v="0"/>
    <x v="2"/>
    <n v="3"/>
    <n v="0"/>
    <n v="0"/>
  </r>
  <r>
    <x v="1"/>
    <x v="17"/>
    <x v="268"/>
    <x v="0"/>
    <x v="3"/>
    <n v="4"/>
    <n v="1.44"/>
    <n v="3600"/>
  </r>
  <r>
    <x v="1"/>
    <x v="17"/>
    <x v="268"/>
    <x v="0"/>
    <x v="4"/>
    <n v="5"/>
    <n v="0"/>
    <n v="0"/>
  </r>
  <r>
    <x v="1"/>
    <x v="17"/>
    <x v="268"/>
    <x v="0"/>
    <x v="5"/>
    <n v="6"/>
    <n v="0"/>
    <n v="0"/>
  </r>
  <r>
    <x v="1"/>
    <x v="17"/>
    <x v="268"/>
    <x v="0"/>
    <x v="6"/>
    <n v="7"/>
    <n v="0"/>
    <n v="0"/>
  </r>
  <r>
    <x v="1"/>
    <x v="17"/>
    <x v="269"/>
    <x v="0"/>
    <x v="0"/>
    <n v="1"/>
    <n v="0"/>
    <n v="0"/>
  </r>
  <r>
    <x v="1"/>
    <x v="17"/>
    <x v="269"/>
    <x v="0"/>
    <x v="1"/>
    <n v="2"/>
    <n v="0"/>
    <n v="0"/>
  </r>
  <r>
    <x v="1"/>
    <x v="17"/>
    <x v="269"/>
    <x v="0"/>
    <x v="2"/>
    <n v="3"/>
    <n v="0"/>
    <n v="0"/>
  </r>
  <r>
    <x v="1"/>
    <x v="17"/>
    <x v="269"/>
    <x v="0"/>
    <x v="3"/>
    <n v="4"/>
    <n v="0"/>
    <n v="0"/>
  </r>
  <r>
    <x v="1"/>
    <x v="17"/>
    <x v="269"/>
    <x v="0"/>
    <x v="4"/>
    <n v="5"/>
    <n v="0"/>
    <n v="0"/>
  </r>
  <r>
    <x v="1"/>
    <x v="17"/>
    <x v="269"/>
    <x v="0"/>
    <x v="5"/>
    <n v="6"/>
    <n v="0"/>
    <n v="0"/>
  </r>
  <r>
    <x v="1"/>
    <x v="17"/>
    <x v="269"/>
    <x v="0"/>
    <x v="6"/>
    <n v="7"/>
    <n v="0"/>
    <n v="0"/>
  </r>
  <r>
    <x v="1"/>
    <x v="17"/>
    <x v="270"/>
    <x v="0"/>
    <x v="0"/>
    <n v="1"/>
    <n v="0"/>
    <n v="0"/>
  </r>
  <r>
    <x v="1"/>
    <x v="17"/>
    <x v="270"/>
    <x v="0"/>
    <x v="1"/>
    <n v="2"/>
    <n v="0"/>
    <n v="0"/>
  </r>
  <r>
    <x v="1"/>
    <x v="17"/>
    <x v="270"/>
    <x v="0"/>
    <x v="2"/>
    <n v="3"/>
    <n v="0"/>
    <n v="0"/>
  </r>
  <r>
    <x v="1"/>
    <x v="17"/>
    <x v="270"/>
    <x v="0"/>
    <x v="3"/>
    <n v="4"/>
    <n v="5.04"/>
    <n v="12600"/>
  </r>
  <r>
    <x v="1"/>
    <x v="17"/>
    <x v="270"/>
    <x v="0"/>
    <x v="4"/>
    <n v="5"/>
    <n v="0"/>
    <n v="0"/>
  </r>
  <r>
    <x v="1"/>
    <x v="17"/>
    <x v="270"/>
    <x v="0"/>
    <x v="5"/>
    <n v="6"/>
    <n v="0"/>
    <n v="0"/>
  </r>
  <r>
    <x v="1"/>
    <x v="17"/>
    <x v="270"/>
    <x v="0"/>
    <x v="6"/>
    <n v="7"/>
    <n v="0"/>
    <n v="0"/>
  </r>
  <r>
    <x v="1"/>
    <x v="17"/>
    <x v="271"/>
    <x v="0"/>
    <x v="0"/>
    <n v="1"/>
    <n v="0"/>
    <n v="0"/>
  </r>
  <r>
    <x v="1"/>
    <x v="17"/>
    <x v="271"/>
    <x v="0"/>
    <x v="1"/>
    <n v="2"/>
    <n v="0"/>
    <n v="0"/>
  </r>
  <r>
    <x v="1"/>
    <x v="17"/>
    <x v="271"/>
    <x v="0"/>
    <x v="2"/>
    <n v="3"/>
    <n v="0"/>
    <n v="0"/>
  </r>
  <r>
    <x v="1"/>
    <x v="17"/>
    <x v="271"/>
    <x v="0"/>
    <x v="3"/>
    <n v="4"/>
    <n v="2.16"/>
    <n v="5400"/>
  </r>
  <r>
    <x v="1"/>
    <x v="17"/>
    <x v="271"/>
    <x v="0"/>
    <x v="4"/>
    <n v="5"/>
    <n v="0"/>
    <n v="0"/>
  </r>
  <r>
    <x v="1"/>
    <x v="17"/>
    <x v="271"/>
    <x v="0"/>
    <x v="5"/>
    <n v="6"/>
    <n v="0"/>
    <n v="0"/>
  </r>
  <r>
    <x v="1"/>
    <x v="17"/>
    <x v="271"/>
    <x v="0"/>
    <x v="6"/>
    <n v="7"/>
    <n v="0"/>
    <n v="0"/>
  </r>
  <r>
    <x v="1"/>
    <x v="17"/>
    <x v="272"/>
    <x v="0"/>
    <x v="0"/>
    <n v="1"/>
    <n v="0"/>
    <n v="0"/>
  </r>
  <r>
    <x v="1"/>
    <x v="17"/>
    <x v="272"/>
    <x v="0"/>
    <x v="1"/>
    <n v="2"/>
    <n v="0"/>
    <n v="0"/>
  </r>
  <r>
    <x v="1"/>
    <x v="17"/>
    <x v="272"/>
    <x v="0"/>
    <x v="2"/>
    <n v="3"/>
    <n v="0"/>
    <n v="0"/>
  </r>
  <r>
    <x v="1"/>
    <x v="17"/>
    <x v="272"/>
    <x v="0"/>
    <x v="3"/>
    <n v="4"/>
    <n v="4.32"/>
    <n v="10800"/>
  </r>
  <r>
    <x v="1"/>
    <x v="17"/>
    <x v="272"/>
    <x v="0"/>
    <x v="4"/>
    <n v="5"/>
    <n v="0"/>
    <n v="0"/>
  </r>
  <r>
    <x v="1"/>
    <x v="17"/>
    <x v="272"/>
    <x v="0"/>
    <x v="5"/>
    <n v="6"/>
    <n v="0"/>
    <n v="0"/>
  </r>
  <r>
    <x v="1"/>
    <x v="17"/>
    <x v="272"/>
    <x v="0"/>
    <x v="6"/>
    <n v="7"/>
    <n v="0"/>
    <n v="0"/>
  </r>
  <r>
    <x v="1"/>
    <x v="17"/>
    <x v="273"/>
    <x v="0"/>
    <x v="0"/>
    <n v="1"/>
    <n v="0"/>
    <n v="0"/>
  </r>
  <r>
    <x v="1"/>
    <x v="17"/>
    <x v="273"/>
    <x v="0"/>
    <x v="1"/>
    <n v="2"/>
    <n v="0"/>
    <n v="0"/>
  </r>
  <r>
    <x v="1"/>
    <x v="17"/>
    <x v="273"/>
    <x v="0"/>
    <x v="2"/>
    <n v="3"/>
    <n v="0"/>
    <n v="0"/>
  </r>
  <r>
    <x v="1"/>
    <x v="17"/>
    <x v="273"/>
    <x v="0"/>
    <x v="3"/>
    <n v="4"/>
    <n v="2.88"/>
    <n v="7200"/>
  </r>
  <r>
    <x v="1"/>
    <x v="17"/>
    <x v="273"/>
    <x v="0"/>
    <x v="4"/>
    <n v="5"/>
    <n v="0"/>
    <n v="0"/>
  </r>
  <r>
    <x v="1"/>
    <x v="17"/>
    <x v="273"/>
    <x v="0"/>
    <x v="5"/>
    <n v="6"/>
    <n v="0"/>
    <n v="0"/>
  </r>
  <r>
    <x v="1"/>
    <x v="17"/>
    <x v="273"/>
    <x v="0"/>
    <x v="6"/>
    <n v="7"/>
    <n v="0"/>
    <n v="0"/>
  </r>
  <r>
    <x v="1"/>
    <x v="17"/>
    <x v="274"/>
    <x v="0"/>
    <x v="0"/>
    <n v="1"/>
    <n v="0"/>
    <n v="0"/>
  </r>
  <r>
    <x v="1"/>
    <x v="17"/>
    <x v="274"/>
    <x v="0"/>
    <x v="1"/>
    <n v="2"/>
    <n v="0"/>
    <n v="0"/>
  </r>
  <r>
    <x v="1"/>
    <x v="17"/>
    <x v="274"/>
    <x v="0"/>
    <x v="2"/>
    <n v="3"/>
    <n v="0"/>
    <n v="0"/>
  </r>
  <r>
    <x v="1"/>
    <x v="17"/>
    <x v="274"/>
    <x v="0"/>
    <x v="3"/>
    <n v="4"/>
    <n v="0"/>
    <n v="0"/>
  </r>
  <r>
    <x v="1"/>
    <x v="17"/>
    <x v="274"/>
    <x v="0"/>
    <x v="4"/>
    <n v="5"/>
    <n v="0"/>
    <n v="0"/>
  </r>
  <r>
    <x v="1"/>
    <x v="17"/>
    <x v="274"/>
    <x v="0"/>
    <x v="5"/>
    <n v="6"/>
    <n v="0"/>
    <n v="0"/>
  </r>
  <r>
    <x v="1"/>
    <x v="17"/>
    <x v="274"/>
    <x v="0"/>
    <x v="6"/>
    <n v="7"/>
    <n v="0"/>
    <n v="0"/>
  </r>
  <r>
    <x v="1"/>
    <x v="17"/>
    <x v="275"/>
    <x v="0"/>
    <x v="0"/>
    <n v="1"/>
    <n v="0"/>
    <n v="0"/>
  </r>
  <r>
    <x v="1"/>
    <x v="17"/>
    <x v="275"/>
    <x v="0"/>
    <x v="1"/>
    <n v="2"/>
    <n v="0"/>
    <n v="0"/>
  </r>
  <r>
    <x v="1"/>
    <x v="17"/>
    <x v="275"/>
    <x v="0"/>
    <x v="2"/>
    <n v="3"/>
    <n v="0"/>
    <n v="0"/>
  </r>
  <r>
    <x v="1"/>
    <x v="17"/>
    <x v="275"/>
    <x v="0"/>
    <x v="3"/>
    <n v="4"/>
    <n v="15.12"/>
    <n v="37800"/>
  </r>
  <r>
    <x v="1"/>
    <x v="17"/>
    <x v="275"/>
    <x v="0"/>
    <x v="4"/>
    <n v="5"/>
    <n v="0"/>
    <n v="0"/>
  </r>
  <r>
    <x v="1"/>
    <x v="17"/>
    <x v="275"/>
    <x v="0"/>
    <x v="5"/>
    <n v="6"/>
    <n v="0"/>
    <n v="0"/>
  </r>
  <r>
    <x v="1"/>
    <x v="17"/>
    <x v="275"/>
    <x v="0"/>
    <x v="6"/>
    <n v="7"/>
    <n v="0"/>
    <n v="0"/>
  </r>
  <r>
    <x v="1"/>
    <x v="18"/>
    <x v="276"/>
    <x v="0"/>
    <x v="0"/>
    <n v="1"/>
    <n v="0"/>
    <n v="0"/>
  </r>
  <r>
    <x v="1"/>
    <x v="18"/>
    <x v="276"/>
    <x v="0"/>
    <x v="1"/>
    <n v="2"/>
    <n v="0"/>
    <n v="0"/>
  </r>
  <r>
    <x v="1"/>
    <x v="18"/>
    <x v="276"/>
    <x v="0"/>
    <x v="2"/>
    <n v="3"/>
    <n v="0"/>
    <n v="0"/>
  </r>
  <r>
    <x v="1"/>
    <x v="18"/>
    <x v="276"/>
    <x v="0"/>
    <x v="3"/>
    <n v="4"/>
    <n v="0.72"/>
    <n v="1800"/>
  </r>
  <r>
    <x v="1"/>
    <x v="18"/>
    <x v="276"/>
    <x v="0"/>
    <x v="4"/>
    <n v="5"/>
    <n v="0"/>
    <n v="0"/>
  </r>
  <r>
    <x v="1"/>
    <x v="18"/>
    <x v="276"/>
    <x v="0"/>
    <x v="5"/>
    <n v="6"/>
    <n v="0"/>
    <n v="0"/>
  </r>
  <r>
    <x v="1"/>
    <x v="18"/>
    <x v="276"/>
    <x v="0"/>
    <x v="6"/>
    <n v="7"/>
    <n v="0"/>
    <n v="0"/>
  </r>
  <r>
    <x v="1"/>
    <x v="18"/>
    <x v="277"/>
    <x v="0"/>
    <x v="0"/>
    <n v="1"/>
    <n v="0"/>
    <n v="0"/>
  </r>
  <r>
    <x v="1"/>
    <x v="18"/>
    <x v="277"/>
    <x v="0"/>
    <x v="1"/>
    <n v="2"/>
    <n v="0"/>
    <n v="0"/>
  </r>
  <r>
    <x v="1"/>
    <x v="18"/>
    <x v="277"/>
    <x v="0"/>
    <x v="2"/>
    <n v="3"/>
    <n v="0"/>
    <n v="0"/>
  </r>
  <r>
    <x v="1"/>
    <x v="18"/>
    <x v="277"/>
    <x v="0"/>
    <x v="3"/>
    <n v="4"/>
    <n v="2.16"/>
    <n v="5400"/>
  </r>
  <r>
    <x v="1"/>
    <x v="18"/>
    <x v="277"/>
    <x v="0"/>
    <x v="4"/>
    <n v="5"/>
    <n v="0"/>
    <n v="0"/>
  </r>
  <r>
    <x v="1"/>
    <x v="18"/>
    <x v="277"/>
    <x v="0"/>
    <x v="5"/>
    <n v="6"/>
    <n v="0"/>
    <n v="0"/>
  </r>
  <r>
    <x v="1"/>
    <x v="18"/>
    <x v="277"/>
    <x v="0"/>
    <x v="6"/>
    <n v="7"/>
    <n v="0"/>
    <n v="0"/>
  </r>
  <r>
    <x v="1"/>
    <x v="18"/>
    <x v="278"/>
    <x v="0"/>
    <x v="0"/>
    <n v="1"/>
    <n v="0"/>
    <n v="0"/>
  </r>
  <r>
    <x v="1"/>
    <x v="18"/>
    <x v="278"/>
    <x v="0"/>
    <x v="1"/>
    <n v="2"/>
    <n v="0"/>
    <n v="0"/>
  </r>
  <r>
    <x v="1"/>
    <x v="18"/>
    <x v="278"/>
    <x v="0"/>
    <x v="2"/>
    <n v="3"/>
    <n v="0"/>
    <n v="0"/>
  </r>
  <r>
    <x v="1"/>
    <x v="18"/>
    <x v="278"/>
    <x v="0"/>
    <x v="3"/>
    <n v="4"/>
    <n v="0.72"/>
    <n v="1800"/>
  </r>
  <r>
    <x v="1"/>
    <x v="18"/>
    <x v="278"/>
    <x v="0"/>
    <x v="4"/>
    <n v="5"/>
    <n v="0"/>
    <n v="0"/>
  </r>
  <r>
    <x v="1"/>
    <x v="18"/>
    <x v="278"/>
    <x v="0"/>
    <x v="5"/>
    <n v="6"/>
    <n v="0"/>
    <n v="0"/>
  </r>
  <r>
    <x v="1"/>
    <x v="18"/>
    <x v="278"/>
    <x v="0"/>
    <x v="6"/>
    <n v="7"/>
    <n v="0"/>
    <n v="0"/>
  </r>
  <r>
    <x v="1"/>
    <x v="18"/>
    <x v="279"/>
    <x v="0"/>
    <x v="0"/>
    <n v="1"/>
    <n v="0"/>
    <n v="0"/>
  </r>
  <r>
    <x v="1"/>
    <x v="18"/>
    <x v="279"/>
    <x v="0"/>
    <x v="1"/>
    <n v="2"/>
    <n v="0"/>
    <n v="0"/>
  </r>
  <r>
    <x v="1"/>
    <x v="18"/>
    <x v="279"/>
    <x v="0"/>
    <x v="2"/>
    <n v="3"/>
    <n v="0"/>
    <n v="0"/>
  </r>
  <r>
    <x v="1"/>
    <x v="18"/>
    <x v="279"/>
    <x v="0"/>
    <x v="3"/>
    <n v="4"/>
    <n v="2.16"/>
    <n v="5400"/>
  </r>
  <r>
    <x v="1"/>
    <x v="18"/>
    <x v="279"/>
    <x v="0"/>
    <x v="4"/>
    <n v="5"/>
    <n v="0"/>
    <n v="0"/>
  </r>
  <r>
    <x v="1"/>
    <x v="18"/>
    <x v="279"/>
    <x v="0"/>
    <x v="5"/>
    <n v="6"/>
    <n v="0"/>
    <n v="0"/>
  </r>
  <r>
    <x v="1"/>
    <x v="18"/>
    <x v="279"/>
    <x v="0"/>
    <x v="6"/>
    <n v="7"/>
    <n v="0"/>
    <n v="0"/>
  </r>
  <r>
    <x v="1"/>
    <x v="18"/>
    <x v="280"/>
    <x v="0"/>
    <x v="0"/>
    <n v="1"/>
    <n v="0"/>
    <n v="0"/>
  </r>
  <r>
    <x v="1"/>
    <x v="18"/>
    <x v="280"/>
    <x v="0"/>
    <x v="1"/>
    <n v="2"/>
    <n v="0"/>
    <n v="0"/>
  </r>
  <r>
    <x v="1"/>
    <x v="18"/>
    <x v="280"/>
    <x v="0"/>
    <x v="2"/>
    <n v="3"/>
    <n v="0"/>
    <n v="0"/>
  </r>
  <r>
    <x v="1"/>
    <x v="18"/>
    <x v="280"/>
    <x v="0"/>
    <x v="3"/>
    <n v="4"/>
    <n v="0.72"/>
    <n v="1800"/>
  </r>
  <r>
    <x v="1"/>
    <x v="18"/>
    <x v="280"/>
    <x v="0"/>
    <x v="4"/>
    <n v="5"/>
    <n v="0"/>
    <n v="0"/>
  </r>
  <r>
    <x v="1"/>
    <x v="18"/>
    <x v="280"/>
    <x v="0"/>
    <x v="5"/>
    <n v="6"/>
    <n v="0"/>
    <n v="0"/>
  </r>
  <r>
    <x v="1"/>
    <x v="18"/>
    <x v="280"/>
    <x v="0"/>
    <x v="6"/>
    <n v="7"/>
    <n v="0"/>
    <n v="0"/>
  </r>
  <r>
    <x v="1"/>
    <x v="18"/>
    <x v="281"/>
    <x v="0"/>
    <x v="0"/>
    <n v="1"/>
    <n v="0"/>
    <n v="0"/>
  </r>
  <r>
    <x v="1"/>
    <x v="18"/>
    <x v="281"/>
    <x v="0"/>
    <x v="1"/>
    <n v="2"/>
    <n v="0"/>
    <n v="0"/>
  </r>
  <r>
    <x v="1"/>
    <x v="18"/>
    <x v="281"/>
    <x v="0"/>
    <x v="2"/>
    <n v="3"/>
    <n v="0"/>
    <n v="0"/>
  </r>
  <r>
    <x v="1"/>
    <x v="18"/>
    <x v="281"/>
    <x v="0"/>
    <x v="3"/>
    <n v="4"/>
    <n v="1.44"/>
    <n v="3600"/>
  </r>
  <r>
    <x v="1"/>
    <x v="18"/>
    <x v="281"/>
    <x v="0"/>
    <x v="4"/>
    <n v="5"/>
    <n v="0"/>
    <n v="0"/>
  </r>
  <r>
    <x v="1"/>
    <x v="18"/>
    <x v="281"/>
    <x v="0"/>
    <x v="5"/>
    <n v="6"/>
    <n v="0"/>
    <n v="0"/>
  </r>
  <r>
    <x v="1"/>
    <x v="18"/>
    <x v="281"/>
    <x v="0"/>
    <x v="6"/>
    <n v="7"/>
    <n v="0"/>
    <n v="0"/>
  </r>
  <r>
    <x v="1"/>
    <x v="18"/>
    <x v="282"/>
    <x v="0"/>
    <x v="0"/>
    <n v="1"/>
    <n v="0"/>
    <n v="0"/>
  </r>
  <r>
    <x v="1"/>
    <x v="18"/>
    <x v="282"/>
    <x v="0"/>
    <x v="1"/>
    <n v="2"/>
    <n v="0"/>
    <n v="0"/>
  </r>
  <r>
    <x v="1"/>
    <x v="18"/>
    <x v="282"/>
    <x v="0"/>
    <x v="2"/>
    <n v="3"/>
    <n v="0"/>
    <n v="0"/>
  </r>
  <r>
    <x v="1"/>
    <x v="18"/>
    <x v="282"/>
    <x v="0"/>
    <x v="3"/>
    <n v="4"/>
    <n v="2.88"/>
    <n v="7200"/>
  </r>
  <r>
    <x v="1"/>
    <x v="18"/>
    <x v="282"/>
    <x v="0"/>
    <x v="4"/>
    <n v="5"/>
    <n v="0"/>
    <n v="0"/>
  </r>
  <r>
    <x v="1"/>
    <x v="18"/>
    <x v="282"/>
    <x v="0"/>
    <x v="5"/>
    <n v="6"/>
    <n v="0"/>
    <n v="0"/>
  </r>
  <r>
    <x v="1"/>
    <x v="18"/>
    <x v="282"/>
    <x v="0"/>
    <x v="6"/>
    <n v="7"/>
    <n v="0"/>
    <n v="0"/>
  </r>
  <r>
    <x v="1"/>
    <x v="18"/>
    <x v="283"/>
    <x v="0"/>
    <x v="0"/>
    <n v="1"/>
    <n v="0"/>
    <n v="0"/>
  </r>
  <r>
    <x v="1"/>
    <x v="18"/>
    <x v="283"/>
    <x v="0"/>
    <x v="1"/>
    <n v="2"/>
    <n v="0"/>
    <n v="0"/>
  </r>
  <r>
    <x v="1"/>
    <x v="18"/>
    <x v="283"/>
    <x v="0"/>
    <x v="2"/>
    <n v="3"/>
    <n v="0"/>
    <n v="0"/>
  </r>
  <r>
    <x v="1"/>
    <x v="18"/>
    <x v="283"/>
    <x v="0"/>
    <x v="3"/>
    <n v="4"/>
    <n v="10.08"/>
    <n v="25200"/>
  </r>
  <r>
    <x v="1"/>
    <x v="18"/>
    <x v="283"/>
    <x v="0"/>
    <x v="4"/>
    <n v="5"/>
    <n v="0"/>
    <n v="0"/>
  </r>
  <r>
    <x v="1"/>
    <x v="18"/>
    <x v="283"/>
    <x v="0"/>
    <x v="5"/>
    <n v="6"/>
    <n v="0"/>
    <n v="0"/>
  </r>
  <r>
    <x v="1"/>
    <x v="18"/>
    <x v="283"/>
    <x v="0"/>
    <x v="6"/>
    <n v="7"/>
    <n v="0"/>
    <n v="0"/>
  </r>
  <r>
    <x v="1"/>
    <x v="18"/>
    <x v="284"/>
    <x v="0"/>
    <x v="0"/>
    <n v="1"/>
    <n v="0"/>
    <n v="0"/>
  </r>
  <r>
    <x v="1"/>
    <x v="18"/>
    <x v="284"/>
    <x v="0"/>
    <x v="1"/>
    <n v="2"/>
    <n v="0"/>
    <n v="0"/>
  </r>
  <r>
    <x v="1"/>
    <x v="18"/>
    <x v="284"/>
    <x v="0"/>
    <x v="2"/>
    <n v="3"/>
    <n v="0"/>
    <n v="0"/>
  </r>
  <r>
    <x v="1"/>
    <x v="18"/>
    <x v="284"/>
    <x v="0"/>
    <x v="3"/>
    <n v="4"/>
    <n v="0"/>
    <n v="0"/>
  </r>
  <r>
    <x v="1"/>
    <x v="18"/>
    <x v="284"/>
    <x v="0"/>
    <x v="4"/>
    <n v="5"/>
    <n v="0"/>
    <n v="0"/>
  </r>
  <r>
    <x v="1"/>
    <x v="18"/>
    <x v="284"/>
    <x v="0"/>
    <x v="5"/>
    <n v="6"/>
    <n v="0"/>
    <n v="0"/>
  </r>
  <r>
    <x v="1"/>
    <x v="18"/>
    <x v="284"/>
    <x v="0"/>
    <x v="6"/>
    <n v="7"/>
    <n v="0"/>
    <n v="0"/>
  </r>
  <r>
    <x v="1"/>
    <x v="18"/>
    <x v="285"/>
    <x v="0"/>
    <x v="0"/>
    <n v="1"/>
    <n v="0"/>
    <n v="0"/>
  </r>
  <r>
    <x v="1"/>
    <x v="18"/>
    <x v="285"/>
    <x v="0"/>
    <x v="1"/>
    <n v="2"/>
    <n v="0"/>
    <n v="0"/>
  </r>
  <r>
    <x v="1"/>
    <x v="18"/>
    <x v="285"/>
    <x v="0"/>
    <x v="2"/>
    <n v="3"/>
    <n v="0"/>
    <n v="0"/>
  </r>
  <r>
    <x v="1"/>
    <x v="18"/>
    <x v="285"/>
    <x v="0"/>
    <x v="3"/>
    <n v="4"/>
    <n v="1.44"/>
    <n v="3600"/>
  </r>
  <r>
    <x v="1"/>
    <x v="18"/>
    <x v="285"/>
    <x v="0"/>
    <x v="4"/>
    <n v="5"/>
    <n v="0"/>
    <n v="0"/>
  </r>
  <r>
    <x v="1"/>
    <x v="18"/>
    <x v="285"/>
    <x v="0"/>
    <x v="5"/>
    <n v="6"/>
    <n v="0"/>
    <n v="0"/>
  </r>
  <r>
    <x v="1"/>
    <x v="18"/>
    <x v="285"/>
    <x v="0"/>
    <x v="6"/>
    <n v="7"/>
    <n v="0"/>
    <n v="0"/>
  </r>
  <r>
    <x v="1"/>
    <x v="18"/>
    <x v="286"/>
    <x v="0"/>
    <x v="0"/>
    <n v="1"/>
    <n v="0"/>
    <n v="0"/>
  </r>
  <r>
    <x v="1"/>
    <x v="18"/>
    <x v="286"/>
    <x v="0"/>
    <x v="1"/>
    <n v="2"/>
    <n v="0"/>
    <n v="0"/>
  </r>
  <r>
    <x v="1"/>
    <x v="18"/>
    <x v="286"/>
    <x v="0"/>
    <x v="2"/>
    <n v="3"/>
    <n v="0"/>
    <n v="0"/>
  </r>
  <r>
    <x v="1"/>
    <x v="18"/>
    <x v="286"/>
    <x v="0"/>
    <x v="3"/>
    <n v="4"/>
    <n v="2.16"/>
    <n v="5400"/>
  </r>
  <r>
    <x v="1"/>
    <x v="18"/>
    <x v="286"/>
    <x v="0"/>
    <x v="4"/>
    <n v="5"/>
    <n v="0"/>
    <n v="0"/>
  </r>
  <r>
    <x v="1"/>
    <x v="18"/>
    <x v="286"/>
    <x v="0"/>
    <x v="5"/>
    <n v="6"/>
    <n v="0"/>
    <n v="0"/>
  </r>
  <r>
    <x v="1"/>
    <x v="18"/>
    <x v="286"/>
    <x v="0"/>
    <x v="6"/>
    <n v="7"/>
    <n v="0"/>
    <n v="0"/>
  </r>
  <r>
    <x v="1"/>
    <x v="18"/>
    <x v="287"/>
    <x v="0"/>
    <x v="0"/>
    <n v="1"/>
    <n v="0"/>
    <n v="0"/>
  </r>
  <r>
    <x v="1"/>
    <x v="18"/>
    <x v="287"/>
    <x v="0"/>
    <x v="1"/>
    <n v="2"/>
    <n v="0"/>
    <n v="0"/>
  </r>
  <r>
    <x v="1"/>
    <x v="18"/>
    <x v="287"/>
    <x v="0"/>
    <x v="2"/>
    <n v="3"/>
    <n v="0"/>
    <n v="0"/>
  </r>
  <r>
    <x v="1"/>
    <x v="18"/>
    <x v="287"/>
    <x v="0"/>
    <x v="3"/>
    <n v="4"/>
    <n v="0"/>
    <n v="0"/>
  </r>
  <r>
    <x v="1"/>
    <x v="18"/>
    <x v="287"/>
    <x v="0"/>
    <x v="4"/>
    <n v="5"/>
    <n v="0"/>
    <n v="0"/>
  </r>
  <r>
    <x v="1"/>
    <x v="18"/>
    <x v="287"/>
    <x v="0"/>
    <x v="5"/>
    <n v="6"/>
    <n v="0"/>
    <n v="0"/>
  </r>
  <r>
    <x v="1"/>
    <x v="18"/>
    <x v="287"/>
    <x v="0"/>
    <x v="6"/>
    <n v="7"/>
    <n v="0"/>
    <n v="0"/>
  </r>
  <r>
    <x v="1"/>
    <x v="18"/>
    <x v="288"/>
    <x v="0"/>
    <x v="0"/>
    <n v="1"/>
    <n v="0"/>
    <n v="0"/>
  </r>
  <r>
    <x v="1"/>
    <x v="18"/>
    <x v="288"/>
    <x v="0"/>
    <x v="1"/>
    <n v="2"/>
    <n v="0"/>
    <n v="0"/>
  </r>
  <r>
    <x v="1"/>
    <x v="18"/>
    <x v="288"/>
    <x v="0"/>
    <x v="2"/>
    <n v="3"/>
    <n v="0"/>
    <n v="0"/>
  </r>
  <r>
    <x v="1"/>
    <x v="18"/>
    <x v="288"/>
    <x v="0"/>
    <x v="3"/>
    <n v="4"/>
    <n v="1.44"/>
    <n v="3600"/>
  </r>
  <r>
    <x v="1"/>
    <x v="18"/>
    <x v="288"/>
    <x v="0"/>
    <x v="4"/>
    <n v="5"/>
    <n v="0"/>
    <n v="0"/>
  </r>
  <r>
    <x v="1"/>
    <x v="18"/>
    <x v="288"/>
    <x v="0"/>
    <x v="5"/>
    <n v="6"/>
    <n v="0"/>
    <n v="0"/>
  </r>
  <r>
    <x v="1"/>
    <x v="18"/>
    <x v="288"/>
    <x v="0"/>
    <x v="6"/>
    <n v="7"/>
    <n v="0"/>
    <n v="0"/>
  </r>
  <r>
    <x v="1"/>
    <x v="18"/>
    <x v="289"/>
    <x v="0"/>
    <x v="0"/>
    <n v="1"/>
    <n v="0"/>
    <n v="0"/>
  </r>
  <r>
    <x v="1"/>
    <x v="18"/>
    <x v="289"/>
    <x v="0"/>
    <x v="1"/>
    <n v="2"/>
    <n v="0"/>
    <n v="0"/>
  </r>
  <r>
    <x v="1"/>
    <x v="18"/>
    <x v="289"/>
    <x v="0"/>
    <x v="2"/>
    <n v="3"/>
    <n v="0"/>
    <n v="0"/>
  </r>
  <r>
    <x v="1"/>
    <x v="18"/>
    <x v="289"/>
    <x v="0"/>
    <x v="3"/>
    <n v="4"/>
    <n v="2.88"/>
    <n v="7200"/>
  </r>
  <r>
    <x v="1"/>
    <x v="18"/>
    <x v="289"/>
    <x v="0"/>
    <x v="4"/>
    <n v="5"/>
    <n v="0"/>
    <n v="0"/>
  </r>
  <r>
    <x v="1"/>
    <x v="18"/>
    <x v="289"/>
    <x v="0"/>
    <x v="5"/>
    <n v="6"/>
    <n v="0"/>
    <n v="0"/>
  </r>
  <r>
    <x v="1"/>
    <x v="18"/>
    <x v="289"/>
    <x v="0"/>
    <x v="6"/>
    <n v="7"/>
    <n v="0"/>
    <n v="0"/>
  </r>
  <r>
    <x v="1"/>
    <x v="18"/>
    <x v="290"/>
    <x v="0"/>
    <x v="0"/>
    <n v="1"/>
    <n v="0"/>
    <n v="0"/>
  </r>
  <r>
    <x v="1"/>
    <x v="18"/>
    <x v="290"/>
    <x v="0"/>
    <x v="1"/>
    <n v="2"/>
    <n v="0"/>
    <n v="0"/>
  </r>
  <r>
    <x v="1"/>
    <x v="18"/>
    <x v="290"/>
    <x v="0"/>
    <x v="2"/>
    <n v="3"/>
    <n v="0"/>
    <n v="0"/>
  </r>
  <r>
    <x v="1"/>
    <x v="18"/>
    <x v="290"/>
    <x v="0"/>
    <x v="3"/>
    <n v="4"/>
    <n v="0.72"/>
    <n v="1800"/>
  </r>
  <r>
    <x v="1"/>
    <x v="18"/>
    <x v="290"/>
    <x v="0"/>
    <x v="4"/>
    <n v="5"/>
    <n v="0"/>
    <n v="0"/>
  </r>
  <r>
    <x v="1"/>
    <x v="18"/>
    <x v="290"/>
    <x v="0"/>
    <x v="5"/>
    <n v="6"/>
    <n v="0"/>
    <n v="0"/>
  </r>
  <r>
    <x v="1"/>
    <x v="18"/>
    <x v="290"/>
    <x v="0"/>
    <x v="6"/>
    <n v="7"/>
    <n v="0"/>
    <n v="0"/>
  </r>
  <r>
    <x v="1"/>
    <x v="18"/>
    <x v="291"/>
    <x v="0"/>
    <x v="0"/>
    <n v="1"/>
    <n v="0"/>
    <n v="0"/>
  </r>
  <r>
    <x v="1"/>
    <x v="18"/>
    <x v="291"/>
    <x v="0"/>
    <x v="1"/>
    <n v="2"/>
    <n v="0"/>
    <n v="0"/>
  </r>
  <r>
    <x v="1"/>
    <x v="18"/>
    <x v="291"/>
    <x v="0"/>
    <x v="2"/>
    <n v="3"/>
    <n v="0"/>
    <n v="0"/>
  </r>
  <r>
    <x v="1"/>
    <x v="18"/>
    <x v="291"/>
    <x v="0"/>
    <x v="3"/>
    <n v="4"/>
    <n v="3.6"/>
    <n v="9000"/>
  </r>
  <r>
    <x v="1"/>
    <x v="18"/>
    <x v="291"/>
    <x v="0"/>
    <x v="4"/>
    <n v="5"/>
    <n v="0"/>
    <n v="0"/>
  </r>
  <r>
    <x v="1"/>
    <x v="18"/>
    <x v="291"/>
    <x v="0"/>
    <x v="5"/>
    <n v="6"/>
    <n v="0"/>
    <n v="0"/>
  </r>
  <r>
    <x v="1"/>
    <x v="18"/>
    <x v="291"/>
    <x v="0"/>
    <x v="6"/>
    <n v="7"/>
    <n v="0"/>
    <n v="0"/>
  </r>
  <r>
    <x v="1"/>
    <x v="18"/>
    <x v="292"/>
    <x v="0"/>
    <x v="0"/>
    <n v="1"/>
    <n v="0"/>
    <n v="0"/>
  </r>
  <r>
    <x v="1"/>
    <x v="18"/>
    <x v="292"/>
    <x v="0"/>
    <x v="1"/>
    <n v="2"/>
    <n v="0"/>
    <n v="0"/>
  </r>
  <r>
    <x v="1"/>
    <x v="18"/>
    <x v="292"/>
    <x v="0"/>
    <x v="2"/>
    <n v="3"/>
    <n v="0"/>
    <n v="0"/>
  </r>
  <r>
    <x v="1"/>
    <x v="18"/>
    <x v="292"/>
    <x v="0"/>
    <x v="3"/>
    <n v="4"/>
    <n v="2.88"/>
    <n v="7200"/>
  </r>
  <r>
    <x v="1"/>
    <x v="18"/>
    <x v="292"/>
    <x v="0"/>
    <x v="4"/>
    <n v="5"/>
    <n v="0"/>
    <n v="0"/>
  </r>
  <r>
    <x v="1"/>
    <x v="18"/>
    <x v="292"/>
    <x v="0"/>
    <x v="5"/>
    <n v="6"/>
    <n v="0"/>
    <n v="0"/>
  </r>
  <r>
    <x v="1"/>
    <x v="18"/>
    <x v="292"/>
    <x v="0"/>
    <x v="6"/>
    <n v="7"/>
    <n v="0"/>
    <n v="0"/>
  </r>
  <r>
    <x v="1"/>
    <x v="18"/>
    <x v="293"/>
    <x v="0"/>
    <x v="0"/>
    <n v="1"/>
    <n v="0"/>
    <n v="0"/>
  </r>
  <r>
    <x v="1"/>
    <x v="18"/>
    <x v="293"/>
    <x v="0"/>
    <x v="1"/>
    <n v="2"/>
    <n v="0"/>
    <n v="0"/>
  </r>
  <r>
    <x v="1"/>
    <x v="18"/>
    <x v="293"/>
    <x v="0"/>
    <x v="2"/>
    <n v="3"/>
    <n v="0"/>
    <n v="0"/>
  </r>
  <r>
    <x v="1"/>
    <x v="18"/>
    <x v="293"/>
    <x v="0"/>
    <x v="3"/>
    <n v="4"/>
    <n v="8.64"/>
    <n v="21600"/>
  </r>
  <r>
    <x v="1"/>
    <x v="18"/>
    <x v="293"/>
    <x v="0"/>
    <x v="4"/>
    <n v="5"/>
    <n v="0"/>
    <n v="0"/>
  </r>
  <r>
    <x v="1"/>
    <x v="18"/>
    <x v="293"/>
    <x v="0"/>
    <x v="5"/>
    <n v="6"/>
    <n v="0"/>
    <n v="0"/>
  </r>
  <r>
    <x v="1"/>
    <x v="18"/>
    <x v="293"/>
    <x v="0"/>
    <x v="6"/>
    <n v="7"/>
    <n v="0"/>
    <n v="0"/>
  </r>
  <r>
    <x v="1"/>
    <x v="18"/>
    <x v="294"/>
    <x v="0"/>
    <x v="0"/>
    <n v="1"/>
    <n v="0"/>
    <n v="0"/>
  </r>
  <r>
    <x v="1"/>
    <x v="18"/>
    <x v="294"/>
    <x v="0"/>
    <x v="1"/>
    <n v="2"/>
    <n v="0"/>
    <n v="0"/>
  </r>
  <r>
    <x v="1"/>
    <x v="18"/>
    <x v="294"/>
    <x v="0"/>
    <x v="2"/>
    <n v="3"/>
    <n v="0"/>
    <n v="0"/>
  </r>
  <r>
    <x v="1"/>
    <x v="18"/>
    <x v="294"/>
    <x v="0"/>
    <x v="3"/>
    <n v="4"/>
    <n v="0"/>
    <n v="0"/>
  </r>
  <r>
    <x v="1"/>
    <x v="18"/>
    <x v="294"/>
    <x v="0"/>
    <x v="4"/>
    <n v="5"/>
    <n v="0"/>
    <n v="0"/>
  </r>
  <r>
    <x v="1"/>
    <x v="18"/>
    <x v="294"/>
    <x v="0"/>
    <x v="5"/>
    <n v="6"/>
    <n v="0"/>
    <n v="0"/>
  </r>
  <r>
    <x v="1"/>
    <x v="18"/>
    <x v="294"/>
    <x v="0"/>
    <x v="6"/>
    <n v="7"/>
    <n v="0"/>
    <n v="0"/>
  </r>
  <r>
    <x v="1"/>
    <x v="19"/>
    <x v="295"/>
    <x v="0"/>
    <x v="0"/>
    <n v="1"/>
    <n v="0"/>
    <n v="0"/>
  </r>
  <r>
    <x v="1"/>
    <x v="19"/>
    <x v="295"/>
    <x v="0"/>
    <x v="1"/>
    <n v="2"/>
    <n v="0"/>
    <n v="0"/>
  </r>
  <r>
    <x v="1"/>
    <x v="19"/>
    <x v="295"/>
    <x v="0"/>
    <x v="2"/>
    <n v="3"/>
    <n v="0"/>
    <n v="0"/>
  </r>
  <r>
    <x v="1"/>
    <x v="19"/>
    <x v="295"/>
    <x v="0"/>
    <x v="3"/>
    <n v="4"/>
    <n v="1.44"/>
    <n v="3600"/>
  </r>
  <r>
    <x v="1"/>
    <x v="19"/>
    <x v="295"/>
    <x v="0"/>
    <x v="4"/>
    <n v="5"/>
    <n v="0"/>
    <n v="0"/>
  </r>
  <r>
    <x v="1"/>
    <x v="19"/>
    <x v="295"/>
    <x v="0"/>
    <x v="5"/>
    <n v="6"/>
    <n v="0"/>
    <n v="0"/>
  </r>
  <r>
    <x v="1"/>
    <x v="19"/>
    <x v="295"/>
    <x v="0"/>
    <x v="6"/>
    <n v="7"/>
    <n v="0"/>
    <n v="0"/>
  </r>
  <r>
    <x v="1"/>
    <x v="19"/>
    <x v="296"/>
    <x v="0"/>
    <x v="0"/>
    <n v="1"/>
    <n v="0"/>
    <n v="0"/>
  </r>
  <r>
    <x v="1"/>
    <x v="19"/>
    <x v="296"/>
    <x v="0"/>
    <x v="1"/>
    <n v="2"/>
    <n v="0"/>
    <n v="0"/>
  </r>
  <r>
    <x v="1"/>
    <x v="19"/>
    <x v="296"/>
    <x v="0"/>
    <x v="2"/>
    <n v="3"/>
    <n v="0"/>
    <n v="0"/>
  </r>
  <r>
    <x v="1"/>
    <x v="19"/>
    <x v="296"/>
    <x v="0"/>
    <x v="3"/>
    <n v="4"/>
    <n v="3.6"/>
    <n v="9000"/>
  </r>
  <r>
    <x v="1"/>
    <x v="19"/>
    <x v="296"/>
    <x v="0"/>
    <x v="4"/>
    <n v="5"/>
    <n v="0"/>
    <n v="0"/>
  </r>
  <r>
    <x v="1"/>
    <x v="19"/>
    <x v="296"/>
    <x v="0"/>
    <x v="5"/>
    <n v="6"/>
    <n v="0"/>
    <n v="0"/>
  </r>
  <r>
    <x v="1"/>
    <x v="19"/>
    <x v="296"/>
    <x v="0"/>
    <x v="6"/>
    <n v="7"/>
    <n v="0"/>
    <n v="0"/>
  </r>
  <r>
    <x v="1"/>
    <x v="19"/>
    <x v="297"/>
    <x v="0"/>
    <x v="0"/>
    <n v="1"/>
    <n v="0"/>
    <n v="0"/>
  </r>
  <r>
    <x v="1"/>
    <x v="19"/>
    <x v="297"/>
    <x v="0"/>
    <x v="1"/>
    <n v="2"/>
    <n v="0"/>
    <n v="0"/>
  </r>
  <r>
    <x v="1"/>
    <x v="19"/>
    <x v="297"/>
    <x v="0"/>
    <x v="2"/>
    <n v="3"/>
    <n v="0"/>
    <n v="0"/>
  </r>
  <r>
    <x v="1"/>
    <x v="19"/>
    <x v="297"/>
    <x v="0"/>
    <x v="3"/>
    <n v="4"/>
    <n v="2.88"/>
    <n v="7200"/>
  </r>
  <r>
    <x v="1"/>
    <x v="19"/>
    <x v="297"/>
    <x v="0"/>
    <x v="4"/>
    <n v="5"/>
    <n v="0"/>
    <n v="0"/>
  </r>
  <r>
    <x v="1"/>
    <x v="19"/>
    <x v="297"/>
    <x v="0"/>
    <x v="5"/>
    <n v="6"/>
    <n v="0"/>
    <n v="0"/>
  </r>
  <r>
    <x v="1"/>
    <x v="19"/>
    <x v="297"/>
    <x v="0"/>
    <x v="6"/>
    <n v="7"/>
    <n v="0"/>
    <n v="0"/>
  </r>
  <r>
    <x v="1"/>
    <x v="19"/>
    <x v="298"/>
    <x v="0"/>
    <x v="0"/>
    <n v="1"/>
    <n v="0"/>
    <n v="0"/>
  </r>
  <r>
    <x v="1"/>
    <x v="19"/>
    <x v="298"/>
    <x v="0"/>
    <x v="1"/>
    <n v="2"/>
    <n v="0"/>
    <n v="0"/>
  </r>
  <r>
    <x v="1"/>
    <x v="19"/>
    <x v="298"/>
    <x v="0"/>
    <x v="2"/>
    <n v="3"/>
    <n v="0"/>
    <n v="0"/>
  </r>
  <r>
    <x v="1"/>
    <x v="19"/>
    <x v="298"/>
    <x v="0"/>
    <x v="3"/>
    <n v="4"/>
    <n v="5.04"/>
    <n v="12600"/>
  </r>
  <r>
    <x v="1"/>
    <x v="19"/>
    <x v="298"/>
    <x v="0"/>
    <x v="4"/>
    <n v="5"/>
    <n v="0"/>
    <n v="0"/>
  </r>
  <r>
    <x v="1"/>
    <x v="19"/>
    <x v="298"/>
    <x v="0"/>
    <x v="5"/>
    <n v="6"/>
    <n v="0"/>
    <n v="0"/>
  </r>
  <r>
    <x v="1"/>
    <x v="19"/>
    <x v="298"/>
    <x v="0"/>
    <x v="6"/>
    <n v="7"/>
    <n v="0"/>
    <n v="0"/>
  </r>
  <r>
    <x v="1"/>
    <x v="19"/>
    <x v="299"/>
    <x v="0"/>
    <x v="0"/>
    <n v="1"/>
    <n v="0"/>
    <n v="0"/>
  </r>
  <r>
    <x v="1"/>
    <x v="19"/>
    <x v="299"/>
    <x v="0"/>
    <x v="1"/>
    <n v="2"/>
    <n v="0"/>
    <n v="0"/>
  </r>
  <r>
    <x v="1"/>
    <x v="19"/>
    <x v="299"/>
    <x v="0"/>
    <x v="2"/>
    <n v="3"/>
    <n v="0"/>
    <n v="0"/>
  </r>
  <r>
    <x v="1"/>
    <x v="19"/>
    <x v="299"/>
    <x v="0"/>
    <x v="3"/>
    <n v="4"/>
    <n v="2.88"/>
    <n v="7200"/>
  </r>
  <r>
    <x v="1"/>
    <x v="19"/>
    <x v="299"/>
    <x v="0"/>
    <x v="4"/>
    <n v="5"/>
    <n v="0"/>
    <n v="0"/>
  </r>
  <r>
    <x v="1"/>
    <x v="19"/>
    <x v="299"/>
    <x v="0"/>
    <x v="5"/>
    <n v="6"/>
    <n v="0"/>
    <n v="0"/>
  </r>
  <r>
    <x v="1"/>
    <x v="19"/>
    <x v="299"/>
    <x v="0"/>
    <x v="6"/>
    <n v="7"/>
    <n v="0"/>
    <n v="0"/>
  </r>
  <r>
    <x v="1"/>
    <x v="19"/>
    <x v="300"/>
    <x v="0"/>
    <x v="0"/>
    <n v="1"/>
    <n v="0"/>
    <n v="0"/>
  </r>
  <r>
    <x v="1"/>
    <x v="19"/>
    <x v="300"/>
    <x v="0"/>
    <x v="1"/>
    <n v="2"/>
    <n v="0"/>
    <n v="0"/>
  </r>
  <r>
    <x v="1"/>
    <x v="19"/>
    <x v="300"/>
    <x v="0"/>
    <x v="2"/>
    <n v="3"/>
    <n v="0"/>
    <n v="0"/>
  </r>
  <r>
    <x v="1"/>
    <x v="19"/>
    <x v="300"/>
    <x v="0"/>
    <x v="3"/>
    <n v="4"/>
    <n v="0.72"/>
    <n v="1800"/>
  </r>
  <r>
    <x v="1"/>
    <x v="19"/>
    <x v="300"/>
    <x v="0"/>
    <x v="4"/>
    <n v="5"/>
    <n v="0"/>
    <n v="0"/>
  </r>
  <r>
    <x v="1"/>
    <x v="19"/>
    <x v="300"/>
    <x v="0"/>
    <x v="5"/>
    <n v="6"/>
    <n v="0"/>
    <n v="0"/>
  </r>
  <r>
    <x v="1"/>
    <x v="19"/>
    <x v="300"/>
    <x v="0"/>
    <x v="6"/>
    <n v="7"/>
    <n v="0"/>
    <n v="0"/>
  </r>
  <r>
    <x v="1"/>
    <x v="19"/>
    <x v="301"/>
    <x v="0"/>
    <x v="0"/>
    <n v="1"/>
    <n v="0"/>
    <n v="0"/>
  </r>
  <r>
    <x v="1"/>
    <x v="19"/>
    <x v="301"/>
    <x v="0"/>
    <x v="1"/>
    <n v="2"/>
    <n v="0"/>
    <n v="0"/>
  </r>
  <r>
    <x v="1"/>
    <x v="19"/>
    <x v="301"/>
    <x v="0"/>
    <x v="2"/>
    <n v="3"/>
    <n v="0"/>
    <n v="0"/>
  </r>
  <r>
    <x v="1"/>
    <x v="19"/>
    <x v="301"/>
    <x v="0"/>
    <x v="3"/>
    <n v="4"/>
    <n v="2.88"/>
    <n v="7200"/>
  </r>
  <r>
    <x v="1"/>
    <x v="19"/>
    <x v="301"/>
    <x v="0"/>
    <x v="4"/>
    <n v="5"/>
    <n v="0"/>
    <n v="0"/>
  </r>
  <r>
    <x v="1"/>
    <x v="19"/>
    <x v="301"/>
    <x v="0"/>
    <x v="5"/>
    <n v="6"/>
    <n v="0"/>
    <n v="0"/>
  </r>
  <r>
    <x v="1"/>
    <x v="19"/>
    <x v="301"/>
    <x v="0"/>
    <x v="6"/>
    <n v="7"/>
    <n v="0"/>
    <n v="0"/>
  </r>
  <r>
    <x v="1"/>
    <x v="19"/>
    <x v="302"/>
    <x v="0"/>
    <x v="0"/>
    <n v="1"/>
    <n v="0"/>
    <n v="0"/>
  </r>
  <r>
    <x v="1"/>
    <x v="19"/>
    <x v="302"/>
    <x v="0"/>
    <x v="1"/>
    <n v="2"/>
    <n v="0"/>
    <n v="0"/>
  </r>
  <r>
    <x v="1"/>
    <x v="19"/>
    <x v="302"/>
    <x v="0"/>
    <x v="2"/>
    <n v="3"/>
    <n v="0"/>
    <n v="0"/>
  </r>
  <r>
    <x v="1"/>
    <x v="19"/>
    <x v="302"/>
    <x v="0"/>
    <x v="3"/>
    <n v="4"/>
    <n v="4.32"/>
    <n v="10800"/>
  </r>
  <r>
    <x v="1"/>
    <x v="19"/>
    <x v="302"/>
    <x v="0"/>
    <x v="4"/>
    <n v="5"/>
    <n v="0"/>
    <n v="0"/>
  </r>
  <r>
    <x v="1"/>
    <x v="19"/>
    <x v="302"/>
    <x v="0"/>
    <x v="5"/>
    <n v="6"/>
    <n v="0"/>
    <n v="0"/>
  </r>
  <r>
    <x v="1"/>
    <x v="19"/>
    <x v="302"/>
    <x v="0"/>
    <x v="6"/>
    <n v="7"/>
    <n v="0"/>
    <n v="0"/>
  </r>
  <r>
    <x v="1"/>
    <x v="19"/>
    <x v="303"/>
    <x v="0"/>
    <x v="0"/>
    <n v="1"/>
    <n v="0"/>
    <n v="0"/>
  </r>
  <r>
    <x v="1"/>
    <x v="19"/>
    <x v="303"/>
    <x v="0"/>
    <x v="1"/>
    <n v="2"/>
    <n v="0"/>
    <n v="0"/>
  </r>
  <r>
    <x v="1"/>
    <x v="19"/>
    <x v="303"/>
    <x v="0"/>
    <x v="2"/>
    <n v="3"/>
    <n v="0"/>
    <n v="0"/>
  </r>
  <r>
    <x v="1"/>
    <x v="19"/>
    <x v="303"/>
    <x v="0"/>
    <x v="3"/>
    <n v="4"/>
    <n v="1.44"/>
    <n v="3600"/>
  </r>
  <r>
    <x v="1"/>
    <x v="19"/>
    <x v="303"/>
    <x v="0"/>
    <x v="4"/>
    <n v="5"/>
    <n v="0"/>
    <n v="0"/>
  </r>
  <r>
    <x v="1"/>
    <x v="19"/>
    <x v="303"/>
    <x v="0"/>
    <x v="5"/>
    <n v="6"/>
    <n v="0"/>
    <n v="0"/>
  </r>
  <r>
    <x v="1"/>
    <x v="19"/>
    <x v="303"/>
    <x v="0"/>
    <x v="6"/>
    <n v="7"/>
    <n v="0"/>
    <n v="0"/>
  </r>
  <r>
    <x v="1"/>
    <x v="19"/>
    <x v="304"/>
    <x v="0"/>
    <x v="0"/>
    <n v="1"/>
    <n v="0"/>
    <n v="0"/>
  </r>
  <r>
    <x v="1"/>
    <x v="19"/>
    <x v="304"/>
    <x v="0"/>
    <x v="1"/>
    <n v="2"/>
    <n v="0"/>
    <n v="0"/>
  </r>
  <r>
    <x v="1"/>
    <x v="19"/>
    <x v="304"/>
    <x v="0"/>
    <x v="2"/>
    <n v="3"/>
    <n v="0"/>
    <n v="0"/>
  </r>
  <r>
    <x v="1"/>
    <x v="19"/>
    <x v="304"/>
    <x v="0"/>
    <x v="3"/>
    <n v="4"/>
    <n v="6.48"/>
    <n v="16200"/>
  </r>
  <r>
    <x v="1"/>
    <x v="19"/>
    <x v="304"/>
    <x v="0"/>
    <x v="4"/>
    <n v="5"/>
    <n v="0"/>
    <n v="0"/>
  </r>
  <r>
    <x v="1"/>
    <x v="19"/>
    <x v="304"/>
    <x v="0"/>
    <x v="5"/>
    <n v="6"/>
    <n v="0"/>
    <n v="0"/>
  </r>
  <r>
    <x v="1"/>
    <x v="19"/>
    <x v="304"/>
    <x v="0"/>
    <x v="6"/>
    <n v="7"/>
    <n v="0"/>
    <n v="0"/>
  </r>
  <r>
    <x v="1"/>
    <x v="19"/>
    <x v="305"/>
    <x v="0"/>
    <x v="0"/>
    <n v="1"/>
    <n v="0"/>
    <n v="0"/>
  </r>
  <r>
    <x v="1"/>
    <x v="19"/>
    <x v="305"/>
    <x v="0"/>
    <x v="1"/>
    <n v="2"/>
    <n v="0"/>
    <n v="0"/>
  </r>
  <r>
    <x v="1"/>
    <x v="19"/>
    <x v="305"/>
    <x v="0"/>
    <x v="2"/>
    <n v="3"/>
    <n v="0"/>
    <n v="0"/>
  </r>
  <r>
    <x v="1"/>
    <x v="19"/>
    <x v="305"/>
    <x v="0"/>
    <x v="3"/>
    <n v="4"/>
    <n v="0.72"/>
    <n v="1800"/>
  </r>
  <r>
    <x v="1"/>
    <x v="19"/>
    <x v="305"/>
    <x v="0"/>
    <x v="4"/>
    <n v="5"/>
    <n v="0"/>
    <n v="0"/>
  </r>
  <r>
    <x v="1"/>
    <x v="19"/>
    <x v="305"/>
    <x v="0"/>
    <x v="5"/>
    <n v="6"/>
    <n v="0"/>
    <n v="0"/>
  </r>
  <r>
    <x v="1"/>
    <x v="19"/>
    <x v="305"/>
    <x v="0"/>
    <x v="6"/>
    <n v="7"/>
    <n v="0"/>
    <n v="0"/>
  </r>
  <r>
    <x v="1"/>
    <x v="19"/>
    <x v="306"/>
    <x v="0"/>
    <x v="0"/>
    <n v="1"/>
    <n v="0"/>
    <n v="0"/>
  </r>
  <r>
    <x v="1"/>
    <x v="19"/>
    <x v="306"/>
    <x v="0"/>
    <x v="1"/>
    <n v="2"/>
    <n v="0"/>
    <n v="0"/>
  </r>
  <r>
    <x v="1"/>
    <x v="19"/>
    <x v="306"/>
    <x v="0"/>
    <x v="2"/>
    <n v="3"/>
    <n v="0"/>
    <n v="0"/>
  </r>
  <r>
    <x v="1"/>
    <x v="19"/>
    <x v="306"/>
    <x v="0"/>
    <x v="3"/>
    <n v="4"/>
    <n v="2.16"/>
    <n v="5400"/>
  </r>
  <r>
    <x v="1"/>
    <x v="19"/>
    <x v="306"/>
    <x v="0"/>
    <x v="4"/>
    <n v="5"/>
    <n v="0"/>
    <n v="0"/>
  </r>
  <r>
    <x v="1"/>
    <x v="19"/>
    <x v="306"/>
    <x v="0"/>
    <x v="5"/>
    <n v="6"/>
    <n v="0"/>
    <n v="0"/>
  </r>
  <r>
    <x v="1"/>
    <x v="19"/>
    <x v="306"/>
    <x v="0"/>
    <x v="6"/>
    <n v="7"/>
    <n v="0"/>
    <n v="0"/>
  </r>
  <r>
    <x v="1"/>
    <x v="19"/>
    <x v="307"/>
    <x v="0"/>
    <x v="0"/>
    <n v="1"/>
    <n v="0"/>
    <n v="0"/>
  </r>
  <r>
    <x v="1"/>
    <x v="19"/>
    <x v="307"/>
    <x v="0"/>
    <x v="1"/>
    <n v="2"/>
    <n v="0"/>
    <n v="0"/>
  </r>
  <r>
    <x v="1"/>
    <x v="19"/>
    <x v="307"/>
    <x v="0"/>
    <x v="2"/>
    <n v="3"/>
    <n v="0"/>
    <n v="0"/>
  </r>
  <r>
    <x v="1"/>
    <x v="19"/>
    <x v="307"/>
    <x v="0"/>
    <x v="3"/>
    <n v="4"/>
    <n v="2.16"/>
    <n v="5400"/>
  </r>
  <r>
    <x v="1"/>
    <x v="19"/>
    <x v="307"/>
    <x v="0"/>
    <x v="4"/>
    <n v="5"/>
    <n v="0"/>
    <n v="0"/>
  </r>
  <r>
    <x v="1"/>
    <x v="19"/>
    <x v="307"/>
    <x v="0"/>
    <x v="5"/>
    <n v="6"/>
    <n v="0"/>
    <n v="0"/>
  </r>
  <r>
    <x v="1"/>
    <x v="19"/>
    <x v="307"/>
    <x v="0"/>
    <x v="6"/>
    <n v="7"/>
    <n v="0"/>
    <n v="0"/>
  </r>
  <r>
    <x v="1"/>
    <x v="19"/>
    <x v="308"/>
    <x v="0"/>
    <x v="0"/>
    <n v="1"/>
    <n v="0"/>
    <n v="0"/>
  </r>
  <r>
    <x v="1"/>
    <x v="19"/>
    <x v="308"/>
    <x v="0"/>
    <x v="1"/>
    <n v="2"/>
    <n v="0"/>
    <n v="0"/>
  </r>
  <r>
    <x v="1"/>
    <x v="19"/>
    <x v="308"/>
    <x v="0"/>
    <x v="2"/>
    <n v="3"/>
    <n v="0"/>
    <n v="0"/>
  </r>
  <r>
    <x v="1"/>
    <x v="19"/>
    <x v="308"/>
    <x v="0"/>
    <x v="3"/>
    <n v="4"/>
    <n v="3.6"/>
    <n v="9000"/>
  </r>
  <r>
    <x v="1"/>
    <x v="19"/>
    <x v="308"/>
    <x v="0"/>
    <x v="4"/>
    <n v="5"/>
    <n v="0"/>
    <n v="0"/>
  </r>
  <r>
    <x v="1"/>
    <x v="19"/>
    <x v="308"/>
    <x v="0"/>
    <x v="5"/>
    <n v="6"/>
    <n v="0"/>
    <n v="0"/>
  </r>
  <r>
    <x v="1"/>
    <x v="19"/>
    <x v="308"/>
    <x v="0"/>
    <x v="6"/>
    <n v="7"/>
    <n v="0"/>
    <n v="0"/>
  </r>
  <r>
    <x v="1"/>
    <x v="19"/>
    <x v="252"/>
    <x v="0"/>
    <x v="0"/>
    <n v="1"/>
    <n v="0"/>
    <n v="0"/>
  </r>
  <r>
    <x v="1"/>
    <x v="19"/>
    <x v="252"/>
    <x v="0"/>
    <x v="1"/>
    <n v="2"/>
    <n v="0"/>
    <n v="0"/>
  </r>
  <r>
    <x v="1"/>
    <x v="19"/>
    <x v="252"/>
    <x v="0"/>
    <x v="2"/>
    <n v="3"/>
    <n v="0"/>
    <n v="0"/>
  </r>
  <r>
    <x v="1"/>
    <x v="19"/>
    <x v="252"/>
    <x v="0"/>
    <x v="3"/>
    <n v="4"/>
    <n v="0"/>
    <n v="0"/>
  </r>
  <r>
    <x v="1"/>
    <x v="19"/>
    <x v="252"/>
    <x v="0"/>
    <x v="4"/>
    <n v="5"/>
    <n v="0"/>
    <n v="0"/>
  </r>
  <r>
    <x v="1"/>
    <x v="19"/>
    <x v="252"/>
    <x v="0"/>
    <x v="5"/>
    <n v="6"/>
    <n v="0"/>
    <n v="0"/>
  </r>
  <r>
    <x v="1"/>
    <x v="19"/>
    <x v="252"/>
    <x v="0"/>
    <x v="6"/>
    <n v="7"/>
    <n v="0"/>
    <n v="0"/>
  </r>
  <r>
    <x v="1"/>
    <x v="19"/>
    <x v="309"/>
    <x v="0"/>
    <x v="0"/>
    <n v="1"/>
    <n v="0"/>
    <n v="0"/>
  </r>
  <r>
    <x v="1"/>
    <x v="19"/>
    <x v="309"/>
    <x v="0"/>
    <x v="1"/>
    <n v="2"/>
    <n v="0"/>
    <n v="0"/>
  </r>
  <r>
    <x v="1"/>
    <x v="19"/>
    <x v="309"/>
    <x v="0"/>
    <x v="2"/>
    <n v="3"/>
    <n v="0"/>
    <n v="0"/>
  </r>
  <r>
    <x v="1"/>
    <x v="19"/>
    <x v="309"/>
    <x v="0"/>
    <x v="3"/>
    <n v="4"/>
    <n v="2.88"/>
    <n v="7200"/>
  </r>
  <r>
    <x v="1"/>
    <x v="19"/>
    <x v="309"/>
    <x v="0"/>
    <x v="4"/>
    <n v="5"/>
    <n v="0"/>
    <n v="0"/>
  </r>
  <r>
    <x v="1"/>
    <x v="19"/>
    <x v="309"/>
    <x v="0"/>
    <x v="5"/>
    <n v="6"/>
    <n v="0"/>
    <n v="0"/>
  </r>
  <r>
    <x v="1"/>
    <x v="19"/>
    <x v="309"/>
    <x v="0"/>
    <x v="6"/>
    <n v="7"/>
    <n v="0"/>
    <n v="0"/>
  </r>
  <r>
    <x v="1"/>
    <x v="19"/>
    <x v="310"/>
    <x v="0"/>
    <x v="0"/>
    <n v="1"/>
    <n v="0"/>
    <n v="0"/>
  </r>
  <r>
    <x v="1"/>
    <x v="19"/>
    <x v="310"/>
    <x v="0"/>
    <x v="1"/>
    <n v="2"/>
    <n v="0"/>
    <n v="0"/>
  </r>
  <r>
    <x v="1"/>
    <x v="19"/>
    <x v="310"/>
    <x v="0"/>
    <x v="2"/>
    <n v="3"/>
    <n v="0"/>
    <n v="0"/>
  </r>
  <r>
    <x v="1"/>
    <x v="19"/>
    <x v="310"/>
    <x v="0"/>
    <x v="3"/>
    <n v="4"/>
    <n v="1.44"/>
    <n v="3600"/>
  </r>
  <r>
    <x v="1"/>
    <x v="19"/>
    <x v="310"/>
    <x v="0"/>
    <x v="4"/>
    <n v="5"/>
    <n v="0"/>
    <n v="0"/>
  </r>
  <r>
    <x v="1"/>
    <x v="19"/>
    <x v="310"/>
    <x v="0"/>
    <x v="5"/>
    <n v="6"/>
    <n v="0"/>
    <n v="0"/>
  </r>
  <r>
    <x v="1"/>
    <x v="19"/>
    <x v="310"/>
    <x v="0"/>
    <x v="6"/>
    <n v="7"/>
    <n v="0"/>
    <n v="0"/>
  </r>
  <r>
    <x v="1"/>
    <x v="19"/>
    <x v="115"/>
    <x v="0"/>
    <x v="0"/>
    <n v="1"/>
    <n v="0"/>
    <n v="0"/>
  </r>
  <r>
    <x v="1"/>
    <x v="19"/>
    <x v="115"/>
    <x v="0"/>
    <x v="1"/>
    <n v="2"/>
    <n v="0"/>
    <n v="0"/>
  </r>
  <r>
    <x v="1"/>
    <x v="19"/>
    <x v="115"/>
    <x v="0"/>
    <x v="2"/>
    <n v="3"/>
    <n v="0"/>
    <n v="0"/>
  </r>
  <r>
    <x v="1"/>
    <x v="19"/>
    <x v="115"/>
    <x v="0"/>
    <x v="3"/>
    <n v="4"/>
    <n v="4.32"/>
    <n v="10800"/>
  </r>
  <r>
    <x v="1"/>
    <x v="19"/>
    <x v="115"/>
    <x v="0"/>
    <x v="4"/>
    <n v="5"/>
    <n v="0"/>
    <n v="0"/>
  </r>
  <r>
    <x v="1"/>
    <x v="19"/>
    <x v="115"/>
    <x v="0"/>
    <x v="5"/>
    <n v="6"/>
    <n v="0"/>
    <n v="0"/>
  </r>
  <r>
    <x v="1"/>
    <x v="19"/>
    <x v="115"/>
    <x v="0"/>
    <x v="6"/>
    <n v="7"/>
    <n v="0"/>
    <n v="0"/>
  </r>
  <r>
    <x v="1"/>
    <x v="19"/>
    <x v="311"/>
    <x v="0"/>
    <x v="0"/>
    <n v="1"/>
    <n v="0"/>
    <n v="0"/>
  </r>
  <r>
    <x v="1"/>
    <x v="19"/>
    <x v="311"/>
    <x v="0"/>
    <x v="1"/>
    <n v="2"/>
    <n v="0"/>
    <n v="0"/>
  </r>
  <r>
    <x v="1"/>
    <x v="19"/>
    <x v="311"/>
    <x v="0"/>
    <x v="2"/>
    <n v="3"/>
    <n v="0"/>
    <n v="0"/>
  </r>
  <r>
    <x v="1"/>
    <x v="19"/>
    <x v="311"/>
    <x v="0"/>
    <x v="3"/>
    <n v="4"/>
    <n v="2.88"/>
    <n v="7200"/>
  </r>
  <r>
    <x v="1"/>
    <x v="19"/>
    <x v="311"/>
    <x v="0"/>
    <x v="4"/>
    <n v="5"/>
    <n v="0"/>
    <n v="0"/>
  </r>
  <r>
    <x v="1"/>
    <x v="19"/>
    <x v="311"/>
    <x v="0"/>
    <x v="5"/>
    <n v="6"/>
    <n v="0"/>
    <n v="0"/>
  </r>
  <r>
    <x v="1"/>
    <x v="19"/>
    <x v="311"/>
    <x v="0"/>
    <x v="6"/>
    <n v="7"/>
    <n v="0"/>
    <n v="0"/>
  </r>
  <r>
    <x v="1"/>
    <x v="19"/>
    <x v="312"/>
    <x v="0"/>
    <x v="0"/>
    <n v="1"/>
    <n v="0"/>
    <n v="0"/>
  </r>
  <r>
    <x v="1"/>
    <x v="19"/>
    <x v="312"/>
    <x v="0"/>
    <x v="1"/>
    <n v="2"/>
    <n v="0"/>
    <n v="0"/>
  </r>
  <r>
    <x v="1"/>
    <x v="19"/>
    <x v="312"/>
    <x v="0"/>
    <x v="2"/>
    <n v="3"/>
    <n v="0"/>
    <n v="0"/>
  </r>
  <r>
    <x v="1"/>
    <x v="19"/>
    <x v="312"/>
    <x v="0"/>
    <x v="3"/>
    <n v="4"/>
    <n v="0.72"/>
    <n v="1800"/>
  </r>
  <r>
    <x v="1"/>
    <x v="19"/>
    <x v="312"/>
    <x v="0"/>
    <x v="4"/>
    <n v="5"/>
    <n v="0"/>
    <n v="0"/>
  </r>
  <r>
    <x v="1"/>
    <x v="19"/>
    <x v="312"/>
    <x v="0"/>
    <x v="5"/>
    <n v="6"/>
    <n v="0"/>
    <n v="0"/>
  </r>
  <r>
    <x v="1"/>
    <x v="19"/>
    <x v="312"/>
    <x v="0"/>
    <x v="6"/>
    <n v="7"/>
    <n v="0"/>
    <n v="0"/>
  </r>
  <r>
    <x v="1"/>
    <x v="19"/>
    <x v="313"/>
    <x v="0"/>
    <x v="0"/>
    <n v="1"/>
    <n v="0"/>
    <n v="0"/>
  </r>
  <r>
    <x v="1"/>
    <x v="19"/>
    <x v="313"/>
    <x v="0"/>
    <x v="1"/>
    <n v="2"/>
    <n v="0"/>
    <n v="0"/>
  </r>
  <r>
    <x v="1"/>
    <x v="19"/>
    <x v="313"/>
    <x v="0"/>
    <x v="2"/>
    <n v="3"/>
    <n v="0"/>
    <n v="0"/>
  </r>
  <r>
    <x v="1"/>
    <x v="19"/>
    <x v="313"/>
    <x v="0"/>
    <x v="3"/>
    <n v="4"/>
    <n v="2.88"/>
    <n v="7200"/>
  </r>
  <r>
    <x v="1"/>
    <x v="19"/>
    <x v="313"/>
    <x v="0"/>
    <x v="4"/>
    <n v="5"/>
    <n v="0"/>
    <n v="0"/>
  </r>
  <r>
    <x v="1"/>
    <x v="19"/>
    <x v="313"/>
    <x v="0"/>
    <x v="5"/>
    <n v="6"/>
    <n v="0"/>
    <n v="0"/>
  </r>
  <r>
    <x v="1"/>
    <x v="19"/>
    <x v="313"/>
    <x v="0"/>
    <x v="6"/>
    <n v="7"/>
    <n v="0"/>
    <n v="0"/>
  </r>
  <r>
    <x v="1"/>
    <x v="20"/>
    <x v="314"/>
    <x v="0"/>
    <x v="0"/>
    <n v="1"/>
    <n v="0"/>
    <n v="0"/>
  </r>
  <r>
    <x v="1"/>
    <x v="20"/>
    <x v="314"/>
    <x v="0"/>
    <x v="1"/>
    <n v="2"/>
    <n v="0"/>
    <n v="0"/>
  </r>
  <r>
    <x v="1"/>
    <x v="20"/>
    <x v="314"/>
    <x v="0"/>
    <x v="2"/>
    <n v="3"/>
    <n v="0"/>
    <n v="0"/>
  </r>
  <r>
    <x v="1"/>
    <x v="20"/>
    <x v="314"/>
    <x v="0"/>
    <x v="3"/>
    <n v="4"/>
    <n v="1.44"/>
    <n v="3600"/>
  </r>
  <r>
    <x v="1"/>
    <x v="20"/>
    <x v="314"/>
    <x v="0"/>
    <x v="4"/>
    <n v="5"/>
    <n v="0"/>
    <n v="0"/>
  </r>
  <r>
    <x v="1"/>
    <x v="20"/>
    <x v="314"/>
    <x v="0"/>
    <x v="5"/>
    <n v="6"/>
    <n v="0"/>
    <n v="0"/>
  </r>
  <r>
    <x v="1"/>
    <x v="20"/>
    <x v="314"/>
    <x v="0"/>
    <x v="6"/>
    <n v="7"/>
    <n v="0"/>
    <n v="0"/>
  </r>
  <r>
    <x v="1"/>
    <x v="20"/>
    <x v="315"/>
    <x v="0"/>
    <x v="0"/>
    <n v="1"/>
    <n v="0"/>
    <n v="0"/>
  </r>
  <r>
    <x v="1"/>
    <x v="20"/>
    <x v="315"/>
    <x v="0"/>
    <x v="1"/>
    <n v="2"/>
    <n v="0"/>
    <n v="0"/>
  </r>
  <r>
    <x v="1"/>
    <x v="20"/>
    <x v="315"/>
    <x v="0"/>
    <x v="2"/>
    <n v="3"/>
    <n v="0"/>
    <n v="0"/>
  </r>
  <r>
    <x v="1"/>
    <x v="20"/>
    <x v="315"/>
    <x v="0"/>
    <x v="3"/>
    <n v="4"/>
    <n v="1.44"/>
    <n v="3600"/>
  </r>
  <r>
    <x v="1"/>
    <x v="20"/>
    <x v="315"/>
    <x v="0"/>
    <x v="4"/>
    <n v="5"/>
    <n v="0"/>
    <n v="0"/>
  </r>
  <r>
    <x v="1"/>
    <x v="20"/>
    <x v="315"/>
    <x v="0"/>
    <x v="5"/>
    <n v="6"/>
    <n v="0"/>
    <n v="0"/>
  </r>
  <r>
    <x v="1"/>
    <x v="20"/>
    <x v="315"/>
    <x v="0"/>
    <x v="6"/>
    <n v="7"/>
    <n v="0"/>
    <n v="0"/>
  </r>
  <r>
    <x v="1"/>
    <x v="20"/>
    <x v="316"/>
    <x v="0"/>
    <x v="0"/>
    <n v="1"/>
    <n v="0"/>
    <n v="0"/>
  </r>
  <r>
    <x v="1"/>
    <x v="20"/>
    <x v="316"/>
    <x v="0"/>
    <x v="1"/>
    <n v="2"/>
    <n v="0"/>
    <n v="0"/>
  </r>
  <r>
    <x v="1"/>
    <x v="20"/>
    <x v="316"/>
    <x v="0"/>
    <x v="2"/>
    <n v="3"/>
    <n v="0"/>
    <n v="0"/>
  </r>
  <r>
    <x v="1"/>
    <x v="20"/>
    <x v="316"/>
    <x v="0"/>
    <x v="3"/>
    <n v="4"/>
    <n v="5.76"/>
    <n v="14400"/>
  </r>
  <r>
    <x v="1"/>
    <x v="20"/>
    <x v="316"/>
    <x v="0"/>
    <x v="4"/>
    <n v="5"/>
    <n v="0"/>
    <n v="0"/>
  </r>
  <r>
    <x v="1"/>
    <x v="20"/>
    <x v="316"/>
    <x v="0"/>
    <x v="5"/>
    <n v="6"/>
    <n v="0"/>
    <n v="0"/>
  </r>
  <r>
    <x v="1"/>
    <x v="20"/>
    <x v="316"/>
    <x v="0"/>
    <x v="6"/>
    <n v="7"/>
    <n v="0"/>
    <n v="0"/>
  </r>
  <r>
    <x v="1"/>
    <x v="20"/>
    <x v="317"/>
    <x v="0"/>
    <x v="0"/>
    <n v="1"/>
    <n v="0"/>
    <n v="0"/>
  </r>
  <r>
    <x v="1"/>
    <x v="20"/>
    <x v="317"/>
    <x v="0"/>
    <x v="1"/>
    <n v="2"/>
    <n v="0"/>
    <n v="0"/>
  </r>
  <r>
    <x v="1"/>
    <x v="20"/>
    <x v="317"/>
    <x v="0"/>
    <x v="2"/>
    <n v="3"/>
    <n v="0"/>
    <n v="0"/>
  </r>
  <r>
    <x v="1"/>
    <x v="20"/>
    <x v="317"/>
    <x v="0"/>
    <x v="3"/>
    <n v="4"/>
    <n v="1.44"/>
    <n v="3600"/>
  </r>
  <r>
    <x v="1"/>
    <x v="20"/>
    <x v="317"/>
    <x v="0"/>
    <x v="4"/>
    <n v="5"/>
    <n v="0"/>
    <n v="0"/>
  </r>
  <r>
    <x v="1"/>
    <x v="20"/>
    <x v="317"/>
    <x v="0"/>
    <x v="5"/>
    <n v="6"/>
    <n v="0"/>
    <n v="0"/>
  </r>
  <r>
    <x v="1"/>
    <x v="20"/>
    <x v="317"/>
    <x v="0"/>
    <x v="6"/>
    <n v="7"/>
    <n v="0"/>
    <n v="0"/>
  </r>
  <r>
    <x v="1"/>
    <x v="20"/>
    <x v="318"/>
    <x v="0"/>
    <x v="0"/>
    <n v="1"/>
    <n v="0"/>
    <n v="0"/>
  </r>
  <r>
    <x v="1"/>
    <x v="20"/>
    <x v="318"/>
    <x v="0"/>
    <x v="1"/>
    <n v="2"/>
    <n v="0"/>
    <n v="0"/>
  </r>
  <r>
    <x v="1"/>
    <x v="20"/>
    <x v="318"/>
    <x v="0"/>
    <x v="2"/>
    <n v="3"/>
    <n v="0"/>
    <n v="0"/>
  </r>
  <r>
    <x v="1"/>
    <x v="20"/>
    <x v="318"/>
    <x v="0"/>
    <x v="3"/>
    <n v="4"/>
    <n v="0.72"/>
    <n v="1800"/>
  </r>
  <r>
    <x v="1"/>
    <x v="20"/>
    <x v="318"/>
    <x v="0"/>
    <x v="4"/>
    <n v="5"/>
    <n v="0"/>
    <n v="0"/>
  </r>
  <r>
    <x v="1"/>
    <x v="20"/>
    <x v="318"/>
    <x v="0"/>
    <x v="5"/>
    <n v="6"/>
    <n v="0"/>
    <n v="0"/>
  </r>
  <r>
    <x v="1"/>
    <x v="20"/>
    <x v="318"/>
    <x v="0"/>
    <x v="6"/>
    <n v="7"/>
    <n v="0"/>
    <n v="0"/>
  </r>
  <r>
    <x v="1"/>
    <x v="20"/>
    <x v="319"/>
    <x v="0"/>
    <x v="0"/>
    <n v="1"/>
    <n v="0"/>
    <n v="0"/>
  </r>
  <r>
    <x v="1"/>
    <x v="20"/>
    <x v="319"/>
    <x v="0"/>
    <x v="1"/>
    <n v="2"/>
    <n v="0"/>
    <n v="0"/>
  </r>
  <r>
    <x v="1"/>
    <x v="20"/>
    <x v="319"/>
    <x v="0"/>
    <x v="2"/>
    <n v="3"/>
    <n v="0"/>
    <n v="0"/>
  </r>
  <r>
    <x v="1"/>
    <x v="20"/>
    <x v="319"/>
    <x v="0"/>
    <x v="3"/>
    <n v="4"/>
    <n v="0"/>
    <n v="0"/>
  </r>
  <r>
    <x v="1"/>
    <x v="20"/>
    <x v="319"/>
    <x v="0"/>
    <x v="4"/>
    <n v="5"/>
    <n v="0"/>
    <n v="0"/>
  </r>
  <r>
    <x v="1"/>
    <x v="20"/>
    <x v="319"/>
    <x v="0"/>
    <x v="5"/>
    <n v="6"/>
    <n v="0"/>
    <n v="0"/>
  </r>
  <r>
    <x v="1"/>
    <x v="20"/>
    <x v="319"/>
    <x v="0"/>
    <x v="6"/>
    <n v="7"/>
    <n v="0"/>
    <n v="0"/>
  </r>
  <r>
    <x v="1"/>
    <x v="20"/>
    <x v="320"/>
    <x v="0"/>
    <x v="0"/>
    <n v="1"/>
    <n v="0"/>
    <n v="0"/>
  </r>
  <r>
    <x v="1"/>
    <x v="20"/>
    <x v="320"/>
    <x v="0"/>
    <x v="1"/>
    <n v="2"/>
    <n v="0"/>
    <n v="0"/>
  </r>
  <r>
    <x v="1"/>
    <x v="20"/>
    <x v="320"/>
    <x v="0"/>
    <x v="2"/>
    <n v="3"/>
    <n v="0"/>
    <n v="0"/>
  </r>
  <r>
    <x v="1"/>
    <x v="20"/>
    <x v="320"/>
    <x v="0"/>
    <x v="3"/>
    <n v="4"/>
    <n v="3.6"/>
    <n v="9000"/>
  </r>
  <r>
    <x v="1"/>
    <x v="20"/>
    <x v="320"/>
    <x v="0"/>
    <x v="4"/>
    <n v="5"/>
    <n v="0"/>
    <n v="0"/>
  </r>
  <r>
    <x v="1"/>
    <x v="20"/>
    <x v="320"/>
    <x v="0"/>
    <x v="5"/>
    <n v="6"/>
    <n v="0"/>
    <n v="0"/>
  </r>
  <r>
    <x v="1"/>
    <x v="20"/>
    <x v="320"/>
    <x v="0"/>
    <x v="6"/>
    <n v="7"/>
    <n v="0"/>
    <n v="0"/>
  </r>
  <r>
    <x v="1"/>
    <x v="20"/>
    <x v="321"/>
    <x v="0"/>
    <x v="0"/>
    <n v="1"/>
    <n v="0"/>
    <n v="0"/>
  </r>
  <r>
    <x v="1"/>
    <x v="20"/>
    <x v="321"/>
    <x v="0"/>
    <x v="1"/>
    <n v="2"/>
    <n v="0"/>
    <n v="0"/>
  </r>
  <r>
    <x v="1"/>
    <x v="20"/>
    <x v="321"/>
    <x v="0"/>
    <x v="2"/>
    <n v="3"/>
    <n v="0"/>
    <n v="0"/>
  </r>
  <r>
    <x v="1"/>
    <x v="20"/>
    <x v="321"/>
    <x v="0"/>
    <x v="3"/>
    <n v="4"/>
    <n v="15.84"/>
    <n v="39600"/>
  </r>
  <r>
    <x v="1"/>
    <x v="20"/>
    <x v="321"/>
    <x v="0"/>
    <x v="4"/>
    <n v="5"/>
    <n v="0"/>
    <n v="0"/>
  </r>
  <r>
    <x v="1"/>
    <x v="20"/>
    <x v="321"/>
    <x v="0"/>
    <x v="5"/>
    <n v="6"/>
    <n v="0"/>
    <n v="0"/>
  </r>
  <r>
    <x v="1"/>
    <x v="20"/>
    <x v="321"/>
    <x v="0"/>
    <x v="6"/>
    <n v="7"/>
    <n v="0"/>
    <n v="0"/>
  </r>
  <r>
    <x v="1"/>
    <x v="21"/>
    <x v="322"/>
    <x v="0"/>
    <x v="0"/>
    <n v="1"/>
    <n v="0"/>
    <n v="0"/>
  </r>
  <r>
    <x v="1"/>
    <x v="21"/>
    <x v="322"/>
    <x v="0"/>
    <x v="1"/>
    <n v="2"/>
    <n v="0"/>
    <n v="0"/>
  </r>
  <r>
    <x v="1"/>
    <x v="21"/>
    <x v="322"/>
    <x v="0"/>
    <x v="2"/>
    <n v="3"/>
    <n v="0"/>
    <n v="0"/>
  </r>
  <r>
    <x v="1"/>
    <x v="21"/>
    <x v="322"/>
    <x v="0"/>
    <x v="3"/>
    <n v="4"/>
    <n v="2.88"/>
    <n v="7200"/>
  </r>
  <r>
    <x v="1"/>
    <x v="21"/>
    <x v="322"/>
    <x v="0"/>
    <x v="4"/>
    <n v="5"/>
    <n v="0"/>
    <n v="0"/>
  </r>
  <r>
    <x v="1"/>
    <x v="21"/>
    <x v="322"/>
    <x v="0"/>
    <x v="5"/>
    <n v="6"/>
    <n v="0"/>
    <n v="0"/>
  </r>
  <r>
    <x v="1"/>
    <x v="21"/>
    <x v="322"/>
    <x v="0"/>
    <x v="6"/>
    <n v="7"/>
    <n v="0"/>
    <n v="0"/>
  </r>
  <r>
    <x v="1"/>
    <x v="21"/>
    <x v="323"/>
    <x v="0"/>
    <x v="0"/>
    <n v="1"/>
    <n v="0"/>
    <n v="0"/>
  </r>
  <r>
    <x v="1"/>
    <x v="21"/>
    <x v="323"/>
    <x v="0"/>
    <x v="1"/>
    <n v="2"/>
    <n v="0"/>
    <n v="0"/>
  </r>
  <r>
    <x v="1"/>
    <x v="21"/>
    <x v="323"/>
    <x v="0"/>
    <x v="2"/>
    <n v="3"/>
    <n v="0"/>
    <n v="0"/>
  </r>
  <r>
    <x v="1"/>
    <x v="21"/>
    <x v="323"/>
    <x v="0"/>
    <x v="3"/>
    <n v="4"/>
    <n v="4.32"/>
    <n v="10800"/>
  </r>
  <r>
    <x v="1"/>
    <x v="21"/>
    <x v="323"/>
    <x v="0"/>
    <x v="4"/>
    <n v="5"/>
    <n v="0"/>
    <n v="0"/>
  </r>
  <r>
    <x v="1"/>
    <x v="21"/>
    <x v="323"/>
    <x v="0"/>
    <x v="5"/>
    <n v="6"/>
    <n v="0"/>
    <n v="0"/>
  </r>
  <r>
    <x v="1"/>
    <x v="21"/>
    <x v="323"/>
    <x v="0"/>
    <x v="6"/>
    <n v="7"/>
    <n v="0"/>
    <n v="0"/>
  </r>
  <r>
    <x v="1"/>
    <x v="21"/>
    <x v="324"/>
    <x v="0"/>
    <x v="0"/>
    <n v="1"/>
    <n v="0"/>
    <n v="0"/>
  </r>
  <r>
    <x v="1"/>
    <x v="21"/>
    <x v="324"/>
    <x v="0"/>
    <x v="1"/>
    <n v="2"/>
    <n v="0"/>
    <n v="0"/>
  </r>
  <r>
    <x v="1"/>
    <x v="21"/>
    <x v="324"/>
    <x v="0"/>
    <x v="2"/>
    <n v="3"/>
    <n v="0"/>
    <n v="0"/>
  </r>
  <r>
    <x v="1"/>
    <x v="21"/>
    <x v="324"/>
    <x v="0"/>
    <x v="3"/>
    <n v="4"/>
    <n v="2.16"/>
    <n v="5400"/>
  </r>
  <r>
    <x v="1"/>
    <x v="21"/>
    <x v="324"/>
    <x v="0"/>
    <x v="4"/>
    <n v="5"/>
    <n v="0"/>
    <n v="0"/>
  </r>
  <r>
    <x v="1"/>
    <x v="21"/>
    <x v="324"/>
    <x v="0"/>
    <x v="5"/>
    <n v="6"/>
    <n v="0"/>
    <n v="0"/>
  </r>
  <r>
    <x v="1"/>
    <x v="21"/>
    <x v="324"/>
    <x v="0"/>
    <x v="6"/>
    <n v="7"/>
    <n v="0"/>
    <n v="0"/>
  </r>
  <r>
    <x v="1"/>
    <x v="21"/>
    <x v="325"/>
    <x v="0"/>
    <x v="0"/>
    <n v="1"/>
    <n v="0"/>
    <n v="0"/>
  </r>
  <r>
    <x v="1"/>
    <x v="21"/>
    <x v="325"/>
    <x v="0"/>
    <x v="1"/>
    <n v="2"/>
    <n v="0"/>
    <n v="0"/>
  </r>
  <r>
    <x v="1"/>
    <x v="21"/>
    <x v="325"/>
    <x v="0"/>
    <x v="2"/>
    <n v="3"/>
    <n v="0"/>
    <n v="0"/>
  </r>
  <r>
    <x v="1"/>
    <x v="21"/>
    <x v="325"/>
    <x v="0"/>
    <x v="3"/>
    <n v="4"/>
    <n v="7.92"/>
    <n v="19800"/>
  </r>
  <r>
    <x v="1"/>
    <x v="21"/>
    <x v="325"/>
    <x v="0"/>
    <x v="4"/>
    <n v="5"/>
    <n v="0"/>
    <n v="0"/>
  </r>
  <r>
    <x v="1"/>
    <x v="21"/>
    <x v="325"/>
    <x v="0"/>
    <x v="5"/>
    <n v="6"/>
    <n v="0"/>
    <n v="0"/>
  </r>
  <r>
    <x v="1"/>
    <x v="21"/>
    <x v="325"/>
    <x v="0"/>
    <x v="6"/>
    <n v="7"/>
    <n v="0"/>
    <n v="0"/>
  </r>
  <r>
    <x v="1"/>
    <x v="21"/>
    <x v="326"/>
    <x v="0"/>
    <x v="0"/>
    <n v="1"/>
    <n v="0"/>
    <n v="0"/>
  </r>
  <r>
    <x v="1"/>
    <x v="21"/>
    <x v="326"/>
    <x v="0"/>
    <x v="1"/>
    <n v="2"/>
    <n v="0"/>
    <n v="0"/>
  </r>
  <r>
    <x v="1"/>
    <x v="21"/>
    <x v="326"/>
    <x v="0"/>
    <x v="2"/>
    <n v="3"/>
    <n v="0"/>
    <n v="0"/>
  </r>
  <r>
    <x v="1"/>
    <x v="21"/>
    <x v="326"/>
    <x v="0"/>
    <x v="3"/>
    <n v="4"/>
    <n v="4.32"/>
    <n v="10800"/>
  </r>
  <r>
    <x v="1"/>
    <x v="21"/>
    <x v="326"/>
    <x v="0"/>
    <x v="4"/>
    <n v="5"/>
    <n v="0"/>
    <n v="0"/>
  </r>
  <r>
    <x v="1"/>
    <x v="21"/>
    <x v="326"/>
    <x v="0"/>
    <x v="5"/>
    <n v="6"/>
    <n v="0"/>
    <n v="0"/>
  </r>
  <r>
    <x v="1"/>
    <x v="21"/>
    <x v="326"/>
    <x v="0"/>
    <x v="6"/>
    <n v="7"/>
    <n v="0"/>
    <n v="0"/>
  </r>
  <r>
    <x v="1"/>
    <x v="21"/>
    <x v="327"/>
    <x v="0"/>
    <x v="0"/>
    <n v="1"/>
    <n v="0"/>
    <n v="0"/>
  </r>
  <r>
    <x v="1"/>
    <x v="21"/>
    <x v="327"/>
    <x v="0"/>
    <x v="1"/>
    <n v="2"/>
    <n v="0"/>
    <n v="0"/>
  </r>
  <r>
    <x v="1"/>
    <x v="21"/>
    <x v="327"/>
    <x v="0"/>
    <x v="2"/>
    <n v="3"/>
    <n v="0"/>
    <n v="0"/>
  </r>
  <r>
    <x v="1"/>
    <x v="21"/>
    <x v="327"/>
    <x v="0"/>
    <x v="3"/>
    <n v="4"/>
    <n v="6.48"/>
    <n v="16200"/>
  </r>
  <r>
    <x v="1"/>
    <x v="21"/>
    <x v="327"/>
    <x v="0"/>
    <x v="4"/>
    <n v="5"/>
    <n v="0"/>
    <n v="0"/>
  </r>
  <r>
    <x v="1"/>
    <x v="21"/>
    <x v="327"/>
    <x v="0"/>
    <x v="5"/>
    <n v="6"/>
    <n v="0"/>
    <n v="0"/>
  </r>
  <r>
    <x v="1"/>
    <x v="21"/>
    <x v="327"/>
    <x v="0"/>
    <x v="6"/>
    <n v="7"/>
    <n v="0"/>
    <n v="0"/>
  </r>
  <r>
    <x v="1"/>
    <x v="21"/>
    <x v="328"/>
    <x v="0"/>
    <x v="0"/>
    <n v="1"/>
    <n v="0"/>
    <n v="0"/>
  </r>
  <r>
    <x v="1"/>
    <x v="21"/>
    <x v="328"/>
    <x v="0"/>
    <x v="1"/>
    <n v="2"/>
    <n v="0"/>
    <n v="0"/>
  </r>
  <r>
    <x v="1"/>
    <x v="21"/>
    <x v="328"/>
    <x v="0"/>
    <x v="2"/>
    <n v="3"/>
    <n v="0"/>
    <n v="0"/>
  </r>
  <r>
    <x v="1"/>
    <x v="21"/>
    <x v="328"/>
    <x v="0"/>
    <x v="3"/>
    <n v="4"/>
    <n v="5.04"/>
    <n v="12600"/>
  </r>
  <r>
    <x v="1"/>
    <x v="21"/>
    <x v="328"/>
    <x v="0"/>
    <x v="4"/>
    <n v="5"/>
    <n v="0"/>
    <n v="0"/>
  </r>
  <r>
    <x v="1"/>
    <x v="21"/>
    <x v="328"/>
    <x v="0"/>
    <x v="5"/>
    <n v="6"/>
    <n v="0"/>
    <n v="0"/>
  </r>
  <r>
    <x v="1"/>
    <x v="21"/>
    <x v="328"/>
    <x v="0"/>
    <x v="6"/>
    <n v="7"/>
    <n v="0"/>
    <n v="0"/>
  </r>
  <r>
    <x v="1"/>
    <x v="21"/>
    <x v="329"/>
    <x v="0"/>
    <x v="0"/>
    <n v="1"/>
    <n v="0"/>
    <n v="0"/>
  </r>
  <r>
    <x v="1"/>
    <x v="21"/>
    <x v="329"/>
    <x v="0"/>
    <x v="1"/>
    <n v="2"/>
    <n v="0"/>
    <n v="0"/>
  </r>
  <r>
    <x v="1"/>
    <x v="21"/>
    <x v="329"/>
    <x v="0"/>
    <x v="2"/>
    <n v="3"/>
    <n v="0"/>
    <n v="0"/>
  </r>
  <r>
    <x v="1"/>
    <x v="21"/>
    <x v="329"/>
    <x v="0"/>
    <x v="3"/>
    <n v="4"/>
    <n v="2.88"/>
    <n v="7200"/>
  </r>
  <r>
    <x v="1"/>
    <x v="21"/>
    <x v="329"/>
    <x v="0"/>
    <x v="4"/>
    <n v="5"/>
    <n v="0"/>
    <n v="0"/>
  </r>
  <r>
    <x v="1"/>
    <x v="21"/>
    <x v="329"/>
    <x v="0"/>
    <x v="5"/>
    <n v="6"/>
    <n v="0"/>
    <n v="0"/>
  </r>
  <r>
    <x v="1"/>
    <x v="21"/>
    <x v="329"/>
    <x v="0"/>
    <x v="6"/>
    <n v="7"/>
    <n v="0"/>
    <n v="0"/>
  </r>
  <r>
    <x v="1"/>
    <x v="21"/>
    <x v="330"/>
    <x v="0"/>
    <x v="0"/>
    <n v="1"/>
    <n v="0"/>
    <n v="0"/>
  </r>
  <r>
    <x v="1"/>
    <x v="21"/>
    <x v="330"/>
    <x v="0"/>
    <x v="1"/>
    <n v="2"/>
    <n v="0"/>
    <n v="0"/>
  </r>
  <r>
    <x v="1"/>
    <x v="21"/>
    <x v="330"/>
    <x v="0"/>
    <x v="2"/>
    <n v="3"/>
    <n v="0"/>
    <n v="0"/>
  </r>
  <r>
    <x v="1"/>
    <x v="21"/>
    <x v="330"/>
    <x v="0"/>
    <x v="3"/>
    <n v="4"/>
    <n v="7.2"/>
    <n v="18000"/>
  </r>
  <r>
    <x v="1"/>
    <x v="21"/>
    <x v="330"/>
    <x v="0"/>
    <x v="4"/>
    <n v="5"/>
    <n v="0"/>
    <n v="0"/>
  </r>
  <r>
    <x v="1"/>
    <x v="21"/>
    <x v="330"/>
    <x v="0"/>
    <x v="5"/>
    <n v="6"/>
    <n v="0"/>
    <n v="0"/>
  </r>
  <r>
    <x v="1"/>
    <x v="21"/>
    <x v="330"/>
    <x v="0"/>
    <x v="6"/>
    <n v="7"/>
    <n v="0"/>
    <n v="0"/>
  </r>
  <r>
    <x v="1"/>
    <x v="21"/>
    <x v="331"/>
    <x v="0"/>
    <x v="0"/>
    <n v="1"/>
    <n v="0"/>
    <n v="0"/>
  </r>
  <r>
    <x v="1"/>
    <x v="21"/>
    <x v="331"/>
    <x v="0"/>
    <x v="1"/>
    <n v="2"/>
    <n v="0"/>
    <n v="0"/>
  </r>
  <r>
    <x v="1"/>
    <x v="21"/>
    <x v="331"/>
    <x v="0"/>
    <x v="2"/>
    <n v="3"/>
    <n v="0"/>
    <n v="0"/>
  </r>
  <r>
    <x v="1"/>
    <x v="21"/>
    <x v="331"/>
    <x v="0"/>
    <x v="3"/>
    <n v="4"/>
    <n v="8.64"/>
    <n v="21600"/>
  </r>
  <r>
    <x v="1"/>
    <x v="21"/>
    <x v="331"/>
    <x v="0"/>
    <x v="4"/>
    <n v="5"/>
    <n v="0"/>
    <n v="0"/>
  </r>
  <r>
    <x v="1"/>
    <x v="21"/>
    <x v="331"/>
    <x v="0"/>
    <x v="5"/>
    <n v="6"/>
    <n v="0"/>
    <n v="0"/>
  </r>
  <r>
    <x v="1"/>
    <x v="21"/>
    <x v="331"/>
    <x v="0"/>
    <x v="6"/>
    <n v="7"/>
    <n v="0"/>
    <n v="0"/>
  </r>
  <r>
    <x v="1"/>
    <x v="21"/>
    <x v="332"/>
    <x v="0"/>
    <x v="0"/>
    <n v="1"/>
    <n v="0"/>
    <n v="0"/>
  </r>
  <r>
    <x v="1"/>
    <x v="21"/>
    <x v="332"/>
    <x v="0"/>
    <x v="1"/>
    <n v="2"/>
    <n v="0"/>
    <n v="0"/>
  </r>
  <r>
    <x v="1"/>
    <x v="21"/>
    <x v="332"/>
    <x v="0"/>
    <x v="2"/>
    <n v="3"/>
    <n v="0"/>
    <n v="0"/>
  </r>
  <r>
    <x v="1"/>
    <x v="21"/>
    <x v="332"/>
    <x v="0"/>
    <x v="3"/>
    <n v="4"/>
    <n v="15.84"/>
    <n v="39600"/>
  </r>
  <r>
    <x v="1"/>
    <x v="21"/>
    <x v="332"/>
    <x v="0"/>
    <x v="4"/>
    <n v="5"/>
    <n v="0"/>
    <n v="0"/>
  </r>
  <r>
    <x v="1"/>
    <x v="21"/>
    <x v="332"/>
    <x v="0"/>
    <x v="5"/>
    <n v="6"/>
    <n v="0"/>
    <n v="0"/>
  </r>
  <r>
    <x v="1"/>
    <x v="21"/>
    <x v="332"/>
    <x v="0"/>
    <x v="6"/>
    <n v="7"/>
    <n v="0"/>
    <n v="0"/>
  </r>
  <r>
    <x v="2"/>
    <x v="6"/>
    <x v="82"/>
    <x v="1"/>
    <x v="0"/>
    <n v="1"/>
    <n v="0"/>
    <n v="0"/>
  </r>
  <r>
    <x v="2"/>
    <x v="6"/>
    <x v="82"/>
    <x v="1"/>
    <x v="1"/>
    <n v="2"/>
    <n v="280"/>
    <n v="28137.768028279654"/>
  </r>
  <r>
    <x v="2"/>
    <x v="6"/>
    <x v="82"/>
    <x v="1"/>
    <x v="2"/>
    <n v="3"/>
    <n v="275"/>
    <n v="45583.772004542872"/>
  </r>
  <r>
    <x v="2"/>
    <x v="6"/>
    <x v="82"/>
    <x v="1"/>
    <x v="3"/>
    <n v="4"/>
    <n v="29"/>
    <n v="24931.105172591448"/>
  </r>
  <r>
    <x v="2"/>
    <x v="6"/>
    <x v="82"/>
    <x v="1"/>
    <x v="4"/>
    <n v="5"/>
    <n v="28"/>
    <n v="28237.921304103431"/>
  </r>
  <r>
    <x v="2"/>
    <x v="6"/>
    <x v="82"/>
    <x v="1"/>
    <x v="5"/>
    <n v="6"/>
    <n v="268"/>
    <n v="61627.923430107527"/>
  </r>
  <r>
    <x v="2"/>
    <x v="6"/>
    <x v="82"/>
    <x v="1"/>
    <x v="6"/>
    <n v="7"/>
    <n v="102"/>
    <n v="80623.501677893437"/>
  </r>
  <r>
    <x v="2"/>
    <x v="6"/>
    <x v="86"/>
    <x v="1"/>
    <x v="0"/>
    <n v="1"/>
    <n v="0"/>
    <n v="0"/>
  </r>
  <r>
    <x v="2"/>
    <x v="6"/>
    <x v="86"/>
    <x v="1"/>
    <x v="1"/>
    <n v="2"/>
    <n v="130"/>
    <n v="13063.963727415554"/>
  </r>
  <r>
    <x v="2"/>
    <x v="6"/>
    <x v="86"/>
    <x v="1"/>
    <x v="2"/>
    <n v="3"/>
    <n v="174"/>
    <n v="28842.095741056219"/>
  </r>
  <r>
    <x v="2"/>
    <x v="6"/>
    <x v="86"/>
    <x v="1"/>
    <x v="3"/>
    <n v="4"/>
    <n v="38"/>
    <n v="32668.344708912929"/>
  </r>
  <r>
    <x v="2"/>
    <x v="6"/>
    <x v="86"/>
    <x v="1"/>
    <x v="4"/>
    <n v="5"/>
    <n v="14"/>
    <n v="14118.960652051715"/>
  </r>
  <r>
    <x v="2"/>
    <x v="6"/>
    <x v="86"/>
    <x v="1"/>
    <x v="5"/>
    <n v="6"/>
    <n v="134"/>
    <n v="30813.961715053763"/>
  </r>
  <r>
    <x v="2"/>
    <x v="6"/>
    <x v="86"/>
    <x v="1"/>
    <x v="6"/>
    <n v="7"/>
    <n v="42"/>
    <n v="33197.912455603182"/>
  </r>
  <r>
    <x v="2"/>
    <x v="6"/>
    <x v="89"/>
    <x v="1"/>
    <x v="0"/>
    <n v="1"/>
    <n v="0"/>
    <n v="0"/>
  </r>
  <r>
    <x v="2"/>
    <x v="6"/>
    <x v="89"/>
    <x v="1"/>
    <x v="1"/>
    <n v="2"/>
    <n v="354"/>
    <n v="35574.178150039275"/>
  </r>
  <r>
    <x v="2"/>
    <x v="6"/>
    <x v="89"/>
    <x v="1"/>
    <x v="2"/>
    <n v="3"/>
    <n v="373"/>
    <n v="61828.1707552527"/>
  </r>
  <r>
    <x v="2"/>
    <x v="6"/>
    <x v="89"/>
    <x v="1"/>
    <x v="3"/>
    <n v="4"/>
    <n v="39"/>
    <n v="33528.037990726429"/>
  </r>
  <r>
    <x v="2"/>
    <x v="6"/>
    <x v="89"/>
    <x v="1"/>
    <x v="4"/>
    <n v="5"/>
    <n v="9"/>
    <n v="9076.4747048903882"/>
  </r>
  <r>
    <x v="2"/>
    <x v="6"/>
    <x v="89"/>
    <x v="1"/>
    <x v="5"/>
    <n v="6"/>
    <n v="377"/>
    <n v="86693.011690860207"/>
  </r>
  <r>
    <x v="2"/>
    <x v="6"/>
    <x v="89"/>
    <x v="1"/>
    <x v="6"/>
    <n v="7"/>
    <n v="202"/>
    <n v="159666.15038171053"/>
  </r>
  <r>
    <x v="2"/>
    <x v="6"/>
    <x v="85"/>
    <x v="1"/>
    <x v="0"/>
    <n v="1"/>
    <n v="0"/>
    <n v="0"/>
  </r>
  <r>
    <x v="2"/>
    <x v="6"/>
    <x v="85"/>
    <x v="1"/>
    <x v="1"/>
    <n v="2"/>
    <n v="204"/>
    <n v="20500.373849175176"/>
  </r>
  <r>
    <x v="2"/>
    <x v="6"/>
    <x v="85"/>
    <x v="1"/>
    <x v="2"/>
    <n v="3"/>
    <n v="171"/>
    <n v="28344.818228279386"/>
  </r>
  <r>
    <x v="2"/>
    <x v="6"/>
    <x v="85"/>
    <x v="1"/>
    <x v="3"/>
    <n v="4"/>
    <n v="12"/>
    <n v="10316.319381761978"/>
  </r>
  <r>
    <x v="2"/>
    <x v="6"/>
    <x v="85"/>
    <x v="1"/>
    <x v="4"/>
    <n v="5"/>
    <n v="5"/>
    <n v="5042.4859471613272"/>
  </r>
  <r>
    <x v="2"/>
    <x v="6"/>
    <x v="85"/>
    <x v="1"/>
    <x v="5"/>
    <n v="6"/>
    <n v="123"/>
    <n v="28284.457395161287"/>
  </r>
  <r>
    <x v="2"/>
    <x v="6"/>
    <x v="85"/>
    <x v="1"/>
    <x v="6"/>
    <n v="7"/>
    <n v="53"/>
    <n v="41892.603813023059"/>
  </r>
  <r>
    <x v="2"/>
    <x v="6"/>
    <x v="78"/>
    <x v="1"/>
    <x v="0"/>
    <n v="1"/>
    <n v="0"/>
    <n v="0"/>
  </r>
  <r>
    <x v="2"/>
    <x v="6"/>
    <x v="78"/>
    <x v="1"/>
    <x v="1"/>
    <n v="2"/>
    <n v="108"/>
    <n v="10853.139096622153"/>
  </r>
  <r>
    <x v="2"/>
    <x v="6"/>
    <x v="78"/>
    <x v="1"/>
    <x v="2"/>
    <n v="3"/>
    <n v="167"/>
    <n v="27681.781544576945"/>
  </r>
  <r>
    <x v="2"/>
    <x v="6"/>
    <x v="78"/>
    <x v="1"/>
    <x v="3"/>
    <n v="4"/>
    <n v="15"/>
    <n v="12895.399227202473"/>
  </r>
  <r>
    <x v="2"/>
    <x v="6"/>
    <x v="78"/>
    <x v="1"/>
    <x v="4"/>
    <n v="5"/>
    <n v="8"/>
    <n v="8067.977515458123"/>
  </r>
  <r>
    <x v="2"/>
    <x v="6"/>
    <x v="78"/>
    <x v="1"/>
    <x v="5"/>
    <n v="6"/>
    <n v="125"/>
    <n v="28744.367271505376"/>
  </r>
  <r>
    <x v="2"/>
    <x v="6"/>
    <x v="78"/>
    <x v="1"/>
    <x v="6"/>
    <n v="7"/>
    <n v="11"/>
    <n v="8694.6913574198807"/>
  </r>
  <r>
    <x v="2"/>
    <x v="6"/>
    <x v="77"/>
    <x v="1"/>
    <x v="0"/>
    <n v="1"/>
    <n v="0"/>
    <n v="0"/>
  </r>
  <r>
    <x v="2"/>
    <x v="6"/>
    <x v="77"/>
    <x v="1"/>
    <x v="1"/>
    <n v="2"/>
    <n v="967"/>
    <n v="97175.791726237236"/>
  </r>
  <r>
    <x v="2"/>
    <x v="6"/>
    <x v="77"/>
    <x v="1"/>
    <x v="2"/>
    <n v="3"/>
    <n v="946"/>
    <n v="156808.17569562749"/>
  </r>
  <r>
    <x v="2"/>
    <x v="6"/>
    <x v="77"/>
    <x v="1"/>
    <x v="3"/>
    <n v="4"/>
    <n v="153"/>
    <n v="131533.07211746523"/>
  </r>
  <r>
    <x v="2"/>
    <x v="6"/>
    <x v="77"/>
    <x v="1"/>
    <x v="4"/>
    <n v="5"/>
    <n v="247"/>
    <n v="249098.80578976954"/>
  </r>
  <r>
    <x v="2"/>
    <x v="6"/>
    <x v="77"/>
    <x v="1"/>
    <x v="5"/>
    <n v="6"/>
    <n v="990"/>
    <n v="227655.38879032258"/>
  </r>
  <r>
    <x v="2"/>
    <x v="6"/>
    <x v="77"/>
    <x v="1"/>
    <x v="6"/>
    <n v="7"/>
    <n v="463"/>
    <n v="365967.46349867317"/>
  </r>
  <r>
    <x v="2"/>
    <x v="6"/>
    <x v="74"/>
    <x v="1"/>
    <x v="0"/>
    <n v="1"/>
    <n v="0"/>
    <n v="0"/>
  </r>
  <r>
    <x v="2"/>
    <x v="6"/>
    <x v="74"/>
    <x v="1"/>
    <x v="1"/>
    <n v="2"/>
    <n v="0"/>
    <n v="0"/>
  </r>
  <r>
    <x v="2"/>
    <x v="6"/>
    <x v="74"/>
    <x v="1"/>
    <x v="2"/>
    <n v="3"/>
    <n v="0"/>
    <n v="0"/>
  </r>
  <r>
    <x v="2"/>
    <x v="6"/>
    <x v="74"/>
    <x v="1"/>
    <x v="3"/>
    <n v="4"/>
    <n v="0"/>
    <n v="0"/>
  </r>
  <r>
    <x v="2"/>
    <x v="6"/>
    <x v="74"/>
    <x v="1"/>
    <x v="4"/>
    <n v="5"/>
    <n v="0"/>
    <n v="0"/>
  </r>
  <r>
    <x v="2"/>
    <x v="6"/>
    <x v="74"/>
    <x v="1"/>
    <x v="5"/>
    <n v="6"/>
    <n v="4"/>
    <n v="919.819752688172"/>
  </r>
  <r>
    <x v="2"/>
    <x v="6"/>
    <x v="74"/>
    <x v="1"/>
    <x v="6"/>
    <n v="7"/>
    <n v="33"/>
    <n v="26084.074072259642"/>
  </r>
  <r>
    <x v="2"/>
    <x v="22"/>
    <x v="158"/>
    <x v="1"/>
    <x v="0"/>
    <n v="1"/>
    <n v="0"/>
    <n v="0"/>
  </r>
  <r>
    <x v="2"/>
    <x v="22"/>
    <x v="158"/>
    <x v="1"/>
    <x v="1"/>
    <n v="2"/>
    <n v="99"/>
    <n v="9948.7108385703068"/>
  </r>
  <r>
    <x v="2"/>
    <x v="22"/>
    <x v="158"/>
    <x v="1"/>
    <x v="2"/>
    <n v="3"/>
    <n v="93"/>
    <n v="15415.602896081771"/>
  </r>
  <r>
    <x v="2"/>
    <x v="22"/>
    <x v="158"/>
    <x v="1"/>
    <x v="3"/>
    <n v="4"/>
    <n v="20"/>
    <n v="17193.865636269962"/>
  </r>
  <r>
    <x v="2"/>
    <x v="22"/>
    <x v="158"/>
    <x v="1"/>
    <x v="4"/>
    <n v="5"/>
    <n v="0"/>
    <n v="0"/>
  </r>
  <r>
    <x v="2"/>
    <x v="22"/>
    <x v="158"/>
    <x v="1"/>
    <x v="5"/>
    <n v="6"/>
    <n v="120"/>
    <n v="27594.59258064516"/>
  </r>
  <r>
    <x v="2"/>
    <x v="22"/>
    <x v="158"/>
    <x v="1"/>
    <x v="6"/>
    <n v="7"/>
    <n v="0"/>
    <n v="0"/>
  </r>
  <r>
    <x v="2"/>
    <x v="22"/>
    <x v="98"/>
    <x v="1"/>
    <x v="0"/>
    <n v="1"/>
    <n v="0"/>
    <n v="0"/>
  </r>
  <r>
    <x v="2"/>
    <x v="22"/>
    <x v="98"/>
    <x v="1"/>
    <x v="1"/>
    <n v="2"/>
    <n v="13"/>
    <n v="1306.3963727415553"/>
  </r>
  <r>
    <x v="2"/>
    <x v="22"/>
    <x v="98"/>
    <x v="1"/>
    <x v="2"/>
    <n v="3"/>
    <n v="7"/>
    <n v="1160.3141964792731"/>
  </r>
  <r>
    <x v="2"/>
    <x v="22"/>
    <x v="98"/>
    <x v="1"/>
    <x v="3"/>
    <n v="4"/>
    <n v="4"/>
    <n v="3438.7731272539927"/>
  </r>
  <r>
    <x v="2"/>
    <x v="22"/>
    <x v="98"/>
    <x v="1"/>
    <x v="4"/>
    <n v="5"/>
    <n v="0"/>
    <n v="0"/>
  </r>
  <r>
    <x v="2"/>
    <x v="22"/>
    <x v="98"/>
    <x v="1"/>
    <x v="5"/>
    <n v="6"/>
    <n v="0"/>
    <n v="0"/>
  </r>
  <r>
    <x v="2"/>
    <x v="22"/>
    <x v="98"/>
    <x v="1"/>
    <x v="6"/>
    <n v="7"/>
    <n v="9"/>
    <n v="7113.8383833435391"/>
  </r>
  <r>
    <x v="2"/>
    <x v="22"/>
    <x v="155"/>
    <x v="1"/>
    <x v="0"/>
    <n v="1"/>
    <n v="0"/>
    <n v="0"/>
  </r>
  <r>
    <x v="2"/>
    <x v="22"/>
    <x v="155"/>
    <x v="1"/>
    <x v="1"/>
    <n v="2"/>
    <n v="101"/>
    <n v="10149.694895915161"/>
  </r>
  <r>
    <x v="2"/>
    <x v="22"/>
    <x v="155"/>
    <x v="1"/>
    <x v="2"/>
    <n v="3"/>
    <n v="94"/>
    <n v="15581.362067007381"/>
  </r>
  <r>
    <x v="2"/>
    <x v="22"/>
    <x v="155"/>
    <x v="1"/>
    <x v="3"/>
    <n v="4"/>
    <n v="0"/>
    <n v="0"/>
  </r>
  <r>
    <x v="2"/>
    <x v="22"/>
    <x v="155"/>
    <x v="1"/>
    <x v="4"/>
    <n v="5"/>
    <n v="0"/>
    <n v="0"/>
  </r>
  <r>
    <x v="2"/>
    <x v="22"/>
    <x v="155"/>
    <x v="1"/>
    <x v="5"/>
    <n v="6"/>
    <n v="120"/>
    <n v="27594.59258064516"/>
  </r>
  <r>
    <x v="2"/>
    <x v="22"/>
    <x v="155"/>
    <x v="1"/>
    <x v="6"/>
    <n v="7"/>
    <n v="0"/>
    <n v="0"/>
  </r>
  <r>
    <x v="2"/>
    <x v="22"/>
    <x v="162"/>
    <x v="1"/>
    <x v="0"/>
    <n v="1"/>
    <n v="0"/>
    <n v="0"/>
  </r>
  <r>
    <x v="2"/>
    <x v="22"/>
    <x v="162"/>
    <x v="1"/>
    <x v="1"/>
    <n v="2"/>
    <n v="125"/>
    <n v="12561.503584053416"/>
  </r>
  <r>
    <x v="2"/>
    <x v="22"/>
    <x v="162"/>
    <x v="1"/>
    <x v="2"/>
    <n v="3"/>
    <n v="160"/>
    <n v="26521.467348097671"/>
  </r>
  <r>
    <x v="2"/>
    <x v="22"/>
    <x v="162"/>
    <x v="1"/>
    <x v="3"/>
    <n v="4"/>
    <n v="21"/>
    <n v="18053.558918083461"/>
  </r>
  <r>
    <x v="2"/>
    <x v="22"/>
    <x v="162"/>
    <x v="1"/>
    <x v="4"/>
    <n v="5"/>
    <n v="0"/>
    <n v="0"/>
  </r>
  <r>
    <x v="2"/>
    <x v="22"/>
    <x v="162"/>
    <x v="1"/>
    <x v="5"/>
    <n v="6"/>
    <n v="120"/>
    <n v="27594.59258064516"/>
  </r>
  <r>
    <x v="2"/>
    <x v="22"/>
    <x v="162"/>
    <x v="1"/>
    <x v="6"/>
    <n v="7"/>
    <n v="0"/>
    <n v="0"/>
  </r>
  <r>
    <x v="2"/>
    <x v="0"/>
    <x v="3"/>
    <x v="1"/>
    <x v="0"/>
    <n v="1"/>
    <n v="0"/>
    <n v="0"/>
  </r>
  <r>
    <x v="2"/>
    <x v="0"/>
    <x v="3"/>
    <x v="1"/>
    <x v="1"/>
    <n v="2"/>
    <n v="10"/>
    <n v="1004.9202867242734"/>
  </r>
  <r>
    <x v="2"/>
    <x v="0"/>
    <x v="3"/>
    <x v="1"/>
    <x v="2"/>
    <n v="3"/>
    <n v="150"/>
    <n v="24863.875638841568"/>
  </r>
  <r>
    <x v="2"/>
    <x v="0"/>
    <x v="3"/>
    <x v="1"/>
    <x v="3"/>
    <n v="4"/>
    <n v="3"/>
    <n v="2579.0798454404944"/>
  </r>
  <r>
    <x v="2"/>
    <x v="0"/>
    <x v="3"/>
    <x v="1"/>
    <x v="4"/>
    <n v="5"/>
    <n v="7"/>
    <n v="7059.4803260258577"/>
  </r>
  <r>
    <x v="2"/>
    <x v="0"/>
    <x v="3"/>
    <x v="1"/>
    <x v="5"/>
    <n v="6"/>
    <n v="6"/>
    <n v="1379.7296290322579"/>
  </r>
  <r>
    <x v="2"/>
    <x v="0"/>
    <x v="3"/>
    <x v="1"/>
    <x v="6"/>
    <n v="7"/>
    <n v="3"/>
    <n v="2371.2794611145127"/>
  </r>
  <r>
    <x v="2"/>
    <x v="0"/>
    <x v="334"/>
    <x v="1"/>
    <x v="0"/>
    <n v="1"/>
    <n v="0"/>
    <n v="0"/>
  </r>
  <r>
    <x v="2"/>
    <x v="0"/>
    <x v="334"/>
    <x v="1"/>
    <x v="1"/>
    <n v="2"/>
    <n v="0"/>
    <n v="0"/>
  </r>
  <r>
    <x v="2"/>
    <x v="0"/>
    <x v="334"/>
    <x v="1"/>
    <x v="2"/>
    <n v="3"/>
    <n v="39"/>
    <n v="6464.6076660988074"/>
  </r>
  <r>
    <x v="2"/>
    <x v="0"/>
    <x v="334"/>
    <x v="1"/>
    <x v="3"/>
    <n v="4"/>
    <n v="18"/>
    <n v="15474.479072642967"/>
  </r>
  <r>
    <x v="2"/>
    <x v="0"/>
    <x v="334"/>
    <x v="1"/>
    <x v="4"/>
    <n v="5"/>
    <n v="10"/>
    <n v="10084.971894322654"/>
  </r>
  <r>
    <x v="2"/>
    <x v="0"/>
    <x v="334"/>
    <x v="1"/>
    <x v="5"/>
    <n v="6"/>
    <n v="3"/>
    <n v="689.86481451612894"/>
  </r>
  <r>
    <x v="2"/>
    <x v="0"/>
    <x v="334"/>
    <x v="1"/>
    <x v="6"/>
    <n v="7"/>
    <n v="5"/>
    <n v="3952.1324351908552"/>
  </r>
  <r>
    <x v="2"/>
    <x v="0"/>
    <x v="8"/>
    <x v="1"/>
    <x v="0"/>
    <n v="1"/>
    <n v="0"/>
    <n v="0"/>
  </r>
  <r>
    <x v="2"/>
    <x v="0"/>
    <x v="8"/>
    <x v="1"/>
    <x v="1"/>
    <n v="2"/>
    <n v="21"/>
    <n v="2110.3326021209741"/>
  </r>
  <r>
    <x v="2"/>
    <x v="0"/>
    <x v="8"/>
    <x v="1"/>
    <x v="2"/>
    <n v="3"/>
    <n v="95"/>
    <n v="15747.121237932992"/>
  </r>
  <r>
    <x v="2"/>
    <x v="0"/>
    <x v="8"/>
    <x v="1"/>
    <x v="3"/>
    <n v="4"/>
    <n v="0"/>
    <n v="0"/>
  </r>
  <r>
    <x v="2"/>
    <x v="0"/>
    <x v="8"/>
    <x v="1"/>
    <x v="4"/>
    <n v="5"/>
    <n v="13"/>
    <n v="13110.463462619449"/>
  </r>
  <r>
    <x v="2"/>
    <x v="0"/>
    <x v="8"/>
    <x v="1"/>
    <x v="5"/>
    <n v="6"/>
    <n v="0"/>
    <n v="0"/>
  </r>
  <r>
    <x v="2"/>
    <x v="0"/>
    <x v="8"/>
    <x v="1"/>
    <x v="6"/>
    <n v="7"/>
    <n v="26"/>
    <n v="20551.088662992446"/>
  </r>
  <r>
    <x v="2"/>
    <x v="0"/>
    <x v="15"/>
    <x v="1"/>
    <x v="0"/>
    <n v="1"/>
    <n v="0"/>
    <n v="0"/>
  </r>
  <r>
    <x v="2"/>
    <x v="0"/>
    <x v="15"/>
    <x v="1"/>
    <x v="1"/>
    <n v="2"/>
    <n v="0"/>
    <n v="0"/>
  </r>
  <r>
    <x v="2"/>
    <x v="0"/>
    <x v="15"/>
    <x v="1"/>
    <x v="2"/>
    <n v="3"/>
    <n v="0"/>
    <n v="0"/>
  </r>
  <r>
    <x v="2"/>
    <x v="0"/>
    <x v="15"/>
    <x v="1"/>
    <x v="3"/>
    <n v="4"/>
    <n v="0"/>
    <n v="0"/>
  </r>
  <r>
    <x v="2"/>
    <x v="0"/>
    <x v="15"/>
    <x v="1"/>
    <x v="4"/>
    <n v="5"/>
    <n v="0"/>
    <n v="0"/>
  </r>
  <r>
    <x v="2"/>
    <x v="0"/>
    <x v="15"/>
    <x v="1"/>
    <x v="5"/>
    <n v="6"/>
    <n v="0"/>
    <n v="0"/>
  </r>
  <r>
    <x v="2"/>
    <x v="0"/>
    <x v="15"/>
    <x v="1"/>
    <x v="6"/>
    <n v="7"/>
    <n v="1"/>
    <n v="790.42648703817099"/>
  </r>
  <r>
    <x v="2"/>
    <x v="0"/>
    <x v="10"/>
    <x v="1"/>
    <x v="0"/>
    <n v="1"/>
    <n v="0"/>
    <n v="0"/>
  </r>
  <r>
    <x v="2"/>
    <x v="0"/>
    <x v="10"/>
    <x v="1"/>
    <x v="1"/>
    <n v="2"/>
    <n v="0"/>
    <n v="0"/>
  </r>
  <r>
    <x v="2"/>
    <x v="0"/>
    <x v="10"/>
    <x v="1"/>
    <x v="2"/>
    <n v="3"/>
    <n v="0"/>
    <n v="0"/>
  </r>
  <r>
    <x v="2"/>
    <x v="0"/>
    <x v="10"/>
    <x v="1"/>
    <x v="3"/>
    <n v="4"/>
    <n v="0"/>
    <n v="0"/>
  </r>
  <r>
    <x v="2"/>
    <x v="0"/>
    <x v="10"/>
    <x v="1"/>
    <x v="4"/>
    <n v="5"/>
    <n v="0"/>
    <n v="0"/>
  </r>
  <r>
    <x v="2"/>
    <x v="0"/>
    <x v="10"/>
    <x v="1"/>
    <x v="5"/>
    <n v="6"/>
    <n v="0"/>
    <n v="0"/>
  </r>
  <r>
    <x v="2"/>
    <x v="0"/>
    <x v="10"/>
    <x v="1"/>
    <x v="6"/>
    <n v="7"/>
    <n v="1"/>
    <n v="790.42648703817099"/>
  </r>
  <r>
    <x v="2"/>
    <x v="0"/>
    <x v="14"/>
    <x v="1"/>
    <x v="0"/>
    <n v="1"/>
    <n v="0"/>
    <n v="0"/>
  </r>
  <r>
    <x v="2"/>
    <x v="0"/>
    <x v="14"/>
    <x v="1"/>
    <x v="1"/>
    <n v="2"/>
    <n v="0"/>
    <n v="0"/>
  </r>
  <r>
    <x v="2"/>
    <x v="0"/>
    <x v="14"/>
    <x v="1"/>
    <x v="2"/>
    <n v="3"/>
    <n v="0"/>
    <n v="0"/>
  </r>
  <r>
    <x v="2"/>
    <x v="0"/>
    <x v="14"/>
    <x v="1"/>
    <x v="3"/>
    <n v="4"/>
    <n v="0"/>
    <n v="0"/>
  </r>
  <r>
    <x v="2"/>
    <x v="0"/>
    <x v="14"/>
    <x v="1"/>
    <x v="4"/>
    <n v="5"/>
    <n v="0"/>
    <n v="0"/>
  </r>
  <r>
    <x v="2"/>
    <x v="0"/>
    <x v="14"/>
    <x v="1"/>
    <x v="5"/>
    <n v="6"/>
    <n v="0"/>
    <n v="0"/>
  </r>
  <r>
    <x v="2"/>
    <x v="0"/>
    <x v="14"/>
    <x v="1"/>
    <x v="6"/>
    <n v="7"/>
    <n v="1"/>
    <n v="790.42648703817099"/>
  </r>
  <r>
    <x v="2"/>
    <x v="1"/>
    <x v="20"/>
    <x v="1"/>
    <x v="0"/>
    <n v="1"/>
    <n v="0"/>
    <n v="0"/>
  </r>
  <r>
    <x v="2"/>
    <x v="1"/>
    <x v="20"/>
    <x v="1"/>
    <x v="1"/>
    <n v="2"/>
    <n v="4"/>
    <n v="401.96811468970935"/>
  </r>
  <r>
    <x v="2"/>
    <x v="1"/>
    <x v="20"/>
    <x v="1"/>
    <x v="2"/>
    <n v="3"/>
    <n v="20"/>
    <n v="3315.1834185122088"/>
  </r>
  <r>
    <x v="2"/>
    <x v="1"/>
    <x v="20"/>
    <x v="1"/>
    <x v="3"/>
    <n v="4"/>
    <n v="11"/>
    <n v="9456.6260999484803"/>
  </r>
  <r>
    <x v="2"/>
    <x v="1"/>
    <x v="20"/>
    <x v="1"/>
    <x v="4"/>
    <n v="5"/>
    <n v="60"/>
    <n v="60509.831365935919"/>
  </r>
  <r>
    <x v="2"/>
    <x v="1"/>
    <x v="20"/>
    <x v="1"/>
    <x v="5"/>
    <n v="6"/>
    <n v="35"/>
    <n v="8048.4228360215047"/>
  </r>
  <r>
    <x v="2"/>
    <x v="1"/>
    <x v="20"/>
    <x v="1"/>
    <x v="6"/>
    <n v="7"/>
    <n v="25"/>
    <n v="19760.662175954276"/>
  </r>
  <r>
    <x v="2"/>
    <x v="1"/>
    <x v="21"/>
    <x v="1"/>
    <x v="0"/>
    <n v="1"/>
    <n v="0"/>
    <n v="0"/>
  </r>
  <r>
    <x v="2"/>
    <x v="1"/>
    <x v="21"/>
    <x v="1"/>
    <x v="1"/>
    <n v="2"/>
    <n v="0"/>
    <n v="0"/>
  </r>
  <r>
    <x v="2"/>
    <x v="1"/>
    <x v="21"/>
    <x v="1"/>
    <x v="2"/>
    <n v="3"/>
    <n v="36"/>
    <n v="5967.3301533219765"/>
  </r>
  <r>
    <x v="2"/>
    <x v="1"/>
    <x v="21"/>
    <x v="1"/>
    <x v="3"/>
    <n v="4"/>
    <n v="18"/>
    <n v="15474.479072642967"/>
  </r>
  <r>
    <x v="2"/>
    <x v="1"/>
    <x v="21"/>
    <x v="1"/>
    <x v="4"/>
    <n v="5"/>
    <n v="9"/>
    <n v="9076.4747048903882"/>
  </r>
  <r>
    <x v="2"/>
    <x v="1"/>
    <x v="21"/>
    <x v="1"/>
    <x v="5"/>
    <n v="6"/>
    <n v="134"/>
    <n v="30813.961715053763"/>
  </r>
  <r>
    <x v="2"/>
    <x v="1"/>
    <x v="21"/>
    <x v="1"/>
    <x v="6"/>
    <n v="7"/>
    <n v="14"/>
    <n v="11065.970818534393"/>
  </r>
  <r>
    <x v="2"/>
    <x v="1"/>
    <x v="22"/>
    <x v="1"/>
    <x v="0"/>
    <n v="1"/>
    <n v="0"/>
    <n v="0"/>
  </r>
  <r>
    <x v="2"/>
    <x v="1"/>
    <x v="22"/>
    <x v="1"/>
    <x v="1"/>
    <n v="2"/>
    <n v="8"/>
    <n v="803.93622937941871"/>
  </r>
  <r>
    <x v="2"/>
    <x v="1"/>
    <x v="22"/>
    <x v="1"/>
    <x v="2"/>
    <n v="3"/>
    <n v="38"/>
    <n v="6298.8484951731971"/>
  </r>
  <r>
    <x v="2"/>
    <x v="1"/>
    <x v="22"/>
    <x v="1"/>
    <x v="3"/>
    <n v="4"/>
    <n v="8"/>
    <n v="6877.5462545079854"/>
  </r>
  <r>
    <x v="2"/>
    <x v="1"/>
    <x v="22"/>
    <x v="1"/>
    <x v="4"/>
    <n v="5"/>
    <n v="0"/>
    <n v="0"/>
  </r>
  <r>
    <x v="2"/>
    <x v="1"/>
    <x v="22"/>
    <x v="1"/>
    <x v="5"/>
    <n v="6"/>
    <n v="22"/>
    <n v="5059.0086397849464"/>
  </r>
  <r>
    <x v="2"/>
    <x v="1"/>
    <x v="22"/>
    <x v="1"/>
    <x v="6"/>
    <n v="7"/>
    <n v="16"/>
    <n v="12646.823792610736"/>
  </r>
  <r>
    <x v="2"/>
    <x v="1"/>
    <x v="23"/>
    <x v="1"/>
    <x v="0"/>
    <n v="1"/>
    <n v="0"/>
    <n v="0"/>
  </r>
  <r>
    <x v="2"/>
    <x v="1"/>
    <x v="23"/>
    <x v="1"/>
    <x v="1"/>
    <n v="2"/>
    <n v="0"/>
    <n v="0"/>
  </r>
  <r>
    <x v="2"/>
    <x v="1"/>
    <x v="23"/>
    <x v="1"/>
    <x v="2"/>
    <n v="3"/>
    <n v="0"/>
    <n v="0"/>
  </r>
  <r>
    <x v="2"/>
    <x v="1"/>
    <x v="23"/>
    <x v="1"/>
    <x v="3"/>
    <n v="4"/>
    <n v="0"/>
    <n v="0"/>
  </r>
  <r>
    <x v="2"/>
    <x v="1"/>
    <x v="23"/>
    <x v="1"/>
    <x v="4"/>
    <n v="5"/>
    <n v="0"/>
    <n v="0"/>
  </r>
  <r>
    <x v="2"/>
    <x v="1"/>
    <x v="23"/>
    <x v="1"/>
    <x v="5"/>
    <n v="6"/>
    <n v="0"/>
    <n v="0"/>
  </r>
  <r>
    <x v="2"/>
    <x v="1"/>
    <x v="23"/>
    <x v="1"/>
    <x v="6"/>
    <n v="7"/>
    <n v="1"/>
    <n v="790.42648703817099"/>
  </r>
  <r>
    <x v="2"/>
    <x v="1"/>
    <x v="24"/>
    <x v="1"/>
    <x v="0"/>
    <n v="1"/>
    <n v="0"/>
    <n v="0"/>
  </r>
  <r>
    <x v="2"/>
    <x v="1"/>
    <x v="24"/>
    <x v="1"/>
    <x v="1"/>
    <n v="2"/>
    <n v="0"/>
    <n v="0"/>
  </r>
  <r>
    <x v="2"/>
    <x v="1"/>
    <x v="24"/>
    <x v="1"/>
    <x v="2"/>
    <n v="3"/>
    <n v="0"/>
    <n v="0"/>
  </r>
  <r>
    <x v="2"/>
    <x v="1"/>
    <x v="24"/>
    <x v="1"/>
    <x v="3"/>
    <n v="4"/>
    <n v="0"/>
    <n v="0"/>
  </r>
  <r>
    <x v="2"/>
    <x v="1"/>
    <x v="24"/>
    <x v="1"/>
    <x v="4"/>
    <n v="5"/>
    <n v="0"/>
    <n v="0"/>
  </r>
  <r>
    <x v="2"/>
    <x v="1"/>
    <x v="24"/>
    <x v="1"/>
    <x v="5"/>
    <n v="6"/>
    <n v="0"/>
    <n v="0"/>
  </r>
  <r>
    <x v="2"/>
    <x v="1"/>
    <x v="24"/>
    <x v="1"/>
    <x v="6"/>
    <n v="7"/>
    <n v="4"/>
    <n v="3161.705948152684"/>
  </r>
  <r>
    <x v="2"/>
    <x v="8"/>
    <x v="123"/>
    <x v="1"/>
    <x v="0"/>
    <n v="1"/>
    <n v="0"/>
    <n v="0"/>
  </r>
  <r>
    <x v="2"/>
    <x v="8"/>
    <x v="123"/>
    <x v="1"/>
    <x v="1"/>
    <n v="2"/>
    <n v="52"/>
    <n v="5225.5854909662212"/>
  </r>
  <r>
    <x v="2"/>
    <x v="8"/>
    <x v="123"/>
    <x v="1"/>
    <x v="2"/>
    <n v="3"/>
    <n v="243"/>
    <n v="40279.478534923335"/>
  </r>
  <r>
    <x v="2"/>
    <x v="8"/>
    <x v="123"/>
    <x v="1"/>
    <x v="3"/>
    <n v="4"/>
    <n v="25"/>
    <n v="21492.332045337454"/>
  </r>
  <r>
    <x v="2"/>
    <x v="8"/>
    <x v="123"/>
    <x v="1"/>
    <x v="4"/>
    <n v="5"/>
    <n v="12"/>
    <n v="12101.966273187185"/>
  </r>
  <r>
    <x v="2"/>
    <x v="8"/>
    <x v="123"/>
    <x v="1"/>
    <x v="5"/>
    <n v="6"/>
    <n v="8"/>
    <n v="1839.639505376344"/>
  </r>
  <r>
    <x v="2"/>
    <x v="8"/>
    <x v="123"/>
    <x v="1"/>
    <x v="6"/>
    <n v="7"/>
    <n v="36"/>
    <n v="28455.353533374157"/>
  </r>
  <r>
    <x v="2"/>
    <x v="8"/>
    <x v="122"/>
    <x v="1"/>
    <x v="0"/>
    <n v="1"/>
    <n v="0"/>
    <n v="0"/>
  </r>
  <r>
    <x v="2"/>
    <x v="8"/>
    <x v="122"/>
    <x v="1"/>
    <x v="1"/>
    <n v="2"/>
    <n v="30"/>
    <n v="3014.7608601728202"/>
  </r>
  <r>
    <x v="2"/>
    <x v="8"/>
    <x v="122"/>
    <x v="1"/>
    <x v="2"/>
    <n v="3"/>
    <n v="32"/>
    <n v="5304.2934696195343"/>
  </r>
  <r>
    <x v="2"/>
    <x v="8"/>
    <x v="122"/>
    <x v="1"/>
    <x v="3"/>
    <n v="4"/>
    <n v="4"/>
    <n v="3438.7731272539927"/>
  </r>
  <r>
    <x v="2"/>
    <x v="8"/>
    <x v="122"/>
    <x v="1"/>
    <x v="4"/>
    <n v="5"/>
    <n v="9"/>
    <n v="9076.4747048903882"/>
  </r>
  <r>
    <x v="2"/>
    <x v="8"/>
    <x v="122"/>
    <x v="1"/>
    <x v="5"/>
    <n v="6"/>
    <n v="6"/>
    <n v="1379.7296290322579"/>
  </r>
  <r>
    <x v="2"/>
    <x v="8"/>
    <x v="122"/>
    <x v="1"/>
    <x v="6"/>
    <n v="7"/>
    <n v="86"/>
    <n v="67976.677885282712"/>
  </r>
  <r>
    <x v="2"/>
    <x v="8"/>
    <x v="124"/>
    <x v="1"/>
    <x v="0"/>
    <n v="1"/>
    <n v="0"/>
    <n v="0"/>
  </r>
  <r>
    <x v="2"/>
    <x v="8"/>
    <x v="124"/>
    <x v="1"/>
    <x v="1"/>
    <n v="2"/>
    <n v="23"/>
    <n v="2311.3166594658287"/>
  </r>
  <r>
    <x v="2"/>
    <x v="8"/>
    <x v="124"/>
    <x v="1"/>
    <x v="2"/>
    <n v="3"/>
    <n v="64"/>
    <n v="10608.586939239069"/>
  </r>
  <r>
    <x v="2"/>
    <x v="8"/>
    <x v="124"/>
    <x v="1"/>
    <x v="3"/>
    <n v="4"/>
    <n v="33"/>
    <n v="28369.878299845441"/>
  </r>
  <r>
    <x v="2"/>
    <x v="8"/>
    <x v="124"/>
    <x v="1"/>
    <x v="4"/>
    <n v="5"/>
    <n v="0"/>
    <n v="0"/>
  </r>
  <r>
    <x v="2"/>
    <x v="8"/>
    <x v="124"/>
    <x v="1"/>
    <x v="5"/>
    <n v="6"/>
    <n v="125"/>
    <n v="28744.367271505376"/>
  </r>
  <r>
    <x v="2"/>
    <x v="8"/>
    <x v="124"/>
    <x v="1"/>
    <x v="6"/>
    <n v="7"/>
    <n v="7"/>
    <n v="5532.9854092671967"/>
  </r>
  <r>
    <x v="2"/>
    <x v="8"/>
    <x v="126"/>
    <x v="1"/>
    <x v="0"/>
    <n v="1"/>
    <n v="0"/>
    <n v="0"/>
  </r>
  <r>
    <x v="2"/>
    <x v="8"/>
    <x v="126"/>
    <x v="1"/>
    <x v="1"/>
    <n v="2"/>
    <n v="39"/>
    <n v="3919.1891182246663"/>
  </r>
  <r>
    <x v="2"/>
    <x v="8"/>
    <x v="126"/>
    <x v="1"/>
    <x v="2"/>
    <n v="3"/>
    <n v="39"/>
    <n v="6464.6076660988074"/>
  </r>
  <r>
    <x v="2"/>
    <x v="8"/>
    <x v="126"/>
    <x v="1"/>
    <x v="3"/>
    <n v="4"/>
    <n v="6"/>
    <n v="5158.1596908809888"/>
  </r>
  <r>
    <x v="2"/>
    <x v="8"/>
    <x v="126"/>
    <x v="1"/>
    <x v="4"/>
    <n v="5"/>
    <n v="4"/>
    <n v="4033.9887577290615"/>
  </r>
  <r>
    <x v="2"/>
    <x v="8"/>
    <x v="126"/>
    <x v="1"/>
    <x v="5"/>
    <n v="6"/>
    <n v="23"/>
    <n v="5288.963577956989"/>
  </r>
  <r>
    <x v="2"/>
    <x v="8"/>
    <x v="126"/>
    <x v="1"/>
    <x v="6"/>
    <n v="7"/>
    <n v="51"/>
    <n v="40311.750838946718"/>
  </r>
  <r>
    <x v="2"/>
    <x v="8"/>
    <x v="125"/>
    <x v="1"/>
    <x v="0"/>
    <n v="1"/>
    <n v="0"/>
    <n v="0"/>
  </r>
  <r>
    <x v="2"/>
    <x v="8"/>
    <x v="125"/>
    <x v="1"/>
    <x v="1"/>
    <n v="2"/>
    <n v="31"/>
    <n v="3115.2528888452475"/>
  </r>
  <r>
    <x v="2"/>
    <x v="8"/>
    <x v="125"/>
    <x v="1"/>
    <x v="2"/>
    <n v="3"/>
    <n v="45"/>
    <n v="7459.1626916524701"/>
  </r>
  <r>
    <x v="2"/>
    <x v="8"/>
    <x v="125"/>
    <x v="1"/>
    <x v="3"/>
    <n v="4"/>
    <n v="1"/>
    <n v="859.69328181349817"/>
  </r>
  <r>
    <x v="2"/>
    <x v="8"/>
    <x v="125"/>
    <x v="1"/>
    <x v="4"/>
    <n v="5"/>
    <n v="3"/>
    <n v="3025.4915682967962"/>
  </r>
  <r>
    <x v="2"/>
    <x v="8"/>
    <x v="125"/>
    <x v="1"/>
    <x v="5"/>
    <n v="6"/>
    <n v="27"/>
    <n v="6208.7833306451612"/>
  </r>
  <r>
    <x v="2"/>
    <x v="8"/>
    <x v="125"/>
    <x v="1"/>
    <x v="6"/>
    <n v="7"/>
    <n v="15"/>
    <n v="11856.397305572566"/>
  </r>
  <r>
    <x v="2"/>
    <x v="12"/>
    <x v="177"/>
    <x v="1"/>
    <x v="0"/>
    <n v="1"/>
    <n v="0"/>
    <n v="0"/>
  </r>
  <r>
    <x v="2"/>
    <x v="12"/>
    <x v="177"/>
    <x v="1"/>
    <x v="1"/>
    <n v="2"/>
    <n v="43"/>
    <n v="4321.1572329143755"/>
  </r>
  <r>
    <x v="2"/>
    <x v="12"/>
    <x v="177"/>
    <x v="1"/>
    <x v="2"/>
    <n v="3"/>
    <n v="160"/>
    <n v="26521.467348097671"/>
  </r>
  <r>
    <x v="2"/>
    <x v="12"/>
    <x v="177"/>
    <x v="1"/>
    <x v="3"/>
    <n v="4"/>
    <n v="43"/>
    <n v="36966.811117980418"/>
  </r>
  <r>
    <x v="2"/>
    <x v="12"/>
    <x v="177"/>
    <x v="1"/>
    <x v="4"/>
    <n v="5"/>
    <n v="13"/>
    <n v="13110.463462619449"/>
  </r>
  <r>
    <x v="2"/>
    <x v="12"/>
    <x v="177"/>
    <x v="1"/>
    <x v="5"/>
    <n v="6"/>
    <n v="346"/>
    <n v="79564.408607526871"/>
  </r>
  <r>
    <x v="2"/>
    <x v="12"/>
    <x v="177"/>
    <x v="1"/>
    <x v="6"/>
    <n v="7"/>
    <n v="30"/>
    <n v="23712.794611145131"/>
  </r>
  <r>
    <x v="2"/>
    <x v="12"/>
    <x v="166"/>
    <x v="1"/>
    <x v="0"/>
    <n v="1"/>
    <n v="0"/>
    <n v="0"/>
  </r>
  <r>
    <x v="2"/>
    <x v="12"/>
    <x v="166"/>
    <x v="1"/>
    <x v="1"/>
    <n v="2"/>
    <n v="43"/>
    <n v="4321.1572329143755"/>
  </r>
  <r>
    <x v="2"/>
    <x v="12"/>
    <x v="166"/>
    <x v="1"/>
    <x v="2"/>
    <n v="3"/>
    <n v="168"/>
    <n v="27847.540715502557"/>
  </r>
  <r>
    <x v="2"/>
    <x v="12"/>
    <x v="166"/>
    <x v="1"/>
    <x v="3"/>
    <n v="4"/>
    <n v="21"/>
    <n v="18053.558918083461"/>
  </r>
  <r>
    <x v="2"/>
    <x v="12"/>
    <x v="166"/>
    <x v="1"/>
    <x v="4"/>
    <n v="5"/>
    <n v="10"/>
    <n v="10084.971894322654"/>
  </r>
  <r>
    <x v="2"/>
    <x v="12"/>
    <x v="166"/>
    <x v="1"/>
    <x v="5"/>
    <n v="6"/>
    <n v="302"/>
    <n v="69446.391327956982"/>
  </r>
  <r>
    <x v="2"/>
    <x v="12"/>
    <x v="166"/>
    <x v="1"/>
    <x v="6"/>
    <n v="7"/>
    <n v="41"/>
    <n v="32407.485968565012"/>
  </r>
  <r>
    <x v="2"/>
    <x v="12"/>
    <x v="183"/>
    <x v="1"/>
    <x v="0"/>
    <n v="1"/>
    <n v="0"/>
    <n v="0"/>
  </r>
  <r>
    <x v="2"/>
    <x v="12"/>
    <x v="183"/>
    <x v="1"/>
    <x v="1"/>
    <n v="2"/>
    <n v="0"/>
    <n v="0"/>
  </r>
  <r>
    <x v="2"/>
    <x v="12"/>
    <x v="183"/>
    <x v="1"/>
    <x v="2"/>
    <n v="3"/>
    <n v="43"/>
    <n v="7127.6443498012495"/>
  </r>
  <r>
    <x v="2"/>
    <x v="12"/>
    <x v="183"/>
    <x v="1"/>
    <x v="3"/>
    <n v="4"/>
    <n v="7"/>
    <n v="6017.8529726944871"/>
  </r>
  <r>
    <x v="2"/>
    <x v="12"/>
    <x v="183"/>
    <x v="1"/>
    <x v="4"/>
    <n v="5"/>
    <n v="2"/>
    <n v="2016.9943788645307"/>
  </r>
  <r>
    <x v="2"/>
    <x v="12"/>
    <x v="183"/>
    <x v="1"/>
    <x v="5"/>
    <n v="6"/>
    <n v="177"/>
    <n v="40702.024056451613"/>
  </r>
  <r>
    <x v="2"/>
    <x v="12"/>
    <x v="183"/>
    <x v="1"/>
    <x v="6"/>
    <n v="7"/>
    <n v="21"/>
    <n v="16598.956227801591"/>
  </r>
  <r>
    <x v="2"/>
    <x v="12"/>
    <x v="167"/>
    <x v="1"/>
    <x v="0"/>
    <n v="1"/>
    <n v="0"/>
    <n v="0"/>
  </r>
  <r>
    <x v="2"/>
    <x v="12"/>
    <x v="167"/>
    <x v="1"/>
    <x v="1"/>
    <n v="2"/>
    <n v="71"/>
    <n v="7134.9340357423407"/>
  </r>
  <r>
    <x v="2"/>
    <x v="12"/>
    <x v="167"/>
    <x v="1"/>
    <x v="2"/>
    <n v="3"/>
    <n v="146"/>
    <n v="24200.838955139126"/>
  </r>
  <r>
    <x v="2"/>
    <x v="12"/>
    <x v="167"/>
    <x v="1"/>
    <x v="3"/>
    <n v="4"/>
    <n v="27"/>
    <n v="23211.718608964449"/>
  </r>
  <r>
    <x v="2"/>
    <x v="12"/>
    <x v="167"/>
    <x v="1"/>
    <x v="4"/>
    <n v="5"/>
    <n v="43"/>
    <n v="43365.379145587409"/>
  </r>
  <r>
    <x v="2"/>
    <x v="12"/>
    <x v="167"/>
    <x v="1"/>
    <x v="5"/>
    <n v="6"/>
    <n v="379"/>
    <n v="87152.921567204292"/>
  </r>
  <r>
    <x v="2"/>
    <x v="12"/>
    <x v="167"/>
    <x v="1"/>
    <x v="6"/>
    <n v="7"/>
    <n v="41"/>
    <n v="32407.485968565012"/>
  </r>
  <r>
    <x v="2"/>
    <x v="12"/>
    <x v="165"/>
    <x v="1"/>
    <x v="0"/>
    <n v="1"/>
    <n v="0"/>
    <n v="0"/>
  </r>
  <r>
    <x v="2"/>
    <x v="12"/>
    <x v="165"/>
    <x v="1"/>
    <x v="1"/>
    <n v="2"/>
    <n v="0"/>
    <n v="0"/>
  </r>
  <r>
    <x v="2"/>
    <x v="12"/>
    <x v="165"/>
    <x v="1"/>
    <x v="2"/>
    <n v="3"/>
    <n v="0"/>
    <n v="0"/>
  </r>
  <r>
    <x v="2"/>
    <x v="12"/>
    <x v="165"/>
    <x v="1"/>
    <x v="3"/>
    <n v="4"/>
    <n v="0"/>
    <n v="0"/>
  </r>
  <r>
    <x v="2"/>
    <x v="12"/>
    <x v="165"/>
    <x v="1"/>
    <x v="4"/>
    <n v="5"/>
    <n v="0"/>
    <n v="0"/>
  </r>
  <r>
    <x v="2"/>
    <x v="12"/>
    <x v="165"/>
    <x v="1"/>
    <x v="5"/>
    <n v="6"/>
    <n v="0"/>
    <n v="0"/>
  </r>
  <r>
    <x v="2"/>
    <x v="12"/>
    <x v="165"/>
    <x v="1"/>
    <x v="6"/>
    <n v="7"/>
    <n v="20"/>
    <n v="15808.529740763421"/>
  </r>
  <r>
    <x v="2"/>
    <x v="12"/>
    <x v="173"/>
    <x v="1"/>
    <x v="0"/>
    <n v="1"/>
    <n v="0"/>
    <n v="0"/>
  </r>
  <r>
    <x v="2"/>
    <x v="12"/>
    <x v="173"/>
    <x v="1"/>
    <x v="1"/>
    <n v="2"/>
    <n v="0"/>
    <n v="0"/>
  </r>
  <r>
    <x v="2"/>
    <x v="12"/>
    <x v="173"/>
    <x v="1"/>
    <x v="2"/>
    <n v="3"/>
    <n v="0"/>
    <n v="0"/>
  </r>
  <r>
    <x v="2"/>
    <x v="12"/>
    <x v="173"/>
    <x v="1"/>
    <x v="3"/>
    <n v="4"/>
    <n v="0"/>
    <n v="0"/>
  </r>
  <r>
    <x v="2"/>
    <x v="12"/>
    <x v="173"/>
    <x v="1"/>
    <x v="4"/>
    <n v="5"/>
    <n v="0"/>
    <n v="0"/>
  </r>
  <r>
    <x v="2"/>
    <x v="12"/>
    <x v="173"/>
    <x v="1"/>
    <x v="5"/>
    <n v="6"/>
    <n v="0"/>
    <n v="0"/>
  </r>
  <r>
    <x v="2"/>
    <x v="12"/>
    <x v="173"/>
    <x v="1"/>
    <x v="6"/>
    <n v="7"/>
    <n v="0"/>
    <n v="0"/>
  </r>
  <r>
    <x v="2"/>
    <x v="12"/>
    <x v="335"/>
    <x v="1"/>
    <x v="0"/>
    <n v="1"/>
    <n v="0"/>
    <n v="0"/>
  </r>
  <r>
    <x v="2"/>
    <x v="12"/>
    <x v="335"/>
    <x v="1"/>
    <x v="1"/>
    <n v="2"/>
    <n v="0"/>
    <n v="0"/>
  </r>
  <r>
    <x v="2"/>
    <x v="12"/>
    <x v="335"/>
    <x v="1"/>
    <x v="2"/>
    <n v="3"/>
    <n v="0"/>
    <n v="0"/>
  </r>
  <r>
    <x v="2"/>
    <x v="12"/>
    <x v="335"/>
    <x v="1"/>
    <x v="3"/>
    <n v="4"/>
    <n v="0"/>
    <n v="0"/>
  </r>
  <r>
    <x v="2"/>
    <x v="12"/>
    <x v="335"/>
    <x v="1"/>
    <x v="4"/>
    <n v="5"/>
    <n v="0"/>
    <n v="0"/>
  </r>
  <r>
    <x v="2"/>
    <x v="12"/>
    <x v="335"/>
    <x v="1"/>
    <x v="5"/>
    <n v="6"/>
    <n v="21"/>
    <n v="4829.0537016129028"/>
  </r>
  <r>
    <x v="2"/>
    <x v="12"/>
    <x v="335"/>
    <x v="1"/>
    <x v="6"/>
    <n v="7"/>
    <n v="51"/>
    <n v="40311.750838946718"/>
  </r>
  <r>
    <x v="2"/>
    <x v="12"/>
    <x v="174"/>
    <x v="1"/>
    <x v="0"/>
    <n v="1"/>
    <n v="0"/>
    <n v="0"/>
  </r>
  <r>
    <x v="2"/>
    <x v="12"/>
    <x v="174"/>
    <x v="1"/>
    <x v="1"/>
    <n v="2"/>
    <n v="0"/>
    <n v="0"/>
  </r>
  <r>
    <x v="2"/>
    <x v="12"/>
    <x v="174"/>
    <x v="1"/>
    <x v="2"/>
    <n v="3"/>
    <n v="0"/>
    <n v="0"/>
  </r>
  <r>
    <x v="2"/>
    <x v="12"/>
    <x v="174"/>
    <x v="1"/>
    <x v="3"/>
    <n v="4"/>
    <n v="0"/>
    <n v="0"/>
  </r>
  <r>
    <x v="2"/>
    <x v="12"/>
    <x v="174"/>
    <x v="1"/>
    <x v="4"/>
    <n v="5"/>
    <n v="0"/>
    <n v="0"/>
  </r>
  <r>
    <x v="2"/>
    <x v="12"/>
    <x v="174"/>
    <x v="1"/>
    <x v="5"/>
    <n v="6"/>
    <n v="0"/>
    <n v="0"/>
  </r>
  <r>
    <x v="2"/>
    <x v="12"/>
    <x v="174"/>
    <x v="1"/>
    <x v="6"/>
    <n v="7"/>
    <n v="1"/>
    <n v="790.42648703817099"/>
  </r>
  <r>
    <x v="2"/>
    <x v="12"/>
    <x v="178"/>
    <x v="1"/>
    <x v="0"/>
    <n v="1"/>
    <n v="0"/>
    <n v="0"/>
  </r>
  <r>
    <x v="2"/>
    <x v="12"/>
    <x v="178"/>
    <x v="1"/>
    <x v="1"/>
    <n v="2"/>
    <n v="0"/>
    <n v="0"/>
  </r>
  <r>
    <x v="2"/>
    <x v="12"/>
    <x v="178"/>
    <x v="1"/>
    <x v="2"/>
    <n v="3"/>
    <n v="0"/>
    <n v="0"/>
  </r>
  <r>
    <x v="2"/>
    <x v="12"/>
    <x v="178"/>
    <x v="1"/>
    <x v="3"/>
    <n v="4"/>
    <n v="0"/>
    <n v="0"/>
  </r>
  <r>
    <x v="2"/>
    <x v="12"/>
    <x v="178"/>
    <x v="1"/>
    <x v="4"/>
    <n v="5"/>
    <n v="0"/>
    <n v="0"/>
  </r>
  <r>
    <x v="2"/>
    <x v="12"/>
    <x v="178"/>
    <x v="1"/>
    <x v="5"/>
    <n v="6"/>
    <n v="0"/>
    <n v="0"/>
  </r>
  <r>
    <x v="2"/>
    <x v="12"/>
    <x v="178"/>
    <x v="1"/>
    <x v="6"/>
    <n v="7"/>
    <n v="9"/>
    <n v="7113.8383833435391"/>
  </r>
  <r>
    <x v="2"/>
    <x v="12"/>
    <x v="181"/>
    <x v="1"/>
    <x v="0"/>
    <n v="1"/>
    <n v="0"/>
    <n v="0"/>
  </r>
  <r>
    <x v="2"/>
    <x v="12"/>
    <x v="181"/>
    <x v="1"/>
    <x v="1"/>
    <n v="2"/>
    <n v="0"/>
    <n v="0"/>
  </r>
  <r>
    <x v="2"/>
    <x v="12"/>
    <x v="181"/>
    <x v="1"/>
    <x v="2"/>
    <n v="3"/>
    <n v="0"/>
    <n v="0"/>
  </r>
  <r>
    <x v="2"/>
    <x v="12"/>
    <x v="181"/>
    <x v="1"/>
    <x v="3"/>
    <n v="4"/>
    <n v="0"/>
    <n v="0"/>
  </r>
  <r>
    <x v="2"/>
    <x v="12"/>
    <x v="181"/>
    <x v="1"/>
    <x v="4"/>
    <n v="5"/>
    <n v="0"/>
    <n v="0"/>
  </r>
  <r>
    <x v="2"/>
    <x v="12"/>
    <x v="181"/>
    <x v="1"/>
    <x v="5"/>
    <n v="6"/>
    <n v="0"/>
    <n v="0"/>
  </r>
  <r>
    <x v="2"/>
    <x v="12"/>
    <x v="181"/>
    <x v="1"/>
    <x v="6"/>
    <n v="7"/>
    <n v="1"/>
    <n v="790.42648703817099"/>
  </r>
  <r>
    <x v="2"/>
    <x v="23"/>
    <x v="188"/>
    <x v="1"/>
    <x v="0"/>
    <n v="1"/>
    <n v="0"/>
    <n v="0"/>
  </r>
  <r>
    <x v="2"/>
    <x v="23"/>
    <x v="188"/>
    <x v="1"/>
    <x v="1"/>
    <n v="2"/>
    <n v="30"/>
    <n v="3014.7608601728202"/>
  </r>
  <r>
    <x v="2"/>
    <x v="23"/>
    <x v="188"/>
    <x v="1"/>
    <x v="2"/>
    <n v="3"/>
    <n v="156"/>
    <n v="25858.43066439523"/>
  </r>
  <r>
    <x v="2"/>
    <x v="23"/>
    <x v="188"/>
    <x v="1"/>
    <x v="3"/>
    <n v="4"/>
    <n v="21"/>
    <n v="18053.558918083461"/>
  </r>
  <r>
    <x v="2"/>
    <x v="23"/>
    <x v="188"/>
    <x v="1"/>
    <x v="4"/>
    <n v="5"/>
    <n v="13"/>
    <n v="13110.463462619449"/>
  </r>
  <r>
    <x v="2"/>
    <x v="23"/>
    <x v="188"/>
    <x v="1"/>
    <x v="5"/>
    <n v="6"/>
    <n v="128"/>
    <n v="29434.232086021504"/>
  </r>
  <r>
    <x v="2"/>
    <x v="23"/>
    <x v="188"/>
    <x v="1"/>
    <x v="6"/>
    <n v="7"/>
    <n v="7"/>
    <n v="5532.9854092671967"/>
  </r>
  <r>
    <x v="2"/>
    <x v="23"/>
    <x v="203"/>
    <x v="1"/>
    <x v="0"/>
    <n v="1"/>
    <n v="0"/>
    <n v="0"/>
  </r>
  <r>
    <x v="2"/>
    <x v="23"/>
    <x v="203"/>
    <x v="1"/>
    <x v="1"/>
    <n v="2"/>
    <n v="50"/>
    <n v="5024.6014336213666"/>
  </r>
  <r>
    <x v="2"/>
    <x v="23"/>
    <x v="203"/>
    <x v="1"/>
    <x v="2"/>
    <n v="3"/>
    <n v="112"/>
    <n v="18565.027143668369"/>
  </r>
  <r>
    <x v="2"/>
    <x v="23"/>
    <x v="203"/>
    <x v="1"/>
    <x v="3"/>
    <n v="4"/>
    <n v="8"/>
    <n v="6877.5462545079854"/>
  </r>
  <r>
    <x v="2"/>
    <x v="23"/>
    <x v="203"/>
    <x v="1"/>
    <x v="4"/>
    <n v="5"/>
    <n v="71"/>
    <n v="71603.30044969084"/>
  </r>
  <r>
    <x v="2"/>
    <x v="23"/>
    <x v="203"/>
    <x v="1"/>
    <x v="5"/>
    <n v="6"/>
    <n v="67"/>
    <n v="15406.980857526882"/>
  </r>
  <r>
    <x v="2"/>
    <x v="23"/>
    <x v="203"/>
    <x v="1"/>
    <x v="6"/>
    <n v="7"/>
    <n v="35"/>
    <n v="27664.927046335986"/>
  </r>
  <r>
    <x v="2"/>
    <x v="23"/>
    <x v="196"/>
    <x v="1"/>
    <x v="0"/>
    <n v="1"/>
    <n v="0"/>
    <n v="0"/>
  </r>
  <r>
    <x v="2"/>
    <x v="23"/>
    <x v="196"/>
    <x v="1"/>
    <x v="1"/>
    <n v="2"/>
    <n v="14"/>
    <n v="1406.8884014139828"/>
  </r>
  <r>
    <x v="2"/>
    <x v="23"/>
    <x v="196"/>
    <x v="1"/>
    <x v="2"/>
    <n v="3"/>
    <n v="147"/>
    <n v="24366.598126064735"/>
  </r>
  <r>
    <x v="2"/>
    <x v="23"/>
    <x v="196"/>
    <x v="1"/>
    <x v="3"/>
    <n v="4"/>
    <n v="19"/>
    <n v="16334.172354456465"/>
  </r>
  <r>
    <x v="2"/>
    <x v="23"/>
    <x v="196"/>
    <x v="1"/>
    <x v="4"/>
    <n v="5"/>
    <n v="63"/>
    <n v="63535.322934232718"/>
  </r>
  <r>
    <x v="2"/>
    <x v="23"/>
    <x v="196"/>
    <x v="1"/>
    <x v="5"/>
    <n v="6"/>
    <n v="120"/>
    <n v="27594.59258064516"/>
  </r>
  <r>
    <x v="2"/>
    <x v="23"/>
    <x v="196"/>
    <x v="1"/>
    <x v="6"/>
    <n v="7"/>
    <n v="0"/>
    <n v="0"/>
  </r>
  <r>
    <x v="2"/>
    <x v="23"/>
    <x v="204"/>
    <x v="1"/>
    <x v="0"/>
    <n v="1"/>
    <n v="0"/>
    <n v="0"/>
  </r>
  <r>
    <x v="2"/>
    <x v="23"/>
    <x v="204"/>
    <x v="1"/>
    <x v="1"/>
    <n v="2"/>
    <n v="18"/>
    <n v="1808.856516103692"/>
  </r>
  <r>
    <x v="2"/>
    <x v="23"/>
    <x v="204"/>
    <x v="1"/>
    <x v="2"/>
    <n v="3"/>
    <n v="81"/>
    <n v="13426.492844974446"/>
  </r>
  <r>
    <x v="2"/>
    <x v="23"/>
    <x v="204"/>
    <x v="1"/>
    <x v="3"/>
    <n v="4"/>
    <n v="25"/>
    <n v="21492.332045337454"/>
  </r>
  <r>
    <x v="2"/>
    <x v="23"/>
    <x v="204"/>
    <x v="1"/>
    <x v="4"/>
    <n v="5"/>
    <n v="0"/>
    <n v="0"/>
  </r>
  <r>
    <x v="2"/>
    <x v="23"/>
    <x v="204"/>
    <x v="1"/>
    <x v="5"/>
    <n v="6"/>
    <n v="120"/>
    <n v="27594.59258064516"/>
  </r>
  <r>
    <x v="2"/>
    <x v="23"/>
    <x v="204"/>
    <x v="1"/>
    <x v="6"/>
    <n v="7"/>
    <n v="28"/>
    <n v="22131.941637068787"/>
  </r>
  <r>
    <x v="2"/>
    <x v="23"/>
    <x v="205"/>
    <x v="1"/>
    <x v="0"/>
    <n v="1"/>
    <n v="0"/>
    <n v="0"/>
  </r>
  <r>
    <x v="2"/>
    <x v="23"/>
    <x v="205"/>
    <x v="1"/>
    <x v="1"/>
    <n v="2"/>
    <n v="34"/>
    <n v="3416.7289748625294"/>
  </r>
  <r>
    <x v="2"/>
    <x v="23"/>
    <x v="205"/>
    <x v="1"/>
    <x v="2"/>
    <n v="3"/>
    <n v="0"/>
    <n v="0"/>
  </r>
  <r>
    <x v="2"/>
    <x v="23"/>
    <x v="205"/>
    <x v="1"/>
    <x v="3"/>
    <n v="4"/>
    <n v="0"/>
    <n v="0"/>
  </r>
  <r>
    <x v="2"/>
    <x v="23"/>
    <x v="205"/>
    <x v="1"/>
    <x v="4"/>
    <n v="5"/>
    <n v="0"/>
    <n v="0"/>
  </r>
  <r>
    <x v="2"/>
    <x v="23"/>
    <x v="205"/>
    <x v="1"/>
    <x v="5"/>
    <n v="6"/>
    <n v="120"/>
    <n v="27594.59258064516"/>
  </r>
  <r>
    <x v="2"/>
    <x v="23"/>
    <x v="205"/>
    <x v="1"/>
    <x v="6"/>
    <n v="7"/>
    <n v="30"/>
    <n v="23712.794611145131"/>
  </r>
  <r>
    <x v="2"/>
    <x v="23"/>
    <x v="336"/>
    <x v="1"/>
    <x v="0"/>
    <n v="1"/>
    <n v="0"/>
    <n v="0"/>
  </r>
  <r>
    <x v="2"/>
    <x v="23"/>
    <x v="336"/>
    <x v="1"/>
    <x v="1"/>
    <n v="2"/>
    <n v="0"/>
    <n v="0"/>
  </r>
  <r>
    <x v="2"/>
    <x v="23"/>
    <x v="336"/>
    <x v="1"/>
    <x v="2"/>
    <n v="3"/>
    <n v="0"/>
    <n v="0"/>
  </r>
  <r>
    <x v="2"/>
    <x v="23"/>
    <x v="336"/>
    <x v="1"/>
    <x v="3"/>
    <n v="4"/>
    <n v="65"/>
    <n v="55880.063317877379"/>
  </r>
  <r>
    <x v="2"/>
    <x v="23"/>
    <x v="336"/>
    <x v="1"/>
    <x v="4"/>
    <n v="5"/>
    <n v="3"/>
    <n v="3025.4915682967962"/>
  </r>
  <r>
    <x v="2"/>
    <x v="23"/>
    <x v="336"/>
    <x v="1"/>
    <x v="5"/>
    <n v="6"/>
    <n v="126"/>
    <n v="28974.322209677419"/>
  </r>
  <r>
    <x v="2"/>
    <x v="23"/>
    <x v="336"/>
    <x v="1"/>
    <x v="6"/>
    <n v="7"/>
    <n v="1"/>
    <n v="790.42648703817099"/>
  </r>
  <r>
    <x v="2"/>
    <x v="23"/>
    <x v="197"/>
    <x v="1"/>
    <x v="0"/>
    <n v="1"/>
    <n v="0"/>
    <n v="0"/>
  </r>
  <r>
    <x v="2"/>
    <x v="23"/>
    <x v="197"/>
    <x v="1"/>
    <x v="1"/>
    <n v="2"/>
    <n v="60"/>
    <n v="6029.5217203456405"/>
  </r>
  <r>
    <x v="2"/>
    <x v="23"/>
    <x v="197"/>
    <x v="1"/>
    <x v="2"/>
    <n v="3"/>
    <n v="130"/>
    <n v="21548.692220329358"/>
  </r>
  <r>
    <x v="2"/>
    <x v="23"/>
    <x v="197"/>
    <x v="1"/>
    <x v="3"/>
    <n v="4"/>
    <n v="36"/>
    <n v="30948.958145285935"/>
  </r>
  <r>
    <x v="2"/>
    <x v="23"/>
    <x v="197"/>
    <x v="1"/>
    <x v="4"/>
    <n v="5"/>
    <n v="0"/>
    <n v="0"/>
  </r>
  <r>
    <x v="2"/>
    <x v="23"/>
    <x v="197"/>
    <x v="1"/>
    <x v="5"/>
    <n v="6"/>
    <n v="0"/>
    <n v="0"/>
  </r>
  <r>
    <x v="2"/>
    <x v="23"/>
    <x v="197"/>
    <x v="1"/>
    <x v="6"/>
    <n v="7"/>
    <n v="70"/>
    <n v="55329.854092671972"/>
  </r>
  <r>
    <x v="2"/>
    <x v="23"/>
    <x v="194"/>
    <x v="1"/>
    <x v="0"/>
    <n v="1"/>
    <n v="0"/>
    <n v="0"/>
  </r>
  <r>
    <x v="2"/>
    <x v="23"/>
    <x v="194"/>
    <x v="1"/>
    <x v="1"/>
    <n v="2"/>
    <n v="0"/>
    <n v="0"/>
  </r>
  <r>
    <x v="2"/>
    <x v="23"/>
    <x v="194"/>
    <x v="1"/>
    <x v="2"/>
    <n v="3"/>
    <n v="0"/>
    <n v="0"/>
  </r>
  <r>
    <x v="2"/>
    <x v="23"/>
    <x v="194"/>
    <x v="1"/>
    <x v="3"/>
    <n v="4"/>
    <n v="0"/>
    <n v="2579.0798454404944"/>
  </r>
  <r>
    <x v="2"/>
    <x v="23"/>
    <x v="194"/>
    <x v="1"/>
    <x v="4"/>
    <n v="5"/>
    <n v="0"/>
    <n v="0"/>
  </r>
  <r>
    <x v="2"/>
    <x v="23"/>
    <x v="194"/>
    <x v="1"/>
    <x v="5"/>
    <n v="6"/>
    <n v="16"/>
    <n v="3679.279010752688"/>
  </r>
  <r>
    <x v="2"/>
    <x v="23"/>
    <x v="194"/>
    <x v="1"/>
    <x v="6"/>
    <n v="7"/>
    <n v="52"/>
    <n v="41102.177325984892"/>
  </r>
  <r>
    <x v="2"/>
    <x v="16"/>
    <x v="249"/>
    <x v="1"/>
    <x v="0"/>
    <n v="1"/>
    <n v="0"/>
    <n v="0"/>
  </r>
  <r>
    <x v="2"/>
    <x v="16"/>
    <x v="249"/>
    <x v="1"/>
    <x v="1"/>
    <n v="2"/>
    <n v="29"/>
    <n v="2914.2688315003929"/>
  </r>
  <r>
    <x v="2"/>
    <x v="16"/>
    <x v="249"/>
    <x v="1"/>
    <x v="2"/>
    <n v="3"/>
    <n v="27"/>
    <n v="4475.4976149914819"/>
  </r>
  <r>
    <x v="2"/>
    <x v="16"/>
    <x v="249"/>
    <x v="1"/>
    <x v="3"/>
    <n v="4"/>
    <n v="3"/>
    <n v="2579.0798454404944"/>
  </r>
  <r>
    <x v="2"/>
    <x v="16"/>
    <x v="249"/>
    <x v="1"/>
    <x v="4"/>
    <n v="5"/>
    <n v="2"/>
    <n v="2016.9943788645307"/>
  </r>
  <r>
    <x v="2"/>
    <x v="16"/>
    <x v="249"/>
    <x v="1"/>
    <x v="5"/>
    <n v="6"/>
    <n v="122"/>
    <n v="28054.502456989245"/>
  </r>
  <r>
    <x v="2"/>
    <x v="16"/>
    <x v="249"/>
    <x v="1"/>
    <x v="6"/>
    <n v="7"/>
    <n v="9"/>
    <n v="7113.8383833435391"/>
  </r>
  <r>
    <x v="2"/>
    <x v="16"/>
    <x v="85"/>
    <x v="1"/>
    <x v="0"/>
    <n v="1"/>
    <n v="0"/>
    <n v="0"/>
  </r>
  <r>
    <x v="2"/>
    <x v="16"/>
    <x v="85"/>
    <x v="1"/>
    <x v="1"/>
    <n v="2"/>
    <n v="50"/>
    <n v="5024.6014336213666"/>
  </r>
  <r>
    <x v="2"/>
    <x v="16"/>
    <x v="85"/>
    <x v="1"/>
    <x v="2"/>
    <n v="3"/>
    <n v="59"/>
    <n v="9779.7910846110171"/>
  </r>
  <r>
    <x v="2"/>
    <x v="16"/>
    <x v="85"/>
    <x v="1"/>
    <x v="3"/>
    <n v="4"/>
    <n v="3"/>
    <n v="11176.012663575477"/>
  </r>
  <r>
    <x v="2"/>
    <x v="16"/>
    <x v="85"/>
    <x v="1"/>
    <x v="4"/>
    <n v="5"/>
    <n v="10"/>
    <n v="10084.971894322654"/>
  </r>
  <r>
    <x v="2"/>
    <x v="16"/>
    <x v="85"/>
    <x v="1"/>
    <x v="5"/>
    <n v="6"/>
    <n v="132"/>
    <n v="30354.051838709674"/>
  </r>
  <r>
    <x v="2"/>
    <x v="16"/>
    <x v="85"/>
    <x v="1"/>
    <x v="6"/>
    <n v="7"/>
    <n v="4"/>
    <n v="3161.705948152684"/>
  </r>
  <r>
    <x v="2"/>
    <x v="16"/>
    <x v="240"/>
    <x v="1"/>
    <x v="0"/>
    <n v="1"/>
    <n v="0"/>
    <n v="0"/>
  </r>
  <r>
    <x v="2"/>
    <x v="16"/>
    <x v="240"/>
    <x v="1"/>
    <x v="1"/>
    <n v="2"/>
    <n v="35"/>
    <n v="3517.2210035349567"/>
  </r>
  <r>
    <x v="2"/>
    <x v="16"/>
    <x v="240"/>
    <x v="1"/>
    <x v="2"/>
    <n v="3"/>
    <n v="45"/>
    <n v="7459.1626916524701"/>
  </r>
  <r>
    <x v="2"/>
    <x v="16"/>
    <x v="240"/>
    <x v="1"/>
    <x v="3"/>
    <n v="4"/>
    <n v="13"/>
    <n v="0"/>
  </r>
  <r>
    <x v="2"/>
    <x v="16"/>
    <x v="240"/>
    <x v="1"/>
    <x v="4"/>
    <n v="5"/>
    <n v="14"/>
    <n v="14118.960652051715"/>
  </r>
  <r>
    <x v="2"/>
    <x v="16"/>
    <x v="240"/>
    <x v="1"/>
    <x v="5"/>
    <n v="6"/>
    <n v="3"/>
    <n v="689.86481451612894"/>
  </r>
  <r>
    <x v="2"/>
    <x v="16"/>
    <x v="240"/>
    <x v="1"/>
    <x v="6"/>
    <n v="7"/>
    <n v="13"/>
    <n v="10275.544331496223"/>
  </r>
  <r>
    <x v="2"/>
    <x v="24"/>
    <x v="294"/>
    <x v="1"/>
    <x v="0"/>
    <n v="1"/>
    <n v="0"/>
    <n v="0"/>
  </r>
  <r>
    <x v="2"/>
    <x v="24"/>
    <x v="294"/>
    <x v="1"/>
    <x v="1"/>
    <n v="2"/>
    <n v="50"/>
    <n v="5024.6014336213666"/>
  </r>
  <r>
    <x v="2"/>
    <x v="24"/>
    <x v="294"/>
    <x v="1"/>
    <x v="2"/>
    <n v="3"/>
    <n v="18"/>
    <n v="2983.6650766609882"/>
  </r>
  <r>
    <x v="2"/>
    <x v="24"/>
    <x v="294"/>
    <x v="1"/>
    <x v="3"/>
    <n v="4"/>
    <n v="0"/>
    <n v="859.69328181349817"/>
  </r>
  <r>
    <x v="2"/>
    <x v="24"/>
    <x v="294"/>
    <x v="1"/>
    <x v="4"/>
    <n v="5"/>
    <n v="0"/>
    <n v="0"/>
  </r>
  <r>
    <x v="2"/>
    <x v="24"/>
    <x v="294"/>
    <x v="1"/>
    <x v="5"/>
    <n v="6"/>
    <n v="12"/>
    <n v="2759.4592580645158"/>
  </r>
  <r>
    <x v="2"/>
    <x v="24"/>
    <x v="294"/>
    <x v="1"/>
    <x v="6"/>
    <n v="7"/>
    <n v="25"/>
    <n v="19760.662175954276"/>
  </r>
  <r>
    <x v="2"/>
    <x v="24"/>
    <x v="337"/>
    <x v="1"/>
    <x v="0"/>
    <n v="1"/>
    <n v="0"/>
    <n v="0"/>
  </r>
  <r>
    <x v="2"/>
    <x v="24"/>
    <x v="337"/>
    <x v="1"/>
    <x v="1"/>
    <n v="2"/>
    <n v="39"/>
    <n v="3919.1891182246663"/>
  </r>
  <r>
    <x v="2"/>
    <x v="24"/>
    <x v="337"/>
    <x v="1"/>
    <x v="2"/>
    <n v="3"/>
    <n v="0"/>
    <n v="0"/>
  </r>
  <r>
    <x v="2"/>
    <x v="24"/>
    <x v="337"/>
    <x v="1"/>
    <x v="3"/>
    <n v="4"/>
    <n v="1"/>
    <n v="16334.172354456465"/>
  </r>
  <r>
    <x v="2"/>
    <x v="24"/>
    <x v="337"/>
    <x v="1"/>
    <x v="4"/>
    <n v="5"/>
    <n v="0"/>
    <n v="0"/>
  </r>
  <r>
    <x v="2"/>
    <x v="24"/>
    <x v="337"/>
    <x v="1"/>
    <x v="5"/>
    <n v="6"/>
    <n v="10"/>
    <n v="2299.5493817204301"/>
  </r>
  <r>
    <x v="2"/>
    <x v="24"/>
    <x v="337"/>
    <x v="1"/>
    <x v="6"/>
    <n v="7"/>
    <n v="16"/>
    <n v="12646.823792610736"/>
  </r>
  <r>
    <x v="2"/>
    <x v="24"/>
    <x v="293"/>
    <x v="1"/>
    <x v="0"/>
    <n v="1"/>
    <n v="0"/>
    <n v="0"/>
  </r>
  <r>
    <x v="2"/>
    <x v="24"/>
    <x v="293"/>
    <x v="1"/>
    <x v="1"/>
    <n v="2"/>
    <n v="57"/>
    <n v="5728.0456343283586"/>
  </r>
  <r>
    <x v="2"/>
    <x v="24"/>
    <x v="293"/>
    <x v="1"/>
    <x v="2"/>
    <n v="3"/>
    <n v="113"/>
    <n v="18730.786314593981"/>
  </r>
  <r>
    <x v="2"/>
    <x v="24"/>
    <x v="293"/>
    <x v="1"/>
    <x v="3"/>
    <n v="4"/>
    <n v="19"/>
    <n v="0"/>
  </r>
  <r>
    <x v="2"/>
    <x v="24"/>
    <x v="293"/>
    <x v="1"/>
    <x v="4"/>
    <n v="5"/>
    <n v="18"/>
    <n v="18152.949409780776"/>
  </r>
  <r>
    <x v="2"/>
    <x v="24"/>
    <x v="293"/>
    <x v="1"/>
    <x v="5"/>
    <n v="6"/>
    <n v="16"/>
    <n v="3679.279010752688"/>
  </r>
  <r>
    <x v="2"/>
    <x v="24"/>
    <x v="293"/>
    <x v="1"/>
    <x v="6"/>
    <n v="7"/>
    <n v="11"/>
    <n v="8694.6913574198807"/>
  </r>
  <r>
    <x v="2"/>
    <x v="24"/>
    <x v="276"/>
    <x v="1"/>
    <x v="0"/>
    <n v="1"/>
    <n v="0"/>
    <n v="0"/>
  </r>
  <r>
    <x v="2"/>
    <x v="24"/>
    <x v="276"/>
    <x v="1"/>
    <x v="1"/>
    <n v="2"/>
    <n v="0"/>
    <n v="0"/>
  </r>
  <r>
    <x v="2"/>
    <x v="24"/>
    <x v="276"/>
    <x v="1"/>
    <x v="2"/>
    <n v="3"/>
    <n v="0"/>
    <n v="0"/>
  </r>
  <r>
    <x v="2"/>
    <x v="24"/>
    <x v="276"/>
    <x v="1"/>
    <x v="3"/>
    <n v="4"/>
    <n v="0"/>
    <n v="0"/>
  </r>
  <r>
    <x v="2"/>
    <x v="24"/>
    <x v="276"/>
    <x v="1"/>
    <x v="4"/>
    <n v="5"/>
    <n v="0"/>
    <n v="0"/>
  </r>
  <r>
    <x v="2"/>
    <x v="24"/>
    <x v="276"/>
    <x v="1"/>
    <x v="5"/>
    <n v="6"/>
    <n v="0"/>
    <n v="0"/>
  </r>
  <r>
    <x v="2"/>
    <x v="24"/>
    <x v="276"/>
    <x v="1"/>
    <x v="6"/>
    <n v="7"/>
    <n v="12"/>
    <n v="9485.117844458051"/>
  </r>
  <r>
    <x v="2"/>
    <x v="24"/>
    <x v="286"/>
    <x v="1"/>
    <x v="0"/>
    <n v="1"/>
    <n v="0"/>
    <n v="0"/>
  </r>
  <r>
    <x v="2"/>
    <x v="24"/>
    <x v="286"/>
    <x v="1"/>
    <x v="1"/>
    <n v="2"/>
    <n v="0"/>
    <n v="0"/>
  </r>
  <r>
    <x v="2"/>
    <x v="24"/>
    <x v="286"/>
    <x v="1"/>
    <x v="2"/>
    <n v="3"/>
    <n v="0"/>
    <n v="0"/>
  </r>
  <r>
    <x v="2"/>
    <x v="24"/>
    <x v="286"/>
    <x v="1"/>
    <x v="3"/>
    <n v="4"/>
    <n v="0"/>
    <n v="0"/>
  </r>
  <r>
    <x v="2"/>
    <x v="24"/>
    <x v="286"/>
    <x v="1"/>
    <x v="4"/>
    <n v="5"/>
    <n v="0"/>
    <n v="0"/>
  </r>
  <r>
    <x v="2"/>
    <x v="24"/>
    <x v="286"/>
    <x v="1"/>
    <x v="5"/>
    <n v="6"/>
    <n v="0"/>
    <n v="0"/>
  </r>
  <r>
    <x v="2"/>
    <x v="24"/>
    <x v="286"/>
    <x v="1"/>
    <x v="6"/>
    <n v="7"/>
    <n v="13"/>
    <n v="10275.544331496223"/>
  </r>
  <r>
    <x v="2"/>
    <x v="24"/>
    <x v="290"/>
    <x v="1"/>
    <x v="0"/>
    <n v="1"/>
    <n v="0"/>
    <n v="0"/>
  </r>
  <r>
    <x v="2"/>
    <x v="24"/>
    <x v="290"/>
    <x v="1"/>
    <x v="1"/>
    <n v="2"/>
    <n v="0"/>
    <n v="0"/>
  </r>
  <r>
    <x v="2"/>
    <x v="24"/>
    <x v="290"/>
    <x v="1"/>
    <x v="2"/>
    <n v="3"/>
    <n v="0"/>
    <n v="0"/>
  </r>
  <r>
    <x v="2"/>
    <x v="24"/>
    <x v="290"/>
    <x v="1"/>
    <x v="3"/>
    <n v="4"/>
    <n v="0"/>
    <n v="0"/>
  </r>
  <r>
    <x v="2"/>
    <x v="24"/>
    <x v="290"/>
    <x v="1"/>
    <x v="4"/>
    <n v="5"/>
    <n v="0"/>
    <n v="0"/>
  </r>
  <r>
    <x v="2"/>
    <x v="24"/>
    <x v="290"/>
    <x v="1"/>
    <x v="5"/>
    <n v="6"/>
    <n v="0"/>
    <n v="0"/>
  </r>
  <r>
    <x v="2"/>
    <x v="24"/>
    <x v="290"/>
    <x v="1"/>
    <x v="6"/>
    <n v="7"/>
    <n v="0"/>
    <n v="0"/>
  </r>
  <r>
    <x v="2"/>
    <x v="7"/>
    <x v="96"/>
    <x v="1"/>
    <x v="0"/>
    <n v="1"/>
    <n v="0"/>
    <n v="0"/>
  </r>
  <r>
    <x v="2"/>
    <x v="7"/>
    <x v="96"/>
    <x v="1"/>
    <x v="1"/>
    <n v="2"/>
    <n v="55"/>
    <n v="5527.061576983504"/>
  </r>
  <r>
    <x v="2"/>
    <x v="7"/>
    <x v="96"/>
    <x v="1"/>
    <x v="2"/>
    <n v="3"/>
    <n v="30"/>
    <n v="4972.7751277683137"/>
  </r>
  <r>
    <x v="2"/>
    <x v="7"/>
    <x v="96"/>
    <x v="1"/>
    <x v="3"/>
    <n v="4"/>
    <n v="18"/>
    <n v="15474.479072642967"/>
  </r>
  <r>
    <x v="2"/>
    <x v="7"/>
    <x v="96"/>
    <x v="1"/>
    <x v="4"/>
    <n v="5"/>
    <n v="40"/>
    <n v="40339.887577290618"/>
  </r>
  <r>
    <x v="2"/>
    <x v="7"/>
    <x v="96"/>
    <x v="1"/>
    <x v="5"/>
    <n v="6"/>
    <n v="132"/>
    <n v="30354.051838709674"/>
  </r>
  <r>
    <x v="2"/>
    <x v="7"/>
    <x v="96"/>
    <x v="1"/>
    <x v="6"/>
    <n v="7"/>
    <n v="28"/>
    <n v="22131.941637068787"/>
  </r>
  <r>
    <x v="2"/>
    <x v="7"/>
    <x v="338"/>
    <x v="1"/>
    <x v="0"/>
    <n v="1"/>
    <n v="0"/>
    <n v="0"/>
  </r>
  <r>
    <x v="2"/>
    <x v="7"/>
    <x v="338"/>
    <x v="1"/>
    <x v="1"/>
    <n v="2"/>
    <n v="37"/>
    <n v="3718.2050608798113"/>
  </r>
  <r>
    <x v="2"/>
    <x v="7"/>
    <x v="338"/>
    <x v="1"/>
    <x v="2"/>
    <n v="3"/>
    <n v="14"/>
    <n v="2320.6283929585461"/>
  </r>
  <r>
    <x v="2"/>
    <x v="7"/>
    <x v="338"/>
    <x v="1"/>
    <x v="3"/>
    <n v="4"/>
    <n v="5"/>
    <n v="4298.4664090674905"/>
  </r>
  <r>
    <x v="2"/>
    <x v="7"/>
    <x v="338"/>
    <x v="1"/>
    <x v="4"/>
    <n v="5"/>
    <n v="0"/>
    <n v="0"/>
  </r>
  <r>
    <x v="2"/>
    <x v="7"/>
    <x v="338"/>
    <x v="1"/>
    <x v="5"/>
    <n v="6"/>
    <n v="21"/>
    <n v="4829.0537016129028"/>
  </r>
  <r>
    <x v="2"/>
    <x v="7"/>
    <x v="338"/>
    <x v="1"/>
    <x v="6"/>
    <n v="7"/>
    <n v="12"/>
    <n v="9485.117844458051"/>
  </r>
  <r>
    <x v="2"/>
    <x v="7"/>
    <x v="339"/>
    <x v="1"/>
    <x v="0"/>
    <n v="1"/>
    <n v="0"/>
    <n v="0"/>
  </r>
  <r>
    <x v="2"/>
    <x v="7"/>
    <x v="339"/>
    <x v="1"/>
    <x v="1"/>
    <n v="2"/>
    <n v="0"/>
    <n v="0"/>
  </r>
  <r>
    <x v="2"/>
    <x v="7"/>
    <x v="339"/>
    <x v="1"/>
    <x v="2"/>
    <n v="3"/>
    <n v="30"/>
    <n v="4972.7751277683137"/>
  </r>
  <r>
    <x v="2"/>
    <x v="7"/>
    <x v="339"/>
    <x v="1"/>
    <x v="3"/>
    <n v="4"/>
    <n v="9"/>
    <n v="7737.2395363214837"/>
  </r>
  <r>
    <x v="2"/>
    <x v="7"/>
    <x v="339"/>
    <x v="1"/>
    <x v="4"/>
    <n v="5"/>
    <n v="21"/>
    <n v="21178.440978077571"/>
  </r>
  <r>
    <x v="2"/>
    <x v="7"/>
    <x v="339"/>
    <x v="1"/>
    <x v="5"/>
    <n v="6"/>
    <n v="132"/>
    <n v="30354.051838709674"/>
  </r>
  <r>
    <x v="2"/>
    <x v="7"/>
    <x v="339"/>
    <x v="1"/>
    <x v="6"/>
    <n v="7"/>
    <n v="31"/>
    <n v="24503.221098183301"/>
  </r>
  <r>
    <x v="2"/>
    <x v="7"/>
    <x v="106"/>
    <x v="1"/>
    <x v="0"/>
    <n v="1"/>
    <n v="0"/>
    <n v="0"/>
  </r>
  <r>
    <x v="2"/>
    <x v="7"/>
    <x v="106"/>
    <x v="1"/>
    <x v="1"/>
    <n v="2"/>
    <n v="0"/>
    <n v="0"/>
  </r>
  <r>
    <x v="2"/>
    <x v="7"/>
    <x v="106"/>
    <x v="1"/>
    <x v="2"/>
    <n v="3"/>
    <n v="58"/>
    <n v="9614.0319136854068"/>
  </r>
  <r>
    <x v="2"/>
    <x v="7"/>
    <x v="106"/>
    <x v="1"/>
    <x v="3"/>
    <n v="4"/>
    <n v="4"/>
    <n v="3438.7731272539927"/>
  </r>
  <r>
    <x v="2"/>
    <x v="7"/>
    <x v="106"/>
    <x v="1"/>
    <x v="4"/>
    <n v="5"/>
    <n v="5"/>
    <n v="5042.4859471613272"/>
  </r>
  <r>
    <x v="2"/>
    <x v="7"/>
    <x v="106"/>
    <x v="1"/>
    <x v="5"/>
    <n v="6"/>
    <n v="1"/>
    <n v="229.954938172043"/>
  </r>
  <r>
    <x v="2"/>
    <x v="7"/>
    <x v="106"/>
    <x v="1"/>
    <x v="6"/>
    <n v="7"/>
    <n v="27"/>
    <n v="21341.515150030616"/>
  </r>
  <r>
    <x v="2"/>
    <x v="7"/>
    <x v="340"/>
    <x v="1"/>
    <x v="0"/>
    <n v="1"/>
    <n v="0"/>
    <n v="0"/>
  </r>
  <r>
    <x v="2"/>
    <x v="7"/>
    <x v="340"/>
    <x v="1"/>
    <x v="1"/>
    <n v="2"/>
    <n v="0"/>
    <n v="0"/>
  </r>
  <r>
    <x v="2"/>
    <x v="7"/>
    <x v="340"/>
    <x v="1"/>
    <x v="2"/>
    <n v="3"/>
    <n v="31"/>
    <n v="5138.534298693924"/>
  </r>
  <r>
    <x v="2"/>
    <x v="7"/>
    <x v="340"/>
    <x v="1"/>
    <x v="3"/>
    <n v="4"/>
    <n v="9"/>
    <n v="7737.2395363214837"/>
  </r>
  <r>
    <x v="2"/>
    <x v="7"/>
    <x v="340"/>
    <x v="1"/>
    <x v="4"/>
    <n v="5"/>
    <n v="10"/>
    <n v="10084.971894322654"/>
  </r>
  <r>
    <x v="2"/>
    <x v="7"/>
    <x v="340"/>
    <x v="1"/>
    <x v="5"/>
    <n v="6"/>
    <n v="10"/>
    <n v="2299.5493817204301"/>
  </r>
  <r>
    <x v="2"/>
    <x v="7"/>
    <x v="340"/>
    <x v="1"/>
    <x v="6"/>
    <n v="7"/>
    <n v="44"/>
    <n v="34778.765429679523"/>
  </r>
  <r>
    <x v="2"/>
    <x v="7"/>
    <x v="92"/>
    <x v="1"/>
    <x v="0"/>
    <n v="1"/>
    <n v="0"/>
    <n v="0"/>
  </r>
  <r>
    <x v="2"/>
    <x v="7"/>
    <x v="92"/>
    <x v="1"/>
    <x v="1"/>
    <n v="2"/>
    <n v="51"/>
    <n v="5125.0934622937939"/>
  </r>
  <r>
    <x v="2"/>
    <x v="7"/>
    <x v="92"/>
    <x v="1"/>
    <x v="2"/>
    <n v="3"/>
    <n v="31"/>
    <n v="5138.534298693924"/>
  </r>
  <r>
    <x v="2"/>
    <x v="7"/>
    <x v="92"/>
    <x v="1"/>
    <x v="3"/>
    <n v="4"/>
    <n v="9"/>
    <n v="7737.2395363214837"/>
  </r>
  <r>
    <x v="2"/>
    <x v="7"/>
    <x v="92"/>
    <x v="1"/>
    <x v="4"/>
    <n v="5"/>
    <n v="35"/>
    <n v="35297.401630129287"/>
  </r>
  <r>
    <x v="2"/>
    <x v="7"/>
    <x v="92"/>
    <x v="1"/>
    <x v="5"/>
    <n v="6"/>
    <n v="126"/>
    <n v="28974.322209677419"/>
  </r>
  <r>
    <x v="2"/>
    <x v="7"/>
    <x v="92"/>
    <x v="1"/>
    <x v="6"/>
    <n v="7"/>
    <n v="26"/>
    <n v="20551.088662992446"/>
  </r>
  <r>
    <x v="2"/>
    <x v="21"/>
    <x v="326"/>
    <x v="1"/>
    <x v="0"/>
    <n v="1"/>
    <n v="0"/>
    <n v="0"/>
  </r>
  <r>
    <x v="2"/>
    <x v="21"/>
    <x v="326"/>
    <x v="1"/>
    <x v="1"/>
    <n v="2"/>
    <n v="21"/>
    <n v="2110.3326021209741"/>
  </r>
  <r>
    <x v="2"/>
    <x v="21"/>
    <x v="326"/>
    <x v="1"/>
    <x v="2"/>
    <n v="3"/>
    <n v="5"/>
    <n v="828.79585462805221"/>
  </r>
  <r>
    <x v="2"/>
    <x v="21"/>
    <x v="326"/>
    <x v="1"/>
    <x v="3"/>
    <n v="4"/>
    <n v="1"/>
    <n v="859.69328181349817"/>
  </r>
  <r>
    <x v="2"/>
    <x v="21"/>
    <x v="326"/>
    <x v="1"/>
    <x v="4"/>
    <n v="5"/>
    <n v="23"/>
    <n v="23195.435356942104"/>
  </r>
  <r>
    <x v="2"/>
    <x v="21"/>
    <x v="326"/>
    <x v="1"/>
    <x v="5"/>
    <n v="6"/>
    <n v="5"/>
    <n v="1149.7746908602151"/>
  </r>
  <r>
    <x v="2"/>
    <x v="21"/>
    <x v="326"/>
    <x v="1"/>
    <x v="6"/>
    <n v="7"/>
    <n v="26"/>
    <n v="20551.088662992446"/>
  </r>
  <r>
    <x v="2"/>
    <x v="21"/>
    <x v="324"/>
    <x v="1"/>
    <x v="0"/>
    <n v="1"/>
    <n v="0"/>
    <n v="0"/>
  </r>
  <r>
    <x v="2"/>
    <x v="21"/>
    <x v="324"/>
    <x v="1"/>
    <x v="1"/>
    <n v="2"/>
    <n v="13"/>
    <n v="1306.3963727415553"/>
  </r>
  <r>
    <x v="2"/>
    <x v="21"/>
    <x v="324"/>
    <x v="1"/>
    <x v="2"/>
    <n v="3"/>
    <n v="18"/>
    <n v="2983.6650766609882"/>
  </r>
  <r>
    <x v="2"/>
    <x v="21"/>
    <x v="324"/>
    <x v="1"/>
    <x v="3"/>
    <n v="4"/>
    <n v="4"/>
    <n v="3438.7731272539927"/>
  </r>
  <r>
    <x v="2"/>
    <x v="21"/>
    <x v="324"/>
    <x v="1"/>
    <x v="4"/>
    <n v="5"/>
    <n v="0"/>
    <n v="0"/>
  </r>
  <r>
    <x v="2"/>
    <x v="21"/>
    <x v="324"/>
    <x v="1"/>
    <x v="5"/>
    <n v="6"/>
    <n v="5"/>
    <n v="1149.7746908602151"/>
  </r>
  <r>
    <x v="2"/>
    <x v="21"/>
    <x v="324"/>
    <x v="1"/>
    <x v="6"/>
    <n v="7"/>
    <n v="5"/>
    <n v="3952.1324351908552"/>
  </r>
  <r>
    <x v="2"/>
    <x v="21"/>
    <x v="323"/>
    <x v="1"/>
    <x v="0"/>
    <n v="1"/>
    <n v="0"/>
    <n v="0"/>
  </r>
  <r>
    <x v="2"/>
    <x v="21"/>
    <x v="323"/>
    <x v="1"/>
    <x v="1"/>
    <n v="2"/>
    <n v="0"/>
    <n v="0"/>
  </r>
  <r>
    <x v="2"/>
    <x v="21"/>
    <x v="323"/>
    <x v="1"/>
    <x v="2"/>
    <n v="3"/>
    <n v="25"/>
    <n v="4143.9792731402613"/>
  </r>
  <r>
    <x v="2"/>
    <x v="21"/>
    <x v="323"/>
    <x v="1"/>
    <x v="3"/>
    <n v="4"/>
    <n v="8"/>
    <n v="6877.5462545079854"/>
  </r>
  <r>
    <x v="2"/>
    <x v="21"/>
    <x v="323"/>
    <x v="1"/>
    <x v="4"/>
    <n v="5"/>
    <n v="1"/>
    <n v="1008.4971894322654"/>
  </r>
  <r>
    <x v="2"/>
    <x v="21"/>
    <x v="323"/>
    <x v="1"/>
    <x v="5"/>
    <n v="6"/>
    <n v="20"/>
    <n v="4599.0987634408602"/>
  </r>
  <r>
    <x v="2"/>
    <x v="21"/>
    <x v="323"/>
    <x v="1"/>
    <x v="6"/>
    <n v="7"/>
    <n v="36"/>
    <n v="28455.353533374157"/>
  </r>
  <r>
    <x v="2"/>
    <x v="21"/>
    <x v="341"/>
    <x v="1"/>
    <x v="0"/>
    <n v="1"/>
    <n v="0"/>
    <n v="0"/>
  </r>
  <r>
    <x v="2"/>
    <x v="21"/>
    <x v="341"/>
    <x v="1"/>
    <x v="1"/>
    <n v="2"/>
    <n v="0"/>
    <n v="0"/>
  </r>
  <r>
    <x v="2"/>
    <x v="21"/>
    <x v="341"/>
    <x v="1"/>
    <x v="2"/>
    <n v="3"/>
    <n v="15"/>
    <n v="2486.3875638841569"/>
  </r>
  <r>
    <x v="2"/>
    <x v="21"/>
    <x v="341"/>
    <x v="1"/>
    <x v="3"/>
    <n v="4"/>
    <n v="5"/>
    <n v="4298.4664090674905"/>
  </r>
  <r>
    <x v="2"/>
    <x v="21"/>
    <x v="341"/>
    <x v="1"/>
    <x v="4"/>
    <n v="5"/>
    <n v="4"/>
    <n v="4033.9887577290615"/>
  </r>
  <r>
    <x v="2"/>
    <x v="21"/>
    <x v="341"/>
    <x v="1"/>
    <x v="5"/>
    <n v="6"/>
    <n v="18"/>
    <n v="4139.1888870967741"/>
  </r>
  <r>
    <x v="2"/>
    <x v="21"/>
    <x v="341"/>
    <x v="1"/>
    <x v="6"/>
    <n v="7"/>
    <n v="10"/>
    <n v="7904.2648703817104"/>
  </r>
  <r>
    <x v="2"/>
    <x v="21"/>
    <x v="342"/>
    <x v="1"/>
    <x v="0"/>
    <n v="1"/>
    <n v="0"/>
    <n v="0"/>
  </r>
  <r>
    <x v="2"/>
    <x v="21"/>
    <x v="342"/>
    <x v="1"/>
    <x v="1"/>
    <n v="2"/>
    <n v="0"/>
    <n v="0"/>
  </r>
  <r>
    <x v="2"/>
    <x v="21"/>
    <x v="342"/>
    <x v="1"/>
    <x v="2"/>
    <n v="3"/>
    <n v="16"/>
    <n v="2652.1467348097672"/>
  </r>
  <r>
    <x v="2"/>
    <x v="21"/>
    <x v="342"/>
    <x v="1"/>
    <x v="3"/>
    <n v="4"/>
    <n v="20"/>
    <n v="17193.865636269962"/>
  </r>
  <r>
    <x v="2"/>
    <x v="21"/>
    <x v="342"/>
    <x v="1"/>
    <x v="4"/>
    <n v="5"/>
    <n v="0"/>
    <n v="0"/>
  </r>
  <r>
    <x v="2"/>
    <x v="21"/>
    <x v="342"/>
    <x v="1"/>
    <x v="5"/>
    <n v="6"/>
    <n v="14"/>
    <n v="3219.3691344086019"/>
  </r>
  <r>
    <x v="2"/>
    <x v="21"/>
    <x v="342"/>
    <x v="1"/>
    <x v="6"/>
    <n v="7"/>
    <n v="30"/>
    <n v="23712.794611145131"/>
  </r>
  <r>
    <x v="2"/>
    <x v="21"/>
    <x v="332"/>
    <x v="1"/>
    <x v="0"/>
    <n v="1"/>
    <n v="0"/>
    <n v="0"/>
  </r>
  <r>
    <x v="2"/>
    <x v="21"/>
    <x v="332"/>
    <x v="1"/>
    <x v="1"/>
    <n v="2"/>
    <n v="57"/>
    <n v="5728.0456343283586"/>
  </r>
  <r>
    <x v="2"/>
    <x v="21"/>
    <x v="332"/>
    <x v="1"/>
    <x v="2"/>
    <n v="3"/>
    <n v="80"/>
    <n v="13260.733674048835"/>
  </r>
  <r>
    <x v="2"/>
    <x v="21"/>
    <x v="332"/>
    <x v="1"/>
    <x v="3"/>
    <n v="4"/>
    <n v="9"/>
    <n v="7737.2395363214837"/>
  </r>
  <r>
    <x v="2"/>
    <x v="21"/>
    <x v="332"/>
    <x v="1"/>
    <x v="4"/>
    <n v="5"/>
    <n v="26"/>
    <n v="26220.926925238899"/>
  </r>
  <r>
    <x v="2"/>
    <x v="21"/>
    <x v="332"/>
    <x v="1"/>
    <x v="5"/>
    <n v="6"/>
    <n v="133"/>
    <n v="30584.006776881721"/>
  </r>
  <r>
    <x v="2"/>
    <x v="21"/>
    <x v="332"/>
    <x v="1"/>
    <x v="6"/>
    <n v="7"/>
    <n v="35"/>
    <n v="27664.927046335986"/>
  </r>
  <r>
    <x v="2"/>
    <x v="9"/>
    <x v="127"/>
    <x v="1"/>
    <x v="0"/>
    <n v="1"/>
    <n v="0"/>
    <n v="0"/>
  </r>
  <r>
    <x v="2"/>
    <x v="9"/>
    <x v="127"/>
    <x v="1"/>
    <x v="1"/>
    <n v="2"/>
    <n v="102"/>
    <n v="10250.186924587588"/>
  </r>
  <r>
    <x v="2"/>
    <x v="9"/>
    <x v="127"/>
    <x v="1"/>
    <x v="2"/>
    <n v="3"/>
    <n v="274"/>
    <n v="45418.012833617264"/>
  </r>
  <r>
    <x v="2"/>
    <x v="9"/>
    <x v="127"/>
    <x v="1"/>
    <x v="3"/>
    <n v="4"/>
    <n v="15"/>
    <n v="12895.399227202473"/>
  </r>
  <r>
    <x v="2"/>
    <x v="9"/>
    <x v="127"/>
    <x v="1"/>
    <x v="4"/>
    <n v="5"/>
    <n v="76"/>
    <n v="76645.786396852171"/>
  </r>
  <r>
    <x v="2"/>
    <x v="9"/>
    <x v="127"/>
    <x v="1"/>
    <x v="5"/>
    <n v="6"/>
    <n v="261"/>
    <n v="60018.238862903221"/>
  </r>
  <r>
    <x v="2"/>
    <x v="9"/>
    <x v="127"/>
    <x v="1"/>
    <x v="6"/>
    <n v="7"/>
    <n v="139"/>
    <n v="109869.28169830577"/>
  </r>
  <r>
    <x v="2"/>
    <x v="9"/>
    <x v="133"/>
    <x v="1"/>
    <x v="0"/>
    <n v="1"/>
    <n v="0"/>
    <n v="0"/>
  </r>
  <r>
    <x v="2"/>
    <x v="9"/>
    <x v="133"/>
    <x v="1"/>
    <x v="1"/>
    <n v="2"/>
    <n v="50"/>
    <n v="5024.6014336213666"/>
  </r>
  <r>
    <x v="2"/>
    <x v="9"/>
    <x v="133"/>
    <x v="1"/>
    <x v="2"/>
    <n v="3"/>
    <n v="113"/>
    <n v="18730.786314593981"/>
  </r>
  <r>
    <x v="2"/>
    <x v="9"/>
    <x v="133"/>
    <x v="1"/>
    <x v="3"/>
    <n v="4"/>
    <n v="0"/>
    <n v="0"/>
  </r>
  <r>
    <x v="2"/>
    <x v="9"/>
    <x v="133"/>
    <x v="1"/>
    <x v="4"/>
    <n v="5"/>
    <n v="38"/>
    <n v="38322.893198426085"/>
  </r>
  <r>
    <x v="2"/>
    <x v="9"/>
    <x v="133"/>
    <x v="1"/>
    <x v="5"/>
    <n v="6"/>
    <n v="125"/>
    <n v="28744.367271505376"/>
  </r>
  <r>
    <x v="2"/>
    <x v="9"/>
    <x v="133"/>
    <x v="1"/>
    <x v="6"/>
    <n v="7"/>
    <n v="4"/>
    <n v="3161.705948152684"/>
  </r>
  <r>
    <x v="2"/>
    <x v="9"/>
    <x v="130"/>
    <x v="1"/>
    <x v="0"/>
    <n v="1"/>
    <n v="0"/>
    <n v="0"/>
  </r>
  <r>
    <x v="2"/>
    <x v="9"/>
    <x v="130"/>
    <x v="1"/>
    <x v="1"/>
    <n v="2"/>
    <n v="30"/>
    <n v="3014.7608601728202"/>
  </r>
  <r>
    <x v="2"/>
    <x v="9"/>
    <x v="130"/>
    <x v="1"/>
    <x v="2"/>
    <n v="3"/>
    <n v="154"/>
    <n v="25526.912322544009"/>
  </r>
  <r>
    <x v="2"/>
    <x v="9"/>
    <x v="130"/>
    <x v="1"/>
    <x v="3"/>
    <n v="4"/>
    <n v="70"/>
    <n v="60178.529726944871"/>
  </r>
  <r>
    <x v="2"/>
    <x v="9"/>
    <x v="130"/>
    <x v="1"/>
    <x v="4"/>
    <n v="5"/>
    <n v="47"/>
    <n v="47399.367903316474"/>
  </r>
  <r>
    <x v="2"/>
    <x v="9"/>
    <x v="130"/>
    <x v="1"/>
    <x v="5"/>
    <n v="6"/>
    <n v="130"/>
    <n v="29894.141962365589"/>
  </r>
  <r>
    <x v="2"/>
    <x v="9"/>
    <x v="130"/>
    <x v="1"/>
    <x v="6"/>
    <n v="7"/>
    <n v="127"/>
    <n v="100384.16385384771"/>
  </r>
  <r>
    <x v="2"/>
    <x v="9"/>
    <x v="343"/>
    <x v="1"/>
    <x v="0"/>
    <n v="1"/>
    <n v="0"/>
    <n v="0"/>
  </r>
  <r>
    <x v="2"/>
    <x v="9"/>
    <x v="343"/>
    <x v="1"/>
    <x v="1"/>
    <n v="2"/>
    <n v="0"/>
    <n v="0"/>
  </r>
  <r>
    <x v="2"/>
    <x v="9"/>
    <x v="343"/>
    <x v="1"/>
    <x v="2"/>
    <n v="3"/>
    <n v="207"/>
    <n v="34312.148381601364"/>
  </r>
  <r>
    <x v="2"/>
    <x v="9"/>
    <x v="343"/>
    <x v="1"/>
    <x v="3"/>
    <n v="4"/>
    <n v="20"/>
    <n v="17193.865636269962"/>
  </r>
  <r>
    <x v="2"/>
    <x v="9"/>
    <x v="343"/>
    <x v="1"/>
    <x v="4"/>
    <n v="5"/>
    <n v="40"/>
    <n v="40339.887577290618"/>
  </r>
  <r>
    <x v="2"/>
    <x v="9"/>
    <x v="343"/>
    <x v="1"/>
    <x v="5"/>
    <n v="6"/>
    <n v="147"/>
    <n v="33803.375911290321"/>
  </r>
  <r>
    <x v="2"/>
    <x v="9"/>
    <x v="343"/>
    <x v="1"/>
    <x v="6"/>
    <n v="7"/>
    <n v="157"/>
    <n v="124096.95846499284"/>
  </r>
  <r>
    <x v="2"/>
    <x v="9"/>
    <x v="128"/>
    <x v="1"/>
    <x v="0"/>
    <n v="1"/>
    <n v="0"/>
    <n v="0"/>
  </r>
  <r>
    <x v="2"/>
    <x v="9"/>
    <x v="128"/>
    <x v="1"/>
    <x v="1"/>
    <n v="2"/>
    <n v="0"/>
    <n v="0"/>
  </r>
  <r>
    <x v="2"/>
    <x v="9"/>
    <x v="128"/>
    <x v="1"/>
    <x v="2"/>
    <n v="3"/>
    <n v="300"/>
    <n v="49727.751277683135"/>
  </r>
  <r>
    <x v="2"/>
    <x v="9"/>
    <x v="128"/>
    <x v="1"/>
    <x v="3"/>
    <n v="4"/>
    <n v="39"/>
    <n v="33528.037990726429"/>
  </r>
  <r>
    <x v="2"/>
    <x v="9"/>
    <x v="128"/>
    <x v="1"/>
    <x v="4"/>
    <n v="5"/>
    <n v="20"/>
    <n v="20169.943788645309"/>
  </r>
  <r>
    <x v="2"/>
    <x v="9"/>
    <x v="128"/>
    <x v="1"/>
    <x v="5"/>
    <n v="6"/>
    <n v="289"/>
    <n v="66456.977131720429"/>
  </r>
  <r>
    <x v="2"/>
    <x v="9"/>
    <x v="128"/>
    <x v="1"/>
    <x v="6"/>
    <n v="7"/>
    <n v="256"/>
    <n v="202349.18068177177"/>
  </r>
  <r>
    <x v="2"/>
    <x v="9"/>
    <x v="131"/>
    <x v="1"/>
    <x v="0"/>
    <n v="1"/>
    <n v="0"/>
    <n v="0"/>
  </r>
  <r>
    <x v="2"/>
    <x v="9"/>
    <x v="131"/>
    <x v="1"/>
    <x v="1"/>
    <n v="2"/>
    <n v="60"/>
    <n v="6029.5217203456405"/>
  </r>
  <r>
    <x v="2"/>
    <x v="9"/>
    <x v="131"/>
    <x v="1"/>
    <x v="2"/>
    <n v="3"/>
    <n v="120"/>
    <n v="19891.100511073255"/>
  </r>
  <r>
    <x v="2"/>
    <x v="9"/>
    <x v="131"/>
    <x v="1"/>
    <x v="3"/>
    <n v="4"/>
    <n v="0"/>
    <n v="0"/>
  </r>
  <r>
    <x v="2"/>
    <x v="9"/>
    <x v="131"/>
    <x v="1"/>
    <x v="4"/>
    <n v="5"/>
    <n v="0"/>
    <n v="0"/>
  </r>
  <r>
    <x v="2"/>
    <x v="9"/>
    <x v="131"/>
    <x v="1"/>
    <x v="5"/>
    <n v="6"/>
    <n v="157"/>
    <n v="36102.925293010754"/>
  </r>
  <r>
    <x v="2"/>
    <x v="9"/>
    <x v="131"/>
    <x v="1"/>
    <x v="6"/>
    <n v="7"/>
    <n v="70"/>
    <n v="55329.854092671972"/>
  </r>
  <r>
    <x v="2"/>
    <x v="10"/>
    <x v="137"/>
    <x v="1"/>
    <x v="0"/>
    <n v="1"/>
    <n v="0"/>
    <n v="0"/>
  </r>
  <r>
    <x v="2"/>
    <x v="10"/>
    <x v="137"/>
    <x v="1"/>
    <x v="1"/>
    <n v="2"/>
    <n v="0"/>
    <n v="0"/>
  </r>
  <r>
    <x v="2"/>
    <x v="10"/>
    <x v="137"/>
    <x v="1"/>
    <x v="2"/>
    <n v="3"/>
    <n v="32"/>
    <n v="5304.2934696195343"/>
  </r>
  <r>
    <x v="2"/>
    <x v="10"/>
    <x v="137"/>
    <x v="1"/>
    <x v="3"/>
    <n v="4"/>
    <n v="9"/>
    <n v="7737.2395363214837"/>
  </r>
  <r>
    <x v="2"/>
    <x v="10"/>
    <x v="137"/>
    <x v="1"/>
    <x v="4"/>
    <n v="5"/>
    <n v="2"/>
    <n v="2016.9943788645307"/>
  </r>
  <r>
    <x v="2"/>
    <x v="10"/>
    <x v="137"/>
    <x v="1"/>
    <x v="5"/>
    <n v="6"/>
    <n v="4"/>
    <n v="919.819752688172"/>
  </r>
  <r>
    <x v="2"/>
    <x v="10"/>
    <x v="137"/>
    <x v="1"/>
    <x v="6"/>
    <n v="7"/>
    <n v="11"/>
    <n v="8694.6913574198807"/>
  </r>
  <r>
    <x v="2"/>
    <x v="10"/>
    <x v="139"/>
    <x v="1"/>
    <x v="0"/>
    <n v="1"/>
    <n v="0"/>
    <n v="0"/>
  </r>
  <r>
    <x v="2"/>
    <x v="10"/>
    <x v="139"/>
    <x v="1"/>
    <x v="1"/>
    <n v="2"/>
    <n v="0"/>
    <n v="0"/>
  </r>
  <r>
    <x v="2"/>
    <x v="10"/>
    <x v="139"/>
    <x v="1"/>
    <x v="2"/>
    <n v="3"/>
    <n v="30"/>
    <n v="4972.7751277683137"/>
  </r>
  <r>
    <x v="2"/>
    <x v="10"/>
    <x v="139"/>
    <x v="1"/>
    <x v="3"/>
    <n v="4"/>
    <n v="14"/>
    <n v="12035.705945388974"/>
  </r>
  <r>
    <x v="2"/>
    <x v="10"/>
    <x v="139"/>
    <x v="1"/>
    <x v="4"/>
    <n v="5"/>
    <n v="14"/>
    <n v="14118.960652051715"/>
  </r>
  <r>
    <x v="2"/>
    <x v="10"/>
    <x v="139"/>
    <x v="1"/>
    <x v="5"/>
    <n v="6"/>
    <n v="3"/>
    <n v="689.86481451612894"/>
  </r>
  <r>
    <x v="2"/>
    <x v="10"/>
    <x v="139"/>
    <x v="1"/>
    <x v="6"/>
    <n v="7"/>
    <n v="6"/>
    <n v="4742.5589222290255"/>
  </r>
  <r>
    <x v="2"/>
    <x v="10"/>
    <x v="143"/>
    <x v="1"/>
    <x v="0"/>
    <n v="1"/>
    <n v="0"/>
    <n v="0"/>
  </r>
  <r>
    <x v="2"/>
    <x v="10"/>
    <x v="143"/>
    <x v="1"/>
    <x v="1"/>
    <n v="2"/>
    <n v="25"/>
    <n v="2512.3007168106833"/>
  </r>
  <r>
    <x v="2"/>
    <x v="10"/>
    <x v="143"/>
    <x v="1"/>
    <x v="2"/>
    <n v="3"/>
    <n v="11"/>
    <n v="1823.350880181715"/>
  </r>
  <r>
    <x v="2"/>
    <x v="10"/>
    <x v="143"/>
    <x v="1"/>
    <x v="3"/>
    <n v="4"/>
    <n v="11"/>
    <n v="9456.6260999484803"/>
  </r>
  <r>
    <x v="2"/>
    <x v="10"/>
    <x v="143"/>
    <x v="1"/>
    <x v="4"/>
    <n v="5"/>
    <n v="9"/>
    <n v="9076.4747048903882"/>
  </r>
  <r>
    <x v="2"/>
    <x v="10"/>
    <x v="143"/>
    <x v="1"/>
    <x v="5"/>
    <n v="6"/>
    <n v="1"/>
    <n v="229.954938172043"/>
  </r>
  <r>
    <x v="2"/>
    <x v="10"/>
    <x v="143"/>
    <x v="1"/>
    <x v="6"/>
    <n v="7"/>
    <n v="2"/>
    <n v="1580.852974076342"/>
  </r>
  <r>
    <x v="2"/>
    <x v="10"/>
    <x v="149"/>
    <x v="1"/>
    <x v="0"/>
    <n v="1"/>
    <n v="0"/>
    <n v="0"/>
  </r>
  <r>
    <x v="2"/>
    <x v="10"/>
    <x v="149"/>
    <x v="1"/>
    <x v="1"/>
    <n v="2"/>
    <n v="0"/>
    <n v="0"/>
  </r>
  <r>
    <x v="2"/>
    <x v="10"/>
    <x v="149"/>
    <x v="1"/>
    <x v="2"/>
    <n v="3"/>
    <n v="0"/>
    <n v="0"/>
  </r>
  <r>
    <x v="2"/>
    <x v="10"/>
    <x v="149"/>
    <x v="1"/>
    <x v="3"/>
    <n v="4"/>
    <n v="0"/>
    <n v="0"/>
  </r>
  <r>
    <x v="2"/>
    <x v="10"/>
    <x v="149"/>
    <x v="1"/>
    <x v="4"/>
    <n v="5"/>
    <n v="0"/>
    <n v="0"/>
  </r>
  <r>
    <x v="2"/>
    <x v="10"/>
    <x v="149"/>
    <x v="1"/>
    <x v="5"/>
    <n v="6"/>
    <n v="5"/>
    <n v="1149.7746908602151"/>
  </r>
  <r>
    <x v="2"/>
    <x v="10"/>
    <x v="149"/>
    <x v="1"/>
    <x v="6"/>
    <n v="7"/>
    <n v="48"/>
    <n v="37940.471377832204"/>
  </r>
  <r>
    <x v="2"/>
    <x v="10"/>
    <x v="144"/>
    <x v="1"/>
    <x v="0"/>
    <n v="1"/>
    <n v="0"/>
    <n v="0"/>
  </r>
  <r>
    <x v="2"/>
    <x v="10"/>
    <x v="144"/>
    <x v="1"/>
    <x v="1"/>
    <n v="2"/>
    <n v="0"/>
    <n v="0"/>
  </r>
  <r>
    <x v="2"/>
    <x v="10"/>
    <x v="144"/>
    <x v="1"/>
    <x v="2"/>
    <n v="3"/>
    <n v="0"/>
    <n v="0"/>
  </r>
  <r>
    <x v="2"/>
    <x v="10"/>
    <x v="144"/>
    <x v="1"/>
    <x v="3"/>
    <n v="4"/>
    <n v="0"/>
    <n v="0"/>
  </r>
  <r>
    <x v="2"/>
    <x v="10"/>
    <x v="144"/>
    <x v="1"/>
    <x v="4"/>
    <n v="5"/>
    <n v="0"/>
    <n v="0"/>
  </r>
  <r>
    <x v="2"/>
    <x v="10"/>
    <x v="144"/>
    <x v="1"/>
    <x v="5"/>
    <n v="6"/>
    <n v="0"/>
    <n v="0"/>
  </r>
  <r>
    <x v="2"/>
    <x v="10"/>
    <x v="144"/>
    <x v="1"/>
    <x v="6"/>
    <n v="7"/>
    <n v="0"/>
    <n v="0"/>
  </r>
  <r>
    <x v="2"/>
    <x v="10"/>
    <x v="141"/>
    <x v="1"/>
    <x v="0"/>
    <n v="1"/>
    <n v="0"/>
    <n v="0"/>
  </r>
  <r>
    <x v="2"/>
    <x v="10"/>
    <x v="141"/>
    <x v="1"/>
    <x v="1"/>
    <n v="2"/>
    <n v="0"/>
    <n v="0"/>
  </r>
  <r>
    <x v="2"/>
    <x v="10"/>
    <x v="141"/>
    <x v="1"/>
    <x v="2"/>
    <n v="3"/>
    <n v="0"/>
    <n v="0"/>
  </r>
  <r>
    <x v="2"/>
    <x v="10"/>
    <x v="141"/>
    <x v="1"/>
    <x v="3"/>
    <n v="4"/>
    <n v="0"/>
    <n v="0"/>
  </r>
  <r>
    <x v="2"/>
    <x v="10"/>
    <x v="141"/>
    <x v="1"/>
    <x v="4"/>
    <n v="5"/>
    <n v="0"/>
    <n v="0"/>
  </r>
  <r>
    <x v="2"/>
    <x v="10"/>
    <x v="141"/>
    <x v="1"/>
    <x v="5"/>
    <n v="6"/>
    <n v="0"/>
    <n v="0"/>
  </r>
  <r>
    <x v="2"/>
    <x v="10"/>
    <x v="141"/>
    <x v="1"/>
    <x v="6"/>
    <n v="7"/>
    <n v="0"/>
    <n v="0"/>
  </r>
  <r>
    <x v="2"/>
    <x v="10"/>
    <x v="147"/>
    <x v="1"/>
    <x v="0"/>
    <n v="1"/>
    <n v="0"/>
    <n v="0"/>
  </r>
  <r>
    <x v="2"/>
    <x v="10"/>
    <x v="147"/>
    <x v="1"/>
    <x v="1"/>
    <n v="2"/>
    <n v="0"/>
    <n v="0"/>
  </r>
  <r>
    <x v="2"/>
    <x v="10"/>
    <x v="147"/>
    <x v="1"/>
    <x v="2"/>
    <n v="3"/>
    <n v="0"/>
    <n v="0"/>
  </r>
  <r>
    <x v="2"/>
    <x v="10"/>
    <x v="147"/>
    <x v="1"/>
    <x v="3"/>
    <n v="4"/>
    <n v="0"/>
    <n v="0"/>
  </r>
  <r>
    <x v="2"/>
    <x v="10"/>
    <x v="147"/>
    <x v="1"/>
    <x v="4"/>
    <n v="5"/>
    <n v="0"/>
    <n v="0"/>
  </r>
  <r>
    <x v="2"/>
    <x v="10"/>
    <x v="147"/>
    <x v="1"/>
    <x v="5"/>
    <n v="6"/>
    <n v="0"/>
    <n v="0"/>
  </r>
  <r>
    <x v="2"/>
    <x v="10"/>
    <x v="147"/>
    <x v="1"/>
    <x v="6"/>
    <n v="7"/>
    <n v="0"/>
    <n v="0"/>
  </r>
  <r>
    <x v="2"/>
    <x v="10"/>
    <x v="148"/>
    <x v="1"/>
    <x v="0"/>
    <n v="1"/>
    <n v="0"/>
    <n v="0"/>
  </r>
  <r>
    <x v="2"/>
    <x v="10"/>
    <x v="148"/>
    <x v="1"/>
    <x v="1"/>
    <n v="2"/>
    <n v="0"/>
    <n v="0"/>
  </r>
  <r>
    <x v="2"/>
    <x v="10"/>
    <x v="148"/>
    <x v="1"/>
    <x v="2"/>
    <n v="3"/>
    <n v="0"/>
    <n v="0"/>
  </r>
  <r>
    <x v="2"/>
    <x v="10"/>
    <x v="148"/>
    <x v="1"/>
    <x v="3"/>
    <n v="4"/>
    <n v="0"/>
    <n v="0"/>
  </r>
  <r>
    <x v="2"/>
    <x v="10"/>
    <x v="148"/>
    <x v="1"/>
    <x v="4"/>
    <n v="5"/>
    <n v="0"/>
    <n v="0"/>
  </r>
  <r>
    <x v="2"/>
    <x v="10"/>
    <x v="148"/>
    <x v="1"/>
    <x v="5"/>
    <n v="6"/>
    <n v="0"/>
    <n v="0"/>
  </r>
  <r>
    <x v="2"/>
    <x v="10"/>
    <x v="148"/>
    <x v="1"/>
    <x v="6"/>
    <n v="7"/>
    <n v="0"/>
    <n v="0"/>
  </r>
  <r>
    <x v="2"/>
    <x v="3"/>
    <x v="46"/>
    <x v="1"/>
    <x v="0"/>
    <n v="1"/>
    <n v="0"/>
    <n v="0"/>
  </r>
  <r>
    <x v="2"/>
    <x v="3"/>
    <x v="46"/>
    <x v="1"/>
    <x v="1"/>
    <n v="2"/>
    <n v="20"/>
    <n v="2009.8405734485468"/>
  </r>
  <r>
    <x v="2"/>
    <x v="3"/>
    <x v="46"/>
    <x v="1"/>
    <x v="2"/>
    <n v="3"/>
    <n v="66"/>
    <n v="10940.105281090289"/>
  </r>
  <r>
    <x v="2"/>
    <x v="3"/>
    <x v="46"/>
    <x v="1"/>
    <x v="3"/>
    <n v="4"/>
    <n v="58"/>
    <n v="49862.210345182895"/>
  </r>
  <r>
    <x v="2"/>
    <x v="3"/>
    <x v="46"/>
    <x v="1"/>
    <x v="4"/>
    <n v="5"/>
    <n v="36"/>
    <n v="36305.898819561553"/>
  </r>
  <r>
    <x v="2"/>
    <x v="3"/>
    <x v="46"/>
    <x v="1"/>
    <x v="5"/>
    <n v="6"/>
    <n v="186"/>
    <n v="42771.618499999997"/>
  </r>
  <r>
    <x v="2"/>
    <x v="3"/>
    <x v="46"/>
    <x v="1"/>
    <x v="6"/>
    <n v="7"/>
    <n v="153"/>
    <n v="120935.25251684016"/>
  </r>
  <r>
    <x v="2"/>
    <x v="3"/>
    <x v="47"/>
    <x v="1"/>
    <x v="0"/>
    <n v="1"/>
    <n v="0"/>
    <n v="0"/>
  </r>
  <r>
    <x v="2"/>
    <x v="3"/>
    <x v="47"/>
    <x v="1"/>
    <x v="1"/>
    <n v="2"/>
    <n v="21"/>
    <n v="2110.3326021209741"/>
  </r>
  <r>
    <x v="2"/>
    <x v="3"/>
    <x v="47"/>
    <x v="1"/>
    <x v="2"/>
    <n v="3"/>
    <n v="200"/>
    <n v="33151.83418512209"/>
  </r>
  <r>
    <x v="2"/>
    <x v="3"/>
    <x v="47"/>
    <x v="1"/>
    <x v="3"/>
    <n v="4"/>
    <n v="69"/>
    <n v="59318.836445131376"/>
  </r>
  <r>
    <x v="2"/>
    <x v="3"/>
    <x v="47"/>
    <x v="1"/>
    <x v="4"/>
    <n v="5"/>
    <n v="1"/>
    <n v="1008.4971894322654"/>
  </r>
  <r>
    <x v="2"/>
    <x v="3"/>
    <x v="47"/>
    <x v="1"/>
    <x v="5"/>
    <n v="6"/>
    <n v="162"/>
    <n v="37252.699983870967"/>
  </r>
  <r>
    <x v="2"/>
    <x v="3"/>
    <x v="47"/>
    <x v="1"/>
    <x v="6"/>
    <n v="7"/>
    <n v="125"/>
    <n v="98803.310879771379"/>
  </r>
  <r>
    <x v="2"/>
    <x v="3"/>
    <x v="42"/>
    <x v="1"/>
    <x v="0"/>
    <n v="1"/>
    <n v="0"/>
    <n v="0"/>
  </r>
  <r>
    <x v="2"/>
    <x v="3"/>
    <x v="42"/>
    <x v="1"/>
    <x v="1"/>
    <n v="2"/>
    <n v="0"/>
    <n v="0"/>
  </r>
  <r>
    <x v="2"/>
    <x v="3"/>
    <x v="42"/>
    <x v="1"/>
    <x v="2"/>
    <n v="3"/>
    <n v="46"/>
    <n v="7624.9218625780804"/>
  </r>
  <r>
    <x v="2"/>
    <x v="3"/>
    <x v="42"/>
    <x v="1"/>
    <x v="3"/>
    <n v="4"/>
    <n v="79"/>
    <n v="67915.769263266353"/>
  </r>
  <r>
    <x v="2"/>
    <x v="3"/>
    <x v="42"/>
    <x v="1"/>
    <x v="4"/>
    <n v="5"/>
    <n v="45"/>
    <n v="45382.373524451941"/>
  </r>
  <r>
    <x v="2"/>
    <x v="3"/>
    <x v="42"/>
    <x v="1"/>
    <x v="5"/>
    <n v="6"/>
    <n v="212"/>
    <n v="48750.446892473119"/>
  </r>
  <r>
    <x v="2"/>
    <x v="3"/>
    <x v="42"/>
    <x v="1"/>
    <x v="6"/>
    <n v="7"/>
    <n v="203"/>
    <n v="160456.5768687487"/>
  </r>
  <r>
    <x v="2"/>
    <x v="3"/>
    <x v="344"/>
    <x v="1"/>
    <x v="0"/>
    <n v="1"/>
    <n v="0"/>
    <n v="0"/>
  </r>
  <r>
    <x v="2"/>
    <x v="3"/>
    <x v="344"/>
    <x v="1"/>
    <x v="1"/>
    <n v="2"/>
    <n v="0"/>
    <n v="0"/>
  </r>
  <r>
    <x v="2"/>
    <x v="3"/>
    <x v="344"/>
    <x v="1"/>
    <x v="2"/>
    <n v="3"/>
    <n v="13"/>
    <n v="2154.8692220329358"/>
  </r>
  <r>
    <x v="2"/>
    <x v="3"/>
    <x v="344"/>
    <x v="1"/>
    <x v="3"/>
    <n v="4"/>
    <n v="10"/>
    <n v="8596.9328181349811"/>
  </r>
  <r>
    <x v="2"/>
    <x v="3"/>
    <x v="344"/>
    <x v="1"/>
    <x v="4"/>
    <n v="5"/>
    <n v="52"/>
    <n v="52441.853850477797"/>
  </r>
  <r>
    <x v="2"/>
    <x v="3"/>
    <x v="344"/>
    <x v="1"/>
    <x v="5"/>
    <n v="6"/>
    <n v="5"/>
    <n v="1149.7746908602151"/>
  </r>
  <r>
    <x v="2"/>
    <x v="3"/>
    <x v="344"/>
    <x v="1"/>
    <x v="6"/>
    <n v="7"/>
    <n v="148"/>
    <n v="116983.12008164931"/>
  </r>
  <r>
    <x v="2"/>
    <x v="3"/>
    <x v="345"/>
    <x v="1"/>
    <x v="0"/>
    <n v="1"/>
    <n v="0"/>
    <n v="0"/>
  </r>
  <r>
    <x v="2"/>
    <x v="3"/>
    <x v="345"/>
    <x v="1"/>
    <x v="1"/>
    <n v="2"/>
    <n v="18"/>
    <n v="1808.856516103692"/>
  </r>
  <r>
    <x v="2"/>
    <x v="3"/>
    <x v="345"/>
    <x v="1"/>
    <x v="2"/>
    <n v="3"/>
    <n v="152"/>
    <n v="25195.393980692788"/>
  </r>
  <r>
    <x v="2"/>
    <x v="3"/>
    <x v="345"/>
    <x v="1"/>
    <x v="3"/>
    <n v="4"/>
    <n v="60"/>
    <n v="51581.596908809894"/>
  </r>
  <r>
    <x v="2"/>
    <x v="3"/>
    <x v="345"/>
    <x v="1"/>
    <x v="4"/>
    <n v="5"/>
    <n v="37"/>
    <n v="37314.396008993819"/>
  </r>
  <r>
    <x v="2"/>
    <x v="3"/>
    <x v="345"/>
    <x v="1"/>
    <x v="5"/>
    <n v="6"/>
    <n v="175"/>
    <n v="40242.114180107528"/>
  </r>
  <r>
    <x v="2"/>
    <x v="3"/>
    <x v="345"/>
    <x v="1"/>
    <x v="6"/>
    <n v="7"/>
    <n v="133"/>
    <n v="105126.72277607674"/>
  </r>
  <r>
    <x v="2"/>
    <x v="17"/>
    <x v="262"/>
    <x v="1"/>
    <x v="0"/>
    <n v="1"/>
    <n v="0"/>
    <n v="0"/>
  </r>
  <r>
    <x v="2"/>
    <x v="17"/>
    <x v="262"/>
    <x v="1"/>
    <x v="1"/>
    <n v="2"/>
    <n v="18"/>
    <n v="1808.856516103692"/>
  </r>
  <r>
    <x v="2"/>
    <x v="17"/>
    <x v="262"/>
    <x v="1"/>
    <x v="2"/>
    <n v="3"/>
    <n v="6"/>
    <n v="994.55502555366274"/>
  </r>
  <r>
    <x v="2"/>
    <x v="17"/>
    <x v="262"/>
    <x v="1"/>
    <x v="3"/>
    <n v="4"/>
    <n v="48"/>
    <n v="41265.277527047911"/>
  </r>
  <r>
    <x v="2"/>
    <x v="17"/>
    <x v="262"/>
    <x v="1"/>
    <x v="4"/>
    <n v="5"/>
    <n v="22"/>
    <n v="22186.938167509838"/>
  </r>
  <r>
    <x v="2"/>
    <x v="17"/>
    <x v="262"/>
    <x v="1"/>
    <x v="5"/>
    <n v="6"/>
    <n v="122"/>
    <n v="28054.502456989245"/>
  </r>
  <r>
    <x v="2"/>
    <x v="17"/>
    <x v="262"/>
    <x v="1"/>
    <x v="6"/>
    <n v="7"/>
    <n v="102"/>
    <n v="80623.501677893437"/>
  </r>
  <r>
    <x v="2"/>
    <x v="17"/>
    <x v="275"/>
    <x v="1"/>
    <x v="0"/>
    <n v="1"/>
    <n v="0"/>
    <n v="0"/>
  </r>
  <r>
    <x v="2"/>
    <x v="17"/>
    <x v="275"/>
    <x v="1"/>
    <x v="1"/>
    <n v="2"/>
    <n v="28"/>
    <n v="2813.7768028279656"/>
  </r>
  <r>
    <x v="2"/>
    <x v="17"/>
    <x v="275"/>
    <x v="1"/>
    <x v="2"/>
    <n v="3"/>
    <n v="142"/>
    <n v="23537.802271436685"/>
  </r>
  <r>
    <x v="2"/>
    <x v="17"/>
    <x v="275"/>
    <x v="1"/>
    <x v="3"/>
    <n v="4"/>
    <n v="18"/>
    <n v="15474.479072642967"/>
  </r>
  <r>
    <x v="2"/>
    <x v="17"/>
    <x v="275"/>
    <x v="1"/>
    <x v="4"/>
    <n v="5"/>
    <n v="10"/>
    <n v="10084.971894322654"/>
  </r>
  <r>
    <x v="2"/>
    <x v="17"/>
    <x v="275"/>
    <x v="1"/>
    <x v="5"/>
    <n v="6"/>
    <n v="120"/>
    <n v="27594.59258064516"/>
  </r>
  <r>
    <x v="2"/>
    <x v="17"/>
    <x v="275"/>
    <x v="1"/>
    <x v="6"/>
    <n v="7"/>
    <n v="100"/>
    <n v="79042.648703817104"/>
  </r>
  <r>
    <x v="2"/>
    <x v="17"/>
    <x v="264"/>
    <x v="1"/>
    <x v="0"/>
    <n v="1"/>
    <n v="0"/>
    <n v="0"/>
  </r>
  <r>
    <x v="2"/>
    <x v="17"/>
    <x v="264"/>
    <x v="1"/>
    <x v="1"/>
    <n v="2"/>
    <n v="46"/>
    <n v="4622.6333189316574"/>
  </r>
  <r>
    <x v="2"/>
    <x v="17"/>
    <x v="264"/>
    <x v="1"/>
    <x v="2"/>
    <n v="3"/>
    <n v="131"/>
    <n v="21714.45139125497"/>
  </r>
  <r>
    <x v="2"/>
    <x v="17"/>
    <x v="264"/>
    <x v="1"/>
    <x v="3"/>
    <n v="4"/>
    <n v="9"/>
    <n v="7737.2395363214837"/>
  </r>
  <r>
    <x v="2"/>
    <x v="17"/>
    <x v="264"/>
    <x v="1"/>
    <x v="4"/>
    <n v="5"/>
    <n v="3"/>
    <n v="3025.4915682967962"/>
  </r>
  <r>
    <x v="2"/>
    <x v="17"/>
    <x v="264"/>
    <x v="1"/>
    <x v="5"/>
    <n v="6"/>
    <n v="120"/>
    <n v="27594.59258064516"/>
  </r>
  <r>
    <x v="2"/>
    <x v="17"/>
    <x v="264"/>
    <x v="1"/>
    <x v="6"/>
    <n v="7"/>
    <n v="104"/>
    <n v="82204.354651969785"/>
  </r>
  <r>
    <x v="2"/>
    <x v="17"/>
    <x v="265"/>
    <x v="1"/>
    <x v="0"/>
    <n v="1"/>
    <n v="0"/>
    <n v="0"/>
  </r>
  <r>
    <x v="2"/>
    <x v="17"/>
    <x v="265"/>
    <x v="1"/>
    <x v="1"/>
    <n v="2"/>
    <n v="32"/>
    <n v="3215.7449175176748"/>
  </r>
  <r>
    <x v="2"/>
    <x v="17"/>
    <x v="265"/>
    <x v="1"/>
    <x v="2"/>
    <n v="3"/>
    <n v="122"/>
    <n v="20222.618852924476"/>
  </r>
  <r>
    <x v="2"/>
    <x v="17"/>
    <x v="265"/>
    <x v="1"/>
    <x v="3"/>
    <n v="4"/>
    <n v="5"/>
    <n v="4298.4664090674905"/>
  </r>
  <r>
    <x v="2"/>
    <x v="17"/>
    <x v="265"/>
    <x v="1"/>
    <x v="4"/>
    <n v="5"/>
    <n v="0"/>
    <n v="0"/>
  </r>
  <r>
    <x v="2"/>
    <x v="17"/>
    <x v="265"/>
    <x v="1"/>
    <x v="5"/>
    <n v="6"/>
    <n v="0"/>
    <n v="0"/>
  </r>
  <r>
    <x v="2"/>
    <x v="17"/>
    <x v="265"/>
    <x v="1"/>
    <x v="6"/>
    <n v="7"/>
    <n v="102"/>
    <n v="80623.501677893437"/>
  </r>
  <r>
    <x v="2"/>
    <x v="17"/>
    <x v="269"/>
    <x v="1"/>
    <x v="0"/>
    <n v="1"/>
    <n v="0"/>
    <n v="0"/>
  </r>
  <r>
    <x v="2"/>
    <x v="17"/>
    <x v="269"/>
    <x v="1"/>
    <x v="1"/>
    <n v="2"/>
    <n v="67"/>
    <n v="6732.9659210526315"/>
  </r>
  <r>
    <x v="2"/>
    <x v="17"/>
    <x v="269"/>
    <x v="1"/>
    <x v="2"/>
    <n v="3"/>
    <n v="118"/>
    <n v="19559.582169222034"/>
  </r>
  <r>
    <x v="2"/>
    <x v="17"/>
    <x v="269"/>
    <x v="1"/>
    <x v="3"/>
    <n v="4"/>
    <n v="13"/>
    <n v="11176.012663575477"/>
  </r>
  <r>
    <x v="2"/>
    <x v="17"/>
    <x v="269"/>
    <x v="1"/>
    <x v="4"/>
    <n v="5"/>
    <n v="9"/>
    <n v="9076.4747048903882"/>
  </r>
  <r>
    <x v="2"/>
    <x v="17"/>
    <x v="269"/>
    <x v="1"/>
    <x v="5"/>
    <n v="6"/>
    <n v="142"/>
    <n v="32653.601220430108"/>
  </r>
  <r>
    <x v="2"/>
    <x v="17"/>
    <x v="269"/>
    <x v="1"/>
    <x v="6"/>
    <n v="7"/>
    <n v="103"/>
    <n v="81413.928164931611"/>
  </r>
  <r>
    <x v="2"/>
    <x v="14"/>
    <x v="211"/>
    <x v="1"/>
    <x v="0"/>
    <n v="1"/>
    <n v="0"/>
    <n v="0"/>
  </r>
  <r>
    <x v="2"/>
    <x v="14"/>
    <x v="211"/>
    <x v="1"/>
    <x v="1"/>
    <n v="2"/>
    <n v="39"/>
    <n v="3919.1891182246663"/>
  </r>
  <r>
    <x v="2"/>
    <x v="14"/>
    <x v="211"/>
    <x v="1"/>
    <x v="2"/>
    <n v="3"/>
    <n v="183"/>
    <n v="30333.928279386713"/>
  </r>
  <r>
    <x v="2"/>
    <x v="14"/>
    <x v="211"/>
    <x v="1"/>
    <x v="3"/>
    <n v="4"/>
    <n v="48"/>
    <n v="41265.277527047911"/>
  </r>
  <r>
    <x v="2"/>
    <x v="14"/>
    <x v="211"/>
    <x v="1"/>
    <x v="4"/>
    <n v="5"/>
    <n v="16"/>
    <n v="16135.955030916246"/>
  </r>
  <r>
    <x v="2"/>
    <x v="14"/>
    <x v="211"/>
    <x v="1"/>
    <x v="5"/>
    <n v="6"/>
    <n v="251"/>
    <n v="57718.689481182795"/>
  </r>
  <r>
    <x v="2"/>
    <x v="14"/>
    <x v="211"/>
    <x v="1"/>
    <x v="6"/>
    <n v="7"/>
    <n v="21"/>
    <n v="16598.956227801591"/>
  </r>
  <r>
    <x v="2"/>
    <x v="14"/>
    <x v="210"/>
    <x v="1"/>
    <x v="0"/>
    <n v="1"/>
    <n v="0"/>
    <n v="0"/>
  </r>
  <r>
    <x v="2"/>
    <x v="14"/>
    <x v="210"/>
    <x v="1"/>
    <x v="1"/>
    <n v="2"/>
    <n v="56"/>
    <n v="5627.5536056559313"/>
  </r>
  <r>
    <x v="2"/>
    <x v="14"/>
    <x v="210"/>
    <x v="1"/>
    <x v="2"/>
    <n v="3"/>
    <n v="184"/>
    <n v="30499.687450312322"/>
  </r>
  <r>
    <x v="2"/>
    <x v="14"/>
    <x v="210"/>
    <x v="1"/>
    <x v="3"/>
    <n v="4"/>
    <n v="96"/>
    <n v="82530.555054095821"/>
  </r>
  <r>
    <x v="2"/>
    <x v="14"/>
    <x v="210"/>
    <x v="1"/>
    <x v="4"/>
    <n v="5"/>
    <n v="7"/>
    <n v="7059.4803260258577"/>
  </r>
  <r>
    <x v="2"/>
    <x v="14"/>
    <x v="210"/>
    <x v="1"/>
    <x v="5"/>
    <n v="6"/>
    <n v="250"/>
    <n v="57488.734543010753"/>
  </r>
  <r>
    <x v="2"/>
    <x v="14"/>
    <x v="210"/>
    <x v="1"/>
    <x v="6"/>
    <n v="7"/>
    <n v="14"/>
    <n v="11065.970818534393"/>
  </r>
  <r>
    <x v="2"/>
    <x v="14"/>
    <x v="216"/>
    <x v="1"/>
    <x v="0"/>
    <n v="1"/>
    <n v="0"/>
    <n v="0"/>
  </r>
  <r>
    <x v="2"/>
    <x v="14"/>
    <x v="216"/>
    <x v="1"/>
    <x v="1"/>
    <n v="2"/>
    <n v="94"/>
    <n v="9446.2506952081694"/>
  </r>
  <r>
    <x v="2"/>
    <x v="14"/>
    <x v="216"/>
    <x v="1"/>
    <x v="2"/>
    <n v="3"/>
    <n v="103"/>
    <n v="17073.194605337878"/>
  </r>
  <r>
    <x v="2"/>
    <x v="14"/>
    <x v="216"/>
    <x v="1"/>
    <x v="3"/>
    <n v="4"/>
    <n v="2"/>
    <n v="1719.3865636269963"/>
  </r>
  <r>
    <x v="2"/>
    <x v="14"/>
    <x v="216"/>
    <x v="1"/>
    <x v="4"/>
    <n v="5"/>
    <n v="32"/>
    <n v="32271.910061832492"/>
  </r>
  <r>
    <x v="2"/>
    <x v="14"/>
    <x v="216"/>
    <x v="1"/>
    <x v="5"/>
    <n v="6"/>
    <n v="245"/>
    <n v="56338.959852150532"/>
  </r>
  <r>
    <x v="2"/>
    <x v="14"/>
    <x v="216"/>
    <x v="1"/>
    <x v="6"/>
    <n v="7"/>
    <n v="15"/>
    <n v="11856.397305572566"/>
  </r>
  <r>
    <x v="2"/>
    <x v="14"/>
    <x v="208"/>
    <x v="1"/>
    <x v="0"/>
    <n v="1"/>
    <n v="0"/>
    <n v="0"/>
  </r>
  <r>
    <x v="2"/>
    <x v="14"/>
    <x v="208"/>
    <x v="1"/>
    <x v="1"/>
    <n v="2"/>
    <n v="0"/>
    <n v="0"/>
  </r>
  <r>
    <x v="2"/>
    <x v="14"/>
    <x v="208"/>
    <x v="1"/>
    <x v="2"/>
    <n v="3"/>
    <n v="56"/>
    <n v="9282.5135718341844"/>
  </r>
  <r>
    <x v="2"/>
    <x v="14"/>
    <x v="208"/>
    <x v="1"/>
    <x v="3"/>
    <n v="4"/>
    <n v="8"/>
    <n v="6877.5462545079854"/>
  </r>
  <r>
    <x v="2"/>
    <x v="14"/>
    <x v="208"/>
    <x v="1"/>
    <x v="4"/>
    <n v="5"/>
    <n v="88"/>
    <n v="88747.75267003935"/>
  </r>
  <r>
    <x v="2"/>
    <x v="14"/>
    <x v="208"/>
    <x v="1"/>
    <x v="5"/>
    <n v="6"/>
    <n v="194"/>
    <n v="44611.258005376345"/>
  </r>
  <r>
    <x v="2"/>
    <x v="14"/>
    <x v="208"/>
    <x v="1"/>
    <x v="6"/>
    <n v="7"/>
    <n v="17"/>
    <n v="13437.250279648906"/>
  </r>
  <r>
    <x v="2"/>
    <x v="14"/>
    <x v="209"/>
    <x v="1"/>
    <x v="0"/>
    <n v="1"/>
    <n v="0"/>
    <n v="0"/>
  </r>
  <r>
    <x v="2"/>
    <x v="14"/>
    <x v="209"/>
    <x v="1"/>
    <x v="1"/>
    <n v="2"/>
    <n v="0"/>
    <n v="0"/>
  </r>
  <r>
    <x v="2"/>
    <x v="14"/>
    <x v="209"/>
    <x v="1"/>
    <x v="2"/>
    <n v="3"/>
    <n v="50"/>
    <n v="8287.9585462805226"/>
  </r>
  <r>
    <x v="2"/>
    <x v="14"/>
    <x v="209"/>
    <x v="1"/>
    <x v="3"/>
    <n v="4"/>
    <n v="50"/>
    <n v="42984.664090674909"/>
  </r>
  <r>
    <x v="2"/>
    <x v="14"/>
    <x v="209"/>
    <x v="1"/>
    <x v="4"/>
    <n v="5"/>
    <n v="28"/>
    <n v="28237.921304103431"/>
  </r>
  <r>
    <x v="2"/>
    <x v="14"/>
    <x v="209"/>
    <x v="1"/>
    <x v="5"/>
    <n v="6"/>
    <n v="358"/>
    <n v="82323.867865591397"/>
  </r>
  <r>
    <x v="2"/>
    <x v="14"/>
    <x v="209"/>
    <x v="1"/>
    <x v="6"/>
    <n v="7"/>
    <n v="8"/>
    <n v="6323.4118963053679"/>
  </r>
  <r>
    <x v="2"/>
    <x v="14"/>
    <x v="346"/>
    <x v="1"/>
    <x v="0"/>
    <n v="1"/>
    <n v="0"/>
    <n v="0"/>
  </r>
  <r>
    <x v="2"/>
    <x v="14"/>
    <x v="346"/>
    <x v="1"/>
    <x v="1"/>
    <n v="2"/>
    <n v="53"/>
    <n v="5326.0775196386485"/>
  </r>
  <r>
    <x v="2"/>
    <x v="14"/>
    <x v="346"/>
    <x v="1"/>
    <x v="2"/>
    <n v="3"/>
    <n v="134"/>
    <n v="22211.728904031799"/>
  </r>
  <r>
    <x v="2"/>
    <x v="14"/>
    <x v="346"/>
    <x v="1"/>
    <x v="3"/>
    <n v="4"/>
    <n v="8"/>
    <n v="6877.5462545079854"/>
  </r>
  <r>
    <x v="2"/>
    <x v="14"/>
    <x v="346"/>
    <x v="1"/>
    <x v="4"/>
    <n v="5"/>
    <n v="23"/>
    <n v="23195.435356942104"/>
  </r>
  <r>
    <x v="2"/>
    <x v="14"/>
    <x v="346"/>
    <x v="1"/>
    <x v="5"/>
    <n v="6"/>
    <n v="318"/>
    <n v="73125.670338709679"/>
  </r>
  <r>
    <x v="2"/>
    <x v="14"/>
    <x v="346"/>
    <x v="1"/>
    <x v="6"/>
    <n v="7"/>
    <n v="0"/>
    <n v="0"/>
  </r>
  <r>
    <x v="2"/>
    <x v="5"/>
    <x v="347"/>
    <x v="1"/>
    <x v="0"/>
    <n v="1"/>
    <n v="0"/>
    <n v="0"/>
  </r>
  <r>
    <x v="2"/>
    <x v="5"/>
    <x v="347"/>
    <x v="1"/>
    <x v="1"/>
    <n v="2"/>
    <n v="52"/>
    <n v="5225.5854909662212"/>
  </r>
  <r>
    <x v="2"/>
    <x v="5"/>
    <x v="347"/>
    <x v="1"/>
    <x v="2"/>
    <n v="3"/>
    <n v="55"/>
    <n v="9116.7544009085741"/>
  </r>
  <r>
    <x v="2"/>
    <x v="5"/>
    <x v="347"/>
    <x v="1"/>
    <x v="3"/>
    <n v="4"/>
    <n v="4"/>
    <n v="3438.7731272539927"/>
  </r>
  <r>
    <x v="2"/>
    <x v="5"/>
    <x v="347"/>
    <x v="1"/>
    <x v="4"/>
    <n v="5"/>
    <n v="0"/>
    <n v="0"/>
  </r>
  <r>
    <x v="2"/>
    <x v="5"/>
    <x v="347"/>
    <x v="1"/>
    <x v="5"/>
    <n v="6"/>
    <n v="127"/>
    <n v="29204.277147849461"/>
  </r>
  <r>
    <x v="2"/>
    <x v="5"/>
    <x v="347"/>
    <x v="1"/>
    <x v="6"/>
    <n v="7"/>
    <n v="5"/>
    <n v="3952.1324351908552"/>
  </r>
  <r>
    <x v="2"/>
    <x v="5"/>
    <x v="348"/>
    <x v="1"/>
    <x v="0"/>
    <n v="1"/>
    <n v="0"/>
    <n v="0"/>
  </r>
  <r>
    <x v="2"/>
    <x v="5"/>
    <x v="348"/>
    <x v="1"/>
    <x v="1"/>
    <n v="2"/>
    <n v="0"/>
    <n v="0"/>
  </r>
  <r>
    <x v="2"/>
    <x v="5"/>
    <x v="348"/>
    <x v="1"/>
    <x v="2"/>
    <n v="3"/>
    <n v="38"/>
    <n v="6298.8484951731971"/>
  </r>
  <r>
    <x v="2"/>
    <x v="5"/>
    <x v="348"/>
    <x v="1"/>
    <x v="3"/>
    <n v="4"/>
    <n v="24"/>
    <n v="20632.638763523955"/>
  </r>
  <r>
    <x v="2"/>
    <x v="5"/>
    <x v="348"/>
    <x v="1"/>
    <x v="4"/>
    <n v="5"/>
    <n v="9"/>
    <n v="9076.4747048903882"/>
  </r>
  <r>
    <x v="2"/>
    <x v="5"/>
    <x v="348"/>
    <x v="1"/>
    <x v="5"/>
    <n v="6"/>
    <n v="27"/>
    <n v="6208.7833306451612"/>
  </r>
  <r>
    <x v="2"/>
    <x v="5"/>
    <x v="348"/>
    <x v="1"/>
    <x v="6"/>
    <n v="7"/>
    <n v="13"/>
    <n v="10275.544331496223"/>
  </r>
  <r>
    <x v="2"/>
    <x v="5"/>
    <x v="59"/>
    <x v="1"/>
    <x v="0"/>
    <n v="1"/>
    <n v="0"/>
    <n v="0"/>
  </r>
  <r>
    <x v="2"/>
    <x v="5"/>
    <x v="59"/>
    <x v="1"/>
    <x v="1"/>
    <n v="2"/>
    <n v="28"/>
    <n v="2813.7768028279656"/>
  </r>
  <r>
    <x v="2"/>
    <x v="5"/>
    <x v="59"/>
    <x v="1"/>
    <x v="2"/>
    <n v="3"/>
    <n v="7"/>
    <n v="1160.3141964792731"/>
  </r>
  <r>
    <x v="2"/>
    <x v="5"/>
    <x v="59"/>
    <x v="1"/>
    <x v="3"/>
    <n v="4"/>
    <n v="12"/>
    <n v="10316.319381761978"/>
  </r>
  <r>
    <x v="2"/>
    <x v="5"/>
    <x v="59"/>
    <x v="1"/>
    <x v="4"/>
    <n v="5"/>
    <n v="13"/>
    <n v="13110.463462619449"/>
  </r>
  <r>
    <x v="2"/>
    <x v="5"/>
    <x v="59"/>
    <x v="1"/>
    <x v="5"/>
    <n v="6"/>
    <n v="7"/>
    <n v="1609.6845672043009"/>
  </r>
  <r>
    <x v="2"/>
    <x v="5"/>
    <x v="59"/>
    <x v="1"/>
    <x v="6"/>
    <n v="7"/>
    <n v="13"/>
    <n v="10275.544331496223"/>
  </r>
  <r>
    <x v="2"/>
    <x v="2"/>
    <x v="349"/>
    <x v="1"/>
    <x v="0"/>
    <n v="1"/>
    <n v="0"/>
    <n v="0"/>
  </r>
  <r>
    <x v="2"/>
    <x v="2"/>
    <x v="349"/>
    <x v="1"/>
    <x v="1"/>
    <n v="2"/>
    <n v="100"/>
    <n v="10049.202867242733"/>
  </r>
  <r>
    <x v="2"/>
    <x v="2"/>
    <x v="349"/>
    <x v="1"/>
    <x v="2"/>
    <n v="3"/>
    <n v="54"/>
    <n v="8950.9952299829638"/>
  </r>
  <r>
    <x v="2"/>
    <x v="2"/>
    <x v="349"/>
    <x v="1"/>
    <x v="3"/>
    <n v="4"/>
    <n v="10"/>
    <n v="8596.9328181349811"/>
  </r>
  <r>
    <x v="2"/>
    <x v="2"/>
    <x v="349"/>
    <x v="1"/>
    <x v="4"/>
    <n v="5"/>
    <n v="32"/>
    <n v="32271.910061832492"/>
  </r>
  <r>
    <x v="2"/>
    <x v="2"/>
    <x v="349"/>
    <x v="1"/>
    <x v="5"/>
    <n v="6"/>
    <n v="128"/>
    <n v="29434.232086021504"/>
  </r>
  <r>
    <x v="2"/>
    <x v="2"/>
    <x v="349"/>
    <x v="1"/>
    <x v="6"/>
    <n v="7"/>
    <n v="74"/>
    <n v="58491.560040824654"/>
  </r>
  <r>
    <x v="2"/>
    <x v="2"/>
    <x v="350"/>
    <x v="1"/>
    <x v="0"/>
    <n v="1"/>
    <n v="0"/>
    <n v="0"/>
  </r>
  <r>
    <x v="2"/>
    <x v="2"/>
    <x v="350"/>
    <x v="1"/>
    <x v="1"/>
    <n v="2"/>
    <n v="0"/>
    <n v="0"/>
  </r>
  <r>
    <x v="2"/>
    <x v="2"/>
    <x v="350"/>
    <x v="1"/>
    <x v="2"/>
    <n v="3"/>
    <n v="23"/>
    <n v="3812.4609312890402"/>
  </r>
  <r>
    <x v="2"/>
    <x v="2"/>
    <x v="350"/>
    <x v="1"/>
    <x v="3"/>
    <n v="4"/>
    <n v="8"/>
    <n v="6877.5462545079854"/>
  </r>
  <r>
    <x v="2"/>
    <x v="2"/>
    <x v="350"/>
    <x v="1"/>
    <x v="4"/>
    <n v="5"/>
    <n v="24"/>
    <n v="24203.93254637437"/>
  </r>
  <r>
    <x v="2"/>
    <x v="2"/>
    <x v="350"/>
    <x v="1"/>
    <x v="5"/>
    <n v="6"/>
    <n v="21"/>
    <n v="4829.0537016129028"/>
  </r>
  <r>
    <x v="2"/>
    <x v="2"/>
    <x v="350"/>
    <x v="1"/>
    <x v="6"/>
    <n v="7"/>
    <n v="37"/>
    <n v="29245.780020412327"/>
  </r>
  <r>
    <x v="2"/>
    <x v="2"/>
    <x v="351"/>
    <x v="1"/>
    <x v="0"/>
    <n v="1"/>
    <n v="0"/>
    <n v="0"/>
  </r>
  <r>
    <x v="2"/>
    <x v="2"/>
    <x v="351"/>
    <x v="1"/>
    <x v="1"/>
    <n v="2"/>
    <n v="0"/>
    <n v="0"/>
  </r>
  <r>
    <x v="2"/>
    <x v="2"/>
    <x v="351"/>
    <x v="1"/>
    <x v="2"/>
    <n v="3"/>
    <n v="36"/>
    <n v="5967.3301533219765"/>
  </r>
  <r>
    <x v="2"/>
    <x v="2"/>
    <x v="351"/>
    <x v="1"/>
    <x v="3"/>
    <n v="4"/>
    <n v="20"/>
    <n v="17193.865636269962"/>
  </r>
  <r>
    <x v="2"/>
    <x v="2"/>
    <x v="351"/>
    <x v="1"/>
    <x v="4"/>
    <n v="5"/>
    <n v="4"/>
    <n v="4033.9887577290615"/>
  </r>
  <r>
    <x v="2"/>
    <x v="2"/>
    <x v="351"/>
    <x v="1"/>
    <x v="5"/>
    <n v="6"/>
    <n v="18"/>
    <n v="4139.1888870967741"/>
  </r>
  <r>
    <x v="2"/>
    <x v="2"/>
    <x v="351"/>
    <x v="1"/>
    <x v="6"/>
    <n v="7"/>
    <n v="15"/>
    <n v="11856.397305572566"/>
  </r>
  <r>
    <x v="2"/>
    <x v="2"/>
    <x v="352"/>
    <x v="1"/>
    <x v="0"/>
    <n v="1"/>
    <n v="0"/>
    <n v="0"/>
  </r>
  <r>
    <x v="2"/>
    <x v="2"/>
    <x v="352"/>
    <x v="1"/>
    <x v="1"/>
    <n v="2"/>
    <n v="0"/>
    <n v="0"/>
  </r>
  <r>
    <x v="2"/>
    <x v="2"/>
    <x v="352"/>
    <x v="1"/>
    <x v="2"/>
    <n v="3"/>
    <n v="59"/>
    <n v="9779.7910846110171"/>
  </r>
  <r>
    <x v="2"/>
    <x v="2"/>
    <x v="352"/>
    <x v="1"/>
    <x v="3"/>
    <n v="4"/>
    <n v="21"/>
    <n v="18053.558918083461"/>
  </r>
  <r>
    <x v="2"/>
    <x v="2"/>
    <x v="352"/>
    <x v="1"/>
    <x v="4"/>
    <n v="5"/>
    <n v="13"/>
    <n v="13110.463462619449"/>
  </r>
  <r>
    <x v="2"/>
    <x v="2"/>
    <x v="352"/>
    <x v="1"/>
    <x v="5"/>
    <n v="6"/>
    <n v="5"/>
    <n v="1149.7746908602151"/>
  </r>
  <r>
    <x v="2"/>
    <x v="2"/>
    <x v="352"/>
    <x v="1"/>
    <x v="6"/>
    <n v="7"/>
    <n v="38"/>
    <n v="30036.206507450497"/>
  </r>
  <r>
    <x v="2"/>
    <x v="2"/>
    <x v="26"/>
    <x v="1"/>
    <x v="0"/>
    <n v="1"/>
    <n v="0"/>
    <n v="0"/>
  </r>
  <r>
    <x v="2"/>
    <x v="2"/>
    <x v="26"/>
    <x v="1"/>
    <x v="1"/>
    <n v="2"/>
    <n v="0"/>
    <n v="0"/>
  </r>
  <r>
    <x v="2"/>
    <x v="2"/>
    <x v="26"/>
    <x v="1"/>
    <x v="2"/>
    <n v="3"/>
    <n v="0"/>
    <n v="0"/>
  </r>
  <r>
    <x v="2"/>
    <x v="2"/>
    <x v="26"/>
    <x v="1"/>
    <x v="3"/>
    <n v="4"/>
    <n v="0"/>
    <n v="0"/>
  </r>
  <r>
    <x v="2"/>
    <x v="2"/>
    <x v="26"/>
    <x v="1"/>
    <x v="4"/>
    <n v="5"/>
    <n v="0"/>
    <n v="0"/>
  </r>
  <r>
    <x v="2"/>
    <x v="2"/>
    <x v="26"/>
    <x v="1"/>
    <x v="5"/>
    <n v="6"/>
    <n v="4"/>
    <n v="919.819752688172"/>
  </r>
  <r>
    <x v="2"/>
    <x v="2"/>
    <x v="26"/>
    <x v="1"/>
    <x v="6"/>
    <n v="7"/>
    <n v="34"/>
    <n v="26874.500559297812"/>
  </r>
  <r>
    <x v="2"/>
    <x v="15"/>
    <x v="223"/>
    <x v="1"/>
    <x v="0"/>
    <n v="1"/>
    <n v="0"/>
    <n v="0"/>
  </r>
  <r>
    <x v="2"/>
    <x v="15"/>
    <x v="223"/>
    <x v="1"/>
    <x v="1"/>
    <n v="2"/>
    <n v="0"/>
    <n v="0"/>
  </r>
  <r>
    <x v="2"/>
    <x v="15"/>
    <x v="223"/>
    <x v="1"/>
    <x v="2"/>
    <n v="3"/>
    <n v="0"/>
    <n v="0"/>
  </r>
  <r>
    <x v="2"/>
    <x v="15"/>
    <x v="223"/>
    <x v="1"/>
    <x v="3"/>
    <n v="4"/>
    <n v="63"/>
    <n v="54160.676754250388"/>
  </r>
  <r>
    <x v="2"/>
    <x v="15"/>
    <x v="223"/>
    <x v="1"/>
    <x v="4"/>
    <n v="5"/>
    <n v="41"/>
    <n v="41348.384766722884"/>
  </r>
  <r>
    <x v="2"/>
    <x v="15"/>
    <x v="223"/>
    <x v="1"/>
    <x v="5"/>
    <n v="6"/>
    <n v="155"/>
    <n v="35643.015416666662"/>
  </r>
  <r>
    <x v="2"/>
    <x v="15"/>
    <x v="223"/>
    <x v="1"/>
    <x v="6"/>
    <n v="7"/>
    <n v="49"/>
    <n v="38730.897864870378"/>
  </r>
  <r>
    <x v="2"/>
    <x v="15"/>
    <x v="353"/>
    <x v="1"/>
    <x v="0"/>
    <n v="1"/>
    <n v="0"/>
    <n v="0"/>
  </r>
  <r>
    <x v="2"/>
    <x v="15"/>
    <x v="353"/>
    <x v="1"/>
    <x v="1"/>
    <n v="2"/>
    <n v="0"/>
    <n v="0"/>
  </r>
  <r>
    <x v="2"/>
    <x v="15"/>
    <x v="353"/>
    <x v="1"/>
    <x v="2"/>
    <n v="3"/>
    <n v="0"/>
    <n v="0"/>
  </r>
  <r>
    <x v="2"/>
    <x v="15"/>
    <x v="353"/>
    <x v="1"/>
    <x v="3"/>
    <n v="4"/>
    <n v="32"/>
    <n v="27510.185018031942"/>
  </r>
  <r>
    <x v="2"/>
    <x v="15"/>
    <x v="353"/>
    <x v="1"/>
    <x v="4"/>
    <n v="5"/>
    <n v="1"/>
    <n v="1008.4971894322654"/>
  </r>
  <r>
    <x v="2"/>
    <x v="15"/>
    <x v="353"/>
    <x v="1"/>
    <x v="5"/>
    <n v="6"/>
    <n v="5"/>
    <n v="1149.7746908602151"/>
  </r>
  <r>
    <x v="2"/>
    <x v="15"/>
    <x v="353"/>
    <x v="1"/>
    <x v="6"/>
    <n v="7"/>
    <n v="18"/>
    <n v="14227.676766687078"/>
  </r>
  <r>
    <x v="2"/>
    <x v="15"/>
    <x v="220"/>
    <x v="1"/>
    <x v="0"/>
    <n v="1"/>
    <n v="0"/>
    <n v="0"/>
  </r>
  <r>
    <x v="2"/>
    <x v="15"/>
    <x v="220"/>
    <x v="1"/>
    <x v="1"/>
    <n v="2"/>
    <n v="0"/>
    <n v="0"/>
  </r>
  <r>
    <x v="2"/>
    <x v="15"/>
    <x v="220"/>
    <x v="1"/>
    <x v="2"/>
    <n v="3"/>
    <n v="6"/>
    <n v="994.55502555366274"/>
  </r>
  <r>
    <x v="2"/>
    <x v="15"/>
    <x v="220"/>
    <x v="1"/>
    <x v="3"/>
    <n v="4"/>
    <n v="12"/>
    <n v="10316.319381761978"/>
  </r>
  <r>
    <x v="2"/>
    <x v="15"/>
    <x v="220"/>
    <x v="1"/>
    <x v="4"/>
    <n v="5"/>
    <n v="5"/>
    <n v="5042.4859471613272"/>
  </r>
  <r>
    <x v="2"/>
    <x v="15"/>
    <x v="220"/>
    <x v="1"/>
    <x v="5"/>
    <n v="6"/>
    <n v="10"/>
    <n v="2299.5493817204301"/>
  </r>
  <r>
    <x v="2"/>
    <x v="15"/>
    <x v="220"/>
    <x v="1"/>
    <x v="6"/>
    <n v="7"/>
    <n v="24"/>
    <n v="18970.235688916102"/>
  </r>
  <r>
    <x v="2"/>
    <x v="15"/>
    <x v="354"/>
    <x v="1"/>
    <x v="0"/>
    <n v="1"/>
    <n v="0"/>
    <n v="0"/>
  </r>
  <r>
    <x v="2"/>
    <x v="15"/>
    <x v="354"/>
    <x v="1"/>
    <x v="1"/>
    <n v="2"/>
    <n v="0"/>
    <n v="0"/>
  </r>
  <r>
    <x v="2"/>
    <x v="15"/>
    <x v="354"/>
    <x v="1"/>
    <x v="2"/>
    <n v="3"/>
    <n v="0"/>
    <n v="0"/>
  </r>
  <r>
    <x v="2"/>
    <x v="15"/>
    <x v="354"/>
    <x v="1"/>
    <x v="3"/>
    <n v="4"/>
    <n v="25"/>
    <n v="21492.332045337454"/>
  </r>
  <r>
    <x v="2"/>
    <x v="15"/>
    <x v="354"/>
    <x v="1"/>
    <x v="4"/>
    <n v="5"/>
    <n v="19"/>
    <n v="19161.446599213043"/>
  </r>
  <r>
    <x v="2"/>
    <x v="15"/>
    <x v="354"/>
    <x v="1"/>
    <x v="5"/>
    <n v="6"/>
    <n v="80"/>
    <n v="18396.395053763441"/>
  </r>
  <r>
    <x v="2"/>
    <x v="15"/>
    <x v="354"/>
    <x v="1"/>
    <x v="6"/>
    <n v="7"/>
    <n v="27"/>
    <n v="21341.515150030616"/>
  </r>
  <r>
    <x v="2"/>
    <x v="15"/>
    <x v="355"/>
    <x v="1"/>
    <x v="0"/>
    <n v="1"/>
    <n v="0"/>
    <n v="0"/>
  </r>
  <r>
    <x v="2"/>
    <x v="15"/>
    <x v="355"/>
    <x v="1"/>
    <x v="1"/>
    <n v="2"/>
    <n v="50"/>
    <n v="5024.6014336213666"/>
  </r>
  <r>
    <x v="2"/>
    <x v="15"/>
    <x v="355"/>
    <x v="1"/>
    <x v="2"/>
    <n v="3"/>
    <n v="11"/>
    <n v="1823.350880181715"/>
  </r>
  <r>
    <x v="2"/>
    <x v="15"/>
    <x v="355"/>
    <x v="1"/>
    <x v="3"/>
    <n v="4"/>
    <n v="6"/>
    <n v="5158.1596908809888"/>
  </r>
  <r>
    <x v="2"/>
    <x v="15"/>
    <x v="355"/>
    <x v="1"/>
    <x v="4"/>
    <n v="5"/>
    <n v="34"/>
    <n v="34288.904440697021"/>
  </r>
  <r>
    <x v="2"/>
    <x v="15"/>
    <x v="355"/>
    <x v="1"/>
    <x v="5"/>
    <n v="6"/>
    <n v="54"/>
    <n v="12417.566661290322"/>
  </r>
  <r>
    <x v="2"/>
    <x v="15"/>
    <x v="355"/>
    <x v="1"/>
    <x v="6"/>
    <n v="7"/>
    <n v="20"/>
    <n v="15808.529740763421"/>
  </r>
  <r>
    <x v="2"/>
    <x v="15"/>
    <x v="232"/>
    <x v="1"/>
    <x v="0"/>
    <n v="1"/>
    <n v="0"/>
    <n v="0"/>
  </r>
  <r>
    <x v="2"/>
    <x v="15"/>
    <x v="232"/>
    <x v="1"/>
    <x v="1"/>
    <n v="2"/>
    <n v="0"/>
    <n v="0"/>
  </r>
  <r>
    <x v="2"/>
    <x v="15"/>
    <x v="232"/>
    <x v="1"/>
    <x v="2"/>
    <n v="3"/>
    <n v="0"/>
    <n v="0"/>
  </r>
  <r>
    <x v="2"/>
    <x v="15"/>
    <x v="232"/>
    <x v="1"/>
    <x v="3"/>
    <n v="4"/>
    <n v="0"/>
    <n v="0"/>
  </r>
  <r>
    <x v="2"/>
    <x v="15"/>
    <x v="232"/>
    <x v="1"/>
    <x v="4"/>
    <n v="5"/>
    <n v="0"/>
    <n v="0"/>
  </r>
  <r>
    <x v="2"/>
    <x v="15"/>
    <x v="232"/>
    <x v="1"/>
    <x v="5"/>
    <n v="6"/>
    <n v="99"/>
    <n v="22765.538879032258"/>
  </r>
  <r>
    <x v="2"/>
    <x v="15"/>
    <x v="232"/>
    <x v="1"/>
    <x v="6"/>
    <n v="7"/>
    <n v="46"/>
    <n v="36359.618403755863"/>
  </r>
  <r>
    <x v="2"/>
    <x v="25"/>
    <x v="219"/>
    <x v="1"/>
    <x v="0"/>
    <n v="1"/>
    <n v="0"/>
    <n v="0"/>
  </r>
  <r>
    <x v="2"/>
    <x v="25"/>
    <x v="219"/>
    <x v="1"/>
    <x v="1"/>
    <n v="2"/>
    <n v="0"/>
    <n v="0"/>
  </r>
  <r>
    <x v="2"/>
    <x v="25"/>
    <x v="219"/>
    <x v="1"/>
    <x v="2"/>
    <n v="3"/>
    <n v="0"/>
    <n v="0"/>
  </r>
  <r>
    <x v="2"/>
    <x v="25"/>
    <x v="219"/>
    <x v="1"/>
    <x v="3"/>
    <n v="4"/>
    <n v="0"/>
    <n v="0"/>
  </r>
  <r>
    <x v="2"/>
    <x v="25"/>
    <x v="219"/>
    <x v="1"/>
    <x v="4"/>
    <n v="5"/>
    <n v="0"/>
    <n v="0"/>
  </r>
  <r>
    <x v="2"/>
    <x v="25"/>
    <x v="219"/>
    <x v="1"/>
    <x v="5"/>
    <n v="6"/>
    <n v="0"/>
    <n v="0"/>
  </r>
  <r>
    <x v="2"/>
    <x v="25"/>
    <x v="219"/>
    <x v="1"/>
    <x v="6"/>
    <n v="7"/>
    <n v="1"/>
    <n v="790.42648703817099"/>
  </r>
  <r>
    <x v="2"/>
    <x v="25"/>
    <x v="321"/>
    <x v="1"/>
    <x v="0"/>
    <n v="1"/>
    <n v="0"/>
    <n v="0"/>
  </r>
  <r>
    <x v="2"/>
    <x v="25"/>
    <x v="321"/>
    <x v="1"/>
    <x v="1"/>
    <n v="2"/>
    <n v="44"/>
    <n v="4421.6492615868028"/>
  </r>
  <r>
    <x v="2"/>
    <x v="25"/>
    <x v="321"/>
    <x v="1"/>
    <x v="2"/>
    <n v="3"/>
    <n v="38"/>
    <n v="6298.8484951731971"/>
  </r>
  <r>
    <x v="2"/>
    <x v="25"/>
    <x v="321"/>
    <x v="1"/>
    <x v="3"/>
    <n v="4"/>
    <n v="8"/>
    <n v="6877.5462545079854"/>
  </r>
  <r>
    <x v="2"/>
    <x v="25"/>
    <x v="321"/>
    <x v="1"/>
    <x v="4"/>
    <n v="5"/>
    <n v="4"/>
    <n v="4033.9887577290615"/>
  </r>
  <r>
    <x v="2"/>
    <x v="25"/>
    <x v="321"/>
    <x v="1"/>
    <x v="5"/>
    <n v="6"/>
    <n v="0"/>
    <n v="0"/>
  </r>
  <r>
    <x v="2"/>
    <x v="25"/>
    <x v="321"/>
    <x v="1"/>
    <x v="6"/>
    <n v="7"/>
    <n v="0"/>
    <n v="0"/>
  </r>
  <r>
    <x v="2"/>
    <x v="25"/>
    <x v="356"/>
    <x v="1"/>
    <x v="0"/>
    <n v="1"/>
    <n v="0"/>
    <n v="0"/>
  </r>
  <r>
    <x v="2"/>
    <x v="25"/>
    <x v="356"/>
    <x v="1"/>
    <x v="1"/>
    <n v="2"/>
    <n v="25"/>
    <n v="2512.3007168106833"/>
  </r>
  <r>
    <x v="2"/>
    <x v="25"/>
    <x v="356"/>
    <x v="1"/>
    <x v="2"/>
    <n v="3"/>
    <n v="45"/>
    <n v="7459.1626916524701"/>
  </r>
  <r>
    <x v="2"/>
    <x v="25"/>
    <x v="356"/>
    <x v="1"/>
    <x v="3"/>
    <n v="4"/>
    <n v="6"/>
    <n v="5158.1596908809888"/>
  </r>
  <r>
    <x v="2"/>
    <x v="25"/>
    <x v="356"/>
    <x v="1"/>
    <x v="4"/>
    <n v="5"/>
    <n v="6"/>
    <n v="6050.9831365935925"/>
  </r>
  <r>
    <x v="2"/>
    <x v="25"/>
    <x v="356"/>
    <x v="1"/>
    <x v="5"/>
    <n v="6"/>
    <n v="125"/>
    <n v="28744.367271505376"/>
  </r>
  <r>
    <x v="2"/>
    <x v="25"/>
    <x v="356"/>
    <x v="1"/>
    <x v="6"/>
    <n v="7"/>
    <n v="7"/>
    <n v="5532.9854092671967"/>
  </r>
  <r>
    <x v="2"/>
    <x v="25"/>
    <x v="357"/>
    <x v="1"/>
    <x v="0"/>
    <n v="1"/>
    <n v="0"/>
    <n v="0"/>
  </r>
  <r>
    <x v="2"/>
    <x v="25"/>
    <x v="357"/>
    <x v="1"/>
    <x v="1"/>
    <n v="2"/>
    <n v="25"/>
    <n v="2512.3007168106833"/>
  </r>
  <r>
    <x v="2"/>
    <x v="25"/>
    <x v="357"/>
    <x v="1"/>
    <x v="2"/>
    <n v="3"/>
    <n v="49"/>
    <n v="8122.1993753549123"/>
  </r>
  <r>
    <x v="2"/>
    <x v="25"/>
    <x v="357"/>
    <x v="1"/>
    <x v="3"/>
    <n v="4"/>
    <n v="4"/>
    <n v="3438.7731272539927"/>
  </r>
  <r>
    <x v="2"/>
    <x v="25"/>
    <x v="357"/>
    <x v="1"/>
    <x v="4"/>
    <n v="5"/>
    <n v="0"/>
    <n v="0"/>
  </r>
  <r>
    <x v="2"/>
    <x v="25"/>
    <x v="357"/>
    <x v="1"/>
    <x v="5"/>
    <n v="6"/>
    <n v="0"/>
    <n v="0"/>
  </r>
  <r>
    <x v="2"/>
    <x v="25"/>
    <x v="357"/>
    <x v="1"/>
    <x v="6"/>
    <n v="7"/>
    <n v="0"/>
    <n v="0"/>
  </r>
  <r>
    <x v="2"/>
    <x v="25"/>
    <x v="318"/>
    <x v="1"/>
    <x v="0"/>
    <n v="1"/>
    <n v="0"/>
    <n v="0"/>
  </r>
  <r>
    <x v="2"/>
    <x v="25"/>
    <x v="318"/>
    <x v="1"/>
    <x v="1"/>
    <n v="2"/>
    <n v="34"/>
    <n v="3416.7289748625294"/>
  </r>
  <r>
    <x v="2"/>
    <x v="25"/>
    <x v="318"/>
    <x v="1"/>
    <x v="2"/>
    <n v="3"/>
    <n v="108"/>
    <n v="17901.990459965928"/>
  </r>
  <r>
    <x v="2"/>
    <x v="25"/>
    <x v="318"/>
    <x v="1"/>
    <x v="3"/>
    <n v="4"/>
    <n v="10"/>
    <n v="8596.9328181349811"/>
  </r>
  <r>
    <x v="2"/>
    <x v="25"/>
    <x v="318"/>
    <x v="1"/>
    <x v="4"/>
    <n v="5"/>
    <n v="1"/>
    <n v="1008.4971894322654"/>
  </r>
  <r>
    <x v="2"/>
    <x v="25"/>
    <x v="318"/>
    <x v="1"/>
    <x v="5"/>
    <n v="6"/>
    <n v="125"/>
    <n v="28744.367271505376"/>
  </r>
  <r>
    <x v="2"/>
    <x v="25"/>
    <x v="318"/>
    <x v="1"/>
    <x v="6"/>
    <n v="7"/>
    <n v="6"/>
    <n v="4742.5589222290255"/>
  </r>
  <r>
    <x v="2"/>
    <x v="25"/>
    <x v="314"/>
    <x v="1"/>
    <x v="0"/>
    <n v="1"/>
    <n v="0"/>
    <n v="0"/>
  </r>
  <r>
    <x v="2"/>
    <x v="25"/>
    <x v="314"/>
    <x v="1"/>
    <x v="1"/>
    <n v="2"/>
    <n v="0"/>
    <n v="0"/>
  </r>
  <r>
    <x v="2"/>
    <x v="25"/>
    <x v="314"/>
    <x v="1"/>
    <x v="2"/>
    <n v="3"/>
    <n v="0"/>
    <n v="0"/>
  </r>
  <r>
    <x v="2"/>
    <x v="25"/>
    <x v="314"/>
    <x v="1"/>
    <x v="3"/>
    <n v="4"/>
    <n v="0"/>
    <n v="0"/>
  </r>
  <r>
    <x v="2"/>
    <x v="25"/>
    <x v="314"/>
    <x v="1"/>
    <x v="4"/>
    <n v="5"/>
    <n v="0"/>
    <n v="0"/>
  </r>
  <r>
    <x v="2"/>
    <x v="25"/>
    <x v="314"/>
    <x v="1"/>
    <x v="5"/>
    <n v="6"/>
    <n v="41"/>
    <n v="9428.1524650537631"/>
  </r>
  <r>
    <x v="2"/>
    <x v="25"/>
    <x v="314"/>
    <x v="1"/>
    <x v="6"/>
    <n v="7"/>
    <n v="6"/>
    <n v="4742.5589222290255"/>
  </r>
  <r>
    <x v="2"/>
    <x v="25"/>
    <x v="315"/>
    <x v="1"/>
    <x v="0"/>
    <n v="1"/>
    <n v="0"/>
    <n v="0"/>
  </r>
  <r>
    <x v="2"/>
    <x v="25"/>
    <x v="315"/>
    <x v="1"/>
    <x v="1"/>
    <n v="2"/>
    <n v="0"/>
    <n v="0"/>
  </r>
  <r>
    <x v="2"/>
    <x v="25"/>
    <x v="315"/>
    <x v="1"/>
    <x v="2"/>
    <n v="3"/>
    <n v="0"/>
    <n v="0"/>
  </r>
  <r>
    <x v="2"/>
    <x v="25"/>
    <x v="315"/>
    <x v="1"/>
    <x v="3"/>
    <n v="4"/>
    <n v="0"/>
    <n v="0"/>
  </r>
  <r>
    <x v="2"/>
    <x v="25"/>
    <x v="315"/>
    <x v="1"/>
    <x v="4"/>
    <n v="5"/>
    <n v="0"/>
    <n v="0"/>
  </r>
  <r>
    <x v="2"/>
    <x v="25"/>
    <x v="315"/>
    <x v="1"/>
    <x v="5"/>
    <n v="6"/>
    <n v="0"/>
    <n v="0"/>
  </r>
  <r>
    <x v="2"/>
    <x v="25"/>
    <x v="315"/>
    <x v="1"/>
    <x v="6"/>
    <n v="7"/>
    <n v="15"/>
    <n v="11856.397305572566"/>
  </r>
  <r>
    <x v="2"/>
    <x v="4"/>
    <x v="52"/>
    <x v="1"/>
    <x v="0"/>
    <n v="1"/>
    <n v="0"/>
    <n v="0"/>
  </r>
  <r>
    <x v="2"/>
    <x v="4"/>
    <x v="52"/>
    <x v="1"/>
    <x v="1"/>
    <n v="2"/>
    <n v="110"/>
    <n v="11054.123153967008"/>
  </r>
  <r>
    <x v="2"/>
    <x v="4"/>
    <x v="52"/>
    <x v="1"/>
    <x v="2"/>
    <n v="3"/>
    <n v="34"/>
    <n v="5635.8118114707549"/>
  </r>
  <r>
    <x v="2"/>
    <x v="4"/>
    <x v="52"/>
    <x v="1"/>
    <x v="3"/>
    <n v="4"/>
    <n v="9"/>
    <n v="7737.2395363214837"/>
  </r>
  <r>
    <x v="2"/>
    <x v="4"/>
    <x v="52"/>
    <x v="1"/>
    <x v="4"/>
    <n v="5"/>
    <n v="3"/>
    <n v="3025.4915682967962"/>
  </r>
  <r>
    <x v="2"/>
    <x v="4"/>
    <x v="52"/>
    <x v="1"/>
    <x v="5"/>
    <n v="6"/>
    <n v="121"/>
    <n v="27824.547518817202"/>
  </r>
  <r>
    <x v="2"/>
    <x v="4"/>
    <x v="52"/>
    <x v="1"/>
    <x v="6"/>
    <n v="7"/>
    <n v="3"/>
    <n v="2371.2794611145127"/>
  </r>
  <r>
    <x v="2"/>
    <x v="4"/>
    <x v="57"/>
    <x v="1"/>
    <x v="0"/>
    <n v="1"/>
    <n v="0"/>
    <n v="0"/>
  </r>
  <r>
    <x v="2"/>
    <x v="4"/>
    <x v="57"/>
    <x v="1"/>
    <x v="1"/>
    <n v="2"/>
    <n v="232"/>
    <n v="23314.150652003143"/>
  </r>
  <r>
    <x v="2"/>
    <x v="4"/>
    <x v="57"/>
    <x v="1"/>
    <x v="2"/>
    <n v="3"/>
    <n v="47"/>
    <n v="7790.6810335036907"/>
  </r>
  <r>
    <x v="2"/>
    <x v="4"/>
    <x v="57"/>
    <x v="1"/>
    <x v="3"/>
    <n v="4"/>
    <n v="5"/>
    <n v="4298.4664090674905"/>
  </r>
  <r>
    <x v="2"/>
    <x v="4"/>
    <x v="57"/>
    <x v="1"/>
    <x v="4"/>
    <n v="5"/>
    <n v="14"/>
    <n v="14118.960652051715"/>
  </r>
  <r>
    <x v="2"/>
    <x v="4"/>
    <x v="57"/>
    <x v="1"/>
    <x v="5"/>
    <n v="6"/>
    <n v="137"/>
    <n v="31503.826529569891"/>
  </r>
  <r>
    <x v="2"/>
    <x v="4"/>
    <x v="57"/>
    <x v="1"/>
    <x v="6"/>
    <n v="7"/>
    <n v="13"/>
    <n v="10275.544331496223"/>
  </r>
  <r>
    <x v="2"/>
    <x v="4"/>
    <x v="55"/>
    <x v="1"/>
    <x v="0"/>
    <n v="1"/>
    <n v="0"/>
    <n v="0"/>
  </r>
  <r>
    <x v="2"/>
    <x v="4"/>
    <x v="55"/>
    <x v="1"/>
    <x v="1"/>
    <n v="2"/>
    <n v="111"/>
    <n v="11154.615182639434"/>
  </r>
  <r>
    <x v="2"/>
    <x v="4"/>
    <x v="55"/>
    <x v="1"/>
    <x v="2"/>
    <n v="3"/>
    <n v="53"/>
    <n v="8785.2360590573535"/>
  </r>
  <r>
    <x v="2"/>
    <x v="4"/>
    <x v="55"/>
    <x v="1"/>
    <x v="3"/>
    <n v="4"/>
    <n v="7"/>
    <n v="6017.8529726944871"/>
  </r>
  <r>
    <x v="2"/>
    <x v="4"/>
    <x v="55"/>
    <x v="1"/>
    <x v="4"/>
    <n v="5"/>
    <n v="25"/>
    <n v="25212.429735806636"/>
  </r>
  <r>
    <x v="2"/>
    <x v="4"/>
    <x v="55"/>
    <x v="1"/>
    <x v="5"/>
    <n v="6"/>
    <n v="126"/>
    <n v="28974.322209677419"/>
  </r>
  <r>
    <x v="2"/>
    <x v="4"/>
    <x v="55"/>
    <x v="1"/>
    <x v="6"/>
    <n v="7"/>
    <n v="3"/>
    <n v="2371.2794611145127"/>
  </r>
  <r>
    <x v="2"/>
    <x v="4"/>
    <x v="51"/>
    <x v="1"/>
    <x v="0"/>
    <n v="1"/>
    <n v="0"/>
    <n v="0"/>
  </r>
  <r>
    <x v="2"/>
    <x v="4"/>
    <x v="51"/>
    <x v="1"/>
    <x v="1"/>
    <n v="2"/>
    <n v="0"/>
    <n v="0"/>
  </r>
  <r>
    <x v="2"/>
    <x v="4"/>
    <x v="51"/>
    <x v="1"/>
    <x v="2"/>
    <n v="3"/>
    <n v="0"/>
    <n v="0"/>
  </r>
  <r>
    <x v="2"/>
    <x v="4"/>
    <x v="51"/>
    <x v="1"/>
    <x v="3"/>
    <n v="4"/>
    <n v="0"/>
    <n v="0"/>
  </r>
  <r>
    <x v="2"/>
    <x v="4"/>
    <x v="51"/>
    <x v="1"/>
    <x v="4"/>
    <n v="5"/>
    <n v="0"/>
    <n v="0"/>
  </r>
  <r>
    <x v="2"/>
    <x v="4"/>
    <x v="51"/>
    <x v="1"/>
    <x v="5"/>
    <n v="6"/>
    <n v="0"/>
    <n v="0"/>
  </r>
  <r>
    <x v="2"/>
    <x v="4"/>
    <x v="51"/>
    <x v="1"/>
    <x v="6"/>
    <n v="7"/>
    <n v="14"/>
    <n v="11065.970818534393"/>
  </r>
  <r>
    <x v="2"/>
    <x v="4"/>
    <x v="54"/>
    <x v="1"/>
    <x v="0"/>
    <n v="1"/>
    <n v="0"/>
    <n v="0"/>
  </r>
  <r>
    <x v="2"/>
    <x v="4"/>
    <x v="54"/>
    <x v="1"/>
    <x v="1"/>
    <n v="2"/>
    <n v="0"/>
    <n v="0"/>
  </r>
  <r>
    <x v="2"/>
    <x v="4"/>
    <x v="54"/>
    <x v="1"/>
    <x v="2"/>
    <n v="3"/>
    <n v="0"/>
    <n v="0"/>
  </r>
  <r>
    <x v="2"/>
    <x v="4"/>
    <x v="54"/>
    <x v="1"/>
    <x v="3"/>
    <n v="4"/>
    <n v="0"/>
    <n v="0"/>
  </r>
  <r>
    <x v="2"/>
    <x v="4"/>
    <x v="54"/>
    <x v="1"/>
    <x v="4"/>
    <n v="5"/>
    <n v="0"/>
    <n v="0"/>
  </r>
  <r>
    <x v="2"/>
    <x v="4"/>
    <x v="54"/>
    <x v="1"/>
    <x v="5"/>
    <n v="6"/>
    <n v="3"/>
    <n v="689.86481451612894"/>
  </r>
  <r>
    <x v="2"/>
    <x v="4"/>
    <x v="54"/>
    <x v="1"/>
    <x v="6"/>
    <n v="7"/>
    <n v="9"/>
    <n v="7113.8383833435391"/>
  </r>
  <r>
    <x v="2"/>
    <x v="4"/>
    <x v="58"/>
    <x v="1"/>
    <x v="0"/>
    <n v="1"/>
    <n v="0"/>
    <n v="0"/>
  </r>
  <r>
    <x v="2"/>
    <x v="4"/>
    <x v="58"/>
    <x v="1"/>
    <x v="1"/>
    <n v="2"/>
    <n v="0"/>
    <n v="0"/>
  </r>
  <r>
    <x v="2"/>
    <x v="4"/>
    <x v="58"/>
    <x v="1"/>
    <x v="2"/>
    <n v="3"/>
    <n v="0"/>
    <n v="0"/>
  </r>
  <r>
    <x v="2"/>
    <x v="4"/>
    <x v="58"/>
    <x v="1"/>
    <x v="3"/>
    <n v="4"/>
    <n v="0"/>
    <n v="0"/>
  </r>
  <r>
    <x v="2"/>
    <x v="4"/>
    <x v="58"/>
    <x v="1"/>
    <x v="4"/>
    <n v="5"/>
    <n v="0"/>
    <n v="0"/>
  </r>
  <r>
    <x v="2"/>
    <x v="4"/>
    <x v="58"/>
    <x v="1"/>
    <x v="5"/>
    <n v="6"/>
    <n v="17"/>
    <n v="3909.2339489247311"/>
  </r>
  <r>
    <x v="2"/>
    <x v="4"/>
    <x v="58"/>
    <x v="1"/>
    <x v="6"/>
    <n v="7"/>
    <n v="4"/>
    <n v="3161.705948152684"/>
  </r>
  <r>
    <x v="2"/>
    <x v="4"/>
    <x v="53"/>
    <x v="1"/>
    <x v="0"/>
    <n v="1"/>
    <n v="0"/>
    <n v="0"/>
  </r>
  <r>
    <x v="2"/>
    <x v="4"/>
    <x v="53"/>
    <x v="1"/>
    <x v="1"/>
    <n v="2"/>
    <n v="0"/>
    <n v="0"/>
  </r>
  <r>
    <x v="2"/>
    <x v="4"/>
    <x v="53"/>
    <x v="1"/>
    <x v="2"/>
    <n v="3"/>
    <n v="0"/>
    <n v="0"/>
  </r>
  <r>
    <x v="2"/>
    <x v="4"/>
    <x v="53"/>
    <x v="1"/>
    <x v="3"/>
    <n v="4"/>
    <n v="0"/>
    <n v="0"/>
  </r>
  <r>
    <x v="2"/>
    <x v="4"/>
    <x v="53"/>
    <x v="1"/>
    <x v="4"/>
    <n v="5"/>
    <n v="0"/>
    <n v="0"/>
  </r>
  <r>
    <x v="2"/>
    <x v="4"/>
    <x v="53"/>
    <x v="1"/>
    <x v="5"/>
    <n v="6"/>
    <n v="6"/>
    <n v="1379.7296290322579"/>
  </r>
  <r>
    <x v="2"/>
    <x v="4"/>
    <x v="53"/>
    <x v="1"/>
    <x v="6"/>
    <n v="7"/>
    <n v="8"/>
    <n v="6323.4118963053679"/>
  </r>
  <r>
    <x v="2"/>
    <x v="26"/>
    <x v="303"/>
    <x v="1"/>
    <x v="0"/>
    <n v="1"/>
    <n v="0"/>
    <n v="0"/>
  </r>
  <r>
    <x v="2"/>
    <x v="26"/>
    <x v="303"/>
    <x v="1"/>
    <x v="1"/>
    <n v="2"/>
    <n v="50"/>
    <n v="5024.6014336213666"/>
  </r>
  <r>
    <x v="2"/>
    <x v="26"/>
    <x v="303"/>
    <x v="1"/>
    <x v="2"/>
    <n v="3"/>
    <n v="116"/>
    <n v="19228.063827370814"/>
  </r>
  <r>
    <x v="2"/>
    <x v="26"/>
    <x v="303"/>
    <x v="1"/>
    <x v="3"/>
    <n v="4"/>
    <n v="8"/>
    <n v="6877.5462545079854"/>
  </r>
  <r>
    <x v="2"/>
    <x v="26"/>
    <x v="303"/>
    <x v="1"/>
    <x v="4"/>
    <n v="5"/>
    <n v="6"/>
    <n v="6050.9831365935925"/>
  </r>
  <r>
    <x v="2"/>
    <x v="26"/>
    <x v="303"/>
    <x v="1"/>
    <x v="5"/>
    <n v="6"/>
    <n v="126"/>
    <n v="28974.322209677419"/>
  </r>
  <r>
    <x v="2"/>
    <x v="26"/>
    <x v="303"/>
    <x v="1"/>
    <x v="6"/>
    <n v="7"/>
    <n v="9"/>
    <n v="7113.8383833435391"/>
  </r>
  <r>
    <x v="2"/>
    <x v="26"/>
    <x v="358"/>
    <x v="1"/>
    <x v="0"/>
    <n v="1"/>
    <n v="0"/>
    <n v="0"/>
  </r>
  <r>
    <x v="2"/>
    <x v="26"/>
    <x v="358"/>
    <x v="1"/>
    <x v="1"/>
    <n v="2"/>
    <n v="0"/>
    <n v="0"/>
  </r>
  <r>
    <x v="2"/>
    <x v="26"/>
    <x v="358"/>
    <x v="1"/>
    <x v="2"/>
    <n v="3"/>
    <n v="39"/>
    <n v="6464.6076660988074"/>
  </r>
  <r>
    <x v="2"/>
    <x v="26"/>
    <x v="358"/>
    <x v="1"/>
    <x v="3"/>
    <n v="4"/>
    <n v="13"/>
    <n v="11176.012663575477"/>
  </r>
  <r>
    <x v="2"/>
    <x v="26"/>
    <x v="358"/>
    <x v="1"/>
    <x v="4"/>
    <n v="5"/>
    <n v="0"/>
    <n v="0"/>
  </r>
  <r>
    <x v="2"/>
    <x v="26"/>
    <x v="358"/>
    <x v="1"/>
    <x v="5"/>
    <n v="6"/>
    <n v="0"/>
    <n v="0"/>
  </r>
  <r>
    <x v="2"/>
    <x v="26"/>
    <x v="358"/>
    <x v="1"/>
    <x v="6"/>
    <n v="7"/>
    <n v="0"/>
    <n v="0"/>
  </r>
  <r>
    <x v="2"/>
    <x v="26"/>
    <x v="297"/>
    <x v="1"/>
    <x v="0"/>
    <n v="1"/>
    <n v="0"/>
    <n v="0"/>
  </r>
  <r>
    <x v="2"/>
    <x v="26"/>
    <x v="297"/>
    <x v="1"/>
    <x v="1"/>
    <n v="2"/>
    <n v="16"/>
    <n v="1607.8724587588374"/>
  </r>
  <r>
    <x v="2"/>
    <x v="26"/>
    <x v="297"/>
    <x v="1"/>
    <x v="2"/>
    <n v="3"/>
    <n v="21"/>
    <n v="3480.9425894378196"/>
  </r>
  <r>
    <x v="2"/>
    <x v="26"/>
    <x v="297"/>
    <x v="1"/>
    <x v="3"/>
    <n v="4"/>
    <n v="5"/>
    <n v="4298.4664090674905"/>
  </r>
  <r>
    <x v="2"/>
    <x v="26"/>
    <x v="297"/>
    <x v="1"/>
    <x v="4"/>
    <n v="5"/>
    <n v="5"/>
    <n v="5042.4859471613272"/>
  </r>
  <r>
    <x v="2"/>
    <x v="26"/>
    <x v="297"/>
    <x v="1"/>
    <x v="5"/>
    <n v="6"/>
    <n v="7"/>
    <n v="1609.6845672043009"/>
  </r>
  <r>
    <x v="2"/>
    <x v="26"/>
    <x v="297"/>
    <x v="1"/>
    <x v="6"/>
    <n v="7"/>
    <n v="4"/>
    <n v="3161.705948152684"/>
  </r>
  <r>
    <x v="2"/>
    <x v="26"/>
    <x v="295"/>
    <x v="1"/>
    <x v="0"/>
    <n v="1"/>
    <n v="0"/>
    <n v="0"/>
  </r>
  <r>
    <x v="2"/>
    <x v="26"/>
    <x v="295"/>
    <x v="1"/>
    <x v="1"/>
    <n v="2"/>
    <n v="0"/>
    <n v="0"/>
  </r>
  <r>
    <x v="2"/>
    <x v="26"/>
    <x v="295"/>
    <x v="1"/>
    <x v="2"/>
    <n v="3"/>
    <n v="0"/>
    <n v="0"/>
  </r>
  <r>
    <x v="2"/>
    <x v="26"/>
    <x v="295"/>
    <x v="1"/>
    <x v="3"/>
    <n v="4"/>
    <n v="0"/>
    <n v="0"/>
  </r>
  <r>
    <x v="2"/>
    <x v="26"/>
    <x v="295"/>
    <x v="1"/>
    <x v="4"/>
    <n v="5"/>
    <n v="0"/>
    <n v="0"/>
  </r>
  <r>
    <x v="2"/>
    <x v="26"/>
    <x v="295"/>
    <x v="1"/>
    <x v="5"/>
    <n v="6"/>
    <n v="0"/>
    <n v="0"/>
  </r>
  <r>
    <x v="2"/>
    <x v="26"/>
    <x v="295"/>
    <x v="1"/>
    <x v="6"/>
    <n v="7"/>
    <n v="38"/>
    <n v="30036.206507450497"/>
  </r>
  <r>
    <x v="3"/>
    <x v="0"/>
    <x v="0"/>
    <x v="2"/>
    <x v="0"/>
    <n v="1"/>
    <n v="2080"/>
    <n v="0"/>
  </r>
  <r>
    <x v="3"/>
    <x v="0"/>
    <x v="0"/>
    <x v="2"/>
    <x v="1"/>
    <n v="2"/>
    <n v="2600"/>
    <n v="154000"/>
  </r>
  <r>
    <x v="3"/>
    <x v="0"/>
    <x v="0"/>
    <x v="2"/>
    <x v="2"/>
    <n v="3"/>
    <n v="2860"/>
    <n v="185000"/>
  </r>
  <r>
    <x v="3"/>
    <x v="0"/>
    <x v="0"/>
    <x v="2"/>
    <x v="3"/>
    <n v="4"/>
    <n v="2423"/>
    <n v="241012.19999999995"/>
  </r>
  <r>
    <x v="3"/>
    <x v="0"/>
    <x v="0"/>
    <x v="2"/>
    <x v="4"/>
    <n v="5"/>
    <n v="2600"/>
    <n v="206677.21"/>
  </r>
  <r>
    <x v="3"/>
    <x v="0"/>
    <x v="0"/>
    <x v="2"/>
    <x v="5"/>
    <n v="6"/>
    <n v="2730"/>
    <n v="219102"/>
  </r>
  <r>
    <x v="3"/>
    <x v="0"/>
    <x v="0"/>
    <x v="2"/>
    <x v="6"/>
    <n v="7"/>
    <n v="2730"/>
    <n v="223167.10000000009"/>
  </r>
  <r>
    <x v="3"/>
    <x v="0"/>
    <x v="0"/>
    <x v="3"/>
    <x v="0"/>
    <n v="1"/>
    <n v="3400"/>
    <n v="0"/>
  </r>
  <r>
    <x v="3"/>
    <x v="0"/>
    <x v="0"/>
    <x v="3"/>
    <x v="1"/>
    <n v="2"/>
    <n v="4000"/>
    <n v="0"/>
  </r>
  <r>
    <x v="3"/>
    <x v="0"/>
    <x v="0"/>
    <x v="3"/>
    <x v="2"/>
    <n v="3"/>
    <n v="4400"/>
    <n v="0"/>
  </r>
  <r>
    <x v="3"/>
    <x v="0"/>
    <x v="0"/>
    <x v="3"/>
    <x v="3"/>
    <n v="4"/>
    <n v="3800"/>
    <n v="0"/>
  </r>
  <r>
    <x v="3"/>
    <x v="0"/>
    <x v="0"/>
    <x v="3"/>
    <x v="4"/>
    <n v="5"/>
    <n v="4000"/>
    <n v="0"/>
  </r>
  <r>
    <x v="3"/>
    <x v="0"/>
    <x v="0"/>
    <x v="3"/>
    <x v="5"/>
    <n v="6"/>
    <n v="4000"/>
    <n v="0"/>
  </r>
  <r>
    <x v="3"/>
    <x v="0"/>
    <x v="0"/>
    <x v="3"/>
    <x v="6"/>
    <n v="7"/>
    <n v="4200"/>
    <n v="0"/>
  </r>
  <r>
    <x v="3"/>
    <x v="0"/>
    <x v="1"/>
    <x v="2"/>
    <x v="0"/>
    <n v="1"/>
    <n v="2400"/>
    <n v="0"/>
  </r>
  <r>
    <x v="3"/>
    <x v="0"/>
    <x v="1"/>
    <x v="2"/>
    <x v="1"/>
    <n v="2"/>
    <n v="3000"/>
    <n v="170512.5"/>
  </r>
  <r>
    <x v="3"/>
    <x v="0"/>
    <x v="1"/>
    <x v="2"/>
    <x v="2"/>
    <n v="3"/>
    <n v="3300"/>
    <n v="183600"/>
  </r>
  <r>
    <x v="3"/>
    <x v="0"/>
    <x v="1"/>
    <x v="2"/>
    <x v="3"/>
    <n v="4"/>
    <n v="2850"/>
    <n v="286367.25"/>
  </r>
  <r>
    <x v="3"/>
    <x v="0"/>
    <x v="1"/>
    <x v="2"/>
    <x v="4"/>
    <n v="5"/>
    <n v="3000"/>
    <n v="235359.75"/>
  </r>
  <r>
    <x v="3"/>
    <x v="0"/>
    <x v="1"/>
    <x v="2"/>
    <x v="5"/>
    <n v="6"/>
    <n v="3150"/>
    <n v="252280"/>
  </r>
  <r>
    <x v="3"/>
    <x v="0"/>
    <x v="1"/>
    <x v="2"/>
    <x v="6"/>
    <n v="7"/>
    <n v="3450"/>
    <n v="260725.55000000005"/>
  </r>
  <r>
    <x v="3"/>
    <x v="0"/>
    <x v="1"/>
    <x v="3"/>
    <x v="0"/>
    <n v="1"/>
    <n v="3825"/>
    <n v="0"/>
  </r>
  <r>
    <x v="3"/>
    <x v="0"/>
    <x v="1"/>
    <x v="3"/>
    <x v="1"/>
    <n v="2"/>
    <n v="4500"/>
    <n v="0"/>
  </r>
  <r>
    <x v="3"/>
    <x v="0"/>
    <x v="1"/>
    <x v="3"/>
    <x v="2"/>
    <n v="3"/>
    <n v="4950"/>
    <n v="0"/>
  </r>
  <r>
    <x v="3"/>
    <x v="0"/>
    <x v="1"/>
    <x v="3"/>
    <x v="3"/>
    <n v="4"/>
    <n v="4245"/>
    <n v="0"/>
  </r>
  <r>
    <x v="3"/>
    <x v="0"/>
    <x v="1"/>
    <x v="3"/>
    <x v="4"/>
    <n v="5"/>
    <n v="4500"/>
    <n v="0"/>
  </r>
  <r>
    <x v="3"/>
    <x v="0"/>
    <x v="1"/>
    <x v="3"/>
    <x v="5"/>
    <n v="6"/>
    <n v="4709"/>
    <n v="0"/>
  </r>
  <r>
    <x v="3"/>
    <x v="0"/>
    <x v="1"/>
    <x v="3"/>
    <x v="6"/>
    <n v="7"/>
    <n v="5175"/>
    <n v="0"/>
  </r>
  <r>
    <x v="3"/>
    <x v="0"/>
    <x v="2"/>
    <x v="2"/>
    <x v="0"/>
    <n v="1"/>
    <n v="0"/>
    <n v="0"/>
  </r>
  <r>
    <x v="3"/>
    <x v="0"/>
    <x v="2"/>
    <x v="2"/>
    <x v="1"/>
    <n v="2"/>
    <n v="0"/>
    <n v="0"/>
  </r>
  <r>
    <x v="3"/>
    <x v="0"/>
    <x v="2"/>
    <x v="2"/>
    <x v="2"/>
    <n v="3"/>
    <n v="0"/>
    <n v="0"/>
  </r>
  <r>
    <x v="3"/>
    <x v="0"/>
    <x v="2"/>
    <x v="2"/>
    <x v="3"/>
    <n v="4"/>
    <n v="1780"/>
    <n v="0"/>
  </r>
  <r>
    <x v="3"/>
    <x v="0"/>
    <x v="2"/>
    <x v="2"/>
    <x v="4"/>
    <n v="5"/>
    <n v="2000"/>
    <n v="153843.1"/>
  </r>
  <r>
    <x v="3"/>
    <x v="0"/>
    <x v="2"/>
    <x v="2"/>
    <x v="5"/>
    <n v="6"/>
    <n v="2000"/>
    <n v="165304.35"/>
  </r>
  <r>
    <x v="3"/>
    <x v="0"/>
    <x v="2"/>
    <x v="2"/>
    <x v="6"/>
    <n v="7"/>
    <n v="2300"/>
    <n v="171057.5"/>
  </r>
  <r>
    <x v="3"/>
    <x v="0"/>
    <x v="2"/>
    <x v="3"/>
    <x v="0"/>
    <n v="1"/>
    <n v="0"/>
    <n v="0"/>
  </r>
  <r>
    <x v="3"/>
    <x v="0"/>
    <x v="2"/>
    <x v="3"/>
    <x v="1"/>
    <n v="2"/>
    <n v="0"/>
    <n v="0"/>
  </r>
  <r>
    <x v="3"/>
    <x v="0"/>
    <x v="2"/>
    <x v="3"/>
    <x v="2"/>
    <n v="3"/>
    <n v="0"/>
    <n v="0"/>
  </r>
  <r>
    <x v="3"/>
    <x v="0"/>
    <x v="2"/>
    <x v="3"/>
    <x v="3"/>
    <n v="4"/>
    <n v="2850"/>
    <n v="0"/>
  </r>
  <r>
    <x v="3"/>
    <x v="0"/>
    <x v="2"/>
    <x v="3"/>
    <x v="4"/>
    <n v="5"/>
    <n v="3000"/>
    <n v="0"/>
  </r>
  <r>
    <x v="3"/>
    <x v="0"/>
    <x v="2"/>
    <x v="3"/>
    <x v="5"/>
    <n v="6"/>
    <n v="3150"/>
    <n v="0"/>
  </r>
  <r>
    <x v="3"/>
    <x v="0"/>
    <x v="2"/>
    <x v="3"/>
    <x v="6"/>
    <n v="7"/>
    <n v="3450"/>
    <n v="0"/>
  </r>
  <r>
    <x v="3"/>
    <x v="0"/>
    <x v="3"/>
    <x v="2"/>
    <x v="0"/>
    <n v="1"/>
    <n v="2400"/>
    <n v="0"/>
  </r>
  <r>
    <x v="3"/>
    <x v="0"/>
    <x v="3"/>
    <x v="2"/>
    <x v="1"/>
    <n v="2"/>
    <n v="3000"/>
    <n v="172012"/>
  </r>
  <r>
    <x v="3"/>
    <x v="0"/>
    <x v="3"/>
    <x v="2"/>
    <x v="2"/>
    <n v="3"/>
    <n v="3300"/>
    <n v="155460"/>
  </r>
  <r>
    <x v="3"/>
    <x v="0"/>
    <x v="3"/>
    <x v="2"/>
    <x v="3"/>
    <n v="4"/>
    <n v="2850"/>
    <n v="237546"/>
  </r>
  <r>
    <x v="3"/>
    <x v="0"/>
    <x v="3"/>
    <x v="2"/>
    <x v="4"/>
    <n v="5"/>
    <n v="3000"/>
    <n v="0"/>
  </r>
  <r>
    <x v="3"/>
    <x v="0"/>
    <x v="3"/>
    <x v="2"/>
    <x v="5"/>
    <n v="6"/>
    <n v="3150"/>
    <n v="345150"/>
  </r>
  <r>
    <x v="3"/>
    <x v="0"/>
    <x v="3"/>
    <x v="2"/>
    <x v="6"/>
    <n v="7"/>
    <n v="3450"/>
    <n v="185850"/>
  </r>
  <r>
    <x v="3"/>
    <x v="0"/>
    <x v="3"/>
    <x v="3"/>
    <x v="0"/>
    <n v="1"/>
    <n v="3400"/>
    <n v="0"/>
  </r>
  <r>
    <x v="3"/>
    <x v="0"/>
    <x v="3"/>
    <x v="3"/>
    <x v="1"/>
    <n v="2"/>
    <n v="4000"/>
    <n v="0"/>
  </r>
  <r>
    <x v="3"/>
    <x v="0"/>
    <x v="3"/>
    <x v="3"/>
    <x v="2"/>
    <n v="3"/>
    <n v="4400"/>
    <n v="0"/>
  </r>
  <r>
    <x v="3"/>
    <x v="0"/>
    <x v="3"/>
    <x v="3"/>
    <x v="3"/>
    <n v="4"/>
    <n v="3800"/>
    <n v="0"/>
  </r>
  <r>
    <x v="3"/>
    <x v="0"/>
    <x v="3"/>
    <x v="3"/>
    <x v="4"/>
    <n v="5"/>
    <n v="4000"/>
    <n v="0"/>
  </r>
  <r>
    <x v="3"/>
    <x v="0"/>
    <x v="3"/>
    <x v="3"/>
    <x v="5"/>
    <n v="6"/>
    <n v="4200"/>
    <n v="0"/>
  </r>
  <r>
    <x v="3"/>
    <x v="0"/>
    <x v="3"/>
    <x v="3"/>
    <x v="6"/>
    <n v="7"/>
    <n v="4600"/>
    <n v="0"/>
  </r>
  <r>
    <x v="3"/>
    <x v="0"/>
    <x v="4"/>
    <x v="2"/>
    <x v="0"/>
    <n v="1"/>
    <n v="2400"/>
    <n v="0"/>
  </r>
  <r>
    <x v="3"/>
    <x v="0"/>
    <x v="4"/>
    <x v="2"/>
    <x v="1"/>
    <n v="2"/>
    <n v="3000"/>
    <n v="171750"/>
  </r>
  <r>
    <x v="3"/>
    <x v="0"/>
    <x v="4"/>
    <x v="2"/>
    <x v="2"/>
    <n v="3"/>
    <n v="3300"/>
    <n v="156000"/>
  </r>
  <r>
    <x v="3"/>
    <x v="0"/>
    <x v="4"/>
    <x v="2"/>
    <x v="3"/>
    <n v="4"/>
    <n v="2850"/>
    <n v="286172"/>
  </r>
  <r>
    <x v="3"/>
    <x v="0"/>
    <x v="4"/>
    <x v="2"/>
    <x v="4"/>
    <n v="5"/>
    <n v="3000"/>
    <n v="200980"/>
  </r>
  <r>
    <x v="3"/>
    <x v="0"/>
    <x v="4"/>
    <x v="2"/>
    <x v="5"/>
    <n v="6"/>
    <n v="3150"/>
    <n v="211328"/>
  </r>
  <r>
    <x v="3"/>
    <x v="0"/>
    <x v="4"/>
    <x v="2"/>
    <x v="6"/>
    <n v="7"/>
    <n v="4300"/>
    <n v="222600"/>
  </r>
  <r>
    <x v="3"/>
    <x v="0"/>
    <x v="4"/>
    <x v="3"/>
    <x v="0"/>
    <n v="1"/>
    <n v="4200"/>
    <n v="0"/>
  </r>
  <r>
    <x v="3"/>
    <x v="0"/>
    <x v="4"/>
    <x v="3"/>
    <x v="1"/>
    <n v="2"/>
    <n v="5000"/>
    <n v="0"/>
  </r>
  <r>
    <x v="3"/>
    <x v="0"/>
    <x v="4"/>
    <x v="3"/>
    <x v="2"/>
    <n v="3"/>
    <n v="5500"/>
    <n v="0"/>
  </r>
  <r>
    <x v="3"/>
    <x v="0"/>
    <x v="4"/>
    <x v="3"/>
    <x v="3"/>
    <n v="4"/>
    <n v="4735"/>
    <n v="0"/>
  </r>
  <r>
    <x v="3"/>
    <x v="0"/>
    <x v="4"/>
    <x v="3"/>
    <x v="4"/>
    <n v="5"/>
    <n v="4976"/>
    <n v="0"/>
  </r>
  <r>
    <x v="3"/>
    <x v="0"/>
    <x v="4"/>
    <x v="3"/>
    <x v="5"/>
    <n v="6"/>
    <n v="5250"/>
    <n v="0"/>
  </r>
  <r>
    <x v="3"/>
    <x v="0"/>
    <x v="4"/>
    <x v="3"/>
    <x v="6"/>
    <n v="7"/>
    <n v="6158"/>
    <n v="0"/>
  </r>
  <r>
    <x v="3"/>
    <x v="0"/>
    <x v="6"/>
    <x v="2"/>
    <x v="0"/>
    <n v="1"/>
    <n v="2400"/>
    <n v="0"/>
  </r>
  <r>
    <x v="3"/>
    <x v="0"/>
    <x v="6"/>
    <x v="2"/>
    <x v="1"/>
    <n v="2"/>
    <n v="3000"/>
    <n v="172350"/>
  </r>
  <r>
    <x v="3"/>
    <x v="0"/>
    <x v="6"/>
    <x v="2"/>
    <x v="2"/>
    <n v="3"/>
    <n v="3300"/>
    <n v="153954"/>
  </r>
  <r>
    <x v="3"/>
    <x v="0"/>
    <x v="6"/>
    <x v="2"/>
    <x v="3"/>
    <n v="4"/>
    <n v="2850"/>
    <n v="268758"/>
  </r>
  <r>
    <x v="3"/>
    <x v="0"/>
    <x v="6"/>
    <x v="2"/>
    <x v="4"/>
    <n v="5"/>
    <n v="3000"/>
    <n v="0"/>
  </r>
  <r>
    <x v="3"/>
    <x v="0"/>
    <x v="6"/>
    <x v="2"/>
    <x v="5"/>
    <n v="6"/>
    <n v="3150"/>
    <n v="395019"/>
  </r>
  <r>
    <x v="3"/>
    <x v="0"/>
    <x v="6"/>
    <x v="2"/>
    <x v="6"/>
    <n v="7"/>
    <n v="3450"/>
    <n v="213228"/>
  </r>
  <r>
    <x v="3"/>
    <x v="0"/>
    <x v="6"/>
    <x v="3"/>
    <x v="0"/>
    <n v="1"/>
    <n v="4250"/>
    <n v="0"/>
  </r>
  <r>
    <x v="3"/>
    <x v="0"/>
    <x v="6"/>
    <x v="3"/>
    <x v="1"/>
    <n v="2"/>
    <n v="5000"/>
    <n v="0"/>
  </r>
  <r>
    <x v="3"/>
    <x v="0"/>
    <x v="6"/>
    <x v="3"/>
    <x v="2"/>
    <n v="3"/>
    <n v="5500"/>
    <n v="0"/>
  </r>
  <r>
    <x v="3"/>
    <x v="0"/>
    <x v="6"/>
    <x v="3"/>
    <x v="3"/>
    <n v="4"/>
    <n v="4692"/>
    <n v="0"/>
  </r>
  <r>
    <x v="3"/>
    <x v="0"/>
    <x v="6"/>
    <x v="3"/>
    <x v="4"/>
    <n v="5"/>
    <n v="4955"/>
    <n v="0"/>
  </r>
  <r>
    <x v="3"/>
    <x v="0"/>
    <x v="6"/>
    <x v="3"/>
    <x v="5"/>
    <n v="6"/>
    <n v="5214"/>
    <n v="0"/>
  </r>
  <r>
    <x v="3"/>
    <x v="0"/>
    <x v="6"/>
    <x v="3"/>
    <x v="6"/>
    <n v="7"/>
    <n v="5750"/>
    <n v="0"/>
  </r>
  <r>
    <x v="3"/>
    <x v="0"/>
    <x v="7"/>
    <x v="2"/>
    <x v="0"/>
    <n v="1"/>
    <n v="0"/>
    <n v="0"/>
  </r>
  <r>
    <x v="3"/>
    <x v="0"/>
    <x v="7"/>
    <x v="2"/>
    <x v="1"/>
    <n v="2"/>
    <n v="0"/>
    <n v="0"/>
  </r>
  <r>
    <x v="3"/>
    <x v="0"/>
    <x v="7"/>
    <x v="2"/>
    <x v="2"/>
    <n v="3"/>
    <n v="0"/>
    <n v="0"/>
  </r>
  <r>
    <x v="3"/>
    <x v="0"/>
    <x v="7"/>
    <x v="2"/>
    <x v="3"/>
    <n v="4"/>
    <n v="0"/>
    <n v="0"/>
  </r>
  <r>
    <x v="3"/>
    <x v="0"/>
    <x v="7"/>
    <x v="2"/>
    <x v="4"/>
    <n v="5"/>
    <n v="200"/>
    <n v="0"/>
  </r>
  <r>
    <x v="3"/>
    <x v="0"/>
    <x v="7"/>
    <x v="2"/>
    <x v="5"/>
    <n v="6"/>
    <n v="2300"/>
    <n v="0"/>
  </r>
  <r>
    <x v="3"/>
    <x v="0"/>
    <x v="7"/>
    <x v="2"/>
    <x v="6"/>
    <n v="7"/>
    <n v="2300"/>
    <n v="195941"/>
  </r>
  <r>
    <x v="3"/>
    <x v="0"/>
    <x v="7"/>
    <x v="3"/>
    <x v="0"/>
    <n v="1"/>
    <n v="0"/>
    <n v="0"/>
  </r>
  <r>
    <x v="3"/>
    <x v="0"/>
    <x v="7"/>
    <x v="3"/>
    <x v="1"/>
    <n v="2"/>
    <n v="0"/>
    <n v="0"/>
  </r>
  <r>
    <x v="3"/>
    <x v="0"/>
    <x v="7"/>
    <x v="3"/>
    <x v="2"/>
    <n v="3"/>
    <n v="0"/>
    <n v="0"/>
  </r>
  <r>
    <x v="3"/>
    <x v="0"/>
    <x v="7"/>
    <x v="3"/>
    <x v="3"/>
    <n v="4"/>
    <n v="0"/>
    <n v="0"/>
  </r>
  <r>
    <x v="3"/>
    <x v="0"/>
    <x v="7"/>
    <x v="3"/>
    <x v="4"/>
    <n v="5"/>
    <n v="450"/>
    <n v="0"/>
  </r>
  <r>
    <x v="3"/>
    <x v="0"/>
    <x v="7"/>
    <x v="3"/>
    <x v="5"/>
    <n v="6"/>
    <n v="3600"/>
    <n v="0"/>
  </r>
  <r>
    <x v="3"/>
    <x v="0"/>
    <x v="7"/>
    <x v="3"/>
    <x v="6"/>
    <n v="7"/>
    <n v="3300"/>
    <n v="0"/>
  </r>
  <r>
    <x v="3"/>
    <x v="0"/>
    <x v="359"/>
    <x v="2"/>
    <x v="0"/>
    <n v="1"/>
    <n v="2400"/>
    <n v="0"/>
  </r>
  <r>
    <x v="3"/>
    <x v="0"/>
    <x v="359"/>
    <x v="2"/>
    <x v="1"/>
    <n v="2"/>
    <n v="3000"/>
    <n v="172350"/>
  </r>
  <r>
    <x v="3"/>
    <x v="0"/>
    <x v="359"/>
    <x v="2"/>
    <x v="2"/>
    <n v="3"/>
    <n v="3300"/>
    <n v="186300"/>
  </r>
  <r>
    <x v="3"/>
    <x v="0"/>
    <x v="359"/>
    <x v="2"/>
    <x v="3"/>
    <n v="4"/>
    <n v="2820"/>
    <n v="313366"/>
  </r>
  <r>
    <x v="3"/>
    <x v="0"/>
    <x v="359"/>
    <x v="2"/>
    <x v="4"/>
    <n v="5"/>
    <n v="3000"/>
    <n v="251818.9"/>
  </r>
  <r>
    <x v="3"/>
    <x v="0"/>
    <x v="359"/>
    <x v="2"/>
    <x v="5"/>
    <n v="6"/>
    <n v="3075"/>
    <n v="266059.99999999988"/>
  </r>
  <r>
    <x v="3"/>
    <x v="0"/>
    <x v="359"/>
    <x v="2"/>
    <x v="6"/>
    <n v="7"/>
    <n v="3400"/>
    <n v="273400.5"/>
  </r>
  <r>
    <x v="3"/>
    <x v="0"/>
    <x v="359"/>
    <x v="3"/>
    <x v="0"/>
    <n v="1"/>
    <n v="4250"/>
    <n v="0"/>
  </r>
  <r>
    <x v="3"/>
    <x v="0"/>
    <x v="359"/>
    <x v="3"/>
    <x v="1"/>
    <n v="2"/>
    <n v="5000"/>
    <n v="0"/>
  </r>
  <r>
    <x v="3"/>
    <x v="0"/>
    <x v="359"/>
    <x v="3"/>
    <x v="2"/>
    <n v="3"/>
    <n v="5500"/>
    <n v="0"/>
  </r>
  <r>
    <x v="3"/>
    <x v="0"/>
    <x v="359"/>
    <x v="3"/>
    <x v="3"/>
    <n v="4"/>
    <n v="4750"/>
    <n v="0"/>
  </r>
  <r>
    <x v="3"/>
    <x v="0"/>
    <x v="359"/>
    <x v="3"/>
    <x v="4"/>
    <n v="5"/>
    <n v="5000"/>
    <n v="0"/>
  </r>
  <r>
    <x v="3"/>
    <x v="0"/>
    <x v="359"/>
    <x v="3"/>
    <x v="5"/>
    <n v="6"/>
    <n v="5145"/>
    <n v="0"/>
  </r>
  <r>
    <x v="3"/>
    <x v="0"/>
    <x v="359"/>
    <x v="3"/>
    <x v="6"/>
    <n v="7"/>
    <n v="5575"/>
    <n v="0"/>
  </r>
  <r>
    <x v="3"/>
    <x v="0"/>
    <x v="8"/>
    <x v="2"/>
    <x v="0"/>
    <n v="1"/>
    <n v="2392"/>
    <n v="0"/>
  </r>
  <r>
    <x v="3"/>
    <x v="0"/>
    <x v="8"/>
    <x v="2"/>
    <x v="1"/>
    <n v="2"/>
    <n v="2000"/>
    <n v="173900"/>
  </r>
  <r>
    <x v="3"/>
    <x v="0"/>
    <x v="8"/>
    <x v="2"/>
    <x v="2"/>
    <n v="3"/>
    <n v="2200"/>
    <n v="122774"/>
  </r>
  <r>
    <x v="3"/>
    <x v="0"/>
    <x v="8"/>
    <x v="2"/>
    <x v="3"/>
    <n v="4"/>
    <n v="1863"/>
    <n v="182479"/>
  </r>
  <r>
    <x v="3"/>
    <x v="0"/>
    <x v="8"/>
    <x v="2"/>
    <x v="4"/>
    <n v="5"/>
    <n v="2000"/>
    <n v="154509.31"/>
  </r>
  <r>
    <x v="3"/>
    <x v="0"/>
    <x v="8"/>
    <x v="2"/>
    <x v="5"/>
    <n v="6"/>
    <n v="2100"/>
    <n v="165890"/>
  </r>
  <r>
    <x v="3"/>
    <x v="0"/>
    <x v="8"/>
    <x v="2"/>
    <x v="6"/>
    <n v="7"/>
    <n v="2300"/>
    <n v="174184.5"/>
  </r>
  <r>
    <x v="3"/>
    <x v="0"/>
    <x v="8"/>
    <x v="3"/>
    <x v="0"/>
    <n v="1"/>
    <n v="3400"/>
    <n v="0"/>
  </r>
  <r>
    <x v="3"/>
    <x v="0"/>
    <x v="8"/>
    <x v="3"/>
    <x v="1"/>
    <n v="2"/>
    <n v="3132"/>
    <n v="0"/>
  </r>
  <r>
    <x v="3"/>
    <x v="0"/>
    <x v="8"/>
    <x v="3"/>
    <x v="2"/>
    <n v="3"/>
    <n v="3300"/>
    <n v="0"/>
  </r>
  <r>
    <x v="3"/>
    <x v="0"/>
    <x v="8"/>
    <x v="3"/>
    <x v="3"/>
    <n v="4"/>
    <n v="2794"/>
    <n v="0"/>
  </r>
  <r>
    <x v="3"/>
    <x v="0"/>
    <x v="8"/>
    <x v="3"/>
    <x v="4"/>
    <n v="5"/>
    <n v="3000"/>
    <n v="0"/>
  </r>
  <r>
    <x v="3"/>
    <x v="0"/>
    <x v="8"/>
    <x v="3"/>
    <x v="5"/>
    <n v="6"/>
    <n v="3150"/>
    <n v="0"/>
  </r>
  <r>
    <x v="3"/>
    <x v="0"/>
    <x v="8"/>
    <x v="3"/>
    <x v="6"/>
    <n v="7"/>
    <n v="3450"/>
    <n v="0"/>
  </r>
  <r>
    <x v="3"/>
    <x v="0"/>
    <x v="9"/>
    <x v="2"/>
    <x v="0"/>
    <n v="1"/>
    <n v="1600"/>
    <n v="0"/>
  </r>
  <r>
    <x v="3"/>
    <x v="0"/>
    <x v="9"/>
    <x v="2"/>
    <x v="1"/>
    <n v="2"/>
    <n v="2000"/>
    <n v="89475"/>
  </r>
  <r>
    <x v="3"/>
    <x v="0"/>
    <x v="9"/>
    <x v="2"/>
    <x v="2"/>
    <n v="3"/>
    <n v="2200"/>
    <n v="118125"/>
  </r>
  <r>
    <x v="3"/>
    <x v="0"/>
    <x v="9"/>
    <x v="2"/>
    <x v="3"/>
    <n v="4"/>
    <n v="1900"/>
    <n v="171450"/>
  </r>
  <r>
    <x v="3"/>
    <x v="0"/>
    <x v="9"/>
    <x v="2"/>
    <x v="4"/>
    <n v="5"/>
    <n v="2000"/>
    <n v="120650"/>
  </r>
  <r>
    <x v="3"/>
    <x v="0"/>
    <x v="9"/>
    <x v="2"/>
    <x v="5"/>
    <n v="6"/>
    <n v="2089"/>
    <n v="127000"/>
  </r>
  <r>
    <x v="3"/>
    <x v="0"/>
    <x v="9"/>
    <x v="2"/>
    <x v="6"/>
    <n v="7"/>
    <n v="2300"/>
    <n v="133097"/>
  </r>
  <r>
    <x v="3"/>
    <x v="0"/>
    <x v="9"/>
    <x v="3"/>
    <x v="0"/>
    <n v="1"/>
    <n v="2550"/>
    <n v="0"/>
  </r>
  <r>
    <x v="3"/>
    <x v="0"/>
    <x v="9"/>
    <x v="3"/>
    <x v="1"/>
    <n v="2"/>
    <n v="3000"/>
    <n v="0"/>
  </r>
  <r>
    <x v="3"/>
    <x v="0"/>
    <x v="9"/>
    <x v="3"/>
    <x v="2"/>
    <n v="3"/>
    <n v="3300"/>
    <n v="0"/>
  </r>
  <r>
    <x v="3"/>
    <x v="0"/>
    <x v="9"/>
    <x v="3"/>
    <x v="3"/>
    <n v="4"/>
    <n v="2850"/>
    <n v="0"/>
  </r>
  <r>
    <x v="3"/>
    <x v="0"/>
    <x v="9"/>
    <x v="3"/>
    <x v="4"/>
    <n v="5"/>
    <n v="3000"/>
    <n v="0"/>
  </r>
  <r>
    <x v="3"/>
    <x v="0"/>
    <x v="9"/>
    <x v="3"/>
    <x v="5"/>
    <n v="6"/>
    <n v="3150"/>
    <n v="0"/>
  </r>
  <r>
    <x v="3"/>
    <x v="0"/>
    <x v="9"/>
    <x v="3"/>
    <x v="6"/>
    <n v="7"/>
    <n v="3450"/>
    <n v="0"/>
  </r>
  <r>
    <x v="3"/>
    <x v="0"/>
    <x v="11"/>
    <x v="2"/>
    <x v="0"/>
    <n v="1"/>
    <n v="2400"/>
    <n v="0"/>
  </r>
  <r>
    <x v="3"/>
    <x v="0"/>
    <x v="11"/>
    <x v="2"/>
    <x v="1"/>
    <n v="2"/>
    <n v="3000"/>
    <n v="172950"/>
  </r>
  <r>
    <x v="3"/>
    <x v="0"/>
    <x v="11"/>
    <x v="2"/>
    <x v="2"/>
    <n v="3"/>
    <n v="3300"/>
    <n v="186975"/>
  </r>
  <r>
    <x v="3"/>
    <x v="0"/>
    <x v="11"/>
    <x v="2"/>
    <x v="3"/>
    <n v="4"/>
    <n v="2810"/>
    <n v="308750.5"/>
  </r>
  <r>
    <x v="3"/>
    <x v="0"/>
    <x v="11"/>
    <x v="2"/>
    <x v="4"/>
    <n v="5"/>
    <n v="2902"/>
    <n v="247062.15"/>
  </r>
  <r>
    <x v="3"/>
    <x v="0"/>
    <x v="11"/>
    <x v="2"/>
    <x v="5"/>
    <n v="6"/>
    <n v="3042"/>
    <n v="260687.39"/>
  </r>
  <r>
    <x v="3"/>
    <x v="0"/>
    <x v="11"/>
    <x v="2"/>
    <x v="6"/>
    <n v="7"/>
    <n v="3450"/>
    <n v="257796.24"/>
  </r>
  <r>
    <x v="3"/>
    <x v="0"/>
    <x v="11"/>
    <x v="3"/>
    <x v="0"/>
    <n v="1"/>
    <n v="4192"/>
    <n v="0"/>
  </r>
  <r>
    <x v="3"/>
    <x v="0"/>
    <x v="11"/>
    <x v="3"/>
    <x v="1"/>
    <n v="2"/>
    <n v="5000"/>
    <n v="0"/>
  </r>
  <r>
    <x v="3"/>
    <x v="0"/>
    <x v="11"/>
    <x v="3"/>
    <x v="2"/>
    <n v="3"/>
    <n v="5500"/>
    <n v="0"/>
  </r>
  <r>
    <x v="3"/>
    <x v="0"/>
    <x v="11"/>
    <x v="3"/>
    <x v="3"/>
    <n v="4"/>
    <n v="4621"/>
    <n v="0"/>
  </r>
  <r>
    <x v="3"/>
    <x v="0"/>
    <x v="11"/>
    <x v="3"/>
    <x v="4"/>
    <n v="5"/>
    <n v="5000"/>
    <n v="0"/>
  </r>
  <r>
    <x v="3"/>
    <x v="0"/>
    <x v="11"/>
    <x v="3"/>
    <x v="5"/>
    <n v="6"/>
    <n v="4722"/>
    <n v="0"/>
  </r>
  <r>
    <x v="3"/>
    <x v="0"/>
    <x v="11"/>
    <x v="3"/>
    <x v="6"/>
    <n v="7"/>
    <n v="5750"/>
    <n v="0"/>
  </r>
  <r>
    <x v="3"/>
    <x v="0"/>
    <x v="360"/>
    <x v="2"/>
    <x v="0"/>
    <n v="1"/>
    <n v="2400"/>
    <n v="0"/>
  </r>
  <r>
    <x v="3"/>
    <x v="0"/>
    <x v="360"/>
    <x v="2"/>
    <x v="1"/>
    <n v="2"/>
    <n v="3000"/>
    <n v="172950"/>
  </r>
  <r>
    <x v="3"/>
    <x v="0"/>
    <x v="360"/>
    <x v="2"/>
    <x v="2"/>
    <n v="3"/>
    <n v="3300"/>
    <n v="120900"/>
  </r>
  <r>
    <x v="3"/>
    <x v="0"/>
    <x v="360"/>
    <x v="2"/>
    <x v="3"/>
    <n v="4"/>
    <n v="2850"/>
    <n v="232200"/>
  </r>
  <r>
    <x v="3"/>
    <x v="0"/>
    <x v="360"/>
    <x v="2"/>
    <x v="4"/>
    <n v="5"/>
    <n v="3000"/>
    <n v="0"/>
  </r>
  <r>
    <x v="3"/>
    <x v="0"/>
    <x v="360"/>
    <x v="2"/>
    <x v="5"/>
    <n v="6"/>
    <n v="3150"/>
    <n v="344340"/>
  </r>
  <r>
    <x v="3"/>
    <x v="0"/>
    <x v="360"/>
    <x v="2"/>
    <x v="6"/>
    <n v="7"/>
    <n v="3425"/>
    <n v="185850"/>
  </r>
  <r>
    <x v="3"/>
    <x v="0"/>
    <x v="360"/>
    <x v="3"/>
    <x v="0"/>
    <n v="1"/>
    <n v="3400"/>
    <n v="0"/>
  </r>
  <r>
    <x v="3"/>
    <x v="0"/>
    <x v="360"/>
    <x v="3"/>
    <x v="1"/>
    <n v="2"/>
    <n v="3900"/>
    <n v="0"/>
  </r>
  <r>
    <x v="3"/>
    <x v="0"/>
    <x v="360"/>
    <x v="3"/>
    <x v="2"/>
    <n v="3"/>
    <n v="4400"/>
    <n v="0"/>
  </r>
  <r>
    <x v="3"/>
    <x v="0"/>
    <x v="360"/>
    <x v="3"/>
    <x v="3"/>
    <n v="4"/>
    <n v="3800"/>
    <n v="0"/>
  </r>
  <r>
    <x v="3"/>
    <x v="0"/>
    <x v="360"/>
    <x v="3"/>
    <x v="4"/>
    <n v="5"/>
    <n v="3970"/>
    <n v="0"/>
  </r>
  <r>
    <x v="3"/>
    <x v="0"/>
    <x v="360"/>
    <x v="3"/>
    <x v="5"/>
    <n v="6"/>
    <n v="4200"/>
    <n v="0"/>
  </r>
  <r>
    <x v="3"/>
    <x v="0"/>
    <x v="360"/>
    <x v="3"/>
    <x v="6"/>
    <n v="7"/>
    <n v="4600"/>
    <n v="0"/>
  </r>
  <r>
    <x v="3"/>
    <x v="0"/>
    <x v="334"/>
    <x v="2"/>
    <x v="0"/>
    <n v="1"/>
    <n v="1064"/>
    <n v="0"/>
  </r>
  <r>
    <x v="3"/>
    <x v="0"/>
    <x v="334"/>
    <x v="2"/>
    <x v="1"/>
    <n v="2"/>
    <n v="2000"/>
    <n v="88950"/>
  </r>
  <r>
    <x v="3"/>
    <x v="0"/>
    <x v="334"/>
    <x v="2"/>
    <x v="2"/>
    <n v="3"/>
    <n v="2200"/>
    <n v="150075"/>
  </r>
  <r>
    <x v="3"/>
    <x v="0"/>
    <x v="334"/>
    <x v="2"/>
    <x v="3"/>
    <n v="4"/>
    <n v="1850"/>
    <n v="182479"/>
  </r>
  <r>
    <x v="3"/>
    <x v="0"/>
    <x v="334"/>
    <x v="2"/>
    <x v="4"/>
    <n v="5"/>
    <n v="2000"/>
    <n v="156032"/>
  </r>
  <r>
    <x v="3"/>
    <x v="0"/>
    <x v="334"/>
    <x v="2"/>
    <x v="5"/>
    <n v="6"/>
    <n v="2100"/>
    <n v="158862.19999999995"/>
  </r>
  <r>
    <x v="3"/>
    <x v="0"/>
    <x v="334"/>
    <x v="2"/>
    <x v="6"/>
    <n v="7"/>
    <n v="1725"/>
    <n v="174184.5"/>
  </r>
  <r>
    <x v="3"/>
    <x v="0"/>
    <x v="334"/>
    <x v="3"/>
    <x v="0"/>
    <n v="1"/>
    <n v="2017"/>
    <n v="0"/>
  </r>
  <r>
    <x v="3"/>
    <x v="0"/>
    <x v="334"/>
    <x v="3"/>
    <x v="1"/>
    <n v="2"/>
    <n v="3000"/>
    <n v="0"/>
  </r>
  <r>
    <x v="3"/>
    <x v="0"/>
    <x v="334"/>
    <x v="3"/>
    <x v="2"/>
    <n v="3"/>
    <n v="3300"/>
    <n v="0"/>
  </r>
  <r>
    <x v="3"/>
    <x v="0"/>
    <x v="334"/>
    <x v="3"/>
    <x v="3"/>
    <n v="4"/>
    <n v="2850"/>
    <n v="0"/>
  </r>
  <r>
    <x v="3"/>
    <x v="0"/>
    <x v="334"/>
    <x v="3"/>
    <x v="4"/>
    <n v="5"/>
    <n v="2796"/>
    <n v="0"/>
  </r>
  <r>
    <x v="3"/>
    <x v="0"/>
    <x v="334"/>
    <x v="3"/>
    <x v="5"/>
    <n v="6"/>
    <n v="3150"/>
    <n v="0"/>
  </r>
  <r>
    <x v="3"/>
    <x v="0"/>
    <x v="334"/>
    <x v="3"/>
    <x v="6"/>
    <n v="7"/>
    <n v="2875"/>
    <n v="0"/>
  </r>
  <r>
    <x v="3"/>
    <x v="0"/>
    <x v="361"/>
    <x v="2"/>
    <x v="0"/>
    <n v="1"/>
    <n v="0"/>
    <n v="0"/>
  </r>
  <r>
    <x v="3"/>
    <x v="0"/>
    <x v="361"/>
    <x v="2"/>
    <x v="1"/>
    <n v="2"/>
    <n v="0"/>
    <n v="0"/>
  </r>
  <r>
    <x v="3"/>
    <x v="0"/>
    <x v="361"/>
    <x v="2"/>
    <x v="2"/>
    <n v="3"/>
    <n v="0"/>
    <n v="0"/>
  </r>
  <r>
    <x v="3"/>
    <x v="0"/>
    <x v="361"/>
    <x v="2"/>
    <x v="3"/>
    <n v="4"/>
    <n v="0"/>
    <n v="0"/>
  </r>
  <r>
    <x v="3"/>
    <x v="0"/>
    <x v="361"/>
    <x v="2"/>
    <x v="4"/>
    <n v="5"/>
    <n v="0"/>
    <n v="0"/>
  </r>
  <r>
    <x v="3"/>
    <x v="0"/>
    <x v="361"/>
    <x v="2"/>
    <x v="5"/>
    <n v="6"/>
    <n v="0"/>
    <n v="0"/>
  </r>
  <r>
    <x v="3"/>
    <x v="0"/>
    <x v="361"/>
    <x v="2"/>
    <x v="6"/>
    <n v="7"/>
    <n v="3000"/>
    <n v="0"/>
  </r>
  <r>
    <x v="3"/>
    <x v="0"/>
    <x v="361"/>
    <x v="3"/>
    <x v="0"/>
    <n v="1"/>
    <n v="0"/>
    <n v="0"/>
  </r>
  <r>
    <x v="3"/>
    <x v="0"/>
    <x v="361"/>
    <x v="3"/>
    <x v="1"/>
    <n v="2"/>
    <n v="0"/>
    <n v="0"/>
  </r>
  <r>
    <x v="3"/>
    <x v="0"/>
    <x v="361"/>
    <x v="3"/>
    <x v="2"/>
    <n v="3"/>
    <n v="0"/>
    <n v="0"/>
  </r>
  <r>
    <x v="3"/>
    <x v="0"/>
    <x v="361"/>
    <x v="3"/>
    <x v="3"/>
    <n v="4"/>
    <n v="0"/>
    <n v="0"/>
  </r>
  <r>
    <x v="3"/>
    <x v="0"/>
    <x v="361"/>
    <x v="3"/>
    <x v="4"/>
    <n v="5"/>
    <n v="0"/>
    <n v="0"/>
  </r>
  <r>
    <x v="3"/>
    <x v="0"/>
    <x v="361"/>
    <x v="3"/>
    <x v="5"/>
    <n v="6"/>
    <n v="0"/>
    <n v="0"/>
  </r>
  <r>
    <x v="3"/>
    <x v="0"/>
    <x v="361"/>
    <x v="3"/>
    <x v="6"/>
    <n v="7"/>
    <n v="4000"/>
    <n v="0"/>
  </r>
  <r>
    <x v="3"/>
    <x v="1"/>
    <x v="17"/>
    <x v="2"/>
    <x v="0"/>
    <n v="1"/>
    <n v="0"/>
    <n v="0"/>
  </r>
  <r>
    <x v="3"/>
    <x v="1"/>
    <x v="17"/>
    <x v="2"/>
    <x v="1"/>
    <n v="2"/>
    <n v="0"/>
    <n v="0"/>
  </r>
  <r>
    <x v="3"/>
    <x v="1"/>
    <x v="17"/>
    <x v="2"/>
    <x v="2"/>
    <n v="3"/>
    <n v="0"/>
    <n v="0"/>
  </r>
  <r>
    <x v="3"/>
    <x v="1"/>
    <x v="17"/>
    <x v="2"/>
    <x v="3"/>
    <n v="4"/>
    <n v="0"/>
    <n v="0"/>
  </r>
  <r>
    <x v="3"/>
    <x v="1"/>
    <x v="17"/>
    <x v="2"/>
    <x v="4"/>
    <n v="5"/>
    <n v="0"/>
    <n v="0"/>
  </r>
  <r>
    <x v="3"/>
    <x v="1"/>
    <x v="17"/>
    <x v="2"/>
    <x v="5"/>
    <n v="6"/>
    <n v="0"/>
    <n v="0"/>
  </r>
  <r>
    <x v="3"/>
    <x v="1"/>
    <x v="17"/>
    <x v="2"/>
    <x v="6"/>
    <n v="7"/>
    <n v="300"/>
    <n v="0"/>
  </r>
  <r>
    <x v="3"/>
    <x v="1"/>
    <x v="17"/>
    <x v="3"/>
    <x v="0"/>
    <n v="1"/>
    <n v="0"/>
    <n v="0"/>
  </r>
  <r>
    <x v="3"/>
    <x v="1"/>
    <x v="17"/>
    <x v="3"/>
    <x v="1"/>
    <n v="2"/>
    <n v="0"/>
    <n v="0"/>
  </r>
  <r>
    <x v="3"/>
    <x v="1"/>
    <x v="17"/>
    <x v="3"/>
    <x v="2"/>
    <n v="3"/>
    <n v="0"/>
    <n v="0"/>
  </r>
  <r>
    <x v="3"/>
    <x v="1"/>
    <x v="17"/>
    <x v="3"/>
    <x v="3"/>
    <n v="4"/>
    <n v="0"/>
    <n v="0"/>
  </r>
  <r>
    <x v="3"/>
    <x v="1"/>
    <x v="17"/>
    <x v="3"/>
    <x v="4"/>
    <n v="5"/>
    <n v="0"/>
    <n v="0"/>
  </r>
  <r>
    <x v="3"/>
    <x v="1"/>
    <x v="17"/>
    <x v="3"/>
    <x v="5"/>
    <n v="6"/>
    <n v="0"/>
    <n v="0"/>
  </r>
  <r>
    <x v="3"/>
    <x v="1"/>
    <x v="17"/>
    <x v="3"/>
    <x v="6"/>
    <n v="7"/>
    <n v="300"/>
    <n v="0"/>
  </r>
  <r>
    <x v="3"/>
    <x v="1"/>
    <x v="362"/>
    <x v="2"/>
    <x v="0"/>
    <n v="1"/>
    <n v="0"/>
    <n v="0"/>
  </r>
  <r>
    <x v="3"/>
    <x v="1"/>
    <x v="362"/>
    <x v="2"/>
    <x v="1"/>
    <n v="2"/>
    <n v="0"/>
    <n v="0"/>
  </r>
  <r>
    <x v="3"/>
    <x v="1"/>
    <x v="362"/>
    <x v="2"/>
    <x v="2"/>
    <n v="3"/>
    <n v="0"/>
    <n v="0"/>
  </r>
  <r>
    <x v="3"/>
    <x v="1"/>
    <x v="362"/>
    <x v="2"/>
    <x v="3"/>
    <n v="4"/>
    <n v="0"/>
    <n v="0"/>
  </r>
  <r>
    <x v="3"/>
    <x v="1"/>
    <x v="362"/>
    <x v="2"/>
    <x v="4"/>
    <n v="5"/>
    <n v="0"/>
    <n v="0"/>
  </r>
  <r>
    <x v="3"/>
    <x v="1"/>
    <x v="362"/>
    <x v="2"/>
    <x v="5"/>
    <n v="6"/>
    <n v="0"/>
    <n v="0"/>
  </r>
  <r>
    <x v="3"/>
    <x v="1"/>
    <x v="362"/>
    <x v="2"/>
    <x v="6"/>
    <n v="7"/>
    <n v="450"/>
    <n v="0"/>
  </r>
  <r>
    <x v="3"/>
    <x v="1"/>
    <x v="362"/>
    <x v="3"/>
    <x v="0"/>
    <n v="1"/>
    <n v="0"/>
    <n v="0"/>
  </r>
  <r>
    <x v="3"/>
    <x v="1"/>
    <x v="362"/>
    <x v="3"/>
    <x v="1"/>
    <n v="2"/>
    <n v="0"/>
    <n v="0"/>
  </r>
  <r>
    <x v="3"/>
    <x v="1"/>
    <x v="362"/>
    <x v="3"/>
    <x v="2"/>
    <n v="3"/>
    <n v="0"/>
    <n v="0"/>
  </r>
  <r>
    <x v="3"/>
    <x v="1"/>
    <x v="362"/>
    <x v="3"/>
    <x v="3"/>
    <n v="4"/>
    <n v="0"/>
    <n v="0"/>
  </r>
  <r>
    <x v="3"/>
    <x v="1"/>
    <x v="362"/>
    <x v="3"/>
    <x v="4"/>
    <n v="5"/>
    <n v="0"/>
    <n v="0"/>
  </r>
  <r>
    <x v="3"/>
    <x v="1"/>
    <x v="362"/>
    <x v="3"/>
    <x v="5"/>
    <n v="6"/>
    <n v="0"/>
    <n v="0"/>
  </r>
  <r>
    <x v="3"/>
    <x v="1"/>
    <x v="362"/>
    <x v="3"/>
    <x v="6"/>
    <n v="7"/>
    <n v="400"/>
    <n v="0"/>
  </r>
  <r>
    <x v="3"/>
    <x v="1"/>
    <x v="363"/>
    <x v="2"/>
    <x v="0"/>
    <n v="1"/>
    <n v="0"/>
    <n v="0"/>
  </r>
  <r>
    <x v="3"/>
    <x v="1"/>
    <x v="363"/>
    <x v="2"/>
    <x v="1"/>
    <n v="2"/>
    <n v="0"/>
    <n v="0"/>
  </r>
  <r>
    <x v="3"/>
    <x v="1"/>
    <x v="363"/>
    <x v="2"/>
    <x v="2"/>
    <n v="3"/>
    <n v="0"/>
    <n v="0"/>
  </r>
  <r>
    <x v="3"/>
    <x v="1"/>
    <x v="363"/>
    <x v="2"/>
    <x v="3"/>
    <n v="4"/>
    <n v="0"/>
    <n v="0"/>
  </r>
  <r>
    <x v="3"/>
    <x v="1"/>
    <x v="363"/>
    <x v="2"/>
    <x v="4"/>
    <n v="5"/>
    <n v="0"/>
    <n v="0"/>
  </r>
  <r>
    <x v="3"/>
    <x v="1"/>
    <x v="363"/>
    <x v="2"/>
    <x v="5"/>
    <n v="6"/>
    <n v="0"/>
    <n v="0"/>
  </r>
  <r>
    <x v="3"/>
    <x v="1"/>
    <x v="363"/>
    <x v="2"/>
    <x v="6"/>
    <n v="7"/>
    <n v="450"/>
    <n v="0"/>
  </r>
  <r>
    <x v="3"/>
    <x v="1"/>
    <x v="363"/>
    <x v="3"/>
    <x v="0"/>
    <n v="1"/>
    <n v="0"/>
    <n v="0"/>
  </r>
  <r>
    <x v="3"/>
    <x v="1"/>
    <x v="363"/>
    <x v="3"/>
    <x v="1"/>
    <n v="2"/>
    <n v="0"/>
    <n v="0"/>
  </r>
  <r>
    <x v="3"/>
    <x v="1"/>
    <x v="363"/>
    <x v="3"/>
    <x v="2"/>
    <n v="3"/>
    <n v="0"/>
    <n v="0"/>
  </r>
  <r>
    <x v="3"/>
    <x v="1"/>
    <x v="363"/>
    <x v="3"/>
    <x v="3"/>
    <n v="4"/>
    <n v="0"/>
    <n v="0"/>
  </r>
  <r>
    <x v="3"/>
    <x v="1"/>
    <x v="363"/>
    <x v="3"/>
    <x v="4"/>
    <n v="5"/>
    <n v="0"/>
    <n v="0"/>
  </r>
  <r>
    <x v="3"/>
    <x v="1"/>
    <x v="363"/>
    <x v="3"/>
    <x v="5"/>
    <n v="6"/>
    <n v="0"/>
    <n v="0"/>
  </r>
  <r>
    <x v="3"/>
    <x v="1"/>
    <x v="363"/>
    <x v="3"/>
    <x v="6"/>
    <n v="7"/>
    <n v="450"/>
    <n v="0"/>
  </r>
  <r>
    <x v="3"/>
    <x v="1"/>
    <x v="364"/>
    <x v="2"/>
    <x v="0"/>
    <n v="1"/>
    <n v="0"/>
    <n v="0"/>
  </r>
  <r>
    <x v="3"/>
    <x v="1"/>
    <x v="364"/>
    <x v="2"/>
    <x v="1"/>
    <n v="2"/>
    <n v="0"/>
    <n v="0"/>
  </r>
  <r>
    <x v="3"/>
    <x v="1"/>
    <x v="364"/>
    <x v="2"/>
    <x v="2"/>
    <n v="3"/>
    <n v="1200"/>
    <n v="0"/>
  </r>
  <r>
    <x v="3"/>
    <x v="1"/>
    <x v="364"/>
    <x v="2"/>
    <x v="3"/>
    <n v="4"/>
    <n v="2350"/>
    <n v="63500"/>
  </r>
  <r>
    <x v="3"/>
    <x v="1"/>
    <x v="364"/>
    <x v="2"/>
    <x v="4"/>
    <n v="5"/>
    <n v="3000"/>
    <n v="0"/>
  </r>
  <r>
    <x v="3"/>
    <x v="1"/>
    <x v="364"/>
    <x v="2"/>
    <x v="5"/>
    <n v="6"/>
    <n v="3150"/>
    <n v="366955.4"/>
  </r>
  <r>
    <x v="3"/>
    <x v="1"/>
    <x v="364"/>
    <x v="2"/>
    <x v="6"/>
    <n v="7"/>
    <n v="3300"/>
    <n v="190927.19999999995"/>
  </r>
  <r>
    <x v="3"/>
    <x v="1"/>
    <x v="364"/>
    <x v="3"/>
    <x v="0"/>
    <n v="1"/>
    <n v="0"/>
    <n v="0"/>
  </r>
  <r>
    <x v="3"/>
    <x v="1"/>
    <x v="364"/>
    <x v="3"/>
    <x v="1"/>
    <n v="2"/>
    <n v="0"/>
    <n v="0"/>
  </r>
  <r>
    <x v="3"/>
    <x v="1"/>
    <x v="364"/>
    <x v="3"/>
    <x v="2"/>
    <n v="3"/>
    <n v="1800"/>
    <n v="0"/>
  </r>
  <r>
    <x v="3"/>
    <x v="1"/>
    <x v="364"/>
    <x v="3"/>
    <x v="3"/>
    <n v="4"/>
    <n v="3500"/>
    <n v="0"/>
  </r>
  <r>
    <x v="3"/>
    <x v="1"/>
    <x v="364"/>
    <x v="3"/>
    <x v="4"/>
    <n v="5"/>
    <n v="4858"/>
    <n v="0"/>
  </r>
  <r>
    <x v="3"/>
    <x v="1"/>
    <x v="364"/>
    <x v="3"/>
    <x v="5"/>
    <n v="6"/>
    <n v="5191"/>
    <n v="0"/>
  </r>
  <r>
    <x v="3"/>
    <x v="1"/>
    <x v="364"/>
    <x v="3"/>
    <x v="6"/>
    <n v="7"/>
    <n v="5500"/>
    <n v="0"/>
  </r>
  <r>
    <x v="3"/>
    <x v="1"/>
    <x v="365"/>
    <x v="2"/>
    <x v="0"/>
    <n v="1"/>
    <n v="0"/>
    <n v="0"/>
  </r>
  <r>
    <x v="3"/>
    <x v="1"/>
    <x v="365"/>
    <x v="2"/>
    <x v="1"/>
    <n v="2"/>
    <n v="0"/>
    <n v="0"/>
  </r>
  <r>
    <x v="3"/>
    <x v="1"/>
    <x v="365"/>
    <x v="2"/>
    <x v="2"/>
    <n v="3"/>
    <n v="0"/>
    <n v="0"/>
  </r>
  <r>
    <x v="3"/>
    <x v="1"/>
    <x v="365"/>
    <x v="2"/>
    <x v="3"/>
    <n v="4"/>
    <n v="1885"/>
    <n v="96407"/>
  </r>
  <r>
    <x v="3"/>
    <x v="1"/>
    <x v="365"/>
    <x v="2"/>
    <x v="4"/>
    <n v="5"/>
    <n v="1900"/>
    <n v="160399.20000000001"/>
  </r>
  <r>
    <x v="3"/>
    <x v="1"/>
    <x v="365"/>
    <x v="2"/>
    <x v="5"/>
    <n v="6"/>
    <n v="2100"/>
    <n v="155409.79999999999"/>
  </r>
  <r>
    <x v="3"/>
    <x v="1"/>
    <x v="365"/>
    <x v="2"/>
    <x v="6"/>
    <n v="7"/>
    <n v="2300"/>
    <n v="212607"/>
  </r>
  <r>
    <x v="3"/>
    <x v="1"/>
    <x v="365"/>
    <x v="3"/>
    <x v="0"/>
    <n v="1"/>
    <n v="0"/>
    <n v="0"/>
  </r>
  <r>
    <x v="3"/>
    <x v="1"/>
    <x v="365"/>
    <x v="3"/>
    <x v="1"/>
    <n v="2"/>
    <n v="0"/>
    <n v="0"/>
  </r>
  <r>
    <x v="3"/>
    <x v="1"/>
    <x v="365"/>
    <x v="3"/>
    <x v="2"/>
    <n v="3"/>
    <n v="0"/>
    <n v="0"/>
  </r>
  <r>
    <x v="3"/>
    <x v="1"/>
    <x v="365"/>
    <x v="3"/>
    <x v="3"/>
    <n v="4"/>
    <n v="2945"/>
    <n v="0"/>
  </r>
  <r>
    <x v="3"/>
    <x v="1"/>
    <x v="365"/>
    <x v="3"/>
    <x v="4"/>
    <n v="5"/>
    <n v="3316"/>
    <n v="0"/>
  </r>
  <r>
    <x v="3"/>
    <x v="1"/>
    <x v="365"/>
    <x v="3"/>
    <x v="5"/>
    <n v="6"/>
    <n v="3636"/>
    <n v="0"/>
  </r>
  <r>
    <x v="3"/>
    <x v="1"/>
    <x v="365"/>
    <x v="3"/>
    <x v="6"/>
    <n v="7"/>
    <n v="3838"/>
    <n v="0"/>
  </r>
  <r>
    <x v="3"/>
    <x v="1"/>
    <x v="366"/>
    <x v="2"/>
    <x v="0"/>
    <n v="1"/>
    <n v="0"/>
    <n v="0"/>
  </r>
  <r>
    <x v="3"/>
    <x v="1"/>
    <x v="366"/>
    <x v="2"/>
    <x v="1"/>
    <n v="2"/>
    <n v="0"/>
    <n v="0"/>
  </r>
  <r>
    <x v="3"/>
    <x v="1"/>
    <x v="366"/>
    <x v="2"/>
    <x v="2"/>
    <n v="3"/>
    <n v="0"/>
    <n v="0"/>
  </r>
  <r>
    <x v="3"/>
    <x v="1"/>
    <x v="366"/>
    <x v="2"/>
    <x v="3"/>
    <n v="4"/>
    <n v="0"/>
    <n v="0"/>
  </r>
  <r>
    <x v="3"/>
    <x v="1"/>
    <x v="366"/>
    <x v="2"/>
    <x v="4"/>
    <n v="5"/>
    <n v="0"/>
    <n v="0"/>
  </r>
  <r>
    <x v="3"/>
    <x v="1"/>
    <x v="366"/>
    <x v="2"/>
    <x v="5"/>
    <n v="6"/>
    <n v="0"/>
    <n v="0"/>
  </r>
  <r>
    <x v="3"/>
    <x v="1"/>
    <x v="366"/>
    <x v="2"/>
    <x v="6"/>
    <n v="7"/>
    <n v="1825"/>
    <n v="0"/>
  </r>
  <r>
    <x v="3"/>
    <x v="1"/>
    <x v="366"/>
    <x v="3"/>
    <x v="0"/>
    <n v="1"/>
    <n v="0"/>
    <n v="0"/>
  </r>
  <r>
    <x v="3"/>
    <x v="1"/>
    <x v="366"/>
    <x v="3"/>
    <x v="1"/>
    <n v="2"/>
    <n v="0"/>
    <n v="0"/>
  </r>
  <r>
    <x v="3"/>
    <x v="1"/>
    <x v="366"/>
    <x v="3"/>
    <x v="2"/>
    <n v="3"/>
    <n v="0"/>
    <n v="0"/>
  </r>
  <r>
    <x v="3"/>
    <x v="1"/>
    <x v="366"/>
    <x v="3"/>
    <x v="3"/>
    <n v="4"/>
    <n v="0"/>
    <n v="0"/>
  </r>
  <r>
    <x v="3"/>
    <x v="1"/>
    <x v="366"/>
    <x v="3"/>
    <x v="4"/>
    <n v="5"/>
    <n v="0"/>
    <n v="0"/>
  </r>
  <r>
    <x v="3"/>
    <x v="1"/>
    <x v="366"/>
    <x v="3"/>
    <x v="5"/>
    <n v="6"/>
    <n v="0"/>
    <n v="0"/>
  </r>
  <r>
    <x v="3"/>
    <x v="1"/>
    <x v="366"/>
    <x v="3"/>
    <x v="6"/>
    <n v="7"/>
    <n v="2225"/>
    <n v="0"/>
  </r>
  <r>
    <x v="3"/>
    <x v="1"/>
    <x v="367"/>
    <x v="2"/>
    <x v="0"/>
    <n v="1"/>
    <n v="0"/>
    <n v="0"/>
  </r>
  <r>
    <x v="3"/>
    <x v="1"/>
    <x v="367"/>
    <x v="2"/>
    <x v="1"/>
    <n v="2"/>
    <n v="0"/>
    <n v="0"/>
  </r>
  <r>
    <x v="3"/>
    <x v="1"/>
    <x v="367"/>
    <x v="2"/>
    <x v="2"/>
    <n v="3"/>
    <n v="0"/>
    <n v="0"/>
  </r>
  <r>
    <x v="3"/>
    <x v="1"/>
    <x v="367"/>
    <x v="2"/>
    <x v="3"/>
    <n v="4"/>
    <n v="0"/>
    <n v="0"/>
  </r>
  <r>
    <x v="3"/>
    <x v="1"/>
    <x v="367"/>
    <x v="2"/>
    <x v="4"/>
    <n v="5"/>
    <n v="0"/>
    <n v="0"/>
  </r>
  <r>
    <x v="3"/>
    <x v="1"/>
    <x v="367"/>
    <x v="2"/>
    <x v="5"/>
    <n v="6"/>
    <n v="0"/>
    <n v="0"/>
  </r>
  <r>
    <x v="3"/>
    <x v="1"/>
    <x v="367"/>
    <x v="2"/>
    <x v="6"/>
    <n v="7"/>
    <n v="1850"/>
    <n v="0"/>
  </r>
  <r>
    <x v="3"/>
    <x v="1"/>
    <x v="367"/>
    <x v="3"/>
    <x v="0"/>
    <n v="1"/>
    <n v="0"/>
    <n v="0"/>
  </r>
  <r>
    <x v="3"/>
    <x v="1"/>
    <x v="367"/>
    <x v="3"/>
    <x v="1"/>
    <n v="2"/>
    <n v="0"/>
    <n v="0"/>
  </r>
  <r>
    <x v="3"/>
    <x v="1"/>
    <x v="367"/>
    <x v="3"/>
    <x v="2"/>
    <n v="3"/>
    <n v="0"/>
    <n v="0"/>
  </r>
  <r>
    <x v="3"/>
    <x v="1"/>
    <x v="367"/>
    <x v="3"/>
    <x v="3"/>
    <n v="4"/>
    <n v="0"/>
    <n v="0"/>
  </r>
  <r>
    <x v="3"/>
    <x v="1"/>
    <x v="367"/>
    <x v="3"/>
    <x v="4"/>
    <n v="5"/>
    <n v="0"/>
    <n v="0"/>
  </r>
  <r>
    <x v="3"/>
    <x v="1"/>
    <x v="367"/>
    <x v="3"/>
    <x v="5"/>
    <n v="6"/>
    <n v="0"/>
    <n v="0"/>
  </r>
  <r>
    <x v="3"/>
    <x v="1"/>
    <x v="367"/>
    <x v="3"/>
    <x v="6"/>
    <n v="7"/>
    <n v="2700"/>
    <n v="0"/>
  </r>
  <r>
    <x v="3"/>
    <x v="1"/>
    <x v="368"/>
    <x v="2"/>
    <x v="0"/>
    <n v="1"/>
    <n v="1200"/>
    <n v="0"/>
  </r>
  <r>
    <x v="3"/>
    <x v="1"/>
    <x v="368"/>
    <x v="2"/>
    <x v="1"/>
    <n v="2"/>
    <n v="1500"/>
    <n v="89250"/>
  </r>
  <r>
    <x v="3"/>
    <x v="1"/>
    <x v="368"/>
    <x v="2"/>
    <x v="2"/>
    <n v="3"/>
    <n v="1650"/>
    <n v="95570.5"/>
  </r>
  <r>
    <x v="3"/>
    <x v="1"/>
    <x v="368"/>
    <x v="2"/>
    <x v="3"/>
    <n v="4"/>
    <n v="1900"/>
    <n v="155925"/>
  </r>
  <r>
    <x v="3"/>
    <x v="1"/>
    <x v="368"/>
    <x v="2"/>
    <x v="4"/>
    <n v="5"/>
    <n v="1979"/>
    <n v="0"/>
  </r>
  <r>
    <x v="3"/>
    <x v="1"/>
    <x v="368"/>
    <x v="2"/>
    <x v="5"/>
    <n v="6"/>
    <n v="2100"/>
    <n v="133475"/>
  </r>
  <r>
    <x v="3"/>
    <x v="1"/>
    <x v="368"/>
    <x v="2"/>
    <x v="6"/>
    <n v="7"/>
    <n v="2290"/>
    <n v="285004"/>
  </r>
  <r>
    <x v="3"/>
    <x v="1"/>
    <x v="368"/>
    <x v="3"/>
    <x v="0"/>
    <n v="1"/>
    <n v="2537"/>
    <n v="0"/>
  </r>
  <r>
    <x v="3"/>
    <x v="1"/>
    <x v="368"/>
    <x v="3"/>
    <x v="1"/>
    <n v="2"/>
    <n v="3000"/>
    <n v="0"/>
  </r>
  <r>
    <x v="3"/>
    <x v="1"/>
    <x v="368"/>
    <x v="3"/>
    <x v="2"/>
    <n v="3"/>
    <n v="3300"/>
    <n v="0"/>
  </r>
  <r>
    <x v="3"/>
    <x v="1"/>
    <x v="368"/>
    <x v="3"/>
    <x v="3"/>
    <n v="4"/>
    <n v="3325"/>
    <n v="0"/>
  </r>
  <r>
    <x v="3"/>
    <x v="1"/>
    <x v="368"/>
    <x v="3"/>
    <x v="4"/>
    <n v="5"/>
    <n v="3406"/>
    <n v="0"/>
  </r>
  <r>
    <x v="3"/>
    <x v="1"/>
    <x v="368"/>
    <x v="3"/>
    <x v="5"/>
    <n v="6"/>
    <n v="3675"/>
    <n v="0"/>
  </r>
  <r>
    <x v="3"/>
    <x v="1"/>
    <x v="368"/>
    <x v="3"/>
    <x v="6"/>
    <n v="7"/>
    <n v="4309"/>
    <n v="0"/>
  </r>
  <r>
    <x v="3"/>
    <x v="1"/>
    <x v="24"/>
    <x v="2"/>
    <x v="0"/>
    <n v="1"/>
    <n v="2400"/>
    <n v="0"/>
  </r>
  <r>
    <x v="3"/>
    <x v="1"/>
    <x v="24"/>
    <x v="2"/>
    <x v="1"/>
    <n v="2"/>
    <n v="3000"/>
    <n v="172950"/>
  </r>
  <r>
    <x v="3"/>
    <x v="1"/>
    <x v="24"/>
    <x v="2"/>
    <x v="2"/>
    <n v="3"/>
    <n v="3300"/>
    <n v="207750"/>
  </r>
  <r>
    <x v="3"/>
    <x v="1"/>
    <x v="24"/>
    <x v="2"/>
    <x v="3"/>
    <n v="4"/>
    <n v="2700"/>
    <n v="292666"/>
  </r>
  <r>
    <x v="3"/>
    <x v="1"/>
    <x v="24"/>
    <x v="2"/>
    <x v="4"/>
    <n v="5"/>
    <n v="2965"/>
    <n v="239454"/>
  </r>
  <r>
    <x v="3"/>
    <x v="1"/>
    <x v="24"/>
    <x v="2"/>
    <x v="5"/>
    <n v="6"/>
    <n v="3150"/>
    <n v="264655.5"/>
  </r>
  <r>
    <x v="3"/>
    <x v="1"/>
    <x v="24"/>
    <x v="2"/>
    <x v="6"/>
    <n v="7"/>
    <n v="3450"/>
    <n v="279363"/>
  </r>
  <r>
    <x v="3"/>
    <x v="1"/>
    <x v="24"/>
    <x v="3"/>
    <x v="0"/>
    <n v="1"/>
    <n v="4250"/>
    <n v="0"/>
  </r>
  <r>
    <x v="3"/>
    <x v="1"/>
    <x v="24"/>
    <x v="3"/>
    <x v="1"/>
    <n v="2"/>
    <n v="5000"/>
    <n v="0"/>
  </r>
  <r>
    <x v="3"/>
    <x v="1"/>
    <x v="24"/>
    <x v="3"/>
    <x v="2"/>
    <n v="3"/>
    <n v="5500"/>
    <n v="0"/>
  </r>
  <r>
    <x v="3"/>
    <x v="1"/>
    <x v="24"/>
    <x v="3"/>
    <x v="3"/>
    <n v="4"/>
    <n v="4500"/>
    <n v="0"/>
  </r>
  <r>
    <x v="3"/>
    <x v="1"/>
    <x v="24"/>
    <x v="3"/>
    <x v="4"/>
    <n v="5"/>
    <n v="4991"/>
    <n v="0"/>
  </r>
  <r>
    <x v="3"/>
    <x v="1"/>
    <x v="24"/>
    <x v="3"/>
    <x v="5"/>
    <n v="6"/>
    <n v="5250"/>
    <n v="0"/>
  </r>
  <r>
    <x v="3"/>
    <x v="1"/>
    <x v="24"/>
    <x v="3"/>
    <x v="6"/>
    <n v="7"/>
    <n v="5455"/>
    <n v="0"/>
  </r>
  <r>
    <x v="3"/>
    <x v="2"/>
    <x v="369"/>
    <x v="2"/>
    <x v="0"/>
    <n v="1"/>
    <n v="2700"/>
    <n v="0"/>
  </r>
  <r>
    <x v="3"/>
    <x v="2"/>
    <x v="369"/>
    <x v="2"/>
    <x v="1"/>
    <n v="2"/>
    <n v="3000"/>
    <n v="151675.5"/>
  </r>
  <r>
    <x v="3"/>
    <x v="2"/>
    <x v="369"/>
    <x v="2"/>
    <x v="2"/>
    <n v="3"/>
    <n v="3300"/>
    <n v="137944"/>
  </r>
  <r>
    <x v="3"/>
    <x v="2"/>
    <x v="369"/>
    <x v="2"/>
    <x v="3"/>
    <n v="4"/>
    <n v="1500"/>
    <n v="253800"/>
  </r>
  <r>
    <x v="3"/>
    <x v="2"/>
    <x v="369"/>
    <x v="2"/>
    <x v="4"/>
    <n v="5"/>
    <n v="0"/>
    <n v="0"/>
  </r>
  <r>
    <x v="3"/>
    <x v="2"/>
    <x v="369"/>
    <x v="2"/>
    <x v="5"/>
    <n v="6"/>
    <n v="0"/>
    <n v="69361.5"/>
  </r>
  <r>
    <x v="3"/>
    <x v="2"/>
    <x v="369"/>
    <x v="2"/>
    <x v="6"/>
    <n v="7"/>
    <n v="0"/>
    <n v="0"/>
  </r>
  <r>
    <x v="3"/>
    <x v="2"/>
    <x v="369"/>
    <x v="3"/>
    <x v="0"/>
    <n v="1"/>
    <n v="3800"/>
    <n v="0"/>
  </r>
  <r>
    <x v="3"/>
    <x v="2"/>
    <x v="369"/>
    <x v="3"/>
    <x v="1"/>
    <n v="2"/>
    <n v="4000"/>
    <n v="0"/>
  </r>
  <r>
    <x v="3"/>
    <x v="2"/>
    <x v="369"/>
    <x v="3"/>
    <x v="2"/>
    <n v="3"/>
    <n v="4400"/>
    <n v="0"/>
  </r>
  <r>
    <x v="3"/>
    <x v="2"/>
    <x v="369"/>
    <x v="3"/>
    <x v="3"/>
    <n v="4"/>
    <n v="2000"/>
    <n v="0"/>
  </r>
  <r>
    <x v="3"/>
    <x v="2"/>
    <x v="369"/>
    <x v="3"/>
    <x v="4"/>
    <n v="5"/>
    <n v="0"/>
    <n v="0"/>
  </r>
  <r>
    <x v="3"/>
    <x v="2"/>
    <x v="369"/>
    <x v="3"/>
    <x v="5"/>
    <n v="6"/>
    <n v="0"/>
    <n v="0"/>
  </r>
  <r>
    <x v="3"/>
    <x v="2"/>
    <x v="369"/>
    <x v="3"/>
    <x v="6"/>
    <n v="7"/>
    <n v="0"/>
    <n v="0"/>
  </r>
  <r>
    <x v="3"/>
    <x v="2"/>
    <x v="370"/>
    <x v="2"/>
    <x v="0"/>
    <n v="1"/>
    <n v="0"/>
    <n v="0"/>
  </r>
  <r>
    <x v="3"/>
    <x v="2"/>
    <x v="370"/>
    <x v="2"/>
    <x v="1"/>
    <n v="2"/>
    <n v="0"/>
    <n v="0"/>
  </r>
  <r>
    <x v="3"/>
    <x v="2"/>
    <x v="370"/>
    <x v="2"/>
    <x v="2"/>
    <n v="3"/>
    <n v="0"/>
    <n v="0"/>
  </r>
  <r>
    <x v="3"/>
    <x v="2"/>
    <x v="370"/>
    <x v="2"/>
    <x v="3"/>
    <n v="4"/>
    <n v="1350"/>
    <n v="0"/>
  </r>
  <r>
    <x v="3"/>
    <x v="2"/>
    <x v="370"/>
    <x v="2"/>
    <x v="4"/>
    <n v="5"/>
    <n v="3000"/>
    <n v="194291.5"/>
  </r>
  <r>
    <x v="3"/>
    <x v="2"/>
    <x v="370"/>
    <x v="2"/>
    <x v="5"/>
    <n v="6"/>
    <n v="3000"/>
    <n v="153508.5"/>
  </r>
  <r>
    <x v="3"/>
    <x v="2"/>
    <x v="370"/>
    <x v="2"/>
    <x v="6"/>
    <n v="7"/>
    <n v="3450"/>
    <n v="222870"/>
  </r>
  <r>
    <x v="3"/>
    <x v="2"/>
    <x v="371"/>
    <x v="3"/>
    <x v="0"/>
    <n v="1"/>
    <n v="0"/>
    <n v="0"/>
  </r>
  <r>
    <x v="3"/>
    <x v="2"/>
    <x v="371"/>
    <x v="3"/>
    <x v="1"/>
    <n v="2"/>
    <n v="0"/>
    <n v="0"/>
  </r>
  <r>
    <x v="3"/>
    <x v="2"/>
    <x v="371"/>
    <x v="3"/>
    <x v="2"/>
    <n v="3"/>
    <n v="0"/>
    <n v="0"/>
  </r>
  <r>
    <x v="3"/>
    <x v="2"/>
    <x v="371"/>
    <x v="3"/>
    <x v="3"/>
    <n v="4"/>
    <n v="1800"/>
    <n v="0"/>
  </r>
  <r>
    <x v="3"/>
    <x v="2"/>
    <x v="371"/>
    <x v="3"/>
    <x v="4"/>
    <n v="5"/>
    <n v="4000"/>
    <n v="0"/>
  </r>
  <r>
    <x v="3"/>
    <x v="2"/>
    <x v="371"/>
    <x v="3"/>
    <x v="5"/>
    <n v="6"/>
    <n v="4000"/>
    <n v="0"/>
  </r>
  <r>
    <x v="3"/>
    <x v="2"/>
    <x v="371"/>
    <x v="3"/>
    <x v="6"/>
    <n v="7"/>
    <n v="4600"/>
    <n v="0"/>
  </r>
  <r>
    <x v="3"/>
    <x v="2"/>
    <x v="31"/>
    <x v="2"/>
    <x v="0"/>
    <n v="1"/>
    <n v="1800"/>
    <n v="0"/>
  </r>
  <r>
    <x v="3"/>
    <x v="2"/>
    <x v="31"/>
    <x v="2"/>
    <x v="1"/>
    <n v="2"/>
    <n v="2000"/>
    <n v="86218.25"/>
  </r>
  <r>
    <x v="3"/>
    <x v="2"/>
    <x v="31"/>
    <x v="2"/>
    <x v="2"/>
    <n v="3"/>
    <n v="2200"/>
    <n v="74934.75"/>
  </r>
  <r>
    <x v="3"/>
    <x v="2"/>
    <x v="31"/>
    <x v="2"/>
    <x v="3"/>
    <n v="4"/>
    <n v="1900"/>
    <n v="268260"/>
  </r>
  <r>
    <x v="3"/>
    <x v="2"/>
    <x v="31"/>
    <x v="2"/>
    <x v="4"/>
    <n v="5"/>
    <n v="1700"/>
    <n v="140837.5"/>
  </r>
  <r>
    <x v="3"/>
    <x v="2"/>
    <x v="31"/>
    <x v="2"/>
    <x v="5"/>
    <n v="6"/>
    <n v="2100"/>
    <n v="126012.5"/>
  </r>
  <r>
    <x v="3"/>
    <x v="2"/>
    <x v="31"/>
    <x v="2"/>
    <x v="6"/>
    <n v="7"/>
    <n v="2300"/>
    <n v="155662.5"/>
  </r>
  <r>
    <x v="3"/>
    <x v="2"/>
    <x v="31"/>
    <x v="3"/>
    <x v="0"/>
    <n v="1"/>
    <n v="3325"/>
    <n v="0"/>
  </r>
  <r>
    <x v="3"/>
    <x v="2"/>
    <x v="31"/>
    <x v="3"/>
    <x v="1"/>
    <n v="2"/>
    <n v="3500"/>
    <n v="0"/>
  </r>
  <r>
    <x v="3"/>
    <x v="2"/>
    <x v="31"/>
    <x v="3"/>
    <x v="2"/>
    <n v="3"/>
    <n v="3850"/>
    <n v="0"/>
  </r>
  <r>
    <x v="3"/>
    <x v="2"/>
    <x v="31"/>
    <x v="3"/>
    <x v="3"/>
    <n v="4"/>
    <n v="3325"/>
    <n v="0"/>
  </r>
  <r>
    <x v="3"/>
    <x v="2"/>
    <x v="31"/>
    <x v="3"/>
    <x v="4"/>
    <n v="5"/>
    <n v="2975"/>
    <n v="0"/>
  </r>
  <r>
    <x v="3"/>
    <x v="2"/>
    <x v="31"/>
    <x v="3"/>
    <x v="5"/>
    <n v="6"/>
    <n v="3675"/>
    <n v="0"/>
  </r>
  <r>
    <x v="3"/>
    <x v="2"/>
    <x v="31"/>
    <x v="3"/>
    <x v="6"/>
    <n v="7"/>
    <n v="4025"/>
    <n v="0"/>
  </r>
  <r>
    <x v="3"/>
    <x v="2"/>
    <x v="372"/>
    <x v="2"/>
    <x v="0"/>
    <n v="1"/>
    <n v="1800"/>
    <n v="0"/>
  </r>
  <r>
    <x v="3"/>
    <x v="2"/>
    <x v="372"/>
    <x v="2"/>
    <x v="1"/>
    <n v="2"/>
    <n v="2000"/>
    <n v="163500.5"/>
  </r>
  <r>
    <x v="3"/>
    <x v="2"/>
    <x v="372"/>
    <x v="2"/>
    <x v="2"/>
    <n v="3"/>
    <n v="2200"/>
    <n v="130927.5"/>
  </r>
  <r>
    <x v="3"/>
    <x v="2"/>
    <x v="372"/>
    <x v="2"/>
    <x v="3"/>
    <n v="4"/>
    <n v="1900"/>
    <n v="218700"/>
  </r>
  <r>
    <x v="3"/>
    <x v="2"/>
    <x v="372"/>
    <x v="2"/>
    <x v="4"/>
    <n v="5"/>
    <n v="2000"/>
    <n v="153900"/>
  </r>
  <r>
    <x v="3"/>
    <x v="2"/>
    <x v="372"/>
    <x v="2"/>
    <x v="5"/>
    <n v="6"/>
    <n v="2100"/>
    <n v="162000"/>
  </r>
  <r>
    <x v="3"/>
    <x v="2"/>
    <x v="372"/>
    <x v="2"/>
    <x v="6"/>
    <n v="7"/>
    <n v="2300"/>
    <n v="170100"/>
  </r>
  <r>
    <x v="3"/>
    <x v="2"/>
    <x v="372"/>
    <x v="3"/>
    <x v="0"/>
    <n v="1"/>
    <n v="4750"/>
    <n v="0"/>
  </r>
  <r>
    <x v="3"/>
    <x v="2"/>
    <x v="372"/>
    <x v="3"/>
    <x v="1"/>
    <n v="2"/>
    <n v="4850"/>
    <n v="0"/>
  </r>
  <r>
    <x v="3"/>
    <x v="2"/>
    <x v="372"/>
    <x v="3"/>
    <x v="2"/>
    <n v="3"/>
    <n v="4400"/>
    <n v="0"/>
  </r>
  <r>
    <x v="3"/>
    <x v="2"/>
    <x v="372"/>
    <x v="3"/>
    <x v="3"/>
    <n v="4"/>
    <n v="3800"/>
    <n v="0"/>
  </r>
  <r>
    <x v="3"/>
    <x v="2"/>
    <x v="372"/>
    <x v="3"/>
    <x v="4"/>
    <n v="5"/>
    <n v="4000"/>
    <n v="0"/>
  </r>
  <r>
    <x v="3"/>
    <x v="2"/>
    <x v="372"/>
    <x v="3"/>
    <x v="5"/>
    <n v="6"/>
    <n v="4200"/>
    <n v="0"/>
  </r>
  <r>
    <x v="3"/>
    <x v="2"/>
    <x v="372"/>
    <x v="3"/>
    <x v="6"/>
    <n v="7"/>
    <n v="4600"/>
    <n v="0"/>
  </r>
  <r>
    <x v="3"/>
    <x v="2"/>
    <x v="373"/>
    <x v="2"/>
    <x v="0"/>
    <n v="1"/>
    <n v="2160"/>
    <n v="0"/>
  </r>
  <r>
    <x v="3"/>
    <x v="2"/>
    <x v="373"/>
    <x v="2"/>
    <x v="1"/>
    <n v="2"/>
    <n v="3000"/>
    <n v="171928.1"/>
  </r>
  <r>
    <x v="3"/>
    <x v="2"/>
    <x v="373"/>
    <x v="2"/>
    <x v="2"/>
    <n v="3"/>
    <n v="3300"/>
    <n v="91966.999999999971"/>
  </r>
  <r>
    <x v="3"/>
    <x v="2"/>
    <x v="373"/>
    <x v="2"/>
    <x v="3"/>
    <n v="4"/>
    <n v="2850"/>
    <n v="253799.99999999997"/>
  </r>
  <r>
    <x v="3"/>
    <x v="2"/>
    <x v="373"/>
    <x v="2"/>
    <x v="4"/>
    <n v="5"/>
    <n v="3000"/>
    <n v="178600"/>
  </r>
  <r>
    <x v="3"/>
    <x v="2"/>
    <x v="373"/>
    <x v="2"/>
    <x v="5"/>
    <n v="6"/>
    <n v="3000"/>
    <n v="188000"/>
  </r>
  <r>
    <x v="3"/>
    <x v="2"/>
    <x v="373"/>
    <x v="2"/>
    <x v="6"/>
    <n v="7"/>
    <n v="3450"/>
    <n v="188000.00000000012"/>
  </r>
  <r>
    <x v="3"/>
    <x v="2"/>
    <x v="373"/>
    <x v="3"/>
    <x v="0"/>
    <n v="1"/>
    <n v="4750"/>
    <n v="0"/>
  </r>
  <r>
    <x v="3"/>
    <x v="2"/>
    <x v="373"/>
    <x v="3"/>
    <x v="1"/>
    <n v="2"/>
    <n v="4750"/>
    <n v="0"/>
  </r>
  <r>
    <x v="3"/>
    <x v="2"/>
    <x v="373"/>
    <x v="3"/>
    <x v="2"/>
    <n v="3"/>
    <n v="4400"/>
    <n v="0"/>
  </r>
  <r>
    <x v="3"/>
    <x v="2"/>
    <x v="373"/>
    <x v="3"/>
    <x v="3"/>
    <n v="4"/>
    <n v="3800"/>
    <n v="0"/>
  </r>
  <r>
    <x v="3"/>
    <x v="2"/>
    <x v="373"/>
    <x v="3"/>
    <x v="4"/>
    <n v="5"/>
    <n v="4000"/>
    <n v="0"/>
  </r>
  <r>
    <x v="3"/>
    <x v="2"/>
    <x v="373"/>
    <x v="3"/>
    <x v="5"/>
    <n v="6"/>
    <n v="4000"/>
    <n v="0"/>
  </r>
  <r>
    <x v="3"/>
    <x v="2"/>
    <x v="373"/>
    <x v="3"/>
    <x v="6"/>
    <n v="7"/>
    <n v="4600"/>
    <n v="0"/>
  </r>
  <r>
    <x v="3"/>
    <x v="2"/>
    <x v="28"/>
    <x v="2"/>
    <x v="0"/>
    <n v="1"/>
    <n v="0"/>
    <n v="0"/>
  </r>
  <r>
    <x v="3"/>
    <x v="2"/>
    <x v="28"/>
    <x v="2"/>
    <x v="1"/>
    <n v="2"/>
    <n v="0"/>
    <n v="0"/>
  </r>
  <r>
    <x v="3"/>
    <x v="2"/>
    <x v="28"/>
    <x v="2"/>
    <x v="2"/>
    <n v="3"/>
    <n v="0"/>
    <n v="0"/>
  </r>
  <r>
    <x v="3"/>
    <x v="2"/>
    <x v="28"/>
    <x v="2"/>
    <x v="3"/>
    <n v="4"/>
    <n v="600"/>
    <n v="0"/>
  </r>
  <r>
    <x v="3"/>
    <x v="2"/>
    <x v="28"/>
    <x v="2"/>
    <x v="4"/>
    <n v="5"/>
    <n v="3000"/>
    <n v="44574"/>
  </r>
  <r>
    <x v="3"/>
    <x v="2"/>
    <x v="28"/>
    <x v="2"/>
    <x v="5"/>
    <n v="6"/>
    <n v="3150"/>
    <n v="222870"/>
  </r>
  <r>
    <x v="3"/>
    <x v="2"/>
    <x v="28"/>
    <x v="2"/>
    <x v="6"/>
    <n v="7"/>
    <n v="3450"/>
    <n v="234013.5"/>
  </r>
  <r>
    <x v="3"/>
    <x v="2"/>
    <x v="28"/>
    <x v="3"/>
    <x v="0"/>
    <n v="1"/>
    <n v="0"/>
    <n v="0"/>
  </r>
  <r>
    <x v="3"/>
    <x v="2"/>
    <x v="28"/>
    <x v="3"/>
    <x v="1"/>
    <n v="2"/>
    <n v="0"/>
    <n v="0"/>
  </r>
  <r>
    <x v="3"/>
    <x v="2"/>
    <x v="28"/>
    <x v="3"/>
    <x v="2"/>
    <n v="3"/>
    <n v="0"/>
    <n v="0"/>
  </r>
  <r>
    <x v="3"/>
    <x v="2"/>
    <x v="28"/>
    <x v="3"/>
    <x v="3"/>
    <n v="4"/>
    <n v="800"/>
    <n v="0"/>
  </r>
  <r>
    <x v="3"/>
    <x v="2"/>
    <x v="28"/>
    <x v="3"/>
    <x v="4"/>
    <n v="5"/>
    <n v="4000"/>
    <n v="0"/>
  </r>
  <r>
    <x v="3"/>
    <x v="2"/>
    <x v="28"/>
    <x v="3"/>
    <x v="5"/>
    <n v="6"/>
    <n v="4200"/>
    <n v="0"/>
  </r>
  <r>
    <x v="3"/>
    <x v="2"/>
    <x v="28"/>
    <x v="3"/>
    <x v="6"/>
    <n v="7"/>
    <n v="4600"/>
    <n v="0"/>
  </r>
  <r>
    <x v="3"/>
    <x v="3"/>
    <x v="41"/>
    <x v="2"/>
    <x v="0"/>
    <n v="1"/>
    <n v="1800"/>
    <n v="0"/>
  </r>
  <r>
    <x v="3"/>
    <x v="3"/>
    <x v="41"/>
    <x v="2"/>
    <x v="1"/>
    <n v="2"/>
    <n v="2000"/>
    <n v="0"/>
  </r>
  <r>
    <x v="3"/>
    <x v="3"/>
    <x v="41"/>
    <x v="2"/>
    <x v="2"/>
    <n v="3"/>
    <n v="2200"/>
    <n v="275613.25"/>
  </r>
  <r>
    <x v="3"/>
    <x v="3"/>
    <x v="41"/>
    <x v="2"/>
    <x v="3"/>
    <n v="4"/>
    <n v="1894"/>
    <n v="171436"/>
  </r>
  <r>
    <x v="3"/>
    <x v="3"/>
    <x v="41"/>
    <x v="2"/>
    <x v="4"/>
    <n v="5"/>
    <n v="2000"/>
    <n v="0"/>
  </r>
  <r>
    <x v="3"/>
    <x v="3"/>
    <x v="41"/>
    <x v="2"/>
    <x v="5"/>
    <n v="6"/>
    <n v="2100"/>
    <n v="261150"/>
  </r>
  <r>
    <x v="3"/>
    <x v="3"/>
    <x v="41"/>
    <x v="2"/>
    <x v="6"/>
    <n v="7"/>
    <n v="2300"/>
    <n v="140336"/>
  </r>
  <r>
    <x v="3"/>
    <x v="3"/>
    <x v="41"/>
    <x v="3"/>
    <x v="0"/>
    <n v="1"/>
    <n v="2797"/>
    <n v="0"/>
  </r>
  <r>
    <x v="3"/>
    <x v="3"/>
    <x v="41"/>
    <x v="3"/>
    <x v="1"/>
    <n v="2"/>
    <n v="2778"/>
    <n v="0"/>
  </r>
  <r>
    <x v="3"/>
    <x v="3"/>
    <x v="41"/>
    <x v="3"/>
    <x v="2"/>
    <n v="3"/>
    <n v="3300"/>
    <n v="0"/>
  </r>
  <r>
    <x v="3"/>
    <x v="3"/>
    <x v="41"/>
    <x v="3"/>
    <x v="3"/>
    <n v="4"/>
    <n v="2850"/>
    <n v="0"/>
  </r>
  <r>
    <x v="3"/>
    <x v="3"/>
    <x v="41"/>
    <x v="3"/>
    <x v="4"/>
    <n v="5"/>
    <n v="3000"/>
    <n v="0"/>
  </r>
  <r>
    <x v="3"/>
    <x v="3"/>
    <x v="41"/>
    <x v="3"/>
    <x v="5"/>
    <n v="6"/>
    <n v="3137"/>
    <n v="0"/>
  </r>
  <r>
    <x v="3"/>
    <x v="3"/>
    <x v="41"/>
    <x v="3"/>
    <x v="6"/>
    <n v="7"/>
    <n v="3450"/>
    <n v="0"/>
  </r>
  <r>
    <x v="3"/>
    <x v="3"/>
    <x v="42"/>
    <x v="2"/>
    <x v="0"/>
    <n v="1"/>
    <n v="0"/>
    <n v="0"/>
  </r>
  <r>
    <x v="3"/>
    <x v="3"/>
    <x v="42"/>
    <x v="2"/>
    <x v="1"/>
    <n v="2"/>
    <n v="0"/>
    <n v="0"/>
  </r>
  <r>
    <x v="3"/>
    <x v="3"/>
    <x v="42"/>
    <x v="2"/>
    <x v="2"/>
    <n v="3"/>
    <n v="0"/>
    <n v="0"/>
  </r>
  <r>
    <x v="3"/>
    <x v="3"/>
    <x v="42"/>
    <x v="2"/>
    <x v="3"/>
    <n v="4"/>
    <n v="0"/>
    <n v="0"/>
  </r>
  <r>
    <x v="3"/>
    <x v="3"/>
    <x v="42"/>
    <x v="2"/>
    <x v="4"/>
    <n v="5"/>
    <n v="0"/>
    <n v="0"/>
  </r>
  <r>
    <x v="3"/>
    <x v="3"/>
    <x v="42"/>
    <x v="2"/>
    <x v="5"/>
    <n v="6"/>
    <n v="0"/>
    <n v="0"/>
  </r>
  <r>
    <x v="3"/>
    <x v="3"/>
    <x v="42"/>
    <x v="2"/>
    <x v="6"/>
    <n v="7"/>
    <n v="2547"/>
    <n v="0"/>
  </r>
  <r>
    <x v="3"/>
    <x v="3"/>
    <x v="42"/>
    <x v="3"/>
    <x v="0"/>
    <n v="1"/>
    <n v="0"/>
    <n v="0"/>
  </r>
  <r>
    <x v="3"/>
    <x v="3"/>
    <x v="42"/>
    <x v="3"/>
    <x v="1"/>
    <n v="2"/>
    <n v="0"/>
    <n v="0"/>
  </r>
  <r>
    <x v="3"/>
    <x v="3"/>
    <x v="42"/>
    <x v="3"/>
    <x v="2"/>
    <n v="3"/>
    <n v="0"/>
    <n v="0"/>
  </r>
  <r>
    <x v="3"/>
    <x v="3"/>
    <x v="42"/>
    <x v="3"/>
    <x v="3"/>
    <n v="4"/>
    <n v="0"/>
    <n v="0"/>
  </r>
  <r>
    <x v="3"/>
    <x v="3"/>
    <x v="42"/>
    <x v="3"/>
    <x v="4"/>
    <n v="5"/>
    <n v="0"/>
    <n v="0"/>
  </r>
  <r>
    <x v="3"/>
    <x v="3"/>
    <x v="42"/>
    <x v="3"/>
    <x v="5"/>
    <n v="6"/>
    <n v="0"/>
    <n v="0"/>
  </r>
  <r>
    <x v="3"/>
    <x v="3"/>
    <x v="42"/>
    <x v="3"/>
    <x v="6"/>
    <n v="7"/>
    <n v="3400"/>
    <n v="0"/>
  </r>
  <r>
    <x v="3"/>
    <x v="3"/>
    <x v="45"/>
    <x v="2"/>
    <x v="0"/>
    <n v="1"/>
    <n v="0"/>
    <n v="0"/>
  </r>
  <r>
    <x v="3"/>
    <x v="3"/>
    <x v="45"/>
    <x v="2"/>
    <x v="1"/>
    <n v="2"/>
    <n v="0"/>
    <n v="0"/>
  </r>
  <r>
    <x v="3"/>
    <x v="3"/>
    <x v="45"/>
    <x v="2"/>
    <x v="2"/>
    <n v="3"/>
    <n v="0"/>
    <n v="0"/>
  </r>
  <r>
    <x v="3"/>
    <x v="3"/>
    <x v="45"/>
    <x v="2"/>
    <x v="3"/>
    <n v="4"/>
    <n v="0"/>
    <n v="0"/>
  </r>
  <r>
    <x v="3"/>
    <x v="3"/>
    <x v="45"/>
    <x v="2"/>
    <x v="4"/>
    <n v="5"/>
    <n v="0"/>
    <n v="0"/>
  </r>
  <r>
    <x v="3"/>
    <x v="3"/>
    <x v="45"/>
    <x v="2"/>
    <x v="5"/>
    <n v="6"/>
    <n v="1400"/>
    <n v="0"/>
  </r>
  <r>
    <x v="3"/>
    <x v="3"/>
    <x v="45"/>
    <x v="2"/>
    <x v="6"/>
    <n v="7"/>
    <n v="2300"/>
    <n v="115812.95"/>
  </r>
  <r>
    <x v="3"/>
    <x v="3"/>
    <x v="45"/>
    <x v="3"/>
    <x v="0"/>
    <n v="1"/>
    <n v="0"/>
    <n v="0"/>
  </r>
  <r>
    <x v="3"/>
    <x v="3"/>
    <x v="45"/>
    <x v="3"/>
    <x v="1"/>
    <n v="2"/>
    <n v="0"/>
    <n v="0"/>
  </r>
  <r>
    <x v="3"/>
    <x v="3"/>
    <x v="45"/>
    <x v="3"/>
    <x v="2"/>
    <n v="3"/>
    <n v="0"/>
    <n v="0"/>
  </r>
  <r>
    <x v="3"/>
    <x v="3"/>
    <x v="45"/>
    <x v="3"/>
    <x v="3"/>
    <n v="4"/>
    <n v="0"/>
    <n v="0"/>
  </r>
  <r>
    <x v="3"/>
    <x v="3"/>
    <x v="45"/>
    <x v="3"/>
    <x v="4"/>
    <n v="5"/>
    <n v="0"/>
    <n v="0"/>
  </r>
  <r>
    <x v="3"/>
    <x v="3"/>
    <x v="45"/>
    <x v="3"/>
    <x v="5"/>
    <n v="6"/>
    <n v="2091"/>
    <n v="0"/>
  </r>
  <r>
    <x v="3"/>
    <x v="3"/>
    <x v="45"/>
    <x v="3"/>
    <x v="6"/>
    <n v="7"/>
    <n v="3407"/>
    <n v="0"/>
  </r>
  <r>
    <x v="3"/>
    <x v="3"/>
    <x v="46"/>
    <x v="2"/>
    <x v="0"/>
    <n v="1"/>
    <n v="2700"/>
    <n v="0"/>
  </r>
  <r>
    <x v="3"/>
    <x v="3"/>
    <x v="46"/>
    <x v="2"/>
    <x v="1"/>
    <n v="2"/>
    <n v="2875"/>
    <n v="0"/>
  </r>
  <r>
    <x v="3"/>
    <x v="3"/>
    <x v="46"/>
    <x v="2"/>
    <x v="2"/>
    <n v="3"/>
    <n v="2750"/>
    <n v="389046.5"/>
  </r>
  <r>
    <x v="3"/>
    <x v="3"/>
    <x v="46"/>
    <x v="2"/>
    <x v="3"/>
    <n v="4"/>
    <n v="2375"/>
    <n v="234315"/>
  </r>
  <r>
    <x v="3"/>
    <x v="3"/>
    <x v="46"/>
    <x v="2"/>
    <x v="4"/>
    <n v="5"/>
    <n v="2499"/>
    <n v="0"/>
  </r>
  <r>
    <x v="3"/>
    <x v="3"/>
    <x v="46"/>
    <x v="2"/>
    <x v="5"/>
    <n v="6"/>
    <n v="2625"/>
    <n v="340000"/>
  </r>
  <r>
    <x v="3"/>
    <x v="3"/>
    <x v="46"/>
    <x v="2"/>
    <x v="6"/>
    <n v="7"/>
    <n v="2875"/>
    <n v="183085"/>
  </r>
  <r>
    <x v="3"/>
    <x v="3"/>
    <x v="46"/>
    <x v="3"/>
    <x v="0"/>
    <n v="1"/>
    <n v="3800"/>
    <n v="0"/>
  </r>
  <r>
    <x v="3"/>
    <x v="3"/>
    <x v="46"/>
    <x v="3"/>
    <x v="1"/>
    <n v="2"/>
    <n v="4000"/>
    <n v="0"/>
  </r>
  <r>
    <x v="3"/>
    <x v="3"/>
    <x v="46"/>
    <x v="3"/>
    <x v="2"/>
    <n v="3"/>
    <n v="4400"/>
    <n v="0"/>
  </r>
  <r>
    <x v="3"/>
    <x v="3"/>
    <x v="46"/>
    <x v="3"/>
    <x v="3"/>
    <n v="4"/>
    <n v="3800"/>
    <n v="0"/>
  </r>
  <r>
    <x v="3"/>
    <x v="3"/>
    <x v="46"/>
    <x v="3"/>
    <x v="4"/>
    <n v="5"/>
    <n v="4000"/>
    <n v="0"/>
  </r>
  <r>
    <x v="3"/>
    <x v="3"/>
    <x v="46"/>
    <x v="3"/>
    <x v="5"/>
    <n v="6"/>
    <n v="4195"/>
    <n v="0"/>
  </r>
  <r>
    <x v="3"/>
    <x v="3"/>
    <x v="46"/>
    <x v="3"/>
    <x v="6"/>
    <n v="7"/>
    <n v="4600"/>
    <n v="0"/>
  </r>
  <r>
    <x v="3"/>
    <x v="3"/>
    <x v="47"/>
    <x v="2"/>
    <x v="0"/>
    <n v="1"/>
    <n v="1350"/>
    <n v="0"/>
  </r>
  <r>
    <x v="3"/>
    <x v="3"/>
    <x v="47"/>
    <x v="2"/>
    <x v="1"/>
    <n v="2"/>
    <n v="1500"/>
    <n v="0"/>
  </r>
  <r>
    <x v="3"/>
    <x v="3"/>
    <x v="47"/>
    <x v="2"/>
    <x v="2"/>
    <n v="3"/>
    <n v="1650"/>
    <n v="245679.91"/>
  </r>
  <r>
    <x v="3"/>
    <x v="3"/>
    <x v="47"/>
    <x v="2"/>
    <x v="3"/>
    <n v="4"/>
    <n v="1386"/>
    <n v="140743.99999999997"/>
  </r>
  <r>
    <x v="3"/>
    <x v="3"/>
    <x v="47"/>
    <x v="2"/>
    <x v="4"/>
    <n v="5"/>
    <n v="1493"/>
    <n v="0"/>
  </r>
  <r>
    <x v="3"/>
    <x v="3"/>
    <x v="47"/>
    <x v="2"/>
    <x v="5"/>
    <n v="6"/>
    <n v="1565"/>
    <n v="202091.00000000006"/>
  </r>
  <r>
    <x v="3"/>
    <x v="3"/>
    <x v="47"/>
    <x v="2"/>
    <x v="6"/>
    <n v="7"/>
    <n v="1725"/>
    <n v="110861"/>
  </r>
  <r>
    <x v="3"/>
    <x v="3"/>
    <x v="47"/>
    <x v="3"/>
    <x v="0"/>
    <n v="1"/>
    <n v="2830"/>
    <n v="0"/>
  </r>
  <r>
    <x v="3"/>
    <x v="3"/>
    <x v="47"/>
    <x v="3"/>
    <x v="1"/>
    <n v="2"/>
    <n v="2709"/>
    <n v="0"/>
  </r>
  <r>
    <x v="3"/>
    <x v="3"/>
    <x v="47"/>
    <x v="3"/>
    <x v="2"/>
    <n v="3"/>
    <n v="2750"/>
    <n v="0"/>
  </r>
  <r>
    <x v="3"/>
    <x v="3"/>
    <x v="47"/>
    <x v="3"/>
    <x v="3"/>
    <n v="4"/>
    <n v="2237"/>
    <n v="0"/>
  </r>
  <r>
    <x v="3"/>
    <x v="3"/>
    <x v="47"/>
    <x v="3"/>
    <x v="4"/>
    <n v="5"/>
    <n v="2410"/>
    <n v="0"/>
  </r>
  <r>
    <x v="3"/>
    <x v="3"/>
    <x v="47"/>
    <x v="3"/>
    <x v="5"/>
    <n v="6"/>
    <n v="2562"/>
    <n v="0"/>
  </r>
  <r>
    <x v="3"/>
    <x v="3"/>
    <x v="47"/>
    <x v="3"/>
    <x v="6"/>
    <n v="7"/>
    <n v="2847"/>
    <n v="0"/>
  </r>
  <r>
    <x v="3"/>
    <x v="3"/>
    <x v="50"/>
    <x v="2"/>
    <x v="0"/>
    <n v="1"/>
    <n v="0"/>
    <n v="0"/>
  </r>
  <r>
    <x v="3"/>
    <x v="3"/>
    <x v="50"/>
    <x v="2"/>
    <x v="1"/>
    <n v="2"/>
    <n v="0"/>
    <n v="0"/>
  </r>
  <r>
    <x v="3"/>
    <x v="3"/>
    <x v="50"/>
    <x v="2"/>
    <x v="2"/>
    <n v="3"/>
    <n v="0"/>
    <n v="0"/>
  </r>
  <r>
    <x v="3"/>
    <x v="3"/>
    <x v="50"/>
    <x v="2"/>
    <x v="3"/>
    <n v="4"/>
    <n v="0"/>
    <n v="0"/>
  </r>
  <r>
    <x v="3"/>
    <x v="3"/>
    <x v="50"/>
    <x v="2"/>
    <x v="4"/>
    <n v="5"/>
    <n v="0"/>
    <n v="0"/>
  </r>
  <r>
    <x v="3"/>
    <x v="3"/>
    <x v="50"/>
    <x v="2"/>
    <x v="5"/>
    <n v="6"/>
    <n v="0"/>
    <n v="0"/>
  </r>
  <r>
    <x v="3"/>
    <x v="3"/>
    <x v="50"/>
    <x v="2"/>
    <x v="6"/>
    <n v="7"/>
    <n v="2195"/>
    <n v="0"/>
  </r>
  <r>
    <x v="3"/>
    <x v="3"/>
    <x v="50"/>
    <x v="3"/>
    <x v="0"/>
    <n v="1"/>
    <n v="0"/>
    <n v="0"/>
  </r>
  <r>
    <x v="3"/>
    <x v="3"/>
    <x v="50"/>
    <x v="3"/>
    <x v="1"/>
    <n v="2"/>
    <n v="0"/>
    <n v="0"/>
  </r>
  <r>
    <x v="3"/>
    <x v="3"/>
    <x v="50"/>
    <x v="3"/>
    <x v="2"/>
    <n v="3"/>
    <n v="0"/>
    <n v="0"/>
  </r>
  <r>
    <x v="3"/>
    <x v="3"/>
    <x v="50"/>
    <x v="3"/>
    <x v="3"/>
    <n v="4"/>
    <n v="0"/>
    <n v="0"/>
  </r>
  <r>
    <x v="3"/>
    <x v="3"/>
    <x v="50"/>
    <x v="3"/>
    <x v="4"/>
    <n v="5"/>
    <n v="0"/>
    <n v="0"/>
  </r>
  <r>
    <x v="3"/>
    <x v="3"/>
    <x v="50"/>
    <x v="3"/>
    <x v="5"/>
    <n v="6"/>
    <n v="0"/>
    <n v="0"/>
  </r>
  <r>
    <x v="3"/>
    <x v="3"/>
    <x v="50"/>
    <x v="3"/>
    <x v="6"/>
    <n v="7"/>
    <n v="3060"/>
    <n v="0"/>
  </r>
  <r>
    <x v="3"/>
    <x v="4"/>
    <x v="51"/>
    <x v="2"/>
    <x v="0"/>
    <n v="1"/>
    <n v="1795"/>
    <n v="0"/>
  </r>
  <r>
    <x v="3"/>
    <x v="4"/>
    <x v="51"/>
    <x v="2"/>
    <x v="1"/>
    <n v="2"/>
    <n v="2000"/>
    <n v="84770"/>
  </r>
  <r>
    <x v="3"/>
    <x v="4"/>
    <x v="51"/>
    <x v="2"/>
    <x v="2"/>
    <n v="3"/>
    <n v="2200"/>
    <n v="140490"/>
  </r>
  <r>
    <x v="3"/>
    <x v="4"/>
    <x v="51"/>
    <x v="2"/>
    <x v="3"/>
    <n v="4"/>
    <n v="1900"/>
    <n v="218700"/>
  </r>
  <r>
    <x v="3"/>
    <x v="4"/>
    <x v="51"/>
    <x v="2"/>
    <x v="4"/>
    <n v="5"/>
    <n v="2000"/>
    <n v="153900"/>
  </r>
  <r>
    <x v="3"/>
    <x v="4"/>
    <x v="51"/>
    <x v="2"/>
    <x v="5"/>
    <n v="6"/>
    <n v="2100"/>
    <n v="162000"/>
  </r>
  <r>
    <x v="3"/>
    <x v="4"/>
    <x v="51"/>
    <x v="2"/>
    <x v="6"/>
    <n v="7"/>
    <n v="2300"/>
    <n v="170100"/>
  </r>
  <r>
    <x v="3"/>
    <x v="4"/>
    <x v="51"/>
    <x v="3"/>
    <x v="0"/>
    <n v="1"/>
    <n v="3783"/>
    <n v="0"/>
  </r>
  <r>
    <x v="3"/>
    <x v="4"/>
    <x v="51"/>
    <x v="3"/>
    <x v="1"/>
    <n v="2"/>
    <n v="4000"/>
    <n v="0"/>
  </r>
  <r>
    <x v="3"/>
    <x v="4"/>
    <x v="51"/>
    <x v="3"/>
    <x v="2"/>
    <n v="3"/>
    <n v="4400"/>
    <n v="0"/>
  </r>
  <r>
    <x v="3"/>
    <x v="4"/>
    <x v="51"/>
    <x v="3"/>
    <x v="3"/>
    <n v="4"/>
    <n v="3800"/>
    <n v="0"/>
  </r>
  <r>
    <x v="3"/>
    <x v="4"/>
    <x v="51"/>
    <x v="3"/>
    <x v="4"/>
    <n v="5"/>
    <n v="4000"/>
    <n v="0"/>
  </r>
  <r>
    <x v="3"/>
    <x v="4"/>
    <x v="51"/>
    <x v="3"/>
    <x v="5"/>
    <n v="6"/>
    <n v="4200"/>
    <n v="0"/>
  </r>
  <r>
    <x v="3"/>
    <x v="4"/>
    <x v="51"/>
    <x v="3"/>
    <x v="6"/>
    <n v="7"/>
    <n v="4600"/>
    <n v="0"/>
  </r>
  <r>
    <x v="3"/>
    <x v="4"/>
    <x v="53"/>
    <x v="2"/>
    <x v="0"/>
    <n v="1"/>
    <n v="2700"/>
    <n v="0"/>
  </r>
  <r>
    <x v="3"/>
    <x v="4"/>
    <x v="53"/>
    <x v="2"/>
    <x v="1"/>
    <n v="2"/>
    <n v="3000"/>
    <n v="160290"/>
  </r>
  <r>
    <x v="3"/>
    <x v="4"/>
    <x v="53"/>
    <x v="2"/>
    <x v="2"/>
    <n v="3"/>
    <n v="3300"/>
    <n v="101270"/>
  </r>
  <r>
    <x v="3"/>
    <x v="4"/>
    <x v="53"/>
    <x v="2"/>
    <x v="3"/>
    <n v="4"/>
    <n v="2850"/>
    <n v="253800"/>
  </r>
  <r>
    <x v="3"/>
    <x v="4"/>
    <x v="53"/>
    <x v="2"/>
    <x v="4"/>
    <n v="5"/>
    <n v="3000"/>
    <n v="178600"/>
  </r>
  <r>
    <x v="3"/>
    <x v="4"/>
    <x v="53"/>
    <x v="2"/>
    <x v="5"/>
    <n v="6"/>
    <n v="3150"/>
    <n v="188000"/>
  </r>
  <r>
    <x v="3"/>
    <x v="4"/>
    <x v="53"/>
    <x v="2"/>
    <x v="6"/>
    <n v="7"/>
    <n v="3450"/>
    <n v="197400"/>
  </r>
  <r>
    <x v="3"/>
    <x v="4"/>
    <x v="53"/>
    <x v="3"/>
    <x v="0"/>
    <n v="1"/>
    <n v="3800"/>
    <n v="0"/>
  </r>
  <r>
    <x v="3"/>
    <x v="4"/>
    <x v="53"/>
    <x v="3"/>
    <x v="1"/>
    <n v="2"/>
    <n v="4000"/>
    <n v="0"/>
  </r>
  <r>
    <x v="3"/>
    <x v="4"/>
    <x v="53"/>
    <x v="3"/>
    <x v="2"/>
    <n v="3"/>
    <n v="4400"/>
    <n v="0"/>
  </r>
  <r>
    <x v="3"/>
    <x v="4"/>
    <x v="53"/>
    <x v="3"/>
    <x v="3"/>
    <n v="4"/>
    <n v="3800"/>
    <n v="0"/>
  </r>
  <r>
    <x v="3"/>
    <x v="4"/>
    <x v="53"/>
    <x v="3"/>
    <x v="4"/>
    <n v="5"/>
    <n v="4000"/>
    <n v="0"/>
  </r>
  <r>
    <x v="3"/>
    <x v="4"/>
    <x v="53"/>
    <x v="3"/>
    <x v="5"/>
    <n v="6"/>
    <n v="4200"/>
    <n v="0"/>
  </r>
  <r>
    <x v="3"/>
    <x v="4"/>
    <x v="53"/>
    <x v="3"/>
    <x v="6"/>
    <n v="7"/>
    <n v="4600"/>
    <n v="0"/>
  </r>
  <r>
    <x v="3"/>
    <x v="4"/>
    <x v="374"/>
    <x v="2"/>
    <x v="0"/>
    <n v="1"/>
    <n v="0"/>
    <n v="0"/>
  </r>
  <r>
    <x v="3"/>
    <x v="4"/>
    <x v="374"/>
    <x v="2"/>
    <x v="1"/>
    <n v="2"/>
    <n v="0"/>
    <n v="0"/>
  </r>
  <r>
    <x v="3"/>
    <x v="4"/>
    <x v="374"/>
    <x v="2"/>
    <x v="2"/>
    <n v="3"/>
    <n v="0"/>
    <n v="0"/>
  </r>
  <r>
    <x v="3"/>
    <x v="4"/>
    <x v="374"/>
    <x v="2"/>
    <x v="3"/>
    <n v="4"/>
    <n v="0"/>
    <n v="0"/>
  </r>
  <r>
    <x v="3"/>
    <x v="4"/>
    <x v="374"/>
    <x v="2"/>
    <x v="4"/>
    <n v="5"/>
    <n v="0"/>
    <n v="0"/>
  </r>
  <r>
    <x v="3"/>
    <x v="4"/>
    <x v="374"/>
    <x v="2"/>
    <x v="5"/>
    <n v="6"/>
    <n v="0"/>
    <n v="0"/>
  </r>
  <r>
    <x v="3"/>
    <x v="4"/>
    <x v="374"/>
    <x v="2"/>
    <x v="6"/>
    <n v="7"/>
    <n v="600"/>
    <n v="0"/>
  </r>
  <r>
    <x v="3"/>
    <x v="4"/>
    <x v="374"/>
    <x v="3"/>
    <x v="0"/>
    <n v="1"/>
    <n v="0"/>
    <n v="0"/>
  </r>
  <r>
    <x v="3"/>
    <x v="4"/>
    <x v="374"/>
    <x v="3"/>
    <x v="1"/>
    <n v="2"/>
    <n v="0"/>
    <n v="0"/>
  </r>
  <r>
    <x v="3"/>
    <x v="4"/>
    <x v="374"/>
    <x v="3"/>
    <x v="2"/>
    <n v="3"/>
    <n v="0"/>
    <n v="0"/>
  </r>
  <r>
    <x v="3"/>
    <x v="4"/>
    <x v="374"/>
    <x v="3"/>
    <x v="3"/>
    <n v="4"/>
    <n v="0"/>
    <n v="0"/>
  </r>
  <r>
    <x v="3"/>
    <x v="4"/>
    <x v="374"/>
    <x v="3"/>
    <x v="4"/>
    <n v="5"/>
    <n v="0"/>
    <n v="0"/>
  </r>
  <r>
    <x v="3"/>
    <x v="4"/>
    <x v="374"/>
    <x v="3"/>
    <x v="5"/>
    <n v="6"/>
    <n v="0"/>
    <n v="0"/>
  </r>
  <r>
    <x v="3"/>
    <x v="4"/>
    <x v="374"/>
    <x v="3"/>
    <x v="6"/>
    <n v="7"/>
    <n v="900"/>
    <n v="0"/>
  </r>
  <r>
    <x v="3"/>
    <x v="4"/>
    <x v="375"/>
    <x v="2"/>
    <x v="0"/>
    <n v="1"/>
    <n v="0"/>
    <n v="0"/>
  </r>
  <r>
    <x v="3"/>
    <x v="4"/>
    <x v="375"/>
    <x v="2"/>
    <x v="1"/>
    <n v="2"/>
    <n v="0"/>
    <n v="0"/>
  </r>
  <r>
    <x v="3"/>
    <x v="4"/>
    <x v="375"/>
    <x v="2"/>
    <x v="2"/>
    <n v="3"/>
    <n v="0"/>
    <n v="0"/>
  </r>
  <r>
    <x v="3"/>
    <x v="4"/>
    <x v="375"/>
    <x v="2"/>
    <x v="3"/>
    <n v="4"/>
    <n v="0"/>
    <n v="0"/>
  </r>
  <r>
    <x v="3"/>
    <x v="4"/>
    <x v="375"/>
    <x v="2"/>
    <x v="4"/>
    <n v="5"/>
    <n v="0"/>
    <n v="0"/>
  </r>
  <r>
    <x v="3"/>
    <x v="4"/>
    <x v="375"/>
    <x v="2"/>
    <x v="5"/>
    <n v="6"/>
    <n v="0"/>
    <n v="0"/>
  </r>
  <r>
    <x v="3"/>
    <x v="4"/>
    <x v="375"/>
    <x v="2"/>
    <x v="6"/>
    <n v="7"/>
    <n v="1700"/>
    <n v="0"/>
  </r>
  <r>
    <x v="3"/>
    <x v="4"/>
    <x v="375"/>
    <x v="3"/>
    <x v="0"/>
    <n v="1"/>
    <n v="0"/>
    <n v="0"/>
  </r>
  <r>
    <x v="3"/>
    <x v="4"/>
    <x v="375"/>
    <x v="3"/>
    <x v="1"/>
    <n v="2"/>
    <n v="0"/>
    <n v="0"/>
  </r>
  <r>
    <x v="3"/>
    <x v="4"/>
    <x v="375"/>
    <x v="3"/>
    <x v="2"/>
    <n v="3"/>
    <n v="0"/>
    <n v="0"/>
  </r>
  <r>
    <x v="3"/>
    <x v="4"/>
    <x v="375"/>
    <x v="3"/>
    <x v="3"/>
    <n v="4"/>
    <n v="0"/>
    <n v="0"/>
  </r>
  <r>
    <x v="3"/>
    <x v="4"/>
    <x v="375"/>
    <x v="3"/>
    <x v="4"/>
    <n v="5"/>
    <n v="0"/>
    <n v="0"/>
  </r>
  <r>
    <x v="3"/>
    <x v="4"/>
    <x v="375"/>
    <x v="3"/>
    <x v="5"/>
    <n v="6"/>
    <n v="0"/>
    <n v="0"/>
  </r>
  <r>
    <x v="3"/>
    <x v="4"/>
    <x v="375"/>
    <x v="3"/>
    <x v="6"/>
    <n v="7"/>
    <n v="2550"/>
    <n v="0"/>
  </r>
  <r>
    <x v="3"/>
    <x v="4"/>
    <x v="376"/>
    <x v="2"/>
    <x v="0"/>
    <n v="1"/>
    <n v="0"/>
    <n v="0"/>
  </r>
  <r>
    <x v="3"/>
    <x v="4"/>
    <x v="376"/>
    <x v="2"/>
    <x v="1"/>
    <n v="2"/>
    <n v="0"/>
    <n v="0"/>
  </r>
  <r>
    <x v="3"/>
    <x v="4"/>
    <x v="376"/>
    <x v="2"/>
    <x v="2"/>
    <n v="3"/>
    <n v="0"/>
    <n v="0"/>
  </r>
  <r>
    <x v="3"/>
    <x v="4"/>
    <x v="376"/>
    <x v="2"/>
    <x v="3"/>
    <n v="4"/>
    <n v="0"/>
    <n v="0"/>
  </r>
  <r>
    <x v="3"/>
    <x v="4"/>
    <x v="376"/>
    <x v="2"/>
    <x v="4"/>
    <n v="5"/>
    <n v="0"/>
    <n v="0"/>
  </r>
  <r>
    <x v="3"/>
    <x v="4"/>
    <x v="376"/>
    <x v="2"/>
    <x v="5"/>
    <n v="6"/>
    <n v="0"/>
    <n v="0"/>
  </r>
  <r>
    <x v="3"/>
    <x v="4"/>
    <x v="376"/>
    <x v="2"/>
    <x v="6"/>
    <n v="7"/>
    <n v="1700"/>
    <n v="0"/>
  </r>
  <r>
    <x v="3"/>
    <x v="4"/>
    <x v="376"/>
    <x v="3"/>
    <x v="0"/>
    <n v="1"/>
    <n v="0"/>
    <n v="0"/>
  </r>
  <r>
    <x v="3"/>
    <x v="4"/>
    <x v="376"/>
    <x v="3"/>
    <x v="1"/>
    <n v="2"/>
    <n v="0"/>
    <n v="0"/>
  </r>
  <r>
    <x v="3"/>
    <x v="4"/>
    <x v="376"/>
    <x v="3"/>
    <x v="2"/>
    <n v="3"/>
    <n v="0"/>
    <n v="0"/>
  </r>
  <r>
    <x v="3"/>
    <x v="4"/>
    <x v="376"/>
    <x v="3"/>
    <x v="3"/>
    <n v="4"/>
    <n v="0"/>
    <n v="0"/>
  </r>
  <r>
    <x v="3"/>
    <x v="4"/>
    <x v="376"/>
    <x v="3"/>
    <x v="4"/>
    <n v="5"/>
    <n v="0"/>
    <n v="0"/>
  </r>
  <r>
    <x v="3"/>
    <x v="4"/>
    <x v="376"/>
    <x v="3"/>
    <x v="5"/>
    <n v="6"/>
    <n v="0"/>
    <n v="0"/>
  </r>
  <r>
    <x v="3"/>
    <x v="4"/>
    <x v="376"/>
    <x v="3"/>
    <x v="6"/>
    <n v="7"/>
    <n v="2550"/>
    <n v="0"/>
  </r>
  <r>
    <x v="3"/>
    <x v="4"/>
    <x v="55"/>
    <x v="2"/>
    <x v="0"/>
    <n v="1"/>
    <n v="1800"/>
    <n v="0"/>
  </r>
  <r>
    <x v="3"/>
    <x v="4"/>
    <x v="55"/>
    <x v="2"/>
    <x v="1"/>
    <n v="2"/>
    <n v="2000"/>
    <n v="84770"/>
  </r>
  <r>
    <x v="3"/>
    <x v="4"/>
    <x v="55"/>
    <x v="2"/>
    <x v="2"/>
    <n v="3"/>
    <n v="2200"/>
    <n v="140490"/>
  </r>
  <r>
    <x v="3"/>
    <x v="4"/>
    <x v="55"/>
    <x v="2"/>
    <x v="3"/>
    <n v="4"/>
    <n v="1900"/>
    <n v="218700"/>
  </r>
  <r>
    <x v="3"/>
    <x v="4"/>
    <x v="55"/>
    <x v="2"/>
    <x v="4"/>
    <n v="5"/>
    <n v="2000"/>
    <n v="153900"/>
  </r>
  <r>
    <x v="3"/>
    <x v="4"/>
    <x v="55"/>
    <x v="2"/>
    <x v="5"/>
    <n v="6"/>
    <n v="2100"/>
    <n v="162000"/>
  </r>
  <r>
    <x v="3"/>
    <x v="4"/>
    <x v="55"/>
    <x v="2"/>
    <x v="6"/>
    <n v="7"/>
    <n v="2300"/>
    <n v="170100"/>
  </r>
  <r>
    <x v="3"/>
    <x v="4"/>
    <x v="55"/>
    <x v="3"/>
    <x v="0"/>
    <n v="1"/>
    <n v="3800"/>
    <n v="0"/>
  </r>
  <r>
    <x v="3"/>
    <x v="4"/>
    <x v="55"/>
    <x v="3"/>
    <x v="1"/>
    <n v="2"/>
    <n v="4000"/>
    <n v="0"/>
  </r>
  <r>
    <x v="3"/>
    <x v="4"/>
    <x v="55"/>
    <x v="3"/>
    <x v="2"/>
    <n v="3"/>
    <n v="4400"/>
    <n v="0"/>
  </r>
  <r>
    <x v="3"/>
    <x v="4"/>
    <x v="55"/>
    <x v="3"/>
    <x v="3"/>
    <n v="4"/>
    <n v="3800"/>
    <n v="0"/>
  </r>
  <r>
    <x v="3"/>
    <x v="4"/>
    <x v="55"/>
    <x v="3"/>
    <x v="4"/>
    <n v="5"/>
    <n v="4000"/>
    <n v="0"/>
  </r>
  <r>
    <x v="3"/>
    <x v="4"/>
    <x v="55"/>
    <x v="3"/>
    <x v="5"/>
    <n v="6"/>
    <n v="4200"/>
    <n v="0"/>
  </r>
  <r>
    <x v="3"/>
    <x v="4"/>
    <x v="55"/>
    <x v="3"/>
    <x v="6"/>
    <n v="7"/>
    <n v="4600"/>
    <n v="0"/>
  </r>
  <r>
    <x v="3"/>
    <x v="4"/>
    <x v="58"/>
    <x v="2"/>
    <x v="0"/>
    <n v="1"/>
    <n v="0"/>
    <n v="0"/>
  </r>
  <r>
    <x v="3"/>
    <x v="4"/>
    <x v="58"/>
    <x v="2"/>
    <x v="1"/>
    <n v="2"/>
    <n v="0"/>
    <n v="0"/>
  </r>
  <r>
    <x v="3"/>
    <x v="4"/>
    <x v="58"/>
    <x v="2"/>
    <x v="2"/>
    <n v="3"/>
    <n v="0"/>
    <n v="0"/>
  </r>
  <r>
    <x v="3"/>
    <x v="4"/>
    <x v="58"/>
    <x v="2"/>
    <x v="3"/>
    <n v="4"/>
    <n v="0"/>
    <n v="0"/>
  </r>
  <r>
    <x v="3"/>
    <x v="4"/>
    <x v="58"/>
    <x v="2"/>
    <x v="4"/>
    <n v="5"/>
    <n v="300"/>
    <n v="0"/>
  </r>
  <r>
    <x v="3"/>
    <x v="4"/>
    <x v="58"/>
    <x v="2"/>
    <x v="5"/>
    <n v="6"/>
    <n v="2400"/>
    <n v="0"/>
  </r>
  <r>
    <x v="3"/>
    <x v="4"/>
    <x v="58"/>
    <x v="2"/>
    <x v="6"/>
    <n v="7"/>
    <n v="2300"/>
    <n v="199068"/>
  </r>
  <r>
    <x v="3"/>
    <x v="4"/>
    <x v="58"/>
    <x v="3"/>
    <x v="0"/>
    <n v="1"/>
    <n v="0"/>
    <n v="0"/>
  </r>
  <r>
    <x v="3"/>
    <x v="4"/>
    <x v="58"/>
    <x v="3"/>
    <x v="1"/>
    <n v="2"/>
    <n v="0"/>
    <n v="0"/>
  </r>
  <r>
    <x v="3"/>
    <x v="4"/>
    <x v="58"/>
    <x v="3"/>
    <x v="2"/>
    <n v="3"/>
    <n v="0"/>
    <n v="0"/>
  </r>
  <r>
    <x v="3"/>
    <x v="4"/>
    <x v="58"/>
    <x v="3"/>
    <x v="3"/>
    <n v="4"/>
    <n v="0"/>
    <n v="0"/>
  </r>
  <r>
    <x v="3"/>
    <x v="4"/>
    <x v="58"/>
    <x v="3"/>
    <x v="4"/>
    <n v="5"/>
    <n v="450"/>
    <n v="0"/>
  </r>
  <r>
    <x v="3"/>
    <x v="4"/>
    <x v="58"/>
    <x v="3"/>
    <x v="5"/>
    <n v="6"/>
    <n v="3600"/>
    <n v="0"/>
  </r>
  <r>
    <x v="3"/>
    <x v="4"/>
    <x v="58"/>
    <x v="3"/>
    <x v="6"/>
    <n v="7"/>
    <n v="3450"/>
    <n v="0"/>
  </r>
  <r>
    <x v="3"/>
    <x v="5"/>
    <x v="60"/>
    <x v="2"/>
    <x v="0"/>
    <n v="1"/>
    <n v="1700"/>
    <n v="0"/>
  </r>
  <r>
    <x v="3"/>
    <x v="5"/>
    <x v="60"/>
    <x v="2"/>
    <x v="1"/>
    <n v="2"/>
    <n v="2000"/>
    <n v="0"/>
  </r>
  <r>
    <x v="3"/>
    <x v="5"/>
    <x v="60"/>
    <x v="2"/>
    <x v="2"/>
    <n v="3"/>
    <n v="2200"/>
    <n v="331389.33"/>
  </r>
  <r>
    <x v="3"/>
    <x v="5"/>
    <x v="60"/>
    <x v="2"/>
    <x v="3"/>
    <n v="4"/>
    <n v="1900"/>
    <n v="191836.5"/>
  </r>
  <r>
    <x v="3"/>
    <x v="5"/>
    <x v="60"/>
    <x v="2"/>
    <x v="4"/>
    <n v="5"/>
    <n v="2000"/>
    <n v="167394.75"/>
  </r>
  <r>
    <x v="3"/>
    <x v="5"/>
    <x v="60"/>
    <x v="2"/>
    <x v="5"/>
    <n v="6"/>
    <n v="2100"/>
    <n v="159630"/>
  </r>
  <r>
    <x v="3"/>
    <x v="5"/>
    <x v="60"/>
    <x v="2"/>
    <x v="6"/>
    <n v="7"/>
    <n v="2276"/>
    <n v="167611.49999999988"/>
  </r>
  <r>
    <x v="3"/>
    <x v="5"/>
    <x v="60"/>
    <x v="3"/>
    <x v="0"/>
    <n v="1"/>
    <n v="3150"/>
    <n v="0"/>
  </r>
  <r>
    <x v="3"/>
    <x v="5"/>
    <x v="60"/>
    <x v="3"/>
    <x v="1"/>
    <n v="2"/>
    <n v="3500"/>
    <n v="0"/>
  </r>
  <r>
    <x v="3"/>
    <x v="5"/>
    <x v="60"/>
    <x v="3"/>
    <x v="2"/>
    <n v="3"/>
    <n v="3850"/>
    <n v="0"/>
  </r>
  <r>
    <x v="3"/>
    <x v="5"/>
    <x v="60"/>
    <x v="3"/>
    <x v="3"/>
    <n v="4"/>
    <n v="3325"/>
    <n v="0"/>
  </r>
  <r>
    <x v="3"/>
    <x v="5"/>
    <x v="60"/>
    <x v="3"/>
    <x v="4"/>
    <n v="5"/>
    <n v="3000"/>
    <n v="0"/>
  </r>
  <r>
    <x v="3"/>
    <x v="5"/>
    <x v="60"/>
    <x v="3"/>
    <x v="5"/>
    <n v="6"/>
    <n v="3150"/>
    <n v="0"/>
  </r>
  <r>
    <x v="3"/>
    <x v="5"/>
    <x v="60"/>
    <x v="3"/>
    <x v="6"/>
    <n v="7"/>
    <n v="3300"/>
    <n v="0"/>
  </r>
  <r>
    <x v="3"/>
    <x v="5"/>
    <x v="61"/>
    <x v="2"/>
    <x v="0"/>
    <n v="1"/>
    <n v="0"/>
    <n v="0"/>
  </r>
  <r>
    <x v="3"/>
    <x v="5"/>
    <x v="61"/>
    <x v="2"/>
    <x v="1"/>
    <n v="2"/>
    <n v="0"/>
    <n v="0"/>
  </r>
  <r>
    <x v="3"/>
    <x v="5"/>
    <x v="61"/>
    <x v="2"/>
    <x v="2"/>
    <n v="3"/>
    <n v="0"/>
    <n v="0"/>
  </r>
  <r>
    <x v="3"/>
    <x v="5"/>
    <x v="61"/>
    <x v="2"/>
    <x v="3"/>
    <n v="4"/>
    <n v="0"/>
    <n v="0"/>
  </r>
  <r>
    <x v="3"/>
    <x v="5"/>
    <x v="61"/>
    <x v="2"/>
    <x v="4"/>
    <n v="5"/>
    <n v="0"/>
    <n v="0"/>
  </r>
  <r>
    <x v="3"/>
    <x v="5"/>
    <x v="61"/>
    <x v="2"/>
    <x v="5"/>
    <n v="6"/>
    <n v="891"/>
    <n v="0"/>
  </r>
  <r>
    <x v="3"/>
    <x v="5"/>
    <x v="61"/>
    <x v="2"/>
    <x v="6"/>
    <n v="7"/>
    <n v="2300"/>
    <n v="71297.490000000005"/>
  </r>
  <r>
    <x v="3"/>
    <x v="5"/>
    <x v="61"/>
    <x v="3"/>
    <x v="0"/>
    <n v="1"/>
    <n v="0"/>
    <n v="0"/>
  </r>
  <r>
    <x v="3"/>
    <x v="5"/>
    <x v="61"/>
    <x v="3"/>
    <x v="1"/>
    <n v="2"/>
    <n v="0"/>
    <n v="0"/>
  </r>
  <r>
    <x v="3"/>
    <x v="5"/>
    <x v="61"/>
    <x v="3"/>
    <x v="2"/>
    <n v="3"/>
    <n v="0"/>
    <n v="0"/>
  </r>
  <r>
    <x v="3"/>
    <x v="5"/>
    <x v="61"/>
    <x v="3"/>
    <x v="3"/>
    <n v="4"/>
    <n v="0"/>
    <n v="0"/>
  </r>
  <r>
    <x v="3"/>
    <x v="5"/>
    <x v="61"/>
    <x v="3"/>
    <x v="4"/>
    <n v="5"/>
    <n v="0"/>
    <n v="0"/>
  </r>
  <r>
    <x v="3"/>
    <x v="5"/>
    <x v="61"/>
    <x v="3"/>
    <x v="5"/>
    <n v="6"/>
    <n v="1342"/>
    <n v="0"/>
  </r>
  <r>
    <x v="3"/>
    <x v="5"/>
    <x v="61"/>
    <x v="3"/>
    <x v="6"/>
    <n v="7"/>
    <n v="3300"/>
    <n v="0"/>
  </r>
  <r>
    <x v="3"/>
    <x v="5"/>
    <x v="62"/>
    <x v="2"/>
    <x v="0"/>
    <n v="1"/>
    <n v="1700"/>
    <n v="0"/>
  </r>
  <r>
    <x v="3"/>
    <x v="5"/>
    <x v="62"/>
    <x v="2"/>
    <x v="1"/>
    <n v="2"/>
    <n v="2000"/>
    <n v="0"/>
  </r>
  <r>
    <x v="3"/>
    <x v="5"/>
    <x v="62"/>
    <x v="2"/>
    <x v="2"/>
    <n v="3"/>
    <n v="2200"/>
    <n v="300288"/>
  </r>
  <r>
    <x v="3"/>
    <x v="5"/>
    <x v="62"/>
    <x v="2"/>
    <x v="3"/>
    <n v="4"/>
    <n v="1896"/>
    <n v="175593"/>
  </r>
  <r>
    <x v="3"/>
    <x v="5"/>
    <x v="62"/>
    <x v="2"/>
    <x v="4"/>
    <n v="5"/>
    <n v="2000"/>
    <n v="151528.14000000001"/>
  </r>
  <r>
    <x v="3"/>
    <x v="5"/>
    <x v="62"/>
    <x v="2"/>
    <x v="5"/>
    <n v="6"/>
    <n v="2100"/>
    <n v="159630"/>
  </r>
  <r>
    <x v="3"/>
    <x v="5"/>
    <x v="62"/>
    <x v="2"/>
    <x v="6"/>
    <n v="7"/>
    <n v="2300"/>
    <n v="167611.5"/>
  </r>
  <r>
    <x v="3"/>
    <x v="5"/>
    <x v="62"/>
    <x v="3"/>
    <x v="0"/>
    <n v="1"/>
    <n v="2626"/>
    <n v="0"/>
  </r>
  <r>
    <x v="3"/>
    <x v="5"/>
    <x v="62"/>
    <x v="3"/>
    <x v="1"/>
    <n v="2"/>
    <n v="3000"/>
    <n v="0"/>
  </r>
  <r>
    <x v="3"/>
    <x v="5"/>
    <x v="62"/>
    <x v="3"/>
    <x v="2"/>
    <n v="3"/>
    <n v="3300"/>
    <n v="0"/>
  </r>
  <r>
    <x v="3"/>
    <x v="5"/>
    <x v="62"/>
    <x v="3"/>
    <x v="3"/>
    <n v="4"/>
    <n v="2850"/>
    <n v="0"/>
  </r>
  <r>
    <x v="3"/>
    <x v="5"/>
    <x v="62"/>
    <x v="3"/>
    <x v="4"/>
    <n v="5"/>
    <n v="3000"/>
    <n v="0"/>
  </r>
  <r>
    <x v="3"/>
    <x v="5"/>
    <x v="62"/>
    <x v="3"/>
    <x v="5"/>
    <n v="6"/>
    <n v="3150"/>
    <n v="0"/>
  </r>
  <r>
    <x v="3"/>
    <x v="5"/>
    <x v="62"/>
    <x v="3"/>
    <x v="6"/>
    <n v="7"/>
    <n v="3450"/>
    <n v="0"/>
  </r>
  <r>
    <x v="3"/>
    <x v="5"/>
    <x v="63"/>
    <x v="2"/>
    <x v="0"/>
    <n v="1"/>
    <n v="3400"/>
    <n v="0"/>
  </r>
  <r>
    <x v="3"/>
    <x v="5"/>
    <x v="63"/>
    <x v="2"/>
    <x v="1"/>
    <n v="2"/>
    <n v="4000"/>
    <n v="0"/>
  </r>
  <r>
    <x v="3"/>
    <x v="5"/>
    <x v="63"/>
    <x v="2"/>
    <x v="2"/>
    <n v="3"/>
    <n v="4400"/>
    <n v="599316.30000000005"/>
  </r>
  <r>
    <x v="3"/>
    <x v="5"/>
    <x v="63"/>
    <x v="2"/>
    <x v="3"/>
    <n v="4"/>
    <n v="3800"/>
    <n v="351186"/>
  </r>
  <r>
    <x v="3"/>
    <x v="5"/>
    <x v="63"/>
    <x v="2"/>
    <x v="4"/>
    <n v="5"/>
    <n v="3000"/>
    <n v="303297"/>
  </r>
  <r>
    <x v="3"/>
    <x v="5"/>
    <x v="63"/>
    <x v="2"/>
    <x v="5"/>
    <n v="6"/>
    <n v="3150"/>
    <n v="256020"/>
  </r>
  <r>
    <x v="3"/>
    <x v="5"/>
    <x v="63"/>
    <x v="2"/>
    <x v="6"/>
    <n v="7"/>
    <n v="3450"/>
    <n v="268821"/>
  </r>
  <r>
    <x v="3"/>
    <x v="5"/>
    <x v="63"/>
    <x v="3"/>
    <x v="0"/>
    <n v="1"/>
    <n v="5362"/>
    <n v="0"/>
  </r>
  <r>
    <x v="3"/>
    <x v="5"/>
    <x v="63"/>
    <x v="3"/>
    <x v="1"/>
    <n v="2"/>
    <n v="6000"/>
    <n v="0"/>
  </r>
  <r>
    <x v="3"/>
    <x v="5"/>
    <x v="63"/>
    <x v="3"/>
    <x v="2"/>
    <n v="3"/>
    <n v="6600"/>
    <n v="0"/>
  </r>
  <r>
    <x v="3"/>
    <x v="5"/>
    <x v="63"/>
    <x v="3"/>
    <x v="3"/>
    <n v="4"/>
    <n v="5700"/>
    <n v="0"/>
  </r>
  <r>
    <x v="3"/>
    <x v="5"/>
    <x v="63"/>
    <x v="3"/>
    <x v="4"/>
    <n v="5"/>
    <n v="5000"/>
    <n v="0"/>
  </r>
  <r>
    <x v="3"/>
    <x v="5"/>
    <x v="63"/>
    <x v="3"/>
    <x v="5"/>
    <n v="6"/>
    <n v="5250"/>
    <n v="0"/>
  </r>
  <r>
    <x v="3"/>
    <x v="5"/>
    <x v="63"/>
    <x v="3"/>
    <x v="6"/>
    <n v="7"/>
    <n v="5700"/>
    <n v="0"/>
  </r>
  <r>
    <x v="3"/>
    <x v="5"/>
    <x v="64"/>
    <x v="2"/>
    <x v="0"/>
    <n v="1"/>
    <n v="3400"/>
    <n v="0"/>
  </r>
  <r>
    <x v="3"/>
    <x v="5"/>
    <x v="64"/>
    <x v="2"/>
    <x v="1"/>
    <n v="2"/>
    <n v="3727"/>
    <n v="0"/>
  </r>
  <r>
    <x v="3"/>
    <x v="5"/>
    <x v="64"/>
    <x v="2"/>
    <x v="2"/>
    <n v="3"/>
    <n v="3300"/>
    <n v="529376.43000000005"/>
  </r>
  <r>
    <x v="3"/>
    <x v="5"/>
    <x v="64"/>
    <x v="2"/>
    <x v="3"/>
    <n v="4"/>
    <n v="2850"/>
    <n v="281622"/>
  </r>
  <r>
    <x v="3"/>
    <x v="5"/>
    <x v="64"/>
    <x v="2"/>
    <x v="4"/>
    <n v="5"/>
    <n v="2850"/>
    <n v="243219"/>
  </r>
  <r>
    <x v="3"/>
    <x v="5"/>
    <x v="64"/>
    <x v="2"/>
    <x v="5"/>
    <n v="6"/>
    <n v="3150"/>
    <n v="243219"/>
  </r>
  <r>
    <x v="3"/>
    <x v="5"/>
    <x v="64"/>
    <x v="2"/>
    <x v="6"/>
    <n v="7"/>
    <n v="3450"/>
    <n v="268820.99999999977"/>
  </r>
  <r>
    <x v="3"/>
    <x v="5"/>
    <x v="64"/>
    <x v="3"/>
    <x v="0"/>
    <n v="1"/>
    <n v="4500"/>
    <n v="0"/>
  </r>
  <r>
    <x v="3"/>
    <x v="5"/>
    <x v="64"/>
    <x v="3"/>
    <x v="1"/>
    <n v="2"/>
    <n v="5000"/>
    <n v="0"/>
  </r>
  <r>
    <x v="3"/>
    <x v="5"/>
    <x v="64"/>
    <x v="3"/>
    <x v="2"/>
    <n v="3"/>
    <n v="5500"/>
    <n v="0"/>
  </r>
  <r>
    <x v="3"/>
    <x v="5"/>
    <x v="64"/>
    <x v="3"/>
    <x v="3"/>
    <n v="4"/>
    <n v="4750"/>
    <n v="0"/>
  </r>
  <r>
    <x v="3"/>
    <x v="5"/>
    <x v="64"/>
    <x v="3"/>
    <x v="4"/>
    <n v="5"/>
    <n v="4750"/>
    <n v="0"/>
  </r>
  <r>
    <x v="3"/>
    <x v="5"/>
    <x v="64"/>
    <x v="3"/>
    <x v="5"/>
    <n v="6"/>
    <n v="5250"/>
    <n v="0"/>
  </r>
  <r>
    <x v="3"/>
    <x v="5"/>
    <x v="64"/>
    <x v="3"/>
    <x v="6"/>
    <n v="7"/>
    <n v="5670"/>
    <n v="0"/>
  </r>
  <r>
    <x v="3"/>
    <x v="5"/>
    <x v="65"/>
    <x v="2"/>
    <x v="0"/>
    <n v="1"/>
    <n v="2550"/>
    <n v="0"/>
  </r>
  <r>
    <x v="3"/>
    <x v="5"/>
    <x v="65"/>
    <x v="2"/>
    <x v="1"/>
    <n v="2"/>
    <n v="2750"/>
    <n v="0"/>
  </r>
  <r>
    <x v="3"/>
    <x v="5"/>
    <x v="65"/>
    <x v="2"/>
    <x v="2"/>
    <n v="3"/>
    <n v="2200"/>
    <n v="457827"/>
  </r>
  <r>
    <x v="3"/>
    <x v="5"/>
    <x v="65"/>
    <x v="2"/>
    <x v="3"/>
    <n v="4"/>
    <n v="1900"/>
    <n v="212058"/>
  </r>
  <r>
    <x v="3"/>
    <x v="5"/>
    <x v="65"/>
    <x v="2"/>
    <x v="4"/>
    <n v="5"/>
    <n v="2000"/>
    <n v="183141"/>
  </r>
  <r>
    <x v="3"/>
    <x v="5"/>
    <x v="65"/>
    <x v="2"/>
    <x v="5"/>
    <n v="6"/>
    <n v="2100"/>
    <n v="191884.94999999995"/>
  </r>
  <r>
    <x v="3"/>
    <x v="5"/>
    <x v="65"/>
    <x v="2"/>
    <x v="6"/>
    <n v="7"/>
    <n v="2300"/>
    <n v="202419"/>
  </r>
  <r>
    <x v="3"/>
    <x v="5"/>
    <x v="65"/>
    <x v="3"/>
    <x v="0"/>
    <n v="1"/>
    <n v="4500"/>
    <n v="0"/>
  </r>
  <r>
    <x v="3"/>
    <x v="5"/>
    <x v="65"/>
    <x v="3"/>
    <x v="1"/>
    <n v="2"/>
    <n v="4500"/>
    <n v="0"/>
  </r>
  <r>
    <x v="3"/>
    <x v="5"/>
    <x v="65"/>
    <x v="3"/>
    <x v="2"/>
    <n v="3"/>
    <n v="4400"/>
    <n v="0"/>
  </r>
  <r>
    <x v="3"/>
    <x v="5"/>
    <x v="65"/>
    <x v="3"/>
    <x v="3"/>
    <n v="4"/>
    <n v="3800"/>
    <n v="0"/>
  </r>
  <r>
    <x v="3"/>
    <x v="5"/>
    <x v="65"/>
    <x v="3"/>
    <x v="4"/>
    <n v="5"/>
    <n v="3973"/>
    <n v="0"/>
  </r>
  <r>
    <x v="3"/>
    <x v="5"/>
    <x v="65"/>
    <x v="3"/>
    <x v="5"/>
    <n v="6"/>
    <n v="4200"/>
    <n v="0"/>
  </r>
  <r>
    <x v="3"/>
    <x v="5"/>
    <x v="65"/>
    <x v="3"/>
    <x v="6"/>
    <n v="7"/>
    <n v="4600"/>
    <n v="0"/>
  </r>
  <r>
    <x v="3"/>
    <x v="5"/>
    <x v="66"/>
    <x v="2"/>
    <x v="0"/>
    <n v="1"/>
    <n v="2550"/>
    <n v="0"/>
  </r>
  <r>
    <x v="3"/>
    <x v="5"/>
    <x v="66"/>
    <x v="2"/>
    <x v="1"/>
    <n v="2"/>
    <n v="2750"/>
    <n v="0"/>
  </r>
  <r>
    <x v="3"/>
    <x v="5"/>
    <x v="66"/>
    <x v="2"/>
    <x v="2"/>
    <n v="3"/>
    <n v="2200"/>
    <n v="403129.5"/>
  </r>
  <r>
    <x v="3"/>
    <x v="5"/>
    <x v="66"/>
    <x v="2"/>
    <x v="3"/>
    <n v="4"/>
    <n v="0"/>
    <n v="103759.5"/>
  </r>
  <r>
    <x v="3"/>
    <x v="5"/>
    <x v="66"/>
    <x v="2"/>
    <x v="4"/>
    <n v="5"/>
    <n v="0"/>
    <n v="0"/>
  </r>
  <r>
    <x v="3"/>
    <x v="5"/>
    <x v="66"/>
    <x v="2"/>
    <x v="5"/>
    <n v="6"/>
    <n v="0"/>
    <n v="0"/>
  </r>
  <r>
    <x v="3"/>
    <x v="5"/>
    <x v="66"/>
    <x v="2"/>
    <x v="6"/>
    <n v="7"/>
    <n v="0"/>
    <n v="0"/>
  </r>
  <r>
    <x v="3"/>
    <x v="5"/>
    <x v="66"/>
    <x v="3"/>
    <x v="0"/>
    <n v="1"/>
    <n v="3600"/>
    <n v="0"/>
  </r>
  <r>
    <x v="3"/>
    <x v="5"/>
    <x v="66"/>
    <x v="3"/>
    <x v="1"/>
    <n v="2"/>
    <n v="3750"/>
    <n v="0"/>
  </r>
  <r>
    <x v="3"/>
    <x v="5"/>
    <x v="66"/>
    <x v="3"/>
    <x v="2"/>
    <n v="3"/>
    <n v="3300"/>
    <n v="0"/>
  </r>
  <r>
    <x v="3"/>
    <x v="5"/>
    <x v="66"/>
    <x v="3"/>
    <x v="3"/>
    <n v="4"/>
    <n v="0"/>
    <n v="0"/>
  </r>
  <r>
    <x v="3"/>
    <x v="5"/>
    <x v="66"/>
    <x v="3"/>
    <x v="4"/>
    <n v="5"/>
    <n v="0"/>
    <n v="0"/>
  </r>
  <r>
    <x v="3"/>
    <x v="5"/>
    <x v="66"/>
    <x v="3"/>
    <x v="5"/>
    <n v="6"/>
    <n v="0"/>
    <n v="0"/>
  </r>
  <r>
    <x v="3"/>
    <x v="5"/>
    <x v="66"/>
    <x v="3"/>
    <x v="6"/>
    <n v="7"/>
    <n v="0"/>
    <n v="0"/>
  </r>
  <r>
    <x v="3"/>
    <x v="5"/>
    <x v="68"/>
    <x v="2"/>
    <x v="0"/>
    <n v="1"/>
    <n v="2125"/>
    <n v="0"/>
  </r>
  <r>
    <x v="3"/>
    <x v="5"/>
    <x v="68"/>
    <x v="2"/>
    <x v="1"/>
    <n v="2"/>
    <n v="2375"/>
    <n v="0"/>
  </r>
  <r>
    <x v="3"/>
    <x v="5"/>
    <x v="68"/>
    <x v="2"/>
    <x v="2"/>
    <n v="3"/>
    <n v="2200"/>
    <n v="351708.75"/>
  </r>
  <r>
    <x v="3"/>
    <x v="5"/>
    <x v="68"/>
    <x v="2"/>
    <x v="3"/>
    <n v="4"/>
    <n v="1900"/>
    <n v="175593"/>
  </r>
  <r>
    <x v="3"/>
    <x v="5"/>
    <x v="68"/>
    <x v="2"/>
    <x v="4"/>
    <n v="5"/>
    <n v="1900"/>
    <n v="151648.5"/>
  </r>
  <r>
    <x v="3"/>
    <x v="5"/>
    <x v="68"/>
    <x v="2"/>
    <x v="5"/>
    <n v="6"/>
    <n v="2100"/>
    <n v="151648.5"/>
  </r>
  <r>
    <x v="3"/>
    <x v="5"/>
    <x v="68"/>
    <x v="2"/>
    <x v="6"/>
    <n v="7"/>
    <n v="2300"/>
    <n v="167611.5"/>
  </r>
  <r>
    <x v="3"/>
    <x v="5"/>
    <x v="68"/>
    <x v="3"/>
    <x v="0"/>
    <n v="1"/>
    <n v="3150"/>
    <n v="0"/>
  </r>
  <r>
    <x v="3"/>
    <x v="5"/>
    <x v="68"/>
    <x v="3"/>
    <x v="1"/>
    <n v="2"/>
    <n v="3375"/>
    <n v="0"/>
  </r>
  <r>
    <x v="3"/>
    <x v="5"/>
    <x v="68"/>
    <x v="3"/>
    <x v="2"/>
    <n v="3"/>
    <n v="3300"/>
    <n v="0"/>
  </r>
  <r>
    <x v="3"/>
    <x v="5"/>
    <x v="68"/>
    <x v="3"/>
    <x v="3"/>
    <n v="4"/>
    <n v="2850"/>
    <n v="0"/>
  </r>
  <r>
    <x v="3"/>
    <x v="5"/>
    <x v="68"/>
    <x v="3"/>
    <x v="4"/>
    <n v="5"/>
    <n v="2850"/>
    <n v="0"/>
  </r>
  <r>
    <x v="3"/>
    <x v="5"/>
    <x v="68"/>
    <x v="3"/>
    <x v="5"/>
    <n v="6"/>
    <n v="3150"/>
    <n v="0"/>
  </r>
  <r>
    <x v="3"/>
    <x v="5"/>
    <x v="68"/>
    <x v="3"/>
    <x v="6"/>
    <n v="7"/>
    <n v="3400"/>
    <n v="0"/>
  </r>
  <r>
    <x v="3"/>
    <x v="5"/>
    <x v="347"/>
    <x v="2"/>
    <x v="0"/>
    <n v="1"/>
    <n v="3400"/>
    <n v="0"/>
  </r>
  <r>
    <x v="3"/>
    <x v="5"/>
    <x v="347"/>
    <x v="2"/>
    <x v="1"/>
    <n v="2"/>
    <n v="3875"/>
    <n v="0"/>
  </r>
  <r>
    <x v="3"/>
    <x v="5"/>
    <x v="347"/>
    <x v="2"/>
    <x v="2"/>
    <n v="3"/>
    <n v="3850"/>
    <n v="529686"/>
  </r>
  <r>
    <x v="3"/>
    <x v="5"/>
    <x v="347"/>
    <x v="2"/>
    <x v="3"/>
    <n v="4"/>
    <n v="3325"/>
    <n v="279939"/>
  </r>
  <r>
    <x v="3"/>
    <x v="5"/>
    <x v="347"/>
    <x v="2"/>
    <x v="4"/>
    <n v="5"/>
    <n v="3500"/>
    <n v="241765.5"/>
  </r>
  <r>
    <x v="3"/>
    <x v="5"/>
    <x v="347"/>
    <x v="2"/>
    <x v="5"/>
    <n v="6"/>
    <n v="3675"/>
    <n v="254490"/>
  </r>
  <r>
    <x v="3"/>
    <x v="5"/>
    <x v="347"/>
    <x v="2"/>
    <x v="6"/>
    <n v="7"/>
    <n v="4025"/>
    <n v="267214.5"/>
  </r>
  <r>
    <x v="3"/>
    <x v="5"/>
    <x v="347"/>
    <x v="3"/>
    <x v="0"/>
    <n v="1"/>
    <n v="4500"/>
    <n v="0"/>
  </r>
  <r>
    <x v="3"/>
    <x v="5"/>
    <x v="347"/>
    <x v="3"/>
    <x v="1"/>
    <n v="2"/>
    <n v="4875"/>
    <n v="0"/>
  </r>
  <r>
    <x v="3"/>
    <x v="5"/>
    <x v="347"/>
    <x v="3"/>
    <x v="2"/>
    <n v="3"/>
    <n v="4950"/>
    <n v="0"/>
  </r>
  <r>
    <x v="3"/>
    <x v="5"/>
    <x v="347"/>
    <x v="3"/>
    <x v="3"/>
    <n v="4"/>
    <n v="4275"/>
    <n v="0"/>
  </r>
  <r>
    <x v="3"/>
    <x v="5"/>
    <x v="347"/>
    <x v="3"/>
    <x v="4"/>
    <n v="5"/>
    <n v="4500"/>
    <n v="0"/>
  </r>
  <r>
    <x v="3"/>
    <x v="5"/>
    <x v="347"/>
    <x v="3"/>
    <x v="5"/>
    <n v="6"/>
    <n v="4725"/>
    <n v="0"/>
  </r>
  <r>
    <x v="3"/>
    <x v="5"/>
    <x v="347"/>
    <x v="3"/>
    <x v="6"/>
    <n v="7"/>
    <n v="5175"/>
    <n v="0"/>
  </r>
  <r>
    <x v="3"/>
    <x v="5"/>
    <x v="70"/>
    <x v="2"/>
    <x v="0"/>
    <n v="1"/>
    <n v="3400"/>
    <n v="0"/>
  </r>
  <r>
    <x v="3"/>
    <x v="5"/>
    <x v="70"/>
    <x v="2"/>
    <x v="1"/>
    <n v="2"/>
    <n v="4000"/>
    <n v="0"/>
  </r>
  <r>
    <x v="3"/>
    <x v="5"/>
    <x v="70"/>
    <x v="2"/>
    <x v="2"/>
    <n v="3"/>
    <n v="4400"/>
    <n v="599372.4"/>
  </r>
  <r>
    <x v="3"/>
    <x v="5"/>
    <x v="70"/>
    <x v="2"/>
    <x v="3"/>
    <n v="4"/>
    <n v="3800"/>
    <n v="351095.73"/>
  </r>
  <r>
    <x v="3"/>
    <x v="5"/>
    <x v="70"/>
    <x v="2"/>
    <x v="4"/>
    <n v="5"/>
    <n v="2500"/>
    <n v="302335.65000000002"/>
  </r>
  <r>
    <x v="3"/>
    <x v="5"/>
    <x v="70"/>
    <x v="2"/>
    <x v="5"/>
    <n v="6"/>
    <n v="2625"/>
    <n v="232687.5"/>
  </r>
  <r>
    <x v="3"/>
    <x v="5"/>
    <x v="70"/>
    <x v="2"/>
    <x v="6"/>
    <n v="7"/>
    <n v="2875"/>
    <n v="253023.75"/>
  </r>
  <r>
    <x v="3"/>
    <x v="5"/>
    <x v="70"/>
    <x v="3"/>
    <x v="0"/>
    <n v="1"/>
    <n v="5304"/>
    <n v="0"/>
  </r>
  <r>
    <x v="3"/>
    <x v="5"/>
    <x v="70"/>
    <x v="3"/>
    <x v="1"/>
    <n v="2"/>
    <n v="6000"/>
    <n v="0"/>
  </r>
  <r>
    <x v="3"/>
    <x v="5"/>
    <x v="70"/>
    <x v="3"/>
    <x v="2"/>
    <n v="3"/>
    <n v="6600"/>
    <n v="0"/>
  </r>
  <r>
    <x v="3"/>
    <x v="5"/>
    <x v="70"/>
    <x v="3"/>
    <x v="3"/>
    <n v="4"/>
    <n v="5671"/>
    <n v="0"/>
  </r>
  <r>
    <x v="3"/>
    <x v="5"/>
    <x v="70"/>
    <x v="3"/>
    <x v="4"/>
    <n v="5"/>
    <n v="4750"/>
    <n v="0"/>
  </r>
  <r>
    <x v="3"/>
    <x v="5"/>
    <x v="70"/>
    <x v="3"/>
    <x v="5"/>
    <n v="6"/>
    <n v="5250"/>
    <n v="0"/>
  </r>
  <r>
    <x v="3"/>
    <x v="5"/>
    <x v="70"/>
    <x v="3"/>
    <x v="6"/>
    <n v="7"/>
    <n v="5750"/>
    <n v="0"/>
  </r>
  <r>
    <x v="3"/>
    <x v="5"/>
    <x v="71"/>
    <x v="2"/>
    <x v="0"/>
    <n v="1"/>
    <n v="2550"/>
    <n v="0"/>
  </r>
  <r>
    <x v="3"/>
    <x v="5"/>
    <x v="71"/>
    <x v="2"/>
    <x v="1"/>
    <n v="2"/>
    <n v="3000"/>
    <n v="0"/>
  </r>
  <r>
    <x v="3"/>
    <x v="5"/>
    <x v="71"/>
    <x v="2"/>
    <x v="2"/>
    <n v="3"/>
    <n v="3300"/>
    <n v="481924.5"/>
  </r>
  <r>
    <x v="3"/>
    <x v="5"/>
    <x v="71"/>
    <x v="2"/>
    <x v="3"/>
    <n v="4"/>
    <n v="2850"/>
    <n v="281622"/>
  </r>
  <r>
    <x v="3"/>
    <x v="5"/>
    <x v="71"/>
    <x v="2"/>
    <x v="4"/>
    <n v="5"/>
    <n v="3000"/>
    <n v="243219"/>
  </r>
  <r>
    <x v="3"/>
    <x v="5"/>
    <x v="71"/>
    <x v="2"/>
    <x v="5"/>
    <n v="6"/>
    <n v="2875"/>
    <n v="253865.25"/>
  </r>
  <r>
    <x v="3"/>
    <x v="5"/>
    <x v="71"/>
    <x v="2"/>
    <x v="6"/>
    <n v="7"/>
    <n v="2875"/>
    <n v="251430"/>
  </r>
  <r>
    <x v="3"/>
    <x v="5"/>
    <x v="71"/>
    <x v="3"/>
    <x v="0"/>
    <n v="1"/>
    <n v="4500"/>
    <n v="0"/>
  </r>
  <r>
    <x v="3"/>
    <x v="5"/>
    <x v="71"/>
    <x v="3"/>
    <x v="1"/>
    <n v="2"/>
    <n v="5000"/>
    <n v="0"/>
  </r>
  <r>
    <x v="3"/>
    <x v="5"/>
    <x v="71"/>
    <x v="3"/>
    <x v="2"/>
    <n v="3"/>
    <n v="5500"/>
    <n v="0"/>
  </r>
  <r>
    <x v="3"/>
    <x v="5"/>
    <x v="71"/>
    <x v="3"/>
    <x v="3"/>
    <n v="4"/>
    <n v="4750"/>
    <n v="0"/>
  </r>
  <r>
    <x v="3"/>
    <x v="5"/>
    <x v="71"/>
    <x v="3"/>
    <x v="4"/>
    <n v="5"/>
    <n v="4935"/>
    <n v="0"/>
  </r>
  <r>
    <x v="3"/>
    <x v="5"/>
    <x v="71"/>
    <x v="3"/>
    <x v="5"/>
    <n v="6"/>
    <n v="4975"/>
    <n v="0"/>
  </r>
  <r>
    <x v="3"/>
    <x v="5"/>
    <x v="71"/>
    <x v="3"/>
    <x v="6"/>
    <n v="7"/>
    <n v="5175"/>
    <n v="0"/>
  </r>
  <r>
    <x v="3"/>
    <x v="5"/>
    <x v="72"/>
    <x v="2"/>
    <x v="0"/>
    <n v="1"/>
    <n v="1700"/>
    <n v="0"/>
  </r>
  <r>
    <x v="3"/>
    <x v="5"/>
    <x v="72"/>
    <x v="2"/>
    <x v="1"/>
    <n v="2"/>
    <n v="2000"/>
    <n v="0"/>
  </r>
  <r>
    <x v="3"/>
    <x v="5"/>
    <x v="72"/>
    <x v="2"/>
    <x v="2"/>
    <n v="3"/>
    <n v="2200"/>
    <n v="409683"/>
  </r>
  <r>
    <x v="3"/>
    <x v="5"/>
    <x v="72"/>
    <x v="2"/>
    <x v="3"/>
    <n v="4"/>
    <n v="1900"/>
    <n v="212058"/>
  </r>
  <r>
    <x v="3"/>
    <x v="5"/>
    <x v="72"/>
    <x v="2"/>
    <x v="4"/>
    <n v="5"/>
    <n v="1900"/>
    <n v="183141"/>
  </r>
  <r>
    <x v="3"/>
    <x v="5"/>
    <x v="72"/>
    <x v="2"/>
    <x v="5"/>
    <n v="6"/>
    <n v="2100"/>
    <n v="189771"/>
  </r>
  <r>
    <x v="3"/>
    <x v="5"/>
    <x v="72"/>
    <x v="2"/>
    <x v="6"/>
    <n v="7"/>
    <n v="2287"/>
    <n v="202419"/>
  </r>
  <r>
    <x v="3"/>
    <x v="5"/>
    <x v="72"/>
    <x v="3"/>
    <x v="0"/>
    <n v="1"/>
    <n v="4500"/>
    <n v="0"/>
  </r>
  <r>
    <x v="3"/>
    <x v="5"/>
    <x v="72"/>
    <x v="3"/>
    <x v="1"/>
    <n v="2"/>
    <n v="4500"/>
    <n v="0"/>
  </r>
  <r>
    <x v="3"/>
    <x v="5"/>
    <x v="72"/>
    <x v="3"/>
    <x v="2"/>
    <n v="3"/>
    <n v="4400"/>
    <n v="0"/>
  </r>
  <r>
    <x v="3"/>
    <x v="5"/>
    <x v="72"/>
    <x v="3"/>
    <x v="3"/>
    <n v="4"/>
    <n v="3800"/>
    <n v="0"/>
  </r>
  <r>
    <x v="3"/>
    <x v="5"/>
    <x v="72"/>
    <x v="3"/>
    <x v="4"/>
    <n v="5"/>
    <n v="4000"/>
    <n v="0"/>
  </r>
  <r>
    <x v="3"/>
    <x v="5"/>
    <x v="72"/>
    <x v="3"/>
    <x v="5"/>
    <n v="6"/>
    <n v="4200"/>
    <n v="0"/>
  </r>
  <r>
    <x v="3"/>
    <x v="5"/>
    <x v="72"/>
    <x v="3"/>
    <x v="6"/>
    <n v="7"/>
    <n v="4600"/>
    <n v="0"/>
  </r>
  <r>
    <x v="3"/>
    <x v="6"/>
    <x v="377"/>
    <x v="2"/>
    <x v="0"/>
    <n v="1"/>
    <n v="0"/>
    <n v="0"/>
  </r>
  <r>
    <x v="3"/>
    <x v="6"/>
    <x v="377"/>
    <x v="2"/>
    <x v="1"/>
    <n v="2"/>
    <n v="0"/>
    <n v="0"/>
  </r>
  <r>
    <x v="3"/>
    <x v="6"/>
    <x v="377"/>
    <x v="2"/>
    <x v="2"/>
    <n v="3"/>
    <n v="0"/>
    <n v="0"/>
  </r>
  <r>
    <x v="3"/>
    <x v="6"/>
    <x v="377"/>
    <x v="2"/>
    <x v="3"/>
    <n v="4"/>
    <n v="0"/>
    <n v="0"/>
  </r>
  <r>
    <x v="3"/>
    <x v="6"/>
    <x v="377"/>
    <x v="2"/>
    <x v="4"/>
    <n v="5"/>
    <n v="0"/>
    <n v="0"/>
  </r>
  <r>
    <x v="3"/>
    <x v="6"/>
    <x v="377"/>
    <x v="2"/>
    <x v="5"/>
    <n v="6"/>
    <n v="0"/>
    <n v="0"/>
  </r>
  <r>
    <x v="3"/>
    <x v="6"/>
    <x v="377"/>
    <x v="2"/>
    <x v="6"/>
    <n v="7"/>
    <n v="600"/>
    <n v="0"/>
  </r>
  <r>
    <x v="3"/>
    <x v="6"/>
    <x v="377"/>
    <x v="3"/>
    <x v="0"/>
    <n v="1"/>
    <n v="0"/>
    <n v="0"/>
  </r>
  <r>
    <x v="3"/>
    <x v="6"/>
    <x v="377"/>
    <x v="3"/>
    <x v="1"/>
    <n v="2"/>
    <n v="0"/>
    <n v="0"/>
  </r>
  <r>
    <x v="3"/>
    <x v="6"/>
    <x v="377"/>
    <x v="3"/>
    <x v="2"/>
    <n v="3"/>
    <n v="0"/>
    <n v="0"/>
  </r>
  <r>
    <x v="3"/>
    <x v="6"/>
    <x v="377"/>
    <x v="3"/>
    <x v="3"/>
    <n v="4"/>
    <n v="0"/>
    <n v="0"/>
  </r>
  <r>
    <x v="3"/>
    <x v="6"/>
    <x v="377"/>
    <x v="3"/>
    <x v="4"/>
    <n v="5"/>
    <n v="0"/>
    <n v="0"/>
  </r>
  <r>
    <x v="3"/>
    <x v="6"/>
    <x v="377"/>
    <x v="3"/>
    <x v="5"/>
    <n v="6"/>
    <n v="0"/>
    <n v="0"/>
  </r>
  <r>
    <x v="3"/>
    <x v="6"/>
    <x v="377"/>
    <x v="3"/>
    <x v="6"/>
    <n v="7"/>
    <n v="900"/>
    <n v="0"/>
  </r>
  <r>
    <x v="3"/>
    <x v="6"/>
    <x v="378"/>
    <x v="2"/>
    <x v="0"/>
    <n v="1"/>
    <n v="3420"/>
    <n v="0"/>
  </r>
  <r>
    <x v="3"/>
    <x v="6"/>
    <x v="378"/>
    <x v="2"/>
    <x v="1"/>
    <n v="2"/>
    <n v="3725"/>
    <n v="233291.85"/>
  </r>
  <r>
    <x v="3"/>
    <x v="6"/>
    <x v="378"/>
    <x v="2"/>
    <x v="2"/>
    <n v="3"/>
    <n v="3850"/>
    <n v="145519.94999999998"/>
  </r>
  <r>
    <x v="3"/>
    <x v="6"/>
    <x v="378"/>
    <x v="2"/>
    <x v="3"/>
    <n v="4"/>
    <n v="3500"/>
    <n v="407380.00000000012"/>
  </r>
  <r>
    <x v="3"/>
    <x v="6"/>
    <x v="378"/>
    <x v="2"/>
    <x v="4"/>
    <n v="5"/>
    <n v="3500"/>
    <n v="314822.5"/>
  </r>
  <r>
    <x v="3"/>
    <x v="6"/>
    <x v="378"/>
    <x v="2"/>
    <x v="5"/>
    <n v="6"/>
    <n v="3675"/>
    <n v="314987.5"/>
  </r>
  <r>
    <x v="3"/>
    <x v="6"/>
    <x v="378"/>
    <x v="2"/>
    <x v="6"/>
    <n v="7"/>
    <n v="4025"/>
    <n v="319042.49999999977"/>
  </r>
  <r>
    <x v="3"/>
    <x v="6"/>
    <x v="378"/>
    <x v="3"/>
    <x v="0"/>
    <n v="1"/>
    <n v="6770"/>
    <n v="0"/>
  </r>
  <r>
    <x v="3"/>
    <x v="6"/>
    <x v="378"/>
    <x v="3"/>
    <x v="1"/>
    <n v="2"/>
    <n v="5615"/>
    <n v="0"/>
  </r>
  <r>
    <x v="3"/>
    <x v="6"/>
    <x v="378"/>
    <x v="3"/>
    <x v="2"/>
    <n v="3"/>
    <n v="8800"/>
    <n v="0"/>
  </r>
  <r>
    <x v="3"/>
    <x v="6"/>
    <x v="378"/>
    <x v="3"/>
    <x v="3"/>
    <n v="4"/>
    <n v="8139"/>
    <n v="0"/>
  </r>
  <r>
    <x v="3"/>
    <x v="6"/>
    <x v="378"/>
    <x v="3"/>
    <x v="4"/>
    <n v="5"/>
    <n v="8160"/>
    <n v="0"/>
  </r>
  <r>
    <x v="3"/>
    <x v="6"/>
    <x v="378"/>
    <x v="3"/>
    <x v="5"/>
    <n v="6"/>
    <n v="8127"/>
    <n v="0"/>
  </r>
  <r>
    <x v="3"/>
    <x v="6"/>
    <x v="378"/>
    <x v="3"/>
    <x v="6"/>
    <n v="7"/>
    <n v="9496"/>
    <n v="0"/>
  </r>
  <r>
    <x v="3"/>
    <x v="6"/>
    <x v="379"/>
    <x v="2"/>
    <x v="0"/>
    <n v="1"/>
    <n v="255"/>
    <n v="0"/>
  </r>
  <r>
    <x v="3"/>
    <x v="6"/>
    <x v="379"/>
    <x v="2"/>
    <x v="1"/>
    <n v="2"/>
    <n v="300"/>
    <n v="14188.5"/>
  </r>
  <r>
    <x v="3"/>
    <x v="6"/>
    <x v="379"/>
    <x v="2"/>
    <x v="2"/>
    <n v="3"/>
    <n v="330"/>
    <n v="9418.5"/>
  </r>
  <r>
    <x v="3"/>
    <x v="6"/>
    <x v="379"/>
    <x v="2"/>
    <x v="3"/>
    <n v="4"/>
    <n v="285"/>
    <n v="25380"/>
  </r>
  <r>
    <x v="3"/>
    <x v="6"/>
    <x v="379"/>
    <x v="2"/>
    <x v="4"/>
    <n v="5"/>
    <n v="300"/>
    <n v="17860"/>
  </r>
  <r>
    <x v="3"/>
    <x v="6"/>
    <x v="379"/>
    <x v="2"/>
    <x v="5"/>
    <n v="6"/>
    <n v="300"/>
    <n v="18800"/>
  </r>
  <r>
    <x v="3"/>
    <x v="6"/>
    <x v="379"/>
    <x v="2"/>
    <x v="6"/>
    <n v="7"/>
    <n v="345"/>
    <n v="18800"/>
  </r>
  <r>
    <x v="3"/>
    <x v="6"/>
    <x v="379"/>
    <x v="3"/>
    <x v="0"/>
    <n v="1"/>
    <n v="360"/>
    <n v="0"/>
  </r>
  <r>
    <x v="3"/>
    <x v="6"/>
    <x v="379"/>
    <x v="3"/>
    <x v="1"/>
    <n v="2"/>
    <n v="400"/>
    <n v="0"/>
  </r>
  <r>
    <x v="3"/>
    <x v="6"/>
    <x v="379"/>
    <x v="3"/>
    <x v="2"/>
    <n v="3"/>
    <n v="440"/>
    <n v="0"/>
  </r>
  <r>
    <x v="3"/>
    <x v="6"/>
    <x v="379"/>
    <x v="3"/>
    <x v="3"/>
    <n v="4"/>
    <n v="380"/>
    <n v="0"/>
  </r>
  <r>
    <x v="3"/>
    <x v="6"/>
    <x v="379"/>
    <x v="3"/>
    <x v="4"/>
    <n v="5"/>
    <n v="400"/>
    <n v="0"/>
  </r>
  <r>
    <x v="3"/>
    <x v="6"/>
    <x v="379"/>
    <x v="3"/>
    <x v="5"/>
    <n v="6"/>
    <n v="400"/>
    <n v="0"/>
  </r>
  <r>
    <x v="3"/>
    <x v="6"/>
    <x v="379"/>
    <x v="3"/>
    <x v="6"/>
    <n v="7"/>
    <n v="460"/>
    <n v="0"/>
  </r>
  <r>
    <x v="3"/>
    <x v="6"/>
    <x v="380"/>
    <x v="2"/>
    <x v="0"/>
    <n v="1"/>
    <n v="510"/>
    <n v="0"/>
  </r>
  <r>
    <x v="3"/>
    <x v="6"/>
    <x v="380"/>
    <x v="2"/>
    <x v="1"/>
    <n v="2"/>
    <n v="600"/>
    <n v="24147"/>
  </r>
  <r>
    <x v="3"/>
    <x v="6"/>
    <x v="380"/>
    <x v="2"/>
    <x v="2"/>
    <n v="3"/>
    <n v="660"/>
    <n v="16087.5"/>
  </r>
  <r>
    <x v="3"/>
    <x v="6"/>
    <x v="380"/>
    <x v="2"/>
    <x v="3"/>
    <n v="4"/>
    <n v="570"/>
    <n v="43335"/>
  </r>
  <r>
    <x v="3"/>
    <x v="6"/>
    <x v="380"/>
    <x v="2"/>
    <x v="4"/>
    <n v="5"/>
    <n v="600"/>
    <n v="30495"/>
  </r>
  <r>
    <x v="3"/>
    <x v="6"/>
    <x v="380"/>
    <x v="2"/>
    <x v="5"/>
    <n v="6"/>
    <n v="600"/>
    <n v="32100"/>
  </r>
  <r>
    <x v="3"/>
    <x v="6"/>
    <x v="380"/>
    <x v="2"/>
    <x v="6"/>
    <n v="7"/>
    <n v="690"/>
    <n v="32100"/>
  </r>
  <r>
    <x v="3"/>
    <x v="6"/>
    <x v="380"/>
    <x v="3"/>
    <x v="0"/>
    <n v="1"/>
    <n v="540"/>
    <n v="0"/>
  </r>
  <r>
    <x v="3"/>
    <x v="6"/>
    <x v="380"/>
    <x v="3"/>
    <x v="1"/>
    <n v="2"/>
    <n v="600"/>
    <n v="0"/>
  </r>
  <r>
    <x v="3"/>
    <x v="6"/>
    <x v="380"/>
    <x v="3"/>
    <x v="2"/>
    <n v="3"/>
    <n v="660"/>
    <n v="0"/>
  </r>
  <r>
    <x v="3"/>
    <x v="6"/>
    <x v="380"/>
    <x v="3"/>
    <x v="3"/>
    <n v="4"/>
    <n v="570"/>
    <n v="0"/>
  </r>
  <r>
    <x v="3"/>
    <x v="6"/>
    <x v="380"/>
    <x v="3"/>
    <x v="4"/>
    <n v="5"/>
    <n v="600"/>
    <n v="0"/>
  </r>
  <r>
    <x v="3"/>
    <x v="6"/>
    <x v="380"/>
    <x v="3"/>
    <x v="5"/>
    <n v="6"/>
    <n v="600"/>
    <n v="0"/>
  </r>
  <r>
    <x v="3"/>
    <x v="6"/>
    <x v="380"/>
    <x v="3"/>
    <x v="6"/>
    <n v="7"/>
    <n v="690"/>
    <n v="0"/>
  </r>
  <r>
    <x v="3"/>
    <x v="6"/>
    <x v="381"/>
    <x v="2"/>
    <x v="0"/>
    <n v="1"/>
    <n v="2000"/>
    <n v="0"/>
  </r>
  <r>
    <x v="3"/>
    <x v="6"/>
    <x v="381"/>
    <x v="2"/>
    <x v="1"/>
    <n v="2"/>
    <n v="2500"/>
    <n v="78397.5"/>
  </r>
  <r>
    <x v="3"/>
    <x v="6"/>
    <x v="381"/>
    <x v="2"/>
    <x v="2"/>
    <n v="3"/>
    <n v="2750"/>
    <n v="141592.5"/>
  </r>
  <r>
    <x v="3"/>
    <x v="6"/>
    <x v="381"/>
    <x v="2"/>
    <x v="3"/>
    <n v="4"/>
    <n v="3600"/>
    <n v="236250"/>
  </r>
  <r>
    <x v="3"/>
    <x v="6"/>
    <x v="381"/>
    <x v="2"/>
    <x v="4"/>
    <n v="5"/>
    <n v="2500"/>
    <n v="242100"/>
  </r>
  <r>
    <x v="3"/>
    <x v="6"/>
    <x v="381"/>
    <x v="2"/>
    <x v="5"/>
    <n v="6"/>
    <n v="2625"/>
    <n v="175000"/>
  </r>
  <r>
    <x v="3"/>
    <x v="6"/>
    <x v="381"/>
    <x v="2"/>
    <x v="6"/>
    <n v="7"/>
    <n v="2875"/>
    <n v="183750"/>
  </r>
  <r>
    <x v="3"/>
    <x v="6"/>
    <x v="381"/>
    <x v="3"/>
    <x v="0"/>
    <n v="1"/>
    <n v="3400"/>
    <n v="0"/>
  </r>
  <r>
    <x v="3"/>
    <x v="6"/>
    <x v="381"/>
    <x v="3"/>
    <x v="1"/>
    <n v="2"/>
    <n v="4000"/>
    <n v="0"/>
  </r>
  <r>
    <x v="3"/>
    <x v="6"/>
    <x v="381"/>
    <x v="3"/>
    <x v="2"/>
    <n v="3"/>
    <n v="4400"/>
    <n v="0"/>
  </r>
  <r>
    <x v="3"/>
    <x v="6"/>
    <x v="381"/>
    <x v="3"/>
    <x v="3"/>
    <n v="4"/>
    <n v="5400"/>
    <n v="0"/>
  </r>
  <r>
    <x v="3"/>
    <x v="6"/>
    <x v="381"/>
    <x v="3"/>
    <x v="4"/>
    <n v="5"/>
    <n v="4000"/>
    <n v="0"/>
  </r>
  <r>
    <x v="3"/>
    <x v="6"/>
    <x v="381"/>
    <x v="3"/>
    <x v="5"/>
    <n v="6"/>
    <n v="4200"/>
    <n v="0"/>
  </r>
  <r>
    <x v="3"/>
    <x v="6"/>
    <x v="381"/>
    <x v="3"/>
    <x v="6"/>
    <n v="7"/>
    <n v="4600"/>
    <n v="0"/>
  </r>
  <r>
    <x v="3"/>
    <x v="6"/>
    <x v="78"/>
    <x v="2"/>
    <x v="0"/>
    <n v="1"/>
    <n v="0"/>
    <n v="0"/>
  </r>
  <r>
    <x v="3"/>
    <x v="6"/>
    <x v="78"/>
    <x v="2"/>
    <x v="1"/>
    <n v="2"/>
    <n v="0"/>
    <n v="0"/>
  </r>
  <r>
    <x v="3"/>
    <x v="6"/>
    <x v="78"/>
    <x v="2"/>
    <x v="2"/>
    <n v="3"/>
    <n v="0"/>
    <n v="0"/>
  </r>
  <r>
    <x v="3"/>
    <x v="6"/>
    <x v="78"/>
    <x v="2"/>
    <x v="3"/>
    <n v="4"/>
    <n v="0"/>
    <n v="0"/>
  </r>
  <r>
    <x v="3"/>
    <x v="6"/>
    <x v="78"/>
    <x v="2"/>
    <x v="4"/>
    <n v="5"/>
    <n v="0"/>
    <n v="0"/>
  </r>
  <r>
    <x v="3"/>
    <x v="6"/>
    <x v="78"/>
    <x v="2"/>
    <x v="5"/>
    <n v="6"/>
    <n v="750"/>
    <n v="0"/>
  </r>
  <r>
    <x v="3"/>
    <x v="6"/>
    <x v="78"/>
    <x v="2"/>
    <x v="6"/>
    <n v="7"/>
    <n v="4200"/>
    <n v="0"/>
  </r>
  <r>
    <x v="3"/>
    <x v="6"/>
    <x v="78"/>
    <x v="3"/>
    <x v="0"/>
    <n v="1"/>
    <n v="0"/>
    <n v="0"/>
  </r>
  <r>
    <x v="3"/>
    <x v="6"/>
    <x v="78"/>
    <x v="3"/>
    <x v="1"/>
    <n v="2"/>
    <n v="0"/>
    <n v="0"/>
  </r>
  <r>
    <x v="3"/>
    <x v="6"/>
    <x v="78"/>
    <x v="3"/>
    <x v="2"/>
    <n v="3"/>
    <n v="0"/>
    <n v="0"/>
  </r>
  <r>
    <x v="3"/>
    <x v="6"/>
    <x v="78"/>
    <x v="3"/>
    <x v="3"/>
    <n v="4"/>
    <n v="0"/>
    <n v="0"/>
  </r>
  <r>
    <x v="3"/>
    <x v="6"/>
    <x v="78"/>
    <x v="3"/>
    <x v="4"/>
    <n v="5"/>
    <n v="0"/>
    <n v="0"/>
  </r>
  <r>
    <x v="3"/>
    <x v="6"/>
    <x v="78"/>
    <x v="3"/>
    <x v="5"/>
    <n v="6"/>
    <n v="1000"/>
    <n v="0"/>
  </r>
  <r>
    <x v="3"/>
    <x v="6"/>
    <x v="78"/>
    <x v="3"/>
    <x v="6"/>
    <n v="7"/>
    <n v="5600"/>
    <n v="0"/>
  </r>
  <r>
    <x v="3"/>
    <x v="6"/>
    <x v="382"/>
    <x v="2"/>
    <x v="0"/>
    <n v="1"/>
    <n v="3292"/>
    <n v="0"/>
  </r>
  <r>
    <x v="3"/>
    <x v="6"/>
    <x v="382"/>
    <x v="2"/>
    <x v="1"/>
    <n v="2"/>
    <n v="3917"/>
    <n v="169204.5"/>
  </r>
  <r>
    <x v="3"/>
    <x v="6"/>
    <x v="382"/>
    <x v="2"/>
    <x v="2"/>
    <n v="3"/>
    <n v="5500"/>
    <n v="136597.5"/>
  </r>
  <r>
    <x v="3"/>
    <x v="6"/>
    <x v="382"/>
    <x v="2"/>
    <x v="3"/>
    <n v="4"/>
    <n v="4750"/>
    <n v="435375"/>
  </r>
  <r>
    <x v="3"/>
    <x v="6"/>
    <x v="382"/>
    <x v="2"/>
    <x v="4"/>
    <n v="5"/>
    <n v="5000"/>
    <n v="306375"/>
  </r>
  <r>
    <x v="3"/>
    <x v="6"/>
    <x v="382"/>
    <x v="2"/>
    <x v="5"/>
    <n v="6"/>
    <n v="5250"/>
    <n v="322500"/>
  </r>
  <r>
    <x v="3"/>
    <x v="6"/>
    <x v="382"/>
    <x v="2"/>
    <x v="6"/>
    <n v="7"/>
    <n v="5750"/>
    <n v="342750"/>
  </r>
  <r>
    <x v="3"/>
    <x v="6"/>
    <x v="382"/>
    <x v="3"/>
    <x v="0"/>
    <n v="1"/>
    <n v="4587"/>
    <n v="0"/>
  </r>
  <r>
    <x v="3"/>
    <x v="6"/>
    <x v="382"/>
    <x v="3"/>
    <x v="1"/>
    <n v="2"/>
    <n v="5302"/>
    <n v="0"/>
  </r>
  <r>
    <x v="3"/>
    <x v="6"/>
    <x v="382"/>
    <x v="3"/>
    <x v="2"/>
    <n v="3"/>
    <n v="7700"/>
    <n v="0"/>
  </r>
  <r>
    <x v="3"/>
    <x v="6"/>
    <x v="382"/>
    <x v="3"/>
    <x v="3"/>
    <n v="4"/>
    <n v="6650"/>
    <n v="0"/>
  </r>
  <r>
    <x v="3"/>
    <x v="6"/>
    <x v="382"/>
    <x v="3"/>
    <x v="4"/>
    <n v="5"/>
    <n v="7000"/>
    <n v="0"/>
  </r>
  <r>
    <x v="3"/>
    <x v="6"/>
    <x v="382"/>
    <x v="3"/>
    <x v="5"/>
    <n v="6"/>
    <n v="7500"/>
    <n v="0"/>
  </r>
  <r>
    <x v="3"/>
    <x v="6"/>
    <x v="382"/>
    <x v="3"/>
    <x v="6"/>
    <n v="7"/>
    <n v="8625"/>
    <n v="0"/>
  </r>
  <r>
    <x v="3"/>
    <x v="6"/>
    <x v="383"/>
    <x v="2"/>
    <x v="0"/>
    <n v="1"/>
    <n v="1620"/>
    <n v="0"/>
  </r>
  <r>
    <x v="3"/>
    <x v="6"/>
    <x v="383"/>
    <x v="2"/>
    <x v="1"/>
    <n v="2"/>
    <n v="1800"/>
    <n v="80595"/>
  </r>
  <r>
    <x v="3"/>
    <x v="6"/>
    <x v="383"/>
    <x v="2"/>
    <x v="2"/>
    <n v="3"/>
    <n v="1980"/>
    <n v="51012"/>
  </r>
  <r>
    <x v="3"/>
    <x v="6"/>
    <x v="383"/>
    <x v="2"/>
    <x v="3"/>
    <n v="4"/>
    <n v="1710"/>
    <n v="137430"/>
  </r>
  <r>
    <x v="3"/>
    <x v="6"/>
    <x v="383"/>
    <x v="2"/>
    <x v="4"/>
    <n v="5"/>
    <n v="1800"/>
    <n v="93960"/>
  </r>
  <r>
    <x v="3"/>
    <x v="6"/>
    <x v="383"/>
    <x v="2"/>
    <x v="5"/>
    <n v="6"/>
    <n v="1890"/>
    <n v="101800"/>
  </r>
  <r>
    <x v="3"/>
    <x v="6"/>
    <x v="383"/>
    <x v="2"/>
    <x v="6"/>
    <n v="7"/>
    <n v="2070"/>
    <n v="106890"/>
  </r>
  <r>
    <x v="3"/>
    <x v="6"/>
    <x v="383"/>
    <x v="3"/>
    <x v="0"/>
    <n v="1"/>
    <n v="1900"/>
    <n v="0"/>
  </r>
  <r>
    <x v="3"/>
    <x v="6"/>
    <x v="383"/>
    <x v="3"/>
    <x v="1"/>
    <n v="2"/>
    <n v="2000"/>
    <n v="0"/>
  </r>
  <r>
    <x v="3"/>
    <x v="6"/>
    <x v="383"/>
    <x v="3"/>
    <x v="2"/>
    <n v="3"/>
    <n v="2200"/>
    <n v="0"/>
  </r>
  <r>
    <x v="3"/>
    <x v="6"/>
    <x v="383"/>
    <x v="3"/>
    <x v="3"/>
    <n v="4"/>
    <n v="1800"/>
    <n v="0"/>
  </r>
  <r>
    <x v="3"/>
    <x v="6"/>
    <x v="383"/>
    <x v="3"/>
    <x v="4"/>
    <n v="5"/>
    <n v="2000"/>
    <n v="0"/>
  </r>
  <r>
    <x v="3"/>
    <x v="6"/>
    <x v="383"/>
    <x v="3"/>
    <x v="5"/>
    <n v="6"/>
    <n v="2100"/>
    <n v="0"/>
  </r>
  <r>
    <x v="3"/>
    <x v="6"/>
    <x v="383"/>
    <x v="3"/>
    <x v="6"/>
    <n v="7"/>
    <n v="2300"/>
    <n v="0"/>
  </r>
  <r>
    <x v="3"/>
    <x v="6"/>
    <x v="79"/>
    <x v="2"/>
    <x v="0"/>
    <n v="1"/>
    <n v="1800"/>
    <n v="0"/>
  </r>
  <r>
    <x v="3"/>
    <x v="6"/>
    <x v="79"/>
    <x v="2"/>
    <x v="1"/>
    <n v="2"/>
    <n v="2000"/>
    <n v="86092.5"/>
  </r>
  <r>
    <x v="3"/>
    <x v="6"/>
    <x v="79"/>
    <x v="2"/>
    <x v="2"/>
    <n v="3"/>
    <n v="2200"/>
    <n v="82920"/>
  </r>
  <r>
    <x v="3"/>
    <x v="6"/>
    <x v="79"/>
    <x v="2"/>
    <x v="3"/>
    <n v="4"/>
    <n v="1900"/>
    <n v="186757.5"/>
  </r>
  <r>
    <x v="3"/>
    <x v="6"/>
    <x v="79"/>
    <x v="2"/>
    <x v="4"/>
    <n v="5"/>
    <n v="1900"/>
    <n v="127775"/>
  </r>
  <r>
    <x v="3"/>
    <x v="6"/>
    <x v="79"/>
    <x v="2"/>
    <x v="5"/>
    <n v="6"/>
    <n v="2100"/>
    <n v="127775"/>
  </r>
  <r>
    <x v="3"/>
    <x v="6"/>
    <x v="79"/>
    <x v="2"/>
    <x v="6"/>
    <n v="7"/>
    <n v="2300"/>
    <n v="141225"/>
  </r>
  <r>
    <x v="3"/>
    <x v="6"/>
    <x v="79"/>
    <x v="3"/>
    <x v="0"/>
    <n v="1"/>
    <n v="2850"/>
    <n v="0"/>
  </r>
  <r>
    <x v="3"/>
    <x v="6"/>
    <x v="79"/>
    <x v="3"/>
    <x v="1"/>
    <n v="2"/>
    <n v="3000"/>
    <n v="0"/>
  </r>
  <r>
    <x v="3"/>
    <x v="6"/>
    <x v="79"/>
    <x v="3"/>
    <x v="2"/>
    <n v="3"/>
    <n v="3300"/>
    <n v="0"/>
  </r>
  <r>
    <x v="3"/>
    <x v="6"/>
    <x v="79"/>
    <x v="3"/>
    <x v="3"/>
    <n v="4"/>
    <n v="2850"/>
    <n v="0"/>
  </r>
  <r>
    <x v="3"/>
    <x v="6"/>
    <x v="79"/>
    <x v="3"/>
    <x v="4"/>
    <n v="5"/>
    <n v="2850"/>
    <n v="0"/>
  </r>
  <r>
    <x v="3"/>
    <x v="6"/>
    <x v="79"/>
    <x v="3"/>
    <x v="5"/>
    <n v="6"/>
    <n v="3150"/>
    <n v="0"/>
  </r>
  <r>
    <x v="3"/>
    <x v="6"/>
    <x v="79"/>
    <x v="3"/>
    <x v="6"/>
    <n v="7"/>
    <n v="3450"/>
    <n v="0"/>
  </r>
  <r>
    <x v="3"/>
    <x v="6"/>
    <x v="82"/>
    <x v="2"/>
    <x v="0"/>
    <n v="1"/>
    <n v="3060"/>
    <n v="0"/>
  </r>
  <r>
    <x v="3"/>
    <x v="6"/>
    <x v="82"/>
    <x v="2"/>
    <x v="1"/>
    <n v="2"/>
    <n v="3425"/>
    <n v="170005.5"/>
  </r>
  <r>
    <x v="3"/>
    <x v="6"/>
    <x v="82"/>
    <x v="2"/>
    <x v="2"/>
    <n v="3"/>
    <n v="3850"/>
    <n v="136912.5"/>
  </r>
  <r>
    <x v="3"/>
    <x v="6"/>
    <x v="82"/>
    <x v="2"/>
    <x v="3"/>
    <n v="4"/>
    <n v="3325"/>
    <n v="419850"/>
  </r>
  <r>
    <x v="3"/>
    <x v="6"/>
    <x v="82"/>
    <x v="2"/>
    <x v="4"/>
    <n v="5"/>
    <n v="3500"/>
    <n v="295450"/>
  </r>
  <r>
    <x v="3"/>
    <x v="6"/>
    <x v="82"/>
    <x v="2"/>
    <x v="5"/>
    <n v="6"/>
    <n v="3675"/>
    <n v="311000"/>
  </r>
  <r>
    <x v="3"/>
    <x v="6"/>
    <x v="82"/>
    <x v="2"/>
    <x v="6"/>
    <n v="7"/>
    <n v="4025"/>
    <n v="326550"/>
  </r>
  <r>
    <x v="3"/>
    <x v="6"/>
    <x v="82"/>
    <x v="3"/>
    <x v="0"/>
    <n v="1"/>
    <n v="5130"/>
    <n v="0"/>
  </r>
  <r>
    <x v="3"/>
    <x v="6"/>
    <x v="82"/>
    <x v="3"/>
    <x v="1"/>
    <n v="2"/>
    <n v="6050"/>
    <n v="0"/>
  </r>
  <r>
    <x v="3"/>
    <x v="6"/>
    <x v="82"/>
    <x v="3"/>
    <x v="2"/>
    <n v="3"/>
    <n v="8800"/>
    <n v="0"/>
  </r>
  <r>
    <x v="3"/>
    <x v="6"/>
    <x v="82"/>
    <x v="3"/>
    <x v="3"/>
    <n v="4"/>
    <n v="7600"/>
    <n v="0"/>
  </r>
  <r>
    <x v="3"/>
    <x v="6"/>
    <x v="82"/>
    <x v="3"/>
    <x v="4"/>
    <n v="5"/>
    <n v="8000"/>
    <n v="0"/>
  </r>
  <r>
    <x v="3"/>
    <x v="6"/>
    <x v="82"/>
    <x v="3"/>
    <x v="5"/>
    <n v="6"/>
    <n v="8400"/>
    <n v="0"/>
  </r>
  <r>
    <x v="3"/>
    <x v="6"/>
    <x v="82"/>
    <x v="3"/>
    <x v="6"/>
    <n v="7"/>
    <n v="9200"/>
    <n v="0"/>
  </r>
  <r>
    <x v="3"/>
    <x v="6"/>
    <x v="384"/>
    <x v="2"/>
    <x v="0"/>
    <n v="1"/>
    <n v="3060"/>
    <n v="0"/>
  </r>
  <r>
    <x v="3"/>
    <x v="6"/>
    <x v="384"/>
    <x v="2"/>
    <x v="1"/>
    <n v="2"/>
    <n v="4000"/>
    <n v="170005.5"/>
  </r>
  <r>
    <x v="3"/>
    <x v="6"/>
    <x v="384"/>
    <x v="2"/>
    <x v="2"/>
    <n v="3"/>
    <n v="4400"/>
    <n v="136912.5"/>
  </r>
  <r>
    <x v="3"/>
    <x v="6"/>
    <x v="384"/>
    <x v="2"/>
    <x v="3"/>
    <n v="4"/>
    <n v="3800"/>
    <n v="363150"/>
  </r>
  <r>
    <x v="3"/>
    <x v="6"/>
    <x v="384"/>
    <x v="2"/>
    <x v="4"/>
    <n v="5"/>
    <n v="4000"/>
    <n v="255550"/>
  </r>
  <r>
    <x v="3"/>
    <x v="6"/>
    <x v="384"/>
    <x v="2"/>
    <x v="5"/>
    <n v="6"/>
    <n v="4200"/>
    <n v="269000"/>
  </r>
  <r>
    <x v="3"/>
    <x v="6"/>
    <x v="384"/>
    <x v="2"/>
    <x v="6"/>
    <n v="7"/>
    <n v="4600"/>
    <n v="282450"/>
  </r>
  <r>
    <x v="3"/>
    <x v="6"/>
    <x v="384"/>
    <x v="3"/>
    <x v="0"/>
    <n v="1"/>
    <n v="5130"/>
    <n v="0"/>
  </r>
  <r>
    <x v="3"/>
    <x v="6"/>
    <x v="384"/>
    <x v="3"/>
    <x v="1"/>
    <n v="2"/>
    <n v="5550"/>
    <n v="0"/>
  </r>
  <r>
    <x v="3"/>
    <x v="6"/>
    <x v="384"/>
    <x v="3"/>
    <x v="2"/>
    <n v="3"/>
    <n v="6600"/>
    <n v="0"/>
  </r>
  <r>
    <x v="3"/>
    <x v="6"/>
    <x v="384"/>
    <x v="3"/>
    <x v="3"/>
    <n v="4"/>
    <n v="5700"/>
    <n v="0"/>
  </r>
  <r>
    <x v="3"/>
    <x v="6"/>
    <x v="384"/>
    <x v="3"/>
    <x v="4"/>
    <n v="5"/>
    <n v="6000"/>
    <n v="0"/>
  </r>
  <r>
    <x v="3"/>
    <x v="6"/>
    <x v="384"/>
    <x v="3"/>
    <x v="5"/>
    <n v="6"/>
    <n v="6300"/>
    <n v="0"/>
  </r>
  <r>
    <x v="3"/>
    <x v="6"/>
    <x v="384"/>
    <x v="3"/>
    <x v="6"/>
    <n v="7"/>
    <n v="6900"/>
    <n v="0"/>
  </r>
  <r>
    <x v="3"/>
    <x v="6"/>
    <x v="89"/>
    <x v="2"/>
    <x v="0"/>
    <n v="1"/>
    <n v="0"/>
    <n v="0"/>
  </r>
  <r>
    <x v="3"/>
    <x v="6"/>
    <x v="89"/>
    <x v="2"/>
    <x v="1"/>
    <n v="2"/>
    <n v="0"/>
    <n v="0"/>
  </r>
  <r>
    <x v="3"/>
    <x v="6"/>
    <x v="89"/>
    <x v="2"/>
    <x v="2"/>
    <n v="3"/>
    <n v="0"/>
    <n v="0"/>
  </r>
  <r>
    <x v="3"/>
    <x v="6"/>
    <x v="89"/>
    <x v="2"/>
    <x v="3"/>
    <n v="4"/>
    <n v="0"/>
    <n v="0"/>
  </r>
  <r>
    <x v="3"/>
    <x v="6"/>
    <x v="89"/>
    <x v="2"/>
    <x v="4"/>
    <n v="5"/>
    <n v="0"/>
    <n v="0"/>
  </r>
  <r>
    <x v="3"/>
    <x v="6"/>
    <x v="89"/>
    <x v="2"/>
    <x v="5"/>
    <n v="6"/>
    <n v="750"/>
    <n v="0"/>
  </r>
  <r>
    <x v="3"/>
    <x v="6"/>
    <x v="89"/>
    <x v="2"/>
    <x v="6"/>
    <n v="7"/>
    <n v="4200"/>
    <n v="0"/>
  </r>
  <r>
    <x v="3"/>
    <x v="6"/>
    <x v="89"/>
    <x v="3"/>
    <x v="0"/>
    <n v="1"/>
    <n v="0"/>
    <n v="0"/>
  </r>
  <r>
    <x v="3"/>
    <x v="6"/>
    <x v="89"/>
    <x v="3"/>
    <x v="1"/>
    <n v="2"/>
    <n v="0"/>
    <n v="0"/>
  </r>
  <r>
    <x v="3"/>
    <x v="6"/>
    <x v="89"/>
    <x v="3"/>
    <x v="2"/>
    <n v="3"/>
    <n v="0"/>
    <n v="0"/>
  </r>
  <r>
    <x v="3"/>
    <x v="6"/>
    <x v="89"/>
    <x v="3"/>
    <x v="3"/>
    <n v="4"/>
    <n v="0"/>
    <n v="0"/>
  </r>
  <r>
    <x v="3"/>
    <x v="6"/>
    <x v="89"/>
    <x v="3"/>
    <x v="4"/>
    <n v="5"/>
    <n v="0"/>
    <n v="0"/>
  </r>
  <r>
    <x v="3"/>
    <x v="6"/>
    <x v="89"/>
    <x v="3"/>
    <x v="5"/>
    <n v="6"/>
    <n v="1000"/>
    <n v="0"/>
  </r>
  <r>
    <x v="3"/>
    <x v="6"/>
    <x v="89"/>
    <x v="3"/>
    <x v="6"/>
    <n v="7"/>
    <n v="5593"/>
    <n v="0"/>
  </r>
  <r>
    <x v="3"/>
    <x v="7"/>
    <x v="90"/>
    <x v="2"/>
    <x v="0"/>
    <n v="1"/>
    <n v="1800"/>
    <n v="0"/>
  </r>
  <r>
    <x v="3"/>
    <x v="7"/>
    <x v="90"/>
    <x v="2"/>
    <x v="1"/>
    <n v="2"/>
    <n v="2000"/>
    <n v="0"/>
  </r>
  <r>
    <x v="3"/>
    <x v="7"/>
    <x v="90"/>
    <x v="2"/>
    <x v="2"/>
    <n v="3"/>
    <n v="2200"/>
    <n v="344536.5"/>
  </r>
  <r>
    <x v="3"/>
    <x v="7"/>
    <x v="90"/>
    <x v="2"/>
    <x v="3"/>
    <n v="4"/>
    <n v="1900"/>
    <n v="196251"/>
  </r>
  <r>
    <x v="3"/>
    <x v="7"/>
    <x v="90"/>
    <x v="2"/>
    <x v="4"/>
    <n v="5"/>
    <n v="1989"/>
    <n v="169489.5"/>
  </r>
  <r>
    <x v="3"/>
    <x v="7"/>
    <x v="90"/>
    <x v="2"/>
    <x v="5"/>
    <n v="6"/>
    <n v="2000"/>
    <n v="178040.06999999995"/>
  </r>
  <r>
    <x v="3"/>
    <x v="7"/>
    <x v="90"/>
    <x v="2"/>
    <x v="6"/>
    <n v="7"/>
    <n v="1725"/>
    <n v="178410.00000000012"/>
  </r>
  <r>
    <x v="3"/>
    <x v="7"/>
    <x v="90"/>
    <x v="3"/>
    <x v="0"/>
    <n v="1"/>
    <n v="2850"/>
    <n v="0"/>
  </r>
  <r>
    <x v="3"/>
    <x v="7"/>
    <x v="90"/>
    <x v="3"/>
    <x v="1"/>
    <n v="2"/>
    <n v="3000"/>
    <n v="0"/>
  </r>
  <r>
    <x v="3"/>
    <x v="7"/>
    <x v="90"/>
    <x v="3"/>
    <x v="2"/>
    <n v="3"/>
    <n v="3300"/>
    <n v="0"/>
  </r>
  <r>
    <x v="3"/>
    <x v="7"/>
    <x v="90"/>
    <x v="3"/>
    <x v="3"/>
    <n v="4"/>
    <n v="2850"/>
    <n v="0"/>
  </r>
  <r>
    <x v="3"/>
    <x v="7"/>
    <x v="90"/>
    <x v="3"/>
    <x v="4"/>
    <n v="5"/>
    <n v="3000"/>
    <n v="0"/>
  </r>
  <r>
    <x v="3"/>
    <x v="7"/>
    <x v="90"/>
    <x v="3"/>
    <x v="5"/>
    <n v="6"/>
    <n v="3000"/>
    <n v="0"/>
  </r>
  <r>
    <x v="3"/>
    <x v="7"/>
    <x v="90"/>
    <x v="3"/>
    <x v="6"/>
    <n v="7"/>
    <n v="3450"/>
    <n v="0"/>
  </r>
  <r>
    <x v="3"/>
    <x v="7"/>
    <x v="96"/>
    <x v="2"/>
    <x v="0"/>
    <n v="1"/>
    <n v="1800"/>
    <n v="0"/>
  </r>
  <r>
    <x v="3"/>
    <x v="7"/>
    <x v="96"/>
    <x v="2"/>
    <x v="1"/>
    <n v="2"/>
    <n v="2000"/>
    <n v="0"/>
  </r>
  <r>
    <x v="3"/>
    <x v="7"/>
    <x v="96"/>
    <x v="2"/>
    <x v="2"/>
    <n v="3"/>
    <n v="2200"/>
    <n v="331426.5"/>
  </r>
  <r>
    <x v="3"/>
    <x v="7"/>
    <x v="96"/>
    <x v="2"/>
    <x v="3"/>
    <n v="4"/>
    <n v="1900"/>
    <n v="191052"/>
  </r>
  <r>
    <x v="3"/>
    <x v="7"/>
    <x v="96"/>
    <x v="2"/>
    <x v="4"/>
    <n v="5"/>
    <n v="2000"/>
    <n v="0"/>
  </r>
  <r>
    <x v="3"/>
    <x v="7"/>
    <x v="96"/>
    <x v="2"/>
    <x v="5"/>
    <n v="6"/>
    <n v="2100"/>
    <n v="275445"/>
  </r>
  <r>
    <x v="3"/>
    <x v="7"/>
    <x v="96"/>
    <x v="2"/>
    <x v="6"/>
    <n v="7"/>
    <n v="2263"/>
    <n v="149625"/>
  </r>
  <r>
    <x v="3"/>
    <x v="7"/>
    <x v="96"/>
    <x v="3"/>
    <x v="0"/>
    <n v="1"/>
    <n v="3325"/>
    <n v="0"/>
  </r>
  <r>
    <x v="3"/>
    <x v="7"/>
    <x v="96"/>
    <x v="3"/>
    <x v="1"/>
    <n v="2"/>
    <n v="3500"/>
    <n v="0"/>
  </r>
  <r>
    <x v="3"/>
    <x v="7"/>
    <x v="96"/>
    <x v="3"/>
    <x v="2"/>
    <n v="3"/>
    <n v="3850"/>
    <n v="0"/>
  </r>
  <r>
    <x v="3"/>
    <x v="7"/>
    <x v="96"/>
    <x v="3"/>
    <x v="3"/>
    <n v="4"/>
    <n v="3325"/>
    <n v="0"/>
  </r>
  <r>
    <x v="3"/>
    <x v="7"/>
    <x v="96"/>
    <x v="3"/>
    <x v="4"/>
    <n v="5"/>
    <n v="3410"/>
    <n v="0"/>
  </r>
  <r>
    <x v="3"/>
    <x v="7"/>
    <x v="96"/>
    <x v="3"/>
    <x v="5"/>
    <n v="6"/>
    <n v="3675"/>
    <n v="0"/>
  </r>
  <r>
    <x v="3"/>
    <x v="7"/>
    <x v="96"/>
    <x v="3"/>
    <x v="6"/>
    <n v="7"/>
    <n v="4025"/>
    <n v="0"/>
  </r>
  <r>
    <x v="3"/>
    <x v="7"/>
    <x v="99"/>
    <x v="2"/>
    <x v="0"/>
    <n v="1"/>
    <n v="1800"/>
    <n v="0"/>
  </r>
  <r>
    <x v="3"/>
    <x v="7"/>
    <x v="99"/>
    <x v="2"/>
    <x v="1"/>
    <n v="2"/>
    <n v="1700"/>
    <n v="0"/>
  </r>
  <r>
    <x v="3"/>
    <x v="7"/>
    <x v="99"/>
    <x v="2"/>
    <x v="2"/>
    <n v="3"/>
    <n v="2200"/>
    <n v="344536.5"/>
  </r>
  <r>
    <x v="3"/>
    <x v="7"/>
    <x v="99"/>
    <x v="2"/>
    <x v="3"/>
    <n v="4"/>
    <n v="1900"/>
    <n v="196251"/>
  </r>
  <r>
    <x v="3"/>
    <x v="7"/>
    <x v="99"/>
    <x v="2"/>
    <x v="4"/>
    <n v="5"/>
    <n v="0"/>
    <n v="169489.5"/>
  </r>
  <r>
    <x v="3"/>
    <x v="7"/>
    <x v="99"/>
    <x v="2"/>
    <x v="5"/>
    <n v="6"/>
    <n v="0"/>
    <n v="0"/>
  </r>
  <r>
    <x v="3"/>
    <x v="7"/>
    <x v="99"/>
    <x v="2"/>
    <x v="6"/>
    <n v="7"/>
    <n v="0"/>
    <n v="0"/>
  </r>
  <r>
    <x v="3"/>
    <x v="7"/>
    <x v="99"/>
    <x v="3"/>
    <x v="0"/>
    <n v="1"/>
    <n v="2850"/>
    <n v="0"/>
  </r>
  <r>
    <x v="3"/>
    <x v="7"/>
    <x v="99"/>
    <x v="3"/>
    <x v="1"/>
    <n v="2"/>
    <n v="2550"/>
    <n v="0"/>
  </r>
  <r>
    <x v="3"/>
    <x v="7"/>
    <x v="99"/>
    <x v="3"/>
    <x v="2"/>
    <n v="3"/>
    <n v="3300"/>
    <n v="0"/>
  </r>
  <r>
    <x v="3"/>
    <x v="7"/>
    <x v="99"/>
    <x v="3"/>
    <x v="3"/>
    <n v="4"/>
    <n v="2850"/>
    <n v="0"/>
  </r>
  <r>
    <x v="3"/>
    <x v="7"/>
    <x v="99"/>
    <x v="3"/>
    <x v="4"/>
    <n v="5"/>
    <n v="0"/>
    <n v="0"/>
  </r>
  <r>
    <x v="3"/>
    <x v="7"/>
    <x v="99"/>
    <x v="3"/>
    <x v="5"/>
    <n v="6"/>
    <n v="0"/>
    <n v="0"/>
  </r>
  <r>
    <x v="3"/>
    <x v="7"/>
    <x v="99"/>
    <x v="3"/>
    <x v="6"/>
    <n v="7"/>
    <n v="0"/>
    <n v="0"/>
  </r>
  <r>
    <x v="3"/>
    <x v="7"/>
    <x v="385"/>
    <x v="2"/>
    <x v="0"/>
    <n v="1"/>
    <n v="0"/>
    <n v="0"/>
  </r>
  <r>
    <x v="3"/>
    <x v="7"/>
    <x v="385"/>
    <x v="2"/>
    <x v="1"/>
    <n v="2"/>
    <n v="0"/>
    <n v="0"/>
  </r>
  <r>
    <x v="3"/>
    <x v="7"/>
    <x v="385"/>
    <x v="2"/>
    <x v="2"/>
    <n v="3"/>
    <n v="0"/>
    <n v="0"/>
  </r>
  <r>
    <x v="3"/>
    <x v="7"/>
    <x v="385"/>
    <x v="2"/>
    <x v="3"/>
    <n v="4"/>
    <n v="0"/>
    <n v="0"/>
  </r>
  <r>
    <x v="3"/>
    <x v="7"/>
    <x v="385"/>
    <x v="2"/>
    <x v="4"/>
    <n v="5"/>
    <n v="0"/>
    <n v="0"/>
  </r>
  <r>
    <x v="3"/>
    <x v="7"/>
    <x v="385"/>
    <x v="2"/>
    <x v="5"/>
    <n v="6"/>
    <n v="0"/>
    <n v="0"/>
  </r>
  <r>
    <x v="3"/>
    <x v="7"/>
    <x v="385"/>
    <x v="2"/>
    <x v="6"/>
    <n v="7"/>
    <n v="1172"/>
    <n v="0"/>
  </r>
  <r>
    <x v="3"/>
    <x v="7"/>
    <x v="385"/>
    <x v="3"/>
    <x v="0"/>
    <n v="1"/>
    <n v="0"/>
    <n v="0"/>
  </r>
  <r>
    <x v="3"/>
    <x v="7"/>
    <x v="385"/>
    <x v="3"/>
    <x v="1"/>
    <n v="2"/>
    <n v="0"/>
    <n v="0"/>
  </r>
  <r>
    <x v="3"/>
    <x v="7"/>
    <x v="385"/>
    <x v="3"/>
    <x v="2"/>
    <n v="3"/>
    <n v="0"/>
    <n v="0"/>
  </r>
  <r>
    <x v="3"/>
    <x v="7"/>
    <x v="385"/>
    <x v="3"/>
    <x v="3"/>
    <n v="4"/>
    <n v="0"/>
    <n v="0"/>
  </r>
  <r>
    <x v="3"/>
    <x v="7"/>
    <x v="385"/>
    <x v="3"/>
    <x v="4"/>
    <n v="5"/>
    <n v="0"/>
    <n v="0"/>
  </r>
  <r>
    <x v="3"/>
    <x v="7"/>
    <x v="385"/>
    <x v="3"/>
    <x v="5"/>
    <n v="6"/>
    <n v="0"/>
    <n v="0"/>
  </r>
  <r>
    <x v="3"/>
    <x v="7"/>
    <x v="385"/>
    <x v="3"/>
    <x v="6"/>
    <n v="7"/>
    <n v="1498"/>
    <n v="0"/>
  </r>
  <r>
    <x v="3"/>
    <x v="7"/>
    <x v="102"/>
    <x v="2"/>
    <x v="0"/>
    <n v="1"/>
    <n v="0"/>
    <n v="0"/>
  </r>
  <r>
    <x v="3"/>
    <x v="7"/>
    <x v="102"/>
    <x v="2"/>
    <x v="1"/>
    <n v="2"/>
    <n v="0"/>
    <n v="0"/>
  </r>
  <r>
    <x v="3"/>
    <x v="7"/>
    <x v="102"/>
    <x v="2"/>
    <x v="2"/>
    <n v="3"/>
    <n v="0"/>
    <n v="0"/>
  </r>
  <r>
    <x v="3"/>
    <x v="7"/>
    <x v="102"/>
    <x v="2"/>
    <x v="3"/>
    <n v="4"/>
    <n v="0"/>
    <n v="0"/>
  </r>
  <r>
    <x v="3"/>
    <x v="7"/>
    <x v="102"/>
    <x v="2"/>
    <x v="4"/>
    <n v="5"/>
    <n v="0"/>
    <n v="0"/>
  </r>
  <r>
    <x v="3"/>
    <x v="7"/>
    <x v="102"/>
    <x v="2"/>
    <x v="5"/>
    <n v="6"/>
    <n v="0"/>
    <n v="0"/>
  </r>
  <r>
    <x v="3"/>
    <x v="7"/>
    <x v="102"/>
    <x v="2"/>
    <x v="6"/>
    <n v="7"/>
    <n v="1492"/>
    <n v="0"/>
  </r>
  <r>
    <x v="3"/>
    <x v="7"/>
    <x v="102"/>
    <x v="3"/>
    <x v="0"/>
    <n v="1"/>
    <n v="0"/>
    <n v="0"/>
  </r>
  <r>
    <x v="3"/>
    <x v="7"/>
    <x v="102"/>
    <x v="3"/>
    <x v="1"/>
    <n v="2"/>
    <n v="0"/>
    <n v="0"/>
  </r>
  <r>
    <x v="3"/>
    <x v="7"/>
    <x v="102"/>
    <x v="3"/>
    <x v="2"/>
    <n v="3"/>
    <n v="0"/>
    <n v="0"/>
  </r>
  <r>
    <x v="3"/>
    <x v="7"/>
    <x v="102"/>
    <x v="3"/>
    <x v="3"/>
    <n v="4"/>
    <n v="0"/>
    <n v="0"/>
  </r>
  <r>
    <x v="3"/>
    <x v="7"/>
    <x v="102"/>
    <x v="3"/>
    <x v="4"/>
    <n v="5"/>
    <n v="0"/>
    <n v="0"/>
  </r>
  <r>
    <x v="3"/>
    <x v="7"/>
    <x v="102"/>
    <x v="3"/>
    <x v="5"/>
    <n v="6"/>
    <n v="0"/>
    <n v="0"/>
  </r>
  <r>
    <x v="3"/>
    <x v="7"/>
    <x v="102"/>
    <x v="3"/>
    <x v="6"/>
    <n v="7"/>
    <n v="1500"/>
    <n v="0"/>
  </r>
  <r>
    <x v="3"/>
    <x v="7"/>
    <x v="105"/>
    <x v="2"/>
    <x v="0"/>
    <n v="1"/>
    <n v="2700"/>
    <n v="0"/>
  </r>
  <r>
    <x v="3"/>
    <x v="7"/>
    <x v="105"/>
    <x v="2"/>
    <x v="1"/>
    <n v="2"/>
    <n v="3000"/>
    <n v="0"/>
  </r>
  <r>
    <x v="3"/>
    <x v="7"/>
    <x v="105"/>
    <x v="2"/>
    <x v="2"/>
    <n v="3"/>
    <n v="3300"/>
    <n v="480681"/>
  </r>
  <r>
    <x v="3"/>
    <x v="7"/>
    <x v="105"/>
    <x v="2"/>
    <x v="3"/>
    <n v="4"/>
    <n v="3300"/>
    <n v="273999"/>
  </r>
  <r>
    <x v="3"/>
    <x v="7"/>
    <x v="105"/>
    <x v="2"/>
    <x v="4"/>
    <n v="5"/>
    <n v="3000"/>
    <n v="236635.5"/>
  </r>
  <r>
    <x v="3"/>
    <x v="7"/>
    <x v="105"/>
    <x v="2"/>
    <x v="5"/>
    <n v="6"/>
    <n v="3150"/>
    <n v="249090"/>
  </r>
  <r>
    <x v="3"/>
    <x v="7"/>
    <x v="105"/>
    <x v="2"/>
    <x v="6"/>
    <n v="7"/>
    <n v="3450"/>
    <n v="261544.5"/>
  </r>
  <r>
    <x v="3"/>
    <x v="7"/>
    <x v="105"/>
    <x v="3"/>
    <x v="0"/>
    <n v="1"/>
    <n v="3750"/>
    <n v="0"/>
  </r>
  <r>
    <x v="3"/>
    <x v="7"/>
    <x v="105"/>
    <x v="3"/>
    <x v="1"/>
    <n v="2"/>
    <n v="4000"/>
    <n v="0"/>
  </r>
  <r>
    <x v="3"/>
    <x v="7"/>
    <x v="105"/>
    <x v="3"/>
    <x v="2"/>
    <n v="3"/>
    <n v="4400"/>
    <n v="0"/>
  </r>
  <r>
    <x v="3"/>
    <x v="7"/>
    <x v="105"/>
    <x v="3"/>
    <x v="3"/>
    <n v="4"/>
    <n v="4400"/>
    <n v="0"/>
  </r>
  <r>
    <x v="3"/>
    <x v="7"/>
    <x v="105"/>
    <x v="3"/>
    <x v="4"/>
    <n v="5"/>
    <n v="4000"/>
    <n v="0"/>
  </r>
  <r>
    <x v="3"/>
    <x v="7"/>
    <x v="105"/>
    <x v="3"/>
    <x v="5"/>
    <n v="6"/>
    <n v="4200"/>
    <n v="0"/>
  </r>
  <r>
    <x v="3"/>
    <x v="7"/>
    <x v="105"/>
    <x v="3"/>
    <x v="6"/>
    <n v="7"/>
    <n v="4600"/>
    <n v="0"/>
  </r>
  <r>
    <x v="3"/>
    <x v="7"/>
    <x v="340"/>
    <x v="2"/>
    <x v="0"/>
    <n v="1"/>
    <n v="0"/>
    <n v="0"/>
  </r>
  <r>
    <x v="3"/>
    <x v="7"/>
    <x v="340"/>
    <x v="2"/>
    <x v="1"/>
    <n v="2"/>
    <n v="0"/>
    <n v="0"/>
  </r>
  <r>
    <x v="3"/>
    <x v="7"/>
    <x v="340"/>
    <x v="2"/>
    <x v="2"/>
    <n v="3"/>
    <n v="0"/>
    <n v="0"/>
  </r>
  <r>
    <x v="3"/>
    <x v="7"/>
    <x v="340"/>
    <x v="2"/>
    <x v="3"/>
    <n v="4"/>
    <n v="0"/>
    <n v="0"/>
  </r>
  <r>
    <x v="3"/>
    <x v="7"/>
    <x v="340"/>
    <x v="2"/>
    <x v="4"/>
    <n v="5"/>
    <n v="0"/>
    <n v="0"/>
  </r>
  <r>
    <x v="3"/>
    <x v="7"/>
    <x v="340"/>
    <x v="2"/>
    <x v="5"/>
    <n v="6"/>
    <n v="0"/>
    <n v="0"/>
  </r>
  <r>
    <x v="3"/>
    <x v="7"/>
    <x v="340"/>
    <x v="2"/>
    <x v="6"/>
    <n v="7"/>
    <n v="2950"/>
    <n v="0"/>
  </r>
  <r>
    <x v="3"/>
    <x v="7"/>
    <x v="340"/>
    <x v="3"/>
    <x v="0"/>
    <n v="1"/>
    <n v="0"/>
    <n v="0"/>
  </r>
  <r>
    <x v="3"/>
    <x v="7"/>
    <x v="340"/>
    <x v="3"/>
    <x v="1"/>
    <n v="2"/>
    <n v="0"/>
    <n v="0"/>
  </r>
  <r>
    <x v="3"/>
    <x v="7"/>
    <x v="340"/>
    <x v="3"/>
    <x v="2"/>
    <n v="3"/>
    <n v="0"/>
    <n v="0"/>
  </r>
  <r>
    <x v="3"/>
    <x v="7"/>
    <x v="340"/>
    <x v="3"/>
    <x v="3"/>
    <n v="4"/>
    <n v="0"/>
    <n v="0"/>
  </r>
  <r>
    <x v="3"/>
    <x v="7"/>
    <x v="340"/>
    <x v="3"/>
    <x v="4"/>
    <n v="5"/>
    <n v="0"/>
    <n v="0"/>
  </r>
  <r>
    <x v="3"/>
    <x v="7"/>
    <x v="340"/>
    <x v="3"/>
    <x v="5"/>
    <n v="6"/>
    <n v="0"/>
    <n v="0"/>
  </r>
  <r>
    <x v="3"/>
    <x v="7"/>
    <x v="340"/>
    <x v="3"/>
    <x v="6"/>
    <n v="7"/>
    <n v="4000"/>
    <n v="0"/>
  </r>
  <r>
    <x v="3"/>
    <x v="7"/>
    <x v="109"/>
    <x v="2"/>
    <x v="0"/>
    <n v="1"/>
    <n v="1999"/>
    <n v="0"/>
  </r>
  <r>
    <x v="3"/>
    <x v="7"/>
    <x v="109"/>
    <x v="2"/>
    <x v="1"/>
    <n v="2"/>
    <n v="2000"/>
    <n v="0"/>
  </r>
  <r>
    <x v="3"/>
    <x v="7"/>
    <x v="109"/>
    <x v="2"/>
    <x v="2"/>
    <n v="3"/>
    <n v="2200"/>
    <n v="398501.25"/>
  </r>
  <r>
    <x v="3"/>
    <x v="7"/>
    <x v="109"/>
    <x v="2"/>
    <x v="3"/>
    <n v="4"/>
    <n v="1900"/>
    <n v="216628.5"/>
  </r>
  <r>
    <x v="3"/>
    <x v="7"/>
    <x v="109"/>
    <x v="2"/>
    <x v="4"/>
    <n v="5"/>
    <n v="2000"/>
    <n v="187088.25"/>
  </r>
  <r>
    <x v="3"/>
    <x v="7"/>
    <x v="109"/>
    <x v="2"/>
    <x v="5"/>
    <n v="6"/>
    <n v="2100"/>
    <n v="196935"/>
  </r>
  <r>
    <x v="3"/>
    <x v="7"/>
    <x v="109"/>
    <x v="2"/>
    <x v="6"/>
    <n v="7"/>
    <n v="2300"/>
    <n v="206781.75"/>
  </r>
  <r>
    <x v="3"/>
    <x v="7"/>
    <x v="109"/>
    <x v="3"/>
    <x v="0"/>
    <n v="1"/>
    <n v="3625"/>
    <n v="0"/>
  </r>
  <r>
    <x v="3"/>
    <x v="7"/>
    <x v="109"/>
    <x v="3"/>
    <x v="1"/>
    <n v="2"/>
    <n v="3500"/>
    <n v="0"/>
  </r>
  <r>
    <x v="3"/>
    <x v="7"/>
    <x v="109"/>
    <x v="3"/>
    <x v="2"/>
    <n v="3"/>
    <n v="3850"/>
    <n v="0"/>
  </r>
  <r>
    <x v="3"/>
    <x v="7"/>
    <x v="109"/>
    <x v="3"/>
    <x v="3"/>
    <n v="4"/>
    <n v="3325"/>
    <n v="0"/>
  </r>
  <r>
    <x v="3"/>
    <x v="7"/>
    <x v="109"/>
    <x v="3"/>
    <x v="4"/>
    <n v="5"/>
    <n v="3500"/>
    <n v="0"/>
  </r>
  <r>
    <x v="3"/>
    <x v="7"/>
    <x v="109"/>
    <x v="3"/>
    <x v="5"/>
    <n v="6"/>
    <n v="3675"/>
    <n v="0"/>
  </r>
  <r>
    <x v="3"/>
    <x v="7"/>
    <x v="109"/>
    <x v="3"/>
    <x v="6"/>
    <n v="7"/>
    <n v="4025"/>
    <n v="0"/>
  </r>
  <r>
    <x v="3"/>
    <x v="7"/>
    <x v="386"/>
    <x v="2"/>
    <x v="0"/>
    <n v="1"/>
    <n v="2700"/>
    <n v="0"/>
  </r>
  <r>
    <x v="3"/>
    <x v="7"/>
    <x v="386"/>
    <x v="2"/>
    <x v="1"/>
    <n v="2"/>
    <n v="3000"/>
    <n v="0"/>
  </r>
  <r>
    <x v="3"/>
    <x v="7"/>
    <x v="386"/>
    <x v="2"/>
    <x v="2"/>
    <n v="3"/>
    <n v="3300"/>
    <n v="480681"/>
  </r>
  <r>
    <x v="3"/>
    <x v="7"/>
    <x v="386"/>
    <x v="2"/>
    <x v="3"/>
    <n v="4"/>
    <n v="2850"/>
    <n v="273999"/>
  </r>
  <r>
    <x v="3"/>
    <x v="7"/>
    <x v="386"/>
    <x v="2"/>
    <x v="4"/>
    <n v="5"/>
    <n v="3000"/>
    <n v="236635.5"/>
  </r>
  <r>
    <x v="3"/>
    <x v="7"/>
    <x v="386"/>
    <x v="2"/>
    <x v="5"/>
    <n v="6"/>
    <n v="1500"/>
    <n v="249090"/>
  </r>
  <r>
    <x v="3"/>
    <x v="7"/>
    <x v="386"/>
    <x v="2"/>
    <x v="6"/>
    <n v="7"/>
    <n v="0"/>
    <n v="124545"/>
  </r>
  <r>
    <x v="3"/>
    <x v="7"/>
    <x v="386"/>
    <x v="3"/>
    <x v="0"/>
    <n v="1"/>
    <n v="3800"/>
    <n v="0"/>
  </r>
  <r>
    <x v="3"/>
    <x v="7"/>
    <x v="386"/>
    <x v="3"/>
    <x v="1"/>
    <n v="2"/>
    <n v="4000"/>
    <n v="0"/>
  </r>
  <r>
    <x v="3"/>
    <x v="7"/>
    <x v="386"/>
    <x v="3"/>
    <x v="2"/>
    <n v="3"/>
    <n v="4400"/>
    <n v="0"/>
  </r>
  <r>
    <x v="3"/>
    <x v="7"/>
    <x v="386"/>
    <x v="3"/>
    <x v="3"/>
    <n v="4"/>
    <n v="3800"/>
    <n v="0"/>
  </r>
  <r>
    <x v="3"/>
    <x v="7"/>
    <x v="386"/>
    <x v="3"/>
    <x v="4"/>
    <n v="5"/>
    <n v="4000"/>
    <n v="0"/>
  </r>
  <r>
    <x v="3"/>
    <x v="7"/>
    <x v="386"/>
    <x v="3"/>
    <x v="5"/>
    <n v="6"/>
    <n v="2000"/>
    <n v="0"/>
  </r>
  <r>
    <x v="3"/>
    <x v="7"/>
    <x v="386"/>
    <x v="3"/>
    <x v="6"/>
    <n v="7"/>
    <n v="0"/>
    <n v="0"/>
  </r>
  <r>
    <x v="3"/>
    <x v="7"/>
    <x v="111"/>
    <x v="2"/>
    <x v="0"/>
    <n v="1"/>
    <n v="1800"/>
    <n v="0"/>
  </r>
  <r>
    <x v="3"/>
    <x v="7"/>
    <x v="111"/>
    <x v="2"/>
    <x v="1"/>
    <n v="2"/>
    <n v="2000"/>
    <n v="0"/>
  </r>
  <r>
    <x v="3"/>
    <x v="7"/>
    <x v="111"/>
    <x v="2"/>
    <x v="2"/>
    <n v="3"/>
    <n v="2200"/>
    <n v="343721.4"/>
  </r>
  <r>
    <x v="3"/>
    <x v="7"/>
    <x v="111"/>
    <x v="2"/>
    <x v="3"/>
    <n v="4"/>
    <n v="1900"/>
    <n v="196251"/>
  </r>
  <r>
    <x v="3"/>
    <x v="7"/>
    <x v="111"/>
    <x v="2"/>
    <x v="4"/>
    <n v="5"/>
    <n v="2000"/>
    <n v="169489.5"/>
  </r>
  <r>
    <x v="3"/>
    <x v="7"/>
    <x v="111"/>
    <x v="2"/>
    <x v="5"/>
    <n v="6"/>
    <n v="1950"/>
    <n v="178410"/>
  </r>
  <r>
    <x v="3"/>
    <x v="7"/>
    <x v="111"/>
    <x v="2"/>
    <x v="6"/>
    <n v="7"/>
    <n v="2225"/>
    <n v="176728.49999999988"/>
  </r>
  <r>
    <x v="3"/>
    <x v="7"/>
    <x v="111"/>
    <x v="3"/>
    <x v="0"/>
    <n v="1"/>
    <n v="2850"/>
    <n v="0"/>
  </r>
  <r>
    <x v="3"/>
    <x v="7"/>
    <x v="111"/>
    <x v="3"/>
    <x v="1"/>
    <n v="2"/>
    <n v="3000"/>
    <n v="0"/>
  </r>
  <r>
    <x v="3"/>
    <x v="7"/>
    <x v="111"/>
    <x v="3"/>
    <x v="2"/>
    <n v="3"/>
    <n v="3300"/>
    <n v="0"/>
  </r>
  <r>
    <x v="3"/>
    <x v="7"/>
    <x v="111"/>
    <x v="3"/>
    <x v="3"/>
    <n v="4"/>
    <n v="2850"/>
    <n v="0"/>
  </r>
  <r>
    <x v="3"/>
    <x v="7"/>
    <x v="111"/>
    <x v="3"/>
    <x v="4"/>
    <n v="5"/>
    <n v="3000"/>
    <n v="0"/>
  </r>
  <r>
    <x v="3"/>
    <x v="7"/>
    <x v="111"/>
    <x v="3"/>
    <x v="5"/>
    <n v="6"/>
    <n v="3000"/>
    <n v="0"/>
  </r>
  <r>
    <x v="3"/>
    <x v="7"/>
    <x v="111"/>
    <x v="3"/>
    <x v="6"/>
    <n v="7"/>
    <n v="3375"/>
    <n v="0"/>
  </r>
  <r>
    <x v="3"/>
    <x v="7"/>
    <x v="387"/>
    <x v="2"/>
    <x v="0"/>
    <n v="1"/>
    <n v="0"/>
    <n v="0"/>
  </r>
  <r>
    <x v="3"/>
    <x v="7"/>
    <x v="387"/>
    <x v="2"/>
    <x v="1"/>
    <n v="2"/>
    <n v="0"/>
    <n v="0"/>
  </r>
  <r>
    <x v="3"/>
    <x v="7"/>
    <x v="387"/>
    <x v="2"/>
    <x v="2"/>
    <n v="3"/>
    <n v="0"/>
    <n v="0"/>
  </r>
  <r>
    <x v="3"/>
    <x v="7"/>
    <x v="387"/>
    <x v="2"/>
    <x v="3"/>
    <n v="4"/>
    <n v="900"/>
    <n v="0"/>
  </r>
  <r>
    <x v="3"/>
    <x v="7"/>
    <x v="387"/>
    <x v="2"/>
    <x v="4"/>
    <n v="5"/>
    <n v="2000"/>
    <n v="79765.8"/>
  </r>
  <r>
    <x v="3"/>
    <x v="7"/>
    <x v="387"/>
    <x v="2"/>
    <x v="5"/>
    <n v="6"/>
    <n v="2100"/>
    <n v="178410"/>
  </r>
  <r>
    <x v="3"/>
    <x v="7"/>
    <x v="387"/>
    <x v="2"/>
    <x v="6"/>
    <n v="7"/>
    <n v="1725"/>
    <n v="187330.5"/>
  </r>
  <r>
    <x v="3"/>
    <x v="7"/>
    <x v="387"/>
    <x v="3"/>
    <x v="0"/>
    <n v="1"/>
    <n v="0"/>
    <n v="0"/>
  </r>
  <r>
    <x v="3"/>
    <x v="7"/>
    <x v="387"/>
    <x v="3"/>
    <x v="1"/>
    <n v="2"/>
    <n v="0"/>
    <n v="0"/>
  </r>
  <r>
    <x v="3"/>
    <x v="7"/>
    <x v="387"/>
    <x v="3"/>
    <x v="2"/>
    <n v="3"/>
    <n v="0"/>
    <n v="0"/>
  </r>
  <r>
    <x v="3"/>
    <x v="7"/>
    <x v="387"/>
    <x v="3"/>
    <x v="3"/>
    <n v="4"/>
    <n v="1350"/>
    <n v="0"/>
  </r>
  <r>
    <x v="3"/>
    <x v="7"/>
    <x v="387"/>
    <x v="3"/>
    <x v="4"/>
    <n v="5"/>
    <n v="3000"/>
    <n v="0"/>
  </r>
  <r>
    <x v="3"/>
    <x v="7"/>
    <x v="387"/>
    <x v="3"/>
    <x v="5"/>
    <n v="6"/>
    <n v="3150"/>
    <n v="0"/>
  </r>
  <r>
    <x v="3"/>
    <x v="7"/>
    <x v="387"/>
    <x v="3"/>
    <x v="6"/>
    <n v="7"/>
    <n v="2875"/>
    <n v="0"/>
  </r>
  <r>
    <x v="3"/>
    <x v="7"/>
    <x v="117"/>
    <x v="2"/>
    <x v="0"/>
    <n v="1"/>
    <n v="1500"/>
    <n v="0"/>
  </r>
  <r>
    <x v="3"/>
    <x v="7"/>
    <x v="117"/>
    <x v="2"/>
    <x v="1"/>
    <n v="2"/>
    <n v="2000"/>
    <n v="0"/>
  </r>
  <r>
    <x v="3"/>
    <x v="7"/>
    <x v="117"/>
    <x v="2"/>
    <x v="2"/>
    <n v="3"/>
    <n v="2200"/>
    <n v="351120"/>
  </r>
  <r>
    <x v="3"/>
    <x v="7"/>
    <x v="117"/>
    <x v="2"/>
    <x v="3"/>
    <n v="4"/>
    <n v="1800"/>
    <n v="216628.5"/>
  </r>
  <r>
    <x v="3"/>
    <x v="7"/>
    <x v="117"/>
    <x v="2"/>
    <x v="4"/>
    <n v="5"/>
    <n v="2000"/>
    <n v="183725.25"/>
  </r>
  <r>
    <x v="3"/>
    <x v="7"/>
    <x v="117"/>
    <x v="2"/>
    <x v="5"/>
    <n v="6"/>
    <n v="2100"/>
    <n v="196935"/>
  </r>
  <r>
    <x v="3"/>
    <x v="7"/>
    <x v="117"/>
    <x v="2"/>
    <x v="6"/>
    <n v="7"/>
    <n v="2100"/>
    <n v="206781.75"/>
  </r>
  <r>
    <x v="3"/>
    <x v="7"/>
    <x v="117"/>
    <x v="3"/>
    <x v="0"/>
    <n v="1"/>
    <n v="2800"/>
    <n v="0"/>
  </r>
  <r>
    <x v="3"/>
    <x v="7"/>
    <x v="117"/>
    <x v="3"/>
    <x v="1"/>
    <n v="2"/>
    <n v="3500"/>
    <n v="0"/>
  </r>
  <r>
    <x v="3"/>
    <x v="7"/>
    <x v="117"/>
    <x v="3"/>
    <x v="2"/>
    <n v="3"/>
    <n v="3850"/>
    <n v="0"/>
  </r>
  <r>
    <x v="3"/>
    <x v="7"/>
    <x v="117"/>
    <x v="3"/>
    <x v="3"/>
    <n v="4"/>
    <n v="3325"/>
    <n v="0"/>
  </r>
  <r>
    <x v="3"/>
    <x v="7"/>
    <x v="117"/>
    <x v="3"/>
    <x v="4"/>
    <n v="5"/>
    <n v="3500"/>
    <n v="0"/>
  </r>
  <r>
    <x v="3"/>
    <x v="7"/>
    <x v="117"/>
    <x v="3"/>
    <x v="5"/>
    <n v="6"/>
    <n v="3675"/>
    <n v="0"/>
  </r>
  <r>
    <x v="3"/>
    <x v="7"/>
    <x v="117"/>
    <x v="3"/>
    <x v="6"/>
    <n v="7"/>
    <n v="3675"/>
    <n v="0"/>
  </r>
  <r>
    <x v="3"/>
    <x v="8"/>
    <x v="122"/>
    <x v="2"/>
    <x v="0"/>
    <n v="1"/>
    <n v="2210"/>
    <n v="0"/>
  </r>
  <r>
    <x v="3"/>
    <x v="8"/>
    <x v="122"/>
    <x v="2"/>
    <x v="1"/>
    <n v="2"/>
    <n v="2600"/>
    <n v="0"/>
  </r>
  <r>
    <x v="3"/>
    <x v="8"/>
    <x v="122"/>
    <x v="2"/>
    <x v="2"/>
    <n v="3"/>
    <n v="2860"/>
    <n v="392247.7"/>
  </r>
  <r>
    <x v="3"/>
    <x v="8"/>
    <x v="122"/>
    <x v="2"/>
    <x v="3"/>
    <n v="4"/>
    <n v="2375"/>
    <n v="215588.10000000003"/>
  </r>
  <r>
    <x v="3"/>
    <x v="8"/>
    <x v="122"/>
    <x v="2"/>
    <x v="4"/>
    <n v="5"/>
    <n v="2530"/>
    <n v="195055.9"/>
  </r>
  <r>
    <x v="3"/>
    <x v="8"/>
    <x v="122"/>
    <x v="2"/>
    <x v="5"/>
    <n v="6"/>
    <n v="2730"/>
    <n v="203133.10000000009"/>
  </r>
  <r>
    <x v="3"/>
    <x v="8"/>
    <x v="122"/>
    <x v="2"/>
    <x v="6"/>
    <n v="7"/>
    <n v="2790"/>
    <n v="215588.09999999986"/>
  </r>
  <r>
    <x v="3"/>
    <x v="8"/>
    <x v="122"/>
    <x v="3"/>
    <x v="0"/>
    <n v="1"/>
    <n v="3420"/>
    <n v="0"/>
  </r>
  <r>
    <x v="3"/>
    <x v="8"/>
    <x v="122"/>
    <x v="3"/>
    <x v="1"/>
    <n v="2"/>
    <n v="3600"/>
    <n v="0"/>
  </r>
  <r>
    <x v="3"/>
    <x v="8"/>
    <x v="122"/>
    <x v="3"/>
    <x v="2"/>
    <n v="3"/>
    <n v="3960"/>
    <n v="0"/>
  </r>
  <r>
    <x v="3"/>
    <x v="8"/>
    <x v="122"/>
    <x v="3"/>
    <x v="3"/>
    <n v="4"/>
    <n v="2850"/>
    <n v="0"/>
  </r>
  <r>
    <x v="3"/>
    <x v="8"/>
    <x v="122"/>
    <x v="3"/>
    <x v="4"/>
    <n v="5"/>
    <n v="3600"/>
    <n v="0"/>
  </r>
  <r>
    <x v="3"/>
    <x v="8"/>
    <x v="122"/>
    <x v="3"/>
    <x v="5"/>
    <n v="6"/>
    <n v="3780"/>
    <n v="0"/>
  </r>
  <r>
    <x v="3"/>
    <x v="8"/>
    <x v="122"/>
    <x v="3"/>
    <x v="6"/>
    <n v="7"/>
    <n v="4140"/>
    <n v="0"/>
  </r>
  <r>
    <x v="3"/>
    <x v="8"/>
    <x v="388"/>
    <x v="2"/>
    <x v="0"/>
    <n v="1"/>
    <n v="2250"/>
    <n v="0"/>
  </r>
  <r>
    <x v="3"/>
    <x v="8"/>
    <x v="388"/>
    <x v="2"/>
    <x v="1"/>
    <n v="2"/>
    <n v="2500"/>
    <n v="0"/>
  </r>
  <r>
    <x v="3"/>
    <x v="8"/>
    <x v="388"/>
    <x v="2"/>
    <x v="2"/>
    <n v="3"/>
    <n v="2750"/>
    <n v="350065"/>
  </r>
  <r>
    <x v="3"/>
    <x v="8"/>
    <x v="388"/>
    <x v="2"/>
    <x v="3"/>
    <n v="4"/>
    <n v="2470"/>
    <n v="190601.25"/>
  </r>
  <r>
    <x v="3"/>
    <x v="8"/>
    <x v="388"/>
    <x v="2"/>
    <x v="4"/>
    <n v="5"/>
    <n v="2500"/>
    <n v="172448.75"/>
  </r>
  <r>
    <x v="3"/>
    <x v="8"/>
    <x v="388"/>
    <x v="2"/>
    <x v="5"/>
    <n v="6"/>
    <n v="2625"/>
    <n v="181525"/>
  </r>
  <r>
    <x v="3"/>
    <x v="8"/>
    <x v="388"/>
    <x v="2"/>
    <x v="6"/>
    <n v="7"/>
    <n v="2875"/>
    <n v="190601.25"/>
  </r>
  <r>
    <x v="3"/>
    <x v="8"/>
    <x v="388"/>
    <x v="3"/>
    <x v="0"/>
    <n v="1"/>
    <n v="2850"/>
    <n v="0"/>
  </r>
  <r>
    <x v="3"/>
    <x v="8"/>
    <x v="388"/>
    <x v="3"/>
    <x v="1"/>
    <n v="2"/>
    <n v="3000"/>
    <n v="0"/>
  </r>
  <r>
    <x v="3"/>
    <x v="8"/>
    <x v="388"/>
    <x v="3"/>
    <x v="2"/>
    <n v="3"/>
    <n v="3300"/>
    <n v="0"/>
  </r>
  <r>
    <x v="3"/>
    <x v="8"/>
    <x v="388"/>
    <x v="3"/>
    <x v="3"/>
    <n v="4"/>
    <n v="3420"/>
    <n v="0"/>
  </r>
  <r>
    <x v="3"/>
    <x v="8"/>
    <x v="388"/>
    <x v="3"/>
    <x v="4"/>
    <n v="5"/>
    <n v="3000"/>
    <n v="0"/>
  </r>
  <r>
    <x v="3"/>
    <x v="8"/>
    <x v="388"/>
    <x v="3"/>
    <x v="5"/>
    <n v="6"/>
    <n v="3150"/>
    <n v="0"/>
  </r>
  <r>
    <x v="3"/>
    <x v="8"/>
    <x v="388"/>
    <x v="3"/>
    <x v="6"/>
    <n v="7"/>
    <n v="3450"/>
    <n v="0"/>
  </r>
  <r>
    <x v="3"/>
    <x v="8"/>
    <x v="389"/>
    <x v="2"/>
    <x v="0"/>
    <n v="1"/>
    <n v="1360"/>
    <n v="0"/>
  </r>
  <r>
    <x v="3"/>
    <x v="8"/>
    <x v="389"/>
    <x v="2"/>
    <x v="1"/>
    <n v="2"/>
    <n v="1600"/>
    <n v="0"/>
  </r>
  <r>
    <x v="3"/>
    <x v="8"/>
    <x v="389"/>
    <x v="2"/>
    <x v="2"/>
    <n v="3"/>
    <n v="1760"/>
    <n v="266014.95"/>
  </r>
  <r>
    <x v="3"/>
    <x v="8"/>
    <x v="389"/>
    <x v="2"/>
    <x v="3"/>
    <n v="4"/>
    <n v="1520"/>
    <n v="146582.09999999998"/>
  </r>
  <r>
    <x v="3"/>
    <x v="8"/>
    <x v="389"/>
    <x v="2"/>
    <x v="4"/>
    <n v="5"/>
    <n v="1600"/>
    <n v="132621.9"/>
  </r>
  <r>
    <x v="3"/>
    <x v="8"/>
    <x v="389"/>
    <x v="2"/>
    <x v="5"/>
    <n v="6"/>
    <n v="1680"/>
    <n v="139602"/>
  </r>
  <r>
    <x v="3"/>
    <x v="8"/>
    <x v="389"/>
    <x v="2"/>
    <x v="6"/>
    <n v="7"/>
    <n v="1840"/>
    <n v="146582.10000000009"/>
  </r>
  <r>
    <x v="3"/>
    <x v="8"/>
    <x v="389"/>
    <x v="3"/>
    <x v="0"/>
    <n v="1"/>
    <n v="2435"/>
    <n v="0"/>
  </r>
  <r>
    <x v="3"/>
    <x v="8"/>
    <x v="389"/>
    <x v="3"/>
    <x v="1"/>
    <n v="2"/>
    <n v="2600"/>
    <n v="0"/>
  </r>
  <r>
    <x v="3"/>
    <x v="8"/>
    <x v="389"/>
    <x v="3"/>
    <x v="2"/>
    <n v="3"/>
    <n v="2860"/>
    <n v="0"/>
  </r>
  <r>
    <x v="3"/>
    <x v="8"/>
    <x v="389"/>
    <x v="3"/>
    <x v="3"/>
    <n v="4"/>
    <n v="2470"/>
    <n v="0"/>
  </r>
  <r>
    <x v="3"/>
    <x v="8"/>
    <x v="389"/>
    <x v="3"/>
    <x v="4"/>
    <n v="5"/>
    <n v="2600"/>
    <n v="0"/>
  </r>
  <r>
    <x v="3"/>
    <x v="8"/>
    <x v="389"/>
    <x v="3"/>
    <x v="5"/>
    <n v="6"/>
    <n v="2730"/>
    <n v="0"/>
  </r>
  <r>
    <x v="3"/>
    <x v="8"/>
    <x v="389"/>
    <x v="3"/>
    <x v="6"/>
    <n v="7"/>
    <n v="2990"/>
    <n v="0"/>
  </r>
  <r>
    <x v="3"/>
    <x v="8"/>
    <x v="124"/>
    <x v="2"/>
    <x v="0"/>
    <n v="1"/>
    <n v="1800"/>
    <n v="0"/>
  </r>
  <r>
    <x v="3"/>
    <x v="8"/>
    <x v="124"/>
    <x v="2"/>
    <x v="1"/>
    <n v="2"/>
    <n v="2000"/>
    <n v="0"/>
  </r>
  <r>
    <x v="3"/>
    <x v="8"/>
    <x v="124"/>
    <x v="2"/>
    <x v="2"/>
    <n v="3"/>
    <n v="2200"/>
    <n v="317531"/>
  </r>
  <r>
    <x v="3"/>
    <x v="8"/>
    <x v="124"/>
    <x v="2"/>
    <x v="3"/>
    <n v="4"/>
    <n v="1900"/>
    <n v="173885"/>
  </r>
  <r>
    <x v="3"/>
    <x v="8"/>
    <x v="124"/>
    <x v="2"/>
    <x v="4"/>
    <n v="5"/>
    <n v="2000"/>
    <n v="157595.5"/>
  </r>
  <r>
    <x v="3"/>
    <x v="8"/>
    <x v="124"/>
    <x v="2"/>
    <x v="5"/>
    <n v="6"/>
    <n v="2100"/>
    <n v="165890"/>
  </r>
  <r>
    <x v="3"/>
    <x v="8"/>
    <x v="124"/>
    <x v="2"/>
    <x v="6"/>
    <n v="7"/>
    <n v="2300"/>
    <n v="174184.5"/>
  </r>
  <r>
    <x v="3"/>
    <x v="8"/>
    <x v="124"/>
    <x v="3"/>
    <x v="0"/>
    <n v="1"/>
    <n v="2850"/>
    <n v="0"/>
  </r>
  <r>
    <x v="3"/>
    <x v="8"/>
    <x v="124"/>
    <x v="3"/>
    <x v="1"/>
    <n v="2"/>
    <n v="3000"/>
    <n v="0"/>
  </r>
  <r>
    <x v="3"/>
    <x v="8"/>
    <x v="124"/>
    <x v="3"/>
    <x v="2"/>
    <n v="3"/>
    <n v="3300"/>
    <n v="0"/>
  </r>
  <r>
    <x v="3"/>
    <x v="8"/>
    <x v="124"/>
    <x v="3"/>
    <x v="3"/>
    <n v="4"/>
    <n v="2850"/>
    <n v="0"/>
  </r>
  <r>
    <x v="3"/>
    <x v="8"/>
    <x v="124"/>
    <x v="3"/>
    <x v="4"/>
    <n v="5"/>
    <n v="3000"/>
    <n v="0"/>
  </r>
  <r>
    <x v="3"/>
    <x v="8"/>
    <x v="124"/>
    <x v="3"/>
    <x v="5"/>
    <n v="6"/>
    <n v="3150"/>
    <n v="0"/>
  </r>
  <r>
    <x v="3"/>
    <x v="8"/>
    <x v="124"/>
    <x v="3"/>
    <x v="6"/>
    <n v="7"/>
    <n v="3450"/>
    <n v="0"/>
  </r>
  <r>
    <x v="3"/>
    <x v="8"/>
    <x v="125"/>
    <x v="2"/>
    <x v="0"/>
    <n v="1"/>
    <n v="2070"/>
    <n v="0"/>
  </r>
  <r>
    <x v="3"/>
    <x v="8"/>
    <x v="125"/>
    <x v="2"/>
    <x v="1"/>
    <n v="2"/>
    <n v="2225"/>
    <n v="0"/>
  </r>
  <r>
    <x v="3"/>
    <x v="8"/>
    <x v="125"/>
    <x v="2"/>
    <x v="2"/>
    <n v="3"/>
    <n v="2200"/>
    <n v="311934.15000000002"/>
  </r>
  <r>
    <x v="3"/>
    <x v="8"/>
    <x v="125"/>
    <x v="2"/>
    <x v="3"/>
    <n v="4"/>
    <n v="1900"/>
    <n v="175500"/>
  </r>
  <r>
    <x v="3"/>
    <x v="8"/>
    <x v="125"/>
    <x v="2"/>
    <x v="4"/>
    <n v="5"/>
    <n v="2000"/>
    <n v="123500"/>
  </r>
  <r>
    <x v="3"/>
    <x v="8"/>
    <x v="125"/>
    <x v="2"/>
    <x v="5"/>
    <n v="6"/>
    <n v="2100"/>
    <n v="130000"/>
  </r>
  <r>
    <x v="3"/>
    <x v="8"/>
    <x v="125"/>
    <x v="2"/>
    <x v="6"/>
    <n v="7"/>
    <n v="2300"/>
    <n v="136500"/>
  </r>
  <r>
    <x v="3"/>
    <x v="8"/>
    <x v="125"/>
    <x v="3"/>
    <x v="0"/>
    <n v="1"/>
    <n v="3135"/>
    <n v="0"/>
  </r>
  <r>
    <x v="3"/>
    <x v="8"/>
    <x v="125"/>
    <x v="3"/>
    <x v="1"/>
    <n v="2"/>
    <n v="3225"/>
    <n v="0"/>
  </r>
  <r>
    <x v="3"/>
    <x v="8"/>
    <x v="125"/>
    <x v="3"/>
    <x v="2"/>
    <n v="3"/>
    <n v="3300"/>
    <n v="0"/>
  </r>
  <r>
    <x v="3"/>
    <x v="8"/>
    <x v="125"/>
    <x v="3"/>
    <x v="3"/>
    <n v="4"/>
    <n v="2850"/>
    <n v="0"/>
  </r>
  <r>
    <x v="3"/>
    <x v="8"/>
    <x v="125"/>
    <x v="3"/>
    <x v="4"/>
    <n v="5"/>
    <n v="3000"/>
    <n v="0"/>
  </r>
  <r>
    <x v="3"/>
    <x v="8"/>
    <x v="125"/>
    <x v="3"/>
    <x v="5"/>
    <n v="6"/>
    <n v="3150"/>
    <n v="0"/>
  </r>
  <r>
    <x v="3"/>
    <x v="8"/>
    <x v="125"/>
    <x v="3"/>
    <x v="6"/>
    <n v="7"/>
    <n v="3450"/>
    <n v="0"/>
  </r>
  <r>
    <x v="3"/>
    <x v="8"/>
    <x v="390"/>
    <x v="2"/>
    <x v="0"/>
    <n v="1"/>
    <n v="1800"/>
    <n v="0"/>
  </r>
  <r>
    <x v="3"/>
    <x v="8"/>
    <x v="390"/>
    <x v="2"/>
    <x v="1"/>
    <n v="2"/>
    <n v="2000"/>
    <n v="0"/>
  </r>
  <r>
    <x v="3"/>
    <x v="8"/>
    <x v="390"/>
    <x v="2"/>
    <x v="2"/>
    <n v="3"/>
    <n v="2200"/>
    <n v="286769.75"/>
  </r>
  <r>
    <x v="3"/>
    <x v="8"/>
    <x v="390"/>
    <x v="2"/>
    <x v="3"/>
    <n v="4"/>
    <n v="1900"/>
    <n v="156098.25"/>
  </r>
  <r>
    <x v="3"/>
    <x v="8"/>
    <x v="390"/>
    <x v="2"/>
    <x v="4"/>
    <n v="5"/>
    <n v="1863"/>
    <n v="141231.75"/>
  </r>
  <r>
    <x v="3"/>
    <x v="8"/>
    <x v="390"/>
    <x v="2"/>
    <x v="5"/>
    <n v="6"/>
    <n v="2100"/>
    <n v="144381.01"/>
  </r>
  <r>
    <x v="3"/>
    <x v="8"/>
    <x v="390"/>
    <x v="2"/>
    <x v="6"/>
    <n v="7"/>
    <n v="2300"/>
    <n v="156098.25"/>
  </r>
  <r>
    <x v="3"/>
    <x v="8"/>
    <x v="390"/>
    <x v="3"/>
    <x v="0"/>
    <n v="1"/>
    <n v="2375"/>
    <n v="0"/>
  </r>
  <r>
    <x v="3"/>
    <x v="8"/>
    <x v="390"/>
    <x v="3"/>
    <x v="1"/>
    <n v="2"/>
    <n v="2500"/>
    <n v="0"/>
  </r>
  <r>
    <x v="3"/>
    <x v="8"/>
    <x v="390"/>
    <x v="3"/>
    <x v="2"/>
    <n v="3"/>
    <n v="2750"/>
    <n v="0"/>
  </r>
  <r>
    <x v="3"/>
    <x v="8"/>
    <x v="390"/>
    <x v="3"/>
    <x v="3"/>
    <n v="4"/>
    <n v="2375"/>
    <n v="0"/>
  </r>
  <r>
    <x v="3"/>
    <x v="8"/>
    <x v="390"/>
    <x v="3"/>
    <x v="4"/>
    <n v="5"/>
    <n v="2500"/>
    <n v="0"/>
  </r>
  <r>
    <x v="3"/>
    <x v="8"/>
    <x v="390"/>
    <x v="3"/>
    <x v="5"/>
    <n v="6"/>
    <n v="2625"/>
    <n v="0"/>
  </r>
  <r>
    <x v="3"/>
    <x v="8"/>
    <x v="390"/>
    <x v="3"/>
    <x v="6"/>
    <n v="7"/>
    <n v="2875"/>
    <n v="0"/>
  </r>
  <r>
    <x v="3"/>
    <x v="9"/>
    <x v="127"/>
    <x v="2"/>
    <x v="0"/>
    <n v="1"/>
    <n v="0"/>
    <n v="0"/>
  </r>
  <r>
    <x v="3"/>
    <x v="9"/>
    <x v="127"/>
    <x v="2"/>
    <x v="1"/>
    <n v="2"/>
    <n v="0"/>
    <n v="0"/>
  </r>
  <r>
    <x v="3"/>
    <x v="9"/>
    <x v="127"/>
    <x v="2"/>
    <x v="2"/>
    <n v="3"/>
    <n v="0"/>
    <n v="0"/>
  </r>
  <r>
    <x v="3"/>
    <x v="9"/>
    <x v="127"/>
    <x v="2"/>
    <x v="3"/>
    <n v="4"/>
    <n v="0"/>
    <n v="0"/>
  </r>
  <r>
    <x v="3"/>
    <x v="9"/>
    <x v="127"/>
    <x v="2"/>
    <x v="4"/>
    <n v="5"/>
    <n v="0"/>
    <n v="0"/>
  </r>
  <r>
    <x v="3"/>
    <x v="9"/>
    <x v="127"/>
    <x v="2"/>
    <x v="5"/>
    <n v="6"/>
    <n v="0"/>
    <n v="0"/>
  </r>
  <r>
    <x v="3"/>
    <x v="9"/>
    <x v="127"/>
    <x v="2"/>
    <x v="6"/>
    <n v="7"/>
    <n v="5550"/>
    <n v="0"/>
  </r>
  <r>
    <x v="3"/>
    <x v="9"/>
    <x v="127"/>
    <x v="3"/>
    <x v="0"/>
    <n v="1"/>
    <n v="0"/>
    <n v="0"/>
  </r>
  <r>
    <x v="3"/>
    <x v="9"/>
    <x v="127"/>
    <x v="3"/>
    <x v="1"/>
    <n v="2"/>
    <n v="0"/>
    <n v="0"/>
  </r>
  <r>
    <x v="3"/>
    <x v="9"/>
    <x v="127"/>
    <x v="3"/>
    <x v="2"/>
    <n v="3"/>
    <n v="0"/>
    <n v="0"/>
  </r>
  <r>
    <x v="3"/>
    <x v="9"/>
    <x v="127"/>
    <x v="3"/>
    <x v="3"/>
    <n v="4"/>
    <n v="0"/>
    <n v="0"/>
  </r>
  <r>
    <x v="3"/>
    <x v="9"/>
    <x v="127"/>
    <x v="3"/>
    <x v="4"/>
    <n v="5"/>
    <n v="0"/>
    <n v="0"/>
  </r>
  <r>
    <x v="3"/>
    <x v="9"/>
    <x v="127"/>
    <x v="3"/>
    <x v="5"/>
    <n v="6"/>
    <n v="0"/>
    <n v="0"/>
  </r>
  <r>
    <x v="3"/>
    <x v="9"/>
    <x v="127"/>
    <x v="3"/>
    <x v="6"/>
    <n v="7"/>
    <n v="6400"/>
    <n v="0"/>
  </r>
  <r>
    <x v="3"/>
    <x v="9"/>
    <x v="129"/>
    <x v="2"/>
    <x v="0"/>
    <n v="1"/>
    <n v="0"/>
    <n v="0"/>
  </r>
  <r>
    <x v="3"/>
    <x v="9"/>
    <x v="129"/>
    <x v="2"/>
    <x v="1"/>
    <n v="2"/>
    <n v="0"/>
    <n v="0"/>
  </r>
  <r>
    <x v="3"/>
    <x v="9"/>
    <x v="129"/>
    <x v="2"/>
    <x v="2"/>
    <n v="3"/>
    <n v="0"/>
    <n v="0"/>
  </r>
  <r>
    <x v="3"/>
    <x v="9"/>
    <x v="129"/>
    <x v="2"/>
    <x v="3"/>
    <n v="4"/>
    <n v="0"/>
    <n v="0"/>
  </r>
  <r>
    <x v="3"/>
    <x v="9"/>
    <x v="129"/>
    <x v="2"/>
    <x v="4"/>
    <n v="5"/>
    <n v="0"/>
    <n v="0"/>
  </r>
  <r>
    <x v="3"/>
    <x v="9"/>
    <x v="129"/>
    <x v="2"/>
    <x v="5"/>
    <n v="6"/>
    <n v="0"/>
    <n v="0"/>
  </r>
  <r>
    <x v="3"/>
    <x v="9"/>
    <x v="129"/>
    <x v="2"/>
    <x v="6"/>
    <n v="7"/>
    <n v="2550"/>
    <n v="0"/>
  </r>
  <r>
    <x v="3"/>
    <x v="9"/>
    <x v="129"/>
    <x v="3"/>
    <x v="0"/>
    <n v="1"/>
    <n v="0"/>
    <n v="0"/>
  </r>
  <r>
    <x v="3"/>
    <x v="9"/>
    <x v="129"/>
    <x v="3"/>
    <x v="1"/>
    <n v="2"/>
    <n v="0"/>
    <n v="0"/>
  </r>
  <r>
    <x v="3"/>
    <x v="9"/>
    <x v="129"/>
    <x v="3"/>
    <x v="2"/>
    <n v="3"/>
    <n v="0"/>
    <n v="0"/>
  </r>
  <r>
    <x v="3"/>
    <x v="9"/>
    <x v="129"/>
    <x v="3"/>
    <x v="3"/>
    <n v="4"/>
    <n v="0"/>
    <n v="0"/>
  </r>
  <r>
    <x v="3"/>
    <x v="9"/>
    <x v="129"/>
    <x v="3"/>
    <x v="4"/>
    <n v="5"/>
    <n v="0"/>
    <n v="0"/>
  </r>
  <r>
    <x v="3"/>
    <x v="9"/>
    <x v="129"/>
    <x v="3"/>
    <x v="5"/>
    <n v="6"/>
    <n v="0"/>
    <n v="0"/>
  </r>
  <r>
    <x v="3"/>
    <x v="9"/>
    <x v="129"/>
    <x v="3"/>
    <x v="6"/>
    <n v="7"/>
    <n v="3400"/>
    <n v="0"/>
  </r>
  <r>
    <x v="3"/>
    <x v="9"/>
    <x v="128"/>
    <x v="2"/>
    <x v="0"/>
    <n v="1"/>
    <n v="1600"/>
    <n v="0"/>
  </r>
  <r>
    <x v="3"/>
    <x v="9"/>
    <x v="128"/>
    <x v="2"/>
    <x v="1"/>
    <n v="2"/>
    <n v="1550"/>
    <n v="89700"/>
  </r>
  <r>
    <x v="3"/>
    <x v="9"/>
    <x v="128"/>
    <x v="2"/>
    <x v="2"/>
    <n v="3"/>
    <n v="2200"/>
    <n v="81487.5"/>
  </r>
  <r>
    <x v="3"/>
    <x v="9"/>
    <x v="128"/>
    <x v="2"/>
    <x v="3"/>
    <n v="4"/>
    <n v="1425"/>
    <n v="237118.5"/>
  </r>
  <r>
    <x v="3"/>
    <x v="9"/>
    <x v="128"/>
    <x v="2"/>
    <x v="4"/>
    <n v="5"/>
    <n v="1500"/>
    <n v="137355.75"/>
  </r>
  <r>
    <x v="3"/>
    <x v="9"/>
    <x v="128"/>
    <x v="2"/>
    <x v="5"/>
    <n v="6"/>
    <n v="1575"/>
    <n v="144585"/>
  </r>
  <r>
    <x v="3"/>
    <x v="9"/>
    <x v="128"/>
    <x v="2"/>
    <x v="6"/>
    <n v="7"/>
    <n v="1725"/>
    <n v="151814.25"/>
  </r>
  <r>
    <x v="3"/>
    <x v="9"/>
    <x v="128"/>
    <x v="3"/>
    <x v="0"/>
    <n v="1"/>
    <n v="2550"/>
    <n v="0"/>
  </r>
  <r>
    <x v="3"/>
    <x v="9"/>
    <x v="128"/>
    <x v="3"/>
    <x v="1"/>
    <n v="2"/>
    <n v="3000"/>
    <n v="0"/>
  </r>
  <r>
    <x v="3"/>
    <x v="9"/>
    <x v="128"/>
    <x v="3"/>
    <x v="2"/>
    <n v="3"/>
    <n v="3300"/>
    <n v="0"/>
  </r>
  <r>
    <x v="3"/>
    <x v="9"/>
    <x v="128"/>
    <x v="3"/>
    <x v="3"/>
    <n v="4"/>
    <n v="2850"/>
    <n v="0"/>
  </r>
  <r>
    <x v="3"/>
    <x v="9"/>
    <x v="128"/>
    <x v="3"/>
    <x v="4"/>
    <n v="5"/>
    <n v="3000"/>
    <n v="0"/>
  </r>
  <r>
    <x v="3"/>
    <x v="9"/>
    <x v="128"/>
    <x v="3"/>
    <x v="5"/>
    <n v="6"/>
    <n v="3150"/>
    <n v="0"/>
  </r>
  <r>
    <x v="3"/>
    <x v="9"/>
    <x v="128"/>
    <x v="3"/>
    <x v="6"/>
    <n v="7"/>
    <n v="3450"/>
    <n v="0"/>
  </r>
  <r>
    <x v="3"/>
    <x v="9"/>
    <x v="130"/>
    <x v="2"/>
    <x v="0"/>
    <n v="1"/>
    <n v="0"/>
    <n v="0"/>
  </r>
  <r>
    <x v="3"/>
    <x v="9"/>
    <x v="130"/>
    <x v="2"/>
    <x v="1"/>
    <n v="2"/>
    <n v="0"/>
    <n v="0"/>
  </r>
  <r>
    <x v="3"/>
    <x v="9"/>
    <x v="130"/>
    <x v="2"/>
    <x v="2"/>
    <n v="3"/>
    <n v="0"/>
    <n v="0"/>
  </r>
  <r>
    <x v="3"/>
    <x v="9"/>
    <x v="130"/>
    <x v="2"/>
    <x v="3"/>
    <n v="4"/>
    <n v="900"/>
    <n v="0"/>
  </r>
  <r>
    <x v="3"/>
    <x v="9"/>
    <x v="130"/>
    <x v="2"/>
    <x v="4"/>
    <n v="5"/>
    <n v="2000"/>
    <n v="71137.350000000006"/>
  </r>
  <r>
    <x v="3"/>
    <x v="9"/>
    <x v="130"/>
    <x v="2"/>
    <x v="5"/>
    <n v="6"/>
    <n v="2100"/>
    <n v="159630"/>
  </r>
  <r>
    <x v="3"/>
    <x v="9"/>
    <x v="130"/>
    <x v="2"/>
    <x v="6"/>
    <n v="7"/>
    <n v="2300"/>
    <n v="166782.74999999997"/>
  </r>
  <r>
    <x v="3"/>
    <x v="9"/>
    <x v="130"/>
    <x v="3"/>
    <x v="0"/>
    <n v="1"/>
    <n v="0"/>
    <n v="0"/>
  </r>
  <r>
    <x v="3"/>
    <x v="9"/>
    <x v="130"/>
    <x v="3"/>
    <x v="1"/>
    <n v="2"/>
    <n v="0"/>
    <n v="0"/>
  </r>
  <r>
    <x v="3"/>
    <x v="9"/>
    <x v="130"/>
    <x v="3"/>
    <x v="2"/>
    <n v="3"/>
    <n v="0"/>
    <n v="0"/>
  </r>
  <r>
    <x v="3"/>
    <x v="9"/>
    <x v="130"/>
    <x v="3"/>
    <x v="3"/>
    <n v="4"/>
    <n v="1329"/>
    <n v="0"/>
  </r>
  <r>
    <x v="3"/>
    <x v="9"/>
    <x v="130"/>
    <x v="3"/>
    <x v="4"/>
    <n v="5"/>
    <n v="3000"/>
    <n v="0"/>
  </r>
  <r>
    <x v="3"/>
    <x v="9"/>
    <x v="130"/>
    <x v="3"/>
    <x v="5"/>
    <n v="6"/>
    <n v="3125"/>
    <n v="0"/>
  </r>
  <r>
    <x v="3"/>
    <x v="9"/>
    <x v="130"/>
    <x v="3"/>
    <x v="6"/>
    <n v="7"/>
    <n v="3450"/>
    <n v="0"/>
  </r>
  <r>
    <x v="3"/>
    <x v="9"/>
    <x v="131"/>
    <x v="2"/>
    <x v="0"/>
    <n v="1"/>
    <n v="2000"/>
    <n v="0"/>
  </r>
  <r>
    <x v="3"/>
    <x v="9"/>
    <x v="131"/>
    <x v="2"/>
    <x v="1"/>
    <n v="2"/>
    <n v="2000"/>
    <n v="84490"/>
  </r>
  <r>
    <x v="3"/>
    <x v="9"/>
    <x v="131"/>
    <x v="2"/>
    <x v="2"/>
    <n v="3"/>
    <n v="2200"/>
    <n v="65040"/>
  </r>
  <r>
    <x v="3"/>
    <x v="9"/>
    <x v="131"/>
    <x v="2"/>
    <x v="3"/>
    <n v="4"/>
    <n v="1900"/>
    <n v="267463"/>
  </r>
  <r>
    <x v="3"/>
    <x v="9"/>
    <x v="131"/>
    <x v="2"/>
    <x v="4"/>
    <n v="5"/>
    <n v="2000"/>
    <n v="151648.5"/>
  </r>
  <r>
    <x v="3"/>
    <x v="9"/>
    <x v="131"/>
    <x v="2"/>
    <x v="5"/>
    <n v="6"/>
    <n v="2100"/>
    <n v="157442.09999999998"/>
  </r>
  <r>
    <x v="3"/>
    <x v="9"/>
    <x v="131"/>
    <x v="2"/>
    <x v="6"/>
    <n v="7"/>
    <n v="2300"/>
    <n v="167611.5"/>
  </r>
  <r>
    <x v="3"/>
    <x v="9"/>
    <x v="131"/>
    <x v="3"/>
    <x v="0"/>
    <n v="1"/>
    <n v="3000"/>
    <n v="0"/>
  </r>
  <r>
    <x v="3"/>
    <x v="9"/>
    <x v="131"/>
    <x v="3"/>
    <x v="1"/>
    <n v="2"/>
    <n v="3000"/>
    <n v="0"/>
  </r>
  <r>
    <x v="3"/>
    <x v="9"/>
    <x v="131"/>
    <x v="3"/>
    <x v="2"/>
    <n v="3"/>
    <n v="3300"/>
    <n v="0"/>
  </r>
  <r>
    <x v="3"/>
    <x v="9"/>
    <x v="131"/>
    <x v="3"/>
    <x v="3"/>
    <n v="4"/>
    <n v="2850"/>
    <n v="0"/>
  </r>
  <r>
    <x v="3"/>
    <x v="9"/>
    <x v="131"/>
    <x v="3"/>
    <x v="4"/>
    <n v="5"/>
    <n v="2934"/>
    <n v="0"/>
  </r>
  <r>
    <x v="3"/>
    <x v="9"/>
    <x v="131"/>
    <x v="3"/>
    <x v="5"/>
    <n v="6"/>
    <n v="3150"/>
    <n v="0"/>
  </r>
  <r>
    <x v="3"/>
    <x v="9"/>
    <x v="131"/>
    <x v="3"/>
    <x v="6"/>
    <n v="7"/>
    <n v="3450"/>
    <n v="0"/>
  </r>
  <r>
    <x v="3"/>
    <x v="9"/>
    <x v="343"/>
    <x v="2"/>
    <x v="0"/>
    <n v="1"/>
    <n v="0"/>
    <n v="0"/>
  </r>
  <r>
    <x v="3"/>
    <x v="9"/>
    <x v="343"/>
    <x v="2"/>
    <x v="1"/>
    <n v="2"/>
    <n v="0"/>
    <n v="0"/>
  </r>
  <r>
    <x v="3"/>
    <x v="9"/>
    <x v="343"/>
    <x v="2"/>
    <x v="2"/>
    <n v="3"/>
    <n v="0"/>
    <n v="0"/>
  </r>
  <r>
    <x v="3"/>
    <x v="9"/>
    <x v="343"/>
    <x v="2"/>
    <x v="3"/>
    <n v="4"/>
    <n v="0"/>
    <n v="0"/>
  </r>
  <r>
    <x v="3"/>
    <x v="9"/>
    <x v="343"/>
    <x v="2"/>
    <x v="4"/>
    <n v="5"/>
    <n v="0"/>
    <n v="0"/>
  </r>
  <r>
    <x v="3"/>
    <x v="9"/>
    <x v="343"/>
    <x v="2"/>
    <x v="5"/>
    <n v="6"/>
    <n v="1300"/>
    <n v="0"/>
  </r>
  <r>
    <x v="3"/>
    <x v="9"/>
    <x v="343"/>
    <x v="2"/>
    <x v="6"/>
    <n v="7"/>
    <n v="2300"/>
    <n v="103759.5"/>
  </r>
  <r>
    <x v="3"/>
    <x v="9"/>
    <x v="343"/>
    <x v="3"/>
    <x v="0"/>
    <n v="1"/>
    <n v="0"/>
    <n v="0"/>
  </r>
  <r>
    <x v="3"/>
    <x v="9"/>
    <x v="343"/>
    <x v="3"/>
    <x v="1"/>
    <n v="2"/>
    <n v="0"/>
    <n v="0"/>
  </r>
  <r>
    <x v="3"/>
    <x v="9"/>
    <x v="343"/>
    <x v="3"/>
    <x v="2"/>
    <n v="3"/>
    <n v="0"/>
    <n v="0"/>
  </r>
  <r>
    <x v="3"/>
    <x v="9"/>
    <x v="343"/>
    <x v="3"/>
    <x v="3"/>
    <n v="4"/>
    <n v="0"/>
    <n v="0"/>
  </r>
  <r>
    <x v="3"/>
    <x v="9"/>
    <x v="343"/>
    <x v="3"/>
    <x v="4"/>
    <n v="5"/>
    <n v="0"/>
    <n v="0"/>
  </r>
  <r>
    <x v="3"/>
    <x v="9"/>
    <x v="343"/>
    <x v="3"/>
    <x v="5"/>
    <n v="6"/>
    <n v="1950"/>
    <n v="0"/>
  </r>
  <r>
    <x v="3"/>
    <x v="9"/>
    <x v="343"/>
    <x v="3"/>
    <x v="6"/>
    <n v="7"/>
    <n v="3450"/>
    <n v="0"/>
  </r>
  <r>
    <x v="3"/>
    <x v="9"/>
    <x v="133"/>
    <x v="2"/>
    <x v="0"/>
    <n v="1"/>
    <n v="2560"/>
    <n v="0"/>
  </r>
  <r>
    <x v="3"/>
    <x v="9"/>
    <x v="133"/>
    <x v="2"/>
    <x v="1"/>
    <n v="2"/>
    <n v="3200"/>
    <n v="173310"/>
  </r>
  <r>
    <x v="3"/>
    <x v="9"/>
    <x v="133"/>
    <x v="2"/>
    <x v="2"/>
    <n v="3"/>
    <n v="3520"/>
    <n v="167220"/>
  </r>
  <r>
    <x v="3"/>
    <x v="9"/>
    <x v="133"/>
    <x v="2"/>
    <x v="3"/>
    <n v="4"/>
    <n v="3040"/>
    <n v="259069.80000000005"/>
  </r>
  <r>
    <x v="3"/>
    <x v="9"/>
    <x v="133"/>
    <x v="2"/>
    <x v="4"/>
    <n v="5"/>
    <n v="3200"/>
    <n v="223742.1"/>
  </r>
  <r>
    <x v="3"/>
    <x v="9"/>
    <x v="133"/>
    <x v="2"/>
    <x v="5"/>
    <n v="6"/>
    <n v="3360"/>
    <n v="228092.40000000002"/>
  </r>
  <r>
    <x v="3"/>
    <x v="9"/>
    <x v="133"/>
    <x v="2"/>
    <x v="6"/>
    <n v="7"/>
    <n v="3680"/>
    <n v="247293.89999999991"/>
  </r>
  <r>
    <x v="3"/>
    <x v="9"/>
    <x v="133"/>
    <x v="3"/>
    <x v="0"/>
    <n v="1"/>
    <n v="3570"/>
    <n v="0"/>
  </r>
  <r>
    <x v="3"/>
    <x v="9"/>
    <x v="133"/>
    <x v="3"/>
    <x v="1"/>
    <n v="2"/>
    <n v="4200"/>
    <n v="0"/>
  </r>
  <r>
    <x v="3"/>
    <x v="9"/>
    <x v="133"/>
    <x v="3"/>
    <x v="2"/>
    <n v="3"/>
    <n v="4620"/>
    <n v="0"/>
  </r>
  <r>
    <x v="3"/>
    <x v="9"/>
    <x v="133"/>
    <x v="3"/>
    <x v="3"/>
    <n v="4"/>
    <n v="3990"/>
    <n v="0"/>
  </r>
  <r>
    <x v="3"/>
    <x v="9"/>
    <x v="133"/>
    <x v="3"/>
    <x v="4"/>
    <n v="5"/>
    <n v="3976"/>
    <n v="0"/>
  </r>
  <r>
    <x v="3"/>
    <x v="9"/>
    <x v="133"/>
    <x v="3"/>
    <x v="5"/>
    <n v="6"/>
    <n v="4410"/>
    <n v="0"/>
  </r>
  <r>
    <x v="3"/>
    <x v="9"/>
    <x v="133"/>
    <x v="3"/>
    <x v="6"/>
    <n v="7"/>
    <n v="4830"/>
    <n v="0"/>
  </r>
  <r>
    <x v="3"/>
    <x v="10"/>
    <x v="137"/>
    <x v="2"/>
    <x v="0"/>
    <n v="1"/>
    <n v="1200"/>
    <n v="0"/>
  </r>
  <r>
    <x v="3"/>
    <x v="10"/>
    <x v="137"/>
    <x v="2"/>
    <x v="1"/>
    <n v="2"/>
    <n v="1500"/>
    <n v="89025"/>
  </r>
  <r>
    <x v="3"/>
    <x v="10"/>
    <x v="137"/>
    <x v="2"/>
    <x v="2"/>
    <n v="3"/>
    <n v="1650"/>
    <n v="106500"/>
  </r>
  <r>
    <x v="3"/>
    <x v="10"/>
    <x v="137"/>
    <x v="2"/>
    <x v="3"/>
    <n v="4"/>
    <n v="1425"/>
    <n v="159043.5"/>
  </r>
  <r>
    <x v="3"/>
    <x v="10"/>
    <x v="137"/>
    <x v="2"/>
    <x v="4"/>
    <n v="5"/>
    <n v="1500"/>
    <n v="137355.75"/>
  </r>
  <r>
    <x v="3"/>
    <x v="10"/>
    <x v="137"/>
    <x v="2"/>
    <x v="5"/>
    <n v="6"/>
    <n v="1575"/>
    <n v="144585"/>
  </r>
  <r>
    <x v="3"/>
    <x v="10"/>
    <x v="137"/>
    <x v="2"/>
    <x v="6"/>
    <n v="7"/>
    <n v="1725"/>
    <n v="151814.25"/>
  </r>
  <r>
    <x v="3"/>
    <x v="10"/>
    <x v="137"/>
    <x v="3"/>
    <x v="0"/>
    <n v="1"/>
    <n v="2550"/>
    <n v="0"/>
  </r>
  <r>
    <x v="3"/>
    <x v="10"/>
    <x v="137"/>
    <x v="3"/>
    <x v="1"/>
    <n v="2"/>
    <n v="3000"/>
    <n v="0"/>
  </r>
  <r>
    <x v="3"/>
    <x v="10"/>
    <x v="137"/>
    <x v="3"/>
    <x v="2"/>
    <n v="3"/>
    <n v="3300"/>
    <n v="0"/>
  </r>
  <r>
    <x v="3"/>
    <x v="10"/>
    <x v="137"/>
    <x v="3"/>
    <x v="3"/>
    <n v="4"/>
    <n v="2850"/>
    <n v="0"/>
  </r>
  <r>
    <x v="3"/>
    <x v="10"/>
    <x v="137"/>
    <x v="3"/>
    <x v="4"/>
    <n v="5"/>
    <n v="3000"/>
    <n v="0"/>
  </r>
  <r>
    <x v="3"/>
    <x v="10"/>
    <x v="137"/>
    <x v="3"/>
    <x v="5"/>
    <n v="6"/>
    <n v="3150"/>
    <n v="0"/>
  </r>
  <r>
    <x v="3"/>
    <x v="10"/>
    <x v="137"/>
    <x v="3"/>
    <x v="6"/>
    <n v="7"/>
    <n v="3450"/>
    <n v="0"/>
  </r>
  <r>
    <x v="3"/>
    <x v="10"/>
    <x v="138"/>
    <x v="2"/>
    <x v="0"/>
    <n v="1"/>
    <n v="1600"/>
    <n v="0"/>
  </r>
  <r>
    <x v="3"/>
    <x v="10"/>
    <x v="138"/>
    <x v="2"/>
    <x v="1"/>
    <n v="2"/>
    <n v="2000"/>
    <n v="89650"/>
  </r>
  <r>
    <x v="3"/>
    <x v="10"/>
    <x v="138"/>
    <x v="2"/>
    <x v="2"/>
    <n v="3"/>
    <n v="2200"/>
    <n v="191250"/>
  </r>
  <r>
    <x v="3"/>
    <x v="10"/>
    <x v="138"/>
    <x v="2"/>
    <x v="3"/>
    <n v="4"/>
    <n v="1900"/>
    <n v="212058"/>
  </r>
  <r>
    <x v="3"/>
    <x v="10"/>
    <x v="138"/>
    <x v="2"/>
    <x v="4"/>
    <n v="5"/>
    <n v="2000"/>
    <n v="183141"/>
  </r>
  <r>
    <x v="3"/>
    <x v="10"/>
    <x v="138"/>
    <x v="2"/>
    <x v="5"/>
    <n v="6"/>
    <n v="2100"/>
    <n v="192780"/>
  </r>
  <r>
    <x v="3"/>
    <x v="10"/>
    <x v="138"/>
    <x v="2"/>
    <x v="6"/>
    <n v="7"/>
    <n v="1100"/>
    <n v="202419"/>
  </r>
  <r>
    <x v="3"/>
    <x v="10"/>
    <x v="138"/>
    <x v="3"/>
    <x v="0"/>
    <n v="1"/>
    <n v="3400"/>
    <n v="0"/>
  </r>
  <r>
    <x v="3"/>
    <x v="10"/>
    <x v="138"/>
    <x v="3"/>
    <x v="1"/>
    <n v="2"/>
    <n v="4000"/>
    <n v="0"/>
  </r>
  <r>
    <x v="3"/>
    <x v="10"/>
    <x v="138"/>
    <x v="3"/>
    <x v="2"/>
    <n v="3"/>
    <n v="4400"/>
    <n v="0"/>
  </r>
  <r>
    <x v="3"/>
    <x v="10"/>
    <x v="138"/>
    <x v="3"/>
    <x v="3"/>
    <n v="4"/>
    <n v="3800"/>
    <n v="0"/>
  </r>
  <r>
    <x v="3"/>
    <x v="10"/>
    <x v="138"/>
    <x v="3"/>
    <x v="4"/>
    <n v="5"/>
    <n v="4000"/>
    <n v="0"/>
  </r>
  <r>
    <x v="3"/>
    <x v="10"/>
    <x v="138"/>
    <x v="3"/>
    <x v="5"/>
    <n v="6"/>
    <n v="4200"/>
    <n v="0"/>
  </r>
  <r>
    <x v="3"/>
    <x v="10"/>
    <x v="138"/>
    <x v="3"/>
    <x v="6"/>
    <n v="7"/>
    <n v="2200"/>
    <n v="0"/>
  </r>
  <r>
    <x v="3"/>
    <x v="10"/>
    <x v="139"/>
    <x v="2"/>
    <x v="0"/>
    <n v="1"/>
    <n v="2400"/>
    <n v="0"/>
  </r>
  <r>
    <x v="3"/>
    <x v="10"/>
    <x v="139"/>
    <x v="2"/>
    <x v="1"/>
    <n v="2"/>
    <n v="2950"/>
    <n v="89925"/>
  </r>
  <r>
    <x v="3"/>
    <x v="10"/>
    <x v="139"/>
    <x v="2"/>
    <x v="2"/>
    <n v="3"/>
    <n v="2200"/>
    <n v="183750"/>
  </r>
  <r>
    <x v="3"/>
    <x v="10"/>
    <x v="139"/>
    <x v="2"/>
    <x v="3"/>
    <n v="4"/>
    <n v="1900"/>
    <n v="175593"/>
  </r>
  <r>
    <x v="3"/>
    <x v="10"/>
    <x v="139"/>
    <x v="2"/>
    <x v="4"/>
    <n v="5"/>
    <n v="2000"/>
    <n v="151648.5"/>
  </r>
  <r>
    <x v="3"/>
    <x v="10"/>
    <x v="139"/>
    <x v="2"/>
    <x v="5"/>
    <n v="6"/>
    <n v="2100"/>
    <n v="159630"/>
  </r>
  <r>
    <x v="3"/>
    <x v="10"/>
    <x v="139"/>
    <x v="2"/>
    <x v="6"/>
    <n v="7"/>
    <n v="2300"/>
    <n v="167611.5"/>
  </r>
  <r>
    <x v="3"/>
    <x v="10"/>
    <x v="139"/>
    <x v="3"/>
    <x v="0"/>
    <n v="1"/>
    <n v="2550"/>
    <n v="0"/>
  </r>
  <r>
    <x v="3"/>
    <x v="10"/>
    <x v="139"/>
    <x v="3"/>
    <x v="1"/>
    <n v="2"/>
    <n v="3000"/>
    <n v="0"/>
  </r>
  <r>
    <x v="3"/>
    <x v="10"/>
    <x v="139"/>
    <x v="3"/>
    <x v="2"/>
    <n v="3"/>
    <n v="3300"/>
    <n v="0"/>
  </r>
  <r>
    <x v="3"/>
    <x v="10"/>
    <x v="139"/>
    <x v="3"/>
    <x v="3"/>
    <n v="4"/>
    <n v="2850"/>
    <n v="0"/>
  </r>
  <r>
    <x v="3"/>
    <x v="10"/>
    <x v="139"/>
    <x v="3"/>
    <x v="4"/>
    <n v="5"/>
    <n v="3000"/>
    <n v="0"/>
  </r>
  <r>
    <x v="3"/>
    <x v="10"/>
    <x v="139"/>
    <x v="3"/>
    <x v="5"/>
    <n v="6"/>
    <n v="3150"/>
    <n v="0"/>
  </r>
  <r>
    <x v="3"/>
    <x v="10"/>
    <x v="139"/>
    <x v="3"/>
    <x v="6"/>
    <n v="7"/>
    <n v="3450"/>
    <n v="0"/>
  </r>
  <r>
    <x v="3"/>
    <x v="10"/>
    <x v="141"/>
    <x v="2"/>
    <x v="0"/>
    <n v="1"/>
    <n v="0"/>
    <n v="0"/>
  </r>
  <r>
    <x v="3"/>
    <x v="10"/>
    <x v="141"/>
    <x v="2"/>
    <x v="1"/>
    <n v="2"/>
    <n v="0"/>
    <n v="0"/>
  </r>
  <r>
    <x v="3"/>
    <x v="10"/>
    <x v="141"/>
    <x v="2"/>
    <x v="2"/>
    <n v="3"/>
    <n v="1700"/>
    <n v="0"/>
  </r>
  <r>
    <x v="3"/>
    <x v="10"/>
    <x v="141"/>
    <x v="2"/>
    <x v="3"/>
    <n v="4"/>
    <n v="1900"/>
    <n v="132676.5"/>
  </r>
  <r>
    <x v="3"/>
    <x v="10"/>
    <x v="141"/>
    <x v="2"/>
    <x v="4"/>
    <n v="5"/>
    <n v="2000"/>
    <n v="151648.5"/>
  </r>
  <r>
    <x v="3"/>
    <x v="10"/>
    <x v="141"/>
    <x v="2"/>
    <x v="5"/>
    <n v="6"/>
    <n v="2100"/>
    <n v="159630"/>
  </r>
  <r>
    <x v="3"/>
    <x v="10"/>
    <x v="141"/>
    <x v="2"/>
    <x v="6"/>
    <n v="7"/>
    <n v="2300"/>
    <n v="167611.5"/>
  </r>
  <r>
    <x v="3"/>
    <x v="10"/>
    <x v="141"/>
    <x v="3"/>
    <x v="0"/>
    <n v="1"/>
    <n v="0"/>
    <n v="0"/>
  </r>
  <r>
    <x v="3"/>
    <x v="10"/>
    <x v="141"/>
    <x v="3"/>
    <x v="1"/>
    <n v="2"/>
    <n v="0"/>
    <n v="0"/>
  </r>
  <r>
    <x v="3"/>
    <x v="10"/>
    <x v="141"/>
    <x v="3"/>
    <x v="2"/>
    <n v="3"/>
    <n v="2550"/>
    <n v="0"/>
  </r>
  <r>
    <x v="3"/>
    <x v="10"/>
    <x v="141"/>
    <x v="3"/>
    <x v="3"/>
    <n v="4"/>
    <n v="2850"/>
    <n v="0"/>
  </r>
  <r>
    <x v="3"/>
    <x v="10"/>
    <x v="141"/>
    <x v="3"/>
    <x v="4"/>
    <n v="5"/>
    <n v="3000"/>
    <n v="0"/>
  </r>
  <r>
    <x v="3"/>
    <x v="10"/>
    <x v="141"/>
    <x v="3"/>
    <x v="5"/>
    <n v="6"/>
    <n v="3150"/>
    <n v="0"/>
  </r>
  <r>
    <x v="3"/>
    <x v="10"/>
    <x v="141"/>
    <x v="3"/>
    <x v="6"/>
    <n v="7"/>
    <n v="3300"/>
    <n v="0"/>
  </r>
  <r>
    <x v="3"/>
    <x v="10"/>
    <x v="391"/>
    <x v="2"/>
    <x v="0"/>
    <n v="1"/>
    <n v="0"/>
    <n v="0"/>
  </r>
  <r>
    <x v="3"/>
    <x v="10"/>
    <x v="391"/>
    <x v="2"/>
    <x v="1"/>
    <n v="2"/>
    <n v="0"/>
    <n v="0"/>
  </r>
  <r>
    <x v="3"/>
    <x v="10"/>
    <x v="391"/>
    <x v="2"/>
    <x v="2"/>
    <n v="3"/>
    <n v="0"/>
    <n v="0"/>
  </r>
  <r>
    <x v="3"/>
    <x v="10"/>
    <x v="391"/>
    <x v="2"/>
    <x v="3"/>
    <n v="4"/>
    <n v="0"/>
    <n v="0"/>
  </r>
  <r>
    <x v="3"/>
    <x v="10"/>
    <x v="391"/>
    <x v="2"/>
    <x v="4"/>
    <n v="5"/>
    <n v="0"/>
    <n v="0"/>
  </r>
  <r>
    <x v="3"/>
    <x v="10"/>
    <x v="391"/>
    <x v="2"/>
    <x v="5"/>
    <n v="6"/>
    <n v="0"/>
    <n v="0"/>
  </r>
  <r>
    <x v="3"/>
    <x v="10"/>
    <x v="391"/>
    <x v="2"/>
    <x v="6"/>
    <n v="7"/>
    <n v="800"/>
    <n v="0"/>
  </r>
  <r>
    <x v="3"/>
    <x v="10"/>
    <x v="391"/>
    <x v="3"/>
    <x v="0"/>
    <n v="1"/>
    <n v="0"/>
    <n v="0"/>
  </r>
  <r>
    <x v="3"/>
    <x v="10"/>
    <x v="391"/>
    <x v="3"/>
    <x v="1"/>
    <n v="2"/>
    <n v="0"/>
    <n v="0"/>
  </r>
  <r>
    <x v="3"/>
    <x v="10"/>
    <x v="391"/>
    <x v="3"/>
    <x v="2"/>
    <n v="3"/>
    <n v="0"/>
    <n v="0"/>
  </r>
  <r>
    <x v="3"/>
    <x v="10"/>
    <x v="391"/>
    <x v="3"/>
    <x v="3"/>
    <n v="4"/>
    <n v="0"/>
    <n v="0"/>
  </r>
  <r>
    <x v="3"/>
    <x v="10"/>
    <x v="391"/>
    <x v="3"/>
    <x v="4"/>
    <n v="5"/>
    <n v="0"/>
    <n v="0"/>
  </r>
  <r>
    <x v="3"/>
    <x v="10"/>
    <x v="391"/>
    <x v="3"/>
    <x v="5"/>
    <n v="6"/>
    <n v="0"/>
    <n v="0"/>
  </r>
  <r>
    <x v="3"/>
    <x v="10"/>
    <x v="391"/>
    <x v="3"/>
    <x v="6"/>
    <n v="7"/>
    <n v="1200"/>
    <n v="0"/>
  </r>
  <r>
    <x v="3"/>
    <x v="10"/>
    <x v="144"/>
    <x v="2"/>
    <x v="0"/>
    <n v="1"/>
    <n v="0"/>
    <n v="0"/>
  </r>
  <r>
    <x v="3"/>
    <x v="10"/>
    <x v="144"/>
    <x v="2"/>
    <x v="1"/>
    <n v="2"/>
    <n v="0"/>
    <n v="0"/>
  </r>
  <r>
    <x v="3"/>
    <x v="10"/>
    <x v="144"/>
    <x v="2"/>
    <x v="2"/>
    <n v="3"/>
    <n v="0"/>
    <n v="0"/>
  </r>
  <r>
    <x v="3"/>
    <x v="10"/>
    <x v="144"/>
    <x v="2"/>
    <x v="3"/>
    <n v="4"/>
    <n v="0"/>
    <n v="0"/>
  </r>
  <r>
    <x v="3"/>
    <x v="10"/>
    <x v="144"/>
    <x v="2"/>
    <x v="4"/>
    <n v="5"/>
    <n v="0"/>
    <n v="0"/>
  </r>
  <r>
    <x v="3"/>
    <x v="10"/>
    <x v="144"/>
    <x v="2"/>
    <x v="5"/>
    <n v="6"/>
    <n v="0"/>
    <n v="0"/>
  </r>
  <r>
    <x v="3"/>
    <x v="10"/>
    <x v="144"/>
    <x v="2"/>
    <x v="6"/>
    <n v="7"/>
    <n v="2600"/>
    <n v="0"/>
  </r>
  <r>
    <x v="3"/>
    <x v="10"/>
    <x v="144"/>
    <x v="3"/>
    <x v="0"/>
    <n v="1"/>
    <n v="0"/>
    <n v="0"/>
  </r>
  <r>
    <x v="3"/>
    <x v="10"/>
    <x v="144"/>
    <x v="3"/>
    <x v="1"/>
    <n v="2"/>
    <n v="0"/>
    <n v="0"/>
  </r>
  <r>
    <x v="3"/>
    <x v="10"/>
    <x v="144"/>
    <x v="3"/>
    <x v="2"/>
    <n v="3"/>
    <n v="0"/>
    <n v="0"/>
  </r>
  <r>
    <x v="3"/>
    <x v="10"/>
    <x v="144"/>
    <x v="3"/>
    <x v="3"/>
    <n v="4"/>
    <n v="0"/>
    <n v="0"/>
  </r>
  <r>
    <x v="3"/>
    <x v="10"/>
    <x v="144"/>
    <x v="3"/>
    <x v="4"/>
    <n v="5"/>
    <n v="0"/>
    <n v="0"/>
  </r>
  <r>
    <x v="3"/>
    <x v="10"/>
    <x v="144"/>
    <x v="3"/>
    <x v="5"/>
    <n v="6"/>
    <n v="0"/>
    <n v="0"/>
  </r>
  <r>
    <x v="3"/>
    <x v="10"/>
    <x v="144"/>
    <x v="3"/>
    <x v="6"/>
    <n v="7"/>
    <n v="3250"/>
    <n v="0"/>
  </r>
  <r>
    <x v="3"/>
    <x v="10"/>
    <x v="392"/>
    <x v="2"/>
    <x v="0"/>
    <n v="1"/>
    <n v="0"/>
    <n v="0"/>
  </r>
  <r>
    <x v="3"/>
    <x v="10"/>
    <x v="392"/>
    <x v="2"/>
    <x v="1"/>
    <n v="2"/>
    <n v="0"/>
    <n v="0"/>
  </r>
  <r>
    <x v="3"/>
    <x v="10"/>
    <x v="392"/>
    <x v="2"/>
    <x v="2"/>
    <n v="3"/>
    <n v="0"/>
    <n v="0"/>
  </r>
  <r>
    <x v="3"/>
    <x v="10"/>
    <x v="392"/>
    <x v="2"/>
    <x v="3"/>
    <n v="4"/>
    <n v="0"/>
    <n v="0"/>
  </r>
  <r>
    <x v="3"/>
    <x v="10"/>
    <x v="392"/>
    <x v="2"/>
    <x v="4"/>
    <n v="5"/>
    <n v="0"/>
    <n v="0"/>
  </r>
  <r>
    <x v="3"/>
    <x v="10"/>
    <x v="392"/>
    <x v="2"/>
    <x v="5"/>
    <n v="6"/>
    <n v="0"/>
    <n v="0"/>
  </r>
  <r>
    <x v="3"/>
    <x v="10"/>
    <x v="392"/>
    <x v="2"/>
    <x v="6"/>
    <n v="7"/>
    <n v="1950"/>
    <n v="0"/>
  </r>
  <r>
    <x v="3"/>
    <x v="10"/>
    <x v="392"/>
    <x v="3"/>
    <x v="0"/>
    <n v="1"/>
    <n v="0"/>
    <n v="0"/>
  </r>
  <r>
    <x v="3"/>
    <x v="10"/>
    <x v="392"/>
    <x v="3"/>
    <x v="1"/>
    <n v="2"/>
    <n v="0"/>
    <n v="0"/>
  </r>
  <r>
    <x v="3"/>
    <x v="10"/>
    <x v="392"/>
    <x v="3"/>
    <x v="2"/>
    <n v="3"/>
    <n v="0"/>
    <n v="0"/>
  </r>
  <r>
    <x v="3"/>
    <x v="10"/>
    <x v="392"/>
    <x v="3"/>
    <x v="3"/>
    <n v="4"/>
    <n v="0"/>
    <n v="0"/>
  </r>
  <r>
    <x v="3"/>
    <x v="10"/>
    <x v="392"/>
    <x v="3"/>
    <x v="4"/>
    <n v="5"/>
    <n v="0"/>
    <n v="0"/>
  </r>
  <r>
    <x v="3"/>
    <x v="10"/>
    <x v="392"/>
    <x v="3"/>
    <x v="5"/>
    <n v="6"/>
    <n v="0"/>
    <n v="0"/>
  </r>
  <r>
    <x v="3"/>
    <x v="10"/>
    <x v="392"/>
    <x v="3"/>
    <x v="6"/>
    <n v="7"/>
    <n v="2600"/>
    <n v="0"/>
  </r>
  <r>
    <x v="3"/>
    <x v="10"/>
    <x v="393"/>
    <x v="2"/>
    <x v="0"/>
    <n v="1"/>
    <n v="2560"/>
    <n v="0"/>
  </r>
  <r>
    <x v="3"/>
    <x v="10"/>
    <x v="393"/>
    <x v="2"/>
    <x v="1"/>
    <n v="2"/>
    <n v="3200"/>
    <n v="173805"/>
  </r>
  <r>
    <x v="3"/>
    <x v="10"/>
    <x v="393"/>
    <x v="2"/>
    <x v="2"/>
    <n v="3"/>
    <n v="3520"/>
    <n v="168120"/>
  </r>
  <r>
    <x v="3"/>
    <x v="10"/>
    <x v="393"/>
    <x v="2"/>
    <x v="3"/>
    <n v="4"/>
    <n v="3040"/>
    <n v="251776.80000000005"/>
  </r>
  <r>
    <x v="3"/>
    <x v="10"/>
    <x v="393"/>
    <x v="2"/>
    <x v="4"/>
    <n v="5"/>
    <n v="3200"/>
    <n v="216382.8"/>
  </r>
  <r>
    <x v="3"/>
    <x v="10"/>
    <x v="393"/>
    <x v="2"/>
    <x v="5"/>
    <n v="6"/>
    <n v="3360"/>
    <n v="222258"/>
  </r>
  <r>
    <x v="3"/>
    <x v="10"/>
    <x v="393"/>
    <x v="2"/>
    <x v="6"/>
    <n v="7"/>
    <n v="3680"/>
    <n v="240332.39999999991"/>
  </r>
  <r>
    <x v="3"/>
    <x v="10"/>
    <x v="393"/>
    <x v="3"/>
    <x v="0"/>
    <n v="1"/>
    <n v="3400"/>
    <n v="0"/>
  </r>
  <r>
    <x v="3"/>
    <x v="10"/>
    <x v="393"/>
    <x v="3"/>
    <x v="1"/>
    <n v="2"/>
    <n v="4000"/>
    <n v="0"/>
  </r>
  <r>
    <x v="3"/>
    <x v="10"/>
    <x v="393"/>
    <x v="3"/>
    <x v="2"/>
    <n v="3"/>
    <n v="4400"/>
    <n v="0"/>
  </r>
  <r>
    <x v="3"/>
    <x v="10"/>
    <x v="393"/>
    <x v="3"/>
    <x v="3"/>
    <n v="4"/>
    <n v="3768"/>
    <n v="0"/>
  </r>
  <r>
    <x v="3"/>
    <x v="10"/>
    <x v="393"/>
    <x v="3"/>
    <x v="4"/>
    <n v="5"/>
    <n v="3800"/>
    <n v="0"/>
  </r>
  <r>
    <x v="3"/>
    <x v="10"/>
    <x v="393"/>
    <x v="3"/>
    <x v="5"/>
    <n v="6"/>
    <n v="4200"/>
    <n v="0"/>
  </r>
  <r>
    <x v="3"/>
    <x v="10"/>
    <x v="393"/>
    <x v="3"/>
    <x v="6"/>
    <n v="7"/>
    <n v="4600"/>
    <n v="0"/>
  </r>
  <r>
    <x v="3"/>
    <x v="10"/>
    <x v="148"/>
    <x v="2"/>
    <x v="0"/>
    <n v="1"/>
    <n v="0"/>
    <n v="0"/>
  </r>
  <r>
    <x v="3"/>
    <x v="10"/>
    <x v="148"/>
    <x v="2"/>
    <x v="1"/>
    <n v="2"/>
    <n v="0"/>
    <n v="0"/>
  </r>
  <r>
    <x v="3"/>
    <x v="10"/>
    <x v="148"/>
    <x v="2"/>
    <x v="2"/>
    <n v="3"/>
    <n v="0"/>
    <n v="0"/>
  </r>
  <r>
    <x v="3"/>
    <x v="10"/>
    <x v="148"/>
    <x v="2"/>
    <x v="3"/>
    <n v="4"/>
    <n v="0"/>
    <n v="0"/>
  </r>
  <r>
    <x v="3"/>
    <x v="10"/>
    <x v="148"/>
    <x v="2"/>
    <x v="4"/>
    <n v="5"/>
    <n v="800"/>
    <n v="0"/>
  </r>
  <r>
    <x v="3"/>
    <x v="10"/>
    <x v="148"/>
    <x v="2"/>
    <x v="5"/>
    <n v="6"/>
    <n v="2100"/>
    <n v="60080.55"/>
  </r>
  <r>
    <x v="3"/>
    <x v="10"/>
    <x v="148"/>
    <x v="2"/>
    <x v="6"/>
    <n v="7"/>
    <n v="2300"/>
    <n v="167611.5"/>
  </r>
  <r>
    <x v="3"/>
    <x v="10"/>
    <x v="148"/>
    <x v="3"/>
    <x v="0"/>
    <n v="1"/>
    <n v="0"/>
    <n v="0"/>
  </r>
  <r>
    <x v="3"/>
    <x v="10"/>
    <x v="148"/>
    <x v="3"/>
    <x v="1"/>
    <n v="2"/>
    <n v="0"/>
    <n v="0"/>
  </r>
  <r>
    <x v="3"/>
    <x v="10"/>
    <x v="148"/>
    <x v="3"/>
    <x v="2"/>
    <n v="3"/>
    <n v="0"/>
    <n v="0"/>
  </r>
  <r>
    <x v="3"/>
    <x v="10"/>
    <x v="148"/>
    <x v="3"/>
    <x v="3"/>
    <n v="4"/>
    <n v="0"/>
    <n v="0"/>
  </r>
  <r>
    <x v="3"/>
    <x v="10"/>
    <x v="148"/>
    <x v="3"/>
    <x v="4"/>
    <n v="5"/>
    <n v="1177"/>
    <n v="0"/>
  </r>
  <r>
    <x v="3"/>
    <x v="10"/>
    <x v="148"/>
    <x v="3"/>
    <x v="5"/>
    <n v="6"/>
    <n v="3150"/>
    <n v="0"/>
  </r>
  <r>
    <x v="3"/>
    <x v="10"/>
    <x v="148"/>
    <x v="3"/>
    <x v="6"/>
    <n v="7"/>
    <n v="3450"/>
    <n v="0"/>
  </r>
  <r>
    <x v="3"/>
    <x v="10"/>
    <x v="149"/>
    <x v="2"/>
    <x v="0"/>
    <n v="1"/>
    <n v="0"/>
    <n v="0"/>
  </r>
  <r>
    <x v="3"/>
    <x v="10"/>
    <x v="149"/>
    <x v="2"/>
    <x v="1"/>
    <n v="2"/>
    <n v="0"/>
    <n v="0"/>
  </r>
  <r>
    <x v="3"/>
    <x v="10"/>
    <x v="149"/>
    <x v="2"/>
    <x v="2"/>
    <n v="3"/>
    <n v="0"/>
    <n v="0"/>
  </r>
  <r>
    <x v="3"/>
    <x v="10"/>
    <x v="149"/>
    <x v="2"/>
    <x v="3"/>
    <n v="4"/>
    <n v="2175"/>
    <n v="0"/>
  </r>
  <r>
    <x v="3"/>
    <x v="10"/>
    <x v="149"/>
    <x v="2"/>
    <x v="4"/>
    <n v="5"/>
    <n v="2500"/>
    <n v="184785.75"/>
  </r>
  <r>
    <x v="3"/>
    <x v="10"/>
    <x v="149"/>
    <x v="2"/>
    <x v="5"/>
    <n v="6"/>
    <n v="2625"/>
    <n v="207825"/>
  </r>
  <r>
    <x v="3"/>
    <x v="10"/>
    <x v="149"/>
    <x v="2"/>
    <x v="6"/>
    <n v="7"/>
    <n v="2875"/>
    <n v="218216.25"/>
  </r>
  <r>
    <x v="3"/>
    <x v="10"/>
    <x v="149"/>
    <x v="3"/>
    <x v="0"/>
    <n v="1"/>
    <n v="0"/>
    <n v="0"/>
  </r>
  <r>
    <x v="3"/>
    <x v="10"/>
    <x v="149"/>
    <x v="3"/>
    <x v="1"/>
    <n v="2"/>
    <n v="0"/>
    <n v="0"/>
  </r>
  <r>
    <x v="3"/>
    <x v="10"/>
    <x v="149"/>
    <x v="3"/>
    <x v="2"/>
    <n v="3"/>
    <n v="0"/>
    <n v="0"/>
  </r>
  <r>
    <x v="3"/>
    <x v="10"/>
    <x v="149"/>
    <x v="3"/>
    <x v="3"/>
    <n v="4"/>
    <n v="3600"/>
    <n v="0"/>
  </r>
  <r>
    <x v="3"/>
    <x v="10"/>
    <x v="149"/>
    <x v="3"/>
    <x v="4"/>
    <n v="5"/>
    <n v="4000"/>
    <n v="0"/>
  </r>
  <r>
    <x v="3"/>
    <x v="10"/>
    <x v="149"/>
    <x v="3"/>
    <x v="5"/>
    <n v="6"/>
    <n v="4200"/>
    <n v="0"/>
  </r>
  <r>
    <x v="3"/>
    <x v="10"/>
    <x v="149"/>
    <x v="3"/>
    <x v="6"/>
    <n v="7"/>
    <n v="4600"/>
    <n v="0"/>
  </r>
  <r>
    <x v="3"/>
    <x v="10"/>
    <x v="394"/>
    <x v="2"/>
    <x v="0"/>
    <n v="1"/>
    <n v="0"/>
    <n v="0"/>
  </r>
  <r>
    <x v="3"/>
    <x v="10"/>
    <x v="394"/>
    <x v="2"/>
    <x v="1"/>
    <n v="2"/>
    <n v="0"/>
    <n v="0"/>
  </r>
  <r>
    <x v="3"/>
    <x v="10"/>
    <x v="394"/>
    <x v="2"/>
    <x v="2"/>
    <n v="3"/>
    <n v="0"/>
    <n v="0"/>
  </r>
  <r>
    <x v="3"/>
    <x v="10"/>
    <x v="394"/>
    <x v="2"/>
    <x v="3"/>
    <n v="4"/>
    <n v="0"/>
    <n v="0"/>
  </r>
  <r>
    <x v="3"/>
    <x v="10"/>
    <x v="394"/>
    <x v="2"/>
    <x v="4"/>
    <n v="5"/>
    <n v="0"/>
    <n v="0"/>
  </r>
  <r>
    <x v="3"/>
    <x v="10"/>
    <x v="394"/>
    <x v="2"/>
    <x v="5"/>
    <n v="6"/>
    <n v="1700"/>
    <n v="0"/>
  </r>
  <r>
    <x v="3"/>
    <x v="10"/>
    <x v="394"/>
    <x v="2"/>
    <x v="6"/>
    <n v="7"/>
    <n v="2300"/>
    <n v="135685.5"/>
  </r>
  <r>
    <x v="3"/>
    <x v="10"/>
    <x v="394"/>
    <x v="3"/>
    <x v="0"/>
    <n v="1"/>
    <n v="0"/>
    <n v="0"/>
  </r>
  <r>
    <x v="3"/>
    <x v="10"/>
    <x v="394"/>
    <x v="3"/>
    <x v="1"/>
    <n v="2"/>
    <n v="0"/>
    <n v="0"/>
  </r>
  <r>
    <x v="3"/>
    <x v="10"/>
    <x v="394"/>
    <x v="3"/>
    <x v="2"/>
    <n v="3"/>
    <n v="0"/>
    <n v="0"/>
  </r>
  <r>
    <x v="3"/>
    <x v="10"/>
    <x v="394"/>
    <x v="3"/>
    <x v="3"/>
    <n v="4"/>
    <n v="0"/>
    <n v="0"/>
  </r>
  <r>
    <x v="3"/>
    <x v="10"/>
    <x v="394"/>
    <x v="3"/>
    <x v="4"/>
    <n v="5"/>
    <n v="0"/>
    <n v="0"/>
  </r>
  <r>
    <x v="3"/>
    <x v="10"/>
    <x v="394"/>
    <x v="3"/>
    <x v="5"/>
    <n v="6"/>
    <n v="2550"/>
    <n v="0"/>
  </r>
  <r>
    <x v="3"/>
    <x v="10"/>
    <x v="394"/>
    <x v="3"/>
    <x v="6"/>
    <n v="7"/>
    <n v="3450"/>
    <n v="0"/>
  </r>
  <r>
    <x v="3"/>
    <x v="22"/>
    <x v="98"/>
    <x v="2"/>
    <x v="0"/>
    <n v="1"/>
    <n v="1600"/>
    <n v="0"/>
  </r>
  <r>
    <x v="3"/>
    <x v="22"/>
    <x v="98"/>
    <x v="2"/>
    <x v="1"/>
    <n v="2"/>
    <n v="2000"/>
    <n v="89700"/>
  </r>
  <r>
    <x v="3"/>
    <x v="22"/>
    <x v="98"/>
    <x v="2"/>
    <x v="2"/>
    <n v="3"/>
    <n v="2200"/>
    <n v="169800"/>
  </r>
  <r>
    <x v="3"/>
    <x v="22"/>
    <x v="98"/>
    <x v="2"/>
    <x v="3"/>
    <n v="4"/>
    <n v="1900"/>
    <n v="196251"/>
  </r>
  <r>
    <x v="3"/>
    <x v="22"/>
    <x v="98"/>
    <x v="2"/>
    <x v="4"/>
    <n v="5"/>
    <n v="2000"/>
    <n v="169489.5"/>
  </r>
  <r>
    <x v="3"/>
    <x v="22"/>
    <x v="98"/>
    <x v="2"/>
    <x v="5"/>
    <n v="6"/>
    <n v="2100"/>
    <n v="178410"/>
  </r>
  <r>
    <x v="3"/>
    <x v="22"/>
    <x v="98"/>
    <x v="2"/>
    <x v="6"/>
    <n v="7"/>
    <n v="2300"/>
    <n v="187330.5"/>
  </r>
  <r>
    <x v="3"/>
    <x v="22"/>
    <x v="98"/>
    <x v="3"/>
    <x v="0"/>
    <n v="1"/>
    <n v="2550"/>
    <n v="0"/>
  </r>
  <r>
    <x v="3"/>
    <x v="22"/>
    <x v="98"/>
    <x v="3"/>
    <x v="1"/>
    <n v="2"/>
    <n v="3000"/>
    <n v="0"/>
  </r>
  <r>
    <x v="3"/>
    <x v="22"/>
    <x v="98"/>
    <x v="3"/>
    <x v="2"/>
    <n v="3"/>
    <n v="3300"/>
    <n v="0"/>
  </r>
  <r>
    <x v="3"/>
    <x v="22"/>
    <x v="98"/>
    <x v="3"/>
    <x v="3"/>
    <n v="4"/>
    <n v="2850"/>
    <n v="0"/>
  </r>
  <r>
    <x v="3"/>
    <x v="22"/>
    <x v="98"/>
    <x v="3"/>
    <x v="4"/>
    <n v="5"/>
    <n v="3000"/>
    <n v="0"/>
  </r>
  <r>
    <x v="3"/>
    <x v="22"/>
    <x v="98"/>
    <x v="3"/>
    <x v="5"/>
    <n v="6"/>
    <n v="3150"/>
    <n v="0"/>
  </r>
  <r>
    <x v="3"/>
    <x v="22"/>
    <x v="98"/>
    <x v="3"/>
    <x v="6"/>
    <n v="7"/>
    <n v="3450"/>
    <n v="0"/>
  </r>
  <r>
    <x v="3"/>
    <x v="22"/>
    <x v="155"/>
    <x v="2"/>
    <x v="0"/>
    <n v="1"/>
    <n v="2400"/>
    <n v="0"/>
  </r>
  <r>
    <x v="3"/>
    <x v="22"/>
    <x v="155"/>
    <x v="2"/>
    <x v="1"/>
    <n v="2"/>
    <n v="3000"/>
    <n v="173000"/>
  </r>
  <r>
    <x v="3"/>
    <x v="22"/>
    <x v="155"/>
    <x v="2"/>
    <x v="2"/>
    <n v="3"/>
    <n v="3300"/>
    <n v="166950"/>
  </r>
  <r>
    <x v="3"/>
    <x v="22"/>
    <x v="155"/>
    <x v="2"/>
    <x v="3"/>
    <n v="4"/>
    <n v="2850"/>
    <n v="273999"/>
  </r>
  <r>
    <x v="3"/>
    <x v="22"/>
    <x v="155"/>
    <x v="2"/>
    <x v="4"/>
    <n v="5"/>
    <n v="3000"/>
    <n v="236635.5"/>
  </r>
  <r>
    <x v="3"/>
    <x v="22"/>
    <x v="155"/>
    <x v="2"/>
    <x v="5"/>
    <n v="6"/>
    <n v="3150"/>
    <n v="249090"/>
  </r>
  <r>
    <x v="3"/>
    <x v="22"/>
    <x v="155"/>
    <x v="2"/>
    <x v="6"/>
    <n v="7"/>
    <n v="3450"/>
    <n v="261544.5"/>
  </r>
  <r>
    <x v="3"/>
    <x v="22"/>
    <x v="155"/>
    <x v="3"/>
    <x v="0"/>
    <n v="1"/>
    <n v="3400"/>
    <n v="0"/>
  </r>
  <r>
    <x v="3"/>
    <x v="22"/>
    <x v="155"/>
    <x v="3"/>
    <x v="1"/>
    <n v="2"/>
    <n v="4000"/>
    <n v="0"/>
  </r>
  <r>
    <x v="3"/>
    <x v="22"/>
    <x v="155"/>
    <x v="3"/>
    <x v="2"/>
    <n v="3"/>
    <n v="4400"/>
    <n v="0"/>
  </r>
  <r>
    <x v="3"/>
    <x v="22"/>
    <x v="155"/>
    <x v="3"/>
    <x v="3"/>
    <n v="4"/>
    <n v="3800"/>
    <n v="0"/>
  </r>
  <r>
    <x v="3"/>
    <x v="22"/>
    <x v="155"/>
    <x v="3"/>
    <x v="4"/>
    <n v="5"/>
    <n v="4000"/>
    <n v="0"/>
  </r>
  <r>
    <x v="3"/>
    <x v="22"/>
    <x v="155"/>
    <x v="3"/>
    <x v="5"/>
    <n v="6"/>
    <n v="4200"/>
    <n v="0"/>
  </r>
  <r>
    <x v="3"/>
    <x v="22"/>
    <x v="155"/>
    <x v="3"/>
    <x v="6"/>
    <n v="7"/>
    <n v="4573"/>
    <n v="0"/>
  </r>
  <r>
    <x v="3"/>
    <x v="22"/>
    <x v="156"/>
    <x v="2"/>
    <x v="0"/>
    <n v="1"/>
    <n v="2400"/>
    <n v="0"/>
  </r>
  <r>
    <x v="3"/>
    <x v="22"/>
    <x v="156"/>
    <x v="2"/>
    <x v="1"/>
    <n v="2"/>
    <n v="3000"/>
    <n v="173000"/>
  </r>
  <r>
    <x v="3"/>
    <x v="22"/>
    <x v="156"/>
    <x v="2"/>
    <x v="2"/>
    <n v="3"/>
    <n v="3300"/>
    <n v="166950"/>
  </r>
  <r>
    <x v="3"/>
    <x v="22"/>
    <x v="156"/>
    <x v="2"/>
    <x v="3"/>
    <n v="4"/>
    <n v="2850"/>
    <n v="273999"/>
  </r>
  <r>
    <x v="3"/>
    <x v="22"/>
    <x v="156"/>
    <x v="2"/>
    <x v="4"/>
    <n v="5"/>
    <n v="3000"/>
    <n v="236635.5"/>
  </r>
  <r>
    <x v="3"/>
    <x v="22"/>
    <x v="156"/>
    <x v="2"/>
    <x v="5"/>
    <n v="6"/>
    <n v="3150"/>
    <n v="249090"/>
  </r>
  <r>
    <x v="3"/>
    <x v="22"/>
    <x v="156"/>
    <x v="2"/>
    <x v="6"/>
    <n v="7"/>
    <n v="3450"/>
    <n v="261544.5"/>
  </r>
  <r>
    <x v="3"/>
    <x v="22"/>
    <x v="156"/>
    <x v="3"/>
    <x v="0"/>
    <n v="1"/>
    <n v="3400"/>
    <n v="0"/>
  </r>
  <r>
    <x v="3"/>
    <x v="22"/>
    <x v="156"/>
    <x v="3"/>
    <x v="1"/>
    <n v="2"/>
    <n v="4000"/>
    <n v="0"/>
  </r>
  <r>
    <x v="3"/>
    <x v="22"/>
    <x v="156"/>
    <x v="3"/>
    <x v="2"/>
    <n v="3"/>
    <n v="4400"/>
    <n v="0"/>
  </r>
  <r>
    <x v="3"/>
    <x v="22"/>
    <x v="156"/>
    <x v="3"/>
    <x v="3"/>
    <n v="4"/>
    <n v="3800"/>
    <n v="0"/>
  </r>
  <r>
    <x v="3"/>
    <x v="22"/>
    <x v="156"/>
    <x v="3"/>
    <x v="4"/>
    <n v="5"/>
    <n v="4000"/>
    <n v="0"/>
  </r>
  <r>
    <x v="3"/>
    <x v="22"/>
    <x v="156"/>
    <x v="3"/>
    <x v="5"/>
    <n v="6"/>
    <n v="4200"/>
    <n v="0"/>
  </r>
  <r>
    <x v="3"/>
    <x v="22"/>
    <x v="156"/>
    <x v="3"/>
    <x v="6"/>
    <n v="7"/>
    <n v="4600"/>
    <n v="0"/>
  </r>
  <r>
    <x v="3"/>
    <x v="22"/>
    <x v="158"/>
    <x v="2"/>
    <x v="0"/>
    <n v="1"/>
    <n v="1600"/>
    <n v="0"/>
  </r>
  <r>
    <x v="3"/>
    <x v="22"/>
    <x v="158"/>
    <x v="2"/>
    <x v="1"/>
    <n v="2"/>
    <n v="2000"/>
    <n v="138675"/>
  </r>
  <r>
    <x v="3"/>
    <x v="22"/>
    <x v="158"/>
    <x v="2"/>
    <x v="2"/>
    <n v="3"/>
    <n v="2200"/>
    <n v="127350"/>
  </r>
  <r>
    <x v="3"/>
    <x v="22"/>
    <x v="158"/>
    <x v="2"/>
    <x v="3"/>
    <n v="4"/>
    <n v="2250"/>
    <n v="196251"/>
  </r>
  <r>
    <x v="3"/>
    <x v="22"/>
    <x v="158"/>
    <x v="2"/>
    <x v="4"/>
    <n v="5"/>
    <n v="2500"/>
    <n v="194227.5"/>
  </r>
  <r>
    <x v="3"/>
    <x v="22"/>
    <x v="158"/>
    <x v="2"/>
    <x v="5"/>
    <n v="6"/>
    <n v="2625"/>
    <n v="213750"/>
  </r>
  <r>
    <x v="3"/>
    <x v="22"/>
    <x v="158"/>
    <x v="2"/>
    <x v="6"/>
    <n v="7"/>
    <n v="2875"/>
    <n v="224437.5"/>
  </r>
  <r>
    <x v="3"/>
    <x v="22"/>
    <x v="158"/>
    <x v="3"/>
    <x v="0"/>
    <n v="1"/>
    <n v="2550"/>
    <n v="0"/>
  </r>
  <r>
    <x v="3"/>
    <x v="22"/>
    <x v="158"/>
    <x v="3"/>
    <x v="1"/>
    <n v="2"/>
    <n v="3000"/>
    <n v="0"/>
  </r>
  <r>
    <x v="3"/>
    <x v="22"/>
    <x v="158"/>
    <x v="3"/>
    <x v="2"/>
    <n v="3"/>
    <n v="3300"/>
    <n v="0"/>
  </r>
  <r>
    <x v="3"/>
    <x v="22"/>
    <x v="158"/>
    <x v="3"/>
    <x v="3"/>
    <n v="4"/>
    <n v="3200"/>
    <n v="0"/>
  </r>
  <r>
    <x v="3"/>
    <x v="22"/>
    <x v="158"/>
    <x v="3"/>
    <x v="4"/>
    <n v="5"/>
    <n v="3500"/>
    <n v="0"/>
  </r>
  <r>
    <x v="3"/>
    <x v="22"/>
    <x v="158"/>
    <x v="3"/>
    <x v="5"/>
    <n v="6"/>
    <n v="3675"/>
    <n v="0"/>
  </r>
  <r>
    <x v="3"/>
    <x v="22"/>
    <x v="158"/>
    <x v="3"/>
    <x v="6"/>
    <n v="7"/>
    <n v="4025"/>
    <n v="0"/>
  </r>
  <r>
    <x v="3"/>
    <x v="22"/>
    <x v="160"/>
    <x v="2"/>
    <x v="0"/>
    <n v="1"/>
    <n v="0"/>
    <n v="0"/>
  </r>
  <r>
    <x v="3"/>
    <x v="22"/>
    <x v="160"/>
    <x v="2"/>
    <x v="1"/>
    <n v="2"/>
    <n v="0"/>
    <n v="0"/>
  </r>
  <r>
    <x v="3"/>
    <x v="22"/>
    <x v="160"/>
    <x v="2"/>
    <x v="2"/>
    <n v="3"/>
    <n v="1600"/>
    <n v="0"/>
  </r>
  <r>
    <x v="3"/>
    <x v="22"/>
    <x v="160"/>
    <x v="2"/>
    <x v="3"/>
    <n v="4"/>
    <n v="1900"/>
    <n v="139365"/>
  </r>
  <r>
    <x v="3"/>
    <x v="22"/>
    <x v="160"/>
    <x v="2"/>
    <x v="4"/>
    <n v="5"/>
    <n v="2000"/>
    <n v="169489.5"/>
  </r>
  <r>
    <x v="3"/>
    <x v="22"/>
    <x v="160"/>
    <x v="2"/>
    <x v="5"/>
    <n v="6"/>
    <n v="2100"/>
    <n v="178410"/>
  </r>
  <r>
    <x v="3"/>
    <x v="22"/>
    <x v="160"/>
    <x v="2"/>
    <x v="6"/>
    <n v="7"/>
    <n v="2273"/>
    <n v="187330.5"/>
  </r>
  <r>
    <x v="3"/>
    <x v="22"/>
    <x v="160"/>
    <x v="3"/>
    <x v="0"/>
    <n v="1"/>
    <n v="0"/>
    <n v="0"/>
  </r>
  <r>
    <x v="3"/>
    <x v="22"/>
    <x v="160"/>
    <x v="3"/>
    <x v="1"/>
    <n v="2"/>
    <n v="0"/>
    <n v="0"/>
  </r>
  <r>
    <x v="3"/>
    <x v="22"/>
    <x v="160"/>
    <x v="3"/>
    <x v="2"/>
    <n v="3"/>
    <n v="2400"/>
    <n v="0"/>
  </r>
  <r>
    <x v="3"/>
    <x v="22"/>
    <x v="160"/>
    <x v="3"/>
    <x v="3"/>
    <n v="4"/>
    <n v="2850"/>
    <n v="0"/>
  </r>
  <r>
    <x v="3"/>
    <x v="22"/>
    <x v="160"/>
    <x v="3"/>
    <x v="4"/>
    <n v="5"/>
    <n v="3000"/>
    <n v="0"/>
  </r>
  <r>
    <x v="3"/>
    <x v="22"/>
    <x v="160"/>
    <x v="3"/>
    <x v="5"/>
    <n v="6"/>
    <n v="3150"/>
    <n v="0"/>
  </r>
  <r>
    <x v="3"/>
    <x v="22"/>
    <x v="160"/>
    <x v="3"/>
    <x v="6"/>
    <n v="7"/>
    <n v="3450"/>
    <n v="0"/>
  </r>
  <r>
    <x v="3"/>
    <x v="22"/>
    <x v="161"/>
    <x v="2"/>
    <x v="0"/>
    <n v="1"/>
    <n v="0"/>
    <n v="0"/>
  </r>
  <r>
    <x v="3"/>
    <x v="22"/>
    <x v="161"/>
    <x v="2"/>
    <x v="1"/>
    <n v="2"/>
    <n v="0"/>
    <n v="0"/>
  </r>
  <r>
    <x v="3"/>
    <x v="22"/>
    <x v="161"/>
    <x v="2"/>
    <x v="2"/>
    <n v="3"/>
    <n v="0"/>
    <n v="0"/>
  </r>
  <r>
    <x v="3"/>
    <x v="22"/>
    <x v="161"/>
    <x v="2"/>
    <x v="3"/>
    <n v="4"/>
    <n v="0"/>
    <n v="0"/>
  </r>
  <r>
    <x v="3"/>
    <x v="22"/>
    <x v="161"/>
    <x v="2"/>
    <x v="4"/>
    <n v="5"/>
    <n v="1800"/>
    <n v="0"/>
  </r>
  <r>
    <x v="3"/>
    <x v="22"/>
    <x v="161"/>
    <x v="2"/>
    <x v="5"/>
    <n v="6"/>
    <n v="2100"/>
    <n v="160569"/>
  </r>
  <r>
    <x v="3"/>
    <x v="22"/>
    <x v="161"/>
    <x v="2"/>
    <x v="6"/>
    <n v="7"/>
    <n v="2300"/>
    <n v="187330.5"/>
  </r>
  <r>
    <x v="3"/>
    <x v="22"/>
    <x v="161"/>
    <x v="3"/>
    <x v="0"/>
    <n v="1"/>
    <n v="0"/>
    <n v="0"/>
  </r>
  <r>
    <x v="3"/>
    <x v="22"/>
    <x v="161"/>
    <x v="3"/>
    <x v="1"/>
    <n v="2"/>
    <n v="0"/>
    <n v="0"/>
  </r>
  <r>
    <x v="3"/>
    <x v="22"/>
    <x v="161"/>
    <x v="3"/>
    <x v="2"/>
    <n v="3"/>
    <n v="0"/>
    <n v="0"/>
  </r>
  <r>
    <x v="3"/>
    <x v="22"/>
    <x v="161"/>
    <x v="3"/>
    <x v="3"/>
    <n v="4"/>
    <n v="0"/>
    <n v="0"/>
  </r>
  <r>
    <x v="3"/>
    <x v="22"/>
    <x v="161"/>
    <x v="3"/>
    <x v="4"/>
    <n v="5"/>
    <n v="2700"/>
    <n v="0"/>
  </r>
  <r>
    <x v="3"/>
    <x v="22"/>
    <x v="161"/>
    <x v="3"/>
    <x v="5"/>
    <n v="6"/>
    <n v="3150"/>
    <n v="0"/>
  </r>
  <r>
    <x v="3"/>
    <x v="22"/>
    <x v="161"/>
    <x v="3"/>
    <x v="6"/>
    <n v="7"/>
    <n v="3450"/>
    <n v="0"/>
  </r>
  <r>
    <x v="3"/>
    <x v="22"/>
    <x v="157"/>
    <x v="2"/>
    <x v="0"/>
    <n v="1"/>
    <n v="0"/>
    <n v="0"/>
  </r>
  <r>
    <x v="3"/>
    <x v="22"/>
    <x v="157"/>
    <x v="2"/>
    <x v="1"/>
    <n v="2"/>
    <n v="0"/>
    <n v="0"/>
  </r>
  <r>
    <x v="3"/>
    <x v="22"/>
    <x v="157"/>
    <x v="2"/>
    <x v="2"/>
    <n v="3"/>
    <n v="0"/>
    <n v="0"/>
  </r>
  <r>
    <x v="3"/>
    <x v="22"/>
    <x v="157"/>
    <x v="2"/>
    <x v="3"/>
    <n v="4"/>
    <n v="0"/>
    <n v="0"/>
  </r>
  <r>
    <x v="3"/>
    <x v="22"/>
    <x v="157"/>
    <x v="2"/>
    <x v="4"/>
    <n v="5"/>
    <n v="300"/>
    <n v="0"/>
  </r>
  <r>
    <x v="3"/>
    <x v="22"/>
    <x v="157"/>
    <x v="2"/>
    <x v="5"/>
    <n v="6"/>
    <n v="2400"/>
    <n v="0"/>
  </r>
  <r>
    <x v="3"/>
    <x v="22"/>
    <x v="157"/>
    <x v="2"/>
    <x v="6"/>
    <n v="7"/>
    <n v="2300"/>
    <n v="214092"/>
  </r>
  <r>
    <x v="3"/>
    <x v="22"/>
    <x v="157"/>
    <x v="3"/>
    <x v="0"/>
    <n v="1"/>
    <n v="0"/>
    <n v="0"/>
  </r>
  <r>
    <x v="3"/>
    <x v="22"/>
    <x v="157"/>
    <x v="3"/>
    <x v="1"/>
    <n v="2"/>
    <n v="0"/>
    <n v="0"/>
  </r>
  <r>
    <x v="3"/>
    <x v="22"/>
    <x v="157"/>
    <x v="3"/>
    <x v="2"/>
    <n v="3"/>
    <n v="0"/>
    <n v="0"/>
  </r>
  <r>
    <x v="3"/>
    <x v="22"/>
    <x v="157"/>
    <x v="3"/>
    <x v="3"/>
    <n v="4"/>
    <n v="0"/>
    <n v="0"/>
  </r>
  <r>
    <x v="3"/>
    <x v="22"/>
    <x v="157"/>
    <x v="3"/>
    <x v="4"/>
    <n v="5"/>
    <n v="450"/>
    <n v="0"/>
  </r>
  <r>
    <x v="3"/>
    <x v="22"/>
    <x v="157"/>
    <x v="3"/>
    <x v="5"/>
    <n v="6"/>
    <n v="3600"/>
    <n v="0"/>
  </r>
  <r>
    <x v="3"/>
    <x v="22"/>
    <x v="157"/>
    <x v="3"/>
    <x v="6"/>
    <n v="7"/>
    <n v="3450"/>
    <n v="0"/>
  </r>
  <r>
    <x v="3"/>
    <x v="22"/>
    <x v="159"/>
    <x v="2"/>
    <x v="0"/>
    <n v="1"/>
    <n v="0"/>
    <n v="0"/>
  </r>
  <r>
    <x v="3"/>
    <x v="22"/>
    <x v="159"/>
    <x v="2"/>
    <x v="1"/>
    <n v="2"/>
    <n v="0"/>
    <n v="0"/>
  </r>
  <r>
    <x v="3"/>
    <x v="22"/>
    <x v="159"/>
    <x v="2"/>
    <x v="2"/>
    <n v="3"/>
    <n v="0"/>
    <n v="0"/>
  </r>
  <r>
    <x v="3"/>
    <x v="22"/>
    <x v="159"/>
    <x v="2"/>
    <x v="3"/>
    <n v="4"/>
    <n v="0"/>
    <n v="0"/>
  </r>
  <r>
    <x v="3"/>
    <x v="22"/>
    <x v="159"/>
    <x v="2"/>
    <x v="4"/>
    <n v="5"/>
    <n v="800"/>
    <n v="0"/>
  </r>
  <r>
    <x v="3"/>
    <x v="22"/>
    <x v="159"/>
    <x v="2"/>
    <x v="5"/>
    <n v="6"/>
    <n v="2100"/>
    <n v="71364"/>
  </r>
  <r>
    <x v="3"/>
    <x v="22"/>
    <x v="159"/>
    <x v="2"/>
    <x v="6"/>
    <n v="7"/>
    <n v="2300"/>
    <n v="187330.5"/>
  </r>
  <r>
    <x v="3"/>
    <x v="22"/>
    <x v="159"/>
    <x v="3"/>
    <x v="0"/>
    <n v="1"/>
    <n v="0"/>
    <n v="0"/>
  </r>
  <r>
    <x v="3"/>
    <x v="22"/>
    <x v="159"/>
    <x v="3"/>
    <x v="1"/>
    <n v="2"/>
    <n v="0"/>
    <n v="0"/>
  </r>
  <r>
    <x v="3"/>
    <x v="22"/>
    <x v="159"/>
    <x v="3"/>
    <x v="2"/>
    <n v="3"/>
    <n v="0"/>
    <n v="0"/>
  </r>
  <r>
    <x v="3"/>
    <x v="22"/>
    <x v="159"/>
    <x v="3"/>
    <x v="3"/>
    <n v="4"/>
    <n v="0"/>
    <n v="0"/>
  </r>
  <r>
    <x v="3"/>
    <x v="22"/>
    <x v="159"/>
    <x v="3"/>
    <x v="4"/>
    <n v="5"/>
    <n v="1200"/>
    <n v="0"/>
  </r>
  <r>
    <x v="3"/>
    <x v="22"/>
    <x v="159"/>
    <x v="3"/>
    <x v="5"/>
    <n v="6"/>
    <n v="3150"/>
    <n v="0"/>
  </r>
  <r>
    <x v="3"/>
    <x v="22"/>
    <x v="159"/>
    <x v="3"/>
    <x v="6"/>
    <n v="7"/>
    <n v="3450"/>
    <n v="0"/>
  </r>
  <r>
    <x v="3"/>
    <x v="12"/>
    <x v="165"/>
    <x v="2"/>
    <x v="0"/>
    <n v="1"/>
    <n v="2700"/>
    <n v="0"/>
  </r>
  <r>
    <x v="3"/>
    <x v="12"/>
    <x v="165"/>
    <x v="2"/>
    <x v="1"/>
    <n v="2"/>
    <n v="2750"/>
    <n v="0"/>
  </r>
  <r>
    <x v="3"/>
    <x v="12"/>
    <x v="165"/>
    <x v="2"/>
    <x v="2"/>
    <n v="3"/>
    <n v="2200"/>
    <n v="472948"/>
  </r>
  <r>
    <x v="3"/>
    <x v="12"/>
    <x v="165"/>
    <x v="2"/>
    <x v="3"/>
    <n v="4"/>
    <n v="1900"/>
    <n v="171450"/>
  </r>
  <r>
    <x v="3"/>
    <x v="12"/>
    <x v="165"/>
    <x v="2"/>
    <x v="4"/>
    <n v="5"/>
    <n v="2000"/>
    <n v="120650"/>
  </r>
  <r>
    <x v="3"/>
    <x v="12"/>
    <x v="165"/>
    <x v="2"/>
    <x v="5"/>
    <n v="6"/>
    <n v="2100"/>
    <n v="127000"/>
  </r>
  <r>
    <x v="3"/>
    <x v="12"/>
    <x v="165"/>
    <x v="2"/>
    <x v="6"/>
    <n v="7"/>
    <n v="2300"/>
    <n v="133350"/>
  </r>
  <r>
    <x v="3"/>
    <x v="12"/>
    <x v="165"/>
    <x v="3"/>
    <x v="0"/>
    <n v="1"/>
    <n v="4750"/>
    <n v="0"/>
  </r>
  <r>
    <x v="3"/>
    <x v="12"/>
    <x v="165"/>
    <x v="3"/>
    <x v="1"/>
    <n v="2"/>
    <n v="4500"/>
    <n v="0"/>
  </r>
  <r>
    <x v="3"/>
    <x v="12"/>
    <x v="165"/>
    <x v="3"/>
    <x v="2"/>
    <n v="3"/>
    <n v="3300"/>
    <n v="0"/>
  </r>
  <r>
    <x v="3"/>
    <x v="12"/>
    <x v="165"/>
    <x v="3"/>
    <x v="3"/>
    <n v="4"/>
    <n v="2850"/>
    <n v="0"/>
  </r>
  <r>
    <x v="3"/>
    <x v="12"/>
    <x v="165"/>
    <x v="3"/>
    <x v="4"/>
    <n v="5"/>
    <n v="3000"/>
    <n v="0"/>
  </r>
  <r>
    <x v="3"/>
    <x v="12"/>
    <x v="165"/>
    <x v="3"/>
    <x v="5"/>
    <n v="6"/>
    <n v="3150"/>
    <n v="0"/>
  </r>
  <r>
    <x v="3"/>
    <x v="12"/>
    <x v="165"/>
    <x v="3"/>
    <x v="6"/>
    <n v="7"/>
    <n v="3450"/>
    <n v="0"/>
  </r>
  <r>
    <x v="3"/>
    <x v="12"/>
    <x v="395"/>
    <x v="2"/>
    <x v="0"/>
    <n v="1"/>
    <n v="0"/>
    <n v="0"/>
  </r>
  <r>
    <x v="3"/>
    <x v="12"/>
    <x v="395"/>
    <x v="2"/>
    <x v="1"/>
    <n v="2"/>
    <n v="0"/>
    <n v="0"/>
  </r>
  <r>
    <x v="3"/>
    <x v="12"/>
    <x v="395"/>
    <x v="2"/>
    <x v="2"/>
    <n v="3"/>
    <n v="0"/>
    <n v="0"/>
  </r>
  <r>
    <x v="3"/>
    <x v="12"/>
    <x v="395"/>
    <x v="2"/>
    <x v="3"/>
    <n v="4"/>
    <n v="0"/>
    <n v="0"/>
  </r>
  <r>
    <x v="3"/>
    <x v="12"/>
    <x v="395"/>
    <x v="2"/>
    <x v="4"/>
    <n v="5"/>
    <n v="0"/>
    <n v="0"/>
  </r>
  <r>
    <x v="3"/>
    <x v="12"/>
    <x v="395"/>
    <x v="2"/>
    <x v="5"/>
    <n v="6"/>
    <n v="0"/>
    <n v="0"/>
  </r>
  <r>
    <x v="3"/>
    <x v="12"/>
    <x v="395"/>
    <x v="2"/>
    <x v="6"/>
    <n v="7"/>
    <n v="2366"/>
    <n v="0"/>
  </r>
  <r>
    <x v="3"/>
    <x v="12"/>
    <x v="395"/>
    <x v="3"/>
    <x v="0"/>
    <n v="1"/>
    <n v="0"/>
    <n v="0"/>
  </r>
  <r>
    <x v="3"/>
    <x v="12"/>
    <x v="395"/>
    <x v="3"/>
    <x v="1"/>
    <n v="2"/>
    <n v="0"/>
    <n v="0"/>
  </r>
  <r>
    <x v="3"/>
    <x v="12"/>
    <x v="395"/>
    <x v="3"/>
    <x v="2"/>
    <n v="3"/>
    <n v="0"/>
    <n v="0"/>
  </r>
  <r>
    <x v="3"/>
    <x v="12"/>
    <x v="395"/>
    <x v="3"/>
    <x v="3"/>
    <n v="4"/>
    <n v="0"/>
    <n v="0"/>
  </r>
  <r>
    <x v="3"/>
    <x v="12"/>
    <x v="395"/>
    <x v="3"/>
    <x v="4"/>
    <n v="5"/>
    <n v="0"/>
    <n v="0"/>
  </r>
  <r>
    <x v="3"/>
    <x v="12"/>
    <x v="395"/>
    <x v="3"/>
    <x v="5"/>
    <n v="6"/>
    <n v="0"/>
    <n v="0"/>
  </r>
  <r>
    <x v="3"/>
    <x v="12"/>
    <x v="395"/>
    <x v="3"/>
    <x v="6"/>
    <n v="7"/>
    <n v="2850"/>
    <n v="0"/>
  </r>
  <r>
    <x v="3"/>
    <x v="12"/>
    <x v="396"/>
    <x v="2"/>
    <x v="0"/>
    <n v="1"/>
    <n v="0"/>
    <n v="0"/>
  </r>
  <r>
    <x v="3"/>
    <x v="12"/>
    <x v="396"/>
    <x v="2"/>
    <x v="1"/>
    <n v="2"/>
    <n v="0"/>
    <n v="0"/>
  </r>
  <r>
    <x v="3"/>
    <x v="12"/>
    <x v="396"/>
    <x v="2"/>
    <x v="2"/>
    <n v="3"/>
    <n v="0"/>
    <n v="0"/>
  </r>
  <r>
    <x v="3"/>
    <x v="12"/>
    <x v="396"/>
    <x v="2"/>
    <x v="3"/>
    <n v="4"/>
    <n v="0"/>
    <n v="0"/>
  </r>
  <r>
    <x v="3"/>
    <x v="12"/>
    <x v="396"/>
    <x v="2"/>
    <x v="4"/>
    <n v="5"/>
    <n v="0"/>
    <n v="0"/>
  </r>
  <r>
    <x v="3"/>
    <x v="12"/>
    <x v="396"/>
    <x v="2"/>
    <x v="5"/>
    <n v="6"/>
    <n v="0"/>
    <n v="0"/>
  </r>
  <r>
    <x v="3"/>
    <x v="12"/>
    <x v="396"/>
    <x v="2"/>
    <x v="6"/>
    <n v="7"/>
    <n v="2387"/>
    <n v="0"/>
  </r>
  <r>
    <x v="3"/>
    <x v="12"/>
    <x v="396"/>
    <x v="3"/>
    <x v="0"/>
    <n v="1"/>
    <n v="0"/>
    <n v="0"/>
  </r>
  <r>
    <x v="3"/>
    <x v="12"/>
    <x v="396"/>
    <x v="3"/>
    <x v="1"/>
    <n v="2"/>
    <n v="0"/>
    <n v="0"/>
  </r>
  <r>
    <x v="3"/>
    <x v="12"/>
    <x v="396"/>
    <x v="3"/>
    <x v="2"/>
    <n v="3"/>
    <n v="0"/>
    <n v="0"/>
  </r>
  <r>
    <x v="3"/>
    <x v="12"/>
    <x v="396"/>
    <x v="3"/>
    <x v="3"/>
    <n v="4"/>
    <n v="0"/>
    <n v="0"/>
  </r>
  <r>
    <x v="3"/>
    <x v="12"/>
    <x v="396"/>
    <x v="3"/>
    <x v="4"/>
    <n v="5"/>
    <n v="0"/>
    <n v="0"/>
  </r>
  <r>
    <x v="3"/>
    <x v="12"/>
    <x v="396"/>
    <x v="3"/>
    <x v="5"/>
    <n v="6"/>
    <n v="0"/>
    <n v="0"/>
  </r>
  <r>
    <x v="3"/>
    <x v="12"/>
    <x v="396"/>
    <x v="3"/>
    <x v="6"/>
    <n v="7"/>
    <n v="3200"/>
    <n v="0"/>
  </r>
  <r>
    <x v="3"/>
    <x v="13"/>
    <x v="397"/>
    <x v="2"/>
    <x v="0"/>
    <n v="1"/>
    <n v="0"/>
    <n v="0"/>
  </r>
  <r>
    <x v="3"/>
    <x v="13"/>
    <x v="397"/>
    <x v="2"/>
    <x v="1"/>
    <n v="2"/>
    <n v="0"/>
    <n v="0"/>
  </r>
  <r>
    <x v="3"/>
    <x v="13"/>
    <x v="397"/>
    <x v="2"/>
    <x v="2"/>
    <n v="3"/>
    <n v="0"/>
    <n v="0"/>
  </r>
  <r>
    <x v="3"/>
    <x v="13"/>
    <x v="397"/>
    <x v="2"/>
    <x v="3"/>
    <n v="4"/>
    <n v="0"/>
    <n v="0"/>
  </r>
  <r>
    <x v="3"/>
    <x v="13"/>
    <x v="397"/>
    <x v="2"/>
    <x v="4"/>
    <n v="5"/>
    <n v="0"/>
    <n v="0"/>
  </r>
  <r>
    <x v="3"/>
    <x v="13"/>
    <x v="397"/>
    <x v="2"/>
    <x v="5"/>
    <n v="6"/>
    <n v="0"/>
    <n v="0"/>
  </r>
  <r>
    <x v="3"/>
    <x v="13"/>
    <x v="397"/>
    <x v="2"/>
    <x v="6"/>
    <n v="7"/>
    <n v="1488"/>
    <n v="0"/>
  </r>
  <r>
    <x v="3"/>
    <x v="13"/>
    <x v="397"/>
    <x v="3"/>
    <x v="0"/>
    <n v="1"/>
    <n v="0"/>
    <n v="0"/>
  </r>
  <r>
    <x v="3"/>
    <x v="13"/>
    <x v="397"/>
    <x v="3"/>
    <x v="1"/>
    <n v="2"/>
    <n v="0"/>
    <n v="0"/>
  </r>
  <r>
    <x v="3"/>
    <x v="13"/>
    <x v="397"/>
    <x v="3"/>
    <x v="2"/>
    <n v="3"/>
    <n v="0"/>
    <n v="0"/>
  </r>
  <r>
    <x v="3"/>
    <x v="13"/>
    <x v="397"/>
    <x v="3"/>
    <x v="3"/>
    <n v="4"/>
    <n v="0"/>
    <n v="0"/>
  </r>
  <r>
    <x v="3"/>
    <x v="13"/>
    <x v="397"/>
    <x v="3"/>
    <x v="4"/>
    <n v="5"/>
    <n v="0"/>
    <n v="0"/>
  </r>
  <r>
    <x v="3"/>
    <x v="13"/>
    <x v="397"/>
    <x v="3"/>
    <x v="5"/>
    <n v="6"/>
    <n v="0"/>
    <n v="0"/>
  </r>
  <r>
    <x v="3"/>
    <x v="13"/>
    <x v="397"/>
    <x v="3"/>
    <x v="6"/>
    <n v="7"/>
    <n v="1976"/>
    <n v="0"/>
  </r>
  <r>
    <x v="3"/>
    <x v="13"/>
    <x v="398"/>
    <x v="2"/>
    <x v="0"/>
    <n v="1"/>
    <n v="0"/>
    <n v="0"/>
  </r>
  <r>
    <x v="3"/>
    <x v="13"/>
    <x v="398"/>
    <x v="2"/>
    <x v="1"/>
    <n v="2"/>
    <n v="0"/>
    <n v="0"/>
  </r>
  <r>
    <x v="3"/>
    <x v="13"/>
    <x v="398"/>
    <x v="2"/>
    <x v="2"/>
    <n v="3"/>
    <n v="2400"/>
    <n v="0"/>
  </r>
  <r>
    <x v="3"/>
    <x v="13"/>
    <x v="398"/>
    <x v="2"/>
    <x v="3"/>
    <n v="4"/>
    <n v="2850"/>
    <n v="192617.82"/>
  </r>
  <r>
    <x v="3"/>
    <x v="13"/>
    <x v="398"/>
    <x v="2"/>
    <x v="4"/>
    <n v="5"/>
    <n v="2462"/>
    <n v="235968.6"/>
  </r>
  <r>
    <x v="3"/>
    <x v="13"/>
    <x v="398"/>
    <x v="2"/>
    <x v="5"/>
    <n v="6"/>
    <n v="2625"/>
    <n v="230997.06"/>
  </r>
  <r>
    <x v="3"/>
    <x v="13"/>
    <x v="398"/>
    <x v="2"/>
    <x v="6"/>
    <n v="7"/>
    <n v="2475"/>
    <n v="234626.25"/>
  </r>
  <r>
    <x v="3"/>
    <x v="13"/>
    <x v="398"/>
    <x v="3"/>
    <x v="0"/>
    <n v="1"/>
    <n v="0"/>
    <n v="0"/>
  </r>
  <r>
    <x v="3"/>
    <x v="13"/>
    <x v="398"/>
    <x v="3"/>
    <x v="1"/>
    <n v="2"/>
    <n v="0"/>
    <n v="0"/>
  </r>
  <r>
    <x v="3"/>
    <x v="13"/>
    <x v="398"/>
    <x v="3"/>
    <x v="2"/>
    <n v="3"/>
    <n v="3200"/>
    <n v="0"/>
  </r>
  <r>
    <x v="3"/>
    <x v="13"/>
    <x v="398"/>
    <x v="3"/>
    <x v="3"/>
    <n v="4"/>
    <n v="3782"/>
    <n v="0"/>
  </r>
  <r>
    <x v="3"/>
    <x v="13"/>
    <x v="398"/>
    <x v="3"/>
    <x v="4"/>
    <n v="5"/>
    <n v="4000"/>
    <n v="0"/>
  </r>
  <r>
    <x v="3"/>
    <x v="13"/>
    <x v="398"/>
    <x v="3"/>
    <x v="5"/>
    <n v="6"/>
    <n v="3950"/>
    <n v="0"/>
  </r>
  <r>
    <x v="3"/>
    <x v="13"/>
    <x v="398"/>
    <x v="3"/>
    <x v="6"/>
    <n v="7"/>
    <n v="3425"/>
    <n v="0"/>
  </r>
  <r>
    <x v="3"/>
    <x v="13"/>
    <x v="199"/>
    <x v="2"/>
    <x v="0"/>
    <n v="1"/>
    <n v="0"/>
    <n v="0"/>
  </r>
  <r>
    <x v="3"/>
    <x v="13"/>
    <x v="199"/>
    <x v="2"/>
    <x v="1"/>
    <n v="2"/>
    <n v="0"/>
    <n v="0"/>
  </r>
  <r>
    <x v="3"/>
    <x v="13"/>
    <x v="199"/>
    <x v="2"/>
    <x v="2"/>
    <n v="3"/>
    <n v="0"/>
    <n v="0"/>
  </r>
  <r>
    <x v="3"/>
    <x v="13"/>
    <x v="199"/>
    <x v="2"/>
    <x v="3"/>
    <n v="4"/>
    <n v="0"/>
    <n v="0"/>
  </r>
  <r>
    <x v="3"/>
    <x v="13"/>
    <x v="199"/>
    <x v="2"/>
    <x v="4"/>
    <n v="5"/>
    <n v="0"/>
    <n v="0"/>
  </r>
  <r>
    <x v="3"/>
    <x v="13"/>
    <x v="199"/>
    <x v="2"/>
    <x v="5"/>
    <n v="6"/>
    <n v="0"/>
    <n v="0"/>
  </r>
  <r>
    <x v="3"/>
    <x v="13"/>
    <x v="199"/>
    <x v="2"/>
    <x v="6"/>
    <n v="7"/>
    <n v="3000"/>
    <n v="0"/>
  </r>
  <r>
    <x v="3"/>
    <x v="13"/>
    <x v="199"/>
    <x v="3"/>
    <x v="0"/>
    <n v="1"/>
    <n v="0"/>
    <n v="0"/>
  </r>
  <r>
    <x v="3"/>
    <x v="13"/>
    <x v="199"/>
    <x v="3"/>
    <x v="1"/>
    <n v="2"/>
    <n v="0"/>
    <n v="0"/>
  </r>
  <r>
    <x v="3"/>
    <x v="13"/>
    <x v="199"/>
    <x v="3"/>
    <x v="2"/>
    <n v="3"/>
    <n v="0"/>
    <n v="0"/>
  </r>
  <r>
    <x v="3"/>
    <x v="13"/>
    <x v="199"/>
    <x v="3"/>
    <x v="3"/>
    <n v="4"/>
    <n v="0"/>
    <n v="0"/>
  </r>
  <r>
    <x v="3"/>
    <x v="13"/>
    <x v="199"/>
    <x v="3"/>
    <x v="4"/>
    <n v="5"/>
    <n v="0"/>
    <n v="0"/>
  </r>
  <r>
    <x v="3"/>
    <x v="13"/>
    <x v="199"/>
    <x v="3"/>
    <x v="5"/>
    <n v="6"/>
    <n v="0"/>
    <n v="0"/>
  </r>
  <r>
    <x v="3"/>
    <x v="13"/>
    <x v="199"/>
    <x v="3"/>
    <x v="6"/>
    <n v="7"/>
    <n v="4000"/>
    <n v="0"/>
  </r>
  <r>
    <x v="3"/>
    <x v="13"/>
    <x v="399"/>
    <x v="2"/>
    <x v="0"/>
    <n v="1"/>
    <n v="2250"/>
    <n v="0"/>
  </r>
  <r>
    <x v="3"/>
    <x v="13"/>
    <x v="399"/>
    <x v="2"/>
    <x v="1"/>
    <n v="2"/>
    <n v="2500"/>
    <n v="0"/>
  </r>
  <r>
    <x v="3"/>
    <x v="13"/>
    <x v="399"/>
    <x v="2"/>
    <x v="2"/>
    <n v="3"/>
    <n v="2750"/>
    <n v="412608.75"/>
  </r>
  <r>
    <x v="3"/>
    <x v="13"/>
    <x v="399"/>
    <x v="2"/>
    <x v="3"/>
    <n v="4"/>
    <n v="2125"/>
    <n v="232976.09999999998"/>
  </r>
  <r>
    <x v="3"/>
    <x v="13"/>
    <x v="399"/>
    <x v="2"/>
    <x v="4"/>
    <n v="5"/>
    <n v="2000"/>
    <n v="185392.5"/>
  </r>
  <r>
    <x v="3"/>
    <x v="13"/>
    <x v="399"/>
    <x v="2"/>
    <x v="5"/>
    <n v="6"/>
    <n v="2100"/>
    <n v="178410"/>
  </r>
  <r>
    <x v="3"/>
    <x v="13"/>
    <x v="399"/>
    <x v="2"/>
    <x v="6"/>
    <n v="7"/>
    <n v="2300"/>
    <n v="187330.50000000012"/>
  </r>
  <r>
    <x v="3"/>
    <x v="13"/>
    <x v="399"/>
    <x v="3"/>
    <x v="0"/>
    <n v="1"/>
    <n v="3325"/>
    <n v="0"/>
  </r>
  <r>
    <x v="3"/>
    <x v="13"/>
    <x v="399"/>
    <x v="3"/>
    <x v="1"/>
    <n v="2"/>
    <n v="3500"/>
    <n v="0"/>
  </r>
  <r>
    <x v="3"/>
    <x v="13"/>
    <x v="399"/>
    <x v="3"/>
    <x v="2"/>
    <n v="3"/>
    <n v="3850"/>
    <n v="0"/>
  </r>
  <r>
    <x v="3"/>
    <x v="13"/>
    <x v="399"/>
    <x v="3"/>
    <x v="3"/>
    <n v="4"/>
    <n v="3075"/>
    <n v="0"/>
  </r>
  <r>
    <x v="3"/>
    <x v="13"/>
    <x v="399"/>
    <x v="3"/>
    <x v="4"/>
    <n v="5"/>
    <n v="3000"/>
    <n v="0"/>
  </r>
  <r>
    <x v="3"/>
    <x v="13"/>
    <x v="399"/>
    <x v="3"/>
    <x v="5"/>
    <n v="6"/>
    <n v="3750"/>
    <n v="0"/>
  </r>
  <r>
    <x v="3"/>
    <x v="13"/>
    <x v="399"/>
    <x v="3"/>
    <x v="6"/>
    <n v="7"/>
    <n v="3200"/>
    <n v="0"/>
  </r>
  <r>
    <x v="3"/>
    <x v="13"/>
    <x v="400"/>
    <x v="2"/>
    <x v="0"/>
    <n v="1"/>
    <n v="0"/>
    <n v="0"/>
  </r>
  <r>
    <x v="3"/>
    <x v="13"/>
    <x v="400"/>
    <x v="2"/>
    <x v="1"/>
    <n v="2"/>
    <n v="0"/>
    <n v="0"/>
  </r>
  <r>
    <x v="3"/>
    <x v="13"/>
    <x v="400"/>
    <x v="2"/>
    <x v="2"/>
    <n v="3"/>
    <n v="0"/>
    <n v="0"/>
  </r>
  <r>
    <x v="3"/>
    <x v="13"/>
    <x v="400"/>
    <x v="2"/>
    <x v="3"/>
    <n v="4"/>
    <n v="0"/>
    <n v="0"/>
  </r>
  <r>
    <x v="3"/>
    <x v="13"/>
    <x v="400"/>
    <x v="2"/>
    <x v="4"/>
    <n v="5"/>
    <n v="0"/>
    <n v="0"/>
  </r>
  <r>
    <x v="3"/>
    <x v="13"/>
    <x v="400"/>
    <x v="2"/>
    <x v="5"/>
    <n v="6"/>
    <n v="0"/>
    <n v="0"/>
  </r>
  <r>
    <x v="3"/>
    <x v="13"/>
    <x v="400"/>
    <x v="2"/>
    <x v="6"/>
    <n v="7"/>
    <n v="1500"/>
    <n v="0"/>
  </r>
  <r>
    <x v="3"/>
    <x v="13"/>
    <x v="400"/>
    <x v="3"/>
    <x v="0"/>
    <n v="1"/>
    <n v="0"/>
    <n v="0"/>
  </r>
  <r>
    <x v="3"/>
    <x v="13"/>
    <x v="400"/>
    <x v="3"/>
    <x v="1"/>
    <n v="2"/>
    <n v="0"/>
    <n v="0"/>
  </r>
  <r>
    <x v="3"/>
    <x v="13"/>
    <x v="400"/>
    <x v="3"/>
    <x v="2"/>
    <n v="3"/>
    <n v="0"/>
    <n v="0"/>
  </r>
  <r>
    <x v="3"/>
    <x v="13"/>
    <x v="400"/>
    <x v="3"/>
    <x v="3"/>
    <n v="4"/>
    <n v="0"/>
    <n v="0"/>
  </r>
  <r>
    <x v="3"/>
    <x v="13"/>
    <x v="400"/>
    <x v="3"/>
    <x v="4"/>
    <n v="5"/>
    <n v="0"/>
    <n v="0"/>
  </r>
  <r>
    <x v="3"/>
    <x v="13"/>
    <x v="400"/>
    <x v="3"/>
    <x v="5"/>
    <n v="6"/>
    <n v="0"/>
    <n v="0"/>
  </r>
  <r>
    <x v="3"/>
    <x v="13"/>
    <x v="400"/>
    <x v="3"/>
    <x v="6"/>
    <n v="7"/>
    <n v="2000"/>
    <n v="0"/>
  </r>
  <r>
    <x v="3"/>
    <x v="13"/>
    <x v="336"/>
    <x v="2"/>
    <x v="0"/>
    <n v="1"/>
    <n v="2608"/>
    <n v="0"/>
  </r>
  <r>
    <x v="3"/>
    <x v="13"/>
    <x v="336"/>
    <x v="2"/>
    <x v="1"/>
    <n v="2"/>
    <n v="3000"/>
    <n v="0"/>
  </r>
  <r>
    <x v="3"/>
    <x v="13"/>
    <x v="336"/>
    <x v="2"/>
    <x v="2"/>
    <n v="3"/>
    <n v="3300"/>
    <n v="477587.04"/>
  </r>
  <r>
    <x v="3"/>
    <x v="13"/>
    <x v="336"/>
    <x v="2"/>
    <x v="3"/>
    <n v="4"/>
    <n v="2350"/>
    <n v="273999.00000000006"/>
  </r>
  <r>
    <x v="3"/>
    <x v="13"/>
    <x v="336"/>
    <x v="2"/>
    <x v="4"/>
    <n v="5"/>
    <n v="2000"/>
    <n v="201295.5"/>
  </r>
  <r>
    <x v="3"/>
    <x v="13"/>
    <x v="336"/>
    <x v="2"/>
    <x v="5"/>
    <n v="6"/>
    <n v="2000"/>
    <n v="178410"/>
  </r>
  <r>
    <x v="3"/>
    <x v="13"/>
    <x v="336"/>
    <x v="2"/>
    <x v="6"/>
    <n v="7"/>
    <n v="2200"/>
    <n v="183967.5"/>
  </r>
  <r>
    <x v="3"/>
    <x v="13"/>
    <x v="336"/>
    <x v="3"/>
    <x v="0"/>
    <n v="1"/>
    <n v="3726"/>
    <n v="0"/>
  </r>
  <r>
    <x v="3"/>
    <x v="13"/>
    <x v="336"/>
    <x v="3"/>
    <x v="1"/>
    <n v="2"/>
    <n v="4050"/>
    <n v="0"/>
  </r>
  <r>
    <x v="3"/>
    <x v="13"/>
    <x v="336"/>
    <x v="3"/>
    <x v="2"/>
    <n v="3"/>
    <n v="4400"/>
    <n v="0"/>
  </r>
  <r>
    <x v="3"/>
    <x v="13"/>
    <x v="336"/>
    <x v="3"/>
    <x v="3"/>
    <n v="4"/>
    <n v="3300"/>
    <n v="0"/>
  </r>
  <r>
    <x v="3"/>
    <x v="13"/>
    <x v="336"/>
    <x v="3"/>
    <x v="4"/>
    <n v="5"/>
    <n v="3000"/>
    <n v="0"/>
  </r>
  <r>
    <x v="3"/>
    <x v="13"/>
    <x v="336"/>
    <x v="3"/>
    <x v="5"/>
    <n v="6"/>
    <n v="3150"/>
    <n v="0"/>
  </r>
  <r>
    <x v="3"/>
    <x v="13"/>
    <x v="336"/>
    <x v="3"/>
    <x v="6"/>
    <n v="7"/>
    <n v="3450"/>
    <n v="0"/>
  </r>
  <r>
    <x v="3"/>
    <x v="13"/>
    <x v="401"/>
    <x v="2"/>
    <x v="0"/>
    <n v="1"/>
    <n v="2240"/>
    <n v="0"/>
  </r>
  <r>
    <x v="3"/>
    <x v="13"/>
    <x v="401"/>
    <x v="2"/>
    <x v="1"/>
    <n v="2"/>
    <n v="2500"/>
    <n v="0"/>
  </r>
  <r>
    <x v="3"/>
    <x v="13"/>
    <x v="401"/>
    <x v="2"/>
    <x v="2"/>
    <n v="3"/>
    <n v="2750"/>
    <n v="358834.95"/>
  </r>
  <r>
    <x v="3"/>
    <x v="13"/>
    <x v="401"/>
    <x v="2"/>
    <x v="3"/>
    <n v="4"/>
    <n v="2375"/>
    <n v="203309.99999999994"/>
  </r>
  <r>
    <x v="3"/>
    <x v="13"/>
    <x v="401"/>
    <x v="2"/>
    <x v="4"/>
    <n v="5"/>
    <n v="2500"/>
    <n v="144184"/>
  </r>
  <r>
    <x v="3"/>
    <x v="13"/>
    <x v="401"/>
    <x v="2"/>
    <x v="5"/>
    <n v="6"/>
    <n v="2625"/>
    <n v="152000"/>
  </r>
  <r>
    <x v="3"/>
    <x v="13"/>
    <x v="401"/>
    <x v="2"/>
    <x v="6"/>
    <n v="7"/>
    <n v="2875"/>
    <n v="159600"/>
  </r>
  <r>
    <x v="3"/>
    <x v="13"/>
    <x v="401"/>
    <x v="3"/>
    <x v="0"/>
    <n v="1"/>
    <n v="3325"/>
    <n v="0"/>
  </r>
  <r>
    <x v="3"/>
    <x v="13"/>
    <x v="401"/>
    <x v="3"/>
    <x v="1"/>
    <n v="2"/>
    <n v="3500"/>
    <n v="0"/>
  </r>
  <r>
    <x v="3"/>
    <x v="13"/>
    <x v="401"/>
    <x v="3"/>
    <x v="2"/>
    <n v="3"/>
    <n v="3850"/>
    <n v="0"/>
  </r>
  <r>
    <x v="3"/>
    <x v="13"/>
    <x v="401"/>
    <x v="3"/>
    <x v="3"/>
    <n v="4"/>
    <n v="3317"/>
    <n v="0"/>
  </r>
  <r>
    <x v="3"/>
    <x v="13"/>
    <x v="401"/>
    <x v="3"/>
    <x v="4"/>
    <n v="5"/>
    <n v="3500"/>
    <n v="0"/>
  </r>
  <r>
    <x v="3"/>
    <x v="13"/>
    <x v="401"/>
    <x v="3"/>
    <x v="5"/>
    <n v="6"/>
    <n v="3675"/>
    <n v="0"/>
  </r>
  <r>
    <x v="3"/>
    <x v="13"/>
    <x v="401"/>
    <x v="3"/>
    <x v="6"/>
    <n v="7"/>
    <n v="4025"/>
    <n v="0"/>
  </r>
  <r>
    <x v="3"/>
    <x v="14"/>
    <x v="208"/>
    <x v="2"/>
    <x v="0"/>
    <n v="1"/>
    <n v="0"/>
    <n v="0"/>
  </r>
  <r>
    <x v="3"/>
    <x v="14"/>
    <x v="208"/>
    <x v="2"/>
    <x v="1"/>
    <n v="2"/>
    <n v="0"/>
    <n v="0"/>
  </r>
  <r>
    <x v="3"/>
    <x v="14"/>
    <x v="208"/>
    <x v="2"/>
    <x v="2"/>
    <n v="3"/>
    <n v="0"/>
    <n v="0"/>
  </r>
  <r>
    <x v="3"/>
    <x v="14"/>
    <x v="208"/>
    <x v="2"/>
    <x v="3"/>
    <n v="4"/>
    <n v="0"/>
    <n v="0"/>
  </r>
  <r>
    <x v="3"/>
    <x v="14"/>
    <x v="208"/>
    <x v="2"/>
    <x v="4"/>
    <n v="5"/>
    <n v="1800"/>
    <n v="0"/>
  </r>
  <r>
    <x v="3"/>
    <x v="14"/>
    <x v="208"/>
    <x v="2"/>
    <x v="5"/>
    <n v="6"/>
    <n v="2081"/>
    <n v="146291.4"/>
  </r>
  <r>
    <x v="3"/>
    <x v="14"/>
    <x v="208"/>
    <x v="2"/>
    <x v="6"/>
    <n v="7"/>
    <n v="2300"/>
    <n v="175461.66"/>
  </r>
  <r>
    <x v="3"/>
    <x v="14"/>
    <x v="208"/>
    <x v="3"/>
    <x v="0"/>
    <n v="1"/>
    <n v="0"/>
    <n v="0"/>
  </r>
  <r>
    <x v="3"/>
    <x v="14"/>
    <x v="208"/>
    <x v="3"/>
    <x v="1"/>
    <n v="2"/>
    <n v="0"/>
    <n v="0"/>
  </r>
  <r>
    <x v="3"/>
    <x v="14"/>
    <x v="208"/>
    <x v="3"/>
    <x v="2"/>
    <n v="3"/>
    <n v="0"/>
    <n v="0"/>
  </r>
  <r>
    <x v="3"/>
    <x v="14"/>
    <x v="208"/>
    <x v="3"/>
    <x v="3"/>
    <n v="4"/>
    <n v="0"/>
    <n v="0"/>
  </r>
  <r>
    <x v="3"/>
    <x v="14"/>
    <x v="208"/>
    <x v="3"/>
    <x v="4"/>
    <n v="5"/>
    <n v="2534"/>
    <n v="0"/>
  </r>
  <r>
    <x v="3"/>
    <x v="14"/>
    <x v="208"/>
    <x v="3"/>
    <x v="5"/>
    <n v="6"/>
    <n v="3110"/>
    <n v="0"/>
  </r>
  <r>
    <x v="3"/>
    <x v="14"/>
    <x v="208"/>
    <x v="3"/>
    <x v="6"/>
    <n v="7"/>
    <n v="3377"/>
    <n v="0"/>
  </r>
  <r>
    <x v="3"/>
    <x v="14"/>
    <x v="402"/>
    <x v="2"/>
    <x v="0"/>
    <n v="1"/>
    <n v="0"/>
    <n v="0"/>
  </r>
  <r>
    <x v="3"/>
    <x v="14"/>
    <x v="402"/>
    <x v="2"/>
    <x v="1"/>
    <n v="2"/>
    <n v="0"/>
    <n v="0"/>
  </r>
  <r>
    <x v="3"/>
    <x v="14"/>
    <x v="402"/>
    <x v="2"/>
    <x v="2"/>
    <n v="3"/>
    <n v="0"/>
    <n v="0"/>
  </r>
  <r>
    <x v="3"/>
    <x v="14"/>
    <x v="402"/>
    <x v="2"/>
    <x v="3"/>
    <n v="4"/>
    <n v="0"/>
    <n v="0"/>
  </r>
  <r>
    <x v="3"/>
    <x v="14"/>
    <x v="402"/>
    <x v="2"/>
    <x v="4"/>
    <n v="5"/>
    <n v="0"/>
    <n v="0"/>
  </r>
  <r>
    <x v="3"/>
    <x v="14"/>
    <x v="402"/>
    <x v="2"/>
    <x v="5"/>
    <n v="6"/>
    <n v="853"/>
    <n v="0"/>
  </r>
  <r>
    <x v="3"/>
    <x v="14"/>
    <x v="402"/>
    <x v="2"/>
    <x v="6"/>
    <n v="7"/>
    <n v="2230"/>
    <n v="74561.58"/>
  </r>
  <r>
    <x v="3"/>
    <x v="14"/>
    <x v="402"/>
    <x v="3"/>
    <x v="0"/>
    <n v="1"/>
    <n v="0"/>
    <n v="0"/>
  </r>
  <r>
    <x v="3"/>
    <x v="14"/>
    <x v="402"/>
    <x v="3"/>
    <x v="1"/>
    <n v="2"/>
    <n v="0"/>
    <n v="0"/>
  </r>
  <r>
    <x v="3"/>
    <x v="14"/>
    <x v="402"/>
    <x v="3"/>
    <x v="2"/>
    <n v="3"/>
    <n v="0"/>
    <n v="0"/>
  </r>
  <r>
    <x v="3"/>
    <x v="14"/>
    <x v="402"/>
    <x v="3"/>
    <x v="3"/>
    <n v="4"/>
    <n v="0"/>
    <n v="0"/>
  </r>
  <r>
    <x v="3"/>
    <x v="14"/>
    <x v="402"/>
    <x v="3"/>
    <x v="4"/>
    <n v="5"/>
    <n v="0"/>
    <n v="0"/>
  </r>
  <r>
    <x v="3"/>
    <x v="14"/>
    <x v="402"/>
    <x v="3"/>
    <x v="5"/>
    <n v="6"/>
    <n v="1350"/>
    <n v="0"/>
  </r>
  <r>
    <x v="3"/>
    <x v="14"/>
    <x v="402"/>
    <x v="3"/>
    <x v="6"/>
    <n v="7"/>
    <n v="3436"/>
    <n v="0"/>
  </r>
  <r>
    <x v="3"/>
    <x v="14"/>
    <x v="210"/>
    <x v="2"/>
    <x v="0"/>
    <n v="1"/>
    <n v="0"/>
    <n v="0"/>
  </r>
  <r>
    <x v="3"/>
    <x v="14"/>
    <x v="210"/>
    <x v="2"/>
    <x v="1"/>
    <n v="2"/>
    <n v="0"/>
    <n v="0"/>
  </r>
  <r>
    <x v="3"/>
    <x v="14"/>
    <x v="210"/>
    <x v="2"/>
    <x v="2"/>
    <n v="3"/>
    <n v="0"/>
    <n v="0"/>
  </r>
  <r>
    <x v="3"/>
    <x v="14"/>
    <x v="210"/>
    <x v="2"/>
    <x v="3"/>
    <n v="4"/>
    <n v="0"/>
    <n v="0"/>
  </r>
  <r>
    <x v="3"/>
    <x v="14"/>
    <x v="210"/>
    <x v="2"/>
    <x v="4"/>
    <n v="5"/>
    <n v="680"/>
    <n v="0"/>
  </r>
  <r>
    <x v="3"/>
    <x v="14"/>
    <x v="210"/>
    <x v="2"/>
    <x v="5"/>
    <n v="6"/>
    <n v="2100"/>
    <n v="63784.800000000003"/>
  </r>
  <r>
    <x v="3"/>
    <x v="14"/>
    <x v="210"/>
    <x v="2"/>
    <x v="6"/>
    <n v="7"/>
    <n v="2298"/>
    <n v="174285"/>
  </r>
  <r>
    <x v="3"/>
    <x v="14"/>
    <x v="210"/>
    <x v="3"/>
    <x v="0"/>
    <n v="1"/>
    <n v="0"/>
    <n v="0"/>
  </r>
  <r>
    <x v="3"/>
    <x v="14"/>
    <x v="210"/>
    <x v="3"/>
    <x v="1"/>
    <n v="2"/>
    <n v="0"/>
    <n v="0"/>
  </r>
  <r>
    <x v="3"/>
    <x v="14"/>
    <x v="210"/>
    <x v="3"/>
    <x v="2"/>
    <n v="3"/>
    <n v="0"/>
    <n v="0"/>
  </r>
  <r>
    <x v="3"/>
    <x v="14"/>
    <x v="210"/>
    <x v="3"/>
    <x v="3"/>
    <n v="4"/>
    <n v="0"/>
    <n v="0"/>
  </r>
  <r>
    <x v="3"/>
    <x v="14"/>
    <x v="210"/>
    <x v="3"/>
    <x v="4"/>
    <n v="5"/>
    <n v="1200"/>
    <n v="0"/>
  </r>
  <r>
    <x v="3"/>
    <x v="14"/>
    <x v="210"/>
    <x v="3"/>
    <x v="5"/>
    <n v="6"/>
    <n v="3150"/>
    <n v="0"/>
  </r>
  <r>
    <x v="3"/>
    <x v="14"/>
    <x v="210"/>
    <x v="3"/>
    <x v="6"/>
    <n v="7"/>
    <n v="3415"/>
    <n v="0"/>
  </r>
  <r>
    <x v="3"/>
    <x v="14"/>
    <x v="403"/>
    <x v="2"/>
    <x v="0"/>
    <n v="1"/>
    <n v="0"/>
    <n v="0"/>
  </r>
  <r>
    <x v="3"/>
    <x v="14"/>
    <x v="403"/>
    <x v="2"/>
    <x v="1"/>
    <n v="2"/>
    <n v="0"/>
    <n v="0"/>
  </r>
  <r>
    <x v="3"/>
    <x v="14"/>
    <x v="403"/>
    <x v="2"/>
    <x v="2"/>
    <n v="3"/>
    <n v="0"/>
    <n v="0"/>
  </r>
  <r>
    <x v="3"/>
    <x v="14"/>
    <x v="403"/>
    <x v="2"/>
    <x v="3"/>
    <n v="4"/>
    <n v="0"/>
    <n v="0"/>
  </r>
  <r>
    <x v="3"/>
    <x v="14"/>
    <x v="403"/>
    <x v="2"/>
    <x v="4"/>
    <n v="5"/>
    <n v="0"/>
    <n v="0"/>
  </r>
  <r>
    <x v="3"/>
    <x v="14"/>
    <x v="403"/>
    <x v="2"/>
    <x v="5"/>
    <n v="6"/>
    <n v="0"/>
    <n v="0"/>
  </r>
  <r>
    <x v="3"/>
    <x v="14"/>
    <x v="403"/>
    <x v="2"/>
    <x v="6"/>
    <n v="7"/>
    <n v="3000"/>
    <n v="0"/>
  </r>
  <r>
    <x v="3"/>
    <x v="14"/>
    <x v="403"/>
    <x v="3"/>
    <x v="0"/>
    <n v="1"/>
    <n v="0"/>
    <n v="0"/>
  </r>
  <r>
    <x v="3"/>
    <x v="14"/>
    <x v="403"/>
    <x v="3"/>
    <x v="1"/>
    <n v="2"/>
    <n v="0"/>
    <n v="0"/>
  </r>
  <r>
    <x v="3"/>
    <x v="14"/>
    <x v="403"/>
    <x v="3"/>
    <x v="2"/>
    <n v="3"/>
    <n v="0"/>
    <n v="0"/>
  </r>
  <r>
    <x v="3"/>
    <x v="14"/>
    <x v="403"/>
    <x v="3"/>
    <x v="3"/>
    <n v="4"/>
    <n v="0"/>
    <n v="0"/>
  </r>
  <r>
    <x v="3"/>
    <x v="14"/>
    <x v="403"/>
    <x v="3"/>
    <x v="4"/>
    <n v="5"/>
    <n v="0"/>
    <n v="0"/>
  </r>
  <r>
    <x v="3"/>
    <x v="14"/>
    <x v="403"/>
    <x v="3"/>
    <x v="5"/>
    <n v="6"/>
    <n v="0"/>
    <n v="0"/>
  </r>
  <r>
    <x v="3"/>
    <x v="14"/>
    <x v="403"/>
    <x v="3"/>
    <x v="6"/>
    <n v="7"/>
    <n v="3800"/>
    <n v="0"/>
  </r>
  <r>
    <x v="3"/>
    <x v="14"/>
    <x v="404"/>
    <x v="2"/>
    <x v="0"/>
    <n v="1"/>
    <n v="0"/>
    <n v="0"/>
  </r>
  <r>
    <x v="3"/>
    <x v="14"/>
    <x v="404"/>
    <x v="2"/>
    <x v="1"/>
    <n v="2"/>
    <n v="0"/>
    <n v="0"/>
  </r>
  <r>
    <x v="3"/>
    <x v="14"/>
    <x v="404"/>
    <x v="2"/>
    <x v="2"/>
    <n v="3"/>
    <n v="0"/>
    <n v="0"/>
  </r>
  <r>
    <x v="3"/>
    <x v="14"/>
    <x v="404"/>
    <x v="2"/>
    <x v="3"/>
    <n v="4"/>
    <n v="0"/>
    <n v="0"/>
  </r>
  <r>
    <x v="3"/>
    <x v="14"/>
    <x v="404"/>
    <x v="2"/>
    <x v="4"/>
    <n v="5"/>
    <n v="0"/>
    <n v="0"/>
  </r>
  <r>
    <x v="3"/>
    <x v="14"/>
    <x v="404"/>
    <x v="2"/>
    <x v="5"/>
    <n v="6"/>
    <n v="0"/>
    <n v="0"/>
  </r>
  <r>
    <x v="3"/>
    <x v="14"/>
    <x v="404"/>
    <x v="2"/>
    <x v="6"/>
    <n v="7"/>
    <n v="2960"/>
    <n v="0"/>
  </r>
  <r>
    <x v="3"/>
    <x v="14"/>
    <x v="404"/>
    <x v="3"/>
    <x v="0"/>
    <n v="1"/>
    <n v="0"/>
    <n v="0"/>
  </r>
  <r>
    <x v="3"/>
    <x v="14"/>
    <x v="404"/>
    <x v="3"/>
    <x v="1"/>
    <n v="2"/>
    <n v="0"/>
    <n v="0"/>
  </r>
  <r>
    <x v="3"/>
    <x v="14"/>
    <x v="404"/>
    <x v="3"/>
    <x v="2"/>
    <n v="3"/>
    <n v="0"/>
    <n v="0"/>
  </r>
  <r>
    <x v="3"/>
    <x v="14"/>
    <x v="404"/>
    <x v="3"/>
    <x v="3"/>
    <n v="4"/>
    <n v="0"/>
    <n v="0"/>
  </r>
  <r>
    <x v="3"/>
    <x v="14"/>
    <x v="404"/>
    <x v="3"/>
    <x v="4"/>
    <n v="5"/>
    <n v="0"/>
    <n v="0"/>
  </r>
  <r>
    <x v="3"/>
    <x v="14"/>
    <x v="404"/>
    <x v="3"/>
    <x v="5"/>
    <n v="6"/>
    <n v="0"/>
    <n v="0"/>
  </r>
  <r>
    <x v="3"/>
    <x v="14"/>
    <x v="404"/>
    <x v="3"/>
    <x v="6"/>
    <n v="7"/>
    <n v="4000"/>
    <n v="0"/>
  </r>
  <r>
    <x v="3"/>
    <x v="14"/>
    <x v="214"/>
    <x v="2"/>
    <x v="0"/>
    <n v="1"/>
    <n v="0"/>
    <n v="0"/>
  </r>
  <r>
    <x v="3"/>
    <x v="14"/>
    <x v="214"/>
    <x v="2"/>
    <x v="1"/>
    <n v="2"/>
    <n v="0"/>
    <n v="0"/>
  </r>
  <r>
    <x v="3"/>
    <x v="14"/>
    <x v="214"/>
    <x v="2"/>
    <x v="2"/>
    <n v="3"/>
    <n v="0"/>
    <n v="0"/>
  </r>
  <r>
    <x v="3"/>
    <x v="14"/>
    <x v="214"/>
    <x v="2"/>
    <x v="3"/>
    <n v="4"/>
    <n v="0"/>
    <n v="0"/>
  </r>
  <r>
    <x v="3"/>
    <x v="14"/>
    <x v="214"/>
    <x v="2"/>
    <x v="4"/>
    <n v="5"/>
    <n v="100"/>
    <n v="0"/>
  </r>
  <r>
    <x v="3"/>
    <x v="14"/>
    <x v="214"/>
    <x v="2"/>
    <x v="5"/>
    <n v="6"/>
    <n v="2200"/>
    <n v="0"/>
  </r>
  <r>
    <x v="3"/>
    <x v="14"/>
    <x v="214"/>
    <x v="2"/>
    <x v="6"/>
    <n v="7"/>
    <n v="2300"/>
    <n v="176418"/>
  </r>
  <r>
    <x v="3"/>
    <x v="14"/>
    <x v="214"/>
    <x v="3"/>
    <x v="0"/>
    <n v="1"/>
    <n v="0"/>
    <n v="0"/>
  </r>
  <r>
    <x v="3"/>
    <x v="14"/>
    <x v="214"/>
    <x v="3"/>
    <x v="1"/>
    <n v="2"/>
    <n v="0"/>
    <n v="0"/>
  </r>
  <r>
    <x v="3"/>
    <x v="14"/>
    <x v="214"/>
    <x v="3"/>
    <x v="2"/>
    <n v="3"/>
    <n v="0"/>
    <n v="0"/>
  </r>
  <r>
    <x v="3"/>
    <x v="14"/>
    <x v="214"/>
    <x v="3"/>
    <x v="3"/>
    <n v="4"/>
    <n v="0"/>
    <n v="0"/>
  </r>
  <r>
    <x v="3"/>
    <x v="14"/>
    <x v="214"/>
    <x v="3"/>
    <x v="4"/>
    <n v="5"/>
    <n v="150"/>
    <n v="0"/>
  </r>
  <r>
    <x v="3"/>
    <x v="14"/>
    <x v="214"/>
    <x v="3"/>
    <x v="5"/>
    <n v="6"/>
    <n v="3270"/>
    <n v="0"/>
  </r>
  <r>
    <x v="3"/>
    <x v="14"/>
    <x v="214"/>
    <x v="3"/>
    <x v="6"/>
    <n v="7"/>
    <n v="3420"/>
    <n v="0"/>
  </r>
  <r>
    <x v="3"/>
    <x v="15"/>
    <x v="405"/>
    <x v="2"/>
    <x v="0"/>
    <n v="1"/>
    <n v="0"/>
    <n v="0"/>
  </r>
  <r>
    <x v="3"/>
    <x v="15"/>
    <x v="405"/>
    <x v="2"/>
    <x v="1"/>
    <n v="2"/>
    <n v="0"/>
    <n v="0"/>
  </r>
  <r>
    <x v="3"/>
    <x v="15"/>
    <x v="405"/>
    <x v="2"/>
    <x v="2"/>
    <n v="3"/>
    <n v="0"/>
    <n v="0"/>
  </r>
  <r>
    <x v="3"/>
    <x v="15"/>
    <x v="405"/>
    <x v="2"/>
    <x v="3"/>
    <n v="4"/>
    <n v="0"/>
    <n v="0"/>
  </r>
  <r>
    <x v="3"/>
    <x v="15"/>
    <x v="405"/>
    <x v="2"/>
    <x v="4"/>
    <n v="5"/>
    <n v="0"/>
    <n v="0"/>
  </r>
  <r>
    <x v="3"/>
    <x v="15"/>
    <x v="405"/>
    <x v="2"/>
    <x v="5"/>
    <n v="6"/>
    <n v="0"/>
    <n v="0"/>
  </r>
  <r>
    <x v="3"/>
    <x v="15"/>
    <x v="405"/>
    <x v="2"/>
    <x v="6"/>
    <n v="7"/>
    <n v="2000"/>
    <n v="0"/>
  </r>
  <r>
    <x v="3"/>
    <x v="15"/>
    <x v="405"/>
    <x v="3"/>
    <x v="0"/>
    <n v="1"/>
    <n v="0"/>
    <n v="0"/>
  </r>
  <r>
    <x v="3"/>
    <x v="15"/>
    <x v="405"/>
    <x v="3"/>
    <x v="1"/>
    <n v="2"/>
    <n v="0"/>
    <n v="0"/>
  </r>
  <r>
    <x v="3"/>
    <x v="15"/>
    <x v="405"/>
    <x v="3"/>
    <x v="2"/>
    <n v="3"/>
    <n v="0"/>
    <n v="0"/>
  </r>
  <r>
    <x v="3"/>
    <x v="15"/>
    <x v="405"/>
    <x v="3"/>
    <x v="3"/>
    <n v="4"/>
    <n v="0"/>
    <n v="0"/>
  </r>
  <r>
    <x v="3"/>
    <x v="15"/>
    <x v="405"/>
    <x v="3"/>
    <x v="4"/>
    <n v="5"/>
    <n v="0"/>
    <n v="0"/>
  </r>
  <r>
    <x v="3"/>
    <x v="15"/>
    <x v="405"/>
    <x v="3"/>
    <x v="5"/>
    <n v="6"/>
    <n v="0"/>
    <n v="0"/>
  </r>
  <r>
    <x v="3"/>
    <x v="15"/>
    <x v="405"/>
    <x v="3"/>
    <x v="6"/>
    <n v="7"/>
    <n v="3000"/>
    <n v="0"/>
  </r>
  <r>
    <x v="3"/>
    <x v="15"/>
    <x v="406"/>
    <x v="2"/>
    <x v="0"/>
    <n v="1"/>
    <n v="2629"/>
    <n v="0"/>
  </r>
  <r>
    <x v="3"/>
    <x v="15"/>
    <x v="406"/>
    <x v="2"/>
    <x v="1"/>
    <n v="2"/>
    <n v="3000"/>
    <n v="0"/>
  </r>
  <r>
    <x v="3"/>
    <x v="15"/>
    <x v="406"/>
    <x v="2"/>
    <x v="2"/>
    <n v="3"/>
    <n v="3300"/>
    <n v="427946.61"/>
  </r>
  <r>
    <x v="3"/>
    <x v="15"/>
    <x v="406"/>
    <x v="2"/>
    <x v="3"/>
    <n v="4"/>
    <n v="2850"/>
    <n v="244726.05000000005"/>
  </r>
  <r>
    <x v="3"/>
    <x v="15"/>
    <x v="406"/>
    <x v="2"/>
    <x v="4"/>
    <n v="5"/>
    <n v="3000"/>
    <n v="211726.5"/>
  </r>
  <r>
    <x v="3"/>
    <x v="15"/>
    <x v="406"/>
    <x v="2"/>
    <x v="5"/>
    <n v="6"/>
    <n v="3150"/>
    <n v="222869.99999999988"/>
  </r>
  <r>
    <x v="3"/>
    <x v="15"/>
    <x v="406"/>
    <x v="2"/>
    <x v="6"/>
    <n v="7"/>
    <n v="3450"/>
    <n v="234013.5"/>
  </r>
  <r>
    <x v="3"/>
    <x v="15"/>
    <x v="406"/>
    <x v="3"/>
    <x v="0"/>
    <n v="1"/>
    <n v="3800"/>
    <n v="0"/>
  </r>
  <r>
    <x v="3"/>
    <x v="15"/>
    <x v="406"/>
    <x v="3"/>
    <x v="1"/>
    <n v="2"/>
    <n v="4000"/>
    <n v="0"/>
  </r>
  <r>
    <x v="3"/>
    <x v="15"/>
    <x v="406"/>
    <x v="3"/>
    <x v="2"/>
    <n v="3"/>
    <n v="4400"/>
    <n v="0"/>
  </r>
  <r>
    <x v="3"/>
    <x v="15"/>
    <x v="406"/>
    <x v="3"/>
    <x v="3"/>
    <n v="4"/>
    <n v="3800"/>
    <n v="0"/>
  </r>
  <r>
    <x v="3"/>
    <x v="15"/>
    <x v="406"/>
    <x v="3"/>
    <x v="4"/>
    <n v="5"/>
    <n v="4000"/>
    <n v="0"/>
  </r>
  <r>
    <x v="3"/>
    <x v="15"/>
    <x v="406"/>
    <x v="3"/>
    <x v="5"/>
    <n v="6"/>
    <n v="4200"/>
    <n v="0"/>
  </r>
  <r>
    <x v="3"/>
    <x v="15"/>
    <x v="406"/>
    <x v="3"/>
    <x v="6"/>
    <n v="7"/>
    <n v="4600"/>
    <n v="0"/>
  </r>
  <r>
    <x v="3"/>
    <x v="16"/>
    <x v="236"/>
    <x v="2"/>
    <x v="0"/>
    <n v="1"/>
    <n v="1080"/>
    <n v="0"/>
  </r>
  <r>
    <x v="3"/>
    <x v="16"/>
    <x v="236"/>
    <x v="2"/>
    <x v="1"/>
    <n v="2"/>
    <n v="1200"/>
    <n v="0"/>
  </r>
  <r>
    <x v="3"/>
    <x v="16"/>
    <x v="236"/>
    <x v="2"/>
    <x v="2"/>
    <n v="3"/>
    <n v="1320"/>
    <n v="252781.2"/>
  </r>
  <r>
    <x v="3"/>
    <x v="16"/>
    <x v="236"/>
    <x v="2"/>
    <x v="3"/>
    <n v="4"/>
    <n v="1140"/>
    <n v="143712.79999999999"/>
  </r>
  <r>
    <x v="3"/>
    <x v="16"/>
    <x v="236"/>
    <x v="2"/>
    <x v="4"/>
    <n v="5"/>
    <n v="1200"/>
    <n v="124115.6"/>
  </r>
  <r>
    <x v="3"/>
    <x v="16"/>
    <x v="236"/>
    <x v="2"/>
    <x v="5"/>
    <n v="6"/>
    <n v="1260"/>
    <n v="130648"/>
  </r>
  <r>
    <x v="3"/>
    <x v="16"/>
    <x v="236"/>
    <x v="2"/>
    <x v="6"/>
    <n v="7"/>
    <n v="1380"/>
    <n v="137180.39999999991"/>
  </r>
  <r>
    <x v="3"/>
    <x v="16"/>
    <x v="236"/>
    <x v="3"/>
    <x v="0"/>
    <n v="1"/>
    <n v="2375"/>
    <n v="0"/>
  </r>
  <r>
    <x v="3"/>
    <x v="16"/>
    <x v="236"/>
    <x v="3"/>
    <x v="1"/>
    <n v="2"/>
    <n v="2500"/>
    <n v="0"/>
  </r>
  <r>
    <x v="3"/>
    <x v="16"/>
    <x v="236"/>
    <x v="3"/>
    <x v="2"/>
    <n v="3"/>
    <n v="2750"/>
    <n v="0"/>
  </r>
  <r>
    <x v="3"/>
    <x v="16"/>
    <x v="236"/>
    <x v="3"/>
    <x v="3"/>
    <n v="4"/>
    <n v="2375"/>
    <n v="0"/>
  </r>
  <r>
    <x v="3"/>
    <x v="16"/>
    <x v="236"/>
    <x v="3"/>
    <x v="4"/>
    <n v="5"/>
    <n v="2500"/>
    <n v="0"/>
  </r>
  <r>
    <x v="3"/>
    <x v="16"/>
    <x v="236"/>
    <x v="3"/>
    <x v="5"/>
    <n v="6"/>
    <n v="2625"/>
    <n v="0"/>
  </r>
  <r>
    <x v="3"/>
    <x v="16"/>
    <x v="236"/>
    <x v="3"/>
    <x v="6"/>
    <n v="7"/>
    <n v="2875"/>
    <n v="0"/>
  </r>
  <r>
    <x v="3"/>
    <x v="16"/>
    <x v="240"/>
    <x v="2"/>
    <x v="0"/>
    <n v="1"/>
    <n v="0"/>
    <n v="0"/>
  </r>
  <r>
    <x v="3"/>
    <x v="16"/>
    <x v="240"/>
    <x v="2"/>
    <x v="1"/>
    <n v="2"/>
    <n v="0"/>
    <n v="0"/>
  </r>
  <r>
    <x v="3"/>
    <x v="16"/>
    <x v="240"/>
    <x v="2"/>
    <x v="2"/>
    <n v="3"/>
    <n v="0"/>
    <n v="0"/>
  </r>
  <r>
    <x v="3"/>
    <x v="16"/>
    <x v="240"/>
    <x v="2"/>
    <x v="3"/>
    <n v="4"/>
    <n v="900"/>
    <n v="0"/>
  </r>
  <r>
    <x v="3"/>
    <x v="16"/>
    <x v="240"/>
    <x v="2"/>
    <x v="4"/>
    <n v="5"/>
    <n v="2000"/>
    <n v="78876"/>
  </r>
  <r>
    <x v="3"/>
    <x v="16"/>
    <x v="240"/>
    <x v="2"/>
    <x v="5"/>
    <n v="6"/>
    <n v="2100"/>
    <n v="175280"/>
  </r>
  <r>
    <x v="3"/>
    <x v="16"/>
    <x v="240"/>
    <x v="2"/>
    <x v="6"/>
    <n v="7"/>
    <n v="2300"/>
    <n v="184044"/>
  </r>
  <r>
    <x v="3"/>
    <x v="16"/>
    <x v="240"/>
    <x v="3"/>
    <x v="0"/>
    <n v="1"/>
    <n v="0"/>
    <n v="0"/>
  </r>
  <r>
    <x v="3"/>
    <x v="16"/>
    <x v="240"/>
    <x v="3"/>
    <x v="1"/>
    <n v="2"/>
    <n v="0"/>
    <n v="0"/>
  </r>
  <r>
    <x v="3"/>
    <x v="16"/>
    <x v="240"/>
    <x v="3"/>
    <x v="2"/>
    <n v="3"/>
    <n v="0"/>
    <n v="0"/>
  </r>
  <r>
    <x v="3"/>
    <x v="16"/>
    <x v="240"/>
    <x v="3"/>
    <x v="3"/>
    <n v="4"/>
    <n v="1350"/>
    <n v="0"/>
  </r>
  <r>
    <x v="3"/>
    <x v="16"/>
    <x v="240"/>
    <x v="3"/>
    <x v="4"/>
    <n v="5"/>
    <n v="3000"/>
    <n v="0"/>
  </r>
  <r>
    <x v="3"/>
    <x v="16"/>
    <x v="240"/>
    <x v="3"/>
    <x v="5"/>
    <n v="6"/>
    <n v="3150"/>
    <n v="0"/>
  </r>
  <r>
    <x v="3"/>
    <x v="16"/>
    <x v="240"/>
    <x v="3"/>
    <x v="6"/>
    <n v="7"/>
    <n v="3436"/>
    <n v="0"/>
  </r>
  <r>
    <x v="3"/>
    <x v="16"/>
    <x v="242"/>
    <x v="2"/>
    <x v="0"/>
    <n v="1"/>
    <n v="1800"/>
    <n v="0"/>
  </r>
  <r>
    <x v="3"/>
    <x v="16"/>
    <x v="242"/>
    <x v="2"/>
    <x v="1"/>
    <n v="2"/>
    <n v="2000"/>
    <n v="0"/>
  </r>
  <r>
    <x v="3"/>
    <x v="16"/>
    <x v="242"/>
    <x v="2"/>
    <x v="2"/>
    <n v="3"/>
    <n v="2200"/>
    <n v="338492"/>
  </r>
  <r>
    <x v="3"/>
    <x v="16"/>
    <x v="242"/>
    <x v="2"/>
    <x v="3"/>
    <n v="4"/>
    <n v="1000"/>
    <n v="187348"/>
  </r>
  <r>
    <x v="3"/>
    <x v="16"/>
    <x v="242"/>
    <x v="2"/>
    <x v="4"/>
    <n v="5"/>
    <n v="0"/>
    <n v="82180"/>
  </r>
  <r>
    <x v="3"/>
    <x v="16"/>
    <x v="242"/>
    <x v="2"/>
    <x v="5"/>
    <n v="6"/>
    <n v="0"/>
    <n v="0"/>
  </r>
  <r>
    <x v="3"/>
    <x v="16"/>
    <x v="242"/>
    <x v="2"/>
    <x v="6"/>
    <n v="7"/>
    <n v="0"/>
    <n v="0"/>
  </r>
  <r>
    <x v="3"/>
    <x v="16"/>
    <x v="242"/>
    <x v="3"/>
    <x v="0"/>
    <n v="1"/>
    <n v="2850"/>
    <n v="0"/>
  </r>
  <r>
    <x v="3"/>
    <x v="16"/>
    <x v="242"/>
    <x v="3"/>
    <x v="1"/>
    <n v="2"/>
    <n v="3000"/>
    <n v="0"/>
  </r>
  <r>
    <x v="3"/>
    <x v="16"/>
    <x v="242"/>
    <x v="3"/>
    <x v="2"/>
    <n v="3"/>
    <n v="3300"/>
    <n v="0"/>
  </r>
  <r>
    <x v="3"/>
    <x v="16"/>
    <x v="242"/>
    <x v="3"/>
    <x v="3"/>
    <n v="4"/>
    <n v="1350"/>
    <n v="0"/>
  </r>
  <r>
    <x v="3"/>
    <x v="16"/>
    <x v="242"/>
    <x v="3"/>
    <x v="4"/>
    <n v="5"/>
    <n v="0"/>
    <n v="0"/>
  </r>
  <r>
    <x v="3"/>
    <x v="16"/>
    <x v="242"/>
    <x v="3"/>
    <x v="5"/>
    <n v="6"/>
    <n v="0"/>
    <n v="0"/>
  </r>
  <r>
    <x v="3"/>
    <x v="16"/>
    <x v="242"/>
    <x v="3"/>
    <x v="6"/>
    <n v="7"/>
    <n v="0"/>
    <n v="0"/>
  </r>
  <r>
    <x v="3"/>
    <x v="16"/>
    <x v="243"/>
    <x v="2"/>
    <x v="0"/>
    <n v="1"/>
    <n v="3600"/>
    <n v="0"/>
  </r>
  <r>
    <x v="3"/>
    <x v="16"/>
    <x v="243"/>
    <x v="2"/>
    <x v="1"/>
    <n v="2"/>
    <n v="4000"/>
    <n v="0"/>
  </r>
  <r>
    <x v="3"/>
    <x v="16"/>
    <x v="243"/>
    <x v="2"/>
    <x v="2"/>
    <n v="3"/>
    <n v="4400"/>
    <n v="596904"/>
  </r>
  <r>
    <x v="3"/>
    <x v="16"/>
    <x v="243"/>
    <x v="2"/>
    <x v="3"/>
    <n v="4"/>
    <n v="3800"/>
    <n v="329868"/>
  </r>
  <r>
    <x v="3"/>
    <x v="16"/>
    <x v="243"/>
    <x v="2"/>
    <x v="4"/>
    <n v="5"/>
    <n v="3800"/>
    <n v="294994"/>
  </r>
  <r>
    <x v="3"/>
    <x v="16"/>
    <x v="243"/>
    <x v="2"/>
    <x v="5"/>
    <n v="6"/>
    <n v="4185"/>
    <n v="307552"/>
  </r>
  <r>
    <x v="3"/>
    <x v="16"/>
    <x v="243"/>
    <x v="2"/>
    <x v="6"/>
    <n v="7"/>
    <n v="4600"/>
    <n v="329372.39999999991"/>
  </r>
  <r>
    <x v="3"/>
    <x v="16"/>
    <x v="243"/>
    <x v="3"/>
    <x v="0"/>
    <n v="1"/>
    <n v="4500"/>
    <n v="0"/>
  </r>
  <r>
    <x v="3"/>
    <x v="16"/>
    <x v="243"/>
    <x v="3"/>
    <x v="1"/>
    <n v="2"/>
    <n v="5000"/>
    <n v="0"/>
  </r>
  <r>
    <x v="3"/>
    <x v="16"/>
    <x v="243"/>
    <x v="3"/>
    <x v="2"/>
    <n v="3"/>
    <n v="5500"/>
    <n v="0"/>
  </r>
  <r>
    <x v="3"/>
    <x v="16"/>
    <x v="243"/>
    <x v="3"/>
    <x v="3"/>
    <n v="4"/>
    <n v="4655"/>
    <n v="0"/>
  </r>
  <r>
    <x v="3"/>
    <x v="16"/>
    <x v="243"/>
    <x v="3"/>
    <x v="4"/>
    <n v="5"/>
    <n v="5000"/>
    <n v="0"/>
  </r>
  <r>
    <x v="3"/>
    <x v="16"/>
    <x v="243"/>
    <x v="3"/>
    <x v="5"/>
    <n v="6"/>
    <n v="5250"/>
    <n v="0"/>
  </r>
  <r>
    <x v="3"/>
    <x v="16"/>
    <x v="243"/>
    <x v="3"/>
    <x v="6"/>
    <n v="7"/>
    <n v="5750"/>
    <n v="0"/>
  </r>
  <r>
    <x v="3"/>
    <x v="16"/>
    <x v="407"/>
    <x v="2"/>
    <x v="0"/>
    <n v="1"/>
    <n v="1800"/>
    <n v="0"/>
  </r>
  <r>
    <x v="3"/>
    <x v="16"/>
    <x v="407"/>
    <x v="2"/>
    <x v="1"/>
    <n v="2"/>
    <n v="2000"/>
    <n v="0"/>
  </r>
  <r>
    <x v="3"/>
    <x v="16"/>
    <x v="407"/>
    <x v="2"/>
    <x v="2"/>
    <n v="3"/>
    <n v="2200"/>
    <n v="336417.2"/>
  </r>
  <r>
    <x v="3"/>
    <x v="16"/>
    <x v="407"/>
    <x v="2"/>
    <x v="3"/>
    <n v="4"/>
    <n v="1800"/>
    <n v="190077.99999999994"/>
  </r>
  <r>
    <x v="3"/>
    <x v="16"/>
    <x v="407"/>
    <x v="2"/>
    <x v="4"/>
    <n v="5"/>
    <n v="2000"/>
    <n v="157242.4"/>
  </r>
  <r>
    <x v="3"/>
    <x v="16"/>
    <x v="407"/>
    <x v="2"/>
    <x v="5"/>
    <n v="6"/>
    <n v="2100"/>
    <n v="167672.40000000002"/>
  </r>
  <r>
    <x v="3"/>
    <x v="16"/>
    <x v="407"/>
    <x v="2"/>
    <x v="6"/>
    <n v="7"/>
    <n v="1100"/>
    <n v="172250.40000000002"/>
  </r>
  <r>
    <x v="3"/>
    <x v="16"/>
    <x v="407"/>
    <x v="3"/>
    <x v="0"/>
    <n v="1"/>
    <n v="2850"/>
    <n v="0"/>
  </r>
  <r>
    <x v="3"/>
    <x v="16"/>
    <x v="407"/>
    <x v="3"/>
    <x v="1"/>
    <n v="2"/>
    <n v="3000"/>
    <n v="0"/>
  </r>
  <r>
    <x v="3"/>
    <x v="16"/>
    <x v="407"/>
    <x v="3"/>
    <x v="2"/>
    <n v="3"/>
    <n v="3300"/>
    <n v="0"/>
  </r>
  <r>
    <x v="3"/>
    <x v="16"/>
    <x v="407"/>
    <x v="3"/>
    <x v="3"/>
    <n v="4"/>
    <n v="2686"/>
    <n v="0"/>
  </r>
  <r>
    <x v="3"/>
    <x v="16"/>
    <x v="407"/>
    <x v="3"/>
    <x v="4"/>
    <n v="5"/>
    <n v="2791"/>
    <n v="0"/>
  </r>
  <r>
    <x v="3"/>
    <x v="16"/>
    <x v="407"/>
    <x v="3"/>
    <x v="5"/>
    <n v="6"/>
    <n v="2826"/>
    <n v="0"/>
  </r>
  <r>
    <x v="3"/>
    <x v="16"/>
    <x v="407"/>
    <x v="3"/>
    <x v="6"/>
    <n v="7"/>
    <n v="1650"/>
    <n v="0"/>
  </r>
  <r>
    <x v="3"/>
    <x v="16"/>
    <x v="408"/>
    <x v="2"/>
    <x v="0"/>
    <n v="1"/>
    <n v="0"/>
    <n v="0"/>
  </r>
  <r>
    <x v="3"/>
    <x v="16"/>
    <x v="408"/>
    <x v="2"/>
    <x v="1"/>
    <n v="2"/>
    <n v="0"/>
    <n v="0"/>
  </r>
  <r>
    <x v="3"/>
    <x v="16"/>
    <x v="408"/>
    <x v="2"/>
    <x v="2"/>
    <n v="3"/>
    <n v="0"/>
    <n v="0"/>
  </r>
  <r>
    <x v="3"/>
    <x v="16"/>
    <x v="408"/>
    <x v="2"/>
    <x v="3"/>
    <n v="4"/>
    <n v="0"/>
    <n v="0"/>
  </r>
  <r>
    <x v="3"/>
    <x v="16"/>
    <x v="408"/>
    <x v="2"/>
    <x v="4"/>
    <n v="5"/>
    <n v="0"/>
    <n v="0"/>
  </r>
  <r>
    <x v="3"/>
    <x v="16"/>
    <x v="408"/>
    <x v="2"/>
    <x v="5"/>
    <n v="6"/>
    <n v="0"/>
    <n v="0"/>
  </r>
  <r>
    <x v="3"/>
    <x v="16"/>
    <x v="408"/>
    <x v="2"/>
    <x v="6"/>
    <n v="7"/>
    <n v="1500"/>
    <n v="0"/>
  </r>
  <r>
    <x v="3"/>
    <x v="16"/>
    <x v="408"/>
    <x v="3"/>
    <x v="0"/>
    <n v="1"/>
    <n v="0"/>
    <n v="0"/>
  </r>
  <r>
    <x v="3"/>
    <x v="16"/>
    <x v="408"/>
    <x v="3"/>
    <x v="1"/>
    <n v="2"/>
    <n v="0"/>
    <n v="0"/>
  </r>
  <r>
    <x v="3"/>
    <x v="16"/>
    <x v="408"/>
    <x v="3"/>
    <x v="2"/>
    <n v="3"/>
    <n v="0"/>
    <n v="0"/>
  </r>
  <r>
    <x v="3"/>
    <x v="16"/>
    <x v="408"/>
    <x v="3"/>
    <x v="3"/>
    <n v="4"/>
    <n v="0"/>
    <n v="0"/>
  </r>
  <r>
    <x v="3"/>
    <x v="16"/>
    <x v="408"/>
    <x v="3"/>
    <x v="4"/>
    <n v="5"/>
    <n v="0"/>
    <n v="0"/>
  </r>
  <r>
    <x v="3"/>
    <x v="16"/>
    <x v="408"/>
    <x v="3"/>
    <x v="5"/>
    <n v="6"/>
    <n v="0"/>
    <n v="0"/>
  </r>
  <r>
    <x v="3"/>
    <x v="16"/>
    <x v="408"/>
    <x v="3"/>
    <x v="6"/>
    <n v="7"/>
    <n v="2000"/>
    <n v="0"/>
  </r>
  <r>
    <x v="3"/>
    <x v="16"/>
    <x v="409"/>
    <x v="2"/>
    <x v="0"/>
    <n v="1"/>
    <n v="0"/>
    <n v="0"/>
  </r>
  <r>
    <x v="3"/>
    <x v="16"/>
    <x v="409"/>
    <x v="2"/>
    <x v="1"/>
    <n v="2"/>
    <n v="0"/>
    <n v="0"/>
  </r>
  <r>
    <x v="3"/>
    <x v="16"/>
    <x v="409"/>
    <x v="2"/>
    <x v="2"/>
    <n v="3"/>
    <n v="0"/>
    <n v="0"/>
  </r>
  <r>
    <x v="3"/>
    <x v="16"/>
    <x v="409"/>
    <x v="2"/>
    <x v="3"/>
    <n v="4"/>
    <n v="0"/>
    <n v="0"/>
  </r>
  <r>
    <x v="3"/>
    <x v="16"/>
    <x v="409"/>
    <x v="2"/>
    <x v="4"/>
    <n v="5"/>
    <n v="0"/>
    <n v="0"/>
  </r>
  <r>
    <x v="3"/>
    <x v="16"/>
    <x v="409"/>
    <x v="2"/>
    <x v="5"/>
    <n v="6"/>
    <n v="0"/>
    <n v="0"/>
  </r>
  <r>
    <x v="3"/>
    <x v="16"/>
    <x v="409"/>
    <x v="2"/>
    <x v="6"/>
    <n v="7"/>
    <n v="1500"/>
    <n v="0"/>
  </r>
  <r>
    <x v="3"/>
    <x v="16"/>
    <x v="409"/>
    <x v="3"/>
    <x v="0"/>
    <n v="1"/>
    <n v="0"/>
    <n v="0"/>
  </r>
  <r>
    <x v="3"/>
    <x v="16"/>
    <x v="409"/>
    <x v="3"/>
    <x v="1"/>
    <n v="2"/>
    <n v="0"/>
    <n v="0"/>
  </r>
  <r>
    <x v="3"/>
    <x v="16"/>
    <x v="409"/>
    <x v="3"/>
    <x v="2"/>
    <n v="3"/>
    <n v="0"/>
    <n v="0"/>
  </r>
  <r>
    <x v="3"/>
    <x v="16"/>
    <x v="409"/>
    <x v="3"/>
    <x v="3"/>
    <n v="4"/>
    <n v="0"/>
    <n v="0"/>
  </r>
  <r>
    <x v="3"/>
    <x v="16"/>
    <x v="409"/>
    <x v="3"/>
    <x v="4"/>
    <n v="5"/>
    <n v="0"/>
    <n v="0"/>
  </r>
  <r>
    <x v="3"/>
    <x v="16"/>
    <x v="409"/>
    <x v="3"/>
    <x v="5"/>
    <n v="6"/>
    <n v="0"/>
    <n v="0"/>
  </r>
  <r>
    <x v="3"/>
    <x v="16"/>
    <x v="409"/>
    <x v="3"/>
    <x v="6"/>
    <n v="7"/>
    <n v="2000"/>
    <n v="0"/>
  </r>
  <r>
    <x v="3"/>
    <x v="16"/>
    <x v="410"/>
    <x v="2"/>
    <x v="0"/>
    <n v="1"/>
    <n v="0"/>
    <n v="0"/>
  </r>
  <r>
    <x v="3"/>
    <x v="16"/>
    <x v="410"/>
    <x v="2"/>
    <x v="1"/>
    <n v="2"/>
    <n v="0"/>
    <n v="0"/>
  </r>
  <r>
    <x v="3"/>
    <x v="16"/>
    <x v="410"/>
    <x v="2"/>
    <x v="2"/>
    <n v="3"/>
    <n v="0"/>
    <n v="0"/>
  </r>
  <r>
    <x v="3"/>
    <x v="16"/>
    <x v="410"/>
    <x v="2"/>
    <x v="3"/>
    <n v="4"/>
    <n v="873"/>
    <n v="0"/>
  </r>
  <r>
    <x v="3"/>
    <x v="16"/>
    <x v="410"/>
    <x v="2"/>
    <x v="4"/>
    <n v="5"/>
    <n v="2000"/>
    <n v="77983.92"/>
  </r>
  <r>
    <x v="3"/>
    <x v="16"/>
    <x v="410"/>
    <x v="2"/>
    <x v="5"/>
    <n v="6"/>
    <n v="2100"/>
    <n v="175280"/>
  </r>
  <r>
    <x v="3"/>
    <x v="16"/>
    <x v="410"/>
    <x v="2"/>
    <x v="6"/>
    <n v="7"/>
    <n v="2300"/>
    <n v="184044"/>
  </r>
  <r>
    <x v="3"/>
    <x v="16"/>
    <x v="410"/>
    <x v="3"/>
    <x v="0"/>
    <n v="1"/>
    <n v="0"/>
    <n v="0"/>
  </r>
  <r>
    <x v="3"/>
    <x v="16"/>
    <x v="410"/>
    <x v="3"/>
    <x v="1"/>
    <n v="2"/>
    <n v="0"/>
    <n v="0"/>
  </r>
  <r>
    <x v="3"/>
    <x v="16"/>
    <x v="410"/>
    <x v="3"/>
    <x v="2"/>
    <n v="3"/>
    <n v="0"/>
    <n v="0"/>
  </r>
  <r>
    <x v="3"/>
    <x v="16"/>
    <x v="410"/>
    <x v="3"/>
    <x v="3"/>
    <n v="4"/>
    <n v="1350"/>
    <n v="0"/>
  </r>
  <r>
    <x v="3"/>
    <x v="16"/>
    <x v="410"/>
    <x v="3"/>
    <x v="4"/>
    <n v="5"/>
    <n v="3000"/>
    <n v="0"/>
  </r>
  <r>
    <x v="3"/>
    <x v="16"/>
    <x v="410"/>
    <x v="3"/>
    <x v="5"/>
    <n v="6"/>
    <n v="3150"/>
    <n v="0"/>
  </r>
  <r>
    <x v="3"/>
    <x v="16"/>
    <x v="410"/>
    <x v="3"/>
    <x v="6"/>
    <n v="7"/>
    <n v="3436"/>
    <n v="0"/>
  </r>
  <r>
    <x v="3"/>
    <x v="16"/>
    <x v="252"/>
    <x v="2"/>
    <x v="0"/>
    <n v="1"/>
    <n v="1350"/>
    <n v="0"/>
  </r>
  <r>
    <x v="3"/>
    <x v="16"/>
    <x v="252"/>
    <x v="2"/>
    <x v="1"/>
    <n v="2"/>
    <n v="1500"/>
    <n v="0"/>
  </r>
  <r>
    <x v="3"/>
    <x v="16"/>
    <x v="252"/>
    <x v="2"/>
    <x v="2"/>
    <n v="3"/>
    <n v="1650"/>
    <n v="271614"/>
  </r>
  <r>
    <x v="3"/>
    <x v="16"/>
    <x v="252"/>
    <x v="2"/>
    <x v="3"/>
    <n v="4"/>
    <n v="1425"/>
    <n v="147588"/>
  </r>
  <r>
    <x v="3"/>
    <x v="16"/>
    <x v="252"/>
    <x v="2"/>
    <x v="4"/>
    <n v="5"/>
    <n v="1500"/>
    <n v="124432"/>
  </r>
  <r>
    <x v="3"/>
    <x v="16"/>
    <x v="252"/>
    <x v="2"/>
    <x v="5"/>
    <n v="6"/>
    <n v="1575"/>
    <n v="122360"/>
  </r>
  <r>
    <x v="3"/>
    <x v="16"/>
    <x v="252"/>
    <x v="2"/>
    <x v="6"/>
    <n v="7"/>
    <n v="1725"/>
    <n v="128478"/>
  </r>
  <r>
    <x v="3"/>
    <x v="16"/>
    <x v="252"/>
    <x v="3"/>
    <x v="0"/>
    <n v="1"/>
    <n v="2375"/>
    <n v="0"/>
  </r>
  <r>
    <x v="3"/>
    <x v="16"/>
    <x v="252"/>
    <x v="3"/>
    <x v="1"/>
    <n v="2"/>
    <n v="2500"/>
    <n v="0"/>
  </r>
  <r>
    <x v="3"/>
    <x v="16"/>
    <x v="252"/>
    <x v="3"/>
    <x v="2"/>
    <n v="3"/>
    <n v="2750"/>
    <n v="0"/>
  </r>
  <r>
    <x v="3"/>
    <x v="16"/>
    <x v="252"/>
    <x v="3"/>
    <x v="3"/>
    <n v="4"/>
    <n v="2125"/>
    <n v="0"/>
  </r>
  <r>
    <x v="3"/>
    <x v="16"/>
    <x v="252"/>
    <x v="3"/>
    <x v="4"/>
    <n v="5"/>
    <n v="2000"/>
    <n v="0"/>
  </r>
  <r>
    <x v="3"/>
    <x v="16"/>
    <x v="252"/>
    <x v="3"/>
    <x v="5"/>
    <n v="6"/>
    <n v="2100"/>
    <n v="0"/>
  </r>
  <r>
    <x v="3"/>
    <x v="16"/>
    <x v="252"/>
    <x v="3"/>
    <x v="6"/>
    <n v="7"/>
    <n v="2300"/>
    <n v="0"/>
  </r>
  <r>
    <x v="3"/>
    <x v="16"/>
    <x v="253"/>
    <x v="2"/>
    <x v="0"/>
    <n v="1"/>
    <n v="2700"/>
    <n v="0"/>
  </r>
  <r>
    <x v="3"/>
    <x v="16"/>
    <x v="253"/>
    <x v="2"/>
    <x v="1"/>
    <n v="2"/>
    <n v="3000"/>
    <n v="0"/>
  </r>
  <r>
    <x v="3"/>
    <x v="16"/>
    <x v="253"/>
    <x v="2"/>
    <x v="2"/>
    <n v="3"/>
    <n v="3300"/>
    <n v="472248"/>
  </r>
  <r>
    <x v="3"/>
    <x v="16"/>
    <x v="253"/>
    <x v="2"/>
    <x v="3"/>
    <n v="4"/>
    <n v="2850"/>
    <n v="256956"/>
  </r>
  <r>
    <x v="3"/>
    <x v="16"/>
    <x v="253"/>
    <x v="2"/>
    <x v="4"/>
    <n v="5"/>
    <n v="3000"/>
    <n v="232484"/>
  </r>
  <r>
    <x v="3"/>
    <x v="16"/>
    <x v="253"/>
    <x v="2"/>
    <x v="5"/>
    <n v="6"/>
    <n v="3150"/>
    <n v="244720"/>
  </r>
  <r>
    <x v="3"/>
    <x v="16"/>
    <x v="253"/>
    <x v="2"/>
    <x v="6"/>
    <n v="7"/>
    <n v="3450"/>
    <n v="256956"/>
  </r>
  <r>
    <x v="3"/>
    <x v="16"/>
    <x v="253"/>
    <x v="3"/>
    <x v="0"/>
    <n v="1"/>
    <n v="3800"/>
    <n v="0"/>
  </r>
  <r>
    <x v="3"/>
    <x v="16"/>
    <x v="253"/>
    <x v="3"/>
    <x v="1"/>
    <n v="2"/>
    <n v="4000"/>
    <n v="0"/>
  </r>
  <r>
    <x v="3"/>
    <x v="16"/>
    <x v="253"/>
    <x v="3"/>
    <x v="2"/>
    <n v="3"/>
    <n v="4400"/>
    <n v="0"/>
  </r>
  <r>
    <x v="3"/>
    <x v="16"/>
    <x v="253"/>
    <x v="3"/>
    <x v="3"/>
    <n v="4"/>
    <n v="3800"/>
    <n v="0"/>
  </r>
  <r>
    <x v="3"/>
    <x v="16"/>
    <x v="253"/>
    <x v="3"/>
    <x v="4"/>
    <n v="5"/>
    <n v="4000"/>
    <n v="0"/>
  </r>
  <r>
    <x v="3"/>
    <x v="16"/>
    <x v="253"/>
    <x v="3"/>
    <x v="5"/>
    <n v="6"/>
    <n v="4200"/>
    <n v="0"/>
  </r>
  <r>
    <x v="3"/>
    <x v="16"/>
    <x v="253"/>
    <x v="3"/>
    <x v="6"/>
    <n v="7"/>
    <n v="4600"/>
    <n v="0"/>
  </r>
  <r>
    <x v="3"/>
    <x v="16"/>
    <x v="255"/>
    <x v="2"/>
    <x v="0"/>
    <n v="1"/>
    <n v="0"/>
    <n v="0"/>
  </r>
  <r>
    <x v="3"/>
    <x v="16"/>
    <x v="255"/>
    <x v="2"/>
    <x v="1"/>
    <n v="2"/>
    <n v="0"/>
    <n v="0"/>
  </r>
  <r>
    <x v="3"/>
    <x v="16"/>
    <x v="255"/>
    <x v="2"/>
    <x v="2"/>
    <n v="3"/>
    <n v="0"/>
    <n v="0"/>
  </r>
  <r>
    <x v="3"/>
    <x v="16"/>
    <x v="255"/>
    <x v="2"/>
    <x v="3"/>
    <n v="4"/>
    <n v="996"/>
    <n v="0"/>
  </r>
  <r>
    <x v="3"/>
    <x v="16"/>
    <x v="255"/>
    <x v="2"/>
    <x v="4"/>
    <n v="5"/>
    <n v="1863"/>
    <n v="86525.04"/>
  </r>
  <r>
    <x v="3"/>
    <x v="16"/>
    <x v="255"/>
    <x v="2"/>
    <x v="5"/>
    <n v="6"/>
    <n v="2100"/>
    <n v="158195.52000000002"/>
  </r>
  <r>
    <x v="3"/>
    <x v="16"/>
    <x v="255"/>
    <x v="2"/>
    <x v="6"/>
    <n v="7"/>
    <n v="1100"/>
    <n v="178584"/>
  </r>
  <r>
    <x v="3"/>
    <x v="16"/>
    <x v="255"/>
    <x v="3"/>
    <x v="0"/>
    <n v="1"/>
    <n v="0"/>
    <n v="0"/>
  </r>
  <r>
    <x v="3"/>
    <x v="16"/>
    <x v="255"/>
    <x v="3"/>
    <x v="1"/>
    <n v="2"/>
    <n v="0"/>
    <n v="0"/>
  </r>
  <r>
    <x v="3"/>
    <x v="16"/>
    <x v="255"/>
    <x v="3"/>
    <x v="2"/>
    <n v="3"/>
    <n v="0"/>
    <n v="0"/>
  </r>
  <r>
    <x v="3"/>
    <x v="16"/>
    <x v="255"/>
    <x v="3"/>
    <x v="3"/>
    <n v="4"/>
    <n v="1473"/>
    <n v="0"/>
  </r>
  <r>
    <x v="3"/>
    <x v="16"/>
    <x v="255"/>
    <x v="3"/>
    <x v="4"/>
    <n v="5"/>
    <n v="2655"/>
    <n v="0"/>
  </r>
  <r>
    <x v="3"/>
    <x v="16"/>
    <x v="255"/>
    <x v="3"/>
    <x v="5"/>
    <n v="6"/>
    <n v="3000"/>
    <n v="0"/>
  </r>
  <r>
    <x v="3"/>
    <x v="16"/>
    <x v="255"/>
    <x v="3"/>
    <x v="6"/>
    <n v="7"/>
    <n v="1650"/>
    <n v="0"/>
  </r>
  <r>
    <x v="3"/>
    <x v="16"/>
    <x v="411"/>
    <x v="2"/>
    <x v="0"/>
    <n v="1"/>
    <n v="1800"/>
    <n v="0"/>
  </r>
  <r>
    <x v="3"/>
    <x v="16"/>
    <x v="411"/>
    <x v="2"/>
    <x v="1"/>
    <n v="2"/>
    <n v="2000"/>
    <n v="0"/>
  </r>
  <r>
    <x v="3"/>
    <x v="16"/>
    <x v="411"/>
    <x v="2"/>
    <x v="2"/>
    <n v="3"/>
    <n v="2200"/>
    <n v="338492"/>
  </r>
  <r>
    <x v="3"/>
    <x v="16"/>
    <x v="411"/>
    <x v="2"/>
    <x v="3"/>
    <n v="4"/>
    <n v="1425"/>
    <n v="188678"/>
  </r>
  <r>
    <x v="3"/>
    <x v="16"/>
    <x v="411"/>
    <x v="2"/>
    <x v="4"/>
    <n v="5"/>
    <n v="1500"/>
    <n v="150822"/>
  </r>
  <r>
    <x v="3"/>
    <x v="16"/>
    <x v="411"/>
    <x v="2"/>
    <x v="5"/>
    <n v="6"/>
    <n v="1575"/>
    <n v="158760"/>
  </r>
  <r>
    <x v="3"/>
    <x v="16"/>
    <x v="411"/>
    <x v="2"/>
    <x v="6"/>
    <n v="7"/>
    <n v="1725"/>
    <n v="166698"/>
  </r>
  <r>
    <x v="3"/>
    <x v="16"/>
    <x v="411"/>
    <x v="3"/>
    <x v="0"/>
    <n v="1"/>
    <n v="2834"/>
    <n v="0"/>
  </r>
  <r>
    <x v="3"/>
    <x v="16"/>
    <x v="411"/>
    <x v="3"/>
    <x v="1"/>
    <n v="2"/>
    <n v="3000"/>
    <n v="0"/>
  </r>
  <r>
    <x v="3"/>
    <x v="16"/>
    <x v="411"/>
    <x v="3"/>
    <x v="2"/>
    <n v="3"/>
    <n v="3300"/>
    <n v="0"/>
  </r>
  <r>
    <x v="3"/>
    <x v="16"/>
    <x v="411"/>
    <x v="3"/>
    <x v="3"/>
    <n v="4"/>
    <n v="2850"/>
    <n v="0"/>
  </r>
  <r>
    <x v="3"/>
    <x v="16"/>
    <x v="411"/>
    <x v="3"/>
    <x v="4"/>
    <n v="5"/>
    <n v="3000"/>
    <n v="0"/>
  </r>
  <r>
    <x v="3"/>
    <x v="16"/>
    <x v="411"/>
    <x v="3"/>
    <x v="5"/>
    <n v="6"/>
    <n v="3150"/>
    <n v="0"/>
  </r>
  <r>
    <x v="3"/>
    <x v="16"/>
    <x v="411"/>
    <x v="3"/>
    <x v="6"/>
    <n v="7"/>
    <n v="3450"/>
    <n v="0"/>
  </r>
  <r>
    <x v="3"/>
    <x v="16"/>
    <x v="256"/>
    <x v="2"/>
    <x v="0"/>
    <n v="1"/>
    <n v="0"/>
    <n v="0"/>
  </r>
  <r>
    <x v="3"/>
    <x v="16"/>
    <x v="256"/>
    <x v="2"/>
    <x v="1"/>
    <n v="2"/>
    <n v="0"/>
    <n v="0"/>
  </r>
  <r>
    <x v="3"/>
    <x v="16"/>
    <x v="256"/>
    <x v="2"/>
    <x v="2"/>
    <n v="3"/>
    <n v="0"/>
    <n v="0"/>
  </r>
  <r>
    <x v="3"/>
    <x v="16"/>
    <x v="256"/>
    <x v="2"/>
    <x v="3"/>
    <n v="4"/>
    <n v="0"/>
    <n v="0"/>
  </r>
  <r>
    <x v="3"/>
    <x v="16"/>
    <x v="256"/>
    <x v="2"/>
    <x v="4"/>
    <n v="5"/>
    <n v="0"/>
    <n v="0"/>
  </r>
  <r>
    <x v="3"/>
    <x v="16"/>
    <x v="256"/>
    <x v="2"/>
    <x v="5"/>
    <n v="6"/>
    <n v="1300"/>
    <n v="0"/>
  </r>
  <r>
    <x v="3"/>
    <x v="16"/>
    <x v="256"/>
    <x v="2"/>
    <x v="6"/>
    <n v="7"/>
    <n v="2300"/>
    <n v="113932"/>
  </r>
  <r>
    <x v="3"/>
    <x v="16"/>
    <x v="256"/>
    <x v="3"/>
    <x v="0"/>
    <n v="1"/>
    <n v="0"/>
    <n v="0"/>
  </r>
  <r>
    <x v="3"/>
    <x v="16"/>
    <x v="256"/>
    <x v="3"/>
    <x v="1"/>
    <n v="2"/>
    <n v="0"/>
    <n v="0"/>
  </r>
  <r>
    <x v="3"/>
    <x v="16"/>
    <x v="256"/>
    <x v="3"/>
    <x v="2"/>
    <n v="3"/>
    <n v="0"/>
    <n v="0"/>
  </r>
  <r>
    <x v="3"/>
    <x v="16"/>
    <x v="256"/>
    <x v="3"/>
    <x v="3"/>
    <n v="4"/>
    <n v="0"/>
    <n v="0"/>
  </r>
  <r>
    <x v="3"/>
    <x v="16"/>
    <x v="256"/>
    <x v="3"/>
    <x v="4"/>
    <n v="5"/>
    <n v="0"/>
    <n v="0"/>
  </r>
  <r>
    <x v="3"/>
    <x v="16"/>
    <x v="256"/>
    <x v="3"/>
    <x v="5"/>
    <n v="6"/>
    <n v="1950"/>
    <n v="0"/>
  </r>
  <r>
    <x v="3"/>
    <x v="16"/>
    <x v="256"/>
    <x v="3"/>
    <x v="6"/>
    <n v="7"/>
    <n v="3450"/>
    <n v="0"/>
  </r>
  <r>
    <x v="3"/>
    <x v="17"/>
    <x v="262"/>
    <x v="2"/>
    <x v="0"/>
    <n v="1"/>
    <n v="2521"/>
    <n v="0"/>
  </r>
  <r>
    <x v="3"/>
    <x v="17"/>
    <x v="262"/>
    <x v="2"/>
    <x v="1"/>
    <n v="2"/>
    <n v="2724"/>
    <n v="137262.6"/>
  </r>
  <r>
    <x v="3"/>
    <x v="17"/>
    <x v="262"/>
    <x v="2"/>
    <x v="2"/>
    <n v="3"/>
    <n v="2750"/>
    <n v="118146"/>
  </r>
  <r>
    <x v="3"/>
    <x v="17"/>
    <x v="262"/>
    <x v="2"/>
    <x v="3"/>
    <n v="4"/>
    <n v="2375"/>
    <n v="236249.99999999997"/>
  </r>
  <r>
    <x v="3"/>
    <x v="17"/>
    <x v="262"/>
    <x v="2"/>
    <x v="4"/>
    <n v="5"/>
    <n v="2500"/>
    <n v="166250"/>
  </r>
  <r>
    <x v="3"/>
    <x v="17"/>
    <x v="262"/>
    <x v="2"/>
    <x v="5"/>
    <n v="6"/>
    <n v="2625"/>
    <n v="182562.5"/>
  </r>
  <r>
    <x v="3"/>
    <x v="17"/>
    <x v="262"/>
    <x v="2"/>
    <x v="6"/>
    <n v="7"/>
    <n v="2875"/>
    <n v="198187.5"/>
  </r>
  <r>
    <x v="3"/>
    <x v="17"/>
    <x v="262"/>
    <x v="3"/>
    <x v="0"/>
    <n v="1"/>
    <n v="3420"/>
    <n v="0"/>
  </r>
  <r>
    <x v="3"/>
    <x v="17"/>
    <x v="262"/>
    <x v="3"/>
    <x v="1"/>
    <n v="2"/>
    <n v="3700"/>
    <n v="0"/>
  </r>
  <r>
    <x v="3"/>
    <x v="17"/>
    <x v="262"/>
    <x v="3"/>
    <x v="2"/>
    <n v="3"/>
    <n v="4400"/>
    <n v="0"/>
  </r>
  <r>
    <x v="3"/>
    <x v="17"/>
    <x v="262"/>
    <x v="3"/>
    <x v="3"/>
    <n v="4"/>
    <n v="3800"/>
    <n v="0"/>
  </r>
  <r>
    <x v="3"/>
    <x v="17"/>
    <x v="262"/>
    <x v="3"/>
    <x v="4"/>
    <n v="5"/>
    <n v="4275"/>
    <n v="0"/>
  </r>
  <r>
    <x v="3"/>
    <x v="17"/>
    <x v="262"/>
    <x v="3"/>
    <x v="5"/>
    <n v="6"/>
    <n v="4725"/>
    <n v="0"/>
  </r>
  <r>
    <x v="3"/>
    <x v="17"/>
    <x v="262"/>
    <x v="3"/>
    <x v="6"/>
    <n v="7"/>
    <n v="5175"/>
    <n v="0"/>
  </r>
  <r>
    <x v="3"/>
    <x v="17"/>
    <x v="263"/>
    <x v="2"/>
    <x v="0"/>
    <n v="1"/>
    <n v="1350"/>
    <n v="0"/>
  </r>
  <r>
    <x v="3"/>
    <x v="17"/>
    <x v="263"/>
    <x v="2"/>
    <x v="1"/>
    <n v="2"/>
    <n v="1500"/>
    <n v="86493.75"/>
  </r>
  <r>
    <x v="3"/>
    <x v="17"/>
    <x v="263"/>
    <x v="2"/>
    <x v="2"/>
    <n v="3"/>
    <n v="1650"/>
    <n v="83193.75"/>
  </r>
  <r>
    <x v="3"/>
    <x v="17"/>
    <x v="263"/>
    <x v="2"/>
    <x v="3"/>
    <n v="4"/>
    <n v="1425"/>
    <n v="157950"/>
  </r>
  <r>
    <x v="3"/>
    <x v="17"/>
    <x v="263"/>
    <x v="2"/>
    <x v="4"/>
    <n v="5"/>
    <n v="1500"/>
    <n v="115425"/>
  </r>
  <r>
    <x v="3"/>
    <x v="17"/>
    <x v="263"/>
    <x v="2"/>
    <x v="5"/>
    <n v="6"/>
    <n v="1575"/>
    <n v="121500"/>
  </r>
  <r>
    <x v="3"/>
    <x v="17"/>
    <x v="263"/>
    <x v="2"/>
    <x v="6"/>
    <n v="7"/>
    <n v="1725"/>
    <n v="127575"/>
  </r>
  <r>
    <x v="3"/>
    <x v="17"/>
    <x v="263"/>
    <x v="3"/>
    <x v="0"/>
    <n v="1"/>
    <n v="2850"/>
    <n v="0"/>
  </r>
  <r>
    <x v="3"/>
    <x v="17"/>
    <x v="263"/>
    <x v="3"/>
    <x v="1"/>
    <n v="2"/>
    <n v="3000"/>
    <n v="0"/>
  </r>
  <r>
    <x v="3"/>
    <x v="17"/>
    <x v="263"/>
    <x v="3"/>
    <x v="2"/>
    <n v="3"/>
    <n v="3300"/>
    <n v="0"/>
  </r>
  <r>
    <x v="3"/>
    <x v="17"/>
    <x v="263"/>
    <x v="3"/>
    <x v="3"/>
    <n v="4"/>
    <n v="2850"/>
    <n v="0"/>
  </r>
  <r>
    <x v="3"/>
    <x v="17"/>
    <x v="263"/>
    <x v="3"/>
    <x v="4"/>
    <n v="5"/>
    <n v="3000"/>
    <n v="0"/>
  </r>
  <r>
    <x v="3"/>
    <x v="17"/>
    <x v="263"/>
    <x v="3"/>
    <x v="5"/>
    <n v="6"/>
    <n v="3150"/>
    <n v="0"/>
  </r>
  <r>
    <x v="3"/>
    <x v="17"/>
    <x v="263"/>
    <x v="3"/>
    <x v="6"/>
    <n v="7"/>
    <n v="3450"/>
    <n v="0"/>
  </r>
  <r>
    <x v="3"/>
    <x v="17"/>
    <x v="264"/>
    <x v="2"/>
    <x v="0"/>
    <n v="1"/>
    <n v="2075"/>
    <n v="0"/>
  </r>
  <r>
    <x v="3"/>
    <x v="17"/>
    <x v="264"/>
    <x v="2"/>
    <x v="1"/>
    <n v="2"/>
    <n v="2000"/>
    <n v="74962.5"/>
  </r>
  <r>
    <x v="3"/>
    <x v="17"/>
    <x v="264"/>
    <x v="2"/>
    <x v="2"/>
    <n v="3"/>
    <n v="2200"/>
    <n v="146206.25"/>
  </r>
  <r>
    <x v="3"/>
    <x v="17"/>
    <x v="264"/>
    <x v="2"/>
    <x v="3"/>
    <n v="4"/>
    <n v="1900"/>
    <n v="218700"/>
  </r>
  <r>
    <x v="3"/>
    <x v="17"/>
    <x v="264"/>
    <x v="2"/>
    <x v="4"/>
    <n v="5"/>
    <n v="2000"/>
    <n v="153900"/>
  </r>
  <r>
    <x v="3"/>
    <x v="17"/>
    <x v="264"/>
    <x v="2"/>
    <x v="5"/>
    <n v="6"/>
    <n v="2100"/>
    <n v="162000"/>
  </r>
  <r>
    <x v="3"/>
    <x v="17"/>
    <x v="264"/>
    <x v="2"/>
    <x v="6"/>
    <n v="7"/>
    <n v="2300"/>
    <n v="170100"/>
  </r>
  <r>
    <x v="3"/>
    <x v="17"/>
    <x v="264"/>
    <x v="3"/>
    <x v="0"/>
    <n v="1"/>
    <n v="3600"/>
    <n v="0"/>
  </r>
  <r>
    <x v="3"/>
    <x v="17"/>
    <x v="264"/>
    <x v="3"/>
    <x v="1"/>
    <n v="2"/>
    <n v="4000"/>
    <n v="0"/>
  </r>
  <r>
    <x v="3"/>
    <x v="17"/>
    <x v="264"/>
    <x v="3"/>
    <x v="2"/>
    <n v="3"/>
    <n v="4400"/>
    <n v="0"/>
  </r>
  <r>
    <x v="3"/>
    <x v="17"/>
    <x v="264"/>
    <x v="3"/>
    <x v="3"/>
    <n v="4"/>
    <n v="3800"/>
    <n v="0"/>
  </r>
  <r>
    <x v="3"/>
    <x v="17"/>
    <x v="264"/>
    <x v="3"/>
    <x v="4"/>
    <n v="5"/>
    <n v="4000"/>
    <n v="0"/>
  </r>
  <r>
    <x v="3"/>
    <x v="17"/>
    <x v="264"/>
    <x v="3"/>
    <x v="5"/>
    <n v="6"/>
    <n v="4200"/>
    <n v="0"/>
  </r>
  <r>
    <x v="3"/>
    <x v="17"/>
    <x v="264"/>
    <x v="3"/>
    <x v="6"/>
    <n v="7"/>
    <n v="4600"/>
    <n v="0"/>
  </r>
  <r>
    <x v="3"/>
    <x v="17"/>
    <x v="265"/>
    <x v="2"/>
    <x v="0"/>
    <n v="1"/>
    <n v="2125"/>
    <n v="0"/>
  </r>
  <r>
    <x v="3"/>
    <x v="17"/>
    <x v="265"/>
    <x v="2"/>
    <x v="1"/>
    <n v="2"/>
    <n v="2375"/>
    <n v="74962.5"/>
  </r>
  <r>
    <x v="3"/>
    <x v="17"/>
    <x v="265"/>
    <x v="2"/>
    <x v="2"/>
    <n v="3"/>
    <n v="2200"/>
    <n v="155237.5"/>
  </r>
  <r>
    <x v="3"/>
    <x v="17"/>
    <x v="265"/>
    <x v="2"/>
    <x v="3"/>
    <n v="4"/>
    <n v="1900"/>
    <n v="218700"/>
  </r>
  <r>
    <x v="3"/>
    <x v="17"/>
    <x v="265"/>
    <x v="2"/>
    <x v="4"/>
    <n v="5"/>
    <n v="2000"/>
    <n v="153900"/>
  </r>
  <r>
    <x v="3"/>
    <x v="17"/>
    <x v="265"/>
    <x v="2"/>
    <x v="5"/>
    <n v="6"/>
    <n v="2500"/>
    <n v="162000"/>
  </r>
  <r>
    <x v="3"/>
    <x v="17"/>
    <x v="265"/>
    <x v="2"/>
    <x v="6"/>
    <n v="7"/>
    <n v="2300"/>
    <n v="210650"/>
  </r>
  <r>
    <x v="3"/>
    <x v="17"/>
    <x v="265"/>
    <x v="3"/>
    <x v="0"/>
    <n v="1"/>
    <n v="3600"/>
    <n v="0"/>
  </r>
  <r>
    <x v="3"/>
    <x v="17"/>
    <x v="265"/>
    <x v="3"/>
    <x v="1"/>
    <n v="2"/>
    <n v="4000"/>
    <n v="0"/>
  </r>
  <r>
    <x v="3"/>
    <x v="17"/>
    <x v="265"/>
    <x v="3"/>
    <x v="2"/>
    <n v="3"/>
    <n v="4400"/>
    <n v="0"/>
  </r>
  <r>
    <x v="3"/>
    <x v="17"/>
    <x v="265"/>
    <x v="3"/>
    <x v="3"/>
    <n v="4"/>
    <n v="3800"/>
    <n v="0"/>
  </r>
  <r>
    <x v="3"/>
    <x v="17"/>
    <x v="265"/>
    <x v="3"/>
    <x v="4"/>
    <n v="5"/>
    <n v="4000"/>
    <n v="0"/>
  </r>
  <r>
    <x v="3"/>
    <x v="17"/>
    <x v="265"/>
    <x v="3"/>
    <x v="5"/>
    <n v="6"/>
    <n v="4800"/>
    <n v="0"/>
  </r>
  <r>
    <x v="3"/>
    <x v="17"/>
    <x v="265"/>
    <x v="3"/>
    <x v="6"/>
    <n v="7"/>
    <n v="4600"/>
    <n v="0"/>
  </r>
  <r>
    <x v="3"/>
    <x v="17"/>
    <x v="267"/>
    <x v="2"/>
    <x v="0"/>
    <n v="1"/>
    <n v="2700"/>
    <n v="0"/>
  </r>
  <r>
    <x v="3"/>
    <x v="17"/>
    <x v="267"/>
    <x v="2"/>
    <x v="1"/>
    <n v="2"/>
    <n v="2950"/>
    <n v="87862.5"/>
  </r>
  <r>
    <x v="3"/>
    <x v="17"/>
    <x v="267"/>
    <x v="2"/>
    <x v="2"/>
    <n v="3"/>
    <n v="2200"/>
    <n v="166925"/>
  </r>
  <r>
    <x v="3"/>
    <x v="17"/>
    <x v="267"/>
    <x v="2"/>
    <x v="3"/>
    <n v="4"/>
    <n v="1900"/>
    <n v="230249"/>
  </r>
  <r>
    <x v="3"/>
    <x v="17"/>
    <x v="267"/>
    <x v="2"/>
    <x v="4"/>
    <n v="5"/>
    <n v="2000"/>
    <n v="183141"/>
  </r>
  <r>
    <x v="3"/>
    <x v="17"/>
    <x v="267"/>
    <x v="2"/>
    <x v="5"/>
    <n v="6"/>
    <n v="2100"/>
    <n v="192780"/>
  </r>
  <r>
    <x v="3"/>
    <x v="17"/>
    <x v="267"/>
    <x v="2"/>
    <x v="6"/>
    <n v="7"/>
    <n v="2200"/>
    <n v="202419"/>
  </r>
  <r>
    <x v="3"/>
    <x v="17"/>
    <x v="267"/>
    <x v="3"/>
    <x v="0"/>
    <n v="1"/>
    <n v="3800"/>
    <n v="0"/>
  </r>
  <r>
    <x v="3"/>
    <x v="17"/>
    <x v="267"/>
    <x v="3"/>
    <x v="1"/>
    <n v="2"/>
    <n v="4000"/>
    <n v="0"/>
  </r>
  <r>
    <x v="3"/>
    <x v="17"/>
    <x v="267"/>
    <x v="3"/>
    <x v="2"/>
    <n v="3"/>
    <n v="4400"/>
    <n v="0"/>
  </r>
  <r>
    <x v="3"/>
    <x v="17"/>
    <x v="267"/>
    <x v="3"/>
    <x v="3"/>
    <n v="4"/>
    <n v="3800"/>
    <n v="0"/>
  </r>
  <r>
    <x v="3"/>
    <x v="17"/>
    <x v="267"/>
    <x v="3"/>
    <x v="4"/>
    <n v="5"/>
    <n v="4000"/>
    <n v="0"/>
  </r>
  <r>
    <x v="3"/>
    <x v="17"/>
    <x v="267"/>
    <x v="3"/>
    <x v="5"/>
    <n v="6"/>
    <n v="4200"/>
    <n v="0"/>
  </r>
  <r>
    <x v="3"/>
    <x v="17"/>
    <x v="267"/>
    <x v="3"/>
    <x v="6"/>
    <n v="7"/>
    <n v="4499"/>
    <n v="0"/>
  </r>
  <r>
    <x v="3"/>
    <x v="17"/>
    <x v="269"/>
    <x v="2"/>
    <x v="0"/>
    <n v="1"/>
    <n v="2700"/>
    <n v="0"/>
  </r>
  <r>
    <x v="3"/>
    <x v="17"/>
    <x v="269"/>
    <x v="2"/>
    <x v="1"/>
    <n v="2"/>
    <n v="3000"/>
    <n v="87862.5"/>
  </r>
  <r>
    <x v="3"/>
    <x v="17"/>
    <x v="269"/>
    <x v="2"/>
    <x v="2"/>
    <n v="3"/>
    <n v="3300"/>
    <n v="166925"/>
  </r>
  <r>
    <x v="3"/>
    <x v="17"/>
    <x v="269"/>
    <x v="2"/>
    <x v="3"/>
    <n v="4"/>
    <n v="2850"/>
    <n v="253800"/>
  </r>
  <r>
    <x v="3"/>
    <x v="17"/>
    <x v="269"/>
    <x v="2"/>
    <x v="4"/>
    <n v="5"/>
    <n v="3000"/>
    <n v="178600"/>
  </r>
  <r>
    <x v="3"/>
    <x v="17"/>
    <x v="269"/>
    <x v="2"/>
    <x v="5"/>
    <n v="6"/>
    <n v="3150"/>
    <n v="201750"/>
  </r>
  <r>
    <x v="3"/>
    <x v="17"/>
    <x v="269"/>
    <x v="2"/>
    <x v="6"/>
    <n v="7"/>
    <n v="3450"/>
    <n v="211837.5"/>
  </r>
  <r>
    <x v="3"/>
    <x v="17"/>
    <x v="269"/>
    <x v="3"/>
    <x v="0"/>
    <n v="1"/>
    <n v="3800"/>
    <n v="0"/>
  </r>
  <r>
    <x v="3"/>
    <x v="17"/>
    <x v="269"/>
    <x v="3"/>
    <x v="1"/>
    <n v="2"/>
    <n v="4000"/>
    <n v="0"/>
  </r>
  <r>
    <x v="3"/>
    <x v="17"/>
    <x v="269"/>
    <x v="3"/>
    <x v="2"/>
    <n v="3"/>
    <n v="4400"/>
    <n v="0"/>
  </r>
  <r>
    <x v="3"/>
    <x v="17"/>
    <x v="269"/>
    <x v="3"/>
    <x v="3"/>
    <n v="4"/>
    <n v="3800"/>
    <n v="0"/>
  </r>
  <r>
    <x v="3"/>
    <x v="17"/>
    <x v="269"/>
    <x v="3"/>
    <x v="4"/>
    <n v="5"/>
    <n v="4500"/>
    <n v="0"/>
  </r>
  <r>
    <x v="3"/>
    <x v="17"/>
    <x v="269"/>
    <x v="3"/>
    <x v="5"/>
    <n v="6"/>
    <n v="4725"/>
    <n v="0"/>
  </r>
  <r>
    <x v="3"/>
    <x v="17"/>
    <x v="269"/>
    <x v="3"/>
    <x v="6"/>
    <n v="7"/>
    <n v="5175"/>
    <n v="0"/>
  </r>
  <r>
    <x v="3"/>
    <x v="17"/>
    <x v="271"/>
    <x v="2"/>
    <x v="0"/>
    <n v="1"/>
    <n v="0"/>
    <n v="0"/>
  </r>
  <r>
    <x v="3"/>
    <x v="17"/>
    <x v="271"/>
    <x v="2"/>
    <x v="1"/>
    <n v="2"/>
    <n v="0"/>
    <n v="0"/>
  </r>
  <r>
    <x v="3"/>
    <x v="17"/>
    <x v="271"/>
    <x v="2"/>
    <x v="2"/>
    <n v="3"/>
    <n v="2125"/>
    <n v="0"/>
  </r>
  <r>
    <x v="3"/>
    <x v="17"/>
    <x v="271"/>
    <x v="2"/>
    <x v="3"/>
    <n v="4"/>
    <n v="2375"/>
    <n v="162562.5"/>
  </r>
  <r>
    <x v="3"/>
    <x v="17"/>
    <x v="271"/>
    <x v="2"/>
    <x v="4"/>
    <n v="5"/>
    <n v="2500"/>
    <n v="181687.5"/>
  </r>
  <r>
    <x v="3"/>
    <x v="17"/>
    <x v="271"/>
    <x v="2"/>
    <x v="5"/>
    <n v="6"/>
    <n v="2625"/>
    <n v="191250"/>
  </r>
  <r>
    <x v="3"/>
    <x v="17"/>
    <x v="271"/>
    <x v="2"/>
    <x v="6"/>
    <n v="7"/>
    <n v="2875"/>
    <n v="200812.5"/>
  </r>
  <r>
    <x v="3"/>
    <x v="17"/>
    <x v="271"/>
    <x v="3"/>
    <x v="0"/>
    <n v="1"/>
    <n v="0"/>
    <n v="0"/>
  </r>
  <r>
    <x v="3"/>
    <x v="17"/>
    <x v="271"/>
    <x v="3"/>
    <x v="1"/>
    <n v="2"/>
    <n v="0"/>
    <n v="0"/>
  </r>
  <r>
    <x v="3"/>
    <x v="17"/>
    <x v="271"/>
    <x v="3"/>
    <x v="2"/>
    <n v="3"/>
    <n v="2975"/>
    <n v="0"/>
  </r>
  <r>
    <x v="3"/>
    <x v="17"/>
    <x v="271"/>
    <x v="3"/>
    <x v="3"/>
    <n v="4"/>
    <n v="3325"/>
    <n v="0"/>
  </r>
  <r>
    <x v="3"/>
    <x v="17"/>
    <x v="271"/>
    <x v="3"/>
    <x v="4"/>
    <n v="5"/>
    <n v="3500"/>
    <n v="0"/>
  </r>
  <r>
    <x v="3"/>
    <x v="17"/>
    <x v="271"/>
    <x v="3"/>
    <x v="5"/>
    <n v="6"/>
    <n v="3675"/>
    <n v="0"/>
  </r>
  <r>
    <x v="3"/>
    <x v="17"/>
    <x v="271"/>
    <x v="3"/>
    <x v="6"/>
    <n v="7"/>
    <n v="4001"/>
    <n v="0"/>
  </r>
  <r>
    <x v="3"/>
    <x v="17"/>
    <x v="272"/>
    <x v="2"/>
    <x v="0"/>
    <n v="1"/>
    <n v="2880"/>
    <n v="0"/>
  </r>
  <r>
    <x v="3"/>
    <x v="17"/>
    <x v="272"/>
    <x v="2"/>
    <x v="1"/>
    <n v="2"/>
    <n v="3200"/>
    <n v="169365.3"/>
  </r>
  <r>
    <x v="3"/>
    <x v="17"/>
    <x v="272"/>
    <x v="2"/>
    <x v="2"/>
    <n v="3"/>
    <n v="3520"/>
    <n v="136666.5"/>
  </r>
  <r>
    <x v="3"/>
    <x v="17"/>
    <x v="272"/>
    <x v="2"/>
    <x v="3"/>
    <n v="4"/>
    <n v="3040"/>
    <n v="268245.00000000006"/>
  </r>
  <r>
    <x v="3"/>
    <x v="17"/>
    <x v="272"/>
    <x v="2"/>
    <x v="4"/>
    <n v="5"/>
    <n v="3200"/>
    <n v="188765"/>
  </r>
  <r>
    <x v="3"/>
    <x v="17"/>
    <x v="272"/>
    <x v="2"/>
    <x v="5"/>
    <n v="6"/>
    <n v="3360"/>
    <n v="198700"/>
  </r>
  <r>
    <x v="3"/>
    <x v="17"/>
    <x v="272"/>
    <x v="2"/>
    <x v="6"/>
    <n v="7"/>
    <n v="3680"/>
    <n v="208635"/>
  </r>
  <r>
    <x v="3"/>
    <x v="17"/>
    <x v="272"/>
    <x v="3"/>
    <x v="0"/>
    <n v="1"/>
    <n v="3990"/>
    <n v="0"/>
  </r>
  <r>
    <x v="3"/>
    <x v="17"/>
    <x v="272"/>
    <x v="3"/>
    <x v="1"/>
    <n v="2"/>
    <n v="4200"/>
    <n v="0"/>
  </r>
  <r>
    <x v="3"/>
    <x v="17"/>
    <x v="272"/>
    <x v="3"/>
    <x v="2"/>
    <n v="3"/>
    <n v="4620"/>
    <n v="0"/>
  </r>
  <r>
    <x v="3"/>
    <x v="17"/>
    <x v="272"/>
    <x v="3"/>
    <x v="3"/>
    <n v="4"/>
    <n v="3990"/>
    <n v="0"/>
  </r>
  <r>
    <x v="3"/>
    <x v="17"/>
    <x v="272"/>
    <x v="3"/>
    <x v="4"/>
    <n v="5"/>
    <n v="4200"/>
    <n v="0"/>
  </r>
  <r>
    <x v="3"/>
    <x v="17"/>
    <x v="272"/>
    <x v="3"/>
    <x v="5"/>
    <n v="6"/>
    <n v="4410"/>
    <n v="0"/>
  </r>
  <r>
    <x v="3"/>
    <x v="17"/>
    <x v="272"/>
    <x v="3"/>
    <x v="6"/>
    <n v="7"/>
    <n v="4830"/>
    <n v="0"/>
  </r>
  <r>
    <x v="3"/>
    <x v="17"/>
    <x v="274"/>
    <x v="2"/>
    <x v="0"/>
    <n v="1"/>
    <n v="0"/>
    <n v="0"/>
  </r>
  <r>
    <x v="3"/>
    <x v="17"/>
    <x v="274"/>
    <x v="2"/>
    <x v="1"/>
    <n v="2"/>
    <n v="0"/>
    <n v="0"/>
  </r>
  <r>
    <x v="3"/>
    <x v="17"/>
    <x v="274"/>
    <x v="2"/>
    <x v="2"/>
    <n v="3"/>
    <n v="0"/>
    <n v="0"/>
  </r>
  <r>
    <x v="3"/>
    <x v="17"/>
    <x v="274"/>
    <x v="2"/>
    <x v="3"/>
    <n v="4"/>
    <n v="0"/>
    <n v="0"/>
  </r>
  <r>
    <x v="3"/>
    <x v="17"/>
    <x v="274"/>
    <x v="2"/>
    <x v="4"/>
    <n v="5"/>
    <n v="0"/>
    <n v="0"/>
  </r>
  <r>
    <x v="3"/>
    <x v="17"/>
    <x v="274"/>
    <x v="2"/>
    <x v="5"/>
    <n v="6"/>
    <n v="1500"/>
    <n v="0"/>
  </r>
  <r>
    <x v="3"/>
    <x v="17"/>
    <x v="274"/>
    <x v="2"/>
    <x v="6"/>
    <n v="7"/>
    <n v="2300"/>
    <n v="119722.5"/>
  </r>
  <r>
    <x v="3"/>
    <x v="17"/>
    <x v="274"/>
    <x v="3"/>
    <x v="0"/>
    <n v="1"/>
    <n v="0"/>
    <n v="0"/>
  </r>
  <r>
    <x v="3"/>
    <x v="17"/>
    <x v="274"/>
    <x v="3"/>
    <x v="1"/>
    <n v="2"/>
    <n v="0"/>
    <n v="0"/>
  </r>
  <r>
    <x v="3"/>
    <x v="17"/>
    <x v="274"/>
    <x v="3"/>
    <x v="2"/>
    <n v="3"/>
    <n v="0"/>
    <n v="0"/>
  </r>
  <r>
    <x v="3"/>
    <x v="17"/>
    <x v="274"/>
    <x v="3"/>
    <x v="3"/>
    <n v="4"/>
    <n v="0"/>
    <n v="0"/>
  </r>
  <r>
    <x v="3"/>
    <x v="17"/>
    <x v="274"/>
    <x v="3"/>
    <x v="4"/>
    <n v="5"/>
    <n v="0"/>
    <n v="0"/>
  </r>
  <r>
    <x v="3"/>
    <x v="17"/>
    <x v="274"/>
    <x v="3"/>
    <x v="5"/>
    <n v="6"/>
    <n v="2250"/>
    <n v="0"/>
  </r>
  <r>
    <x v="3"/>
    <x v="17"/>
    <x v="274"/>
    <x v="3"/>
    <x v="6"/>
    <n v="7"/>
    <n v="3440"/>
    <n v="0"/>
  </r>
  <r>
    <x v="3"/>
    <x v="17"/>
    <x v="275"/>
    <x v="2"/>
    <x v="0"/>
    <n v="1"/>
    <n v="0"/>
    <n v="0"/>
  </r>
  <r>
    <x v="3"/>
    <x v="17"/>
    <x v="275"/>
    <x v="2"/>
    <x v="1"/>
    <n v="2"/>
    <n v="0"/>
    <n v="0"/>
  </r>
  <r>
    <x v="3"/>
    <x v="17"/>
    <x v="275"/>
    <x v="2"/>
    <x v="2"/>
    <n v="3"/>
    <n v="1700"/>
    <n v="0"/>
  </r>
  <r>
    <x v="3"/>
    <x v="17"/>
    <x v="275"/>
    <x v="2"/>
    <x v="3"/>
    <n v="4"/>
    <n v="1900"/>
    <n v="132676.5"/>
  </r>
  <r>
    <x v="3"/>
    <x v="17"/>
    <x v="275"/>
    <x v="2"/>
    <x v="4"/>
    <n v="5"/>
    <n v="2000"/>
    <n v="151648.5"/>
  </r>
  <r>
    <x v="3"/>
    <x v="17"/>
    <x v="275"/>
    <x v="2"/>
    <x v="5"/>
    <n v="6"/>
    <n v="2100"/>
    <n v="159630"/>
  </r>
  <r>
    <x v="3"/>
    <x v="17"/>
    <x v="275"/>
    <x v="2"/>
    <x v="6"/>
    <n v="7"/>
    <n v="2300"/>
    <n v="185844"/>
  </r>
  <r>
    <x v="3"/>
    <x v="17"/>
    <x v="275"/>
    <x v="3"/>
    <x v="0"/>
    <n v="1"/>
    <n v="0"/>
    <n v="0"/>
  </r>
  <r>
    <x v="3"/>
    <x v="17"/>
    <x v="275"/>
    <x v="3"/>
    <x v="1"/>
    <n v="2"/>
    <n v="0"/>
    <n v="0"/>
  </r>
  <r>
    <x v="3"/>
    <x v="17"/>
    <x v="275"/>
    <x v="3"/>
    <x v="2"/>
    <n v="3"/>
    <n v="2550"/>
    <n v="0"/>
  </r>
  <r>
    <x v="3"/>
    <x v="17"/>
    <x v="275"/>
    <x v="3"/>
    <x v="3"/>
    <n v="4"/>
    <n v="2850"/>
    <n v="0"/>
  </r>
  <r>
    <x v="3"/>
    <x v="17"/>
    <x v="275"/>
    <x v="3"/>
    <x v="4"/>
    <n v="5"/>
    <n v="3000"/>
    <n v="0"/>
  </r>
  <r>
    <x v="3"/>
    <x v="17"/>
    <x v="275"/>
    <x v="3"/>
    <x v="5"/>
    <n v="6"/>
    <n v="3700"/>
    <n v="0"/>
  </r>
  <r>
    <x v="3"/>
    <x v="17"/>
    <x v="275"/>
    <x v="3"/>
    <x v="6"/>
    <n v="7"/>
    <n v="4570"/>
    <n v="0"/>
  </r>
  <r>
    <x v="3"/>
    <x v="18"/>
    <x v="412"/>
    <x v="2"/>
    <x v="0"/>
    <n v="1"/>
    <n v="0"/>
    <n v="0"/>
  </r>
  <r>
    <x v="3"/>
    <x v="18"/>
    <x v="412"/>
    <x v="2"/>
    <x v="1"/>
    <n v="2"/>
    <n v="0"/>
    <n v="0"/>
  </r>
  <r>
    <x v="3"/>
    <x v="18"/>
    <x v="412"/>
    <x v="2"/>
    <x v="2"/>
    <n v="3"/>
    <n v="0"/>
    <n v="0"/>
  </r>
  <r>
    <x v="3"/>
    <x v="18"/>
    <x v="412"/>
    <x v="2"/>
    <x v="3"/>
    <n v="4"/>
    <n v="0"/>
    <n v="0"/>
  </r>
  <r>
    <x v="3"/>
    <x v="18"/>
    <x v="412"/>
    <x v="2"/>
    <x v="4"/>
    <n v="5"/>
    <n v="0"/>
    <n v="0"/>
  </r>
  <r>
    <x v="3"/>
    <x v="18"/>
    <x v="412"/>
    <x v="2"/>
    <x v="5"/>
    <n v="6"/>
    <n v="0"/>
    <n v="0"/>
  </r>
  <r>
    <x v="3"/>
    <x v="18"/>
    <x v="412"/>
    <x v="2"/>
    <x v="6"/>
    <n v="7"/>
    <n v="2382"/>
    <n v="0"/>
  </r>
  <r>
    <x v="3"/>
    <x v="18"/>
    <x v="412"/>
    <x v="3"/>
    <x v="0"/>
    <n v="1"/>
    <n v="0"/>
    <n v="0"/>
  </r>
  <r>
    <x v="3"/>
    <x v="18"/>
    <x v="412"/>
    <x v="3"/>
    <x v="1"/>
    <n v="2"/>
    <n v="0"/>
    <n v="0"/>
  </r>
  <r>
    <x v="3"/>
    <x v="18"/>
    <x v="412"/>
    <x v="3"/>
    <x v="2"/>
    <n v="3"/>
    <n v="0"/>
    <n v="0"/>
  </r>
  <r>
    <x v="3"/>
    <x v="18"/>
    <x v="412"/>
    <x v="3"/>
    <x v="3"/>
    <n v="4"/>
    <n v="0"/>
    <n v="0"/>
  </r>
  <r>
    <x v="3"/>
    <x v="18"/>
    <x v="412"/>
    <x v="3"/>
    <x v="4"/>
    <n v="5"/>
    <n v="0"/>
    <n v="0"/>
  </r>
  <r>
    <x v="3"/>
    <x v="18"/>
    <x v="412"/>
    <x v="3"/>
    <x v="5"/>
    <n v="6"/>
    <n v="0"/>
    <n v="0"/>
  </r>
  <r>
    <x v="3"/>
    <x v="18"/>
    <x v="412"/>
    <x v="3"/>
    <x v="6"/>
    <n v="7"/>
    <n v="3200"/>
    <n v="0"/>
  </r>
  <r>
    <x v="3"/>
    <x v="18"/>
    <x v="290"/>
    <x v="2"/>
    <x v="0"/>
    <n v="1"/>
    <n v="1800"/>
    <n v="0"/>
  </r>
  <r>
    <x v="3"/>
    <x v="18"/>
    <x v="290"/>
    <x v="2"/>
    <x v="1"/>
    <n v="2"/>
    <n v="2000"/>
    <n v="0"/>
  </r>
  <r>
    <x v="3"/>
    <x v="18"/>
    <x v="290"/>
    <x v="2"/>
    <x v="2"/>
    <n v="3"/>
    <n v="2200"/>
    <n v="338492"/>
  </r>
  <r>
    <x v="3"/>
    <x v="18"/>
    <x v="290"/>
    <x v="2"/>
    <x v="3"/>
    <n v="4"/>
    <n v="1900"/>
    <n v="191170"/>
  </r>
  <r>
    <x v="3"/>
    <x v="18"/>
    <x v="290"/>
    <x v="2"/>
    <x v="4"/>
    <n v="5"/>
    <n v="1400"/>
    <n v="166516"/>
  </r>
  <r>
    <x v="3"/>
    <x v="18"/>
    <x v="290"/>
    <x v="2"/>
    <x v="5"/>
    <n v="6"/>
    <n v="1470"/>
    <n v="107590"/>
  </r>
  <r>
    <x v="3"/>
    <x v="18"/>
    <x v="290"/>
    <x v="2"/>
    <x v="6"/>
    <n v="7"/>
    <n v="1540"/>
    <n v="113542.80000000005"/>
  </r>
  <r>
    <x v="3"/>
    <x v="18"/>
    <x v="290"/>
    <x v="3"/>
    <x v="0"/>
    <n v="1"/>
    <n v="2850"/>
    <n v="0"/>
  </r>
  <r>
    <x v="3"/>
    <x v="18"/>
    <x v="290"/>
    <x v="3"/>
    <x v="1"/>
    <n v="2"/>
    <n v="3000"/>
    <n v="0"/>
  </r>
  <r>
    <x v="3"/>
    <x v="18"/>
    <x v="290"/>
    <x v="3"/>
    <x v="2"/>
    <n v="3"/>
    <n v="3300"/>
    <n v="0"/>
  </r>
  <r>
    <x v="3"/>
    <x v="18"/>
    <x v="290"/>
    <x v="3"/>
    <x v="3"/>
    <n v="4"/>
    <n v="2850"/>
    <n v="0"/>
  </r>
  <r>
    <x v="3"/>
    <x v="18"/>
    <x v="290"/>
    <x v="3"/>
    <x v="4"/>
    <n v="5"/>
    <n v="1685"/>
    <n v="0"/>
  </r>
  <r>
    <x v="3"/>
    <x v="18"/>
    <x v="290"/>
    <x v="3"/>
    <x v="5"/>
    <n v="6"/>
    <n v="1785"/>
    <n v="0"/>
  </r>
  <r>
    <x v="3"/>
    <x v="18"/>
    <x v="290"/>
    <x v="3"/>
    <x v="6"/>
    <n v="7"/>
    <n v="1955"/>
    <n v="0"/>
  </r>
  <r>
    <x v="3"/>
    <x v="26"/>
    <x v="295"/>
    <x v="2"/>
    <x v="0"/>
    <n v="1"/>
    <n v="3600"/>
    <n v="0"/>
  </r>
  <r>
    <x v="3"/>
    <x v="26"/>
    <x v="295"/>
    <x v="2"/>
    <x v="1"/>
    <n v="2"/>
    <n v="4000"/>
    <n v="0"/>
  </r>
  <r>
    <x v="3"/>
    <x v="26"/>
    <x v="295"/>
    <x v="2"/>
    <x v="2"/>
    <n v="3"/>
    <n v="4400"/>
    <n v="584361"/>
  </r>
  <r>
    <x v="3"/>
    <x v="26"/>
    <x v="295"/>
    <x v="2"/>
    <x v="3"/>
    <n v="4"/>
    <n v="3800"/>
    <n v="333234"/>
  </r>
  <r>
    <x v="3"/>
    <x v="26"/>
    <x v="295"/>
    <x v="2"/>
    <x v="4"/>
    <n v="5"/>
    <n v="4000"/>
    <n v="287055.90000000002"/>
  </r>
  <r>
    <x v="3"/>
    <x v="26"/>
    <x v="295"/>
    <x v="2"/>
    <x v="5"/>
    <n v="6"/>
    <n v="4200"/>
    <n v="302940"/>
  </r>
  <r>
    <x v="3"/>
    <x v="26"/>
    <x v="295"/>
    <x v="2"/>
    <x v="6"/>
    <n v="7"/>
    <n v="4600"/>
    <n v="318087"/>
  </r>
  <r>
    <x v="3"/>
    <x v="26"/>
    <x v="295"/>
    <x v="3"/>
    <x v="0"/>
    <n v="1"/>
    <n v="4750"/>
    <n v="0"/>
  </r>
  <r>
    <x v="3"/>
    <x v="26"/>
    <x v="295"/>
    <x v="3"/>
    <x v="1"/>
    <n v="2"/>
    <n v="5000"/>
    <n v="0"/>
  </r>
  <r>
    <x v="3"/>
    <x v="26"/>
    <x v="295"/>
    <x v="3"/>
    <x v="2"/>
    <n v="3"/>
    <n v="5500"/>
    <n v="0"/>
  </r>
  <r>
    <x v="3"/>
    <x v="26"/>
    <x v="295"/>
    <x v="3"/>
    <x v="3"/>
    <n v="4"/>
    <n v="4729"/>
    <n v="0"/>
  </r>
  <r>
    <x v="3"/>
    <x v="26"/>
    <x v="295"/>
    <x v="3"/>
    <x v="4"/>
    <n v="5"/>
    <n v="5000"/>
    <n v="0"/>
  </r>
  <r>
    <x v="3"/>
    <x v="26"/>
    <x v="295"/>
    <x v="3"/>
    <x v="5"/>
    <n v="6"/>
    <n v="5250"/>
    <n v="0"/>
  </r>
  <r>
    <x v="3"/>
    <x v="26"/>
    <x v="295"/>
    <x v="3"/>
    <x v="6"/>
    <n v="7"/>
    <n v="5750"/>
    <n v="0"/>
  </r>
  <r>
    <x v="3"/>
    <x v="26"/>
    <x v="298"/>
    <x v="2"/>
    <x v="0"/>
    <n v="1"/>
    <n v="2700"/>
    <n v="0"/>
  </r>
  <r>
    <x v="3"/>
    <x v="26"/>
    <x v="298"/>
    <x v="2"/>
    <x v="1"/>
    <n v="2"/>
    <n v="3000"/>
    <n v="0"/>
  </r>
  <r>
    <x v="3"/>
    <x v="26"/>
    <x v="298"/>
    <x v="2"/>
    <x v="2"/>
    <n v="3"/>
    <n v="3300"/>
    <n v="511124.04"/>
  </r>
  <r>
    <x v="3"/>
    <x v="26"/>
    <x v="298"/>
    <x v="2"/>
    <x v="3"/>
    <n v="4"/>
    <n v="2850"/>
    <n v="298188.00000000006"/>
  </r>
  <r>
    <x v="3"/>
    <x v="26"/>
    <x v="298"/>
    <x v="2"/>
    <x v="4"/>
    <n v="5"/>
    <n v="3000"/>
    <n v="250786.8"/>
  </r>
  <r>
    <x v="3"/>
    <x v="26"/>
    <x v="298"/>
    <x v="2"/>
    <x v="5"/>
    <n v="6"/>
    <n v="3150"/>
    <n v="271080"/>
  </r>
  <r>
    <x v="3"/>
    <x v="26"/>
    <x v="298"/>
    <x v="2"/>
    <x v="6"/>
    <n v="7"/>
    <n v="3394"/>
    <n v="284634"/>
  </r>
  <r>
    <x v="3"/>
    <x v="26"/>
    <x v="298"/>
    <x v="3"/>
    <x v="0"/>
    <n v="1"/>
    <n v="4500"/>
    <n v="0"/>
  </r>
  <r>
    <x v="3"/>
    <x v="26"/>
    <x v="298"/>
    <x v="3"/>
    <x v="1"/>
    <n v="2"/>
    <n v="5000"/>
    <n v="0"/>
  </r>
  <r>
    <x v="3"/>
    <x v="26"/>
    <x v="298"/>
    <x v="3"/>
    <x v="2"/>
    <n v="3"/>
    <n v="5500"/>
    <n v="0"/>
  </r>
  <r>
    <x v="3"/>
    <x v="26"/>
    <x v="298"/>
    <x v="3"/>
    <x v="3"/>
    <n v="4"/>
    <n v="4558"/>
    <n v="0"/>
  </r>
  <r>
    <x v="3"/>
    <x v="26"/>
    <x v="298"/>
    <x v="3"/>
    <x v="4"/>
    <n v="5"/>
    <n v="5000"/>
    <n v="0"/>
  </r>
  <r>
    <x v="3"/>
    <x v="26"/>
    <x v="298"/>
    <x v="3"/>
    <x v="5"/>
    <n v="6"/>
    <n v="5250"/>
    <n v="0"/>
  </r>
  <r>
    <x v="3"/>
    <x v="26"/>
    <x v="298"/>
    <x v="3"/>
    <x v="6"/>
    <n v="7"/>
    <n v="5300"/>
    <n v="0"/>
  </r>
  <r>
    <x v="3"/>
    <x v="26"/>
    <x v="300"/>
    <x v="2"/>
    <x v="0"/>
    <n v="1"/>
    <n v="2250"/>
    <n v="0"/>
  </r>
  <r>
    <x v="3"/>
    <x v="26"/>
    <x v="300"/>
    <x v="2"/>
    <x v="1"/>
    <n v="2"/>
    <n v="2500"/>
    <n v="0"/>
  </r>
  <r>
    <x v="3"/>
    <x v="26"/>
    <x v="300"/>
    <x v="2"/>
    <x v="2"/>
    <n v="3"/>
    <n v="2750"/>
    <n v="423360"/>
  </r>
  <r>
    <x v="3"/>
    <x v="26"/>
    <x v="300"/>
    <x v="2"/>
    <x v="3"/>
    <n v="4"/>
    <n v="2375"/>
    <n v="240686.09999999998"/>
  </r>
  <r>
    <x v="3"/>
    <x v="26"/>
    <x v="300"/>
    <x v="2"/>
    <x v="4"/>
    <n v="5"/>
    <n v="2375"/>
    <n v="206906.4"/>
  </r>
  <r>
    <x v="3"/>
    <x v="26"/>
    <x v="300"/>
    <x v="2"/>
    <x v="5"/>
    <n v="6"/>
    <n v="2625"/>
    <n v="209047.5"/>
  </r>
  <r>
    <x v="3"/>
    <x v="26"/>
    <x v="300"/>
    <x v="2"/>
    <x v="6"/>
    <n v="7"/>
    <n v="2800"/>
    <n v="231052.5"/>
  </r>
  <r>
    <x v="3"/>
    <x v="26"/>
    <x v="300"/>
    <x v="3"/>
    <x v="0"/>
    <n v="1"/>
    <n v="3750"/>
    <n v="0"/>
  </r>
  <r>
    <x v="3"/>
    <x v="26"/>
    <x v="300"/>
    <x v="3"/>
    <x v="1"/>
    <n v="2"/>
    <n v="4000"/>
    <n v="0"/>
  </r>
  <r>
    <x v="3"/>
    <x v="26"/>
    <x v="300"/>
    <x v="3"/>
    <x v="2"/>
    <n v="3"/>
    <n v="4400"/>
    <n v="0"/>
  </r>
  <r>
    <x v="3"/>
    <x v="26"/>
    <x v="300"/>
    <x v="3"/>
    <x v="3"/>
    <n v="4"/>
    <n v="3739"/>
    <n v="0"/>
  </r>
  <r>
    <x v="3"/>
    <x v="26"/>
    <x v="300"/>
    <x v="3"/>
    <x v="4"/>
    <n v="5"/>
    <n v="3800"/>
    <n v="0"/>
  </r>
  <r>
    <x v="3"/>
    <x v="26"/>
    <x v="300"/>
    <x v="3"/>
    <x v="5"/>
    <n v="6"/>
    <n v="4200"/>
    <n v="0"/>
  </r>
  <r>
    <x v="3"/>
    <x v="26"/>
    <x v="300"/>
    <x v="3"/>
    <x v="6"/>
    <n v="7"/>
    <n v="4600"/>
    <n v="0"/>
  </r>
  <r>
    <x v="3"/>
    <x v="26"/>
    <x v="301"/>
    <x v="2"/>
    <x v="0"/>
    <n v="1"/>
    <n v="2100"/>
    <n v="0"/>
  </r>
  <r>
    <x v="3"/>
    <x v="26"/>
    <x v="301"/>
    <x v="2"/>
    <x v="1"/>
    <n v="2"/>
    <n v="1500"/>
    <n v="0"/>
  </r>
  <r>
    <x v="3"/>
    <x v="26"/>
    <x v="301"/>
    <x v="2"/>
    <x v="2"/>
    <n v="3"/>
    <n v="1650"/>
    <n v="290196"/>
  </r>
  <r>
    <x v="3"/>
    <x v="26"/>
    <x v="301"/>
    <x v="2"/>
    <x v="3"/>
    <n v="4"/>
    <n v="1425"/>
    <n v="129789"/>
  </r>
  <r>
    <x v="3"/>
    <x v="26"/>
    <x v="301"/>
    <x v="2"/>
    <x v="4"/>
    <n v="5"/>
    <n v="1500"/>
    <n v="112090.5"/>
  </r>
  <r>
    <x v="3"/>
    <x v="26"/>
    <x v="301"/>
    <x v="2"/>
    <x v="5"/>
    <n v="6"/>
    <n v="1575"/>
    <n v="117990"/>
  </r>
  <r>
    <x v="3"/>
    <x v="26"/>
    <x v="301"/>
    <x v="2"/>
    <x v="6"/>
    <n v="7"/>
    <n v="1725"/>
    <n v="123889.5"/>
  </r>
  <r>
    <x v="3"/>
    <x v="26"/>
    <x v="301"/>
    <x v="3"/>
    <x v="0"/>
    <n v="1"/>
    <n v="3000"/>
    <n v="0"/>
  </r>
  <r>
    <x v="3"/>
    <x v="26"/>
    <x v="301"/>
    <x v="3"/>
    <x v="1"/>
    <n v="2"/>
    <n v="2000"/>
    <n v="0"/>
  </r>
  <r>
    <x v="3"/>
    <x v="26"/>
    <x v="301"/>
    <x v="3"/>
    <x v="2"/>
    <n v="3"/>
    <n v="2200"/>
    <n v="0"/>
  </r>
  <r>
    <x v="3"/>
    <x v="26"/>
    <x v="301"/>
    <x v="3"/>
    <x v="3"/>
    <n v="4"/>
    <n v="1900"/>
    <n v="0"/>
  </r>
  <r>
    <x v="3"/>
    <x v="26"/>
    <x v="301"/>
    <x v="3"/>
    <x v="4"/>
    <n v="5"/>
    <n v="2000"/>
    <n v="0"/>
  </r>
  <r>
    <x v="3"/>
    <x v="26"/>
    <x v="301"/>
    <x v="3"/>
    <x v="5"/>
    <n v="6"/>
    <n v="2100"/>
    <n v="0"/>
  </r>
  <r>
    <x v="3"/>
    <x v="26"/>
    <x v="301"/>
    <x v="3"/>
    <x v="6"/>
    <n v="7"/>
    <n v="2300"/>
    <n v="0"/>
  </r>
  <r>
    <x v="3"/>
    <x v="26"/>
    <x v="302"/>
    <x v="2"/>
    <x v="0"/>
    <n v="1"/>
    <n v="3600"/>
    <n v="0"/>
  </r>
  <r>
    <x v="3"/>
    <x v="26"/>
    <x v="302"/>
    <x v="2"/>
    <x v="1"/>
    <n v="2"/>
    <n v="4000"/>
    <n v="0"/>
  </r>
  <r>
    <x v="3"/>
    <x v="26"/>
    <x v="302"/>
    <x v="2"/>
    <x v="2"/>
    <n v="3"/>
    <n v="4400"/>
    <n v="584361"/>
  </r>
  <r>
    <x v="3"/>
    <x v="26"/>
    <x v="302"/>
    <x v="2"/>
    <x v="3"/>
    <n v="4"/>
    <n v="3800"/>
    <n v="333234"/>
  </r>
  <r>
    <x v="3"/>
    <x v="26"/>
    <x v="302"/>
    <x v="2"/>
    <x v="4"/>
    <n v="5"/>
    <n v="4000"/>
    <n v="287793"/>
  </r>
  <r>
    <x v="3"/>
    <x v="26"/>
    <x v="302"/>
    <x v="2"/>
    <x v="5"/>
    <n v="6"/>
    <n v="4200"/>
    <n v="302940"/>
  </r>
  <r>
    <x v="3"/>
    <x v="26"/>
    <x v="302"/>
    <x v="2"/>
    <x v="6"/>
    <n v="7"/>
    <n v="4600"/>
    <n v="318087"/>
  </r>
  <r>
    <x v="3"/>
    <x v="26"/>
    <x v="302"/>
    <x v="3"/>
    <x v="0"/>
    <n v="1"/>
    <n v="4750"/>
    <n v="0"/>
  </r>
  <r>
    <x v="3"/>
    <x v="26"/>
    <x v="302"/>
    <x v="3"/>
    <x v="1"/>
    <n v="2"/>
    <n v="5000"/>
    <n v="0"/>
  </r>
  <r>
    <x v="3"/>
    <x v="26"/>
    <x v="302"/>
    <x v="3"/>
    <x v="2"/>
    <n v="3"/>
    <n v="5500"/>
    <n v="0"/>
  </r>
  <r>
    <x v="3"/>
    <x v="26"/>
    <x v="302"/>
    <x v="3"/>
    <x v="3"/>
    <n v="4"/>
    <n v="4750"/>
    <n v="0"/>
  </r>
  <r>
    <x v="3"/>
    <x v="26"/>
    <x v="302"/>
    <x v="3"/>
    <x v="4"/>
    <n v="5"/>
    <n v="5000"/>
    <n v="0"/>
  </r>
  <r>
    <x v="3"/>
    <x v="26"/>
    <x v="302"/>
    <x v="3"/>
    <x v="5"/>
    <n v="6"/>
    <n v="5250"/>
    <n v="0"/>
  </r>
  <r>
    <x v="3"/>
    <x v="26"/>
    <x v="302"/>
    <x v="3"/>
    <x v="6"/>
    <n v="7"/>
    <n v="5750"/>
    <n v="0"/>
  </r>
  <r>
    <x v="3"/>
    <x v="26"/>
    <x v="303"/>
    <x v="2"/>
    <x v="0"/>
    <n v="1"/>
    <n v="2300"/>
    <n v="0"/>
  </r>
  <r>
    <x v="3"/>
    <x v="26"/>
    <x v="303"/>
    <x v="2"/>
    <x v="1"/>
    <n v="2"/>
    <n v="2000"/>
    <n v="0"/>
  </r>
  <r>
    <x v="3"/>
    <x v="26"/>
    <x v="303"/>
    <x v="2"/>
    <x v="2"/>
    <n v="3"/>
    <n v="2200"/>
    <n v="361638"/>
  </r>
  <r>
    <x v="3"/>
    <x v="26"/>
    <x v="303"/>
    <x v="2"/>
    <x v="3"/>
    <n v="4"/>
    <n v="1900"/>
    <n v="185922"/>
  </r>
  <r>
    <x v="3"/>
    <x v="26"/>
    <x v="303"/>
    <x v="2"/>
    <x v="4"/>
    <n v="5"/>
    <n v="2000"/>
    <n v="160569"/>
  </r>
  <r>
    <x v="3"/>
    <x v="26"/>
    <x v="303"/>
    <x v="2"/>
    <x v="5"/>
    <n v="6"/>
    <n v="2100"/>
    <n v="169020"/>
  </r>
  <r>
    <x v="3"/>
    <x v="26"/>
    <x v="303"/>
    <x v="2"/>
    <x v="6"/>
    <n v="7"/>
    <n v="2300"/>
    <n v="177471"/>
  </r>
  <r>
    <x v="3"/>
    <x v="26"/>
    <x v="303"/>
    <x v="3"/>
    <x v="0"/>
    <n v="1"/>
    <n v="3400"/>
    <n v="0"/>
  </r>
  <r>
    <x v="3"/>
    <x v="26"/>
    <x v="303"/>
    <x v="3"/>
    <x v="1"/>
    <n v="2"/>
    <n v="3000"/>
    <n v="0"/>
  </r>
  <r>
    <x v="3"/>
    <x v="26"/>
    <x v="303"/>
    <x v="3"/>
    <x v="2"/>
    <n v="3"/>
    <n v="3300"/>
    <n v="0"/>
  </r>
  <r>
    <x v="3"/>
    <x v="26"/>
    <x v="303"/>
    <x v="3"/>
    <x v="3"/>
    <n v="4"/>
    <n v="2850"/>
    <n v="0"/>
  </r>
  <r>
    <x v="3"/>
    <x v="26"/>
    <x v="303"/>
    <x v="3"/>
    <x v="4"/>
    <n v="5"/>
    <n v="3000"/>
    <n v="0"/>
  </r>
  <r>
    <x v="3"/>
    <x v="26"/>
    <x v="303"/>
    <x v="3"/>
    <x v="5"/>
    <n v="6"/>
    <n v="3150"/>
    <n v="0"/>
  </r>
  <r>
    <x v="3"/>
    <x v="26"/>
    <x v="303"/>
    <x v="3"/>
    <x v="6"/>
    <n v="7"/>
    <n v="3450"/>
    <n v="0"/>
  </r>
  <r>
    <x v="3"/>
    <x v="26"/>
    <x v="413"/>
    <x v="2"/>
    <x v="0"/>
    <n v="1"/>
    <n v="0"/>
    <n v="0"/>
  </r>
  <r>
    <x v="3"/>
    <x v="26"/>
    <x v="413"/>
    <x v="2"/>
    <x v="1"/>
    <n v="2"/>
    <n v="0"/>
    <n v="0"/>
  </r>
  <r>
    <x v="3"/>
    <x v="26"/>
    <x v="413"/>
    <x v="2"/>
    <x v="2"/>
    <n v="3"/>
    <n v="0"/>
    <n v="0"/>
  </r>
  <r>
    <x v="3"/>
    <x v="26"/>
    <x v="413"/>
    <x v="2"/>
    <x v="3"/>
    <n v="4"/>
    <n v="0"/>
    <n v="0"/>
  </r>
  <r>
    <x v="3"/>
    <x v="26"/>
    <x v="413"/>
    <x v="2"/>
    <x v="4"/>
    <n v="5"/>
    <n v="1800"/>
    <n v="0"/>
  </r>
  <r>
    <x v="3"/>
    <x v="26"/>
    <x v="413"/>
    <x v="2"/>
    <x v="5"/>
    <n v="6"/>
    <n v="2100"/>
    <n v="120603"/>
  </r>
  <r>
    <x v="3"/>
    <x v="26"/>
    <x v="413"/>
    <x v="2"/>
    <x v="6"/>
    <n v="7"/>
    <n v="2400"/>
    <n v="133350"/>
  </r>
  <r>
    <x v="3"/>
    <x v="26"/>
    <x v="413"/>
    <x v="3"/>
    <x v="0"/>
    <n v="1"/>
    <n v="0"/>
    <n v="0"/>
  </r>
  <r>
    <x v="3"/>
    <x v="26"/>
    <x v="413"/>
    <x v="3"/>
    <x v="1"/>
    <n v="2"/>
    <n v="0"/>
    <n v="0"/>
  </r>
  <r>
    <x v="3"/>
    <x v="26"/>
    <x v="413"/>
    <x v="3"/>
    <x v="2"/>
    <n v="3"/>
    <n v="0"/>
    <n v="0"/>
  </r>
  <r>
    <x v="3"/>
    <x v="26"/>
    <x v="413"/>
    <x v="3"/>
    <x v="3"/>
    <n v="4"/>
    <n v="0"/>
    <n v="0"/>
  </r>
  <r>
    <x v="3"/>
    <x v="26"/>
    <x v="413"/>
    <x v="3"/>
    <x v="4"/>
    <n v="5"/>
    <n v="2700"/>
    <n v="0"/>
  </r>
  <r>
    <x v="3"/>
    <x v="26"/>
    <x v="413"/>
    <x v="3"/>
    <x v="5"/>
    <n v="6"/>
    <n v="3150"/>
    <n v="0"/>
  </r>
  <r>
    <x v="3"/>
    <x v="26"/>
    <x v="413"/>
    <x v="3"/>
    <x v="6"/>
    <n v="7"/>
    <n v="3600"/>
    <n v="0"/>
  </r>
  <r>
    <x v="3"/>
    <x v="26"/>
    <x v="252"/>
    <x v="2"/>
    <x v="0"/>
    <n v="1"/>
    <n v="1800"/>
    <n v="0"/>
  </r>
  <r>
    <x v="3"/>
    <x v="26"/>
    <x v="252"/>
    <x v="2"/>
    <x v="1"/>
    <n v="2"/>
    <n v="2000"/>
    <n v="0"/>
  </r>
  <r>
    <x v="3"/>
    <x v="26"/>
    <x v="252"/>
    <x v="2"/>
    <x v="2"/>
    <n v="3"/>
    <n v="2200"/>
    <n v="257958"/>
  </r>
  <r>
    <x v="3"/>
    <x v="26"/>
    <x v="252"/>
    <x v="2"/>
    <x v="3"/>
    <n v="4"/>
    <n v="1900"/>
    <n v="147312"/>
  </r>
  <r>
    <x v="3"/>
    <x v="26"/>
    <x v="252"/>
    <x v="2"/>
    <x v="4"/>
    <n v="5"/>
    <n v="2000"/>
    <n v="127224"/>
  </r>
  <r>
    <x v="3"/>
    <x v="26"/>
    <x v="252"/>
    <x v="2"/>
    <x v="5"/>
    <n v="6"/>
    <n v="2100"/>
    <n v="133920"/>
  </r>
  <r>
    <x v="3"/>
    <x v="26"/>
    <x v="252"/>
    <x v="2"/>
    <x v="6"/>
    <n v="7"/>
    <n v="2300"/>
    <n v="140616"/>
  </r>
  <r>
    <x v="3"/>
    <x v="26"/>
    <x v="252"/>
    <x v="3"/>
    <x v="0"/>
    <n v="1"/>
    <n v="1900"/>
    <n v="0"/>
  </r>
  <r>
    <x v="3"/>
    <x v="26"/>
    <x v="252"/>
    <x v="3"/>
    <x v="1"/>
    <n v="2"/>
    <n v="2000"/>
    <n v="0"/>
  </r>
  <r>
    <x v="3"/>
    <x v="26"/>
    <x v="252"/>
    <x v="3"/>
    <x v="2"/>
    <n v="3"/>
    <n v="2200"/>
    <n v="0"/>
  </r>
  <r>
    <x v="3"/>
    <x v="26"/>
    <x v="252"/>
    <x v="3"/>
    <x v="3"/>
    <n v="4"/>
    <n v="1900"/>
    <n v="0"/>
  </r>
  <r>
    <x v="3"/>
    <x v="26"/>
    <x v="252"/>
    <x v="3"/>
    <x v="4"/>
    <n v="5"/>
    <n v="2000"/>
    <n v="0"/>
  </r>
  <r>
    <x v="3"/>
    <x v="26"/>
    <x v="252"/>
    <x v="3"/>
    <x v="5"/>
    <n v="6"/>
    <n v="2100"/>
    <n v="0"/>
  </r>
  <r>
    <x v="3"/>
    <x v="26"/>
    <x v="252"/>
    <x v="3"/>
    <x v="6"/>
    <n v="7"/>
    <n v="2300"/>
    <n v="0"/>
  </r>
  <r>
    <x v="3"/>
    <x v="26"/>
    <x v="310"/>
    <x v="2"/>
    <x v="0"/>
    <n v="1"/>
    <n v="1350"/>
    <n v="0"/>
  </r>
  <r>
    <x v="3"/>
    <x v="26"/>
    <x v="310"/>
    <x v="2"/>
    <x v="1"/>
    <n v="2"/>
    <n v="1500"/>
    <n v="0"/>
  </r>
  <r>
    <x v="3"/>
    <x v="26"/>
    <x v="310"/>
    <x v="2"/>
    <x v="2"/>
    <n v="3"/>
    <n v="1650"/>
    <n v="227691"/>
  </r>
  <r>
    <x v="3"/>
    <x v="26"/>
    <x v="310"/>
    <x v="2"/>
    <x v="3"/>
    <n v="4"/>
    <n v="1425"/>
    <n v="129789"/>
  </r>
  <r>
    <x v="3"/>
    <x v="26"/>
    <x v="310"/>
    <x v="2"/>
    <x v="4"/>
    <n v="5"/>
    <n v="1500"/>
    <n v="111879.9"/>
  </r>
  <r>
    <x v="3"/>
    <x v="26"/>
    <x v="310"/>
    <x v="2"/>
    <x v="5"/>
    <n v="6"/>
    <n v="1575"/>
    <n v="117990"/>
  </r>
  <r>
    <x v="3"/>
    <x v="26"/>
    <x v="310"/>
    <x v="2"/>
    <x v="6"/>
    <n v="7"/>
    <n v="1725"/>
    <n v="123889.5"/>
  </r>
  <r>
    <x v="3"/>
    <x v="26"/>
    <x v="310"/>
    <x v="3"/>
    <x v="0"/>
    <n v="1"/>
    <n v="1900"/>
    <n v="0"/>
  </r>
  <r>
    <x v="3"/>
    <x v="26"/>
    <x v="310"/>
    <x v="3"/>
    <x v="1"/>
    <n v="2"/>
    <n v="2000"/>
    <n v="0"/>
  </r>
  <r>
    <x v="3"/>
    <x v="26"/>
    <x v="310"/>
    <x v="3"/>
    <x v="2"/>
    <n v="3"/>
    <n v="2200"/>
    <n v="0"/>
  </r>
  <r>
    <x v="3"/>
    <x v="26"/>
    <x v="310"/>
    <x v="3"/>
    <x v="3"/>
    <n v="4"/>
    <n v="1894"/>
    <n v="0"/>
  </r>
  <r>
    <x v="3"/>
    <x v="26"/>
    <x v="310"/>
    <x v="3"/>
    <x v="4"/>
    <n v="5"/>
    <n v="2000"/>
    <n v="0"/>
  </r>
  <r>
    <x v="3"/>
    <x v="26"/>
    <x v="310"/>
    <x v="3"/>
    <x v="5"/>
    <n v="6"/>
    <n v="2100"/>
    <n v="0"/>
  </r>
  <r>
    <x v="3"/>
    <x v="26"/>
    <x v="310"/>
    <x v="3"/>
    <x v="6"/>
    <n v="7"/>
    <n v="2300"/>
    <n v="0"/>
  </r>
  <r>
    <x v="3"/>
    <x v="26"/>
    <x v="115"/>
    <x v="2"/>
    <x v="0"/>
    <n v="1"/>
    <n v="3150"/>
    <n v="0"/>
  </r>
  <r>
    <x v="3"/>
    <x v="26"/>
    <x v="115"/>
    <x v="2"/>
    <x v="1"/>
    <n v="2"/>
    <n v="3000"/>
    <n v="0"/>
  </r>
  <r>
    <x v="3"/>
    <x v="26"/>
    <x v="115"/>
    <x v="2"/>
    <x v="2"/>
    <n v="3"/>
    <n v="3300"/>
    <n v="537972.84"/>
  </r>
  <r>
    <x v="3"/>
    <x v="26"/>
    <x v="115"/>
    <x v="2"/>
    <x v="3"/>
    <n v="4"/>
    <n v="2850"/>
    <n v="293905.80000000005"/>
  </r>
  <r>
    <x v="3"/>
    <x v="26"/>
    <x v="115"/>
    <x v="2"/>
    <x v="4"/>
    <n v="5"/>
    <n v="2990"/>
    <n v="252155.7"/>
  </r>
  <r>
    <x v="3"/>
    <x v="26"/>
    <x v="115"/>
    <x v="2"/>
    <x v="5"/>
    <n v="6"/>
    <n v="3150"/>
    <n v="272972.69999999995"/>
  </r>
  <r>
    <x v="3"/>
    <x v="26"/>
    <x v="115"/>
    <x v="2"/>
    <x v="6"/>
    <n v="7"/>
    <n v="3418"/>
    <n v="284634"/>
  </r>
  <r>
    <x v="3"/>
    <x v="26"/>
    <x v="115"/>
    <x v="3"/>
    <x v="0"/>
    <n v="1"/>
    <n v="4750"/>
    <n v="0"/>
  </r>
  <r>
    <x v="3"/>
    <x v="26"/>
    <x v="115"/>
    <x v="3"/>
    <x v="1"/>
    <n v="2"/>
    <n v="5000"/>
    <n v="0"/>
  </r>
  <r>
    <x v="3"/>
    <x v="26"/>
    <x v="115"/>
    <x v="3"/>
    <x v="2"/>
    <n v="3"/>
    <n v="5500"/>
    <n v="0"/>
  </r>
  <r>
    <x v="3"/>
    <x v="26"/>
    <x v="115"/>
    <x v="3"/>
    <x v="3"/>
    <n v="4"/>
    <n v="4597"/>
    <n v="0"/>
  </r>
  <r>
    <x v="3"/>
    <x v="26"/>
    <x v="115"/>
    <x v="3"/>
    <x v="4"/>
    <n v="5"/>
    <n v="5063"/>
    <n v="0"/>
  </r>
  <r>
    <x v="3"/>
    <x v="26"/>
    <x v="115"/>
    <x v="3"/>
    <x v="5"/>
    <n v="6"/>
    <n v="5250"/>
    <n v="0"/>
  </r>
  <r>
    <x v="3"/>
    <x v="26"/>
    <x v="115"/>
    <x v="3"/>
    <x v="6"/>
    <n v="7"/>
    <n v="5550"/>
    <n v="0"/>
  </r>
  <r>
    <x v="3"/>
    <x v="26"/>
    <x v="312"/>
    <x v="2"/>
    <x v="0"/>
    <n v="1"/>
    <n v="1800"/>
    <n v="0"/>
  </r>
  <r>
    <x v="3"/>
    <x v="26"/>
    <x v="312"/>
    <x v="2"/>
    <x v="1"/>
    <n v="2"/>
    <n v="2000"/>
    <n v="0"/>
  </r>
  <r>
    <x v="3"/>
    <x v="26"/>
    <x v="312"/>
    <x v="2"/>
    <x v="2"/>
    <n v="3"/>
    <n v="2200"/>
    <n v="292180.5"/>
  </r>
  <r>
    <x v="3"/>
    <x v="26"/>
    <x v="312"/>
    <x v="2"/>
    <x v="3"/>
    <n v="4"/>
    <n v="1900"/>
    <n v="166617"/>
  </r>
  <r>
    <x v="3"/>
    <x v="26"/>
    <x v="312"/>
    <x v="2"/>
    <x v="4"/>
    <n v="5"/>
    <n v="2000"/>
    <n v="143896.5"/>
  </r>
  <r>
    <x v="3"/>
    <x v="26"/>
    <x v="312"/>
    <x v="2"/>
    <x v="5"/>
    <n v="6"/>
    <n v="1950"/>
    <n v="151470"/>
  </r>
  <r>
    <x v="3"/>
    <x v="26"/>
    <x v="312"/>
    <x v="2"/>
    <x v="6"/>
    <n v="7"/>
    <n v="2300"/>
    <n v="159043.5"/>
  </r>
  <r>
    <x v="3"/>
    <x v="26"/>
    <x v="312"/>
    <x v="3"/>
    <x v="0"/>
    <n v="1"/>
    <n v="2375"/>
    <n v="0"/>
  </r>
  <r>
    <x v="3"/>
    <x v="26"/>
    <x v="312"/>
    <x v="3"/>
    <x v="1"/>
    <n v="2"/>
    <n v="2500"/>
    <n v="0"/>
  </r>
  <r>
    <x v="3"/>
    <x v="26"/>
    <x v="312"/>
    <x v="3"/>
    <x v="2"/>
    <n v="3"/>
    <n v="2750"/>
    <n v="0"/>
  </r>
  <r>
    <x v="3"/>
    <x v="26"/>
    <x v="312"/>
    <x v="3"/>
    <x v="3"/>
    <n v="4"/>
    <n v="2375"/>
    <n v="0"/>
  </r>
  <r>
    <x v="3"/>
    <x v="26"/>
    <x v="312"/>
    <x v="3"/>
    <x v="4"/>
    <n v="5"/>
    <n v="2500"/>
    <n v="0"/>
  </r>
  <r>
    <x v="3"/>
    <x v="26"/>
    <x v="312"/>
    <x v="3"/>
    <x v="5"/>
    <n v="6"/>
    <n v="2475"/>
    <n v="0"/>
  </r>
  <r>
    <x v="3"/>
    <x v="26"/>
    <x v="312"/>
    <x v="3"/>
    <x v="6"/>
    <n v="7"/>
    <n v="2875"/>
    <n v="0"/>
  </r>
  <r>
    <x v="3"/>
    <x v="25"/>
    <x v="314"/>
    <x v="2"/>
    <x v="0"/>
    <n v="1"/>
    <n v="0"/>
    <n v="0"/>
  </r>
  <r>
    <x v="3"/>
    <x v="25"/>
    <x v="314"/>
    <x v="2"/>
    <x v="1"/>
    <n v="2"/>
    <n v="0"/>
    <n v="0"/>
  </r>
  <r>
    <x v="3"/>
    <x v="25"/>
    <x v="314"/>
    <x v="2"/>
    <x v="2"/>
    <n v="3"/>
    <n v="0"/>
    <n v="0"/>
  </r>
  <r>
    <x v="3"/>
    <x v="25"/>
    <x v="314"/>
    <x v="2"/>
    <x v="3"/>
    <n v="4"/>
    <n v="0"/>
    <n v="0"/>
  </r>
  <r>
    <x v="3"/>
    <x v="25"/>
    <x v="314"/>
    <x v="2"/>
    <x v="4"/>
    <n v="5"/>
    <n v="0"/>
    <n v="0"/>
  </r>
  <r>
    <x v="3"/>
    <x v="25"/>
    <x v="314"/>
    <x v="2"/>
    <x v="5"/>
    <n v="6"/>
    <n v="0"/>
    <n v="0"/>
  </r>
  <r>
    <x v="3"/>
    <x v="25"/>
    <x v="314"/>
    <x v="2"/>
    <x v="6"/>
    <n v="7"/>
    <n v="2382"/>
    <n v="0"/>
  </r>
  <r>
    <x v="3"/>
    <x v="25"/>
    <x v="314"/>
    <x v="3"/>
    <x v="0"/>
    <n v="1"/>
    <n v="0"/>
    <n v="0"/>
  </r>
  <r>
    <x v="3"/>
    <x v="25"/>
    <x v="314"/>
    <x v="3"/>
    <x v="1"/>
    <n v="2"/>
    <n v="0"/>
    <n v="0"/>
  </r>
  <r>
    <x v="3"/>
    <x v="25"/>
    <x v="314"/>
    <x v="3"/>
    <x v="2"/>
    <n v="3"/>
    <n v="0"/>
    <n v="0"/>
  </r>
  <r>
    <x v="3"/>
    <x v="25"/>
    <x v="314"/>
    <x v="3"/>
    <x v="3"/>
    <n v="4"/>
    <n v="0"/>
    <n v="0"/>
  </r>
  <r>
    <x v="3"/>
    <x v="25"/>
    <x v="314"/>
    <x v="3"/>
    <x v="4"/>
    <n v="5"/>
    <n v="0"/>
    <n v="0"/>
  </r>
  <r>
    <x v="3"/>
    <x v="25"/>
    <x v="314"/>
    <x v="3"/>
    <x v="5"/>
    <n v="6"/>
    <n v="0"/>
    <n v="0"/>
  </r>
  <r>
    <x v="3"/>
    <x v="25"/>
    <x v="314"/>
    <x v="3"/>
    <x v="6"/>
    <n v="7"/>
    <n v="3200"/>
    <n v="0"/>
  </r>
  <r>
    <x v="3"/>
    <x v="25"/>
    <x v="318"/>
    <x v="2"/>
    <x v="0"/>
    <n v="1"/>
    <n v="0"/>
    <n v="0"/>
  </r>
  <r>
    <x v="3"/>
    <x v="25"/>
    <x v="318"/>
    <x v="2"/>
    <x v="1"/>
    <n v="2"/>
    <n v="0"/>
    <n v="0"/>
  </r>
  <r>
    <x v="3"/>
    <x v="25"/>
    <x v="318"/>
    <x v="2"/>
    <x v="2"/>
    <n v="3"/>
    <n v="0"/>
    <n v="0"/>
  </r>
  <r>
    <x v="3"/>
    <x v="25"/>
    <x v="318"/>
    <x v="2"/>
    <x v="3"/>
    <n v="4"/>
    <n v="0"/>
    <n v="0"/>
  </r>
  <r>
    <x v="3"/>
    <x v="25"/>
    <x v="318"/>
    <x v="2"/>
    <x v="4"/>
    <n v="5"/>
    <n v="0"/>
    <n v="0"/>
  </r>
  <r>
    <x v="3"/>
    <x v="25"/>
    <x v="318"/>
    <x v="2"/>
    <x v="5"/>
    <n v="6"/>
    <n v="0"/>
    <n v="0"/>
  </r>
  <r>
    <x v="3"/>
    <x v="25"/>
    <x v="318"/>
    <x v="2"/>
    <x v="6"/>
    <n v="7"/>
    <n v="2400"/>
    <n v="0"/>
  </r>
  <r>
    <x v="3"/>
    <x v="25"/>
    <x v="318"/>
    <x v="3"/>
    <x v="0"/>
    <n v="1"/>
    <n v="0"/>
    <n v="0"/>
  </r>
  <r>
    <x v="3"/>
    <x v="25"/>
    <x v="318"/>
    <x v="3"/>
    <x v="1"/>
    <n v="2"/>
    <n v="0"/>
    <n v="0"/>
  </r>
  <r>
    <x v="3"/>
    <x v="25"/>
    <x v="318"/>
    <x v="3"/>
    <x v="2"/>
    <n v="3"/>
    <n v="0"/>
    <n v="0"/>
  </r>
  <r>
    <x v="3"/>
    <x v="25"/>
    <x v="318"/>
    <x v="3"/>
    <x v="3"/>
    <n v="4"/>
    <n v="0"/>
    <n v="0"/>
  </r>
  <r>
    <x v="3"/>
    <x v="25"/>
    <x v="318"/>
    <x v="3"/>
    <x v="4"/>
    <n v="5"/>
    <n v="0"/>
    <n v="0"/>
  </r>
  <r>
    <x v="3"/>
    <x v="25"/>
    <x v="318"/>
    <x v="3"/>
    <x v="5"/>
    <n v="6"/>
    <n v="0"/>
    <n v="0"/>
  </r>
  <r>
    <x v="3"/>
    <x v="25"/>
    <x v="318"/>
    <x v="3"/>
    <x v="6"/>
    <n v="7"/>
    <n v="3200"/>
    <n v="0"/>
  </r>
  <r>
    <x v="3"/>
    <x v="25"/>
    <x v="356"/>
    <x v="2"/>
    <x v="0"/>
    <n v="1"/>
    <n v="2700"/>
    <n v="0"/>
  </r>
  <r>
    <x v="3"/>
    <x v="25"/>
    <x v="356"/>
    <x v="2"/>
    <x v="1"/>
    <n v="2"/>
    <n v="2750"/>
    <n v="0"/>
  </r>
  <r>
    <x v="3"/>
    <x v="25"/>
    <x v="356"/>
    <x v="2"/>
    <x v="2"/>
    <n v="3"/>
    <n v="2200"/>
    <n v="411068"/>
  </r>
  <r>
    <x v="3"/>
    <x v="25"/>
    <x v="356"/>
    <x v="2"/>
    <x v="3"/>
    <n v="4"/>
    <n v="1900"/>
    <n v="210600"/>
  </r>
  <r>
    <x v="3"/>
    <x v="25"/>
    <x v="356"/>
    <x v="2"/>
    <x v="4"/>
    <n v="5"/>
    <n v="2000"/>
    <n v="148200"/>
  </r>
  <r>
    <x v="3"/>
    <x v="25"/>
    <x v="356"/>
    <x v="2"/>
    <x v="5"/>
    <n v="6"/>
    <n v="2100"/>
    <n v="156000"/>
  </r>
  <r>
    <x v="3"/>
    <x v="25"/>
    <x v="356"/>
    <x v="2"/>
    <x v="6"/>
    <n v="7"/>
    <n v="2300"/>
    <n v="163800"/>
  </r>
  <r>
    <x v="3"/>
    <x v="25"/>
    <x v="356"/>
    <x v="3"/>
    <x v="0"/>
    <n v="1"/>
    <n v="3800"/>
    <n v="0"/>
  </r>
  <r>
    <x v="3"/>
    <x v="25"/>
    <x v="356"/>
    <x v="3"/>
    <x v="1"/>
    <n v="2"/>
    <n v="4000"/>
    <n v="0"/>
  </r>
  <r>
    <x v="3"/>
    <x v="25"/>
    <x v="356"/>
    <x v="3"/>
    <x v="2"/>
    <n v="3"/>
    <n v="4400"/>
    <n v="0"/>
  </r>
  <r>
    <x v="3"/>
    <x v="25"/>
    <x v="356"/>
    <x v="3"/>
    <x v="3"/>
    <n v="4"/>
    <n v="3800"/>
    <n v="0"/>
  </r>
  <r>
    <x v="3"/>
    <x v="25"/>
    <x v="356"/>
    <x v="3"/>
    <x v="4"/>
    <n v="5"/>
    <n v="4000"/>
    <n v="0"/>
  </r>
  <r>
    <x v="3"/>
    <x v="25"/>
    <x v="356"/>
    <x v="3"/>
    <x v="5"/>
    <n v="6"/>
    <n v="4200"/>
    <n v="0"/>
  </r>
  <r>
    <x v="3"/>
    <x v="25"/>
    <x v="356"/>
    <x v="3"/>
    <x v="6"/>
    <n v="7"/>
    <n v="4600"/>
    <n v="0"/>
  </r>
  <r>
    <x v="3"/>
    <x v="25"/>
    <x v="320"/>
    <x v="2"/>
    <x v="0"/>
    <n v="1"/>
    <n v="3600"/>
    <n v="0"/>
  </r>
  <r>
    <x v="3"/>
    <x v="25"/>
    <x v="320"/>
    <x v="2"/>
    <x v="1"/>
    <n v="2"/>
    <n v="3500"/>
    <n v="0"/>
  </r>
  <r>
    <x v="3"/>
    <x v="25"/>
    <x v="320"/>
    <x v="2"/>
    <x v="2"/>
    <n v="3"/>
    <n v="2200"/>
    <n v="527464"/>
  </r>
  <r>
    <x v="3"/>
    <x v="25"/>
    <x v="320"/>
    <x v="2"/>
    <x v="3"/>
    <n v="4"/>
    <n v="1900"/>
    <n v="192037.5"/>
  </r>
  <r>
    <x v="3"/>
    <x v="25"/>
    <x v="320"/>
    <x v="2"/>
    <x v="4"/>
    <n v="5"/>
    <n v="2000"/>
    <n v="135137.5"/>
  </r>
  <r>
    <x v="3"/>
    <x v="25"/>
    <x v="320"/>
    <x v="2"/>
    <x v="5"/>
    <n v="6"/>
    <n v="2100"/>
    <n v="142250"/>
  </r>
  <r>
    <x v="3"/>
    <x v="25"/>
    <x v="320"/>
    <x v="2"/>
    <x v="6"/>
    <n v="7"/>
    <n v="2300"/>
    <n v="149362.5"/>
  </r>
  <r>
    <x v="3"/>
    <x v="25"/>
    <x v="320"/>
    <x v="3"/>
    <x v="0"/>
    <n v="1"/>
    <n v="4750"/>
    <n v="0"/>
  </r>
  <r>
    <x v="3"/>
    <x v="25"/>
    <x v="320"/>
    <x v="3"/>
    <x v="1"/>
    <n v="2"/>
    <n v="4625"/>
    <n v="0"/>
  </r>
  <r>
    <x v="3"/>
    <x v="25"/>
    <x v="320"/>
    <x v="3"/>
    <x v="2"/>
    <n v="3"/>
    <n v="3850"/>
    <n v="0"/>
  </r>
  <r>
    <x v="3"/>
    <x v="25"/>
    <x v="320"/>
    <x v="3"/>
    <x v="3"/>
    <n v="4"/>
    <n v="3325"/>
    <n v="0"/>
  </r>
  <r>
    <x v="3"/>
    <x v="25"/>
    <x v="320"/>
    <x v="3"/>
    <x v="4"/>
    <n v="5"/>
    <n v="3500"/>
    <n v="0"/>
  </r>
  <r>
    <x v="3"/>
    <x v="25"/>
    <x v="320"/>
    <x v="3"/>
    <x v="5"/>
    <n v="6"/>
    <n v="3675"/>
    <n v="0"/>
  </r>
  <r>
    <x v="3"/>
    <x v="25"/>
    <x v="320"/>
    <x v="3"/>
    <x v="6"/>
    <n v="7"/>
    <n v="4025"/>
    <n v="0"/>
  </r>
  <r>
    <x v="3"/>
    <x v="25"/>
    <x v="414"/>
    <x v="2"/>
    <x v="0"/>
    <n v="1"/>
    <n v="2700"/>
    <n v="0"/>
  </r>
  <r>
    <x v="3"/>
    <x v="25"/>
    <x v="414"/>
    <x v="2"/>
    <x v="1"/>
    <n v="2"/>
    <n v="2750"/>
    <n v="0"/>
  </r>
  <r>
    <x v="3"/>
    <x v="25"/>
    <x v="414"/>
    <x v="2"/>
    <x v="2"/>
    <n v="3"/>
    <n v="2200"/>
    <n v="472948"/>
  </r>
  <r>
    <x v="3"/>
    <x v="25"/>
    <x v="414"/>
    <x v="2"/>
    <x v="3"/>
    <n v="4"/>
    <n v="1900"/>
    <n v="205200"/>
  </r>
  <r>
    <x v="3"/>
    <x v="25"/>
    <x v="414"/>
    <x v="2"/>
    <x v="4"/>
    <n v="5"/>
    <n v="2000"/>
    <n v="144400"/>
  </r>
  <r>
    <x v="3"/>
    <x v="25"/>
    <x v="414"/>
    <x v="2"/>
    <x v="5"/>
    <n v="6"/>
    <n v="2100"/>
    <n v="152000"/>
  </r>
  <r>
    <x v="3"/>
    <x v="25"/>
    <x v="414"/>
    <x v="2"/>
    <x v="6"/>
    <n v="7"/>
    <n v="2300"/>
    <n v="159600"/>
  </r>
  <r>
    <x v="3"/>
    <x v="25"/>
    <x v="414"/>
    <x v="3"/>
    <x v="0"/>
    <n v="1"/>
    <n v="4750"/>
    <n v="0"/>
  </r>
  <r>
    <x v="3"/>
    <x v="25"/>
    <x v="414"/>
    <x v="3"/>
    <x v="1"/>
    <n v="2"/>
    <n v="4750"/>
    <n v="0"/>
  </r>
  <r>
    <x v="3"/>
    <x v="25"/>
    <x v="414"/>
    <x v="3"/>
    <x v="2"/>
    <n v="3"/>
    <n v="4400"/>
    <n v="0"/>
  </r>
  <r>
    <x v="3"/>
    <x v="25"/>
    <x v="414"/>
    <x v="3"/>
    <x v="3"/>
    <n v="4"/>
    <n v="3800"/>
    <n v="0"/>
  </r>
  <r>
    <x v="3"/>
    <x v="25"/>
    <x v="414"/>
    <x v="3"/>
    <x v="4"/>
    <n v="5"/>
    <n v="4000"/>
    <n v="0"/>
  </r>
  <r>
    <x v="3"/>
    <x v="25"/>
    <x v="414"/>
    <x v="3"/>
    <x v="5"/>
    <n v="6"/>
    <n v="4200"/>
    <n v="0"/>
  </r>
  <r>
    <x v="3"/>
    <x v="25"/>
    <x v="414"/>
    <x v="3"/>
    <x v="6"/>
    <n v="7"/>
    <n v="4600"/>
    <n v="0"/>
  </r>
  <r>
    <x v="3"/>
    <x v="21"/>
    <x v="322"/>
    <x v="2"/>
    <x v="0"/>
    <n v="1"/>
    <n v="1800"/>
    <n v="0"/>
  </r>
  <r>
    <x v="3"/>
    <x v="21"/>
    <x v="322"/>
    <x v="2"/>
    <x v="1"/>
    <n v="2"/>
    <n v="1785"/>
    <n v="0"/>
  </r>
  <r>
    <x v="3"/>
    <x v="21"/>
    <x v="322"/>
    <x v="2"/>
    <x v="2"/>
    <n v="3"/>
    <n v="1650"/>
    <n v="356491.25"/>
  </r>
  <r>
    <x v="3"/>
    <x v="21"/>
    <x v="322"/>
    <x v="2"/>
    <x v="3"/>
    <n v="4"/>
    <n v="1410"/>
    <n v="176593.34999999998"/>
  </r>
  <r>
    <x v="3"/>
    <x v="21"/>
    <x v="322"/>
    <x v="2"/>
    <x v="4"/>
    <n v="5"/>
    <n v="1465"/>
    <n v="143168.9"/>
  </r>
  <r>
    <x v="3"/>
    <x v="21"/>
    <x v="322"/>
    <x v="2"/>
    <x v="5"/>
    <n v="6"/>
    <n v="1568"/>
    <n v="154155.80000000005"/>
  </r>
  <r>
    <x v="3"/>
    <x v="21"/>
    <x v="322"/>
    <x v="2"/>
    <x v="6"/>
    <n v="7"/>
    <n v="1708"/>
    <n v="167436.01"/>
  </r>
  <r>
    <x v="3"/>
    <x v="21"/>
    <x v="322"/>
    <x v="3"/>
    <x v="0"/>
    <n v="1"/>
    <n v="3555"/>
    <n v="0"/>
  </r>
  <r>
    <x v="3"/>
    <x v="21"/>
    <x v="322"/>
    <x v="3"/>
    <x v="1"/>
    <n v="2"/>
    <n v="3539"/>
    <n v="0"/>
  </r>
  <r>
    <x v="3"/>
    <x v="21"/>
    <x v="322"/>
    <x v="3"/>
    <x v="2"/>
    <n v="3"/>
    <n v="3850"/>
    <n v="0"/>
  </r>
  <r>
    <x v="3"/>
    <x v="21"/>
    <x v="322"/>
    <x v="3"/>
    <x v="3"/>
    <n v="4"/>
    <n v="2876"/>
    <n v="0"/>
  </r>
  <r>
    <x v="3"/>
    <x v="21"/>
    <x v="322"/>
    <x v="3"/>
    <x v="4"/>
    <n v="5"/>
    <n v="3145"/>
    <n v="0"/>
  </r>
  <r>
    <x v="3"/>
    <x v="21"/>
    <x v="322"/>
    <x v="3"/>
    <x v="5"/>
    <n v="6"/>
    <n v="3437"/>
    <n v="0"/>
  </r>
  <r>
    <x v="3"/>
    <x v="21"/>
    <x v="322"/>
    <x v="3"/>
    <x v="6"/>
    <n v="7"/>
    <n v="3657"/>
    <n v="0"/>
  </r>
  <r>
    <x v="3"/>
    <x v="21"/>
    <x v="324"/>
    <x v="2"/>
    <x v="0"/>
    <n v="1"/>
    <n v="1800"/>
    <n v="0"/>
  </r>
  <r>
    <x v="3"/>
    <x v="21"/>
    <x v="324"/>
    <x v="2"/>
    <x v="1"/>
    <n v="2"/>
    <n v="1900"/>
    <n v="0"/>
  </r>
  <r>
    <x v="3"/>
    <x v="21"/>
    <x v="324"/>
    <x v="2"/>
    <x v="2"/>
    <n v="3"/>
    <n v="1980"/>
    <n v="359191.6"/>
  </r>
  <r>
    <x v="3"/>
    <x v="21"/>
    <x v="324"/>
    <x v="2"/>
    <x v="3"/>
    <n v="4"/>
    <n v="1677"/>
    <n v="155763.29000000004"/>
  </r>
  <r>
    <x v="3"/>
    <x v="21"/>
    <x v="324"/>
    <x v="2"/>
    <x v="4"/>
    <n v="5"/>
    <n v="1708"/>
    <n v="138805.94"/>
  </r>
  <r>
    <x v="3"/>
    <x v="21"/>
    <x v="324"/>
    <x v="2"/>
    <x v="5"/>
    <n v="6"/>
    <n v="1759"/>
    <n v="148560.06000000006"/>
  </r>
  <r>
    <x v="3"/>
    <x v="21"/>
    <x v="324"/>
    <x v="2"/>
    <x v="6"/>
    <n v="7"/>
    <n v="2010"/>
    <n v="155115.62999999989"/>
  </r>
  <r>
    <x v="3"/>
    <x v="21"/>
    <x v="324"/>
    <x v="3"/>
    <x v="0"/>
    <n v="1"/>
    <n v="3605"/>
    <n v="0"/>
  </r>
  <r>
    <x v="3"/>
    <x v="21"/>
    <x v="324"/>
    <x v="3"/>
    <x v="1"/>
    <n v="2"/>
    <n v="3500"/>
    <n v="0"/>
  </r>
  <r>
    <x v="3"/>
    <x v="21"/>
    <x v="324"/>
    <x v="3"/>
    <x v="2"/>
    <n v="3"/>
    <n v="3300"/>
    <n v="0"/>
  </r>
  <r>
    <x v="3"/>
    <x v="21"/>
    <x v="324"/>
    <x v="3"/>
    <x v="3"/>
    <n v="4"/>
    <n v="2573"/>
    <n v="0"/>
  </r>
  <r>
    <x v="3"/>
    <x v="21"/>
    <x v="324"/>
    <x v="3"/>
    <x v="4"/>
    <n v="5"/>
    <n v="2762"/>
    <n v="0"/>
  </r>
  <r>
    <x v="3"/>
    <x v="21"/>
    <x v="324"/>
    <x v="3"/>
    <x v="5"/>
    <n v="6"/>
    <n v="2906"/>
    <n v="0"/>
  </r>
  <r>
    <x v="3"/>
    <x v="21"/>
    <x v="324"/>
    <x v="3"/>
    <x v="6"/>
    <n v="7"/>
    <n v="3146"/>
    <n v="0"/>
  </r>
  <r>
    <x v="3"/>
    <x v="21"/>
    <x v="325"/>
    <x v="2"/>
    <x v="0"/>
    <n v="1"/>
    <n v="1800"/>
    <n v="0"/>
  </r>
  <r>
    <x v="3"/>
    <x v="21"/>
    <x v="325"/>
    <x v="2"/>
    <x v="1"/>
    <n v="2"/>
    <n v="1560"/>
    <n v="0"/>
  </r>
  <r>
    <x v="3"/>
    <x v="21"/>
    <x v="325"/>
    <x v="2"/>
    <x v="2"/>
    <n v="3"/>
    <n v="1760"/>
    <n v="298946.5"/>
  </r>
  <r>
    <x v="3"/>
    <x v="21"/>
    <x v="325"/>
    <x v="2"/>
    <x v="3"/>
    <n v="4"/>
    <n v="1500"/>
    <n v="147875.83000000002"/>
  </r>
  <r>
    <x v="3"/>
    <x v="21"/>
    <x v="325"/>
    <x v="2"/>
    <x v="4"/>
    <n v="5"/>
    <n v="1568"/>
    <n v="122832.8"/>
  </r>
  <r>
    <x v="3"/>
    <x v="21"/>
    <x v="325"/>
    <x v="2"/>
    <x v="5"/>
    <n v="6"/>
    <n v="1659"/>
    <n v="133606.10999999999"/>
  </r>
  <r>
    <x v="3"/>
    <x v="21"/>
    <x v="325"/>
    <x v="2"/>
    <x v="6"/>
    <n v="7"/>
    <n v="1835"/>
    <n v="142618.22999999998"/>
  </r>
  <r>
    <x v="3"/>
    <x v="21"/>
    <x v="325"/>
    <x v="3"/>
    <x v="0"/>
    <n v="1"/>
    <n v="2786"/>
    <n v="0"/>
  </r>
  <r>
    <x v="3"/>
    <x v="21"/>
    <x v="325"/>
    <x v="3"/>
    <x v="1"/>
    <n v="2"/>
    <n v="2600"/>
    <n v="0"/>
  </r>
  <r>
    <x v="3"/>
    <x v="21"/>
    <x v="325"/>
    <x v="3"/>
    <x v="2"/>
    <n v="3"/>
    <n v="2860"/>
    <n v="0"/>
  </r>
  <r>
    <x v="3"/>
    <x v="21"/>
    <x v="325"/>
    <x v="3"/>
    <x v="3"/>
    <n v="4"/>
    <n v="2204"/>
    <n v="0"/>
  </r>
  <r>
    <x v="3"/>
    <x v="21"/>
    <x v="325"/>
    <x v="3"/>
    <x v="4"/>
    <n v="5"/>
    <n v="2455"/>
    <n v="0"/>
  </r>
  <r>
    <x v="3"/>
    <x v="21"/>
    <x v="325"/>
    <x v="3"/>
    <x v="5"/>
    <n v="6"/>
    <n v="2634"/>
    <n v="0"/>
  </r>
  <r>
    <x v="3"/>
    <x v="21"/>
    <x v="325"/>
    <x v="3"/>
    <x v="6"/>
    <n v="7"/>
    <n v="2752"/>
    <n v="0"/>
  </r>
  <r>
    <x v="3"/>
    <x v="21"/>
    <x v="326"/>
    <x v="2"/>
    <x v="0"/>
    <n v="1"/>
    <n v="1800"/>
    <n v="0"/>
  </r>
  <r>
    <x v="3"/>
    <x v="21"/>
    <x v="326"/>
    <x v="2"/>
    <x v="1"/>
    <n v="2"/>
    <n v="1750"/>
    <n v="0"/>
  </r>
  <r>
    <x v="3"/>
    <x v="21"/>
    <x v="326"/>
    <x v="2"/>
    <x v="2"/>
    <n v="3"/>
    <n v="1650"/>
    <n v="302343.8"/>
  </r>
  <r>
    <x v="3"/>
    <x v="21"/>
    <x v="326"/>
    <x v="2"/>
    <x v="3"/>
    <n v="4"/>
    <n v="1316"/>
    <n v="123831.32"/>
  </r>
  <r>
    <x v="3"/>
    <x v="21"/>
    <x v="326"/>
    <x v="2"/>
    <x v="4"/>
    <n v="5"/>
    <n v="1388"/>
    <n v="110740.32"/>
  </r>
  <r>
    <x v="3"/>
    <x v="21"/>
    <x v="326"/>
    <x v="2"/>
    <x v="5"/>
    <n v="6"/>
    <n v="1543"/>
    <n v="112321.84000000008"/>
  </r>
  <r>
    <x v="3"/>
    <x v="21"/>
    <x v="326"/>
    <x v="2"/>
    <x v="6"/>
    <n v="7"/>
    <n v="1688"/>
    <n v="133926.76"/>
  </r>
  <r>
    <x v="3"/>
    <x v="21"/>
    <x v="326"/>
    <x v="3"/>
    <x v="0"/>
    <n v="1"/>
    <n v="2804"/>
    <n v="0"/>
  </r>
  <r>
    <x v="3"/>
    <x v="21"/>
    <x v="326"/>
    <x v="3"/>
    <x v="1"/>
    <n v="2"/>
    <n v="2750"/>
    <n v="0"/>
  </r>
  <r>
    <x v="3"/>
    <x v="21"/>
    <x v="326"/>
    <x v="3"/>
    <x v="2"/>
    <n v="3"/>
    <n v="2750"/>
    <n v="0"/>
  </r>
  <r>
    <x v="3"/>
    <x v="21"/>
    <x v="326"/>
    <x v="3"/>
    <x v="3"/>
    <n v="4"/>
    <n v="2020"/>
    <n v="0"/>
  </r>
  <r>
    <x v="3"/>
    <x v="21"/>
    <x v="326"/>
    <x v="3"/>
    <x v="4"/>
    <n v="5"/>
    <n v="2006"/>
    <n v="0"/>
  </r>
  <r>
    <x v="3"/>
    <x v="21"/>
    <x v="326"/>
    <x v="3"/>
    <x v="5"/>
    <n v="6"/>
    <n v="2487"/>
    <n v="0"/>
  </r>
  <r>
    <x v="3"/>
    <x v="21"/>
    <x v="326"/>
    <x v="3"/>
    <x v="6"/>
    <n v="7"/>
    <n v="2572"/>
    <n v="0"/>
  </r>
  <r>
    <x v="3"/>
    <x v="21"/>
    <x v="328"/>
    <x v="2"/>
    <x v="0"/>
    <n v="1"/>
    <n v="0"/>
    <n v="0"/>
  </r>
  <r>
    <x v="3"/>
    <x v="21"/>
    <x v="328"/>
    <x v="2"/>
    <x v="1"/>
    <n v="2"/>
    <n v="0"/>
    <n v="0"/>
  </r>
  <r>
    <x v="3"/>
    <x v="21"/>
    <x v="328"/>
    <x v="2"/>
    <x v="2"/>
    <n v="3"/>
    <n v="0"/>
    <n v="0"/>
  </r>
  <r>
    <x v="3"/>
    <x v="21"/>
    <x v="328"/>
    <x v="2"/>
    <x v="3"/>
    <n v="4"/>
    <n v="0"/>
    <n v="0"/>
  </r>
  <r>
    <x v="3"/>
    <x v="21"/>
    <x v="328"/>
    <x v="2"/>
    <x v="4"/>
    <n v="5"/>
    <n v="0"/>
    <n v="0"/>
  </r>
  <r>
    <x v="3"/>
    <x v="21"/>
    <x v="328"/>
    <x v="2"/>
    <x v="5"/>
    <n v="6"/>
    <n v="0"/>
    <n v="0"/>
  </r>
  <r>
    <x v="3"/>
    <x v="21"/>
    <x v="328"/>
    <x v="2"/>
    <x v="6"/>
    <n v="7"/>
    <n v="800"/>
    <n v="0"/>
  </r>
  <r>
    <x v="3"/>
    <x v="21"/>
    <x v="328"/>
    <x v="3"/>
    <x v="0"/>
    <n v="1"/>
    <n v="0"/>
    <n v="0"/>
  </r>
  <r>
    <x v="3"/>
    <x v="21"/>
    <x v="328"/>
    <x v="3"/>
    <x v="1"/>
    <n v="2"/>
    <n v="0"/>
    <n v="0"/>
  </r>
  <r>
    <x v="3"/>
    <x v="21"/>
    <x v="328"/>
    <x v="3"/>
    <x v="2"/>
    <n v="3"/>
    <n v="0"/>
    <n v="0"/>
  </r>
  <r>
    <x v="3"/>
    <x v="21"/>
    <x v="328"/>
    <x v="3"/>
    <x v="3"/>
    <n v="4"/>
    <n v="0"/>
    <n v="0"/>
  </r>
  <r>
    <x v="3"/>
    <x v="21"/>
    <x v="328"/>
    <x v="3"/>
    <x v="4"/>
    <n v="5"/>
    <n v="0"/>
    <n v="0"/>
  </r>
  <r>
    <x v="3"/>
    <x v="21"/>
    <x v="328"/>
    <x v="3"/>
    <x v="5"/>
    <n v="6"/>
    <n v="0"/>
    <n v="0"/>
  </r>
  <r>
    <x v="3"/>
    <x v="21"/>
    <x v="328"/>
    <x v="3"/>
    <x v="6"/>
    <n v="7"/>
    <n v="1187"/>
    <n v="0"/>
  </r>
  <r>
    <x v="3"/>
    <x v="21"/>
    <x v="329"/>
    <x v="2"/>
    <x v="0"/>
    <n v="1"/>
    <n v="1350"/>
    <n v="0"/>
  </r>
  <r>
    <x v="3"/>
    <x v="21"/>
    <x v="329"/>
    <x v="2"/>
    <x v="1"/>
    <n v="2"/>
    <n v="1500"/>
    <n v="0"/>
  </r>
  <r>
    <x v="3"/>
    <x v="21"/>
    <x v="329"/>
    <x v="2"/>
    <x v="2"/>
    <n v="3"/>
    <n v="1650"/>
    <n v="251585.7"/>
  </r>
  <r>
    <x v="3"/>
    <x v="21"/>
    <x v="329"/>
    <x v="2"/>
    <x v="3"/>
    <n v="4"/>
    <n v="1405"/>
    <n v="137777.74"/>
  </r>
  <r>
    <x v="3"/>
    <x v="21"/>
    <x v="329"/>
    <x v="2"/>
    <x v="4"/>
    <n v="5"/>
    <n v="1480"/>
    <n v="116313.8"/>
  </r>
  <r>
    <x v="3"/>
    <x v="21"/>
    <x v="329"/>
    <x v="2"/>
    <x v="5"/>
    <n v="6"/>
    <n v="1566"/>
    <n v="128615.09999999998"/>
  </r>
  <r>
    <x v="3"/>
    <x v="21"/>
    <x v="329"/>
    <x v="2"/>
    <x v="6"/>
    <n v="7"/>
    <n v="1692"/>
    <n v="136334.02000000002"/>
  </r>
  <r>
    <x v="3"/>
    <x v="21"/>
    <x v="329"/>
    <x v="3"/>
    <x v="0"/>
    <n v="1"/>
    <n v="2334"/>
    <n v="0"/>
  </r>
  <r>
    <x v="3"/>
    <x v="21"/>
    <x v="329"/>
    <x v="3"/>
    <x v="1"/>
    <n v="2"/>
    <n v="2382"/>
    <n v="0"/>
  </r>
  <r>
    <x v="3"/>
    <x v="21"/>
    <x v="329"/>
    <x v="3"/>
    <x v="2"/>
    <n v="3"/>
    <n v="2750"/>
    <n v="0"/>
  </r>
  <r>
    <x v="3"/>
    <x v="21"/>
    <x v="329"/>
    <x v="3"/>
    <x v="3"/>
    <n v="4"/>
    <n v="2226"/>
    <n v="0"/>
  </r>
  <r>
    <x v="3"/>
    <x v="21"/>
    <x v="329"/>
    <x v="3"/>
    <x v="4"/>
    <n v="5"/>
    <n v="2390"/>
    <n v="0"/>
  </r>
  <r>
    <x v="3"/>
    <x v="21"/>
    <x v="329"/>
    <x v="3"/>
    <x v="5"/>
    <n v="6"/>
    <n v="2536"/>
    <n v="0"/>
  </r>
  <r>
    <x v="3"/>
    <x v="21"/>
    <x v="329"/>
    <x v="3"/>
    <x v="6"/>
    <n v="7"/>
    <n v="2681"/>
    <n v="0"/>
  </r>
  <r>
    <x v="3"/>
    <x v="21"/>
    <x v="342"/>
    <x v="2"/>
    <x v="0"/>
    <n v="1"/>
    <n v="0"/>
    <n v="0"/>
  </r>
  <r>
    <x v="3"/>
    <x v="21"/>
    <x v="342"/>
    <x v="2"/>
    <x v="1"/>
    <n v="2"/>
    <n v="0"/>
    <n v="0"/>
  </r>
  <r>
    <x v="3"/>
    <x v="21"/>
    <x v="342"/>
    <x v="2"/>
    <x v="2"/>
    <n v="3"/>
    <n v="0"/>
    <n v="0"/>
  </r>
  <r>
    <x v="3"/>
    <x v="21"/>
    <x v="342"/>
    <x v="2"/>
    <x v="3"/>
    <n v="4"/>
    <n v="0"/>
    <n v="0"/>
  </r>
  <r>
    <x v="3"/>
    <x v="21"/>
    <x v="342"/>
    <x v="2"/>
    <x v="4"/>
    <n v="5"/>
    <n v="0"/>
    <n v="0"/>
  </r>
  <r>
    <x v="3"/>
    <x v="21"/>
    <x v="342"/>
    <x v="2"/>
    <x v="5"/>
    <n v="6"/>
    <n v="900"/>
    <n v="0"/>
  </r>
  <r>
    <x v="3"/>
    <x v="21"/>
    <x v="342"/>
    <x v="2"/>
    <x v="6"/>
    <n v="7"/>
    <n v="2300"/>
    <n v="72686.850000000006"/>
  </r>
  <r>
    <x v="3"/>
    <x v="21"/>
    <x v="342"/>
    <x v="3"/>
    <x v="0"/>
    <n v="1"/>
    <n v="0"/>
    <n v="0"/>
  </r>
  <r>
    <x v="3"/>
    <x v="21"/>
    <x v="342"/>
    <x v="3"/>
    <x v="1"/>
    <n v="2"/>
    <n v="0"/>
    <n v="0"/>
  </r>
  <r>
    <x v="3"/>
    <x v="21"/>
    <x v="342"/>
    <x v="3"/>
    <x v="2"/>
    <n v="3"/>
    <n v="0"/>
    <n v="0"/>
  </r>
  <r>
    <x v="3"/>
    <x v="21"/>
    <x v="342"/>
    <x v="3"/>
    <x v="3"/>
    <n v="4"/>
    <n v="0"/>
    <n v="0"/>
  </r>
  <r>
    <x v="3"/>
    <x v="21"/>
    <x v="342"/>
    <x v="3"/>
    <x v="4"/>
    <n v="5"/>
    <n v="0"/>
    <n v="0"/>
  </r>
  <r>
    <x v="3"/>
    <x v="21"/>
    <x v="342"/>
    <x v="3"/>
    <x v="5"/>
    <n v="6"/>
    <n v="1293"/>
    <n v="0"/>
  </r>
  <r>
    <x v="3"/>
    <x v="21"/>
    <x v="342"/>
    <x v="3"/>
    <x v="6"/>
    <n v="7"/>
    <n v="3401"/>
    <n v="0"/>
  </r>
  <r>
    <x v="3"/>
    <x v="21"/>
    <x v="331"/>
    <x v="2"/>
    <x v="0"/>
    <n v="1"/>
    <n v="1800"/>
    <n v="0"/>
  </r>
  <r>
    <x v="3"/>
    <x v="21"/>
    <x v="331"/>
    <x v="2"/>
    <x v="1"/>
    <n v="2"/>
    <n v="1750"/>
    <n v="0"/>
  </r>
  <r>
    <x v="3"/>
    <x v="21"/>
    <x v="331"/>
    <x v="2"/>
    <x v="2"/>
    <n v="3"/>
    <n v="1650"/>
    <n v="367488.75"/>
  </r>
  <r>
    <x v="3"/>
    <x v="21"/>
    <x v="331"/>
    <x v="2"/>
    <x v="3"/>
    <n v="4"/>
    <n v="1412"/>
    <n v="178268.15000000002"/>
  </r>
  <r>
    <x v="3"/>
    <x v="21"/>
    <x v="331"/>
    <x v="2"/>
    <x v="4"/>
    <n v="5"/>
    <n v="1500"/>
    <n v="153325.29"/>
  </r>
  <r>
    <x v="3"/>
    <x v="21"/>
    <x v="331"/>
    <x v="2"/>
    <x v="5"/>
    <n v="6"/>
    <n v="1125"/>
    <n v="165550.80000000005"/>
  </r>
  <r>
    <x v="3"/>
    <x v="21"/>
    <x v="331"/>
    <x v="2"/>
    <x v="6"/>
    <n v="7"/>
    <n v="1684"/>
    <n v="123060.69999999984"/>
  </r>
  <r>
    <x v="3"/>
    <x v="21"/>
    <x v="331"/>
    <x v="3"/>
    <x v="0"/>
    <n v="1"/>
    <n v="3790"/>
    <n v="0"/>
  </r>
  <r>
    <x v="3"/>
    <x v="21"/>
    <x v="331"/>
    <x v="3"/>
    <x v="1"/>
    <n v="2"/>
    <n v="3655"/>
    <n v="0"/>
  </r>
  <r>
    <x v="3"/>
    <x v="21"/>
    <x v="331"/>
    <x v="3"/>
    <x v="2"/>
    <n v="3"/>
    <n v="3850"/>
    <n v="0"/>
  </r>
  <r>
    <x v="3"/>
    <x v="21"/>
    <x v="331"/>
    <x v="3"/>
    <x v="3"/>
    <n v="4"/>
    <n v="3189"/>
    <n v="0"/>
  </r>
  <r>
    <x v="3"/>
    <x v="21"/>
    <x v="331"/>
    <x v="3"/>
    <x v="4"/>
    <n v="5"/>
    <n v="3444"/>
    <n v="0"/>
  </r>
  <r>
    <x v="3"/>
    <x v="21"/>
    <x v="331"/>
    <x v="3"/>
    <x v="5"/>
    <n v="6"/>
    <n v="2551"/>
    <n v="0"/>
  </r>
  <r>
    <x v="3"/>
    <x v="21"/>
    <x v="331"/>
    <x v="3"/>
    <x v="6"/>
    <n v="7"/>
    <n v="3861"/>
    <n v="0"/>
  </r>
  <r>
    <x v="4"/>
    <x v="6"/>
    <x v="77"/>
    <x v="4"/>
    <x v="7"/>
    <n v="8"/>
    <n v="58528"/>
    <n v="19021600"/>
  </r>
  <r>
    <x v="4"/>
    <x v="6"/>
    <x v="87"/>
    <x v="4"/>
    <x v="7"/>
    <n v="8"/>
    <n v="4752"/>
    <n v="1544400"/>
  </r>
  <r>
    <x v="4"/>
    <x v="6"/>
    <x v="81"/>
    <x v="4"/>
    <x v="7"/>
    <n v="8"/>
    <n v="6136"/>
    <n v="1994200"/>
  </r>
  <r>
    <x v="4"/>
    <x v="6"/>
    <x v="80"/>
    <x v="4"/>
    <x v="7"/>
    <n v="8"/>
    <n v="1799"/>
    <n v="584675"/>
  </r>
  <r>
    <x v="4"/>
    <x v="6"/>
    <x v="79"/>
    <x v="4"/>
    <x v="7"/>
    <n v="8"/>
    <n v="24463"/>
    <n v="7950475"/>
  </r>
  <r>
    <x v="4"/>
    <x v="6"/>
    <x v="74"/>
    <x v="4"/>
    <x v="7"/>
    <n v="8"/>
    <n v="21757"/>
    <n v="7071025"/>
  </r>
  <r>
    <x v="4"/>
    <x v="6"/>
    <x v="84"/>
    <x v="4"/>
    <x v="7"/>
    <n v="8"/>
    <n v="23281"/>
    <n v="7566325"/>
  </r>
  <r>
    <x v="4"/>
    <x v="6"/>
    <x v="78"/>
    <x v="4"/>
    <x v="7"/>
    <n v="8"/>
    <n v="31811"/>
    <n v="10338575"/>
  </r>
  <r>
    <x v="4"/>
    <x v="6"/>
    <x v="85"/>
    <x v="4"/>
    <x v="7"/>
    <n v="8"/>
    <n v="21574"/>
    <n v="7011550"/>
  </r>
  <r>
    <x v="4"/>
    <x v="6"/>
    <x v="82"/>
    <x v="4"/>
    <x v="7"/>
    <n v="8"/>
    <n v="39931"/>
    <n v="12977575"/>
  </r>
  <r>
    <x v="4"/>
    <x v="6"/>
    <x v="86"/>
    <x v="4"/>
    <x v="7"/>
    <n v="8"/>
    <n v="19168"/>
    <n v="6229600"/>
  </r>
  <r>
    <x v="4"/>
    <x v="6"/>
    <x v="75"/>
    <x v="4"/>
    <x v="7"/>
    <n v="8"/>
    <n v="6165"/>
    <n v="2003625"/>
  </r>
  <r>
    <x v="4"/>
    <x v="6"/>
    <x v="76"/>
    <x v="4"/>
    <x v="7"/>
    <n v="8"/>
    <n v="6325"/>
    <n v="2055625"/>
  </r>
  <r>
    <x v="4"/>
    <x v="6"/>
    <x v="73"/>
    <x v="4"/>
    <x v="7"/>
    <n v="8"/>
    <n v="16008"/>
    <n v="5202600"/>
  </r>
  <r>
    <x v="4"/>
    <x v="6"/>
    <x v="89"/>
    <x v="4"/>
    <x v="7"/>
    <n v="8"/>
    <n v="76340"/>
    <n v="24810500"/>
  </r>
  <r>
    <x v="4"/>
    <x v="6"/>
    <x v="88"/>
    <x v="4"/>
    <x v="7"/>
    <n v="8"/>
    <n v="38738"/>
    <n v="12589850"/>
  </r>
  <r>
    <x v="4"/>
    <x v="6"/>
    <x v="83"/>
    <x v="4"/>
    <x v="7"/>
    <n v="8"/>
    <n v="14898"/>
    <n v="48418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841857-6E99-4E1B-83D8-8ADE9C50BE9B}" name="TD_Ejecucion" cacheId="3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5:Q20" firstHeaderRow="1" firstDataRow="3" firstDataCol="1" rowPageCount="2" colPageCount="1"/>
  <pivotFields count="8">
    <pivotField axis="axisRow" showAll="0">
      <items count="6">
        <item x="0"/>
        <item x="1"/>
        <item x="4"/>
        <item x="3"/>
        <item x="2"/>
        <item t="default"/>
      </items>
    </pivotField>
    <pivotField axis="axisRow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22"/>
        <item x="12"/>
        <item x="13"/>
        <item x="23"/>
        <item x="14"/>
        <item x="15"/>
        <item x="16"/>
        <item x="17"/>
        <item x="18"/>
        <item x="24"/>
        <item x="19"/>
        <item x="26"/>
        <item x="20"/>
        <item x="25"/>
        <item x="21"/>
        <item t="default"/>
      </items>
    </pivotField>
    <pivotField axis="axisPage" multipleItemSelectionAllowed="1" showAll="0">
      <items count="416">
        <item h="1" x="370"/>
        <item h="1" x="25"/>
        <item h="1" x="369"/>
        <item h="1" x="371"/>
        <item h="1" x="134"/>
        <item x="338"/>
        <item x="90"/>
        <item h="1" x="163"/>
        <item h="1" x="217"/>
        <item h="1" x="73"/>
        <item h="1" x="218"/>
        <item h="1" x="135"/>
        <item h="1" x="136"/>
        <item h="1" x="233"/>
        <item h="1" x="262"/>
        <item h="1" x="91"/>
        <item h="1" x="322"/>
        <item h="1" x="395"/>
        <item h="1" x="164"/>
        <item h="1" x="0"/>
        <item h="1" x="165"/>
        <item h="1" x="344"/>
        <item h="1" x="41"/>
        <item h="1" x="397"/>
        <item h="1" x="187"/>
        <item h="1" x="166"/>
        <item h="1" x="263"/>
        <item h="1" x="234"/>
        <item h="1" x="1"/>
        <item h="1" x="188"/>
        <item h="1" x="208"/>
        <item h="1" x="402"/>
        <item h="1" x="92"/>
        <item h="1" x="295"/>
        <item h="1" x="189"/>
        <item h="1" x="398"/>
        <item h="1" x="190"/>
        <item h="1" x="191"/>
        <item h="1" x="26"/>
        <item h="1" x="74"/>
        <item h="1" x="192"/>
        <item h="1" x="42"/>
        <item h="1" x="264"/>
        <item h="1" x="2"/>
        <item h="1" x="75"/>
        <item h="1" x="219"/>
        <item h="1" x="167"/>
        <item h="1" x="3"/>
        <item h="1" x="168"/>
        <item h="1" x="93"/>
        <item h="1" x="27"/>
        <item h="1" x="137"/>
        <item h="1" x="235"/>
        <item h="1" x="276"/>
        <item h="1" x="169"/>
        <item h="1" x="94"/>
        <item h="1" x="43"/>
        <item h="1" x="236"/>
        <item h="1" x="138"/>
        <item h="1" x="17"/>
        <item h="1" x="363"/>
        <item h="1" x="362"/>
        <item h="1" x="265"/>
        <item h="1" x="95"/>
        <item h="1" x="193"/>
        <item h="1" x="296"/>
        <item h="1" x="151"/>
        <item h="1" x="139"/>
        <item h="1" x="209"/>
        <item h="1" x="152"/>
        <item h="1" x="18"/>
        <item h="1" x="122"/>
        <item h="1" x="388"/>
        <item h="1" x="377"/>
        <item h="1" x="51"/>
        <item h="1" x="170"/>
        <item h="1" x="140"/>
        <item h="1" x="237"/>
        <item h="1" x="238"/>
        <item h="1" x="28"/>
        <item h="1" x="239"/>
        <item h="1" x="59"/>
        <item h="1" x="44"/>
        <item h="1" x="240"/>
        <item h="1" x="323"/>
        <item h="1" x="378"/>
        <item h="1" x="153"/>
        <item h="1" x="171"/>
        <item h="1" x="76"/>
        <item h="1" x="4"/>
        <item h="1" x="172"/>
        <item h="1" x="19"/>
        <item h="1" x="324"/>
        <item h="1" x="60"/>
        <item h="1" x="52"/>
        <item h="1" x="77"/>
        <item h="1" x="266"/>
        <item h="1" x="96"/>
        <item h="1" x="173"/>
        <item h="1" x="325"/>
        <item h="1" x="45"/>
        <item h="1" x="194"/>
        <item h="1" x="241"/>
        <item h="1" x="61"/>
        <item h="1" x="97"/>
        <item h="1" x="127"/>
        <item h="1" x="141"/>
        <item h="1" x="142"/>
        <item h="1" x="46"/>
        <item h="1" x="220"/>
        <item h="1" x="195"/>
        <item h="1" x="143"/>
        <item h="1" x="242"/>
        <item h="1" x="62"/>
        <item h="1" x="174"/>
        <item h="1" x="63"/>
        <item h="1" x="98"/>
        <item h="1" x="243"/>
        <item h="1" x="326"/>
        <item h="1" x="5"/>
        <item h="1" x="154"/>
        <item h="1" x="123"/>
        <item h="1" x="389"/>
        <item h="1" x="384"/>
        <item h="1" x="124"/>
        <item h="1" x="221"/>
        <item h="1" x="379"/>
        <item h="1" x="380"/>
        <item h="1" x="407"/>
        <item h="1" x="244"/>
        <item h="1" x="99"/>
        <item h="1" x="64"/>
        <item h="1" x="128"/>
        <item h="1" x="297"/>
        <item h="1" x="155"/>
        <item h="1" x="78"/>
        <item h="1" x="314"/>
        <item h="1" x="129"/>
        <item h="1" x="125"/>
        <item h="1" x="53"/>
        <item h="1" x="144"/>
        <item h="1" x="391"/>
        <item h="1" x="392"/>
        <item h="1" x="277"/>
        <item h="1" x="196"/>
        <item h="1" x="385"/>
        <item h="1" x="100"/>
        <item h="1" x="65"/>
        <item h="1" x="267"/>
        <item h="1" x="245"/>
        <item h="1" x="210"/>
        <item h="1" x="408"/>
        <item h="1" x="246"/>
        <item h="1" x="409"/>
        <item h="1" x="175"/>
        <item h="1" x="47"/>
        <item h="1" x="268"/>
        <item h="1" x="197"/>
        <item h="1" x="247"/>
        <item h="1" x="79"/>
        <item h="1" x="335"/>
        <item h="1" x="176"/>
        <item h="1" x="66"/>
        <item h="1" x="278"/>
        <item h="1" x="6"/>
        <item h="1" x="29"/>
        <item h="1" x="145"/>
        <item h="1" x="222"/>
        <item h="1" x="298"/>
        <item h="1" x="350"/>
        <item h="1" x="30"/>
        <item h="1" x="198"/>
        <item h="1" x="351"/>
        <item h="1" x="31"/>
        <item h="1" x="101"/>
        <item h="1" x="32"/>
        <item h="1" x="156"/>
        <item h="1" x="299"/>
        <item h="1" x="269"/>
        <item h="1" x="126"/>
        <item h="1" x="390"/>
        <item h="1" x="20"/>
        <item h="1" x="365"/>
        <item h="1" x="364"/>
        <item h="1" x="393"/>
        <item h="1" x="177"/>
        <item h="1" x="146"/>
        <item h="1" x="48"/>
        <item h="1" x="21"/>
        <item h="1" x="7"/>
        <item h="1" x="211"/>
        <item h="1" x="248"/>
        <item h="1" x="300"/>
        <item h="1" x="341"/>
        <item h="1" x="327"/>
        <item h="1" x="382"/>
        <item h="1" x="199"/>
        <item h="1" x="366"/>
        <item h="1" x="22"/>
        <item h="1" x="367"/>
        <item h="1" x="178"/>
        <item h="1" x="301"/>
        <item h="1" x="375"/>
        <item h="1" x="54"/>
        <item h="1" x="374"/>
        <item h="1" x="376"/>
        <item h="1" x="359"/>
        <item h="1" x="157"/>
        <item h="1" x="33"/>
        <item h="1" x="399"/>
        <item h="1" x="200"/>
        <item h="1" x="279"/>
        <item h="1" x="403"/>
        <item h="1" x="212"/>
        <item h="1" x="404"/>
        <item h="1" x="315"/>
        <item h="1" x="223"/>
        <item h="1" x="102"/>
        <item h="1" x="201"/>
        <item h="1" x="55"/>
        <item h="1" x="280"/>
        <item h="1" x="249"/>
        <item h="1" x="302"/>
        <item h="1" x="316"/>
        <item h="1" x="400"/>
        <item h="1" x="202"/>
        <item h="1" x="224"/>
        <item h="1" x="158"/>
        <item h="1" x="303"/>
        <item h="1" x="130"/>
        <item h="1" x="179"/>
        <item h="1" x="56"/>
        <item h="1" x="250"/>
        <item h="1" x="317"/>
        <item h="1" x="8"/>
        <item h="1" x="328"/>
        <item h="1" x="213"/>
        <item h="1" x="159"/>
        <item h="1" x="318"/>
        <item h="1" x="396"/>
        <item h="1" x="180"/>
        <item h="1" x="413"/>
        <item h="1" x="304"/>
        <item h="1" x="305"/>
        <item h="1" x="103"/>
        <item h="1" x="339"/>
        <item h="1" x="104"/>
        <item h="1" x="333"/>
        <item h="1" x="368"/>
        <item h="1" x="23"/>
        <item h="1" x="329"/>
        <item h="1" x="67"/>
        <item h="1" x="147"/>
        <item h="1" x="281"/>
        <item h="1" x="80"/>
        <item h="1" x="306"/>
        <item h="1" x="49"/>
        <item h="1" x="307"/>
        <item h="1" x="410"/>
        <item h="1" x="251"/>
        <item h="1" x="81"/>
        <item h="1" x="352"/>
        <item h="1" x="34"/>
        <item h="1" x="355"/>
        <item h="1" x="105"/>
        <item h="1" x="308"/>
        <item h="1" x="9"/>
        <item h="1" x="349"/>
        <item h="1" x="203"/>
        <item h="1" x="50"/>
        <item h="1" x="106"/>
        <item h="1" x="345"/>
        <item h="1" x="282"/>
        <item h="1" x="181"/>
        <item h="1" x="82"/>
        <item h="1" x="270"/>
        <item h="1" x="252"/>
        <item h="1" x="225"/>
        <item h="1" x="283"/>
        <item h="1" x="160"/>
        <item h="1" x="131"/>
        <item h="1" x="343"/>
        <item h="1" x="132"/>
        <item h="1" x="253"/>
        <item h="1" x="284"/>
        <item h="1" x="35"/>
        <item h="1" x="182"/>
        <item h="1" x="214"/>
        <item h="1" x="183"/>
        <item h="1" x="107"/>
        <item h="1" x="108"/>
        <item h="1" x="24"/>
        <item h="1" x="226"/>
        <item h="1" x="411"/>
        <item h="1" x="254"/>
        <item h="1" x="358"/>
        <item h="1" x="309"/>
        <item h="1" x="83"/>
        <item h="1" x="372"/>
        <item h="1" x="184"/>
        <item h="1" x="334"/>
        <item h="1" x="336"/>
        <item h="1" x="255"/>
        <item h="1" x="310"/>
        <item h="1" x="285"/>
        <item h="1" x="84"/>
        <item h="1" x="10"/>
        <item h="1" x="204"/>
        <item h="1" x="286"/>
        <item h="1" x="109"/>
        <item h="1" x="133"/>
        <item h="1" x="85"/>
        <item h="1" x="386"/>
        <item h="1" x="373"/>
        <item h="1" x="110"/>
        <item h="1" x="271"/>
        <item h="1" x="111"/>
        <item h="1" x="256"/>
        <item h="1" x="86"/>
        <item h="1" x="215"/>
        <item h="1" x="346"/>
        <item h="1" x="112"/>
        <item h="1" x="340"/>
        <item h="1" x="113"/>
        <item h="1" x="68"/>
        <item h="1" x="57"/>
        <item h="1" x="58"/>
        <item h="1" x="161"/>
        <item h="1" x="114"/>
        <item h="1" x="36"/>
        <item h="1" x="387"/>
        <item h="1" x="115"/>
        <item h="1" x="11"/>
        <item h="1" x="227"/>
        <item h="1" x="287"/>
        <item h="1" x="148"/>
        <item h="1" x="288"/>
        <item h="1" x="87"/>
        <item h="1" x="289"/>
        <item h="1" x="37"/>
        <item h="1" x="401"/>
        <item h="1" x="205"/>
        <item h="1" x="290"/>
        <item h="1" x="216"/>
        <item h="1" x="272"/>
        <item h="1" x="12"/>
        <item h="1" x="116"/>
        <item h="1" x="347"/>
        <item h="1" x="69"/>
        <item h="1" x="356"/>
        <item h="1" x="319"/>
        <item h="1" x="405"/>
        <item h="1" x="228"/>
        <item h="1" x="337"/>
        <item h="1" x="291"/>
        <item h="1" x="357"/>
        <item h="1" x="320"/>
        <item h="1" x="406"/>
        <item h="1" x="229"/>
        <item h="1" x="273"/>
        <item h="1" x="292"/>
        <item h="1" x="274"/>
        <item h="1" x="293"/>
        <item h="1" x="117"/>
        <item h="1" x="353"/>
        <item h="1" x="230"/>
        <item h="1" x="311"/>
        <item h="1" x="231"/>
        <item h="1" x="354"/>
        <item h="1" x="312"/>
        <item h="1" x="162"/>
        <item h="1" x="360"/>
        <item h="1" x="13"/>
        <item h="1" x="185"/>
        <item h="1" x="257"/>
        <item h="1" x="258"/>
        <item h="1" x="70"/>
        <item h="1" x="348"/>
        <item h="1" x="71"/>
        <item h="1" x="412"/>
        <item h="1" x="294"/>
        <item h="1" x="118"/>
        <item h="1" x="232"/>
        <item h="1" x="259"/>
        <item h="1" x="14"/>
        <item h="1" x="260"/>
        <item h="1" x="361"/>
        <item h="1" x="15"/>
        <item h="1" x="275"/>
        <item h="1" x="38"/>
        <item h="1" x="119"/>
        <item h="1" x="342"/>
        <item h="1" x="330"/>
        <item h="1" x="261"/>
        <item h="1" x="72"/>
        <item h="1" x="120"/>
        <item h="1" x="414"/>
        <item h="1" x="321"/>
        <item h="1" x="16"/>
        <item h="1" x="121"/>
        <item h="1" x="383"/>
        <item h="1" x="206"/>
        <item h="1" x="331"/>
        <item h="1" x="88"/>
        <item h="1" x="89"/>
        <item h="1" x="39"/>
        <item h="1" x="149"/>
        <item h="1" x="332"/>
        <item h="1" x="207"/>
        <item h="1" x="394"/>
        <item h="1" x="150"/>
        <item h="1" x="40"/>
        <item h="1" x="381"/>
        <item h="1" x="186"/>
        <item h="1" x="313"/>
        <item t="default"/>
      </items>
    </pivotField>
    <pivotField axis="axisPage" multipleItemSelectionAllowed="1" showAll="0">
      <items count="6">
        <item x="3"/>
        <item h="1" x="4"/>
        <item h="1" x="0"/>
        <item x="2"/>
        <item h="1" x="1"/>
        <item t="default"/>
      </items>
    </pivotField>
    <pivotField axis="axisCol" showAll="0">
      <items count="17">
        <item m="1" x="11"/>
        <item m="1" x="15"/>
        <item m="1" x="8"/>
        <item m="1" x="9"/>
        <item m="1" x="14"/>
        <item m="1" x="13"/>
        <item m="1" x="10"/>
        <item m="1" x="12"/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numFmtId="4" showAll="0"/>
    <pivotField dataField="1" numFmtId="4" showAll="0"/>
  </pivotFields>
  <rowFields count="2">
    <field x="0"/>
    <field x="1"/>
  </rowFields>
  <rowItems count="3">
    <i>
      <x v="3"/>
    </i>
    <i r="1">
      <x v="7"/>
    </i>
    <i t="grand">
      <x/>
    </i>
  </rowItems>
  <colFields count="2">
    <field x="4"/>
    <field x="-2"/>
  </colFields>
  <colItems count="16">
    <i>
      <x v="8"/>
      <x/>
    </i>
    <i r="1" i="1">
      <x v="1"/>
    </i>
    <i>
      <x v="9"/>
      <x/>
    </i>
    <i r="1" i="1">
      <x v="1"/>
    </i>
    <i>
      <x v="10"/>
      <x/>
    </i>
    <i r="1" i="1">
      <x v="1"/>
    </i>
    <i>
      <x v="11"/>
      <x/>
    </i>
    <i r="1" i="1">
      <x v="1"/>
    </i>
    <i>
      <x v="12"/>
      <x/>
    </i>
    <i r="1" i="1">
      <x v="1"/>
    </i>
    <i>
      <x v="13"/>
      <x/>
    </i>
    <i r="1" i="1">
      <x v="1"/>
    </i>
    <i>
      <x v="14"/>
      <x/>
    </i>
    <i r="1" i="1">
      <x v="1"/>
    </i>
    <i t="grand">
      <x/>
    </i>
    <i t="grand" i="1">
      <x/>
    </i>
  </colItems>
  <pageFields count="2">
    <pageField fld="2" hier="-1"/>
    <pageField fld="3" hier="-1"/>
  </pageFields>
  <dataFields count="2">
    <dataField name="Suma de Financiera" fld="7" baseField="0" baseItem="0" numFmtId="4"/>
    <dataField name="Suma de Física" fld="6" baseField="0" baseItem="0" numFmtId="4"/>
  </dataFields>
  <formats count="134">
    <format dxfId="978">
      <pivotArea type="origin" dataOnly="0" labelOnly="1" outline="0" fieldPosition="0"/>
    </format>
    <format dxfId="977">
      <pivotArea field="4" type="button" dataOnly="0" labelOnly="1" outline="0" axis="axisCol" fieldPosition="0"/>
    </format>
    <format dxfId="976">
      <pivotArea field="-2" type="button" dataOnly="0" labelOnly="1" outline="0" axis="axisCol" fieldPosition="1"/>
    </format>
    <format dxfId="975">
      <pivotArea type="topRight" dataOnly="0" labelOnly="1" outline="0" fieldPosition="0"/>
    </format>
    <format dxfId="974">
      <pivotArea field="0" type="button" dataOnly="0" labelOnly="1" outline="0" axis="axisRow" fieldPosition="0"/>
    </format>
    <format dxfId="973">
      <pivotArea dataOnly="0" labelOnly="1" fieldPosition="0">
        <references count="1">
          <reference field="4" count="0"/>
        </references>
      </pivotArea>
    </format>
    <format dxfId="972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970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968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8"/>
          </reference>
        </references>
      </pivotArea>
    </format>
    <format dxfId="967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9"/>
          </reference>
        </references>
      </pivotArea>
    </format>
    <format dxfId="966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10"/>
          </reference>
        </references>
      </pivotArea>
    </format>
    <format dxfId="965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11"/>
          </reference>
        </references>
      </pivotArea>
    </format>
    <format dxfId="964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12"/>
          </reference>
        </references>
      </pivotArea>
    </format>
    <format dxfId="963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13"/>
          </reference>
        </references>
      </pivotArea>
    </format>
    <format dxfId="962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14"/>
          </reference>
        </references>
      </pivotArea>
    </format>
    <format dxfId="961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15"/>
          </reference>
        </references>
      </pivotArea>
    </format>
    <format dxfId="960">
      <pivotArea type="origin" dataOnly="0" labelOnly="1" outline="0" fieldPosition="0"/>
    </format>
    <format dxfId="959">
      <pivotArea field="4" type="button" dataOnly="0" labelOnly="1" outline="0" axis="axisCol" fieldPosition="0"/>
    </format>
    <format dxfId="958">
      <pivotArea field="-2" type="button" dataOnly="0" labelOnly="1" outline="0" axis="axisCol" fieldPosition="1"/>
    </format>
    <format dxfId="957">
      <pivotArea type="topRight" dataOnly="0" labelOnly="1" outline="0" fieldPosition="0"/>
    </format>
    <format dxfId="956">
      <pivotArea field="0" type="button" dataOnly="0" labelOnly="1" outline="0" axis="axisRow" fieldPosition="0"/>
    </format>
    <format dxfId="955">
      <pivotArea dataOnly="0" labelOnly="1" fieldPosition="0">
        <references count="1">
          <reference field="4" count="0"/>
        </references>
      </pivotArea>
    </format>
    <format dxfId="954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952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950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8"/>
          </reference>
        </references>
      </pivotArea>
    </format>
    <format dxfId="949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9"/>
          </reference>
        </references>
      </pivotArea>
    </format>
    <format dxfId="948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10"/>
          </reference>
        </references>
      </pivotArea>
    </format>
    <format dxfId="947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11"/>
          </reference>
        </references>
      </pivotArea>
    </format>
    <format dxfId="946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12"/>
          </reference>
        </references>
      </pivotArea>
    </format>
    <format dxfId="945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13"/>
          </reference>
        </references>
      </pivotArea>
    </format>
    <format dxfId="944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14"/>
          </reference>
        </references>
      </pivotArea>
    </format>
    <format dxfId="943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15"/>
          </reference>
        </references>
      </pivotArea>
    </format>
    <format dxfId="942">
      <pivotArea type="origin" dataOnly="0" labelOnly="1" outline="0" fieldPosition="0"/>
    </format>
    <format dxfId="941">
      <pivotArea field="4" type="button" dataOnly="0" labelOnly="1" outline="0" axis="axisCol" fieldPosition="0"/>
    </format>
    <format dxfId="940">
      <pivotArea field="-2" type="button" dataOnly="0" labelOnly="1" outline="0" axis="axisCol" fieldPosition="1"/>
    </format>
    <format dxfId="939">
      <pivotArea type="topRight" dataOnly="0" labelOnly="1" outline="0" fieldPosition="0"/>
    </format>
    <format dxfId="938">
      <pivotArea field="0" type="button" dataOnly="0" labelOnly="1" outline="0" axis="axisRow" fieldPosition="0"/>
    </format>
    <format dxfId="937">
      <pivotArea dataOnly="0" labelOnly="1" fieldPosition="0">
        <references count="1">
          <reference field="4" count="0"/>
        </references>
      </pivotArea>
    </format>
    <format dxfId="936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934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932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8"/>
          </reference>
        </references>
      </pivotArea>
    </format>
    <format dxfId="931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9"/>
          </reference>
        </references>
      </pivotArea>
    </format>
    <format dxfId="930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10"/>
          </reference>
        </references>
      </pivotArea>
    </format>
    <format dxfId="929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11"/>
          </reference>
        </references>
      </pivotArea>
    </format>
    <format dxfId="928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12"/>
          </reference>
        </references>
      </pivotArea>
    </format>
    <format dxfId="927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13"/>
          </reference>
        </references>
      </pivotArea>
    </format>
    <format dxfId="926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14"/>
          </reference>
        </references>
      </pivotArea>
    </format>
    <format dxfId="925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15"/>
          </reference>
        </references>
      </pivotArea>
    </format>
    <format dxfId="924">
      <pivotArea type="origin" dataOnly="0" labelOnly="1" outline="0" fieldPosition="0"/>
    </format>
    <format dxfId="923">
      <pivotArea field="4" type="button" dataOnly="0" labelOnly="1" outline="0" axis="axisCol" fieldPosition="0"/>
    </format>
    <format dxfId="922">
      <pivotArea field="-2" type="button" dataOnly="0" labelOnly="1" outline="0" axis="axisCol" fieldPosition="1"/>
    </format>
    <format dxfId="921">
      <pivotArea type="topRight" dataOnly="0" labelOnly="1" outline="0" fieldPosition="0"/>
    </format>
    <format dxfId="920">
      <pivotArea field="0" type="button" dataOnly="0" labelOnly="1" outline="0" axis="axisRow" fieldPosition="0"/>
    </format>
    <format dxfId="919">
      <pivotArea dataOnly="0" labelOnly="1" fieldPosition="0">
        <references count="1">
          <reference field="4" count="0"/>
        </references>
      </pivotArea>
    </format>
    <format dxfId="918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916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914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8"/>
          </reference>
        </references>
      </pivotArea>
    </format>
    <format dxfId="913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9"/>
          </reference>
        </references>
      </pivotArea>
    </format>
    <format dxfId="912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10"/>
          </reference>
        </references>
      </pivotArea>
    </format>
    <format dxfId="911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11"/>
          </reference>
        </references>
      </pivotArea>
    </format>
    <format dxfId="910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12"/>
          </reference>
        </references>
      </pivotArea>
    </format>
    <format dxfId="909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13"/>
          </reference>
        </references>
      </pivotArea>
    </format>
    <format dxfId="908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14"/>
          </reference>
        </references>
      </pivotArea>
    </format>
    <format dxfId="907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15"/>
          </reference>
        </references>
      </pivotArea>
    </format>
    <format dxfId="906">
      <pivotArea type="origin" dataOnly="0" labelOnly="1" outline="0" fieldPosition="0"/>
    </format>
    <format dxfId="905">
      <pivotArea field="4" type="button" dataOnly="0" labelOnly="1" outline="0" axis="axisCol" fieldPosition="0"/>
    </format>
    <format dxfId="904">
      <pivotArea field="-2" type="button" dataOnly="0" labelOnly="1" outline="0" axis="axisCol" fieldPosition="1"/>
    </format>
    <format dxfId="903">
      <pivotArea type="topRight" dataOnly="0" labelOnly="1" outline="0" fieldPosition="0"/>
    </format>
    <format dxfId="902">
      <pivotArea field="0" type="button" dataOnly="0" labelOnly="1" outline="0" axis="axisRow" fieldPosition="0"/>
    </format>
    <format dxfId="901">
      <pivotArea dataOnly="0" labelOnly="1" fieldPosition="0">
        <references count="1">
          <reference field="4" count="0"/>
        </references>
      </pivotArea>
    </format>
    <format dxfId="900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898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896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8"/>
          </reference>
        </references>
      </pivotArea>
    </format>
    <format dxfId="895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9"/>
          </reference>
        </references>
      </pivotArea>
    </format>
    <format dxfId="894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10"/>
          </reference>
        </references>
      </pivotArea>
    </format>
    <format dxfId="893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11"/>
          </reference>
        </references>
      </pivotArea>
    </format>
    <format dxfId="892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12"/>
          </reference>
        </references>
      </pivotArea>
    </format>
    <format dxfId="891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13"/>
          </reference>
        </references>
      </pivotArea>
    </format>
    <format dxfId="890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14"/>
          </reference>
        </references>
      </pivotArea>
    </format>
    <format dxfId="889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15"/>
          </reference>
        </references>
      </pivotArea>
    </format>
    <format dxfId="888">
      <pivotArea grandRow="1" outline="0" collapsedLevelsAreSubtotals="1" fieldPosition="0"/>
    </format>
    <format dxfId="887">
      <pivotArea dataOnly="0" labelOnly="1" grandRow="1" outline="0" fieldPosition="0"/>
    </format>
    <format dxfId="886">
      <pivotArea grandRow="1" outline="0" collapsedLevelsAreSubtotals="1" fieldPosition="0"/>
    </format>
    <format dxfId="885">
      <pivotArea dataOnly="0" labelOnly="1" grandRow="1" outline="0" fieldPosition="0"/>
    </format>
    <format dxfId="884">
      <pivotArea outline="0" collapsedLevelsAreSubtotals="1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format>
    <format dxfId="883">
      <pivotArea outline="0" collapsedLevelsAreSubtotals="1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format>
    <format dxfId="882">
      <pivotArea outline="0" collapsedLevelsAreSubtotals="1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format>
    <format dxfId="881">
      <pivotArea outline="0" collapsedLevelsAreSubtotals="1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format>
    <format dxfId="880">
      <pivotArea outline="0" collapsedLevelsAreSubtotals="1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format>
    <format dxfId="879">
      <pivotArea outline="0" collapsedLevelsAreSubtotals="1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format>
    <format dxfId="878">
      <pivotArea outline="0" collapsedLevelsAreSubtotals="1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format>
    <format dxfId="877">
      <pivotArea outline="0" collapsedLevelsAreSubtotals="1" fieldPosition="0">
        <references count="2">
          <reference field="4294967294" count="1" selected="0">
            <x v="0"/>
          </reference>
          <reference field="4" count="1" selected="0">
            <x v="15"/>
          </reference>
        </references>
      </pivotArea>
    </format>
    <format dxfId="876">
      <pivotArea field="4" grandCol="1" outline="0" collapsedLevelsAreSubtotals="1" axis="axisCol" fieldPosition="0">
        <references count="1">
          <reference field="4294967294" count="1" selected="0">
            <x v="0"/>
          </reference>
        </references>
      </pivotArea>
    </format>
    <format dxfId="875">
      <pivotArea outline="0" collapsedLevelsAreSubtotals="1" fieldPosition="0">
        <references count="2">
          <reference field="4294967294" count="1" selected="0">
            <x v="1"/>
          </reference>
          <reference field="4" count="1" selected="0">
            <x v="8"/>
          </reference>
        </references>
      </pivotArea>
    </format>
    <format dxfId="874">
      <pivotArea outline="0" collapsedLevelsAreSubtotals="1" fieldPosition="0">
        <references count="2">
          <reference field="4294967294" count="1" selected="0">
            <x v="1"/>
          </reference>
          <reference field="4" count="1" selected="0">
            <x v="9"/>
          </reference>
        </references>
      </pivotArea>
    </format>
    <format dxfId="873">
      <pivotArea outline="0" collapsedLevelsAreSubtotals="1" fieldPosition="0">
        <references count="2">
          <reference field="4294967294" count="1" selected="0">
            <x v="1"/>
          </reference>
          <reference field="4" count="1" selected="0">
            <x v="10"/>
          </reference>
        </references>
      </pivotArea>
    </format>
    <format dxfId="872">
      <pivotArea outline="0" collapsedLevelsAreSubtotals="1" fieldPosition="0">
        <references count="2">
          <reference field="4294967294" count="1" selected="0">
            <x v="1"/>
          </reference>
          <reference field="4" count="1" selected="0">
            <x v="11"/>
          </reference>
        </references>
      </pivotArea>
    </format>
    <format dxfId="871">
      <pivotArea outline="0" collapsedLevelsAreSubtotals="1" fieldPosition="0">
        <references count="2">
          <reference field="4294967294" count="1" selected="0">
            <x v="1"/>
          </reference>
          <reference field="4" count="1" selected="0">
            <x v="12"/>
          </reference>
        </references>
      </pivotArea>
    </format>
    <format dxfId="870">
      <pivotArea outline="0" collapsedLevelsAreSubtotals="1" fieldPosition="0">
        <references count="2">
          <reference field="4294967294" count="1" selected="0">
            <x v="1"/>
          </reference>
          <reference field="4" count="1" selected="0">
            <x v="13"/>
          </reference>
        </references>
      </pivotArea>
    </format>
    <format dxfId="869">
      <pivotArea outline="0" collapsedLevelsAreSubtotals="1" fieldPosition="0">
        <references count="2">
          <reference field="4294967294" count="1" selected="0">
            <x v="1"/>
          </reference>
          <reference field="4" count="1" selected="0">
            <x v="14"/>
          </reference>
        </references>
      </pivotArea>
    </format>
    <format dxfId="868">
      <pivotArea outline="0" collapsedLevelsAreSubtotals="1" fieldPosition="0">
        <references count="2">
          <reference field="4294967294" count="1" selected="0">
            <x v="1"/>
          </reference>
          <reference field="4" count="1" selected="0">
            <x v="15"/>
          </reference>
        </references>
      </pivotArea>
    </format>
    <format dxfId="867">
      <pivotArea field="4" grandCol="1" outline="0" collapsedLevelsAreSubtotals="1" axis="axisCol" fieldPosition="0">
        <references count="1">
          <reference field="4294967294" count="1" selected="0">
            <x v="1"/>
          </reference>
        </references>
      </pivotArea>
    </format>
    <format dxfId="866">
      <pivotArea dataOnly="0" labelOnly="1" fieldPosition="0">
        <references count="1">
          <reference field="0" count="0"/>
        </references>
      </pivotArea>
    </format>
    <format dxfId="865">
      <pivotArea dataOnly="0" labelOnly="1" grandRow="1" outline="0" fieldPosition="0"/>
    </format>
    <format dxfId="864">
      <pivotArea dataOnly="0" labelOnly="1" fieldPosition="0">
        <references count="2">
          <reference field="0" count="1" selected="0">
            <x v="0"/>
          </reference>
          <reference field="1" count="2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3"/>
            <x v="14"/>
            <x v="16"/>
            <x v="17"/>
            <x v="18"/>
            <x v="19"/>
            <x v="20"/>
            <x v="22"/>
            <x v="24"/>
            <x v="26"/>
          </reference>
        </references>
      </pivotArea>
    </format>
    <format dxfId="863">
      <pivotArea dataOnly="0" labelOnly="1" fieldPosition="0">
        <references count="2">
          <reference field="0" count="1" selected="0">
            <x v="1"/>
          </reference>
          <reference field="1" count="2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3"/>
            <x v="14"/>
            <x v="16"/>
            <x v="17"/>
            <x v="18"/>
            <x v="19"/>
            <x v="20"/>
            <x v="22"/>
            <x v="24"/>
            <x v="26"/>
          </reference>
        </references>
      </pivotArea>
    </format>
    <format dxfId="862">
      <pivotArea dataOnly="0" labelOnly="1" fieldPosition="0">
        <references count="2">
          <reference field="0" count="1" selected="0">
            <x v="2"/>
          </reference>
          <reference field="1" count="1">
            <x v="6"/>
          </reference>
        </references>
      </pivotArea>
    </format>
    <format dxfId="861">
      <pivotArea dataOnly="0" labelOnly="1" fieldPosition="0">
        <references count="2">
          <reference field="0" count="1" selected="0">
            <x v="3"/>
          </reference>
          <reference field="1" count="22">
            <x v="0"/>
            <x v="1"/>
            <x v="2"/>
            <x v="3"/>
            <x v="4"/>
            <x v="5"/>
            <x v="6"/>
            <x v="7"/>
            <x v="8"/>
            <x v="9"/>
            <x v="10"/>
            <x v="12"/>
            <x v="13"/>
            <x v="14"/>
            <x v="16"/>
            <x v="17"/>
            <x v="18"/>
            <x v="19"/>
            <x v="20"/>
            <x v="23"/>
            <x v="25"/>
            <x v="26"/>
          </reference>
        </references>
      </pivotArea>
    </format>
    <format dxfId="860">
      <pivotArea dataOnly="0" labelOnly="1" fieldPosition="0">
        <references count="2">
          <reference field="0" count="1" selected="0">
            <x v="4"/>
          </reference>
          <reference field="1" count="22">
            <x v="0"/>
            <x v="1"/>
            <x v="2"/>
            <x v="3"/>
            <x v="4"/>
            <x v="5"/>
            <x v="6"/>
            <x v="7"/>
            <x v="8"/>
            <x v="9"/>
            <x v="10"/>
            <x v="12"/>
            <x v="13"/>
            <x v="15"/>
            <x v="16"/>
            <x v="17"/>
            <x v="18"/>
            <x v="19"/>
            <x v="21"/>
            <x v="23"/>
            <x v="25"/>
            <x v="26"/>
          </reference>
        </references>
      </pivotArea>
    </format>
    <format dxfId="587">
      <pivotArea type="all" dataOnly="0" outline="0" fieldPosition="0"/>
    </format>
    <format dxfId="561">
      <pivotArea outline="0" collapsedLevelsAreSubtotals="1" fieldPosition="0"/>
    </format>
    <format dxfId="560">
      <pivotArea type="origin" dataOnly="0" labelOnly="1" outline="0" fieldPosition="0"/>
    </format>
    <format dxfId="559">
      <pivotArea field="4" type="button" dataOnly="0" labelOnly="1" outline="0" axis="axisCol" fieldPosition="0"/>
    </format>
    <format dxfId="558">
      <pivotArea field="-2" type="button" dataOnly="0" labelOnly="1" outline="0" axis="axisCol" fieldPosition="1"/>
    </format>
    <format dxfId="557">
      <pivotArea type="topRight" dataOnly="0" labelOnly="1" outline="0" fieldPosition="0"/>
    </format>
    <format dxfId="556">
      <pivotArea field="0" type="button" dataOnly="0" labelOnly="1" outline="0" axis="axisRow" fieldPosition="0"/>
    </format>
    <format dxfId="555">
      <pivotArea dataOnly="0" labelOnly="1" fieldPosition="0">
        <references count="1">
          <reference field="0" count="0"/>
        </references>
      </pivotArea>
    </format>
    <format dxfId="554">
      <pivotArea dataOnly="0" labelOnly="1" grandRow="1" outline="0" fieldPosition="0"/>
    </format>
    <format dxfId="553">
      <pivotArea dataOnly="0" labelOnly="1" fieldPosition="0">
        <references count="2">
          <reference field="0" count="1" selected="0">
            <x v="0"/>
          </reference>
          <reference field="1" count="2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3"/>
            <x v="14"/>
            <x v="16"/>
            <x v="17"/>
            <x v="18"/>
            <x v="19"/>
            <x v="20"/>
            <x v="22"/>
            <x v="24"/>
            <x v="26"/>
          </reference>
        </references>
      </pivotArea>
    </format>
    <format dxfId="552">
      <pivotArea dataOnly="0" labelOnly="1" fieldPosition="0">
        <references count="2">
          <reference field="0" count="1" selected="0">
            <x v="1"/>
          </reference>
          <reference field="1" count="2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3"/>
            <x v="14"/>
            <x v="16"/>
            <x v="17"/>
            <x v="18"/>
            <x v="19"/>
            <x v="20"/>
            <x v="22"/>
            <x v="24"/>
            <x v="26"/>
          </reference>
        </references>
      </pivotArea>
    </format>
    <format dxfId="551">
      <pivotArea dataOnly="0" labelOnly="1" fieldPosition="0">
        <references count="2">
          <reference field="0" count="1" selected="0">
            <x v="2"/>
          </reference>
          <reference field="1" count="1">
            <x v="6"/>
          </reference>
        </references>
      </pivotArea>
    </format>
    <format dxfId="550">
      <pivotArea dataOnly="0" labelOnly="1" fieldPosition="0">
        <references count="2">
          <reference field="0" count="1" selected="0">
            <x v="3"/>
          </reference>
          <reference field="1" count="22">
            <x v="0"/>
            <x v="1"/>
            <x v="2"/>
            <x v="3"/>
            <x v="4"/>
            <x v="5"/>
            <x v="6"/>
            <x v="7"/>
            <x v="8"/>
            <x v="9"/>
            <x v="10"/>
            <x v="12"/>
            <x v="13"/>
            <x v="14"/>
            <x v="16"/>
            <x v="17"/>
            <x v="18"/>
            <x v="19"/>
            <x v="20"/>
            <x v="23"/>
            <x v="25"/>
            <x v="26"/>
          </reference>
        </references>
      </pivotArea>
    </format>
    <format dxfId="549">
      <pivotArea dataOnly="0" labelOnly="1" fieldPosition="0">
        <references count="2">
          <reference field="0" count="1" selected="0">
            <x v="4"/>
          </reference>
          <reference field="1" count="22">
            <x v="0"/>
            <x v="1"/>
            <x v="2"/>
            <x v="3"/>
            <x v="4"/>
            <x v="5"/>
            <x v="6"/>
            <x v="7"/>
            <x v="8"/>
            <x v="9"/>
            <x v="10"/>
            <x v="12"/>
            <x v="13"/>
            <x v="15"/>
            <x v="16"/>
            <x v="17"/>
            <x v="18"/>
            <x v="19"/>
            <x v="21"/>
            <x v="23"/>
            <x v="25"/>
            <x v="26"/>
          </reference>
        </references>
      </pivotArea>
    </format>
    <format dxfId="548">
      <pivotArea dataOnly="0" labelOnly="1" fieldPosition="0">
        <references count="1">
          <reference field="4" count="0"/>
        </references>
      </pivotArea>
    </format>
    <format dxfId="547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545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543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8"/>
          </reference>
        </references>
      </pivotArea>
    </format>
    <format dxfId="542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9"/>
          </reference>
        </references>
      </pivotArea>
    </format>
    <format dxfId="541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10"/>
          </reference>
        </references>
      </pivotArea>
    </format>
    <format dxfId="540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11"/>
          </reference>
        </references>
      </pivotArea>
    </format>
    <format dxfId="539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12"/>
          </reference>
        </references>
      </pivotArea>
    </format>
    <format dxfId="538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13"/>
          </reference>
        </references>
      </pivotArea>
    </format>
    <format dxfId="537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14"/>
          </reference>
        </references>
      </pivotArea>
    </format>
    <format dxfId="536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1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E4E710-2F46-4D82-87D5-377FA2CABCDC}" name="BaseDPS" displayName="BaseDPS" ref="A1:H8145" totalsRowShown="0" headerRowDxfId="979">
  <autoFilter ref="A1:H8145" xr:uid="{3FE4E710-2F46-4D82-87D5-377FA2CABCDC}"/>
  <tableColumns count="8">
    <tableColumn id="1" xr3:uid="{6B3309F3-5C4E-445E-817B-9AF5563E52EA}" name="Programa"/>
    <tableColumn id="2" xr3:uid="{5BCC71FC-3E32-402A-8A3F-21CEB2F27E7B}" name="Departamento"/>
    <tableColumn id="3" xr3:uid="{280011B8-DD7F-47DF-88D2-EFEA2D3AC765}" name="Municipio"/>
    <tableColumn id="4" xr3:uid="{4BD40718-BB2D-417F-BA5F-F907646F5686}" name="Unidad de Medida"/>
    <tableColumn id="5" xr3:uid="{85FA08D3-F3A4-4718-BD99-74351556791D}" name="Mes"/>
    <tableColumn id="6" xr3:uid="{D4A7A39E-7593-4078-BD7A-4295AF74681A}" name="No. Mes"/>
    <tableColumn id="7" xr3:uid="{D6917437-C51E-470D-B00F-24F5A7BD676B}" name="Física" dataDxfId="981"/>
    <tableColumn id="8" xr3:uid="{129C00CA-29CF-47E9-8B00-27A5CB8AF0B2}" name="Financiera" dataDxfId="98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3F281A3-2F73-4963-84DA-C8891495701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e2a81dd-5a27-4c44-a965-fefde07fb12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2EB6A-6981-4EEB-AC0D-E4FF7951E33C}">
  <dimension ref="A1:W20"/>
  <sheetViews>
    <sheetView showGridLines="0" tabSelected="1" zoomScaleNormal="100" workbookViewId="0">
      <pane ySplit="17" topLeftCell="A18" activePane="bottomLeft" state="frozen"/>
      <selection pane="bottomLeft" activeCell="K14" sqref="K14"/>
    </sheetView>
  </sheetViews>
  <sheetFormatPr baseColWidth="10" defaultRowHeight="14.4" outlineLevelCol="1" x14ac:dyDescent="0.3"/>
  <cols>
    <col min="1" max="1" width="19.5546875" bestFit="1" customWidth="1"/>
    <col min="2" max="2" width="23.6640625" bestFit="1" customWidth="1"/>
    <col min="3" max="3" width="8.33203125" bestFit="1" customWidth="1"/>
    <col min="4" max="4" width="9.88671875" bestFit="1" customWidth="1"/>
    <col min="5" max="5" width="13.21875" bestFit="1" customWidth="1"/>
    <col min="6" max="6" width="10.21875" bestFit="1" customWidth="1"/>
    <col min="7" max="7" width="13.21875" bestFit="1" customWidth="1"/>
    <col min="8" max="8" width="10.21875" bestFit="1" customWidth="1"/>
    <col min="9" max="9" width="13.21875" bestFit="1" customWidth="1"/>
    <col min="10" max="10" width="10.21875" bestFit="1" customWidth="1"/>
    <col min="11" max="11" width="13.21875" bestFit="1" customWidth="1"/>
    <col min="12" max="12" width="10.21875" bestFit="1" customWidth="1"/>
    <col min="13" max="13" width="13.21875" bestFit="1" customWidth="1"/>
    <col min="14" max="14" width="10.21875" bestFit="1" customWidth="1"/>
    <col min="15" max="15" width="13.21875" bestFit="1" customWidth="1"/>
    <col min="16" max="17" width="13" bestFit="1" customWidth="1"/>
    <col min="18" max="19" width="16.33203125" customWidth="1"/>
    <col min="21" max="23" width="11.5546875" outlineLevel="1"/>
  </cols>
  <sheetData>
    <row r="1" spans="1:23" ht="25.95" customHeight="1" x14ac:dyDescent="0.3">
      <c r="A1" s="397" t="s">
        <v>749</v>
      </c>
      <c r="B1" s="398"/>
      <c r="C1" s="398"/>
      <c r="D1" s="398"/>
      <c r="E1" s="398"/>
      <c r="F1" s="398"/>
      <c r="G1" s="398"/>
      <c r="H1" s="398"/>
      <c r="I1" s="398"/>
      <c r="J1" s="398"/>
      <c r="K1" s="398"/>
      <c r="L1" s="398"/>
      <c r="M1" s="398"/>
      <c r="N1" s="398"/>
    </row>
    <row r="2" spans="1:23" ht="25.95" customHeight="1" x14ac:dyDescent="0.3">
      <c r="A2" s="398" t="s">
        <v>750</v>
      </c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398"/>
      <c r="M2" s="398"/>
      <c r="N2" s="398"/>
    </row>
    <row r="4" spans="1:23" ht="28.8" x14ac:dyDescent="0.3">
      <c r="A4" s="399" t="s">
        <v>751</v>
      </c>
      <c r="B4" s="399" t="s">
        <v>752</v>
      </c>
      <c r="C4" s="399" t="s">
        <v>753</v>
      </c>
      <c r="D4" s="399" t="s">
        <v>754</v>
      </c>
      <c r="E4" s="399" t="s">
        <v>755</v>
      </c>
      <c r="F4" s="399" t="s">
        <v>756</v>
      </c>
      <c r="G4" s="399" t="s">
        <v>757</v>
      </c>
      <c r="U4" s="133" t="s">
        <v>680</v>
      </c>
      <c r="V4" s="133" t="s">
        <v>775</v>
      </c>
      <c r="W4" s="133" t="s">
        <v>776</v>
      </c>
    </row>
    <row r="5" spans="1:23" x14ac:dyDescent="0.3">
      <c r="A5" s="400" t="str">
        <f>INTEGRADO!D4</f>
        <v>Comedor Social</v>
      </c>
      <c r="B5" s="401">
        <f>INTEGRADO!N4</f>
        <v>284581992</v>
      </c>
      <c r="C5" s="401">
        <f>INTEGRADO!O4</f>
        <v>129161301.38</v>
      </c>
      <c r="D5" s="402">
        <f>INTEGRADO!O4/INTEGRADO!N4</f>
        <v>0.45386322750878766</v>
      </c>
      <c r="E5" s="403">
        <f>INTEGRADO!K4</f>
        <v>9219150</v>
      </c>
      <c r="F5" s="403">
        <f>INTEGRADO!L4</f>
        <v>5289587</v>
      </c>
      <c r="G5" s="402">
        <f>INTEGRADO!L4/INTEGRADO!K4</f>
        <v>0.57376081309014393</v>
      </c>
      <c r="U5" t="str">
        <f>A5</f>
        <v>Comedor Social</v>
      </c>
      <c r="V5" s="417">
        <f>D5</f>
        <v>0.45386322750878766</v>
      </c>
      <c r="W5" s="417">
        <f>G5</f>
        <v>0.57376081309014393</v>
      </c>
    </row>
    <row r="6" spans="1:23" x14ac:dyDescent="0.3">
      <c r="A6" s="400" t="str">
        <f>INTEGRADO!D5</f>
        <v>Bolsa Social</v>
      </c>
      <c r="B6" s="401">
        <f>INTEGRADO!N5</f>
        <v>214000000</v>
      </c>
      <c r="C6" s="401">
        <f>INTEGRADO!O5</f>
        <v>133794050</v>
      </c>
      <c r="D6" s="402">
        <f>INTEGRADO!O5/INTEGRADO!N5</f>
        <v>0.62520584112149535</v>
      </c>
      <c r="E6" s="403">
        <f>INTEGRADO!K5</f>
        <v>658461</v>
      </c>
      <c r="F6" s="403">
        <f>INTEGRADO!L5</f>
        <v>411674</v>
      </c>
      <c r="G6" s="402">
        <f>INTEGRADO!L5/INTEGRADO!K5</f>
        <v>0.6252063523883723</v>
      </c>
      <c r="U6" t="str">
        <f>A6</f>
        <v>Bolsa Social</v>
      </c>
      <c r="V6" s="417">
        <f>D6</f>
        <v>0.62520584112149535</v>
      </c>
      <c r="W6" s="417">
        <f>G6</f>
        <v>0.6252063523883723</v>
      </c>
    </row>
    <row r="7" spans="1:23" x14ac:dyDescent="0.3">
      <c r="A7" s="400" t="str">
        <f>INTEGRADO!D6</f>
        <v>Jóvenes Protagonistas</v>
      </c>
      <c r="B7" s="401">
        <f>INTEGRADO!N6</f>
        <v>64869524</v>
      </c>
      <c r="C7" s="401">
        <f>INTEGRADO!O6</f>
        <v>14430923.65</v>
      </c>
      <c r="D7" s="402">
        <f>INTEGRADO!O6/INTEGRADO!N6</f>
        <v>0.22246076061849937</v>
      </c>
      <c r="E7" s="403">
        <f>INTEGRADO!K6</f>
        <v>77500</v>
      </c>
      <c r="F7" s="403">
        <f>INTEGRADO!L6</f>
        <v>33556</v>
      </c>
      <c r="G7" s="402">
        <f>INTEGRADO!L6/INTEGRADO!K6</f>
        <v>0.43298064516129031</v>
      </c>
      <c r="U7" t="str">
        <f>A7</f>
        <v>Jóvenes Protagonistas</v>
      </c>
      <c r="V7" s="417">
        <f>D7</f>
        <v>0.22246076061849937</v>
      </c>
      <c r="W7" s="417">
        <f>G7</f>
        <v>0.43298064516129031</v>
      </c>
    </row>
    <row r="8" spans="1:23" x14ac:dyDescent="0.3">
      <c r="A8" s="400" t="str">
        <f>INTEGRADO!D7</f>
        <v>Beca Media</v>
      </c>
      <c r="B8" s="401">
        <f>INTEGRADO!N7</f>
        <v>14663654</v>
      </c>
      <c r="C8" s="401">
        <f>INTEGRADO!O7</f>
        <v>11730000</v>
      </c>
      <c r="D8" s="402">
        <f>INTEGRADO!O7/INTEGRADO!N7</f>
        <v>0.79993704161322954</v>
      </c>
      <c r="E8" s="403">
        <f>INTEGRADO!K7</f>
        <v>5865</v>
      </c>
      <c r="F8" s="403">
        <f>INTEGRADO!L7</f>
        <v>4691.800000000002</v>
      </c>
      <c r="G8" s="402">
        <f>INTEGRADO!L7/INTEGRADO!K7</f>
        <v>0.79996589940323992</v>
      </c>
      <c r="U8" t="str">
        <f>A8</f>
        <v>Beca Media</v>
      </c>
      <c r="V8" s="417">
        <f>D8</f>
        <v>0.79993704161322954</v>
      </c>
      <c r="W8" s="417">
        <f>G8</f>
        <v>0.79996589940323992</v>
      </c>
    </row>
    <row r="9" spans="1:23" x14ac:dyDescent="0.3">
      <c r="A9" s="400" t="str">
        <f>INTEGRADO!D8</f>
        <v>Beca Superior</v>
      </c>
      <c r="B9" s="401">
        <f>INTEGRADO!N8</f>
        <v>3860500</v>
      </c>
      <c r="C9" s="401">
        <f>INTEGRADO!O8</f>
        <v>2779200</v>
      </c>
      <c r="D9" s="402">
        <f>INTEGRADO!O8/INTEGRADO!N8</f>
        <v>0.71990674783059194</v>
      </c>
      <c r="E9" s="403">
        <f>INTEGRADO!K8</f>
        <v>1544</v>
      </c>
      <c r="F9" s="403">
        <f>INTEGRADO!L8</f>
        <v>1111.68</v>
      </c>
      <c r="G9" s="402">
        <f>INTEGRADO!L8/INTEGRADO!K8</f>
        <v>0.72000000000000008</v>
      </c>
      <c r="U9" t="str">
        <f>A9</f>
        <v>Beca Superior</v>
      </c>
      <c r="V9" s="417">
        <f>D9</f>
        <v>0.71990674783059194</v>
      </c>
      <c r="W9" s="417">
        <f>G9</f>
        <v>0.72000000000000008</v>
      </c>
    </row>
    <row r="10" spans="1:23" x14ac:dyDescent="0.3">
      <c r="A10" s="404" t="s">
        <v>758</v>
      </c>
      <c r="B10" s="405">
        <f>SUM(B5:B9)</f>
        <v>581975670</v>
      </c>
      <c r="C10" s="405">
        <f>SUM(C5:C9)</f>
        <v>291895475.02999997</v>
      </c>
      <c r="D10" s="406">
        <f>C10/B10</f>
        <v>0.50155958414893864</v>
      </c>
      <c r="E10" s="407">
        <f>SUM(E5:E9)</f>
        <v>9962520</v>
      </c>
      <c r="F10" s="407">
        <f>SUM(F5:F9)</f>
        <v>5740620.4799999995</v>
      </c>
      <c r="G10" s="406">
        <f>F10/E10</f>
        <v>0.5762217270329193</v>
      </c>
    </row>
    <row r="11" spans="1:23" x14ac:dyDescent="0.3">
      <c r="A11" s="409" t="s">
        <v>774</v>
      </c>
      <c r="B11" s="408"/>
      <c r="C11" s="408"/>
      <c r="D11" s="408"/>
      <c r="E11" s="408"/>
      <c r="F11" s="408"/>
      <c r="G11" s="408"/>
      <c r="H11" s="408"/>
      <c r="I11" s="408"/>
      <c r="J11" s="408"/>
      <c r="K11" s="408"/>
      <c r="L11" s="408"/>
      <c r="M11" s="408"/>
      <c r="N11" s="408"/>
      <c r="O11" s="408"/>
      <c r="P11" s="408"/>
      <c r="Q11" s="408"/>
      <c r="R11" s="408"/>
      <c r="S11" s="408"/>
    </row>
    <row r="12" spans="1:23" x14ac:dyDescent="0.3">
      <c r="A12" s="418" t="s">
        <v>682</v>
      </c>
      <c r="B12" s="419" t="s">
        <v>777</v>
      </c>
    </row>
    <row r="13" spans="1:23" x14ac:dyDescent="0.3">
      <c r="A13" s="418" t="s">
        <v>683</v>
      </c>
      <c r="B13" s="419" t="s">
        <v>777</v>
      </c>
    </row>
    <row r="15" spans="1:23" x14ac:dyDescent="0.3">
      <c r="A15" s="399"/>
      <c r="B15" s="399" t="s">
        <v>761</v>
      </c>
      <c r="C15" s="399"/>
      <c r="D15" s="399"/>
      <c r="E15" s="399"/>
      <c r="F15" s="399"/>
      <c r="G15" s="399"/>
      <c r="H15" s="399"/>
      <c r="I15" s="399"/>
      <c r="J15" s="399"/>
      <c r="K15" s="399"/>
      <c r="L15" s="399"/>
      <c r="M15" s="399"/>
      <c r="N15" s="399"/>
      <c r="O15" s="399"/>
      <c r="P15" s="399"/>
      <c r="Q15" s="399"/>
    </row>
    <row r="16" spans="1:23" ht="28.8" x14ac:dyDescent="0.3">
      <c r="A16" s="399"/>
      <c r="B16" s="399" t="s">
        <v>766</v>
      </c>
      <c r="C16" s="399"/>
      <c r="D16" s="399" t="s">
        <v>767</v>
      </c>
      <c r="E16" s="399"/>
      <c r="F16" s="399" t="s">
        <v>768</v>
      </c>
      <c r="G16" s="399"/>
      <c r="H16" s="399" t="s">
        <v>769</v>
      </c>
      <c r="I16" s="399"/>
      <c r="J16" s="399" t="s">
        <v>770</v>
      </c>
      <c r="K16" s="399"/>
      <c r="L16" s="399" t="s">
        <v>771</v>
      </c>
      <c r="M16" s="399"/>
      <c r="N16" s="399" t="s">
        <v>772</v>
      </c>
      <c r="O16" s="399"/>
      <c r="P16" s="399" t="s">
        <v>763</v>
      </c>
      <c r="Q16" s="399" t="s">
        <v>764</v>
      </c>
    </row>
    <row r="17" spans="1:17" ht="28.8" x14ac:dyDescent="0.3">
      <c r="A17" s="399" t="s">
        <v>759</v>
      </c>
      <c r="B17" s="399" t="s">
        <v>762</v>
      </c>
      <c r="C17" s="399" t="s">
        <v>765</v>
      </c>
      <c r="D17" s="399" t="s">
        <v>762</v>
      </c>
      <c r="E17" s="399" t="s">
        <v>765</v>
      </c>
      <c r="F17" s="399" t="s">
        <v>762</v>
      </c>
      <c r="G17" s="399" t="s">
        <v>765</v>
      </c>
      <c r="H17" s="399" t="s">
        <v>762</v>
      </c>
      <c r="I17" s="399" t="s">
        <v>765</v>
      </c>
      <c r="J17" s="399" t="s">
        <v>762</v>
      </c>
      <c r="K17" s="399" t="s">
        <v>765</v>
      </c>
      <c r="L17" s="399" t="s">
        <v>762</v>
      </c>
      <c r="M17" s="399" t="s">
        <v>765</v>
      </c>
      <c r="N17" s="399" t="s">
        <v>762</v>
      </c>
      <c r="O17" s="399" t="s">
        <v>765</v>
      </c>
      <c r="P17" s="399"/>
      <c r="Q17" s="399"/>
    </row>
    <row r="18" spans="1:17" x14ac:dyDescent="0.3">
      <c r="A18" s="410" t="s">
        <v>628</v>
      </c>
      <c r="B18" s="411">
        <v>0</v>
      </c>
      <c r="C18" s="412">
        <v>4650</v>
      </c>
      <c r="D18" s="411">
        <v>0</v>
      </c>
      <c r="E18" s="412">
        <v>5000</v>
      </c>
      <c r="F18" s="411">
        <v>344536.5</v>
      </c>
      <c r="G18" s="412">
        <v>5500</v>
      </c>
      <c r="H18" s="411">
        <v>196251</v>
      </c>
      <c r="I18" s="412">
        <v>4750</v>
      </c>
      <c r="J18" s="411">
        <v>169489.5</v>
      </c>
      <c r="K18" s="412">
        <v>4989</v>
      </c>
      <c r="L18" s="411">
        <v>178040.06999999995</v>
      </c>
      <c r="M18" s="412">
        <v>5000</v>
      </c>
      <c r="N18" s="411">
        <v>178410.00000000012</v>
      </c>
      <c r="O18" s="412">
        <v>5175</v>
      </c>
      <c r="P18" s="411">
        <v>1066727.07</v>
      </c>
      <c r="Q18" s="412">
        <v>35064</v>
      </c>
    </row>
    <row r="19" spans="1:17" x14ac:dyDescent="0.3">
      <c r="A19" s="413" t="s">
        <v>117</v>
      </c>
      <c r="B19" s="411">
        <v>0</v>
      </c>
      <c r="C19" s="412">
        <v>4650</v>
      </c>
      <c r="D19" s="411">
        <v>0</v>
      </c>
      <c r="E19" s="412">
        <v>5000</v>
      </c>
      <c r="F19" s="411">
        <v>344536.5</v>
      </c>
      <c r="G19" s="412">
        <v>5500</v>
      </c>
      <c r="H19" s="411">
        <v>196251</v>
      </c>
      <c r="I19" s="412">
        <v>4750</v>
      </c>
      <c r="J19" s="411">
        <v>169489.5</v>
      </c>
      <c r="K19" s="412">
        <v>4989</v>
      </c>
      <c r="L19" s="411">
        <v>178040.06999999995</v>
      </c>
      <c r="M19" s="412">
        <v>5000</v>
      </c>
      <c r="N19" s="411">
        <v>178410.00000000012</v>
      </c>
      <c r="O19" s="412">
        <v>5175</v>
      </c>
      <c r="P19" s="411">
        <v>1066727.07</v>
      </c>
      <c r="Q19" s="412">
        <v>35064</v>
      </c>
    </row>
    <row r="20" spans="1:17" x14ac:dyDescent="0.3">
      <c r="A20" s="414" t="s">
        <v>760</v>
      </c>
      <c r="B20" s="415">
        <v>0</v>
      </c>
      <c r="C20" s="416">
        <v>4650</v>
      </c>
      <c r="D20" s="415">
        <v>0</v>
      </c>
      <c r="E20" s="416">
        <v>5000</v>
      </c>
      <c r="F20" s="415">
        <v>344536.5</v>
      </c>
      <c r="G20" s="416">
        <v>5500</v>
      </c>
      <c r="H20" s="415">
        <v>196251</v>
      </c>
      <c r="I20" s="416">
        <v>4750</v>
      </c>
      <c r="J20" s="415">
        <v>169489.5</v>
      </c>
      <c r="K20" s="416">
        <v>4989</v>
      </c>
      <c r="L20" s="415">
        <v>178040.06999999995</v>
      </c>
      <c r="M20" s="416">
        <v>5000</v>
      </c>
      <c r="N20" s="415">
        <v>178410.00000000012</v>
      </c>
      <c r="O20" s="416">
        <v>5175</v>
      </c>
      <c r="P20" s="415">
        <v>1066727.07</v>
      </c>
      <c r="Q20" s="416">
        <v>35064</v>
      </c>
    </row>
  </sheetData>
  <mergeCells count="2">
    <mergeCell ref="A1:N1"/>
    <mergeCell ref="A2:N2"/>
  </mergeCell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0"/>
  <sheetViews>
    <sheetView topLeftCell="C1" zoomScale="102" workbookViewId="0">
      <selection activeCell="O6" sqref="O6"/>
    </sheetView>
  </sheetViews>
  <sheetFormatPr baseColWidth="10" defaultRowHeight="14.4" x14ac:dyDescent="0.3"/>
  <cols>
    <col min="1" max="1" width="2" hidden="1" customWidth="1"/>
    <col min="2" max="2" width="0" hidden="1" customWidth="1"/>
    <col min="3" max="3" width="24.77734375" bestFit="1" customWidth="1"/>
    <col min="4" max="4" width="19.33203125" bestFit="1" customWidth="1"/>
    <col min="5" max="6" width="16.44140625" bestFit="1" customWidth="1"/>
    <col min="7" max="7" width="20.44140625" customWidth="1"/>
    <col min="8" max="8" width="10.33203125" bestFit="1" customWidth="1"/>
    <col min="9" max="9" width="19.44140625" customWidth="1"/>
    <col min="10" max="10" width="23.6640625" customWidth="1"/>
    <col min="13" max="13" width="10" bestFit="1" customWidth="1"/>
    <col min="14" max="14" width="17" bestFit="1" customWidth="1"/>
    <col min="15" max="15" width="16" bestFit="1" customWidth="1"/>
    <col min="16" max="16" width="16.6640625" customWidth="1"/>
  </cols>
  <sheetData>
    <row r="1" spans="1:16" ht="15" thickBot="1" x14ac:dyDescent="0.35"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</row>
    <row r="2" spans="1:16" ht="15" thickBot="1" x14ac:dyDescent="0.35">
      <c r="C2" s="312" t="s">
        <v>610</v>
      </c>
      <c r="D2" s="313"/>
      <c r="E2" s="314" t="s">
        <v>611</v>
      </c>
      <c r="F2" s="315"/>
      <c r="G2" s="315"/>
      <c r="H2" s="316"/>
      <c r="I2" s="317" t="str">
        <f>"EJECUCION DE JULIO GS 2026 DPS"</f>
        <v>EJECUCION DE JULIO GS 2026 DPS</v>
      </c>
      <c r="J2" s="318"/>
      <c r="K2" s="319" t="s">
        <v>612</v>
      </c>
      <c r="L2" s="320"/>
      <c r="M2" s="320"/>
      <c r="N2" s="321" t="s">
        <v>613</v>
      </c>
      <c r="O2" s="322"/>
      <c r="P2" s="323"/>
    </row>
    <row r="3" spans="1:16" ht="43.2" x14ac:dyDescent="0.3">
      <c r="C3" s="183" t="s">
        <v>614</v>
      </c>
      <c r="D3" s="184" t="s">
        <v>615</v>
      </c>
      <c r="E3" s="185" t="s">
        <v>616</v>
      </c>
      <c r="F3" s="186" t="s">
        <v>617</v>
      </c>
      <c r="G3" s="187" t="s">
        <v>618</v>
      </c>
      <c r="H3" s="188" t="s">
        <v>619</v>
      </c>
      <c r="I3" s="189" t="s">
        <v>19</v>
      </c>
      <c r="J3" s="190" t="s">
        <v>620</v>
      </c>
      <c r="K3" s="191" t="s">
        <v>621</v>
      </c>
      <c r="L3" s="192" t="s">
        <v>622</v>
      </c>
      <c r="M3" s="193" t="s">
        <v>623</v>
      </c>
      <c r="N3" s="194" t="s">
        <v>624</v>
      </c>
      <c r="O3" s="195" t="s">
        <v>625</v>
      </c>
      <c r="P3" s="196" t="s">
        <v>626</v>
      </c>
    </row>
    <row r="4" spans="1:16" ht="15.6" x14ac:dyDescent="0.3">
      <c r="A4" t="s">
        <v>637</v>
      </c>
      <c r="B4">
        <v>211</v>
      </c>
      <c r="C4" s="197" t="s">
        <v>627</v>
      </c>
      <c r="D4" s="198" t="s">
        <v>628</v>
      </c>
      <c r="E4" s="199">
        <v>179849180</v>
      </c>
      <c r="F4" s="200">
        <v>318833963</v>
      </c>
      <c r="G4" s="201">
        <v>142286791.03999999</v>
      </c>
      <c r="H4" s="202">
        <f>G4/F4</f>
        <v>0.44627237857969349</v>
      </c>
      <c r="I4" s="203">
        <v>1066904</v>
      </c>
      <c r="J4" s="204">
        <v>25682208.969999999</v>
      </c>
      <c r="K4" s="205">
        <v>9219150</v>
      </c>
      <c r="L4" s="206">
        <v>5289587</v>
      </c>
      <c r="M4" s="207">
        <f>L4/K4</f>
        <v>0.57376081309014393</v>
      </c>
      <c r="N4" s="208">
        <v>284581992</v>
      </c>
      <c r="O4" s="209">
        <v>129161301.38</v>
      </c>
      <c r="P4" s="210">
        <f>O4/N4</f>
        <v>0.45386322750878766</v>
      </c>
    </row>
    <row r="5" spans="1:16" ht="15.6" x14ac:dyDescent="0.3">
      <c r="A5" t="s">
        <v>637</v>
      </c>
      <c r="B5">
        <v>419</v>
      </c>
      <c r="C5" s="197" t="s">
        <v>629</v>
      </c>
      <c r="D5" s="198" t="s">
        <v>630</v>
      </c>
      <c r="E5" s="199">
        <v>117541070</v>
      </c>
      <c r="F5" s="200">
        <v>238384670</v>
      </c>
      <c r="G5" s="201">
        <v>143718023.13</v>
      </c>
      <c r="H5" s="202">
        <f>G5/F5</f>
        <v>0.60288282434436746</v>
      </c>
      <c r="I5" s="203">
        <v>55000</v>
      </c>
      <c r="J5" s="211">
        <v>17875000</v>
      </c>
      <c r="K5" s="212">
        <v>658461</v>
      </c>
      <c r="L5" s="206">
        <v>411674</v>
      </c>
      <c r="M5" s="213">
        <f>L5/K5</f>
        <v>0.6252063523883723</v>
      </c>
      <c r="N5" s="200">
        <v>214000000</v>
      </c>
      <c r="O5" s="209">
        <v>133794050</v>
      </c>
      <c r="P5" s="210">
        <f>O5/N5</f>
        <v>0.62520584112149535</v>
      </c>
    </row>
    <row r="6" spans="1:16" ht="15.6" x14ac:dyDescent="0.3">
      <c r="C6" s="197" t="s">
        <v>631</v>
      </c>
      <c r="D6" s="198" t="s">
        <v>632</v>
      </c>
      <c r="E6" s="199">
        <v>23753024</v>
      </c>
      <c r="F6" s="200">
        <v>64869524</v>
      </c>
      <c r="G6" s="201">
        <v>14430923.65</v>
      </c>
      <c r="H6" s="202">
        <f>G6/F6</f>
        <v>0.22246076061849937</v>
      </c>
      <c r="I6" s="203">
        <v>4779</v>
      </c>
      <c r="J6" s="204">
        <v>4236525.63</v>
      </c>
      <c r="K6" s="205">
        <v>77500</v>
      </c>
      <c r="L6" s="214">
        <v>33556</v>
      </c>
      <c r="M6" s="213">
        <f t="shared" ref="M6:M7" si="0">L6/K6</f>
        <v>0.43298064516129031</v>
      </c>
      <c r="N6" s="200">
        <v>64869524</v>
      </c>
      <c r="O6" s="209">
        <v>14430923.65</v>
      </c>
      <c r="P6" s="210">
        <f>O6/N6</f>
        <v>0.22246076061849937</v>
      </c>
    </row>
    <row r="7" spans="1:16" ht="15.6" x14ac:dyDescent="0.3">
      <c r="A7" t="s">
        <v>637</v>
      </c>
      <c r="B7">
        <v>416</v>
      </c>
      <c r="C7" s="215" t="s">
        <v>633</v>
      </c>
      <c r="D7" s="198" t="s">
        <v>634</v>
      </c>
      <c r="E7" s="199">
        <v>15013686</v>
      </c>
      <c r="F7" s="200">
        <v>15543440</v>
      </c>
      <c r="G7" s="201">
        <v>12077709.75</v>
      </c>
      <c r="H7" s="202">
        <f>G7/F7</f>
        <v>0.77702939310731733</v>
      </c>
      <c r="I7" s="203">
        <v>0</v>
      </c>
      <c r="J7" s="216">
        <v>0</v>
      </c>
      <c r="K7" s="205">
        <v>5865</v>
      </c>
      <c r="L7" s="214">
        <v>4691.800000000002</v>
      </c>
      <c r="M7" s="213">
        <f t="shared" si="0"/>
        <v>0.79996589940323992</v>
      </c>
      <c r="N7" s="200">
        <v>14663654</v>
      </c>
      <c r="O7" s="216">
        <v>11730000</v>
      </c>
      <c r="P7" s="210">
        <f>O7/N7</f>
        <v>0.79993704161322954</v>
      </c>
    </row>
    <row r="8" spans="1:16" ht="16.2" thickBot="1" x14ac:dyDescent="0.35">
      <c r="A8" t="s">
        <v>637</v>
      </c>
      <c r="B8">
        <v>416</v>
      </c>
      <c r="C8" s="217" t="s">
        <v>635</v>
      </c>
      <c r="D8" s="218" t="s">
        <v>636</v>
      </c>
      <c r="E8" s="219">
        <v>4787338</v>
      </c>
      <c r="F8" s="220">
        <v>5309438</v>
      </c>
      <c r="G8" s="221">
        <v>3457197.28</v>
      </c>
      <c r="H8" s="202">
        <f>G8/F8</f>
        <v>0.65114184966469135</v>
      </c>
      <c r="I8" s="222">
        <v>0</v>
      </c>
      <c r="J8" s="223">
        <v>0</v>
      </c>
      <c r="K8" s="224">
        <v>1544</v>
      </c>
      <c r="L8" s="225">
        <v>1111.68</v>
      </c>
      <c r="M8" s="226">
        <f>L8/K8</f>
        <v>0.72000000000000008</v>
      </c>
      <c r="N8" s="220">
        <v>3860500</v>
      </c>
      <c r="O8" s="227">
        <v>2779200</v>
      </c>
      <c r="P8" s="228">
        <f>O8/N8</f>
        <v>0.71990674783059194</v>
      </c>
    </row>
    <row r="9" spans="1:16" x14ac:dyDescent="0.3">
      <c r="E9" s="229"/>
      <c r="F9" s="229"/>
      <c r="G9" s="229"/>
      <c r="H9" s="229"/>
      <c r="I9" s="229"/>
      <c r="J9" s="229"/>
      <c r="K9" s="229"/>
      <c r="L9" s="229"/>
      <c r="M9" s="229"/>
      <c r="N9" s="229"/>
      <c r="O9" s="229"/>
    </row>
    <row r="10" spans="1:16" x14ac:dyDescent="0.3"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</row>
  </sheetData>
  <mergeCells count="5">
    <mergeCell ref="C2:D2"/>
    <mergeCell ref="E2:H2"/>
    <mergeCell ref="I2:J2"/>
    <mergeCell ref="K2:M2"/>
    <mergeCell ref="N2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46"/>
  <sheetViews>
    <sheetView topLeftCell="H2" workbookViewId="0">
      <selection activeCell="AR343" sqref="AR343"/>
    </sheetView>
  </sheetViews>
  <sheetFormatPr baseColWidth="10" defaultRowHeight="14.4" x14ac:dyDescent="0.3"/>
  <cols>
    <col min="1" max="1" width="4.44140625" bestFit="1" customWidth="1"/>
    <col min="2" max="2" width="17.109375" bestFit="1" customWidth="1"/>
    <col min="3" max="3" width="32.44140625" bestFit="1" customWidth="1"/>
    <col min="4" max="5" width="12" customWidth="1"/>
    <col min="6" max="6" width="14.109375" style="39" customWidth="1"/>
    <col min="7" max="7" width="10.44140625" customWidth="1"/>
    <col min="8" max="8" width="16.109375" style="39" customWidth="1"/>
    <col min="9" max="9" width="13.44140625" customWidth="1"/>
    <col min="10" max="12" width="11.44140625" customWidth="1"/>
    <col min="13" max="13" width="11.44140625" style="1" customWidth="1"/>
    <col min="14" max="14" width="15" style="1" customWidth="1"/>
    <col min="15" max="15" width="11.44140625" style="1" customWidth="1"/>
    <col min="16" max="16" width="11.44140625" style="2" customWidth="1"/>
    <col min="17" max="17" width="16" style="2" customWidth="1"/>
    <col min="18" max="18" width="11.44140625" style="2" customWidth="1"/>
    <col min="19" max="21" width="11.44140625" customWidth="1"/>
    <col min="22" max="22" width="11.44140625" style="2" customWidth="1"/>
    <col min="23" max="23" width="15.77734375" style="2" customWidth="1"/>
    <col min="24" max="24" width="11.44140625" style="2" customWidth="1"/>
    <col min="25" max="28" width="11.44140625" customWidth="1"/>
    <col min="29" max="29" width="13.109375" customWidth="1"/>
    <col min="30" max="31" width="11.44140625" customWidth="1"/>
    <col min="32" max="32" width="12" customWidth="1"/>
    <col min="33" max="34" width="11.44140625" customWidth="1"/>
    <col min="35" max="35" width="13.109375" customWidth="1"/>
    <col min="36" max="37" width="11.44140625" customWidth="1"/>
    <col min="38" max="38" width="12" customWidth="1"/>
    <col min="39" max="42" width="11.44140625" customWidth="1"/>
    <col min="43" max="43" width="11.44140625" style="2" bestFit="1" customWidth="1"/>
    <col min="44" max="44" width="15.44140625" style="2" bestFit="1" customWidth="1"/>
    <col min="45" max="45" width="11.44140625" style="2" bestFit="1" customWidth="1"/>
  </cols>
  <sheetData>
    <row r="1" spans="1:45" ht="18.600000000000001" thickBot="1" x14ac:dyDescent="0.35">
      <c r="A1" s="343" t="s">
        <v>0</v>
      </c>
      <c r="B1" s="343"/>
      <c r="C1" s="343"/>
      <c r="D1" s="343"/>
      <c r="E1" s="343"/>
      <c r="F1" s="343"/>
      <c r="G1" s="343"/>
      <c r="H1" s="343"/>
    </row>
    <row r="2" spans="1:45" ht="15.6" x14ac:dyDescent="0.3">
      <c r="A2" s="337" t="s">
        <v>1</v>
      </c>
      <c r="B2" s="338" t="s">
        <v>2</v>
      </c>
      <c r="C2" s="338" t="s">
        <v>3</v>
      </c>
      <c r="D2" s="346" t="s">
        <v>4</v>
      </c>
      <c r="E2" s="338" t="s">
        <v>5</v>
      </c>
      <c r="F2" s="338"/>
      <c r="G2" s="329" t="s">
        <v>6</v>
      </c>
      <c r="H2" s="330"/>
      <c r="I2" s="331"/>
      <c r="J2" s="329" t="s">
        <v>7</v>
      </c>
      <c r="K2" s="330"/>
      <c r="L2" s="331"/>
      <c r="M2" s="332" t="s">
        <v>8</v>
      </c>
      <c r="N2" s="333"/>
      <c r="O2" s="334"/>
      <c r="P2" s="335" t="s">
        <v>9</v>
      </c>
      <c r="Q2" s="336"/>
      <c r="R2" s="336"/>
      <c r="S2" s="337" t="s">
        <v>10</v>
      </c>
      <c r="T2" s="338"/>
      <c r="U2" s="339"/>
      <c r="V2" s="335" t="s">
        <v>11</v>
      </c>
      <c r="W2" s="336"/>
      <c r="X2" s="340"/>
      <c r="Y2" s="341" t="s">
        <v>12</v>
      </c>
      <c r="Z2" s="330"/>
      <c r="AA2" s="342"/>
      <c r="AB2" s="341" t="s">
        <v>13</v>
      </c>
      <c r="AC2" s="330"/>
      <c r="AD2" s="342"/>
      <c r="AE2" s="341" t="s">
        <v>14</v>
      </c>
      <c r="AF2" s="330"/>
      <c r="AG2" s="342"/>
      <c r="AH2" s="341" t="s">
        <v>15</v>
      </c>
      <c r="AI2" s="330"/>
      <c r="AJ2" s="342"/>
      <c r="AK2" s="341" t="s">
        <v>16</v>
      </c>
      <c r="AL2" s="330"/>
      <c r="AM2" s="342"/>
      <c r="AN2" s="341" t="s">
        <v>17</v>
      </c>
      <c r="AO2" s="330"/>
      <c r="AP2" s="342"/>
      <c r="AQ2" s="327" t="s">
        <v>18</v>
      </c>
      <c r="AR2" s="328"/>
      <c r="AS2" s="328"/>
    </row>
    <row r="3" spans="1:45" ht="15.6" x14ac:dyDescent="0.3">
      <c r="A3" s="344"/>
      <c r="B3" s="345"/>
      <c r="C3" s="345"/>
      <c r="D3" s="347"/>
      <c r="E3" s="3" t="s">
        <v>19</v>
      </c>
      <c r="F3" s="4" t="s">
        <v>20</v>
      </c>
      <c r="G3" s="5" t="s">
        <v>19</v>
      </c>
      <c r="H3" s="4" t="s">
        <v>20</v>
      </c>
      <c r="I3" s="6" t="s">
        <v>21</v>
      </c>
      <c r="J3" s="5" t="s">
        <v>19</v>
      </c>
      <c r="K3" s="4" t="s">
        <v>20</v>
      </c>
      <c r="L3" s="6" t="s">
        <v>21</v>
      </c>
      <c r="M3" s="7" t="s">
        <v>19</v>
      </c>
      <c r="N3" s="8" t="s">
        <v>20</v>
      </c>
      <c r="O3" s="9" t="s">
        <v>21</v>
      </c>
      <c r="P3" s="10" t="s">
        <v>19</v>
      </c>
      <c r="Q3" s="11" t="s">
        <v>20</v>
      </c>
      <c r="R3" s="12" t="s">
        <v>22</v>
      </c>
      <c r="S3" s="5" t="s">
        <v>19</v>
      </c>
      <c r="T3" s="4" t="s">
        <v>20</v>
      </c>
      <c r="U3" s="13" t="s">
        <v>22</v>
      </c>
      <c r="V3" s="14" t="s">
        <v>19</v>
      </c>
      <c r="W3" s="11" t="s">
        <v>20</v>
      </c>
      <c r="X3" s="15" t="s">
        <v>22</v>
      </c>
      <c r="Y3" s="16" t="s">
        <v>19</v>
      </c>
      <c r="Z3" s="13" t="s">
        <v>20</v>
      </c>
      <c r="AA3" s="17" t="s">
        <v>22</v>
      </c>
      <c r="AB3" s="3" t="s">
        <v>19</v>
      </c>
      <c r="AC3" s="13" t="s">
        <v>20</v>
      </c>
      <c r="AD3" s="17" t="s">
        <v>22</v>
      </c>
      <c r="AE3" s="3" t="s">
        <v>19</v>
      </c>
      <c r="AF3" s="13" t="s">
        <v>20</v>
      </c>
      <c r="AG3" s="17" t="s">
        <v>22</v>
      </c>
      <c r="AH3" s="3" t="s">
        <v>19</v>
      </c>
      <c r="AI3" s="13" t="s">
        <v>20</v>
      </c>
      <c r="AJ3" s="17" t="s">
        <v>22</v>
      </c>
      <c r="AK3" s="3" t="s">
        <v>19</v>
      </c>
      <c r="AL3" s="13" t="s">
        <v>20</v>
      </c>
      <c r="AM3" s="17" t="s">
        <v>22</v>
      </c>
      <c r="AN3" s="3" t="s">
        <v>19</v>
      </c>
      <c r="AO3" s="13" t="s">
        <v>20</v>
      </c>
      <c r="AP3" s="18" t="s">
        <v>22</v>
      </c>
      <c r="AQ3" s="10" t="s">
        <v>19</v>
      </c>
      <c r="AR3" s="11" t="s">
        <v>20</v>
      </c>
      <c r="AS3" s="12" t="s">
        <v>22</v>
      </c>
    </row>
    <row r="4" spans="1:45" ht="15.6" x14ac:dyDescent="0.3">
      <c r="A4" s="19">
        <v>1</v>
      </c>
      <c r="B4" s="20" t="s">
        <v>23</v>
      </c>
      <c r="C4" s="21" t="s">
        <v>24</v>
      </c>
      <c r="D4" s="324" t="s">
        <v>25</v>
      </c>
      <c r="E4" s="22">
        <v>20.400000000000006</v>
      </c>
      <c r="F4" s="23">
        <f>E4*2500</f>
        <v>51000.000000000015</v>
      </c>
      <c r="G4" s="19">
        <v>0</v>
      </c>
      <c r="H4" s="23">
        <v>0</v>
      </c>
      <c r="I4" s="24">
        <v>0</v>
      </c>
      <c r="J4" s="19">
        <v>0</v>
      </c>
      <c r="K4" s="23">
        <v>0</v>
      </c>
      <c r="L4" s="24">
        <v>0</v>
      </c>
      <c r="M4" s="25">
        <v>5.6</v>
      </c>
      <c r="N4" s="26">
        <v>14000</v>
      </c>
      <c r="O4" s="27">
        <v>14</v>
      </c>
      <c r="P4" s="28">
        <f>Q4/2500</f>
        <v>4.8</v>
      </c>
      <c r="Q4" s="29">
        <f>R4*1000</f>
        <v>12000</v>
      </c>
      <c r="R4" s="30">
        <v>12</v>
      </c>
      <c r="S4" s="19">
        <v>0</v>
      </c>
      <c r="T4" s="23">
        <v>0</v>
      </c>
      <c r="U4" s="24">
        <v>0</v>
      </c>
      <c r="V4" s="31">
        <f>W4/2500</f>
        <v>10.4</v>
      </c>
      <c r="W4" s="32">
        <v>26000</v>
      </c>
      <c r="X4" s="30">
        <v>26</v>
      </c>
      <c r="Y4" s="19">
        <v>0</v>
      </c>
      <c r="Z4" s="23">
        <v>0</v>
      </c>
      <c r="AA4" s="24">
        <v>0</v>
      </c>
      <c r="AB4" s="33">
        <v>0</v>
      </c>
      <c r="AC4" s="34">
        <v>0</v>
      </c>
      <c r="AD4" s="35">
        <v>0</v>
      </c>
      <c r="AE4" s="36">
        <v>0</v>
      </c>
      <c r="AF4" s="23">
        <v>0</v>
      </c>
      <c r="AG4" s="24">
        <v>0</v>
      </c>
      <c r="AH4" s="33">
        <v>0</v>
      </c>
      <c r="AI4" s="37">
        <v>0</v>
      </c>
      <c r="AJ4" s="35">
        <v>0</v>
      </c>
      <c r="AK4" s="36">
        <v>0</v>
      </c>
      <c r="AL4" s="38">
        <v>0</v>
      </c>
      <c r="AM4" s="35">
        <v>0</v>
      </c>
      <c r="AN4" s="19">
        <v>0</v>
      </c>
      <c r="AO4" s="23">
        <v>0</v>
      </c>
      <c r="AP4" s="24">
        <v>0</v>
      </c>
      <c r="AQ4" s="31">
        <f>G4+J4+M4+P4+S4+V4+Y4+AB4+AE4+AH4+AK4+AN4</f>
        <v>20.799999999999997</v>
      </c>
      <c r="AR4" s="32">
        <f>H4+K4+N4+Q4+T4+W4+Z4+AC4+AF4+AI4+AL4+AO4</f>
        <v>52000</v>
      </c>
      <c r="AS4" s="30">
        <v>27</v>
      </c>
    </row>
    <row r="5" spans="1:45" ht="15.6" x14ac:dyDescent="0.3">
      <c r="A5" s="19">
        <v>2</v>
      </c>
      <c r="B5" s="20" t="s">
        <v>23</v>
      </c>
      <c r="C5" s="21" t="s">
        <v>26</v>
      </c>
      <c r="D5" s="324"/>
      <c r="E5" s="22">
        <v>37.600000000000009</v>
      </c>
      <c r="F5" s="23">
        <f t="shared" ref="F5:F68" si="0">E5*2500</f>
        <v>94000.000000000015</v>
      </c>
      <c r="G5" s="19">
        <v>0</v>
      </c>
      <c r="H5" s="23">
        <v>0</v>
      </c>
      <c r="I5" s="24">
        <v>0</v>
      </c>
      <c r="J5" s="19">
        <v>0</v>
      </c>
      <c r="K5" s="23">
        <v>0</v>
      </c>
      <c r="L5" s="24">
        <v>0</v>
      </c>
      <c r="M5" s="25">
        <v>6</v>
      </c>
      <c r="N5" s="26">
        <v>15000</v>
      </c>
      <c r="O5" s="27">
        <v>15</v>
      </c>
      <c r="P5" s="28">
        <f t="shared" ref="P5:P68" si="1">Q5/2500</f>
        <v>6.8</v>
      </c>
      <c r="Q5" s="29">
        <f t="shared" ref="Q5:Q68" si="2">R5*1000</f>
        <v>17000</v>
      </c>
      <c r="R5" s="30">
        <v>17</v>
      </c>
      <c r="S5" s="19">
        <v>0</v>
      </c>
      <c r="T5" s="23">
        <v>0</v>
      </c>
      <c r="U5" s="24">
        <v>0</v>
      </c>
      <c r="V5" s="31">
        <f t="shared" ref="V5:V68" si="3">W5/2500</f>
        <v>12.8</v>
      </c>
      <c r="W5" s="32">
        <v>32000</v>
      </c>
      <c r="X5" s="30">
        <v>32</v>
      </c>
      <c r="Y5" s="19">
        <v>0</v>
      </c>
      <c r="Z5" s="23">
        <v>0</v>
      </c>
      <c r="AA5" s="24">
        <v>0</v>
      </c>
      <c r="AB5" s="33">
        <v>0</v>
      </c>
      <c r="AC5" s="34">
        <v>0</v>
      </c>
      <c r="AD5" s="35">
        <v>0</v>
      </c>
      <c r="AE5" s="36">
        <v>0</v>
      </c>
      <c r="AF5" s="23">
        <v>0</v>
      </c>
      <c r="AG5" s="24">
        <v>0</v>
      </c>
      <c r="AH5" s="33">
        <v>0</v>
      </c>
      <c r="AI5" s="37">
        <v>0</v>
      </c>
      <c r="AJ5" s="35">
        <v>0</v>
      </c>
      <c r="AK5" s="36">
        <v>0</v>
      </c>
      <c r="AL5" s="38">
        <v>0</v>
      </c>
      <c r="AM5" s="35">
        <v>0</v>
      </c>
      <c r="AN5" s="19">
        <v>0</v>
      </c>
      <c r="AO5" s="23">
        <v>0</v>
      </c>
      <c r="AP5" s="24">
        <v>0</v>
      </c>
      <c r="AQ5" s="31">
        <f t="shared" ref="AQ5:AR68" si="4">G5+J5+M5+P5+S5+V5+Y5+AB5+AE5+AH5+AK5+AN5</f>
        <v>25.6</v>
      </c>
      <c r="AR5" s="32">
        <f t="shared" si="4"/>
        <v>64000</v>
      </c>
      <c r="AS5" s="30">
        <v>32</v>
      </c>
    </row>
    <row r="6" spans="1:45" ht="15.6" x14ac:dyDescent="0.3">
      <c r="A6" s="19">
        <v>3</v>
      </c>
      <c r="B6" s="20" t="s">
        <v>23</v>
      </c>
      <c r="C6" s="21" t="s">
        <v>27</v>
      </c>
      <c r="D6" s="324"/>
      <c r="E6" s="22">
        <v>29.4</v>
      </c>
      <c r="F6" s="23">
        <f t="shared" si="0"/>
        <v>73500</v>
      </c>
      <c r="G6" s="19">
        <v>0</v>
      </c>
      <c r="H6" s="23">
        <v>0</v>
      </c>
      <c r="I6" s="24">
        <v>0</v>
      </c>
      <c r="J6" s="19">
        <v>0</v>
      </c>
      <c r="K6" s="23">
        <v>0</v>
      </c>
      <c r="L6" s="24">
        <v>0</v>
      </c>
      <c r="M6" s="25">
        <v>6.8</v>
      </c>
      <c r="N6" s="26">
        <v>17000</v>
      </c>
      <c r="O6" s="27">
        <v>17</v>
      </c>
      <c r="P6" s="28">
        <f t="shared" si="1"/>
        <v>2.8</v>
      </c>
      <c r="Q6" s="29">
        <f t="shared" si="2"/>
        <v>7000</v>
      </c>
      <c r="R6" s="30">
        <v>7</v>
      </c>
      <c r="S6" s="19">
        <v>0</v>
      </c>
      <c r="T6" s="23">
        <v>0</v>
      </c>
      <c r="U6" s="24">
        <v>0</v>
      </c>
      <c r="V6" s="31">
        <f t="shared" si="3"/>
        <v>9.1999999999999993</v>
      </c>
      <c r="W6" s="32">
        <v>23000</v>
      </c>
      <c r="X6" s="30">
        <v>23</v>
      </c>
      <c r="Y6" s="19">
        <v>0</v>
      </c>
      <c r="Z6" s="23">
        <v>0</v>
      </c>
      <c r="AA6" s="24">
        <v>0</v>
      </c>
      <c r="AB6" s="33">
        <v>0</v>
      </c>
      <c r="AC6" s="34">
        <v>0</v>
      </c>
      <c r="AD6" s="35">
        <v>0</v>
      </c>
      <c r="AE6" s="36">
        <v>0</v>
      </c>
      <c r="AF6" s="23">
        <v>0</v>
      </c>
      <c r="AG6" s="24">
        <v>0</v>
      </c>
      <c r="AH6" s="33">
        <v>0</v>
      </c>
      <c r="AI6" s="37">
        <v>0</v>
      </c>
      <c r="AJ6" s="35">
        <v>0</v>
      </c>
      <c r="AK6" s="36">
        <v>0</v>
      </c>
      <c r="AL6" s="38">
        <v>0</v>
      </c>
      <c r="AM6" s="35">
        <v>0</v>
      </c>
      <c r="AN6" s="19">
        <v>0</v>
      </c>
      <c r="AO6" s="23">
        <v>0</v>
      </c>
      <c r="AP6" s="24">
        <v>0</v>
      </c>
      <c r="AQ6" s="31">
        <f t="shared" si="4"/>
        <v>18.799999999999997</v>
      </c>
      <c r="AR6" s="32">
        <f t="shared" si="4"/>
        <v>47000</v>
      </c>
      <c r="AS6" s="30">
        <v>25</v>
      </c>
    </row>
    <row r="7" spans="1:45" ht="15.6" x14ac:dyDescent="0.3">
      <c r="A7" s="19">
        <v>4</v>
      </c>
      <c r="B7" s="20" t="s">
        <v>23</v>
      </c>
      <c r="C7" s="21" t="s">
        <v>28</v>
      </c>
      <c r="D7" s="324"/>
      <c r="E7" s="22">
        <v>24.799999999999997</v>
      </c>
      <c r="F7" s="23">
        <f t="shared" si="0"/>
        <v>61999.999999999993</v>
      </c>
      <c r="G7" s="19">
        <v>0</v>
      </c>
      <c r="H7" s="23">
        <v>0</v>
      </c>
      <c r="I7" s="24">
        <v>0</v>
      </c>
      <c r="J7" s="19">
        <v>0</v>
      </c>
      <c r="K7" s="23">
        <v>0</v>
      </c>
      <c r="L7" s="24">
        <v>0</v>
      </c>
      <c r="M7" s="25">
        <v>6</v>
      </c>
      <c r="N7" s="26">
        <v>15000</v>
      </c>
      <c r="O7" s="27">
        <v>15</v>
      </c>
      <c r="P7" s="28">
        <f t="shared" si="1"/>
        <v>3.2</v>
      </c>
      <c r="Q7" s="29">
        <f t="shared" si="2"/>
        <v>8000</v>
      </c>
      <c r="R7" s="30">
        <v>8</v>
      </c>
      <c r="S7" s="19">
        <v>0</v>
      </c>
      <c r="T7" s="23">
        <v>0</v>
      </c>
      <c r="U7" s="24">
        <v>0</v>
      </c>
      <c r="V7" s="31">
        <f t="shared" si="3"/>
        <v>8.8000000000000007</v>
      </c>
      <c r="W7" s="32">
        <v>22000</v>
      </c>
      <c r="X7" s="30">
        <v>22</v>
      </c>
      <c r="Y7" s="19">
        <v>0</v>
      </c>
      <c r="Z7" s="23">
        <v>0</v>
      </c>
      <c r="AA7" s="24">
        <v>0</v>
      </c>
      <c r="AB7" s="33">
        <v>0</v>
      </c>
      <c r="AC7" s="34">
        <v>0</v>
      </c>
      <c r="AD7" s="35">
        <v>0</v>
      </c>
      <c r="AE7" s="36">
        <v>0</v>
      </c>
      <c r="AF7" s="23">
        <v>0</v>
      </c>
      <c r="AG7" s="24">
        <v>0</v>
      </c>
      <c r="AH7" s="33">
        <v>0</v>
      </c>
      <c r="AI7" s="37">
        <v>0</v>
      </c>
      <c r="AJ7" s="35">
        <v>0</v>
      </c>
      <c r="AK7" s="36">
        <v>0</v>
      </c>
      <c r="AL7" s="38">
        <v>0</v>
      </c>
      <c r="AM7" s="35">
        <v>0</v>
      </c>
      <c r="AN7" s="19">
        <v>0</v>
      </c>
      <c r="AO7" s="23">
        <v>0</v>
      </c>
      <c r="AP7" s="24">
        <v>0</v>
      </c>
      <c r="AQ7" s="31">
        <f t="shared" si="4"/>
        <v>18</v>
      </c>
      <c r="AR7" s="32">
        <f t="shared" si="4"/>
        <v>45000</v>
      </c>
      <c r="AS7" s="30">
        <v>23</v>
      </c>
    </row>
    <row r="8" spans="1:45" ht="15.6" x14ac:dyDescent="0.3">
      <c r="A8" s="19">
        <v>5</v>
      </c>
      <c r="B8" s="20" t="s">
        <v>23</v>
      </c>
      <c r="C8" s="21" t="s">
        <v>29</v>
      </c>
      <c r="D8" s="324"/>
      <c r="E8" s="22">
        <v>11.8</v>
      </c>
      <c r="F8" s="23">
        <f t="shared" si="0"/>
        <v>29500</v>
      </c>
      <c r="G8" s="19">
        <v>0</v>
      </c>
      <c r="H8" s="23">
        <v>0</v>
      </c>
      <c r="I8" s="24">
        <v>0</v>
      </c>
      <c r="J8" s="19">
        <v>0</v>
      </c>
      <c r="K8" s="23">
        <v>0</v>
      </c>
      <c r="L8" s="24">
        <v>0</v>
      </c>
      <c r="M8" s="25">
        <v>1.6</v>
      </c>
      <c r="N8" s="26">
        <v>4000</v>
      </c>
      <c r="O8" s="27">
        <v>4</v>
      </c>
      <c r="P8" s="28">
        <f t="shared" si="1"/>
        <v>2.4</v>
      </c>
      <c r="Q8" s="29">
        <f t="shared" si="2"/>
        <v>6000</v>
      </c>
      <c r="R8" s="30">
        <v>6</v>
      </c>
      <c r="S8" s="19">
        <v>0</v>
      </c>
      <c r="T8" s="23">
        <v>0</v>
      </c>
      <c r="U8" s="24">
        <v>0</v>
      </c>
      <c r="V8" s="31">
        <f t="shared" si="3"/>
        <v>4</v>
      </c>
      <c r="W8" s="32">
        <v>10000</v>
      </c>
      <c r="X8" s="30">
        <v>10</v>
      </c>
      <c r="Y8" s="19">
        <v>0</v>
      </c>
      <c r="Z8" s="23">
        <v>0</v>
      </c>
      <c r="AA8" s="24">
        <v>0</v>
      </c>
      <c r="AB8" s="33">
        <v>0</v>
      </c>
      <c r="AC8" s="34">
        <v>0</v>
      </c>
      <c r="AD8" s="35">
        <v>0</v>
      </c>
      <c r="AE8" s="36">
        <v>0</v>
      </c>
      <c r="AF8" s="23">
        <v>0</v>
      </c>
      <c r="AG8" s="24">
        <v>0</v>
      </c>
      <c r="AH8" s="33">
        <v>0</v>
      </c>
      <c r="AI8" s="37">
        <v>0</v>
      </c>
      <c r="AJ8" s="35">
        <v>0</v>
      </c>
      <c r="AK8" s="36">
        <v>0</v>
      </c>
      <c r="AL8" s="38">
        <v>0</v>
      </c>
      <c r="AM8" s="35">
        <v>0</v>
      </c>
      <c r="AN8" s="19">
        <v>0</v>
      </c>
      <c r="AO8" s="23">
        <v>0</v>
      </c>
      <c r="AP8" s="24">
        <v>0</v>
      </c>
      <c r="AQ8" s="31">
        <f t="shared" si="4"/>
        <v>8</v>
      </c>
      <c r="AR8" s="32">
        <f t="shared" si="4"/>
        <v>20000</v>
      </c>
      <c r="AS8" s="30">
        <v>10</v>
      </c>
    </row>
    <row r="9" spans="1:45" ht="15.6" x14ac:dyDescent="0.3">
      <c r="A9" s="19">
        <v>6</v>
      </c>
      <c r="B9" s="20" t="s">
        <v>23</v>
      </c>
      <c r="C9" s="21" t="s">
        <v>30</v>
      </c>
      <c r="D9" s="324"/>
      <c r="E9" s="22">
        <v>18</v>
      </c>
      <c r="F9" s="23">
        <f t="shared" si="0"/>
        <v>45000</v>
      </c>
      <c r="G9" s="19">
        <v>0</v>
      </c>
      <c r="H9" s="23">
        <v>0</v>
      </c>
      <c r="I9" s="24">
        <v>0</v>
      </c>
      <c r="J9" s="19">
        <v>0</v>
      </c>
      <c r="K9" s="23">
        <v>0</v>
      </c>
      <c r="L9" s="24">
        <v>0</v>
      </c>
      <c r="M9" s="25">
        <v>2.4</v>
      </c>
      <c r="N9" s="26">
        <v>6000</v>
      </c>
      <c r="O9" s="27">
        <v>6</v>
      </c>
      <c r="P9" s="28">
        <f t="shared" si="1"/>
        <v>7.6</v>
      </c>
      <c r="Q9" s="29">
        <f t="shared" si="2"/>
        <v>19000</v>
      </c>
      <c r="R9" s="30">
        <v>19</v>
      </c>
      <c r="S9" s="19">
        <v>0</v>
      </c>
      <c r="T9" s="23">
        <v>0</v>
      </c>
      <c r="U9" s="24">
        <v>0</v>
      </c>
      <c r="V9" s="31">
        <f t="shared" si="3"/>
        <v>9.6</v>
      </c>
      <c r="W9" s="32">
        <v>24000</v>
      </c>
      <c r="X9" s="30">
        <v>24</v>
      </c>
      <c r="Y9" s="19">
        <v>0</v>
      </c>
      <c r="Z9" s="23">
        <v>0</v>
      </c>
      <c r="AA9" s="24">
        <v>0</v>
      </c>
      <c r="AB9" s="33">
        <v>0</v>
      </c>
      <c r="AC9" s="34">
        <v>0</v>
      </c>
      <c r="AD9" s="35">
        <v>0</v>
      </c>
      <c r="AE9" s="36">
        <v>0</v>
      </c>
      <c r="AF9" s="23">
        <v>0</v>
      </c>
      <c r="AG9" s="24">
        <v>0</v>
      </c>
      <c r="AH9" s="33">
        <v>0</v>
      </c>
      <c r="AI9" s="37">
        <v>0</v>
      </c>
      <c r="AJ9" s="35">
        <v>0</v>
      </c>
      <c r="AK9" s="36">
        <v>0</v>
      </c>
      <c r="AL9" s="38">
        <v>0</v>
      </c>
      <c r="AM9" s="35">
        <v>0</v>
      </c>
      <c r="AN9" s="19">
        <v>0</v>
      </c>
      <c r="AO9" s="23">
        <v>0</v>
      </c>
      <c r="AP9" s="24">
        <v>0</v>
      </c>
      <c r="AQ9" s="31">
        <f t="shared" si="4"/>
        <v>19.600000000000001</v>
      </c>
      <c r="AR9" s="32">
        <f t="shared" si="4"/>
        <v>49000</v>
      </c>
      <c r="AS9" s="30">
        <v>25</v>
      </c>
    </row>
    <row r="10" spans="1:45" ht="15.6" x14ac:dyDescent="0.3">
      <c r="A10" s="19">
        <v>7</v>
      </c>
      <c r="B10" s="20" t="s">
        <v>23</v>
      </c>
      <c r="C10" s="21" t="s">
        <v>31</v>
      </c>
      <c r="D10" s="324"/>
      <c r="E10" s="22">
        <v>27.000000000000004</v>
      </c>
      <c r="F10" s="23">
        <f t="shared" si="0"/>
        <v>67500.000000000015</v>
      </c>
      <c r="G10" s="19">
        <v>0</v>
      </c>
      <c r="H10" s="23">
        <v>0</v>
      </c>
      <c r="I10" s="24">
        <v>0</v>
      </c>
      <c r="J10" s="19">
        <v>0</v>
      </c>
      <c r="K10" s="23">
        <v>0</v>
      </c>
      <c r="L10" s="24">
        <v>0</v>
      </c>
      <c r="M10" s="25">
        <v>6</v>
      </c>
      <c r="N10" s="26">
        <v>15000</v>
      </c>
      <c r="O10" s="27">
        <v>15</v>
      </c>
      <c r="P10" s="28">
        <f t="shared" si="1"/>
        <v>4.8</v>
      </c>
      <c r="Q10" s="29">
        <f t="shared" si="2"/>
        <v>12000</v>
      </c>
      <c r="R10" s="30">
        <v>12</v>
      </c>
      <c r="S10" s="19">
        <v>0</v>
      </c>
      <c r="T10" s="23">
        <v>0</v>
      </c>
      <c r="U10" s="24">
        <v>0</v>
      </c>
      <c r="V10" s="31">
        <f t="shared" si="3"/>
        <v>10.4</v>
      </c>
      <c r="W10" s="32">
        <v>26000</v>
      </c>
      <c r="X10" s="30">
        <v>26</v>
      </c>
      <c r="Y10" s="19">
        <v>0</v>
      </c>
      <c r="Z10" s="23">
        <v>0</v>
      </c>
      <c r="AA10" s="24">
        <v>0</v>
      </c>
      <c r="AB10" s="33">
        <v>0</v>
      </c>
      <c r="AC10" s="34">
        <v>0</v>
      </c>
      <c r="AD10" s="35">
        <v>0</v>
      </c>
      <c r="AE10" s="36">
        <v>0</v>
      </c>
      <c r="AF10" s="23">
        <v>0</v>
      </c>
      <c r="AG10" s="24">
        <v>0</v>
      </c>
      <c r="AH10" s="33">
        <v>0</v>
      </c>
      <c r="AI10" s="37">
        <v>0</v>
      </c>
      <c r="AJ10" s="35">
        <v>0</v>
      </c>
      <c r="AK10" s="36">
        <v>0</v>
      </c>
      <c r="AL10" s="38">
        <v>0</v>
      </c>
      <c r="AM10" s="35">
        <v>0</v>
      </c>
      <c r="AN10" s="19">
        <v>0</v>
      </c>
      <c r="AO10" s="23">
        <v>0</v>
      </c>
      <c r="AP10" s="24">
        <v>0</v>
      </c>
      <c r="AQ10" s="31">
        <f t="shared" si="4"/>
        <v>21.200000000000003</v>
      </c>
      <c r="AR10" s="32">
        <f t="shared" si="4"/>
        <v>53000</v>
      </c>
      <c r="AS10" s="30">
        <v>27</v>
      </c>
    </row>
    <row r="11" spans="1:45" ht="15.6" x14ac:dyDescent="0.3">
      <c r="A11" s="19">
        <v>8</v>
      </c>
      <c r="B11" s="20" t="s">
        <v>23</v>
      </c>
      <c r="C11" s="21" t="s">
        <v>32</v>
      </c>
      <c r="D11" s="324"/>
      <c r="E11" s="22">
        <v>16.399999999999999</v>
      </c>
      <c r="F11" s="23">
        <f t="shared" si="0"/>
        <v>41000</v>
      </c>
      <c r="G11" s="19">
        <v>0</v>
      </c>
      <c r="H11" s="23">
        <v>0</v>
      </c>
      <c r="I11" s="24">
        <v>0</v>
      </c>
      <c r="J11" s="19">
        <v>0</v>
      </c>
      <c r="K11" s="23">
        <v>0</v>
      </c>
      <c r="L11" s="24">
        <v>0</v>
      </c>
      <c r="M11" s="25">
        <v>4.4000000000000004</v>
      </c>
      <c r="N11" s="26">
        <v>11000</v>
      </c>
      <c r="O11" s="27">
        <v>11</v>
      </c>
      <c r="P11" s="28">
        <f t="shared" si="1"/>
        <v>0</v>
      </c>
      <c r="Q11" s="29">
        <f t="shared" si="2"/>
        <v>0</v>
      </c>
      <c r="R11" s="30">
        <v>0</v>
      </c>
      <c r="S11" s="19">
        <v>0</v>
      </c>
      <c r="T11" s="23">
        <v>0</v>
      </c>
      <c r="U11" s="24">
        <v>0</v>
      </c>
      <c r="V11" s="31">
        <f t="shared" si="3"/>
        <v>3.6</v>
      </c>
      <c r="W11" s="32">
        <v>9000</v>
      </c>
      <c r="X11" s="30">
        <v>9</v>
      </c>
      <c r="Y11" s="19">
        <v>0</v>
      </c>
      <c r="Z11" s="23">
        <v>0</v>
      </c>
      <c r="AA11" s="24">
        <v>0</v>
      </c>
      <c r="AB11" s="33">
        <v>0</v>
      </c>
      <c r="AC11" s="34">
        <v>0</v>
      </c>
      <c r="AD11" s="35">
        <v>0</v>
      </c>
      <c r="AE11" s="36">
        <v>0</v>
      </c>
      <c r="AF11" s="23">
        <v>0</v>
      </c>
      <c r="AG11" s="24">
        <v>0</v>
      </c>
      <c r="AH11" s="33">
        <v>0</v>
      </c>
      <c r="AI11" s="37">
        <v>0</v>
      </c>
      <c r="AJ11" s="35">
        <v>0</v>
      </c>
      <c r="AK11" s="36">
        <v>0</v>
      </c>
      <c r="AL11" s="38">
        <v>0</v>
      </c>
      <c r="AM11" s="35">
        <v>0</v>
      </c>
      <c r="AN11" s="19">
        <v>0</v>
      </c>
      <c r="AO11" s="23">
        <v>0</v>
      </c>
      <c r="AP11" s="24">
        <v>0</v>
      </c>
      <c r="AQ11" s="31">
        <f t="shared" si="4"/>
        <v>8</v>
      </c>
      <c r="AR11" s="32">
        <f t="shared" si="4"/>
        <v>20000</v>
      </c>
      <c r="AS11" s="30">
        <v>11</v>
      </c>
    </row>
    <row r="12" spans="1:45" ht="15.6" x14ac:dyDescent="0.3">
      <c r="A12" s="19">
        <v>9</v>
      </c>
      <c r="B12" s="20" t="s">
        <v>23</v>
      </c>
      <c r="C12" s="21" t="s">
        <v>33</v>
      </c>
      <c r="D12" s="324"/>
      <c r="E12" s="22">
        <v>27.800000000000004</v>
      </c>
      <c r="F12" s="23">
        <f t="shared" si="0"/>
        <v>69500.000000000015</v>
      </c>
      <c r="G12" s="19">
        <v>0</v>
      </c>
      <c r="H12" s="23">
        <v>0</v>
      </c>
      <c r="I12" s="24">
        <v>0</v>
      </c>
      <c r="J12" s="19">
        <v>0</v>
      </c>
      <c r="K12" s="23">
        <v>0</v>
      </c>
      <c r="L12" s="24">
        <v>0</v>
      </c>
      <c r="M12" s="25">
        <v>8.8000000000000007</v>
      </c>
      <c r="N12" s="26">
        <v>22000</v>
      </c>
      <c r="O12" s="27">
        <v>22</v>
      </c>
      <c r="P12" s="28">
        <f t="shared" si="1"/>
        <v>2.8</v>
      </c>
      <c r="Q12" s="29">
        <f t="shared" si="2"/>
        <v>7000</v>
      </c>
      <c r="R12" s="30">
        <v>7</v>
      </c>
      <c r="S12" s="19">
        <v>0</v>
      </c>
      <c r="T12" s="23">
        <v>0</v>
      </c>
      <c r="U12" s="24">
        <v>0</v>
      </c>
      <c r="V12" s="31">
        <f t="shared" si="3"/>
        <v>11.2</v>
      </c>
      <c r="W12" s="32">
        <v>28000</v>
      </c>
      <c r="X12" s="30">
        <v>28</v>
      </c>
      <c r="Y12" s="19">
        <v>0</v>
      </c>
      <c r="Z12" s="23">
        <v>0</v>
      </c>
      <c r="AA12" s="24">
        <v>0</v>
      </c>
      <c r="AB12" s="33">
        <v>0</v>
      </c>
      <c r="AC12" s="34">
        <v>0</v>
      </c>
      <c r="AD12" s="35">
        <v>0</v>
      </c>
      <c r="AE12" s="36">
        <v>0</v>
      </c>
      <c r="AF12" s="23">
        <v>0</v>
      </c>
      <c r="AG12" s="24">
        <v>0</v>
      </c>
      <c r="AH12" s="33">
        <v>0</v>
      </c>
      <c r="AI12" s="37">
        <v>0</v>
      </c>
      <c r="AJ12" s="35">
        <v>0</v>
      </c>
      <c r="AK12" s="36">
        <v>0</v>
      </c>
      <c r="AL12" s="38">
        <v>0</v>
      </c>
      <c r="AM12" s="35">
        <v>0</v>
      </c>
      <c r="AN12" s="19">
        <v>0</v>
      </c>
      <c r="AO12" s="23">
        <v>0</v>
      </c>
      <c r="AP12" s="24">
        <v>0</v>
      </c>
      <c r="AQ12" s="31">
        <f t="shared" si="4"/>
        <v>22.8</v>
      </c>
      <c r="AR12" s="32">
        <f t="shared" si="4"/>
        <v>57000</v>
      </c>
      <c r="AS12" s="30">
        <v>30</v>
      </c>
    </row>
    <row r="13" spans="1:45" ht="15.6" x14ac:dyDescent="0.3">
      <c r="A13" s="19">
        <v>10</v>
      </c>
      <c r="B13" s="20" t="s">
        <v>23</v>
      </c>
      <c r="C13" s="21" t="s">
        <v>34</v>
      </c>
      <c r="D13" s="324"/>
      <c r="E13" s="22">
        <v>7</v>
      </c>
      <c r="F13" s="23">
        <f t="shared" si="0"/>
        <v>17500</v>
      </c>
      <c r="G13" s="19">
        <v>0</v>
      </c>
      <c r="H13" s="23">
        <v>0</v>
      </c>
      <c r="I13" s="24">
        <v>0</v>
      </c>
      <c r="J13" s="19">
        <v>0</v>
      </c>
      <c r="K13" s="23">
        <v>0</v>
      </c>
      <c r="L13" s="24">
        <v>0</v>
      </c>
      <c r="M13" s="25">
        <v>1.6</v>
      </c>
      <c r="N13" s="26">
        <v>4000</v>
      </c>
      <c r="O13" s="27">
        <v>4</v>
      </c>
      <c r="P13" s="28">
        <f t="shared" si="1"/>
        <v>1.2</v>
      </c>
      <c r="Q13" s="29">
        <f t="shared" si="2"/>
        <v>3000</v>
      </c>
      <c r="R13" s="30">
        <v>3</v>
      </c>
      <c r="S13" s="19">
        <v>0</v>
      </c>
      <c r="T13" s="23">
        <v>0</v>
      </c>
      <c r="U13" s="24">
        <v>0</v>
      </c>
      <c r="V13" s="31">
        <f t="shared" si="3"/>
        <v>2.4</v>
      </c>
      <c r="W13" s="32">
        <v>6000</v>
      </c>
      <c r="X13" s="30">
        <v>6</v>
      </c>
      <c r="Y13" s="19">
        <v>0</v>
      </c>
      <c r="Z13" s="23">
        <v>0</v>
      </c>
      <c r="AA13" s="24">
        <v>0</v>
      </c>
      <c r="AB13" s="33">
        <v>0</v>
      </c>
      <c r="AC13" s="34">
        <v>0</v>
      </c>
      <c r="AD13" s="35">
        <v>0</v>
      </c>
      <c r="AE13" s="36">
        <v>0</v>
      </c>
      <c r="AF13" s="23">
        <v>0</v>
      </c>
      <c r="AG13" s="24">
        <v>0</v>
      </c>
      <c r="AH13" s="33">
        <v>0</v>
      </c>
      <c r="AI13" s="37">
        <v>0</v>
      </c>
      <c r="AJ13" s="35">
        <v>0</v>
      </c>
      <c r="AK13" s="36">
        <v>0</v>
      </c>
      <c r="AL13" s="38">
        <v>0</v>
      </c>
      <c r="AM13" s="35">
        <v>0</v>
      </c>
      <c r="AN13" s="19">
        <v>0</v>
      </c>
      <c r="AO13" s="23">
        <v>0</v>
      </c>
      <c r="AP13" s="24">
        <v>0</v>
      </c>
      <c r="AQ13" s="31">
        <f t="shared" si="4"/>
        <v>5.1999999999999993</v>
      </c>
      <c r="AR13" s="32">
        <f t="shared" si="4"/>
        <v>13000</v>
      </c>
      <c r="AS13" s="30">
        <v>7</v>
      </c>
    </row>
    <row r="14" spans="1:45" ht="15.6" x14ac:dyDescent="0.3">
      <c r="A14" s="19">
        <v>11</v>
      </c>
      <c r="B14" s="20" t="s">
        <v>23</v>
      </c>
      <c r="C14" s="21" t="s">
        <v>35</v>
      </c>
      <c r="D14" s="324"/>
      <c r="E14" s="22">
        <v>6.2</v>
      </c>
      <c r="F14" s="23">
        <f t="shared" si="0"/>
        <v>15500</v>
      </c>
      <c r="G14" s="19">
        <v>0</v>
      </c>
      <c r="H14" s="23">
        <v>0</v>
      </c>
      <c r="I14" s="24">
        <v>0</v>
      </c>
      <c r="J14" s="19">
        <v>0</v>
      </c>
      <c r="K14" s="23">
        <v>0</v>
      </c>
      <c r="L14" s="24">
        <v>0</v>
      </c>
      <c r="M14" s="25">
        <v>1.6</v>
      </c>
      <c r="N14" s="26">
        <v>4000</v>
      </c>
      <c r="O14" s="27">
        <v>4</v>
      </c>
      <c r="P14" s="28">
        <f t="shared" si="1"/>
        <v>4</v>
      </c>
      <c r="Q14" s="29">
        <f t="shared" si="2"/>
        <v>10000</v>
      </c>
      <c r="R14" s="30">
        <v>10</v>
      </c>
      <c r="S14" s="19">
        <v>0</v>
      </c>
      <c r="T14" s="23">
        <v>0</v>
      </c>
      <c r="U14" s="24">
        <v>0</v>
      </c>
      <c r="V14" s="31">
        <f t="shared" si="3"/>
        <v>5.6</v>
      </c>
      <c r="W14" s="32">
        <v>14000</v>
      </c>
      <c r="X14" s="30">
        <v>14</v>
      </c>
      <c r="Y14" s="19">
        <v>0</v>
      </c>
      <c r="Z14" s="23">
        <v>0</v>
      </c>
      <c r="AA14" s="24">
        <v>0</v>
      </c>
      <c r="AB14" s="33">
        <v>0</v>
      </c>
      <c r="AC14" s="34">
        <v>0</v>
      </c>
      <c r="AD14" s="35">
        <v>0</v>
      </c>
      <c r="AE14" s="36">
        <v>0</v>
      </c>
      <c r="AF14" s="23">
        <v>0</v>
      </c>
      <c r="AG14" s="24">
        <v>0</v>
      </c>
      <c r="AH14" s="33">
        <v>0</v>
      </c>
      <c r="AI14" s="37">
        <v>0</v>
      </c>
      <c r="AJ14" s="35">
        <v>0</v>
      </c>
      <c r="AK14" s="36">
        <v>0</v>
      </c>
      <c r="AL14" s="38">
        <v>0</v>
      </c>
      <c r="AM14" s="35">
        <v>0</v>
      </c>
      <c r="AN14" s="19">
        <v>0</v>
      </c>
      <c r="AO14" s="23">
        <v>0</v>
      </c>
      <c r="AP14" s="24">
        <v>0</v>
      </c>
      <c r="AQ14" s="31">
        <f t="shared" si="4"/>
        <v>11.2</v>
      </c>
      <c r="AR14" s="32">
        <f t="shared" si="4"/>
        <v>28000</v>
      </c>
      <c r="AS14" s="30">
        <v>15</v>
      </c>
    </row>
    <row r="15" spans="1:45" ht="15.6" x14ac:dyDescent="0.3">
      <c r="A15" s="19">
        <v>12</v>
      </c>
      <c r="B15" s="20" t="s">
        <v>23</v>
      </c>
      <c r="C15" s="21" t="s">
        <v>36</v>
      </c>
      <c r="D15" s="324"/>
      <c r="E15" s="22">
        <v>12.600000000000001</v>
      </c>
      <c r="F15" s="23">
        <f t="shared" si="0"/>
        <v>31500.000000000004</v>
      </c>
      <c r="G15" s="19">
        <v>0</v>
      </c>
      <c r="H15" s="23">
        <v>0</v>
      </c>
      <c r="I15" s="24">
        <v>0</v>
      </c>
      <c r="J15" s="19">
        <v>0</v>
      </c>
      <c r="K15" s="23">
        <v>0</v>
      </c>
      <c r="L15" s="24">
        <v>0</v>
      </c>
      <c r="M15" s="25">
        <v>2</v>
      </c>
      <c r="N15" s="26">
        <v>5000</v>
      </c>
      <c r="O15" s="27">
        <v>5</v>
      </c>
      <c r="P15" s="28">
        <f t="shared" si="1"/>
        <v>1.2</v>
      </c>
      <c r="Q15" s="29">
        <f t="shared" si="2"/>
        <v>3000</v>
      </c>
      <c r="R15" s="30">
        <v>3</v>
      </c>
      <c r="S15" s="19">
        <v>0</v>
      </c>
      <c r="T15" s="23">
        <v>0</v>
      </c>
      <c r="U15" s="24">
        <v>0</v>
      </c>
      <c r="V15" s="31">
        <f t="shared" si="3"/>
        <v>2.8</v>
      </c>
      <c r="W15" s="32">
        <v>7000</v>
      </c>
      <c r="X15" s="30">
        <v>7</v>
      </c>
      <c r="Y15" s="19">
        <v>0</v>
      </c>
      <c r="Z15" s="23">
        <v>0</v>
      </c>
      <c r="AA15" s="24">
        <v>0</v>
      </c>
      <c r="AB15" s="33">
        <v>0</v>
      </c>
      <c r="AC15" s="34">
        <v>0</v>
      </c>
      <c r="AD15" s="35">
        <v>0</v>
      </c>
      <c r="AE15" s="36">
        <v>0</v>
      </c>
      <c r="AF15" s="23">
        <v>0</v>
      </c>
      <c r="AG15" s="24">
        <v>0</v>
      </c>
      <c r="AH15" s="33">
        <v>0</v>
      </c>
      <c r="AI15" s="37">
        <v>0</v>
      </c>
      <c r="AJ15" s="35">
        <v>0</v>
      </c>
      <c r="AK15" s="36">
        <v>0</v>
      </c>
      <c r="AL15" s="38">
        <v>0</v>
      </c>
      <c r="AM15" s="35">
        <v>0</v>
      </c>
      <c r="AN15" s="19">
        <v>0</v>
      </c>
      <c r="AO15" s="23">
        <v>0</v>
      </c>
      <c r="AP15" s="24">
        <v>0</v>
      </c>
      <c r="AQ15" s="31">
        <f t="shared" si="4"/>
        <v>6</v>
      </c>
      <c r="AR15" s="32">
        <f t="shared" si="4"/>
        <v>15000</v>
      </c>
      <c r="AS15" s="30">
        <v>8</v>
      </c>
    </row>
    <row r="16" spans="1:45" ht="15.6" x14ac:dyDescent="0.3">
      <c r="A16" s="19">
        <v>13</v>
      </c>
      <c r="B16" s="20" t="s">
        <v>23</v>
      </c>
      <c r="C16" s="21" t="s">
        <v>37</v>
      </c>
      <c r="D16" s="324"/>
      <c r="E16" s="22">
        <v>27.8</v>
      </c>
      <c r="F16" s="23">
        <f t="shared" si="0"/>
        <v>69500</v>
      </c>
      <c r="G16" s="19">
        <v>0</v>
      </c>
      <c r="H16" s="23">
        <v>0</v>
      </c>
      <c r="I16" s="24">
        <v>0</v>
      </c>
      <c r="J16" s="19">
        <v>0</v>
      </c>
      <c r="K16" s="23">
        <v>0</v>
      </c>
      <c r="L16" s="24">
        <v>0</v>
      </c>
      <c r="M16" s="25">
        <v>8</v>
      </c>
      <c r="N16" s="26">
        <v>20000</v>
      </c>
      <c r="O16" s="27">
        <v>20</v>
      </c>
      <c r="P16" s="28">
        <f t="shared" si="1"/>
        <v>6</v>
      </c>
      <c r="Q16" s="29">
        <f t="shared" si="2"/>
        <v>15000</v>
      </c>
      <c r="R16" s="30">
        <v>15</v>
      </c>
      <c r="S16" s="19">
        <v>0</v>
      </c>
      <c r="T16" s="23">
        <v>0</v>
      </c>
      <c r="U16" s="24">
        <v>0</v>
      </c>
      <c r="V16" s="31">
        <f t="shared" si="3"/>
        <v>14</v>
      </c>
      <c r="W16" s="32">
        <v>35000</v>
      </c>
      <c r="X16" s="30">
        <v>35</v>
      </c>
      <c r="Y16" s="19">
        <v>0</v>
      </c>
      <c r="Z16" s="23">
        <v>0</v>
      </c>
      <c r="AA16" s="24">
        <v>0</v>
      </c>
      <c r="AB16" s="33">
        <v>0</v>
      </c>
      <c r="AC16" s="34">
        <v>0</v>
      </c>
      <c r="AD16" s="35">
        <v>0</v>
      </c>
      <c r="AE16" s="36">
        <v>0</v>
      </c>
      <c r="AF16" s="23">
        <v>0</v>
      </c>
      <c r="AG16" s="24">
        <v>0</v>
      </c>
      <c r="AH16" s="33">
        <v>0</v>
      </c>
      <c r="AI16" s="37">
        <v>0</v>
      </c>
      <c r="AJ16" s="35">
        <v>0</v>
      </c>
      <c r="AK16" s="36">
        <v>0</v>
      </c>
      <c r="AL16" s="38">
        <v>0</v>
      </c>
      <c r="AM16" s="35">
        <v>0</v>
      </c>
      <c r="AN16" s="19">
        <v>0</v>
      </c>
      <c r="AO16" s="23">
        <v>0</v>
      </c>
      <c r="AP16" s="24">
        <v>0</v>
      </c>
      <c r="AQ16" s="31">
        <f t="shared" si="4"/>
        <v>28</v>
      </c>
      <c r="AR16" s="32">
        <f t="shared" si="4"/>
        <v>70000</v>
      </c>
      <c r="AS16" s="30">
        <v>36</v>
      </c>
    </row>
    <row r="17" spans="1:45" ht="15.6" x14ac:dyDescent="0.3">
      <c r="A17" s="19">
        <v>14</v>
      </c>
      <c r="B17" s="20" t="s">
        <v>23</v>
      </c>
      <c r="C17" s="21" t="s">
        <v>38</v>
      </c>
      <c r="D17" s="324"/>
      <c r="E17" s="22">
        <v>27.2</v>
      </c>
      <c r="F17" s="23">
        <f t="shared" si="0"/>
        <v>68000</v>
      </c>
      <c r="G17" s="19">
        <v>0</v>
      </c>
      <c r="H17" s="23">
        <v>0</v>
      </c>
      <c r="I17" s="24">
        <v>0</v>
      </c>
      <c r="J17" s="19">
        <v>0</v>
      </c>
      <c r="K17" s="23">
        <v>0</v>
      </c>
      <c r="L17" s="24">
        <v>0</v>
      </c>
      <c r="M17" s="25">
        <v>7.6</v>
      </c>
      <c r="N17" s="26">
        <v>19000</v>
      </c>
      <c r="O17" s="27">
        <v>19</v>
      </c>
      <c r="P17" s="28">
        <f t="shared" si="1"/>
        <v>3.6</v>
      </c>
      <c r="Q17" s="29">
        <f t="shared" si="2"/>
        <v>9000</v>
      </c>
      <c r="R17" s="30">
        <v>9</v>
      </c>
      <c r="S17" s="19">
        <v>0</v>
      </c>
      <c r="T17" s="23">
        <v>0</v>
      </c>
      <c r="U17" s="24">
        <v>0</v>
      </c>
      <c r="V17" s="31">
        <f t="shared" si="3"/>
        <v>11.2</v>
      </c>
      <c r="W17" s="32">
        <v>28000</v>
      </c>
      <c r="X17" s="30">
        <v>28</v>
      </c>
      <c r="Y17" s="19">
        <v>0</v>
      </c>
      <c r="Z17" s="23">
        <v>0</v>
      </c>
      <c r="AA17" s="24">
        <v>0</v>
      </c>
      <c r="AB17" s="33">
        <v>0</v>
      </c>
      <c r="AC17" s="34">
        <v>0</v>
      </c>
      <c r="AD17" s="35">
        <v>0</v>
      </c>
      <c r="AE17" s="36">
        <v>0</v>
      </c>
      <c r="AF17" s="23">
        <v>0</v>
      </c>
      <c r="AG17" s="24">
        <v>0</v>
      </c>
      <c r="AH17" s="33">
        <v>0</v>
      </c>
      <c r="AI17" s="37">
        <v>0</v>
      </c>
      <c r="AJ17" s="35">
        <v>0</v>
      </c>
      <c r="AK17" s="36">
        <v>0</v>
      </c>
      <c r="AL17" s="38">
        <v>0</v>
      </c>
      <c r="AM17" s="35">
        <v>0</v>
      </c>
      <c r="AN17" s="19">
        <v>0</v>
      </c>
      <c r="AO17" s="23">
        <v>0</v>
      </c>
      <c r="AP17" s="24">
        <v>0</v>
      </c>
      <c r="AQ17" s="31">
        <f t="shared" si="4"/>
        <v>22.4</v>
      </c>
      <c r="AR17" s="32">
        <f t="shared" si="4"/>
        <v>56000</v>
      </c>
      <c r="AS17" s="30">
        <v>28</v>
      </c>
    </row>
    <row r="18" spans="1:45" ht="15.6" x14ac:dyDescent="0.3">
      <c r="A18" s="19">
        <v>15</v>
      </c>
      <c r="B18" s="20" t="s">
        <v>23</v>
      </c>
      <c r="C18" s="21" t="s">
        <v>39</v>
      </c>
      <c r="D18" s="324"/>
      <c r="E18" s="22">
        <v>1</v>
      </c>
      <c r="F18" s="23">
        <f t="shared" si="0"/>
        <v>2500</v>
      </c>
      <c r="G18" s="19">
        <v>0</v>
      </c>
      <c r="H18" s="23">
        <v>0</v>
      </c>
      <c r="I18" s="24">
        <v>0</v>
      </c>
      <c r="J18" s="19">
        <v>0</v>
      </c>
      <c r="K18" s="23">
        <v>0</v>
      </c>
      <c r="L18" s="24">
        <v>0</v>
      </c>
      <c r="M18" s="25">
        <v>1</v>
      </c>
      <c r="N18" s="26">
        <v>1000</v>
      </c>
      <c r="O18" s="27">
        <v>1</v>
      </c>
      <c r="P18" s="28">
        <f t="shared" si="1"/>
        <v>0.8</v>
      </c>
      <c r="Q18" s="29">
        <f t="shared" si="2"/>
        <v>2000</v>
      </c>
      <c r="R18" s="30">
        <v>2</v>
      </c>
      <c r="S18" s="19">
        <v>0</v>
      </c>
      <c r="T18" s="23">
        <v>0</v>
      </c>
      <c r="U18" s="24">
        <v>0</v>
      </c>
      <c r="V18" s="31">
        <f t="shared" si="3"/>
        <v>1.2</v>
      </c>
      <c r="W18" s="32">
        <v>3000</v>
      </c>
      <c r="X18" s="30">
        <v>3</v>
      </c>
      <c r="Y18" s="19">
        <v>0</v>
      </c>
      <c r="Z18" s="23">
        <v>0</v>
      </c>
      <c r="AA18" s="24">
        <v>0</v>
      </c>
      <c r="AB18" s="33">
        <v>0</v>
      </c>
      <c r="AC18" s="34">
        <v>0</v>
      </c>
      <c r="AD18" s="35">
        <v>0</v>
      </c>
      <c r="AE18" s="36">
        <v>0</v>
      </c>
      <c r="AF18" s="23">
        <v>0</v>
      </c>
      <c r="AG18" s="24">
        <v>0</v>
      </c>
      <c r="AH18" s="33">
        <v>0</v>
      </c>
      <c r="AI18" s="37">
        <v>0</v>
      </c>
      <c r="AJ18" s="35">
        <v>0</v>
      </c>
      <c r="AK18" s="36">
        <v>0</v>
      </c>
      <c r="AL18" s="38">
        <v>0</v>
      </c>
      <c r="AM18" s="35">
        <v>0</v>
      </c>
      <c r="AN18" s="19">
        <v>0</v>
      </c>
      <c r="AO18" s="23">
        <v>0</v>
      </c>
      <c r="AP18" s="24">
        <v>0</v>
      </c>
      <c r="AQ18" s="31">
        <f t="shared" si="4"/>
        <v>3</v>
      </c>
      <c r="AR18" s="32">
        <f t="shared" si="4"/>
        <v>6000</v>
      </c>
      <c r="AS18" s="30">
        <v>3</v>
      </c>
    </row>
    <row r="19" spans="1:45" ht="15.6" x14ac:dyDescent="0.3">
      <c r="A19" s="19">
        <v>16</v>
      </c>
      <c r="B19" s="20" t="s">
        <v>23</v>
      </c>
      <c r="C19" s="21" t="s">
        <v>40</v>
      </c>
      <c r="D19" s="324"/>
      <c r="E19" s="22">
        <v>3</v>
      </c>
      <c r="F19" s="23">
        <f t="shared" si="0"/>
        <v>7500</v>
      </c>
      <c r="G19" s="19">
        <v>0</v>
      </c>
      <c r="H19" s="23">
        <v>0</v>
      </c>
      <c r="I19" s="24">
        <v>0</v>
      </c>
      <c r="J19" s="19">
        <v>0</v>
      </c>
      <c r="K19" s="23">
        <v>0</v>
      </c>
      <c r="L19" s="24">
        <v>0</v>
      </c>
      <c r="M19" s="25">
        <v>0.8</v>
      </c>
      <c r="N19" s="26">
        <v>2000</v>
      </c>
      <c r="O19" s="27">
        <v>2</v>
      </c>
      <c r="P19" s="28">
        <f t="shared" si="1"/>
        <v>0.8</v>
      </c>
      <c r="Q19" s="29">
        <f t="shared" si="2"/>
        <v>2000</v>
      </c>
      <c r="R19" s="30">
        <v>2</v>
      </c>
      <c r="S19" s="19">
        <v>0</v>
      </c>
      <c r="T19" s="23">
        <v>0</v>
      </c>
      <c r="U19" s="24">
        <v>0</v>
      </c>
      <c r="V19" s="31">
        <f t="shared" si="3"/>
        <v>1.6</v>
      </c>
      <c r="W19" s="32">
        <v>4000</v>
      </c>
      <c r="X19" s="30">
        <v>4</v>
      </c>
      <c r="Y19" s="19">
        <v>0</v>
      </c>
      <c r="Z19" s="23">
        <v>0</v>
      </c>
      <c r="AA19" s="24">
        <v>0</v>
      </c>
      <c r="AB19" s="33">
        <v>0</v>
      </c>
      <c r="AC19" s="34">
        <v>0</v>
      </c>
      <c r="AD19" s="35">
        <v>0</v>
      </c>
      <c r="AE19" s="36">
        <v>0</v>
      </c>
      <c r="AF19" s="23">
        <v>0</v>
      </c>
      <c r="AG19" s="24">
        <v>0</v>
      </c>
      <c r="AH19" s="33">
        <v>0</v>
      </c>
      <c r="AI19" s="37">
        <v>0</v>
      </c>
      <c r="AJ19" s="35">
        <v>0</v>
      </c>
      <c r="AK19" s="36">
        <v>0</v>
      </c>
      <c r="AL19" s="38">
        <v>0</v>
      </c>
      <c r="AM19" s="35">
        <v>0</v>
      </c>
      <c r="AN19" s="19">
        <v>0</v>
      </c>
      <c r="AO19" s="23">
        <v>0</v>
      </c>
      <c r="AP19" s="24">
        <v>0</v>
      </c>
      <c r="AQ19" s="31">
        <f t="shared" si="4"/>
        <v>3.2</v>
      </c>
      <c r="AR19" s="32">
        <f t="shared" si="4"/>
        <v>8000</v>
      </c>
      <c r="AS19" s="30">
        <v>4</v>
      </c>
    </row>
    <row r="20" spans="1:45" ht="15.6" x14ac:dyDescent="0.3">
      <c r="A20" s="19">
        <v>17</v>
      </c>
      <c r="B20" s="21" t="s">
        <v>23</v>
      </c>
      <c r="C20" s="20" t="s">
        <v>41</v>
      </c>
      <c r="D20" s="324"/>
      <c r="E20" s="22">
        <v>12.800000000000002</v>
      </c>
      <c r="F20" s="23">
        <f t="shared" si="0"/>
        <v>32000.000000000007</v>
      </c>
      <c r="G20" s="19">
        <v>0</v>
      </c>
      <c r="H20" s="23">
        <v>0</v>
      </c>
      <c r="I20" s="24">
        <v>0</v>
      </c>
      <c r="J20" s="19">
        <v>0</v>
      </c>
      <c r="K20" s="23">
        <v>0</v>
      </c>
      <c r="L20" s="24">
        <v>0</v>
      </c>
      <c r="M20" s="25">
        <v>3.6</v>
      </c>
      <c r="N20" s="26">
        <v>9000</v>
      </c>
      <c r="O20" s="27">
        <v>9</v>
      </c>
      <c r="P20" s="28">
        <f t="shared" si="1"/>
        <v>2</v>
      </c>
      <c r="Q20" s="29">
        <f t="shared" si="2"/>
        <v>5000</v>
      </c>
      <c r="R20" s="30">
        <v>5</v>
      </c>
      <c r="S20" s="19">
        <v>0</v>
      </c>
      <c r="T20" s="23">
        <v>0</v>
      </c>
      <c r="U20" s="24">
        <v>0</v>
      </c>
      <c r="V20" s="31">
        <f t="shared" si="3"/>
        <v>5.6</v>
      </c>
      <c r="W20" s="32">
        <v>14000</v>
      </c>
      <c r="X20" s="30">
        <v>14</v>
      </c>
      <c r="Y20" s="19">
        <v>0</v>
      </c>
      <c r="Z20" s="23">
        <v>0</v>
      </c>
      <c r="AA20" s="24">
        <v>0</v>
      </c>
      <c r="AB20" s="33">
        <v>0</v>
      </c>
      <c r="AC20" s="34">
        <v>0</v>
      </c>
      <c r="AD20" s="35">
        <v>0</v>
      </c>
      <c r="AE20" s="36">
        <v>0</v>
      </c>
      <c r="AF20" s="23">
        <v>0</v>
      </c>
      <c r="AG20" s="24">
        <v>0</v>
      </c>
      <c r="AH20" s="33">
        <v>0</v>
      </c>
      <c r="AI20" s="37">
        <v>0</v>
      </c>
      <c r="AJ20" s="35">
        <v>0</v>
      </c>
      <c r="AK20" s="36">
        <v>0</v>
      </c>
      <c r="AL20" s="38">
        <v>0</v>
      </c>
      <c r="AM20" s="35">
        <v>0</v>
      </c>
      <c r="AN20" s="19">
        <v>0</v>
      </c>
      <c r="AO20" s="23">
        <v>0</v>
      </c>
      <c r="AP20" s="24">
        <v>0</v>
      </c>
      <c r="AQ20" s="31">
        <f t="shared" si="4"/>
        <v>11.2</v>
      </c>
      <c r="AR20" s="32">
        <f t="shared" si="4"/>
        <v>28000</v>
      </c>
      <c r="AS20" s="30">
        <v>14</v>
      </c>
    </row>
    <row r="21" spans="1:45" ht="15.6" x14ac:dyDescent="0.3">
      <c r="A21" s="19">
        <v>18</v>
      </c>
      <c r="B21" s="21" t="s">
        <v>42</v>
      </c>
      <c r="C21" s="20" t="s">
        <v>43</v>
      </c>
      <c r="D21" s="324" t="s">
        <v>25</v>
      </c>
      <c r="E21" s="22">
        <v>12.399999999999999</v>
      </c>
      <c r="F21" s="23">
        <f t="shared" si="0"/>
        <v>30999.999999999996</v>
      </c>
      <c r="G21" s="19">
        <v>0</v>
      </c>
      <c r="H21" s="23">
        <v>0</v>
      </c>
      <c r="I21" s="24">
        <v>0</v>
      </c>
      <c r="J21" s="19">
        <v>0</v>
      </c>
      <c r="K21" s="23">
        <v>0</v>
      </c>
      <c r="L21" s="24">
        <v>0</v>
      </c>
      <c r="M21" s="25">
        <v>4.8</v>
      </c>
      <c r="N21" s="26">
        <v>12000</v>
      </c>
      <c r="O21" s="27">
        <v>12</v>
      </c>
      <c r="P21" s="28">
        <f t="shared" si="1"/>
        <v>1.2</v>
      </c>
      <c r="Q21" s="29">
        <f t="shared" si="2"/>
        <v>3000</v>
      </c>
      <c r="R21" s="30">
        <v>3</v>
      </c>
      <c r="S21" s="19">
        <v>0</v>
      </c>
      <c r="T21" s="23">
        <v>0</v>
      </c>
      <c r="U21" s="24">
        <v>0</v>
      </c>
      <c r="V21" s="31">
        <f t="shared" si="3"/>
        <v>6</v>
      </c>
      <c r="W21" s="32">
        <v>15000</v>
      </c>
      <c r="X21" s="30">
        <v>15</v>
      </c>
      <c r="Y21" s="19">
        <v>0</v>
      </c>
      <c r="Z21" s="23">
        <v>0</v>
      </c>
      <c r="AA21" s="24">
        <v>0</v>
      </c>
      <c r="AB21" s="33">
        <v>0</v>
      </c>
      <c r="AC21" s="34">
        <v>0</v>
      </c>
      <c r="AD21" s="35">
        <v>0</v>
      </c>
      <c r="AE21" s="36">
        <v>0</v>
      </c>
      <c r="AF21" s="23">
        <v>0</v>
      </c>
      <c r="AG21" s="24">
        <v>0</v>
      </c>
      <c r="AH21" s="33">
        <v>0</v>
      </c>
      <c r="AI21" s="37">
        <v>0</v>
      </c>
      <c r="AJ21" s="35">
        <v>0</v>
      </c>
      <c r="AK21" s="36">
        <v>0</v>
      </c>
      <c r="AL21" s="38">
        <v>0</v>
      </c>
      <c r="AM21" s="35">
        <v>0</v>
      </c>
      <c r="AN21" s="19">
        <v>0</v>
      </c>
      <c r="AO21" s="23">
        <v>0</v>
      </c>
      <c r="AP21" s="24">
        <v>0</v>
      </c>
      <c r="AQ21" s="31">
        <f t="shared" si="4"/>
        <v>12</v>
      </c>
      <c r="AR21" s="32">
        <f t="shared" si="4"/>
        <v>30000</v>
      </c>
      <c r="AS21" s="30">
        <v>15</v>
      </c>
    </row>
    <row r="22" spans="1:45" ht="15.6" x14ac:dyDescent="0.3">
      <c r="A22" s="19">
        <v>19</v>
      </c>
      <c r="B22" s="21" t="s">
        <v>42</v>
      </c>
      <c r="C22" s="20" t="s">
        <v>44</v>
      </c>
      <c r="D22" s="324"/>
      <c r="E22" s="22">
        <v>23.8</v>
      </c>
      <c r="F22" s="23">
        <f t="shared" si="0"/>
        <v>59500</v>
      </c>
      <c r="G22" s="19">
        <v>0</v>
      </c>
      <c r="H22" s="23">
        <v>0</v>
      </c>
      <c r="I22" s="24">
        <v>0</v>
      </c>
      <c r="J22" s="19">
        <v>0</v>
      </c>
      <c r="K22" s="23">
        <v>0</v>
      </c>
      <c r="L22" s="24">
        <v>0</v>
      </c>
      <c r="M22" s="25">
        <v>8.4</v>
      </c>
      <c r="N22" s="26">
        <v>21000</v>
      </c>
      <c r="O22" s="27">
        <v>21</v>
      </c>
      <c r="P22" s="28">
        <f t="shared" si="1"/>
        <v>3.6</v>
      </c>
      <c r="Q22" s="29">
        <f t="shared" si="2"/>
        <v>9000</v>
      </c>
      <c r="R22" s="30">
        <v>9</v>
      </c>
      <c r="S22" s="19">
        <v>0</v>
      </c>
      <c r="T22" s="23">
        <v>0</v>
      </c>
      <c r="U22" s="24">
        <v>0</v>
      </c>
      <c r="V22" s="31">
        <f t="shared" si="3"/>
        <v>11.6</v>
      </c>
      <c r="W22" s="32">
        <v>29000</v>
      </c>
      <c r="X22" s="30">
        <v>29</v>
      </c>
      <c r="Y22" s="19">
        <v>0</v>
      </c>
      <c r="Z22" s="23">
        <v>0</v>
      </c>
      <c r="AA22" s="24">
        <v>0</v>
      </c>
      <c r="AB22" s="33">
        <v>0</v>
      </c>
      <c r="AC22" s="34">
        <v>0</v>
      </c>
      <c r="AD22" s="35">
        <v>0</v>
      </c>
      <c r="AE22" s="36">
        <v>0</v>
      </c>
      <c r="AF22" s="23">
        <v>0</v>
      </c>
      <c r="AG22" s="24">
        <v>0</v>
      </c>
      <c r="AH22" s="33">
        <v>0</v>
      </c>
      <c r="AI22" s="37">
        <v>0</v>
      </c>
      <c r="AJ22" s="35">
        <v>0</v>
      </c>
      <c r="AK22" s="36">
        <v>0</v>
      </c>
      <c r="AL22" s="38">
        <v>0</v>
      </c>
      <c r="AM22" s="35">
        <v>0</v>
      </c>
      <c r="AN22" s="19">
        <v>0</v>
      </c>
      <c r="AO22" s="23">
        <v>0</v>
      </c>
      <c r="AP22" s="24">
        <v>0</v>
      </c>
      <c r="AQ22" s="31">
        <f t="shared" si="4"/>
        <v>23.6</v>
      </c>
      <c r="AR22" s="32">
        <f t="shared" si="4"/>
        <v>59000</v>
      </c>
      <c r="AS22" s="30">
        <v>30</v>
      </c>
    </row>
    <row r="23" spans="1:45" ht="15.6" x14ac:dyDescent="0.3">
      <c r="A23" s="19">
        <v>20</v>
      </c>
      <c r="B23" s="21" t="s">
        <v>42</v>
      </c>
      <c r="C23" s="20" t="s">
        <v>45</v>
      </c>
      <c r="D23" s="324"/>
      <c r="E23" s="22">
        <v>10</v>
      </c>
      <c r="F23" s="23">
        <f t="shared" si="0"/>
        <v>25000</v>
      </c>
      <c r="G23" s="19">
        <v>0</v>
      </c>
      <c r="H23" s="23">
        <v>0</v>
      </c>
      <c r="I23" s="24">
        <v>0</v>
      </c>
      <c r="J23" s="19">
        <v>0</v>
      </c>
      <c r="K23" s="23">
        <v>0</v>
      </c>
      <c r="L23" s="24">
        <v>0</v>
      </c>
      <c r="M23" s="25">
        <v>3.2</v>
      </c>
      <c r="N23" s="26">
        <v>8000</v>
      </c>
      <c r="O23" s="27">
        <v>8</v>
      </c>
      <c r="P23" s="28">
        <f t="shared" si="1"/>
        <v>2</v>
      </c>
      <c r="Q23" s="29">
        <f t="shared" si="2"/>
        <v>5000</v>
      </c>
      <c r="R23" s="30">
        <v>5</v>
      </c>
      <c r="S23" s="19">
        <v>0</v>
      </c>
      <c r="T23" s="23">
        <v>0</v>
      </c>
      <c r="U23" s="24">
        <v>0</v>
      </c>
      <c r="V23" s="31">
        <f t="shared" si="3"/>
        <v>5.2</v>
      </c>
      <c r="W23" s="32">
        <v>13000</v>
      </c>
      <c r="X23" s="30">
        <v>13</v>
      </c>
      <c r="Y23" s="19">
        <v>0</v>
      </c>
      <c r="Z23" s="23">
        <v>0</v>
      </c>
      <c r="AA23" s="24">
        <v>0</v>
      </c>
      <c r="AB23" s="33">
        <v>0</v>
      </c>
      <c r="AC23" s="34">
        <v>0</v>
      </c>
      <c r="AD23" s="35">
        <v>0</v>
      </c>
      <c r="AE23" s="36">
        <v>0</v>
      </c>
      <c r="AF23" s="23">
        <v>0</v>
      </c>
      <c r="AG23" s="24">
        <v>0</v>
      </c>
      <c r="AH23" s="33">
        <v>0</v>
      </c>
      <c r="AI23" s="37">
        <v>0</v>
      </c>
      <c r="AJ23" s="35">
        <v>0</v>
      </c>
      <c r="AK23" s="36">
        <v>0</v>
      </c>
      <c r="AL23" s="38">
        <v>0</v>
      </c>
      <c r="AM23" s="35">
        <v>0</v>
      </c>
      <c r="AN23" s="19">
        <v>0</v>
      </c>
      <c r="AO23" s="23">
        <v>0</v>
      </c>
      <c r="AP23" s="24">
        <v>0</v>
      </c>
      <c r="AQ23" s="31">
        <f t="shared" si="4"/>
        <v>10.4</v>
      </c>
      <c r="AR23" s="32">
        <f t="shared" si="4"/>
        <v>26000</v>
      </c>
      <c r="AS23" s="30">
        <v>13</v>
      </c>
    </row>
    <row r="24" spans="1:45" ht="15.6" x14ac:dyDescent="0.3">
      <c r="A24" s="19">
        <v>21</v>
      </c>
      <c r="B24" s="21" t="s">
        <v>42</v>
      </c>
      <c r="C24" s="20" t="s">
        <v>46</v>
      </c>
      <c r="D24" s="324"/>
      <c r="E24" s="22">
        <v>25.8</v>
      </c>
      <c r="F24" s="23">
        <f t="shared" si="0"/>
        <v>64500</v>
      </c>
      <c r="G24" s="19">
        <v>0</v>
      </c>
      <c r="H24" s="23">
        <v>0</v>
      </c>
      <c r="I24" s="24">
        <v>0</v>
      </c>
      <c r="J24" s="19">
        <v>0</v>
      </c>
      <c r="K24" s="23">
        <v>0</v>
      </c>
      <c r="L24" s="24">
        <v>0</v>
      </c>
      <c r="M24" s="25">
        <v>8</v>
      </c>
      <c r="N24" s="26">
        <v>20000</v>
      </c>
      <c r="O24" s="27">
        <v>20</v>
      </c>
      <c r="P24" s="28">
        <f t="shared" si="1"/>
        <v>2.8</v>
      </c>
      <c r="Q24" s="29">
        <f t="shared" si="2"/>
        <v>7000</v>
      </c>
      <c r="R24" s="30">
        <v>7</v>
      </c>
      <c r="S24" s="19">
        <v>0</v>
      </c>
      <c r="T24" s="23">
        <v>0</v>
      </c>
      <c r="U24" s="24">
        <v>0</v>
      </c>
      <c r="V24" s="31">
        <f t="shared" si="3"/>
        <v>10.4</v>
      </c>
      <c r="W24" s="32">
        <v>26000</v>
      </c>
      <c r="X24" s="30">
        <v>26</v>
      </c>
      <c r="Y24" s="19">
        <v>0</v>
      </c>
      <c r="Z24" s="23">
        <v>0</v>
      </c>
      <c r="AA24" s="24">
        <v>0</v>
      </c>
      <c r="AB24" s="33">
        <v>0</v>
      </c>
      <c r="AC24" s="34">
        <v>0</v>
      </c>
      <c r="AD24" s="35">
        <v>0</v>
      </c>
      <c r="AE24" s="36">
        <v>0</v>
      </c>
      <c r="AF24" s="23">
        <v>0</v>
      </c>
      <c r="AG24" s="24">
        <v>0</v>
      </c>
      <c r="AH24" s="33">
        <v>0</v>
      </c>
      <c r="AI24" s="37">
        <v>0</v>
      </c>
      <c r="AJ24" s="35">
        <v>0</v>
      </c>
      <c r="AK24" s="36">
        <v>0</v>
      </c>
      <c r="AL24" s="38">
        <v>0</v>
      </c>
      <c r="AM24" s="35">
        <v>0</v>
      </c>
      <c r="AN24" s="19">
        <v>0</v>
      </c>
      <c r="AO24" s="23">
        <v>0</v>
      </c>
      <c r="AP24" s="24">
        <v>0</v>
      </c>
      <c r="AQ24" s="31">
        <f t="shared" si="4"/>
        <v>21.200000000000003</v>
      </c>
      <c r="AR24" s="32">
        <f t="shared" si="4"/>
        <v>53000</v>
      </c>
      <c r="AS24" s="30">
        <v>27</v>
      </c>
    </row>
    <row r="25" spans="1:45" ht="15.6" x14ac:dyDescent="0.3">
      <c r="A25" s="19">
        <v>22</v>
      </c>
      <c r="B25" s="21" t="s">
        <v>42</v>
      </c>
      <c r="C25" s="20" t="s">
        <v>47</v>
      </c>
      <c r="D25" s="324"/>
      <c r="E25" s="22">
        <v>8</v>
      </c>
      <c r="F25" s="23">
        <f t="shared" si="0"/>
        <v>20000</v>
      </c>
      <c r="G25" s="19">
        <v>0</v>
      </c>
      <c r="H25" s="23">
        <v>0</v>
      </c>
      <c r="I25" s="24">
        <v>0</v>
      </c>
      <c r="J25" s="19">
        <v>0</v>
      </c>
      <c r="K25" s="23">
        <v>0</v>
      </c>
      <c r="L25" s="24">
        <v>0</v>
      </c>
      <c r="M25" s="25">
        <v>1.6</v>
      </c>
      <c r="N25" s="26">
        <v>4000</v>
      </c>
      <c r="O25" s="27">
        <v>4</v>
      </c>
      <c r="P25" s="28">
        <f t="shared" si="1"/>
        <v>1.2</v>
      </c>
      <c r="Q25" s="29">
        <f t="shared" si="2"/>
        <v>3000</v>
      </c>
      <c r="R25" s="30">
        <v>3</v>
      </c>
      <c r="S25" s="19">
        <v>0</v>
      </c>
      <c r="T25" s="23">
        <v>0</v>
      </c>
      <c r="U25" s="24">
        <v>0</v>
      </c>
      <c r="V25" s="31">
        <f t="shared" si="3"/>
        <v>2.8</v>
      </c>
      <c r="W25" s="32">
        <v>7000</v>
      </c>
      <c r="X25" s="30">
        <v>7</v>
      </c>
      <c r="Y25" s="19">
        <v>0</v>
      </c>
      <c r="Z25" s="23">
        <v>0</v>
      </c>
      <c r="AA25" s="24">
        <v>0</v>
      </c>
      <c r="AB25" s="33">
        <v>0</v>
      </c>
      <c r="AC25" s="34">
        <v>0</v>
      </c>
      <c r="AD25" s="35">
        <v>0</v>
      </c>
      <c r="AE25" s="36">
        <v>0</v>
      </c>
      <c r="AF25" s="23">
        <v>0</v>
      </c>
      <c r="AG25" s="24">
        <v>0</v>
      </c>
      <c r="AH25" s="33">
        <v>0</v>
      </c>
      <c r="AI25" s="37">
        <v>0</v>
      </c>
      <c r="AJ25" s="35">
        <v>0</v>
      </c>
      <c r="AK25" s="36">
        <v>0</v>
      </c>
      <c r="AL25" s="38">
        <v>0</v>
      </c>
      <c r="AM25" s="35">
        <v>0</v>
      </c>
      <c r="AN25" s="19">
        <v>0</v>
      </c>
      <c r="AO25" s="23">
        <v>0</v>
      </c>
      <c r="AP25" s="24">
        <v>0</v>
      </c>
      <c r="AQ25" s="31">
        <f t="shared" si="4"/>
        <v>5.6</v>
      </c>
      <c r="AR25" s="32">
        <f t="shared" si="4"/>
        <v>14000</v>
      </c>
      <c r="AS25" s="30">
        <v>7</v>
      </c>
    </row>
    <row r="26" spans="1:45" ht="15.6" x14ac:dyDescent="0.3">
      <c r="A26" s="19">
        <v>23</v>
      </c>
      <c r="B26" s="21" t="s">
        <v>42</v>
      </c>
      <c r="C26" s="20" t="s">
        <v>48</v>
      </c>
      <c r="D26" s="324"/>
      <c r="E26" s="22">
        <v>14.4</v>
      </c>
      <c r="F26" s="23">
        <f t="shared" si="0"/>
        <v>36000</v>
      </c>
      <c r="G26" s="19">
        <v>0</v>
      </c>
      <c r="H26" s="23">
        <v>0</v>
      </c>
      <c r="I26" s="24">
        <v>0</v>
      </c>
      <c r="J26" s="19">
        <v>0</v>
      </c>
      <c r="K26" s="23">
        <v>0</v>
      </c>
      <c r="L26" s="24">
        <v>0</v>
      </c>
      <c r="M26" s="25">
        <v>3.6</v>
      </c>
      <c r="N26" s="26">
        <v>9000</v>
      </c>
      <c r="O26" s="27">
        <v>9</v>
      </c>
      <c r="P26" s="28">
        <f t="shared" si="1"/>
        <v>0.8</v>
      </c>
      <c r="Q26" s="29">
        <f t="shared" si="2"/>
        <v>2000</v>
      </c>
      <c r="R26" s="30">
        <v>2</v>
      </c>
      <c r="S26" s="19">
        <v>0</v>
      </c>
      <c r="T26" s="23">
        <v>0</v>
      </c>
      <c r="U26" s="24">
        <v>0</v>
      </c>
      <c r="V26" s="31">
        <f t="shared" si="3"/>
        <v>4.4000000000000004</v>
      </c>
      <c r="W26" s="32">
        <v>11000</v>
      </c>
      <c r="X26" s="30">
        <v>11</v>
      </c>
      <c r="Y26" s="19">
        <v>0</v>
      </c>
      <c r="Z26" s="23">
        <v>0</v>
      </c>
      <c r="AA26" s="24">
        <v>0</v>
      </c>
      <c r="AB26" s="33">
        <v>0</v>
      </c>
      <c r="AC26" s="34">
        <v>0</v>
      </c>
      <c r="AD26" s="35">
        <v>0</v>
      </c>
      <c r="AE26" s="36">
        <v>0</v>
      </c>
      <c r="AF26" s="23">
        <v>0</v>
      </c>
      <c r="AG26" s="24">
        <v>0</v>
      </c>
      <c r="AH26" s="33">
        <v>0</v>
      </c>
      <c r="AI26" s="37">
        <v>0</v>
      </c>
      <c r="AJ26" s="35">
        <v>0</v>
      </c>
      <c r="AK26" s="36">
        <v>0</v>
      </c>
      <c r="AL26" s="38">
        <v>0</v>
      </c>
      <c r="AM26" s="35">
        <v>0</v>
      </c>
      <c r="AN26" s="19">
        <v>0</v>
      </c>
      <c r="AO26" s="23">
        <v>0</v>
      </c>
      <c r="AP26" s="24">
        <v>0</v>
      </c>
      <c r="AQ26" s="31">
        <f t="shared" si="4"/>
        <v>8.8000000000000007</v>
      </c>
      <c r="AR26" s="32">
        <f t="shared" si="4"/>
        <v>22000</v>
      </c>
      <c r="AS26" s="30">
        <v>11</v>
      </c>
    </row>
    <row r="27" spans="1:45" ht="15.6" x14ac:dyDescent="0.3">
      <c r="A27" s="19">
        <v>24</v>
      </c>
      <c r="B27" s="21" t="s">
        <v>42</v>
      </c>
      <c r="C27" s="20" t="s">
        <v>49</v>
      </c>
      <c r="D27" s="324"/>
      <c r="E27" s="22">
        <v>22.8</v>
      </c>
      <c r="F27" s="23">
        <f t="shared" si="0"/>
        <v>57000</v>
      </c>
      <c r="G27" s="19">
        <v>0</v>
      </c>
      <c r="H27" s="23">
        <v>0</v>
      </c>
      <c r="I27" s="24">
        <v>0</v>
      </c>
      <c r="J27" s="19">
        <v>0</v>
      </c>
      <c r="K27" s="23">
        <v>0</v>
      </c>
      <c r="L27" s="24">
        <v>0</v>
      </c>
      <c r="M27" s="25">
        <v>6.8</v>
      </c>
      <c r="N27" s="26">
        <v>17000</v>
      </c>
      <c r="O27" s="27">
        <v>17</v>
      </c>
      <c r="P27" s="28">
        <f t="shared" si="1"/>
        <v>1.6</v>
      </c>
      <c r="Q27" s="29">
        <f t="shared" si="2"/>
        <v>4000</v>
      </c>
      <c r="R27" s="30">
        <v>4</v>
      </c>
      <c r="S27" s="19">
        <v>0</v>
      </c>
      <c r="T27" s="23">
        <v>0</v>
      </c>
      <c r="U27" s="24">
        <v>0</v>
      </c>
      <c r="V27" s="31">
        <f t="shared" si="3"/>
        <v>8.4</v>
      </c>
      <c r="W27" s="32">
        <v>21000</v>
      </c>
      <c r="X27" s="30">
        <v>21</v>
      </c>
      <c r="Y27" s="19">
        <v>0</v>
      </c>
      <c r="Z27" s="23">
        <v>0</v>
      </c>
      <c r="AA27" s="24">
        <v>0</v>
      </c>
      <c r="AB27" s="33">
        <v>0</v>
      </c>
      <c r="AC27" s="34">
        <v>0</v>
      </c>
      <c r="AD27" s="35">
        <v>0</v>
      </c>
      <c r="AE27" s="36">
        <v>0</v>
      </c>
      <c r="AF27" s="23">
        <v>0</v>
      </c>
      <c r="AG27" s="24">
        <v>0</v>
      </c>
      <c r="AH27" s="33">
        <v>0</v>
      </c>
      <c r="AI27" s="37">
        <v>0</v>
      </c>
      <c r="AJ27" s="35">
        <v>0</v>
      </c>
      <c r="AK27" s="36">
        <v>0</v>
      </c>
      <c r="AL27" s="38">
        <v>0</v>
      </c>
      <c r="AM27" s="35">
        <v>0</v>
      </c>
      <c r="AN27" s="19">
        <v>0</v>
      </c>
      <c r="AO27" s="23">
        <v>0</v>
      </c>
      <c r="AP27" s="24">
        <v>0</v>
      </c>
      <c r="AQ27" s="31">
        <f t="shared" si="4"/>
        <v>16.8</v>
      </c>
      <c r="AR27" s="32">
        <f t="shared" si="4"/>
        <v>42000</v>
      </c>
      <c r="AS27" s="30">
        <v>21</v>
      </c>
    </row>
    <row r="28" spans="1:45" ht="15.6" x14ac:dyDescent="0.3">
      <c r="A28" s="19">
        <v>25</v>
      </c>
      <c r="B28" s="21" t="s">
        <v>42</v>
      </c>
      <c r="C28" s="20" t="s">
        <v>50</v>
      </c>
      <c r="D28" s="324"/>
      <c r="E28" s="22">
        <v>16.399999999999999</v>
      </c>
      <c r="F28" s="23">
        <f t="shared" si="0"/>
        <v>41000</v>
      </c>
      <c r="G28" s="19">
        <v>0</v>
      </c>
      <c r="H28" s="23">
        <v>0</v>
      </c>
      <c r="I28" s="24">
        <v>0</v>
      </c>
      <c r="J28" s="19">
        <v>0</v>
      </c>
      <c r="K28" s="23">
        <v>0</v>
      </c>
      <c r="L28" s="24">
        <v>0</v>
      </c>
      <c r="M28" s="25">
        <v>6</v>
      </c>
      <c r="N28" s="26">
        <v>15000</v>
      </c>
      <c r="O28" s="27">
        <v>15</v>
      </c>
      <c r="P28" s="28">
        <f t="shared" si="1"/>
        <v>2.4</v>
      </c>
      <c r="Q28" s="29">
        <f t="shared" si="2"/>
        <v>6000</v>
      </c>
      <c r="R28" s="30">
        <v>6</v>
      </c>
      <c r="S28" s="19">
        <v>0</v>
      </c>
      <c r="T28" s="23">
        <v>0</v>
      </c>
      <c r="U28" s="24">
        <v>0</v>
      </c>
      <c r="V28" s="31">
        <f t="shared" si="3"/>
        <v>8.4</v>
      </c>
      <c r="W28" s="32">
        <v>21000</v>
      </c>
      <c r="X28" s="30">
        <v>21</v>
      </c>
      <c r="Y28" s="19">
        <v>0</v>
      </c>
      <c r="Z28" s="23">
        <v>0</v>
      </c>
      <c r="AA28" s="24">
        <v>0</v>
      </c>
      <c r="AB28" s="33">
        <v>0</v>
      </c>
      <c r="AC28" s="34">
        <v>0</v>
      </c>
      <c r="AD28" s="35">
        <v>0</v>
      </c>
      <c r="AE28" s="36">
        <v>0</v>
      </c>
      <c r="AF28" s="23">
        <v>0</v>
      </c>
      <c r="AG28" s="24">
        <v>0</v>
      </c>
      <c r="AH28" s="33">
        <v>0</v>
      </c>
      <c r="AI28" s="37">
        <v>0</v>
      </c>
      <c r="AJ28" s="35">
        <v>0</v>
      </c>
      <c r="AK28" s="36">
        <v>0</v>
      </c>
      <c r="AL28" s="38">
        <v>0</v>
      </c>
      <c r="AM28" s="35">
        <v>0</v>
      </c>
      <c r="AN28" s="19">
        <v>0</v>
      </c>
      <c r="AO28" s="23">
        <v>0</v>
      </c>
      <c r="AP28" s="24">
        <v>0</v>
      </c>
      <c r="AQ28" s="31">
        <f t="shared" si="4"/>
        <v>16.8</v>
      </c>
      <c r="AR28" s="32">
        <f t="shared" si="4"/>
        <v>42000</v>
      </c>
      <c r="AS28" s="30">
        <v>21</v>
      </c>
    </row>
    <row r="29" spans="1:45" ht="15.6" x14ac:dyDescent="0.3">
      <c r="A29" s="19">
        <v>26</v>
      </c>
      <c r="B29" s="21" t="s">
        <v>51</v>
      </c>
      <c r="C29" s="20" t="s">
        <v>52</v>
      </c>
      <c r="D29" s="324"/>
      <c r="E29" s="22">
        <v>11.399999999999999</v>
      </c>
      <c r="F29" s="23">
        <f t="shared" si="0"/>
        <v>28499.999999999996</v>
      </c>
      <c r="G29" s="19">
        <v>0</v>
      </c>
      <c r="H29" s="23">
        <v>0</v>
      </c>
      <c r="I29" s="24">
        <v>0</v>
      </c>
      <c r="J29" s="19">
        <v>0</v>
      </c>
      <c r="K29" s="23">
        <v>0</v>
      </c>
      <c r="L29" s="24">
        <v>0</v>
      </c>
      <c r="M29" s="25">
        <v>2.4</v>
      </c>
      <c r="N29" s="26">
        <v>6000</v>
      </c>
      <c r="O29" s="27">
        <v>6</v>
      </c>
      <c r="P29" s="28">
        <f t="shared" si="1"/>
        <v>0.8</v>
      </c>
      <c r="Q29" s="29">
        <f t="shared" si="2"/>
        <v>2000</v>
      </c>
      <c r="R29" s="30">
        <v>2</v>
      </c>
      <c r="S29" s="19">
        <v>0</v>
      </c>
      <c r="T29" s="23">
        <v>0</v>
      </c>
      <c r="U29" s="24">
        <v>0</v>
      </c>
      <c r="V29" s="31">
        <f t="shared" si="3"/>
        <v>3.2</v>
      </c>
      <c r="W29" s="32">
        <v>8000</v>
      </c>
      <c r="X29" s="30">
        <v>8</v>
      </c>
      <c r="Y29" s="19">
        <v>0</v>
      </c>
      <c r="Z29" s="23">
        <v>0</v>
      </c>
      <c r="AA29" s="24">
        <v>0</v>
      </c>
      <c r="AB29" s="33">
        <v>0</v>
      </c>
      <c r="AC29" s="34">
        <v>0</v>
      </c>
      <c r="AD29" s="35">
        <v>0</v>
      </c>
      <c r="AE29" s="36">
        <v>0</v>
      </c>
      <c r="AF29" s="23">
        <v>0</v>
      </c>
      <c r="AG29" s="24">
        <v>0</v>
      </c>
      <c r="AH29" s="33">
        <v>0</v>
      </c>
      <c r="AI29" s="37">
        <v>0</v>
      </c>
      <c r="AJ29" s="35">
        <v>0</v>
      </c>
      <c r="AK29" s="36">
        <v>0</v>
      </c>
      <c r="AL29" s="38">
        <v>0</v>
      </c>
      <c r="AM29" s="35">
        <v>0</v>
      </c>
      <c r="AN29" s="19">
        <v>0</v>
      </c>
      <c r="AO29" s="23">
        <v>0</v>
      </c>
      <c r="AP29" s="24">
        <v>0</v>
      </c>
      <c r="AQ29" s="31">
        <f t="shared" si="4"/>
        <v>6.4</v>
      </c>
      <c r="AR29" s="32">
        <f t="shared" si="4"/>
        <v>16000</v>
      </c>
      <c r="AS29" s="30">
        <v>8</v>
      </c>
    </row>
    <row r="30" spans="1:45" ht="15.6" x14ac:dyDescent="0.3">
      <c r="A30" s="19">
        <v>27</v>
      </c>
      <c r="B30" s="21" t="s">
        <v>51</v>
      </c>
      <c r="C30" s="20" t="s">
        <v>51</v>
      </c>
      <c r="D30" s="324"/>
      <c r="E30" s="22">
        <v>23.600000000000009</v>
      </c>
      <c r="F30" s="23">
        <f t="shared" si="0"/>
        <v>59000.000000000022</v>
      </c>
      <c r="G30" s="19">
        <v>0</v>
      </c>
      <c r="H30" s="23">
        <v>0</v>
      </c>
      <c r="I30" s="24">
        <v>0</v>
      </c>
      <c r="J30" s="19">
        <v>0</v>
      </c>
      <c r="K30" s="23">
        <v>0</v>
      </c>
      <c r="L30" s="24">
        <v>0</v>
      </c>
      <c r="M30" s="25">
        <v>5.6</v>
      </c>
      <c r="N30" s="26">
        <v>14000</v>
      </c>
      <c r="O30" s="27">
        <v>14</v>
      </c>
      <c r="P30" s="28">
        <f t="shared" si="1"/>
        <v>3.2</v>
      </c>
      <c r="Q30" s="29">
        <f t="shared" si="2"/>
        <v>8000</v>
      </c>
      <c r="R30" s="30">
        <v>8</v>
      </c>
      <c r="S30" s="19">
        <v>0</v>
      </c>
      <c r="T30" s="23">
        <v>0</v>
      </c>
      <c r="U30" s="24">
        <v>0</v>
      </c>
      <c r="V30" s="31">
        <f t="shared" si="3"/>
        <v>8.8000000000000007</v>
      </c>
      <c r="W30" s="32">
        <v>22000</v>
      </c>
      <c r="X30" s="30">
        <v>22</v>
      </c>
      <c r="Y30" s="19">
        <v>0</v>
      </c>
      <c r="Z30" s="23">
        <v>0</v>
      </c>
      <c r="AA30" s="24">
        <v>0</v>
      </c>
      <c r="AB30" s="33">
        <v>0</v>
      </c>
      <c r="AC30" s="34">
        <v>0</v>
      </c>
      <c r="AD30" s="35">
        <v>0</v>
      </c>
      <c r="AE30" s="36">
        <v>0</v>
      </c>
      <c r="AF30" s="23">
        <v>0</v>
      </c>
      <c r="AG30" s="24">
        <v>0</v>
      </c>
      <c r="AH30" s="33">
        <v>0</v>
      </c>
      <c r="AI30" s="37">
        <v>0</v>
      </c>
      <c r="AJ30" s="35">
        <v>0</v>
      </c>
      <c r="AK30" s="36">
        <v>0</v>
      </c>
      <c r="AL30" s="38">
        <v>0</v>
      </c>
      <c r="AM30" s="35">
        <v>0</v>
      </c>
      <c r="AN30" s="19">
        <v>0</v>
      </c>
      <c r="AO30" s="23">
        <v>0</v>
      </c>
      <c r="AP30" s="24">
        <v>0</v>
      </c>
      <c r="AQ30" s="31">
        <f t="shared" si="4"/>
        <v>17.600000000000001</v>
      </c>
      <c r="AR30" s="32">
        <f t="shared" si="4"/>
        <v>44000</v>
      </c>
      <c r="AS30" s="30">
        <v>22</v>
      </c>
    </row>
    <row r="31" spans="1:45" ht="15.6" x14ac:dyDescent="0.3">
      <c r="A31" s="19">
        <v>28</v>
      </c>
      <c r="B31" s="21" t="s">
        <v>51</v>
      </c>
      <c r="C31" s="20" t="s">
        <v>53</v>
      </c>
      <c r="D31" s="324"/>
      <c r="E31" s="22">
        <v>18</v>
      </c>
      <c r="F31" s="23">
        <f t="shared" si="0"/>
        <v>45000</v>
      </c>
      <c r="G31" s="19">
        <v>0</v>
      </c>
      <c r="H31" s="23">
        <v>0</v>
      </c>
      <c r="I31" s="24">
        <v>0</v>
      </c>
      <c r="J31" s="19">
        <v>0</v>
      </c>
      <c r="K31" s="23">
        <v>0</v>
      </c>
      <c r="L31" s="24">
        <v>0</v>
      </c>
      <c r="M31" s="25">
        <v>3.2</v>
      </c>
      <c r="N31" s="26">
        <v>8000</v>
      </c>
      <c r="O31" s="27">
        <v>8</v>
      </c>
      <c r="P31" s="28">
        <f t="shared" si="1"/>
        <v>3.2</v>
      </c>
      <c r="Q31" s="29">
        <f t="shared" si="2"/>
        <v>8000</v>
      </c>
      <c r="R31" s="30">
        <v>8</v>
      </c>
      <c r="S31" s="19">
        <v>0</v>
      </c>
      <c r="T31" s="23">
        <v>0</v>
      </c>
      <c r="U31" s="24">
        <v>0</v>
      </c>
      <c r="V31" s="31">
        <f t="shared" si="3"/>
        <v>6.4</v>
      </c>
      <c r="W31" s="32">
        <v>16000</v>
      </c>
      <c r="X31" s="30">
        <v>16</v>
      </c>
      <c r="Y31" s="19">
        <v>0</v>
      </c>
      <c r="Z31" s="23">
        <v>0</v>
      </c>
      <c r="AA31" s="24">
        <v>0</v>
      </c>
      <c r="AB31" s="33">
        <v>0</v>
      </c>
      <c r="AC31" s="34">
        <v>0</v>
      </c>
      <c r="AD31" s="35">
        <v>0</v>
      </c>
      <c r="AE31" s="36">
        <v>0</v>
      </c>
      <c r="AF31" s="23">
        <v>0</v>
      </c>
      <c r="AG31" s="24">
        <v>0</v>
      </c>
      <c r="AH31" s="33">
        <v>0</v>
      </c>
      <c r="AI31" s="37">
        <v>0</v>
      </c>
      <c r="AJ31" s="35">
        <v>0</v>
      </c>
      <c r="AK31" s="36">
        <v>0</v>
      </c>
      <c r="AL31" s="38">
        <v>0</v>
      </c>
      <c r="AM31" s="35">
        <v>0</v>
      </c>
      <c r="AN31" s="19">
        <v>0</v>
      </c>
      <c r="AO31" s="23">
        <v>0</v>
      </c>
      <c r="AP31" s="24">
        <v>0</v>
      </c>
      <c r="AQ31" s="31">
        <f t="shared" si="4"/>
        <v>12.8</v>
      </c>
      <c r="AR31" s="32">
        <f t="shared" si="4"/>
        <v>32000</v>
      </c>
      <c r="AS31" s="30">
        <v>16</v>
      </c>
    </row>
    <row r="32" spans="1:45" ht="15.6" x14ac:dyDescent="0.3">
      <c r="A32" s="19">
        <v>29</v>
      </c>
      <c r="B32" s="21" t="s">
        <v>51</v>
      </c>
      <c r="C32" s="20" t="s">
        <v>54</v>
      </c>
      <c r="D32" s="324"/>
      <c r="E32" s="22">
        <v>16.399999999999999</v>
      </c>
      <c r="F32" s="23">
        <f t="shared" si="0"/>
        <v>41000</v>
      </c>
      <c r="G32" s="19">
        <v>0</v>
      </c>
      <c r="H32" s="23">
        <v>0</v>
      </c>
      <c r="I32" s="24">
        <v>0</v>
      </c>
      <c r="J32" s="19">
        <v>0</v>
      </c>
      <c r="K32" s="23">
        <v>0</v>
      </c>
      <c r="L32" s="24">
        <v>0</v>
      </c>
      <c r="M32" s="25">
        <v>5.2</v>
      </c>
      <c r="N32" s="26">
        <v>13000</v>
      </c>
      <c r="O32" s="27">
        <v>13</v>
      </c>
      <c r="P32" s="28">
        <f t="shared" si="1"/>
        <v>1.2</v>
      </c>
      <c r="Q32" s="29">
        <f t="shared" si="2"/>
        <v>3000</v>
      </c>
      <c r="R32" s="30">
        <v>3</v>
      </c>
      <c r="S32" s="19">
        <v>0</v>
      </c>
      <c r="T32" s="23">
        <v>0</v>
      </c>
      <c r="U32" s="24">
        <v>0</v>
      </c>
      <c r="V32" s="31">
        <f t="shared" si="3"/>
        <v>5.6</v>
      </c>
      <c r="W32" s="32">
        <v>14000</v>
      </c>
      <c r="X32" s="30">
        <v>14</v>
      </c>
      <c r="Y32" s="19">
        <v>0</v>
      </c>
      <c r="Z32" s="23">
        <v>0</v>
      </c>
      <c r="AA32" s="24">
        <v>0</v>
      </c>
      <c r="AB32" s="33">
        <v>0</v>
      </c>
      <c r="AC32" s="34">
        <v>0</v>
      </c>
      <c r="AD32" s="35">
        <v>0</v>
      </c>
      <c r="AE32" s="36">
        <v>0</v>
      </c>
      <c r="AF32" s="23">
        <v>0</v>
      </c>
      <c r="AG32" s="24">
        <v>0</v>
      </c>
      <c r="AH32" s="33">
        <v>0</v>
      </c>
      <c r="AI32" s="37">
        <v>0</v>
      </c>
      <c r="AJ32" s="35">
        <v>0</v>
      </c>
      <c r="AK32" s="36">
        <v>0</v>
      </c>
      <c r="AL32" s="38">
        <v>0</v>
      </c>
      <c r="AM32" s="35">
        <v>0</v>
      </c>
      <c r="AN32" s="19">
        <v>0</v>
      </c>
      <c r="AO32" s="23">
        <v>0</v>
      </c>
      <c r="AP32" s="24">
        <v>0</v>
      </c>
      <c r="AQ32" s="31">
        <f t="shared" si="4"/>
        <v>12</v>
      </c>
      <c r="AR32" s="32">
        <f t="shared" si="4"/>
        <v>30000</v>
      </c>
      <c r="AS32" s="30">
        <v>16</v>
      </c>
    </row>
    <row r="33" spans="1:45" ht="15.6" x14ac:dyDescent="0.3">
      <c r="A33" s="19">
        <v>30</v>
      </c>
      <c r="B33" s="21" t="s">
        <v>51</v>
      </c>
      <c r="C33" s="20" t="s">
        <v>55</v>
      </c>
      <c r="D33" s="324"/>
      <c r="E33" s="22">
        <v>19.599999999999998</v>
      </c>
      <c r="F33" s="23">
        <f t="shared" si="0"/>
        <v>48999.999999999993</v>
      </c>
      <c r="G33" s="19">
        <v>0</v>
      </c>
      <c r="H33" s="23">
        <v>0</v>
      </c>
      <c r="I33" s="24">
        <v>0</v>
      </c>
      <c r="J33" s="19">
        <v>0</v>
      </c>
      <c r="K33" s="23">
        <v>0</v>
      </c>
      <c r="L33" s="24">
        <v>0</v>
      </c>
      <c r="M33" s="25">
        <v>4</v>
      </c>
      <c r="N33" s="26">
        <v>10000</v>
      </c>
      <c r="O33" s="27">
        <v>10</v>
      </c>
      <c r="P33" s="28">
        <f t="shared" si="1"/>
        <v>4</v>
      </c>
      <c r="Q33" s="29">
        <f t="shared" si="2"/>
        <v>10000</v>
      </c>
      <c r="R33" s="30">
        <v>10</v>
      </c>
      <c r="S33" s="19">
        <v>0</v>
      </c>
      <c r="T33" s="23">
        <v>0</v>
      </c>
      <c r="U33" s="24">
        <v>0</v>
      </c>
      <c r="V33" s="31">
        <f t="shared" si="3"/>
        <v>8</v>
      </c>
      <c r="W33" s="32">
        <v>20000</v>
      </c>
      <c r="X33" s="30">
        <v>20</v>
      </c>
      <c r="Y33" s="19">
        <v>0</v>
      </c>
      <c r="Z33" s="23">
        <v>0</v>
      </c>
      <c r="AA33" s="24">
        <v>0</v>
      </c>
      <c r="AB33" s="33">
        <v>0</v>
      </c>
      <c r="AC33" s="34">
        <v>0</v>
      </c>
      <c r="AD33" s="35">
        <v>0</v>
      </c>
      <c r="AE33" s="36">
        <v>0</v>
      </c>
      <c r="AF33" s="23">
        <v>0</v>
      </c>
      <c r="AG33" s="24">
        <v>0</v>
      </c>
      <c r="AH33" s="33">
        <v>0</v>
      </c>
      <c r="AI33" s="37">
        <v>0</v>
      </c>
      <c r="AJ33" s="35">
        <v>0</v>
      </c>
      <c r="AK33" s="36">
        <v>0</v>
      </c>
      <c r="AL33" s="38">
        <v>0</v>
      </c>
      <c r="AM33" s="35">
        <v>0</v>
      </c>
      <c r="AN33" s="19">
        <v>0</v>
      </c>
      <c r="AO33" s="23">
        <v>0</v>
      </c>
      <c r="AP33" s="24">
        <v>0</v>
      </c>
      <c r="AQ33" s="31">
        <f t="shared" si="4"/>
        <v>16</v>
      </c>
      <c r="AR33" s="32">
        <f t="shared" si="4"/>
        <v>40000</v>
      </c>
      <c r="AS33" s="30">
        <v>22</v>
      </c>
    </row>
    <row r="34" spans="1:45" ht="15.6" x14ac:dyDescent="0.3">
      <c r="A34" s="19">
        <v>31</v>
      </c>
      <c r="B34" s="21" t="s">
        <v>51</v>
      </c>
      <c r="C34" s="20" t="s">
        <v>56</v>
      </c>
      <c r="D34" s="324"/>
      <c r="E34" s="22">
        <v>13.8</v>
      </c>
      <c r="F34" s="23">
        <f t="shared" si="0"/>
        <v>34500</v>
      </c>
      <c r="G34" s="19">
        <v>0</v>
      </c>
      <c r="H34" s="23">
        <v>0</v>
      </c>
      <c r="I34" s="24">
        <v>0</v>
      </c>
      <c r="J34" s="19">
        <v>0</v>
      </c>
      <c r="K34" s="23">
        <v>0</v>
      </c>
      <c r="L34" s="24">
        <v>0</v>
      </c>
      <c r="M34" s="25">
        <v>3.2</v>
      </c>
      <c r="N34" s="26">
        <v>8000</v>
      </c>
      <c r="O34" s="27">
        <v>8</v>
      </c>
      <c r="P34" s="28">
        <f t="shared" si="1"/>
        <v>1.6</v>
      </c>
      <c r="Q34" s="29">
        <f t="shared" si="2"/>
        <v>4000</v>
      </c>
      <c r="R34" s="30">
        <v>4</v>
      </c>
      <c r="S34" s="19">
        <v>0</v>
      </c>
      <c r="T34" s="23">
        <v>0</v>
      </c>
      <c r="U34" s="24">
        <v>0</v>
      </c>
      <c r="V34" s="31">
        <f t="shared" si="3"/>
        <v>4.8</v>
      </c>
      <c r="W34" s="32">
        <v>12000</v>
      </c>
      <c r="X34" s="30">
        <v>12</v>
      </c>
      <c r="Y34" s="19">
        <v>0</v>
      </c>
      <c r="Z34" s="23">
        <v>0</v>
      </c>
      <c r="AA34" s="24">
        <v>0</v>
      </c>
      <c r="AB34" s="33">
        <v>0</v>
      </c>
      <c r="AC34" s="34">
        <v>0</v>
      </c>
      <c r="AD34" s="35">
        <v>0</v>
      </c>
      <c r="AE34" s="36">
        <v>0</v>
      </c>
      <c r="AF34" s="23">
        <v>0</v>
      </c>
      <c r="AG34" s="24">
        <v>0</v>
      </c>
      <c r="AH34" s="33">
        <v>0</v>
      </c>
      <c r="AI34" s="37">
        <v>0</v>
      </c>
      <c r="AJ34" s="35">
        <v>0</v>
      </c>
      <c r="AK34" s="36">
        <v>0</v>
      </c>
      <c r="AL34" s="38">
        <v>0</v>
      </c>
      <c r="AM34" s="35">
        <v>0</v>
      </c>
      <c r="AN34" s="19">
        <v>0</v>
      </c>
      <c r="AO34" s="23">
        <v>0</v>
      </c>
      <c r="AP34" s="24">
        <v>0</v>
      </c>
      <c r="AQ34" s="31">
        <f t="shared" si="4"/>
        <v>9.6000000000000014</v>
      </c>
      <c r="AR34" s="32">
        <f t="shared" si="4"/>
        <v>24000</v>
      </c>
      <c r="AS34" s="30">
        <v>12</v>
      </c>
    </row>
    <row r="35" spans="1:45" ht="15.6" x14ac:dyDescent="0.3">
      <c r="A35" s="19">
        <v>32</v>
      </c>
      <c r="B35" s="21" t="s">
        <v>51</v>
      </c>
      <c r="C35" s="20" t="s">
        <v>57</v>
      </c>
      <c r="D35" s="324"/>
      <c r="E35" s="22">
        <v>19.399999999999999</v>
      </c>
      <c r="F35" s="23">
        <f t="shared" si="0"/>
        <v>48500</v>
      </c>
      <c r="G35" s="19">
        <v>0</v>
      </c>
      <c r="H35" s="23">
        <v>0</v>
      </c>
      <c r="I35" s="24">
        <v>0</v>
      </c>
      <c r="J35" s="19">
        <v>0</v>
      </c>
      <c r="K35" s="23">
        <v>0</v>
      </c>
      <c r="L35" s="24">
        <v>0</v>
      </c>
      <c r="M35" s="25">
        <v>4</v>
      </c>
      <c r="N35" s="26">
        <v>10000</v>
      </c>
      <c r="O35" s="27">
        <v>10</v>
      </c>
      <c r="P35" s="28">
        <f t="shared" si="1"/>
        <v>4</v>
      </c>
      <c r="Q35" s="29">
        <f t="shared" si="2"/>
        <v>10000</v>
      </c>
      <c r="R35" s="30">
        <v>10</v>
      </c>
      <c r="S35" s="19">
        <v>0</v>
      </c>
      <c r="T35" s="23">
        <v>0</v>
      </c>
      <c r="U35" s="24">
        <v>0</v>
      </c>
      <c r="V35" s="31">
        <f t="shared" si="3"/>
        <v>7.2</v>
      </c>
      <c r="W35" s="32">
        <v>18000</v>
      </c>
      <c r="X35" s="30">
        <v>18</v>
      </c>
      <c r="Y35" s="19">
        <v>0</v>
      </c>
      <c r="Z35" s="23">
        <v>0</v>
      </c>
      <c r="AA35" s="24">
        <v>0</v>
      </c>
      <c r="AB35" s="33">
        <v>0</v>
      </c>
      <c r="AC35" s="34">
        <v>0</v>
      </c>
      <c r="AD35" s="35">
        <v>0</v>
      </c>
      <c r="AE35" s="36">
        <v>0</v>
      </c>
      <c r="AF35" s="23">
        <v>0</v>
      </c>
      <c r="AG35" s="24">
        <v>0</v>
      </c>
      <c r="AH35" s="33">
        <v>0</v>
      </c>
      <c r="AI35" s="37">
        <v>0</v>
      </c>
      <c r="AJ35" s="35">
        <v>0</v>
      </c>
      <c r="AK35" s="36">
        <v>0</v>
      </c>
      <c r="AL35" s="38">
        <v>0</v>
      </c>
      <c r="AM35" s="35">
        <v>0</v>
      </c>
      <c r="AN35" s="19">
        <v>0</v>
      </c>
      <c r="AO35" s="23">
        <v>0</v>
      </c>
      <c r="AP35" s="24">
        <v>0</v>
      </c>
      <c r="AQ35" s="31">
        <f t="shared" si="4"/>
        <v>15.2</v>
      </c>
      <c r="AR35" s="32">
        <f t="shared" si="4"/>
        <v>38000</v>
      </c>
      <c r="AS35" s="30">
        <v>20</v>
      </c>
    </row>
    <row r="36" spans="1:45" ht="15.6" x14ac:dyDescent="0.3">
      <c r="A36" s="19">
        <v>33</v>
      </c>
      <c r="B36" s="21" t="s">
        <v>51</v>
      </c>
      <c r="C36" s="20" t="s">
        <v>58</v>
      </c>
      <c r="D36" s="324"/>
      <c r="E36" s="22">
        <v>25.400000000000002</v>
      </c>
      <c r="F36" s="23">
        <f t="shared" si="0"/>
        <v>63500.000000000007</v>
      </c>
      <c r="G36" s="19">
        <v>0</v>
      </c>
      <c r="H36" s="23">
        <v>0</v>
      </c>
      <c r="I36" s="24">
        <v>0</v>
      </c>
      <c r="J36" s="19">
        <v>0</v>
      </c>
      <c r="K36" s="23">
        <v>0</v>
      </c>
      <c r="L36" s="24">
        <v>0</v>
      </c>
      <c r="M36" s="25">
        <v>4.8</v>
      </c>
      <c r="N36" s="26">
        <v>12000</v>
      </c>
      <c r="O36" s="27">
        <v>12</v>
      </c>
      <c r="P36" s="28">
        <f t="shared" si="1"/>
        <v>6.4</v>
      </c>
      <c r="Q36" s="29">
        <f t="shared" si="2"/>
        <v>16000</v>
      </c>
      <c r="R36" s="30">
        <v>16</v>
      </c>
      <c r="S36" s="19">
        <v>0</v>
      </c>
      <c r="T36" s="23">
        <v>0</v>
      </c>
      <c r="U36" s="24">
        <v>0</v>
      </c>
      <c r="V36" s="31">
        <f t="shared" si="3"/>
        <v>9.6</v>
      </c>
      <c r="W36" s="32">
        <v>24000</v>
      </c>
      <c r="X36" s="30">
        <v>24</v>
      </c>
      <c r="Y36" s="19">
        <v>0</v>
      </c>
      <c r="Z36" s="23">
        <v>0</v>
      </c>
      <c r="AA36" s="24">
        <v>0</v>
      </c>
      <c r="AB36" s="33">
        <v>0</v>
      </c>
      <c r="AC36" s="34">
        <v>0</v>
      </c>
      <c r="AD36" s="35">
        <v>0</v>
      </c>
      <c r="AE36" s="36">
        <v>0</v>
      </c>
      <c r="AF36" s="23">
        <v>0</v>
      </c>
      <c r="AG36" s="24">
        <v>0</v>
      </c>
      <c r="AH36" s="33">
        <v>0</v>
      </c>
      <c r="AI36" s="37">
        <v>0</v>
      </c>
      <c r="AJ36" s="35">
        <v>0</v>
      </c>
      <c r="AK36" s="36">
        <v>0</v>
      </c>
      <c r="AL36" s="38">
        <v>0</v>
      </c>
      <c r="AM36" s="35">
        <v>0</v>
      </c>
      <c r="AN36" s="19">
        <v>0</v>
      </c>
      <c r="AO36" s="23">
        <v>0</v>
      </c>
      <c r="AP36" s="24">
        <v>0</v>
      </c>
      <c r="AQ36" s="31">
        <f t="shared" si="4"/>
        <v>20.799999999999997</v>
      </c>
      <c r="AR36" s="32">
        <f t="shared" si="4"/>
        <v>52000</v>
      </c>
      <c r="AS36" s="30">
        <v>28</v>
      </c>
    </row>
    <row r="37" spans="1:45" ht="15.6" x14ac:dyDescent="0.3">
      <c r="A37" s="19">
        <v>34</v>
      </c>
      <c r="B37" s="21" t="s">
        <v>51</v>
      </c>
      <c r="C37" s="20" t="s">
        <v>59</v>
      </c>
      <c r="D37" s="324"/>
      <c r="E37" s="22">
        <v>20</v>
      </c>
      <c r="F37" s="23">
        <f t="shared" si="0"/>
        <v>50000</v>
      </c>
      <c r="G37" s="19">
        <v>0</v>
      </c>
      <c r="H37" s="23">
        <v>0</v>
      </c>
      <c r="I37" s="24">
        <v>0</v>
      </c>
      <c r="J37" s="19">
        <v>0</v>
      </c>
      <c r="K37" s="23">
        <v>0</v>
      </c>
      <c r="L37" s="24">
        <v>0</v>
      </c>
      <c r="M37" s="25">
        <v>3.6</v>
      </c>
      <c r="N37" s="26">
        <v>9000</v>
      </c>
      <c r="O37" s="27">
        <v>9</v>
      </c>
      <c r="P37" s="28">
        <f t="shared" si="1"/>
        <v>4.4000000000000004</v>
      </c>
      <c r="Q37" s="29">
        <f t="shared" si="2"/>
        <v>11000</v>
      </c>
      <c r="R37" s="30">
        <v>11</v>
      </c>
      <c r="S37" s="19">
        <v>0</v>
      </c>
      <c r="T37" s="23">
        <v>0</v>
      </c>
      <c r="U37" s="24">
        <v>0</v>
      </c>
      <c r="V37" s="31">
        <f t="shared" si="3"/>
        <v>7.6</v>
      </c>
      <c r="W37" s="32">
        <v>19000</v>
      </c>
      <c r="X37" s="30">
        <v>19</v>
      </c>
      <c r="Y37" s="19">
        <v>0</v>
      </c>
      <c r="Z37" s="23">
        <v>0</v>
      </c>
      <c r="AA37" s="24">
        <v>0</v>
      </c>
      <c r="AB37" s="33">
        <v>0</v>
      </c>
      <c r="AC37" s="34">
        <v>0</v>
      </c>
      <c r="AD37" s="35">
        <v>0</v>
      </c>
      <c r="AE37" s="36">
        <v>0</v>
      </c>
      <c r="AF37" s="23">
        <v>0</v>
      </c>
      <c r="AG37" s="24">
        <v>0</v>
      </c>
      <c r="AH37" s="33">
        <v>0</v>
      </c>
      <c r="AI37" s="37">
        <v>0</v>
      </c>
      <c r="AJ37" s="35">
        <v>0</v>
      </c>
      <c r="AK37" s="36">
        <v>0</v>
      </c>
      <c r="AL37" s="38">
        <v>0</v>
      </c>
      <c r="AM37" s="35">
        <v>0</v>
      </c>
      <c r="AN37" s="19">
        <v>0</v>
      </c>
      <c r="AO37" s="23">
        <v>0</v>
      </c>
      <c r="AP37" s="24">
        <v>0</v>
      </c>
      <c r="AQ37" s="31">
        <f t="shared" si="4"/>
        <v>15.6</v>
      </c>
      <c r="AR37" s="32">
        <f t="shared" si="4"/>
        <v>39000</v>
      </c>
      <c r="AS37" s="30">
        <v>20</v>
      </c>
    </row>
    <row r="38" spans="1:45" ht="15.6" x14ac:dyDescent="0.3">
      <c r="A38" s="19">
        <v>35</v>
      </c>
      <c r="B38" s="21" t="s">
        <v>51</v>
      </c>
      <c r="C38" s="20" t="s">
        <v>60</v>
      </c>
      <c r="D38" s="324" t="s">
        <v>25</v>
      </c>
      <c r="E38" s="22">
        <v>14</v>
      </c>
      <c r="F38" s="23">
        <f t="shared" si="0"/>
        <v>35000</v>
      </c>
      <c r="G38" s="19">
        <v>0</v>
      </c>
      <c r="H38" s="23">
        <v>0</v>
      </c>
      <c r="I38" s="24">
        <v>0</v>
      </c>
      <c r="J38" s="19">
        <v>0</v>
      </c>
      <c r="K38" s="23">
        <v>0</v>
      </c>
      <c r="L38" s="24">
        <v>0</v>
      </c>
      <c r="M38" s="25">
        <v>2.8</v>
      </c>
      <c r="N38" s="26">
        <v>7000</v>
      </c>
      <c r="O38" s="27">
        <v>7</v>
      </c>
      <c r="P38" s="28">
        <f t="shared" si="1"/>
        <v>4.8</v>
      </c>
      <c r="Q38" s="29">
        <f t="shared" si="2"/>
        <v>12000</v>
      </c>
      <c r="R38" s="30">
        <v>12</v>
      </c>
      <c r="S38" s="19">
        <v>0</v>
      </c>
      <c r="T38" s="23">
        <v>0</v>
      </c>
      <c r="U38" s="24">
        <v>0</v>
      </c>
      <c r="V38" s="31">
        <f t="shared" si="3"/>
        <v>7.6</v>
      </c>
      <c r="W38" s="32">
        <v>19000</v>
      </c>
      <c r="X38" s="30">
        <v>19</v>
      </c>
      <c r="Y38" s="19">
        <v>0</v>
      </c>
      <c r="Z38" s="23">
        <v>0</v>
      </c>
      <c r="AA38" s="24">
        <v>0</v>
      </c>
      <c r="AB38" s="33">
        <v>0</v>
      </c>
      <c r="AC38" s="34">
        <v>0</v>
      </c>
      <c r="AD38" s="35">
        <v>0</v>
      </c>
      <c r="AE38" s="36">
        <v>0</v>
      </c>
      <c r="AF38" s="23">
        <v>0</v>
      </c>
      <c r="AG38" s="24">
        <v>0</v>
      </c>
      <c r="AH38" s="33">
        <v>0</v>
      </c>
      <c r="AI38" s="37">
        <v>0</v>
      </c>
      <c r="AJ38" s="35">
        <v>0</v>
      </c>
      <c r="AK38" s="36">
        <v>0</v>
      </c>
      <c r="AL38" s="38">
        <v>0</v>
      </c>
      <c r="AM38" s="35">
        <v>0</v>
      </c>
      <c r="AN38" s="19">
        <v>0</v>
      </c>
      <c r="AO38" s="23">
        <v>0</v>
      </c>
      <c r="AP38" s="24">
        <v>0</v>
      </c>
      <c r="AQ38" s="31">
        <f t="shared" si="4"/>
        <v>15.2</v>
      </c>
      <c r="AR38" s="32">
        <f t="shared" si="4"/>
        <v>38000</v>
      </c>
      <c r="AS38" s="30">
        <v>19</v>
      </c>
    </row>
    <row r="39" spans="1:45" ht="15.6" x14ac:dyDescent="0.3">
      <c r="A39" s="19">
        <v>36</v>
      </c>
      <c r="B39" s="21" t="s">
        <v>51</v>
      </c>
      <c r="C39" s="20" t="s">
        <v>61</v>
      </c>
      <c r="D39" s="324"/>
      <c r="E39" s="22">
        <v>8.4</v>
      </c>
      <c r="F39" s="23">
        <f t="shared" si="0"/>
        <v>21000</v>
      </c>
      <c r="G39" s="19">
        <v>0</v>
      </c>
      <c r="H39" s="23">
        <v>0</v>
      </c>
      <c r="I39" s="24">
        <v>0</v>
      </c>
      <c r="J39" s="19">
        <v>0</v>
      </c>
      <c r="K39" s="23">
        <v>0</v>
      </c>
      <c r="L39" s="24">
        <v>0</v>
      </c>
      <c r="M39" s="25">
        <v>2.4</v>
      </c>
      <c r="N39" s="26">
        <v>6000</v>
      </c>
      <c r="O39" s="27">
        <v>6</v>
      </c>
      <c r="P39" s="28">
        <f t="shared" si="1"/>
        <v>0</v>
      </c>
      <c r="Q39" s="29">
        <f t="shared" si="2"/>
        <v>0</v>
      </c>
      <c r="R39" s="30">
        <v>0</v>
      </c>
      <c r="S39" s="19">
        <v>0</v>
      </c>
      <c r="T39" s="23">
        <v>0</v>
      </c>
      <c r="U39" s="24">
        <v>0</v>
      </c>
      <c r="V39" s="31">
        <f t="shared" si="3"/>
        <v>2.4</v>
      </c>
      <c r="W39" s="32">
        <v>6000</v>
      </c>
      <c r="X39" s="30">
        <v>6</v>
      </c>
      <c r="Y39" s="19">
        <v>0</v>
      </c>
      <c r="Z39" s="23">
        <v>0</v>
      </c>
      <c r="AA39" s="24">
        <v>0</v>
      </c>
      <c r="AB39" s="33">
        <v>0</v>
      </c>
      <c r="AC39" s="34">
        <v>0</v>
      </c>
      <c r="AD39" s="35">
        <v>0</v>
      </c>
      <c r="AE39" s="36">
        <v>0</v>
      </c>
      <c r="AF39" s="23">
        <v>0</v>
      </c>
      <c r="AG39" s="24">
        <v>0</v>
      </c>
      <c r="AH39" s="33">
        <v>0</v>
      </c>
      <c r="AI39" s="37">
        <v>0</v>
      </c>
      <c r="AJ39" s="35">
        <v>0</v>
      </c>
      <c r="AK39" s="36">
        <v>0</v>
      </c>
      <c r="AL39" s="38">
        <v>0</v>
      </c>
      <c r="AM39" s="35">
        <v>0</v>
      </c>
      <c r="AN39" s="19">
        <v>0</v>
      </c>
      <c r="AO39" s="23">
        <v>0</v>
      </c>
      <c r="AP39" s="24">
        <v>0</v>
      </c>
      <c r="AQ39" s="31">
        <f t="shared" si="4"/>
        <v>4.8</v>
      </c>
      <c r="AR39" s="32">
        <f t="shared" si="4"/>
        <v>12000</v>
      </c>
      <c r="AS39" s="30">
        <v>6</v>
      </c>
    </row>
    <row r="40" spans="1:45" ht="15.6" x14ac:dyDescent="0.3">
      <c r="A40" s="19">
        <v>37</v>
      </c>
      <c r="B40" s="21" t="s">
        <v>51</v>
      </c>
      <c r="C40" s="20" t="s">
        <v>62</v>
      </c>
      <c r="D40" s="324"/>
      <c r="E40" s="22">
        <v>17.200000000000003</v>
      </c>
      <c r="F40" s="23">
        <f t="shared" si="0"/>
        <v>43000.000000000007</v>
      </c>
      <c r="G40" s="19">
        <v>0</v>
      </c>
      <c r="H40" s="23">
        <v>0</v>
      </c>
      <c r="I40" s="24">
        <v>0</v>
      </c>
      <c r="J40" s="19">
        <v>0</v>
      </c>
      <c r="K40" s="23">
        <v>0</v>
      </c>
      <c r="L40" s="24">
        <v>0</v>
      </c>
      <c r="M40" s="25">
        <v>5.2</v>
      </c>
      <c r="N40" s="26">
        <v>13000</v>
      </c>
      <c r="O40" s="27">
        <v>13</v>
      </c>
      <c r="P40" s="28">
        <f t="shared" si="1"/>
        <v>0</v>
      </c>
      <c r="Q40" s="29">
        <f t="shared" si="2"/>
        <v>0</v>
      </c>
      <c r="R40" s="30">
        <v>0</v>
      </c>
      <c r="S40" s="19">
        <v>0</v>
      </c>
      <c r="T40" s="23">
        <v>0</v>
      </c>
      <c r="U40" s="24">
        <v>0</v>
      </c>
      <c r="V40" s="31">
        <f t="shared" si="3"/>
        <v>5.2</v>
      </c>
      <c r="W40" s="32">
        <v>13000</v>
      </c>
      <c r="X40" s="30">
        <v>13</v>
      </c>
      <c r="Y40" s="19">
        <v>0</v>
      </c>
      <c r="Z40" s="23">
        <v>0</v>
      </c>
      <c r="AA40" s="24">
        <v>0</v>
      </c>
      <c r="AB40" s="33">
        <v>0</v>
      </c>
      <c r="AC40" s="34">
        <v>0</v>
      </c>
      <c r="AD40" s="35">
        <v>0</v>
      </c>
      <c r="AE40" s="36">
        <v>0</v>
      </c>
      <c r="AF40" s="23">
        <v>0</v>
      </c>
      <c r="AG40" s="24">
        <v>0</v>
      </c>
      <c r="AH40" s="33">
        <v>0</v>
      </c>
      <c r="AI40" s="37">
        <v>0</v>
      </c>
      <c r="AJ40" s="35">
        <v>0</v>
      </c>
      <c r="AK40" s="36">
        <v>0</v>
      </c>
      <c r="AL40" s="38">
        <v>0</v>
      </c>
      <c r="AM40" s="35">
        <v>0</v>
      </c>
      <c r="AN40" s="19">
        <v>0</v>
      </c>
      <c r="AO40" s="23">
        <v>0</v>
      </c>
      <c r="AP40" s="24">
        <v>0</v>
      </c>
      <c r="AQ40" s="31">
        <f t="shared" si="4"/>
        <v>10.4</v>
      </c>
      <c r="AR40" s="32">
        <f t="shared" si="4"/>
        <v>26000</v>
      </c>
      <c r="AS40" s="30">
        <v>13</v>
      </c>
    </row>
    <row r="41" spans="1:45" ht="15.6" x14ac:dyDescent="0.3">
      <c r="A41" s="19">
        <v>38</v>
      </c>
      <c r="B41" s="21" t="s">
        <v>51</v>
      </c>
      <c r="C41" s="20" t="s">
        <v>63</v>
      </c>
      <c r="D41" s="324"/>
      <c r="E41" s="22">
        <v>14.8</v>
      </c>
      <c r="F41" s="23">
        <f t="shared" si="0"/>
        <v>37000</v>
      </c>
      <c r="G41" s="19">
        <v>0</v>
      </c>
      <c r="H41" s="23">
        <v>0</v>
      </c>
      <c r="I41" s="24">
        <v>0</v>
      </c>
      <c r="J41" s="19">
        <v>0</v>
      </c>
      <c r="K41" s="23">
        <v>0</v>
      </c>
      <c r="L41" s="24">
        <v>0</v>
      </c>
      <c r="M41" s="25">
        <v>4.4000000000000004</v>
      </c>
      <c r="N41" s="26">
        <v>11000</v>
      </c>
      <c r="O41" s="27">
        <v>11</v>
      </c>
      <c r="P41" s="28">
        <f t="shared" si="1"/>
        <v>1.6</v>
      </c>
      <c r="Q41" s="29">
        <f t="shared" si="2"/>
        <v>4000</v>
      </c>
      <c r="R41" s="30">
        <v>4</v>
      </c>
      <c r="S41" s="19">
        <v>0</v>
      </c>
      <c r="T41" s="23">
        <v>0</v>
      </c>
      <c r="U41" s="24">
        <v>0</v>
      </c>
      <c r="V41" s="31">
        <f t="shared" si="3"/>
        <v>6</v>
      </c>
      <c r="W41" s="32">
        <v>15000</v>
      </c>
      <c r="X41" s="30">
        <v>15</v>
      </c>
      <c r="Y41" s="19">
        <v>0</v>
      </c>
      <c r="Z41" s="23">
        <v>0</v>
      </c>
      <c r="AA41" s="24">
        <v>0</v>
      </c>
      <c r="AB41" s="33">
        <v>0</v>
      </c>
      <c r="AC41" s="34">
        <v>0</v>
      </c>
      <c r="AD41" s="35">
        <v>0</v>
      </c>
      <c r="AE41" s="36">
        <v>0</v>
      </c>
      <c r="AF41" s="23">
        <v>0</v>
      </c>
      <c r="AG41" s="24">
        <v>0</v>
      </c>
      <c r="AH41" s="33">
        <v>0</v>
      </c>
      <c r="AI41" s="37">
        <v>0</v>
      </c>
      <c r="AJ41" s="35">
        <v>0</v>
      </c>
      <c r="AK41" s="36">
        <v>0</v>
      </c>
      <c r="AL41" s="38">
        <v>0</v>
      </c>
      <c r="AM41" s="35">
        <v>0</v>
      </c>
      <c r="AN41" s="19">
        <v>0</v>
      </c>
      <c r="AO41" s="23">
        <v>0</v>
      </c>
      <c r="AP41" s="24">
        <v>0</v>
      </c>
      <c r="AQ41" s="31">
        <f t="shared" si="4"/>
        <v>12</v>
      </c>
      <c r="AR41" s="32">
        <f t="shared" si="4"/>
        <v>30000</v>
      </c>
      <c r="AS41" s="30">
        <v>15</v>
      </c>
    </row>
    <row r="42" spans="1:45" ht="15.6" x14ac:dyDescent="0.3">
      <c r="A42" s="19">
        <v>39</v>
      </c>
      <c r="B42" s="21" t="s">
        <v>51</v>
      </c>
      <c r="C42" s="20" t="s">
        <v>64</v>
      </c>
      <c r="D42" s="324"/>
      <c r="E42" s="22">
        <v>9.9999999999999982</v>
      </c>
      <c r="F42" s="23">
        <f t="shared" si="0"/>
        <v>24999.999999999996</v>
      </c>
      <c r="G42" s="19">
        <v>0</v>
      </c>
      <c r="H42" s="23">
        <v>0</v>
      </c>
      <c r="I42" s="24">
        <v>0</v>
      </c>
      <c r="J42" s="19">
        <v>0</v>
      </c>
      <c r="K42" s="23">
        <v>0</v>
      </c>
      <c r="L42" s="24">
        <v>0</v>
      </c>
      <c r="M42" s="25">
        <v>3.2</v>
      </c>
      <c r="N42" s="26">
        <v>8000</v>
      </c>
      <c r="O42" s="27">
        <v>8</v>
      </c>
      <c r="P42" s="28">
        <f t="shared" si="1"/>
        <v>1.6</v>
      </c>
      <c r="Q42" s="29">
        <f t="shared" si="2"/>
        <v>4000</v>
      </c>
      <c r="R42" s="30">
        <v>4</v>
      </c>
      <c r="S42" s="19">
        <v>0</v>
      </c>
      <c r="T42" s="23">
        <v>0</v>
      </c>
      <c r="U42" s="24">
        <v>0</v>
      </c>
      <c r="V42" s="31">
        <f t="shared" si="3"/>
        <v>4.4000000000000004</v>
      </c>
      <c r="W42" s="32">
        <v>11000</v>
      </c>
      <c r="X42" s="30">
        <v>11</v>
      </c>
      <c r="Y42" s="19">
        <v>0</v>
      </c>
      <c r="Z42" s="23">
        <v>0</v>
      </c>
      <c r="AA42" s="24">
        <v>0</v>
      </c>
      <c r="AB42" s="33">
        <v>0</v>
      </c>
      <c r="AC42" s="34">
        <v>0</v>
      </c>
      <c r="AD42" s="35">
        <v>0</v>
      </c>
      <c r="AE42" s="36">
        <v>0</v>
      </c>
      <c r="AF42" s="23">
        <v>0</v>
      </c>
      <c r="AG42" s="24">
        <v>0</v>
      </c>
      <c r="AH42" s="33">
        <v>0</v>
      </c>
      <c r="AI42" s="37">
        <v>0</v>
      </c>
      <c r="AJ42" s="35">
        <v>0</v>
      </c>
      <c r="AK42" s="36">
        <v>0</v>
      </c>
      <c r="AL42" s="38">
        <v>0</v>
      </c>
      <c r="AM42" s="35">
        <v>0</v>
      </c>
      <c r="AN42" s="19">
        <v>0</v>
      </c>
      <c r="AO42" s="23">
        <v>0</v>
      </c>
      <c r="AP42" s="24">
        <v>0</v>
      </c>
      <c r="AQ42" s="31">
        <f t="shared" si="4"/>
        <v>9.2000000000000011</v>
      </c>
      <c r="AR42" s="32">
        <f t="shared" si="4"/>
        <v>23000</v>
      </c>
      <c r="AS42" s="30">
        <v>12</v>
      </c>
    </row>
    <row r="43" spans="1:45" ht="15.6" x14ac:dyDescent="0.3">
      <c r="A43" s="19">
        <v>40</v>
      </c>
      <c r="B43" s="21" t="s">
        <v>51</v>
      </c>
      <c r="C43" s="20" t="s">
        <v>65</v>
      </c>
      <c r="D43" s="324"/>
      <c r="E43" s="22">
        <v>16.8</v>
      </c>
      <c r="F43" s="23">
        <f t="shared" si="0"/>
        <v>42000</v>
      </c>
      <c r="G43" s="19">
        <v>0</v>
      </c>
      <c r="H43" s="23">
        <v>0</v>
      </c>
      <c r="I43" s="24">
        <v>0</v>
      </c>
      <c r="J43" s="19">
        <v>0</v>
      </c>
      <c r="K43" s="23">
        <v>0</v>
      </c>
      <c r="L43" s="24">
        <v>0</v>
      </c>
      <c r="M43" s="25">
        <v>5.2</v>
      </c>
      <c r="N43" s="26">
        <v>13000</v>
      </c>
      <c r="O43" s="27">
        <v>13</v>
      </c>
      <c r="P43" s="28">
        <f t="shared" si="1"/>
        <v>1.6</v>
      </c>
      <c r="Q43" s="29">
        <f t="shared" si="2"/>
        <v>4000</v>
      </c>
      <c r="R43" s="30">
        <v>4</v>
      </c>
      <c r="S43" s="19">
        <v>0</v>
      </c>
      <c r="T43" s="23">
        <v>0</v>
      </c>
      <c r="U43" s="24">
        <v>0</v>
      </c>
      <c r="V43" s="31">
        <f t="shared" si="3"/>
        <v>6.8</v>
      </c>
      <c r="W43" s="32">
        <v>17000</v>
      </c>
      <c r="X43" s="30">
        <v>17</v>
      </c>
      <c r="Y43" s="19">
        <v>0</v>
      </c>
      <c r="Z43" s="23">
        <v>0</v>
      </c>
      <c r="AA43" s="24">
        <v>0</v>
      </c>
      <c r="AB43" s="33">
        <v>0</v>
      </c>
      <c r="AC43" s="34">
        <v>0</v>
      </c>
      <c r="AD43" s="35">
        <v>0</v>
      </c>
      <c r="AE43" s="36">
        <v>0</v>
      </c>
      <c r="AF43" s="23">
        <v>0</v>
      </c>
      <c r="AG43" s="24">
        <v>0</v>
      </c>
      <c r="AH43" s="33">
        <v>0</v>
      </c>
      <c r="AI43" s="37">
        <v>0</v>
      </c>
      <c r="AJ43" s="35">
        <v>0</v>
      </c>
      <c r="AK43" s="36">
        <v>0</v>
      </c>
      <c r="AL43" s="38">
        <v>0</v>
      </c>
      <c r="AM43" s="35">
        <v>0</v>
      </c>
      <c r="AN43" s="19">
        <v>0</v>
      </c>
      <c r="AO43" s="23">
        <v>0</v>
      </c>
      <c r="AP43" s="24">
        <v>0</v>
      </c>
      <c r="AQ43" s="31">
        <f t="shared" si="4"/>
        <v>13.600000000000001</v>
      </c>
      <c r="AR43" s="32">
        <f t="shared" si="4"/>
        <v>34000</v>
      </c>
      <c r="AS43" s="30">
        <v>17</v>
      </c>
    </row>
    <row r="44" spans="1:45" ht="15.6" x14ac:dyDescent="0.3">
      <c r="A44" s="19">
        <v>41</v>
      </c>
      <c r="B44" s="21" t="s">
        <v>51</v>
      </c>
      <c r="C44" s="20" t="s">
        <v>66</v>
      </c>
      <c r="D44" s="324"/>
      <c r="E44" s="22">
        <v>11.8</v>
      </c>
      <c r="F44" s="23">
        <f t="shared" si="0"/>
        <v>29500</v>
      </c>
      <c r="G44" s="19">
        <v>0</v>
      </c>
      <c r="H44" s="23">
        <v>0</v>
      </c>
      <c r="I44" s="24">
        <v>0</v>
      </c>
      <c r="J44" s="19">
        <v>0</v>
      </c>
      <c r="K44" s="23">
        <v>0</v>
      </c>
      <c r="L44" s="24">
        <v>0</v>
      </c>
      <c r="M44" s="25">
        <v>2.4</v>
      </c>
      <c r="N44" s="26">
        <v>6000</v>
      </c>
      <c r="O44" s="27">
        <v>6</v>
      </c>
      <c r="P44" s="28">
        <f t="shared" si="1"/>
        <v>1.6</v>
      </c>
      <c r="Q44" s="29">
        <f t="shared" si="2"/>
        <v>4000</v>
      </c>
      <c r="R44" s="30">
        <v>4</v>
      </c>
      <c r="S44" s="19">
        <v>0</v>
      </c>
      <c r="T44" s="23">
        <v>0</v>
      </c>
      <c r="U44" s="24">
        <v>0</v>
      </c>
      <c r="V44" s="31">
        <f t="shared" si="3"/>
        <v>4</v>
      </c>
      <c r="W44" s="32">
        <v>10000</v>
      </c>
      <c r="X44" s="30">
        <v>10</v>
      </c>
      <c r="Y44" s="19">
        <v>0</v>
      </c>
      <c r="Z44" s="23">
        <v>0</v>
      </c>
      <c r="AA44" s="24">
        <v>0</v>
      </c>
      <c r="AB44" s="33">
        <v>0</v>
      </c>
      <c r="AC44" s="34">
        <v>0</v>
      </c>
      <c r="AD44" s="35">
        <v>0</v>
      </c>
      <c r="AE44" s="36">
        <v>0</v>
      </c>
      <c r="AF44" s="23">
        <v>0</v>
      </c>
      <c r="AG44" s="24">
        <v>0</v>
      </c>
      <c r="AH44" s="33">
        <v>0</v>
      </c>
      <c r="AI44" s="37">
        <v>0</v>
      </c>
      <c r="AJ44" s="35">
        <v>0</v>
      </c>
      <c r="AK44" s="36">
        <v>0</v>
      </c>
      <c r="AL44" s="38">
        <v>0</v>
      </c>
      <c r="AM44" s="35">
        <v>0</v>
      </c>
      <c r="AN44" s="19">
        <v>0</v>
      </c>
      <c r="AO44" s="23">
        <v>0</v>
      </c>
      <c r="AP44" s="24">
        <v>0</v>
      </c>
      <c r="AQ44" s="31">
        <f t="shared" si="4"/>
        <v>8</v>
      </c>
      <c r="AR44" s="32">
        <f t="shared" si="4"/>
        <v>20000</v>
      </c>
      <c r="AS44" s="30">
        <v>10</v>
      </c>
    </row>
    <row r="45" spans="1:45" ht="15.6" x14ac:dyDescent="0.3">
      <c r="A45" s="19">
        <v>42</v>
      </c>
      <c r="B45" s="21" t="s">
        <v>67</v>
      </c>
      <c r="C45" s="20" t="s">
        <v>68</v>
      </c>
      <c r="D45" s="324"/>
      <c r="E45" s="22">
        <v>35.800000000000026</v>
      </c>
      <c r="F45" s="23">
        <f t="shared" si="0"/>
        <v>89500.000000000058</v>
      </c>
      <c r="G45" s="19">
        <v>0</v>
      </c>
      <c r="H45" s="23">
        <v>0</v>
      </c>
      <c r="I45" s="24">
        <v>0</v>
      </c>
      <c r="J45" s="19">
        <v>0</v>
      </c>
      <c r="K45" s="23">
        <v>0</v>
      </c>
      <c r="L45" s="24">
        <v>0</v>
      </c>
      <c r="M45" s="25">
        <v>15.2</v>
      </c>
      <c r="N45" s="26">
        <v>38000</v>
      </c>
      <c r="O45" s="27">
        <v>38</v>
      </c>
      <c r="P45" s="28">
        <f t="shared" si="1"/>
        <v>2</v>
      </c>
      <c r="Q45" s="29">
        <f t="shared" si="2"/>
        <v>5000</v>
      </c>
      <c r="R45" s="30">
        <v>5</v>
      </c>
      <c r="S45" s="19">
        <v>0</v>
      </c>
      <c r="T45" s="23">
        <v>0</v>
      </c>
      <c r="U45" s="24">
        <v>0</v>
      </c>
      <c r="V45" s="31">
        <f t="shared" si="3"/>
        <v>16.8</v>
      </c>
      <c r="W45" s="32">
        <v>42000</v>
      </c>
      <c r="X45" s="30">
        <v>42</v>
      </c>
      <c r="Y45" s="19">
        <v>0</v>
      </c>
      <c r="Z45" s="23">
        <v>0</v>
      </c>
      <c r="AA45" s="24">
        <v>0</v>
      </c>
      <c r="AB45" s="33">
        <v>0</v>
      </c>
      <c r="AC45" s="34">
        <v>0</v>
      </c>
      <c r="AD45" s="35">
        <v>0</v>
      </c>
      <c r="AE45" s="36">
        <v>0</v>
      </c>
      <c r="AF45" s="23">
        <v>0</v>
      </c>
      <c r="AG45" s="24">
        <v>0</v>
      </c>
      <c r="AH45" s="33">
        <v>0</v>
      </c>
      <c r="AI45" s="37">
        <v>0</v>
      </c>
      <c r="AJ45" s="35">
        <v>0</v>
      </c>
      <c r="AK45" s="36">
        <v>0</v>
      </c>
      <c r="AL45" s="38">
        <v>0</v>
      </c>
      <c r="AM45" s="35">
        <v>0</v>
      </c>
      <c r="AN45" s="19">
        <v>0</v>
      </c>
      <c r="AO45" s="23">
        <v>0</v>
      </c>
      <c r="AP45" s="24">
        <v>0</v>
      </c>
      <c r="AQ45" s="31">
        <f t="shared" si="4"/>
        <v>34</v>
      </c>
      <c r="AR45" s="32">
        <f t="shared" si="4"/>
        <v>85000</v>
      </c>
      <c r="AS45" s="30">
        <v>43</v>
      </c>
    </row>
    <row r="46" spans="1:45" ht="15.6" x14ac:dyDescent="0.3">
      <c r="A46" s="19">
        <v>43</v>
      </c>
      <c r="B46" s="21" t="s">
        <v>67</v>
      </c>
      <c r="C46" s="20" t="s">
        <v>67</v>
      </c>
      <c r="D46" s="324"/>
      <c r="E46" s="22">
        <v>41</v>
      </c>
      <c r="F46" s="23">
        <f t="shared" si="0"/>
        <v>102500</v>
      </c>
      <c r="G46" s="19">
        <v>0</v>
      </c>
      <c r="H46" s="23">
        <v>0</v>
      </c>
      <c r="I46" s="24">
        <v>0</v>
      </c>
      <c r="J46" s="19">
        <v>0</v>
      </c>
      <c r="K46" s="23">
        <v>0</v>
      </c>
      <c r="L46" s="24">
        <v>0</v>
      </c>
      <c r="M46" s="25">
        <v>11.6</v>
      </c>
      <c r="N46" s="26">
        <v>29000</v>
      </c>
      <c r="O46" s="27">
        <v>29</v>
      </c>
      <c r="P46" s="28">
        <f t="shared" si="1"/>
        <v>6.8</v>
      </c>
      <c r="Q46" s="29">
        <f t="shared" si="2"/>
        <v>17000</v>
      </c>
      <c r="R46" s="30">
        <v>17</v>
      </c>
      <c r="S46" s="19">
        <v>0</v>
      </c>
      <c r="T46" s="23">
        <v>0</v>
      </c>
      <c r="U46" s="24">
        <v>0</v>
      </c>
      <c r="V46" s="31">
        <f t="shared" si="3"/>
        <v>18.8</v>
      </c>
      <c r="W46" s="32">
        <v>47000</v>
      </c>
      <c r="X46" s="30">
        <v>47</v>
      </c>
      <c r="Y46" s="19">
        <v>0</v>
      </c>
      <c r="Z46" s="23">
        <v>0</v>
      </c>
      <c r="AA46" s="24">
        <v>0</v>
      </c>
      <c r="AB46" s="33">
        <v>0</v>
      </c>
      <c r="AC46" s="34">
        <v>0</v>
      </c>
      <c r="AD46" s="35">
        <v>0</v>
      </c>
      <c r="AE46" s="36">
        <v>0</v>
      </c>
      <c r="AF46" s="23">
        <v>0</v>
      </c>
      <c r="AG46" s="24">
        <v>0</v>
      </c>
      <c r="AH46" s="33">
        <v>0</v>
      </c>
      <c r="AI46" s="37">
        <v>0</v>
      </c>
      <c r="AJ46" s="35">
        <v>0</v>
      </c>
      <c r="AK46" s="36">
        <v>0</v>
      </c>
      <c r="AL46" s="38">
        <v>0</v>
      </c>
      <c r="AM46" s="35">
        <v>0</v>
      </c>
      <c r="AN46" s="19">
        <v>0</v>
      </c>
      <c r="AO46" s="23">
        <v>0</v>
      </c>
      <c r="AP46" s="24">
        <v>0</v>
      </c>
      <c r="AQ46" s="31">
        <f t="shared" si="4"/>
        <v>37.200000000000003</v>
      </c>
      <c r="AR46" s="32">
        <f t="shared" si="4"/>
        <v>93000</v>
      </c>
      <c r="AS46" s="30">
        <v>47</v>
      </c>
    </row>
    <row r="47" spans="1:45" ht="15.6" x14ac:dyDescent="0.3">
      <c r="A47" s="19">
        <v>44</v>
      </c>
      <c r="B47" s="21" t="s">
        <v>67</v>
      </c>
      <c r="C47" s="20" t="s">
        <v>69</v>
      </c>
      <c r="D47" s="324"/>
      <c r="E47" s="22">
        <v>10</v>
      </c>
      <c r="F47" s="23">
        <f t="shared" si="0"/>
        <v>25000</v>
      </c>
      <c r="G47" s="19">
        <v>0</v>
      </c>
      <c r="H47" s="23">
        <v>0</v>
      </c>
      <c r="I47" s="24">
        <v>0</v>
      </c>
      <c r="J47" s="19">
        <v>0</v>
      </c>
      <c r="K47" s="23">
        <v>0</v>
      </c>
      <c r="L47" s="24">
        <v>0</v>
      </c>
      <c r="M47" s="25">
        <v>3.6</v>
      </c>
      <c r="N47" s="26">
        <v>9000</v>
      </c>
      <c r="O47" s="27">
        <v>9</v>
      </c>
      <c r="P47" s="28">
        <f t="shared" si="1"/>
        <v>1.2</v>
      </c>
      <c r="Q47" s="29">
        <f t="shared" si="2"/>
        <v>3000</v>
      </c>
      <c r="R47" s="30">
        <v>3</v>
      </c>
      <c r="S47" s="19">
        <v>0</v>
      </c>
      <c r="T47" s="23">
        <v>0</v>
      </c>
      <c r="U47" s="24">
        <v>0</v>
      </c>
      <c r="V47" s="31">
        <f t="shared" si="3"/>
        <v>5.6</v>
      </c>
      <c r="W47" s="32">
        <v>14000</v>
      </c>
      <c r="X47" s="30">
        <v>14</v>
      </c>
      <c r="Y47" s="19">
        <v>0</v>
      </c>
      <c r="Z47" s="23">
        <v>0</v>
      </c>
      <c r="AA47" s="24">
        <v>0</v>
      </c>
      <c r="AB47" s="33">
        <v>0</v>
      </c>
      <c r="AC47" s="34">
        <v>0</v>
      </c>
      <c r="AD47" s="35">
        <v>0</v>
      </c>
      <c r="AE47" s="36">
        <v>0</v>
      </c>
      <c r="AF47" s="23">
        <v>0</v>
      </c>
      <c r="AG47" s="24">
        <v>0</v>
      </c>
      <c r="AH47" s="33">
        <v>0</v>
      </c>
      <c r="AI47" s="37">
        <v>0</v>
      </c>
      <c r="AJ47" s="35">
        <v>0</v>
      </c>
      <c r="AK47" s="36">
        <v>0</v>
      </c>
      <c r="AL47" s="38">
        <v>0</v>
      </c>
      <c r="AM47" s="35">
        <v>0</v>
      </c>
      <c r="AN47" s="19">
        <v>0</v>
      </c>
      <c r="AO47" s="23">
        <v>0</v>
      </c>
      <c r="AP47" s="24">
        <v>0</v>
      </c>
      <c r="AQ47" s="31">
        <f t="shared" si="4"/>
        <v>10.399999999999999</v>
      </c>
      <c r="AR47" s="32">
        <f t="shared" si="4"/>
        <v>26000</v>
      </c>
      <c r="AS47" s="30">
        <v>14</v>
      </c>
    </row>
    <row r="48" spans="1:45" ht="15.6" x14ac:dyDescent="0.3">
      <c r="A48" s="19">
        <v>45</v>
      </c>
      <c r="B48" s="21" t="s">
        <v>67</v>
      </c>
      <c r="C48" s="20" t="s">
        <v>70</v>
      </c>
      <c r="D48" s="324"/>
      <c r="E48" s="22">
        <v>17</v>
      </c>
      <c r="F48" s="23">
        <f t="shared" si="0"/>
        <v>42500</v>
      </c>
      <c r="G48" s="19">
        <v>0</v>
      </c>
      <c r="H48" s="23">
        <v>0</v>
      </c>
      <c r="I48" s="24">
        <v>0</v>
      </c>
      <c r="J48" s="19">
        <v>0</v>
      </c>
      <c r="K48" s="23">
        <v>0</v>
      </c>
      <c r="L48" s="24">
        <v>0</v>
      </c>
      <c r="M48" s="25">
        <v>5.6</v>
      </c>
      <c r="N48" s="26">
        <v>14000</v>
      </c>
      <c r="O48" s="27">
        <v>14</v>
      </c>
      <c r="P48" s="28">
        <f t="shared" si="1"/>
        <v>0.4</v>
      </c>
      <c r="Q48" s="29">
        <f t="shared" si="2"/>
        <v>1000</v>
      </c>
      <c r="R48" s="30">
        <v>1</v>
      </c>
      <c r="S48" s="19">
        <v>0</v>
      </c>
      <c r="T48" s="23">
        <v>0</v>
      </c>
      <c r="U48" s="24">
        <v>0</v>
      </c>
      <c r="V48" s="31">
        <f t="shared" si="3"/>
        <v>6</v>
      </c>
      <c r="W48" s="32">
        <v>15000</v>
      </c>
      <c r="X48" s="30">
        <v>15</v>
      </c>
      <c r="Y48" s="19">
        <v>0</v>
      </c>
      <c r="Z48" s="23">
        <v>0</v>
      </c>
      <c r="AA48" s="24">
        <v>0</v>
      </c>
      <c r="AB48" s="33">
        <v>0</v>
      </c>
      <c r="AC48" s="34">
        <v>0</v>
      </c>
      <c r="AD48" s="35">
        <v>0</v>
      </c>
      <c r="AE48" s="36">
        <v>0</v>
      </c>
      <c r="AF48" s="23">
        <v>0</v>
      </c>
      <c r="AG48" s="24">
        <v>0</v>
      </c>
      <c r="AH48" s="33">
        <v>0</v>
      </c>
      <c r="AI48" s="37">
        <v>0</v>
      </c>
      <c r="AJ48" s="35">
        <v>0</v>
      </c>
      <c r="AK48" s="36">
        <v>0</v>
      </c>
      <c r="AL48" s="38">
        <v>0</v>
      </c>
      <c r="AM48" s="35">
        <v>0</v>
      </c>
      <c r="AN48" s="19">
        <v>0</v>
      </c>
      <c r="AO48" s="23">
        <v>0</v>
      </c>
      <c r="AP48" s="24">
        <v>0</v>
      </c>
      <c r="AQ48" s="31">
        <f t="shared" si="4"/>
        <v>12</v>
      </c>
      <c r="AR48" s="32">
        <f t="shared" si="4"/>
        <v>30000</v>
      </c>
      <c r="AS48" s="30">
        <v>15</v>
      </c>
    </row>
    <row r="49" spans="1:45" ht="15.6" x14ac:dyDescent="0.3">
      <c r="A49" s="19">
        <v>46</v>
      </c>
      <c r="B49" s="21" t="s">
        <v>67</v>
      </c>
      <c r="C49" s="20" t="s">
        <v>71</v>
      </c>
      <c r="D49" s="324"/>
      <c r="E49" s="22">
        <v>2</v>
      </c>
      <c r="F49" s="23">
        <f t="shared" si="0"/>
        <v>5000</v>
      </c>
      <c r="G49" s="19">
        <v>0</v>
      </c>
      <c r="H49" s="23">
        <v>0</v>
      </c>
      <c r="I49" s="24">
        <v>0</v>
      </c>
      <c r="J49" s="19">
        <v>0</v>
      </c>
      <c r="K49" s="23">
        <v>0</v>
      </c>
      <c r="L49" s="24">
        <v>0</v>
      </c>
      <c r="M49" s="25">
        <v>0.8</v>
      </c>
      <c r="N49" s="26">
        <v>2000</v>
      </c>
      <c r="O49" s="27">
        <v>2</v>
      </c>
      <c r="P49" s="28">
        <f t="shared" si="1"/>
        <v>0</v>
      </c>
      <c r="Q49" s="29">
        <f t="shared" si="2"/>
        <v>0</v>
      </c>
      <c r="R49" s="30">
        <v>0</v>
      </c>
      <c r="S49" s="19">
        <v>0</v>
      </c>
      <c r="T49" s="23">
        <v>0</v>
      </c>
      <c r="U49" s="24">
        <v>0</v>
      </c>
      <c r="V49" s="31">
        <f t="shared" si="3"/>
        <v>0.8</v>
      </c>
      <c r="W49" s="32">
        <v>2000</v>
      </c>
      <c r="X49" s="30">
        <v>2</v>
      </c>
      <c r="Y49" s="19">
        <v>0</v>
      </c>
      <c r="Z49" s="23">
        <v>0</v>
      </c>
      <c r="AA49" s="24">
        <v>0</v>
      </c>
      <c r="AB49" s="33">
        <v>0</v>
      </c>
      <c r="AC49" s="34">
        <v>0</v>
      </c>
      <c r="AD49" s="35">
        <v>0</v>
      </c>
      <c r="AE49" s="36">
        <v>0</v>
      </c>
      <c r="AF49" s="23">
        <v>0</v>
      </c>
      <c r="AG49" s="24">
        <v>0</v>
      </c>
      <c r="AH49" s="33">
        <v>0</v>
      </c>
      <c r="AI49" s="37">
        <v>0</v>
      </c>
      <c r="AJ49" s="35">
        <v>0</v>
      </c>
      <c r="AK49" s="36">
        <v>0</v>
      </c>
      <c r="AL49" s="38">
        <v>0</v>
      </c>
      <c r="AM49" s="35">
        <v>0</v>
      </c>
      <c r="AN49" s="19">
        <v>0</v>
      </c>
      <c r="AO49" s="23">
        <v>0</v>
      </c>
      <c r="AP49" s="24">
        <v>0</v>
      </c>
      <c r="AQ49" s="31">
        <f t="shared" si="4"/>
        <v>1.6</v>
      </c>
      <c r="AR49" s="32">
        <f t="shared" si="4"/>
        <v>4000</v>
      </c>
      <c r="AS49" s="30">
        <v>2</v>
      </c>
    </row>
    <row r="50" spans="1:45" ht="15.6" x14ac:dyDescent="0.3">
      <c r="A50" s="19">
        <v>47</v>
      </c>
      <c r="B50" s="21" t="s">
        <v>67</v>
      </c>
      <c r="C50" s="20" t="s">
        <v>72</v>
      </c>
      <c r="D50" s="324"/>
      <c r="E50" s="22">
        <v>13.8</v>
      </c>
      <c r="F50" s="23">
        <f t="shared" si="0"/>
        <v>34500</v>
      </c>
      <c r="G50" s="19">
        <v>0</v>
      </c>
      <c r="H50" s="23">
        <v>0</v>
      </c>
      <c r="I50" s="24">
        <v>0</v>
      </c>
      <c r="J50" s="19">
        <v>0</v>
      </c>
      <c r="K50" s="23">
        <v>0</v>
      </c>
      <c r="L50" s="24">
        <v>0</v>
      </c>
      <c r="M50" s="25">
        <v>4</v>
      </c>
      <c r="N50" s="26">
        <v>10000</v>
      </c>
      <c r="O50" s="27">
        <v>10</v>
      </c>
      <c r="P50" s="28">
        <f t="shared" si="1"/>
        <v>2.8</v>
      </c>
      <c r="Q50" s="29">
        <f t="shared" si="2"/>
        <v>7000</v>
      </c>
      <c r="R50" s="30">
        <v>7</v>
      </c>
      <c r="S50" s="19">
        <v>0</v>
      </c>
      <c r="T50" s="23">
        <v>0</v>
      </c>
      <c r="U50" s="24">
        <v>0</v>
      </c>
      <c r="V50" s="31">
        <f t="shared" si="3"/>
        <v>6</v>
      </c>
      <c r="W50" s="32">
        <v>15000</v>
      </c>
      <c r="X50" s="30">
        <v>15</v>
      </c>
      <c r="Y50" s="19">
        <v>0</v>
      </c>
      <c r="Z50" s="23">
        <v>0</v>
      </c>
      <c r="AA50" s="24">
        <v>0</v>
      </c>
      <c r="AB50" s="33">
        <v>0</v>
      </c>
      <c r="AC50" s="34">
        <v>0</v>
      </c>
      <c r="AD50" s="35">
        <v>0</v>
      </c>
      <c r="AE50" s="36">
        <v>0</v>
      </c>
      <c r="AF50" s="23">
        <v>0</v>
      </c>
      <c r="AG50" s="24">
        <v>0</v>
      </c>
      <c r="AH50" s="33">
        <v>0</v>
      </c>
      <c r="AI50" s="37">
        <v>0</v>
      </c>
      <c r="AJ50" s="35">
        <v>0</v>
      </c>
      <c r="AK50" s="36">
        <v>0</v>
      </c>
      <c r="AL50" s="38">
        <v>0</v>
      </c>
      <c r="AM50" s="35">
        <v>0</v>
      </c>
      <c r="AN50" s="19">
        <v>0</v>
      </c>
      <c r="AO50" s="23">
        <v>0</v>
      </c>
      <c r="AP50" s="24">
        <v>0</v>
      </c>
      <c r="AQ50" s="31">
        <f t="shared" si="4"/>
        <v>12.8</v>
      </c>
      <c r="AR50" s="32">
        <f t="shared" si="4"/>
        <v>32000</v>
      </c>
      <c r="AS50" s="30">
        <v>17</v>
      </c>
    </row>
    <row r="51" spans="1:45" ht="15.6" x14ac:dyDescent="0.3">
      <c r="A51" s="19">
        <v>48</v>
      </c>
      <c r="B51" s="21" t="s">
        <v>67</v>
      </c>
      <c r="C51" s="20" t="s">
        <v>73</v>
      </c>
      <c r="D51" s="324"/>
      <c r="E51" s="22">
        <v>11</v>
      </c>
      <c r="F51" s="23">
        <f t="shared" si="0"/>
        <v>27500</v>
      </c>
      <c r="G51" s="19">
        <v>0</v>
      </c>
      <c r="H51" s="23">
        <v>0</v>
      </c>
      <c r="I51" s="24">
        <v>0</v>
      </c>
      <c r="J51" s="19">
        <v>0</v>
      </c>
      <c r="K51" s="23">
        <v>0</v>
      </c>
      <c r="L51" s="24">
        <v>0</v>
      </c>
      <c r="M51" s="25">
        <v>4</v>
      </c>
      <c r="N51" s="26">
        <v>10000</v>
      </c>
      <c r="O51" s="27">
        <v>10</v>
      </c>
      <c r="P51" s="28">
        <f t="shared" si="1"/>
        <v>2.4</v>
      </c>
      <c r="Q51" s="29">
        <f t="shared" si="2"/>
        <v>6000</v>
      </c>
      <c r="R51" s="30">
        <v>6</v>
      </c>
      <c r="S51" s="19">
        <v>0</v>
      </c>
      <c r="T51" s="23">
        <v>0</v>
      </c>
      <c r="U51" s="24">
        <v>0</v>
      </c>
      <c r="V51" s="31">
        <f t="shared" si="3"/>
        <v>5.6</v>
      </c>
      <c r="W51" s="32">
        <v>14000</v>
      </c>
      <c r="X51" s="30">
        <v>14</v>
      </c>
      <c r="Y51" s="19">
        <v>0</v>
      </c>
      <c r="Z51" s="23">
        <v>0</v>
      </c>
      <c r="AA51" s="24">
        <v>0</v>
      </c>
      <c r="AB51" s="33">
        <v>0</v>
      </c>
      <c r="AC51" s="34">
        <v>0</v>
      </c>
      <c r="AD51" s="35">
        <v>0</v>
      </c>
      <c r="AE51" s="36">
        <v>0</v>
      </c>
      <c r="AF51" s="23">
        <v>0</v>
      </c>
      <c r="AG51" s="24">
        <v>0</v>
      </c>
      <c r="AH51" s="33">
        <v>0</v>
      </c>
      <c r="AI51" s="37">
        <v>0</v>
      </c>
      <c r="AJ51" s="35">
        <v>0</v>
      </c>
      <c r="AK51" s="36">
        <v>0</v>
      </c>
      <c r="AL51" s="38">
        <v>0</v>
      </c>
      <c r="AM51" s="35">
        <v>0</v>
      </c>
      <c r="AN51" s="19">
        <v>0</v>
      </c>
      <c r="AO51" s="23">
        <v>0</v>
      </c>
      <c r="AP51" s="24">
        <v>0</v>
      </c>
      <c r="AQ51" s="31">
        <f t="shared" si="4"/>
        <v>12</v>
      </c>
      <c r="AR51" s="32">
        <f t="shared" si="4"/>
        <v>30000</v>
      </c>
      <c r="AS51" s="30">
        <v>16</v>
      </c>
    </row>
    <row r="52" spans="1:45" ht="15.6" x14ac:dyDescent="0.3">
      <c r="A52" s="19">
        <v>49</v>
      </c>
      <c r="B52" s="21" t="s">
        <v>67</v>
      </c>
      <c r="C52" s="20" t="s">
        <v>74</v>
      </c>
      <c r="D52" s="324"/>
      <c r="E52" s="22">
        <v>10.8</v>
      </c>
      <c r="F52" s="23">
        <f t="shared" si="0"/>
        <v>27000</v>
      </c>
      <c r="G52" s="19">
        <v>0</v>
      </c>
      <c r="H52" s="23">
        <v>0</v>
      </c>
      <c r="I52" s="24">
        <v>0</v>
      </c>
      <c r="J52" s="19">
        <v>0</v>
      </c>
      <c r="K52" s="23">
        <v>0</v>
      </c>
      <c r="L52" s="24">
        <v>0</v>
      </c>
      <c r="M52" s="25">
        <v>1.2</v>
      </c>
      <c r="N52" s="26">
        <v>3000</v>
      </c>
      <c r="O52" s="27">
        <v>3</v>
      </c>
      <c r="P52" s="28">
        <f t="shared" si="1"/>
        <v>2</v>
      </c>
      <c r="Q52" s="29">
        <f t="shared" si="2"/>
        <v>5000</v>
      </c>
      <c r="R52" s="30">
        <v>5</v>
      </c>
      <c r="S52" s="19">
        <v>0</v>
      </c>
      <c r="T52" s="23">
        <v>0</v>
      </c>
      <c r="U52" s="24">
        <v>0</v>
      </c>
      <c r="V52" s="31">
        <f t="shared" si="3"/>
        <v>3.2</v>
      </c>
      <c r="W52" s="32">
        <v>8000</v>
      </c>
      <c r="X52" s="30">
        <v>8</v>
      </c>
      <c r="Y52" s="19">
        <v>0</v>
      </c>
      <c r="Z52" s="23">
        <v>0</v>
      </c>
      <c r="AA52" s="24">
        <v>0</v>
      </c>
      <c r="AB52" s="33">
        <v>0</v>
      </c>
      <c r="AC52" s="34">
        <v>0</v>
      </c>
      <c r="AD52" s="35">
        <v>0</v>
      </c>
      <c r="AE52" s="36">
        <v>0</v>
      </c>
      <c r="AF52" s="23">
        <v>0</v>
      </c>
      <c r="AG52" s="24">
        <v>0</v>
      </c>
      <c r="AH52" s="33">
        <v>0</v>
      </c>
      <c r="AI52" s="37">
        <v>0</v>
      </c>
      <c r="AJ52" s="35">
        <v>0</v>
      </c>
      <c r="AK52" s="36">
        <v>0</v>
      </c>
      <c r="AL52" s="38">
        <v>0</v>
      </c>
      <c r="AM52" s="35">
        <v>0</v>
      </c>
      <c r="AN52" s="19">
        <v>0</v>
      </c>
      <c r="AO52" s="23">
        <v>0</v>
      </c>
      <c r="AP52" s="24">
        <v>0</v>
      </c>
      <c r="AQ52" s="31">
        <f t="shared" si="4"/>
        <v>6.4</v>
      </c>
      <c r="AR52" s="32">
        <f t="shared" si="4"/>
        <v>16000</v>
      </c>
      <c r="AS52" s="30">
        <v>8</v>
      </c>
    </row>
    <row r="53" spans="1:45" ht="15.6" x14ac:dyDescent="0.3">
      <c r="A53" s="19">
        <v>50</v>
      </c>
      <c r="B53" s="21" t="s">
        <v>67</v>
      </c>
      <c r="C53" s="20" t="s">
        <v>75</v>
      </c>
      <c r="D53" s="324"/>
      <c r="E53" s="22">
        <v>9</v>
      </c>
      <c r="F53" s="23">
        <f t="shared" si="0"/>
        <v>22500</v>
      </c>
      <c r="G53" s="19">
        <v>0</v>
      </c>
      <c r="H53" s="23">
        <v>0</v>
      </c>
      <c r="I53" s="24">
        <v>0</v>
      </c>
      <c r="J53" s="19">
        <v>0</v>
      </c>
      <c r="K53" s="23">
        <v>0</v>
      </c>
      <c r="L53" s="24">
        <v>0</v>
      </c>
      <c r="M53" s="25">
        <v>3.2</v>
      </c>
      <c r="N53" s="26">
        <v>8000</v>
      </c>
      <c r="O53" s="27">
        <v>8</v>
      </c>
      <c r="P53" s="28">
        <f t="shared" si="1"/>
        <v>2.4</v>
      </c>
      <c r="Q53" s="29">
        <f t="shared" si="2"/>
        <v>6000</v>
      </c>
      <c r="R53" s="30">
        <v>6</v>
      </c>
      <c r="S53" s="19">
        <v>0</v>
      </c>
      <c r="T53" s="23">
        <v>0</v>
      </c>
      <c r="U53" s="24">
        <v>0</v>
      </c>
      <c r="V53" s="31">
        <f t="shared" si="3"/>
        <v>5.6</v>
      </c>
      <c r="W53" s="32">
        <v>14000</v>
      </c>
      <c r="X53" s="30">
        <v>14</v>
      </c>
      <c r="Y53" s="19">
        <v>0</v>
      </c>
      <c r="Z53" s="23">
        <v>0</v>
      </c>
      <c r="AA53" s="24">
        <v>0</v>
      </c>
      <c r="AB53" s="33">
        <v>0</v>
      </c>
      <c r="AC53" s="34">
        <v>0</v>
      </c>
      <c r="AD53" s="35">
        <v>0</v>
      </c>
      <c r="AE53" s="36">
        <v>0</v>
      </c>
      <c r="AF53" s="23">
        <v>0</v>
      </c>
      <c r="AG53" s="24">
        <v>0</v>
      </c>
      <c r="AH53" s="33">
        <v>0</v>
      </c>
      <c r="AI53" s="37">
        <v>0</v>
      </c>
      <c r="AJ53" s="35">
        <v>0</v>
      </c>
      <c r="AK53" s="36">
        <v>0</v>
      </c>
      <c r="AL53" s="38">
        <v>0</v>
      </c>
      <c r="AM53" s="35">
        <v>0</v>
      </c>
      <c r="AN53" s="19">
        <v>0</v>
      </c>
      <c r="AO53" s="23">
        <v>0</v>
      </c>
      <c r="AP53" s="24">
        <v>0</v>
      </c>
      <c r="AQ53" s="31">
        <f t="shared" si="4"/>
        <v>11.2</v>
      </c>
      <c r="AR53" s="32">
        <f t="shared" si="4"/>
        <v>28000</v>
      </c>
      <c r="AS53" s="30">
        <v>14</v>
      </c>
    </row>
    <row r="54" spans="1:45" ht="15.6" x14ac:dyDescent="0.3">
      <c r="A54" s="19">
        <v>51</v>
      </c>
      <c r="B54" s="21" t="s">
        <v>67</v>
      </c>
      <c r="C54" s="20" t="s">
        <v>76</v>
      </c>
      <c r="D54" s="324"/>
      <c r="E54" s="22">
        <v>10</v>
      </c>
      <c r="F54" s="23">
        <f t="shared" si="0"/>
        <v>25000</v>
      </c>
      <c r="G54" s="19">
        <v>0</v>
      </c>
      <c r="H54" s="23">
        <v>0</v>
      </c>
      <c r="I54" s="24">
        <v>0</v>
      </c>
      <c r="J54" s="19">
        <v>0</v>
      </c>
      <c r="K54" s="23">
        <v>0</v>
      </c>
      <c r="L54" s="24">
        <v>0</v>
      </c>
      <c r="M54" s="25">
        <v>3.2</v>
      </c>
      <c r="N54" s="26">
        <v>8000</v>
      </c>
      <c r="O54" s="27">
        <v>8</v>
      </c>
      <c r="P54" s="28">
        <f t="shared" si="1"/>
        <v>1.6</v>
      </c>
      <c r="Q54" s="29">
        <f t="shared" si="2"/>
        <v>4000</v>
      </c>
      <c r="R54" s="30">
        <v>4</v>
      </c>
      <c r="S54" s="19">
        <v>0</v>
      </c>
      <c r="T54" s="23">
        <v>0</v>
      </c>
      <c r="U54" s="24">
        <v>0</v>
      </c>
      <c r="V54" s="31">
        <f t="shared" si="3"/>
        <v>4.8</v>
      </c>
      <c r="W54" s="32">
        <v>12000</v>
      </c>
      <c r="X54" s="30">
        <v>12</v>
      </c>
      <c r="Y54" s="19">
        <v>0</v>
      </c>
      <c r="Z54" s="23">
        <v>0</v>
      </c>
      <c r="AA54" s="24">
        <v>0</v>
      </c>
      <c r="AB54" s="33">
        <v>0</v>
      </c>
      <c r="AC54" s="34">
        <v>0</v>
      </c>
      <c r="AD54" s="35">
        <v>0</v>
      </c>
      <c r="AE54" s="36">
        <v>0</v>
      </c>
      <c r="AF54" s="23">
        <v>0</v>
      </c>
      <c r="AG54" s="24">
        <v>0</v>
      </c>
      <c r="AH54" s="33">
        <v>0</v>
      </c>
      <c r="AI54" s="37">
        <v>0</v>
      </c>
      <c r="AJ54" s="35">
        <v>0</v>
      </c>
      <c r="AK54" s="36">
        <v>0</v>
      </c>
      <c r="AL54" s="38">
        <v>0</v>
      </c>
      <c r="AM54" s="35">
        <v>0</v>
      </c>
      <c r="AN54" s="19">
        <v>0</v>
      </c>
      <c r="AO54" s="23">
        <v>0</v>
      </c>
      <c r="AP54" s="24">
        <v>0</v>
      </c>
      <c r="AQ54" s="31">
        <f t="shared" si="4"/>
        <v>9.6000000000000014</v>
      </c>
      <c r="AR54" s="32">
        <f t="shared" si="4"/>
        <v>24000</v>
      </c>
      <c r="AS54" s="30">
        <v>12</v>
      </c>
    </row>
    <row r="55" spans="1:45" ht="15.6" x14ac:dyDescent="0.3">
      <c r="A55" s="19">
        <v>52</v>
      </c>
      <c r="B55" s="21" t="s">
        <v>77</v>
      </c>
      <c r="C55" s="20" t="s">
        <v>78</v>
      </c>
      <c r="D55" s="324" t="s">
        <v>25</v>
      </c>
      <c r="E55" s="22">
        <v>8</v>
      </c>
      <c r="F55" s="23">
        <f t="shared" si="0"/>
        <v>20000</v>
      </c>
      <c r="G55" s="19">
        <v>0</v>
      </c>
      <c r="H55" s="23">
        <v>0</v>
      </c>
      <c r="I55" s="24">
        <v>0</v>
      </c>
      <c r="J55" s="19">
        <v>0</v>
      </c>
      <c r="K55" s="23">
        <v>0</v>
      </c>
      <c r="L55" s="24">
        <v>0</v>
      </c>
      <c r="M55" s="25">
        <v>2.4</v>
      </c>
      <c r="N55" s="26">
        <v>6000</v>
      </c>
      <c r="O55" s="27">
        <v>6</v>
      </c>
      <c r="P55" s="28">
        <f t="shared" si="1"/>
        <v>2.4</v>
      </c>
      <c r="Q55" s="29">
        <f t="shared" si="2"/>
        <v>6000</v>
      </c>
      <c r="R55" s="30">
        <v>6</v>
      </c>
      <c r="S55" s="19">
        <v>0</v>
      </c>
      <c r="T55" s="23">
        <v>0</v>
      </c>
      <c r="U55" s="24">
        <v>0</v>
      </c>
      <c r="V55" s="31">
        <f t="shared" si="3"/>
        <v>4.8</v>
      </c>
      <c r="W55" s="32">
        <v>12000</v>
      </c>
      <c r="X55" s="30">
        <v>12</v>
      </c>
      <c r="Y55" s="19">
        <v>0</v>
      </c>
      <c r="Z55" s="23">
        <v>0</v>
      </c>
      <c r="AA55" s="24">
        <v>0</v>
      </c>
      <c r="AB55" s="33">
        <v>0</v>
      </c>
      <c r="AC55" s="34">
        <v>0</v>
      </c>
      <c r="AD55" s="35">
        <v>0</v>
      </c>
      <c r="AE55" s="36">
        <v>0</v>
      </c>
      <c r="AF55" s="23">
        <v>0</v>
      </c>
      <c r="AG55" s="24">
        <v>0</v>
      </c>
      <c r="AH55" s="33">
        <v>0</v>
      </c>
      <c r="AI55" s="37">
        <v>0</v>
      </c>
      <c r="AJ55" s="35">
        <v>0</v>
      </c>
      <c r="AK55" s="36">
        <v>0</v>
      </c>
      <c r="AL55" s="38">
        <v>0</v>
      </c>
      <c r="AM55" s="35">
        <v>0</v>
      </c>
      <c r="AN55" s="19">
        <v>0</v>
      </c>
      <c r="AO55" s="23">
        <v>0</v>
      </c>
      <c r="AP55" s="24">
        <v>0</v>
      </c>
      <c r="AQ55" s="31">
        <f t="shared" si="4"/>
        <v>9.6</v>
      </c>
      <c r="AR55" s="32">
        <f t="shared" si="4"/>
        <v>24000</v>
      </c>
      <c r="AS55" s="30">
        <v>12</v>
      </c>
    </row>
    <row r="56" spans="1:45" ht="15.6" x14ac:dyDescent="0.3">
      <c r="A56" s="19">
        <v>53</v>
      </c>
      <c r="B56" s="21" t="s">
        <v>77</v>
      </c>
      <c r="C56" s="20" t="s">
        <v>79</v>
      </c>
      <c r="D56" s="324"/>
      <c r="E56" s="22">
        <v>6</v>
      </c>
      <c r="F56" s="23">
        <f t="shared" si="0"/>
        <v>15000</v>
      </c>
      <c r="G56" s="19">
        <v>0</v>
      </c>
      <c r="H56" s="23">
        <v>0</v>
      </c>
      <c r="I56" s="24">
        <v>0</v>
      </c>
      <c r="J56" s="19">
        <v>0</v>
      </c>
      <c r="K56" s="23">
        <v>0</v>
      </c>
      <c r="L56" s="24">
        <v>0</v>
      </c>
      <c r="M56" s="25">
        <v>1.6</v>
      </c>
      <c r="N56" s="26">
        <v>4000</v>
      </c>
      <c r="O56" s="27">
        <v>4</v>
      </c>
      <c r="P56" s="28">
        <f t="shared" si="1"/>
        <v>0.8</v>
      </c>
      <c r="Q56" s="29">
        <f t="shared" si="2"/>
        <v>2000</v>
      </c>
      <c r="R56" s="30">
        <v>2</v>
      </c>
      <c r="S56" s="19">
        <v>0</v>
      </c>
      <c r="T56" s="23">
        <v>0</v>
      </c>
      <c r="U56" s="24">
        <v>0</v>
      </c>
      <c r="V56" s="31">
        <f t="shared" si="3"/>
        <v>2.4</v>
      </c>
      <c r="W56" s="32">
        <v>6000</v>
      </c>
      <c r="X56" s="30">
        <v>6</v>
      </c>
      <c r="Y56" s="19">
        <v>0</v>
      </c>
      <c r="Z56" s="23">
        <v>0</v>
      </c>
      <c r="AA56" s="24">
        <v>0</v>
      </c>
      <c r="AB56" s="33">
        <v>0</v>
      </c>
      <c r="AC56" s="34">
        <v>0</v>
      </c>
      <c r="AD56" s="35">
        <v>0</v>
      </c>
      <c r="AE56" s="36">
        <v>0</v>
      </c>
      <c r="AF56" s="23">
        <v>0</v>
      </c>
      <c r="AG56" s="24">
        <v>0</v>
      </c>
      <c r="AH56" s="33">
        <v>0</v>
      </c>
      <c r="AI56" s="37">
        <v>0</v>
      </c>
      <c r="AJ56" s="35">
        <v>0</v>
      </c>
      <c r="AK56" s="36">
        <v>0</v>
      </c>
      <c r="AL56" s="38">
        <v>0</v>
      </c>
      <c r="AM56" s="35">
        <v>0</v>
      </c>
      <c r="AN56" s="19">
        <v>0</v>
      </c>
      <c r="AO56" s="23">
        <v>0</v>
      </c>
      <c r="AP56" s="24">
        <v>0</v>
      </c>
      <c r="AQ56" s="31">
        <f t="shared" si="4"/>
        <v>4.8000000000000007</v>
      </c>
      <c r="AR56" s="32">
        <f t="shared" si="4"/>
        <v>12000</v>
      </c>
      <c r="AS56" s="30">
        <v>6</v>
      </c>
    </row>
    <row r="57" spans="1:45" ht="15.6" x14ac:dyDescent="0.3">
      <c r="A57" s="19">
        <v>54</v>
      </c>
      <c r="B57" s="21" t="s">
        <v>77</v>
      </c>
      <c r="C57" s="20" t="s">
        <v>80</v>
      </c>
      <c r="D57" s="324"/>
      <c r="E57" s="22">
        <v>7</v>
      </c>
      <c r="F57" s="23">
        <f t="shared" si="0"/>
        <v>17500</v>
      </c>
      <c r="G57" s="19">
        <v>0</v>
      </c>
      <c r="H57" s="23">
        <v>0</v>
      </c>
      <c r="I57" s="24">
        <v>0</v>
      </c>
      <c r="J57" s="19">
        <v>0</v>
      </c>
      <c r="K57" s="23">
        <v>0</v>
      </c>
      <c r="L57" s="24">
        <v>0</v>
      </c>
      <c r="M57" s="25">
        <v>0.8</v>
      </c>
      <c r="N57" s="26">
        <v>2000</v>
      </c>
      <c r="O57" s="27">
        <v>2</v>
      </c>
      <c r="P57" s="28">
        <f t="shared" si="1"/>
        <v>2</v>
      </c>
      <c r="Q57" s="29">
        <f t="shared" si="2"/>
        <v>5000</v>
      </c>
      <c r="R57" s="30">
        <v>5</v>
      </c>
      <c r="S57" s="19">
        <v>0</v>
      </c>
      <c r="T57" s="23">
        <v>0</v>
      </c>
      <c r="U57" s="24">
        <v>0</v>
      </c>
      <c r="V57" s="31">
        <f t="shared" si="3"/>
        <v>2.8</v>
      </c>
      <c r="W57" s="32">
        <v>7000</v>
      </c>
      <c r="X57" s="30">
        <v>7</v>
      </c>
      <c r="Y57" s="19">
        <v>0</v>
      </c>
      <c r="Z57" s="23">
        <v>0</v>
      </c>
      <c r="AA57" s="24">
        <v>0</v>
      </c>
      <c r="AB57" s="33">
        <v>0</v>
      </c>
      <c r="AC57" s="34">
        <v>0</v>
      </c>
      <c r="AD57" s="35">
        <v>0</v>
      </c>
      <c r="AE57" s="36">
        <v>0</v>
      </c>
      <c r="AF57" s="23">
        <v>0</v>
      </c>
      <c r="AG57" s="24">
        <v>0</v>
      </c>
      <c r="AH57" s="33">
        <v>0</v>
      </c>
      <c r="AI57" s="37">
        <v>0</v>
      </c>
      <c r="AJ57" s="35">
        <v>0</v>
      </c>
      <c r="AK57" s="36">
        <v>0</v>
      </c>
      <c r="AL57" s="38">
        <v>0</v>
      </c>
      <c r="AM57" s="35">
        <v>0</v>
      </c>
      <c r="AN57" s="19">
        <v>0</v>
      </c>
      <c r="AO57" s="23">
        <v>0</v>
      </c>
      <c r="AP57" s="24">
        <v>0</v>
      </c>
      <c r="AQ57" s="31">
        <f t="shared" si="4"/>
        <v>5.6</v>
      </c>
      <c r="AR57" s="32">
        <f t="shared" si="4"/>
        <v>14000</v>
      </c>
      <c r="AS57" s="30">
        <v>7</v>
      </c>
    </row>
    <row r="58" spans="1:45" ht="15.6" x14ac:dyDescent="0.3">
      <c r="A58" s="19">
        <v>55</v>
      </c>
      <c r="B58" s="21" t="s">
        <v>77</v>
      </c>
      <c r="C58" s="20" t="s">
        <v>81</v>
      </c>
      <c r="D58" s="324"/>
      <c r="E58" s="22">
        <v>17.2</v>
      </c>
      <c r="F58" s="23">
        <f t="shared" si="0"/>
        <v>43000</v>
      </c>
      <c r="G58" s="19">
        <v>0</v>
      </c>
      <c r="H58" s="23">
        <v>0</v>
      </c>
      <c r="I58" s="24">
        <v>0</v>
      </c>
      <c r="J58" s="19">
        <v>0</v>
      </c>
      <c r="K58" s="23">
        <v>0</v>
      </c>
      <c r="L58" s="24">
        <v>0</v>
      </c>
      <c r="M58" s="25">
        <v>4.8</v>
      </c>
      <c r="N58" s="26">
        <v>12000</v>
      </c>
      <c r="O58" s="27">
        <v>12</v>
      </c>
      <c r="P58" s="28">
        <f t="shared" si="1"/>
        <v>2.4</v>
      </c>
      <c r="Q58" s="29">
        <f t="shared" si="2"/>
        <v>6000</v>
      </c>
      <c r="R58" s="30">
        <v>6</v>
      </c>
      <c r="S58" s="19">
        <v>0</v>
      </c>
      <c r="T58" s="23">
        <v>0</v>
      </c>
      <c r="U58" s="24">
        <v>0</v>
      </c>
      <c r="V58" s="31">
        <f t="shared" si="3"/>
        <v>6.8</v>
      </c>
      <c r="W58" s="32">
        <v>17000</v>
      </c>
      <c r="X58" s="30">
        <v>17</v>
      </c>
      <c r="Y58" s="19">
        <v>0</v>
      </c>
      <c r="Z58" s="23">
        <v>0</v>
      </c>
      <c r="AA58" s="24">
        <v>0</v>
      </c>
      <c r="AB58" s="33">
        <v>0</v>
      </c>
      <c r="AC58" s="34">
        <v>0</v>
      </c>
      <c r="AD58" s="35">
        <v>0</v>
      </c>
      <c r="AE58" s="36">
        <v>0</v>
      </c>
      <c r="AF58" s="23">
        <v>0</v>
      </c>
      <c r="AG58" s="24">
        <v>0</v>
      </c>
      <c r="AH58" s="33">
        <v>0</v>
      </c>
      <c r="AI58" s="37">
        <v>0</v>
      </c>
      <c r="AJ58" s="35">
        <v>0</v>
      </c>
      <c r="AK58" s="36">
        <v>0</v>
      </c>
      <c r="AL58" s="38">
        <v>0</v>
      </c>
      <c r="AM58" s="35">
        <v>0</v>
      </c>
      <c r="AN58" s="19">
        <v>0</v>
      </c>
      <c r="AO58" s="23">
        <v>0</v>
      </c>
      <c r="AP58" s="24">
        <v>0</v>
      </c>
      <c r="AQ58" s="31">
        <f t="shared" si="4"/>
        <v>14</v>
      </c>
      <c r="AR58" s="32">
        <f t="shared" si="4"/>
        <v>35000</v>
      </c>
      <c r="AS58" s="30">
        <v>18</v>
      </c>
    </row>
    <row r="59" spans="1:45" ht="15.6" x14ac:dyDescent="0.3">
      <c r="A59" s="19">
        <v>56</v>
      </c>
      <c r="B59" s="21" t="s">
        <v>77</v>
      </c>
      <c r="C59" s="20" t="s">
        <v>82</v>
      </c>
      <c r="D59" s="324"/>
      <c r="E59" s="22">
        <v>6.6</v>
      </c>
      <c r="F59" s="23">
        <f t="shared" si="0"/>
        <v>16500</v>
      </c>
      <c r="G59" s="19">
        <v>0</v>
      </c>
      <c r="H59" s="23">
        <v>0</v>
      </c>
      <c r="I59" s="24">
        <v>0</v>
      </c>
      <c r="J59" s="19">
        <v>0</v>
      </c>
      <c r="K59" s="23">
        <v>0</v>
      </c>
      <c r="L59" s="24">
        <v>0</v>
      </c>
      <c r="M59" s="25">
        <v>2.4</v>
      </c>
      <c r="N59" s="26">
        <v>6000</v>
      </c>
      <c r="O59" s="27">
        <v>6</v>
      </c>
      <c r="P59" s="28">
        <f t="shared" si="1"/>
        <v>2</v>
      </c>
      <c r="Q59" s="29">
        <f t="shared" si="2"/>
        <v>5000</v>
      </c>
      <c r="R59" s="30">
        <v>5</v>
      </c>
      <c r="S59" s="19">
        <v>0</v>
      </c>
      <c r="T59" s="23">
        <v>0</v>
      </c>
      <c r="U59" s="24">
        <v>0</v>
      </c>
      <c r="V59" s="31">
        <f t="shared" si="3"/>
        <v>4</v>
      </c>
      <c r="W59" s="32">
        <v>10000</v>
      </c>
      <c r="X59" s="30">
        <v>10</v>
      </c>
      <c r="Y59" s="19">
        <v>0</v>
      </c>
      <c r="Z59" s="23">
        <v>0</v>
      </c>
      <c r="AA59" s="24">
        <v>0</v>
      </c>
      <c r="AB59" s="33">
        <v>0</v>
      </c>
      <c r="AC59" s="34">
        <v>0</v>
      </c>
      <c r="AD59" s="35">
        <v>0</v>
      </c>
      <c r="AE59" s="36">
        <v>0</v>
      </c>
      <c r="AF59" s="23">
        <v>0</v>
      </c>
      <c r="AG59" s="24">
        <v>0</v>
      </c>
      <c r="AH59" s="33">
        <v>0</v>
      </c>
      <c r="AI59" s="37">
        <v>0</v>
      </c>
      <c r="AJ59" s="35">
        <v>0</v>
      </c>
      <c r="AK59" s="36">
        <v>0</v>
      </c>
      <c r="AL59" s="38">
        <v>0</v>
      </c>
      <c r="AM59" s="35">
        <v>0</v>
      </c>
      <c r="AN59" s="19">
        <v>0</v>
      </c>
      <c r="AO59" s="23">
        <v>0</v>
      </c>
      <c r="AP59" s="24">
        <v>0</v>
      </c>
      <c r="AQ59" s="31">
        <f t="shared" si="4"/>
        <v>8.4</v>
      </c>
      <c r="AR59" s="32">
        <f t="shared" si="4"/>
        <v>21000</v>
      </c>
      <c r="AS59" s="30">
        <v>11</v>
      </c>
    </row>
    <row r="60" spans="1:45" ht="15.6" x14ac:dyDescent="0.3">
      <c r="A60" s="19">
        <v>57</v>
      </c>
      <c r="B60" s="21" t="s">
        <v>77</v>
      </c>
      <c r="C60" s="20" t="s">
        <v>83</v>
      </c>
      <c r="D60" s="324"/>
      <c r="E60" s="22">
        <v>19.399999999999999</v>
      </c>
      <c r="F60" s="23">
        <f t="shared" si="0"/>
        <v>48500</v>
      </c>
      <c r="G60" s="19">
        <v>0</v>
      </c>
      <c r="H60" s="23">
        <v>0</v>
      </c>
      <c r="I60" s="24">
        <v>0</v>
      </c>
      <c r="J60" s="19">
        <v>0</v>
      </c>
      <c r="K60" s="23">
        <v>0</v>
      </c>
      <c r="L60" s="24">
        <v>0</v>
      </c>
      <c r="M60" s="25">
        <v>4.4000000000000004</v>
      </c>
      <c r="N60" s="26">
        <v>11000</v>
      </c>
      <c r="O60" s="27">
        <v>11</v>
      </c>
      <c r="P60" s="28">
        <f t="shared" si="1"/>
        <v>2.8</v>
      </c>
      <c r="Q60" s="29">
        <f t="shared" si="2"/>
        <v>7000</v>
      </c>
      <c r="R60" s="30">
        <v>7</v>
      </c>
      <c r="S60" s="19">
        <v>0</v>
      </c>
      <c r="T60" s="23">
        <v>0</v>
      </c>
      <c r="U60" s="24">
        <v>0</v>
      </c>
      <c r="V60" s="31">
        <f t="shared" si="3"/>
        <v>7.2</v>
      </c>
      <c r="W60" s="32">
        <v>18000</v>
      </c>
      <c r="X60" s="30">
        <v>18</v>
      </c>
      <c r="Y60" s="19">
        <v>0</v>
      </c>
      <c r="Z60" s="23">
        <v>0</v>
      </c>
      <c r="AA60" s="24">
        <v>0</v>
      </c>
      <c r="AB60" s="33">
        <v>0</v>
      </c>
      <c r="AC60" s="34">
        <v>0</v>
      </c>
      <c r="AD60" s="35">
        <v>0</v>
      </c>
      <c r="AE60" s="36">
        <v>0</v>
      </c>
      <c r="AF60" s="23">
        <v>0</v>
      </c>
      <c r="AG60" s="24">
        <v>0</v>
      </c>
      <c r="AH60" s="33">
        <v>0</v>
      </c>
      <c r="AI60" s="37">
        <v>0</v>
      </c>
      <c r="AJ60" s="35">
        <v>0</v>
      </c>
      <c r="AK60" s="36">
        <v>0</v>
      </c>
      <c r="AL60" s="38">
        <v>0</v>
      </c>
      <c r="AM60" s="35">
        <v>0</v>
      </c>
      <c r="AN60" s="19">
        <v>0</v>
      </c>
      <c r="AO60" s="23">
        <v>0</v>
      </c>
      <c r="AP60" s="24">
        <v>0</v>
      </c>
      <c r="AQ60" s="31">
        <f t="shared" si="4"/>
        <v>14.4</v>
      </c>
      <c r="AR60" s="32">
        <f t="shared" si="4"/>
        <v>36000</v>
      </c>
      <c r="AS60" s="30">
        <v>18</v>
      </c>
    </row>
    <row r="61" spans="1:45" ht="15.6" x14ac:dyDescent="0.3">
      <c r="A61" s="19">
        <v>58</v>
      </c>
      <c r="B61" s="21" t="s">
        <v>77</v>
      </c>
      <c r="C61" s="20" t="s">
        <v>84</v>
      </c>
      <c r="D61" s="324"/>
      <c r="E61" s="22">
        <v>15.799999999999999</v>
      </c>
      <c r="F61" s="23">
        <f t="shared" si="0"/>
        <v>39500</v>
      </c>
      <c r="G61" s="19">
        <v>0</v>
      </c>
      <c r="H61" s="23">
        <v>0</v>
      </c>
      <c r="I61" s="24">
        <v>0</v>
      </c>
      <c r="J61" s="19">
        <v>0</v>
      </c>
      <c r="K61" s="23">
        <v>0</v>
      </c>
      <c r="L61" s="24">
        <v>0</v>
      </c>
      <c r="M61" s="25">
        <v>4</v>
      </c>
      <c r="N61" s="26">
        <v>10000</v>
      </c>
      <c r="O61" s="27">
        <v>10</v>
      </c>
      <c r="P61" s="28">
        <f t="shared" si="1"/>
        <v>1.6</v>
      </c>
      <c r="Q61" s="29">
        <f t="shared" si="2"/>
        <v>4000</v>
      </c>
      <c r="R61" s="30">
        <v>4</v>
      </c>
      <c r="S61" s="19">
        <v>0</v>
      </c>
      <c r="T61" s="23">
        <v>0</v>
      </c>
      <c r="U61" s="24">
        <v>0</v>
      </c>
      <c r="V61" s="31">
        <f t="shared" si="3"/>
        <v>5.6</v>
      </c>
      <c r="W61" s="32">
        <v>14000</v>
      </c>
      <c r="X61" s="30">
        <v>14</v>
      </c>
      <c r="Y61" s="19">
        <v>0</v>
      </c>
      <c r="Z61" s="23">
        <v>0</v>
      </c>
      <c r="AA61" s="24">
        <v>0</v>
      </c>
      <c r="AB61" s="33">
        <v>0</v>
      </c>
      <c r="AC61" s="34">
        <v>0</v>
      </c>
      <c r="AD61" s="35">
        <v>0</v>
      </c>
      <c r="AE61" s="36">
        <v>0</v>
      </c>
      <c r="AF61" s="23">
        <v>0</v>
      </c>
      <c r="AG61" s="24">
        <v>0</v>
      </c>
      <c r="AH61" s="33">
        <v>0</v>
      </c>
      <c r="AI61" s="37">
        <v>0</v>
      </c>
      <c r="AJ61" s="35">
        <v>0</v>
      </c>
      <c r="AK61" s="36">
        <v>0</v>
      </c>
      <c r="AL61" s="38">
        <v>0</v>
      </c>
      <c r="AM61" s="35">
        <v>0</v>
      </c>
      <c r="AN61" s="19">
        <v>0</v>
      </c>
      <c r="AO61" s="23">
        <v>0</v>
      </c>
      <c r="AP61" s="24">
        <v>0</v>
      </c>
      <c r="AQ61" s="31">
        <f t="shared" si="4"/>
        <v>11.2</v>
      </c>
      <c r="AR61" s="32">
        <f t="shared" si="4"/>
        <v>28000</v>
      </c>
      <c r="AS61" s="30">
        <v>14</v>
      </c>
    </row>
    <row r="62" spans="1:45" ht="15.6" x14ac:dyDescent="0.3">
      <c r="A62" s="19">
        <v>59</v>
      </c>
      <c r="B62" s="21" t="s">
        <v>77</v>
      </c>
      <c r="C62" s="20" t="s">
        <v>85</v>
      </c>
      <c r="D62" s="324"/>
      <c r="E62" s="22">
        <v>13.399999999999999</v>
      </c>
      <c r="F62" s="23">
        <f t="shared" si="0"/>
        <v>33500</v>
      </c>
      <c r="G62" s="19">
        <v>0</v>
      </c>
      <c r="H62" s="23">
        <v>0</v>
      </c>
      <c r="I62" s="24">
        <v>0</v>
      </c>
      <c r="J62" s="19">
        <v>0</v>
      </c>
      <c r="K62" s="23">
        <v>0</v>
      </c>
      <c r="L62" s="24">
        <v>0</v>
      </c>
      <c r="M62" s="25">
        <v>4.4000000000000004</v>
      </c>
      <c r="N62" s="26">
        <v>11000</v>
      </c>
      <c r="O62" s="27">
        <v>11</v>
      </c>
      <c r="P62" s="28">
        <f t="shared" si="1"/>
        <v>2.4</v>
      </c>
      <c r="Q62" s="29">
        <f t="shared" si="2"/>
        <v>6000</v>
      </c>
      <c r="R62" s="30">
        <v>6</v>
      </c>
      <c r="S62" s="19">
        <v>0</v>
      </c>
      <c r="T62" s="23">
        <v>0</v>
      </c>
      <c r="U62" s="24">
        <v>0</v>
      </c>
      <c r="V62" s="31">
        <f t="shared" si="3"/>
        <v>6.8</v>
      </c>
      <c r="W62" s="32">
        <v>17000</v>
      </c>
      <c r="X62" s="30">
        <v>17</v>
      </c>
      <c r="Y62" s="19">
        <v>0</v>
      </c>
      <c r="Z62" s="23">
        <v>0</v>
      </c>
      <c r="AA62" s="24">
        <v>0</v>
      </c>
      <c r="AB62" s="33">
        <v>0</v>
      </c>
      <c r="AC62" s="34">
        <v>0</v>
      </c>
      <c r="AD62" s="35">
        <v>0</v>
      </c>
      <c r="AE62" s="36">
        <v>0</v>
      </c>
      <c r="AF62" s="23">
        <v>0</v>
      </c>
      <c r="AG62" s="24">
        <v>0</v>
      </c>
      <c r="AH62" s="33">
        <v>0</v>
      </c>
      <c r="AI62" s="37">
        <v>0</v>
      </c>
      <c r="AJ62" s="35">
        <v>0</v>
      </c>
      <c r="AK62" s="36">
        <v>0</v>
      </c>
      <c r="AL62" s="38">
        <v>0</v>
      </c>
      <c r="AM62" s="35">
        <v>0</v>
      </c>
      <c r="AN62" s="19">
        <v>0</v>
      </c>
      <c r="AO62" s="23">
        <v>0</v>
      </c>
      <c r="AP62" s="24">
        <v>0</v>
      </c>
      <c r="AQ62" s="31">
        <f t="shared" si="4"/>
        <v>13.600000000000001</v>
      </c>
      <c r="AR62" s="32">
        <f t="shared" si="4"/>
        <v>34000</v>
      </c>
      <c r="AS62" s="30">
        <v>17</v>
      </c>
    </row>
    <row r="63" spans="1:45" ht="15.6" x14ac:dyDescent="0.3">
      <c r="A63" s="19">
        <v>60</v>
      </c>
      <c r="B63" s="21" t="s">
        <v>86</v>
      </c>
      <c r="C63" s="20" t="s">
        <v>86</v>
      </c>
      <c r="D63" s="324"/>
      <c r="E63" s="22">
        <v>21.200000000000003</v>
      </c>
      <c r="F63" s="23">
        <f t="shared" si="0"/>
        <v>53000.000000000007</v>
      </c>
      <c r="G63" s="19">
        <v>0</v>
      </c>
      <c r="H63" s="23">
        <v>0</v>
      </c>
      <c r="I63" s="24">
        <v>0</v>
      </c>
      <c r="J63" s="19">
        <v>0</v>
      </c>
      <c r="K63" s="23">
        <v>0</v>
      </c>
      <c r="L63" s="24">
        <v>0</v>
      </c>
      <c r="M63" s="25">
        <v>4.4000000000000004</v>
      </c>
      <c r="N63" s="26">
        <v>11000</v>
      </c>
      <c r="O63" s="27">
        <v>11</v>
      </c>
      <c r="P63" s="28">
        <f t="shared" si="1"/>
        <v>3.2</v>
      </c>
      <c r="Q63" s="29">
        <f t="shared" si="2"/>
        <v>8000</v>
      </c>
      <c r="R63" s="30">
        <v>8</v>
      </c>
      <c r="S63" s="19">
        <v>0</v>
      </c>
      <c r="T63" s="23">
        <v>0</v>
      </c>
      <c r="U63" s="24">
        <v>0</v>
      </c>
      <c r="V63" s="31">
        <f t="shared" si="3"/>
        <v>8</v>
      </c>
      <c r="W63" s="32">
        <v>20000</v>
      </c>
      <c r="X63" s="30">
        <v>20</v>
      </c>
      <c r="Y63" s="19">
        <v>0</v>
      </c>
      <c r="Z63" s="23">
        <v>0</v>
      </c>
      <c r="AA63" s="24">
        <v>0</v>
      </c>
      <c r="AB63" s="33">
        <v>0</v>
      </c>
      <c r="AC63" s="34">
        <v>0</v>
      </c>
      <c r="AD63" s="35">
        <v>0</v>
      </c>
      <c r="AE63" s="36">
        <v>0</v>
      </c>
      <c r="AF63" s="23">
        <v>0</v>
      </c>
      <c r="AG63" s="24">
        <v>0</v>
      </c>
      <c r="AH63" s="33">
        <v>0</v>
      </c>
      <c r="AI63" s="37">
        <v>0</v>
      </c>
      <c r="AJ63" s="35">
        <v>0</v>
      </c>
      <c r="AK63" s="36">
        <v>0</v>
      </c>
      <c r="AL63" s="38">
        <v>0</v>
      </c>
      <c r="AM63" s="35">
        <v>0</v>
      </c>
      <c r="AN63" s="19">
        <v>0</v>
      </c>
      <c r="AO63" s="23">
        <v>0</v>
      </c>
      <c r="AP63" s="24">
        <v>0</v>
      </c>
      <c r="AQ63" s="31">
        <f t="shared" si="4"/>
        <v>15.600000000000001</v>
      </c>
      <c r="AR63" s="32">
        <f t="shared" si="4"/>
        <v>39000</v>
      </c>
      <c r="AS63" s="30">
        <v>20</v>
      </c>
    </row>
    <row r="64" spans="1:45" ht="15.6" x14ac:dyDescent="0.3">
      <c r="A64" s="19">
        <v>61</v>
      </c>
      <c r="B64" s="21" t="s">
        <v>86</v>
      </c>
      <c r="C64" s="20" t="s">
        <v>87</v>
      </c>
      <c r="D64" s="324"/>
      <c r="E64" s="22">
        <v>52.8</v>
      </c>
      <c r="F64" s="23">
        <f t="shared" si="0"/>
        <v>132000</v>
      </c>
      <c r="G64" s="19">
        <v>0</v>
      </c>
      <c r="H64" s="23">
        <v>0</v>
      </c>
      <c r="I64" s="24">
        <v>0</v>
      </c>
      <c r="J64" s="19">
        <v>0</v>
      </c>
      <c r="K64" s="23">
        <v>0</v>
      </c>
      <c r="L64" s="24">
        <v>0</v>
      </c>
      <c r="M64" s="25">
        <v>10</v>
      </c>
      <c r="N64" s="26">
        <v>25000</v>
      </c>
      <c r="O64" s="27">
        <v>25</v>
      </c>
      <c r="P64" s="28">
        <f t="shared" si="1"/>
        <v>5.6</v>
      </c>
      <c r="Q64" s="29">
        <f t="shared" si="2"/>
        <v>14000</v>
      </c>
      <c r="R64" s="30">
        <v>14</v>
      </c>
      <c r="S64" s="19">
        <v>0</v>
      </c>
      <c r="T64" s="23">
        <v>0</v>
      </c>
      <c r="U64" s="24">
        <v>0</v>
      </c>
      <c r="V64" s="31">
        <f t="shared" si="3"/>
        <v>16.399999999999999</v>
      </c>
      <c r="W64" s="32">
        <v>41000</v>
      </c>
      <c r="X64" s="30">
        <v>41</v>
      </c>
      <c r="Y64" s="19">
        <v>0</v>
      </c>
      <c r="Z64" s="23">
        <v>0</v>
      </c>
      <c r="AA64" s="24">
        <v>0</v>
      </c>
      <c r="AB64" s="33">
        <v>0</v>
      </c>
      <c r="AC64" s="34">
        <v>0</v>
      </c>
      <c r="AD64" s="35">
        <v>0</v>
      </c>
      <c r="AE64" s="36">
        <v>0</v>
      </c>
      <c r="AF64" s="23">
        <v>0</v>
      </c>
      <c r="AG64" s="24">
        <v>0</v>
      </c>
      <c r="AH64" s="33">
        <v>0</v>
      </c>
      <c r="AI64" s="37">
        <v>0</v>
      </c>
      <c r="AJ64" s="35">
        <v>0</v>
      </c>
      <c r="AK64" s="36">
        <v>0</v>
      </c>
      <c r="AL64" s="38">
        <v>0</v>
      </c>
      <c r="AM64" s="35">
        <v>0</v>
      </c>
      <c r="AN64" s="19">
        <v>0</v>
      </c>
      <c r="AO64" s="23">
        <v>0</v>
      </c>
      <c r="AP64" s="24">
        <v>0</v>
      </c>
      <c r="AQ64" s="31">
        <f t="shared" si="4"/>
        <v>32</v>
      </c>
      <c r="AR64" s="32">
        <f t="shared" si="4"/>
        <v>80000</v>
      </c>
      <c r="AS64" s="30">
        <v>41</v>
      </c>
    </row>
    <row r="65" spans="1:45" ht="15.6" x14ac:dyDescent="0.3">
      <c r="A65" s="19">
        <v>62</v>
      </c>
      <c r="B65" s="21" t="s">
        <v>86</v>
      </c>
      <c r="C65" s="20" t="s">
        <v>88</v>
      </c>
      <c r="D65" s="324"/>
      <c r="E65" s="22">
        <v>10.399999999999999</v>
      </c>
      <c r="F65" s="23">
        <f t="shared" si="0"/>
        <v>25999.999999999996</v>
      </c>
      <c r="G65" s="19">
        <v>0</v>
      </c>
      <c r="H65" s="23">
        <v>0</v>
      </c>
      <c r="I65" s="24">
        <v>0</v>
      </c>
      <c r="J65" s="19">
        <v>0</v>
      </c>
      <c r="K65" s="23">
        <v>0</v>
      </c>
      <c r="L65" s="24">
        <v>0</v>
      </c>
      <c r="M65" s="25">
        <v>4.4000000000000004</v>
      </c>
      <c r="N65" s="26">
        <v>11000</v>
      </c>
      <c r="O65" s="27">
        <v>11</v>
      </c>
      <c r="P65" s="28">
        <f t="shared" si="1"/>
        <v>1.2</v>
      </c>
      <c r="Q65" s="29">
        <f t="shared" si="2"/>
        <v>3000</v>
      </c>
      <c r="R65" s="30">
        <v>3</v>
      </c>
      <c r="S65" s="19">
        <v>0</v>
      </c>
      <c r="T65" s="23">
        <v>0</v>
      </c>
      <c r="U65" s="24">
        <v>0</v>
      </c>
      <c r="V65" s="31">
        <f t="shared" si="3"/>
        <v>5.2</v>
      </c>
      <c r="W65" s="32">
        <v>13000</v>
      </c>
      <c r="X65" s="30">
        <v>13</v>
      </c>
      <c r="Y65" s="19">
        <v>0</v>
      </c>
      <c r="Z65" s="23">
        <v>0</v>
      </c>
      <c r="AA65" s="24">
        <v>0</v>
      </c>
      <c r="AB65" s="33">
        <v>0</v>
      </c>
      <c r="AC65" s="34">
        <v>0</v>
      </c>
      <c r="AD65" s="35">
        <v>0</v>
      </c>
      <c r="AE65" s="36">
        <v>0</v>
      </c>
      <c r="AF65" s="23">
        <v>0</v>
      </c>
      <c r="AG65" s="24">
        <v>0</v>
      </c>
      <c r="AH65" s="33">
        <v>0</v>
      </c>
      <c r="AI65" s="37">
        <v>0</v>
      </c>
      <c r="AJ65" s="35">
        <v>0</v>
      </c>
      <c r="AK65" s="36">
        <v>0</v>
      </c>
      <c r="AL65" s="38">
        <v>0</v>
      </c>
      <c r="AM65" s="35">
        <v>0</v>
      </c>
      <c r="AN65" s="19">
        <v>0</v>
      </c>
      <c r="AO65" s="23">
        <v>0</v>
      </c>
      <c r="AP65" s="24">
        <v>0</v>
      </c>
      <c r="AQ65" s="31">
        <f t="shared" si="4"/>
        <v>10.8</v>
      </c>
      <c r="AR65" s="32">
        <f t="shared" si="4"/>
        <v>27000</v>
      </c>
      <c r="AS65" s="30">
        <v>14</v>
      </c>
    </row>
    <row r="66" spans="1:45" ht="15.6" x14ac:dyDescent="0.3">
      <c r="A66" s="19">
        <v>63</v>
      </c>
      <c r="B66" s="21" t="s">
        <v>86</v>
      </c>
      <c r="C66" s="20" t="s">
        <v>89</v>
      </c>
      <c r="D66" s="324"/>
      <c r="E66" s="22">
        <v>14.6</v>
      </c>
      <c r="F66" s="23">
        <f t="shared" si="0"/>
        <v>36500</v>
      </c>
      <c r="G66" s="19">
        <v>0</v>
      </c>
      <c r="H66" s="23">
        <v>0</v>
      </c>
      <c r="I66" s="24">
        <v>0</v>
      </c>
      <c r="J66" s="19">
        <v>0</v>
      </c>
      <c r="K66" s="23">
        <v>0</v>
      </c>
      <c r="L66" s="24">
        <v>0</v>
      </c>
      <c r="M66" s="25">
        <v>4.8</v>
      </c>
      <c r="N66" s="26">
        <v>12000</v>
      </c>
      <c r="O66" s="27">
        <v>12</v>
      </c>
      <c r="P66" s="28">
        <f t="shared" si="1"/>
        <v>2.8</v>
      </c>
      <c r="Q66" s="29">
        <f t="shared" si="2"/>
        <v>7000</v>
      </c>
      <c r="R66" s="30">
        <v>7</v>
      </c>
      <c r="S66" s="19">
        <v>0</v>
      </c>
      <c r="T66" s="23">
        <v>0</v>
      </c>
      <c r="U66" s="24">
        <v>0</v>
      </c>
      <c r="V66" s="31">
        <f t="shared" si="3"/>
        <v>7.2</v>
      </c>
      <c r="W66" s="32">
        <v>18000</v>
      </c>
      <c r="X66" s="30">
        <v>18</v>
      </c>
      <c r="Y66" s="19">
        <v>0</v>
      </c>
      <c r="Z66" s="23">
        <v>0</v>
      </c>
      <c r="AA66" s="24">
        <v>0</v>
      </c>
      <c r="AB66" s="33">
        <v>0</v>
      </c>
      <c r="AC66" s="34">
        <v>0</v>
      </c>
      <c r="AD66" s="35">
        <v>0</v>
      </c>
      <c r="AE66" s="36">
        <v>0</v>
      </c>
      <c r="AF66" s="23">
        <v>0</v>
      </c>
      <c r="AG66" s="24">
        <v>0</v>
      </c>
      <c r="AH66" s="33">
        <v>0</v>
      </c>
      <c r="AI66" s="37">
        <v>0</v>
      </c>
      <c r="AJ66" s="35">
        <v>0</v>
      </c>
      <c r="AK66" s="36">
        <v>0</v>
      </c>
      <c r="AL66" s="38">
        <v>0</v>
      </c>
      <c r="AM66" s="35">
        <v>0</v>
      </c>
      <c r="AN66" s="19">
        <v>0</v>
      </c>
      <c r="AO66" s="23">
        <v>0</v>
      </c>
      <c r="AP66" s="24">
        <v>0</v>
      </c>
      <c r="AQ66" s="31">
        <f t="shared" si="4"/>
        <v>14.8</v>
      </c>
      <c r="AR66" s="32">
        <f t="shared" si="4"/>
        <v>37000</v>
      </c>
      <c r="AS66" s="30">
        <v>19</v>
      </c>
    </row>
    <row r="67" spans="1:45" ht="15.6" x14ac:dyDescent="0.3">
      <c r="A67" s="19">
        <v>64</v>
      </c>
      <c r="B67" s="21" t="s">
        <v>86</v>
      </c>
      <c r="C67" s="20" t="s">
        <v>90</v>
      </c>
      <c r="D67" s="324"/>
      <c r="E67" s="22">
        <v>25.600000000000005</v>
      </c>
      <c r="F67" s="23">
        <f t="shared" si="0"/>
        <v>64000.000000000015</v>
      </c>
      <c r="G67" s="19">
        <v>0</v>
      </c>
      <c r="H67" s="23">
        <v>0</v>
      </c>
      <c r="I67" s="24">
        <v>0</v>
      </c>
      <c r="J67" s="19">
        <v>0</v>
      </c>
      <c r="K67" s="23">
        <v>0</v>
      </c>
      <c r="L67" s="24">
        <v>0</v>
      </c>
      <c r="M67" s="25">
        <v>8.4</v>
      </c>
      <c r="N67" s="26">
        <v>21000</v>
      </c>
      <c r="O67" s="27">
        <v>21</v>
      </c>
      <c r="P67" s="28">
        <f t="shared" si="1"/>
        <v>2</v>
      </c>
      <c r="Q67" s="29">
        <f t="shared" si="2"/>
        <v>5000</v>
      </c>
      <c r="R67" s="30">
        <v>5</v>
      </c>
      <c r="S67" s="19">
        <v>0</v>
      </c>
      <c r="T67" s="23">
        <v>0</v>
      </c>
      <c r="U67" s="24">
        <v>0</v>
      </c>
      <c r="V67" s="31">
        <f t="shared" si="3"/>
        <v>10.4</v>
      </c>
      <c r="W67" s="32">
        <v>26000</v>
      </c>
      <c r="X67" s="30">
        <v>26</v>
      </c>
      <c r="Y67" s="19">
        <v>0</v>
      </c>
      <c r="Z67" s="23">
        <v>0</v>
      </c>
      <c r="AA67" s="24">
        <v>0</v>
      </c>
      <c r="AB67" s="33">
        <v>0</v>
      </c>
      <c r="AC67" s="34">
        <v>0</v>
      </c>
      <c r="AD67" s="35">
        <v>0</v>
      </c>
      <c r="AE67" s="36">
        <v>0</v>
      </c>
      <c r="AF67" s="23">
        <v>0</v>
      </c>
      <c r="AG67" s="24">
        <v>0</v>
      </c>
      <c r="AH67" s="33">
        <v>0</v>
      </c>
      <c r="AI67" s="37">
        <v>0</v>
      </c>
      <c r="AJ67" s="35">
        <v>0</v>
      </c>
      <c r="AK67" s="36">
        <v>0</v>
      </c>
      <c r="AL67" s="38">
        <v>0</v>
      </c>
      <c r="AM67" s="35">
        <v>0</v>
      </c>
      <c r="AN67" s="19">
        <v>0</v>
      </c>
      <c r="AO67" s="23">
        <v>0</v>
      </c>
      <c r="AP67" s="24">
        <v>0</v>
      </c>
      <c r="AQ67" s="31">
        <f t="shared" si="4"/>
        <v>20.8</v>
      </c>
      <c r="AR67" s="32">
        <f t="shared" si="4"/>
        <v>52000</v>
      </c>
      <c r="AS67" s="30">
        <v>26</v>
      </c>
    </row>
    <row r="68" spans="1:45" ht="15.6" x14ac:dyDescent="0.3">
      <c r="A68" s="19">
        <v>65</v>
      </c>
      <c r="B68" s="21" t="s">
        <v>86</v>
      </c>
      <c r="C68" s="20" t="s">
        <v>91</v>
      </c>
      <c r="D68" s="324"/>
      <c r="E68" s="22">
        <v>33.4</v>
      </c>
      <c r="F68" s="23">
        <f t="shared" si="0"/>
        <v>83500</v>
      </c>
      <c r="G68" s="19">
        <v>0</v>
      </c>
      <c r="H68" s="23">
        <v>0</v>
      </c>
      <c r="I68" s="24">
        <v>0</v>
      </c>
      <c r="J68" s="19">
        <v>0</v>
      </c>
      <c r="K68" s="23">
        <v>0</v>
      </c>
      <c r="L68" s="24">
        <v>0</v>
      </c>
      <c r="M68" s="25">
        <v>7.2</v>
      </c>
      <c r="N68" s="26">
        <v>18000</v>
      </c>
      <c r="O68" s="27">
        <v>18</v>
      </c>
      <c r="P68" s="28">
        <f t="shared" si="1"/>
        <v>5.6</v>
      </c>
      <c r="Q68" s="29">
        <f t="shared" si="2"/>
        <v>14000</v>
      </c>
      <c r="R68" s="30">
        <v>14</v>
      </c>
      <c r="S68" s="19">
        <v>0</v>
      </c>
      <c r="T68" s="23">
        <v>0</v>
      </c>
      <c r="U68" s="24">
        <v>0</v>
      </c>
      <c r="V68" s="31">
        <f t="shared" si="3"/>
        <v>12.4</v>
      </c>
      <c r="W68" s="32">
        <v>31000</v>
      </c>
      <c r="X68" s="30">
        <v>31</v>
      </c>
      <c r="Y68" s="19">
        <v>0</v>
      </c>
      <c r="Z68" s="23">
        <v>0</v>
      </c>
      <c r="AA68" s="24">
        <v>0</v>
      </c>
      <c r="AB68" s="33">
        <v>0</v>
      </c>
      <c r="AC68" s="34">
        <v>0</v>
      </c>
      <c r="AD68" s="35">
        <v>0</v>
      </c>
      <c r="AE68" s="36">
        <v>0</v>
      </c>
      <c r="AF68" s="23">
        <v>0</v>
      </c>
      <c r="AG68" s="24">
        <v>0</v>
      </c>
      <c r="AH68" s="33">
        <v>0</v>
      </c>
      <c r="AI68" s="37">
        <v>0</v>
      </c>
      <c r="AJ68" s="35">
        <v>0</v>
      </c>
      <c r="AK68" s="36">
        <v>0</v>
      </c>
      <c r="AL68" s="38">
        <v>0</v>
      </c>
      <c r="AM68" s="35">
        <v>0</v>
      </c>
      <c r="AN68" s="19">
        <v>0</v>
      </c>
      <c r="AO68" s="23">
        <v>0</v>
      </c>
      <c r="AP68" s="24">
        <v>0</v>
      </c>
      <c r="AQ68" s="31">
        <f t="shared" si="4"/>
        <v>25.200000000000003</v>
      </c>
      <c r="AR68" s="32">
        <f t="shared" si="4"/>
        <v>63000</v>
      </c>
      <c r="AS68" s="30">
        <v>32</v>
      </c>
    </row>
    <row r="69" spans="1:45" ht="15.6" x14ac:dyDescent="0.3">
      <c r="A69" s="19">
        <v>66</v>
      </c>
      <c r="B69" s="21" t="s">
        <v>86</v>
      </c>
      <c r="C69" s="20" t="s">
        <v>92</v>
      </c>
      <c r="D69" s="324"/>
      <c r="E69" s="22">
        <v>21</v>
      </c>
      <c r="F69" s="23">
        <f t="shared" ref="F69:F132" si="5">E69*2500</f>
        <v>52500</v>
      </c>
      <c r="G69" s="19">
        <v>0</v>
      </c>
      <c r="H69" s="23">
        <v>0</v>
      </c>
      <c r="I69" s="24">
        <v>0</v>
      </c>
      <c r="J69" s="19">
        <v>0</v>
      </c>
      <c r="K69" s="23">
        <v>0</v>
      </c>
      <c r="L69" s="24">
        <v>0</v>
      </c>
      <c r="M69" s="25">
        <v>7.6</v>
      </c>
      <c r="N69" s="26">
        <v>19000</v>
      </c>
      <c r="O69" s="27">
        <v>19</v>
      </c>
      <c r="P69" s="28">
        <f t="shared" ref="P69:P132" si="6">Q69/2500</f>
        <v>1.6</v>
      </c>
      <c r="Q69" s="29">
        <f t="shared" ref="Q69:Q132" si="7">R69*1000</f>
        <v>4000</v>
      </c>
      <c r="R69" s="30">
        <v>4</v>
      </c>
      <c r="S69" s="19">
        <v>0</v>
      </c>
      <c r="T69" s="23">
        <v>0</v>
      </c>
      <c r="U69" s="24">
        <v>0</v>
      </c>
      <c r="V69" s="31">
        <f t="shared" ref="V69:V132" si="8">W69/2500</f>
        <v>8.8000000000000007</v>
      </c>
      <c r="W69" s="32">
        <v>22000</v>
      </c>
      <c r="X69" s="30">
        <v>22</v>
      </c>
      <c r="Y69" s="19">
        <v>0</v>
      </c>
      <c r="Z69" s="23">
        <v>0</v>
      </c>
      <c r="AA69" s="24">
        <v>0</v>
      </c>
      <c r="AB69" s="33">
        <v>0</v>
      </c>
      <c r="AC69" s="34">
        <v>0</v>
      </c>
      <c r="AD69" s="35">
        <v>0</v>
      </c>
      <c r="AE69" s="36">
        <v>0</v>
      </c>
      <c r="AF69" s="23">
        <v>0</v>
      </c>
      <c r="AG69" s="24">
        <v>0</v>
      </c>
      <c r="AH69" s="33">
        <v>0</v>
      </c>
      <c r="AI69" s="37">
        <v>0</v>
      </c>
      <c r="AJ69" s="35">
        <v>0</v>
      </c>
      <c r="AK69" s="36">
        <v>0</v>
      </c>
      <c r="AL69" s="38">
        <v>0</v>
      </c>
      <c r="AM69" s="35">
        <v>0</v>
      </c>
      <c r="AN69" s="19">
        <v>0</v>
      </c>
      <c r="AO69" s="23">
        <v>0</v>
      </c>
      <c r="AP69" s="24">
        <v>0</v>
      </c>
      <c r="AQ69" s="31">
        <f t="shared" ref="AQ69:AR132" si="9">G69+J69+M69+P69+S69+V69+Y69+AB69+AE69+AH69+AK69+AN69</f>
        <v>18</v>
      </c>
      <c r="AR69" s="32">
        <f t="shared" si="9"/>
        <v>45000</v>
      </c>
      <c r="AS69" s="30">
        <v>23</v>
      </c>
    </row>
    <row r="70" spans="1:45" ht="15.6" x14ac:dyDescent="0.3">
      <c r="A70" s="19">
        <v>67</v>
      </c>
      <c r="B70" s="21" t="s">
        <v>86</v>
      </c>
      <c r="C70" s="20" t="s">
        <v>93</v>
      </c>
      <c r="D70" s="324"/>
      <c r="E70" s="22">
        <v>14.2</v>
      </c>
      <c r="F70" s="23">
        <f t="shared" si="5"/>
        <v>35500</v>
      </c>
      <c r="G70" s="19">
        <v>0</v>
      </c>
      <c r="H70" s="23">
        <v>0</v>
      </c>
      <c r="I70" s="24">
        <v>0</v>
      </c>
      <c r="J70" s="19">
        <v>0</v>
      </c>
      <c r="K70" s="23">
        <v>0</v>
      </c>
      <c r="L70" s="24">
        <v>0</v>
      </c>
      <c r="M70" s="25">
        <v>4.8</v>
      </c>
      <c r="N70" s="26">
        <v>12000</v>
      </c>
      <c r="O70" s="27">
        <v>12</v>
      </c>
      <c r="P70" s="28">
        <f t="shared" si="6"/>
        <v>1.6</v>
      </c>
      <c r="Q70" s="29">
        <f t="shared" si="7"/>
        <v>4000</v>
      </c>
      <c r="R70" s="30">
        <v>4</v>
      </c>
      <c r="S70" s="19">
        <v>0</v>
      </c>
      <c r="T70" s="23">
        <v>0</v>
      </c>
      <c r="U70" s="24">
        <v>0</v>
      </c>
      <c r="V70" s="31">
        <f t="shared" si="8"/>
        <v>6</v>
      </c>
      <c r="W70" s="32">
        <v>15000</v>
      </c>
      <c r="X70" s="30">
        <v>15</v>
      </c>
      <c r="Y70" s="19">
        <v>0</v>
      </c>
      <c r="Z70" s="23">
        <v>0</v>
      </c>
      <c r="AA70" s="24">
        <v>0</v>
      </c>
      <c r="AB70" s="33">
        <v>0</v>
      </c>
      <c r="AC70" s="34">
        <v>0</v>
      </c>
      <c r="AD70" s="35">
        <v>0</v>
      </c>
      <c r="AE70" s="36">
        <v>0</v>
      </c>
      <c r="AF70" s="23">
        <v>0</v>
      </c>
      <c r="AG70" s="24">
        <v>0</v>
      </c>
      <c r="AH70" s="33">
        <v>0</v>
      </c>
      <c r="AI70" s="37">
        <v>0</v>
      </c>
      <c r="AJ70" s="35">
        <v>0</v>
      </c>
      <c r="AK70" s="36">
        <v>0</v>
      </c>
      <c r="AL70" s="38">
        <v>0</v>
      </c>
      <c r="AM70" s="35">
        <v>0</v>
      </c>
      <c r="AN70" s="19">
        <v>0</v>
      </c>
      <c r="AO70" s="23">
        <v>0</v>
      </c>
      <c r="AP70" s="24">
        <v>0</v>
      </c>
      <c r="AQ70" s="31">
        <f t="shared" si="9"/>
        <v>12.4</v>
      </c>
      <c r="AR70" s="32">
        <f t="shared" si="9"/>
        <v>31000</v>
      </c>
      <c r="AS70" s="30">
        <v>16</v>
      </c>
    </row>
    <row r="71" spans="1:45" ht="15.6" x14ac:dyDescent="0.3">
      <c r="A71" s="19">
        <v>68</v>
      </c>
      <c r="B71" s="21" t="s">
        <v>86</v>
      </c>
      <c r="C71" s="20" t="s">
        <v>94</v>
      </c>
      <c r="D71" s="324"/>
      <c r="E71" s="22">
        <v>21.4</v>
      </c>
      <c r="F71" s="23">
        <f t="shared" si="5"/>
        <v>53500</v>
      </c>
      <c r="G71" s="19">
        <v>0</v>
      </c>
      <c r="H71" s="23">
        <v>0</v>
      </c>
      <c r="I71" s="24">
        <v>0</v>
      </c>
      <c r="J71" s="19">
        <v>0</v>
      </c>
      <c r="K71" s="23">
        <v>0</v>
      </c>
      <c r="L71" s="24">
        <v>0</v>
      </c>
      <c r="M71" s="25">
        <v>5.6</v>
      </c>
      <c r="N71" s="26">
        <v>14000</v>
      </c>
      <c r="O71" s="27">
        <v>14</v>
      </c>
      <c r="P71" s="28">
        <f t="shared" si="6"/>
        <v>1.2</v>
      </c>
      <c r="Q71" s="29">
        <f t="shared" si="7"/>
        <v>3000</v>
      </c>
      <c r="R71" s="30">
        <v>3</v>
      </c>
      <c r="S71" s="19">
        <v>0</v>
      </c>
      <c r="T71" s="23">
        <v>0</v>
      </c>
      <c r="U71" s="24">
        <v>0</v>
      </c>
      <c r="V71" s="31">
        <f t="shared" si="8"/>
        <v>6.4</v>
      </c>
      <c r="W71" s="32">
        <v>16000</v>
      </c>
      <c r="X71" s="30">
        <v>16</v>
      </c>
      <c r="Y71" s="19">
        <v>0</v>
      </c>
      <c r="Z71" s="23">
        <v>0</v>
      </c>
      <c r="AA71" s="24">
        <v>0</v>
      </c>
      <c r="AB71" s="33">
        <v>0</v>
      </c>
      <c r="AC71" s="34">
        <v>0</v>
      </c>
      <c r="AD71" s="35">
        <v>0</v>
      </c>
      <c r="AE71" s="36">
        <v>0</v>
      </c>
      <c r="AF71" s="23">
        <v>0</v>
      </c>
      <c r="AG71" s="24">
        <v>0</v>
      </c>
      <c r="AH71" s="33">
        <v>0</v>
      </c>
      <c r="AI71" s="37">
        <v>0</v>
      </c>
      <c r="AJ71" s="35">
        <v>0</v>
      </c>
      <c r="AK71" s="36">
        <v>0</v>
      </c>
      <c r="AL71" s="38">
        <v>0</v>
      </c>
      <c r="AM71" s="35">
        <v>0</v>
      </c>
      <c r="AN71" s="19">
        <v>0</v>
      </c>
      <c r="AO71" s="23">
        <v>0</v>
      </c>
      <c r="AP71" s="24">
        <v>0</v>
      </c>
      <c r="AQ71" s="31">
        <f t="shared" si="9"/>
        <v>13.2</v>
      </c>
      <c r="AR71" s="32">
        <f t="shared" si="9"/>
        <v>33000</v>
      </c>
      <c r="AS71" s="30">
        <v>17</v>
      </c>
    </row>
    <row r="72" spans="1:45" ht="15.6" x14ac:dyDescent="0.3">
      <c r="A72" s="19">
        <v>69</v>
      </c>
      <c r="B72" s="21" t="s">
        <v>86</v>
      </c>
      <c r="C72" s="20" t="s">
        <v>95</v>
      </c>
      <c r="D72" s="324" t="s">
        <v>25</v>
      </c>
      <c r="E72" s="22">
        <v>9</v>
      </c>
      <c r="F72" s="23">
        <f t="shared" si="5"/>
        <v>22500</v>
      </c>
      <c r="G72" s="19">
        <v>0</v>
      </c>
      <c r="H72" s="23">
        <v>0</v>
      </c>
      <c r="I72" s="24">
        <v>0</v>
      </c>
      <c r="J72" s="19">
        <v>0</v>
      </c>
      <c r="K72" s="23">
        <v>0</v>
      </c>
      <c r="L72" s="24">
        <v>0</v>
      </c>
      <c r="M72" s="25">
        <v>3.2</v>
      </c>
      <c r="N72" s="26">
        <v>8000</v>
      </c>
      <c r="O72" s="27">
        <v>8</v>
      </c>
      <c r="P72" s="28">
        <f t="shared" si="6"/>
        <v>2</v>
      </c>
      <c r="Q72" s="29">
        <f t="shared" si="7"/>
        <v>5000</v>
      </c>
      <c r="R72" s="30">
        <v>5</v>
      </c>
      <c r="S72" s="19">
        <v>0</v>
      </c>
      <c r="T72" s="23">
        <v>0</v>
      </c>
      <c r="U72" s="24">
        <v>0</v>
      </c>
      <c r="V72" s="31">
        <f t="shared" si="8"/>
        <v>5.6</v>
      </c>
      <c r="W72" s="32">
        <v>14000</v>
      </c>
      <c r="X72" s="30">
        <v>14</v>
      </c>
      <c r="Y72" s="19">
        <v>0</v>
      </c>
      <c r="Z72" s="23">
        <v>0</v>
      </c>
      <c r="AA72" s="24">
        <v>0</v>
      </c>
      <c r="AB72" s="33">
        <v>0</v>
      </c>
      <c r="AC72" s="34">
        <v>0</v>
      </c>
      <c r="AD72" s="35">
        <v>0</v>
      </c>
      <c r="AE72" s="36">
        <v>0</v>
      </c>
      <c r="AF72" s="23">
        <v>0</v>
      </c>
      <c r="AG72" s="24">
        <v>0</v>
      </c>
      <c r="AH72" s="33">
        <v>0</v>
      </c>
      <c r="AI72" s="37">
        <v>0</v>
      </c>
      <c r="AJ72" s="35">
        <v>0</v>
      </c>
      <c r="AK72" s="36">
        <v>0</v>
      </c>
      <c r="AL72" s="38">
        <v>0</v>
      </c>
      <c r="AM72" s="35">
        <v>0</v>
      </c>
      <c r="AN72" s="19">
        <v>0</v>
      </c>
      <c r="AO72" s="23">
        <v>0</v>
      </c>
      <c r="AP72" s="24">
        <v>0</v>
      </c>
      <c r="AQ72" s="31">
        <f t="shared" si="9"/>
        <v>10.8</v>
      </c>
      <c r="AR72" s="32">
        <f t="shared" si="9"/>
        <v>27000</v>
      </c>
      <c r="AS72" s="30">
        <v>14</v>
      </c>
    </row>
    <row r="73" spans="1:45" ht="15.6" x14ac:dyDescent="0.3">
      <c r="A73" s="19">
        <v>70</v>
      </c>
      <c r="B73" s="21" t="s">
        <v>86</v>
      </c>
      <c r="C73" s="20" t="s">
        <v>96</v>
      </c>
      <c r="D73" s="324"/>
      <c r="E73" s="22">
        <v>9.6</v>
      </c>
      <c r="F73" s="23">
        <f t="shared" si="5"/>
        <v>24000</v>
      </c>
      <c r="G73" s="19">
        <v>0</v>
      </c>
      <c r="H73" s="23">
        <v>0</v>
      </c>
      <c r="I73" s="24">
        <v>0</v>
      </c>
      <c r="J73" s="19">
        <v>0</v>
      </c>
      <c r="K73" s="23">
        <v>0</v>
      </c>
      <c r="L73" s="24">
        <v>0</v>
      </c>
      <c r="M73" s="25">
        <v>3.2</v>
      </c>
      <c r="N73" s="26">
        <v>8000</v>
      </c>
      <c r="O73" s="27">
        <v>8</v>
      </c>
      <c r="P73" s="28">
        <f t="shared" si="6"/>
        <v>2.4</v>
      </c>
      <c r="Q73" s="29">
        <f t="shared" si="7"/>
        <v>6000</v>
      </c>
      <c r="R73" s="30">
        <v>6</v>
      </c>
      <c r="S73" s="19">
        <v>0</v>
      </c>
      <c r="T73" s="23">
        <v>0</v>
      </c>
      <c r="U73" s="24">
        <v>0</v>
      </c>
      <c r="V73" s="31">
        <f t="shared" si="8"/>
        <v>5.2</v>
      </c>
      <c r="W73" s="32">
        <v>13000</v>
      </c>
      <c r="X73" s="30">
        <v>13</v>
      </c>
      <c r="Y73" s="19">
        <v>0</v>
      </c>
      <c r="Z73" s="23">
        <v>0</v>
      </c>
      <c r="AA73" s="24">
        <v>0</v>
      </c>
      <c r="AB73" s="33">
        <v>0</v>
      </c>
      <c r="AC73" s="34">
        <v>0</v>
      </c>
      <c r="AD73" s="35">
        <v>0</v>
      </c>
      <c r="AE73" s="36">
        <v>0</v>
      </c>
      <c r="AF73" s="23">
        <v>0</v>
      </c>
      <c r="AG73" s="24">
        <v>0</v>
      </c>
      <c r="AH73" s="33">
        <v>0</v>
      </c>
      <c r="AI73" s="37">
        <v>0</v>
      </c>
      <c r="AJ73" s="35">
        <v>0</v>
      </c>
      <c r="AK73" s="36">
        <v>0</v>
      </c>
      <c r="AL73" s="38">
        <v>0</v>
      </c>
      <c r="AM73" s="35">
        <v>0</v>
      </c>
      <c r="AN73" s="19">
        <v>0</v>
      </c>
      <c r="AO73" s="23">
        <v>0</v>
      </c>
      <c r="AP73" s="24">
        <v>0</v>
      </c>
      <c r="AQ73" s="31">
        <f t="shared" si="9"/>
        <v>10.8</v>
      </c>
      <c r="AR73" s="32">
        <f t="shared" si="9"/>
        <v>27000</v>
      </c>
      <c r="AS73" s="30">
        <v>14</v>
      </c>
    </row>
    <row r="74" spans="1:45" ht="15.6" x14ac:dyDescent="0.3">
      <c r="A74" s="19">
        <v>71</v>
      </c>
      <c r="B74" s="21" t="s">
        <v>86</v>
      </c>
      <c r="C74" s="20" t="s">
        <v>97</v>
      </c>
      <c r="D74" s="324"/>
      <c r="E74" s="22">
        <v>22.000000000000004</v>
      </c>
      <c r="F74" s="23">
        <f t="shared" si="5"/>
        <v>55000.000000000007</v>
      </c>
      <c r="G74" s="19">
        <v>0</v>
      </c>
      <c r="H74" s="23">
        <v>0</v>
      </c>
      <c r="I74" s="24">
        <v>0</v>
      </c>
      <c r="J74" s="19">
        <v>0</v>
      </c>
      <c r="K74" s="23">
        <v>0</v>
      </c>
      <c r="L74" s="24">
        <v>0</v>
      </c>
      <c r="M74" s="25">
        <v>6.8</v>
      </c>
      <c r="N74" s="26">
        <v>17000</v>
      </c>
      <c r="O74" s="27">
        <v>17</v>
      </c>
      <c r="P74" s="28">
        <f t="shared" si="6"/>
        <v>3.2</v>
      </c>
      <c r="Q74" s="29">
        <f t="shared" si="7"/>
        <v>8000</v>
      </c>
      <c r="R74" s="30">
        <v>8</v>
      </c>
      <c r="S74" s="19">
        <v>0</v>
      </c>
      <c r="T74" s="23">
        <v>0</v>
      </c>
      <c r="U74" s="24">
        <v>0</v>
      </c>
      <c r="V74" s="31">
        <f t="shared" si="8"/>
        <v>10</v>
      </c>
      <c r="W74" s="32">
        <v>25000</v>
      </c>
      <c r="X74" s="30">
        <v>25</v>
      </c>
      <c r="Y74" s="19">
        <v>0</v>
      </c>
      <c r="Z74" s="23">
        <v>0</v>
      </c>
      <c r="AA74" s="24">
        <v>0</v>
      </c>
      <c r="AB74" s="33">
        <v>0</v>
      </c>
      <c r="AC74" s="34">
        <v>0</v>
      </c>
      <c r="AD74" s="35">
        <v>0</v>
      </c>
      <c r="AE74" s="36">
        <v>0</v>
      </c>
      <c r="AF74" s="23">
        <v>0</v>
      </c>
      <c r="AG74" s="24">
        <v>0</v>
      </c>
      <c r="AH74" s="33">
        <v>0</v>
      </c>
      <c r="AI74" s="37">
        <v>0</v>
      </c>
      <c r="AJ74" s="35">
        <v>0</v>
      </c>
      <c r="AK74" s="36">
        <v>0</v>
      </c>
      <c r="AL74" s="38">
        <v>0</v>
      </c>
      <c r="AM74" s="35">
        <v>0</v>
      </c>
      <c r="AN74" s="19">
        <v>0</v>
      </c>
      <c r="AO74" s="23">
        <v>0</v>
      </c>
      <c r="AP74" s="24">
        <v>0</v>
      </c>
      <c r="AQ74" s="31">
        <f t="shared" si="9"/>
        <v>20</v>
      </c>
      <c r="AR74" s="32">
        <f t="shared" si="9"/>
        <v>50000</v>
      </c>
      <c r="AS74" s="30">
        <v>25</v>
      </c>
    </row>
    <row r="75" spans="1:45" ht="15.6" x14ac:dyDescent="0.3">
      <c r="A75" s="19">
        <v>72</v>
      </c>
      <c r="B75" s="21" t="s">
        <v>86</v>
      </c>
      <c r="C75" s="20" t="s">
        <v>98</v>
      </c>
      <c r="D75" s="324"/>
      <c r="E75" s="22">
        <v>18.999999999999996</v>
      </c>
      <c r="F75" s="23">
        <f t="shared" si="5"/>
        <v>47499.999999999993</v>
      </c>
      <c r="G75" s="19">
        <v>0</v>
      </c>
      <c r="H75" s="23">
        <v>0</v>
      </c>
      <c r="I75" s="24">
        <v>0</v>
      </c>
      <c r="J75" s="19">
        <v>0</v>
      </c>
      <c r="K75" s="23">
        <v>0</v>
      </c>
      <c r="L75" s="24">
        <v>0</v>
      </c>
      <c r="M75" s="25">
        <v>6.8</v>
      </c>
      <c r="N75" s="26">
        <v>17000</v>
      </c>
      <c r="O75" s="27">
        <v>17</v>
      </c>
      <c r="P75" s="28">
        <f t="shared" si="6"/>
        <v>1.2</v>
      </c>
      <c r="Q75" s="29">
        <f t="shared" si="7"/>
        <v>3000</v>
      </c>
      <c r="R75" s="30">
        <v>3</v>
      </c>
      <c r="S75" s="19">
        <v>0</v>
      </c>
      <c r="T75" s="23">
        <v>0</v>
      </c>
      <c r="U75" s="24">
        <v>0</v>
      </c>
      <c r="V75" s="31">
        <f t="shared" si="8"/>
        <v>7.2</v>
      </c>
      <c r="W75" s="32">
        <v>18000</v>
      </c>
      <c r="X75" s="30">
        <v>18</v>
      </c>
      <c r="Y75" s="19">
        <v>0</v>
      </c>
      <c r="Z75" s="23">
        <v>0</v>
      </c>
      <c r="AA75" s="24">
        <v>0</v>
      </c>
      <c r="AB75" s="33">
        <v>0</v>
      </c>
      <c r="AC75" s="34">
        <v>0</v>
      </c>
      <c r="AD75" s="35">
        <v>0</v>
      </c>
      <c r="AE75" s="36">
        <v>0</v>
      </c>
      <c r="AF75" s="23">
        <v>0</v>
      </c>
      <c r="AG75" s="24">
        <v>0</v>
      </c>
      <c r="AH75" s="33">
        <v>0</v>
      </c>
      <c r="AI75" s="37">
        <v>0</v>
      </c>
      <c r="AJ75" s="35">
        <v>0</v>
      </c>
      <c r="AK75" s="36">
        <v>0</v>
      </c>
      <c r="AL75" s="38">
        <v>0</v>
      </c>
      <c r="AM75" s="35">
        <v>0</v>
      </c>
      <c r="AN75" s="19">
        <v>0</v>
      </c>
      <c r="AO75" s="23">
        <v>0</v>
      </c>
      <c r="AP75" s="24">
        <v>0</v>
      </c>
      <c r="AQ75" s="31">
        <f t="shared" si="9"/>
        <v>15.2</v>
      </c>
      <c r="AR75" s="32">
        <f t="shared" si="9"/>
        <v>38000</v>
      </c>
      <c r="AS75" s="30">
        <v>20</v>
      </c>
    </row>
    <row r="76" spans="1:45" ht="15.6" x14ac:dyDescent="0.3">
      <c r="A76" s="19">
        <v>73</v>
      </c>
      <c r="B76" s="21" t="s">
        <v>86</v>
      </c>
      <c r="C76" s="20" t="s">
        <v>99</v>
      </c>
      <c r="D76" s="324"/>
      <c r="E76" s="22">
        <v>18.600000000000001</v>
      </c>
      <c r="F76" s="23">
        <f t="shared" si="5"/>
        <v>46500</v>
      </c>
      <c r="G76" s="19">
        <v>0</v>
      </c>
      <c r="H76" s="23">
        <v>0</v>
      </c>
      <c r="I76" s="24">
        <v>0</v>
      </c>
      <c r="J76" s="19">
        <v>0</v>
      </c>
      <c r="K76" s="23">
        <v>0</v>
      </c>
      <c r="L76" s="24">
        <v>0</v>
      </c>
      <c r="M76" s="25">
        <v>6.8</v>
      </c>
      <c r="N76" s="26">
        <v>17000</v>
      </c>
      <c r="O76" s="27">
        <v>17</v>
      </c>
      <c r="P76" s="28">
        <f t="shared" si="6"/>
        <v>0.4</v>
      </c>
      <c r="Q76" s="29">
        <f t="shared" si="7"/>
        <v>1000</v>
      </c>
      <c r="R76" s="30">
        <v>1</v>
      </c>
      <c r="S76" s="19">
        <v>0</v>
      </c>
      <c r="T76" s="23">
        <v>0</v>
      </c>
      <c r="U76" s="24">
        <v>0</v>
      </c>
      <c r="V76" s="31">
        <f t="shared" si="8"/>
        <v>6.8</v>
      </c>
      <c r="W76" s="32">
        <v>17000</v>
      </c>
      <c r="X76" s="30">
        <v>17</v>
      </c>
      <c r="Y76" s="19">
        <v>0</v>
      </c>
      <c r="Z76" s="23">
        <v>0</v>
      </c>
      <c r="AA76" s="24">
        <v>0</v>
      </c>
      <c r="AB76" s="33">
        <v>0</v>
      </c>
      <c r="AC76" s="34">
        <v>0</v>
      </c>
      <c r="AD76" s="35">
        <v>0</v>
      </c>
      <c r="AE76" s="36">
        <v>0</v>
      </c>
      <c r="AF76" s="23">
        <v>0</v>
      </c>
      <c r="AG76" s="24">
        <v>0</v>
      </c>
      <c r="AH76" s="33">
        <v>0</v>
      </c>
      <c r="AI76" s="37">
        <v>0</v>
      </c>
      <c r="AJ76" s="35">
        <v>0</v>
      </c>
      <c r="AK76" s="36">
        <v>0</v>
      </c>
      <c r="AL76" s="38">
        <v>0</v>
      </c>
      <c r="AM76" s="35">
        <v>0</v>
      </c>
      <c r="AN76" s="19">
        <v>0</v>
      </c>
      <c r="AO76" s="23">
        <v>0</v>
      </c>
      <c r="AP76" s="24">
        <v>0</v>
      </c>
      <c r="AQ76" s="31">
        <f t="shared" si="9"/>
        <v>14</v>
      </c>
      <c r="AR76" s="32">
        <f t="shared" si="9"/>
        <v>35000</v>
      </c>
      <c r="AS76" s="30">
        <v>18</v>
      </c>
    </row>
    <row r="77" spans="1:45" ht="15.6" x14ac:dyDescent="0.3">
      <c r="A77" s="19">
        <v>74</v>
      </c>
      <c r="B77" s="21" t="s">
        <v>100</v>
      </c>
      <c r="C77" s="20" t="s">
        <v>101</v>
      </c>
      <c r="D77" s="324"/>
      <c r="E77" s="22">
        <v>15.399999999999999</v>
      </c>
      <c r="F77" s="23">
        <f t="shared" si="5"/>
        <v>38500</v>
      </c>
      <c r="G77" s="19">
        <v>0</v>
      </c>
      <c r="H77" s="23">
        <v>0</v>
      </c>
      <c r="I77" s="24">
        <v>0</v>
      </c>
      <c r="J77" s="19">
        <v>0</v>
      </c>
      <c r="K77" s="23">
        <v>0</v>
      </c>
      <c r="L77" s="24">
        <v>0</v>
      </c>
      <c r="M77" s="25">
        <v>2</v>
      </c>
      <c r="N77" s="26">
        <v>5000</v>
      </c>
      <c r="O77" s="27">
        <v>5</v>
      </c>
      <c r="P77" s="28">
        <f t="shared" si="6"/>
        <v>1.6</v>
      </c>
      <c r="Q77" s="29">
        <f t="shared" si="7"/>
        <v>4000</v>
      </c>
      <c r="R77" s="30">
        <v>4</v>
      </c>
      <c r="S77" s="19">
        <v>0</v>
      </c>
      <c r="T77" s="23">
        <v>0</v>
      </c>
      <c r="U77" s="24">
        <v>0</v>
      </c>
      <c r="V77" s="31">
        <f t="shared" si="8"/>
        <v>3.6</v>
      </c>
      <c r="W77" s="32">
        <v>9000</v>
      </c>
      <c r="X77" s="30">
        <v>9</v>
      </c>
      <c r="Y77" s="19">
        <v>0</v>
      </c>
      <c r="Z77" s="23">
        <v>0</v>
      </c>
      <c r="AA77" s="24">
        <v>0</v>
      </c>
      <c r="AB77" s="33">
        <v>0</v>
      </c>
      <c r="AC77" s="34">
        <v>0</v>
      </c>
      <c r="AD77" s="35">
        <v>0</v>
      </c>
      <c r="AE77" s="36">
        <v>0</v>
      </c>
      <c r="AF77" s="23">
        <v>0</v>
      </c>
      <c r="AG77" s="24">
        <v>0</v>
      </c>
      <c r="AH77" s="33">
        <v>0</v>
      </c>
      <c r="AI77" s="37">
        <v>0</v>
      </c>
      <c r="AJ77" s="35">
        <v>0</v>
      </c>
      <c r="AK77" s="36">
        <v>0</v>
      </c>
      <c r="AL77" s="38">
        <v>0</v>
      </c>
      <c r="AM77" s="35">
        <v>0</v>
      </c>
      <c r="AN77" s="19">
        <v>0</v>
      </c>
      <c r="AO77" s="23">
        <v>0</v>
      </c>
      <c r="AP77" s="24">
        <v>0</v>
      </c>
      <c r="AQ77" s="31">
        <f t="shared" si="9"/>
        <v>7.2</v>
      </c>
      <c r="AR77" s="32">
        <f t="shared" si="9"/>
        <v>18000</v>
      </c>
      <c r="AS77" s="30">
        <v>9</v>
      </c>
    </row>
    <row r="78" spans="1:45" ht="15.6" x14ac:dyDescent="0.3">
      <c r="A78" s="19">
        <v>75</v>
      </c>
      <c r="B78" s="21" t="s">
        <v>100</v>
      </c>
      <c r="C78" s="20" t="s">
        <v>102</v>
      </c>
      <c r="D78" s="324"/>
      <c r="E78" s="22">
        <v>9</v>
      </c>
      <c r="F78" s="23">
        <f t="shared" si="5"/>
        <v>22500</v>
      </c>
      <c r="G78" s="19">
        <v>0</v>
      </c>
      <c r="H78" s="23">
        <v>0</v>
      </c>
      <c r="I78" s="24">
        <v>0</v>
      </c>
      <c r="J78" s="19">
        <v>0</v>
      </c>
      <c r="K78" s="23">
        <v>0</v>
      </c>
      <c r="L78" s="24">
        <v>0</v>
      </c>
      <c r="M78" s="25">
        <v>2.4</v>
      </c>
      <c r="N78" s="26">
        <v>6000</v>
      </c>
      <c r="O78" s="27">
        <v>6</v>
      </c>
      <c r="P78" s="28">
        <f t="shared" si="6"/>
        <v>1.6</v>
      </c>
      <c r="Q78" s="29">
        <f t="shared" si="7"/>
        <v>4000</v>
      </c>
      <c r="R78" s="30">
        <v>4</v>
      </c>
      <c r="S78" s="19">
        <v>0</v>
      </c>
      <c r="T78" s="23">
        <v>0</v>
      </c>
      <c r="U78" s="24">
        <v>0</v>
      </c>
      <c r="V78" s="31">
        <f t="shared" si="8"/>
        <v>4.4000000000000004</v>
      </c>
      <c r="W78" s="32">
        <v>11000</v>
      </c>
      <c r="X78" s="30">
        <v>11</v>
      </c>
      <c r="Y78" s="19">
        <v>0</v>
      </c>
      <c r="Z78" s="23">
        <v>0</v>
      </c>
      <c r="AA78" s="24">
        <v>0</v>
      </c>
      <c r="AB78" s="33">
        <v>0</v>
      </c>
      <c r="AC78" s="34">
        <v>0</v>
      </c>
      <c r="AD78" s="35">
        <v>0</v>
      </c>
      <c r="AE78" s="36">
        <v>0</v>
      </c>
      <c r="AF78" s="23">
        <v>0</v>
      </c>
      <c r="AG78" s="24">
        <v>0</v>
      </c>
      <c r="AH78" s="33">
        <v>0</v>
      </c>
      <c r="AI78" s="37">
        <v>0</v>
      </c>
      <c r="AJ78" s="35">
        <v>0</v>
      </c>
      <c r="AK78" s="36">
        <v>0</v>
      </c>
      <c r="AL78" s="38">
        <v>0</v>
      </c>
      <c r="AM78" s="35">
        <v>0</v>
      </c>
      <c r="AN78" s="19">
        <v>0</v>
      </c>
      <c r="AO78" s="23">
        <v>0</v>
      </c>
      <c r="AP78" s="24">
        <v>0</v>
      </c>
      <c r="AQ78" s="31">
        <f t="shared" si="9"/>
        <v>8.4</v>
      </c>
      <c r="AR78" s="32">
        <f t="shared" si="9"/>
        <v>21000</v>
      </c>
      <c r="AS78" s="30">
        <v>11</v>
      </c>
    </row>
    <row r="79" spans="1:45" ht="15.6" x14ac:dyDescent="0.3">
      <c r="A79" s="19">
        <v>76</v>
      </c>
      <c r="B79" s="21" t="s">
        <v>100</v>
      </c>
      <c r="C79" s="20" t="s">
        <v>103</v>
      </c>
      <c r="D79" s="324"/>
      <c r="E79" s="22">
        <v>6</v>
      </c>
      <c r="F79" s="23">
        <f t="shared" si="5"/>
        <v>15000</v>
      </c>
      <c r="G79" s="19">
        <v>0</v>
      </c>
      <c r="H79" s="23">
        <v>0</v>
      </c>
      <c r="I79" s="24">
        <v>0</v>
      </c>
      <c r="J79" s="19">
        <v>0</v>
      </c>
      <c r="K79" s="23">
        <v>0</v>
      </c>
      <c r="L79" s="24">
        <v>0</v>
      </c>
      <c r="M79" s="25">
        <v>2</v>
      </c>
      <c r="N79" s="26">
        <v>5000</v>
      </c>
      <c r="O79" s="27">
        <v>5</v>
      </c>
      <c r="P79" s="28">
        <f t="shared" si="6"/>
        <v>0.4</v>
      </c>
      <c r="Q79" s="29">
        <f t="shared" si="7"/>
        <v>1000</v>
      </c>
      <c r="R79" s="30">
        <v>1</v>
      </c>
      <c r="S79" s="19">
        <v>0</v>
      </c>
      <c r="T79" s="23">
        <v>0</v>
      </c>
      <c r="U79" s="24">
        <v>0</v>
      </c>
      <c r="V79" s="31">
        <f t="shared" si="8"/>
        <v>2.4</v>
      </c>
      <c r="W79" s="32">
        <v>6000</v>
      </c>
      <c r="X79" s="30">
        <v>6</v>
      </c>
      <c r="Y79" s="19">
        <v>0</v>
      </c>
      <c r="Z79" s="23">
        <v>0</v>
      </c>
      <c r="AA79" s="24">
        <v>0</v>
      </c>
      <c r="AB79" s="33">
        <v>0</v>
      </c>
      <c r="AC79" s="34">
        <v>0</v>
      </c>
      <c r="AD79" s="35">
        <v>0</v>
      </c>
      <c r="AE79" s="36">
        <v>0</v>
      </c>
      <c r="AF79" s="23">
        <v>0</v>
      </c>
      <c r="AG79" s="24">
        <v>0</v>
      </c>
      <c r="AH79" s="33">
        <v>0</v>
      </c>
      <c r="AI79" s="37">
        <v>0</v>
      </c>
      <c r="AJ79" s="35">
        <v>0</v>
      </c>
      <c r="AK79" s="36">
        <v>0</v>
      </c>
      <c r="AL79" s="38">
        <v>0</v>
      </c>
      <c r="AM79" s="35">
        <v>0</v>
      </c>
      <c r="AN79" s="19">
        <v>0</v>
      </c>
      <c r="AO79" s="23">
        <v>0</v>
      </c>
      <c r="AP79" s="24">
        <v>0</v>
      </c>
      <c r="AQ79" s="31">
        <f t="shared" si="9"/>
        <v>4.8</v>
      </c>
      <c r="AR79" s="32">
        <f t="shared" si="9"/>
        <v>12000</v>
      </c>
      <c r="AS79" s="30">
        <v>6</v>
      </c>
    </row>
    <row r="80" spans="1:45" ht="15.6" x14ac:dyDescent="0.3">
      <c r="A80" s="19">
        <v>77</v>
      </c>
      <c r="B80" s="21" t="s">
        <v>100</v>
      </c>
      <c r="C80" s="20" t="s">
        <v>104</v>
      </c>
      <c r="D80" s="324"/>
      <c r="E80" s="22">
        <v>9</v>
      </c>
      <c r="F80" s="23">
        <f t="shared" si="5"/>
        <v>22500</v>
      </c>
      <c r="G80" s="19">
        <v>0</v>
      </c>
      <c r="H80" s="23">
        <v>0</v>
      </c>
      <c r="I80" s="24">
        <v>0</v>
      </c>
      <c r="J80" s="19">
        <v>0</v>
      </c>
      <c r="K80" s="23">
        <v>0</v>
      </c>
      <c r="L80" s="24">
        <v>0</v>
      </c>
      <c r="M80" s="25">
        <v>3.6</v>
      </c>
      <c r="N80" s="26">
        <v>9000</v>
      </c>
      <c r="O80" s="27">
        <v>9</v>
      </c>
      <c r="P80" s="28">
        <f t="shared" si="6"/>
        <v>1.6</v>
      </c>
      <c r="Q80" s="29">
        <f t="shared" si="7"/>
        <v>4000</v>
      </c>
      <c r="R80" s="30">
        <v>4</v>
      </c>
      <c r="S80" s="19">
        <v>0</v>
      </c>
      <c r="T80" s="23">
        <v>0</v>
      </c>
      <c r="U80" s="24">
        <v>0</v>
      </c>
      <c r="V80" s="31">
        <f t="shared" si="8"/>
        <v>5.2</v>
      </c>
      <c r="W80" s="32">
        <v>13000</v>
      </c>
      <c r="X80" s="30">
        <v>13</v>
      </c>
      <c r="Y80" s="19">
        <v>0</v>
      </c>
      <c r="Z80" s="23">
        <v>0</v>
      </c>
      <c r="AA80" s="24">
        <v>0</v>
      </c>
      <c r="AB80" s="33">
        <v>0</v>
      </c>
      <c r="AC80" s="34">
        <v>0</v>
      </c>
      <c r="AD80" s="35">
        <v>0</v>
      </c>
      <c r="AE80" s="36">
        <v>0</v>
      </c>
      <c r="AF80" s="23">
        <v>0</v>
      </c>
      <c r="AG80" s="24">
        <v>0</v>
      </c>
      <c r="AH80" s="33">
        <v>0</v>
      </c>
      <c r="AI80" s="37">
        <v>0</v>
      </c>
      <c r="AJ80" s="35">
        <v>0</v>
      </c>
      <c r="AK80" s="36">
        <v>0</v>
      </c>
      <c r="AL80" s="38">
        <v>0</v>
      </c>
      <c r="AM80" s="35">
        <v>0</v>
      </c>
      <c r="AN80" s="19">
        <v>0</v>
      </c>
      <c r="AO80" s="23">
        <v>0</v>
      </c>
      <c r="AP80" s="24">
        <v>0</v>
      </c>
      <c r="AQ80" s="31">
        <f t="shared" si="9"/>
        <v>10.4</v>
      </c>
      <c r="AR80" s="32">
        <f t="shared" si="9"/>
        <v>26000</v>
      </c>
      <c r="AS80" s="30">
        <v>13</v>
      </c>
    </row>
    <row r="81" spans="1:45" ht="15.6" x14ac:dyDescent="0.3">
      <c r="A81" s="19">
        <v>78</v>
      </c>
      <c r="B81" s="21" t="s">
        <v>100</v>
      </c>
      <c r="C81" s="20" t="s">
        <v>100</v>
      </c>
      <c r="D81" s="324"/>
      <c r="E81" s="22">
        <v>20.400000000000002</v>
      </c>
      <c r="F81" s="23">
        <f t="shared" si="5"/>
        <v>51000.000000000007</v>
      </c>
      <c r="G81" s="19">
        <v>0</v>
      </c>
      <c r="H81" s="23">
        <v>0</v>
      </c>
      <c r="I81" s="24">
        <v>0</v>
      </c>
      <c r="J81" s="19">
        <v>0</v>
      </c>
      <c r="K81" s="23">
        <v>0</v>
      </c>
      <c r="L81" s="24">
        <v>0</v>
      </c>
      <c r="M81" s="25">
        <v>6.8</v>
      </c>
      <c r="N81" s="26">
        <v>17000</v>
      </c>
      <c r="O81" s="27">
        <v>17</v>
      </c>
      <c r="P81" s="28">
        <f t="shared" si="6"/>
        <v>2</v>
      </c>
      <c r="Q81" s="29">
        <f t="shared" si="7"/>
        <v>5000</v>
      </c>
      <c r="R81" s="30">
        <v>5</v>
      </c>
      <c r="S81" s="19">
        <v>0</v>
      </c>
      <c r="T81" s="23">
        <v>0</v>
      </c>
      <c r="U81" s="24">
        <v>0</v>
      </c>
      <c r="V81" s="31">
        <f t="shared" si="8"/>
        <v>8.8000000000000007</v>
      </c>
      <c r="W81" s="32">
        <v>22000</v>
      </c>
      <c r="X81" s="30">
        <v>22</v>
      </c>
      <c r="Y81" s="19">
        <v>0</v>
      </c>
      <c r="Z81" s="23">
        <v>0</v>
      </c>
      <c r="AA81" s="24">
        <v>0</v>
      </c>
      <c r="AB81" s="33">
        <v>0</v>
      </c>
      <c r="AC81" s="34">
        <v>0</v>
      </c>
      <c r="AD81" s="35">
        <v>0</v>
      </c>
      <c r="AE81" s="36">
        <v>0</v>
      </c>
      <c r="AF81" s="23">
        <v>0</v>
      </c>
      <c r="AG81" s="24">
        <v>0</v>
      </c>
      <c r="AH81" s="33">
        <v>0</v>
      </c>
      <c r="AI81" s="37">
        <v>0</v>
      </c>
      <c r="AJ81" s="35">
        <v>0</v>
      </c>
      <c r="AK81" s="36">
        <v>0</v>
      </c>
      <c r="AL81" s="38">
        <v>0</v>
      </c>
      <c r="AM81" s="35">
        <v>0</v>
      </c>
      <c r="AN81" s="19">
        <v>0</v>
      </c>
      <c r="AO81" s="23">
        <v>0</v>
      </c>
      <c r="AP81" s="24">
        <v>0</v>
      </c>
      <c r="AQ81" s="31">
        <f t="shared" si="9"/>
        <v>17.600000000000001</v>
      </c>
      <c r="AR81" s="32">
        <f t="shared" si="9"/>
        <v>44000</v>
      </c>
      <c r="AS81" s="30">
        <v>22</v>
      </c>
    </row>
    <row r="82" spans="1:45" ht="15.6" x14ac:dyDescent="0.3">
      <c r="A82" s="19">
        <v>79</v>
      </c>
      <c r="B82" s="21" t="s">
        <v>100</v>
      </c>
      <c r="C82" s="20" t="s">
        <v>105</v>
      </c>
      <c r="D82" s="324"/>
      <c r="E82" s="22">
        <v>17.600000000000001</v>
      </c>
      <c r="F82" s="23">
        <f t="shared" si="5"/>
        <v>44000</v>
      </c>
      <c r="G82" s="19">
        <v>0</v>
      </c>
      <c r="H82" s="23">
        <v>0</v>
      </c>
      <c r="I82" s="24">
        <v>0</v>
      </c>
      <c r="J82" s="19">
        <v>0</v>
      </c>
      <c r="K82" s="23">
        <v>0</v>
      </c>
      <c r="L82" s="24">
        <v>0</v>
      </c>
      <c r="M82" s="25">
        <v>4.8</v>
      </c>
      <c r="N82" s="26">
        <v>12000</v>
      </c>
      <c r="O82" s="27">
        <v>12</v>
      </c>
      <c r="P82" s="28">
        <f t="shared" si="6"/>
        <v>1.6</v>
      </c>
      <c r="Q82" s="29">
        <f t="shared" si="7"/>
        <v>4000</v>
      </c>
      <c r="R82" s="30">
        <v>4</v>
      </c>
      <c r="S82" s="19">
        <v>0</v>
      </c>
      <c r="T82" s="23">
        <v>0</v>
      </c>
      <c r="U82" s="24">
        <v>0</v>
      </c>
      <c r="V82" s="31">
        <f t="shared" si="8"/>
        <v>6.4</v>
      </c>
      <c r="W82" s="32">
        <v>16000</v>
      </c>
      <c r="X82" s="30">
        <v>16</v>
      </c>
      <c r="Y82" s="19">
        <v>0</v>
      </c>
      <c r="Z82" s="23">
        <v>0</v>
      </c>
      <c r="AA82" s="24">
        <v>0</v>
      </c>
      <c r="AB82" s="33">
        <v>0</v>
      </c>
      <c r="AC82" s="34">
        <v>0</v>
      </c>
      <c r="AD82" s="35">
        <v>0</v>
      </c>
      <c r="AE82" s="36">
        <v>0</v>
      </c>
      <c r="AF82" s="23">
        <v>0</v>
      </c>
      <c r="AG82" s="24">
        <v>0</v>
      </c>
      <c r="AH82" s="33">
        <v>0</v>
      </c>
      <c r="AI82" s="37">
        <v>0</v>
      </c>
      <c r="AJ82" s="35">
        <v>0</v>
      </c>
      <c r="AK82" s="36">
        <v>0</v>
      </c>
      <c r="AL82" s="38">
        <v>0</v>
      </c>
      <c r="AM82" s="35">
        <v>0</v>
      </c>
      <c r="AN82" s="19">
        <v>0</v>
      </c>
      <c r="AO82" s="23">
        <v>0</v>
      </c>
      <c r="AP82" s="24">
        <v>0</v>
      </c>
      <c r="AQ82" s="31">
        <f t="shared" si="9"/>
        <v>12.8</v>
      </c>
      <c r="AR82" s="32">
        <f t="shared" si="9"/>
        <v>32000</v>
      </c>
      <c r="AS82" s="30">
        <v>18</v>
      </c>
    </row>
    <row r="83" spans="1:45" ht="15.6" x14ac:dyDescent="0.3">
      <c r="A83" s="19">
        <v>80</v>
      </c>
      <c r="B83" s="21" t="s">
        <v>100</v>
      </c>
      <c r="C83" s="20" t="s">
        <v>106</v>
      </c>
      <c r="D83" s="324"/>
      <c r="E83" s="22">
        <v>14.4</v>
      </c>
      <c r="F83" s="23">
        <f t="shared" si="5"/>
        <v>36000</v>
      </c>
      <c r="G83" s="19">
        <v>0</v>
      </c>
      <c r="H83" s="23">
        <v>0</v>
      </c>
      <c r="I83" s="24">
        <v>0</v>
      </c>
      <c r="J83" s="19">
        <v>0</v>
      </c>
      <c r="K83" s="23">
        <v>0</v>
      </c>
      <c r="L83" s="24">
        <v>0</v>
      </c>
      <c r="M83" s="25">
        <v>4</v>
      </c>
      <c r="N83" s="26">
        <v>10000</v>
      </c>
      <c r="O83" s="27">
        <v>10</v>
      </c>
      <c r="P83" s="28">
        <f t="shared" si="6"/>
        <v>0.8</v>
      </c>
      <c r="Q83" s="29">
        <f t="shared" si="7"/>
        <v>2000</v>
      </c>
      <c r="R83" s="30">
        <v>2</v>
      </c>
      <c r="S83" s="19">
        <v>0</v>
      </c>
      <c r="T83" s="23">
        <v>0</v>
      </c>
      <c r="U83" s="24">
        <v>0</v>
      </c>
      <c r="V83" s="31">
        <f t="shared" si="8"/>
        <v>5.2</v>
      </c>
      <c r="W83" s="32">
        <v>13000</v>
      </c>
      <c r="X83" s="30">
        <v>13</v>
      </c>
      <c r="Y83" s="19">
        <v>0</v>
      </c>
      <c r="Z83" s="23">
        <v>0</v>
      </c>
      <c r="AA83" s="24">
        <v>0</v>
      </c>
      <c r="AB83" s="33">
        <v>0</v>
      </c>
      <c r="AC83" s="34">
        <v>0</v>
      </c>
      <c r="AD83" s="35">
        <v>0</v>
      </c>
      <c r="AE83" s="36">
        <v>0</v>
      </c>
      <c r="AF83" s="23">
        <v>0</v>
      </c>
      <c r="AG83" s="24">
        <v>0</v>
      </c>
      <c r="AH83" s="33">
        <v>0</v>
      </c>
      <c r="AI83" s="37">
        <v>0</v>
      </c>
      <c r="AJ83" s="35">
        <v>0</v>
      </c>
      <c r="AK83" s="36">
        <v>0</v>
      </c>
      <c r="AL83" s="38">
        <v>0</v>
      </c>
      <c r="AM83" s="35">
        <v>0</v>
      </c>
      <c r="AN83" s="19">
        <v>0</v>
      </c>
      <c r="AO83" s="23">
        <v>0</v>
      </c>
      <c r="AP83" s="24">
        <v>0</v>
      </c>
      <c r="AQ83" s="31">
        <f t="shared" si="9"/>
        <v>10</v>
      </c>
      <c r="AR83" s="32">
        <f t="shared" si="9"/>
        <v>25000</v>
      </c>
      <c r="AS83" s="30">
        <v>13</v>
      </c>
    </row>
    <row r="84" spans="1:45" ht="15.6" x14ac:dyDescent="0.3">
      <c r="A84" s="19">
        <v>81</v>
      </c>
      <c r="B84" s="21" t="s">
        <v>100</v>
      </c>
      <c r="C84" s="20" t="s">
        <v>107</v>
      </c>
      <c r="D84" s="324"/>
      <c r="E84" s="22">
        <v>8</v>
      </c>
      <c r="F84" s="23">
        <f t="shared" si="5"/>
        <v>20000</v>
      </c>
      <c r="G84" s="19">
        <v>0</v>
      </c>
      <c r="H84" s="23">
        <v>0</v>
      </c>
      <c r="I84" s="24">
        <v>0</v>
      </c>
      <c r="J84" s="19">
        <v>0</v>
      </c>
      <c r="K84" s="23">
        <v>0</v>
      </c>
      <c r="L84" s="24">
        <v>0</v>
      </c>
      <c r="M84" s="25">
        <v>3.2</v>
      </c>
      <c r="N84" s="26">
        <v>8000</v>
      </c>
      <c r="O84" s="27">
        <v>8</v>
      </c>
      <c r="P84" s="28">
        <f t="shared" si="6"/>
        <v>2</v>
      </c>
      <c r="Q84" s="29">
        <f t="shared" si="7"/>
        <v>5000</v>
      </c>
      <c r="R84" s="30">
        <v>5</v>
      </c>
      <c r="S84" s="19">
        <v>0</v>
      </c>
      <c r="T84" s="23">
        <v>0</v>
      </c>
      <c r="U84" s="24">
        <v>0</v>
      </c>
      <c r="V84" s="31">
        <f t="shared" si="8"/>
        <v>5.2</v>
      </c>
      <c r="W84" s="32">
        <v>13000</v>
      </c>
      <c r="X84" s="30">
        <v>13</v>
      </c>
      <c r="Y84" s="19">
        <v>0</v>
      </c>
      <c r="Z84" s="23">
        <v>0</v>
      </c>
      <c r="AA84" s="24">
        <v>0</v>
      </c>
      <c r="AB84" s="33">
        <v>0</v>
      </c>
      <c r="AC84" s="34">
        <v>0</v>
      </c>
      <c r="AD84" s="35">
        <v>0</v>
      </c>
      <c r="AE84" s="36">
        <v>0</v>
      </c>
      <c r="AF84" s="23">
        <v>0</v>
      </c>
      <c r="AG84" s="24">
        <v>0</v>
      </c>
      <c r="AH84" s="33">
        <v>0</v>
      </c>
      <c r="AI84" s="37">
        <v>0</v>
      </c>
      <c r="AJ84" s="35">
        <v>0</v>
      </c>
      <c r="AK84" s="36">
        <v>0</v>
      </c>
      <c r="AL84" s="38">
        <v>0</v>
      </c>
      <c r="AM84" s="35">
        <v>0</v>
      </c>
      <c r="AN84" s="19">
        <v>0</v>
      </c>
      <c r="AO84" s="23">
        <v>0</v>
      </c>
      <c r="AP84" s="24">
        <v>0</v>
      </c>
      <c r="AQ84" s="31">
        <f t="shared" si="9"/>
        <v>10.4</v>
      </c>
      <c r="AR84" s="32">
        <f t="shared" si="9"/>
        <v>26000</v>
      </c>
      <c r="AS84" s="30">
        <v>13</v>
      </c>
    </row>
    <row r="85" spans="1:45" ht="15.6" x14ac:dyDescent="0.3">
      <c r="A85" s="19">
        <v>82</v>
      </c>
      <c r="B85" s="21" t="s">
        <v>100</v>
      </c>
      <c r="C85" s="20" t="s">
        <v>108</v>
      </c>
      <c r="D85" s="324"/>
      <c r="E85" s="22">
        <v>5</v>
      </c>
      <c r="F85" s="23">
        <f t="shared" si="5"/>
        <v>12500</v>
      </c>
      <c r="G85" s="19">
        <v>0</v>
      </c>
      <c r="H85" s="23">
        <v>0</v>
      </c>
      <c r="I85" s="24">
        <v>0</v>
      </c>
      <c r="J85" s="19">
        <v>0</v>
      </c>
      <c r="K85" s="23">
        <v>0</v>
      </c>
      <c r="L85" s="24">
        <v>0</v>
      </c>
      <c r="M85" s="25">
        <v>2</v>
      </c>
      <c r="N85" s="26">
        <v>5000</v>
      </c>
      <c r="O85" s="27">
        <v>5</v>
      </c>
      <c r="P85" s="28">
        <f t="shared" si="6"/>
        <v>1.2</v>
      </c>
      <c r="Q85" s="29">
        <f t="shared" si="7"/>
        <v>3000</v>
      </c>
      <c r="R85" s="30">
        <v>3</v>
      </c>
      <c r="S85" s="19">
        <v>0</v>
      </c>
      <c r="T85" s="23">
        <v>0</v>
      </c>
      <c r="U85" s="24">
        <v>0</v>
      </c>
      <c r="V85" s="31">
        <f t="shared" si="8"/>
        <v>3.2</v>
      </c>
      <c r="W85" s="32">
        <v>8000</v>
      </c>
      <c r="X85" s="30">
        <v>8</v>
      </c>
      <c r="Y85" s="19">
        <v>0</v>
      </c>
      <c r="Z85" s="23">
        <v>0</v>
      </c>
      <c r="AA85" s="24">
        <v>0</v>
      </c>
      <c r="AB85" s="33">
        <v>0</v>
      </c>
      <c r="AC85" s="34">
        <v>0</v>
      </c>
      <c r="AD85" s="35">
        <v>0</v>
      </c>
      <c r="AE85" s="36">
        <v>0</v>
      </c>
      <c r="AF85" s="23">
        <v>0</v>
      </c>
      <c r="AG85" s="24">
        <v>0</v>
      </c>
      <c r="AH85" s="33">
        <v>0</v>
      </c>
      <c r="AI85" s="37">
        <v>0</v>
      </c>
      <c r="AJ85" s="35">
        <v>0</v>
      </c>
      <c r="AK85" s="36">
        <v>0</v>
      </c>
      <c r="AL85" s="38">
        <v>0</v>
      </c>
      <c r="AM85" s="35">
        <v>0</v>
      </c>
      <c r="AN85" s="19">
        <v>0</v>
      </c>
      <c r="AO85" s="23">
        <v>0</v>
      </c>
      <c r="AP85" s="24">
        <v>0</v>
      </c>
      <c r="AQ85" s="31">
        <f t="shared" si="9"/>
        <v>6.4</v>
      </c>
      <c r="AR85" s="32">
        <f t="shared" si="9"/>
        <v>16000</v>
      </c>
      <c r="AS85" s="30">
        <v>8</v>
      </c>
    </row>
    <row r="86" spans="1:45" ht="15.6" x14ac:dyDescent="0.3">
      <c r="A86" s="19">
        <v>83</v>
      </c>
      <c r="B86" s="21" t="s">
        <v>100</v>
      </c>
      <c r="C86" s="20" t="s">
        <v>109</v>
      </c>
      <c r="D86" s="324"/>
      <c r="E86" s="22">
        <v>14.999999999999998</v>
      </c>
      <c r="F86" s="23">
        <f t="shared" si="5"/>
        <v>37499.999999999993</v>
      </c>
      <c r="G86" s="19">
        <v>0</v>
      </c>
      <c r="H86" s="23">
        <v>0</v>
      </c>
      <c r="I86" s="24">
        <v>0</v>
      </c>
      <c r="J86" s="19">
        <v>0</v>
      </c>
      <c r="K86" s="23">
        <v>0</v>
      </c>
      <c r="L86" s="24">
        <v>0</v>
      </c>
      <c r="M86" s="25">
        <v>4.4000000000000004</v>
      </c>
      <c r="N86" s="26">
        <v>11000</v>
      </c>
      <c r="O86" s="27">
        <v>11</v>
      </c>
      <c r="P86" s="28">
        <f t="shared" si="6"/>
        <v>2.8</v>
      </c>
      <c r="Q86" s="29">
        <f t="shared" si="7"/>
        <v>7000</v>
      </c>
      <c r="R86" s="30">
        <v>7</v>
      </c>
      <c r="S86" s="19">
        <v>0</v>
      </c>
      <c r="T86" s="23">
        <v>0</v>
      </c>
      <c r="U86" s="24">
        <v>0</v>
      </c>
      <c r="V86" s="31">
        <f t="shared" si="8"/>
        <v>7.2</v>
      </c>
      <c r="W86" s="32">
        <v>18000</v>
      </c>
      <c r="X86" s="30">
        <v>18</v>
      </c>
      <c r="Y86" s="19">
        <v>0</v>
      </c>
      <c r="Z86" s="23">
        <v>0</v>
      </c>
      <c r="AA86" s="24">
        <v>0</v>
      </c>
      <c r="AB86" s="33">
        <v>0</v>
      </c>
      <c r="AC86" s="34">
        <v>0</v>
      </c>
      <c r="AD86" s="35">
        <v>0</v>
      </c>
      <c r="AE86" s="36">
        <v>0</v>
      </c>
      <c r="AF86" s="23">
        <v>0</v>
      </c>
      <c r="AG86" s="24">
        <v>0</v>
      </c>
      <c r="AH86" s="33">
        <v>0</v>
      </c>
      <c r="AI86" s="37">
        <v>0</v>
      </c>
      <c r="AJ86" s="35">
        <v>0</v>
      </c>
      <c r="AK86" s="36">
        <v>0</v>
      </c>
      <c r="AL86" s="38">
        <v>0</v>
      </c>
      <c r="AM86" s="35">
        <v>0</v>
      </c>
      <c r="AN86" s="19">
        <v>0</v>
      </c>
      <c r="AO86" s="23">
        <v>0</v>
      </c>
      <c r="AP86" s="24">
        <v>0</v>
      </c>
      <c r="AQ86" s="31">
        <f t="shared" si="9"/>
        <v>14.4</v>
      </c>
      <c r="AR86" s="32">
        <f t="shared" si="9"/>
        <v>36000</v>
      </c>
      <c r="AS86" s="30">
        <v>18</v>
      </c>
    </row>
    <row r="87" spans="1:45" ht="15.6" x14ac:dyDescent="0.3">
      <c r="A87" s="19">
        <v>84</v>
      </c>
      <c r="B87" s="21" t="s">
        <v>100</v>
      </c>
      <c r="C87" s="20" t="s">
        <v>110</v>
      </c>
      <c r="D87" s="324"/>
      <c r="E87" s="22">
        <v>8</v>
      </c>
      <c r="F87" s="23">
        <f t="shared" si="5"/>
        <v>20000</v>
      </c>
      <c r="G87" s="19">
        <v>0</v>
      </c>
      <c r="H87" s="23">
        <v>0</v>
      </c>
      <c r="I87" s="24">
        <v>0</v>
      </c>
      <c r="J87" s="19">
        <v>0</v>
      </c>
      <c r="K87" s="23">
        <v>0</v>
      </c>
      <c r="L87" s="24">
        <v>0</v>
      </c>
      <c r="M87" s="25">
        <v>2</v>
      </c>
      <c r="N87" s="26">
        <v>5000</v>
      </c>
      <c r="O87" s="27">
        <v>5</v>
      </c>
      <c r="P87" s="28">
        <f t="shared" si="6"/>
        <v>2</v>
      </c>
      <c r="Q87" s="29">
        <f t="shared" si="7"/>
        <v>5000</v>
      </c>
      <c r="R87" s="30">
        <v>5</v>
      </c>
      <c r="S87" s="19">
        <v>0</v>
      </c>
      <c r="T87" s="23">
        <v>0</v>
      </c>
      <c r="U87" s="24">
        <v>0</v>
      </c>
      <c r="V87" s="31">
        <f t="shared" si="8"/>
        <v>4.8</v>
      </c>
      <c r="W87" s="32">
        <v>12000</v>
      </c>
      <c r="X87" s="30">
        <v>12</v>
      </c>
      <c r="Y87" s="19">
        <v>0</v>
      </c>
      <c r="Z87" s="23">
        <v>0</v>
      </c>
      <c r="AA87" s="24">
        <v>0</v>
      </c>
      <c r="AB87" s="33">
        <v>0</v>
      </c>
      <c r="AC87" s="34">
        <v>0</v>
      </c>
      <c r="AD87" s="35">
        <v>0</v>
      </c>
      <c r="AE87" s="36">
        <v>0</v>
      </c>
      <c r="AF87" s="23">
        <v>0</v>
      </c>
      <c r="AG87" s="24">
        <v>0</v>
      </c>
      <c r="AH87" s="33">
        <v>0</v>
      </c>
      <c r="AI87" s="37">
        <v>0</v>
      </c>
      <c r="AJ87" s="35">
        <v>0</v>
      </c>
      <c r="AK87" s="36">
        <v>0</v>
      </c>
      <c r="AL87" s="38">
        <v>0</v>
      </c>
      <c r="AM87" s="35">
        <v>0</v>
      </c>
      <c r="AN87" s="19">
        <v>0</v>
      </c>
      <c r="AO87" s="23">
        <v>0</v>
      </c>
      <c r="AP87" s="24">
        <v>0</v>
      </c>
      <c r="AQ87" s="31">
        <f t="shared" si="9"/>
        <v>8.8000000000000007</v>
      </c>
      <c r="AR87" s="32">
        <f t="shared" si="9"/>
        <v>22000</v>
      </c>
      <c r="AS87" s="30">
        <v>12</v>
      </c>
    </row>
    <row r="88" spans="1:45" ht="15.6" x14ac:dyDescent="0.3">
      <c r="A88" s="19">
        <v>85</v>
      </c>
      <c r="B88" s="21" t="s">
        <v>100</v>
      </c>
      <c r="C88" s="20" t="s">
        <v>111</v>
      </c>
      <c r="D88" s="324"/>
      <c r="E88" s="22">
        <v>11</v>
      </c>
      <c r="F88" s="23">
        <f t="shared" si="5"/>
        <v>27500</v>
      </c>
      <c r="G88" s="19">
        <v>0</v>
      </c>
      <c r="H88" s="23">
        <v>0</v>
      </c>
      <c r="I88" s="24">
        <v>0</v>
      </c>
      <c r="J88" s="19">
        <v>0</v>
      </c>
      <c r="K88" s="23">
        <v>0</v>
      </c>
      <c r="L88" s="24">
        <v>0</v>
      </c>
      <c r="M88" s="25">
        <v>4.4000000000000004</v>
      </c>
      <c r="N88" s="26">
        <v>11000</v>
      </c>
      <c r="O88" s="27">
        <v>11</v>
      </c>
      <c r="P88" s="28">
        <f t="shared" si="6"/>
        <v>1.2</v>
      </c>
      <c r="Q88" s="29">
        <f t="shared" si="7"/>
        <v>3000</v>
      </c>
      <c r="R88" s="30">
        <v>3</v>
      </c>
      <c r="S88" s="19">
        <v>0</v>
      </c>
      <c r="T88" s="23">
        <v>0</v>
      </c>
      <c r="U88" s="24">
        <v>0</v>
      </c>
      <c r="V88" s="31">
        <f t="shared" si="8"/>
        <v>5.6</v>
      </c>
      <c r="W88" s="32">
        <v>14000</v>
      </c>
      <c r="X88" s="30">
        <v>14</v>
      </c>
      <c r="Y88" s="19">
        <v>0</v>
      </c>
      <c r="Z88" s="23">
        <v>0</v>
      </c>
      <c r="AA88" s="24">
        <v>0</v>
      </c>
      <c r="AB88" s="33">
        <v>0</v>
      </c>
      <c r="AC88" s="34">
        <v>0</v>
      </c>
      <c r="AD88" s="35">
        <v>0</v>
      </c>
      <c r="AE88" s="36">
        <v>0</v>
      </c>
      <c r="AF88" s="23">
        <v>0</v>
      </c>
      <c r="AG88" s="24">
        <v>0</v>
      </c>
      <c r="AH88" s="33">
        <v>0</v>
      </c>
      <c r="AI88" s="37">
        <v>0</v>
      </c>
      <c r="AJ88" s="35">
        <v>0</v>
      </c>
      <c r="AK88" s="36">
        <v>0</v>
      </c>
      <c r="AL88" s="38">
        <v>0</v>
      </c>
      <c r="AM88" s="35">
        <v>0</v>
      </c>
      <c r="AN88" s="19">
        <v>0</v>
      </c>
      <c r="AO88" s="23">
        <v>0</v>
      </c>
      <c r="AP88" s="24">
        <v>0</v>
      </c>
      <c r="AQ88" s="31">
        <f t="shared" si="9"/>
        <v>11.2</v>
      </c>
      <c r="AR88" s="32">
        <f t="shared" si="9"/>
        <v>28000</v>
      </c>
      <c r="AS88" s="30">
        <v>14</v>
      </c>
    </row>
    <row r="89" spans="1:45" ht="15.6" x14ac:dyDescent="0.3">
      <c r="A89" s="19">
        <v>86</v>
      </c>
      <c r="B89" s="21" t="s">
        <v>100</v>
      </c>
      <c r="C89" s="20" t="s">
        <v>112</v>
      </c>
      <c r="D89" s="324" t="s">
        <v>25</v>
      </c>
      <c r="E89" s="22">
        <v>9</v>
      </c>
      <c r="F89" s="23">
        <f t="shared" si="5"/>
        <v>22500</v>
      </c>
      <c r="G89" s="19">
        <v>0</v>
      </c>
      <c r="H89" s="23">
        <v>0</v>
      </c>
      <c r="I89" s="24">
        <v>0</v>
      </c>
      <c r="J89" s="19">
        <v>0</v>
      </c>
      <c r="K89" s="23">
        <v>0</v>
      </c>
      <c r="L89" s="24">
        <v>0</v>
      </c>
      <c r="M89" s="25">
        <v>2.8</v>
      </c>
      <c r="N89" s="26">
        <v>7000</v>
      </c>
      <c r="O89" s="27">
        <v>7</v>
      </c>
      <c r="P89" s="28">
        <f t="shared" si="6"/>
        <v>2.4</v>
      </c>
      <c r="Q89" s="29">
        <f t="shared" si="7"/>
        <v>6000</v>
      </c>
      <c r="R89" s="30">
        <v>6</v>
      </c>
      <c r="S89" s="19">
        <v>0</v>
      </c>
      <c r="T89" s="23">
        <v>0</v>
      </c>
      <c r="U89" s="24">
        <v>0</v>
      </c>
      <c r="V89" s="31">
        <f t="shared" si="8"/>
        <v>5.6</v>
      </c>
      <c r="W89" s="32">
        <v>14000</v>
      </c>
      <c r="X89" s="30">
        <v>14</v>
      </c>
      <c r="Y89" s="19">
        <v>0</v>
      </c>
      <c r="Z89" s="23">
        <v>0</v>
      </c>
      <c r="AA89" s="24">
        <v>0</v>
      </c>
      <c r="AB89" s="33">
        <v>0</v>
      </c>
      <c r="AC89" s="34">
        <v>0</v>
      </c>
      <c r="AD89" s="35">
        <v>0</v>
      </c>
      <c r="AE89" s="36">
        <v>0</v>
      </c>
      <c r="AF89" s="23">
        <v>0</v>
      </c>
      <c r="AG89" s="24">
        <v>0</v>
      </c>
      <c r="AH89" s="33">
        <v>0</v>
      </c>
      <c r="AI89" s="37">
        <v>0</v>
      </c>
      <c r="AJ89" s="35">
        <v>0</v>
      </c>
      <c r="AK89" s="36">
        <v>0</v>
      </c>
      <c r="AL89" s="38">
        <v>0</v>
      </c>
      <c r="AM89" s="35">
        <v>0</v>
      </c>
      <c r="AN89" s="19">
        <v>0</v>
      </c>
      <c r="AO89" s="23">
        <v>0</v>
      </c>
      <c r="AP89" s="24">
        <v>0</v>
      </c>
      <c r="AQ89" s="31">
        <f t="shared" si="9"/>
        <v>10.799999999999999</v>
      </c>
      <c r="AR89" s="32">
        <f t="shared" si="9"/>
        <v>27000</v>
      </c>
      <c r="AS89" s="30">
        <v>14</v>
      </c>
    </row>
    <row r="90" spans="1:45" ht="15.6" x14ac:dyDescent="0.3">
      <c r="A90" s="19">
        <v>87</v>
      </c>
      <c r="B90" s="21" t="s">
        <v>100</v>
      </c>
      <c r="C90" s="20" t="s">
        <v>113</v>
      </c>
      <c r="D90" s="324"/>
      <c r="E90" s="22">
        <v>12</v>
      </c>
      <c r="F90" s="23">
        <f t="shared" si="5"/>
        <v>30000</v>
      </c>
      <c r="G90" s="19">
        <v>0</v>
      </c>
      <c r="H90" s="23">
        <v>0</v>
      </c>
      <c r="I90" s="24">
        <v>0</v>
      </c>
      <c r="J90" s="19">
        <v>0</v>
      </c>
      <c r="K90" s="23">
        <v>0</v>
      </c>
      <c r="L90" s="24">
        <v>0</v>
      </c>
      <c r="M90" s="25">
        <v>4</v>
      </c>
      <c r="N90" s="26">
        <v>10000</v>
      </c>
      <c r="O90" s="27">
        <v>10</v>
      </c>
      <c r="P90" s="28">
        <f t="shared" si="6"/>
        <v>2</v>
      </c>
      <c r="Q90" s="29">
        <f t="shared" si="7"/>
        <v>5000</v>
      </c>
      <c r="R90" s="30">
        <v>5</v>
      </c>
      <c r="S90" s="19">
        <v>0</v>
      </c>
      <c r="T90" s="23">
        <v>0</v>
      </c>
      <c r="U90" s="24">
        <v>0</v>
      </c>
      <c r="V90" s="31">
        <f t="shared" si="8"/>
        <v>6.4</v>
      </c>
      <c r="W90" s="32">
        <v>16000</v>
      </c>
      <c r="X90" s="30">
        <v>16</v>
      </c>
      <c r="Y90" s="19">
        <v>0</v>
      </c>
      <c r="Z90" s="23">
        <v>0</v>
      </c>
      <c r="AA90" s="24">
        <v>0</v>
      </c>
      <c r="AB90" s="33">
        <v>0</v>
      </c>
      <c r="AC90" s="34">
        <v>0</v>
      </c>
      <c r="AD90" s="35">
        <v>0</v>
      </c>
      <c r="AE90" s="36">
        <v>0</v>
      </c>
      <c r="AF90" s="23">
        <v>0</v>
      </c>
      <c r="AG90" s="24">
        <v>0</v>
      </c>
      <c r="AH90" s="33">
        <v>0</v>
      </c>
      <c r="AI90" s="37">
        <v>0</v>
      </c>
      <c r="AJ90" s="35">
        <v>0</v>
      </c>
      <c r="AK90" s="36">
        <v>0</v>
      </c>
      <c r="AL90" s="38">
        <v>0</v>
      </c>
      <c r="AM90" s="35">
        <v>0</v>
      </c>
      <c r="AN90" s="19">
        <v>0</v>
      </c>
      <c r="AO90" s="23">
        <v>0</v>
      </c>
      <c r="AP90" s="24">
        <v>0</v>
      </c>
      <c r="AQ90" s="31">
        <f t="shared" si="9"/>
        <v>12.4</v>
      </c>
      <c r="AR90" s="32">
        <f t="shared" si="9"/>
        <v>31000</v>
      </c>
      <c r="AS90" s="30">
        <v>16</v>
      </c>
    </row>
    <row r="91" spans="1:45" ht="15.6" x14ac:dyDescent="0.3">
      <c r="A91" s="19">
        <v>88</v>
      </c>
      <c r="B91" s="21" t="s">
        <v>100</v>
      </c>
      <c r="C91" s="20" t="s">
        <v>114</v>
      </c>
      <c r="D91" s="324"/>
      <c r="E91" s="22">
        <v>13</v>
      </c>
      <c r="F91" s="23">
        <f t="shared" si="5"/>
        <v>32500</v>
      </c>
      <c r="G91" s="19">
        <v>0</v>
      </c>
      <c r="H91" s="23">
        <v>0</v>
      </c>
      <c r="I91" s="24">
        <v>0</v>
      </c>
      <c r="J91" s="19">
        <v>0</v>
      </c>
      <c r="K91" s="23">
        <v>0</v>
      </c>
      <c r="L91" s="24">
        <v>0</v>
      </c>
      <c r="M91" s="25">
        <v>3.2</v>
      </c>
      <c r="N91" s="26">
        <v>8000</v>
      </c>
      <c r="O91" s="27">
        <v>8</v>
      </c>
      <c r="P91" s="28">
        <f t="shared" si="6"/>
        <v>0.8</v>
      </c>
      <c r="Q91" s="29">
        <f t="shared" si="7"/>
        <v>2000</v>
      </c>
      <c r="R91" s="30">
        <v>2</v>
      </c>
      <c r="S91" s="19">
        <v>0</v>
      </c>
      <c r="T91" s="23">
        <v>0</v>
      </c>
      <c r="U91" s="24">
        <v>0</v>
      </c>
      <c r="V91" s="31">
        <f t="shared" si="8"/>
        <v>4</v>
      </c>
      <c r="W91" s="32">
        <v>10000</v>
      </c>
      <c r="X91" s="30">
        <v>10</v>
      </c>
      <c r="Y91" s="19">
        <v>0</v>
      </c>
      <c r="Z91" s="23">
        <v>0</v>
      </c>
      <c r="AA91" s="24">
        <v>0</v>
      </c>
      <c r="AB91" s="33">
        <v>0</v>
      </c>
      <c r="AC91" s="34">
        <v>0</v>
      </c>
      <c r="AD91" s="35">
        <v>0</v>
      </c>
      <c r="AE91" s="36">
        <v>0</v>
      </c>
      <c r="AF91" s="23">
        <v>0</v>
      </c>
      <c r="AG91" s="24">
        <v>0</v>
      </c>
      <c r="AH91" s="33">
        <v>0</v>
      </c>
      <c r="AI91" s="37">
        <v>0</v>
      </c>
      <c r="AJ91" s="35">
        <v>0</v>
      </c>
      <c r="AK91" s="36">
        <v>0</v>
      </c>
      <c r="AL91" s="38">
        <v>0</v>
      </c>
      <c r="AM91" s="35">
        <v>0</v>
      </c>
      <c r="AN91" s="19">
        <v>0</v>
      </c>
      <c r="AO91" s="23">
        <v>0</v>
      </c>
      <c r="AP91" s="24">
        <v>0</v>
      </c>
      <c r="AQ91" s="31">
        <f t="shared" si="9"/>
        <v>8</v>
      </c>
      <c r="AR91" s="32">
        <f t="shared" si="9"/>
        <v>20000</v>
      </c>
      <c r="AS91" s="30">
        <v>10</v>
      </c>
    </row>
    <row r="92" spans="1:45" ht="15.6" x14ac:dyDescent="0.3">
      <c r="A92" s="19">
        <v>89</v>
      </c>
      <c r="B92" s="21" t="s">
        <v>100</v>
      </c>
      <c r="C92" s="20" t="s">
        <v>115</v>
      </c>
      <c r="D92" s="324"/>
      <c r="E92" s="22">
        <v>14</v>
      </c>
      <c r="F92" s="23">
        <f t="shared" si="5"/>
        <v>35000</v>
      </c>
      <c r="G92" s="19">
        <v>0</v>
      </c>
      <c r="H92" s="23">
        <v>0</v>
      </c>
      <c r="I92" s="24">
        <v>0</v>
      </c>
      <c r="J92" s="19">
        <v>0</v>
      </c>
      <c r="K92" s="23">
        <v>0</v>
      </c>
      <c r="L92" s="24">
        <v>0</v>
      </c>
      <c r="M92" s="25">
        <v>2.8</v>
      </c>
      <c r="N92" s="26">
        <v>7000</v>
      </c>
      <c r="O92" s="27">
        <v>7</v>
      </c>
      <c r="P92" s="28">
        <f t="shared" si="6"/>
        <v>1.2</v>
      </c>
      <c r="Q92" s="29">
        <f t="shared" si="7"/>
        <v>3000</v>
      </c>
      <c r="R92" s="30">
        <v>3</v>
      </c>
      <c r="S92" s="19">
        <v>0</v>
      </c>
      <c r="T92" s="23">
        <v>0</v>
      </c>
      <c r="U92" s="24">
        <v>0</v>
      </c>
      <c r="V92" s="31">
        <f t="shared" si="8"/>
        <v>3.6</v>
      </c>
      <c r="W92" s="32">
        <v>9000</v>
      </c>
      <c r="X92" s="30">
        <v>9</v>
      </c>
      <c r="Y92" s="19">
        <v>0</v>
      </c>
      <c r="Z92" s="23">
        <v>0</v>
      </c>
      <c r="AA92" s="24">
        <v>0</v>
      </c>
      <c r="AB92" s="33">
        <v>0</v>
      </c>
      <c r="AC92" s="34">
        <v>0</v>
      </c>
      <c r="AD92" s="35">
        <v>0</v>
      </c>
      <c r="AE92" s="36">
        <v>0</v>
      </c>
      <c r="AF92" s="23">
        <v>0</v>
      </c>
      <c r="AG92" s="24">
        <v>0</v>
      </c>
      <c r="AH92" s="33">
        <v>0</v>
      </c>
      <c r="AI92" s="37">
        <v>0</v>
      </c>
      <c r="AJ92" s="35">
        <v>0</v>
      </c>
      <c r="AK92" s="36">
        <v>0</v>
      </c>
      <c r="AL92" s="38">
        <v>0</v>
      </c>
      <c r="AM92" s="35">
        <v>0</v>
      </c>
      <c r="AN92" s="19">
        <v>0</v>
      </c>
      <c r="AO92" s="23">
        <v>0</v>
      </c>
      <c r="AP92" s="24">
        <v>0</v>
      </c>
      <c r="AQ92" s="31">
        <f t="shared" si="9"/>
        <v>7.6</v>
      </c>
      <c r="AR92" s="32">
        <f t="shared" si="9"/>
        <v>19000</v>
      </c>
      <c r="AS92" s="30">
        <v>10</v>
      </c>
    </row>
    <row r="93" spans="1:45" ht="15.6" x14ac:dyDescent="0.3">
      <c r="A93" s="19">
        <v>90</v>
      </c>
      <c r="B93" s="21" t="s">
        <v>100</v>
      </c>
      <c r="C93" s="20" t="s">
        <v>116</v>
      </c>
      <c r="D93" s="324"/>
      <c r="E93" s="22">
        <v>20.200000000000003</v>
      </c>
      <c r="F93" s="23">
        <f t="shared" si="5"/>
        <v>50500.000000000007</v>
      </c>
      <c r="G93" s="19">
        <v>0</v>
      </c>
      <c r="H93" s="23">
        <v>0</v>
      </c>
      <c r="I93" s="24">
        <v>0</v>
      </c>
      <c r="J93" s="19">
        <v>0</v>
      </c>
      <c r="K93" s="23">
        <v>0</v>
      </c>
      <c r="L93" s="24">
        <v>0</v>
      </c>
      <c r="M93" s="25">
        <v>6.8</v>
      </c>
      <c r="N93" s="26">
        <v>17000</v>
      </c>
      <c r="O93" s="27">
        <v>17</v>
      </c>
      <c r="P93" s="28">
        <f t="shared" si="6"/>
        <v>3.6</v>
      </c>
      <c r="Q93" s="29">
        <f t="shared" si="7"/>
        <v>9000</v>
      </c>
      <c r="R93" s="30">
        <v>9</v>
      </c>
      <c r="S93" s="19">
        <v>0</v>
      </c>
      <c r="T93" s="23">
        <v>0</v>
      </c>
      <c r="U93" s="24">
        <v>0</v>
      </c>
      <c r="V93" s="31">
        <f t="shared" si="8"/>
        <v>9.6</v>
      </c>
      <c r="W93" s="32">
        <v>24000</v>
      </c>
      <c r="X93" s="30">
        <v>24</v>
      </c>
      <c r="Y93" s="19">
        <v>0</v>
      </c>
      <c r="Z93" s="23">
        <v>0</v>
      </c>
      <c r="AA93" s="24">
        <v>0</v>
      </c>
      <c r="AB93" s="33">
        <v>0</v>
      </c>
      <c r="AC93" s="34">
        <v>0</v>
      </c>
      <c r="AD93" s="35">
        <v>0</v>
      </c>
      <c r="AE93" s="36">
        <v>0</v>
      </c>
      <c r="AF93" s="23">
        <v>0</v>
      </c>
      <c r="AG93" s="24">
        <v>0</v>
      </c>
      <c r="AH93" s="33">
        <v>0</v>
      </c>
      <c r="AI93" s="37">
        <v>0</v>
      </c>
      <c r="AJ93" s="35">
        <v>0</v>
      </c>
      <c r="AK93" s="36">
        <v>0</v>
      </c>
      <c r="AL93" s="38">
        <v>0</v>
      </c>
      <c r="AM93" s="35">
        <v>0</v>
      </c>
      <c r="AN93" s="19">
        <v>0</v>
      </c>
      <c r="AO93" s="23">
        <v>0</v>
      </c>
      <c r="AP93" s="24">
        <v>0</v>
      </c>
      <c r="AQ93" s="31">
        <f t="shared" si="9"/>
        <v>20</v>
      </c>
      <c r="AR93" s="32">
        <f t="shared" si="9"/>
        <v>50000</v>
      </c>
      <c r="AS93" s="30">
        <v>26</v>
      </c>
    </row>
    <row r="94" spans="1:45" ht="15.6" x14ac:dyDescent="0.3">
      <c r="A94" s="19">
        <v>91</v>
      </c>
      <c r="B94" s="21" t="s">
        <v>117</v>
      </c>
      <c r="C94" s="20" t="s">
        <v>118</v>
      </c>
      <c r="D94" s="324"/>
      <c r="E94" s="22">
        <v>12.2</v>
      </c>
      <c r="F94" s="23">
        <f t="shared" si="5"/>
        <v>30500</v>
      </c>
      <c r="G94" s="19">
        <v>0</v>
      </c>
      <c r="H94" s="23">
        <v>0</v>
      </c>
      <c r="I94" s="24">
        <v>0</v>
      </c>
      <c r="J94" s="19">
        <v>0</v>
      </c>
      <c r="K94" s="23">
        <v>0</v>
      </c>
      <c r="L94" s="24">
        <v>0</v>
      </c>
      <c r="M94" s="25">
        <v>2</v>
      </c>
      <c r="N94" s="26">
        <v>5000</v>
      </c>
      <c r="O94" s="27">
        <v>5</v>
      </c>
      <c r="P94" s="28">
        <f t="shared" si="6"/>
        <v>1.2</v>
      </c>
      <c r="Q94" s="29">
        <f t="shared" si="7"/>
        <v>3000</v>
      </c>
      <c r="R94" s="30">
        <v>3</v>
      </c>
      <c r="S94" s="19">
        <v>0</v>
      </c>
      <c r="T94" s="23">
        <v>0</v>
      </c>
      <c r="U94" s="24">
        <v>0</v>
      </c>
      <c r="V94" s="31">
        <f t="shared" si="8"/>
        <v>3.2</v>
      </c>
      <c r="W94" s="32">
        <v>8000</v>
      </c>
      <c r="X94" s="30">
        <v>8</v>
      </c>
      <c r="Y94" s="19">
        <v>0</v>
      </c>
      <c r="Z94" s="23">
        <v>0</v>
      </c>
      <c r="AA94" s="24">
        <v>0</v>
      </c>
      <c r="AB94" s="33">
        <v>0</v>
      </c>
      <c r="AC94" s="34">
        <v>0</v>
      </c>
      <c r="AD94" s="35">
        <v>0</v>
      </c>
      <c r="AE94" s="36">
        <v>0</v>
      </c>
      <c r="AF94" s="23">
        <v>0</v>
      </c>
      <c r="AG94" s="24">
        <v>0</v>
      </c>
      <c r="AH94" s="33">
        <v>0</v>
      </c>
      <c r="AI94" s="37">
        <v>0</v>
      </c>
      <c r="AJ94" s="35">
        <v>0</v>
      </c>
      <c r="AK94" s="36">
        <v>0</v>
      </c>
      <c r="AL94" s="38">
        <v>0</v>
      </c>
      <c r="AM94" s="35">
        <v>0</v>
      </c>
      <c r="AN94" s="19">
        <v>0</v>
      </c>
      <c r="AO94" s="23">
        <v>0</v>
      </c>
      <c r="AP94" s="24">
        <v>0</v>
      </c>
      <c r="AQ94" s="31">
        <f t="shared" si="9"/>
        <v>6.4</v>
      </c>
      <c r="AR94" s="32">
        <f t="shared" si="9"/>
        <v>16000</v>
      </c>
      <c r="AS94" s="30">
        <v>8</v>
      </c>
    </row>
    <row r="95" spans="1:45" ht="15.6" x14ac:dyDescent="0.3">
      <c r="A95" s="19">
        <v>92</v>
      </c>
      <c r="B95" s="21" t="s">
        <v>117</v>
      </c>
      <c r="C95" s="20" t="s">
        <v>119</v>
      </c>
      <c r="D95" s="324"/>
      <c r="E95" s="22">
        <v>21.6</v>
      </c>
      <c r="F95" s="23">
        <f t="shared" si="5"/>
        <v>54000</v>
      </c>
      <c r="G95" s="19">
        <v>0</v>
      </c>
      <c r="H95" s="23">
        <v>0</v>
      </c>
      <c r="I95" s="24">
        <v>0</v>
      </c>
      <c r="J95" s="19">
        <v>0</v>
      </c>
      <c r="K95" s="23">
        <v>0</v>
      </c>
      <c r="L95" s="24">
        <v>0</v>
      </c>
      <c r="M95" s="25">
        <v>5.6</v>
      </c>
      <c r="N95" s="26">
        <v>14000</v>
      </c>
      <c r="O95" s="27">
        <v>14</v>
      </c>
      <c r="P95" s="28">
        <f t="shared" si="6"/>
        <v>4.8</v>
      </c>
      <c r="Q95" s="29">
        <f t="shared" si="7"/>
        <v>12000</v>
      </c>
      <c r="R95" s="30">
        <v>12</v>
      </c>
      <c r="S95" s="19">
        <v>0</v>
      </c>
      <c r="T95" s="23">
        <v>0</v>
      </c>
      <c r="U95" s="24">
        <v>0</v>
      </c>
      <c r="V95" s="31">
        <f t="shared" si="8"/>
        <v>10.4</v>
      </c>
      <c r="W95" s="32">
        <v>26000</v>
      </c>
      <c r="X95" s="30">
        <v>26</v>
      </c>
      <c r="Y95" s="19">
        <v>0</v>
      </c>
      <c r="Z95" s="23">
        <v>0</v>
      </c>
      <c r="AA95" s="24">
        <v>0</v>
      </c>
      <c r="AB95" s="33">
        <v>0</v>
      </c>
      <c r="AC95" s="34">
        <v>0</v>
      </c>
      <c r="AD95" s="35">
        <v>0</v>
      </c>
      <c r="AE95" s="36">
        <v>0</v>
      </c>
      <c r="AF95" s="23">
        <v>0</v>
      </c>
      <c r="AG95" s="24">
        <v>0</v>
      </c>
      <c r="AH95" s="33">
        <v>0</v>
      </c>
      <c r="AI95" s="37">
        <v>0</v>
      </c>
      <c r="AJ95" s="35">
        <v>0</v>
      </c>
      <c r="AK95" s="36">
        <v>0</v>
      </c>
      <c r="AL95" s="38">
        <v>0</v>
      </c>
      <c r="AM95" s="35">
        <v>0</v>
      </c>
      <c r="AN95" s="19">
        <v>0</v>
      </c>
      <c r="AO95" s="23">
        <v>0</v>
      </c>
      <c r="AP95" s="24">
        <v>0</v>
      </c>
      <c r="AQ95" s="31">
        <f t="shared" si="9"/>
        <v>20.799999999999997</v>
      </c>
      <c r="AR95" s="32">
        <f t="shared" si="9"/>
        <v>52000</v>
      </c>
      <c r="AS95" s="30">
        <v>26</v>
      </c>
    </row>
    <row r="96" spans="1:45" ht="15.6" x14ac:dyDescent="0.3">
      <c r="A96" s="19">
        <v>93</v>
      </c>
      <c r="B96" s="21" t="s">
        <v>117</v>
      </c>
      <c r="C96" s="20" t="s">
        <v>120</v>
      </c>
      <c r="D96" s="324"/>
      <c r="E96" s="22">
        <v>16.2</v>
      </c>
      <c r="F96" s="23">
        <f t="shared" si="5"/>
        <v>40500</v>
      </c>
      <c r="G96" s="19">
        <v>0</v>
      </c>
      <c r="H96" s="23">
        <v>0</v>
      </c>
      <c r="I96" s="24">
        <v>0</v>
      </c>
      <c r="J96" s="19">
        <v>0</v>
      </c>
      <c r="K96" s="23">
        <v>0</v>
      </c>
      <c r="L96" s="24">
        <v>0</v>
      </c>
      <c r="M96" s="25">
        <v>3.2</v>
      </c>
      <c r="N96" s="26">
        <v>8000</v>
      </c>
      <c r="O96" s="27">
        <v>8</v>
      </c>
      <c r="P96" s="28">
        <f t="shared" si="6"/>
        <v>2</v>
      </c>
      <c r="Q96" s="29">
        <f t="shared" si="7"/>
        <v>5000</v>
      </c>
      <c r="R96" s="30">
        <v>5</v>
      </c>
      <c r="S96" s="19">
        <v>0</v>
      </c>
      <c r="T96" s="23">
        <v>0</v>
      </c>
      <c r="U96" s="24">
        <v>0</v>
      </c>
      <c r="V96" s="31">
        <f t="shared" si="8"/>
        <v>5.2</v>
      </c>
      <c r="W96" s="32">
        <v>13000</v>
      </c>
      <c r="X96" s="30">
        <v>13</v>
      </c>
      <c r="Y96" s="19">
        <v>0</v>
      </c>
      <c r="Z96" s="23">
        <v>0</v>
      </c>
      <c r="AA96" s="24">
        <v>0</v>
      </c>
      <c r="AB96" s="33">
        <v>0</v>
      </c>
      <c r="AC96" s="34">
        <v>0</v>
      </c>
      <c r="AD96" s="35">
        <v>0</v>
      </c>
      <c r="AE96" s="36">
        <v>0</v>
      </c>
      <c r="AF96" s="23">
        <v>0</v>
      </c>
      <c r="AG96" s="24">
        <v>0</v>
      </c>
      <c r="AH96" s="33">
        <v>0</v>
      </c>
      <c r="AI96" s="37">
        <v>0</v>
      </c>
      <c r="AJ96" s="35">
        <v>0</v>
      </c>
      <c r="AK96" s="36">
        <v>0</v>
      </c>
      <c r="AL96" s="38">
        <v>0</v>
      </c>
      <c r="AM96" s="35">
        <v>0</v>
      </c>
      <c r="AN96" s="19">
        <v>0</v>
      </c>
      <c r="AO96" s="23">
        <v>0</v>
      </c>
      <c r="AP96" s="24">
        <v>0</v>
      </c>
      <c r="AQ96" s="31">
        <f t="shared" si="9"/>
        <v>10.4</v>
      </c>
      <c r="AR96" s="32">
        <f t="shared" si="9"/>
        <v>26000</v>
      </c>
      <c r="AS96" s="30">
        <v>13</v>
      </c>
    </row>
    <row r="97" spans="1:45" ht="15.6" x14ac:dyDescent="0.3">
      <c r="A97" s="19">
        <v>94</v>
      </c>
      <c r="B97" s="21" t="s">
        <v>117</v>
      </c>
      <c r="C97" s="20" t="s">
        <v>121</v>
      </c>
      <c r="D97" s="324"/>
      <c r="E97" s="22">
        <v>16.399999999999999</v>
      </c>
      <c r="F97" s="23">
        <f t="shared" si="5"/>
        <v>41000</v>
      </c>
      <c r="G97" s="19">
        <v>0</v>
      </c>
      <c r="H97" s="23">
        <v>0</v>
      </c>
      <c r="I97" s="24">
        <v>0</v>
      </c>
      <c r="J97" s="19">
        <v>0</v>
      </c>
      <c r="K97" s="23">
        <v>0</v>
      </c>
      <c r="L97" s="24">
        <v>0</v>
      </c>
      <c r="M97" s="25">
        <v>4</v>
      </c>
      <c r="N97" s="26">
        <v>10000</v>
      </c>
      <c r="O97" s="27">
        <v>10</v>
      </c>
      <c r="P97" s="28">
        <f t="shared" si="6"/>
        <v>1.6</v>
      </c>
      <c r="Q97" s="29">
        <f t="shared" si="7"/>
        <v>4000</v>
      </c>
      <c r="R97" s="30">
        <v>4</v>
      </c>
      <c r="S97" s="19">
        <v>0</v>
      </c>
      <c r="T97" s="23">
        <v>0</v>
      </c>
      <c r="U97" s="24">
        <v>0</v>
      </c>
      <c r="V97" s="31">
        <f t="shared" si="8"/>
        <v>5.6</v>
      </c>
      <c r="W97" s="32">
        <v>14000</v>
      </c>
      <c r="X97" s="30">
        <v>14</v>
      </c>
      <c r="Y97" s="19">
        <v>0</v>
      </c>
      <c r="Z97" s="23">
        <v>0</v>
      </c>
      <c r="AA97" s="24">
        <v>0</v>
      </c>
      <c r="AB97" s="33">
        <v>0</v>
      </c>
      <c r="AC97" s="34">
        <v>0</v>
      </c>
      <c r="AD97" s="35">
        <v>0</v>
      </c>
      <c r="AE97" s="36">
        <v>0</v>
      </c>
      <c r="AF97" s="23">
        <v>0</v>
      </c>
      <c r="AG97" s="24">
        <v>0</v>
      </c>
      <c r="AH97" s="33">
        <v>0</v>
      </c>
      <c r="AI97" s="37">
        <v>0</v>
      </c>
      <c r="AJ97" s="35">
        <v>0</v>
      </c>
      <c r="AK97" s="36">
        <v>0</v>
      </c>
      <c r="AL97" s="38">
        <v>0</v>
      </c>
      <c r="AM97" s="35">
        <v>0</v>
      </c>
      <c r="AN97" s="19">
        <v>0</v>
      </c>
      <c r="AO97" s="23">
        <v>0</v>
      </c>
      <c r="AP97" s="24">
        <v>0</v>
      </c>
      <c r="AQ97" s="31">
        <f t="shared" si="9"/>
        <v>11.2</v>
      </c>
      <c r="AR97" s="32">
        <f t="shared" si="9"/>
        <v>28000</v>
      </c>
      <c r="AS97" s="30">
        <v>14</v>
      </c>
    </row>
    <row r="98" spans="1:45" ht="15.6" x14ac:dyDescent="0.3">
      <c r="A98" s="19">
        <v>95</v>
      </c>
      <c r="B98" s="21" t="s">
        <v>117</v>
      </c>
      <c r="C98" s="20" t="s">
        <v>122</v>
      </c>
      <c r="D98" s="324"/>
      <c r="E98" s="22">
        <v>22.4</v>
      </c>
      <c r="F98" s="23">
        <f t="shared" si="5"/>
        <v>56000</v>
      </c>
      <c r="G98" s="19">
        <v>0</v>
      </c>
      <c r="H98" s="23">
        <v>0</v>
      </c>
      <c r="I98" s="24">
        <v>0</v>
      </c>
      <c r="J98" s="19">
        <v>0</v>
      </c>
      <c r="K98" s="23">
        <v>0</v>
      </c>
      <c r="L98" s="24">
        <v>0</v>
      </c>
      <c r="M98" s="25">
        <v>5.2</v>
      </c>
      <c r="N98" s="26">
        <v>13000</v>
      </c>
      <c r="O98" s="27">
        <v>13</v>
      </c>
      <c r="P98" s="28">
        <f t="shared" si="6"/>
        <v>2.8</v>
      </c>
      <c r="Q98" s="29">
        <f t="shared" si="7"/>
        <v>7000</v>
      </c>
      <c r="R98" s="30">
        <v>7</v>
      </c>
      <c r="S98" s="19">
        <v>0</v>
      </c>
      <c r="T98" s="23">
        <v>0</v>
      </c>
      <c r="U98" s="24">
        <v>0</v>
      </c>
      <c r="V98" s="31">
        <f t="shared" si="8"/>
        <v>8</v>
      </c>
      <c r="W98" s="32">
        <v>20000</v>
      </c>
      <c r="X98" s="30">
        <v>20</v>
      </c>
      <c r="Y98" s="19">
        <v>0</v>
      </c>
      <c r="Z98" s="23">
        <v>0</v>
      </c>
      <c r="AA98" s="24">
        <v>0</v>
      </c>
      <c r="AB98" s="33">
        <v>0</v>
      </c>
      <c r="AC98" s="34">
        <v>0</v>
      </c>
      <c r="AD98" s="35">
        <v>0</v>
      </c>
      <c r="AE98" s="36">
        <v>0</v>
      </c>
      <c r="AF98" s="23">
        <v>0</v>
      </c>
      <c r="AG98" s="24">
        <v>0</v>
      </c>
      <c r="AH98" s="33">
        <v>0</v>
      </c>
      <c r="AI98" s="37">
        <v>0</v>
      </c>
      <c r="AJ98" s="35">
        <v>0</v>
      </c>
      <c r="AK98" s="36">
        <v>0</v>
      </c>
      <c r="AL98" s="38">
        <v>0</v>
      </c>
      <c r="AM98" s="35">
        <v>0</v>
      </c>
      <c r="AN98" s="19">
        <v>0</v>
      </c>
      <c r="AO98" s="23">
        <v>0</v>
      </c>
      <c r="AP98" s="24">
        <v>0</v>
      </c>
      <c r="AQ98" s="31">
        <f t="shared" si="9"/>
        <v>16</v>
      </c>
      <c r="AR98" s="32">
        <f t="shared" si="9"/>
        <v>40000</v>
      </c>
      <c r="AS98" s="30">
        <v>20</v>
      </c>
    </row>
    <row r="99" spans="1:45" ht="15.6" x14ac:dyDescent="0.3">
      <c r="A99" s="19">
        <v>96</v>
      </c>
      <c r="B99" s="21" t="s">
        <v>117</v>
      </c>
      <c r="C99" s="20" t="s">
        <v>123</v>
      </c>
      <c r="D99" s="324"/>
      <c r="E99" s="22">
        <v>22</v>
      </c>
      <c r="F99" s="23">
        <f t="shared" si="5"/>
        <v>55000</v>
      </c>
      <c r="G99" s="19">
        <v>0</v>
      </c>
      <c r="H99" s="23">
        <v>0</v>
      </c>
      <c r="I99" s="24">
        <v>0</v>
      </c>
      <c r="J99" s="19">
        <v>0</v>
      </c>
      <c r="K99" s="23">
        <v>0</v>
      </c>
      <c r="L99" s="24">
        <v>0</v>
      </c>
      <c r="M99" s="25">
        <v>4</v>
      </c>
      <c r="N99" s="26">
        <v>10000</v>
      </c>
      <c r="O99" s="27">
        <v>10</v>
      </c>
      <c r="P99" s="28">
        <f t="shared" si="6"/>
        <v>4</v>
      </c>
      <c r="Q99" s="29">
        <f t="shared" si="7"/>
        <v>10000</v>
      </c>
      <c r="R99" s="30">
        <v>10</v>
      </c>
      <c r="S99" s="19">
        <v>0</v>
      </c>
      <c r="T99" s="23">
        <v>0</v>
      </c>
      <c r="U99" s="24">
        <v>0</v>
      </c>
      <c r="V99" s="31">
        <f t="shared" si="8"/>
        <v>7.6</v>
      </c>
      <c r="W99" s="32">
        <v>19000</v>
      </c>
      <c r="X99" s="30">
        <v>19</v>
      </c>
      <c r="Y99" s="19">
        <v>0</v>
      </c>
      <c r="Z99" s="23">
        <v>0</v>
      </c>
      <c r="AA99" s="24">
        <v>0</v>
      </c>
      <c r="AB99" s="33">
        <v>0</v>
      </c>
      <c r="AC99" s="34">
        <v>0</v>
      </c>
      <c r="AD99" s="35">
        <v>0</v>
      </c>
      <c r="AE99" s="36">
        <v>0</v>
      </c>
      <c r="AF99" s="23">
        <v>0</v>
      </c>
      <c r="AG99" s="24">
        <v>0</v>
      </c>
      <c r="AH99" s="33">
        <v>0</v>
      </c>
      <c r="AI99" s="37">
        <v>0</v>
      </c>
      <c r="AJ99" s="35">
        <v>0</v>
      </c>
      <c r="AK99" s="36">
        <v>0</v>
      </c>
      <c r="AL99" s="38">
        <v>0</v>
      </c>
      <c r="AM99" s="35">
        <v>0</v>
      </c>
      <c r="AN99" s="19">
        <v>0</v>
      </c>
      <c r="AO99" s="23">
        <v>0</v>
      </c>
      <c r="AP99" s="24">
        <v>0</v>
      </c>
      <c r="AQ99" s="31">
        <f t="shared" si="9"/>
        <v>15.6</v>
      </c>
      <c r="AR99" s="32">
        <f t="shared" si="9"/>
        <v>39000</v>
      </c>
      <c r="AS99" s="30">
        <v>20</v>
      </c>
    </row>
    <row r="100" spans="1:45" ht="15.6" x14ac:dyDescent="0.3">
      <c r="A100" s="19">
        <v>97</v>
      </c>
      <c r="B100" s="21" t="s">
        <v>117</v>
      </c>
      <c r="C100" s="20" t="s">
        <v>117</v>
      </c>
      <c r="D100" s="324"/>
      <c r="E100" s="22">
        <v>13</v>
      </c>
      <c r="F100" s="23">
        <f t="shared" si="5"/>
        <v>32500</v>
      </c>
      <c r="G100" s="19">
        <v>0</v>
      </c>
      <c r="H100" s="23">
        <v>0</v>
      </c>
      <c r="I100" s="24">
        <v>0</v>
      </c>
      <c r="J100" s="19">
        <v>0</v>
      </c>
      <c r="K100" s="23">
        <v>0</v>
      </c>
      <c r="L100" s="24">
        <v>0</v>
      </c>
      <c r="M100" s="25">
        <v>4</v>
      </c>
      <c r="N100" s="26">
        <v>10000</v>
      </c>
      <c r="O100" s="27">
        <v>10</v>
      </c>
      <c r="P100" s="28">
        <f t="shared" si="6"/>
        <v>1.2</v>
      </c>
      <c r="Q100" s="29">
        <f t="shared" si="7"/>
        <v>3000</v>
      </c>
      <c r="R100" s="30">
        <v>3</v>
      </c>
      <c r="S100" s="19">
        <v>0</v>
      </c>
      <c r="T100" s="23">
        <v>0</v>
      </c>
      <c r="U100" s="24">
        <v>0</v>
      </c>
      <c r="V100" s="31">
        <f t="shared" si="8"/>
        <v>5.2</v>
      </c>
      <c r="W100" s="32">
        <v>13000</v>
      </c>
      <c r="X100" s="30">
        <v>13</v>
      </c>
      <c r="Y100" s="19">
        <v>0</v>
      </c>
      <c r="Z100" s="23">
        <v>0</v>
      </c>
      <c r="AA100" s="24">
        <v>0</v>
      </c>
      <c r="AB100" s="33">
        <v>0</v>
      </c>
      <c r="AC100" s="34">
        <v>0</v>
      </c>
      <c r="AD100" s="35">
        <v>0</v>
      </c>
      <c r="AE100" s="36">
        <v>0</v>
      </c>
      <c r="AF100" s="23">
        <v>0</v>
      </c>
      <c r="AG100" s="24">
        <v>0</v>
      </c>
      <c r="AH100" s="33">
        <v>0</v>
      </c>
      <c r="AI100" s="37">
        <v>0</v>
      </c>
      <c r="AJ100" s="35">
        <v>0</v>
      </c>
      <c r="AK100" s="36">
        <v>0</v>
      </c>
      <c r="AL100" s="38">
        <v>0</v>
      </c>
      <c r="AM100" s="35">
        <v>0</v>
      </c>
      <c r="AN100" s="19">
        <v>0</v>
      </c>
      <c r="AO100" s="23">
        <v>0</v>
      </c>
      <c r="AP100" s="24">
        <v>0</v>
      </c>
      <c r="AQ100" s="31">
        <f t="shared" si="9"/>
        <v>10.4</v>
      </c>
      <c r="AR100" s="32">
        <f t="shared" si="9"/>
        <v>26000</v>
      </c>
      <c r="AS100" s="30">
        <v>13</v>
      </c>
    </row>
    <row r="101" spans="1:45" ht="15.6" x14ac:dyDescent="0.3">
      <c r="A101" s="19">
        <v>98</v>
      </c>
      <c r="B101" s="21" t="s">
        <v>117</v>
      </c>
      <c r="C101" s="20" t="s">
        <v>124</v>
      </c>
      <c r="D101" s="324"/>
      <c r="E101" s="22">
        <v>10</v>
      </c>
      <c r="F101" s="23">
        <f t="shared" si="5"/>
        <v>25000</v>
      </c>
      <c r="G101" s="19">
        <v>0</v>
      </c>
      <c r="H101" s="23">
        <v>0</v>
      </c>
      <c r="I101" s="24">
        <v>0</v>
      </c>
      <c r="J101" s="19">
        <v>0</v>
      </c>
      <c r="K101" s="23">
        <v>0</v>
      </c>
      <c r="L101" s="24">
        <v>0</v>
      </c>
      <c r="M101" s="25">
        <v>2.4</v>
      </c>
      <c r="N101" s="26">
        <v>6000</v>
      </c>
      <c r="O101" s="27">
        <v>6</v>
      </c>
      <c r="P101" s="28">
        <f t="shared" si="6"/>
        <v>1.2</v>
      </c>
      <c r="Q101" s="29">
        <f t="shared" si="7"/>
        <v>3000</v>
      </c>
      <c r="R101" s="30">
        <v>3</v>
      </c>
      <c r="S101" s="19">
        <v>0</v>
      </c>
      <c r="T101" s="23">
        <v>0</v>
      </c>
      <c r="U101" s="24">
        <v>0</v>
      </c>
      <c r="V101" s="31">
        <f t="shared" si="8"/>
        <v>3.6</v>
      </c>
      <c r="W101" s="32">
        <v>9000</v>
      </c>
      <c r="X101" s="30">
        <v>9</v>
      </c>
      <c r="Y101" s="19">
        <v>0</v>
      </c>
      <c r="Z101" s="23">
        <v>0</v>
      </c>
      <c r="AA101" s="24">
        <v>0</v>
      </c>
      <c r="AB101" s="33">
        <v>0</v>
      </c>
      <c r="AC101" s="34">
        <v>0</v>
      </c>
      <c r="AD101" s="35">
        <v>0</v>
      </c>
      <c r="AE101" s="36">
        <v>0</v>
      </c>
      <c r="AF101" s="23">
        <v>0</v>
      </c>
      <c r="AG101" s="24">
        <v>0</v>
      </c>
      <c r="AH101" s="33">
        <v>0</v>
      </c>
      <c r="AI101" s="37">
        <v>0</v>
      </c>
      <c r="AJ101" s="35">
        <v>0</v>
      </c>
      <c r="AK101" s="36">
        <v>0</v>
      </c>
      <c r="AL101" s="38">
        <v>0</v>
      </c>
      <c r="AM101" s="35">
        <v>0</v>
      </c>
      <c r="AN101" s="19">
        <v>0</v>
      </c>
      <c r="AO101" s="23">
        <v>0</v>
      </c>
      <c r="AP101" s="24">
        <v>0</v>
      </c>
      <c r="AQ101" s="31">
        <f t="shared" si="9"/>
        <v>7.1999999999999993</v>
      </c>
      <c r="AR101" s="32">
        <f t="shared" si="9"/>
        <v>18000</v>
      </c>
      <c r="AS101" s="30">
        <v>9</v>
      </c>
    </row>
    <row r="102" spans="1:45" ht="15.6" x14ac:dyDescent="0.3">
      <c r="A102" s="19">
        <v>99</v>
      </c>
      <c r="B102" s="21" t="s">
        <v>117</v>
      </c>
      <c r="C102" s="20" t="s">
        <v>89</v>
      </c>
      <c r="D102" s="324"/>
      <c r="E102" s="22">
        <v>13</v>
      </c>
      <c r="F102" s="23">
        <f t="shared" si="5"/>
        <v>32500</v>
      </c>
      <c r="G102" s="19">
        <v>0</v>
      </c>
      <c r="H102" s="23">
        <v>0</v>
      </c>
      <c r="I102" s="24">
        <v>0</v>
      </c>
      <c r="J102" s="19">
        <v>0</v>
      </c>
      <c r="K102" s="23">
        <v>0</v>
      </c>
      <c r="L102" s="24">
        <v>0</v>
      </c>
      <c r="M102" s="25">
        <v>2.4</v>
      </c>
      <c r="N102" s="26">
        <v>6000</v>
      </c>
      <c r="O102" s="27">
        <v>6</v>
      </c>
      <c r="P102" s="28">
        <f t="shared" si="6"/>
        <v>1.2</v>
      </c>
      <c r="Q102" s="29">
        <f t="shared" si="7"/>
        <v>3000</v>
      </c>
      <c r="R102" s="30">
        <v>3</v>
      </c>
      <c r="S102" s="19">
        <v>0</v>
      </c>
      <c r="T102" s="23">
        <v>0</v>
      </c>
      <c r="U102" s="24">
        <v>0</v>
      </c>
      <c r="V102" s="31">
        <f t="shared" si="8"/>
        <v>3.2</v>
      </c>
      <c r="W102" s="32">
        <v>8000</v>
      </c>
      <c r="X102" s="30">
        <v>8</v>
      </c>
      <c r="Y102" s="19">
        <v>0</v>
      </c>
      <c r="Z102" s="23">
        <v>0</v>
      </c>
      <c r="AA102" s="24">
        <v>0</v>
      </c>
      <c r="AB102" s="33">
        <v>0</v>
      </c>
      <c r="AC102" s="34">
        <v>0</v>
      </c>
      <c r="AD102" s="35">
        <v>0</v>
      </c>
      <c r="AE102" s="36">
        <v>0</v>
      </c>
      <c r="AF102" s="23">
        <v>0</v>
      </c>
      <c r="AG102" s="24">
        <v>0</v>
      </c>
      <c r="AH102" s="33">
        <v>0</v>
      </c>
      <c r="AI102" s="37">
        <v>0</v>
      </c>
      <c r="AJ102" s="35">
        <v>0</v>
      </c>
      <c r="AK102" s="36">
        <v>0</v>
      </c>
      <c r="AL102" s="38">
        <v>0</v>
      </c>
      <c r="AM102" s="35">
        <v>0</v>
      </c>
      <c r="AN102" s="19">
        <v>0</v>
      </c>
      <c r="AO102" s="23">
        <v>0</v>
      </c>
      <c r="AP102" s="24">
        <v>0</v>
      </c>
      <c r="AQ102" s="31">
        <f t="shared" si="9"/>
        <v>6.8</v>
      </c>
      <c r="AR102" s="32">
        <f t="shared" si="9"/>
        <v>17000</v>
      </c>
      <c r="AS102" s="30">
        <v>9</v>
      </c>
    </row>
    <row r="103" spans="1:45" ht="15.6" x14ac:dyDescent="0.3">
      <c r="A103" s="19">
        <v>100</v>
      </c>
      <c r="B103" s="21" t="s">
        <v>117</v>
      </c>
      <c r="C103" s="20" t="s">
        <v>125</v>
      </c>
      <c r="D103" s="324"/>
      <c r="E103" s="22">
        <v>18.8</v>
      </c>
      <c r="F103" s="23">
        <f t="shared" si="5"/>
        <v>47000</v>
      </c>
      <c r="G103" s="19">
        <v>0</v>
      </c>
      <c r="H103" s="23">
        <v>0</v>
      </c>
      <c r="I103" s="24">
        <v>0</v>
      </c>
      <c r="J103" s="19">
        <v>0</v>
      </c>
      <c r="K103" s="23">
        <v>0</v>
      </c>
      <c r="L103" s="24">
        <v>0</v>
      </c>
      <c r="M103" s="25">
        <v>4.4000000000000004</v>
      </c>
      <c r="N103" s="26">
        <v>11000</v>
      </c>
      <c r="O103" s="27">
        <v>11</v>
      </c>
      <c r="P103" s="28">
        <f t="shared" si="6"/>
        <v>2</v>
      </c>
      <c r="Q103" s="29">
        <f t="shared" si="7"/>
        <v>5000</v>
      </c>
      <c r="R103" s="30">
        <v>5</v>
      </c>
      <c r="S103" s="19">
        <v>0</v>
      </c>
      <c r="T103" s="23">
        <v>0</v>
      </c>
      <c r="U103" s="24">
        <v>0</v>
      </c>
      <c r="V103" s="31">
        <f t="shared" si="8"/>
        <v>6</v>
      </c>
      <c r="W103" s="32">
        <v>15000</v>
      </c>
      <c r="X103" s="30">
        <v>15</v>
      </c>
      <c r="Y103" s="19">
        <v>0</v>
      </c>
      <c r="Z103" s="23">
        <v>0</v>
      </c>
      <c r="AA103" s="24">
        <v>0</v>
      </c>
      <c r="AB103" s="33">
        <v>0</v>
      </c>
      <c r="AC103" s="34">
        <v>0</v>
      </c>
      <c r="AD103" s="35">
        <v>0</v>
      </c>
      <c r="AE103" s="36">
        <v>0</v>
      </c>
      <c r="AF103" s="23">
        <v>0</v>
      </c>
      <c r="AG103" s="24">
        <v>0</v>
      </c>
      <c r="AH103" s="33">
        <v>0</v>
      </c>
      <c r="AI103" s="37">
        <v>0</v>
      </c>
      <c r="AJ103" s="35">
        <v>0</v>
      </c>
      <c r="AK103" s="36">
        <v>0</v>
      </c>
      <c r="AL103" s="38">
        <v>0</v>
      </c>
      <c r="AM103" s="35">
        <v>0</v>
      </c>
      <c r="AN103" s="19">
        <v>0</v>
      </c>
      <c r="AO103" s="23">
        <v>0</v>
      </c>
      <c r="AP103" s="24">
        <v>0</v>
      </c>
      <c r="AQ103" s="31">
        <f t="shared" si="9"/>
        <v>12.4</v>
      </c>
      <c r="AR103" s="32">
        <f t="shared" si="9"/>
        <v>31000</v>
      </c>
      <c r="AS103" s="30">
        <v>16</v>
      </c>
    </row>
    <row r="104" spans="1:45" ht="15.6" x14ac:dyDescent="0.3">
      <c r="A104" s="19">
        <v>101</v>
      </c>
      <c r="B104" s="21" t="s">
        <v>117</v>
      </c>
      <c r="C104" s="20" t="s">
        <v>126</v>
      </c>
      <c r="D104" s="324"/>
      <c r="E104" s="22">
        <v>24.8</v>
      </c>
      <c r="F104" s="23">
        <f t="shared" si="5"/>
        <v>62000</v>
      </c>
      <c r="G104" s="19">
        <v>0</v>
      </c>
      <c r="H104" s="23">
        <v>0</v>
      </c>
      <c r="I104" s="24">
        <v>0</v>
      </c>
      <c r="J104" s="19">
        <v>0</v>
      </c>
      <c r="K104" s="23">
        <v>0</v>
      </c>
      <c r="L104" s="24">
        <v>0</v>
      </c>
      <c r="M104" s="25">
        <v>4.8</v>
      </c>
      <c r="N104" s="26">
        <v>12000</v>
      </c>
      <c r="O104" s="27">
        <v>12</v>
      </c>
      <c r="P104" s="28">
        <f t="shared" si="6"/>
        <v>4</v>
      </c>
      <c r="Q104" s="29">
        <f t="shared" si="7"/>
        <v>10000</v>
      </c>
      <c r="R104" s="30">
        <v>10</v>
      </c>
      <c r="S104" s="19">
        <v>0</v>
      </c>
      <c r="T104" s="23">
        <v>0</v>
      </c>
      <c r="U104" s="24">
        <v>0</v>
      </c>
      <c r="V104" s="31">
        <f t="shared" si="8"/>
        <v>8.8000000000000007</v>
      </c>
      <c r="W104" s="32">
        <v>22000</v>
      </c>
      <c r="X104" s="30">
        <v>22</v>
      </c>
      <c r="Y104" s="19">
        <v>0</v>
      </c>
      <c r="Z104" s="23">
        <v>0</v>
      </c>
      <c r="AA104" s="24">
        <v>0</v>
      </c>
      <c r="AB104" s="33">
        <v>0</v>
      </c>
      <c r="AC104" s="34">
        <v>0</v>
      </c>
      <c r="AD104" s="35">
        <v>0</v>
      </c>
      <c r="AE104" s="36">
        <v>0</v>
      </c>
      <c r="AF104" s="23">
        <v>0</v>
      </c>
      <c r="AG104" s="24">
        <v>0</v>
      </c>
      <c r="AH104" s="33">
        <v>0</v>
      </c>
      <c r="AI104" s="37">
        <v>0</v>
      </c>
      <c r="AJ104" s="35">
        <v>0</v>
      </c>
      <c r="AK104" s="36">
        <v>0</v>
      </c>
      <c r="AL104" s="38">
        <v>0</v>
      </c>
      <c r="AM104" s="35">
        <v>0</v>
      </c>
      <c r="AN104" s="19">
        <v>0</v>
      </c>
      <c r="AO104" s="23">
        <v>0</v>
      </c>
      <c r="AP104" s="24">
        <v>0</v>
      </c>
      <c r="AQ104" s="31">
        <f t="shared" si="9"/>
        <v>17.600000000000001</v>
      </c>
      <c r="AR104" s="32">
        <f t="shared" si="9"/>
        <v>44000</v>
      </c>
      <c r="AS104" s="30">
        <v>22</v>
      </c>
    </row>
    <row r="105" spans="1:45" ht="15.6" x14ac:dyDescent="0.3">
      <c r="A105" s="19">
        <v>102</v>
      </c>
      <c r="B105" s="21" t="s">
        <v>117</v>
      </c>
      <c r="C105" s="20" t="s">
        <v>127</v>
      </c>
      <c r="D105" s="324"/>
      <c r="E105" s="22">
        <v>24</v>
      </c>
      <c r="F105" s="23">
        <f t="shared" si="5"/>
        <v>60000</v>
      </c>
      <c r="G105" s="19">
        <v>0</v>
      </c>
      <c r="H105" s="23">
        <v>0</v>
      </c>
      <c r="I105" s="24">
        <v>0</v>
      </c>
      <c r="J105" s="19">
        <v>0</v>
      </c>
      <c r="K105" s="23">
        <v>0</v>
      </c>
      <c r="L105" s="24">
        <v>0</v>
      </c>
      <c r="M105" s="25">
        <v>3.6</v>
      </c>
      <c r="N105" s="26">
        <v>9000</v>
      </c>
      <c r="O105" s="27">
        <v>9</v>
      </c>
      <c r="P105" s="28">
        <f t="shared" si="6"/>
        <v>4</v>
      </c>
      <c r="Q105" s="29">
        <f t="shared" si="7"/>
        <v>10000</v>
      </c>
      <c r="R105" s="30">
        <v>10</v>
      </c>
      <c r="S105" s="19">
        <v>0</v>
      </c>
      <c r="T105" s="23">
        <v>0</v>
      </c>
      <c r="U105" s="24">
        <v>0</v>
      </c>
      <c r="V105" s="31">
        <f t="shared" si="8"/>
        <v>7.2</v>
      </c>
      <c r="W105" s="32">
        <v>18000</v>
      </c>
      <c r="X105" s="30">
        <v>18</v>
      </c>
      <c r="Y105" s="19">
        <v>0</v>
      </c>
      <c r="Z105" s="23">
        <v>0</v>
      </c>
      <c r="AA105" s="24">
        <v>0</v>
      </c>
      <c r="AB105" s="33">
        <v>0</v>
      </c>
      <c r="AC105" s="34">
        <v>0</v>
      </c>
      <c r="AD105" s="35">
        <v>0</v>
      </c>
      <c r="AE105" s="36">
        <v>0</v>
      </c>
      <c r="AF105" s="23">
        <v>0</v>
      </c>
      <c r="AG105" s="24">
        <v>0</v>
      </c>
      <c r="AH105" s="33">
        <v>0</v>
      </c>
      <c r="AI105" s="37">
        <v>0</v>
      </c>
      <c r="AJ105" s="35">
        <v>0</v>
      </c>
      <c r="AK105" s="36">
        <v>0</v>
      </c>
      <c r="AL105" s="38">
        <v>0</v>
      </c>
      <c r="AM105" s="35">
        <v>0</v>
      </c>
      <c r="AN105" s="19">
        <v>0</v>
      </c>
      <c r="AO105" s="23">
        <v>0</v>
      </c>
      <c r="AP105" s="24">
        <v>0</v>
      </c>
      <c r="AQ105" s="31">
        <f t="shared" si="9"/>
        <v>14.8</v>
      </c>
      <c r="AR105" s="32">
        <f t="shared" si="9"/>
        <v>37000</v>
      </c>
      <c r="AS105" s="30">
        <v>20</v>
      </c>
    </row>
    <row r="106" spans="1:45" ht="15.6" x14ac:dyDescent="0.3">
      <c r="A106" s="19">
        <v>103</v>
      </c>
      <c r="B106" s="21" t="s">
        <v>117</v>
      </c>
      <c r="C106" s="20" t="s">
        <v>128</v>
      </c>
      <c r="D106" s="324" t="s">
        <v>25</v>
      </c>
      <c r="E106" s="22">
        <v>11.2</v>
      </c>
      <c r="F106" s="23">
        <f t="shared" si="5"/>
        <v>28000</v>
      </c>
      <c r="G106" s="19">
        <v>0</v>
      </c>
      <c r="H106" s="23">
        <v>0</v>
      </c>
      <c r="I106" s="24">
        <v>0</v>
      </c>
      <c r="J106" s="19">
        <v>0</v>
      </c>
      <c r="K106" s="23">
        <v>0</v>
      </c>
      <c r="L106" s="24">
        <v>0</v>
      </c>
      <c r="M106" s="25">
        <v>3.6</v>
      </c>
      <c r="N106" s="26">
        <v>9000</v>
      </c>
      <c r="O106" s="27">
        <v>9</v>
      </c>
      <c r="P106" s="28">
        <f t="shared" si="6"/>
        <v>0.8</v>
      </c>
      <c r="Q106" s="29">
        <f t="shared" si="7"/>
        <v>2000</v>
      </c>
      <c r="R106" s="30">
        <v>2</v>
      </c>
      <c r="S106" s="19">
        <v>0</v>
      </c>
      <c r="T106" s="23">
        <v>0</v>
      </c>
      <c r="U106" s="24">
        <v>0</v>
      </c>
      <c r="V106" s="31">
        <f t="shared" si="8"/>
        <v>4.4000000000000004</v>
      </c>
      <c r="W106" s="32">
        <v>11000</v>
      </c>
      <c r="X106" s="30">
        <v>11</v>
      </c>
      <c r="Y106" s="19">
        <v>0</v>
      </c>
      <c r="Z106" s="23">
        <v>0</v>
      </c>
      <c r="AA106" s="24">
        <v>0</v>
      </c>
      <c r="AB106" s="33">
        <v>0</v>
      </c>
      <c r="AC106" s="34">
        <v>0</v>
      </c>
      <c r="AD106" s="35">
        <v>0</v>
      </c>
      <c r="AE106" s="36">
        <v>0</v>
      </c>
      <c r="AF106" s="23">
        <v>0</v>
      </c>
      <c r="AG106" s="24">
        <v>0</v>
      </c>
      <c r="AH106" s="33">
        <v>0</v>
      </c>
      <c r="AI106" s="37">
        <v>0</v>
      </c>
      <c r="AJ106" s="35">
        <v>0</v>
      </c>
      <c r="AK106" s="36">
        <v>0</v>
      </c>
      <c r="AL106" s="38">
        <v>0</v>
      </c>
      <c r="AM106" s="35">
        <v>0</v>
      </c>
      <c r="AN106" s="19">
        <v>0</v>
      </c>
      <c r="AO106" s="23">
        <v>0</v>
      </c>
      <c r="AP106" s="24">
        <v>0</v>
      </c>
      <c r="AQ106" s="31">
        <f t="shared" si="9"/>
        <v>8.8000000000000007</v>
      </c>
      <c r="AR106" s="32">
        <f t="shared" si="9"/>
        <v>22000</v>
      </c>
      <c r="AS106" s="30">
        <v>11</v>
      </c>
    </row>
    <row r="107" spans="1:45" ht="15.6" x14ac:dyDescent="0.3">
      <c r="A107" s="19">
        <v>104</v>
      </c>
      <c r="B107" s="21" t="s">
        <v>117</v>
      </c>
      <c r="C107" s="20" t="s">
        <v>129</v>
      </c>
      <c r="D107" s="324"/>
      <c r="E107" s="22">
        <v>18.8</v>
      </c>
      <c r="F107" s="23">
        <f t="shared" si="5"/>
        <v>47000</v>
      </c>
      <c r="G107" s="19">
        <v>0</v>
      </c>
      <c r="H107" s="23">
        <v>0</v>
      </c>
      <c r="I107" s="24">
        <v>0</v>
      </c>
      <c r="J107" s="19">
        <v>0</v>
      </c>
      <c r="K107" s="23">
        <v>0</v>
      </c>
      <c r="L107" s="24">
        <v>0</v>
      </c>
      <c r="M107" s="25">
        <v>5.2</v>
      </c>
      <c r="N107" s="26">
        <v>13000</v>
      </c>
      <c r="O107" s="27">
        <v>13</v>
      </c>
      <c r="P107" s="28">
        <f t="shared" si="6"/>
        <v>1.2</v>
      </c>
      <c r="Q107" s="29">
        <f t="shared" si="7"/>
        <v>3000</v>
      </c>
      <c r="R107" s="30">
        <v>3</v>
      </c>
      <c r="S107" s="19">
        <v>0</v>
      </c>
      <c r="T107" s="23">
        <v>0</v>
      </c>
      <c r="U107" s="24">
        <v>0</v>
      </c>
      <c r="V107" s="31">
        <f t="shared" si="8"/>
        <v>6.4</v>
      </c>
      <c r="W107" s="32">
        <v>16000</v>
      </c>
      <c r="X107" s="30">
        <v>16</v>
      </c>
      <c r="Y107" s="19">
        <v>0</v>
      </c>
      <c r="Z107" s="23">
        <v>0</v>
      </c>
      <c r="AA107" s="24">
        <v>0</v>
      </c>
      <c r="AB107" s="33">
        <v>0</v>
      </c>
      <c r="AC107" s="34">
        <v>0</v>
      </c>
      <c r="AD107" s="35">
        <v>0</v>
      </c>
      <c r="AE107" s="36">
        <v>0</v>
      </c>
      <c r="AF107" s="23">
        <v>0</v>
      </c>
      <c r="AG107" s="24">
        <v>0</v>
      </c>
      <c r="AH107" s="33">
        <v>0</v>
      </c>
      <c r="AI107" s="37">
        <v>0</v>
      </c>
      <c r="AJ107" s="35">
        <v>0</v>
      </c>
      <c r="AK107" s="36">
        <v>0</v>
      </c>
      <c r="AL107" s="38">
        <v>0</v>
      </c>
      <c r="AM107" s="35">
        <v>0</v>
      </c>
      <c r="AN107" s="19">
        <v>0</v>
      </c>
      <c r="AO107" s="23">
        <v>0</v>
      </c>
      <c r="AP107" s="24">
        <v>0</v>
      </c>
      <c r="AQ107" s="31">
        <f t="shared" si="9"/>
        <v>12.8</v>
      </c>
      <c r="AR107" s="32">
        <f t="shared" si="9"/>
        <v>32000</v>
      </c>
      <c r="AS107" s="30">
        <v>16</v>
      </c>
    </row>
    <row r="108" spans="1:45" ht="15.6" x14ac:dyDescent="0.3">
      <c r="A108" s="19">
        <v>105</v>
      </c>
      <c r="B108" s="21" t="s">
        <v>117</v>
      </c>
      <c r="C108" s="20" t="s">
        <v>130</v>
      </c>
      <c r="D108" s="324"/>
      <c r="E108" s="22">
        <v>26</v>
      </c>
      <c r="F108" s="23">
        <f t="shared" si="5"/>
        <v>65000</v>
      </c>
      <c r="G108" s="19">
        <v>0</v>
      </c>
      <c r="H108" s="23">
        <v>0</v>
      </c>
      <c r="I108" s="24">
        <v>0</v>
      </c>
      <c r="J108" s="19">
        <v>0</v>
      </c>
      <c r="K108" s="23">
        <v>0</v>
      </c>
      <c r="L108" s="24">
        <v>0</v>
      </c>
      <c r="M108" s="25">
        <v>5.6</v>
      </c>
      <c r="N108" s="26">
        <v>14000</v>
      </c>
      <c r="O108" s="27">
        <v>14</v>
      </c>
      <c r="P108" s="28">
        <f t="shared" si="6"/>
        <v>5.2</v>
      </c>
      <c r="Q108" s="29">
        <f t="shared" si="7"/>
        <v>13000</v>
      </c>
      <c r="R108" s="30">
        <v>13</v>
      </c>
      <c r="S108" s="19">
        <v>0</v>
      </c>
      <c r="T108" s="23">
        <v>0</v>
      </c>
      <c r="U108" s="24">
        <v>0</v>
      </c>
      <c r="V108" s="31">
        <f t="shared" si="8"/>
        <v>11.2</v>
      </c>
      <c r="W108" s="32">
        <v>28000</v>
      </c>
      <c r="X108" s="30">
        <v>28</v>
      </c>
      <c r="Y108" s="19">
        <v>0</v>
      </c>
      <c r="Z108" s="23">
        <v>0</v>
      </c>
      <c r="AA108" s="24">
        <v>0</v>
      </c>
      <c r="AB108" s="33">
        <v>0</v>
      </c>
      <c r="AC108" s="34">
        <v>0</v>
      </c>
      <c r="AD108" s="35">
        <v>0</v>
      </c>
      <c r="AE108" s="36">
        <v>0</v>
      </c>
      <c r="AF108" s="23">
        <v>0</v>
      </c>
      <c r="AG108" s="24">
        <v>0</v>
      </c>
      <c r="AH108" s="33">
        <v>0</v>
      </c>
      <c r="AI108" s="37">
        <v>0</v>
      </c>
      <c r="AJ108" s="35">
        <v>0</v>
      </c>
      <c r="AK108" s="36">
        <v>0</v>
      </c>
      <c r="AL108" s="38">
        <v>0</v>
      </c>
      <c r="AM108" s="35">
        <v>0</v>
      </c>
      <c r="AN108" s="19">
        <v>0</v>
      </c>
      <c r="AO108" s="23">
        <v>0</v>
      </c>
      <c r="AP108" s="24">
        <v>0</v>
      </c>
      <c r="AQ108" s="31">
        <f t="shared" si="9"/>
        <v>22</v>
      </c>
      <c r="AR108" s="32">
        <f t="shared" si="9"/>
        <v>55000</v>
      </c>
      <c r="AS108" s="30">
        <v>28</v>
      </c>
    </row>
    <row r="109" spans="1:45" ht="15.6" x14ac:dyDescent="0.3">
      <c r="A109" s="19">
        <v>106</v>
      </c>
      <c r="B109" s="21" t="s">
        <v>117</v>
      </c>
      <c r="C109" s="20" t="s">
        <v>131</v>
      </c>
      <c r="D109" s="324"/>
      <c r="E109" s="22">
        <v>20</v>
      </c>
      <c r="F109" s="23">
        <f t="shared" si="5"/>
        <v>50000</v>
      </c>
      <c r="G109" s="19">
        <v>0</v>
      </c>
      <c r="H109" s="23">
        <v>0</v>
      </c>
      <c r="I109" s="24">
        <v>0</v>
      </c>
      <c r="J109" s="19">
        <v>0</v>
      </c>
      <c r="K109" s="23">
        <v>0</v>
      </c>
      <c r="L109" s="24">
        <v>0</v>
      </c>
      <c r="M109" s="25">
        <v>5.6</v>
      </c>
      <c r="N109" s="26">
        <v>14000</v>
      </c>
      <c r="O109" s="27">
        <v>14</v>
      </c>
      <c r="P109" s="28">
        <f t="shared" si="6"/>
        <v>4.8</v>
      </c>
      <c r="Q109" s="29">
        <f t="shared" si="7"/>
        <v>12000</v>
      </c>
      <c r="R109" s="30">
        <v>12</v>
      </c>
      <c r="S109" s="19">
        <v>0</v>
      </c>
      <c r="T109" s="23">
        <v>0</v>
      </c>
      <c r="U109" s="24">
        <v>0</v>
      </c>
      <c r="V109" s="31">
        <f t="shared" si="8"/>
        <v>10</v>
      </c>
      <c r="W109" s="32">
        <v>25000</v>
      </c>
      <c r="X109" s="30">
        <v>25</v>
      </c>
      <c r="Y109" s="19">
        <v>0</v>
      </c>
      <c r="Z109" s="23">
        <v>0</v>
      </c>
      <c r="AA109" s="24">
        <v>0</v>
      </c>
      <c r="AB109" s="33">
        <v>0</v>
      </c>
      <c r="AC109" s="34">
        <v>0</v>
      </c>
      <c r="AD109" s="35">
        <v>0</v>
      </c>
      <c r="AE109" s="36">
        <v>0</v>
      </c>
      <c r="AF109" s="23">
        <v>0</v>
      </c>
      <c r="AG109" s="24">
        <v>0</v>
      </c>
      <c r="AH109" s="33">
        <v>0</v>
      </c>
      <c r="AI109" s="37">
        <v>0</v>
      </c>
      <c r="AJ109" s="35">
        <v>0</v>
      </c>
      <c r="AK109" s="36">
        <v>0</v>
      </c>
      <c r="AL109" s="38">
        <v>0</v>
      </c>
      <c r="AM109" s="35">
        <v>0</v>
      </c>
      <c r="AN109" s="19">
        <v>0</v>
      </c>
      <c r="AO109" s="23">
        <v>0</v>
      </c>
      <c r="AP109" s="24">
        <v>0</v>
      </c>
      <c r="AQ109" s="31">
        <f t="shared" si="9"/>
        <v>20.399999999999999</v>
      </c>
      <c r="AR109" s="32">
        <f t="shared" si="9"/>
        <v>51000</v>
      </c>
      <c r="AS109" s="30">
        <v>26</v>
      </c>
    </row>
    <row r="110" spans="1:45" ht="15.6" x14ac:dyDescent="0.3">
      <c r="A110" s="19">
        <v>107</v>
      </c>
      <c r="B110" s="21" t="s">
        <v>117</v>
      </c>
      <c r="C110" s="20" t="s">
        <v>132</v>
      </c>
      <c r="D110" s="324"/>
      <c r="E110" s="22">
        <v>21</v>
      </c>
      <c r="F110" s="23">
        <f t="shared" si="5"/>
        <v>52500</v>
      </c>
      <c r="G110" s="19">
        <v>0</v>
      </c>
      <c r="H110" s="23">
        <v>0</v>
      </c>
      <c r="I110" s="24">
        <v>0</v>
      </c>
      <c r="J110" s="19">
        <v>0</v>
      </c>
      <c r="K110" s="23">
        <v>0</v>
      </c>
      <c r="L110" s="24">
        <v>0</v>
      </c>
      <c r="M110" s="25">
        <v>3.6</v>
      </c>
      <c r="N110" s="26">
        <v>9000</v>
      </c>
      <c r="O110" s="27">
        <v>9</v>
      </c>
      <c r="P110" s="28">
        <f t="shared" si="6"/>
        <v>3.6</v>
      </c>
      <c r="Q110" s="29">
        <f t="shared" si="7"/>
        <v>9000</v>
      </c>
      <c r="R110" s="30">
        <v>9</v>
      </c>
      <c r="S110" s="19">
        <v>0</v>
      </c>
      <c r="T110" s="23">
        <v>0</v>
      </c>
      <c r="U110" s="24">
        <v>0</v>
      </c>
      <c r="V110" s="31">
        <f t="shared" si="8"/>
        <v>7.6</v>
      </c>
      <c r="W110" s="32">
        <v>19000</v>
      </c>
      <c r="X110" s="30">
        <v>19</v>
      </c>
      <c r="Y110" s="19">
        <v>0</v>
      </c>
      <c r="Z110" s="23">
        <v>0</v>
      </c>
      <c r="AA110" s="24">
        <v>0</v>
      </c>
      <c r="AB110" s="33">
        <v>0</v>
      </c>
      <c r="AC110" s="34">
        <v>0</v>
      </c>
      <c r="AD110" s="35">
        <v>0</v>
      </c>
      <c r="AE110" s="36">
        <v>0</v>
      </c>
      <c r="AF110" s="23">
        <v>0</v>
      </c>
      <c r="AG110" s="24">
        <v>0</v>
      </c>
      <c r="AH110" s="33">
        <v>0</v>
      </c>
      <c r="AI110" s="37">
        <v>0</v>
      </c>
      <c r="AJ110" s="35">
        <v>0</v>
      </c>
      <c r="AK110" s="36">
        <v>0</v>
      </c>
      <c r="AL110" s="38">
        <v>0</v>
      </c>
      <c r="AM110" s="35">
        <v>0</v>
      </c>
      <c r="AN110" s="19">
        <v>0</v>
      </c>
      <c r="AO110" s="23">
        <v>0</v>
      </c>
      <c r="AP110" s="24">
        <v>0</v>
      </c>
      <c r="AQ110" s="31">
        <f t="shared" si="9"/>
        <v>14.8</v>
      </c>
      <c r="AR110" s="32">
        <f t="shared" si="9"/>
        <v>37000</v>
      </c>
      <c r="AS110" s="30">
        <v>19</v>
      </c>
    </row>
    <row r="111" spans="1:45" ht="15.6" x14ac:dyDescent="0.3">
      <c r="A111" s="19">
        <v>108</v>
      </c>
      <c r="B111" s="21" t="s">
        <v>117</v>
      </c>
      <c r="C111" s="20" t="s">
        <v>133</v>
      </c>
      <c r="D111" s="324"/>
      <c r="E111" s="22">
        <v>10</v>
      </c>
      <c r="F111" s="23">
        <f t="shared" si="5"/>
        <v>25000</v>
      </c>
      <c r="G111" s="19">
        <v>0</v>
      </c>
      <c r="H111" s="23">
        <v>0</v>
      </c>
      <c r="I111" s="24">
        <v>0</v>
      </c>
      <c r="J111" s="19">
        <v>0</v>
      </c>
      <c r="K111" s="23">
        <v>0</v>
      </c>
      <c r="L111" s="24">
        <v>0</v>
      </c>
      <c r="M111" s="25">
        <v>2.8</v>
      </c>
      <c r="N111" s="26">
        <v>7000</v>
      </c>
      <c r="O111" s="27">
        <v>7</v>
      </c>
      <c r="P111" s="28">
        <f t="shared" si="6"/>
        <v>0</v>
      </c>
      <c r="Q111" s="29">
        <f t="shared" si="7"/>
        <v>0</v>
      </c>
      <c r="R111" s="30">
        <v>0</v>
      </c>
      <c r="S111" s="19">
        <v>0</v>
      </c>
      <c r="T111" s="23">
        <v>0</v>
      </c>
      <c r="U111" s="24">
        <v>0</v>
      </c>
      <c r="V111" s="31">
        <f t="shared" si="8"/>
        <v>3.2</v>
      </c>
      <c r="W111" s="32">
        <v>8000</v>
      </c>
      <c r="X111" s="30">
        <v>8</v>
      </c>
      <c r="Y111" s="19">
        <v>0</v>
      </c>
      <c r="Z111" s="23">
        <v>0</v>
      </c>
      <c r="AA111" s="24">
        <v>0</v>
      </c>
      <c r="AB111" s="33">
        <v>0</v>
      </c>
      <c r="AC111" s="34">
        <v>0</v>
      </c>
      <c r="AD111" s="35">
        <v>0</v>
      </c>
      <c r="AE111" s="36">
        <v>0</v>
      </c>
      <c r="AF111" s="23">
        <v>0</v>
      </c>
      <c r="AG111" s="24">
        <v>0</v>
      </c>
      <c r="AH111" s="33">
        <v>0</v>
      </c>
      <c r="AI111" s="37">
        <v>0</v>
      </c>
      <c r="AJ111" s="35">
        <v>0</v>
      </c>
      <c r="AK111" s="36">
        <v>0</v>
      </c>
      <c r="AL111" s="38">
        <v>0</v>
      </c>
      <c r="AM111" s="35">
        <v>0</v>
      </c>
      <c r="AN111" s="19">
        <v>0</v>
      </c>
      <c r="AO111" s="23">
        <v>0</v>
      </c>
      <c r="AP111" s="24">
        <v>0</v>
      </c>
      <c r="AQ111" s="31">
        <f t="shared" si="9"/>
        <v>6</v>
      </c>
      <c r="AR111" s="32">
        <f t="shared" si="9"/>
        <v>15000</v>
      </c>
      <c r="AS111" s="30">
        <v>8</v>
      </c>
    </row>
    <row r="112" spans="1:45" ht="15.6" x14ac:dyDescent="0.3">
      <c r="A112" s="19">
        <v>109</v>
      </c>
      <c r="B112" s="21" t="s">
        <v>117</v>
      </c>
      <c r="C112" s="20" t="s">
        <v>134</v>
      </c>
      <c r="D112" s="324"/>
      <c r="E112" s="22">
        <v>26.4</v>
      </c>
      <c r="F112" s="23">
        <f t="shared" si="5"/>
        <v>66000</v>
      </c>
      <c r="G112" s="19">
        <v>0</v>
      </c>
      <c r="H112" s="23">
        <v>0</v>
      </c>
      <c r="I112" s="24">
        <v>0</v>
      </c>
      <c r="J112" s="19">
        <v>0</v>
      </c>
      <c r="K112" s="23">
        <v>0</v>
      </c>
      <c r="L112" s="24">
        <v>0</v>
      </c>
      <c r="M112" s="25">
        <v>3.6</v>
      </c>
      <c r="N112" s="26">
        <v>9000</v>
      </c>
      <c r="O112" s="27">
        <v>9</v>
      </c>
      <c r="P112" s="28">
        <f t="shared" si="6"/>
        <v>5.6</v>
      </c>
      <c r="Q112" s="29">
        <f t="shared" si="7"/>
        <v>14000</v>
      </c>
      <c r="R112" s="30">
        <v>14</v>
      </c>
      <c r="S112" s="19">
        <v>0</v>
      </c>
      <c r="T112" s="23">
        <v>0</v>
      </c>
      <c r="U112" s="24">
        <v>0</v>
      </c>
      <c r="V112" s="31">
        <f t="shared" si="8"/>
        <v>9.1999999999999993</v>
      </c>
      <c r="W112" s="32">
        <v>23000</v>
      </c>
      <c r="X112" s="30">
        <v>23</v>
      </c>
      <c r="Y112" s="19">
        <v>0</v>
      </c>
      <c r="Z112" s="23">
        <v>0</v>
      </c>
      <c r="AA112" s="24">
        <v>0</v>
      </c>
      <c r="AB112" s="33">
        <v>0</v>
      </c>
      <c r="AC112" s="34">
        <v>0</v>
      </c>
      <c r="AD112" s="35">
        <v>0</v>
      </c>
      <c r="AE112" s="36">
        <v>0</v>
      </c>
      <c r="AF112" s="23">
        <v>0</v>
      </c>
      <c r="AG112" s="24">
        <v>0</v>
      </c>
      <c r="AH112" s="33">
        <v>0</v>
      </c>
      <c r="AI112" s="37">
        <v>0</v>
      </c>
      <c r="AJ112" s="35">
        <v>0</v>
      </c>
      <c r="AK112" s="36">
        <v>0</v>
      </c>
      <c r="AL112" s="38">
        <v>0</v>
      </c>
      <c r="AM112" s="35">
        <v>0</v>
      </c>
      <c r="AN112" s="19">
        <v>0</v>
      </c>
      <c r="AO112" s="23">
        <v>0</v>
      </c>
      <c r="AP112" s="24">
        <v>0</v>
      </c>
      <c r="AQ112" s="31">
        <f t="shared" si="9"/>
        <v>18.399999999999999</v>
      </c>
      <c r="AR112" s="32">
        <f t="shared" si="9"/>
        <v>46000</v>
      </c>
      <c r="AS112" s="30">
        <v>24</v>
      </c>
    </row>
    <row r="113" spans="1:45" ht="15.6" x14ac:dyDescent="0.3">
      <c r="A113" s="19">
        <v>110</v>
      </c>
      <c r="B113" s="21" t="s">
        <v>117</v>
      </c>
      <c r="C113" s="20" t="s">
        <v>135</v>
      </c>
      <c r="D113" s="324"/>
      <c r="E113" s="22">
        <v>20</v>
      </c>
      <c r="F113" s="23">
        <f t="shared" si="5"/>
        <v>50000</v>
      </c>
      <c r="G113" s="19">
        <v>0</v>
      </c>
      <c r="H113" s="23">
        <v>0</v>
      </c>
      <c r="I113" s="24">
        <v>0</v>
      </c>
      <c r="J113" s="19">
        <v>0</v>
      </c>
      <c r="K113" s="23">
        <v>0</v>
      </c>
      <c r="L113" s="24">
        <v>0</v>
      </c>
      <c r="M113" s="25">
        <v>5.2</v>
      </c>
      <c r="N113" s="26">
        <v>13000</v>
      </c>
      <c r="O113" s="27">
        <v>13</v>
      </c>
      <c r="P113" s="28">
        <f t="shared" si="6"/>
        <v>2.8</v>
      </c>
      <c r="Q113" s="29">
        <f t="shared" si="7"/>
        <v>7000</v>
      </c>
      <c r="R113" s="30">
        <v>7</v>
      </c>
      <c r="S113" s="19">
        <v>0</v>
      </c>
      <c r="T113" s="23">
        <v>0</v>
      </c>
      <c r="U113" s="24">
        <v>0</v>
      </c>
      <c r="V113" s="31">
        <f t="shared" si="8"/>
        <v>7.6</v>
      </c>
      <c r="W113" s="32">
        <v>19000</v>
      </c>
      <c r="X113" s="30">
        <v>19</v>
      </c>
      <c r="Y113" s="19">
        <v>0</v>
      </c>
      <c r="Z113" s="23">
        <v>0</v>
      </c>
      <c r="AA113" s="24">
        <v>0</v>
      </c>
      <c r="AB113" s="33">
        <v>0</v>
      </c>
      <c r="AC113" s="34">
        <v>0</v>
      </c>
      <c r="AD113" s="35">
        <v>0</v>
      </c>
      <c r="AE113" s="36">
        <v>0</v>
      </c>
      <c r="AF113" s="23">
        <v>0</v>
      </c>
      <c r="AG113" s="24">
        <v>0</v>
      </c>
      <c r="AH113" s="33">
        <v>0</v>
      </c>
      <c r="AI113" s="37">
        <v>0</v>
      </c>
      <c r="AJ113" s="35">
        <v>0</v>
      </c>
      <c r="AK113" s="36">
        <v>0</v>
      </c>
      <c r="AL113" s="38">
        <v>0</v>
      </c>
      <c r="AM113" s="35">
        <v>0</v>
      </c>
      <c r="AN113" s="19">
        <v>0</v>
      </c>
      <c r="AO113" s="23">
        <v>0</v>
      </c>
      <c r="AP113" s="24">
        <v>0</v>
      </c>
      <c r="AQ113" s="31">
        <f t="shared" si="9"/>
        <v>15.6</v>
      </c>
      <c r="AR113" s="32">
        <f t="shared" si="9"/>
        <v>39000</v>
      </c>
      <c r="AS113" s="30">
        <v>20</v>
      </c>
    </row>
    <row r="114" spans="1:45" ht="15.6" x14ac:dyDescent="0.3">
      <c r="A114" s="19">
        <v>111</v>
      </c>
      <c r="B114" s="21" t="s">
        <v>117</v>
      </c>
      <c r="C114" s="20" t="s">
        <v>136</v>
      </c>
      <c r="D114" s="324"/>
      <c r="E114" s="22">
        <v>17.399999999999999</v>
      </c>
      <c r="F114" s="23">
        <f t="shared" si="5"/>
        <v>43500</v>
      </c>
      <c r="G114" s="19">
        <v>0</v>
      </c>
      <c r="H114" s="23">
        <v>0</v>
      </c>
      <c r="I114" s="24">
        <v>0</v>
      </c>
      <c r="J114" s="19">
        <v>0</v>
      </c>
      <c r="K114" s="23">
        <v>0</v>
      </c>
      <c r="L114" s="24">
        <v>0</v>
      </c>
      <c r="M114" s="25">
        <v>2.8</v>
      </c>
      <c r="N114" s="26">
        <v>7000</v>
      </c>
      <c r="O114" s="27">
        <v>7</v>
      </c>
      <c r="P114" s="28">
        <f t="shared" si="6"/>
        <v>2</v>
      </c>
      <c r="Q114" s="29">
        <f t="shared" si="7"/>
        <v>5000</v>
      </c>
      <c r="R114" s="30">
        <v>5</v>
      </c>
      <c r="S114" s="19">
        <v>0</v>
      </c>
      <c r="T114" s="23">
        <v>0</v>
      </c>
      <c r="U114" s="24">
        <v>0</v>
      </c>
      <c r="V114" s="31">
        <f t="shared" si="8"/>
        <v>5.6</v>
      </c>
      <c r="W114" s="32">
        <v>14000</v>
      </c>
      <c r="X114" s="30">
        <v>14</v>
      </c>
      <c r="Y114" s="19">
        <v>0</v>
      </c>
      <c r="Z114" s="23">
        <v>0</v>
      </c>
      <c r="AA114" s="24">
        <v>0</v>
      </c>
      <c r="AB114" s="33">
        <v>0</v>
      </c>
      <c r="AC114" s="34">
        <v>0</v>
      </c>
      <c r="AD114" s="35">
        <v>0</v>
      </c>
      <c r="AE114" s="36">
        <v>0</v>
      </c>
      <c r="AF114" s="23">
        <v>0</v>
      </c>
      <c r="AG114" s="24">
        <v>0</v>
      </c>
      <c r="AH114" s="33">
        <v>0</v>
      </c>
      <c r="AI114" s="37">
        <v>0</v>
      </c>
      <c r="AJ114" s="35">
        <v>0</v>
      </c>
      <c r="AK114" s="36">
        <v>0</v>
      </c>
      <c r="AL114" s="38">
        <v>0</v>
      </c>
      <c r="AM114" s="35">
        <v>0</v>
      </c>
      <c r="AN114" s="19">
        <v>0</v>
      </c>
      <c r="AO114" s="23">
        <v>0</v>
      </c>
      <c r="AP114" s="24">
        <v>0</v>
      </c>
      <c r="AQ114" s="31">
        <f t="shared" si="9"/>
        <v>10.399999999999999</v>
      </c>
      <c r="AR114" s="32">
        <f t="shared" si="9"/>
        <v>26000</v>
      </c>
      <c r="AS114" s="30">
        <v>14</v>
      </c>
    </row>
    <row r="115" spans="1:45" ht="15.6" x14ac:dyDescent="0.3">
      <c r="A115" s="19">
        <v>112</v>
      </c>
      <c r="B115" s="21" t="s">
        <v>117</v>
      </c>
      <c r="C115" s="20" t="s">
        <v>137</v>
      </c>
      <c r="D115" s="324"/>
      <c r="E115" s="22">
        <v>16.600000000000001</v>
      </c>
      <c r="F115" s="23">
        <f t="shared" si="5"/>
        <v>41500</v>
      </c>
      <c r="G115" s="19">
        <v>0</v>
      </c>
      <c r="H115" s="23">
        <v>0</v>
      </c>
      <c r="I115" s="24">
        <v>0</v>
      </c>
      <c r="J115" s="19">
        <v>0</v>
      </c>
      <c r="K115" s="23">
        <v>0</v>
      </c>
      <c r="L115" s="24">
        <v>0</v>
      </c>
      <c r="M115" s="25">
        <v>2.4</v>
      </c>
      <c r="N115" s="26">
        <v>6000</v>
      </c>
      <c r="O115" s="27">
        <v>6</v>
      </c>
      <c r="P115" s="28">
        <f t="shared" si="6"/>
        <v>4.4000000000000004</v>
      </c>
      <c r="Q115" s="29">
        <f t="shared" si="7"/>
        <v>11000</v>
      </c>
      <c r="R115" s="30">
        <v>11</v>
      </c>
      <c r="S115" s="19">
        <v>0</v>
      </c>
      <c r="T115" s="23">
        <v>0</v>
      </c>
      <c r="U115" s="24">
        <v>0</v>
      </c>
      <c r="V115" s="31">
        <f t="shared" si="8"/>
        <v>7.6</v>
      </c>
      <c r="W115" s="32">
        <v>19000</v>
      </c>
      <c r="X115" s="30">
        <v>19</v>
      </c>
      <c r="Y115" s="19">
        <v>0</v>
      </c>
      <c r="Z115" s="23">
        <v>0</v>
      </c>
      <c r="AA115" s="24">
        <v>0</v>
      </c>
      <c r="AB115" s="33">
        <v>0</v>
      </c>
      <c r="AC115" s="34">
        <v>0</v>
      </c>
      <c r="AD115" s="35">
        <v>0</v>
      </c>
      <c r="AE115" s="36">
        <v>0</v>
      </c>
      <c r="AF115" s="23">
        <v>0</v>
      </c>
      <c r="AG115" s="24">
        <v>0</v>
      </c>
      <c r="AH115" s="33">
        <v>0</v>
      </c>
      <c r="AI115" s="37">
        <v>0</v>
      </c>
      <c r="AJ115" s="35">
        <v>0</v>
      </c>
      <c r="AK115" s="36">
        <v>0</v>
      </c>
      <c r="AL115" s="38">
        <v>0</v>
      </c>
      <c r="AM115" s="35">
        <v>0</v>
      </c>
      <c r="AN115" s="19">
        <v>0</v>
      </c>
      <c r="AO115" s="23">
        <v>0</v>
      </c>
      <c r="AP115" s="24">
        <v>0</v>
      </c>
      <c r="AQ115" s="31">
        <f t="shared" si="9"/>
        <v>14.4</v>
      </c>
      <c r="AR115" s="32">
        <f t="shared" si="9"/>
        <v>36000</v>
      </c>
      <c r="AS115" s="30">
        <v>19</v>
      </c>
    </row>
    <row r="116" spans="1:45" ht="15.6" x14ac:dyDescent="0.3">
      <c r="A116" s="19">
        <v>113</v>
      </c>
      <c r="B116" s="21" t="s">
        <v>117</v>
      </c>
      <c r="C116" s="20" t="s">
        <v>138</v>
      </c>
      <c r="D116" s="324"/>
      <c r="E116" s="22">
        <v>10</v>
      </c>
      <c r="F116" s="23">
        <f t="shared" si="5"/>
        <v>25000</v>
      </c>
      <c r="G116" s="19">
        <v>0</v>
      </c>
      <c r="H116" s="23">
        <v>0</v>
      </c>
      <c r="I116" s="24">
        <v>0</v>
      </c>
      <c r="J116" s="19">
        <v>0</v>
      </c>
      <c r="K116" s="23">
        <v>0</v>
      </c>
      <c r="L116" s="24">
        <v>0</v>
      </c>
      <c r="M116" s="25">
        <v>2.8</v>
      </c>
      <c r="N116" s="26">
        <v>7000</v>
      </c>
      <c r="O116" s="27">
        <v>7</v>
      </c>
      <c r="P116" s="28">
        <f t="shared" si="6"/>
        <v>2</v>
      </c>
      <c r="Q116" s="29">
        <f t="shared" si="7"/>
        <v>5000</v>
      </c>
      <c r="R116" s="30">
        <v>5</v>
      </c>
      <c r="S116" s="19">
        <v>0</v>
      </c>
      <c r="T116" s="23">
        <v>0</v>
      </c>
      <c r="U116" s="24">
        <v>0</v>
      </c>
      <c r="V116" s="31">
        <f t="shared" si="8"/>
        <v>4.8</v>
      </c>
      <c r="W116" s="32">
        <v>12000</v>
      </c>
      <c r="X116" s="30">
        <v>12</v>
      </c>
      <c r="Y116" s="19">
        <v>0</v>
      </c>
      <c r="Z116" s="23">
        <v>0</v>
      </c>
      <c r="AA116" s="24">
        <v>0</v>
      </c>
      <c r="AB116" s="33">
        <v>0</v>
      </c>
      <c r="AC116" s="34">
        <v>0</v>
      </c>
      <c r="AD116" s="35">
        <v>0</v>
      </c>
      <c r="AE116" s="36">
        <v>0</v>
      </c>
      <c r="AF116" s="23">
        <v>0</v>
      </c>
      <c r="AG116" s="24">
        <v>0</v>
      </c>
      <c r="AH116" s="33">
        <v>0</v>
      </c>
      <c r="AI116" s="37">
        <v>0</v>
      </c>
      <c r="AJ116" s="35">
        <v>0</v>
      </c>
      <c r="AK116" s="36">
        <v>0</v>
      </c>
      <c r="AL116" s="38">
        <v>0</v>
      </c>
      <c r="AM116" s="35">
        <v>0</v>
      </c>
      <c r="AN116" s="19">
        <v>0</v>
      </c>
      <c r="AO116" s="23">
        <v>0</v>
      </c>
      <c r="AP116" s="24">
        <v>0</v>
      </c>
      <c r="AQ116" s="31">
        <f t="shared" si="9"/>
        <v>9.6</v>
      </c>
      <c r="AR116" s="32">
        <f t="shared" si="9"/>
        <v>24000</v>
      </c>
      <c r="AS116" s="30">
        <v>12</v>
      </c>
    </row>
    <row r="117" spans="1:45" ht="15.6" x14ac:dyDescent="0.3">
      <c r="A117" s="19">
        <v>114</v>
      </c>
      <c r="B117" s="21" t="s">
        <v>117</v>
      </c>
      <c r="C117" s="20" t="s">
        <v>139</v>
      </c>
      <c r="D117" s="324"/>
      <c r="E117" s="22">
        <v>5</v>
      </c>
      <c r="F117" s="23">
        <f t="shared" si="5"/>
        <v>12500</v>
      </c>
      <c r="G117" s="19">
        <v>0</v>
      </c>
      <c r="H117" s="23">
        <v>0</v>
      </c>
      <c r="I117" s="24">
        <v>0</v>
      </c>
      <c r="J117" s="19">
        <v>0</v>
      </c>
      <c r="K117" s="23">
        <v>0</v>
      </c>
      <c r="L117" s="24">
        <v>0</v>
      </c>
      <c r="M117" s="25">
        <v>1.6</v>
      </c>
      <c r="N117" s="26">
        <v>4000</v>
      </c>
      <c r="O117" s="27">
        <v>4</v>
      </c>
      <c r="P117" s="28">
        <f t="shared" si="6"/>
        <v>0</v>
      </c>
      <c r="Q117" s="29">
        <f t="shared" si="7"/>
        <v>0</v>
      </c>
      <c r="R117" s="30">
        <v>0</v>
      </c>
      <c r="S117" s="19">
        <v>0</v>
      </c>
      <c r="T117" s="23">
        <v>0</v>
      </c>
      <c r="U117" s="24">
        <v>0</v>
      </c>
      <c r="V117" s="31">
        <f t="shared" si="8"/>
        <v>1.6</v>
      </c>
      <c r="W117" s="32">
        <v>4000</v>
      </c>
      <c r="X117" s="30">
        <v>4</v>
      </c>
      <c r="Y117" s="19">
        <v>0</v>
      </c>
      <c r="Z117" s="23">
        <v>0</v>
      </c>
      <c r="AA117" s="24">
        <v>0</v>
      </c>
      <c r="AB117" s="33">
        <v>0</v>
      </c>
      <c r="AC117" s="34">
        <v>0</v>
      </c>
      <c r="AD117" s="35">
        <v>0</v>
      </c>
      <c r="AE117" s="36">
        <v>0</v>
      </c>
      <c r="AF117" s="23">
        <v>0</v>
      </c>
      <c r="AG117" s="24">
        <v>0</v>
      </c>
      <c r="AH117" s="33">
        <v>0</v>
      </c>
      <c r="AI117" s="37">
        <v>0</v>
      </c>
      <c r="AJ117" s="35">
        <v>0</v>
      </c>
      <c r="AK117" s="36">
        <v>0</v>
      </c>
      <c r="AL117" s="38">
        <v>0</v>
      </c>
      <c r="AM117" s="35">
        <v>0</v>
      </c>
      <c r="AN117" s="19">
        <v>0</v>
      </c>
      <c r="AO117" s="23">
        <v>0</v>
      </c>
      <c r="AP117" s="24">
        <v>0</v>
      </c>
      <c r="AQ117" s="31">
        <f t="shared" si="9"/>
        <v>3.2</v>
      </c>
      <c r="AR117" s="32">
        <f t="shared" si="9"/>
        <v>8000</v>
      </c>
      <c r="AS117" s="30">
        <v>4</v>
      </c>
    </row>
    <row r="118" spans="1:45" ht="15.6" x14ac:dyDescent="0.3">
      <c r="A118" s="19">
        <v>115</v>
      </c>
      <c r="B118" s="21" t="s">
        <v>117</v>
      </c>
      <c r="C118" s="20" t="s">
        <v>140</v>
      </c>
      <c r="D118" s="324"/>
      <c r="E118" s="22">
        <v>20.399999999999999</v>
      </c>
      <c r="F118" s="23">
        <f t="shared" si="5"/>
        <v>51000</v>
      </c>
      <c r="G118" s="19">
        <v>0</v>
      </c>
      <c r="H118" s="23">
        <v>0</v>
      </c>
      <c r="I118" s="24">
        <v>0</v>
      </c>
      <c r="J118" s="19">
        <v>0</v>
      </c>
      <c r="K118" s="23">
        <v>0</v>
      </c>
      <c r="L118" s="24">
        <v>0</v>
      </c>
      <c r="M118" s="25">
        <v>3.6</v>
      </c>
      <c r="N118" s="26">
        <v>9000</v>
      </c>
      <c r="O118" s="27">
        <v>9</v>
      </c>
      <c r="P118" s="28">
        <f t="shared" si="6"/>
        <v>2.8</v>
      </c>
      <c r="Q118" s="29">
        <f t="shared" si="7"/>
        <v>7000</v>
      </c>
      <c r="R118" s="30">
        <v>7</v>
      </c>
      <c r="S118" s="19">
        <v>0</v>
      </c>
      <c r="T118" s="23">
        <v>0</v>
      </c>
      <c r="U118" s="24">
        <v>0</v>
      </c>
      <c r="V118" s="31">
        <f t="shared" si="8"/>
        <v>6.4</v>
      </c>
      <c r="W118" s="32">
        <v>16000</v>
      </c>
      <c r="X118" s="30">
        <v>16</v>
      </c>
      <c r="Y118" s="19">
        <v>0</v>
      </c>
      <c r="Z118" s="23">
        <v>0</v>
      </c>
      <c r="AA118" s="24">
        <v>0</v>
      </c>
      <c r="AB118" s="33">
        <v>0</v>
      </c>
      <c r="AC118" s="34">
        <v>0</v>
      </c>
      <c r="AD118" s="35">
        <v>0</v>
      </c>
      <c r="AE118" s="36">
        <v>0</v>
      </c>
      <c r="AF118" s="23">
        <v>0</v>
      </c>
      <c r="AG118" s="24">
        <v>0</v>
      </c>
      <c r="AH118" s="33">
        <v>0</v>
      </c>
      <c r="AI118" s="37">
        <v>0</v>
      </c>
      <c r="AJ118" s="35">
        <v>0</v>
      </c>
      <c r="AK118" s="36">
        <v>0</v>
      </c>
      <c r="AL118" s="38">
        <v>0</v>
      </c>
      <c r="AM118" s="35">
        <v>0</v>
      </c>
      <c r="AN118" s="19">
        <v>0</v>
      </c>
      <c r="AO118" s="23">
        <v>0</v>
      </c>
      <c r="AP118" s="24">
        <v>0</v>
      </c>
      <c r="AQ118" s="31">
        <f t="shared" si="9"/>
        <v>12.8</v>
      </c>
      <c r="AR118" s="32">
        <f t="shared" si="9"/>
        <v>32000</v>
      </c>
      <c r="AS118" s="30">
        <v>17</v>
      </c>
    </row>
    <row r="119" spans="1:45" ht="15.6" x14ac:dyDescent="0.3">
      <c r="A119" s="19">
        <v>116</v>
      </c>
      <c r="B119" s="21" t="s">
        <v>117</v>
      </c>
      <c r="C119" s="20" t="s">
        <v>141</v>
      </c>
      <c r="D119" s="324"/>
      <c r="E119" s="22">
        <v>4.8</v>
      </c>
      <c r="F119" s="23">
        <f t="shared" si="5"/>
        <v>12000</v>
      </c>
      <c r="G119" s="19">
        <v>0</v>
      </c>
      <c r="H119" s="23">
        <v>0</v>
      </c>
      <c r="I119" s="24">
        <v>0</v>
      </c>
      <c r="J119" s="19">
        <v>0</v>
      </c>
      <c r="K119" s="23">
        <v>0</v>
      </c>
      <c r="L119" s="24">
        <v>0</v>
      </c>
      <c r="M119" s="25">
        <v>1.6</v>
      </c>
      <c r="N119" s="26">
        <v>4000</v>
      </c>
      <c r="O119" s="27">
        <v>4</v>
      </c>
      <c r="P119" s="28">
        <f t="shared" si="6"/>
        <v>0</v>
      </c>
      <c r="Q119" s="29">
        <f t="shared" si="7"/>
        <v>0</v>
      </c>
      <c r="R119" s="30">
        <v>0</v>
      </c>
      <c r="S119" s="19">
        <v>0</v>
      </c>
      <c r="T119" s="23">
        <v>0</v>
      </c>
      <c r="U119" s="24">
        <v>0</v>
      </c>
      <c r="V119" s="31">
        <f t="shared" si="8"/>
        <v>1.6</v>
      </c>
      <c r="W119" s="32">
        <v>4000</v>
      </c>
      <c r="X119" s="30">
        <v>4</v>
      </c>
      <c r="Y119" s="19">
        <v>0</v>
      </c>
      <c r="Z119" s="23">
        <v>0</v>
      </c>
      <c r="AA119" s="24">
        <v>0</v>
      </c>
      <c r="AB119" s="33">
        <v>0</v>
      </c>
      <c r="AC119" s="34">
        <v>0</v>
      </c>
      <c r="AD119" s="35">
        <v>0</v>
      </c>
      <c r="AE119" s="36">
        <v>0</v>
      </c>
      <c r="AF119" s="23">
        <v>0</v>
      </c>
      <c r="AG119" s="24">
        <v>0</v>
      </c>
      <c r="AH119" s="33">
        <v>0</v>
      </c>
      <c r="AI119" s="37">
        <v>0</v>
      </c>
      <c r="AJ119" s="35">
        <v>0</v>
      </c>
      <c r="AK119" s="36">
        <v>0</v>
      </c>
      <c r="AL119" s="38">
        <v>0</v>
      </c>
      <c r="AM119" s="35">
        <v>0</v>
      </c>
      <c r="AN119" s="19">
        <v>0</v>
      </c>
      <c r="AO119" s="23">
        <v>0</v>
      </c>
      <c r="AP119" s="24">
        <v>0</v>
      </c>
      <c r="AQ119" s="31">
        <f t="shared" si="9"/>
        <v>3.2</v>
      </c>
      <c r="AR119" s="32">
        <f t="shared" si="9"/>
        <v>8000</v>
      </c>
      <c r="AS119" s="30">
        <v>4</v>
      </c>
    </row>
    <row r="120" spans="1:45" ht="15.6" x14ac:dyDescent="0.3">
      <c r="A120" s="19">
        <v>117</v>
      </c>
      <c r="B120" s="21" t="s">
        <v>117</v>
      </c>
      <c r="C120" s="20" t="s">
        <v>142</v>
      </c>
      <c r="D120" s="324"/>
      <c r="E120" s="22">
        <v>26.400000000000002</v>
      </c>
      <c r="F120" s="23">
        <f t="shared" si="5"/>
        <v>66000</v>
      </c>
      <c r="G120" s="19">
        <v>0</v>
      </c>
      <c r="H120" s="23">
        <v>0</v>
      </c>
      <c r="I120" s="24">
        <v>0</v>
      </c>
      <c r="J120" s="19">
        <v>0</v>
      </c>
      <c r="K120" s="23">
        <v>0</v>
      </c>
      <c r="L120" s="24">
        <v>0</v>
      </c>
      <c r="M120" s="25">
        <v>4.4000000000000004</v>
      </c>
      <c r="N120" s="26">
        <v>11000</v>
      </c>
      <c r="O120" s="27">
        <v>11</v>
      </c>
      <c r="P120" s="28">
        <f t="shared" si="6"/>
        <v>4.4000000000000004</v>
      </c>
      <c r="Q120" s="29">
        <f t="shared" si="7"/>
        <v>11000</v>
      </c>
      <c r="R120" s="30">
        <v>11</v>
      </c>
      <c r="S120" s="19">
        <v>0</v>
      </c>
      <c r="T120" s="23">
        <v>0</v>
      </c>
      <c r="U120" s="24">
        <v>0</v>
      </c>
      <c r="V120" s="31">
        <f t="shared" si="8"/>
        <v>9.1999999999999993</v>
      </c>
      <c r="W120" s="32">
        <v>23000</v>
      </c>
      <c r="X120" s="30">
        <v>23</v>
      </c>
      <c r="Y120" s="19">
        <v>0</v>
      </c>
      <c r="Z120" s="23">
        <v>0</v>
      </c>
      <c r="AA120" s="24">
        <v>0</v>
      </c>
      <c r="AB120" s="33">
        <v>0</v>
      </c>
      <c r="AC120" s="34">
        <v>0</v>
      </c>
      <c r="AD120" s="35">
        <v>0</v>
      </c>
      <c r="AE120" s="36">
        <v>0</v>
      </c>
      <c r="AF120" s="23">
        <v>0</v>
      </c>
      <c r="AG120" s="24">
        <v>0</v>
      </c>
      <c r="AH120" s="33">
        <v>0</v>
      </c>
      <c r="AI120" s="37">
        <v>0</v>
      </c>
      <c r="AJ120" s="35">
        <v>0</v>
      </c>
      <c r="AK120" s="36">
        <v>0</v>
      </c>
      <c r="AL120" s="38">
        <v>0</v>
      </c>
      <c r="AM120" s="35">
        <v>0</v>
      </c>
      <c r="AN120" s="19">
        <v>0</v>
      </c>
      <c r="AO120" s="23">
        <v>0</v>
      </c>
      <c r="AP120" s="24">
        <v>0</v>
      </c>
      <c r="AQ120" s="31">
        <f t="shared" si="9"/>
        <v>18</v>
      </c>
      <c r="AR120" s="32">
        <f t="shared" si="9"/>
        <v>45000</v>
      </c>
      <c r="AS120" s="30">
        <v>23</v>
      </c>
    </row>
    <row r="121" spans="1:45" ht="15.6" x14ac:dyDescent="0.3">
      <c r="A121" s="19">
        <v>118</v>
      </c>
      <c r="B121" s="21" t="s">
        <v>117</v>
      </c>
      <c r="C121" s="20" t="s">
        <v>143</v>
      </c>
      <c r="D121" s="324"/>
      <c r="E121" s="22">
        <v>23.4</v>
      </c>
      <c r="F121" s="23">
        <f t="shared" si="5"/>
        <v>58500</v>
      </c>
      <c r="G121" s="19">
        <v>0</v>
      </c>
      <c r="H121" s="23">
        <v>0</v>
      </c>
      <c r="I121" s="24">
        <v>0</v>
      </c>
      <c r="J121" s="19">
        <v>0</v>
      </c>
      <c r="K121" s="23">
        <v>0</v>
      </c>
      <c r="L121" s="24">
        <v>0</v>
      </c>
      <c r="M121" s="25">
        <v>5.2</v>
      </c>
      <c r="N121" s="26">
        <v>13000</v>
      </c>
      <c r="O121" s="27">
        <v>13</v>
      </c>
      <c r="P121" s="28">
        <f t="shared" si="6"/>
        <v>4</v>
      </c>
      <c r="Q121" s="29">
        <f t="shared" si="7"/>
        <v>10000</v>
      </c>
      <c r="R121" s="30">
        <v>10</v>
      </c>
      <c r="S121" s="19">
        <v>0</v>
      </c>
      <c r="T121" s="23">
        <v>0</v>
      </c>
      <c r="U121" s="24">
        <v>0</v>
      </c>
      <c r="V121" s="31">
        <f t="shared" si="8"/>
        <v>8.8000000000000007</v>
      </c>
      <c r="W121" s="32">
        <v>22000</v>
      </c>
      <c r="X121" s="30">
        <v>22</v>
      </c>
      <c r="Y121" s="19">
        <v>0</v>
      </c>
      <c r="Z121" s="23">
        <v>0</v>
      </c>
      <c r="AA121" s="24">
        <v>0</v>
      </c>
      <c r="AB121" s="33">
        <v>0</v>
      </c>
      <c r="AC121" s="34">
        <v>0</v>
      </c>
      <c r="AD121" s="35">
        <v>0</v>
      </c>
      <c r="AE121" s="36">
        <v>0</v>
      </c>
      <c r="AF121" s="23">
        <v>0</v>
      </c>
      <c r="AG121" s="24">
        <v>0</v>
      </c>
      <c r="AH121" s="33">
        <v>0</v>
      </c>
      <c r="AI121" s="37">
        <v>0</v>
      </c>
      <c r="AJ121" s="35">
        <v>0</v>
      </c>
      <c r="AK121" s="36">
        <v>0</v>
      </c>
      <c r="AL121" s="38">
        <v>0</v>
      </c>
      <c r="AM121" s="35">
        <v>0</v>
      </c>
      <c r="AN121" s="19">
        <v>0</v>
      </c>
      <c r="AO121" s="23">
        <v>0</v>
      </c>
      <c r="AP121" s="24">
        <v>0</v>
      </c>
      <c r="AQ121" s="31">
        <f t="shared" si="9"/>
        <v>18</v>
      </c>
      <c r="AR121" s="32">
        <f t="shared" si="9"/>
        <v>45000</v>
      </c>
      <c r="AS121" s="30">
        <v>23</v>
      </c>
    </row>
    <row r="122" spans="1:45" ht="15.6" x14ac:dyDescent="0.3">
      <c r="A122" s="19">
        <v>119</v>
      </c>
      <c r="B122" s="21" t="s">
        <v>117</v>
      </c>
      <c r="C122" s="20" t="s">
        <v>144</v>
      </c>
      <c r="D122" s="324"/>
      <c r="E122" s="22">
        <v>20</v>
      </c>
      <c r="F122" s="23">
        <f t="shared" si="5"/>
        <v>50000</v>
      </c>
      <c r="G122" s="19">
        <v>0</v>
      </c>
      <c r="H122" s="23">
        <v>0</v>
      </c>
      <c r="I122" s="24">
        <v>0</v>
      </c>
      <c r="J122" s="19">
        <v>0</v>
      </c>
      <c r="K122" s="23">
        <v>0</v>
      </c>
      <c r="L122" s="24">
        <v>0</v>
      </c>
      <c r="M122" s="25">
        <v>4.4000000000000004</v>
      </c>
      <c r="N122" s="26">
        <v>11000</v>
      </c>
      <c r="O122" s="27">
        <v>11</v>
      </c>
      <c r="P122" s="28">
        <f t="shared" si="6"/>
        <v>2.8</v>
      </c>
      <c r="Q122" s="29">
        <f t="shared" si="7"/>
        <v>7000</v>
      </c>
      <c r="R122" s="30">
        <v>7</v>
      </c>
      <c r="S122" s="19">
        <v>0</v>
      </c>
      <c r="T122" s="23">
        <v>0</v>
      </c>
      <c r="U122" s="24">
        <v>0</v>
      </c>
      <c r="V122" s="31">
        <f t="shared" si="8"/>
        <v>7.6</v>
      </c>
      <c r="W122" s="32">
        <v>19000</v>
      </c>
      <c r="X122" s="30">
        <v>19</v>
      </c>
      <c r="Y122" s="19">
        <v>0</v>
      </c>
      <c r="Z122" s="23">
        <v>0</v>
      </c>
      <c r="AA122" s="24">
        <v>0</v>
      </c>
      <c r="AB122" s="33">
        <v>0</v>
      </c>
      <c r="AC122" s="34">
        <v>0</v>
      </c>
      <c r="AD122" s="35">
        <v>0</v>
      </c>
      <c r="AE122" s="36">
        <v>0</v>
      </c>
      <c r="AF122" s="23">
        <v>0</v>
      </c>
      <c r="AG122" s="24">
        <v>0</v>
      </c>
      <c r="AH122" s="33">
        <v>0</v>
      </c>
      <c r="AI122" s="37">
        <v>0</v>
      </c>
      <c r="AJ122" s="35">
        <v>0</v>
      </c>
      <c r="AK122" s="36">
        <v>0</v>
      </c>
      <c r="AL122" s="38">
        <v>0</v>
      </c>
      <c r="AM122" s="35">
        <v>0</v>
      </c>
      <c r="AN122" s="19">
        <v>0</v>
      </c>
      <c r="AO122" s="23">
        <v>0</v>
      </c>
      <c r="AP122" s="24">
        <v>0</v>
      </c>
      <c r="AQ122" s="31">
        <f t="shared" si="9"/>
        <v>14.8</v>
      </c>
      <c r="AR122" s="32">
        <f t="shared" si="9"/>
        <v>37000</v>
      </c>
      <c r="AS122" s="30">
        <v>19</v>
      </c>
    </row>
    <row r="123" spans="1:45" ht="15.6" x14ac:dyDescent="0.3">
      <c r="A123" s="19">
        <v>120</v>
      </c>
      <c r="B123" s="21" t="s">
        <v>117</v>
      </c>
      <c r="C123" s="20" t="s">
        <v>145</v>
      </c>
      <c r="D123" s="324" t="s">
        <v>25</v>
      </c>
      <c r="E123" s="22">
        <v>9.8000000000000007</v>
      </c>
      <c r="F123" s="23">
        <f t="shared" si="5"/>
        <v>24500</v>
      </c>
      <c r="G123" s="19">
        <v>0</v>
      </c>
      <c r="H123" s="23">
        <v>0</v>
      </c>
      <c r="I123" s="24">
        <v>0</v>
      </c>
      <c r="J123" s="19">
        <v>0</v>
      </c>
      <c r="K123" s="23">
        <v>0</v>
      </c>
      <c r="L123" s="24">
        <v>0</v>
      </c>
      <c r="M123" s="25">
        <v>4</v>
      </c>
      <c r="N123" s="26">
        <v>10000</v>
      </c>
      <c r="O123" s="27">
        <v>10</v>
      </c>
      <c r="P123" s="28">
        <f t="shared" si="6"/>
        <v>4</v>
      </c>
      <c r="Q123" s="29">
        <f t="shared" si="7"/>
        <v>10000</v>
      </c>
      <c r="R123" s="30">
        <v>10</v>
      </c>
      <c r="S123" s="19">
        <v>0</v>
      </c>
      <c r="T123" s="23">
        <v>0</v>
      </c>
      <c r="U123" s="24">
        <v>0</v>
      </c>
      <c r="V123" s="31">
        <f t="shared" si="8"/>
        <v>8</v>
      </c>
      <c r="W123" s="32">
        <v>20000</v>
      </c>
      <c r="X123" s="30">
        <v>20</v>
      </c>
      <c r="Y123" s="19">
        <v>0</v>
      </c>
      <c r="Z123" s="23">
        <v>0</v>
      </c>
      <c r="AA123" s="24">
        <v>0</v>
      </c>
      <c r="AB123" s="33">
        <v>0</v>
      </c>
      <c r="AC123" s="34">
        <v>0</v>
      </c>
      <c r="AD123" s="35">
        <v>0</v>
      </c>
      <c r="AE123" s="36">
        <v>0</v>
      </c>
      <c r="AF123" s="23">
        <v>0</v>
      </c>
      <c r="AG123" s="24">
        <v>0</v>
      </c>
      <c r="AH123" s="33">
        <v>0</v>
      </c>
      <c r="AI123" s="37">
        <v>0</v>
      </c>
      <c r="AJ123" s="35">
        <v>0</v>
      </c>
      <c r="AK123" s="36">
        <v>0</v>
      </c>
      <c r="AL123" s="38">
        <v>0</v>
      </c>
      <c r="AM123" s="35">
        <v>0</v>
      </c>
      <c r="AN123" s="19">
        <v>0</v>
      </c>
      <c r="AO123" s="23">
        <v>0</v>
      </c>
      <c r="AP123" s="24">
        <v>0</v>
      </c>
      <c r="AQ123" s="31">
        <f t="shared" si="9"/>
        <v>16</v>
      </c>
      <c r="AR123" s="32">
        <f t="shared" si="9"/>
        <v>40000</v>
      </c>
      <c r="AS123" s="30">
        <v>20</v>
      </c>
    </row>
    <row r="124" spans="1:45" ht="15.6" x14ac:dyDescent="0.3">
      <c r="A124" s="19">
        <v>121</v>
      </c>
      <c r="B124" s="21" t="s">
        <v>117</v>
      </c>
      <c r="C124" s="20" t="s">
        <v>146</v>
      </c>
      <c r="D124" s="324"/>
      <c r="E124" s="22">
        <v>25</v>
      </c>
      <c r="F124" s="23">
        <f t="shared" si="5"/>
        <v>62500</v>
      </c>
      <c r="G124" s="19">
        <v>0</v>
      </c>
      <c r="H124" s="23">
        <v>0</v>
      </c>
      <c r="I124" s="24">
        <v>0</v>
      </c>
      <c r="J124" s="19">
        <v>0</v>
      </c>
      <c r="K124" s="23">
        <v>0</v>
      </c>
      <c r="L124" s="24">
        <v>0</v>
      </c>
      <c r="M124" s="25">
        <v>7.2</v>
      </c>
      <c r="N124" s="26">
        <v>18000</v>
      </c>
      <c r="O124" s="27">
        <v>18</v>
      </c>
      <c r="P124" s="28">
        <f t="shared" si="6"/>
        <v>4.8</v>
      </c>
      <c r="Q124" s="29">
        <f t="shared" si="7"/>
        <v>12000</v>
      </c>
      <c r="R124" s="30">
        <v>12</v>
      </c>
      <c r="S124" s="19">
        <v>0</v>
      </c>
      <c r="T124" s="23">
        <v>0</v>
      </c>
      <c r="U124" s="24">
        <v>0</v>
      </c>
      <c r="V124" s="31">
        <f t="shared" si="8"/>
        <v>12</v>
      </c>
      <c r="W124" s="32">
        <v>30000</v>
      </c>
      <c r="X124" s="30">
        <v>30</v>
      </c>
      <c r="Y124" s="19">
        <v>0</v>
      </c>
      <c r="Z124" s="23">
        <v>0</v>
      </c>
      <c r="AA124" s="24">
        <v>0</v>
      </c>
      <c r="AB124" s="33">
        <v>0</v>
      </c>
      <c r="AC124" s="34">
        <v>0</v>
      </c>
      <c r="AD124" s="35">
        <v>0</v>
      </c>
      <c r="AE124" s="36">
        <v>0</v>
      </c>
      <c r="AF124" s="23">
        <v>0</v>
      </c>
      <c r="AG124" s="24">
        <v>0</v>
      </c>
      <c r="AH124" s="33">
        <v>0</v>
      </c>
      <c r="AI124" s="37">
        <v>0</v>
      </c>
      <c r="AJ124" s="35">
        <v>0</v>
      </c>
      <c r="AK124" s="36">
        <v>0</v>
      </c>
      <c r="AL124" s="38">
        <v>0</v>
      </c>
      <c r="AM124" s="35">
        <v>0</v>
      </c>
      <c r="AN124" s="19">
        <v>0</v>
      </c>
      <c r="AO124" s="23">
        <v>0</v>
      </c>
      <c r="AP124" s="24">
        <v>0</v>
      </c>
      <c r="AQ124" s="31">
        <f t="shared" si="9"/>
        <v>24</v>
      </c>
      <c r="AR124" s="32">
        <f t="shared" si="9"/>
        <v>60000</v>
      </c>
      <c r="AS124" s="30">
        <v>30</v>
      </c>
    </row>
    <row r="125" spans="1:45" ht="15.6" x14ac:dyDescent="0.3">
      <c r="A125" s="19">
        <v>122</v>
      </c>
      <c r="B125" s="21" t="s">
        <v>117</v>
      </c>
      <c r="C125" s="20" t="s">
        <v>147</v>
      </c>
      <c r="D125" s="324"/>
      <c r="E125" s="22">
        <v>20.6</v>
      </c>
      <c r="F125" s="23">
        <f t="shared" si="5"/>
        <v>51500</v>
      </c>
      <c r="G125" s="19">
        <v>0</v>
      </c>
      <c r="H125" s="23">
        <v>0</v>
      </c>
      <c r="I125" s="24">
        <v>0</v>
      </c>
      <c r="J125" s="19">
        <v>0</v>
      </c>
      <c r="K125" s="23">
        <v>0</v>
      </c>
      <c r="L125" s="24">
        <v>0</v>
      </c>
      <c r="M125" s="25">
        <v>5.6</v>
      </c>
      <c r="N125" s="26">
        <v>14000</v>
      </c>
      <c r="O125" s="27">
        <v>14</v>
      </c>
      <c r="P125" s="28">
        <f t="shared" si="6"/>
        <v>0</v>
      </c>
      <c r="Q125" s="29">
        <f t="shared" si="7"/>
        <v>0</v>
      </c>
      <c r="R125" s="30">
        <v>0</v>
      </c>
      <c r="S125" s="19">
        <v>0</v>
      </c>
      <c r="T125" s="23">
        <v>0</v>
      </c>
      <c r="U125" s="24">
        <v>0</v>
      </c>
      <c r="V125" s="31">
        <f t="shared" si="8"/>
        <v>5.6</v>
      </c>
      <c r="W125" s="32">
        <v>14000</v>
      </c>
      <c r="X125" s="30">
        <v>14</v>
      </c>
      <c r="Y125" s="19">
        <v>0</v>
      </c>
      <c r="Z125" s="23">
        <v>0</v>
      </c>
      <c r="AA125" s="24">
        <v>0</v>
      </c>
      <c r="AB125" s="33">
        <v>0</v>
      </c>
      <c r="AC125" s="34">
        <v>0</v>
      </c>
      <c r="AD125" s="35">
        <v>0</v>
      </c>
      <c r="AE125" s="36">
        <v>0</v>
      </c>
      <c r="AF125" s="23">
        <v>0</v>
      </c>
      <c r="AG125" s="24">
        <v>0</v>
      </c>
      <c r="AH125" s="33">
        <v>0</v>
      </c>
      <c r="AI125" s="37">
        <v>0</v>
      </c>
      <c r="AJ125" s="35">
        <v>0</v>
      </c>
      <c r="AK125" s="36">
        <v>0</v>
      </c>
      <c r="AL125" s="38">
        <v>0</v>
      </c>
      <c r="AM125" s="35">
        <v>0</v>
      </c>
      <c r="AN125" s="19">
        <v>0</v>
      </c>
      <c r="AO125" s="23">
        <v>0</v>
      </c>
      <c r="AP125" s="24">
        <v>0</v>
      </c>
      <c r="AQ125" s="31">
        <f t="shared" si="9"/>
        <v>11.2</v>
      </c>
      <c r="AR125" s="32">
        <f t="shared" si="9"/>
        <v>28000</v>
      </c>
      <c r="AS125" s="30">
        <v>14</v>
      </c>
    </row>
    <row r="126" spans="1:45" ht="15.6" x14ac:dyDescent="0.3">
      <c r="A126" s="19">
        <v>123</v>
      </c>
      <c r="B126" s="21" t="s">
        <v>117</v>
      </c>
      <c r="C126" s="20" t="s">
        <v>148</v>
      </c>
      <c r="D126" s="324"/>
      <c r="E126" s="22">
        <v>13</v>
      </c>
      <c r="F126" s="23">
        <f t="shared" si="5"/>
        <v>32500</v>
      </c>
      <c r="G126" s="19">
        <v>0</v>
      </c>
      <c r="H126" s="23">
        <v>0</v>
      </c>
      <c r="I126" s="24">
        <v>0</v>
      </c>
      <c r="J126" s="19">
        <v>0</v>
      </c>
      <c r="K126" s="23">
        <v>0</v>
      </c>
      <c r="L126" s="24">
        <v>0</v>
      </c>
      <c r="M126" s="25">
        <v>4</v>
      </c>
      <c r="N126" s="26">
        <v>10000</v>
      </c>
      <c r="O126" s="27">
        <v>10</v>
      </c>
      <c r="P126" s="28">
        <f t="shared" si="6"/>
        <v>1.6</v>
      </c>
      <c r="Q126" s="29">
        <f t="shared" si="7"/>
        <v>4000</v>
      </c>
      <c r="R126" s="30">
        <v>4</v>
      </c>
      <c r="S126" s="19">
        <v>0</v>
      </c>
      <c r="T126" s="23">
        <v>0</v>
      </c>
      <c r="U126" s="24">
        <v>0</v>
      </c>
      <c r="V126" s="31">
        <f t="shared" si="8"/>
        <v>5.6</v>
      </c>
      <c r="W126" s="32">
        <v>14000</v>
      </c>
      <c r="X126" s="30">
        <v>14</v>
      </c>
      <c r="Y126" s="19">
        <v>0</v>
      </c>
      <c r="Z126" s="23">
        <v>0</v>
      </c>
      <c r="AA126" s="24">
        <v>0</v>
      </c>
      <c r="AB126" s="33">
        <v>0</v>
      </c>
      <c r="AC126" s="34">
        <v>0</v>
      </c>
      <c r="AD126" s="35">
        <v>0</v>
      </c>
      <c r="AE126" s="36">
        <v>0</v>
      </c>
      <c r="AF126" s="23">
        <v>0</v>
      </c>
      <c r="AG126" s="24">
        <v>0</v>
      </c>
      <c r="AH126" s="33">
        <v>0</v>
      </c>
      <c r="AI126" s="37">
        <v>0</v>
      </c>
      <c r="AJ126" s="35">
        <v>0</v>
      </c>
      <c r="AK126" s="36">
        <v>0</v>
      </c>
      <c r="AL126" s="38">
        <v>0</v>
      </c>
      <c r="AM126" s="35">
        <v>0</v>
      </c>
      <c r="AN126" s="19">
        <v>0</v>
      </c>
      <c r="AO126" s="23">
        <v>0</v>
      </c>
      <c r="AP126" s="24">
        <v>0</v>
      </c>
      <c r="AQ126" s="31">
        <f t="shared" si="9"/>
        <v>11.2</v>
      </c>
      <c r="AR126" s="32">
        <f t="shared" si="9"/>
        <v>28000</v>
      </c>
      <c r="AS126" s="30">
        <v>14</v>
      </c>
    </row>
    <row r="127" spans="1:45" ht="15.6" x14ac:dyDescent="0.3">
      <c r="A127" s="19">
        <v>124</v>
      </c>
      <c r="B127" s="21" t="s">
        <v>149</v>
      </c>
      <c r="C127" s="20" t="s">
        <v>150</v>
      </c>
      <c r="D127" s="324"/>
      <c r="E127" s="22">
        <v>27</v>
      </c>
      <c r="F127" s="23">
        <f t="shared" si="5"/>
        <v>67500</v>
      </c>
      <c r="G127" s="19">
        <v>0</v>
      </c>
      <c r="H127" s="23">
        <v>0</v>
      </c>
      <c r="I127" s="24">
        <v>0</v>
      </c>
      <c r="J127" s="19">
        <v>0</v>
      </c>
      <c r="K127" s="23">
        <v>0</v>
      </c>
      <c r="L127" s="24">
        <v>0</v>
      </c>
      <c r="M127" s="25">
        <v>8.8000000000000007</v>
      </c>
      <c r="N127" s="26">
        <v>22000</v>
      </c>
      <c r="O127" s="27">
        <v>22</v>
      </c>
      <c r="P127" s="28">
        <f t="shared" si="6"/>
        <v>1.2</v>
      </c>
      <c r="Q127" s="29">
        <f t="shared" si="7"/>
        <v>3000</v>
      </c>
      <c r="R127" s="30">
        <v>3</v>
      </c>
      <c r="S127" s="19">
        <v>0</v>
      </c>
      <c r="T127" s="23">
        <v>0</v>
      </c>
      <c r="U127" s="24">
        <v>0</v>
      </c>
      <c r="V127" s="31">
        <f t="shared" si="8"/>
        <v>9.6</v>
      </c>
      <c r="W127" s="32">
        <v>24000</v>
      </c>
      <c r="X127" s="30">
        <v>24</v>
      </c>
      <c r="Y127" s="19">
        <v>0</v>
      </c>
      <c r="Z127" s="23">
        <v>0</v>
      </c>
      <c r="AA127" s="24">
        <v>0</v>
      </c>
      <c r="AB127" s="33">
        <v>0</v>
      </c>
      <c r="AC127" s="34">
        <v>0</v>
      </c>
      <c r="AD127" s="35">
        <v>0</v>
      </c>
      <c r="AE127" s="36">
        <v>0</v>
      </c>
      <c r="AF127" s="23">
        <v>0</v>
      </c>
      <c r="AG127" s="24">
        <v>0</v>
      </c>
      <c r="AH127" s="33">
        <v>0</v>
      </c>
      <c r="AI127" s="37">
        <v>0</v>
      </c>
      <c r="AJ127" s="35">
        <v>0</v>
      </c>
      <c r="AK127" s="36">
        <v>0</v>
      </c>
      <c r="AL127" s="38">
        <v>0</v>
      </c>
      <c r="AM127" s="35">
        <v>0</v>
      </c>
      <c r="AN127" s="19">
        <v>0</v>
      </c>
      <c r="AO127" s="23">
        <v>0</v>
      </c>
      <c r="AP127" s="24">
        <v>0</v>
      </c>
      <c r="AQ127" s="31">
        <f t="shared" si="9"/>
        <v>19.600000000000001</v>
      </c>
      <c r="AR127" s="32">
        <f t="shared" si="9"/>
        <v>49000</v>
      </c>
      <c r="AS127" s="30">
        <v>25</v>
      </c>
    </row>
    <row r="128" spans="1:45" ht="15.6" x14ac:dyDescent="0.3">
      <c r="A128" s="19">
        <v>125</v>
      </c>
      <c r="B128" s="21" t="s">
        <v>149</v>
      </c>
      <c r="C128" s="20" t="s">
        <v>151</v>
      </c>
      <c r="D128" s="324"/>
      <c r="E128" s="22">
        <v>24.600000000000005</v>
      </c>
      <c r="F128" s="23">
        <f t="shared" si="5"/>
        <v>61500.000000000015</v>
      </c>
      <c r="G128" s="19">
        <v>0</v>
      </c>
      <c r="H128" s="23">
        <v>0</v>
      </c>
      <c r="I128" s="24">
        <v>0</v>
      </c>
      <c r="J128" s="19">
        <v>0</v>
      </c>
      <c r="K128" s="23">
        <v>0</v>
      </c>
      <c r="L128" s="24">
        <v>0</v>
      </c>
      <c r="M128" s="25">
        <v>6.8</v>
      </c>
      <c r="N128" s="26">
        <v>17000</v>
      </c>
      <c r="O128" s="27">
        <v>17</v>
      </c>
      <c r="P128" s="28">
        <f t="shared" si="6"/>
        <v>2</v>
      </c>
      <c r="Q128" s="29">
        <f t="shared" si="7"/>
        <v>5000</v>
      </c>
      <c r="R128" s="30">
        <v>5</v>
      </c>
      <c r="S128" s="19">
        <v>0</v>
      </c>
      <c r="T128" s="23">
        <v>0</v>
      </c>
      <c r="U128" s="24">
        <v>0</v>
      </c>
      <c r="V128" s="31">
        <f t="shared" si="8"/>
        <v>8.8000000000000007</v>
      </c>
      <c r="W128" s="32">
        <v>22000</v>
      </c>
      <c r="X128" s="30">
        <v>22</v>
      </c>
      <c r="Y128" s="19">
        <v>0</v>
      </c>
      <c r="Z128" s="23">
        <v>0</v>
      </c>
      <c r="AA128" s="24">
        <v>0</v>
      </c>
      <c r="AB128" s="33">
        <v>0</v>
      </c>
      <c r="AC128" s="34">
        <v>0</v>
      </c>
      <c r="AD128" s="35">
        <v>0</v>
      </c>
      <c r="AE128" s="36">
        <v>0</v>
      </c>
      <c r="AF128" s="23">
        <v>0</v>
      </c>
      <c r="AG128" s="24">
        <v>0</v>
      </c>
      <c r="AH128" s="33">
        <v>0</v>
      </c>
      <c r="AI128" s="37">
        <v>0</v>
      </c>
      <c r="AJ128" s="35">
        <v>0</v>
      </c>
      <c r="AK128" s="36">
        <v>0</v>
      </c>
      <c r="AL128" s="38">
        <v>0</v>
      </c>
      <c r="AM128" s="35">
        <v>0</v>
      </c>
      <c r="AN128" s="19">
        <v>0</v>
      </c>
      <c r="AO128" s="23">
        <v>0</v>
      </c>
      <c r="AP128" s="24">
        <v>0</v>
      </c>
      <c r="AQ128" s="31">
        <f t="shared" si="9"/>
        <v>17.600000000000001</v>
      </c>
      <c r="AR128" s="32">
        <f t="shared" si="9"/>
        <v>44000</v>
      </c>
      <c r="AS128" s="30">
        <v>22</v>
      </c>
    </row>
    <row r="129" spans="1:45" ht="15.6" x14ac:dyDescent="0.3">
      <c r="A129" s="19">
        <v>126</v>
      </c>
      <c r="B129" s="21" t="s">
        <v>149</v>
      </c>
      <c r="C129" s="20" t="s">
        <v>152</v>
      </c>
      <c r="D129" s="324"/>
      <c r="E129" s="22">
        <v>22</v>
      </c>
      <c r="F129" s="23">
        <f t="shared" si="5"/>
        <v>55000</v>
      </c>
      <c r="G129" s="19">
        <v>0</v>
      </c>
      <c r="H129" s="23">
        <v>0</v>
      </c>
      <c r="I129" s="24">
        <v>0</v>
      </c>
      <c r="J129" s="19">
        <v>0</v>
      </c>
      <c r="K129" s="23">
        <v>0</v>
      </c>
      <c r="L129" s="24">
        <v>0</v>
      </c>
      <c r="M129" s="25">
        <v>9.6</v>
      </c>
      <c r="N129" s="26">
        <v>24000</v>
      </c>
      <c r="O129" s="27">
        <v>24</v>
      </c>
      <c r="P129" s="28">
        <f t="shared" si="6"/>
        <v>1.2</v>
      </c>
      <c r="Q129" s="29">
        <f t="shared" si="7"/>
        <v>3000</v>
      </c>
      <c r="R129" s="30">
        <v>3</v>
      </c>
      <c r="S129" s="19">
        <v>0</v>
      </c>
      <c r="T129" s="23">
        <v>0</v>
      </c>
      <c r="U129" s="24">
        <v>0</v>
      </c>
      <c r="V129" s="31">
        <f t="shared" si="8"/>
        <v>11.6</v>
      </c>
      <c r="W129" s="32">
        <v>29000</v>
      </c>
      <c r="X129" s="30">
        <v>29</v>
      </c>
      <c r="Y129" s="19">
        <v>0</v>
      </c>
      <c r="Z129" s="23">
        <v>0</v>
      </c>
      <c r="AA129" s="24">
        <v>0</v>
      </c>
      <c r="AB129" s="33">
        <v>0</v>
      </c>
      <c r="AC129" s="34">
        <v>0</v>
      </c>
      <c r="AD129" s="35">
        <v>0</v>
      </c>
      <c r="AE129" s="36">
        <v>0</v>
      </c>
      <c r="AF129" s="23">
        <v>0</v>
      </c>
      <c r="AG129" s="24">
        <v>0</v>
      </c>
      <c r="AH129" s="33">
        <v>0</v>
      </c>
      <c r="AI129" s="37">
        <v>0</v>
      </c>
      <c r="AJ129" s="35">
        <v>0</v>
      </c>
      <c r="AK129" s="36">
        <v>0</v>
      </c>
      <c r="AL129" s="38">
        <v>0</v>
      </c>
      <c r="AM129" s="35">
        <v>0</v>
      </c>
      <c r="AN129" s="19">
        <v>0</v>
      </c>
      <c r="AO129" s="23">
        <v>0</v>
      </c>
      <c r="AP129" s="24">
        <v>0</v>
      </c>
      <c r="AQ129" s="31">
        <f t="shared" si="9"/>
        <v>22.4</v>
      </c>
      <c r="AR129" s="32">
        <f t="shared" si="9"/>
        <v>56000</v>
      </c>
      <c r="AS129" s="30">
        <v>29</v>
      </c>
    </row>
    <row r="130" spans="1:45" ht="15.6" x14ac:dyDescent="0.3">
      <c r="A130" s="19">
        <v>127</v>
      </c>
      <c r="B130" s="21" t="s">
        <v>149</v>
      </c>
      <c r="C130" s="20" t="s">
        <v>153</v>
      </c>
      <c r="D130" s="324"/>
      <c r="E130" s="22">
        <v>19.400000000000002</v>
      </c>
      <c r="F130" s="23">
        <f t="shared" si="5"/>
        <v>48500.000000000007</v>
      </c>
      <c r="G130" s="19">
        <v>0</v>
      </c>
      <c r="H130" s="23">
        <v>0</v>
      </c>
      <c r="I130" s="24">
        <v>0</v>
      </c>
      <c r="J130" s="19">
        <v>0</v>
      </c>
      <c r="K130" s="23">
        <v>0</v>
      </c>
      <c r="L130" s="24">
        <v>0</v>
      </c>
      <c r="M130" s="25">
        <v>7.6</v>
      </c>
      <c r="N130" s="26">
        <v>19000</v>
      </c>
      <c r="O130" s="27">
        <v>19</v>
      </c>
      <c r="P130" s="28">
        <f t="shared" si="6"/>
        <v>0</v>
      </c>
      <c r="Q130" s="29">
        <f t="shared" si="7"/>
        <v>0</v>
      </c>
      <c r="R130" s="30">
        <v>0</v>
      </c>
      <c r="S130" s="19">
        <v>0</v>
      </c>
      <c r="T130" s="23">
        <v>0</v>
      </c>
      <c r="U130" s="24">
        <v>0</v>
      </c>
      <c r="V130" s="31">
        <f t="shared" si="8"/>
        <v>8.4</v>
      </c>
      <c r="W130" s="32">
        <v>21000</v>
      </c>
      <c r="X130" s="30">
        <v>21</v>
      </c>
      <c r="Y130" s="19">
        <v>0</v>
      </c>
      <c r="Z130" s="23">
        <v>0</v>
      </c>
      <c r="AA130" s="24">
        <v>0</v>
      </c>
      <c r="AB130" s="33">
        <v>0</v>
      </c>
      <c r="AC130" s="34">
        <v>0</v>
      </c>
      <c r="AD130" s="35">
        <v>0</v>
      </c>
      <c r="AE130" s="36">
        <v>0</v>
      </c>
      <c r="AF130" s="23">
        <v>0</v>
      </c>
      <c r="AG130" s="24">
        <v>0</v>
      </c>
      <c r="AH130" s="33">
        <v>0</v>
      </c>
      <c r="AI130" s="37">
        <v>0</v>
      </c>
      <c r="AJ130" s="35">
        <v>0</v>
      </c>
      <c r="AK130" s="36">
        <v>0</v>
      </c>
      <c r="AL130" s="38">
        <v>0</v>
      </c>
      <c r="AM130" s="35">
        <v>0</v>
      </c>
      <c r="AN130" s="19">
        <v>0</v>
      </c>
      <c r="AO130" s="23">
        <v>0</v>
      </c>
      <c r="AP130" s="24">
        <v>0</v>
      </c>
      <c r="AQ130" s="31">
        <f t="shared" si="9"/>
        <v>16</v>
      </c>
      <c r="AR130" s="32">
        <f t="shared" si="9"/>
        <v>40000</v>
      </c>
      <c r="AS130" s="30">
        <v>21</v>
      </c>
    </row>
    <row r="131" spans="1:45" ht="15.6" x14ac:dyDescent="0.3">
      <c r="A131" s="19">
        <v>128</v>
      </c>
      <c r="B131" s="21" t="s">
        <v>149</v>
      </c>
      <c r="C131" s="20" t="s">
        <v>154</v>
      </c>
      <c r="D131" s="324"/>
      <c r="E131" s="22">
        <v>11.8</v>
      </c>
      <c r="F131" s="23">
        <f t="shared" si="5"/>
        <v>29500</v>
      </c>
      <c r="G131" s="19">
        <v>0</v>
      </c>
      <c r="H131" s="23">
        <v>0</v>
      </c>
      <c r="I131" s="24">
        <v>0</v>
      </c>
      <c r="J131" s="19">
        <v>0</v>
      </c>
      <c r="K131" s="23">
        <v>0</v>
      </c>
      <c r="L131" s="24">
        <v>0</v>
      </c>
      <c r="M131" s="25">
        <v>3.6</v>
      </c>
      <c r="N131" s="26">
        <v>9000</v>
      </c>
      <c r="O131" s="27">
        <v>9</v>
      </c>
      <c r="P131" s="28">
        <f t="shared" si="6"/>
        <v>1.6</v>
      </c>
      <c r="Q131" s="29">
        <f t="shared" si="7"/>
        <v>4000</v>
      </c>
      <c r="R131" s="30">
        <v>4</v>
      </c>
      <c r="S131" s="19">
        <v>0</v>
      </c>
      <c r="T131" s="23">
        <v>0</v>
      </c>
      <c r="U131" s="24">
        <v>0</v>
      </c>
      <c r="V131" s="31">
        <f t="shared" si="8"/>
        <v>4.8</v>
      </c>
      <c r="W131" s="32">
        <v>12000</v>
      </c>
      <c r="X131" s="30">
        <v>12</v>
      </c>
      <c r="Y131" s="19">
        <v>0</v>
      </c>
      <c r="Z131" s="23">
        <v>0</v>
      </c>
      <c r="AA131" s="24">
        <v>0</v>
      </c>
      <c r="AB131" s="33">
        <v>0</v>
      </c>
      <c r="AC131" s="34">
        <v>0</v>
      </c>
      <c r="AD131" s="35">
        <v>0</v>
      </c>
      <c r="AE131" s="36">
        <v>0</v>
      </c>
      <c r="AF131" s="23">
        <v>0</v>
      </c>
      <c r="AG131" s="24">
        <v>0</v>
      </c>
      <c r="AH131" s="33">
        <v>0</v>
      </c>
      <c r="AI131" s="37">
        <v>0</v>
      </c>
      <c r="AJ131" s="35">
        <v>0</v>
      </c>
      <c r="AK131" s="36">
        <v>0</v>
      </c>
      <c r="AL131" s="38">
        <v>0</v>
      </c>
      <c r="AM131" s="35">
        <v>0</v>
      </c>
      <c r="AN131" s="19">
        <v>0</v>
      </c>
      <c r="AO131" s="23">
        <v>0</v>
      </c>
      <c r="AP131" s="24">
        <v>0</v>
      </c>
      <c r="AQ131" s="31">
        <f t="shared" si="9"/>
        <v>10</v>
      </c>
      <c r="AR131" s="32">
        <f t="shared" si="9"/>
        <v>25000</v>
      </c>
      <c r="AS131" s="30">
        <v>13</v>
      </c>
    </row>
    <row r="132" spans="1:45" ht="15.6" x14ac:dyDescent="0.3">
      <c r="A132" s="19">
        <v>129</v>
      </c>
      <c r="B132" s="21" t="s">
        <v>155</v>
      </c>
      <c r="C132" s="20" t="s">
        <v>155</v>
      </c>
      <c r="D132" s="324"/>
      <c r="E132" s="22">
        <v>20.6</v>
      </c>
      <c r="F132" s="23">
        <f t="shared" si="5"/>
        <v>51500</v>
      </c>
      <c r="G132" s="19">
        <v>0</v>
      </c>
      <c r="H132" s="23">
        <v>0</v>
      </c>
      <c r="I132" s="24">
        <v>0</v>
      </c>
      <c r="J132" s="19">
        <v>0</v>
      </c>
      <c r="K132" s="23">
        <v>0</v>
      </c>
      <c r="L132" s="24">
        <v>0</v>
      </c>
      <c r="M132" s="25">
        <v>4</v>
      </c>
      <c r="N132" s="26">
        <v>10000</v>
      </c>
      <c r="O132" s="27">
        <v>10</v>
      </c>
      <c r="P132" s="28">
        <f t="shared" si="6"/>
        <v>4.4000000000000004</v>
      </c>
      <c r="Q132" s="29">
        <f t="shared" si="7"/>
        <v>11000</v>
      </c>
      <c r="R132" s="30">
        <v>11</v>
      </c>
      <c r="S132" s="19">
        <v>0</v>
      </c>
      <c r="T132" s="23">
        <v>0</v>
      </c>
      <c r="U132" s="24">
        <v>0</v>
      </c>
      <c r="V132" s="31">
        <f t="shared" si="8"/>
        <v>8.8000000000000007</v>
      </c>
      <c r="W132" s="32">
        <v>22000</v>
      </c>
      <c r="X132" s="30">
        <v>22</v>
      </c>
      <c r="Y132" s="19">
        <v>0</v>
      </c>
      <c r="Z132" s="23">
        <v>0</v>
      </c>
      <c r="AA132" s="24">
        <v>0</v>
      </c>
      <c r="AB132" s="33">
        <v>0</v>
      </c>
      <c r="AC132" s="34">
        <v>0</v>
      </c>
      <c r="AD132" s="35">
        <v>0</v>
      </c>
      <c r="AE132" s="36">
        <v>0</v>
      </c>
      <c r="AF132" s="23">
        <v>0</v>
      </c>
      <c r="AG132" s="24">
        <v>0</v>
      </c>
      <c r="AH132" s="33">
        <v>0</v>
      </c>
      <c r="AI132" s="37">
        <v>0</v>
      </c>
      <c r="AJ132" s="35">
        <v>0</v>
      </c>
      <c r="AK132" s="36">
        <v>0</v>
      </c>
      <c r="AL132" s="38">
        <v>0</v>
      </c>
      <c r="AM132" s="35">
        <v>0</v>
      </c>
      <c r="AN132" s="19">
        <v>0</v>
      </c>
      <c r="AO132" s="23">
        <v>0</v>
      </c>
      <c r="AP132" s="24">
        <v>0</v>
      </c>
      <c r="AQ132" s="31">
        <f t="shared" si="9"/>
        <v>17.200000000000003</v>
      </c>
      <c r="AR132" s="32">
        <f t="shared" si="9"/>
        <v>43000</v>
      </c>
      <c r="AS132" s="30">
        <v>22</v>
      </c>
    </row>
    <row r="133" spans="1:45" ht="15.6" x14ac:dyDescent="0.3">
      <c r="A133" s="19">
        <v>130</v>
      </c>
      <c r="B133" s="21" t="s">
        <v>155</v>
      </c>
      <c r="C133" s="20" t="s">
        <v>156</v>
      </c>
      <c r="D133" s="324"/>
      <c r="E133" s="22">
        <v>19.600000000000001</v>
      </c>
      <c r="F133" s="23">
        <f t="shared" ref="F133:F196" si="10">E133*2500</f>
        <v>49000</v>
      </c>
      <c r="G133" s="19">
        <v>0</v>
      </c>
      <c r="H133" s="23">
        <v>0</v>
      </c>
      <c r="I133" s="24">
        <v>0</v>
      </c>
      <c r="J133" s="19">
        <v>0</v>
      </c>
      <c r="K133" s="23">
        <v>0</v>
      </c>
      <c r="L133" s="24">
        <v>0</v>
      </c>
      <c r="M133" s="25">
        <v>7.2</v>
      </c>
      <c r="N133" s="26">
        <v>18000</v>
      </c>
      <c r="O133" s="27">
        <v>18</v>
      </c>
      <c r="P133" s="28">
        <f t="shared" ref="P133:P196" si="11">Q133/2500</f>
        <v>1.6</v>
      </c>
      <c r="Q133" s="29">
        <f t="shared" ref="Q133:Q196" si="12">R133*1000</f>
        <v>4000</v>
      </c>
      <c r="R133" s="30">
        <v>4</v>
      </c>
      <c r="S133" s="19">
        <v>0</v>
      </c>
      <c r="T133" s="23">
        <v>0</v>
      </c>
      <c r="U133" s="24">
        <v>0</v>
      </c>
      <c r="V133" s="31">
        <f t="shared" ref="V133:V196" si="13">W133/2500</f>
        <v>8.8000000000000007</v>
      </c>
      <c r="W133" s="32">
        <v>22000</v>
      </c>
      <c r="X133" s="30">
        <v>22</v>
      </c>
      <c r="Y133" s="19">
        <v>0</v>
      </c>
      <c r="Z133" s="23">
        <v>0</v>
      </c>
      <c r="AA133" s="24">
        <v>0</v>
      </c>
      <c r="AB133" s="33">
        <v>0</v>
      </c>
      <c r="AC133" s="34">
        <v>0</v>
      </c>
      <c r="AD133" s="35">
        <v>0</v>
      </c>
      <c r="AE133" s="36">
        <v>0</v>
      </c>
      <c r="AF133" s="23">
        <v>0</v>
      </c>
      <c r="AG133" s="24">
        <v>0</v>
      </c>
      <c r="AH133" s="33">
        <v>0</v>
      </c>
      <c r="AI133" s="37">
        <v>0</v>
      </c>
      <c r="AJ133" s="35">
        <v>0</v>
      </c>
      <c r="AK133" s="36">
        <v>0</v>
      </c>
      <c r="AL133" s="38">
        <v>0</v>
      </c>
      <c r="AM133" s="35">
        <v>0</v>
      </c>
      <c r="AN133" s="19">
        <v>0</v>
      </c>
      <c r="AO133" s="23">
        <v>0</v>
      </c>
      <c r="AP133" s="24">
        <v>0</v>
      </c>
      <c r="AQ133" s="31">
        <f t="shared" ref="AQ133:AR196" si="14">G133+J133+M133+P133+S133+V133+Y133+AB133+AE133+AH133+AK133+AN133</f>
        <v>17.600000000000001</v>
      </c>
      <c r="AR133" s="32">
        <f t="shared" si="14"/>
        <v>44000</v>
      </c>
      <c r="AS133" s="30">
        <v>22</v>
      </c>
    </row>
    <row r="134" spans="1:45" ht="15.6" x14ac:dyDescent="0.3">
      <c r="A134" s="19">
        <v>131</v>
      </c>
      <c r="B134" s="21" t="s">
        <v>155</v>
      </c>
      <c r="C134" s="20" t="s">
        <v>157</v>
      </c>
      <c r="D134" s="324"/>
      <c r="E134" s="22">
        <v>12</v>
      </c>
      <c r="F134" s="23">
        <f t="shared" si="10"/>
        <v>30000</v>
      </c>
      <c r="G134" s="19">
        <v>0</v>
      </c>
      <c r="H134" s="23">
        <v>0</v>
      </c>
      <c r="I134" s="24">
        <v>0</v>
      </c>
      <c r="J134" s="19">
        <v>0</v>
      </c>
      <c r="K134" s="23">
        <v>0</v>
      </c>
      <c r="L134" s="24">
        <v>0</v>
      </c>
      <c r="M134" s="25">
        <v>3.2</v>
      </c>
      <c r="N134" s="26">
        <v>8000</v>
      </c>
      <c r="O134" s="27">
        <v>8</v>
      </c>
      <c r="P134" s="28">
        <f t="shared" si="11"/>
        <v>2.4</v>
      </c>
      <c r="Q134" s="29">
        <f t="shared" si="12"/>
        <v>6000</v>
      </c>
      <c r="R134" s="30">
        <v>6</v>
      </c>
      <c r="S134" s="19">
        <v>0</v>
      </c>
      <c r="T134" s="23">
        <v>0</v>
      </c>
      <c r="U134" s="24">
        <v>0</v>
      </c>
      <c r="V134" s="31">
        <f t="shared" si="13"/>
        <v>6</v>
      </c>
      <c r="W134" s="32">
        <v>15000</v>
      </c>
      <c r="X134" s="30">
        <v>15</v>
      </c>
      <c r="Y134" s="19">
        <v>0</v>
      </c>
      <c r="Z134" s="23">
        <v>0</v>
      </c>
      <c r="AA134" s="24">
        <v>0</v>
      </c>
      <c r="AB134" s="33">
        <v>0</v>
      </c>
      <c r="AC134" s="34">
        <v>0</v>
      </c>
      <c r="AD134" s="35">
        <v>0</v>
      </c>
      <c r="AE134" s="36">
        <v>0</v>
      </c>
      <c r="AF134" s="23">
        <v>0</v>
      </c>
      <c r="AG134" s="24">
        <v>0</v>
      </c>
      <c r="AH134" s="33">
        <v>0</v>
      </c>
      <c r="AI134" s="37">
        <v>0</v>
      </c>
      <c r="AJ134" s="35">
        <v>0</v>
      </c>
      <c r="AK134" s="36">
        <v>0</v>
      </c>
      <c r="AL134" s="38">
        <v>0</v>
      </c>
      <c r="AM134" s="35">
        <v>0</v>
      </c>
      <c r="AN134" s="19">
        <v>0</v>
      </c>
      <c r="AO134" s="23">
        <v>0</v>
      </c>
      <c r="AP134" s="24">
        <v>0</v>
      </c>
      <c r="AQ134" s="31">
        <f t="shared" si="14"/>
        <v>11.6</v>
      </c>
      <c r="AR134" s="32">
        <f t="shared" si="14"/>
        <v>29000</v>
      </c>
      <c r="AS134" s="30">
        <v>15</v>
      </c>
    </row>
    <row r="135" spans="1:45" ht="15.6" x14ac:dyDescent="0.3">
      <c r="A135" s="19">
        <v>132</v>
      </c>
      <c r="B135" s="21" t="s">
        <v>155</v>
      </c>
      <c r="C135" s="20" t="s">
        <v>158</v>
      </c>
      <c r="D135" s="324"/>
      <c r="E135" s="22">
        <v>29.4</v>
      </c>
      <c r="F135" s="23">
        <f t="shared" si="10"/>
        <v>73500</v>
      </c>
      <c r="G135" s="19">
        <v>0</v>
      </c>
      <c r="H135" s="23">
        <v>0</v>
      </c>
      <c r="I135" s="24">
        <v>0</v>
      </c>
      <c r="J135" s="19">
        <v>0</v>
      </c>
      <c r="K135" s="23">
        <v>0</v>
      </c>
      <c r="L135" s="24">
        <v>0</v>
      </c>
      <c r="M135" s="25">
        <v>8.8000000000000007</v>
      </c>
      <c r="N135" s="26">
        <v>22000</v>
      </c>
      <c r="O135" s="27">
        <v>22</v>
      </c>
      <c r="P135" s="28">
        <f t="shared" si="11"/>
        <v>2.8</v>
      </c>
      <c r="Q135" s="29">
        <f t="shared" si="12"/>
        <v>7000</v>
      </c>
      <c r="R135" s="30">
        <v>7</v>
      </c>
      <c r="S135" s="19">
        <v>0</v>
      </c>
      <c r="T135" s="23">
        <v>0</v>
      </c>
      <c r="U135" s="24">
        <v>0</v>
      </c>
      <c r="V135" s="31">
        <f t="shared" si="13"/>
        <v>11.2</v>
      </c>
      <c r="W135" s="32">
        <v>28000</v>
      </c>
      <c r="X135" s="30">
        <v>28</v>
      </c>
      <c r="Y135" s="19">
        <v>0</v>
      </c>
      <c r="Z135" s="23">
        <v>0</v>
      </c>
      <c r="AA135" s="24">
        <v>0</v>
      </c>
      <c r="AB135" s="33">
        <v>0</v>
      </c>
      <c r="AC135" s="34">
        <v>0</v>
      </c>
      <c r="AD135" s="35">
        <v>0</v>
      </c>
      <c r="AE135" s="36">
        <v>0</v>
      </c>
      <c r="AF135" s="23">
        <v>0</v>
      </c>
      <c r="AG135" s="24">
        <v>0</v>
      </c>
      <c r="AH135" s="33">
        <v>0</v>
      </c>
      <c r="AI135" s="37">
        <v>0</v>
      </c>
      <c r="AJ135" s="35">
        <v>0</v>
      </c>
      <c r="AK135" s="36">
        <v>0</v>
      </c>
      <c r="AL135" s="38">
        <v>0</v>
      </c>
      <c r="AM135" s="35">
        <v>0</v>
      </c>
      <c r="AN135" s="19">
        <v>0</v>
      </c>
      <c r="AO135" s="23">
        <v>0</v>
      </c>
      <c r="AP135" s="24">
        <v>0</v>
      </c>
      <c r="AQ135" s="31">
        <f t="shared" si="14"/>
        <v>22.8</v>
      </c>
      <c r="AR135" s="32">
        <f t="shared" si="14"/>
        <v>57000</v>
      </c>
      <c r="AS135" s="30">
        <v>30</v>
      </c>
    </row>
    <row r="136" spans="1:45" ht="15.6" x14ac:dyDescent="0.3">
      <c r="A136" s="19">
        <v>133</v>
      </c>
      <c r="B136" s="21" t="s">
        <v>155</v>
      </c>
      <c r="C136" s="20" t="s">
        <v>159</v>
      </c>
      <c r="D136" s="324"/>
      <c r="E136" s="22">
        <v>18.600000000000001</v>
      </c>
      <c r="F136" s="23">
        <f t="shared" si="10"/>
        <v>46500</v>
      </c>
      <c r="G136" s="19">
        <v>0</v>
      </c>
      <c r="H136" s="23">
        <v>0</v>
      </c>
      <c r="I136" s="24">
        <v>0</v>
      </c>
      <c r="J136" s="19">
        <v>0</v>
      </c>
      <c r="K136" s="23">
        <v>0</v>
      </c>
      <c r="L136" s="24">
        <v>0</v>
      </c>
      <c r="M136" s="25">
        <v>5.6</v>
      </c>
      <c r="N136" s="26">
        <v>14000</v>
      </c>
      <c r="O136" s="27">
        <v>14</v>
      </c>
      <c r="P136" s="28">
        <f t="shared" si="11"/>
        <v>2.4</v>
      </c>
      <c r="Q136" s="29">
        <f t="shared" si="12"/>
        <v>6000</v>
      </c>
      <c r="R136" s="30">
        <v>6</v>
      </c>
      <c r="S136" s="19">
        <v>0</v>
      </c>
      <c r="T136" s="23">
        <v>0</v>
      </c>
      <c r="U136" s="24">
        <v>0</v>
      </c>
      <c r="V136" s="31">
        <f t="shared" si="13"/>
        <v>8</v>
      </c>
      <c r="W136" s="32">
        <v>20000</v>
      </c>
      <c r="X136" s="30">
        <v>20</v>
      </c>
      <c r="Y136" s="19">
        <v>0</v>
      </c>
      <c r="Z136" s="23">
        <v>0</v>
      </c>
      <c r="AA136" s="24">
        <v>0</v>
      </c>
      <c r="AB136" s="33">
        <v>0</v>
      </c>
      <c r="AC136" s="34">
        <v>0</v>
      </c>
      <c r="AD136" s="35">
        <v>0</v>
      </c>
      <c r="AE136" s="36">
        <v>0</v>
      </c>
      <c r="AF136" s="23">
        <v>0</v>
      </c>
      <c r="AG136" s="24">
        <v>0</v>
      </c>
      <c r="AH136" s="33">
        <v>0</v>
      </c>
      <c r="AI136" s="37">
        <v>0</v>
      </c>
      <c r="AJ136" s="35">
        <v>0</v>
      </c>
      <c r="AK136" s="36">
        <v>0</v>
      </c>
      <c r="AL136" s="38">
        <v>0</v>
      </c>
      <c r="AM136" s="35">
        <v>0</v>
      </c>
      <c r="AN136" s="19">
        <v>0</v>
      </c>
      <c r="AO136" s="23">
        <v>0</v>
      </c>
      <c r="AP136" s="24">
        <v>0</v>
      </c>
      <c r="AQ136" s="31">
        <f t="shared" si="14"/>
        <v>16</v>
      </c>
      <c r="AR136" s="32">
        <f t="shared" si="14"/>
        <v>40000</v>
      </c>
      <c r="AS136" s="30">
        <v>20</v>
      </c>
    </row>
    <row r="137" spans="1:45" ht="15.6" x14ac:dyDescent="0.3">
      <c r="A137" s="19">
        <v>134</v>
      </c>
      <c r="B137" s="21" t="s">
        <v>155</v>
      </c>
      <c r="C137" s="20" t="s">
        <v>160</v>
      </c>
      <c r="D137" s="324"/>
      <c r="E137" s="22">
        <v>15.8</v>
      </c>
      <c r="F137" s="23">
        <f t="shared" si="10"/>
        <v>39500</v>
      </c>
      <c r="G137" s="19">
        <v>0</v>
      </c>
      <c r="H137" s="23">
        <v>0</v>
      </c>
      <c r="I137" s="24">
        <v>0</v>
      </c>
      <c r="J137" s="19">
        <v>0</v>
      </c>
      <c r="K137" s="23">
        <v>0</v>
      </c>
      <c r="L137" s="24">
        <v>0</v>
      </c>
      <c r="M137" s="25">
        <v>4.8</v>
      </c>
      <c r="N137" s="26">
        <v>12000</v>
      </c>
      <c r="O137" s="27">
        <v>12</v>
      </c>
      <c r="P137" s="28">
        <f t="shared" si="11"/>
        <v>2</v>
      </c>
      <c r="Q137" s="29">
        <f t="shared" si="12"/>
        <v>5000</v>
      </c>
      <c r="R137" s="30">
        <v>5</v>
      </c>
      <c r="S137" s="19">
        <v>0</v>
      </c>
      <c r="T137" s="23">
        <v>0</v>
      </c>
      <c r="U137" s="24">
        <v>0</v>
      </c>
      <c r="V137" s="31">
        <f t="shared" si="13"/>
        <v>6.4</v>
      </c>
      <c r="W137" s="32">
        <v>16000</v>
      </c>
      <c r="X137" s="30">
        <v>16</v>
      </c>
      <c r="Y137" s="19">
        <v>0</v>
      </c>
      <c r="Z137" s="23">
        <v>0</v>
      </c>
      <c r="AA137" s="24">
        <v>0</v>
      </c>
      <c r="AB137" s="33">
        <v>0</v>
      </c>
      <c r="AC137" s="34">
        <v>0</v>
      </c>
      <c r="AD137" s="35">
        <v>0</v>
      </c>
      <c r="AE137" s="36">
        <v>0</v>
      </c>
      <c r="AF137" s="23">
        <v>0</v>
      </c>
      <c r="AG137" s="24">
        <v>0</v>
      </c>
      <c r="AH137" s="33">
        <v>0</v>
      </c>
      <c r="AI137" s="37">
        <v>0</v>
      </c>
      <c r="AJ137" s="35">
        <v>0</v>
      </c>
      <c r="AK137" s="36">
        <v>0</v>
      </c>
      <c r="AL137" s="38">
        <v>0</v>
      </c>
      <c r="AM137" s="35">
        <v>0</v>
      </c>
      <c r="AN137" s="19">
        <v>0</v>
      </c>
      <c r="AO137" s="23">
        <v>0</v>
      </c>
      <c r="AP137" s="24">
        <v>0</v>
      </c>
      <c r="AQ137" s="31">
        <f t="shared" si="14"/>
        <v>13.2</v>
      </c>
      <c r="AR137" s="32">
        <f t="shared" si="14"/>
        <v>33000</v>
      </c>
      <c r="AS137" s="30">
        <v>17</v>
      </c>
    </row>
    <row r="138" spans="1:45" ht="15.6" x14ac:dyDescent="0.3">
      <c r="A138" s="19">
        <v>135</v>
      </c>
      <c r="B138" s="21" t="s">
        <v>155</v>
      </c>
      <c r="C138" s="20" t="s">
        <v>161</v>
      </c>
      <c r="D138" s="324"/>
      <c r="E138" s="22">
        <v>14</v>
      </c>
      <c r="F138" s="23">
        <f t="shared" si="10"/>
        <v>35000</v>
      </c>
      <c r="G138" s="19">
        <v>0</v>
      </c>
      <c r="H138" s="23">
        <v>0</v>
      </c>
      <c r="I138" s="24">
        <v>0</v>
      </c>
      <c r="J138" s="19">
        <v>0</v>
      </c>
      <c r="K138" s="23">
        <v>0</v>
      </c>
      <c r="L138" s="24">
        <v>0</v>
      </c>
      <c r="M138" s="25">
        <v>3.2</v>
      </c>
      <c r="N138" s="26">
        <v>8000</v>
      </c>
      <c r="O138" s="27">
        <v>8</v>
      </c>
      <c r="P138" s="28">
        <f t="shared" si="11"/>
        <v>4.4000000000000004</v>
      </c>
      <c r="Q138" s="29">
        <f t="shared" si="12"/>
        <v>11000</v>
      </c>
      <c r="R138" s="30">
        <v>11</v>
      </c>
      <c r="S138" s="19">
        <v>0</v>
      </c>
      <c r="T138" s="23">
        <v>0</v>
      </c>
      <c r="U138" s="24">
        <v>0</v>
      </c>
      <c r="V138" s="31">
        <f t="shared" si="13"/>
        <v>7.2</v>
      </c>
      <c r="W138" s="32">
        <v>18000</v>
      </c>
      <c r="X138" s="30">
        <v>18</v>
      </c>
      <c r="Y138" s="19">
        <v>0</v>
      </c>
      <c r="Z138" s="23">
        <v>0</v>
      </c>
      <c r="AA138" s="24">
        <v>0</v>
      </c>
      <c r="AB138" s="33">
        <v>0</v>
      </c>
      <c r="AC138" s="34">
        <v>0</v>
      </c>
      <c r="AD138" s="35">
        <v>0</v>
      </c>
      <c r="AE138" s="36">
        <v>0</v>
      </c>
      <c r="AF138" s="23">
        <v>0</v>
      </c>
      <c r="AG138" s="24">
        <v>0</v>
      </c>
      <c r="AH138" s="33">
        <v>0</v>
      </c>
      <c r="AI138" s="37">
        <v>0</v>
      </c>
      <c r="AJ138" s="35">
        <v>0</v>
      </c>
      <c r="AK138" s="36">
        <v>0</v>
      </c>
      <c r="AL138" s="38">
        <v>0</v>
      </c>
      <c r="AM138" s="35">
        <v>0</v>
      </c>
      <c r="AN138" s="19">
        <v>0</v>
      </c>
      <c r="AO138" s="23">
        <v>0</v>
      </c>
      <c r="AP138" s="24">
        <v>0</v>
      </c>
      <c r="AQ138" s="31">
        <f t="shared" si="14"/>
        <v>14.8</v>
      </c>
      <c r="AR138" s="32">
        <f t="shared" si="14"/>
        <v>37000</v>
      </c>
      <c r="AS138" s="30">
        <v>19</v>
      </c>
    </row>
    <row r="139" spans="1:45" ht="15.6" x14ac:dyDescent="0.3">
      <c r="A139" s="19">
        <v>136</v>
      </c>
      <c r="B139" s="21" t="s">
        <v>162</v>
      </c>
      <c r="C139" s="20" t="s">
        <v>163</v>
      </c>
      <c r="D139" s="324"/>
      <c r="E139" s="22">
        <v>14.2</v>
      </c>
      <c r="F139" s="23">
        <f t="shared" si="10"/>
        <v>35500</v>
      </c>
      <c r="G139" s="19">
        <v>0</v>
      </c>
      <c r="H139" s="23">
        <v>0</v>
      </c>
      <c r="I139" s="24">
        <v>0</v>
      </c>
      <c r="J139" s="19">
        <v>0</v>
      </c>
      <c r="K139" s="23">
        <v>0</v>
      </c>
      <c r="L139" s="24">
        <v>0</v>
      </c>
      <c r="M139" s="25">
        <v>4</v>
      </c>
      <c r="N139" s="26">
        <v>10000</v>
      </c>
      <c r="O139" s="27">
        <v>10</v>
      </c>
      <c r="P139" s="28">
        <f t="shared" si="11"/>
        <v>3.2</v>
      </c>
      <c r="Q139" s="29">
        <f t="shared" si="12"/>
        <v>8000</v>
      </c>
      <c r="R139" s="30">
        <v>8</v>
      </c>
      <c r="S139" s="19">
        <v>0</v>
      </c>
      <c r="T139" s="23">
        <v>0</v>
      </c>
      <c r="U139" s="24">
        <v>0</v>
      </c>
      <c r="V139" s="31">
        <f t="shared" si="13"/>
        <v>7.2</v>
      </c>
      <c r="W139" s="32">
        <v>18000</v>
      </c>
      <c r="X139" s="30">
        <v>18</v>
      </c>
      <c r="Y139" s="19">
        <v>0</v>
      </c>
      <c r="Z139" s="23">
        <v>0</v>
      </c>
      <c r="AA139" s="24">
        <v>0</v>
      </c>
      <c r="AB139" s="33">
        <v>0</v>
      </c>
      <c r="AC139" s="34">
        <v>0</v>
      </c>
      <c r="AD139" s="35">
        <v>0</v>
      </c>
      <c r="AE139" s="36">
        <v>0</v>
      </c>
      <c r="AF139" s="23">
        <v>0</v>
      </c>
      <c r="AG139" s="24">
        <v>0</v>
      </c>
      <c r="AH139" s="33">
        <v>0</v>
      </c>
      <c r="AI139" s="37">
        <v>0</v>
      </c>
      <c r="AJ139" s="35">
        <v>0</v>
      </c>
      <c r="AK139" s="36">
        <v>0</v>
      </c>
      <c r="AL139" s="38">
        <v>0</v>
      </c>
      <c r="AM139" s="35">
        <v>0</v>
      </c>
      <c r="AN139" s="19">
        <v>0</v>
      </c>
      <c r="AO139" s="23">
        <v>0</v>
      </c>
      <c r="AP139" s="24">
        <v>0</v>
      </c>
      <c r="AQ139" s="31">
        <f t="shared" si="14"/>
        <v>14.4</v>
      </c>
      <c r="AR139" s="32">
        <f t="shared" si="14"/>
        <v>36000</v>
      </c>
      <c r="AS139" s="30">
        <v>18</v>
      </c>
    </row>
    <row r="140" spans="1:45" ht="15.6" x14ac:dyDescent="0.3">
      <c r="A140" s="19">
        <v>137</v>
      </c>
      <c r="B140" s="21" t="s">
        <v>162</v>
      </c>
      <c r="C140" s="20" t="s">
        <v>164</v>
      </c>
      <c r="D140" s="324" t="s">
        <v>25</v>
      </c>
      <c r="E140" s="22">
        <v>19.399999999999999</v>
      </c>
      <c r="F140" s="23">
        <f t="shared" si="10"/>
        <v>48500</v>
      </c>
      <c r="G140" s="19">
        <v>0</v>
      </c>
      <c r="H140" s="23">
        <v>0</v>
      </c>
      <c r="I140" s="24">
        <v>0</v>
      </c>
      <c r="J140" s="19">
        <v>0</v>
      </c>
      <c r="K140" s="23">
        <v>0</v>
      </c>
      <c r="L140" s="24">
        <v>0</v>
      </c>
      <c r="M140" s="25">
        <v>6</v>
      </c>
      <c r="N140" s="26">
        <v>15000</v>
      </c>
      <c r="O140" s="27">
        <v>15</v>
      </c>
      <c r="P140" s="28">
        <f t="shared" si="11"/>
        <v>1.6</v>
      </c>
      <c r="Q140" s="29">
        <f t="shared" si="12"/>
        <v>4000</v>
      </c>
      <c r="R140" s="30">
        <v>4</v>
      </c>
      <c r="S140" s="19">
        <v>0</v>
      </c>
      <c r="T140" s="23">
        <v>0</v>
      </c>
      <c r="U140" s="24">
        <v>0</v>
      </c>
      <c r="V140" s="31">
        <f t="shared" si="13"/>
        <v>8</v>
      </c>
      <c r="W140" s="32">
        <v>20000</v>
      </c>
      <c r="X140" s="30">
        <v>20</v>
      </c>
      <c r="Y140" s="19">
        <v>0</v>
      </c>
      <c r="Z140" s="23">
        <v>0</v>
      </c>
      <c r="AA140" s="24">
        <v>0</v>
      </c>
      <c r="AB140" s="33">
        <v>0</v>
      </c>
      <c r="AC140" s="34">
        <v>0</v>
      </c>
      <c r="AD140" s="35">
        <v>0</v>
      </c>
      <c r="AE140" s="36">
        <v>0</v>
      </c>
      <c r="AF140" s="23">
        <v>0</v>
      </c>
      <c r="AG140" s="24">
        <v>0</v>
      </c>
      <c r="AH140" s="33">
        <v>0</v>
      </c>
      <c r="AI140" s="37">
        <v>0</v>
      </c>
      <c r="AJ140" s="35">
        <v>0</v>
      </c>
      <c r="AK140" s="36">
        <v>0</v>
      </c>
      <c r="AL140" s="38">
        <v>0</v>
      </c>
      <c r="AM140" s="35">
        <v>0</v>
      </c>
      <c r="AN140" s="19">
        <v>0</v>
      </c>
      <c r="AO140" s="23">
        <v>0</v>
      </c>
      <c r="AP140" s="24">
        <v>0</v>
      </c>
      <c r="AQ140" s="31">
        <f t="shared" si="14"/>
        <v>15.6</v>
      </c>
      <c r="AR140" s="32">
        <f t="shared" si="14"/>
        <v>39000</v>
      </c>
      <c r="AS140" s="30">
        <v>20</v>
      </c>
    </row>
    <row r="141" spans="1:45" ht="15.6" x14ac:dyDescent="0.3">
      <c r="A141" s="19">
        <v>138</v>
      </c>
      <c r="B141" s="21" t="s">
        <v>162</v>
      </c>
      <c r="C141" s="20" t="s">
        <v>165</v>
      </c>
      <c r="D141" s="324"/>
      <c r="E141" s="22">
        <v>13</v>
      </c>
      <c r="F141" s="23">
        <f t="shared" si="10"/>
        <v>32500</v>
      </c>
      <c r="G141" s="19">
        <v>0</v>
      </c>
      <c r="H141" s="23">
        <v>0</v>
      </c>
      <c r="I141" s="24">
        <v>0</v>
      </c>
      <c r="J141" s="19">
        <v>0</v>
      </c>
      <c r="K141" s="23">
        <v>0</v>
      </c>
      <c r="L141" s="24">
        <v>0</v>
      </c>
      <c r="M141" s="25">
        <v>2.8</v>
      </c>
      <c r="N141" s="26">
        <v>7000</v>
      </c>
      <c r="O141" s="27">
        <v>7</v>
      </c>
      <c r="P141" s="28">
        <f t="shared" si="11"/>
        <v>4.8</v>
      </c>
      <c r="Q141" s="29">
        <f t="shared" si="12"/>
        <v>12000</v>
      </c>
      <c r="R141" s="30">
        <v>12</v>
      </c>
      <c r="S141" s="19">
        <v>0</v>
      </c>
      <c r="T141" s="23">
        <v>0</v>
      </c>
      <c r="U141" s="24">
        <v>0</v>
      </c>
      <c r="V141" s="31">
        <f t="shared" si="13"/>
        <v>7.6</v>
      </c>
      <c r="W141" s="32">
        <v>19000</v>
      </c>
      <c r="X141" s="30">
        <v>19</v>
      </c>
      <c r="Y141" s="19">
        <v>0</v>
      </c>
      <c r="Z141" s="23">
        <v>0</v>
      </c>
      <c r="AA141" s="24">
        <v>0</v>
      </c>
      <c r="AB141" s="33">
        <v>0</v>
      </c>
      <c r="AC141" s="34">
        <v>0</v>
      </c>
      <c r="AD141" s="35">
        <v>0</v>
      </c>
      <c r="AE141" s="36">
        <v>0</v>
      </c>
      <c r="AF141" s="23">
        <v>0</v>
      </c>
      <c r="AG141" s="24">
        <v>0</v>
      </c>
      <c r="AH141" s="33">
        <v>0</v>
      </c>
      <c r="AI141" s="37">
        <v>0</v>
      </c>
      <c r="AJ141" s="35">
        <v>0</v>
      </c>
      <c r="AK141" s="36">
        <v>0</v>
      </c>
      <c r="AL141" s="38">
        <v>0</v>
      </c>
      <c r="AM141" s="35">
        <v>0</v>
      </c>
      <c r="AN141" s="19">
        <v>0</v>
      </c>
      <c r="AO141" s="23">
        <v>0</v>
      </c>
      <c r="AP141" s="24">
        <v>0</v>
      </c>
      <c r="AQ141" s="31">
        <f t="shared" si="14"/>
        <v>15.2</v>
      </c>
      <c r="AR141" s="32">
        <f t="shared" si="14"/>
        <v>38000</v>
      </c>
      <c r="AS141" s="30">
        <v>19</v>
      </c>
    </row>
    <row r="142" spans="1:45" ht="15.6" x14ac:dyDescent="0.3">
      <c r="A142" s="19">
        <v>139</v>
      </c>
      <c r="B142" s="21" t="s">
        <v>162</v>
      </c>
      <c r="C142" s="20" t="s">
        <v>166</v>
      </c>
      <c r="D142" s="324"/>
      <c r="E142" s="22">
        <v>17</v>
      </c>
      <c r="F142" s="23">
        <f t="shared" si="10"/>
        <v>42500</v>
      </c>
      <c r="G142" s="19">
        <v>0</v>
      </c>
      <c r="H142" s="23">
        <v>0</v>
      </c>
      <c r="I142" s="24">
        <v>0</v>
      </c>
      <c r="J142" s="19">
        <v>0</v>
      </c>
      <c r="K142" s="23">
        <v>0</v>
      </c>
      <c r="L142" s="24">
        <v>0</v>
      </c>
      <c r="M142" s="25">
        <v>4.4000000000000004</v>
      </c>
      <c r="N142" s="26">
        <v>11000</v>
      </c>
      <c r="O142" s="27">
        <v>11</v>
      </c>
      <c r="P142" s="28">
        <f t="shared" si="11"/>
        <v>1.6</v>
      </c>
      <c r="Q142" s="29">
        <f t="shared" si="12"/>
        <v>4000</v>
      </c>
      <c r="R142" s="30">
        <v>4</v>
      </c>
      <c r="S142" s="19">
        <v>0</v>
      </c>
      <c r="T142" s="23">
        <v>0</v>
      </c>
      <c r="U142" s="24">
        <v>0</v>
      </c>
      <c r="V142" s="31">
        <f t="shared" si="13"/>
        <v>6</v>
      </c>
      <c r="W142" s="32">
        <v>15000</v>
      </c>
      <c r="X142" s="30">
        <v>15</v>
      </c>
      <c r="Y142" s="19">
        <v>0</v>
      </c>
      <c r="Z142" s="23">
        <v>0</v>
      </c>
      <c r="AA142" s="24">
        <v>0</v>
      </c>
      <c r="AB142" s="33">
        <v>0</v>
      </c>
      <c r="AC142" s="34">
        <v>0</v>
      </c>
      <c r="AD142" s="35">
        <v>0</v>
      </c>
      <c r="AE142" s="36">
        <v>0</v>
      </c>
      <c r="AF142" s="23">
        <v>0</v>
      </c>
      <c r="AG142" s="24">
        <v>0</v>
      </c>
      <c r="AH142" s="33">
        <v>0</v>
      </c>
      <c r="AI142" s="37">
        <v>0</v>
      </c>
      <c r="AJ142" s="35">
        <v>0</v>
      </c>
      <c r="AK142" s="36">
        <v>0</v>
      </c>
      <c r="AL142" s="38">
        <v>0</v>
      </c>
      <c r="AM142" s="35">
        <v>0</v>
      </c>
      <c r="AN142" s="19">
        <v>0</v>
      </c>
      <c r="AO142" s="23">
        <v>0</v>
      </c>
      <c r="AP142" s="24">
        <v>0</v>
      </c>
      <c r="AQ142" s="31">
        <f t="shared" si="14"/>
        <v>12</v>
      </c>
      <c r="AR142" s="32">
        <f t="shared" si="14"/>
        <v>30000</v>
      </c>
      <c r="AS142" s="30">
        <v>15</v>
      </c>
    </row>
    <row r="143" spans="1:45" ht="15.6" x14ac:dyDescent="0.3">
      <c r="A143" s="19">
        <v>140</v>
      </c>
      <c r="B143" s="21" t="s">
        <v>162</v>
      </c>
      <c r="C143" s="20" t="s">
        <v>167</v>
      </c>
      <c r="D143" s="324"/>
      <c r="E143" s="22">
        <v>47.6</v>
      </c>
      <c r="F143" s="23">
        <f t="shared" si="10"/>
        <v>119000</v>
      </c>
      <c r="G143" s="19">
        <v>0</v>
      </c>
      <c r="H143" s="23">
        <v>0</v>
      </c>
      <c r="I143" s="24">
        <v>0</v>
      </c>
      <c r="J143" s="19">
        <v>0</v>
      </c>
      <c r="K143" s="23">
        <v>0</v>
      </c>
      <c r="L143" s="24">
        <v>0</v>
      </c>
      <c r="M143" s="25">
        <v>10.4</v>
      </c>
      <c r="N143" s="26">
        <v>26000</v>
      </c>
      <c r="O143" s="27">
        <v>26</v>
      </c>
      <c r="P143" s="28">
        <f t="shared" si="11"/>
        <v>7.6</v>
      </c>
      <c r="Q143" s="29">
        <f t="shared" si="12"/>
        <v>19000</v>
      </c>
      <c r="R143" s="30">
        <v>19</v>
      </c>
      <c r="S143" s="19">
        <v>0</v>
      </c>
      <c r="T143" s="23">
        <v>0</v>
      </c>
      <c r="U143" s="24">
        <v>0</v>
      </c>
      <c r="V143" s="31">
        <f t="shared" si="13"/>
        <v>16.8</v>
      </c>
      <c r="W143" s="32">
        <v>42000</v>
      </c>
      <c r="X143" s="30">
        <v>42</v>
      </c>
      <c r="Y143" s="19">
        <v>0</v>
      </c>
      <c r="Z143" s="23">
        <v>0</v>
      </c>
      <c r="AA143" s="24">
        <v>0</v>
      </c>
      <c r="AB143" s="33">
        <v>0</v>
      </c>
      <c r="AC143" s="34">
        <v>0</v>
      </c>
      <c r="AD143" s="35">
        <v>0</v>
      </c>
      <c r="AE143" s="36">
        <v>0</v>
      </c>
      <c r="AF143" s="23">
        <v>0</v>
      </c>
      <c r="AG143" s="24">
        <v>0</v>
      </c>
      <c r="AH143" s="33">
        <v>0</v>
      </c>
      <c r="AI143" s="37">
        <v>0</v>
      </c>
      <c r="AJ143" s="35">
        <v>0</v>
      </c>
      <c r="AK143" s="36">
        <v>0</v>
      </c>
      <c r="AL143" s="38">
        <v>0</v>
      </c>
      <c r="AM143" s="35">
        <v>0</v>
      </c>
      <c r="AN143" s="19">
        <v>0</v>
      </c>
      <c r="AO143" s="23">
        <v>0</v>
      </c>
      <c r="AP143" s="24">
        <v>0</v>
      </c>
      <c r="AQ143" s="31">
        <f t="shared" si="14"/>
        <v>34.799999999999997</v>
      </c>
      <c r="AR143" s="32">
        <f t="shared" si="14"/>
        <v>87000</v>
      </c>
      <c r="AS143" s="30">
        <v>45</v>
      </c>
    </row>
    <row r="144" spans="1:45" ht="15.6" x14ac:dyDescent="0.3">
      <c r="A144" s="19">
        <v>141</v>
      </c>
      <c r="B144" s="21" t="s">
        <v>162</v>
      </c>
      <c r="C144" s="20" t="s">
        <v>168</v>
      </c>
      <c r="D144" s="324"/>
      <c r="E144" s="22">
        <v>11.8</v>
      </c>
      <c r="F144" s="23">
        <f t="shared" si="10"/>
        <v>29500</v>
      </c>
      <c r="G144" s="19">
        <v>0</v>
      </c>
      <c r="H144" s="23">
        <v>0</v>
      </c>
      <c r="I144" s="24">
        <v>0</v>
      </c>
      <c r="J144" s="19">
        <v>0</v>
      </c>
      <c r="K144" s="23">
        <v>0</v>
      </c>
      <c r="L144" s="24">
        <v>0</v>
      </c>
      <c r="M144" s="25">
        <v>2.4</v>
      </c>
      <c r="N144" s="26">
        <v>6000</v>
      </c>
      <c r="O144" s="27">
        <v>6</v>
      </c>
      <c r="P144" s="28">
        <f t="shared" si="11"/>
        <v>0.8</v>
      </c>
      <c r="Q144" s="29">
        <f t="shared" si="12"/>
        <v>2000</v>
      </c>
      <c r="R144" s="30">
        <v>2</v>
      </c>
      <c r="S144" s="19">
        <v>0</v>
      </c>
      <c r="T144" s="23">
        <v>0</v>
      </c>
      <c r="U144" s="24">
        <v>0</v>
      </c>
      <c r="V144" s="31">
        <f t="shared" si="13"/>
        <v>3.2</v>
      </c>
      <c r="W144" s="32">
        <v>8000</v>
      </c>
      <c r="X144" s="30">
        <v>8</v>
      </c>
      <c r="Y144" s="19">
        <v>0</v>
      </c>
      <c r="Z144" s="23">
        <v>0</v>
      </c>
      <c r="AA144" s="24">
        <v>0</v>
      </c>
      <c r="AB144" s="33">
        <v>0</v>
      </c>
      <c r="AC144" s="34">
        <v>0</v>
      </c>
      <c r="AD144" s="35">
        <v>0</v>
      </c>
      <c r="AE144" s="36">
        <v>0</v>
      </c>
      <c r="AF144" s="23">
        <v>0</v>
      </c>
      <c r="AG144" s="24">
        <v>0</v>
      </c>
      <c r="AH144" s="33">
        <v>0</v>
      </c>
      <c r="AI144" s="37">
        <v>0</v>
      </c>
      <c r="AJ144" s="35">
        <v>0</v>
      </c>
      <c r="AK144" s="36">
        <v>0</v>
      </c>
      <c r="AL144" s="38">
        <v>0</v>
      </c>
      <c r="AM144" s="35">
        <v>0</v>
      </c>
      <c r="AN144" s="19">
        <v>0</v>
      </c>
      <c r="AO144" s="23">
        <v>0</v>
      </c>
      <c r="AP144" s="24">
        <v>0</v>
      </c>
      <c r="AQ144" s="31">
        <f t="shared" si="14"/>
        <v>6.4</v>
      </c>
      <c r="AR144" s="32">
        <f t="shared" si="14"/>
        <v>16000</v>
      </c>
      <c r="AS144" s="30">
        <v>8</v>
      </c>
    </row>
    <row r="145" spans="1:45" ht="15.6" x14ac:dyDescent="0.3">
      <c r="A145" s="19">
        <v>142</v>
      </c>
      <c r="B145" s="21" t="s">
        <v>162</v>
      </c>
      <c r="C145" s="20" t="s">
        <v>77</v>
      </c>
      <c r="D145" s="324"/>
      <c r="E145" s="22">
        <v>3</v>
      </c>
      <c r="F145" s="23">
        <f t="shared" si="10"/>
        <v>7500</v>
      </c>
      <c r="G145" s="19">
        <v>0</v>
      </c>
      <c r="H145" s="23">
        <v>0</v>
      </c>
      <c r="I145" s="24">
        <v>0</v>
      </c>
      <c r="J145" s="19">
        <v>0</v>
      </c>
      <c r="K145" s="23">
        <v>0</v>
      </c>
      <c r="L145" s="24">
        <v>0</v>
      </c>
      <c r="M145" s="25">
        <v>1</v>
      </c>
      <c r="N145" s="26">
        <v>1000</v>
      </c>
      <c r="O145" s="27">
        <v>1</v>
      </c>
      <c r="P145" s="28">
        <f t="shared" si="11"/>
        <v>0.8</v>
      </c>
      <c r="Q145" s="29">
        <f t="shared" si="12"/>
        <v>2000</v>
      </c>
      <c r="R145" s="30">
        <v>2</v>
      </c>
      <c r="S145" s="19">
        <v>0</v>
      </c>
      <c r="T145" s="23">
        <v>0</v>
      </c>
      <c r="U145" s="24">
        <v>0</v>
      </c>
      <c r="V145" s="31">
        <f t="shared" si="13"/>
        <v>1.6</v>
      </c>
      <c r="W145" s="32">
        <v>4000</v>
      </c>
      <c r="X145" s="30">
        <v>4</v>
      </c>
      <c r="Y145" s="19">
        <v>0</v>
      </c>
      <c r="Z145" s="23">
        <v>0</v>
      </c>
      <c r="AA145" s="24">
        <v>0</v>
      </c>
      <c r="AB145" s="33">
        <v>0</v>
      </c>
      <c r="AC145" s="34">
        <v>0</v>
      </c>
      <c r="AD145" s="35">
        <v>0</v>
      </c>
      <c r="AE145" s="36">
        <v>0</v>
      </c>
      <c r="AF145" s="23">
        <v>0</v>
      </c>
      <c r="AG145" s="24">
        <v>0</v>
      </c>
      <c r="AH145" s="33">
        <v>0</v>
      </c>
      <c r="AI145" s="37">
        <v>0</v>
      </c>
      <c r="AJ145" s="35">
        <v>0</v>
      </c>
      <c r="AK145" s="36">
        <v>0</v>
      </c>
      <c r="AL145" s="38">
        <v>0</v>
      </c>
      <c r="AM145" s="35">
        <v>0</v>
      </c>
      <c r="AN145" s="19">
        <v>0</v>
      </c>
      <c r="AO145" s="23">
        <v>0</v>
      </c>
      <c r="AP145" s="24">
        <v>0</v>
      </c>
      <c r="AQ145" s="31">
        <f t="shared" si="14"/>
        <v>3.4000000000000004</v>
      </c>
      <c r="AR145" s="32">
        <f t="shared" si="14"/>
        <v>7000</v>
      </c>
      <c r="AS145" s="30">
        <v>4</v>
      </c>
    </row>
    <row r="146" spans="1:45" ht="15.6" x14ac:dyDescent="0.3">
      <c r="A146" s="19">
        <v>143</v>
      </c>
      <c r="B146" s="21" t="s">
        <v>162</v>
      </c>
      <c r="C146" s="20" t="s">
        <v>169</v>
      </c>
      <c r="D146" s="324"/>
      <c r="E146" s="22">
        <v>26.6</v>
      </c>
      <c r="F146" s="23">
        <f t="shared" si="10"/>
        <v>66500</v>
      </c>
      <c r="G146" s="19">
        <v>0</v>
      </c>
      <c r="H146" s="23">
        <v>0</v>
      </c>
      <c r="I146" s="24">
        <v>0</v>
      </c>
      <c r="J146" s="19">
        <v>0</v>
      </c>
      <c r="K146" s="23">
        <v>0</v>
      </c>
      <c r="L146" s="24">
        <v>0</v>
      </c>
      <c r="M146" s="25">
        <v>4.4000000000000004</v>
      </c>
      <c r="N146" s="26">
        <v>11000</v>
      </c>
      <c r="O146" s="27">
        <v>11</v>
      </c>
      <c r="P146" s="28">
        <f t="shared" si="11"/>
        <v>2.8</v>
      </c>
      <c r="Q146" s="29">
        <f t="shared" si="12"/>
        <v>7000</v>
      </c>
      <c r="R146" s="30">
        <v>7</v>
      </c>
      <c r="S146" s="19">
        <v>0</v>
      </c>
      <c r="T146" s="23">
        <v>0</v>
      </c>
      <c r="U146" s="24">
        <v>0</v>
      </c>
      <c r="V146" s="31">
        <f t="shared" si="13"/>
        <v>6.8</v>
      </c>
      <c r="W146" s="32">
        <v>17000</v>
      </c>
      <c r="X146" s="30">
        <v>17</v>
      </c>
      <c r="Y146" s="19">
        <v>0</v>
      </c>
      <c r="Z146" s="23">
        <v>0</v>
      </c>
      <c r="AA146" s="24">
        <v>0</v>
      </c>
      <c r="AB146" s="33">
        <v>0</v>
      </c>
      <c r="AC146" s="34">
        <v>0</v>
      </c>
      <c r="AD146" s="35">
        <v>0</v>
      </c>
      <c r="AE146" s="36">
        <v>0</v>
      </c>
      <c r="AF146" s="23">
        <v>0</v>
      </c>
      <c r="AG146" s="24">
        <v>0</v>
      </c>
      <c r="AH146" s="33">
        <v>0</v>
      </c>
      <c r="AI146" s="37">
        <v>0</v>
      </c>
      <c r="AJ146" s="35">
        <v>0</v>
      </c>
      <c r="AK146" s="36">
        <v>0</v>
      </c>
      <c r="AL146" s="38">
        <v>0</v>
      </c>
      <c r="AM146" s="35">
        <v>0</v>
      </c>
      <c r="AN146" s="19">
        <v>0</v>
      </c>
      <c r="AO146" s="23">
        <v>0</v>
      </c>
      <c r="AP146" s="24">
        <v>0</v>
      </c>
      <c r="AQ146" s="31">
        <f t="shared" si="14"/>
        <v>14</v>
      </c>
      <c r="AR146" s="32">
        <f t="shared" si="14"/>
        <v>35000</v>
      </c>
      <c r="AS146" s="30">
        <v>18</v>
      </c>
    </row>
    <row r="147" spans="1:45" ht="15.6" x14ac:dyDescent="0.3">
      <c r="A147" s="19">
        <v>144</v>
      </c>
      <c r="B147" s="21" t="s">
        <v>162</v>
      </c>
      <c r="C147" s="20" t="s">
        <v>170</v>
      </c>
      <c r="D147" s="324"/>
      <c r="E147" s="22">
        <v>5</v>
      </c>
      <c r="F147" s="23">
        <f t="shared" si="10"/>
        <v>12500</v>
      </c>
      <c r="G147" s="19">
        <v>0</v>
      </c>
      <c r="H147" s="23">
        <v>0</v>
      </c>
      <c r="I147" s="24">
        <v>0</v>
      </c>
      <c r="J147" s="19">
        <v>0</v>
      </c>
      <c r="K147" s="23">
        <v>0</v>
      </c>
      <c r="L147" s="24">
        <v>0</v>
      </c>
      <c r="M147" s="25">
        <v>1.2</v>
      </c>
      <c r="N147" s="26">
        <v>3000</v>
      </c>
      <c r="O147" s="27">
        <v>3</v>
      </c>
      <c r="P147" s="28">
        <f t="shared" si="11"/>
        <v>0.4</v>
      </c>
      <c r="Q147" s="29">
        <f t="shared" si="12"/>
        <v>1000</v>
      </c>
      <c r="R147" s="30">
        <v>1</v>
      </c>
      <c r="S147" s="19">
        <v>0</v>
      </c>
      <c r="T147" s="23">
        <v>0</v>
      </c>
      <c r="U147" s="24">
        <v>0</v>
      </c>
      <c r="V147" s="31">
        <f t="shared" si="13"/>
        <v>1.6</v>
      </c>
      <c r="W147" s="32">
        <v>4000</v>
      </c>
      <c r="X147" s="30">
        <v>4</v>
      </c>
      <c r="Y147" s="19">
        <v>0</v>
      </c>
      <c r="Z147" s="23">
        <v>0</v>
      </c>
      <c r="AA147" s="24">
        <v>0</v>
      </c>
      <c r="AB147" s="33">
        <v>0</v>
      </c>
      <c r="AC147" s="34">
        <v>0</v>
      </c>
      <c r="AD147" s="35">
        <v>0</v>
      </c>
      <c r="AE147" s="36">
        <v>0</v>
      </c>
      <c r="AF147" s="23">
        <v>0</v>
      </c>
      <c r="AG147" s="24">
        <v>0</v>
      </c>
      <c r="AH147" s="33">
        <v>0</v>
      </c>
      <c r="AI147" s="37">
        <v>0</v>
      </c>
      <c r="AJ147" s="35">
        <v>0</v>
      </c>
      <c r="AK147" s="36">
        <v>0</v>
      </c>
      <c r="AL147" s="38">
        <v>0</v>
      </c>
      <c r="AM147" s="35">
        <v>0</v>
      </c>
      <c r="AN147" s="19">
        <v>0</v>
      </c>
      <c r="AO147" s="23">
        <v>0</v>
      </c>
      <c r="AP147" s="24">
        <v>0</v>
      </c>
      <c r="AQ147" s="31">
        <f t="shared" si="14"/>
        <v>3.2</v>
      </c>
      <c r="AR147" s="32">
        <f t="shared" si="14"/>
        <v>8000</v>
      </c>
      <c r="AS147" s="30">
        <v>4</v>
      </c>
    </row>
    <row r="148" spans="1:45" ht="15.6" x14ac:dyDescent="0.3">
      <c r="A148" s="19">
        <v>145</v>
      </c>
      <c r="B148" s="21" t="s">
        <v>162</v>
      </c>
      <c r="C148" s="20" t="s">
        <v>162</v>
      </c>
      <c r="D148" s="324"/>
      <c r="E148" s="22">
        <v>15.8</v>
      </c>
      <c r="F148" s="23">
        <f t="shared" si="10"/>
        <v>39500</v>
      </c>
      <c r="G148" s="19">
        <v>0</v>
      </c>
      <c r="H148" s="23">
        <v>0</v>
      </c>
      <c r="I148" s="24">
        <v>0</v>
      </c>
      <c r="J148" s="19">
        <v>0</v>
      </c>
      <c r="K148" s="23">
        <v>0</v>
      </c>
      <c r="L148" s="24">
        <v>0</v>
      </c>
      <c r="M148" s="25">
        <v>4.8</v>
      </c>
      <c r="N148" s="26">
        <v>12000</v>
      </c>
      <c r="O148" s="27">
        <v>12</v>
      </c>
      <c r="P148" s="28">
        <f t="shared" si="11"/>
        <v>2.4</v>
      </c>
      <c r="Q148" s="29">
        <f t="shared" si="12"/>
        <v>6000</v>
      </c>
      <c r="R148" s="30">
        <v>6</v>
      </c>
      <c r="S148" s="19">
        <v>0</v>
      </c>
      <c r="T148" s="23">
        <v>0</v>
      </c>
      <c r="U148" s="24">
        <v>0</v>
      </c>
      <c r="V148" s="31">
        <f t="shared" si="13"/>
        <v>6.4</v>
      </c>
      <c r="W148" s="32">
        <v>16000</v>
      </c>
      <c r="X148" s="30">
        <v>16</v>
      </c>
      <c r="Y148" s="19">
        <v>0</v>
      </c>
      <c r="Z148" s="23">
        <v>0</v>
      </c>
      <c r="AA148" s="24">
        <v>0</v>
      </c>
      <c r="AB148" s="33">
        <v>0</v>
      </c>
      <c r="AC148" s="34">
        <v>0</v>
      </c>
      <c r="AD148" s="35">
        <v>0</v>
      </c>
      <c r="AE148" s="36">
        <v>0</v>
      </c>
      <c r="AF148" s="23">
        <v>0</v>
      </c>
      <c r="AG148" s="24">
        <v>0</v>
      </c>
      <c r="AH148" s="33">
        <v>0</v>
      </c>
      <c r="AI148" s="37">
        <v>0</v>
      </c>
      <c r="AJ148" s="35">
        <v>0</v>
      </c>
      <c r="AK148" s="36">
        <v>0</v>
      </c>
      <c r="AL148" s="38">
        <v>0</v>
      </c>
      <c r="AM148" s="35">
        <v>0</v>
      </c>
      <c r="AN148" s="19">
        <v>0</v>
      </c>
      <c r="AO148" s="23">
        <v>0</v>
      </c>
      <c r="AP148" s="24">
        <v>0</v>
      </c>
      <c r="AQ148" s="31">
        <f t="shared" si="14"/>
        <v>13.6</v>
      </c>
      <c r="AR148" s="32">
        <f t="shared" si="14"/>
        <v>34000</v>
      </c>
      <c r="AS148" s="30">
        <v>19</v>
      </c>
    </row>
    <row r="149" spans="1:45" ht="15.6" x14ac:dyDescent="0.3">
      <c r="A149" s="19">
        <v>146</v>
      </c>
      <c r="B149" s="21" t="s">
        <v>162</v>
      </c>
      <c r="C149" s="20" t="s">
        <v>171</v>
      </c>
      <c r="D149" s="324"/>
      <c r="E149" s="22">
        <v>31.799999999999997</v>
      </c>
      <c r="F149" s="23">
        <f t="shared" si="10"/>
        <v>79500</v>
      </c>
      <c r="G149" s="19">
        <v>0</v>
      </c>
      <c r="H149" s="23">
        <v>0</v>
      </c>
      <c r="I149" s="24">
        <v>0</v>
      </c>
      <c r="J149" s="19">
        <v>0</v>
      </c>
      <c r="K149" s="23">
        <v>0</v>
      </c>
      <c r="L149" s="24">
        <v>0</v>
      </c>
      <c r="M149" s="25">
        <v>10</v>
      </c>
      <c r="N149" s="26">
        <v>25000</v>
      </c>
      <c r="O149" s="27">
        <v>25</v>
      </c>
      <c r="P149" s="28">
        <f t="shared" si="11"/>
        <v>2</v>
      </c>
      <c r="Q149" s="29">
        <f t="shared" si="12"/>
        <v>5000</v>
      </c>
      <c r="R149" s="30">
        <v>5</v>
      </c>
      <c r="S149" s="19">
        <v>0</v>
      </c>
      <c r="T149" s="23">
        <v>0</v>
      </c>
      <c r="U149" s="24">
        <v>0</v>
      </c>
      <c r="V149" s="31">
        <f t="shared" si="13"/>
        <v>12</v>
      </c>
      <c r="W149" s="32">
        <v>30000</v>
      </c>
      <c r="X149" s="30">
        <v>30</v>
      </c>
      <c r="Y149" s="19">
        <v>0</v>
      </c>
      <c r="Z149" s="23">
        <v>0</v>
      </c>
      <c r="AA149" s="24">
        <v>0</v>
      </c>
      <c r="AB149" s="33">
        <v>0</v>
      </c>
      <c r="AC149" s="34">
        <v>0</v>
      </c>
      <c r="AD149" s="35">
        <v>0</v>
      </c>
      <c r="AE149" s="36">
        <v>0</v>
      </c>
      <c r="AF149" s="23">
        <v>0</v>
      </c>
      <c r="AG149" s="24">
        <v>0</v>
      </c>
      <c r="AH149" s="33">
        <v>0</v>
      </c>
      <c r="AI149" s="37">
        <v>0</v>
      </c>
      <c r="AJ149" s="35">
        <v>0</v>
      </c>
      <c r="AK149" s="36">
        <v>0</v>
      </c>
      <c r="AL149" s="38">
        <v>0</v>
      </c>
      <c r="AM149" s="35">
        <v>0</v>
      </c>
      <c r="AN149" s="19">
        <v>0</v>
      </c>
      <c r="AO149" s="23">
        <v>0</v>
      </c>
      <c r="AP149" s="24">
        <v>0</v>
      </c>
      <c r="AQ149" s="31">
        <f t="shared" si="14"/>
        <v>24</v>
      </c>
      <c r="AR149" s="32">
        <f t="shared" si="14"/>
        <v>60000</v>
      </c>
      <c r="AS149" s="30">
        <v>31</v>
      </c>
    </row>
    <row r="150" spans="1:45" ht="15.6" x14ac:dyDescent="0.3">
      <c r="A150" s="19">
        <v>147</v>
      </c>
      <c r="B150" s="21" t="s">
        <v>162</v>
      </c>
      <c r="C150" s="20" t="s">
        <v>172</v>
      </c>
      <c r="D150" s="324"/>
      <c r="E150" s="22">
        <v>34.200000000000003</v>
      </c>
      <c r="F150" s="23">
        <f t="shared" si="10"/>
        <v>85500</v>
      </c>
      <c r="G150" s="19">
        <v>0</v>
      </c>
      <c r="H150" s="23">
        <v>0</v>
      </c>
      <c r="I150" s="24">
        <v>0</v>
      </c>
      <c r="J150" s="19">
        <v>0</v>
      </c>
      <c r="K150" s="23">
        <v>0</v>
      </c>
      <c r="L150" s="24">
        <v>0</v>
      </c>
      <c r="M150" s="25">
        <v>11.6</v>
      </c>
      <c r="N150" s="26">
        <v>29000</v>
      </c>
      <c r="O150" s="27">
        <v>29</v>
      </c>
      <c r="P150" s="28">
        <f t="shared" si="11"/>
        <v>5.2</v>
      </c>
      <c r="Q150" s="29">
        <f t="shared" si="12"/>
        <v>13000</v>
      </c>
      <c r="R150" s="30">
        <v>13</v>
      </c>
      <c r="S150" s="19">
        <v>0</v>
      </c>
      <c r="T150" s="23">
        <v>0</v>
      </c>
      <c r="U150" s="24">
        <v>0</v>
      </c>
      <c r="V150" s="31">
        <f t="shared" si="13"/>
        <v>17.2</v>
      </c>
      <c r="W150" s="32">
        <v>43000</v>
      </c>
      <c r="X150" s="30">
        <v>43</v>
      </c>
      <c r="Y150" s="19">
        <v>0</v>
      </c>
      <c r="Z150" s="23">
        <v>0</v>
      </c>
      <c r="AA150" s="24">
        <v>0</v>
      </c>
      <c r="AB150" s="33">
        <v>0</v>
      </c>
      <c r="AC150" s="34">
        <v>0</v>
      </c>
      <c r="AD150" s="35">
        <v>0</v>
      </c>
      <c r="AE150" s="36">
        <v>0</v>
      </c>
      <c r="AF150" s="23">
        <v>0</v>
      </c>
      <c r="AG150" s="24">
        <v>0</v>
      </c>
      <c r="AH150" s="33">
        <v>0</v>
      </c>
      <c r="AI150" s="37">
        <v>0</v>
      </c>
      <c r="AJ150" s="35">
        <v>0</v>
      </c>
      <c r="AK150" s="36">
        <v>0</v>
      </c>
      <c r="AL150" s="38">
        <v>0</v>
      </c>
      <c r="AM150" s="35">
        <v>0</v>
      </c>
      <c r="AN150" s="19">
        <v>0</v>
      </c>
      <c r="AO150" s="23">
        <v>0</v>
      </c>
      <c r="AP150" s="24">
        <v>0</v>
      </c>
      <c r="AQ150" s="31">
        <f t="shared" si="14"/>
        <v>34</v>
      </c>
      <c r="AR150" s="32">
        <f t="shared" si="14"/>
        <v>85000</v>
      </c>
      <c r="AS150" s="30">
        <v>43</v>
      </c>
    </row>
    <row r="151" spans="1:45" ht="15.6" x14ac:dyDescent="0.3">
      <c r="A151" s="19">
        <v>148</v>
      </c>
      <c r="B151" s="21" t="s">
        <v>162</v>
      </c>
      <c r="C151" s="20" t="s">
        <v>173</v>
      </c>
      <c r="D151" s="324"/>
      <c r="E151" s="22">
        <v>9</v>
      </c>
      <c r="F151" s="23">
        <f t="shared" si="10"/>
        <v>22500</v>
      </c>
      <c r="G151" s="19">
        <v>0</v>
      </c>
      <c r="H151" s="23">
        <v>0</v>
      </c>
      <c r="I151" s="24">
        <v>0</v>
      </c>
      <c r="J151" s="19">
        <v>0</v>
      </c>
      <c r="K151" s="23">
        <v>0</v>
      </c>
      <c r="L151" s="24">
        <v>0</v>
      </c>
      <c r="M151" s="25">
        <v>2.4</v>
      </c>
      <c r="N151" s="26">
        <v>6000</v>
      </c>
      <c r="O151" s="27">
        <v>6</v>
      </c>
      <c r="P151" s="28">
        <f t="shared" si="11"/>
        <v>1.6</v>
      </c>
      <c r="Q151" s="29">
        <f t="shared" si="12"/>
        <v>4000</v>
      </c>
      <c r="R151" s="30">
        <v>4</v>
      </c>
      <c r="S151" s="19">
        <v>0</v>
      </c>
      <c r="T151" s="23">
        <v>0</v>
      </c>
      <c r="U151" s="24">
        <v>0</v>
      </c>
      <c r="V151" s="31">
        <f t="shared" si="13"/>
        <v>4</v>
      </c>
      <c r="W151" s="32">
        <v>10000</v>
      </c>
      <c r="X151" s="30">
        <v>10</v>
      </c>
      <c r="Y151" s="19">
        <v>0</v>
      </c>
      <c r="Z151" s="23">
        <v>0</v>
      </c>
      <c r="AA151" s="24">
        <v>0</v>
      </c>
      <c r="AB151" s="33">
        <v>0</v>
      </c>
      <c r="AC151" s="34">
        <v>0</v>
      </c>
      <c r="AD151" s="35">
        <v>0</v>
      </c>
      <c r="AE151" s="36">
        <v>0</v>
      </c>
      <c r="AF151" s="23">
        <v>0</v>
      </c>
      <c r="AG151" s="24">
        <v>0</v>
      </c>
      <c r="AH151" s="33">
        <v>0</v>
      </c>
      <c r="AI151" s="37">
        <v>0</v>
      </c>
      <c r="AJ151" s="35">
        <v>0</v>
      </c>
      <c r="AK151" s="36">
        <v>0</v>
      </c>
      <c r="AL151" s="38">
        <v>0</v>
      </c>
      <c r="AM151" s="35">
        <v>0</v>
      </c>
      <c r="AN151" s="19">
        <v>0</v>
      </c>
      <c r="AO151" s="23">
        <v>0</v>
      </c>
      <c r="AP151" s="24">
        <v>0</v>
      </c>
      <c r="AQ151" s="31">
        <f t="shared" si="14"/>
        <v>8</v>
      </c>
      <c r="AR151" s="32">
        <f t="shared" si="14"/>
        <v>20000</v>
      </c>
      <c r="AS151" s="30">
        <v>10</v>
      </c>
    </row>
    <row r="152" spans="1:45" ht="15.6" x14ac:dyDescent="0.3">
      <c r="A152" s="19">
        <v>149</v>
      </c>
      <c r="B152" s="21" t="s">
        <v>162</v>
      </c>
      <c r="C152" s="20" t="s">
        <v>174</v>
      </c>
      <c r="D152" s="324"/>
      <c r="E152" s="22">
        <v>12</v>
      </c>
      <c r="F152" s="23">
        <f t="shared" si="10"/>
        <v>30000</v>
      </c>
      <c r="G152" s="19">
        <v>0</v>
      </c>
      <c r="H152" s="23">
        <v>0</v>
      </c>
      <c r="I152" s="24">
        <v>0</v>
      </c>
      <c r="J152" s="19">
        <v>0</v>
      </c>
      <c r="K152" s="23">
        <v>0</v>
      </c>
      <c r="L152" s="24">
        <v>0</v>
      </c>
      <c r="M152" s="25">
        <v>3.2</v>
      </c>
      <c r="N152" s="26">
        <v>8000</v>
      </c>
      <c r="O152" s="27">
        <v>8</v>
      </c>
      <c r="P152" s="28">
        <f t="shared" si="11"/>
        <v>0.4</v>
      </c>
      <c r="Q152" s="29">
        <f t="shared" si="12"/>
        <v>1000</v>
      </c>
      <c r="R152" s="30">
        <v>1</v>
      </c>
      <c r="S152" s="19">
        <v>0</v>
      </c>
      <c r="T152" s="23">
        <v>0</v>
      </c>
      <c r="U152" s="24">
        <v>0</v>
      </c>
      <c r="V152" s="31">
        <f t="shared" si="13"/>
        <v>4</v>
      </c>
      <c r="W152" s="32">
        <v>10000</v>
      </c>
      <c r="X152" s="30">
        <v>10</v>
      </c>
      <c r="Y152" s="19">
        <v>0</v>
      </c>
      <c r="Z152" s="23">
        <v>0</v>
      </c>
      <c r="AA152" s="24">
        <v>0</v>
      </c>
      <c r="AB152" s="33">
        <v>0</v>
      </c>
      <c r="AC152" s="34">
        <v>0</v>
      </c>
      <c r="AD152" s="35">
        <v>0</v>
      </c>
      <c r="AE152" s="36">
        <v>0</v>
      </c>
      <c r="AF152" s="23">
        <v>0</v>
      </c>
      <c r="AG152" s="24">
        <v>0</v>
      </c>
      <c r="AH152" s="33">
        <v>0</v>
      </c>
      <c r="AI152" s="37">
        <v>0</v>
      </c>
      <c r="AJ152" s="35">
        <v>0</v>
      </c>
      <c r="AK152" s="36">
        <v>0</v>
      </c>
      <c r="AL152" s="38">
        <v>0</v>
      </c>
      <c r="AM152" s="35">
        <v>0</v>
      </c>
      <c r="AN152" s="19">
        <v>0</v>
      </c>
      <c r="AO152" s="23">
        <v>0</v>
      </c>
      <c r="AP152" s="24">
        <v>0</v>
      </c>
      <c r="AQ152" s="31">
        <f t="shared" si="14"/>
        <v>7.6</v>
      </c>
      <c r="AR152" s="32">
        <f t="shared" si="14"/>
        <v>19000</v>
      </c>
      <c r="AS152" s="30">
        <v>10</v>
      </c>
    </row>
    <row r="153" spans="1:45" ht="15.6" x14ac:dyDescent="0.3">
      <c r="A153" s="19">
        <v>150</v>
      </c>
      <c r="B153" s="21" t="s">
        <v>162</v>
      </c>
      <c r="C153" s="20" t="s">
        <v>175</v>
      </c>
      <c r="D153" s="324"/>
      <c r="E153" s="22">
        <v>7.6</v>
      </c>
      <c r="F153" s="23">
        <f t="shared" si="10"/>
        <v>19000</v>
      </c>
      <c r="G153" s="19">
        <v>0</v>
      </c>
      <c r="H153" s="23">
        <v>0</v>
      </c>
      <c r="I153" s="24">
        <v>0</v>
      </c>
      <c r="J153" s="19">
        <v>0</v>
      </c>
      <c r="K153" s="23">
        <v>0</v>
      </c>
      <c r="L153" s="24">
        <v>0</v>
      </c>
      <c r="M153" s="25">
        <v>2.4</v>
      </c>
      <c r="N153" s="26">
        <v>6000</v>
      </c>
      <c r="O153" s="27">
        <v>6</v>
      </c>
      <c r="P153" s="28">
        <f t="shared" si="11"/>
        <v>2.8</v>
      </c>
      <c r="Q153" s="29">
        <f t="shared" si="12"/>
        <v>7000</v>
      </c>
      <c r="R153" s="30">
        <v>7</v>
      </c>
      <c r="S153" s="19">
        <v>0</v>
      </c>
      <c r="T153" s="23">
        <v>0</v>
      </c>
      <c r="U153" s="24">
        <v>0</v>
      </c>
      <c r="V153" s="31">
        <f t="shared" si="13"/>
        <v>5.2</v>
      </c>
      <c r="W153" s="32">
        <v>13000</v>
      </c>
      <c r="X153" s="30">
        <v>13</v>
      </c>
      <c r="Y153" s="19">
        <v>0</v>
      </c>
      <c r="Z153" s="23">
        <v>0</v>
      </c>
      <c r="AA153" s="24">
        <v>0</v>
      </c>
      <c r="AB153" s="33">
        <v>0</v>
      </c>
      <c r="AC153" s="34">
        <v>0</v>
      </c>
      <c r="AD153" s="35">
        <v>0</v>
      </c>
      <c r="AE153" s="36">
        <v>0</v>
      </c>
      <c r="AF153" s="23">
        <v>0</v>
      </c>
      <c r="AG153" s="24">
        <v>0</v>
      </c>
      <c r="AH153" s="33">
        <v>0</v>
      </c>
      <c r="AI153" s="37">
        <v>0</v>
      </c>
      <c r="AJ153" s="35">
        <v>0</v>
      </c>
      <c r="AK153" s="36">
        <v>0</v>
      </c>
      <c r="AL153" s="38">
        <v>0</v>
      </c>
      <c r="AM153" s="35">
        <v>0</v>
      </c>
      <c r="AN153" s="19">
        <v>0</v>
      </c>
      <c r="AO153" s="23">
        <v>0</v>
      </c>
      <c r="AP153" s="24">
        <v>0</v>
      </c>
      <c r="AQ153" s="31">
        <f t="shared" si="14"/>
        <v>10.399999999999999</v>
      </c>
      <c r="AR153" s="32">
        <f t="shared" si="14"/>
        <v>26000</v>
      </c>
      <c r="AS153" s="30">
        <v>14</v>
      </c>
    </row>
    <row r="154" spans="1:45" ht="15.6" x14ac:dyDescent="0.3">
      <c r="A154" s="19">
        <v>151</v>
      </c>
      <c r="B154" s="21" t="s">
        <v>162</v>
      </c>
      <c r="C154" s="20" t="s">
        <v>176</v>
      </c>
      <c r="D154" s="324"/>
      <c r="E154" s="22">
        <v>13</v>
      </c>
      <c r="F154" s="23">
        <f t="shared" si="10"/>
        <v>32500</v>
      </c>
      <c r="G154" s="19">
        <v>0</v>
      </c>
      <c r="H154" s="23">
        <v>0</v>
      </c>
      <c r="I154" s="24">
        <v>0</v>
      </c>
      <c r="J154" s="19">
        <v>0</v>
      </c>
      <c r="K154" s="23">
        <v>0</v>
      </c>
      <c r="L154" s="24">
        <v>0</v>
      </c>
      <c r="M154" s="25">
        <v>4.8</v>
      </c>
      <c r="N154" s="26">
        <v>12000</v>
      </c>
      <c r="O154" s="27">
        <v>12</v>
      </c>
      <c r="P154" s="28">
        <f t="shared" si="11"/>
        <v>0.4</v>
      </c>
      <c r="Q154" s="29">
        <f t="shared" si="12"/>
        <v>1000</v>
      </c>
      <c r="R154" s="30">
        <v>1</v>
      </c>
      <c r="S154" s="19">
        <v>0</v>
      </c>
      <c r="T154" s="23">
        <v>0</v>
      </c>
      <c r="U154" s="24">
        <v>0</v>
      </c>
      <c r="V154" s="31">
        <f t="shared" si="13"/>
        <v>4.8</v>
      </c>
      <c r="W154" s="32">
        <v>12000</v>
      </c>
      <c r="X154" s="30">
        <v>12</v>
      </c>
      <c r="Y154" s="19">
        <v>0</v>
      </c>
      <c r="Z154" s="23">
        <v>0</v>
      </c>
      <c r="AA154" s="24">
        <v>0</v>
      </c>
      <c r="AB154" s="33">
        <v>0</v>
      </c>
      <c r="AC154" s="34">
        <v>0</v>
      </c>
      <c r="AD154" s="35">
        <v>0</v>
      </c>
      <c r="AE154" s="36">
        <v>0</v>
      </c>
      <c r="AF154" s="23">
        <v>0</v>
      </c>
      <c r="AG154" s="24">
        <v>0</v>
      </c>
      <c r="AH154" s="33">
        <v>0</v>
      </c>
      <c r="AI154" s="37">
        <v>0</v>
      </c>
      <c r="AJ154" s="35">
        <v>0</v>
      </c>
      <c r="AK154" s="36">
        <v>0</v>
      </c>
      <c r="AL154" s="38">
        <v>0</v>
      </c>
      <c r="AM154" s="35">
        <v>0</v>
      </c>
      <c r="AN154" s="19">
        <v>0</v>
      </c>
      <c r="AO154" s="23">
        <v>0</v>
      </c>
      <c r="AP154" s="24">
        <v>0</v>
      </c>
      <c r="AQ154" s="31">
        <f t="shared" si="14"/>
        <v>10</v>
      </c>
      <c r="AR154" s="32">
        <f t="shared" si="14"/>
        <v>25000</v>
      </c>
      <c r="AS154" s="30">
        <v>14</v>
      </c>
    </row>
    <row r="155" spans="1:45" ht="15.6" x14ac:dyDescent="0.3">
      <c r="A155" s="19">
        <v>152</v>
      </c>
      <c r="B155" s="21" t="s">
        <v>162</v>
      </c>
      <c r="C155" s="20" t="s">
        <v>177</v>
      </c>
      <c r="D155" s="324"/>
      <c r="E155" s="22">
        <v>16.2</v>
      </c>
      <c r="F155" s="23">
        <f t="shared" si="10"/>
        <v>40500</v>
      </c>
      <c r="G155" s="19">
        <v>0</v>
      </c>
      <c r="H155" s="23">
        <v>0</v>
      </c>
      <c r="I155" s="24">
        <v>0</v>
      </c>
      <c r="J155" s="19">
        <v>0</v>
      </c>
      <c r="K155" s="23">
        <v>0</v>
      </c>
      <c r="L155" s="24">
        <v>0</v>
      </c>
      <c r="M155" s="25">
        <v>4.4000000000000004</v>
      </c>
      <c r="N155" s="26">
        <v>11000</v>
      </c>
      <c r="O155" s="27">
        <v>11</v>
      </c>
      <c r="P155" s="28">
        <f t="shared" si="11"/>
        <v>2</v>
      </c>
      <c r="Q155" s="29">
        <f t="shared" si="12"/>
        <v>5000</v>
      </c>
      <c r="R155" s="30">
        <v>5</v>
      </c>
      <c r="S155" s="19">
        <v>0</v>
      </c>
      <c r="T155" s="23">
        <v>0</v>
      </c>
      <c r="U155" s="24">
        <v>0</v>
      </c>
      <c r="V155" s="31">
        <f t="shared" si="13"/>
        <v>6.4</v>
      </c>
      <c r="W155" s="32">
        <v>16000</v>
      </c>
      <c r="X155" s="30">
        <v>16</v>
      </c>
      <c r="Y155" s="19">
        <v>0</v>
      </c>
      <c r="Z155" s="23">
        <v>0</v>
      </c>
      <c r="AA155" s="24">
        <v>0</v>
      </c>
      <c r="AB155" s="33">
        <v>0</v>
      </c>
      <c r="AC155" s="34">
        <v>0</v>
      </c>
      <c r="AD155" s="35">
        <v>0</v>
      </c>
      <c r="AE155" s="36">
        <v>0</v>
      </c>
      <c r="AF155" s="23">
        <v>0</v>
      </c>
      <c r="AG155" s="24">
        <v>0</v>
      </c>
      <c r="AH155" s="33">
        <v>0</v>
      </c>
      <c r="AI155" s="37">
        <v>0</v>
      </c>
      <c r="AJ155" s="35">
        <v>0</v>
      </c>
      <c r="AK155" s="36">
        <v>0</v>
      </c>
      <c r="AL155" s="38">
        <v>0</v>
      </c>
      <c r="AM155" s="35">
        <v>0</v>
      </c>
      <c r="AN155" s="19">
        <v>0</v>
      </c>
      <c r="AO155" s="23">
        <v>0</v>
      </c>
      <c r="AP155" s="24">
        <v>0</v>
      </c>
      <c r="AQ155" s="31">
        <f t="shared" si="14"/>
        <v>12.8</v>
      </c>
      <c r="AR155" s="32">
        <f t="shared" si="14"/>
        <v>32000</v>
      </c>
      <c r="AS155" s="30">
        <v>16</v>
      </c>
    </row>
    <row r="156" spans="1:45" ht="15.6" x14ac:dyDescent="0.3">
      <c r="A156" s="19">
        <v>153</v>
      </c>
      <c r="B156" s="21" t="s">
        <v>178</v>
      </c>
      <c r="C156" s="20" t="s">
        <v>179</v>
      </c>
      <c r="D156" s="324"/>
      <c r="E156" s="22">
        <v>16.8</v>
      </c>
      <c r="F156" s="23">
        <f t="shared" si="10"/>
        <v>42000</v>
      </c>
      <c r="G156" s="19">
        <v>0</v>
      </c>
      <c r="H156" s="23">
        <v>0</v>
      </c>
      <c r="I156" s="24">
        <v>0</v>
      </c>
      <c r="J156" s="19">
        <v>0</v>
      </c>
      <c r="K156" s="23">
        <v>0</v>
      </c>
      <c r="L156" s="24">
        <v>0</v>
      </c>
      <c r="M156" s="25">
        <v>4.4000000000000004</v>
      </c>
      <c r="N156" s="26">
        <v>11000</v>
      </c>
      <c r="O156" s="27">
        <v>11</v>
      </c>
      <c r="P156" s="28">
        <f t="shared" si="11"/>
        <v>2.4</v>
      </c>
      <c r="Q156" s="29">
        <f t="shared" si="12"/>
        <v>6000</v>
      </c>
      <c r="R156" s="30">
        <v>6</v>
      </c>
      <c r="S156" s="19">
        <v>0</v>
      </c>
      <c r="T156" s="23">
        <v>0</v>
      </c>
      <c r="U156" s="24">
        <v>0</v>
      </c>
      <c r="V156" s="31">
        <f t="shared" si="13"/>
        <v>6.8</v>
      </c>
      <c r="W156" s="32">
        <v>17000</v>
      </c>
      <c r="X156" s="30">
        <v>17</v>
      </c>
      <c r="Y156" s="19">
        <v>0</v>
      </c>
      <c r="Z156" s="23">
        <v>0</v>
      </c>
      <c r="AA156" s="24">
        <v>0</v>
      </c>
      <c r="AB156" s="33">
        <v>0</v>
      </c>
      <c r="AC156" s="34">
        <v>0</v>
      </c>
      <c r="AD156" s="35">
        <v>0</v>
      </c>
      <c r="AE156" s="36">
        <v>0</v>
      </c>
      <c r="AF156" s="23">
        <v>0</v>
      </c>
      <c r="AG156" s="24">
        <v>0</v>
      </c>
      <c r="AH156" s="33">
        <v>0</v>
      </c>
      <c r="AI156" s="37">
        <v>0</v>
      </c>
      <c r="AJ156" s="35">
        <v>0</v>
      </c>
      <c r="AK156" s="36">
        <v>0</v>
      </c>
      <c r="AL156" s="38">
        <v>0</v>
      </c>
      <c r="AM156" s="35">
        <v>0</v>
      </c>
      <c r="AN156" s="19">
        <v>0</v>
      </c>
      <c r="AO156" s="23">
        <v>0</v>
      </c>
      <c r="AP156" s="24">
        <v>0</v>
      </c>
      <c r="AQ156" s="31">
        <f t="shared" si="14"/>
        <v>13.600000000000001</v>
      </c>
      <c r="AR156" s="32">
        <f t="shared" si="14"/>
        <v>34000</v>
      </c>
      <c r="AS156" s="30">
        <v>17</v>
      </c>
    </row>
    <row r="157" spans="1:45" ht="15.6" x14ac:dyDescent="0.3">
      <c r="A157" s="19">
        <v>154</v>
      </c>
      <c r="B157" s="21" t="s">
        <v>178</v>
      </c>
      <c r="C157" s="20" t="s">
        <v>180</v>
      </c>
      <c r="D157" s="324" t="s">
        <v>25</v>
      </c>
      <c r="E157" s="22">
        <v>27.999999999999993</v>
      </c>
      <c r="F157" s="23">
        <f t="shared" si="10"/>
        <v>69999.999999999985</v>
      </c>
      <c r="G157" s="19">
        <v>0</v>
      </c>
      <c r="H157" s="23">
        <v>0</v>
      </c>
      <c r="I157" s="24">
        <v>0</v>
      </c>
      <c r="J157" s="19">
        <v>0</v>
      </c>
      <c r="K157" s="23">
        <v>0</v>
      </c>
      <c r="L157" s="24">
        <v>0</v>
      </c>
      <c r="M157" s="25">
        <v>6.4</v>
      </c>
      <c r="N157" s="26">
        <v>16000</v>
      </c>
      <c r="O157" s="27">
        <v>16</v>
      </c>
      <c r="P157" s="28">
        <f t="shared" si="11"/>
        <v>4.4000000000000004</v>
      </c>
      <c r="Q157" s="29">
        <f t="shared" si="12"/>
        <v>11000</v>
      </c>
      <c r="R157" s="30">
        <v>11</v>
      </c>
      <c r="S157" s="19">
        <v>0</v>
      </c>
      <c r="T157" s="23">
        <v>0</v>
      </c>
      <c r="U157" s="24">
        <v>0</v>
      </c>
      <c r="V157" s="31">
        <f t="shared" si="13"/>
        <v>10.8</v>
      </c>
      <c r="W157" s="32">
        <v>27000</v>
      </c>
      <c r="X157" s="30">
        <v>27</v>
      </c>
      <c r="Y157" s="19">
        <v>0</v>
      </c>
      <c r="Z157" s="23">
        <v>0</v>
      </c>
      <c r="AA157" s="24">
        <v>0</v>
      </c>
      <c r="AB157" s="33">
        <v>0</v>
      </c>
      <c r="AC157" s="34">
        <v>0</v>
      </c>
      <c r="AD157" s="35">
        <v>0</v>
      </c>
      <c r="AE157" s="36">
        <v>0</v>
      </c>
      <c r="AF157" s="23">
        <v>0</v>
      </c>
      <c r="AG157" s="24">
        <v>0</v>
      </c>
      <c r="AH157" s="33">
        <v>0</v>
      </c>
      <c r="AI157" s="37">
        <v>0</v>
      </c>
      <c r="AJ157" s="35">
        <v>0</v>
      </c>
      <c r="AK157" s="36">
        <v>0</v>
      </c>
      <c r="AL157" s="38">
        <v>0</v>
      </c>
      <c r="AM157" s="35">
        <v>0</v>
      </c>
      <c r="AN157" s="19">
        <v>0</v>
      </c>
      <c r="AO157" s="23">
        <v>0</v>
      </c>
      <c r="AP157" s="24">
        <v>0</v>
      </c>
      <c r="AQ157" s="31">
        <f t="shared" si="14"/>
        <v>21.6</v>
      </c>
      <c r="AR157" s="32">
        <f t="shared" si="14"/>
        <v>54000</v>
      </c>
      <c r="AS157" s="30">
        <v>27</v>
      </c>
    </row>
    <row r="158" spans="1:45" ht="15.6" x14ac:dyDescent="0.3">
      <c r="A158" s="19">
        <v>155</v>
      </c>
      <c r="B158" s="21" t="s">
        <v>178</v>
      </c>
      <c r="C158" s="20" t="s">
        <v>181</v>
      </c>
      <c r="D158" s="324"/>
      <c r="E158" s="22">
        <v>12.4</v>
      </c>
      <c r="F158" s="23">
        <f t="shared" si="10"/>
        <v>31000</v>
      </c>
      <c r="G158" s="19">
        <v>0</v>
      </c>
      <c r="H158" s="23">
        <v>0</v>
      </c>
      <c r="I158" s="24">
        <v>0</v>
      </c>
      <c r="J158" s="19">
        <v>0</v>
      </c>
      <c r="K158" s="23">
        <v>0</v>
      </c>
      <c r="L158" s="24">
        <v>0</v>
      </c>
      <c r="M158" s="25">
        <v>4</v>
      </c>
      <c r="N158" s="26">
        <v>10000</v>
      </c>
      <c r="O158" s="27">
        <v>10</v>
      </c>
      <c r="P158" s="28">
        <f t="shared" si="11"/>
        <v>0.4</v>
      </c>
      <c r="Q158" s="29">
        <f t="shared" si="12"/>
        <v>1000</v>
      </c>
      <c r="R158" s="30">
        <v>1</v>
      </c>
      <c r="S158" s="19">
        <v>0</v>
      </c>
      <c r="T158" s="23">
        <v>0</v>
      </c>
      <c r="U158" s="24">
        <v>0</v>
      </c>
      <c r="V158" s="31">
        <f t="shared" si="13"/>
        <v>4.8</v>
      </c>
      <c r="W158" s="32">
        <v>12000</v>
      </c>
      <c r="X158" s="30">
        <v>12</v>
      </c>
      <c r="Y158" s="19">
        <v>0</v>
      </c>
      <c r="Z158" s="23">
        <v>0</v>
      </c>
      <c r="AA158" s="24">
        <v>0</v>
      </c>
      <c r="AB158" s="33">
        <v>0</v>
      </c>
      <c r="AC158" s="34">
        <v>0</v>
      </c>
      <c r="AD158" s="35">
        <v>0</v>
      </c>
      <c r="AE158" s="36">
        <v>0</v>
      </c>
      <c r="AF158" s="23">
        <v>0</v>
      </c>
      <c r="AG158" s="24">
        <v>0</v>
      </c>
      <c r="AH158" s="33">
        <v>0</v>
      </c>
      <c r="AI158" s="37">
        <v>0</v>
      </c>
      <c r="AJ158" s="35">
        <v>0</v>
      </c>
      <c r="AK158" s="36">
        <v>0</v>
      </c>
      <c r="AL158" s="38">
        <v>0</v>
      </c>
      <c r="AM158" s="35">
        <v>0</v>
      </c>
      <c r="AN158" s="19">
        <v>0</v>
      </c>
      <c r="AO158" s="23">
        <v>0</v>
      </c>
      <c r="AP158" s="24">
        <v>0</v>
      </c>
      <c r="AQ158" s="31">
        <f t="shared" si="14"/>
        <v>9.1999999999999993</v>
      </c>
      <c r="AR158" s="32">
        <f t="shared" si="14"/>
        <v>23000</v>
      </c>
      <c r="AS158" s="30">
        <v>12</v>
      </c>
    </row>
    <row r="159" spans="1:45" ht="15.6" x14ac:dyDescent="0.3">
      <c r="A159" s="19">
        <v>156</v>
      </c>
      <c r="B159" s="21" t="s">
        <v>178</v>
      </c>
      <c r="C159" s="20" t="s">
        <v>125</v>
      </c>
      <c r="D159" s="324"/>
      <c r="E159" s="22">
        <v>23</v>
      </c>
      <c r="F159" s="23">
        <f t="shared" si="10"/>
        <v>57500</v>
      </c>
      <c r="G159" s="19">
        <v>0</v>
      </c>
      <c r="H159" s="23">
        <v>0</v>
      </c>
      <c r="I159" s="24">
        <v>0</v>
      </c>
      <c r="J159" s="19">
        <v>0</v>
      </c>
      <c r="K159" s="23">
        <v>0</v>
      </c>
      <c r="L159" s="24">
        <v>0</v>
      </c>
      <c r="M159" s="25">
        <v>2.4</v>
      </c>
      <c r="N159" s="26">
        <v>6000</v>
      </c>
      <c r="O159" s="27">
        <v>6</v>
      </c>
      <c r="P159" s="28">
        <f t="shared" si="11"/>
        <v>8</v>
      </c>
      <c r="Q159" s="29">
        <f t="shared" si="12"/>
        <v>20000</v>
      </c>
      <c r="R159" s="30">
        <v>20</v>
      </c>
      <c r="S159" s="19">
        <v>0</v>
      </c>
      <c r="T159" s="23">
        <v>0</v>
      </c>
      <c r="U159" s="24">
        <v>0</v>
      </c>
      <c r="V159" s="31">
        <f t="shared" si="13"/>
        <v>11.2</v>
      </c>
      <c r="W159" s="32">
        <v>28000</v>
      </c>
      <c r="X159" s="30">
        <v>28</v>
      </c>
      <c r="Y159" s="19">
        <v>0</v>
      </c>
      <c r="Z159" s="23">
        <v>0</v>
      </c>
      <c r="AA159" s="24">
        <v>0</v>
      </c>
      <c r="AB159" s="33">
        <v>0</v>
      </c>
      <c r="AC159" s="34">
        <v>0</v>
      </c>
      <c r="AD159" s="35">
        <v>0</v>
      </c>
      <c r="AE159" s="36">
        <v>0</v>
      </c>
      <c r="AF159" s="23">
        <v>0</v>
      </c>
      <c r="AG159" s="24">
        <v>0</v>
      </c>
      <c r="AH159" s="33">
        <v>0</v>
      </c>
      <c r="AI159" s="37">
        <v>0</v>
      </c>
      <c r="AJ159" s="35">
        <v>0</v>
      </c>
      <c r="AK159" s="36">
        <v>0</v>
      </c>
      <c r="AL159" s="38">
        <v>0</v>
      </c>
      <c r="AM159" s="35">
        <v>0</v>
      </c>
      <c r="AN159" s="19">
        <v>0</v>
      </c>
      <c r="AO159" s="23">
        <v>0</v>
      </c>
      <c r="AP159" s="24">
        <v>0</v>
      </c>
      <c r="AQ159" s="31">
        <f t="shared" si="14"/>
        <v>21.6</v>
      </c>
      <c r="AR159" s="32">
        <f t="shared" si="14"/>
        <v>54000</v>
      </c>
      <c r="AS159" s="30">
        <v>28</v>
      </c>
    </row>
    <row r="160" spans="1:45" ht="15.6" x14ac:dyDescent="0.3">
      <c r="A160" s="19">
        <v>157</v>
      </c>
      <c r="B160" s="21" t="s">
        <v>178</v>
      </c>
      <c r="C160" s="20" t="s">
        <v>182</v>
      </c>
      <c r="D160" s="324"/>
      <c r="E160" s="22">
        <v>15</v>
      </c>
      <c r="F160" s="23">
        <f t="shared" si="10"/>
        <v>37500</v>
      </c>
      <c r="G160" s="19">
        <v>0</v>
      </c>
      <c r="H160" s="23">
        <v>0</v>
      </c>
      <c r="I160" s="24">
        <v>0</v>
      </c>
      <c r="J160" s="19">
        <v>0</v>
      </c>
      <c r="K160" s="23">
        <v>0</v>
      </c>
      <c r="L160" s="24">
        <v>0</v>
      </c>
      <c r="M160" s="25">
        <v>3.2</v>
      </c>
      <c r="N160" s="26">
        <v>8000</v>
      </c>
      <c r="O160" s="27">
        <v>8</v>
      </c>
      <c r="P160" s="28">
        <f t="shared" si="11"/>
        <v>2.8</v>
      </c>
      <c r="Q160" s="29">
        <f t="shared" si="12"/>
        <v>7000</v>
      </c>
      <c r="R160" s="30">
        <v>7</v>
      </c>
      <c r="S160" s="19">
        <v>0</v>
      </c>
      <c r="T160" s="23">
        <v>0</v>
      </c>
      <c r="U160" s="24">
        <v>0</v>
      </c>
      <c r="V160" s="31">
        <f t="shared" si="13"/>
        <v>6.4</v>
      </c>
      <c r="W160" s="32">
        <v>16000</v>
      </c>
      <c r="X160" s="30">
        <v>16</v>
      </c>
      <c r="Y160" s="19">
        <v>0</v>
      </c>
      <c r="Z160" s="23">
        <v>0</v>
      </c>
      <c r="AA160" s="24">
        <v>0</v>
      </c>
      <c r="AB160" s="33">
        <v>0</v>
      </c>
      <c r="AC160" s="34">
        <v>0</v>
      </c>
      <c r="AD160" s="35">
        <v>0</v>
      </c>
      <c r="AE160" s="36">
        <v>0</v>
      </c>
      <c r="AF160" s="23">
        <v>0</v>
      </c>
      <c r="AG160" s="24">
        <v>0</v>
      </c>
      <c r="AH160" s="33">
        <v>0</v>
      </c>
      <c r="AI160" s="37">
        <v>0</v>
      </c>
      <c r="AJ160" s="35">
        <v>0</v>
      </c>
      <c r="AK160" s="36">
        <v>0</v>
      </c>
      <c r="AL160" s="38">
        <v>0</v>
      </c>
      <c r="AM160" s="35">
        <v>0</v>
      </c>
      <c r="AN160" s="19">
        <v>0</v>
      </c>
      <c r="AO160" s="23">
        <v>0</v>
      </c>
      <c r="AP160" s="24">
        <v>0</v>
      </c>
      <c r="AQ160" s="31">
        <f t="shared" si="14"/>
        <v>12.4</v>
      </c>
      <c r="AR160" s="32">
        <f t="shared" si="14"/>
        <v>31000</v>
      </c>
      <c r="AS160" s="30">
        <v>16</v>
      </c>
    </row>
    <row r="161" spans="1:45" ht="15.6" x14ac:dyDescent="0.3">
      <c r="A161" s="19">
        <v>158</v>
      </c>
      <c r="B161" s="21" t="s">
        <v>178</v>
      </c>
      <c r="C161" s="20" t="s">
        <v>183</v>
      </c>
      <c r="D161" s="324"/>
      <c r="E161" s="22">
        <v>14</v>
      </c>
      <c r="F161" s="23">
        <f t="shared" si="10"/>
        <v>35000</v>
      </c>
      <c r="G161" s="19">
        <v>0</v>
      </c>
      <c r="H161" s="23">
        <v>0</v>
      </c>
      <c r="I161" s="24">
        <v>0</v>
      </c>
      <c r="J161" s="19">
        <v>0</v>
      </c>
      <c r="K161" s="23">
        <v>0</v>
      </c>
      <c r="L161" s="24">
        <v>0</v>
      </c>
      <c r="M161" s="25">
        <v>4</v>
      </c>
      <c r="N161" s="26">
        <v>10000</v>
      </c>
      <c r="O161" s="27">
        <v>10</v>
      </c>
      <c r="P161" s="28">
        <f t="shared" si="11"/>
        <v>0.8</v>
      </c>
      <c r="Q161" s="29">
        <f t="shared" si="12"/>
        <v>2000</v>
      </c>
      <c r="R161" s="30">
        <v>2</v>
      </c>
      <c r="S161" s="19">
        <v>0</v>
      </c>
      <c r="T161" s="23">
        <v>0</v>
      </c>
      <c r="U161" s="24">
        <v>0</v>
      </c>
      <c r="V161" s="31">
        <f t="shared" si="13"/>
        <v>4.8</v>
      </c>
      <c r="W161" s="32">
        <v>12000</v>
      </c>
      <c r="X161" s="30">
        <v>12</v>
      </c>
      <c r="Y161" s="19">
        <v>0</v>
      </c>
      <c r="Z161" s="23">
        <v>0</v>
      </c>
      <c r="AA161" s="24">
        <v>0</v>
      </c>
      <c r="AB161" s="33">
        <v>0</v>
      </c>
      <c r="AC161" s="34">
        <v>0</v>
      </c>
      <c r="AD161" s="35">
        <v>0</v>
      </c>
      <c r="AE161" s="36">
        <v>0</v>
      </c>
      <c r="AF161" s="23">
        <v>0</v>
      </c>
      <c r="AG161" s="24">
        <v>0</v>
      </c>
      <c r="AH161" s="33">
        <v>0</v>
      </c>
      <c r="AI161" s="37">
        <v>0</v>
      </c>
      <c r="AJ161" s="35">
        <v>0</v>
      </c>
      <c r="AK161" s="36">
        <v>0</v>
      </c>
      <c r="AL161" s="38">
        <v>0</v>
      </c>
      <c r="AM161" s="35">
        <v>0</v>
      </c>
      <c r="AN161" s="19">
        <v>0</v>
      </c>
      <c r="AO161" s="23">
        <v>0</v>
      </c>
      <c r="AP161" s="24">
        <v>0</v>
      </c>
      <c r="AQ161" s="31">
        <f t="shared" si="14"/>
        <v>9.6</v>
      </c>
      <c r="AR161" s="32">
        <f t="shared" si="14"/>
        <v>24000</v>
      </c>
      <c r="AS161" s="30">
        <v>12</v>
      </c>
    </row>
    <row r="162" spans="1:45" ht="15.6" x14ac:dyDescent="0.3">
      <c r="A162" s="19">
        <v>159</v>
      </c>
      <c r="B162" s="21" t="s">
        <v>178</v>
      </c>
      <c r="C162" s="20" t="s">
        <v>184</v>
      </c>
      <c r="D162" s="324"/>
      <c r="E162" s="22">
        <v>42.8</v>
      </c>
      <c r="F162" s="23">
        <f t="shared" si="10"/>
        <v>107000</v>
      </c>
      <c r="G162" s="19">
        <v>0</v>
      </c>
      <c r="H162" s="23">
        <v>0</v>
      </c>
      <c r="I162" s="24">
        <v>0</v>
      </c>
      <c r="J162" s="19">
        <v>0</v>
      </c>
      <c r="K162" s="23">
        <v>0</v>
      </c>
      <c r="L162" s="24">
        <v>0</v>
      </c>
      <c r="M162" s="25">
        <v>8</v>
      </c>
      <c r="N162" s="26">
        <v>20000</v>
      </c>
      <c r="O162" s="27">
        <v>20</v>
      </c>
      <c r="P162" s="28">
        <f t="shared" si="11"/>
        <v>6.4</v>
      </c>
      <c r="Q162" s="29">
        <f t="shared" si="12"/>
        <v>16000</v>
      </c>
      <c r="R162" s="30">
        <v>16</v>
      </c>
      <c r="S162" s="19">
        <v>0</v>
      </c>
      <c r="T162" s="23">
        <v>0</v>
      </c>
      <c r="U162" s="24">
        <v>0</v>
      </c>
      <c r="V162" s="31">
        <f t="shared" si="13"/>
        <v>13.2</v>
      </c>
      <c r="W162" s="32">
        <v>33000</v>
      </c>
      <c r="X162" s="30">
        <v>33</v>
      </c>
      <c r="Y162" s="19">
        <v>0</v>
      </c>
      <c r="Z162" s="23">
        <v>0</v>
      </c>
      <c r="AA162" s="24">
        <v>0</v>
      </c>
      <c r="AB162" s="33">
        <v>0</v>
      </c>
      <c r="AC162" s="34">
        <v>0</v>
      </c>
      <c r="AD162" s="35">
        <v>0</v>
      </c>
      <c r="AE162" s="36">
        <v>0</v>
      </c>
      <c r="AF162" s="23">
        <v>0</v>
      </c>
      <c r="AG162" s="24">
        <v>0</v>
      </c>
      <c r="AH162" s="33">
        <v>0</v>
      </c>
      <c r="AI162" s="37">
        <v>0</v>
      </c>
      <c r="AJ162" s="35">
        <v>0</v>
      </c>
      <c r="AK162" s="36">
        <v>0</v>
      </c>
      <c r="AL162" s="38">
        <v>0</v>
      </c>
      <c r="AM162" s="35">
        <v>0</v>
      </c>
      <c r="AN162" s="19">
        <v>0</v>
      </c>
      <c r="AO162" s="23">
        <v>0</v>
      </c>
      <c r="AP162" s="24">
        <v>0</v>
      </c>
      <c r="AQ162" s="31">
        <f t="shared" si="14"/>
        <v>27.6</v>
      </c>
      <c r="AR162" s="32">
        <f t="shared" si="14"/>
        <v>69000</v>
      </c>
      <c r="AS162" s="30">
        <v>36</v>
      </c>
    </row>
    <row r="163" spans="1:45" ht="15.6" x14ac:dyDescent="0.3">
      <c r="A163" s="19">
        <v>160</v>
      </c>
      <c r="B163" s="21" t="s">
        <v>178</v>
      </c>
      <c r="C163" s="20" t="s">
        <v>185</v>
      </c>
      <c r="D163" s="324"/>
      <c r="E163" s="22">
        <v>25.20000000000001</v>
      </c>
      <c r="F163" s="23">
        <f t="shared" si="10"/>
        <v>63000.000000000022</v>
      </c>
      <c r="G163" s="19">
        <v>0</v>
      </c>
      <c r="H163" s="23">
        <v>0</v>
      </c>
      <c r="I163" s="24">
        <v>0</v>
      </c>
      <c r="J163" s="19">
        <v>0</v>
      </c>
      <c r="K163" s="23">
        <v>0</v>
      </c>
      <c r="L163" s="24">
        <v>0</v>
      </c>
      <c r="M163" s="25">
        <v>0</v>
      </c>
      <c r="N163" s="26">
        <v>0</v>
      </c>
      <c r="O163" s="27">
        <v>0</v>
      </c>
      <c r="P163" s="28">
        <f t="shared" si="11"/>
        <v>2</v>
      </c>
      <c r="Q163" s="29">
        <f t="shared" si="12"/>
        <v>5000</v>
      </c>
      <c r="R163" s="30">
        <v>5</v>
      </c>
      <c r="S163" s="19">
        <v>0</v>
      </c>
      <c r="T163" s="23">
        <v>0</v>
      </c>
      <c r="U163" s="24">
        <v>0</v>
      </c>
      <c r="V163" s="31">
        <f t="shared" si="13"/>
        <v>6.4</v>
      </c>
      <c r="W163" s="32">
        <v>16000</v>
      </c>
      <c r="X163" s="30">
        <v>16</v>
      </c>
      <c r="Y163" s="19">
        <v>0</v>
      </c>
      <c r="Z163" s="23">
        <v>0</v>
      </c>
      <c r="AA163" s="24">
        <v>0</v>
      </c>
      <c r="AB163" s="33">
        <v>0</v>
      </c>
      <c r="AC163" s="34">
        <v>0</v>
      </c>
      <c r="AD163" s="35">
        <v>0</v>
      </c>
      <c r="AE163" s="36">
        <v>0</v>
      </c>
      <c r="AF163" s="23">
        <v>0</v>
      </c>
      <c r="AG163" s="24">
        <v>0</v>
      </c>
      <c r="AH163" s="33">
        <v>0</v>
      </c>
      <c r="AI163" s="37">
        <v>0</v>
      </c>
      <c r="AJ163" s="35">
        <v>0</v>
      </c>
      <c r="AK163" s="36">
        <v>0</v>
      </c>
      <c r="AL163" s="38">
        <v>0</v>
      </c>
      <c r="AM163" s="35">
        <v>0</v>
      </c>
      <c r="AN163" s="19">
        <v>0</v>
      </c>
      <c r="AO163" s="23">
        <v>0</v>
      </c>
      <c r="AP163" s="24">
        <v>0</v>
      </c>
      <c r="AQ163" s="31">
        <f t="shared" si="14"/>
        <v>8.4</v>
      </c>
      <c r="AR163" s="32">
        <f t="shared" si="14"/>
        <v>21000</v>
      </c>
      <c r="AS163" s="30">
        <v>17</v>
      </c>
    </row>
    <row r="164" spans="1:45" ht="15.6" x14ac:dyDescent="0.3">
      <c r="A164" s="19">
        <v>161</v>
      </c>
      <c r="B164" s="21" t="s">
        <v>178</v>
      </c>
      <c r="C164" s="20" t="s">
        <v>186</v>
      </c>
      <c r="D164" s="324"/>
      <c r="E164" s="22">
        <v>19</v>
      </c>
      <c r="F164" s="23">
        <f t="shared" si="10"/>
        <v>47500</v>
      </c>
      <c r="G164" s="19">
        <v>0</v>
      </c>
      <c r="H164" s="23">
        <v>0</v>
      </c>
      <c r="I164" s="24">
        <v>0</v>
      </c>
      <c r="J164" s="19">
        <v>0</v>
      </c>
      <c r="K164" s="23">
        <v>0</v>
      </c>
      <c r="L164" s="24">
        <v>0</v>
      </c>
      <c r="M164" s="25">
        <v>6</v>
      </c>
      <c r="N164" s="26">
        <v>15000</v>
      </c>
      <c r="O164" s="27">
        <v>15</v>
      </c>
      <c r="P164" s="28">
        <f t="shared" si="11"/>
        <v>1.6</v>
      </c>
      <c r="Q164" s="29">
        <f t="shared" si="12"/>
        <v>4000</v>
      </c>
      <c r="R164" s="30">
        <v>4</v>
      </c>
      <c r="S164" s="19">
        <v>0</v>
      </c>
      <c r="T164" s="23">
        <v>0</v>
      </c>
      <c r="U164" s="24">
        <v>0</v>
      </c>
      <c r="V164" s="31">
        <f t="shared" si="13"/>
        <v>7.6</v>
      </c>
      <c r="W164" s="32">
        <v>19000</v>
      </c>
      <c r="X164" s="30">
        <v>19</v>
      </c>
      <c r="Y164" s="19">
        <v>0</v>
      </c>
      <c r="Z164" s="23">
        <v>0</v>
      </c>
      <c r="AA164" s="24">
        <v>0</v>
      </c>
      <c r="AB164" s="33">
        <v>0</v>
      </c>
      <c r="AC164" s="34">
        <v>0</v>
      </c>
      <c r="AD164" s="35">
        <v>0</v>
      </c>
      <c r="AE164" s="36">
        <v>0</v>
      </c>
      <c r="AF164" s="23">
        <v>0</v>
      </c>
      <c r="AG164" s="24">
        <v>0</v>
      </c>
      <c r="AH164" s="33">
        <v>0</v>
      </c>
      <c r="AI164" s="37">
        <v>0</v>
      </c>
      <c r="AJ164" s="35">
        <v>0</v>
      </c>
      <c r="AK164" s="36">
        <v>0</v>
      </c>
      <c r="AL164" s="38">
        <v>0</v>
      </c>
      <c r="AM164" s="35">
        <v>0</v>
      </c>
      <c r="AN164" s="19">
        <v>0</v>
      </c>
      <c r="AO164" s="23">
        <v>0</v>
      </c>
      <c r="AP164" s="24">
        <v>0</v>
      </c>
      <c r="AQ164" s="31">
        <f t="shared" si="14"/>
        <v>15.2</v>
      </c>
      <c r="AR164" s="32">
        <f t="shared" si="14"/>
        <v>38000</v>
      </c>
      <c r="AS164" s="30">
        <v>20</v>
      </c>
    </row>
    <row r="165" spans="1:45" ht="15.6" x14ac:dyDescent="0.3">
      <c r="A165" s="19">
        <v>162</v>
      </c>
      <c r="B165" s="21" t="s">
        <v>178</v>
      </c>
      <c r="C165" s="20" t="s">
        <v>187</v>
      </c>
      <c r="D165" s="324"/>
      <c r="E165" s="22">
        <v>13.200000000000001</v>
      </c>
      <c r="F165" s="23">
        <f t="shared" si="10"/>
        <v>33000</v>
      </c>
      <c r="G165" s="19">
        <v>0</v>
      </c>
      <c r="H165" s="23">
        <v>0</v>
      </c>
      <c r="I165" s="24">
        <v>0</v>
      </c>
      <c r="J165" s="19">
        <v>0</v>
      </c>
      <c r="K165" s="23">
        <v>0</v>
      </c>
      <c r="L165" s="24">
        <v>0</v>
      </c>
      <c r="M165" s="25">
        <v>3.2</v>
      </c>
      <c r="N165" s="26">
        <v>8000</v>
      </c>
      <c r="O165" s="27">
        <v>8</v>
      </c>
      <c r="P165" s="28">
        <f t="shared" si="11"/>
        <v>6.8</v>
      </c>
      <c r="Q165" s="29">
        <f t="shared" si="12"/>
        <v>17000</v>
      </c>
      <c r="R165" s="30">
        <v>17</v>
      </c>
      <c r="S165" s="19">
        <v>0</v>
      </c>
      <c r="T165" s="23">
        <v>0</v>
      </c>
      <c r="U165" s="24">
        <v>0</v>
      </c>
      <c r="V165" s="31">
        <f t="shared" si="13"/>
        <v>4.8</v>
      </c>
      <c r="W165" s="32">
        <v>12000</v>
      </c>
      <c r="X165" s="30">
        <v>12</v>
      </c>
      <c r="Y165" s="19">
        <v>0</v>
      </c>
      <c r="Z165" s="23">
        <v>0</v>
      </c>
      <c r="AA165" s="24">
        <v>0</v>
      </c>
      <c r="AB165" s="33">
        <v>0</v>
      </c>
      <c r="AC165" s="34">
        <v>0</v>
      </c>
      <c r="AD165" s="35">
        <v>0</v>
      </c>
      <c r="AE165" s="36">
        <v>0</v>
      </c>
      <c r="AF165" s="23">
        <v>0</v>
      </c>
      <c r="AG165" s="24">
        <v>0</v>
      </c>
      <c r="AH165" s="33">
        <v>0</v>
      </c>
      <c r="AI165" s="37">
        <v>0</v>
      </c>
      <c r="AJ165" s="35">
        <v>0</v>
      </c>
      <c r="AK165" s="36">
        <v>0</v>
      </c>
      <c r="AL165" s="38">
        <v>0</v>
      </c>
      <c r="AM165" s="35">
        <v>0</v>
      </c>
      <c r="AN165" s="19">
        <v>0</v>
      </c>
      <c r="AO165" s="23">
        <v>0</v>
      </c>
      <c r="AP165" s="24">
        <v>0</v>
      </c>
      <c r="AQ165" s="31">
        <f t="shared" si="14"/>
        <v>14.8</v>
      </c>
      <c r="AR165" s="32">
        <f t="shared" si="14"/>
        <v>37000</v>
      </c>
      <c r="AS165" s="30">
        <v>12</v>
      </c>
    </row>
    <row r="166" spans="1:45" ht="15.6" x14ac:dyDescent="0.3">
      <c r="A166" s="19">
        <v>163</v>
      </c>
      <c r="B166" s="21" t="s">
        <v>178</v>
      </c>
      <c r="C166" s="20" t="s">
        <v>94</v>
      </c>
      <c r="D166" s="324"/>
      <c r="E166" s="22">
        <v>21</v>
      </c>
      <c r="F166" s="23">
        <f t="shared" si="10"/>
        <v>52500</v>
      </c>
      <c r="G166" s="19">
        <v>0</v>
      </c>
      <c r="H166" s="23">
        <v>0</v>
      </c>
      <c r="I166" s="24">
        <v>0</v>
      </c>
      <c r="J166" s="19">
        <v>0</v>
      </c>
      <c r="K166" s="23">
        <v>0</v>
      </c>
      <c r="L166" s="24">
        <v>0</v>
      </c>
      <c r="M166" s="25">
        <v>0</v>
      </c>
      <c r="N166" s="26">
        <v>0</v>
      </c>
      <c r="O166" s="27">
        <v>0</v>
      </c>
      <c r="P166" s="28">
        <f t="shared" si="11"/>
        <v>0.4</v>
      </c>
      <c r="Q166" s="29">
        <f t="shared" si="12"/>
        <v>1000</v>
      </c>
      <c r="R166" s="30">
        <v>1</v>
      </c>
      <c r="S166" s="19">
        <v>0</v>
      </c>
      <c r="T166" s="23">
        <v>0</v>
      </c>
      <c r="U166" s="24">
        <v>0</v>
      </c>
      <c r="V166" s="31">
        <f t="shared" si="13"/>
        <v>6.4</v>
      </c>
      <c r="W166" s="32">
        <v>16000</v>
      </c>
      <c r="X166" s="30">
        <v>16</v>
      </c>
      <c r="Y166" s="19">
        <v>0</v>
      </c>
      <c r="Z166" s="23">
        <v>0</v>
      </c>
      <c r="AA166" s="24">
        <v>0</v>
      </c>
      <c r="AB166" s="33">
        <v>0</v>
      </c>
      <c r="AC166" s="34">
        <v>0</v>
      </c>
      <c r="AD166" s="35">
        <v>0</v>
      </c>
      <c r="AE166" s="36">
        <v>0</v>
      </c>
      <c r="AF166" s="23">
        <v>0</v>
      </c>
      <c r="AG166" s="24">
        <v>0</v>
      </c>
      <c r="AH166" s="33">
        <v>0</v>
      </c>
      <c r="AI166" s="37">
        <v>0</v>
      </c>
      <c r="AJ166" s="35">
        <v>0</v>
      </c>
      <c r="AK166" s="36">
        <v>0</v>
      </c>
      <c r="AL166" s="38">
        <v>0</v>
      </c>
      <c r="AM166" s="35">
        <v>0</v>
      </c>
      <c r="AN166" s="19">
        <v>0</v>
      </c>
      <c r="AO166" s="23">
        <v>0</v>
      </c>
      <c r="AP166" s="24">
        <v>0</v>
      </c>
      <c r="AQ166" s="31">
        <f t="shared" si="14"/>
        <v>6.8000000000000007</v>
      </c>
      <c r="AR166" s="32">
        <f t="shared" si="14"/>
        <v>17000</v>
      </c>
      <c r="AS166" s="30">
        <v>17</v>
      </c>
    </row>
    <row r="167" spans="1:45" ht="15.6" x14ac:dyDescent="0.3">
      <c r="A167" s="19">
        <v>164</v>
      </c>
      <c r="B167" s="21" t="s">
        <v>178</v>
      </c>
      <c r="C167" s="20" t="s">
        <v>188</v>
      </c>
      <c r="D167" s="324"/>
      <c r="E167" s="22">
        <v>22.200000000000003</v>
      </c>
      <c r="F167" s="23">
        <f t="shared" si="10"/>
        <v>55500.000000000007</v>
      </c>
      <c r="G167" s="19">
        <v>0</v>
      </c>
      <c r="H167" s="23">
        <v>0</v>
      </c>
      <c r="I167" s="24">
        <v>0</v>
      </c>
      <c r="J167" s="19">
        <v>0</v>
      </c>
      <c r="K167" s="23">
        <v>0</v>
      </c>
      <c r="L167" s="24">
        <v>0</v>
      </c>
      <c r="M167" s="25">
        <v>7.2</v>
      </c>
      <c r="N167" s="26">
        <v>18000</v>
      </c>
      <c r="O167" s="27">
        <v>18</v>
      </c>
      <c r="P167" s="28">
        <f t="shared" si="11"/>
        <v>3.2</v>
      </c>
      <c r="Q167" s="29">
        <f t="shared" si="12"/>
        <v>8000</v>
      </c>
      <c r="R167" s="30">
        <v>8</v>
      </c>
      <c r="S167" s="19">
        <v>0</v>
      </c>
      <c r="T167" s="23">
        <v>0</v>
      </c>
      <c r="U167" s="24">
        <v>0</v>
      </c>
      <c r="V167" s="31">
        <f t="shared" si="13"/>
        <v>7.2</v>
      </c>
      <c r="W167" s="32">
        <v>18000</v>
      </c>
      <c r="X167" s="30">
        <v>18</v>
      </c>
      <c r="Y167" s="19">
        <v>0</v>
      </c>
      <c r="Z167" s="23">
        <v>0</v>
      </c>
      <c r="AA167" s="24">
        <v>0</v>
      </c>
      <c r="AB167" s="33">
        <v>0</v>
      </c>
      <c r="AC167" s="34">
        <v>0</v>
      </c>
      <c r="AD167" s="35">
        <v>0</v>
      </c>
      <c r="AE167" s="36">
        <v>0</v>
      </c>
      <c r="AF167" s="23">
        <v>0</v>
      </c>
      <c r="AG167" s="24">
        <v>0</v>
      </c>
      <c r="AH167" s="33">
        <v>0</v>
      </c>
      <c r="AI167" s="37">
        <v>0</v>
      </c>
      <c r="AJ167" s="35">
        <v>0</v>
      </c>
      <c r="AK167" s="36">
        <v>0</v>
      </c>
      <c r="AL167" s="38">
        <v>0</v>
      </c>
      <c r="AM167" s="35">
        <v>0</v>
      </c>
      <c r="AN167" s="19">
        <v>0</v>
      </c>
      <c r="AO167" s="23">
        <v>0</v>
      </c>
      <c r="AP167" s="24">
        <v>0</v>
      </c>
      <c r="AQ167" s="31">
        <f t="shared" si="14"/>
        <v>17.600000000000001</v>
      </c>
      <c r="AR167" s="32">
        <f t="shared" si="14"/>
        <v>44000</v>
      </c>
      <c r="AS167" s="30">
        <v>19</v>
      </c>
    </row>
    <row r="168" spans="1:45" ht="15.6" x14ac:dyDescent="0.3">
      <c r="A168" s="19">
        <v>165</v>
      </c>
      <c r="B168" s="21" t="s">
        <v>178</v>
      </c>
      <c r="C168" s="20" t="s">
        <v>189</v>
      </c>
      <c r="D168" s="324"/>
      <c r="E168" s="22">
        <v>20.400000000000002</v>
      </c>
      <c r="F168" s="23">
        <f t="shared" si="10"/>
        <v>51000.000000000007</v>
      </c>
      <c r="G168" s="19">
        <v>0</v>
      </c>
      <c r="H168" s="23">
        <v>0</v>
      </c>
      <c r="I168" s="24">
        <v>0</v>
      </c>
      <c r="J168" s="19">
        <v>0</v>
      </c>
      <c r="K168" s="23">
        <v>0</v>
      </c>
      <c r="L168" s="24">
        <v>0</v>
      </c>
      <c r="M168" s="25">
        <v>4.4000000000000004</v>
      </c>
      <c r="N168" s="26">
        <v>11000</v>
      </c>
      <c r="O168" s="27">
        <v>11</v>
      </c>
      <c r="P168" s="28">
        <f t="shared" si="11"/>
        <v>2.4</v>
      </c>
      <c r="Q168" s="29">
        <f t="shared" si="12"/>
        <v>6000</v>
      </c>
      <c r="R168" s="30">
        <v>6</v>
      </c>
      <c r="S168" s="19">
        <v>0</v>
      </c>
      <c r="T168" s="23">
        <v>0</v>
      </c>
      <c r="U168" s="24">
        <v>0</v>
      </c>
      <c r="V168" s="31">
        <f t="shared" si="13"/>
        <v>7.2</v>
      </c>
      <c r="W168" s="32">
        <v>18000</v>
      </c>
      <c r="X168" s="30">
        <v>18</v>
      </c>
      <c r="Y168" s="19">
        <v>0</v>
      </c>
      <c r="Z168" s="23">
        <v>0</v>
      </c>
      <c r="AA168" s="24">
        <v>0</v>
      </c>
      <c r="AB168" s="33">
        <v>0</v>
      </c>
      <c r="AC168" s="34">
        <v>0</v>
      </c>
      <c r="AD168" s="35">
        <v>0</v>
      </c>
      <c r="AE168" s="36">
        <v>0</v>
      </c>
      <c r="AF168" s="23">
        <v>0</v>
      </c>
      <c r="AG168" s="24">
        <v>0</v>
      </c>
      <c r="AH168" s="33">
        <v>0</v>
      </c>
      <c r="AI168" s="37">
        <v>0</v>
      </c>
      <c r="AJ168" s="35">
        <v>0</v>
      </c>
      <c r="AK168" s="36">
        <v>0</v>
      </c>
      <c r="AL168" s="38">
        <v>0</v>
      </c>
      <c r="AM168" s="35">
        <v>0</v>
      </c>
      <c r="AN168" s="19">
        <v>0</v>
      </c>
      <c r="AO168" s="23">
        <v>0</v>
      </c>
      <c r="AP168" s="24">
        <v>0</v>
      </c>
      <c r="AQ168" s="31">
        <f t="shared" si="14"/>
        <v>14</v>
      </c>
      <c r="AR168" s="32">
        <f t="shared" si="14"/>
        <v>35000</v>
      </c>
      <c r="AS168" s="30">
        <v>19</v>
      </c>
    </row>
    <row r="169" spans="1:45" ht="15.6" x14ac:dyDescent="0.3">
      <c r="A169" s="19">
        <v>166</v>
      </c>
      <c r="B169" s="21" t="s">
        <v>178</v>
      </c>
      <c r="C169" s="20" t="s">
        <v>190</v>
      </c>
      <c r="D169" s="324"/>
      <c r="E169" s="22">
        <v>23.8</v>
      </c>
      <c r="F169" s="23">
        <f t="shared" si="10"/>
        <v>59500</v>
      </c>
      <c r="G169" s="19">
        <v>0</v>
      </c>
      <c r="H169" s="23">
        <v>0</v>
      </c>
      <c r="I169" s="24">
        <v>0</v>
      </c>
      <c r="J169" s="19">
        <v>0</v>
      </c>
      <c r="K169" s="23">
        <v>0</v>
      </c>
      <c r="L169" s="24">
        <v>0</v>
      </c>
      <c r="M169" s="25">
        <v>6.8</v>
      </c>
      <c r="N169" s="26">
        <v>17000</v>
      </c>
      <c r="O169" s="27">
        <v>17</v>
      </c>
      <c r="P169" s="28">
        <f t="shared" si="11"/>
        <v>6.8</v>
      </c>
      <c r="Q169" s="29">
        <f t="shared" si="12"/>
        <v>17000</v>
      </c>
      <c r="R169" s="30">
        <v>17</v>
      </c>
      <c r="S169" s="19">
        <v>0</v>
      </c>
      <c r="T169" s="23">
        <v>0</v>
      </c>
      <c r="U169" s="24">
        <v>0</v>
      </c>
      <c r="V169" s="31">
        <f t="shared" si="13"/>
        <v>8.8000000000000007</v>
      </c>
      <c r="W169" s="32">
        <v>22000</v>
      </c>
      <c r="X169" s="30">
        <v>22</v>
      </c>
      <c r="Y169" s="19">
        <v>0</v>
      </c>
      <c r="Z169" s="23">
        <v>0</v>
      </c>
      <c r="AA169" s="24">
        <v>0</v>
      </c>
      <c r="AB169" s="33">
        <v>0</v>
      </c>
      <c r="AC169" s="34">
        <v>0</v>
      </c>
      <c r="AD169" s="35">
        <v>0</v>
      </c>
      <c r="AE169" s="36">
        <v>0</v>
      </c>
      <c r="AF169" s="23">
        <v>0</v>
      </c>
      <c r="AG169" s="24">
        <v>0</v>
      </c>
      <c r="AH169" s="33">
        <v>0</v>
      </c>
      <c r="AI169" s="37">
        <v>0</v>
      </c>
      <c r="AJ169" s="35">
        <v>0</v>
      </c>
      <c r="AK169" s="36">
        <v>0</v>
      </c>
      <c r="AL169" s="38">
        <v>0</v>
      </c>
      <c r="AM169" s="35">
        <v>0</v>
      </c>
      <c r="AN169" s="19">
        <v>0</v>
      </c>
      <c r="AO169" s="23">
        <v>0</v>
      </c>
      <c r="AP169" s="24">
        <v>0</v>
      </c>
      <c r="AQ169" s="31">
        <f t="shared" si="14"/>
        <v>22.4</v>
      </c>
      <c r="AR169" s="32">
        <f t="shared" si="14"/>
        <v>56000</v>
      </c>
      <c r="AS169" s="30">
        <v>23</v>
      </c>
    </row>
    <row r="170" spans="1:45" ht="15.6" x14ac:dyDescent="0.3">
      <c r="A170" s="19">
        <v>167</v>
      </c>
      <c r="B170" s="21" t="s">
        <v>191</v>
      </c>
      <c r="C170" s="20" t="s">
        <v>192</v>
      </c>
      <c r="D170" s="324"/>
      <c r="E170" s="22">
        <v>6</v>
      </c>
      <c r="F170" s="23">
        <f t="shared" si="10"/>
        <v>15000</v>
      </c>
      <c r="G170" s="19">
        <v>0</v>
      </c>
      <c r="H170" s="23">
        <v>0</v>
      </c>
      <c r="I170" s="24">
        <v>0</v>
      </c>
      <c r="J170" s="19">
        <v>0</v>
      </c>
      <c r="K170" s="23">
        <v>0</v>
      </c>
      <c r="L170" s="24">
        <v>0</v>
      </c>
      <c r="M170" s="25">
        <v>2</v>
      </c>
      <c r="N170" s="26">
        <v>5000</v>
      </c>
      <c r="O170" s="27">
        <v>5</v>
      </c>
      <c r="P170" s="28">
        <f t="shared" si="11"/>
        <v>2</v>
      </c>
      <c r="Q170" s="29">
        <f t="shared" si="12"/>
        <v>5000</v>
      </c>
      <c r="R170" s="30">
        <v>5</v>
      </c>
      <c r="S170" s="19">
        <v>0</v>
      </c>
      <c r="T170" s="23">
        <v>0</v>
      </c>
      <c r="U170" s="24">
        <v>0</v>
      </c>
      <c r="V170" s="31">
        <f t="shared" si="13"/>
        <v>4.4000000000000004</v>
      </c>
      <c r="W170" s="32">
        <v>11000</v>
      </c>
      <c r="X170" s="30">
        <v>11</v>
      </c>
      <c r="Y170" s="19">
        <v>0</v>
      </c>
      <c r="Z170" s="23">
        <v>0</v>
      </c>
      <c r="AA170" s="24">
        <v>0</v>
      </c>
      <c r="AB170" s="33">
        <v>0</v>
      </c>
      <c r="AC170" s="34">
        <v>0</v>
      </c>
      <c r="AD170" s="35">
        <v>0</v>
      </c>
      <c r="AE170" s="36">
        <v>0</v>
      </c>
      <c r="AF170" s="23">
        <v>0</v>
      </c>
      <c r="AG170" s="24">
        <v>0</v>
      </c>
      <c r="AH170" s="33">
        <v>0</v>
      </c>
      <c r="AI170" s="37">
        <v>0</v>
      </c>
      <c r="AJ170" s="35">
        <v>0</v>
      </c>
      <c r="AK170" s="36">
        <v>0</v>
      </c>
      <c r="AL170" s="38">
        <v>0</v>
      </c>
      <c r="AM170" s="35">
        <v>0</v>
      </c>
      <c r="AN170" s="19">
        <v>0</v>
      </c>
      <c r="AO170" s="23">
        <v>0</v>
      </c>
      <c r="AP170" s="24">
        <v>0</v>
      </c>
      <c r="AQ170" s="31">
        <f t="shared" si="14"/>
        <v>8.4</v>
      </c>
      <c r="AR170" s="32">
        <f t="shared" si="14"/>
        <v>21000</v>
      </c>
      <c r="AS170" s="30">
        <v>11</v>
      </c>
    </row>
    <row r="171" spans="1:45" ht="15.6" x14ac:dyDescent="0.3">
      <c r="A171" s="19">
        <v>168</v>
      </c>
      <c r="B171" s="21" t="s">
        <v>191</v>
      </c>
      <c r="C171" s="20" t="s">
        <v>193</v>
      </c>
      <c r="D171" s="324"/>
      <c r="E171" s="22">
        <v>5</v>
      </c>
      <c r="F171" s="23">
        <f t="shared" si="10"/>
        <v>12500</v>
      </c>
      <c r="G171" s="19">
        <v>0</v>
      </c>
      <c r="H171" s="23">
        <v>0</v>
      </c>
      <c r="I171" s="24">
        <v>0</v>
      </c>
      <c r="J171" s="19">
        <v>0</v>
      </c>
      <c r="K171" s="23">
        <v>0</v>
      </c>
      <c r="L171" s="24">
        <v>0</v>
      </c>
      <c r="M171" s="25">
        <v>2</v>
      </c>
      <c r="N171" s="26">
        <v>5000</v>
      </c>
      <c r="O171" s="27">
        <v>5</v>
      </c>
      <c r="P171" s="28">
        <f t="shared" si="11"/>
        <v>0.4</v>
      </c>
      <c r="Q171" s="29">
        <f t="shared" si="12"/>
        <v>1000</v>
      </c>
      <c r="R171" s="30">
        <v>1</v>
      </c>
      <c r="S171" s="19">
        <v>0</v>
      </c>
      <c r="T171" s="23">
        <v>0</v>
      </c>
      <c r="U171" s="24">
        <v>0</v>
      </c>
      <c r="V171" s="31">
        <f t="shared" si="13"/>
        <v>2.8</v>
      </c>
      <c r="W171" s="32">
        <v>7000</v>
      </c>
      <c r="X171" s="30">
        <v>7</v>
      </c>
      <c r="Y171" s="19">
        <v>0</v>
      </c>
      <c r="Z171" s="23">
        <v>0</v>
      </c>
      <c r="AA171" s="24">
        <v>0</v>
      </c>
      <c r="AB171" s="33">
        <v>0</v>
      </c>
      <c r="AC171" s="34">
        <v>0</v>
      </c>
      <c r="AD171" s="35">
        <v>0</v>
      </c>
      <c r="AE171" s="36">
        <v>0</v>
      </c>
      <c r="AF171" s="23">
        <v>0</v>
      </c>
      <c r="AG171" s="24">
        <v>0</v>
      </c>
      <c r="AH171" s="33">
        <v>0</v>
      </c>
      <c r="AI171" s="37">
        <v>0</v>
      </c>
      <c r="AJ171" s="35">
        <v>0</v>
      </c>
      <c r="AK171" s="36">
        <v>0</v>
      </c>
      <c r="AL171" s="38">
        <v>0</v>
      </c>
      <c r="AM171" s="35">
        <v>0</v>
      </c>
      <c r="AN171" s="19">
        <v>0</v>
      </c>
      <c r="AO171" s="23">
        <v>0</v>
      </c>
      <c r="AP171" s="24">
        <v>0</v>
      </c>
      <c r="AQ171" s="31">
        <f t="shared" si="14"/>
        <v>5.1999999999999993</v>
      </c>
      <c r="AR171" s="32">
        <f t="shared" si="14"/>
        <v>13000</v>
      </c>
      <c r="AS171" s="30">
        <v>7</v>
      </c>
    </row>
    <row r="172" spans="1:45" ht="15.6" x14ac:dyDescent="0.3">
      <c r="A172" s="19">
        <v>169</v>
      </c>
      <c r="B172" s="21" t="s">
        <v>191</v>
      </c>
      <c r="C172" s="20" t="s">
        <v>194</v>
      </c>
      <c r="D172" s="324"/>
      <c r="E172" s="22">
        <v>17.600000000000001</v>
      </c>
      <c r="F172" s="23">
        <f t="shared" si="10"/>
        <v>44000</v>
      </c>
      <c r="G172" s="19">
        <v>0</v>
      </c>
      <c r="H172" s="23">
        <v>0</v>
      </c>
      <c r="I172" s="24">
        <v>0</v>
      </c>
      <c r="J172" s="19">
        <v>0</v>
      </c>
      <c r="K172" s="23">
        <v>0</v>
      </c>
      <c r="L172" s="24">
        <v>0</v>
      </c>
      <c r="M172" s="25">
        <v>2</v>
      </c>
      <c r="N172" s="26">
        <v>5000</v>
      </c>
      <c r="O172" s="27">
        <v>5</v>
      </c>
      <c r="P172" s="28">
        <f t="shared" si="11"/>
        <v>5.2</v>
      </c>
      <c r="Q172" s="29">
        <f t="shared" si="12"/>
        <v>13000</v>
      </c>
      <c r="R172" s="30">
        <v>13</v>
      </c>
      <c r="S172" s="19">
        <v>0</v>
      </c>
      <c r="T172" s="23">
        <v>0</v>
      </c>
      <c r="U172" s="24">
        <v>0</v>
      </c>
      <c r="V172" s="31">
        <f t="shared" si="13"/>
        <v>7.6</v>
      </c>
      <c r="W172" s="32">
        <v>19000</v>
      </c>
      <c r="X172" s="30">
        <v>19</v>
      </c>
      <c r="Y172" s="19">
        <v>0</v>
      </c>
      <c r="Z172" s="23">
        <v>0</v>
      </c>
      <c r="AA172" s="24">
        <v>0</v>
      </c>
      <c r="AB172" s="33">
        <v>0</v>
      </c>
      <c r="AC172" s="34">
        <v>0</v>
      </c>
      <c r="AD172" s="35">
        <v>0</v>
      </c>
      <c r="AE172" s="36">
        <v>0</v>
      </c>
      <c r="AF172" s="23">
        <v>0</v>
      </c>
      <c r="AG172" s="24">
        <v>0</v>
      </c>
      <c r="AH172" s="33">
        <v>0</v>
      </c>
      <c r="AI172" s="37">
        <v>0</v>
      </c>
      <c r="AJ172" s="35">
        <v>0</v>
      </c>
      <c r="AK172" s="36">
        <v>0</v>
      </c>
      <c r="AL172" s="38">
        <v>0</v>
      </c>
      <c r="AM172" s="35">
        <v>0</v>
      </c>
      <c r="AN172" s="19">
        <v>0</v>
      </c>
      <c r="AO172" s="23">
        <v>0</v>
      </c>
      <c r="AP172" s="24">
        <v>0</v>
      </c>
      <c r="AQ172" s="31">
        <f t="shared" si="14"/>
        <v>14.8</v>
      </c>
      <c r="AR172" s="32">
        <f t="shared" si="14"/>
        <v>37000</v>
      </c>
      <c r="AS172" s="30">
        <v>19</v>
      </c>
    </row>
    <row r="173" spans="1:45" ht="15.6" x14ac:dyDescent="0.3">
      <c r="A173" s="19">
        <v>170</v>
      </c>
      <c r="B173" s="21" t="s">
        <v>191</v>
      </c>
      <c r="C173" s="20" t="s">
        <v>195</v>
      </c>
      <c r="D173" s="324"/>
      <c r="E173" s="22">
        <v>11</v>
      </c>
      <c r="F173" s="23">
        <f t="shared" si="10"/>
        <v>27500</v>
      </c>
      <c r="G173" s="19">
        <v>0</v>
      </c>
      <c r="H173" s="23">
        <v>0</v>
      </c>
      <c r="I173" s="24">
        <v>0</v>
      </c>
      <c r="J173" s="19">
        <v>0</v>
      </c>
      <c r="K173" s="23">
        <v>0</v>
      </c>
      <c r="L173" s="24">
        <v>0</v>
      </c>
      <c r="M173" s="25">
        <v>3.6</v>
      </c>
      <c r="N173" s="26">
        <v>9000</v>
      </c>
      <c r="O173" s="27">
        <v>9</v>
      </c>
      <c r="P173" s="28">
        <f t="shared" si="11"/>
        <v>3.2</v>
      </c>
      <c r="Q173" s="29">
        <f t="shared" si="12"/>
        <v>8000</v>
      </c>
      <c r="R173" s="30">
        <v>8</v>
      </c>
      <c r="S173" s="19">
        <v>0</v>
      </c>
      <c r="T173" s="23">
        <v>0</v>
      </c>
      <c r="U173" s="24">
        <v>0</v>
      </c>
      <c r="V173" s="31">
        <f t="shared" si="13"/>
        <v>7.2</v>
      </c>
      <c r="W173" s="32">
        <v>18000</v>
      </c>
      <c r="X173" s="30">
        <v>18</v>
      </c>
      <c r="Y173" s="19">
        <v>0</v>
      </c>
      <c r="Z173" s="23">
        <v>0</v>
      </c>
      <c r="AA173" s="24">
        <v>0</v>
      </c>
      <c r="AB173" s="33">
        <v>0</v>
      </c>
      <c r="AC173" s="34">
        <v>0</v>
      </c>
      <c r="AD173" s="35">
        <v>0</v>
      </c>
      <c r="AE173" s="36">
        <v>0</v>
      </c>
      <c r="AF173" s="23">
        <v>0</v>
      </c>
      <c r="AG173" s="24">
        <v>0</v>
      </c>
      <c r="AH173" s="33">
        <v>0</v>
      </c>
      <c r="AI173" s="37">
        <v>0</v>
      </c>
      <c r="AJ173" s="35">
        <v>0</v>
      </c>
      <c r="AK173" s="36">
        <v>0</v>
      </c>
      <c r="AL173" s="38">
        <v>0</v>
      </c>
      <c r="AM173" s="35">
        <v>0</v>
      </c>
      <c r="AN173" s="19">
        <v>0</v>
      </c>
      <c r="AO173" s="23">
        <v>0</v>
      </c>
      <c r="AP173" s="24">
        <v>0</v>
      </c>
      <c r="AQ173" s="31">
        <f t="shared" si="14"/>
        <v>14</v>
      </c>
      <c r="AR173" s="32">
        <f t="shared" si="14"/>
        <v>35000</v>
      </c>
      <c r="AS173" s="30">
        <v>18</v>
      </c>
    </row>
    <row r="174" spans="1:45" ht="15.6" x14ac:dyDescent="0.3">
      <c r="A174" s="19">
        <v>171</v>
      </c>
      <c r="B174" s="21" t="s">
        <v>191</v>
      </c>
      <c r="C174" s="20" t="s">
        <v>196</v>
      </c>
      <c r="D174" s="324" t="s">
        <v>25</v>
      </c>
      <c r="E174" s="22">
        <v>15</v>
      </c>
      <c r="F174" s="23">
        <f t="shared" si="10"/>
        <v>37500</v>
      </c>
      <c r="G174" s="19">
        <v>0</v>
      </c>
      <c r="H174" s="23">
        <v>0</v>
      </c>
      <c r="I174" s="24">
        <v>0</v>
      </c>
      <c r="J174" s="19">
        <v>0</v>
      </c>
      <c r="K174" s="23">
        <v>0</v>
      </c>
      <c r="L174" s="24">
        <v>0</v>
      </c>
      <c r="M174" s="25">
        <v>3.6</v>
      </c>
      <c r="N174" s="26">
        <v>9000</v>
      </c>
      <c r="O174" s="27">
        <v>9</v>
      </c>
      <c r="P174" s="28">
        <f t="shared" si="11"/>
        <v>1.6</v>
      </c>
      <c r="Q174" s="29">
        <f t="shared" si="12"/>
        <v>4000</v>
      </c>
      <c r="R174" s="30">
        <v>4</v>
      </c>
      <c r="S174" s="19">
        <v>0</v>
      </c>
      <c r="T174" s="23">
        <v>0</v>
      </c>
      <c r="U174" s="24">
        <v>0</v>
      </c>
      <c r="V174" s="31">
        <f t="shared" si="13"/>
        <v>5.6</v>
      </c>
      <c r="W174" s="32">
        <v>14000</v>
      </c>
      <c r="X174" s="30">
        <v>14</v>
      </c>
      <c r="Y174" s="19">
        <v>0</v>
      </c>
      <c r="Z174" s="23">
        <v>0</v>
      </c>
      <c r="AA174" s="24">
        <v>0</v>
      </c>
      <c r="AB174" s="33">
        <v>0</v>
      </c>
      <c r="AC174" s="34">
        <v>0</v>
      </c>
      <c r="AD174" s="35">
        <v>0</v>
      </c>
      <c r="AE174" s="36">
        <v>0</v>
      </c>
      <c r="AF174" s="23">
        <v>0</v>
      </c>
      <c r="AG174" s="24">
        <v>0</v>
      </c>
      <c r="AH174" s="33">
        <v>0</v>
      </c>
      <c r="AI174" s="37">
        <v>0</v>
      </c>
      <c r="AJ174" s="35">
        <v>0</v>
      </c>
      <c r="AK174" s="36">
        <v>0</v>
      </c>
      <c r="AL174" s="38">
        <v>0</v>
      </c>
      <c r="AM174" s="35">
        <v>0</v>
      </c>
      <c r="AN174" s="19">
        <v>0</v>
      </c>
      <c r="AO174" s="23">
        <v>0</v>
      </c>
      <c r="AP174" s="24">
        <v>0</v>
      </c>
      <c r="AQ174" s="31">
        <f t="shared" si="14"/>
        <v>10.8</v>
      </c>
      <c r="AR174" s="32">
        <f t="shared" si="14"/>
        <v>27000</v>
      </c>
      <c r="AS174" s="30">
        <v>14</v>
      </c>
    </row>
    <row r="175" spans="1:45" ht="15.6" x14ac:dyDescent="0.3">
      <c r="A175" s="19">
        <v>172</v>
      </c>
      <c r="B175" s="21" t="s">
        <v>191</v>
      </c>
      <c r="C175" s="20" t="s">
        <v>197</v>
      </c>
      <c r="D175" s="324"/>
      <c r="E175" s="22">
        <v>7.2</v>
      </c>
      <c r="F175" s="23">
        <f t="shared" si="10"/>
        <v>18000</v>
      </c>
      <c r="G175" s="19">
        <v>0</v>
      </c>
      <c r="H175" s="23">
        <v>0</v>
      </c>
      <c r="I175" s="24">
        <v>0</v>
      </c>
      <c r="J175" s="19">
        <v>0</v>
      </c>
      <c r="K175" s="23">
        <v>0</v>
      </c>
      <c r="L175" s="24">
        <v>0</v>
      </c>
      <c r="M175" s="25">
        <v>2</v>
      </c>
      <c r="N175" s="26">
        <v>5000</v>
      </c>
      <c r="O175" s="27">
        <v>5</v>
      </c>
      <c r="P175" s="28">
        <f t="shared" si="11"/>
        <v>0.4</v>
      </c>
      <c r="Q175" s="29">
        <f t="shared" si="12"/>
        <v>1000</v>
      </c>
      <c r="R175" s="30">
        <v>1</v>
      </c>
      <c r="S175" s="19">
        <v>0</v>
      </c>
      <c r="T175" s="23">
        <v>0</v>
      </c>
      <c r="U175" s="24">
        <v>0</v>
      </c>
      <c r="V175" s="31">
        <f t="shared" si="13"/>
        <v>3.2</v>
      </c>
      <c r="W175" s="32">
        <v>8000</v>
      </c>
      <c r="X175" s="30">
        <v>8</v>
      </c>
      <c r="Y175" s="19">
        <v>0</v>
      </c>
      <c r="Z175" s="23">
        <v>0</v>
      </c>
      <c r="AA175" s="24">
        <v>0</v>
      </c>
      <c r="AB175" s="33">
        <v>0</v>
      </c>
      <c r="AC175" s="34">
        <v>0</v>
      </c>
      <c r="AD175" s="35">
        <v>0</v>
      </c>
      <c r="AE175" s="36">
        <v>0</v>
      </c>
      <c r="AF175" s="23">
        <v>0</v>
      </c>
      <c r="AG175" s="24">
        <v>0</v>
      </c>
      <c r="AH175" s="33">
        <v>0</v>
      </c>
      <c r="AI175" s="37">
        <v>0</v>
      </c>
      <c r="AJ175" s="35">
        <v>0</v>
      </c>
      <c r="AK175" s="36">
        <v>0</v>
      </c>
      <c r="AL175" s="38">
        <v>0</v>
      </c>
      <c r="AM175" s="35">
        <v>0</v>
      </c>
      <c r="AN175" s="19">
        <v>0</v>
      </c>
      <c r="AO175" s="23">
        <v>0</v>
      </c>
      <c r="AP175" s="24">
        <v>0</v>
      </c>
      <c r="AQ175" s="31">
        <f t="shared" si="14"/>
        <v>5.6</v>
      </c>
      <c r="AR175" s="32">
        <f t="shared" si="14"/>
        <v>14000</v>
      </c>
      <c r="AS175" s="30">
        <v>8</v>
      </c>
    </row>
    <row r="176" spans="1:45" ht="15.6" x14ac:dyDescent="0.3">
      <c r="A176" s="19">
        <v>173</v>
      </c>
      <c r="B176" s="21" t="s">
        <v>191</v>
      </c>
      <c r="C176" s="20" t="s">
        <v>198</v>
      </c>
      <c r="D176" s="324"/>
      <c r="E176" s="22">
        <v>19.8</v>
      </c>
      <c r="F176" s="23">
        <f t="shared" si="10"/>
        <v>49500</v>
      </c>
      <c r="G176" s="19">
        <v>0</v>
      </c>
      <c r="H176" s="23">
        <v>0</v>
      </c>
      <c r="I176" s="24">
        <v>0</v>
      </c>
      <c r="J176" s="19">
        <v>0</v>
      </c>
      <c r="K176" s="23">
        <v>0</v>
      </c>
      <c r="L176" s="24">
        <v>0</v>
      </c>
      <c r="M176" s="25">
        <v>4.4000000000000004</v>
      </c>
      <c r="N176" s="26">
        <v>11000</v>
      </c>
      <c r="O176" s="27">
        <v>11</v>
      </c>
      <c r="P176" s="28">
        <f t="shared" si="11"/>
        <v>3.6</v>
      </c>
      <c r="Q176" s="29">
        <f t="shared" si="12"/>
        <v>9000</v>
      </c>
      <c r="R176" s="30">
        <v>9</v>
      </c>
      <c r="S176" s="19">
        <v>0</v>
      </c>
      <c r="T176" s="23">
        <v>0</v>
      </c>
      <c r="U176" s="24">
        <v>0</v>
      </c>
      <c r="V176" s="31">
        <f t="shared" si="13"/>
        <v>8</v>
      </c>
      <c r="W176" s="32">
        <v>20000</v>
      </c>
      <c r="X176" s="30">
        <v>20</v>
      </c>
      <c r="Y176" s="19">
        <v>0</v>
      </c>
      <c r="Z176" s="23">
        <v>0</v>
      </c>
      <c r="AA176" s="24">
        <v>0</v>
      </c>
      <c r="AB176" s="33">
        <v>0</v>
      </c>
      <c r="AC176" s="34">
        <v>0</v>
      </c>
      <c r="AD176" s="35">
        <v>0</v>
      </c>
      <c r="AE176" s="36">
        <v>0</v>
      </c>
      <c r="AF176" s="23">
        <v>0</v>
      </c>
      <c r="AG176" s="24">
        <v>0</v>
      </c>
      <c r="AH176" s="33">
        <v>0</v>
      </c>
      <c r="AI176" s="37">
        <v>0</v>
      </c>
      <c r="AJ176" s="35">
        <v>0</v>
      </c>
      <c r="AK176" s="36">
        <v>0</v>
      </c>
      <c r="AL176" s="38">
        <v>0</v>
      </c>
      <c r="AM176" s="35">
        <v>0</v>
      </c>
      <c r="AN176" s="19">
        <v>0</v>
      </c>
      <c r="AO176" s="23">
        <v>0</v>
      </c>
      <c r="AP176" s="24">
        <v>0</v>
      </c>
      <c r="AQ176" s="31">
        <f t="shared" si="14"/>
        <v>16</v>
      </c>
      <c r="AR176" s="32">
        <f t="shared" si="14"/>
        <v>40000</v>
      </c>
      <c r="AS176" s="30">
        <v>20</v>
      </c>
    </row>
    <row r="177" spans="1:45" ht="15.6" x14ac:dyDescent="0.3">
      <c r="A177" s="19">
        <v>174</v>
      </c>
      <c r="B177" s="21" t="s">
        <v>191</v>
      </c>
      <c r="C177" s="20" t="s">
        <v>199</v>
      </c>
      <c r="D177" s="324"/>
      <c r="E177" s="22">
        <v>13</v>
      </c>
      <c r="F177" s="23">
        <f t="shared" si="10"/>
        <v>32500</v>
      </c>
      <c r="G177" s="19">
        <v>0</v>
      </c>
      <c r="H177" s="23">
        <v>0</v>
      </c>
      <c r="I177" s="24">
        <v>0</v>
      </c>
      <c r="J177" s="19">
        <v>0</v>
      </c>
      <c r="K177" s="23">
        <v>0</v>
      </c>
      <c r="L177" s="24">
        <v>0</v>
      </c>
      <c r="M177" s="25">
        <v>3.2</v>
      </c>
      <c r="N177" s="26">
        <v>8000</v>
      </c>
      <c r="O177" s="27">
        <v>8</v>
      </c>
      <c r="P177" s="28">
        <f t="shared" si="11"/>
        <v>2.8</v>
      </c>
      <c r="Q177" s="29">
        <f t="shared" si="12"/>
        <v>7000</v>
      </c>
      <c r="R177" s="30">
        <v>7</v>
      </c>
      <c r="S177" s="19">
        <v>0</v>
      </c>
      <c r="T177" s="23">
        <v>0</v>
      </c>
      <c r="U177" s="24">
        <v>0</v>
      </c>
      <c r="V177" s="31">
        <f t="shared" si="13"/>
        <v>6.4</v>
      </c>
      <c r="W177" s="32">
        <v>16000</v>
      </c>
      <c r="X177" s="30">
        <v>16</v>
      </c>
      <c r="Y177" s="19">
        <v>0</v>
      </c>
      <c r="Z177" s="23">
        <v>0</v>
      </c>
      <c r="AA177" s="24">
        <v>0</v>
      </c>
      <c r="AB177" s="33">
        <v>0</v>
      </c>
      <c r="AC177" s="34">
        <v>0</v>
      </c>
      <c r="AD177" s="35">
        <v>0</v>
      </c>
      <c r="AE177" s="36">
        <v>0</v>
      </c>
      <c r="AF177" s="23">
        <v>0</v>
      </c>
      <c r="AG177" s="24">
        <v>0</v>
      </c>
      <c r="AH177" s="33">
        <v>0</v>
      </c>
      <c r="AI177" s="37">
        <v>0</v>
      </c>
      <c r="AJ177" s="35">
        <v>0</v>
      </c>
      <c r="AK177" s="36">
        <v>0</v>
      </c>
      <c r="AL177" s="38">
        <v>0</v>
      </c>
      <c r="AM177" s="35">
        <v>0</v>
      </c>
      <c r="AN177" s="19">
        <v>0</v>
      </c>
      <c r="AO177" s="23">
        <v>0</v>
      </c>
      <c r="AP177" s="24">
        <v>0</v>
      </c>
      <c r="AQ177" s="31">
        <f t="shared" si="14"/>
        <v>12.4</v>
      </c>
      <c r="AR177" s="32">
        <f t="shared" si="14"/>
        <v>31000</v>
      </c>
      <c r="AS177" s="30">
        <v>16</v>
      </c>
    </row>
    <row r="178" spans="1:45" ht="15.6" x14ac:dyDescent="0.3">
      <c r="A178" s="19">
        <v>175</v>
      </c>
      <c r="B178" s="21" t="s">
        <v>191</v>
      </c>
      <c r="C178" s="20" t="s">
        <v>200</v>
      </c>
      <c r="D178" s="324"/>
      <c r="E178" s="22">
        <v>10</v>
      </c>
      <c r="F178" s="23">
        <f t="shared" si="10"/>
        <v>25000</v>
      </c>
      <c r="G178" s="19">
        <v>0</v>
      </c>
      <c r="H178" s="23">
        <v>0</v>
      </c>
      <c r="I178" s="24">
        <v>0</v>
      </c>
      <c r="J178" s="19">
        <v>0</v>
      </c>
      <c r="K178" s="23">
        <v>0</v>
      </c>
      <c r="L178" s="24">
        <v>0</v>
      </c>
      <c r="M178" s="25">
        <v>2.4</v>
      </c>
      <c r="N178" s="26">
        <v>6000</v>
      </c>
      <c r="O178" s="27">
        <v>6</v>
      </c>
      <c r="P178" s="28">
        <f t="shared" si="11"/>
        <v>2.8</v>
      </c>
      <c r="Q178" s="29">
        <f t="shared" si="12"/>
        <v>7000</v>
      </c>
      <c r="R178" s="30">
        <v>7</v>
      </c>
      <c r="S178" s="19">
        <v>0</v>
      </c>
      <c r="T178" s="23">
        <v>0</v>
      </c>
      <c r="U178" s="24">
        <v>0</v>
      </c>
      <c r="V178" s="31">
        <f t="shared" si="13"/>
        <v>5.6</v>
      </c>
      <c r="W178" s="32">
        <v>14000</v>
      </c>
      <c r="X178" s="30">
        <v>14</v>
      </c>
      <c r="Y178" s="19">
        <v>0</v>
      </c>
      <c r="Z178" s="23">
        <v>0</v>
      </c>
      <c r="AA178" s="24">
        <v>0</v>
      </c>
      <c r="AB178" s="33">
        <v>0</v>
      </c>
      <c r="AC178" s="34">
        <v>0</v>
      </c>
      <c r="AD178" s="35">
        <v>0</v>
      </c>
      <c r="AE178" s="36">
        <v>0</v>
      </c>
      <c r="AF178" s="23">
        <v>0</v>
      </c>
      <c r="AG178" s="24">
        <v>0</v>
      </c>
      <c r="AH178" s="33">
        <v>0</v>
      </c>
      <c r="AI178" s="37">
        <v>0</v>
      </c>
      <c r="AJ178" s="35">
        <v>0</v>
      </c>
      <c r="AK178" s="36">
        <v>0</v>
      </c>
      <c r="AL178" s="38">
        <v>0</v>
      </c>
      <c r="AM178" s="35">
        <v>0</v>
      </c>
      <c r="AN178" s="19">
        <v>0</v>
      </c>
      <c r="AO178" s="23">
        <v>0</v>
      </c>
      <c r="AP178" s="24">
        <v>0</v>
      </c>
      <c r="AQ178" s="31">
        <f t="shared" si="14"/>
        <v>10.799999999999999</v>
      </c>
      <c r="AR178" s="32">
        <f t="shared" si="14"/>
        <v>27000</v>
      </c>
      <c r="AS178" s="30">
        <v>14</v>
      </c>
    </row>
    <row r="179" spans="1:45" ht="15.6" x14ac:dyDescent="0.3">
      <c r="A179" s="19">
        <v>176</v>
      </c>
      <c r="B179" s="21" t="s">
        <v>191</v>
      </c>
      <c r="C179" s="20" t="s">
        <v>201</v>
      </c>
      <c r="D179" s="324"/>
      <c r="E179" s="22">
        <v>11.8</v>
      </c>
      <c r="F179" s="23">
        <f t="shared" si="10"/>
        <v>29500</v>
      </c>
      <c r="G179" s="19">
        <v>0</v>
      </c>
      <c r="H179" s="23">
        <v>0</v>
      </c>
      <c r="I179" s="24">
        <v>0</v>
      </c>
      <c r="J179" s="19">
        <v>0</v>
      </c>
      <c r="K179" s="23">
        <v>0</v>
      </c>
      <c r="L179" s="24">
        <v>0</v>
      </c>
      <c r="M179" s="25">
        <v>3.6</v>
      </c>
      <c r="N179" s="26">
        <v>9000</v>
      </c>
      <c r="O179" s="27">
        <v>9</v>
      </c>
      <c r="P179" s="28">
        <f t="shared" si="11"/>
        <v>4.4000000000000004</v>
      </c>
      <c r="Q179" s="29">
        <f t="shared" si="12"/>
        <v>11000</v>
      </c>
      <c r="R179" s="30">
        <v>11</v>
      </c>
      <c r="S179" s="19">
        <v>0</v>
      </c>
      <c r="T179" s="23">
        <v>0</v>
      </c>
      <c r="U179" s="24">
        <v>0</v>
      </c>
      <c r="V179" s="31">
        <f t="shared" si="13"/>
        <v>8</v>
      </c>
      <c r="W179" s="32">
        <v>20000</v>
      </c>
      <c r="X179" s="30">
        <v>20</v>
      </c>
      <c r="Y179" s="19">
        <v>0</v>
      </c>
      <c r="Z179" s="23">
        <v>0</v>
      </c>
      <c r="AA179" s="24">
        <v>0</v>
      </c>
      <c r="AB179" s="33">
        <v>0</v>
      </c>
      <c r="AC179" s="34">
        <v>0</v>
      </c>
      <c r="AD179" s="35">
        <v>0</v>
      </c>
      <c r="AE179" s="36">
        <v>0</v>
      </c>
      <c r="AF179" s="23">
        <v>0</v>
      </c>
      <c r="AG179" s="24">
        <v>0</v>
      </c>
      <c r="AH179" s="33">
        <v>0</v>
      </c>
      <c r="AI179" s="37">
        <v>0</v>
      </c>
      <c r="AJ179" s="35">
        <v>0</v>
      </c>
      <c r="AK179" s="36">
        <v>0</v>
      </c>
      <c r="AL179" s="38">
        <v>0</v>
      </c>
      <c r="AM179" s="35">
        <v>0</v>
      </c>
      <c r="AN179" s="19">
        <v>0</v>
      </c>
      <c r="AO179" s="23">
        <v>0</v>
      </c>
      <c r="AP179" s="24">
        <v>0</v>
      </c>
      <c r="AQ179" s="31">
        <f t="shared" si="14"/>
        <v>16</v>
      </c>
      <c r="AR179" s="32">
        <f t="shared" si="14"/>
        <v>40000</v>
      </c>
      <c r="AS179" s="30">
        <v>20</v>
      </c>
    </row>
    <row r="180" spans="1:45" ht="15.6" x14ac:dyDescent="0.3">
      <c r="A180" s="19">
        <v>177</v>
      </c>
      <c r="B180" s="21" t="s">
        <v>191</v>
      </c>
      <c r="C180" s="20" t="s">
        <v>202</v>
      </c>
      <c r="D180" s="324"/>
      <c r="E180" s="22">
        <v>5.8000000000000007</v>
      </c>
      <c r="F180" s="23">
        <f t="shared" si="10"/>
        <v>14500.000000000002</v>
      </c>
      <c r="G180" s="19">
        <v>0</v>
      </c>
      <c r="H180" s="23">
        <v>0</v>
      </c>
      <c r="I180" s="24">
        <v>0</v>
      </c>
      <c r="J180" s="19">
        <v>0</v>
      </c>
      <c r="K180" s="23">
        <v>0</v>
      </c>
      <c r="L180" s="24">
        <v>0</v>
      </c>
      <c r="M180" s="25">
        <v>1.6</v>
      </c>
      <c r="N180" s="26">
        <v>4000</v>
      </c>
      <c r="O180" s="27">
        <v>4</v>
      </c>
      <c r="P180" s="28">
        <f t="shared" si="11"/>
        <v>0.4</v>
      </c>
      <c r="Q180" s="29">
        <f t="shared" si="12"/>
        <v>1000</v>
      </c>
      <c r="R180" s="30">
        <v>1</v>
      </c>
      <c r="S180" s="19">
        <v>0</v>
      </c>
      <c r="T180" s="23">
        <v>0</v>
      </c>
      <c r="U180" s="24">
        <v>0</v>
      </c>
      <c r="V180" s="31">
        <f t="shared" si="13"/>
        <v>2.4</v>
      </c>
      <c r="W180" s="32">
        <v>6000</v>
      </c>
      <c r="X180" s="30">
        <v>6</v>
      </c>
      <c r="Y180" s="19">
        <v>0</v>
      </c>
      <c r="Z180" s="23">
        <v>0</v>
      </c>
      <c r="AA180" s="24">
        <v>0</v>
      </c>
      <c r="AB180" s="33">
        <v>0</v>
      </c>
      <c r="AC180" s="34">
        <v>0</v>
      </c>
      <c r="AD180" s="35">
        <v>0</v>
      </c>
      <c r="AE180" s="36">
        <v>0</v>
      </c>
      <c r="AF180" s="23">
        <v>0</v>
      </c>
      <c r="AG180" s="24">
        <v>0</v>
      </c>
      <c r="AH180" s="33">
        <v>0</v>
      </c>
      <c r="AI180" s="37">
        <v>0</v>
      </c>
      <c r="AJ180" s="35">
        <v>0</v>
      </c>
      <c r="AK180" s="36">
        <v>0</v>
      </c>
      <c r="AL180" s="38">
        <v>0</v>
      </c>
      <c r="AM180" s="35">
        <v>0</v>
      </c>
      <c r="AN180" s="19">
        <v>0</v>
      </c>
      <c r="AO180" s="23">
        <v>0</v>
      </c>
      <c r="AP180" s="24">
        <v>0</v>
      </c>
      <c r="AQ180" s="31">
        <f t="shared" si="14"/>
        <v>4.4000000000000004</v>
      </c>
      <c r="AR180" s="32">
        <f t="shared" si="14"/>
        <v>11000</v>
      </c>
      <c r="AS180" s="30">
        <v>6</v>
      </c>
    </row>
    <row r="181" spans="1:45" ht="15.6" x14ac:dyDescent="0.3">
      <c r="A181" s="19">
        <v>178</v>
      </c>
      <c r="B181" s="21" t="s">
        <v>191</v>
      </c>
      <c r="C181" s="20" t="s">
        <v>203</v>
      </c>
      <c r="D181" s="324"/>
      <c r="E181" s="22">
        <v>10.199999999999999</v>
      </c>
      <c r="F181" s="23">
        <f t="shared" si="10"/>
        <v>25500</v>
      </c>
      <c r="G181" s="19">
        <v>0</v>
      </c>
      <c r="H181" s="23">
        <v>0</v>
      </c>
      <c r="I181" s="24">
        <v>0</v>
      </c>
      <c r="J181" s="19">
        <v>0</v>
      </c>
      <c r="K181" s="23">
        <v>0</v>
      </c>
      <c r="L181" s="24">
        <v>0</v>
      </c>
      <c r="M181" s="25">
        <v>3.2</v>
      </c>
      <c r="N181" s="26">
        <v>8000</v>
      </c>
      <c r="O181" s="27">
        <v>8</v>
      </c>
      <c r="P181" s="28">
        <f t="shared" si="11"/>
        <v>0.4</v>
      </c>
      <c r="Q181" s="29">
        <f t="shared" si="12"/>
        <v>1000</v>
      </c>
      <c r="R181" s="30">
        <v>1</v>
      </c>
      <c r="S181" s="19">
        <v>0</v>
      </c>
      <c r="T181" s="23">
        <v>0</v>
      </c>
      <c r="U181" s="24">
        <v>0</v>
      </c>
      <c r="V181" s="31">
        <f t="shared" si="13"/>
        <v>3.6</v>
      </c>
      <c r="W181" s="32">
        <v>9000</v>
      </c>
      <c r="X181" s="30">
        <v>9</v>
      </c>
      <c r="Y181" s="19">
        <v>0</v>
      </c>
      <c r="Z181" s="23">
        <v>0</v>
      </c>
      <c r="AA181" s="24">
        <v>0</v>
      </c>
      <c r="AB181" s="33">
        <v>0</v>
      </c>
      <c r="AC181" s="34">
        <v>0</v>
      </c>
      <c r="AD181" s="35">
        <v>0</v>
      </c>
      <c r="AE181" s="36">
        <v>0</v>
      </c>
      <c r="AF181" s="23">
        <v>0</v>
      </c>
      <c r="AG181" s="24">
        <v>0</v>
      </c>
      <c r="AH181" s="33">
        <v>0</v>
      </c>
      <c r="AI181" s="37">
        <v>0</v>
      </c>
      <c r="AJ181" s="35">
        <v>0</v>
      </c>
      <c r="AK181" s="36">
        <v>0</v>
      </c>
      <c r="AL181" s="38">
        <v>0</v>
      </c>
      <c r="AM181" s="35">
        <v>0</v>
      </c>
      <c r="AN181" s="19">
        <v>0</v>
      </c>
      <c r="AO181" s="23">
        <v>0</v>
      </c>
      <c r="AP181" s="24">
        <v>0</v>
      </c>
      <c r="AQ181" s="31">
        <f t="shared" si="14"/>
        <v>7.2</v>
      </c>
      <c r="AR181" s="32">
        <f t="shared" si="14"/>
        <v>18000</v>
      </c>
      <c r="AS181" s="30">
        <v>10</v>
      </c>
    </row>
    <row r="182" spans="1:45" ht="15.6" x14ac:dyDescent="0.3">
      <c r="A182" s="19">
        <v>179</v>
      </c>
      <c r="B182" s="21" t="s">
        <v>191</v>
      </c>
      <c r="C182" s="20" t="s">
        <v>204</v>
      </c>
      <c r="D182" s="324"/>
      <c r="E182" s="22">
        <v>12.2</v>
      </c>
      <c r="F182" s="23">
        <f t="shared" si="10"/>
        <v>30500</v>
      </c>
      <c r="G182" s="19">
        <v>0</v>
      </c>
      <c r="H182" s="23">
        <v>0</v>
      </c>
      <c r="I182" s="24">
        <v>0</v>
      </c>
      <c r="J182" s="19">
        <v>0</v>
      </c>
      <c r="K182" s="23">
        <v>0</v>
      </c>
      <c r="L182" s="24">
        <v>0</v>
      </c>
      <c r="M182" s="25">
        <v>2.4</v>
      </c>
      <c r="N182" s="26">
        <v>6000</v>
      </c>
      <c r="O182" s="27">
        <v>6</v>
      </c>
      <c r="P182" s="28">
        <f t="shared" si="11"/>
        <v>1.6</v>
      </c>
      <c r="Q182" s="29">
        <f t="shared" si="12"/>
        <v>4000</v>
      </c>
      <c r="R182" s="30">
        <v>4</v>
      </c>
      <c r="S182" s="19">
        <v>0</v>
      </c>
      <c r="T182" s="23">
        <v>0</v>
      </c>
      <c r="U182" s="24">
        <v>0</v>
      </c>
      <c r="V182" s="31">
        <f t="shared" si="13"/>
        <v>4</v>
      </c>
      <c r="W182" s="32">
        <v>10000</v>
      </c>
      <c r="X182" s="30">
        <v>10</v>
      </c>
      <c r="Y182" s="19">
        <v>0</v>
      </c>
      <c r="Z182" s="23">
        <v>0</v>
      </c>
      <c r="AA182" s="24">
        <v>0</v>
      </c>
      <c r="AB182" s="33">
        <v>0</v>
      </c>
      <c r="AC182" s="34">
        <v>0</v>
      </c>
      <c r="AD182" s="35">
        <v>0</v>
      </c>
      <c r="AE182" s="36">
        <v>0</v>
      </c>
      <c r="AF182" s="23">
        <v>0</v>
      </c>
      <c r="AG182" s="24">
        <v>0</v>
      </c>
      <c r="AH182" s="33">
        <v>0</v>
      </c>
      <c r="AI182" s="37">
        <v>0</v>
      </c>
      <c r="AJ182" s="35">
        <v>0</v>
      </c>
      <c r="AK182" s="36">
        <v>0</v>
      </c>
      <c r="AL182" s="38">
        <v>0</v>
      </c>
      <c r="AM182" s="35">
        <v>0</v>
      </c>
      <c r="AN182" s="19">
        <v>0</v>
      </c>
      <c r="AO182" s="23">
        <v>0</v>
      </c>
      <c r="AP182" s="24">
        <v>0</v>
      </c>
      <c r="AQ182" s="31">
        <f t="shared" si="14"/>
        <v>8</v>
      </c>
      <c r="AR182" s="32">
        <f t="shared" si="14"/>
        <v>20000</v>
      </c>
      <c r="AS182" s="30">
        <v>10</v>
      </c>
    </row>
    <row r="183" spans="1:45" ht="15.6" x14ac:dyDescent="0.3">
      <c r="A183" s="19">
        <v>180</v>
      </c>
      <c r="B183" s="21" t="s">
        <v>191</v>
      </c>
      <c r="C183" s="20" t="s">
        <v>205</v>
      </c>
      <c r="D183" s="324"/>
      <c r="E183" s="22">
        <v>7.4</v>
      </c>
      <c r="F183" s="23">
        <f t="shared" si="10"/>
        <v>18500</v>
      </c>
      <c r="G183" s="19">
        <v>0</v>
      </c>
      <c r="H183" s="23">
        <v>0</v>
      </c>
      <c r="I183" s="24">
        <v>0</v>
      </c>
      <c r="J183" s="19">
        <v>0</v>
      </c>
      <c r="K183" s="23">
        <v>0</v>
      </c>
      <c r="L183" s="24">
        <v>0</v>
      </c>
      <c r="M183" s="25">
        <v>2.4</v>
      </c>
      <c r="N183" s="26">
        <v>6000</v>
      </c>
      <c r="O183" s="27">
        <v>6</v>
      </c>
      <c r="P183" s="28">
        <f t="shared" si="11"/>
        <v>2.4</v>
      </c>
      <c r="Q183" s="29">
        <f t="shared" si="12"/>
        <v>6000</v>
      </c>
      <c r="R183" s="30">
        <v>6</v>
      </c>
      <c r="S183" s="19">
        <v>0</v>
      </c>
      <c r="T183" s="23">
        <v>0</v>
      </c>
      <c r="U183" s="24">
        <v>0</v>
      </c>
      <c r="V183" s="31">
        <f t="shared" si="13"/>
        <v>5.2</v>
      </c>
      <c r="W183" s="32">
        <v>13000</v>
      </c>
      <c r="X183" s="30">
        <v>13</v>
      </c>
      <c r="Y183" s="19">
        <v>0</v>
      </c>
      <c r="Z183" s="23">
        <v>0</v>
      </c>
      <c r="AA183" s="24">
        <v>0</v>
      </c>
      <c r="AB183" s="33">
        <v>0</v>
      </c>
      <c r="AC183" s="34">
        <v>0</v>
      </c>
      <c r="AD183" s="35">
        <v>0</v>
      </c>
      <c r="AE183" s="36">
        <v>0</v>
      </c>
      <c r="AF183" s="23">
        <v>0</v>
      </c>
      <c r="AG183" s="24">
        <v>0</v>
      </c>
      <c r="AH183" s="33">
        <v>0</v>
      </c>
      <c r="AI183" s="37">
        <v>0</v>
      </c>
      <c r="AJ183" s="35">
        <v>0</v>
      </c>
      <c r="AK183" s="36">
        <v>0</v>
      </c>
      <c r="AL183" s="38">
        <v>0</v>
      </c>
      <c r="AM183" s="35">
        <v>0</v>
      </c>
      <c r="AN183" s="19">
        <v>0</v>
      </c>
      <c r="AO183" s="23">
        <v>0</v>
      </c>
      <c r="AP183" s="24">
        <v>0</v>
      </c>
      <c r="AQ183" s="31">
        <f t="shared" si="14"/>
        <v>10</v>
      </c>
      <c r="AR183" s="32">
        <f t="shared" si="14"/>
        <v>25000</v>
      </c>
      <c r="AS183" s="30">
        <v>13</v>
      </c>
    </row>
    <row r="184" spans="1:45" ht="15.6" x14ac:dyDescent="0.3">
      <c r="A184" s="19">
        <v>181</v>
      </c>
      <c r="B184" s="21" t="s">
        <v>191</v>
      </c>
      <c r="C184" s="20" t="s">
        <v>191</v>
      </c>
      <c r="D184" s="324"/>
      <c r="E184" s="22">
        <v>10.4</v>
      </c>
      <c r="F184" s="23">
        <f t="shared" si="10"/>
        <v>26000</v>
      </c>
      <c r="G184" s="19">
        <v>0</v>
      </c>
      <c r="H184" s="23">
        <v>0</v>
      </c>
      <c r="I184" s="24">
        <v>0</v>
      </c>
      <c r="J184" s="19">
        <v>0</v>
      </c>
      <c r="K184" s="23">
        <v>0</v>
      </c>
      <c r="L184" s="24">
        <v>0</v>
      </c>
      <c r="M184" s="25">
        <v>2</v>
      </c>
      <c r="N184" s="26">
        <v>5000</v>
      </c>
      <c r="O184" s="27">
        <v>5</v>
      </c>
      <c r="P184" s="28">
        <f t="shared" si="11"/>
        <v>2.4</v>
      </c>
      <c r="Q184" s="29">
        <f t="shared" si="12"/>
        <v>6000</v>
      </c>
      <c r="R184" s="30">
        <v>6</v>
      </c>
      <c r="S184" s="19">
        <v>0</v>
      </c>
      <c r="T184" s="23">
        <v>0</v>
      </c>
      <c r="U184" s="24">
        <v>0</v>
      </c>
      <c r="V184" s="31">
        <f t="shared" si="13"/>
        <v>5.2</v>
      </c>
      <c r="W184" s="32">
        <v>13000</v>
      </c>
      <c r="X184" s="30">
        <v>13</v>
      </c>
      <c r="Y184" s="19">
        <v>0</v>
      </c>
      <c r="Z184" s="23">
        <v>0</v>
      </c>
      <c r="AA184" s="24">
        <v>0</v>
      </c>
      <c r="AB184" s="33">
        <v>0</v>
      </c>
      <c r="AC184" s="34">
        <v>0</v>
      </c>
      <c r="AD184" s="35">
        <v>0</v>
      </c>
      <c r="AE184" s="36">
        <v>0</v>
      </c>
      <c r="AF184" s="23">
        <v>0</v>
      </c>
      <c r="AG184" s="24">
        <v>0</v>
      </c>
      <c r="AH184" s="33">
        <v>0</v>
      </c>
      <c r="AI184" s="37">
        <v>0</v>
      </c>
      <c r="AJ184" s="35">
        <v>0</v>
      </c>
      <c r="AK184" s="36">
        <v>0</v>
      </c>
      <c r="AL184" s="38">
        <v>0</v>
      </c>
      <c r="AM184" s="35">
        <v>0</v>
      </c>
      <c r="AN184" s="19">
        <v>0</v>
      </c>
      <c r="AO184" s="23">
        <v>0</v>
      </c>
      <c r="AP184" s="24">
        <v>0</v>
      </c>
      <c r="AQ184" s="31">
        <f t="shared" si="14"/>
        <v>9.6000000000000014</v>
      </c>
      <c r="AR184" s="32">
        <f t="shared" si="14"/>
        <v>24000</v>
      </c>
      <c r="AS184" s="30">
        <v>13</v>
      </c>
    </row>
    <row r="185" spans="1:45" ht="15.6" x14ac:dyDescent="0.3">
      <c r="A185" s="19">
        <v>182</v>
      </c>
      <c r="B185" s="21" t="s">
        <v>191</v>
      </c>
      <c r="C185" s="20" t="s">
        <v>206</v>
      </c>
      <c r="D185" s="324"/>
      <c r="E185" s="22">
        <v>8</v>
      </c>
      <c r="F185" s="23">
        <f t="shared" si="10"/>
        <v>20000</v>
      </c>
      <c r="G185" s="19">
        <v>0</v>
      </c>
      <c r="H185" s="23">
        <v>0</v>
      </c>
      <c r="I185" s="24">
        <v>0</v>
      </c>
      <c r="J185" s="19">
        <v>0</v>
      </c>
      <c r="K185" s="23">
        <v>0</v>
      </c>
      <c r="L185" s="24">
        <v>0</v>
      </c>
      <c r="M185" s="25">
        <v>2.8</v>
      </c>
      <c r="N185" s="26">
        <v>7000</v>
      </c>
      <c r="O185" s="27">
        <v>7</v>
      </c>
      <c r="P185" s="28">
        <f t="shared" si="11"/>
        <v>1.2</v>
      </c>
      <c r="Q185" s="29">
        <f t="shared" si="12"/>
        <v>3000</v>
      </c>
      <c r="R185" s="30">
        <v>3</v>
      </c>
      <c r="S185" s="19">
        <v>0</v>
      </c>
      <c r="T185" s="23">
        <v>0</v>
      </c>
      <c r="U185" s="24">
        <v>0</v>
      </c>
      <c r="V185" s="31">
        <f t="shared" si="13"/>
        <v>4</v>
      </c>
      <c r="W185" s="32">
        <v>10000</v>
      </c>
      <c r="X185" s="30">
        <v>10</v>
      </c>
      <c r="Y185" s="19">
        <v>0</v>
      </c>
      <c r="Z185" s="23">
        <v>0</v>
      </c>
      <c r="AA185" s="24">
        <v>0</v>
      </c>
      <c r="AB185" s="33">
        <v>0</v>
      </c>
      <c r="AC185" s="34">
        <v>0</v>
      </c>
      <c r="AD185" s="35">
        <v>0</v>
      </c>
      <c r="AE185" s="36">
        <v>0</v>
      </c>
      <c r="AF185" s="23">
        <v>0</v>
      </c>
      <c r="AG185" s="24">
        <v>0</v>
      </c>
      <c r="AH185" s="33">
        <v>0</v>
      </c>
      <c r="AI185" s="37">
        <v>0</v>
      </c>
      <c r="AJ185" s="35">
        <v>0</v>
      </c>
      <c r="AK185" s="36">
        <v>0</v>
      </c>
      <c r="AL185" s="38">
        <v>0</v>
      </c>
      <c r="AM185" s="35">
        <v>0</v>
      </c>
      <c r="AN185" s="19">
        <v>0</v>
      </c>
      <c r="AO185" s="23">
        <v>0</v>
      </c>
      <c r="AP185" s="24">
        <v>0</v>
      </c>
      <c r="AQ185" s="31">
        <f t="shared" si="14"/>
        <v>8</v>
      </c>
      <c r="AR185" s="32">
        <f t="shared" si="14"/>
        <v>20000</v>
      </c>
      <c r="AS185" s="30">
        <v>10</v>
      </c>
    </row>
    <row r="186" spans="1:45" ht="15.6" x14ac:dyDescent="0.3">
      <c r="A186" s="19">
        <v>183</v>
      </c>
      <c r="B186" s="21" t="s">
        <v>191</v>
      </c>
      <c r="C186" s="20" t="s">
        <v>207</v>
      </c>
      <c r="D186" s="324"/>
      <c r="E186" s="22">
        <v>13.000000000000002</v>
      </c>
      <c r="F186" s="23">
        <f t="shared" si="10"/>
        <v>32500.000000000004</v>
      </c>
      <c r="G186" s="19">
        <v>0</v>
      </c>
      <c r="H186" s="23">
        <v>0</v>
      </c>
      <c r="I186" s="24">
        <v>0</v>
      </c>
      <c r="J186" s="19">
        <v>0</v>
      </c>
      <c r="K186" s="23">
        <v>0</v>
      </c>
      <c r="L186" s="24">
        <v>0</v>
      </c>
      <c r="M186" s="25">
        <v>3.6</v>
      </c>
      <c r="N186" s="26">
        <v>9000</v>
      </c>
      <c r="O186" s="27">
        <v>9</v>
      </c>
      <c r="P186" s="28">
        <f t="shared" si="11"/>
        <v>2</v>
      </c>
      <c r="Q186" s="29">
        <f t="shared" si="12"/>
        <v>5000</v>
      </c>
      <c r="R186" s="30">
        <v>5</v>
      </c>
      <c r="S186" s="19">
        <v>0</v>
      </c>
      <c r="T186" s="23">
        <v>0</v>
      </c>
      <c r="U186" s="24">
        <v>0</v>
      </c>
      <c r="V186" s="31">
        <f t="shared" si="13"/>
        <v>5.6</v>
      </c>
      <c r="W186" s="32">
        <v>14000</v>
      </c>
      <c r="X186" s="30">
        <v>14</v>
      </c>
      <c r="Y186" s="19">
        <v>0</v>
      </c>
      <c r="Z186" s="23">
        <v>0</v>
      </c>
      <c r="AA186" s="24">
        <v>0</v>
      </c>
      <c r="AB186" s="33">
        <v>0</v>
      </c>
      <c r="AC186" s="34">
        <v>0</v>
      </c>
      <c r="AD186" s="35">
        <v>0</v>
      </c>
      <c r="AE186" s="36">
        <v>0</v>
      </c>
      <c r="AF186" s="23">
        <v>0</v>
      </c>
      <c r="AG186" s="24">
        <v>0</v>
      </c>
      <c r="AH186" s="33">
        <v>0</v>
      </c>
      <c r="AI186" s="37">
        <v>0</v>
      </c>
      <c r="AJ186" s="35">
        <v>0</v>
      </c>
      <c r="AK186" s="36">
        <v>0</v>
      </c>
      <c r="AL186" s="38">
        <v>0</v>
      </c>
      <c r="AM186" s="35">
        <v>0</v>
      </c>
      <c r="AN186" s="19">
        <v>0</v>
      </c>
      <c r="AO186" s="23">
        <v>0</v>
      </c>
      <c r="AP186" s="24">
        <v>0</v>
      </c>
      <c r="AQ186" s="31">
        <f t="shared" si="14"/>
        <v>11.2</v>
      </c>
      <c r="AR186" s="32">
        <f t="shared" si="14"/>
        <v>28000</v>
      </c>
      <c r="AS186" s="30">
        <v>14</v>
      </c>
    </row>
    <row r="187" spans="1:45" ht="15.6" x14ac:dyDescent="0.3">
      <c r="A187" s="19">
        <v>184</v>
      </c>
      <c r="B187" s="21" t="s">
        <v>191</v>
      </c>
      <c r="C187" s="20" t="s">
        <v>208</v>
      </c>
      <c r="D187" s="324"/>
      <c r="E187" s="22">
        <v>8</v>
      </c>
      <c r="F187" s="23">
        <f t="shared" si="10"/>
        <v>20000</v>
      </c>
      <c r="G187" s="19">
        <v>0</v>
      </c>
      <c r="H187" s="23">
        <v>0</v>
      </c>
      <c r="I187" s="24">
        <v>0</v>
      </c>
      <c r="J187" s="19">
        <v>0</v>
      </c>
      <c r="K187" s="23">
        <v>0</v>
      </c>
      <c r="L187" s="24">
        <v>0</v>
      </c>
      <c r="M187" s="25">
        <v>1.6</v>
      </c>
      <c r="N187" s="26">
        <v>4000</v>
      </c>
      <c r="O187" s="27">
        <v>4</v>
      </c>
      <c r="P187" s="28">
        <f t="shared" si="11"/>
        <v>2.4</v>
      </c>
      <c r="Q187" s="29">
        <f t="shared" si="12"/>
        <v>6000</v>
      </c>
      <c r="R187" s="30">
        <v>6</v>
      </c>
      <c r="S187" s="19">
        <v>0</v>
      </c>
      <c r="T187" s="23">
        <v>0</v>
      </c>
      <c r="U187" s="24">
        <v>0</v>
      </c>
      <c r="V187" s="31">
        <f t="shared" si="13"/>
        <v>4.4000000000000004</v>
      </c>
      <c r="W187" s="32">
        <v>11000</v>
      </c>
      <c r="X187" s="30">
        <v>11</v>
      </c>
      <c r="Y187" s="19">
        <v>0</v>
      </c>
      <c r="Z187" s="23">
        <v>0</v>
      </c>
      <c r="AA187" s="24">
        <v>0</v>
      </c>
      <c r="AB187" s="33">
        <v>0</v>
      </c>
      <c r="AC187" s="34">
        <v>0</v>
      </c>
      <c r="AD187" s="35">
        <v>0</v>
      </c>
      <c r="AE187" s="36">
        <v>0</v>
      </c>
      <c r="AF187" s="23">
        <v>0</v>
      </c>
      <c r="AG187" s="24">
        <v>0</v>
      </c>
      <c r="AH187" s="33">
        <v>0</v>
      </c>
      <c r="AI187" s="37">
        <v>0</v>
      </c>
      <c r="AJ187" s="35">
        <v>0</v>
      </c>
      <c r="AK187" s="36">
        <v>0</v>
      </c>
      <c r="AL187" s="38">
        <v>0</v>
      </c>
      <c r="AM187" s="35">
        <v>0</v>
      </c>
      <c r="AN187" s="19">
        <v>0</v>
      </c>
      <c r="AO187" s="23">
        <v>0</v>
      </c>
      <c r="AP187" s="24">
        <v>0</v>
      </c>
      <c r="AQ187" s="31">
        <f t="shared" si="14"/>
        <v>8.4</v>
      </c>
      <c r="AR187" s="32">
        <f t="shared" si="14"/>
        <v>21000</v>
      </c>
      <c r="AS187" s="30">
        <v>11</v>
      </c>
    </row>
    <row r="188" spans="1:45" ht="15.6" x14ac:dyDescent="0.3">
      <c r="A188" s="19">
        <v>185</v>
      </c>
      <c r="B188" s="21" t="s">
        <v>191</v>
      </c>
      <c r="C188" s="20" t="s">
        <v>209</v>
      </c>
      <c r="D188" s="324"/>
      <c r="E188" s="22">
        <v>20</v>
      </c>
      <c r="F188" s="23">
        <f t="shared" si="10"/>
        <v>50000</v>
      </c>
      <c r="G188" s="19">
        <v>0</v>
      </c>
      <c r="H188" s="23">
        <v>0</v>
      </c>
      <c r="I188" s="24">
        <v>0</v>
      </c>
      <c r="J188" s="19">
        <v>0</v>
      </c>
      <c r="K188" s="23">
        <v>0</v>
      </c>
      <c r="L188" s="24">
        <v>0</v>
      </c>
      <c r="M188" s="25">
        <v>4.4000000000000004</v>
      </c>
      <c r="N188" s="26">
        <v>11000</v>
      </c>
      <c r="O188" s="27">
        <v>11</v>
      </c>
      <c r="P188" s="28">
        <f t="shared" si="11"/>
        <v>3.6</v>
      </c>
      <c r="Q188" s="29">
        <f t="shared" si="12"/>
        <v>9000</v>
      </c>
      <c r="R188" s="30">
        <v>9</v>
      </c>
      <c r="S188" s="19">
        <v>0</v>
      </c>
      <c r="T188" s="23">
        <v>0</v>
      </c>
      <c r="U188" s="24">
        <v>0</v>
      </c>
      <c r="V188" s="31">
        <f t="shared" si="13"/>
        <v>8</v>
      </c>
      <c r="W188" s="32">
        <v>20000</v>
      </c>
      <c r="X188" s="30">
        <v>20</v>
      </c>
      <c r="Y188" s="19">
        <v>0</v>
      </c>
      <c r="Z188" s="23">
        <v>0</v>
      </c>
      <c r="AA188" s="24">
        <v>0</v>
      </c>
      <c r="AB188" s="33">
        <v>0</v>
      </c>
      <c r="AC188" s="34">
        <v>0</v>
      </c>
      <c r="AD188" s="35">
        <v>0</v>
      </c>
      <c r="AE188" s="36">
        <v>0</v>
      </c>
      <c r="AF188" s="23">
        <v>0</v>
      </c>
      <c r="AG188" s="24">
        <v>0</v>
      </c>
      <c r="AH188" s="33">
        <v>0</v>
      </c>
      <c r="AI188" s="37">
        <v>0</v>
      </c>
      <c r="AJ188" s="35">
        <v>0</v>
      </c>
      <c r="AK188" s="36">
        <v>0</v>
      </c>
      <c r="AL188" s="38">
        <v>0</v>
      </c>
      <c r="AM188" s="35">
        <v>0</v>
      </c>
      <c r="AN188" s="19">
        <v>0</v>
      </c>
      <c r="AO188" s="23">
        <v>0</v>
      </c>
      <c r="AP188" s="24">
        <v>0</v>
      </c>
      <c r="AQ188" s="31">
        <f t="shared" si="14"/>
        <v>16</v>
      </c>
      <c r="AR188" s="32">
        <f t="shared" si="14"/>
        <v>40000</v>
      </c>
      <c r="AS188" s="30">
        <v>20</v>
      </c>
    </row>
    <row r="189" spans="1:45" ht="15.6" x14ac:dyDescent="0.3">
      <c r="A189" s="19">
        <v>186</v>
      </c>
      <c r="B189" s="21" t="s">
        <v>191</v>
      </c>
      <c r="C189" s="20" t="s">
        <v>210</v>
      </c>
      <c r="D189" s="324"/>
      <c r="E189" s="22">
        <v>12.2</v>
      </c>
      <c r="F189" s="23">
        <f t="shared" si="10"/>
        <v>30500</v>
      </c>
      <c r="G189" s="19">
        <v>0</v>
      </c>
      <c r="H189" s="23">
        <v>0</v>
      </c>
      <c r="I189" s="24">
        <v>0</v>
      </c>
      <c r="J189" s="19">
        <v>0</v>
      </c>
      <c r="K189" s="23">
        <v>0</v>
      </c>
      <c r="L189" s="24">
        <v>0</v>
      </c>
      <c r="M189" s="25">
        <v>2.8</v>
      </c>
      <c r="N189" s="26">
        <v>7000</v>
      </c>
      <c r="O189" s="27">
        <v>7</v>
      </c>
      <c r="P189" s="28">
        <f t="shared" si="11"/>
        <v>5.2</v>
      </c>
      <c r="Q189" s="29">
        <f t="shared" si="12"/>
        <v>13000</v>
      </c>
      <c r="R189" s="30">
        <v>13</v>
      </c>
      <c r="S189" s="19">
        <v>0</v>
      </c>
      <c r="T189" s="23">
        <v>0</v>
      </c>
      <c r="U189" s="24">
        <v>0</v>
      </c>
      <c r="V189" s="31">
        <f t="shared" si="13"/>
        <v>7.6</v>
      </c>
      <c r="W189" s="32">
        <v>19000</v>
      </c>
      <c r="X189" s="30">
        <v>19</v>
      </c>
      <c r="Y189" s="19">
        <v>0</v>
      </c>
      <c r="Z189" s="23">
        <v>0</v>
      </c>
      <c r="AA189" s="24">
        <v>0</v>
      </c>
      <c r="AB189" s="33">
        <v>0</v>
      </c>
      <c r="AC189" s="34">
        <v>0</v>
      </c>
      <c r="AD189" s="35">
        <v>0</v>
      </c>
      <c r="AE189" s="36">
        <v>0</v>
      </c>
      <c r="AF189" s="23">
        <v>0</v>
      </c>
      <c r="AG189" s="24">
        <v>0</v>
      </c>
      <c r="AH189" s="33">
        <v>0</v>
      </c>
      <c r="AI189" s="37">
        <v>0</v>
      </c>
      <c r="AJ189" s="35">
        <v>0</v>
      </c>
      <c r="AK189" s="36">
        <v>0</v>
      </c>
      <c r="AL189" s="38">
        <v>0</v>
      </c>
      <c r="AM189" s="35">
        <v>0</v>
      </c>
      <c r="AN189" s="19">
        <v>0</v>
      </c>
      <c r="AO189" s="23">
        <v>0</v>
      </c>
      <c r="AP189" s="24">
        <v>0</v>
      </c>
      <c r="AQ189" s="31">
        <f t="shared" si="14"/>
        <v>15.6</v>
      </c>
      <c r="AR189" s="32">
        <f t="shared" si="14"/>
        <v>39000</v>
      </c>
      <c r="AS189" s="30">
        <v>20</v>
      </c>
    </row>
    <row r="190" spans="1:45" ht="15.6" x14ac:dyDescent="0.3">
      <c r="A190" s="19">
        <v>187</v>
      </c>
      <c r="B190" s="21" t="s">
        <v>191</v>
      </c>
      <c r="C190" s="20" t="s">
        <v>211</v>
      </c>
      <c r="D190" s="324"/>
      <c r="E190" s="22">
        <v>8</v>
      </c>
      <c r="F190" s="23">
        <f t="shared" si="10"/>
        <v>20000</v>
      </c>
      <c r="G190" s="19">
        <v>0</v>
      </c>
      <c r="H190" s="23">
        <v>0</v>
      </c>
      <c r="I190" s="24">
        <v>0</v>
      </c>
      <c r="J190" s="19">
        <v>0</v>
      </c>
      <c r="K190" s="23">
        <v>0</v>
      </c>
      <c r="L190" s="24">
        <v>0</v>
      </c>
      <c r="M190" s="25">
        <v>2.4</v>
      </c>
      <c r="N190" s="26">
        <v>6000</v>
      </c>
      <c r="O190" s="27">
        <v>6</v>
      </c>
      <c r="P190" s="28">
        <f t="shared" si="11"/>
        <v>3.2</v>
      </c>
      <c r="Q190" s="29">
        <f t="shared" si="12"/>
        <v>8000</v>
      </c>
      <c r="R190" s="30">
        <v>8</v>
      </c>
      <c r="S190" s="19">
        <v>0</v>
      </c>
      <c r="T190" s="23">
        <v>0</v>
      </c>
      <c r="U190" s="24">
        <v>0</v>
      </c>
      <c r="V190" s="31">
        <f t="shared" si="13"/>
        <v>5.6</v>
      </c>
      <c r="W190" s="32">
        <v>14000</v>
      </c>
      <c r="X190" s="30">
        <v>14</v>
      </c>
      <c r="Y190" s="19">
        <v>0</v>
      </c>
      <c r="Z190" s="23">
        <v>0</v>
      </c>
      <c r="AA190" s="24">
        <v>0</v>
      </c>
      <c r="AB190" s="33">
        <v>0</v>
      </c>
      <c r="AC190" s="34">
        <v>0</v>
      </c>
      <c r="AD190" s="35">
        <v>0</v>
      </c>
      <c r="AE190" s="36">
        <v>0</v>
      </c>
      <c r="AF190" s="23">
        <v>0</v>
      </c>
      <c r="AG190" s="24">
        <v>0</v>
      </c>
      <c r="AH190" s="33">
        <v>0</v>
      </c>
      <c r="AI190" s="37">
        <v>0</v>
      </c>
      <c r="AJ190" s="35">
        <v>0</v>
      </c>
      <c r="AK190" s="36">
        <v>0</v>
      </c>
      <c r="AL190" s="38">
        <v>0</v>
      </c>
      <c r="AM190" s="35">
        <v>0</v>
      </c>
      <c r="AN190" s="19">
        <v>0</v>
      </c>
      <c r="AO190" s="23">
        <v>0</v>
      </c>
      <c r="AP190" s="24">
        <v>0</v>
      </c>
      <c r="AQ190" s="31">
        <f t="shared" si="14"/>
        <v>11.2</v>
      </c>
      <c r="AR190" s="32">
        <f t="shared" si="14"/>
        <v>28000</v>
      </c>
      <c r="AS190" s="30">
        <v>14</v>
      </c>
    </row>
    <row r="191" spans="1:45" ht="15.6" x14ac:dyDescent="0.3">
      <c r="A191" s="19">
        <v>188</v>
      </c>
      <c r="B191" s="21" t="s">
        <v>191</v>
      </c>
      <c r="C191" s="20" t="s">
        <v>212</v>
      </c>
      <c r="D191" s="324" t="s">
        <v>25</v>
      </c>
      <c r="E191" s="22">
        <v>18.8</v>
      </c>
      <c r="F191" s="23">
        <f t="shared" si="10"/>
        <v>47000</v>
      </c>
      <c r="G191" s="19">
        <v>0</v>
      </c>
      <c r="H191" s="23">
        <v>0</v>
      </c>
      <c r="I191" s="24">
        <v>0</v>
      </c>
      <c r="J191" s="19">
        <v>0</v>
      </c>
      <c r="K191" s="23">
        <v>0</v>
      </c>
      <c r="L191" s="24">
        <v>0</v>
      </c>
      <c r="M191" s="25">
        <v>3.2</v>
      </c>
      <c r="N191" s="26">
        <v>8000</v>
      </c>
      <c r="O191" s="27">
        <v>8</v>
      </c>
      <c r="P191" s="28">
        <f t="shared" si="11"/>
        <v>4.8</v>
      </c>
      <c r="Q191" s="29">
        <f t="shared" si="12"/>
        <v>12000</v>
      </c>
      <c r="R191" s="30">
        <v>12</v>
      </c>
      <c r="S191" s="19">
        <v>0</v>
      </c>
      <c r="T191" s="23">
        <v>0</v>
      </c>
      <c r="U191" s="24">
        <v>0</v>
      </c>
      <c r="V191" s="31">
        <f t="shared" si="13"/>
        <v>8</v>
      </c>
      <c r="W191" s="32">
        <v>20000</v>
      </c>
      <c r="X191" s="30">
        <v>20</v>
      </c>
      <c r="Y191" s="19">
        <v>0</v>
      </c>
      <c r="Z191" s="23">
        <v>0</v>
      </c>
      <c r="AA191" s="24">
        <v>0</v>
      </c>
      <c r="AB191" s="33">
        <v>0</v>
      </c>
      <c r="AC191" s="34">
        <v>0</v>
      </c>
      <c r="AD191" s="35">
        <v>0</v>
      </c>
      <c r="AE191" s="36">
        <v>0</v>
      </c>
      <c r="AF191" s="23">
        <v>0</v>
      </c>
      <c r="AG191" s="24">
        <v>0</v>
      </c>
      <c r="AH191" s="33">
        <v>0</v>
      </c>
      <c r="AI191" s="37">
        <v>0</v>
      </c>
      <c r="AJ191" s="35">
        <v>0</v>
      </c>
      <c r="AK191" s="36">
        <v>0</v>
      </c>
      <c r="AL191" s="38">
        <v>0</v>
      </c>
      <c r="AM191" s="35">
        <v>0</v>
      </c>
      <c r="AN191" s="19">
        <v>0</v>
      </c>
      <c r="AO191" s="23">
        <v>0</v>
      </c>
      <c r="AP191" s="24">
        <v>0</v>
      </c>
      <c r="AQ191" s="31">
        <f t="shared" si="14"/>
        <v>16</v>
      </c>
      <c r="AR191" s="32">
        <f t="shared" si="14"/>
        <v>40000</v>
      </c>
      <c r="AS191" s="30">
        <v>20</v>
      </c>
    </row>
    <row r="192" spans="1:45" ht="15.6" x14ac:dyDescent="0.3">
      <c r="A192" s="19">
        <v>189</v>
      </c>
      <c r="B192" s="21" t="s">
        <v>191</v>
      </c>
      <c r="C192" s="20" t="s">
        <v>213</v>
      </c>
      <c r="D192" s="324"/>
      <c r="E192" s="22">
        <v>18.600000000000001</v>
      </c>
      <c r="F192" s="23">
        <f t="shared" si="10"/>
        <v>46500</v>
      </c>
      <c r="G192" s="19">
        <v>0</v>
      </c>
      <c r="H192" s="23">
        <v>0</v>
      </c>
      <c r="I192" s="24">
        <v>0</v>
      </c>
      <c r="J192" s="19">
        <v>0</v>
      </c>
      <c r="K192" s="23">
        <v>0</v>
      </c>
      <c r="L192" s="24">
        <v>0</v>
      </c>
      <c r="M192" s="25">
        <v>4.4000000000000004</v>
      </c>
      <c r="N192" s="26">
        <v>11000</v>
      </c>
      <c r="O192" s="27">
        <v>11</v>
      </c>
      <c r="P192" s="28">
        <f t="shared" si="11"/>
        <v>2.8</v>
      </c>
      <c r="Q192" s="29">
        <f t="shared" si="12"/>
        <v>7000</v>
      </c>
      <c r="R192" s="30">
        <v>7</v>
      </c>
      <c r="S192" s="19">
        <v>0</v>
      </c>
      <c r="T192" s="23">
        <v>0</v>
      </c>
      <c r="U192" s="24">
        <v>0</v>
      </c>
      <c r="V192" s="31">
        <f t="shared" si="13"/>
        <v>7.6</v>
      </c>
      <c r="W192" s="32">
        <v>19000</v>
      </c>
      <c r="X192" s="30">
        <v>19</v>
      </c>
      <c r="Y192" s="19">
        <v>0</v>
      </c>
      <c r="Z192" s="23">
        <v>0</v>
      </c>
      <c r="AA192" s="24">
        <v>0</v>
      </c>
      <c r="AB192" s="33">
        <v>0</v>
      </c>
      <c r="AC192" s="34">
        <v>0</v>
      </c>
      <c r="AD192" s="35">
        <v>0</v>
      </c>
      <c r="AE192" s="36">
        <v>0</v>
      </c>
      <c r="AF192" s="23">
        <v>0</v>
      </c>
      <c r="AG192" s="24">
        <v>0</v>
      </c>
      <c r="AH192" s="33">
        <v>0</v>
      </c>
      <c r="AI192" s="37">
        <v>0</v>
      </c>
      <c r="AJ192" s="35">
        <v>0</v>
      </c>
      <c r="AK192" s="36">
        <v>0</v>
      </c>
      <c r="AL192" s="38">
        <v>0</v>
      </c>
      <c r="AM192" s="35">
        <v>0</v>
      </c>
      <c r="AN192" s="19">
        <v>0</v>
      </c>
      <c r="AO192" s="23">
        <v>0</v>
      </c>
      <c r="AP192" s="24">
        <v>0</v>
      </c>
      <c r="AQ192" s="31">
        <f t="shared" si="14"/>
        <v>14.8</v>
      </c>
      <c r="AR192" s="32">
        <f t="shared" si="14"/>
        <v>37000</v>
      </c>
      <c r="AS192" s="30">
        <v>19</v>
      </c>
    </row>
    <row r="193" spans="1:45" ht="15.6" x14ac:dyDescent="0.3">
      <c r="A193" s="19">
        <v>190</v>
      </c>
      <c r="B193" s="21" t="s">
        <v>191</v>
      </c>
      <c r="C193" s="20" t="s">
        <v>214</v>
      </c>
      <c r="D193" s="324"/>
      <c r="E193" s="22">
        <v>11</v>
      </c>
      <c r="F193" s="23">
        <f t="shared" si="10"/>
        <v>27500</v>
      </c>
      <c r="G193" s="19">
        <v>0</v>
      </c>
      <c r="H193" s="23">
        <v>0</v>
      </c>
      <c r="I193" s="24">
        <v>0</v>
      </c>
      <c r="J193" s="19">
        <v>0</v>
      </c>
      <c r="K193" s="23">
        <v>0</v>
      </c>
      <c r="L193" s="24">
        <v>0</v>
      </c>
      <c r="M193" s="25">
        <v>1.6</v>
      </c>
      <c r="N193" s="26">
        <v>4000</v>
      </c>
      <c r="O193" s="27">
        <v>4</v>
      </c>
      <c r="P193" s="28">
        <f t="shared" si="11"/>
        <v>1.6</v>
      </c>
      <c r="Q193" s="29">
        <f t="shared" si="12"/>
        <v>4000</v>
      </c>
      <c r="R193" s="30">
        <v>4</v>
      </c>
      <c r="S193" s="19">
        <v>0</v>
      </c>
      <c r="T193" s="23">
        <v>0</v>
      </c>
      <c r="U193" s="24">
        <v>0</v>
      </c>
      <c r="V193" s="31">
        <f t="shared" si="13"/>
        <v>3.2</v>
      </c>
      <c r="W193" s="32">
        <v>8000</v>
      </c>
      <c r="X193" s="30">
        <v>8</v>
      </c>
      <c r="Y193" s="19">
        <v>0</v>
      </c>
      <c r="Z193" s="23">
        <v>0</v>
      </c>
      <c r="AA193" s="24">
        <v>0</v>
      </c>
      <c r="AB193" s="33">
        <v>0</v>
      </c>
      <c r="AC193" s="34">
        <v>0</v>
      </c>
      <c r="AD193" s="35">
        <v>0</v>
      </c>
      <c r="AE193" s="36">
        <v>0</v>
      </c>
      <c r="AF193" s="23">
        <v>0</v>
      </c>
      <c r="AG193" s="24">
        <v>0</v>
      </c>
      <c r="AH193" s="33">
        <v>0</v>
      </c>
      <c r="AI193" s="37">
        <v>0</v>
      </c>
      <c r="AJ193" s="35">
        <v>0</v>
      </c>
      <c r="AK193" s="36">
        <v>0</v>
      </c>
      <c r="AL193" s="38">
        <v>0</v>
      </c>
      <c r="AM193" s="35">
        <v>0</v>
      </c>
      <c r="AN193" s="19">
        <v>0</v>
      </c>
      <c r="AO193" s="23">
        <v>0</v>
      </c>
      <c r="AP193" s="24">
        <v>0</v>
      </c>
      <c r="AQ193" s="31">
        <f t="shared" si="14"/>
        <v>6.4</v>
      </c>
      <c r="AR193" s="32">
        <f t="shared" si="14"/>
        <v>16000</v>
      </c>
      <c r="AS193" s="30">
        <v>8</v>
      </c>
    </row>
    <row r="194" spans="1:45" ht="15.6" x14ac:dyDescent="0.3">
      <c r="A194" s="19">
        <v>191</v>
      </c>
      <c r="B194" s="21" t="s">
        <v>215</v>
      </c>
      <c r="C194" s="20" t="s">
        <v>216</v>
      </c>
      <c r="D194" s="324"/>
      <c r="E194" s="22">
        <v>21</v>
      </c>
      <c r="F194" s="23">
        <f t="shared" si="10"/>
        <v>52500</v>
      </c>
      <c r="G194" s="19">
        <v>0</v>
      </c>
      <c r="H194" s="23">
        <v>0</v>
      </c>
      <c r="I194" s="24">
        <v>0</v>
      </c>
      <c r="J194" s="19">
        <v>0</v>
      </c>
      <c r="K194" s="23">
        <v>0</v>
      </c>
      <c r="L194" s="24">
        <v>0</v>
      </c>
      <c r="M194" s="25">
        <v>7.6</v>
      </c>
      <c r="N194" s="26">
        <v>19000</v>
      </c>
      <c r="O194" s="27">
        <v>19</v>
      </c>
      <c r="P194" s="28">
        <f t="shared" si="11"/>
        <v>3.6</v>
      </c>
      <c r="Q194" s="29">
        <f t="shared" si="12"/>
        <v>9000</v>
      </c>
      <c r="R194" s="30">
        <v>9</v>
      </c>
      <c r="S194" s="19">
        <v>0</v>
      </c>
      <c r="T194" s="23">
        <v>0</v>
      </c>
      <c r="U194" s="24">
        <v>0</v>
      </c>
      <c r="V194" s="31">
        <f t="shared" si="13"/>
        <v>11.2</v>
      </c>
      <c r="W194" s="32">
        <v>28000</v>
      </c>
      <c r="X194" s="30">
        <v>28</v>
      </c>
      <c r="Y194" s="19">
        <v>0</v>
      </c>
      <c r="Z194" s="23">
        <v>0</v>
      </c>
      <c r="AA194" s="24">
        <v>0</v>
      </c>
      <c r="AB194" s="33">
        <v>0</v>
      </c>
      <c r="AC194" s="34">
        <v>0</v>
      </c>
      <c r="AD194" s="35">
        <v>0</v>
      </c>
      <c r="AE194" s="36">
        <v>0</v>
      </c>
      <c r="AF194" s="23">
        <v>0</v>
      </c>
      <c r="AG194" s="24">
        <v>0</v>
      </c>
      <c r="AH194" s="33">
        <v>0</v>
      </c>
      <c r="AI194" s="37">
        <v>0</v>
      </c>
      <c r="AJ194" s="35">
        <v>0</v>
      </c>
      <c r="AK194" s="36">
        <v>0</v>
      </c>
      <c r="AL194" s="38">
        <v>0</v>
      </c>
      <c r="AM194" s="35">
        <v>0</v>
      </c>
      <c r="AN194" s="19">
        <v>0</v>
      </c>
      <c r="AO194" s="23">
        <v>0</v>
      </c>
      <c r="AP194" s="24">
        <v>0</v>
      </c>
      <c r="AQ194" s="31">
        <f t="shared" si="14"/>
        <v>22.4</v>
      </c>
      <c r="AR194" s="32">
        <f t="shared" si="14"/>
        <v>56000</v>
      </c>
      <c r="AS194" s="30">
        <v>28</v>
      </c>
    </row>
    <row r="195" spans="1:45" ht="15.6" x14ac:dyDescent="0.3">
      <c r="A195" s="19">
        <v>192</v>
      </c>
      <c r="B195" s="21" t="s">
        <v>215</v>
      </c>
      <c r="C195" s="20" t="s">
        <v>217</v>
      </c>
      <c r="D195" s="324"/>
      <c r="E195" s="22">
        <v>21.8</v>
      </c>
      <c r="F195" s="23">
        <f t="shared" si="10"/>
        <v>54500</v>
      </c>
      <c r="G195" s="19">
        <v>0</v>
      </c>
      <c r="H195" s="23">
        <v>0</v>
      </c>
      <c r="I195" s="24">
        <v>0</v>
      </c>
      <c r="J195" s="19">
        <v>0</v>
      </c>
      <c r="K195" s="23">
        <v>0</v>
      </c>
      <c r="L195" s="24">
        <v>0</v>
      </c>
      <c r="M195" s="25">
        <v>7.6</v>
      </c>
      <c r="N195" s="26">
        <v>19000</v>
      </c>
      <c r="O195" s="27">
        <v>19</v>
      </c>
      <c r="P195" s="28">
        <f t="shared" si="11"/>
        <v>2</v>
      </c>
      <c r="Q195" s="29">
        <f t="shared" si="12"/>
        <v>5000</v>
      </c>
      <c r="R195" s="30">
        <v>5</v>
      </c>
      <c r="S195" s="19">
        <v>0</v>
      </c>
      <c r="T195" s="23">
        <v>0</v>
      </c>
      <c r="U195" s="24">
        <v>0</v>
      </c>
      <c r="V195" s="31">
        <f t="shared" si="13"/>
        <v>9.6</v>
      </c>
      <c r="W195" s="32">
        <v>24000</v>
      </c>
      <c r="X195" s="30">
        <v>24</v>
      </c>
      <c r="Y195" s="19">
        <v>0</v>
      </c>
      <c r="Z195" s="23">
        <v>0</v>
      </c>
      <c r="AA195" s="24">
        <v>0</v>
      </c>
      <c r="AB195" s="33">
        <v>0</v>
      </c>
      <c r="AC195" s="34">
        <v>0</v>
      </c>
      <c r="AD195" s="35">
        <v>0</v>
      </c>
      <c r="AE195" s="36">
        <v>0</v>
      </c>
      <c r="AF195" s="23">
        <v>0</v>
      </c>
      <c r="AG195" s="24">
        <v>0</v>
      </c>
      <c r="AH195" s="33">
        <v>0</v>
      </c>
      <c r="AI195" s="37">
        <v>0</v>
      </c>
      <c r="AJ195" s="35">
        <v>0</v>
      </c>
      <c r="AK195" s="36">
        <v>0</v>
      </c>
      <c r="AL195" s="38">
        <v>0</v>
      </c>
      <c r="AM195" s="35">
        <v>0</v>
      </c>
      <c r="AN195" s="19">
        <v>0</v>
      </c>
      <c r="AO195" s="23">
        <v>0</v>
      </c>
      <c r="AP195" s="24">
        <v>0</v>
      </c>
      <c r="AQ195" s="31">
        <f t="shared" si="14"/>
        <v>19.2</v>
      </c>
      <c r="AR195" s="32">
        <f t="shared" si="14"/>
        <v>48000</v>
      </c>
      <c r="AS195" s="30">
        <v>24</v>
      </c>
    </row>
    <row r="196" spans="1:45" ht="15.6" x14ac:dyDescent="0.3">
      <c r="A196" s="19">
        <v>193</v>
      </c>
      <c r="B196" s="21" t="s">
        <v>215</v>
      </c>
      <c r="C196" s="20" t="s">
        <v>218</v>
      </c>
      <c r="D196" s="324"/>
      <c r="E196" s="22">
        <v>18.8</v>
      </c>
      <c r="F196" s="23">
        <f t="shared" si="10"/>
        <v>47000</v>
      </c>
      <c r="G196" s="19">
        <v>0</v>
      </c>
      <c r="H196" s="23">
        <v>0</v>
      </c>
      <c r="I196" s="24">
        <v>0</v>
      </c>
      <c r="J196" s="19">
        <v>0</v>
      </c>
      <c r="K196" s="23">
        <v>0</v>
      </c>
      <c r="L196" s="24">
        <v>0</v>
      </c>
      <c r="M196" s="25">
        <v>6.4</v>
      </c>
      <c r="N196" s="26">
        <v>16000</v>
      </c>
      <c r="O196" s="27">
        <v>16</v>
      </c>
      <c r="P196" s="28">
        <f t="shared" si="11"/>
        <v>8</v>
      </c>
      <c r="Q196" s="29">
        <f t="shared" si="12"/>
        <v>20000</v>
      </c>
      <c r="R196" s="30">
        <v>20</v>
      </c>
      <c r="S196" s="19">
        <v>0</v>
      </c>
      <c r="T196" s="23">
        <v>0</v>
      </c>
      <c r="U196" s="24">
        <v>0</v>
      </c>
      <c r="V196" s="31">
        <f t="shared" si="13"/>
        <v>14</v>
      </c>
      <c r="W196" s="32">
        <v>35000</v>
      </c>
      <c r="X196" s="30">
        <v>35</v>
      </c>
      <c r="Y196" s="19">
        <v>0</v>
      </c>
      <c r="Z196" s="23">
        <v>0</v>
      </c>
      <c r="AA196" s="24">
        <v>0</v>
      </c>
      <c r="AB196" s="33">
        <v>0</v>
      </c>
      <c r="AC196" s="34">
        <v>0</v>
      </c>
      <c r="AD196" s="35">
        <v>0</v>
      </c>
      <c r="AE196" s="36">
        <v>0</v>
      </c>
      <c r="AF196" s="23">
        <v>0</v>
      </c>
      <c r="AG196" s="24">
        <v>0</v>
      </c>
      <c r="AH196" s="33">
        <v>0</v>
      </c>
      <c r="AI196" s="37">
        <v>0</v>
      </c>
      <c r="AJ196" s="35">
        <v>0</v>
      </c>
      <c r="AK196" s="36">
        <v>0</v>
      </c>
      <c r="AL196" s="38">
        <v>0</v>
      </c>
      <c r="AM196" s="35">
        <v>0</v>
      </c>
      <c r="AN196" s="19">
        <v>0</v>
      </c>
      <c r="AO196" s="23">
        <v>0</v>
      </c>
      <c r="AP196" s="24">
        <v>0</v>
      </c>
      <c r="AQ196" s="31">
        <f t="shared" si="14"/>
        <v>28.4</v>
      </c>
      <c r="AR196" s="32">
        <f t="shared" si="14"/>
        <v>71000</v>
      </c>
      <c r="AS196" s="30">
        <v>37</v>
      </c>
    </row>
    <row r="197" spans="1:45" ht="15.6" x14ac:dyDescent="0.3">
      <c r="A197" s="19">
        <v>194</v>
      </c>
      <c r="B197" s="21" t="s">
        <v>215</v>
      </c>
      <c r="C197" s="20" t="s">
        <v>219</v>
      </c>
      <c r="D197" s="324"/>
      <c r="E197" s="22">
        <v>11</v>
      </c>
      <c r="F197" s="23">
        <f t="shared" ref="F197:F260" si="15">E197*2500</f>
        <v>27500</v>
      </c>
      <c r="G197" s="19">
        <v>0</v>
      </c>
      <c r="H197" s="23">
        <v>0</v>
      </c>
      <c r="I197" s="24">
        <v>0</v>
      </c>
      <c r="J197" s="19">
        <v>0</v>
      </c>
      <c r="K197" s="23">
        <v>0</v>
      </c>
      <c r="L197" s="24">
        <v>0</v>
      </c>
      <c r="M197" s="25">
        <v>3.6</v>
      </c>
      <c r="N197" s="26">
        <v>9000</v>
      </c>
      <c r="O197" s="27">
        <v>9</v>
      </c>
      <c r="P197" s="28">
        <f t="shared" ref="P197:P260" si="16">Q197/2500</f>
        <v>1.2</v>
      </c>
      <c r="Q197" s="29">
        <f t="shared" ref="Q197:Q260" si="17">R197*1000</f>
        <v>3000</v>
      </c>
      <c r="R197" s="30">
        <v>3</v>
      </c>
      <c r="S197" s="19">
        <v>0</v>
      </c>
      <c r="T197" s="23">
        <v>0</v>
      </c>
      <c r="U197" s="24">
        <v>0</v>
      </c>
      <c r="V197" s="31">
        <f t="shared" ref="V197:V260" si="18">W197/2500</f>
        <v>4.8</v>
      </c>
      <c r="W197" s="32">
        <v>12000</v>
      </c>
      <c r="X197" s="30">
        <v>12</v>
      </c>
      <c r="Y197" s="19">
        <v>0</v>
      </c>
      <c r="Z197" s="23">
        <v>0</v>
      </c>
      <c r="AA197" s="24">
        <v>0</v>
      </c>
      <c r="AB197" s="33">
        <v>0</v>
      </c>
      <c r="AC197" s="34">
        <v>0</v>
      </c>
      <c r="AD197" s="35">
        <v>0</v>
      </c>
      <c r="AE197" s="36">
        <v>0</v>
      </c>
      <c r="AF197" s="23">
        <v>0</v>
      </c>
      <c r="AG197" s="24">
        <v>0</v>
      </c>
      <c r="AH197" s="33">
        <v>0</v>
      </c>
      <c r="AI197" s="37">
        <v>0</v>
      </c>
      <c r="AJ197" s="35">
        <v>0</v>
      </c>
      <c r="AK197" s="36">
        <v>0</v>
      </c>
      <c r="AL197" s="38">
        <v>0</v>
      </c>
      <c r="AM197" s="35">
        <v>0</v>
      </c>
      <c r="AN197" s="19">
        <v>0</v>
      </c>
      <c r="AO197" s="23">
        <v>0</v>
      </c>
      <c r="AP197" s="24">
        <v>0</v>
      </c>
      <c r="AQ197" s="31">
        <f t="shared" ref="AQ197:AR260" si="19">G197+J197+M197+P197+S197+V197+Y197+AB197+AE197+AH197+AK197+AN197</f>
        <v>9.6</v>
      </c>
      <c r="AR197" s="32">
        <f t="shared" si="19"/>
        <v>24000</v>
      </c>
      <c r="AS197" s="30">
        <v>12</v>
      </c>
    </row>
    <row r="198" spans="1:45" ht="15.6" x14ac:dyDescent="0.3">
      <c r="A198" s="19">
        <v>195</v>
      </c>
      <c r="B198" s="21" t="s">
        <v>215</v>
      </c>
      <c r="C198" s="20" t="s">
        <v>220</v>
      </c>
      <c r="D198" s="324"/>
      <c r="E198" s="22">
        <v>16.799999999999994</v>
      </c>
      <c r="F198" s="23">
        <f t="shared" si="15"/>
        <v>41999.999999999985</v>
      </c>
      <c r="G198" s="19">
        <v>0</v>
      </c>
      <c r="H198" s="23">
        <v>0</v>
      </c>
      <c r="I198" s="24">
        <v>0</v>
      </c>
      <c r="J198" s="19">
        <v>0</v>
      </c>
      <c r="K198" s="23">
        <v>0</v>
      </c>
      <c r="L198" s="24">
        <v>0</v>
      </c>
      <c r="M198" s="25">
        <v>6</v>
      </c>
      <c r="N198" s="26">
        <v>15000</v>
      </c>
      <c r="O198" s="27">
        <v>15</v>
      </c>
      <c r="P198" s="28">
        <f t="shared" si="16"/>
        <v>0</v>
      </c>
      <c r="Q198" s="29">
        <f t="shared" si="17"/>
        <v>0</v>
      </c>
      <c r="R198" s="30">
        <v>0</v>
      </c>
      <c r="S198" s="19">
        <v>0</v>
      </c>
      <c r="T198" s="23">
        <v>0</v>
      </c>
      <c r="U198" s="24">
        <v>0</v>
      </c>
      <c r="V198" s="31">
        <f t="shared" si="18"/>
        <v>6</v>
      </c>
      <c r="W198" s="32">
        <v>15000</v>
      </c>
      <c r="X198" s="30">
        <v>15</v>
      </c>
      <c r="Y198" s="19">
        <v>0</v>
      </c>
      <c r="Z198" s="23">
        <v>0</v>
      </c>
      <c r="AA198" s="24">
        <v>0</v>
      </c>
      <c r="AB198" s="33">
        <v>0</v>
      </c>
      <c r="AC198" s="34">
        <v>0</v>
      </c>
      <c r="AD198" s="35">
        <v>0</v>
      </c>
      <c r="AE198" s="36">
        <v>0</v>
      </c>
      <c r="AF198" s="23">
        <v>0</v>
      </c>
      <c r="AG198" s="24">
        <v>0</v>
      </c>
      <c r="AH198" s="33">
        <v>0</v>
      </c>
      <c r="AI198" s="37">
        <v>0</v>
      </c>
      <c r="AJ198" s="35">
        <v>0</v>
      </c>
      <c r="AK198" s="36">
        <v>0</v>
      </c>
      <c r="AL198" s="38">
        <v>0</v>
      </c>
      <c r="AM198" s="35">
        <v>0</v>
      </c>
      <c r="AN198" s="19">
        <v>0</v>
      </c>
      <c r="AO198" s="23">
        <v>0</v>
      </c>
      <c r="AP198" s="24">
        <v>0</v>
      </c>
      <c r="AQ198" s="31">
        <f t="shared" si="19"/>
        <v>12</v>
      </c>
      <c r="AR198" s="32">
        <f t="shared" si="19"/>
        <v>30000</v>
      </c>
      <c r="AS198" s="30">
        <v>15</v>
      </c>
    </row>
    <row r="199" spans="1:45" ht="15.6" x14ac:dyDescent="0.3">
      <c r="A199" s="19">
        <v>196</v>
      </c>
      <c r="B199" s="21" t="s">
        <v>215</v>
      </c>
      <c r="C199" s="20" t="s">
        <v>221</v>
      </c>
      <c r="D199" s="324"/>
      <c r="E199" s="22">
        <v>7</v>
      </c>
      <c r="F199" s="23">
        <f t="shared" si="15"/>
        <v>17500</v>
      </c>
      <c r="G199" s="19">
        <v>0</v>
      </c>
      <c r="H199" s="23">
        <v>0</v>
      </c>
      <c r="I199" s="24">
        <v>0</v>
      </c>
      <c r="J199" s="19">
        <v>0</v>
      </c>
      <c r="K199" s="23">
        <v>0</v>
      </c>
      <c r="L199" s="24">
        <v>0</v>
      </c>
      <c r="M199" s="25">
        <v>2.8</v>
      </c>
      <c r="N199" s="26">
        <v>7000</v>
      </c>
      <c r="O199" s="27">
        <v>7</v>
      </c>
      <c r="P199" s="28">
        <f t="shared" si="16"/>
        <v>1.2</v>
      </c>
      <c r="Q199" s="29">
        <f t="shared" si="17"/>
        <v>3000</v>
      </c>
      <c r="R199" s="30">
        <v>3</v>
      </c>
      <c r="S199" s="19">
        <v>0</v>
      </c>
      <c r="T199" s="23">
        <v>0</v>
      </c>
      <c r="U199" s="24">
        <v>0</v>
      </c>
      <c r="V199" s="31">
        <f t="shared" si="18"/>
        <v>4</v>
      </c>
      <c r="W199" s="32">
        <v>10000</v>
      </c>
      <c r="X199" s="30">
        <v>10</v>
      </c>
      <c r="Y199" s="19">
        <v>0</v>
      </c>
      <c r="Z199" s="23">
        <v>0</v>
      </c>
      <c r="AA199" s="24">
        <v>0</v>
      </c>
      <c r="AB199" s="33">
        <v>0</v>
      </c>
      <c r="AC199" s="34">
        <v>0</v>
      </c>
      <c r="AD199" s="35">
        <v>0</v>
      </c>
      <c r="AE199" s="36">
        <v>0</v>
      </c>
      <c r="AF199" s="23">
        <v>0</v>
      </c>
      <c r="AG199" s="24">
        <v>0</v>
      </c>
      <c r="AH199" s="33">
        <v>0</v>
      </c>
      <c r="AI199" s="37">
        <v>0</v>
      </c>
      <c r="AJ199" s="35">
        <v>0</v>
      </c>
      <c r="AK199" s="36">
        <v>0</v>
      </c>
      <c r="AL199" s="38">
        <v>0</v>
      </c>
      <c r="AM199" s="35">
        <v>0</v>
      </c>
      <c r="AN199" s="19">
        <v>0</v>
      </c>
      <c r="AO199" s="23">
        <v>0</v>
      </c>
      <c r="AP199" s="24">
        <v>0</v>
      </c>
      <c r="AQ199" s="31">
        <f t="shared" si="19"/>
        <v>8</v>
      </c>
      <c r="AR199" s="32">
        <f t="shared" si="19"/>
        <v>20000</v>
      </c>
      <c r="AS199" s="30">
        <v>10</v>
      </c>
    </row>
    <row r="200" spans="1:45" ht="15.6" x14ac:dyDescent="0.3">
      <c r="A200" s="19">
        <v>197</v>
      </c>
      <c r="B200" s="21" t="s">
        <v>215</v>
      </c>
      <c r="C200" s="20" t="s">
        <v>222</v>
      </c>
      <c r="D200" s="324"/>
      <c r="E200" s="22">
        <v>14</v>
      </c>
      <c r="F200" s="23">
        <f t="shared" si="15"/>
        <v>35000</v>
      </c>
      <c r="G200" s="19">
        <v>0</v>
      </c>
      <c r="H200" s="23">
        <v>0</v>
      </c>
      <c r="I200" s="24">
        <v>0</v>
      </c>
      <c r="J200" s="19">
        <v>0</v>
      </c>
      <c r="K200" s="23">
        <v>0</v>
      </c>
      <c r="L200" s="24">
        <v>0</v>
      </c>
      <c r="M200" s="25">
        <v>7.6</v>
      </c>
      <c r="N200" s="26">
        <v>19000</v>
      </c>
      <c r="O200" s="27">
        <v>19</v>
      </c>
      <c r="P200" s="28">
        <f t="shared" si="16"/>
        <v>2.4</v>
      </c>
      <c r="Q200" s="29">
        <f t="shared" si="17"/>
        <v>6000</v>
      </c>
      <c r="R200" s="30">
        <v>6</v>
      </c>
      <c r="S200" s="19">
        <v>0</v>
      </c>
      <c r="T200" s="23">
        <v>0</v>
      </c>
      <c r="U200" s="24">
        <v>0</v>
      </c>
      <c r="V200" s="31">
        <f t="shared" si="18"/>
        <v>10</v>
      </c>
      <c r="W200" s="32">
        <v>25000</v>
      </c>
      <c r="X200" s="30">
        <v>25</v>
      </c>
      <c r="Y200" s="19">
        <v>0</v>
      </c>
      <c r="Z200" s="23">
        <v>0</v>
      </c>
      <c r="AA200" s="24">
        <v>0</v>
      </c>
      <c r="AB200" s="33">
        <v>0</v>
      </c>
      <c r="AC200" s="34">
        <v>0</v>
      </c>
      <c r="AD200" s="35">
        <v>0</v>
      </c>
      <c r="AE200" s="36">
        <v>0</v>
      </c>
      <c r="AF200" s="23">
        <v>0</v>
      </c>
      <c r="AG200" s="24">
        <v>0</v>
      </c>
      <c r="AH200" s="33">
        <v>0</v>
      </c>
      <c r="AI200" s="37">
        <v>0</v>
      </c>
      <c r="AJ200" s="35">
        <v>0</v>
      </c>
      <c r="AK200" s="36">
        <v>0</v>
      </c>
      <c r="AL200" s="38">
        <v>0</v>
      </c>
      <c r="AM200" s="35">
        <v>0</v>
      </c>
      <c r="AN200" s="19">
        <v>0</v>
      </c>
      <c r="AO200" s="23">
        <v>0</v>
      </c>
      <c r="AP200" s="24">
        <v>0</v>
      </c>
      <c r="AQ200" s="31">
        <f t="shared" si="19"/>
        <v>20</v>
      </c>
      <c r="AR200" s="32">
        <f t="shared" si="19"/>
        <v>50000</v>
      </c>
      <c r="AS200" s="30">
        <v>25</v>
      </c>
    </row>
    <row r="201" spans="1:45" ht="15.6" x14ac:dyDescent="0.3">
      <c r="A201" s="19">
        <v>198</v>
      </c>
      <c r="B201" s="21" t="s">
        <v>215</v>
      </c>
      <c r="C201" s="20" t="s">
        <v>223</v>
      </c>
      <c r="D201" s="324"/>
      <c r="E201" s="22">
        <v>7</v>
      </c>
      <c r="F201" s="23">
        <f t="shared" si="15"/>
        <v>17500</v>
      </c>
      <c r="G201" s="19">
        <v>0</v>
      </c>
      <c r="H201" s="23">
        <v>0</v>
      </c>
      <c r="I201" s="24">
        <v>0</v>
      </c>
      <c r="J201" s="19">
        <v>0</v>
      </c>
      <c r="K201" s="23">
        <v>0</v>
      </c>
      <c r="L201" s="24">
        <v>0</v>
      </c>
      <c r="M201" s="25">
        <v>2</v>
      </c>
      <c r="N201" s="26">
        <v>5000</v>
      </c>
      <c r="O201" s="27">
        <v>5</v>
      </c>
      <c r="P201" s="28">
        <f t="shared" si="16"/>
        <v>0.4</v>
      </c>
      <c r="Q201" s="29">
        <f t="shared" si="17"/>
        <v>1000</v>
      </c>
      <c r="R201" s="30">
        <v>1</v>
      </c>
      <c r="S201" s="19">
        <v>0</v>
      </c>
      <c r="T201" s="23">
        <v>0</v>
      </c>
      <c r="U201" s="24">
        <v>0</v>
      </c>
      <c r="V201" s="31">
        <f t="shared" si="18"/>
        <v>2.4</v>
      </c>
      <c r="W201" s="32">
        <v>6000</v>
      </c>
      <c r="X201" s="30">
        <v>6</v>
      </c>
      <c r="Y201" s="19">
        <v>0</v>
      </c>
      <c r="Z201" s="23">
        <v>0</v>
      </c>
      <c r="AA201" s="24">
        <v>0</v>
      </c>
      <c r="AB201" s="33">
        <v>0</v>
      </c>
      <c r="AC201" s="34">
        <v>0</v>
      </c>
      <c r="AD201" s="35">
        <v>0</v>
      </c>
      <c r="AE201" s="36">
        <v>0</v>
      </c>
      <c r="AF201" s="23">
        <v>0</v>
      </c>
      <c r="AG201" s="24">
        <v>0</v>
      </c>
      <c r="AH201" s="33">
        <v>0</v>
      </c>
      <c r="AI201" s="37">
        <v>0</v>
      </c>
      <c r="AJ201" s="35">
        <v>0</v>
      </c>
      <c r="AK201" s="36">
        <v>0</v>
      </c>
      <c r="AL201" s="38">
        <v>0</v>
      </c>
      <c r="AM201" s="35">
        <v>0</v>
      </c>
      <c r="AN201" s="19">
        <v>0</v>
      </c>
      <c r="AO201" s="23">
        <v>0</v>
      </c>
      <c r="AP201" s="24">
        <v>0</v>
      </c>
      <c r="AQ201" s="31">
        <f t="shared" si="19"/>
        <v>4.8</v>
      </c>
      <c r="AR201" s="32">
        <f t="shared" si="19"/>
        <v>12000</v>
      </c>
      <c r="AS201" s="30">
        <v>6</v>
      </c>
    </row>
    <row r="202" spans="1:45" ht="15.6" x14ac:dyDescent="0.3">
      <c r="A202" s="19">
        <v>199</v>
      </c>
      <c r="B202" s="21" t="s">
        <v>215</v>
      </c>
      <c r="C202" s="20" t="s">
        <v>224</v>
      </c>
      <c r="D202" s="324"/>
      <c r="E202" s="22">
        <v>23</v>
      </c>
      <c r="F202" s="23">
        <f t="shared" si="15"/>
        <v>57500</v>
      </c>
      <c r="G202" s="19">
        <v>0</v>
      </c>
      <c r="H202" s="23">
        <v>0</v>
      </c>
      <c r="I202" s="24">
        <v>0</v>
      </c>
      <c r="J202" s="19">
        <v>0</v>
      </c>
      <c r="K202" s="23">
        <v>0</v>
      </c>
      <c r="L202" s="24">
        <v>0</v>
      </c>
      <c r="M202" s="25">
        <v>5.6</v>
      </c>
      <c r="N202" s="26">
        <v>14000</v>
      </c>
      <c r="O202" s="27">
        <v>14</v>
      </c>
      <c r="P202" s="28">
        <f t="shared" si="16"/>
        <v>2</v>
      </c>
      <c r="Q202" s="29">
        <f t="shared" si="17"/>
        <v>5000</v>
      </c>
      <c r="R202" s="30">
        <v>5</v>
      </c>
      <c r="S202" s="19">
        <v>0</v>
      </c>
      <c r="T202" s="23">
        <v>0</v>
      </c>
      <c r="U202" s="24">
        <v>0</v>
      </c>
      <c r="V202" s="31">
        <f t="shared" si="18"/>
        <v>7.6</v>
      </c>
      <c r="W202" s="32">
        <v>19000</v>
      </c>
      <c r="X202" s="30">
        <v>19</v>
      </c>
      <c r="Y202" s="19">
        <v>0</v>
      </c>
      <c r="Z202" s="23">
        <v>0</v>
      </c>
      <c r="AA202" s="24">
        <v>0</v>
      </c>
      <c r="AB202" s="33">
        <v>0</v>
      </c>
      <c r="AC202" s="34">
        <v>0</v>
      </c>
      <c r="AD202" s="35">
        <v>0</v>
      </c>
      <c r="AE202" s="36">
        <v>0</v>
      </c>
      <c r="AF202" s="23">
        <v>0</v>
      </c>
      <c r="AG202" s="24">
        <v>0</v>
      </c>
      <c r="AH202" s="33">
        <v>0</v>
      </c>
      <c r="AI202" s="37">
        <v>0</v>
      </c>
      <c r="AJ202" s="35">
        <v>0</v>
      </c>
      <c r="AK202" s="36">
        <v>0</v>
      </c>
      <c r="AL202" s="38">
        <v>0</v>
      </c>
      <c r="AM202" s="35">
        <v>0</v>
      </c>
      <c r="AN202" s="19">
        <v>0</v>
      </c>
      <c r="AO202" s="23">
        <v>0</v>
      </c>
      <c r="AP202" s="24">
        <v>0</v>
      </c>
      <c r="AQ202" s="31">
        <f t="shared" si="19"/>
        <v>15.2</v>
      </c>
      <c r="AR202" s="32">
        <f t="shared" si="19"/>
        <v>38000</v>
      </c>
      <c r="AS202" s="30">
        <v>19</v>
      </c>
    </row>
    <row r="203" spans="1:45" ht="15.6" x14ac:dyDescent="0.3">
      <c r="A203" s="19">
        <v>200</v>
      </c>
      <c r="B203" s="21" t="s">
        <v>215</v>
      </c>
      <c r="C203" s="20" t="s">
        <v>225</v>
      </c>
      <c r="D203" s="324"/>
      <c r="E203" s="22">
        <v>9</v>
      </c>
      <c r="F203" s="23">
        <f t="shared" si="15"/>
        <v>22500</v>
      </c>
      <c r="G203" s="19">
        <v>0</v>
      </c>
      <c r="H203" s="23">
        <v>0</v>
      </c>
      <c r="I203" s="24">
        <v>0</v>
      </c>
      <c r="J203" s="19">
        <v>0</v>
      </c>
      <c r="K203" s="23">
        <v>0</v>
      </c>
      <c r="L203" s="24">
        <v>0</v>
      </c>
      <c r="M203" s="25">
        <v>2.4</v>
      </c>
      <c r="N203" s="26">
        <v>6000</v>
      </c>
      <c r="O203" s="27">
        <v>6</v>
      </c>
      <c r="P203" s="28">
        <f t="shared" si="16"/>
        <v>2</v>
      </c>
      <c r="Q203" s="29">
        <f t="shared" si="17"/>
        <v>5000</v>
      </c>
      <c r="R203" s="30">
        <v>5</v>
      </c>
      <c r="S203" s="19">
        <v>0</v>
      </c>
      <c r="T203" s="23">
        <v>0</v>
      </c>
      <c r="U203" s="24">
        <v>0</v>
      </c>
      <c r="V203" s="31">
        <f t="shared" si="18"/>
        <v>4.4000000000000004</v>
      </c>
      <c r="W203" s="32">
        <v>11000</v>
      </c>
      <c r="X203" s="30">
        <v>11</v>
      </c>
      <c r="Y203" s="19">
        <v>0</v>
      </c>
      <c r="Z203" s="23">
        <v>0</v>
      </c>
      <c r="AA203" s="24">
        <v>0</v>
      </c>
      <c r="AB203" s="33">
        <v>0</v>
      </c>
      <c r="AC203" s="34">
        <v>0</v>
      </c>
      <c r="AD203" s="35">
        <v>0</v>
      </c>
      <c r="AE203" s="36">
        <v>0</v>
      </c>
      <c r="AF203" s="23">
        <v>0</v>
      </c>
      <c r="AG203" s="24">
        <v>0</v>
      </c>
      <c r="AH203" s="33">
        <v>0</v>
      </c>
      <c r="AI203" s="37">
        <v>0</v>
      </c>
      <c r="AJ203" s="35">
        <v>0</v>
      </c>
      <c r="AK203" s="36">
        <v>0</v>
      </c>
      <c r="AL203" s="38">
        <v>0</v>
      </c>
      <c r="AM203" s="35">
        <v>0</v>
      </c>
      <c r="AN203" s="19">
        <v>0</v>
      </c>
      <c r="AO203" s="23">
        <v>0</v>
      </c>
      <c r="AP203" s="24">
        <v>0</v>
      </c>
      <c r="AQ203" s="31">
        <f t="shared" si="19"/>
        <v>8.8000000000000007</v>
      </c>
      <c r="AR203" s="32">
        <f t="shared" si="19"/>
        <v>22000</v>
      </c>
      <c r="AS203" s="30">
        <v>11</v>
      </c>
    </row>
    <row r="204" spans="1:45" ht="15.6" x14ac:dyDescent="0.3">
      <c r="A204" s="19">
        <v>201</v>
      </c>
      <c r="B204" s="21" t="s">
        <v>215</v>
      </c>
      <c r="C204" s="20" t="s">
        <v>226</v>
      </c>
      <c r="D204" s="324"/>
      <c r="E204" s="22">
        <v>17</v>
      </c>
      <c r="F204" s="23">
        <f t="shared" si="15"/>
        <v>42500</v>
      </c>
      <c r="G204" s="19">
        <v>0</v>
      </c>
      <c r="H204" s="23">
        <v>0</v>
      </c>
      <c r="I204" s="24">
        <v>0</v>
      </c>
      <c r="J204" s="19">
        <v>0</v>
      </c>
      <c r="K204" s="23">
        <v>0</v>
      </c>
      <c r="L204" s="24">
        <v>0</v>
      </c>
      <c r="M204" s="25">
        <v>8</v>
      </c>
      <c r="N204" s="26">
        <v>20000</v>
      </c>
      <c r="O204" s="27">
        <v>20</v>
      </c>
      <c r="P204" s="28">
        <f t="shared" si="16"/>
        <v>1.2</v>
      </c>
      <c r="Q204" s="29">
        <f t="shared" si="17"/>
        <v>3000</v>
      </c>
      <c r="R204" s="30">
        <v>3</v>
      </c>
      <c r="S204" s="19">
        <v>0</v>
      </c>
      <c r="T204" s="23">
        <v>0</v>
      </c>
      <c r="U204" s="24">
        <v>0</v>
      </c>
      <c r="V204" s="31">
        <f t="shared" si="18"/>
        <v>9.1999999999999993</v>
      </c>
      <c r="W204" s="32">
        <v>23000</v>
      </c>
      <c r="X204" s="30">
        <v>23</v>
      </c>
      <c r="Y204" s="19">
        <v>0</v>
      </c>
      <c r="Z204" s="23">
        <v>0</v>
      </c>
      <c r="AA204" s="24">
        <v>0</v>
      </c>
      <c r="AB204" s="33">
        <v>0</v>
      </c>
      <c r="AC204" s="34">
        <v>0</v>
      </c>
      <c r="AD204" s="35">
        <v>0</v>
      </c>
      <c r="AE204" s="36">
        <v>0</v>
      </c>
      <c r="AF204" s="23">
        <v>0</v>
      </c>
      <c r="AG204" s="24">
        <v>0</v>
      </c>
      <c r="AH204" s="33">
        <v>0</v>
      </c>
      <c r="AI204" s="37">
        <v>0</v>
      </c>
      <c r="AJ204" s="35">
        <v>0</v>
      </c>
      <c r="AK204" s="36">
        <v>0</v>
      </c>
      <c r="AL204" s="38">
        <v>0</v>
      </c>
      <c r="AM204" s="35">
        <v>0</v>
      </c>
      <c r="AN204" s="19">
        <v>0</v>
      </c>
      <c r="AO204" s="23">
        <v>0</v>
      </c>
      <c r="AP204" s="24">
        <v>0</v>
      </c>
      <c r="AQ204" s="31">
        <f t="shared" si="19"/>
        <v>18.399999999999999</v>
      </c>
      <c r="AR204" s="32">
        <f t="shared" si="19"/>
        <v>46000</v>
      </c>
      <c r="AS204" s="30">
        <v>24</v>
      </c>
    </row>
    <row r="205" spans="1:45" ht="15.6" x14ac:dyDescent="0.3">
      <c r="A205" s="19">
        <v>202</v>
      </c>
      <c r="B205" s="21" t="s">
        <v>215</v>
      </c>
      <c r="C205" s="20" t="s">
        <v>227</v>
      </c>
      <c r="D205" s="324"/>
      <c r="E205" s="22">
        <v>23.2</v>
      </c>
      <c r="F205" s="23">
        <f t="shared" si="15"/>
        <v>58000</v>
      </c>
      <c r="G205" s="19">
        <v>0</v>
      </c>
      <c r="H205" s="23">
        <v>0</v>
      </c>
      <c r="I205" s="24">
        <v>0</v>
      </c>
      <c r="J205" s="19">
        <v>0</v>
      </c>
      <c r="K205" s="23">
        <v>0</v>
      </c>
      <c r="L205" s="24">
        <v>0</v>
      </c>
      <c r="M205" s="25">
        <v>6.4</v>
      </c>
      <c r="N205" s="26">
        <v>16000</v>
      </c>
      <c r="O205" s="27">
        <v>16</v>
      </c>
      <c r="P205" s="28">
        <f t="shared" si="16"/>
        <v>0</v>
      </c>
      <c r="Q205" s="29">
        <f t="shared" si="17"/>
        <v>0</v>
      </c>
      <c r="R205" s="30">
        <v>0</v>
      </c>
      <c r="S205" s="19">
        <v>0</v>
      </c>
      <c r="T205" s="23">
        <v>0</v>
      </c>
      <c r="U205" s="24">
        <v>0</v>
      </c>
      <c r="V205" s="31">
        <f t="shared" si="18"/>
        <v>7.2</v>
      </c>
      <c r="W205" s="32">
        <v>18000</v>
      </c>
      <c r="X205" s="30">
        <v>18</v>
      </c>
      <c r="Y205" s="19">
        <v>0</v>
      </c>
      <c r="Z205" s="23">
        <v>0</v>
      </c>
      <c r="AA205" s="24">
        <v>0</v>
      </c>
      <c r="AB205" s="33">
        <v>0</v>
      </c>
      <c r="AC205" s="34">
        <v>0</v>
      </c>
      <c r="AD205" s="35">
        <v>0</v>
      </c>
      <c r="AE205" s="36">
        <v>0</v>
      </c>
      <c r="AF205" s="23">
        <v>0</v>
      </c>
      <c r="AG205" s="24">
        <v>0</v>
      </c>
      <c r="AH205" s="33">
        <v>0</v>
      </c>
      <c r="AI205" s="37">
        <v>0</v>
      </c>
      <c r="AJ205" s="35">
        <v>0</v>
      </c>
      <c r="AK205" s="36">
        <v>0</v>
      </c>
      <c r="AL205" s="38">
        <v>0</v>
      </c>
      <c r="AM205" s="35">
        <v>0</v>
      </c>
      <c r="AN205" s="19">
        <v>0</v>
      </c>
      <c r="AO205" s="23">
        <v>0</v>
      </c>
      <c r="AP205" s="24">
        <v>0</v>
      </c>
      <c r="AQ205" s="31">
        <f t="shared" si="19"/>
        <v>13.600000000000001</v>
      </c>
      <c r="AR205" s="32">
        <f t="shared" si="19"/>
        <v>34000</v>
      </c>
      <c r="AS205" s="30">
        <v>18</v>
      </c>
    </row>
    <row r="206" spans="1:45" ht="15.6" x14ac:dyDescent="0.3">
      <c r="A206" s="19">
        <v>203</v>
      </c>
      <c r="B206" s="21" t="s">
        <v>215</v>
      </c>
      <c r="C206" s="20" t="s">
        <v>228</v>
      </c>
      <c r="D206" s="324"/>
      <c r="E206" s="22">
        <v>17.199999999999992</v>
      </c>
      <c r="F206" s="23">
        <f t="shared" si="15"/>
        <v>42999.999999999978</v>
      </c>
      <c r="G206" s="19">
        <v>0</v>
      </c>
      <c r="H206" s="23">
        <v>0</v>
      </c>
      <c r="I206" s="24">
        <v>0</v>
      </c>
      <c r="J206" s="19">
        <v>0</v>
      </c>
      <c r="K206" s="23">
        <v>0</v>
      </c>
      <c r="L206" s="24">
        <v>0</v>
      </c>
      <c r="M206" s="25">
        <v>9.1999999999999993</v>
      </c>
      <c r="N206" s="26">
        <v>23000</v>
      </c>
      <c r="O206" s="27">
        <v>23</v>
      </c>
      <c r="P206" s="28">
        <f t="shared" si="16"/>
        <v>1.2</v>
      </c>
      <c r="Q206" s="29">
        <f t="shared" si="17"/>
        <v>3000</v>
      </c>
      <c r="R206" s="30">
        <v>3</v>
      </c>
      <c r="S206" s="19">
        <v>0</v>
      </c>
      <c r="T206" s="23">
        <v>0</v>
      </c>
      <c r="U206" s="24">
        <v>0</v>
      </c>
      <c r="V206" s="31">
        <f t="shared" si="18"/>
        <v>10.4</v>
      </c>
      <c r="W206" s="32">
        <v>26000</v>
      </c>
      <c r="X206" s="30">
        <v>26</v>
      </c>
      <c r="Y206" s="19">
        <v>0</v>
      </c>
      <c r="Z206" s="23">
        <v>0</v>
      </c>
      <c r="AA206" s="24">
        <v>0</v>
      </c>
      <c r="AB206" s="33">
        <v>0</v>
      </c>
      <c r="AC206" s="34">
        <v>0</v>
      </c>
      <c r="AD206" s="35">
        <v>0</v>
      </c>
      <c r="AE206" s="36">
        <v>0</v>
      </c>
      <c r="AF206" s="23">
        <v>0</v>
      </c>
      <c r="AG206" s="24">
        <v>0</v>
      </c>
      <c r="AH206" s="33">
        <v>0</v>
      </c>
      <c r="AI206" s="37">
        <v>0</v>
      </c>
      <c r="AJ206" s="35">
        <v>0</v>
      </c>
      <c r="AK206" s="36">
        <v>0</v>
      </c>
      <c r="AL206" s="38">
        <v>0</v>
      </c>
      <c r="AM206" s="35">
        <v>0</v>
      </c>
      <c r="AN206" s="19">
        <v>0</v>
      </c>
      <c r="AO206" s="23">
        <v>0</v>
      </c>
      <c r="AP206" s="24">
        <v>0</v>
      </c>
      <c r="AQ206" s="31">
        <f t="shared" si="19"/>
        <v>20.799999999999997</v>
      </c>
      <c r="AR206" s="32">
        <f t="shared" si="19"/>
        <v>52000</v>
      </c>
      <c r="AS206" s="30">
        <v>26</v>
      </c>
    </row>
    <row r="207" spans="1:45" ht="15.6" x14ac:dyDescent="0.3">
      <c r="A207" s="19">
        <v>204</v>
      </c>
      <c r="B207" s="21" t="s">
        <v>215</v>
      </c>
      <c r="C207" s="20" t="s">
        <v>229</v>
      </c>
      <c r="D207" s="324"/>
      <c r="E207" s="22">
        <v>22</v>
      </c>
      <c r="F207" s="23">
        <f t="shared" si="15"/>
        <v>55000</v>
      </c>
      <c r="G207" s="19">
        <v>0</v>
      </c>
      <c r="H207" s="23">
        <v>0</v>
      </c>
      <c r="I207" s="24">
        <v>0</v>
      </c>
      <c r="J207" s="19">
        <v>0</v>
      </c>
      <c r="K207" s="23">
        <v>0</v>
      </c>
      <c r="L207" s="24">
        <v>0</v>
      </c>
      <c r="M207" s="25">
        <v>5.6</v>
      </c>
      <c r="N207" s="26">
        <v>14000</v>
      </c>
      <c r="O207" s="27">
        <v>14</v>
      </c>
      <c r="P207" s="28">
        <f t="shared" si="16"/>
        <v>0</v>
      </c>
      <c r="Q207" s="29">
        <f t="shared" si="17"/>
        <v>0</v>
      </c>
      <c r="R207" s="30">
        <v>0</v>
      </c>
      <c r="S207" s="19">
        <v>0</v>
      </c>
      <c r="T207" s="23">
        <v>0</v>
      </c>
      <c r="U207" s="24">
        <v>0</v>
      </c>
      <c r="V207" s="31">
        <f t="shared" si="18"/>
        <v>5.6</v>
      </c>
      <c r="W207" s="32">
        <v>14000</v>
      </c>
      <c r="X207" s="30">
        <v>14</v>
      </c>
      <c r="Y207" s="19">
        <v>0</v>
      </c>
      <c r="Z207" s="23">
        <v>0</v>
      </c>
      <c r="AA207" s="24">
        <v>0</v>
      </c>
      <c r="AB207" s="33">
        <v>0</v>
      </c>
      <c r="AC207" s="34">
        <v>0</v>
      </c>
      <c r="AD207" s="35">
        <v>0</v>
      </c>
      <c r="AE207" s="36">
        <v>0</v>
      </c>
      <c r="AF207" s="23">
        <v>0</v>
      </c>
      <c r="AG207" s="24">
        <v>0</v>
      </c>
      <c r="AH207" s="33">
        <v>0</v>
      </c>
      <c r="AI207" s="37">
        <v>0</v>
      </c>
      <c r="AJ207" s="35">
        <v>0</v>
      </c>
      <c r="AK207" s="36">
        <v>0</v>
      </c>
      <c r="AL207" s="38">
        <v>0</v>
      </c>
      <c r="AM207" s="35">
        <v>0</v>
      </c>
      <c r="AN207" s="19">
        <v>0</v>
      </c>
      <c r="AO207" s="23">
        <v>0</v>
      </c>
      <c r="AP207" s="24">
        <v>0</v>
      </c>
      <c r="AQ207" s="31">
        <f t="shared" si="19"/>
        <v>11.2</v>
      </c>
      <c r="AR207" s="32">
        <f t="shared" si="19"/>
        <v>28000</v>
      </c>
      <c r="AS207" s="30">
        <v>14</v>
      </c>
    </row>
    <row r="208" spans="1:45" ht="15.6" x14ac:dyDescent="0.3">
      <c r="A208" s="19">
        <v>205</v>
      </c>
      <c r="B208" s="21" t="s">
        <v>215</v>
      </c>
      <c r="C208" s="20" t="s">
        <v>230</v>
      </c>
      <c r="D208" s="324" t="s">
        <v>25</v>
      </c>
      <c r="E208" s="22">
        <v>8.4</v>
      </c>
      <c r="F208" s="23">
        <f t="shared" si="15"/>
        <v>21000</v>
      </c>
      <c r="G208" s="19">
        <v>0</v>
      </c>
      <c r="H208" s="23">
        <v>0</v>
      </c>
      <c r="I208" s="24">
        <v>0</v>
      </c>
      <c r="J208" s="19">
        <v>0</v>
      </c>
      <c r="K208" s="23">
        <v>0</v>
      </c>
      <c r="L208" s="24">
        <v>0</v>
      </c>
      <c r="M208" s="25">
        <v>2.4</v>
      </c>
      <c r="N208" s="26">
        <v>6000</v>
      </c>
      <c r="O208" s="27">
        <v>6</v>
      </c>
      <c r="P208" s="28">
        <f t="shared" si="16"/>
        <v>0</v>
      </c>
      <c r="Q208" s="29">
        <f t="shared" si="17"/>
        <v>0</v>
      </c>
      <c r="R208" s="30">
        <v>0</v>
      </c>
      <c r="S208" s="19">
        <v>0</v>
      </c>
      <c r="T208" s="23">
        <v>0</v>
      </c>
      <c r="U208" s="24">
        <v>0</v>
      </c>
      <c r="V208" s="31">
        <f t="shared" si="18"/>
        <v>2.4</v>
      </c>
      <c r="W208" s="32">
        <v>6000</v>
      </c>
      <c r="X208" s="30">
        <v>6</v>
      </c>
      <c r="Y208" s="19">
        <v>0</v>
      </c>
      <c r="Z208" s="23">
        <v>0</v>
      </c>
      <c r="AA208" s="24">
        <v>0</v>
      </c>
      <c r="AB208" s="33">
        <v>0</v>
      </c>
      <c r="AC208" s="34">
        <v>0</v>
      </c>
      <c r="AD208" s="35">
        <v>0</v>
      </c>
      <c r="AE208" s="36">
        <v>0</v>
      </c>
      <c r="AF208" s="23">
        <v>0</v>
      </c>
      <c r="AG208" s="24">
        <v>0</v>
      </c>
      <c r="AH208" s="33">
        <v>0</v>
      </c>
      <c r="AI208" s="37">
        <v>0</v>
      </c>
      <c r="AJ208" s="35">
        <v>0</v>
      </c>
      <c r="AK208" s="36">
        <v>0</v>
      </c>
      <c r="AL208" s="38">
        <v>0</v>
      </c>
      <c r="AM208" s="35">
        <v>0</v>
      </c>
      <c r="AN208" s="19">
        <v>0</v>
      </c>
      <c r="AO208" s="23">
        <v>0</v>
      </c>
      <c r="AP208" s="24">
        <v>0</v>
      </c>
      <c r="AQ208" s="31">
        <f t="shared" si="19"/>
        <v>4.8</v>
      </c>
      <c r="AR208" s="32">
        <f t="shared" si="19"/>
        <v>12000</v>
      </c>
      <c r="AS208" s="30">
        <v>6</v>
      </c>
    </row>
    <row r="209" spans="1:45" ht="15.6" x14ac:dyDescent="0.3">
      <c r="A209" s="19">
        <v>206</v>
      </c>
      <c r="B209" s="21" t="s">
        <v>215</v>
      </c>
      <c r="C209" s="20" t="s">
        <v>231</v>
      </c>
      <c r="D209" s="324"/>
      <c r="E209" s="22">
        <v>7.4</v>
      </c>
      <c r="F209" s="23">
        <f t="shared" si="15"/>
        <v>18500</v>
      </c>
      <c r="G209" s="19">
        <v>0</v>
      </c>
      <c r="H209" s="23">
        <v>0</v>
      </c>
      <c r="I209" s="24">
        <v>0</v>
      </c>
      <c r="J209" s="19">
        <v>0</v>
      </c>
      <c r="K209" s="23">
        <v>0</v>
      </c>
      <c r="L209" s="24">
        <v>0</v>
      </c>
      <c r="M209" s="25">
        <v>2.4</v>
      </c>
      <c r="N209" s="26">
        <v>6000</v>
      </c>
      <c r="O209" s="27">
        <v>6</v>
      </c>
      <c r="P209" s="28">
        <f t="shared" si="16"/>
        <v>0</v>
      </c>
      <c r="Q209" s="29">
        <f t="shared" si="17"/>
        <v>0</v>
      </c>
      <c r="R209" s="30">
        <v>0</v>
      </c>
      <c r="S209" s="19">
        <v>0</v>
      </c>
      <c r="T209" s="23">
        <v>0</v>
      </c>
      <c r="U209" s="24">
        <v>0</v>
      </c>
      <c r="V209" s="31">
        <f t="shared" si="18"/>
        <v>2.4</v>
      </c>
      <c r="W209" s="32">
        <v>6000</v>
      </c>
      <c r="X209" s="30">
        <v>6</v>
      </c>
      <c r="Y209" s="19">
        <v>0</v>
      </c>
      <c r="Z209" s="23">
        <v>0</v>
      </c>
      <c r="AA209" s="24">
        <v>0</v>
      </c>
      <c r="AB209" s="33">
        <v>0</v>
      </c>
      <c r="AC209" s="34">
        <v>0</v>
      </c>
      <c r="AD209" s="35">
        <v>0</v>
      </c>
      <c r="AE209" s="36">
        <v>0</v>
      </c>
      <c r="AF209" s="23">
        <v>0</v>
      </c>
      <c r="AG209" s="24">
        <v>0</v>
      </c>
      <c r="AH209" s="33">
        <v>0</v>
      </c>
      <c r="AI209" s="37">
        <v>0</v>
      </c>
      <c r="AJ209" s="35">
        <v>0</v>
      </c>
      <c r="AK209" s="36">
        <v>0</v>
      </c>
      <c r="AL209" s="38">
        <v>0</v>
      </c>
      <c r="AM209" s="35">
        <v>0</v>
      </c>
      <c r="AN209" s="19">
        <v>0</v>
      </c>
      <c r="AO209" s="23">
        <v>0</v>
      </c>
      <c r="AP209" s="24">
        <v>0</v>
      </c>
      <c r="AQ209" s="31">
        <f t="shared" si="19"/>
        <v>4.8</v>
      </c>
      <c r="AR209" s="32">
        <f t="shared" si="19"/>
        <v>12000</v>
      </c>
      <c r="AS209" s="30">
        <v>6</v>
      </c>
    </row>
    <row r="210" spans="1:45" ht="15.6" x14ac:dyDescent="0.3">
      <c r="A210" s="19">
        <v>207</v>
      </c>
      <c r="B210" s="21" t="s">
        <v>215</v>
      </c>
      <c r="C210" s="20" t="s">
        <v>232</v>
      </c>
      <c r="D210" s="324"/>
      <c r="E210" s="22">
        <v>15.4</v>
      </c>
      <c r="F210" s="23">
        <f t="shared" si="15"/>
        <v>38500</v>
      </c>
      <c r="G210" s="19">
        <v>0</v>
      </c>
      <c r="H210" s="23">
        <v>0</v>
      </c>
      <c r="I210" s="24">
        <v>0</v>
      </c>
      <c r="J210" s="19">
        <v>0</v>
      </c>
      <c r="K210" s="23">
        <v>0</v>
      </c>
      <c r="L210" s="24">
        <v>0</v>
      </c>
      <c r="M210" s="25">
        <v>4.8</v>
      </c>
      <c r="N210" s="26">
        <v>12000</v>
      </c>
      <c r="O210" s="27">
        <v>12</v>
      </c>
      <c r="P210" s="28">
        <f t="shared" si="16"/>
        <v>2.8</v>
      </c>
      <c r="Q210" s="29">
        <f t="shared" si="17"/>
        <v>7000</v>
      </c>
      <c r="R210" s="30">
        <v>7</v>
      </c>
      <c r="S210" s="19">
        <v>0</v>
      </c>
      <c r="T210" s="23">
        <v>0</v>
      </c>
      <c r="U210" s="24">
        <v>0</v>
      </c>
      <c r="V210" s="31">
        <f t="shared" si="18"/>
        <v>7.6</v>
      </c>
      <c r="W210" s="32">
        <v>19000</v>
      </c>
      <c r="X210" s="30">
        <v>19</v>
      </c>
      <c r="Y210" s="19">
        <v>0</v>
      </c>
      <c r="Z210" s="23">
        <v>0</v>
      </c>
      <c r="AA210" s="24">
        <v>0</v>
      </c>
      <c r="AB210" s="33">
        <v>0</v>
      </c>
      <c r="AC210" s="34">
        <v>0</v>
      </c>
      <c r="AD210" s="35">
        <v>0</v>
      </c>
      <c r="AE210" s="36">
        <v>0</v>
      </c>
      <c r="AF210" s="23">
        <v>0</v>
      </c>
      <c r="AG210" s="24">
        <v>0</v>
      </c>
      <c r="AH210" s="33">
        <v>0</v>
      </c>
      <c r="AI210" s="37">
        <v>0</v>
      </c>
      <c r="AJ210" s="35">
        <v>0</v>
      </c>
      <c r="AK210" s="36">
        <v>0</v>
      </c>
      <c r="AL210" s="38">
        <v>0</v>
      </c>
      <c r="AM210" s="35">
        <v>0</v>
      </c>
      <c r="AN210" s="19">
        <v>0</v>
      </c>
      <c r="AO210" s="23">
        <v>0</v>
      </c>
      <c r="AP210" s="24">
        <v>0</v>
      </c>
      <c r="AQ210" s="31">
        <f t="shared" si="19"/>
        <v>15.2</v>
      </c>
      <c r="AR210" s="32">
        <f t="shared" si="19"/>
        <v>38000</v>
      </c>
      <c r="AS210" s="30">
        <v>19</v>
      </c>
    </row>
    <row r="211" spans="1:45" ht="15.6" x14ac:dyDescent="0.3">
      <c r="A211" s="19">
        <v>208</v>
      </c>
      <c r="B211" s="21" t="s">
        <v>215</v>
      </c>
      <c r="C211" s="20" t="s">
        <v>233</v>
      </c>
      <c r="D211" s="324"/>
      <c r="E211" s="22">
        <v>2</v>
      </c>
      <c r="F211" s="23">
        <f t="shared" si="15"/>
        <v>5000</v>
      </c>
      <c r="G211" s="19">
        <v>0</v>
      </c>
      <c r="H211" s="23">
        <v>0</v>
      </c>
      <c r="I211" s="24">
        <v>0</v>
      </c>
      <c r="J211" s="19">
        <v>0</v>
      </c>
      <c r="K211" s="23">
        <v>0</v>
      </c>
      <c r="L211" s="24">
        <v>0</v>
      </c>
      <c r="M211" s="25">
        <v>0.8</v>
      </c>
      <c r="N211" s="26">
        <v>2000</v>
      </c>
      <c r="O211" s="27">
        <v>2</v>
      </c>
      <c r="P211" s="28">
        <f t="shared" si="16"/>
        <v>0</v>
      </c>
      <c r="Q211" s="29">
        <f t="shared" si="17"/>
        <v>0</v>
      </c>
      <c r="R211" s="30">
        <v>0</v>
      </c>
      <c r="S211" s="19">
        <v>0</v>
      </c>
      <c r="T211" s="23">
        <v>0</v>
      </c>
      <c r="U211" s="24">
        <v>0</v>
      </c>
      <c r="V211" s="31">
        <f t="shared" si="18"/>
        <v>0.8</v>
      </c>
      <c r="W211" s="32">
        <v>2000</v>
      </c>
      <c r="X211" s="30">
        <v>2</v>
      </c>
      <c r="Y211" s="19">
        <v>0</v>
      </c>
      <c r="Z211" s="23">
        <v>0</v>
      </c>
      <c r="AA211" s="24">
        <v>0</v>
      </c>
      <c r="AB211" s="33">
        <v>0</v>
      </c>
      <c r="AC211" s="34">
        <v>0</v>
      </c>
      <c r="AD211" s="35">
        <v>0</v>
      </c>
      <c r="AE211" s="36">
        <v>0</v>
      </c>
      <c r="AF211" s="23">
        <v>0</v>
      </c>
      <c r="AG211" s="24">
        <v>0</v>
      </c>
      <c r="AH211" s="33">
        <v>0</v>
      </c>
      <c r="AI211" s="37">
        <v>0</v>
      </c>
      <c r="AJ211" s="35">
        <v>0</v>
      </c>
      <c r="AK211" s="36">
        <v>0</v>
      </c>
      <c r="AL211" s="38">
        <v>0</v>
      </c>
      <c r="AM211" s="35">
        <v>0</v>
      </c>
      <c r="AN211" s="19">
        <v>0</v>
      </c>
      <c r="AO211" s="23">
        <v>0</v>
      </c>
      <c r="AP211" s="24">
        <v>0</v>
      </c>
      <c r="AQ211" s="31">
        <f t="shared" si="19"/>
        <v>1.6</v>
      </c>
      <c r="AR211" s="32">
        <f t="shared" si="19"/>
        <v>4000</v>
      </c>
      <c r="AS211" s="30">
        <v>2</v>
      </c>
    </row>
    <row r="212" spans="1:45" ht="15.6" x14ac:dyDescent="0.3">
      <c r="A212" s="19">
        <v>209</v>
      </c>
      <c r="B212" s="21" t="s">
        <v>215</v>
      </c>
      <c r="C212" s="20" t="s">
        <v>234</v>
      </c>
      <c r="D212" s="324"/>
      <c r="E212" s="22">
        <v>30.2</v>
      </c>
      <c r="F212" s="23">
        <f t="shared" si="15"/>
        <v>75500</v>
      </c>
      <c r="G212" s="19">
        <v>0</v>
      </c>
      <c r="H212" s="23">
        <v>0</v>
      </c>
      <c r="I212" s="24">
        <v>0</v>
      </c>
      <c r="J212" s="19">
        <v>0</v>
      </c>
      <c r="K212" s="23">
        <v>0</v>
      </c>
      <c r="L212" s="24">
        <v>0</v>
      </c>
      <c r="M212" s="25">
        <v>8.8000000000000007</v>
      </c>
      <c r="N212" s="26">
        <v>22000</v>
      </c>
      <c r="O212" s="27">
        <v>22</v>
      </c>
      <c r="P212" s="28">
        <f t="shared" si="16"/>
        <v>2</v>
      </c>
      <c r="Q212" s="29">
        <f t="shared" si="17"/>
        <v>5000</v>
      </c>
      <c r="R212" s="30">
        <v>5</v>
      </c>
      <c r="S212" s="19">
        <v>0</v>
      </c>
      <c r="T212" s="23">
        <v>0</v>
      </c>
      <c r="U212" s="24">
        <v>0</v>
      </c>
      <c r="V212" s="31">
        <f t="shared" si="18"/>
        <v>10</v>
      </c>
      <c r="W212" s="32">
        <v>25000</v>
      </c>
      <c r="X212" s="30">
        <v>25</v>
      </c>
      <c r="Y212" s="19">
        <v>0</v>
      </c>
      <c r="Z212" s="23">
        <v>0</v>
      </c>
      <c r="AA212" s="24">
        <v>0</v>
      </c>
      <c r="AB212" s="33">
        <v>0</v>
      </c>
      <c r="AC212" s="34">
        <v>0</v>
      </c>
      <c r="AD212" s="35">
        <v>0</v>
      </c>
      <c r="AE212" s="36">
        <v>0</v>
      </c>
      <c r="AF212" s="23">
        <v>0</v>
      </c>
      <c r="AG212" s="24">
        <v>0</v>
      </c>
      <c r="AH212" s="33">
        <v>0</v>
      </c>
      <c r="AI212" s="37">
        <v>0</v>
      </c>
      <c r="AJ212" s="35">
        <v>0</v>
      </c>
      <c r="AK212" s="36">
        <v>0</v>
      </c>
      <c r="AL212" s="38">
        <v>0</v>
      </c>
      <c r="AM212" s="35">
        <v>0</v>
      </c>
      <c r="AN212" s="19">
        <v>0</v>
      </c>
      <c r="AO212" s="23">
        <v>0</v>
      </c>
      <c r="AP212" s="24">
        <v>0</v>
      </c>
      <c r="AQ212" s="31">
        <f t="shared" si="19"/>
        <v>20.8</v>
      </c>
      <c r="AR212" s="32">
        <f t="shared" si="19"/>
        <v>52000</v>
      </c>
      <c r="AS212" s="30">
        <v>27</v>
      </c>
    </row>
    <row r="213" spans="1:45" ht="15.6" x14ac:dyDescent="0.3">
      <c r="A213" s="19">
        <v>210</v>
      </c>
      <c r="B213" s="21" t="s">
        <v>215</v>
      </c>
      <c r="C213" s="20" t="s">
        <v>235</v>
      </c>
      <c r="D213" s="324"/>
      <c r="E213" s="22">
        <v>9</v>
      </c>
      <c r="F213" s="23">
        <f t="shared" si="15"/>
        <v>22500</v>
      </c>
      <c r="G213" s="19">
        <v>0</v>
      </c>
      <c r="H213" s="23">
        <v>0</v>
      </c>
      <c r="I213" s="24">
        <v>0</v>
      </c>
      <c r="J213" s="19">
        <v>0</v>
      </c>
      <c r="K213" s="23">
        <v>0</v>
      </c>
      <c r="L213" s="24">
        <v>0</v>
      </c>
      <c r="M213" s="25">
        <v>2</v>
      </c>
      <c r="N213" s="26">
        <v>5000</v>
      </c>
      <c r="O213" s="27">
        <v>5</v>
      </c>
      <c r="P213" s="28">
        <f t="shared" si="16"/>
        <v>0</v>
      </c>
      <c r="Q213" s="29">
        <f t="shared" si="17"/>
        <v>0</v>
      </c>
      <c r="R213" s="30">
        <v>0</v>
      </c>
      <c r="S213" s="19">
        <v>0</v>
      </c>
      <c r="T213" s="23">
        <v>0</v>
      </c>
      <c r="U213" s="24">
        <v>0</v>
      </c>
      <c r="V213" s="31">
        <f t="shared" si="18"/>
        <v>2.4</v>
      </c>
      <c r="W213" s="32">
        <v>6000</v>
      </c>
      <c r="X213" s="30">
        <v>6</v>
      </c>
      <c r="Y213" s="19">
        <v>0</v>
      </c>
      <c r="Z213" s="23">
        <v>0</v>
      </c>
      <c r="AA213" s="24">
        <v>0</v>
      </c>
      <c r="AB213" s="33">
        <v>0</v>
      </c>
      <c r="AC213" s="34">
        <v>0</v>
      </c>
      <c r="AD213" s="35">
        <v>0</v>
      </c>
      <c r="AE213" s="36">
        <v>0</v>
      </c>
      <c r="AF213" s="23">
        <v>0</v>
      </c>
      <c r="AG213" s="24">
        <v>0</v>
      </c>
      <c r="AH213" s="33">
        <v>0</v>
      </c>
      <c r="AI213" s="37">
        <v>0</v>
      </c>
      <c r="AJ213" s="35">
        <v>0</v>
      </c>
      <c r="AK213" s="36">
        <v>0</v>
      </c>
      <c r="AL213" s="38">
        <v>0</v>
      </c>
      <c r="AM213" s="35">
        <v>0</v>
      </c>
      <c r="AN213" s="19">
        <v>0</v>
      </c>
      <c r="AO213" s="23">
        <v>0</v>
      </c>
      <c r="AP213" s="24">
        <v>0</v>
      </c>
      <c r="AQ213" s="31">
        <f t="shared" si="19"/>
        <v>4.4000000000000004</v>
      </c>
      <c r="AR213" s="32">
        <f t="shared" si="19"/>
        <v>11000</v>
      </c>
      <c r="AS213" s="30">
        <v>6</v>
      </c>
    </row>
    <row r="214" spans="1:45" ht="15.6" x14ac:dyDescent="0.3">
      <c r="A214" s="19">
        <v>211</v>
      </c>
      <c r="B214" s="21" t="s">
        <v>215</v>
      </c>
      <c r="C214" s="20" t="s">
        <v>236</v>
      </c>
      <c r="D214" s="324"/>
      <c r="E214" s="22">
        <v>9.1999999999999993</v>
      </c>
      <c r="F214" s="23">
        <f t="shared" si="15"/>
        <v>23000</v>
      </c>
      <c r="G214" s="19">
        <v>0</v>
      </c>
      <c r="H214" s="23">
        <v>0</v>
      </c>
      <c r="I214" s="24">
        <v>0</v>
      </c>
      <c r="J214" s="19">
        <v>0</v>
      </c>
      <c r="K214" s="23">
        <v>0</v>
      </c>
      <c r="L214" s="24">
        <v>0</v>
      </c>
      <c r="M214" s="25">
        <v>4</v>
      </c>
      <c r="N214" s="26">
        <v>10000</v>
      </c>
      <c r="O214" s="27">
        <v>10</v>
      </c>
      <c r="P214" s="28">
        <f t="shared" si="16"/>
        <v>0.4</v>
      </c>
      <c r="Q214" s="29">
        <f t="shared" si="17"/>
        <v>1000</v>
      </c>
      <c r="R214" s="30">
        <v>1</v>
      </c>
      <c r="S214" s="19">
        <v>0</v>
      </c>
      <c r="T214" s="23">
        <v>0</v>
      </c>
      <c r="U214" s="24">
        <v>0</v>
      </c>
      <c r="V214" s="31">
        <f t="shared" si="18"/>
        <v>5.6</v>
      </c>
      <c r="W214" s="32">
        <v>14000</v>
      </c>
      <c r="X214" s="30">
        <v>14</v>
      </c>
      <c r="Y214" s="19">
        <v>0</v>
      </c>
      <c r="Z214" s="23">
        <v>0</v>
      </c>
      <c r="AA214" s="24">
        <v>0</v>
      </c>
      <c r="AB214" s="33">
        <v>0</v>
      </c>
      <c r="AC214" s="34">
        <v>0</v>
      </c>
      <c r="AD214" s="35">
        <v>0</v>
      </c>
      <c r="AE214" s="36">
        <v>0</v>
      </c>
      <c r="AF214" s="23">
        <v>0</v>
      </c>
      <c r="AG214" s="24">
        <v>0</v>
      </c>
      <c r="AH214" s="33">
        <v>0</v>
      </c>
      <c r="AI214" s="37">
        <v>0</v>
      </c>
      <c r="AJ214" s="35">
        <v>0</v>
      </c>
      <c r="AK214" s="36">
        <v>0</v>
      </c>
      <c r="AL214" s="38">
        <v>0</v>
      </c>
      <c r="AM214" s="35">
        <v>0</v>
      </c>
      <c r="AN214" s="19">
        <v>0</v>
      </c>
      <c r="AO214" s="23">
        <v>0</v>
      </c>
      <c r="AP214" s="24">
        <v>0</v>
      </c>
      <c r="AQ214" s="31">
        <f t="shared" si="19"/>
        <v>10</v>
      </c>
      <c r="AR214" s="32">
        <f t="shared" si="19"/>
        <v>25000</v>
      </c>
      <c r="AS214" s="30">
        <v>14</v>
      </c>
    </row>
    <row r="215" spans="1:45" ht="15.6" x14ac:dyDescent="0.3">
      <c r="A215" s="19">
        <v>212</v>
      </c>
      <c r="B215" s="21" t="s">
        <v>237</v>
      </c>
      <c r="C215" s="20" t="s">
        <v>238</v>
      </c>
      <c r="D215" s="324"/>
      <c r="E215" s="22">
        <v>23.2</v>
      </c>
      <c r="F215" s="23">
        <f t="shared" si="15"/>
        <v>58000</v>
      </c>
      <c r="G215" s="19">
        <v>0</v>
      </c>
      <c r="H215" s="23">
        <v>0</v>
      </c>
      <c r="I215" s="24">
        <v>0</v>
      </c>
      <c r="J215" s="19">
        <v>0</v>
      </c>
      <c r="K215" s="23">
        <v>0</v>
      </c>
      <c r="L215" s="24">
        <v>0</v>
      </c>
      <c r="M215" s="25">
        <v>7.2</v>
      </c>
      <c r="N215" s="26">
        <v>18000</v>
      </c>
      <c r="O215" s="27">
        <v>18</v>
      </c>
      <c r="P215" s="28">
        <f t="shared" si="16"/>
        <v>1.2</v>
      </c>
      <c r="Q215" s="29">
        <f t="shared" si="17"/>
        <v>3000</v>
      </c>
      <c r="R215" s="30">
        <v>3</v>
      </c>
      <c r="S215" s="19">
        <v>0</v>
      </c>
      <c r="T215" s="23">
        <v>0</v>
      </c>
      <c r="U215" s="24">
        <v>0</v>
      </c>
      <c r="V215" s="31">
        <f t="shared" si="18"/>
        <v>8.4</v>
      </c>
      <c r="W215" s="32">
        <v>21000</v>
      </c>
      <c r="X215" s="30">
        <v>21</v>
      </c>
      <c r="Y215" s="19">
        <v>0</v>
      </c>
      <c r="Z215" s="23">
        <v>0</v>
      </c>
      <c r="AA215" s="24">
        <v>0</v>
      </c>
      <c r="AB215" s="33">
        <v>0</v>
      </c>
      <c r="AC215" s="34">
        <v>0</v>
      </c>
      <c r="AD215" s="35">
        <v>0</v>
      </c>
      <c r="AE215" s="36">
        <v>0</v>
      </c>
      <c r="AF215" s="23">
        <v>0</v>
      </c>
      <c r="AG215" s="24">
        <v>0</v>
      </c>
      <c r="AH215" s="33">
        <v>0</v>
      </c>
      <c r="AI215" s="37">
        <v>0</v>
      </c>
      <c r="AJ215" s="35">
        <v>0</v>
      </c>
      <c r="AK215" s="36">
        <v>0</v>
      </c>
      <c r="AL215" s="38">
        <v>0</v>
      </c>
      <c r="AM215" s="35">
        <v>0</v>
      </c>
      <c r="AN215" s="19">
        <v>0</v>
      </c>
      <c r="AO215" s="23">
        <v>0</v>
      </c>
      <c r="AP215" s="24">
        <v>0</v>
      </c>
      <c r="AQ215" s="31">
        <f t="shared" si="19"/>
        <v>16.8</v>
      </c>
      <c r="AR215" s="32">
        <f t="shared" si="19"/>
        <v>42000</v>
      </c>
      <c r="AS215" s="30">
        <v>22</v>
      </c>
    </row>
    <row r="216" spans="1:45" ht="15.6" x14ac:dyDescent="0.3">
      <c r="A216" s="19">
        <v>213</v>
      </c>
      <c r="B216" s="21" t="s">
        <v>237</v>
      </c>
      <c r="C216" s="20" t="s">
        <v>239</v>
      </c>
      <c r="D216" s="324"/>
      <c r="E216" s="22">
        <v>17</v>
      </c>
      <c r="F216" s="23">
        <f t="shared" si="15"/>
        <v>42500</v>
      </c>
      <c r="G216" s="19">
        <v>0</v>
      </c>
      <c r="H216" s="23">
        <v>0</v>
      </c>
      <c r="I216" s="24">
        <v>0</v>
      </c>
      <c r="J216" s="19">
        <v>0</v>
      </c>
      <c r="K216" s="23">
        <v>0</v>
      </c>
      <c r="L216" s="24">
        <v>0</v>
      </c>
      <c r="M216" s="25">
        <v>4.8</v>
      </c>
      <c r="N216" s="26">
        <v>12000</v>
      </c>
      <c r="O216" s="27">
        <v>12</v>
      </c>
      <c r="P216" s="28">
        <f t="shared" si="16"/>
        <v>1.2</v>
      </c>
      <c r="Q216" s="29">
        <f t="shared" si="17"/>
        <v>3000</v>
      </c>
      <c r="R216" s="30">
        <v>3</v>
      </c>
      <c r="S216" s="19">
        <v>0</v>
      </c>
      <c r="T216" s="23">
        <v>0</v>
      </c>
      <c r="U216" s="24">
        <v>0</v>
      </c>
      <c r="V216" s="31">
        <f t="shared" si="18"/>
        <v>6.4</v>
      </c>
      <c r="W216" s="32">
        <v>16000</v>
      </c>
      <c r="X216" s="30">
        <v>16</v>
      </c>
      <c r="Y216" s="19">
        <v>0</v>
      </c>
      <c r="Z216" s="23">
        <v>0</v>
      </c>
      <c r="AA216" s="24">
        <v>0</v>
      </c>
      <c r="AB216" s="33">
        <v>0</v>
      </c>
      <c r="AC216" s="34">
        <v>0</v>
      </c>
      <c r="AD216" s="35">
        <v>0</v>
      </c>
      <c r="AE216" s="36">
        <v>0</v>
      </c>
      <c r="AF216" s="23">
        <v>0</v>
      </c>
      <c r="AG216" s="24">
        <v>0</v>
      </c>
      <c r="AH216" s="33">
        <v>0</v>
      </c>
      <c r="AI216" s="37">
        <v>0</v>
      </c>
      <c r="AJ216" s="35">
        <v>0</v>
      </c>
      <c r="AK216" s="36">
        <v>0</v>
      </c>
      <c r="AL216" s="38">
        <v>0</v>
      </c>
      <c r="AM216" s="35">
        <v>0</v>
      </c>
      <c r="AN216" s="19">
        <v>0</v>
      </c>
      <c r="AO216" s="23">
        <v>0</v>
      </c>
      <c r="AP216" s="24">
        <v>0</v>
      </c>
      <c r="AQ216" s="31">
        <f t="shared" si="19"/>
        <v>12.4</v>
      </c>
      <c r="AR216" s="32">
        <f t="shared" si="19"/>
        <v>31000</v>
      </c>
      <c r="AS216" s="30">
        <v>16</v>
      </c>
    </row>
    <row r="217" spans="1:45" ht="15.6" x14ac:dyDescent="0.3">
      <c r="A217" s="19">
        <v>214</v>
      </c>
      <c r="B217" s="21" t="s">
        <v>237</v>
      </c>
      <c r="C217" s="20" t="s">
        <v>240</v>
      </c>
      <c r="D217" s="324"/>
      <c r="E217" s="22">
        <v>20.2</v>
      </c>
      <c r="F217" s="23">
        <f t="shared" si="15"/>
        <v>50500</v>
      </c>
      <c r="G217" s="19">
        <v>0</v>
      </c>
      <c r="H217" s="23">
        <v>0</v>
      </c>
      <c r="I217" s="24">
        <v>0</v>
      </c>
      <c r="J217" s="19">
        <v>0</v>
      </c>
      <c r="K217" s="23">
        <v>0</v>
      </c>
      <c r="L217" s="24">
        <v>0</v>
      </c>
      <c r="M217" s="25">
        <v>7.2</v>
      </c>
      <c r="N217" s="26">
        <v>18000</v>
      </c>
      <c r="O217" s="27">
        <v>18</v>
      </c>
      <c r="P217" s="28">
        <f t="shared" si="16"/>
        <v>3.2</v>
      </c>
      <c r="Q217" s="29">
        <f t="shared" si="17"/>
        <v>8000</v>
      </c>
      <c r="R217" s="30">
        <v>8</v>
      </c>
      <c r="S217" s="19">
        <v>0</v>
      </c>
      <c r="T217" s="23">
        <v>0</v>
      </c>
      <c r="U217" s="24">
        <v>0</v>
      </c>
      <c r="V217" s="31">
        <f t="shared" si="18"/>
        <v>10.4</v>
      </c>
      <c r="W217" s="32">
        <v>26000</v>
      </c>
      <c r="X217" s="30">
        <v>26</v>
      </c>
      <c r="Y217" s="19">
        <v>0</v>
      </c>
      <c r="Z217" s="23">
        <v>0</v>
      </c>
      <c r="AA217" s="24">
        <v>0</v>
      </c>
      <c r="AB217" s="33">
        <v>0</v>
      </c>
      <c r="AC217" s="34">
        <v>0</v>
      </c>
      <c r="AD217" s="35">
        <v>0</v>
      </c>
      <c r="AE217" s="36">
        <v>0</v>
      </c>
      <c r="AF217" s="23">
        <v>0</v>
      </c>
      <c r="AG217" s="24">
        <v>0</v>
      </c>
      <c r="AH217" s="33">
        <v>0</v>
      </c>
      <c r="AI217" s="37">
        <v>0</v>
      </c>
      <c r="AJ217" s="35">
        <v>0</v>
      </c>
      <c r="AK217" s="36">
        <v>0</v>
      </c>
      <c r="AL217" s="38">
        <v>0</v>
      </c>
      <c r="AM217" s="35">
        <v>0</v>
      </c>
      <c r="AN217" s="19">
        <v>0</v>
      </c>
      <c r="AO217" s="23">
        <v>0</v>
      </c>
      <c r="AP217" s="24">
        <v>0</v>
      </c>
      <c r="AQ217" s="31">
        <f t="shared" si="19"/>
        <v>20.8</v>
      </c>
      <c r="AR217" s="32">
        <f t="shared" si="19"/>
        <v>52000</v>
      </c>
      <c r="AS217" s="30">
        <v>27</v>
      </c>
    </row>
    <row r="218" spans="1:45" ht="15.6" x14ac:dyDescent="0.3">
      <c r="A218" s="19">
        <v>215</v>
      </c>
      <c r="B218" s="21" t="s">
        <v>237</v>
      </c>
      <c r="C218" s="20" t="s">
        <v>237</v>
      </c>
      <c r="D218" s="324"/>
      <c r="E218" s="22">
        <v>10</v>
      </c>
      <c r="F218" s="23">
        <f t="shared" si="15"/>
        <v>25000</v>
      </c>
      <c r="G218" s="19">
        <v>0</v>
      </c>
      <c r="H218" s="23">
        <v>0</v>
      </c>
      <c r="I218" s="24">
        <v>0</v>
      </c>
      <c r="J218" s="19">
        <v>0</v>
      </c>
      <c r="K218" s="23">
        <v>0</v>
      </c>
      <c r="L218" s="24">
        <v>0</v>
      </c>
      <c r="M218" s="25">
        <v>1.6</v>
      </c>
      <c r="N218" s="26">
        <v>4000</v>
      </c>
      <c r="O218" s="27">
        <v>4</v>
      </c>
      <c r="P218" s="28">
        <f t="shared" si="16"/>
        <v>0.8</v>
      </c>
      <c r="Q218" s="29">
        <f t="shared" si="17"/>
        <v>2000</v>
      </c>
      <c r="R218" s="30">
        <v>2</v>
      </c>
      <c r="S218" s="19">
        <v>0</v>
      </c>
      <c r="T218" s="23">
        <v>0</v>
      </c>
      <c r="U218" s="24">
        <v>0</v>
      </c>
      <c r="V218" s="31">
        <f t="shared" si="18"/>
        <v>3.6</v>
      </c>
      <c r="W218" s="32">
        <v>9000</v>
      </c>
      <c r="X218" s="30">
        <v>9</v>
      </c>
      <c r="Y218" s="19">
        <v>0</v>
      </c>
      <c r="Z218" s="23">
        <v>0</v>
      </c>
      <c r="AA218" s="24">
        <v>0</v>
      </c>
      <c r="AB218" s="33">
        <v>0</v>
      </c>
      <c r="AC218" s="34">
        <v>0</v>
      </c>
      <c r="AD218" s="35">
        <v>0</v>
      </c>
      <c r="AE218" s="36">
        <v>0</v>
      </c>
      <c r="AF218" s="23">
        <v>0</v>
      </c>
      <c r="AG218" s="24">
        <v>0</v>
      </c>
      <c r="AH218" s="33">
        <v>0</v>
      </c>
      <c r="AI218" s="37">
        <v>0</v>
      </c>
      <c r="AJ218" s="35">
        <v>0</v>
      </c>
      <c r="AK218" s="36">
        <v>0</v>
      </c>
      <c r="AL218" s="38">
        <v>0</v>
      </c>
      <c r="AM218" s="35">
        <v>0</v>
      </c>
      <c r="AN218" s="19">
        <v>0</v>
      </c>
      <c r="AO218" s="23">
        <v>0</v>
      </c>
      <c r="AP218" s="24">
        <v>0</v>
      </c>
      <c r="AQ218" s="31">
        <f t="shared" si="19"/>
        <v>6</v>
      </c>
      <c r="AR218" s="32">
        <f t="shared" si="19"/>
        <v>15000</v>
      </c>
      <c r="AS218" s="30">
        <v>9</v>
      </c>
    </row>
    <row r="219" spans="1:45" ht="15.6" x14ac:dyDescent="0.3">
      <c r="A219" s="19">
        <v>216</v>
      </c>
      <c r="B219" s="21" t="s">
        <v>237</v>
      </c>
      <c r="C219" s="20" t="s">
        <v>241</v>
      </c>
      <c r="D219" s="324"/>
      <c r="E219" s="22">
        <v>13.999999999999998</v>
      </c>
      <c r="F219" s="23">
        <f t="shared" si="15"/>
        <v>34999.999999999993</v>
      </c>
      <c r="G219" s="19">
        <v>0</v>
      </c>
      <c r="H219" s="23">
        <v>0</v>
      </c>
      <c r="I219" s="24">
        <v>0</v>
      </c>
      <c r="J219" s="19">
        <v>0</v>
      </c>
      <c r="K219" s="23">
        <v>0</v>
      </c>
      <c r="L219" s="24">
        <v>0</v>
      </c>
      <c r="M219" s="25">
        <v>6.4</v>
      </c>
      <c r="N219" s="26">
        <v>16000</v>
      </c>
      <c r="O219" s="27">
        <v>16</v>
      </c>
      <c r="P219" s="28">
        <f t="shared" si="16"/>
        <v>0.8</v>
      </c>
      <c r="Q219" s="29">
        <f t="shared" si="17"/>
        <v>2000</v>
      </c>
      <c r="R219" s="30">
        <v>2</v>
      </c>
      <c r="S219" s="19">
        <v>0</v>
      </c>
      <c r="T219" s="23">
        <v>0</v>
      </c>
      <c r="U219" s="24">
        <v>0</v>
      </c>
      <c r="V219" s="31">
        <f t="shared" si="18"/>
        <v>7.6</v>
      </c>
      <c r="W219" s="32">
        <v>19000</v>
      </c>
      <c r="X219" s="30">
        <v>19</v>
      </c>
      <c r="Y219" s="19">
        <v>0</v>
      </c>
      <c r="Z219" s="23">
        <v>0</v>
      </c>
      <c r="AA219" s="24">
        <v>0</v>
      </c>
      <c r="AB219" s="33">
        <v>0</v>
      </c>
      <c r="AC219" s="34">
        <v>0</v>
      </c>
      <c r="AD219" s="35">
        <v>0</v>
      </c>
      <c r="AE219" s="36">
        <v>0</v>
      </c>
      <c r="AF219" s="23">
        <v>0</v>
      </c>
      <c r="AG219" s="24">
        <v>0</v>
      </c>
      <c r="AH219" s="33">
        <v>0</v>
      </c>
      <c r="AI219" s="37">
        <v>0</v>
      </c>
      <c r="AJ219" s="35">
        <v>0</v>
      </c>
      <c r="AK219" s="36">
        <v>0</v>
      </c>
      <c r="AL219" s="38">
        <v>0</v>
      </c>
      <c r="AM219" s="35">
        <v>0</v>
      </c>
      <c r="AN219" s="19">
        <v>0</v>
      </c>
      <c r="AO219" s="23">
        <v>0</v>
      </c>
      <c r="AP219" s="24">
        <v>0</v>
      </c>
      <c r="AQ219" s="31">
        <f t="shared" si="19"/>
        <v>14.8</v>
      </c>
      <c r="AR219" s="32">
        <f t="shared" si="19"/>
        <v>37000</v>
      </c>
      <c r="AS219" s="30">
        <v>19</v>
      </c>
    </row>
    <row r="220" spans="1:45" ht="15.6" x14ac:dyDescent="0.3">
      <c r="A220" s="19">
        <v>217</v>
      </c>
      <c r="B220" s="21" t="s">
        <v>237</v>
      </c>
      <c r="C220" s="20" t="s">
        <v>242</v>
      </c>
      <c r="D220" s="324"/>
      <c r="E220" s="22">
        <v>16.2</v>
      </c>
      <c r="F220" s="23">
        <f t="shared" si="15"/>
        <v>40500</v>
      </c>
      <c r="G220" s="19">
        <v>0</v>
      </c>
      <c r="H220" s="23">
        <v>0</v>
      </c>
      <c r="I220" s="24">
        <v>0</v>
      </c>
      <c r="J220" s="19">
        <v>0</v>
      </c>
      <c r="K220" s="23">
        <v>0</v>
      </c>
      <c r="L220" s="24">
        <v>0</v>
      </c>
      <c r="M220" s="25">
        <v>5.2</v>
      </c>
      <c r="N220" s="26">
        <v>13000</v>
      </c>
      <c r="O220" s="27">
        <v>13</v>
      </c>
      <c r="P220" s="28">
        <f t="shared" si="16"/>
        <v>0.4</v>
      </c>
      <c r="Q220" s="29">
        <f t="shared" si="17"/>
        <v>1000</v>
      </c>
      <c r="R220" s="30">
        <v>1</v>
      </c>
      <c r="S220" s="19">
        <v>0</v>
      </c>
      <c r="T220" s="23">
        <v>0</v>
      </c>
      <c r="U220" s="24">
        <v>0</v>
      </c>
      <c r="V220" s="31">
        <f t="shared" si="18"/>
        <v>5.6</v>
      </c>
      <c r="W220" s="32">
        <v>14000</v>
      </c>
      <c r="X220" s="30">
        <v>14</v>
      </c>
      <c r="Y220" s="19">
        <v>0</v>
      </c>
      <c r="Z220" s="23">
        <v>0</v>
      </c>
      <c r="AA220" s="24">
        <v>0</v>
      </c>
      <c r="AB220" s="33">
        <v>0</v>
      </c>
      <c r="AC220" s="34">
        <v>0</v>
      </c>
      <c r="AD220" s="35">
        <v>0</v>
      </c>
      <c r="AE220" s="36">
        <v>0</v>
      </c>
      <c r="AF220" s="23">
        <v>0</v>
      </c>
      <c r="AG220" s="24">
        <v>0</v>
      </c>
      <c r="AH220" s="33">
        <v>0</v>
      </c>
      <c r="AI220" s="37">
        <v>0</v>
      </c>
      <c r="AJ220" s="35">
        <v>0</v>
      </c>
      <c r="AK220" s="36">
        <v>0</v>
      </c>
      <c r="AL220" s="38">
        <v>0</v>
      </c>
      <c r="AM220" s="35">
        <v>0</v>
      </c>
      <c r="AN220" s="19">
        <v>0</v>
      </c>
      <c r="AO220" s="23">
        <v>0</v>
      </c>
      <c r="AP220" s="24">
        <v>0</v>
      </c>
      <c r="AQ220" s="31">
        <f t="shared" si="19"/>
        <v>11.2</v>
      </c>
      <c r="AR220" s="32">
        <f t="shared" si="19"/>
        <v>28000</v>
      </c>
      <c r="AS220" s="30">
        <v>15</v>
      </c>
    </row>
    <row r="221" spans="1:45" ht="15.6" x14ac:dyDescent="0.3">
      <c r="A221" s="19">
        <v>218</v>
      </c>
      <c r="B221" s="21" t="s">
        <v>237</v>
      </c>
      <c r="C221" s="20" t="s">
        <v>243</v>
      </c>
      <c r="D221" s="324"/>
      <c r="E221" s="22">
        <v>13</v>
      </c>
      <c r="F221" s="23">
        <f t="shared" si="15"/>
        <v>32500</v>
      </c>
      <c r="G221" s="19">
        <v>0</v>
      </c>
      <c r="H221" s="23">
        <v>0</v>
      </c>
      <c r="I221" s="24">
        <v>0</v>
      </c>
      <c r="J221" s="19">
        <v>0</v>
      </c>
      <c r="K221" s="23">
        <v>0</v>
      </c>
      <c r="L221" s="24">
        <v>0</v>
      </c>
      <c r="M221" s="25">
        <v>4.8</v>
      </c>
      <c r="N221" s="26">
        <v>12000</v>
      </c>
      <c r="O221" s="27">
        <v>12</v>
      </c>
      <c r="P221" s="28">
        <f t="shared" si="16"/>
        <v>2.4</v>
      </c>
      <c r="Q221" s="29">
        <f t="shared" si="17"/>
        <v>6000</v>
      </c>
      <c r="R221" s="30">
        <v>6</v>
      </c>
      <c r="S221" s="19">
        <v>0</v>
      </c>
      <c r="T221" s="23">
        <v>0</v>
      </c>
      <c r="U221" s="24">
        <v>0</v>
      </c>
      <c r="V221" s="31">
        <f t="shared" si="18"/>
        <v>7.2</v>
      </c>
      <c r="W221" s="32">
        <v>18000</v>
      </c>
      <c r="X221" s="30">
        <v>18</v>
      </c>
      <c r="Y221" s="19">
        <v>0</v>
      </c>
      <c r="Z221" s="23">
        <v>0</v>
      </c>
      <c r="AA221" s="24">
        <v>0</v>
      </c>
      <c r="AB221" s="33">
        <v>0</v>
      </c>
      <c r="AC221" s="34">
        <v>0</v>
      </c>
      <c r="AD221" s="35">
        <v>0</v>
      </c>
      <c r="AE221" s="36">
        <v>0</v>
      </c>
      <c r="AF221" s="23">
        <v>0</v>
      </c>
      <c r="AG221" s="24">
        <v>0</v>
      </c>
      <c r="AH221" s="33">
        <v>0</v>
      </c>
      <c r="AI221" s="37">
        <v>0</v>
      </c>
      <c r="AJ221" s="35">
        <v>0</v>
      </c>
      <c r="AK221" s="36">
        <v>0</v>
      </c>
      <c r="AL221" s="38">
        <v>0</v>
      </c>
      <c r="AM221" s="35">
        <v>0</v>
      </c>
      <c r="AN221" s="19">
        <v>0</v>
      </c>
      <c r="AO221" s="23">
        <v>0</v>
      </c>
      <c r="AP221" s="24">
        <v>0</v>
      </c>
      <c r="AQ221" s="31">
        <f t="shared" si="19"/>
        <v>14.399999999999999</v>
      </c>
      <c r="AR221" s="32">
        <f t="shared" si="19"/>
        <v>36000</v>
      </c>
      <c r="AS221" s="30">
        <v>19</v>
      </c>
    </row>
    <row r="222" spans="1:45" ht="15.6" x14ac:dyDescent="0.3">
      <c r="A222" s="19">
        <v>219</v>
      </c>
      <c r="B222" s="21" t="s">
        <v>237</v>
      </c>
      <c r="C222" s="20" t="s">
        <v>244</v>
      </c>
      <c r="D222" s="324"/>
      <c r="E222" s="22">
        <v>11.4</v>
      </c>
      <c r="F222" s="23">
        <f t="shared" si="15"/>
        <v>28500</v>
      </c>
      <c r="G222" s="19">
        <v>0</v>
      </c>
      <c r="H222" s="23">
        <v>0</v>
      </c>
      <c r="I222" s="24">
        <v>0</v>
      </c>
      <c r="J222" s="19">
        <v>0</v>
      </c>
      <c r="K222" s="23">
        <v>0</v>
      </c>
      <c r="L222" s="24">
        <v>0</v>
      </c>
      <c r="M222" s="25">
        <v>3.2</v>
      </c>
      <c r="N222" s="26">
        <v>8000</v>
      </c>
      <c r="O222" s="27">
        <v>8</v>
      </c>
      <c r="P222" s="28">
        <f t="shared" si="16"/>
        <v>0.8</v>
      </c>
      <c r="Q222" s="29">
        <f t="shared" si="17"/>
        <v>2000</v>
      </c>
      <c r="R222" s="30">
        <v>2</v>
      </c>
      <c r="S222" s="19">
        <v>0</v>
      </c>
      <c r="T222" s="23">
        <v>0</v>
      </c>
      <c r="U222" s="24">
        <v>0</v>
      </c>
      <c r="V222" s="31">
        <f t="shared" si="18"/>
        <v>3.6</v>
      </c>
      <c r="W222" s="32">
        <v>9000</v>
      </c>
      <c r="X222" s="30">
        <v>9</v>
      </c>
      <c r="Y222" s="19">
        <v>0</v>
      </c>
      <c r="Z222" s="23">
        <v>0</v>
      </c>
      <c r="AA222" s="24">
        <v>0</v>
      </c>
      <c r="AB222" s="33">
        <v>0</v>
      </c>
      <c r="AC222" s="34">
        <v>0</v>
      </c>
      <c r="AD222" s="35">
        <v>0</v>
      </c>
      <c r="AE222" s="36">
        <v>0</v>
      </c>
      <c r="AF222" s="23">
        <v>0</v>
      </c>
      <c r="AG222" s="24">
        <v>0</v>
      </c>
      <c r="AH222" s="33">
        <v>0</v>
      </c>
      <c r="AI222" s="37">
        <v>0</v>
      </c>
      <c r="AJ222" s="35">
        <v>0</v>
      </c>
      <c r="AK222" s="36">
        <v>0</v>
      </c>
      <c r="AL222" s="38">
        <v>0</v>
      </c>
      <c r="AM222" s="35">
        <v>0</v>
      </c>
      <c r="AN222" s="19">
        <v>0</v>
      </c>
      <c r="AO222" s="23">
        <v>0</v>
      </c>
      <c r="AP222" s="24">
        <v>0</v>
      </c>
      <c r="AQ222" s="31">
        <f t="shared" si="19"/>
        <v>7.6</v>
      </c>
      <c r="AR222" s="32">
        <f t="shared" si="19"/>
        <v>19000</v>
      </c>
      <c r="AS222" s="30">
        <v>11</v>
      </c>
    </row>
    <row r="223" spans="1:45" ht="15.6" x14ac:dyDescent="0.3">
      <c r="A223" s="19">
        <v>220</v>
      </c>
      <c r="B223" s="21" t="s">
        <v>237</v>
      </c>
      <c r="C223" s="20" t="s">
        <v>245</v>
      </c>
      <c r="D223" s="324"/>
      <c r="E223" s="22">
        <v>12</v>
      </c>
      <c r="F223" s="23">
        <f t="shared" si="15"/>
        <v>30000</v>
      </c>
      <c r="G223" s="19">
        <v>0</v>
      </c>
      <c r="H223" s="23">
        <v>0</v>
      </c>
      <c r="I223" s="24">
        <v>0</v>
      </c>
      <c r="J223" s="19">
        <v>0</v>
      </c>
      <c r="K223" s="23">
        <v>0</v>
      </c>
      <c r="L223" s="24">
        <v>0</v>
      </c>
      <c r="M223" s="25">
        <v>4.4000000000000004</v>
      </c>
      <c r="N223" s="26">
        <v>11000</v>
      </c>
      <c r="O223" s="27">
        <v>11</v>
      </c>
      <c r="P223" s="28">
        <f t="shared" si="16"/>
        <v>1.2</v>
      </c>
      <c r="Q223" s="29">
        <f t="shared" si="17"/>
        <v>3000</v>
      </c>
      <c r="R223" s="30">
        <v>3</v>
      </c>
      <c r="S223" s="19">
        <v>0</v>
      </c>
      <c r="T223" s="23">
        <v>0</v>
      </c>
      <c r="U223" s="24">
        <v>0</v>
      </c>
      <c r="V223" s="31">
        <f t="shared" si="18"/>
        <v>5.2</v>
      </c>
      <c r="W223" s="32">
        <v>13000</v>
      </c>
      <c r="X223" s="30">
        <v>13</v>
      </c>
      <c r="Y223" s="19">
        <v>0</v>
      </c>
      <c r="Z223" s="23">
        <v>0</v>
      </c>
      <c r="AA223" s="24">
        <v>0</v>
      </c>
      <c r="AB223" s="33">
        <v>0</v>
      </c>
      <c r="AC223" s="34">
        <v>0</v>
      </c>
      <c r="AD223" s="35">
        <v>0</v>
      </c>
      <c r="AE223" s="36">
        <v>0</v>
      </c>
      <c r="AF223" s="23">
        <v>0</v>
      </c>
      <c r="AG223" s="24">
        <v>0</v>
      </c>
      <c r="AH223" s="33">
        <v>0</v>
      </c>
      <c r="AI223" s="37">
        <v>0</v>
      </c>
      <c r="AJ223" s="35">
        <v>0</v>
      </c>
      <c r="AK223" s="36">
        <v>0</v>
      </c>
      <c r="AL223" s="38">
        <v>0</v>
      </c>
      <c r="AM223" s="35">
        <v>0</v>
      </c>
      <c r="AN223" s="19">
        <v>0</v>
      </c>
      <c r="AO223" s="23">
        <v>0</v>
      </c>
      <c r="AP223" s="24">
        <v>0</v>
      </c>
      <c r="AQ223" s="31">
        <f t="shared" si="19"/>
        <v>10.8</v>
      </c>
      <c r="AR223" s="32">
        <f t="shared" si="19"/>
        <v>27000</v>
      </c>
      <c r="AS223" s="30">
        <v>14</v>
      </c>
    </row>
    <row r="224" spans="1:45" ht="15.6" x14ac:dyDescent="0.3">
      <c r="A224" s="19">
        <v>221</v>
      </c>
      <c r="B224" s="21" t="s">
        <v>246</v>
      </c>
      <c r="C224" s="20" t="s">
        <v>247</v>
      </c>
      <c r="D224" s="324"/>
      <c r="E224" s="22">
        <v>19.399999999999999</v>
      </c>
      <c r="F224" s="23">
        <f t="shared" si="15"/>
        <v>48500</v>
      </c>
      <c r="G224" s="19">
        <v>0</v>
      </c>
      <c r="H224" s="23">
        <v>0</v>
      </c>
      <c r="I224" s="24">
        <v>0</v>
      </c>
      <c r="J224" s="19">
        <v>0</v>
      </c>
      <c r="K224" s="23">
        <v>0</v>
      </c>
      <c r="L224" s="24">
        <v>0</v>
      </c>
      <c r="M224" s="25">
        <v>5.6</v>
      </c>
      <c r="N224" s="26">
        <v>14000</v>
      </c>
      <c r="O224" s="27">
        <v>14</v>
      </c>
      <c r="P224" s="28">
        <f t="shared" si="16"/>
        <v>0.8</v>
      </c>
      <c r="Q224" s="29">
        <f t="shared" si="17"/>
        <v>2000</v>
      </c>
      <c r="R224" s="30">
        <v>2</v>
      </c>
      <c r="S224" s="19">
        <v>0</v>
      </c>
      <c r="T224" s="23">
        <v>0</v>
      </c>
      <c r="U224" s="24">
        <v>0</v>
      </c>
      <c r="V224" s="31">
        <f t="shared" si="18"/>
        <v>6.4</v>
      </c>
      <c r="W224" s="32">
        <v>16000</v>
      </c>
      <c r="X224" s="30">
        <v>16</v>
      </c>
      <c r="Y224" s="19">
        <v>0</v>
      </c>
      <c r="Z224" s="23">
        <v>0</v>
      </c>
      <c r="AA224" s="24">
        <v>0</v>
      </c>
      <c r="AB224" s="33">
        <v>0</v>
      </c>
      <c r="AC224" s="34">
        <v>0</v>
      </c>
      <c r="AD224" s="35">
        <v>0</v>
      </c>
      <c r="AE224" s="36">
        <v>0</v>
      </c>
      <c r="AF224" s="23">
        <v>0</v>
      </c>
      <c r="AG224" s="24">
        <v>0</v>
      </c>
      <c r="AH224" s="33">
        <v>0</v>
      </c>
      <c r="AI224" s="37">
        <v>0</v>
      </c>
      <c r="AJ224" s="35">
        <v>0</v>
      </c>
      <c r="AK224" s="36">
        <v>0</v>
      </c>
      <c r="AL224" s="38">
        <v>0</v>
      </c>
      <c r="AM224" s="35">
        <v>0</v>
      </c>
      <c r="AN224" s="19">
        <v>0</v>
      </c>
      <c r="AO224" s="23">
        <v>0</v>
      </c>
      <c r="AP224" s="24">
        <v>0</v>
      </c>
      <c r="AQ224" s="31">
        <f t="shared" si="19"/>
        <v>12.8</v>
      </c>
      <c r="AR224" s="32">
        <f t="shared" si="19"/>
        <v>32000</v>
      </c>
      <c r="AS224" s="30">
        <v>16</v>
      </c>
    </row>
    <row r="225" spans="1:45" ht="15.6" x14ac:dyDescent="0.3">
      <c r="A225" s="19">
        <v>222</v>
      </c>
      <c r="B225" s="21" t="s">
        <v>246</v>
      </c>
      <c r="C225" s="20" t="s">
        <v>248</v>
      </c>
      <c r="D225" s="324" t="s">
        <v>25</v>
      </c>
      <c r="E225" s="22">
        <v>9.8000000000000007</v>
      </c>
      <c r="F225" s="23">
        <f t="shared" si="15"/>
        <v>24500</v>
      </c>
      <c r="G225" s="19">
        <v>0</v>
      </c>
      <c r="H225" s="23">
        <v>0</v>
      </c>
      <c r="I225" s="24">
        <v>0</v>
      </c>
      <c r="J225" s="19">
        <v>0</v>
      </c>
      <c r="K225" s="23">
        <v>0</v>
      </c>
      <c r="L225" s="24">
        <v>0</v>
      </c>
      <c r="M225" s="25">
        <v>3.2</v>
      </c>
      <c r="N225" s="26">
        <v>8000</v>
      </c>
      <c r="O225" s="27">
        <v>8</v>
      </c>
      <c r="P225" s="28">
        <f t="shared" si="16"/>
        <v>1.6</v>
      </c>
      <c r="Q225" s="29">
        <f t="shared" si="17"/>
        <v>4000</v>
      </c>
      <c r="R225" s="30">
        <v>4</v>
      </c>
      <c r="S225" s="19">
        <v>0</v>
      </c>
      <c r="T225" s="23">
        <v>0</v>
      </c>
      <c r="U225" s="24">
        <v>0</v>
      </c>
      <c r="V225" s="31">
        <f t="shared" si="18"/>
        <v>4.8</v>
      </c>
      <c r="W225" s="32">
        <v>12000</v>
      </c>
      <c r="X225" s="30">
        <v>12</v>
      </c>
      <c r="Y225" s="19">
        <v>0</v>
      </c>
      <c r="Z225" s="23">
        <v>0</v>
      </c>
      <c r="AA225" s="24">
        <v>0</v>
      </c>
      <c r="AB225" s="33">
        <v>0</v>
      </c>
      <c r="AC225" s="34">
        <v>0</v>
      </c>
      <c r="AD225" s="35">
        <v>0</v>
      </c>
      <c r="AE225" s="36">
        <v>0</v>
      </c>
      <c r="AF225" s="23">
        <v>0</v>
      </c>
      <c r="AG225" s="24">
        <v>0</v>
      </c>
      <c r="AH225" s="33">
        <v>0</v>
      </c>
      <c r="AI225" s="37">
        <v>0</v>
      </c>
      <c r="AJ225" s="35">
        <v>0</v>
      </c>
      <c r="AK225" s="36">
        <v>0</v>
      </c>
      <c r="AL225" s="38">
        <v>0</v>
      </c>
      <c r="AM225" s="35">
        <v>0</v>
      </c>
      <c r="AN225" s="19">
        <v>0</v>
      </c>
      <c r="AO225" s="23">
        <v>0</v>
      </c>
      <c r="AP225" s="24">
        <v>0</v>
      </c>
      <c r="AQ225" s="31">
        <f t="shared" si="19"/>
        <v>9.6000000000000014</v>
      </c>
      <c r="AR225" s="32">
        <f t="shared" si="19"/>
        <v>24000</v>
      </c>
      <c r="AS225" s="30">
        <v>12</v>
      </c>
    </row>
    <row r="226" spans="1:45" ht="15.6" x14ac:dyDescent="0.3">
      <c r="A226" s="19">
        <v>223</v>
      </c>
      <c r="B226" s="21" t="s">
        <v>246</v>
      </c>
      <c r="C226" s="20" t="s">
        <v>249</v>
      </c>
      <c r="D226" s="324"/>
      <c r="E226" s="22">
        <v>9.3999999999999986</v>
      </c>
      <c r="F226" s="23">
        <f t="shared" si="15"/>
        <v>23499.999999999996</v>
      </c>
      <c r="G226" s="19">
        <v>0</v>
      </c>
      <c r="H226" s="23">
        <v>0</v>
      </c>
      <c r="I226" s="24">
        <v>0</v>
      </c>
      <c r="J226" s="19">
        <v>0</v>
      </c>
      <c r="K226" s="23">
        <v>0</v>
      </c>
      <c r="L226" s="24">
        <v>0</v>
      </c>
      <c r="M226" s="25">
        <v>4.4000000000000004</v>
      </c>
      <c r="N226" s="26">
        <v>11000</v>
      </c>
      <c r="O226" s="27">
        <v>11</v>
      </c>
      <c r="P226" s="28">
        <f t="shared" si="16"/>
        <v>0.8</v>
      </c>
      <c r="Q226" s="29">
        <f t="shared" si="17"/>
        <v>2000</v>
      </c>
      <c r="R226" s="30">
        <v>2</v>
      </c>
      <c r="S226" s="19">
        <v>0</v>
      </c>
      <c r="T226" s="23">
        <v>0</v>
      </c>
      <c r="U226" s="24">
        <v>0</v>
      </c>
      <c r="V226" s="31">
        <f t="shared" si="18"/>
        <v>5.6</v>
      </c>
      <c r="W226" s="32">
        <v>14000</v>
      </c>
      <c r="X226" s="30">
        <v>14</v>
      </c>
      <c r="Y226" s="19">
        <v>0</v>
      </c>
      <c r="Z226" s="23">
        <v>0</v>
      </c>
      <c r="AA226" s="24">
        <v>0</v>
      </c>
      <c r="AB226" s="33">
        <v>0</v>
      </c>
      <c r="AC226" s="34">
        <v>0</v>
      </c>
      <c r="AD226" s="35">
        <v>0</v>
      </c>
      <c r="AE226" s="36">
        <v>0</v>
      </c>
      <c r="AF226" s="23">
        <v>0</v>
      </c>
      <c r="AG226" s="24">
        <v>0</v>
      </c>
      <c r="AH226" s="33">
        <v>0</v>
      </c>
      <c r="AI226" s="37">
        <v>0</v>
      </c>
      <c r="AJ226" s="35">
        <v>0</v>
      </c>
      <c r="AK226" s="36">
        <v>0</v>
      </c>
      <c r="AL226" s="38">
        <v>0</v>
      </c>
      <c r="AM226" s="35">
        <v>0</v>
      </c>
      <c r="AN226" s="19">
        <v>0</v>
      </c>
      <c r="AO226" s="23">
        <v>0</v>
      </c>
      <c r="AP226" s="24">
        <v>0</v>
      </c>
      <c r="AQ226" s="31">
        <f t="shared" si="19"/>
        <v>10.8</v>
      </c>
      <c r="AR226" s="32">
        <f t="shared" si="19"/>
        <v>27000</v>
      </c>
      <c r="AS226" s="30">
        <v>14</v>
      </c>
    </row>
    <row r="227" spans="1:45" ht="15.6" x14ac:dyDescent="0.3">
      <c r="A227" s="19">
        <v>224</v>
      </c>
      <c r="B227" s="21" t="s">
        <v>246</v>
      </c>
      <c r="C227" s="20" t="s">
        <v>250</v>
      </c>
      <c r="D227" s="324"/>
      <c r="E227" s="22">
        <v>8</v>
      </c>
      <c r="F227" s="23">
        <f t="shared" si="15"/>
        <v>20000</v>
      </c>
      <c r="G227" s="19">
        <v>0</v>
      </c>
      <c r="H227" s="23">
        <v>0</v>
      </c>
      <c r="I227" s="24">
        <v>0</v>
      </c>
      <c r="J227" s="19">
        <v>0</v>
      </c>
      <c r="K227" s="23">
        <v>0</v>
      </c>
      <c r="L227" s="24">
        <v>0</v>
      </c>
      <c r="M227" s="25">
        <v>2.4</v>
      </c>
      <c r="N227" s="26">
        <v>6000</v>
      </c>
      <c r="O227" s="27">
        <v>6</v>
      </c>
      <c r="P227" s="28">
        <f t="shared" si="16"/>
        <v>0</v>
      </c>
      <c r="Q227" s="29">
        <f t="shared" si="17"/>
        <v>0</v>
      </c>
      <c r="R227" s="30">
        <v>0</v>
      </c>
      <c r="S227" s="19">
        <v>0</v>
      </c>
      <c r="T227" s="23">
        <v>0</v>
      </c>
      <c r="U227" s="24">
        <v>0</v>
      </c>
      <c r="V227" s="31">
        <f t="shared" si="18"/>
        <v>2.4</v>
      </c>
      <c r="W227" s="32">
        <v>6000</v>
      </c>
      <c r="X227" s="30">
        <v>6</v>
      </c>
      <c r="Y227" s="19">
        <v>0</v>
      </c>
      <c r="Z227" s="23">
        <v>0</v>
      </c>
      <c r="AA227" s="24">
        <v>0</v>
      </c>
      <c r="AB227" s="33">
        <v>0</v>
      </c>
      <c r="AC227" s="34">
        <v>0</v>
      </c>
      <c r="AD227" s="35">
        <v>0</v>
      </c>
      <c r="AE227" s="36">
        <v>0</v>
      </c>
      <c r="AF227" s="23">
        <v>0</v>
      </c>
      <c r="AG227" s="24">
        <v>0</v>
      </c>
      <c r="AH227" s="33">
        <v>0</v>
      </c>
      <c r="AI227" s="37">
        <v>0</v>
      </c>
      <c r="AJ227" s="35">
        <v>0</v>
      </c>
      <c r="AK227" s="36">
        <v>0</v>
      </c>
      <c r="AL227" s="38">
        <v>0</v>
      </c>
      <c r="AM227" s="35">
        <v>0</v>
      </c>
      <c r="AN227" s="19">
        <v>0</v>
      </c>
      <c r="AO227" s="23">
        <v>0</v>
      </c>
      <c r="AP227" s="24">
        <v>0</v>
      </c>
      <c r="AQ227" s="31">
        <f t="shared" si="19"/>
        <v>4.8</v>
      </c>
      <c r="AR227" s="32">
        <f t="shared" si="19"/>
        <v>12000</v>
      </c>
      <c r="AS227" s="30">
        <v>6</v>
      </c>
    </row>
    <row r="228" spans="1:45" ht="15.6" x14ac:dyDescent="0.3">
      <c r="A228" s="19">
        <v>225</v>
      </c>
      <c r="B228" s="21" t="s">
        <v>246</v>
      </c>
      <c r="C228" s="20" t="s">
        <v>251</v>
      </c>
      <c r="D228" s="324"/>
      <c r="E228" s="22">
        <v>12.2</v>
      </c>
      <c r="F228" s="23">
        <f t="shared" si="15"/>
        <v>30500</v>
      </c>
      <c r="G228" s="19">
        <v>0</v>
      </c>
      <c r="H228" s="23">
        <v>0</v>
      </c>
      <c r="I228" s="24">
        <v>0</v>
      </c>
      <c r="J228" s="19">
        <v>0</v>
      </c>
      <c r="K228" s="23">
        <v>0</v>
      </c>
      <c r="L228" s="24">
        <v>0</v>
      </c>
      <c r="M228" s="25">
        <v>4</v>
      </c>
      <c r="N228" s="26">
        <v>10000</v>
      </c>
      <c r="O228" s="27">
        <v>10</v>
      </c>
      <c r="P228" s="28">
        <f t="shared" si="16"/>
        <v>1.2</v>
      </c>
      <c r="Q228" s="29">
        <f t="shared" si="17"/>
        <v>3000</v>
      </c>
      <c r="R228" s="30">
        <v>3</v>
      </c>
      <c r="S228" s="19">
        <v>0</v>
      </c>
      <c r="T228" s="23">
        <v>0</v>
      </c>
      <c r="U228" s="24">
        <v>0</v>
      </c>
      <c r="V228" s="31">
        <f t="shared" si="18"/>
        <v>4.8</v>
      </c>
      <c r="W228" s="32">
        <v>12000</v>
      </c>
      <c r="X228" s="30">
        <v>12</v>
      </c>
      <c r="Y228" s="19">
        <v>0</v>
      </c>
      <c r="Z228" s="23">
        <v>0</v>
      </c>
      <c r="AA228" s="24">
        <v>0</v>
      </c>
      <c r="AB228" s="33">
        <v>0</v>
      </c>
      <c r="AC228" s="34">
        <v>0</v>
      </c>
      <c r="AD228" s="35">
        <v>0</v>
      </c>
      <c r="AE228" s="36">
        <v>0</v>
      </c>
      <c r="AF228" s="23">
        <v>0</v>
      </c>
      <c r="AG228" s="24">
        <v>0</v>
      </c>
      <c r="AH228" s="33">
        <v>0</v>
      </c>
      <c r="AI228" s="37">
        <v>0</v>
      </c>
      <c r="AJ228" s="35">
        <v>0</v>
      </c>
      <c r="AK228" s="36">
        <v>0</v>
      </c>
      <c r="AL228" s="38">
        <v>0</v>
      </c>
      <c r="AM228" s="35">
        <v>0</v>
      </c>
      <c r="AN228" s="19">
        <v>0</v>
      </c>
      <c r="AO228" s="23">
        <v>0</v>
      </c>
      <c r="AP228" s="24">
        <v>0</v>
      </c>
      <c r="AQ228" s="31">
        <f t="shared" si="19"/>
        <v>10</v>
      </c>
      <c r="AR228" s="32">
        <f t="shared" si="19"/>
        <v>25000</v>
      </c>
      <c r="AS228" s="30">
        <v>13</v>
      </c>
    </row>
    <row r="229" spans="1:45" ht="15.6" x14ac:dyDescent="0.3">
      <c r="A229" s="19">
        <v>226</v>
      </c>
      <c r="B229" s="21" t="s">
        <v>246</v>
      </c>
      <c r="C229" s="20" t="s">
        <v>252</v>
      </c>
      <c r="D229" s="324"/>
      <c r="E229" s="22">
        <v>7.1999999999999993</v>
      </c>
      <c r="F229" s="23">
        <f t="shared" si="15"/>
        <v>18000</v>
      </c>
      <c r="G229" s="19">
        <v>0</v>
      </c>
      <c r="H229" s="23">
        <v>0</v>
      </c>
      <c r="I229" s="24">
        <v>0</v>
      </c>
      <c r="J229" s="19">
        <v>0</v>
      </c>
      <c r="K229" s="23">
        <v>0</v>
      </c>
      <c r="L229" s="24">
        <v>0</v>
      </c>
      <c r="M229" s="25">
        <v>2.8</v>
      </c>
      <c r="N229" s="26">
        <v>7000</v>
      </c>
      <c r="O229" s="27">
        <v>7</v>
      </c>
      <c r="P229" s="28">
        <f t="shared" si="16"/>
        <v>0.4</v>
      </c>
      <c r="Q229" s="29">
        <f t="shared" si="17"/>
        <v>1000</v>
      </c>
      <c r="R229" s="30">
        <v>1</v>
      </c>
      <c r="S229" s="19">
        <v>0</v>
      </c>
      <c r="T229" s="23">
        <v>0</v>
      </c>
      <c r="U229" s="24">
        <v>0</v>
      </c>
      <c r="V229" s="31">
        <f t="shared" si="18"/>
        <v>3.2</v>
      </c>
      <c r="W229" s="32">
        <v>8000</v>
      </c>
      <c r="X229" s="30">
        <v>8</v>
      </c>
      <c r="Y229" s="19">
        <v>0</v>
      </c>
      <c r="Z229" s="23">
        <v>0</v>
      </c>
      <c r="AA229" s="24">
        <v>0</v>
      </c>
      <c r="AB229" s="33">
        <v>0</v>
      </c>
      <c r="AC229" s="34">
        <v>0</v>
      </c>
      <c r="AD229" s="35">
        <v>0</v>
      </c>
      <c r="AE229" s="36">
        <v>0</v>
      </c>
      <c r="AF229" s="23">
        <v>0</v>
      </c>
      <c r="AG229" s="24">
        <v>0</v>
      </c>
      <c r="AH229" s="33">
        <v>0</v>
      </c>
      <c r="AI229" s="37">
        <v>0</v>
      </c>
      <c r="AJ229" s="35">
        <v>0</v>
      </c>
      <c r="AK229" s="36">
        <v>0</v>
      </c>
      <c r="AL229" s="38">
        <v>0</v>
      </c>
      <c r="AM229" s="35">
        <v>0</v>
      </c>
      <c r="AN229" s="19">
        <v>0</v>
      </c>
      <c r="AO229" s="23">
        <v>0</v>
      </c>
      <c r="AP229" s="24">
        <v>0</v>
      </c>
      <c r="AQ229" s="31">
        <f t="shared" si="19"/>
        <v>6.4</v>
      </c>
      <c r="AR229" s="32">
        <f t="shared" si="19"/>
        <v>16000</v>
      </c>
      <c r="AS229" s="30">
        <v>8</v>
      </c>
    </row>
    <row r="230" spans="1:45" ht="15.6" x14ac:dyDescent="0.3">
      <c r="A230" s="19">
        <v>227</v>
      </c>
      <c r="B230" s="21" t="s">
        <v>246</v>
      </c>
      <c r="C230" s="20" t="s">
        <v>253</v>
      </c>
      <c r="D230" s="324"/>
      <c r="E230" s="22">
        <v>8.7999999999999972</v>
      </c>
      <c r="F230" s="23">
        <f t="shared" si="15"/>
        <v>21999.999999999993</v>
      </c>
      <c r="G230" s="19">
        <v>0</v>
      </c>
      <c r="H230" s="23">
        <v>0</v>
      </c>
      <c r="I230" s="24">
        <v>0</v>
      </c>
      <c r="J230" s="19">
        <v>0</v>
      </c>
      <c r="K230" s="23">
        <v>0</v>
      </c>
      <c r="L230" s="24">
        <v>0</v>
      </c>
      <c r="M230" s="25">
        <v>4.4000000000000004</v>
      </c>
      <c r="N230" s="26">
        <v>11000</v>
      </c>
      <c r="O230" s="27">
        <v>11</v>
      </c>
      <c r="P230" s="28">
        <f t="shared" si="16"/>
        <v>2</v>
      </c>
      <c r="Q230" s="29">
        <f t="shared" si="17"/>
        <v>5000</v>
      </c>
      <c r="R230" s="30">
        <v>5</v>
      </c>
      <c r="S230" s="19">
        <v>0</v>
      </c>
      <c r="T230" s="23">
        <v>0</v>
      </c>
      <c r="U230" s="24">
        <v>0</v>
      </c>
      <c r="V230" s="31">
        <f t="shared" si="18"/>
        <v>6.8</v>
      </c>
      <c r="W230" s="32">
        <v>17000</v>
      </c>
      <c r="X230" s="30">
        <v>17</v>
      </c>
      <c r="Y230" s="19">
        <v>0</v>
      </c>
      <c r="Z230" s="23">
        <v>0</v>
      </c>
      <c r="AA230" s="24">
        <v>0</v>
      </c>
      <c r="AB230" s="33">
        <v>0</v>
      </c>
      <c r="AC230" s="34">
        <v>0</v>
      </c>
      <c r="AD230" s="35">
        <v>0</v>
      </c>
      <c r="AE230" s="36">
        <v>0</v>
      </c>
      <c r="AF230" s="23">
        <v>0</v>
      </c>
      <c r="AG230" s="24">
        <v>0</v>
      </c>
      <c r="AH230" s="33">
        <v>0</v>
      </c>
      <c r="AI230" s="37">
        <v>0</v>
      </c>
      <c r="AJ230" s="35">
        <v>0</v>
      </c>
      <c r="AK230" s="36">
        <v>0</v>
      </c>
      <c r="AL230" s="38">
        <v>0</v>
      </c>
      <c r="AM230" s="35">
        <v>0</v>
      </c>
      <c r="AN230" s="19">
        <v>0</v>
      </c>
      <c r="AO230" s="23">
        <v>0</v>
      </c>
      <c r="AP230" s="24">
        <v>0</v>
      </c>
      <c r="AQ230" s="31">
        <f t="shared" si="19"/>
        <v>13.2</v>
      </c>
      <c r="AR230" s="32">
        <f t="shared" si="19"/>
        <v>33000</v>
      </c>
      <c r="AS230" s="30">
        <v>17</v>
      </c>
    </row>
    <row r="231" spans="1:45" ht="15.6" x14ac:dyDescent="0.3">
      <c r="A231" s="19">
        <v>228</v>
      </c>
      <c r="B231" s="21" t="s">
        <v>246</v>
      </c>
      <c r="C231" s="20" t="s">
        <v>254</v>
      </c>
      <c r="D231" s="324"/>
      <c r="E231" s="22">
        <v>4.8000000000000007</v>
      </c>
      <c r="F231" s="23">
        <f t="shared" si="15"/>
        <v>12000.000000000002</v>
      </c>
      <c r="G231" s="19">
        <v>0</v>
      </c>
      <c r="H231" s="23">
        <v>0</v>
      </c>
      <c r="I231" s="24">
        <v>0</v>
      </c>
      <c r="J231" s="19">
        <v>0</v>
      </c>
      <c r="K231" s="23">
        <v>0</v>
      </c>
      <c r="L231" s="24">
        <v>0</v>
      </c>
      <c r="M231" s="25">
        <v>1.6</v>
      </c>
      <c r="N231" s="26">
        <v>4000</v>
      </c>
      <c r="O231" s="27">
        <v>4</v>
      </c>
      <c r="P231" s="28">
        <f t="shared" si="16"/>
        <v>1.2</v>
      </c>
      <c r="Q231" s="29">
        <f t="shared" si="17"/>
        <v>3000</v>
      </c>
      <c r="R231" s="30">
        <v>3</v>
      </c>
      <c r="S231" s="19">
        <v>0</v>
      </c>
      <c r="T231" s="23">
        <v>0</v>
      </c>
      <c r="U231" s="24">
        <v>0</v>
      </c>
      <c r="V231" s="31">
        <f t="shared" si="18"/>
        <v>2.8</v>
      </c>
      <c r="W231" s="32">
        <v>7000</v>
      </c>
      <c r="X231" s="30">
        <v>7</v>
      </c>
      <c r="Y231" s="19">
        <v>0</v>
      </c>
      <c r="Z231" s="23">
        <v>0</v>
      </c>
      <c r="AA231" s="24">
        <v>0</v>
      </c>
      <c r="AB231" s="33">
        <v>0</v>
      </c>
      <c r="AC231" s="34">
        <v>0</v>
      </c>
      <c r="AD231" s="35">
        <v>0</v>
      </c>
      <c r="AE231" s="36">
        <v>0</v>
      </c>
      <c r="AF231" s="23">
        <v>0</v>
      </c>
      <c r="AG231" s="24">
        <v>0</v>
      </c>
      <c r="AH231" s="33">
        <v>0</v>
      </c>
      <c r="AI231" s="37">
        <v>0</v>
      </c>
      <c r="AJ231" s="35">
        <v>0</v>
      </c>
      <c r="AK231" s="36">
        <v>0</v>
      </c>
      <c r="AL231" s="38">
        <v>0</v>
      </c>
      <c r="AM231" s="35">
        <v>0</v>
      </c>
      <c r="AN231" s="19">
        <v>0</v>
      </c>
      <c r="AO231" s="23">
        <v>0</v>
      </c>
      <c r="AP231" s="24">
        <v>0</v>
      </c>
      <c r="AQ231" s="31">
        <f t="shared" si="19"/>
        <v>5.6</v>
      </c>
      <c r="AR231" s="32">
        <f t="shared" si="19"/>
        <v>14000</v>
      </c>
      <c r="AS231" s="30">
        <v>7</v>
      </c>
    </row>
    <row r="232" spans="1:45" ht="15.6" x14ac:dyDescent="0.3">
      <c r="A232" s="19">
        <v>229</v>
      </c>
      <c r="B232" s="21" t="s">
        <v>246</v>
      </c>
      <c r="C232" s="20" t="s">
        <v>255</v>
      </c>
      <c r="D232" s="324"/>
      <c r="E232" s="22">
        <v>5</v>
      </c>
      <c r="F232" s="23">
        <f t="shared" si="15"/>
        <v>12500</v>
      </c>
      <c r="G232" s="19">
        <v>0</v>
      </c>
      <c r="H232" s="23">
        <v>0</v>
      </c>
      <c r="I232" s="24">
        <v>0</v>
      </c>
      <c r="J232" s="19">
        <v>0</v>
      </c>
      <c r="K232" s="23">
        <v>0</v>
      </c>
      <c r="L232" s="24">
        <v>0</v>
      </c>
      <c r="M232" s="25">
        <v>1.6</v>
      </c>
      <c r="N232" s="26">
        <v>4000</v>
      </c>
      <c r="O232" s="27">
        <v>4</v>
      </c>
      <c r="P232" s="28">
        <f t="shared" si="16"/>
        <v>0.8</v>
      </c>
      <c r="Q232" s="29">
        <f t="shared" si="17"/>
        <v>2000</v>
      </c>
      <c r="R232" s="30">
        <v>2</v>
      </c>
      <c r="S232" s="19">
        <v>0</v>
      </c>
      <c r="T232" s="23">
        <v>0</v>
      </c>
      <c r="U232" s="24">
        <v>0</v>
      </c>
      <c r="V232" s="31">
        <f t="shared" si="18"/>
        <v>2.8</v>
      </c>
      <c r="W232" s="32">
        <v>7000</v>
      </c>
      <c r="X232" s="30">
        <v>7</v>
      </c>
      <c r="Y232" s="19">
        <v>0</v>
      </c>
      <c r="Z232" s="23">
        <v>0</v>
      </c>
      <c r="AA232" s="24">
        <v>0</v>
      </c>
      <c r="AB232" s="33">
        <v>0</v>
      </c>
      <c r="AC232" s="34">
        <v>0</v>
      </c>
      <c r="AD232" s="35">
        <v>0</v>
      </c>
      <c r="AE232" s="36">
        <v>0</v>
      </c>
      <c r="AF232" s="23">
        <v>0</v>
      </c>
      <c r="AG232" s="24">
        <v>0</v>
      </c>
      <c r="AH232" s="33">
        <v>0</v>
      </c>
      <c r="AI232" s="37">
        <v>0</v>
      </c>
      <c r="AJ232" s="35">
        <v>0</v>
      </c>
      <c r="AK232" s="36">
        <v>0</v>
      </c>
      <c r="AL232" s="38">
        <v>0</v>
      </c>
      <c r="AM232" s="35">
        <v>0</v>
      </c>
      <c r="AN232" s="19">
        <v>0</v>
      </c>
      <c r="AO232" s="23">
        <v>0</v>
      </c>
      <c r="AP232" s="24">
        <v>0</v>
      </c>
      <c r="AQ232" s="31">
        <f t="shared" si="19"/>
        <v>5.2</v>
      </c>
      <c r="AR232" s="32">
        <f t="shared" si="19"/>
        <v>13000</v>
      </c>
      <c r="AS232" s="30">
        <v>7</v>
      </c>
    </row>
    <row r="233" spans="1:45" ht="15.6" x14ac:dyDescent="0.3">
      <c r="A233" s="19">
        <v>230</v>
      </c>
      <c r="B233" s="21" t="s">
        <v>246</v>
      </c>
      <c r="C233" s="20" t="s">
        <v>256</v>
      </c>
      <c r="D233" s="324"/>
      <c r="E233" s="22">
        <v>6.8</v>
      </c>
      <c r="F233" s="23">
        <f t="shared" si="15"/>
        <v>17000</v>
      </c>
      <c r="G233" s="19">
        <v>0</v>
      </c>
      <c r="H233" s="23">
        <v>0</v>
      </c>
      <c r="I233" s="24">
        <v>0</v>
      </c>
      <c r="J233" s="19">
        <v>0</v>
      </c>
      <c r="K233" s="23">
        <v>0</v>
      </c>
      <c r="L233" s="24">
        <v>0</v>
      </c>
      <c r="M233" s="25">
        <v>1.6</v>
      </c>
      <c r="N233" s="26">
        <v>4000</v>
      </c>
      <c r="O233" s="27">
        <v>4</v>
      </c>
      <c r="P233" s="28">
        <f t="shared" si="16"/>
        <v>2</v>
      </c>
      <c r="Q233" s="29">
        <f t="shared" si="17"/>
        <v>5000</v>
      </c>
      <c r="R233" s="30">
        <v>5</v>
      </c>
      <c r="S233" s="19">
        <v>0</v>
      </c>
      <c r="T233" s="23">
        <v>0</v>
      </c>
      <c r="U233" s="24">
        <v>0</v>
      </c>
      <c r="V233" s="31">
        <f t="shared" si="18"/>
        <v>3.6</v>
      </c>
      <c r="W233" s="32">
        <v>9000</v>
      </c>
      <c r="X233" s="30">
        <v>9</v>
      </c>
      <c r="Y233" s="19">
        <v>0</v>
      </c>
      <c r="Z233" s="23">
        <v>0</v>
      </c>
      <c r="AA233" s="24">
        <v>0</v>
      </c>
      <c r="AB233" s="33">
        <v>0</v>
      </c>
      <c r="AC233" s="34">
        <v>0</v>
      </c>
      <c r="AD233" s="35">
        <v>0</v>
      </c>
      <c r="AE233" s="36">
        <v>0</v>
      </c>
      <c r="AF233" s="23">
        <v>0</v>
      </c>
      <c r="AG233" s="24">
        <v>0</v>
      </c>
      <c r="AH233" s="33">
        <v>0</v>
      </c>
      <c r="AI233" s="37">
        <v>0</v>
      </c>
      <c r="AJ233" s="35">
        <v>0</v>
      </c>
      <c r="AK233" s="36">
        <v>0</v>
      </c>
      <c r="AL233" s="38">
        <v>0</v>
      </c>
      <c r="AM233" s="35">
        <v>0</v>
      </c>
      <c r="AN233" s="19">
        <v>0</v>
      </c>
      <c r="AO233" s="23">
        <v>0</v>
      </c>
      <c r="AP233" s="24">
        <v>0</v>
      </c>
      <c r="AQ233" s="31">
        <f t="shared" si="19"/>
        <v>7.2</v>
      </c>
      <c r="AR233" s="32">
        <f t="shared" si="19"/>
        <v>18000</v>
      </c>
      <c r="AS233" s="30">
        <v>9</v>
      </c>
    </row>
    <row r="234" spans="1:45" ht="15.6" x14ac:dyDescent="0.3">
      <c r="A234" s="19">
        <v>231</v>
      </c>
      <c r="B234" s="21" t="s">
        <v>246</v>
      </c>
      <c r="C234" s="20" t="s">
        <v>257</v>
      </c>
      <c r="D234" s="324"/>
      <c r="E234" s="22">
        <v>15</v>
      </c>
      <c r="F234" s="23">
        <f t="shared" si="15"/>
        <v>37500</v>
      </c>
      <c r="G234" s="19">
        <v>0</v>
      </c>
      <c r="H234" s="23">
        <v>0</v>
      </c>
      <c r="I234" s="24">
        <v>0</v>
      </c>
      <c r="J234" s="19">
        <v>0</v>
      </c>
      <c r="K234" s="23">
        <v>0</v>
      </c>
      <c r="L234" s="24">
        <v>0</v>
      </c>
      <c r="M234" s="25">
        <v>6.4</v>
      </c>
      <c r="N234" s="26">
        <v>16000</v>
      </c>
      <c r="O234" s="27">
        <v>16</v>
      </c>
      <c r="P234" s="28">
        <f t="shared" si="16"/>
        <v>0.8</v>
      </c>
      <c r="Q234" s="29">
        <f t="shared" si="17"/>
        <v>2000</v>
      </c>
      <c r="R234" s="30">
        <v>2</v>
      </c>
      <c r="S234" s="19">
        <v>0</v>
      </c>
      <c r="T234" s="23">
        <v>0</v>
      </c>
      <c r="U234" s="24">
        <v>0</v>
      </c>
      <c r="V234" s="31">
        <f t="shared" si="18"/>
        <v>7.2</v>
      </c>
      <c r="W234" s="32">
        <v>18000</v>
      </c>
      <c r="X234" s="30">
        <v>18</v>
      </c>
      <c r="Y234" s="19">
        <v>0</v>
      </c>
      <c r="Z234" s="23">
        <v>0</v>
      </c>
      <c r="AA234" s="24">
        <v>0</v>
      </c>
      <c r="AB234" s="33">
        <v>0</v>
      </c>
      <c r="AC234" s="34">
        <v>0</v>
      </c>
      <c r="AD234" s="35">
        <v>0</v>
      </c>
      <c r="AE234" s="36">
        <v>0</v>
      </c>
      <c r="AF234" s="23">
        <v>0</v>
      </c>
      <c r="AG234" s="24">
        <v>0</v>
      </c>
      <c r="AH234" s="33">
        <v>0</v>
      </c>
      <c r="AI234" s="37">
        <v>0</v>
      </c>
      <c r="AJ234" s="35">
        <v>0</v>
      </c>
      <c r="AK234" s="36">
        <v>0</v>
      </c>
      <c r="AL234" s="38">
        <v>0</v>
      </c>
      <c r="AM234" s="35">
        <v>0</v>
      </c>
      <c r="AN234" s="19">
        <v>0</v>
      </c>
      <c r="AO234" s="23">
        <v>0</v>
      </c>
      <c r="AP234" s="24">
        <v>0</v>
      </c>
      <c r="AQ234" s="31">
        <f t="shared" si="19"/>
        <v>14.4</v>
      </c>
      <c r="AR234" s="32">
        <f t="shared" si="19"/>
        <v>36000</v>
      </c>
      <c r="AS234" s="30">
        <v>18</v>
      </c>
    </row>
    <row r="235" spans="1:45" ht="15.6" x14ac:dyDescent="0.3">
      <c r="A235" s="19">
        <v>232</v>
      </c>
      <c r="B235" s="21" t="s">
        <v>246</v>
      </c>
      <c r="C235" s="20" t="s">
        <v>258</v>
      </c>
      <c r="D235" s="324"/>
      <c r="E235" s="22">
        <v>10</v>
      </c>
      <c r="F235" s="23">
        <f t="shared" si="15"/>
        <v>25000</v>
      </c>
      <c r="G235" s="19">
        <v>0</v>
      </c>
      <c r="H235" s="23">
        <v>0</v>
      </c>
      <c r="I235" s="24">
        <v>0</v>
      </c>
      <c r="J235" s="19">
        <v>0</v>
      </c>
      <c r="K235" s="23">
        <v>0</v>
      </c>
      <c r="L235" s="24">
        <v>0</v>
      </c>
      <c r="M235" s="25">
        <v>3.2</v>
      </c>
      <c r="N235" s="26">
        <v>8000</v>
      </c>
      <c r="O235" s="27">
        <v>8</v>
      </c>
      <c r="P235" s="28">
        <f t="shared" si="16"/>
        <v>1.6</v>
      </c>
      <c r="Q235" s="29">
        <f t="shared" si="17"/>
        <v>4000</v>
      </c>
      <c r="R235" s="30">
        <v>4</v>
      </c>
      <c r="S235" s="19">
        <v>0</v>
      </c>
      <c r="T235" s="23">
        <v>0</v>
      </c>
      <c r="U235" s="24">
        <v>0</v>
      </c>
      <c r="V235" s="31">
        <f t="shared" si="18"/>
        <v>4.8</v>
      </c>
      <c r="W235" s="32">
        <v>12000</v>
      </c>
      <c r="X235" s="30">
        <v>12</v>
      </c>
      <c r="Y235" s="19">
        <v>0</v>
      </c>
      <c r="Z235" s="23">
        <v>0</v>
      </c>
      <c r="AA235" s="24">
        <v>0</v>
      </c>
      <c r="AB235" s="33">
        <v>0</v>
      </c>
      <c r="AC235" s="34">
        <v>0</v>
      </c>
      <c r="AD235" s="35">
        <v>0</v>
      </c>
      <c r="AE235" s="36">
        <v>0</v>
      </c>
      <c r="AF235" s="23">
        <v>0</v>
      </c>
      <c r="AG235" s="24">
        <v>0</v>
      </c>
      <c r="AH235" s="33">
        <v>0</v>
      </c>
      <c r="AI235" s="37">
        <v>0</v>
      </c>
      <c r="AJ235" s="35">
        <v>0</v>
      </c>
      <c r="AK235" s="36">
        <v>0</v>
      </c>
      <c r="AL235" s="38">
        <v>0</v>
      </c>
      <c r="AM235" s="35">
        <v>0</v>
      </c>
      <c r="AN235" s="19">
        <v>0</v>
      </c>
      <c r="AO235" s="23">
        <v>0</v>
      </c>
      <c r="AP235" s="24">
        <v>0</v>
      </c>
      <c r="AQ235" s="31">
        <f t="shared" si="19"/>
        <v>9.6000000000000014</v>
      </c>
      <c r="AR235" s="32">
        <f t="shared" si="19"/>
        <v>24000</v>
      </c>
      <c r="AS235" s="30">
        <v>12</v>
      </c>
    </row>
    <row r="236" spans="1:45" ht="15.6" x14ac:dyDescent="0.3">
      <c r="A236" s="19">
        <v>233</v>
      </c>
      <c r="B236" s="21" t="s">
        <v>246</v>
      </c>
      <c r="C236" s="20" t="s">
        <v>259</v>
      </c>
      <c r="D236" s="324"/>
      <c r="E236" s="22">
        <v>17.8</v>
      </c>
      <c r="F236" s="23">
        <f t="shared" si="15"/>
        <v>44500</v>
      </c>
      <c r="G236" s="19">
        <v>0</v>
      </c>
      <c r="H236" s="23">
        <v>0</v>
      </c>
      <c r="I236" s="24">
        <v>0</v>
      </c>
      <c r="J236" s="19">
        <v>0</v>
      </c>
      <c r="K236" s="23">
        <v>0</v>
      </c>
      <c r="L236" s="24">
        <v>0</v>
      </c>
      <c r="M236" s="25">
        <v>5.6</v>
      </c>
      <c r="N236" s="26">
        <v>14000</v>
      </c>
      <c r="O236" s="27">
        <v>14</v>
      </c>
      <c r="P236" s="28">
        <f t="shared" si="16"/>
        <v>0.8</v>
      </c>
      <c r="Q236" s="29">
        <f t="shared" si="17"/>
        <v>2000</v>
      </c>
      <c r="R236" s="30">
        <v>2</v>
      </c>
      <c r="S236" s="19">
        <v>0</v>
      </c>
      <c r="T236" s="23">
        <v>0</v>
      </c>
      <c r="U236" s="24">
        <v>0</v>
      </c>
      <c r="V236" s="31">
        <f t="shared" si="18"/>
        <v>6</v>
      </c>
      <c r="W236" s="32">
        <v>15000</v>
      </c>
      <c r="X236" s="30">
        <v>15</v>
      </c>
      <c r="Y236" s="19">
        <v>0</v>
      </c>
      <c r="Z236" s="23">
        <v>0</v>
      </c>
      <c r="AA236" s="24">
        <v>0</v>
      </c>
      <c r="AB236" s="33">
        <v>0</v>
      </c>
      <c r="AC236" s="34">
        <v>0</v>
      </c>
      <c r="AD236" s="35">
        <v>0</v>
      </c>
      <c r="AE236" s="36">
        <v>0</v>
      </c>
      <c r="AF236" s="23">
        <v>0</v>
      </c>
      <c r="AG236" s="24">
        <v>0</v>
      </c>
      <c r="AH236" s="33">
        <v>0</v>
      </c>
      <c r="AI236" s="37">
        <v>0</v>
      </c>
      <c r="AJ236" s="35">
        <v>0</v>
      </c>
      <c r="AK236" s="36">
        <v>0</v>
      </c>
      <c r="AL236" s="38">
        <v>0</v>
      </c>
      <c r="AM236" s="35">
        <v>0</v>
      </c>
      <c r="AN236" s="19">
        <v>0</v>
      </c>
      <c r="AO236" s="23">
        <v>0</v>
      </c>
      <c r="AP236" s="24">
        <v>0</v>
      </c>
      <c r="AQ236" s="31">
        <f t="shared" si="19"/>
        <v>12.399999999999999</v>
      </c>
      <c r="AR236" s="32">
        <f t="shared" si="19"/>
        <v>31000</v>
      </c>
      <c r="AS236" s="30">
        <v>16</v>
      </c>
    </row>
    <row r="237" spans="1:45" ht="15.6" x14ac:dyDescent="0.3">
      <c r="A237" s="19">
        <v>234</v>
      </c>
      <c r="B237" s="21" t="s">
        <v>246</v>
      </c>
      <c r="C237" s="20" t="s">
        <v>260</v>
      </c>
      <c r="D237" s="324"/>
      <c r="E237" s="22">
        <v>13</v>
      </c>
      <c r="F237" s="23">
        <f t="shared" si="15"/>
        <v>32500</v>
      </c>
      <c r="G237" s="19">
        <v>0</v>
      </c>
      <c r="H237" s="23">
        <v>0</v>
      </c>
      <c r="I237" s="24">
        <v>0</v>
      </c>
      <c r="J237" s="19">
        <v>0</v>
      </c>
      <c r="K237" s="23">
        <v>0</v>
      </c>
      <c r="L237" s="24">
        <v>0</v>
      </c>
      <c r="M237" s="25">
        <v>4</v>
      </c>
      <c r="N237" s="26">
        <v>10000</v>
      </c>
      <c r="O237" s="27">
        <v>10</v>
      </c>
      <c r="P237" s="28">
        <f t="shared" si="16"/>
        <v>1.2</v>
      </c>
      <c r="Q237" s="29">
        <f t="shared" si="17"/>
        <v>3000</v>
      </c>
      <c r="R237" s="30">
        <v>3</v>
      </c>
      <c r="S237" s="19">
        <v>0</v>
      </c>
      <c r="T237" s="23">
        <v>0</v>
      </c>
      <c r="U237" s="24">
        <v>0</v>
      </c>
      <c r="V237" s="31">
        <f t="shared" si="18"/>
        <v>5.2</v>
      </c>
      <c r="W237" s="32">
        <v>13000</v>
      </c>
      <c r="X237" s="30">
        <v>13</v>
      </c>
      <c r="Y237" s="19">
        <v>0</v>
      </c>
      <c r="Z237" s="23">
        <v>0</v>
      </c>
      <c r="AA237" s="24">
        <v>0</v>
      </c>
      <c r="AB237" s="33">
        <v>0</v>
      </c>
      <c r="AC237" s="34">
        <v>0</v>
      </c>
      <c r="AD237" s="35">
        <v>0</v>
      </c>
      <c r="AE237" s="36">
        <v>0</v>
      </c>
      <c r="AF237" s="23">
        <v>0</v>
      </c>
      <c r="AG237" s="24">
        <v>0</v>
      </c>
      <c r="AH237" s="33">
        <v>0</v>
      </c>
      <c r="AI237" s="37">
        <v>0</v>
      </c>
      <c r="AJ237" s="35">
        <v>0</v>
      </c>
      <c r="AK237" s="36">
        <v>0</v>
      </c>
      <c r="AL237" s="38">
        <v>0</v>
      </c>
      <c r="AM237" s="35">
        <v>0</v>
      </c>
      <c r="AN237" s="19">
        <v>0</v>
      </c>
      <c r="AO237" s="23">
        <v>0</v>
      </c>
      <c r="AP237" s="24">
        <v>0</v>
      </c>
      <c r="AQ237" s="31">
        <f t="shared" si="19"/>
        <v>10.4</v>
      </c>
      <c r="AR237" s="32">
        <f t="shared" si="19"/>
        <v>26000</v>
      </c>
      <c r="AS237" s="30">
        <v>13</v>
      </c>
    </row>
    <row r="238" spans="1:45" ht="15.6" x14ac:dyDescent="0.3">
      <c r="A238" s="19">
        <v>235</v>
      </c>
      <c r="B238" s="21" t="s">
        <v>246</v>
      </c>
      <c r="C238" s="20" t="s">
        <v>261</v>
      </c>
      <c r="D238" s="324"/>
      <c r="E238" s="22">
        <v>18</v>
      </c>
      <c r="F238" s="23">
        <f t="shared" si="15"/>
        <v>45000</v>
      </c>
      <c r="G238" s="19">
        <v>0</v>
      </c>
      <c r="H238" s="23">
        <v>0</v>
      </c>
      <c r="I238" s="24">
        <v>0</v>
      </c>
      <c r="J238" s="19">
        <v>0</v>
      </c>
      <c r="K238" s="23">
        <v>0</v>
      </c>
      <c r="L238" s="24">
        <v>0</v>
      </c>
      <c r="M238" s="25">
        <v>6</v>
      </c>
      <c r="N238" s="26">
        <v>15000</v>
      </c>
      <c r="O238" s="27">
        <v>15</v>
      </c>
      <c r="P238" s="28">
        <f t="shared" si="16"/>
        <v>0.4</v>
      </c>
      <c r="Q238" s="29">
        <f t="shared" si="17"/>
        <v>1000</v>
      </c>
      <c r="R238" s="30">
        <v>1</v>
      </c>
      <c r="S238" s="19">
        <v>0</v>
      </c>
      <c r="T238" s="23">
        <v>0</v>
      </c>
      <c r="U238" s="24">
        <v>0</v>
      </c>
      <c r="V238" s="31">
        <f t="shared" si="18"/>
        <v>8</v>
      </c>
      <c r="W238" s="32">
        <v>20000</v>
      </c>
      <c r="X238" s="30">
        <v>20</v>
      </c>
      <c r="Y238" s="19">
        <v>0</v>
      </c>
      <c r="Z238" s="23">
        <v>0</v>
      </c>
      <c r="AA238" s="24">
        <v>0</v>
      </c>
      <c r="AB238" s="33">
        <v>0</v>
      </c>
      <c r="AC238" s="34">
        <v>0</v>
      </c>
      <c r="AD238" s="35">
        <v>0</v>
      </c>
      <c r="AE238" s="36">
        <v>0</v>
      </c>
      <c r="AF238" s="23">
        <v>0</v>
      </c>
      <c r="AG238" s="24">
        <v>0</v>
      </c>
      <c r="AH238" s="33">
        <v>0</v>
      </c>
      <c r="AI238" s="37">
        <v>0</v>
      </c>
      <c r="AJ238" s="35">
        <v>0</v>
      </c>
      <c r="AK238" s="36">
        <v>0</v>
      </c>
      <c r="AL238" s="38">
        <v>0</v>
      </c>
      <c r="AM238" s="35">
        <v>0</v>
      </c>
      <c r="AN238" s="19">
        <v>0</v>
      </c>
      <c r="AO238" s="23">
        <v>0</v>
      </c>
      <c r="AP238" s="24">
        <v>0</v>
      </c>
      <c r="AQ238" s="31">
        <f t="shared" si="19"/>
        <v>14.4</v>
      </c>
      <c r="AR238" s="32">
        <f t="shared" si="19"/>
        <v>36000</v>
      </c>
      <c r="AS238" s="30">
        <v>20</v>
      </c>
    </row>
    <row r="239" spans="1:45" ht="15.6" x14ac:dyDescent="0.3">
      <c r="A239" s="19">
        <v>236</v>
      </c>
      <c r="B239" s="21" t="s">
        <v>246</v>
      </c>
      <c r="C239" s="20" t="s">
        <v>262</v>
      </c>
      <c r="D239" s="324"/>
      <c r="E239" s="22">
        <v>20</v>
      </c>
      <c r="F239" s="23">
        <f t="shared" si="15"/>
        <v>50000</v>
      </c>
      <c r="G239" s="19">
        <v>0</v>
      </c>
      <c r="H239" s="23">
        <v>0</v>
      </c>
      <c r="I239" s="24">
        <v>0</v>
      </c>
      <c r="J239" s="19">
        <v>0</v>
      </c>
      <c r="K239" s="23">
        <v>0</v>
      </c>
      <c r="L239" s="24">
        <v>0</v>
      </c>
      <c r="M239" s="25">
        <v>7.6</v>
      </c>
      <c r="N239" s="26">
        <v>19000</v>
      </c>
      <c r="O239" s="27">
        <v>19</v>
      </c>
      <c r="P239" s="28">
        <f t="shared" si="16"/>
        <v>1.6</v>
      </c>
      <c r="Q239" s="29">
        <f t="shared" si="17"/>
        <v>4000</v>
      </c>
      <c r="R239" s="30">
        <v>4</v>
      </c>
      <c r="S239" s="19">
        <v>0</v>
      </c>
      <c r="T239" s="23">
        <v>0</v>
      </c>
      <c r="U239" s="24">
        <v>0</v>
      </c>
      <c r="V239" s="31">
        <f t="shared" si="18"/>
        <v>9.1999999999999993</v>
      </c>
      <c r="W239" s="32">
        <v>23000</v>
      </c>
      <c r="X239" s="30">
        <v>23</v>
      </c>
      <c r="Y239" s="19">
        <v>0</v>
      </c>
      <c r="Z239" s="23">
        <v>0</v>
      </c>
      <c r="AA239" s="24">
        <v>0</v>
      </c>
      <c r="AB239" s="33">
        <v>0</v>
      </c>
      <c r="AC239" s="34">
        <v>0</v>
      </c>
      <c r="AD239" s="35">
        <v>0</v>
      </c>
      <c r="AE239" s="36">
        <v>0</v>
      </c>
      <c r="AF239" s="23">
        <v>0</v>
      </c>
      <c r="AG239" s="24">
        <v>0</v>
      </c>
      <c r="AH239" s="33">
        <v>0</v>
      </c>
      <c r="AI239" s="37">
        <v>0</v>
      </c>
      <c r="AJ239" s="35">
        <v>0</v>
      </c>
      <c r="AK239" s="36">
        <v>0</v>
      </c>
      <c r="AL239" s="38">
        <v>0</v>
      </c>
      <c r="AM239" s="35">
        <v>0</v>
      </c>
      <c r="AN239" s="19">
        <v>0</v>
      </c>
      <c r="AO239" s="23">
        <v>0</v>
      </c>
      <c r="AP239" s="24">
        <v>0</v>
      </c>
      <c r="AQ239" s="31">
        <f t="shared" si="19"/>
        <v>18.399999999999999</v>
      </c>
      <c r="AR239" s="32">
        <f t="shared" si="19"/>
        <v>46000</v>
      </c>
      <c r="AS239" s="30">
        <v>23</v>
      </c>
    </row>
    <row r="240" spans="1:45" ht="15.6" x14ac:dyDescent="0.3">
      <c r="A240" s="19">
        <v>237</v>
      </c>
      <c r="B240" s="21" t="s">
        <v>263</v>
      </c>
      <c r="C240" s="20" t="s">
        <v>264</v>
      </c>
      <c r="D240" s="324"/>
      <c r="E240" s="22">
        <v>7</v>
      </c>
      <c r="F240" s="23">
        <f t="shared" si="15"/>
        <v>17500</v>
      </c>
      <c r="G240" s="19">
        <v>0</v>
      </c>
      <c r="H240" s="23">
        <v>0</v>
      </c>
      <c r="I240" s="24">
        <v>0</v>
      </c>
      <c r="J240" s="19">
        <v>0</v>
      </c>
      <c r="K240" s="23">
        <v>0</v>
      </c>
      <c r="L240" s="24">
        <v>0</v>
      </c>
      <c r="M240" s="25">
        <v>2.8</v>
      </c>
      <c r="N240" s="26">
        <v>7000</v>
      </c>
      <c r="O240" s="27">
        <v>7</v>
      </c>
      <c r="P240" s="28">
        <f t="shared" si="16"/>
        <v>1.6</v>
      </c>
      <c r="Q240" s="29">
        <f t="shared" si="17"/>
        <v>4000</v>
      </c>
      <c r="R240" s="30">
        <v>4</v>
      </c>
      <c r="S240" s="19">
        <v>0</v>
      </c>
      <c r="T240" s="23">
        <v>0</v>
      </c>
      <c r="U240" s="24">
        <v>0</v>
      </c>
      <c r="V240" s="31">
        <f t="shared" si="18"/>
        <v>4.4000000000000004</v>
      </c>
      <c r="W240" s="32">
        <v>11000</v>
      </c>
      <c r="X240" s="30">
        <v>11</v>
      </c>
      <c r="Y240" s="19">
        <v>0</v>
      </c>
      <c r="Z240" s="23">
        <v>0</v>
      </c>
      <c r="AA240" s="24">
        <v>0</v>
      </c>
      <c r="AB240" s="33">
        <v>0</v>
      </c>
      <c r="AC240" s="34">
        <v>0</v>
      </c>
      <c r="AD240" s="35">
        <v>0</v>
      </c>
      <c r="AE240" s="36">
        <v>0</v>
      </c>
      <c r="AF240" s="23">
        <v>0</v>
      </c>
      <c r="AG240" s="24">
        <v>0</v>
      </c>
      <c r="AH240" s="33">
        <v>0</v>
      </c>
      <c r="AI240" s="37">
        <v>0</v>
      </c>
      <c r="AJ240" s="35">
        <v>0</v>
      </c>
      <c r="AK240" s="36">
        <v>0</v>
      </c>
      <c r="AL240" s="38">
        <v>0</v>
      </c>
      <c r="AM240" s="35">
        <v>0</v>
      </c>
      <c r="AN240" s="19">
        <v>0</v>
      </c>
      <c r="AO240" s="23">
        <v>0</v>
      </c>
      <c r="AP240" s="24">
        <v>0</v>
      </c>
      <c r="AQ240" s="31">
        <f t="shared" si="19"/>
        <v>8.8000000000000007</v>
      </c>
      <c r="AR240" s="32">
        <f t="shared" si="19"/>
        <v>22000</v>
      </c>
      <c r="AS240" s="30">
        <v>11</v>
      </c>
    </row>
    <row r="241" spans="1:45" ht="15.6" x14ac:dyDescent="0.3">
      <c r="A241" s="19">
        <v>238</v>
      </c>
      <c r="B241" s="21" t="s">
        <v>263</v>
      </c>
      <c r="C241" s="20" t="s">
        <v>265</v>
      </c>
      <c r="D241" s="324"/>
      <c r="E241" s="22">
        <v>37.800000000000011</v>
      </c>
      <c r="F241" s="23">
        <f t="shared" si="15"/>
        <v>94500.000000000029</v>
      </c>
      <c r="G241" s="19">
        <v>0</v>
      </c>
      <c r="H241" s="23">
        <v>0</v>
      </c>
      <c r="I241" s="24">
        <v>0</v>
      </c>
      <c r="J241" s="19">
        <v>0</v>
      </c>
      <c r="K241" s="23">
        <v>0</v>
      </c>
      <c r="L241" s="24">
        <v>0</v>
      </c>
      <c r="M241" s="25">
        <v>7.6</v>
      </c>
      <c r="N241" s="26">
        <v>19000</v>
      </c>
      <c r="O241" s="27">
        <v>19</v>
      </c>
      <c r="P241" s="28">
        <f t="shared" si="16"/>
        <v>6.4</v>
      </c>
      <c r="Q241" s="29">
        <f t="shared" si="17"/>
        <v>16000</v>
      </c>
      <c r="R241" s="30">
        <v>16</v>
      </c>
      <c r="S241" s="19">
        <v>0</v>
      </c>
      <c r="T241" s="23">
        <v>0</v>
      </c>
      <c r="U241" s="24">
        <v>0</v>
      </c>
      <c r="V241" s="31">
        <f t="shared" si="18"/>
        <v>14.8</v>
      </c>
      <c r="W241" s="32">
        <v>37000</v>
      </c>
      <c r="X241" s="30">
        <v>37</v>
      </c>
      <c r="Y241" s="19">
        <v>0</v>
      </c>
      <c r="Z241" s="23">
        <v>0</v>
      </c>
      <c r="AA241" s="24">
        <v>0</v>
      </c>
      <c r="AB241" s="33">
        <v>0</v>
      </c>
      <c r="AC241" s="34">
        <v>0</v>
      </c>
      <c r="AD241" s="35">
        <v>0</v>
      </c>
      <c r="AE241" s="36">
        <v>0</v>
      </c>
      <c r="AF241" s="23">
        <v>0</v>
      </c>
      <c r="AG241" s="24">
        <v>0</v>
      </c>
      <c r="AH241" s="33">
        <v>0</v>
      </c>
      <c r="AI241" s="37">
        <v>0</v>
      </c>
      <c r="AJ241" s="35">
        <v>0</v>
      </c>
      <c r="AK241" s="36">
        <v>0</v>
      </c>
      <c r="AL241" s="38">
        <v>0</v>
      </c>
      <c r="AM241" s="35">
        <v>0</v>
      </c>
      <c r="AN241" s="19">
        <v>0</v>
      </c>
      <c r="AO241" s="23">
        <v>0</v>
      </c>
      <c r="AP241" s="24">
        <v>0</v>
      </c>
      <c r="AQ241" s="31">
        <f t="shared" si="19"/>
        <v>28.8</v>
      </c>
      <c r="AR241" s="32">
        <f t="shared" si="19"/>
        <v>72000</v>
      </c>
      <c r="AS241" s="30">
        <v>37</v>
      </c>
    </row>
    <row r="242" spans="1:45" ht="15.6" x14ac:dyDescent="0.3">
      <c r="A242" s="19">
        <v>239</v>
      </c>
      <c r="B242" s="21" t="s">
        <v>263</v>
      </c>
      <c r="C242" s="20" t="s">
        <v>266</v>
      </c>
      <c r="D242" s="324" t="s">
        <v>25</v>
      </c>
      <c r="E242" s="22">
        <v>16.8</v>
      </c>
      <c r="F242" s="23">
        <f t="shared" si="15"/>
        <v>42000</v>
      </c>
      <c r="G242" s="19">
        <v>0</v>
      </c>
      <c r="H242" s="23">
        <v>0</v>
      </c>
      <c r="I242" s="24">
        <v>0</v>
      </c>
      <c r="J242" s="19">
        <v>0</v>
      </c>
      <c r="K242" s="23">
        <v>0</v>
      </c>
      <c r="L242" s="24">
        <v>0</v>
      </c>
      <c r="M242" s="25">
        <v>4.4000000000000004</v>
      </c>
      <c r="N242" s="26">
        <v>11000</v>
      </c>
      <c r="O242" s="27">
        <v>11</v>
      </c>
      <c r="P242" s="28">
        <f t="shared" si="16"/>
        <v>3.2</v>
      </c>
      <c r="Q242" s="29">
        <f t="shared" si="17"/>
        <v>8000</v>
      </c>
      <c r="R242" s="30">
        <v>8</v>
      </c>
      <c r="S242" s="19">
        <v>0</v>
      </c>
      <c r="T242" s="23">
        <v>0</v>
      </c>
      <c r="U242" s="24">
        <v>0</v>
      </c>
      <c r="V242" s="31">
        <f t="shared" si="18"/>
        <v>7.6</v>
      </c>
      <c r="W242" s="32">
        <v>19000</v>
      </c>
      <c r="X242" s="30">
        <v>19</v>
      </c>
      <c r="Y242" s="19">
        <v>0</v>
      </c>
      <c r="Z242" s="23">
        <v>0</v>
      </c>
      <c r="AA242" s="24">
        <v>0</v>
      </c>
      <c r="AB242" s="33">
        <v>0</v>
      </c>
      <c r="AC242" s="34">
        <v>0</v>
      </c>
      <c r="AD242" s="35">
        <v>0</v>
      </c>
      <c r="AE242" s="36">
        <v>0</v>
      </c>
      <c r="AF242" s="23">
        <v>0</v>
      </c>
      <c r="AG242" s="24">
        <v>0</v>
      </c>
      <c r="AH242" s="33">
        <v>0</v>
      </c>
      <c r="AI242" s="37">
        <v>0</v>
      </c>
      <c r="AJ242" s="35">
        <v>0</v>
      </c>
      <c r="AK242" s="36">
        <v>0</v>
      </c>
      <c r="AL242" s="38">
        <v>0</v>
      </c>
      <c r="AM242" s="35">
        <v>0</v>
      </c>
      <c r="AN242" s="19">
        <v>0</v>
      </c>
      <c r="AO242" s="23">
        <v>0</v>
      </c>
      <c r="AP242" s="24">
        <v>0</v>
      </c>
      <c r="AQ242" s="31">
        <f t="shared" si="19"/>
        <v>15.2</v>
      </c>
      <c r="AR242" s="32">
        <f t="shared" si="19"/>
        <v>38000</v>
      </c>
      <c r="AS242" s="30">
        <v>19</v>
      </c>
    </row>
    <row r="243" spans="1:45" ht="15.6" x14ac:dyDescent="0.3">
      <c r="A243" s="19">
        <v>240</v>
      </c>
      <c r="B243" s="21" t="s">
        <v>263</v>
      </c>
      <c r="C243" s="20" t="s">
        <v>267</v>
      </c>
      <c r="D243" s="324"/>
      <c r="E243" s="22">
        <v>15</v>
      </c>
      <c r="F243" s="23">
        <f t="shared" si="15"/>
        <v>37500</v>
      </c>
      <c r="G243" s="19">
        <v>0</v>
      </c>
      <c r="H243" s="23">
        <v>0</v>
      </c>
      <c r="I243" s="24">
        <v>0</v>
      </c>
      <c r="J243" s="19">
        <v>0</v>
      </c>
      <c r="K243" s="23">
        <v>0</v>
      </c>
      <c r="L243" s="24">
        <v>0</v>
      </c>
      <c r="M243" s="25">
        <v>4.4000000000000004</v>
      </c>
      <c r="N243" s="26">
        <v>11000</v>
      </c>
      <c r="O243" s="27">
        <v>11</v>
      </c>
      <c r="P243" s="28">
        <f t="shared" si="16"/>
        <v>3.6</v>
      </c>
      <c r="Q243" s="29">
        <f t="shared" si="17"/>
        <v>9000</v>
      </c>
      <c r="R243" s="30">
        <v>9</v>
      </c>
      <c r="S243" s="19">
        <v>0</v>
      </c>
      <c r="T243" s="23">
        <v>0</v>
      </c>
      <c r="U243" s="24">
        <v>0</v>
      </c>
      <c r="V243" s="31">
        <f t="shared" si="18"/>
        <v>8.4</v>
      </c>
      <c r="W243" s="32">
        <v>21000</v>
      </c>
      <c r="X243" s="30">
        <v>21</v>
      </c>
      <c r="Y243" s="19">
        <v>0</v>
      </c>
      <c r="Z243" s="23">
        <v>0</v>
      </c>
      <c r="AA243" s="24">
        <v>0</v>
      </c>
      <c r="AB243" s="33">
        <v>0</v>
      </c>
      <c r="AC243" s="34">
        <v>0</v>
      </c>
      <c r="AD243" s="35">
        <v>0</v>
      </c>
      <c r="AE243" s="36">
        <v>0</v>
      </c>
      <c r="AF243" s="23">
        <v>0</v>
      </c>
      <c r="AG243" s="24">
        <v>0</v>
      </c>
      <c r="AH243" s="33">
        <v>0</v>
      </c>
      <c r="AI243" s="37">
        <v>0</v>
      </c>
      <c r="AJ243" s="35">
        <v>0</v>
      </c>
      <c r="AK243" s="36">
        <v>0</v>
      </c>
      <c r="AL243" s="38">
        <v>0</v>
      </c>
      <c r="AM243" s="35">
        <v>0</v>
      </c>
      <c r="AN243" s="19">
        <v>0</v>
      </c>
      <c r="AO243" s="23">
        <v>0</v>
      </c>
      <c r="AP243" s="24">
        <v>0</v>
      </c>
      <c r="AQ243" s="31">
        <f t="shared" si="19"/>
        <v>16.399999999999999</v>
      </c>
      <c r="AR243" s="32">
        <f t="shared" si="19"/>
        <v>41000</v>
      </c>
      <c r="AS243" s="30">
        <v>21</v>
      </c>
    </row>
    <row r="244" spans="1:45" ht="15.6" x14ac:dyDescent="0.3">
      <c r="A244" s="19">
        <v>241</v>
      </c>
      <c r="B244" s="21" t="s">
        <v>263</v>
      </c>
      <c r="C244" s="20" t="s">
        <v>268</v>
      </c>
      <c r="D244" s="324"/>
      <c r="E244" s="22">
        <v>21</v>
      </c>
      <c r="F244" s="23">
        <f t="shared" si="15"/>
        <v>52500</v>
      </c>
      <c r="G244" s="19">
        <v>0</v>
      </c>
      <c r="H244" s="23">
        <v>0</v>
      </c>
      <c r="I244" s="24">
        <v>0</v>
      </c>
      <c r="J244" s="19">
        <v>0</v>
      </c>
      <c r="K244" s="23">
        <v>0</v>
      </c>
      <c r="L244" s="24">
        <v>0</v>
      </c>
      <c r="M244" s="25">
        <v>4.8</v>
      </c>
      <c r="N244" s="26">
        <v>12000</v>
      </c>
      <c r="O244" s="27">
        <v>12</v>
      </c>
      <c r="P244" s="28">
        <f t="shared" si="16"/>
        <v>2.8</v>
      </c>
      <c r="Q244" s="29">
        <f t="shared" si="17"/>
        <v>7000</v>
      </c>
      <c r="R244" s="30">
        <v>7</v>
      </c>
      <c r="S244" s="19">
        <v>0</v>
      </c>
      <c r="T244" s="23">
        <v>0</v>
      </c>
      <c r="U244" s="24">
        <v>0</v>
      </c>
      <c r="V244" s="31">
        <f t="shared" si="18"/>
        <v>7.6</v>
      </c>
      <c r="W244" s="32">
        <v>19000</v>
      </c>
      <c r="X244" s="30">
        <v>19</v>
      </c>
      <c r="Y244" s="19">
        <v>0</v>
      </c>
      <c r="Z244" s="23">
        <v>0</v>
      </c>
      <c r="AA244" s="24">
        <v>0</v>
      </c>
      <c r="AB244" s="33">
        <v>0</v>
      </c>
      <c r="AC244" s="34">
        <v>0</v>
      </c>
      <c r="AD244" s="35">
        <v>0</v>
      </c>
      <c r="AE244" s="36">
        <v>0</v>
      </c>
      <c r="AF244" s="23">
        <v>0</v>
      </c>
      <c r="AG244" s="24">
        <v>0</v>
      </c>
      <c r="AH244" s="33">
        <v>0</v>
      </c>
      <c r="AI244" s="37">
        <v>0</v>
      </c>
      <c r="AJ244" s="35">
        <v>0</v>
      </c>
      <c r="AK244" s="36">
        <v>0</v>
      </c>
      <c r="AL244" s="38">
        <v>0</v>
      </c>
      <c r="AM244" s="35">
        <v>0</v>
      </c>
      <c r="AN244" s="19">
        <v>0</v>
      </c>
      <c r="AO244" s="23">
        <v>0</v>
      </c>
      <c r="AP244" s="24">
        <v>0</v>
      </c>
      <c r="AQ244" s="31">
        <f t="shared" si="19"/>
        <v>15.2</v>
      </c>
      <c r="AR244" s="32">
        <f t="shared" si="19"/>
        <v>38000</v>
      </c>
      <c r="AS244" s="30">
        <v>19</v>
      </c>
    </row>
    <row r="245" spans="1:45" ht="15.6" x14ac:dyDescent="0.3">
      <c r="A245" s="19">
        <v>242</v>
      </c>
      <c r="B245" s="21" t="s">
        <v>263</v>
      </c>
      <c r="C245" s="20" t="s">
        <v>269</v>
      </c>
      <c r="D245" s="324"/>
      <c r="E245" s="22">
        <v>24.8</v>
      </c>
      <c r="F245" s="23">
        <f t="shared" si="15"/>
        <v>62000</v>
      </c>
      <c r="G245" s="19">
        <v>0</v>
      </c>
      <c r="H245" s="23">
        <v>0</v>
      </c>
      <c r="I245" s="24">
        <v>0</v>
      </c>
      <c r="J245" s="19">
        <v>0</v>
      </c>
      <c r="K245" s="23">
        <v>0</v>
      </c>
      <c r="L245" s="24">
        <v>0</v>
      </c>
      <c r="M245" s="25">
        <v>5.6</v>
      </c>
      <c r="N245" s="26">
        <v>14000</v>
      </c>
      <c r="O245" s="27">
        <v>14</v>
      </c>
      <c r="P245" s="28">
        <f t="shared" si="16"/>
        <v>1.2</v>
      </c>
      <c r="Q245" s="29">
        <f t="shared" si="17"/>
        <v>3000</v>
      </c>
      <c r="R245" s="30">
        <v>3</v>
      </c>
      <c r="S245" s="19">
        <v>0</v>
      </c>
      <c r="T245" s="23">
        <v>0</v>
      </c>
      <c r="U245" s="24">
        <v>0</v>
      </c>
      <c r="V245" s="31">
        <f t="shared" si="18"/>
        <v>6.8</v>
      </c>
      <c r="W245" s="32">
        <v>17000</v>
      </c>
      <c r="X245" s="30">
        <v>17</v>
      </c>
      <c r="Y245" s="19">
        <v>0</v>
      </c>
      <c r="Z245" s="23">
        <v>0</v>
      </c>
      <c r="AA245" s="24">
        <v>0</v>
      </c>
      <c r="AB245" s="33">
        <v>0</v>
      </c>
      <c r="AC245" s="34">
        <v>0</v>
      </c>
      <c r="AD245" s="35">
        <v>0</v>
      </c>
      <c r="AE245" s="36">
        <v>0</v>
      </c>
      <c r="AF245" s="23">
        <v>0</v>
      </c>
      <c r="AG245" s="24">
        <v>0</v>
      </c>
      <c r="AH245" s="33">
        <v>0</v>
      </c>
      <c r="AI245" s="37">
        <v>0</v>
      </c>
      <c r="AJ245" s="35">
        <v>0</v>
      </c>
      <c r="AK245" s="36">
        <v>0</v>
      </c>
      <c r="AL245" s="38">
        <v>0</v>
      </c>
      <c r="AM245" s="35">
        <v>0</v>
      </c>
      <c r="AN245" s="19">
        <v>0</v>
      </c>
      <c r="AO245" s="23">
        <v>0</v>
      </c>
      <c r="AP245" s="24">
        <v>0</v>
      </c>
      <c r="AQ245" s="31">
        <f t="shared" si="19"/>
        <v>13.6</v>
      </c>
      <c r="AR245" s="32">
        <f t="shared" si="19"/>
        <v>34000</v>
      </c>
      <c r="AS245" s="30">
        <v>17</v>
      </c>
    </row>
    <row r="246" spans="1:45" ht="15.6" x14ac:dyDescent="0.3">
      <c r="A246" s="19">
        <v>243</v>
      </c>
      <c r="B246" s="21" t="s">
        <v>263</v>
      </c>
      <c r="C246" s="20" t="s">
        <v>270</v>
      </c>
      <c r="D246" s="324"/>
      <c r="E246" s="22">
        <v>11.4</v>
      </c>
      <c r="F246" s="23">
        <f t="shared" si="15"/>
        <v>28500</v>
      </c>
      <c r="G246" s="19">
        <v>0</v>
      </c>
      <c r="H246" s="23">
        <v>0</v>
      </c>
      <c r="I246" s="24">
        <v>0</v>
      </c>
      <c r="J246" s="19">
        <v>0</v>
      </c>
      <c r="K246" s="23">
        <v>0</v>
      </c>
      <c r="L246" s="24">
        <v>0</v>
      </c>
      <c r="M246" s="25">
        <v>2.4</v>
      </c>
      <c r="N246" s="26">
        <v>6000</v>
      </c>
      <c r="O246" s="27">
        <v>6</v>
      </c>
      <c r="P246" s="28">
        <f t="shared" si="16"/>
        <v>2.8</v>
      </c>
      <c r="Q246" s="29">
        <f t="shared" si="17"/>
        <v>7000</v>
      </c>
      <c r="R246" s="30">
        <v>7</v>
      </c>
      <c r="S246" s="19">
        <v>0</v>
      </c>
      <c r="T246" s="23">
        <v>0</v>
      </c>
      <c r="U246" s="24">
        <v>0</v>
      </c>
      <c r="V246" s="31">
        <f t="shared" si="18"/>
        <v>5.6</v>
      </c>
      <c r="W246" s="32">
        <v>14000</v>
      </c>
      <c r="X246" s="30">
        <v>14</v>
      </c>
      <c r="Y246" s="19">
        <v>0</v>
      </c>
      <c r="Z246" s="23">
        <v>0</v>
      </c>
      <c r="AA246" s="24">
        <v>0</v>
      </c>
      <c r="AB246" s="33">
        <v>0</v>
      </c>
      <c r="AC246" s="34">
        <v>0</v>
      </c>
      <c r="AD246" s="35">
        <v>0</v>
      </c>
      <c r="AE246" s="36">
        <v>0</v>
      </c>
      <c r="AF246" s="23">
        <v>0</v>
      </c>
      <c r="AG246" s="24">
        <v>0</v>
      </c>
      <c r="AH246" s="33">
        <v>0</v>
      </c>
      <c r="AI246" s="37">
        <v>0</v>
      </c>
      <c r="AJ246" s="35">
        <v>0</v>
      </c>
      <c r="AK246" s="36">
        <v>0</v>
      </c>
      <c r="AL246" s="38">
        <v>0</v>
      </c>
      <c r="AM246" s="35">
        <v>0</v>
      </c>
      <c r="AN246" s="19">
        <v>0</v>
      </c>
      <c r="AO246" s="23">
        <v>0</v>
      </c>
      <c r="AP246" s="24">
        <v>0</v>
      </c>
      <c r="AQ246" s="31">
        <f t="shared" si="19"/>
        <v>10.799999999999999</v>
      </c>
      <c r="AR246" s="32">
        <f t="shared" si="19"/>
        <v>27000</v>
      </c>
      <c r="AS246" s="30">
        <v>14</v>
      </c>
    </row>
    <row r="247" spans="1:45" ht="15.6" x14ac:dyDescent="0.3">
      <c r="A247" s="19">
        <v>244</v>
      </c>
      <c r="B247" s="21" t="s">
        <v>263</v>
      </c>
      <c r="C247" s="20" t="s">
        <v>271</v>
      </c>
      <c r="D247" s="324"/>
      <c r="E247" s="22">
        <v>15.4</v>
      </c>
      <c r="F247" s="23">
        <f t="shared" si="15"/>
        <v>38500</v>
      </c>
      <c r="G247" s="19">
        <v>0</v>
      </c>
      <c r="H247" s="23">
        <v>0</v>
      </c>
      <c r="I247" s="24">
        <v>0</v>
      </c>
      <c r="J247" s="19">
        <v>0</v>
      </c>
      <c r="K247" s="23">
        <v>0</v>
      </c>
      <c r="L247" s="24">
        <v>0</v>
      </c>
      <c r="M247" s="25">
        <v>3.6</v>
      </c>
      <c r="N247" s="26">
        <v>9000</v>
      </c>
      <c r="O247" s="27">
        <v>9</v>
      </c>
      <c r="P247" s="28">
        <f t="shared" si="16"/>
        <v>3.6</v>
      </c>
      <c r="Q247" s="29">
        <f t="shared" si="17"/>
        <v>9000</v>
      </c>
      <c r="R247" s="30">
        <v>9</v>
      </c>
      <c r="S247" s="19">
        <v>0</v>
      </c>
      <c r="T247" s="23">
        <v>0</v>
      </c>
      <c r="U247" s="24">
        <v>0</v>
      </c>
      <c r="V247" s="31">
        <f t="shared" si="18"/>
        <v>7.2</v>
      </c>
      <c r="W247" s="32">
        <v>18000</v>
      </c>
      <c r="X247" s="30">
        <v>18</v>
      </c>
      <c r="Y247" s="19">
        <v>0</v>
      </c>
      <c r="Z247" s="23">
        <v>0</v>
      </c>
      <c r="AA247" s="24">
        <v>0</v>
      </c>
      <c r="AB247" s="33">
        <v>0</v>
      </c>
      <c r="AC247" s="34">
        <v>0</v>
      </c>
      <c r="AD247" s="35">
        <v>0</v>
      </c>
      <c r="AE247" s="36">
        <v>0</v>
      </c>
      <c r="AF247" s="23">
        <v>0</v>
      </c>
      <c r="AG247" s="24">
        <v>0</v>
      </c>
      <c r="AH247" s="33">
        <v>0</v>
      </c>
      <c r="AI247" s="37">
        <v>0</v>
      </c>
      <c r="AJ247" s="35">
        <v>0</v>
      </c>
      <c r="AK247" s="36">
        <v>0</v>
      </c>
      <c r="AL247" s="38">
        <v>0</v>
      </c>
      <c r="AM247" s="35">
        <v>0</v>
      </c>
      <c r="AN247" s="19">
        <v>0</v>
      </c>
      <c r="AO247" s="23">
        <v>0</v>
      </c>
      <c r="AP247" s="24">
        <v>0</v>
      </c>
      <c r="AQ247" s="31">
        <f t="shared" si="19"/>
        <v>14.4</v>
      </c>
      <c r="AR247" s="32">
        <f t="shared" si="19"/>
        <v>36000</v>
      </c>
      <c r="AS247" s="30">
        <v>18</v>
      </c>
    </row>
    <row r="248" spans="1:45" ht="15.6" x14ac:dyDescent="0.3">
      <c r="A248" s="19">
        <v>245</v>
      </c>
      <c r="B248" s="21" t="s">
        <v>263</v>
      </c>
      <c r="C248" s="20" t="s">
        <v>272</v>
      </c>
      <c r="D248" s="324"/>
      <c r="E248" s="22">
        <v>13</v>
      </c>
      <c r="F248" s="23">
        <f t="shared" si="15"/>
        <v>32500</v>
      </c>
      <c r="G248" s="19">
        <v>0</v>
      </c>
      <c r="H248" s="23">
        <v>0</v>
      </c>
      <c r="I248" s="24">
        <v>0</v>
      </c>
      <c r="J248" s="19">
        <v>0</v>
      </c>
      <c r="K248" s="23">
        <v>0</v>
      </c>
      <c r="L248" s="24">
        <v>0</v>
      </c>
      <c r="M248" s="25">
        <v>4.4000000000000004</v>
      </c>
      <c r="N248" s="26">
        <v>11000</v>
      </c>
      <c r="O248" s="27">
        <v>11</v>
      </c>
      <c r="P248" s="28">
        <f t="shared" si="16"/>
        <v>1.6</v>
      </c>
      <c r="Q248" s="29">
        <f t="shared" si="17"/>
        <v>4000</v>
      </c>
      <c r="R248" s="30">
        <v>4</v>
      </c>
      <c r="S248" s="19">
        <v>0</v>
      </c>
      <c r="T248" s="23">
        <v>0</v>
      </c>
      <c r="U248" s="24">
        <v>0</v>
      </c>
      <c r="V248" s="31">
        <f t="shared" si="18"/>
        <v>6</v>
      </c>
      <c r="W248" s="32">
        <v>15000</v>
      </c>
      <c r="X248" s="30">
        <v>15</v>
      </c>
      <c r="Y248" s="19">
        <v>0</v>
      </c>
      <c r="Z248" s="23">
        <v>0</v>
      </c>
      <c r="AA248" s="24">
        <v>0</v>
      </c>
      <c r="AB248" s="33">
        <v>0</v>
      </c>
      <c r="AC248" s="34">
        <v>0</v>
      </c>
      <c r="AD248" s="35">
        <v>0</v>
      </c>
      <c r="AE248" s="36">
        <v>0</v>
      </c>
      <c r="AF248" s="23">
        <v>0</v>
      </c>
      <c r="AG248" s="24">
        <v>0</v>
      </c>
      <c r="AH248" s="33">
        <v>0</v>
      </c>
      <c r="AI248" s="37">
        <v>0</v>
      </c>
      <c r="AJ248" s="35">
        <v>0</v>
      </c>
      <c r="AK248" s="36">
        <v>0</v>
      </c>
      <c r="AL248" s="38">
        <v>0</v>
      </c>
      <c r="AM248" s="35">
        <v>0</v>
      </c>
      <c r="AN248" s="19">
        <v>0</v>
      </c>
      <c r="AO248" s="23">
        <v>0</v>
      </c>
      <c r="AP248" s="24">
        <v>0</v>
      </c>
      <c r="AQ248" s="31">
        <f t="shared" si="19"/>
        <v>12</v>
      </c>
      <c r="AR248" s="32">
        <f t="shared" si="19"/>
        <v>30000</v>
      </c>
      <c r="AS248" s="30">
        <v>15</v>
      </c>
    </row>
    <row r="249" spans="1:45" ht="15.6" x14ac:dyDescent="0.3">
      <c r="A249" s="19">
        <v>246</v>
      </c>
      <c r="B249" s="21" t="s">
        <v>263</v>
      </c>
      <c r="C249" s="20" t="s">
        <v>273</v>
      </c>
      <c r="D249" s="324"/>
      <c r="E249" s="22">
        <v>18</v>
      </c>
      <c r="F249" s="23">
        <f t="shared" si="15"/>
        <v>45000</v>
      </c>
      <c r="G249" s="19">
        <v>0</v>
      </c>
      <c r="H249" s="23">
        <v>0</v>
      </c>
      <c r="I249" s="24">
        <v>0</v>
      </c>
      <c r="J249" s="19">
        <v>0</v>
      </c>
      <c r="K249" s="23">
        <v>0</v>
      </c>
      <c r="L249" s="24">
        <v>0</v>
      </c>
      <c r="M249" s="25">
        <v>4.4000000000000004</v>
      </c>
      <c r="N249" s="26">
        <v>11000</v>
      </c>
      <c r="O249" s="27">
        <v>11</v>
      </c>
      <c r="P249" s="28">
        <f t="shared" si="16"/>
        <v>1.2</v>
      </c>
      <c r="Q249" s="29">
        <f t="shared" si="17"/>
        <v>3000</v>
      </c>
      <c r="R249" s="30">
        <v>3</v>
      </c>
      <c r="S249" s="19">
        <v>0</v>
      </c>
      <c r="T249" s="23">
        <v>0</v>
      </c>
      <c r="U249" s="24">
        <v>0</v>
      </c>
      <c r="V249" s="31">
        <f t="shared" si="18"/>
        <v>6</v>
      </c>
      <c r="W249" s="32">
        <v>15000</v>
      </c>
      <c r="X249" s="30">
        <v>15</v>
      </c>
      <c r="Y249" s="19">
        <v>0</v>
      </c>
      <c r="Z249" s="23">
        <v>0</v>
      </c>
      <c r="AA249" s="24">
        <v>0</v>
      </c>
      <c r="AB249" s="33">
        <v>0</v>
      </c>
      <c r="AC249" s="34">
        <v>0</v>
      </c>
      <c r="AD249" s="35">
        <v>0</v>
      </c>
      <c r="AE249" s="36">
        <v>0</v>
      </c>
      <c r="AF249" s="23">
        <v>0</v>
      </c>
      <c r="AG249" s="24">
        <v>0</v>
      </c>
      <c r="AH249" s="33">
        <v>0</v>
      </c>
      <c r="AI249" s="37">
        <v>0</v>
      </c>
      <c r="AJ249" s="35">
        <v>0</v>
      </c>
      <c r="AK249" s="36">
        <v>0</v>
      </c>
      <c r="AL249" s="38">
        <v>0</v>
      </c>
      <c r="AM249" s="35">
        <v>0</v>
      </c>
      <c r="AN249" s="19">
        <v>0</v>
      </c>
      <c r="AO249" s="23">
        <v>0</v>
      </c>
      <c r="AP249" s="24">
        <v>0</v>
      </c>
      <c r="AQ249" s="31">
        <f t="shared" si="19"/>
        <v>11.600000000000001</v>
      </c>
      <c r="AR249" s="32">
        <f t="shared" si="19"/>
        <v>29000</v>
      </c>
      <c r="AS249" s="30">
        <v>16</v>
      </c>
    </row>
    <row r="250" spans="1:45" ht="15.6" x14ac:dyDescent="0.3">
      <c r="A250" s="19">
        <v>247</v>
      </c>
      <c r="B250" s="21" t="s">
        <v>263</v>
      </c>
      <c r="C250" s="20" t="s">
        <v>274</v>
      </c>
      <c r="D250" s="324"/>
      <c r="E250" s="22">
        <v>21.4</v>
      </c>
      <c r="F250" s="23">
        <f t="shared" si="15"/>
        <v>53500</v>
      </c>
      <c r="G250" s="19">
        <v>0</v>
      </c>
      <c r="H250" s="23">
        <v>0</v>
      </c>
      <c r="I250" s="24">
        <v>0</v>
      </c>
      <c r="J250" s="19">
        <v>0</v>
      </c>
      <c r="K250" s="23">
        <v>0</v>
      </c>
      <c r="L250" s="24">
        <v>0</v>
      </c>
      <c r="M250" s="25">
        <v>5.2</v>
      </c>
      <c r="N250" s="26">
        <v>13000</v>
      </c>
      <c r="O250" s="27">
        <v>13</v>
      </c>
      <c r="P250" s="28">
        <f t="shared" si="16"/>
        <v>18</v>
      </c>
      <c r="Q250" s="29">
        <f t="shared" si="17"/>
        <v>45000</v>
      </c>
      <c r="R250" s="30">
        <v>45</v>
      </c>
      <c r="S250" s="19">
        <v>0</v>
      </c>
      <c r="T250" s="23">
        <v>0</v>
      </c>
      <c r="U250" s="24">
        <v>0</v>
      </c>
      <c r="V250" s="31">
        <f t="shared" si="18"/>
        <v>23.2</v>
      </c>
      <c r="W250" s="32">
        <v>58000</v>
      </c>
      <c r="X250" s="30">
        <v>58</v>
      </c>
      <c r="Y250" s="19">
        <v>0</v>
      </c>
      <c r="Z250" s="23">
        <v>0</v>
      </c>
      <c r="AA250" s="24">
        <v>0</v>
      </c>
      <c r="AB250" s="33">
        <v>0</v>
      </c>
      <c r="AC250" s="34">
        <v>0</v>
      </c>
      <c r="AD250" s="35">
        <v>0</v>
      </c>
      <c r="AE250" s="36">
        <v>0</v>
      </c>
      <c r="AF250" s="23">
        <v>0</v>
      </c>
      <c r="AG250" s="24">
        <v>0</v>
      </c>
      <c r="AH250" s="33">
        <v>0</v>
      </c>
      <c r="AI250" s="37">
        <v>0</v>
      </c>
      <c r="AJ250" s="35">
        <v>0</v>
      </c>
      <c r="AK250" s="36">
        <v>0</v>
      </c>
      <c r="AL250" s="38">
        <v>0</v>
      </c>
      <c r="AM250" s="35">
        <v>0</v>
      </c>
      <c r="AN250" s="19">
        <v>0</v>
      </c>
      <c r="AO250" s="23">
        <v>0</v>
      </c>
      <c r="AP250" s="24">
        <v>0</v>
      </c>
      <c r="AQ250" s="31">
        <f t="shared" si="19"/>
        <v>46.4</v>
      </c>
      <c r="AR250" s="32">
        <f t="shared" si="19"/>
        <v>116000</v>
      </c>
      <c r="AS250" s="30">
        <v>60</v>
      </c>
    </row>
    <row r="251" spans="1:45" ht="15.6" x14ac:dyDescent="0.3">
      <c r="A251" s="19">
        <v>248</v>
      </c>
      <c r="B251" s="21" t="s">
        <v>263</v>
      </c>
      <c r="C251" s="20" t="s">
        <v>275</v>
      </c>
      <c r="D251" s="324"/>
      <c r="E251" s="22">
        <v>9</v>
      </c>
      <c r="F251" s="23">
        <f t="shared" si="15"/>
        <v>22500</v>
      </c>
      <c r="G251" s="19">
        <v>0</v>
      </c>
      <c r="H251" s="23">
        <v>0</v>
      </c>
      <c r="I251" s="24">
        <v>0</v>
      </c>
      <c r="J251" s="19">
        <v>0</v>
      </c>
      <c r="K251" s="23">
        <v>0</v>
      </c>
      <c r="L251" s="24">
        <v>0</v>
      </c>
      <c r="M251" s="25">
        <v>2.4</v>
      </c>
      <c r="N251" s="26">
        <v>6000</v>
      </c>
      <c r="O251" s="27">
        <v>6</v>
      </c>
      <c r="P251" s="28">
        <f t="shared" si="16"/>
        <v>1.2</v>
      </c>
      <c r="Q251" s="29">
        <f t="shared" si="17"/>
        <v>3000</v>
      </c>
      <c r="R251" s="30">
        <v>3</v>
      </c>
      <c r="S251" s="19">
        <v>0</v>
      </c>
      <c r="T251" s="23">
        <v>0</v>
      </c>
      <c r="U251" s="24">
        <v>0</v>
      </c>
      <c r="V251" s="31">
        <f t="shared" si="18"/>
        <v>4.4000000000000004</v>
      </c>
      <c r="W251" s="32">
        <v>11000</v>
      </c>
      <c r="X251" s="30">
        <v>11</v>
      </c>
      <c r="Y251" s="19">
        <v>0</v>
      </c>
      <c r="Z251" s="23">
        <v>0</v>
      </c>
      <c r="AA251" s="24">
        <v>0</v>
      </c>
      <c r="AB251" s="33">
        <v>0</v>
      </c>
      <c r="AC251" s="34">
        <v>0</v>
      </c>
      <c r="AD251" s="35">
        <v>0</v>
      </c>
      <c r="AE251" s="36">
        <v>0</v>
      </c>
      <c r="AF251" s="23">
        <v>0</v>
      </c>
      <c r="AG251" s="24">
        <v>0</v>
      </c>
      <c r="AH251" s="33">
        <v>0</v>
      </c>
      <c r="AI251" s="37">
        <v>0</v>
      </c>
      <c r="AJ251" s="35">
        <v>0</v>
      </c>
      <c r="AK251" s="36">
        <v>0</v>
      </c>
      <c r="AL251" s="38">
        <v>0</v>
      </c>
      <c r="AM251" s="35">
        <v>0</v>
      </c>
      <c r="AN251" s="19">
        <v>0</v>
      </c>
      <c r="AO251" s="23">
        <v>0</v>
      </c>
      <c r="AP251" s="24">
        <v>0</v>
      </c>
      <c r="AQ251" s="31">
        <f t="shared" si="19"/>
        <v>8</v>
      </c>
      <c r="AR251" s="32">
        <f t="shared" si="19"/>
        <v>20000</v>
      </c>
      <c r="AS251" s="30">
        <v>11</v>
      </c>
    </row>
    <row r="252" spans="1:45" ht="15.6" x14ac:dyDescent="0.3">
      <c r="A252" s="19">
        <v>249</v>
      </c>
      <c r="B252" s="21" t="s">
        <v>263</v>
      </c>
      <c r="C252" s="20" t="s">
        <v>276</v>
      </c>
      <c r="D252" s="324"/>
      <c r="E252" s="22">
        <v>30.000000000000004</v>
      </c>
      <c r="F252" s="23">
        <f t="shared" si="15"/>
        <v>75000.000000000015</v>
      </c>
      <c r="G252" s="19">
        <v>0</v>
      </c>
      <c r="H252" s="23">
        <v>0</v>
      </c>
      <c r="I252" s="24">
        <v>0</v>
      </c>
      <c r="J252" s="19">
        <v>0</v>
      </c>
      <c r="K252" s="23">
        <v>0</v>
      </c>
      <c r="L252" s="24">
        <v>0</v>
      </c>
      <c r="M252" s="25">
        <v>7.2</v>
      </c>
      <c r="N252" s="26">
        <v>18000</v>
      </c>
      <c r="O252" s="27">
        <v>18</v>
      </c>
      <c r="P252" s="28">
        <f t="shared" si="16"/>
        <v>4.4000000000000004</v>
      </c>
      <c r="Q252" s="29">
        <f t="shared" si="17"/>
        <v>11000</v>
      </c>
      <c r="R252" s="30">
        <v>11</v>
      </c>
      <c r="S252" s="19">
        <v>0</v>
      </c>
      <c r="T252" s="23">
        <v>0</v>
      </c>
      <c r="U252" s="24">
        <v>0</v>
      </c>
      <c r="V252" s="31">
        <f t="shared" si="18"/>
        <v>12.4</v>
      </c>
      <c r="W252" s="32">
        <v>31000</v>
      </c>
      <c r="X252" s="30">
        <v>31</v>
      </c>
      <c r="Y252" s="19">
        <v>0</v>
      </c>
      <c r="Z252" s="23">
        <v>0</v>
      </c>
      <c r="AA252" s="24">
        <v>0</v>
      </c>
      <c r="AB252" s="33">
        <v>0</v>
      </c>
      <c r="AC252" s="34">
        <v>0</v>
      </c>
      <c r="AD252" s="35">
        <v>0</v>
      </c>
      <c r="AE252" s="36">
        <v>0</v>
      </c>
      <c r="AF252" s="23">
        <v>0</v>
      </c>
      <c r="AG252" s="24">
        <v>0</v>
      </c>
      <c r="AH252" s="33">
        <v>0</v>
      </c>
      <c r="AI252" s="37">
        <v>0</v>
      </c>
      <c r="AJ252" s="35">
        <v>0</v>
      </c>
      <c r="AK252" s="36">
        <v>0</v>
      </c>
      <c r="AL252" s="38">
        <v>0</v>
      </c>
      <c r="AM252" s="35">
        <v>0</v>
      </c>
      <c r="AN252" s="19">
        <v>0</v>
      </c>
      <c r="AO252" s="23">
        <v>0</v>
      </c>
      <c r="AP252" s="24">
        <v>0</v>
      </c>
      <c r="AQ252" s="31">
        <f t="shared" si="19"/>
        <v>24</v>
      </c>
      <c r="AR252" s="32">
        <f t="shared" si="19"/>
        <v>60000</v>
      </c>
      <c r="AS252" s="30">
        <v>31</v>
      </c>
    </row>
    <row r="253" spans="1:45" ht="15.6" x14ac:dyDescent="0.3">
      <c r="A253" s="19">
        <v>250</v>
      </c>
      <c r="B253" s="21" t="s">
        <v>263</v>
      </c>
      <c r="C253" s="20" t="s">
        <v>277</v>
      </c>
      <c r="D253" s="324"/>
      <c r="E253" s="22">
        <v>30.200000000000003</v>
      </c>
      <c r="F253" s="23">
        <f t="shared" si="15"/>
        <v>75500</v>
      </c>
      <c r="G253" s="19">
        <v>0</v>
      </c>
      <c r="H253" s="23">
        <v>0</v>
      </c>
      <c r="I253" s="24">
        <v>0</v>
      </c>
      <c r="J253" s="19">
        <v>0</v>
      </c>
      <c r="K253" s="23">
        <v>0</v>
      </c>
      <c r="L253" s="24">
        <v>0</v>
      </c>
      <c r="M253" s="25">
        <v>7.2</v>
      </c>
      <c r="N253" s="26">
        <v>18000</v>
      </c>
      <c r="O253" s="27">
        <v>18</v>
      </c>
      <c r="P253" s="28">
        <f t="shared" si="16"/>
        <v>4.8</v>
      </c>
      <c r="Q253" s="29">
        <f t="shared" si="17"/>
        <v>12000</v>
      </c>
      <c r="R253" s="30">
        <v>12</v>
      </c>
      <c r="S253" s="19">
        <v>0</v>
      </c>
      <c r="T253" s="23">
        <v>0</v>
      </c>
      <c r="U253" s="24">
        <v>0</v>
      </c>
      <c r="V253" s="31">
        <f t="shared" si="18"/>
        <v>13.2</v>
      </c>
      <c r="W253" s="32">
        <v>33000</v>
      </c>
      <c r="X253" s="30">
        <v>33</v>
      </c>
      <c r="Y253" s="19">
        <v>0</v>
      </c>
      <c r="Z253" s="23">
        <v>0</v>
      </c>
      <c r="AA253" s="24">
        <v>0</v>
      </c>
      <c r="AB253" s="33">
        <v>0</v>
      </c>
      <c r="AC253" s="34">
        <v>0</v>
      </c>
      <c r="AD253" s="35">
        <v>0</v>
      </c>
      <c r="AE253" s="36">
        <v>0</v>
      </c>
      <c r="AF253" s="23">
        <v>0</v>
      </c>
      <c r="AG253" s="24">
        <v>0</v>
      </c>
      <c r="AH253" s="33">
        <v>0</v>
      </c>
      <c r="AI253" s="37">
        <v>0</v>
      </c>
      <c r="AJ253" s="35">
        <v>0</v>
      </c>
      <c r="AK253" s="36">
        <v>0</v>
      </c>
      <c r="AL253" s="38">
        <v>0</v>
      </c>
      <c r="AM253" s="35">
        <v>0</v>
      </c>
      <c r="AN253" s="19">
        <v>0</v>
      </c>
      <c r="AO253" s="23">
        <v>0</v>
      </c>
      <c r="AP253" s="24">
        <v>0</v>
      </c>
      <c r="AQ253" s="31">
        <f t="shared" si="19"/>
        <v>25.2</v>
      </c>
      <c r="AR253" s="32">
        <f t="shared" si="19"/>
        <v>63000</v>
      </c>
      <c r="AS253" s="30">
        <v>33</v>
      </c>
    </row>
    <row r="254" spans="1:45" ht="15.6" x14ac:dyDescent="0.3">
      <c r="A254" s="19">
        <v>251</v>
      </c>
      <c r="B254" s="21" t="s">
        <v>263</v>
      </c>
      <c r="C254" s="20" t="s">
        <v>278</v>
      </c>
      <c r="D254" s="324"/>
      <c r="E254" s="22">
        <v>29.8</v>
      </c>
      <c r="F254" s="23">
        <f t="shared" si="15"/>
        <v>74500</v>
      </c>
      <c r="G254" s="19">
        <v>0</v>
      </c>
      <c r="H254" s="23">
        <v>0</v>
      </c>
      <c r="I254" s="24">
        <v>0</v>
      </c>
      <c r="J254" s="19">
        <v>0</v>
      </c>
      <c r="K254" s="23">
        <v>0</v>
      </c>
      <c r="L254" s="24">
        <v>0</v>
      </c>
      <c r="M254" s="25">
        <v>6</v>
      </c>
      <c r="N254" s="26">
        <v>15000</v>
      </c>
      <c r="O254" s="27">
        <v>15</v>
      </c>
      <c r="P254" s="28">
        <f t="shared" si="16"/>
        <v>3.2</v>
      </c>
      <c r="Q254" s="29">
        <f t="shared" si="17"/>
        <v>8000</v>
      </c>
      <c r="R254" s="30">
        <v>8</v>
      </c>
      <c r="S254" s="19">
        <v>0</v>
      </c>
      <c r="T254" s="23">
        <v>0</v>
      </c>
      <c r="U254" s="24">
        <v>0</v>
      </c>
      <c r="V254" s="31">
        <f t="shared" si="18"/>
        <v>9.6</v>
      </c>
      <c r="W254" s="32">
        <v>24000</v>
      </c>
      <c r="X254" s="30">
        <v>24</v>
      </c>
      <c r="Y254" s="19">
        <v>0</v>
      </c>
      <c r="Z254" s="23">
        <v>0</v>
      </c>
      <c r="AA254" s="24">
        <v>0</v>
      </c>
      <c r="AB254" s="33">
        <v>0</v>
      </c>
      <c r="AC254" s="34">
        <v>0</v>
      </c>
      <c r="AD254" s="35">
        <v>0</v>
      </c>
      <c r="AE254" s="36">
        <v>0</v>
      </c>
      <c r="AF254" s="23">
        <v>0</v>
      </c>
      <c r="AG254" s="24">
        <v>0</v>
      </c>
      <c r="AH254" s="33">
        <v>0</v>
      </c>
      <c r="AI254" s="37">
        <v>0</v>
      </c>
      <c r="AJ254" s="35">
        <v>0</v>
      </c>
      <c r="AK254" s="36">
        <v>0</v>
      </c>
      <c r="AL254" s="38">
        <v>0</v>
      </c>
      <c r="AM254" s="35">
        <v>0</v>
      </c>
      <c r="AN254" s="19">
        <v>0</v>
      </c>
      <c r="AO254" s="23">
        <v>0</v>
      </c>
      <c r="AP254" s="24">
        <v>0</v>
      </c>
      <c r="AQ254" s="31">
        <f t="shared" si="19"/>
        <v>18.799999999999997</v>
      </c>
      <c r="AR254" s="32">
        <f t="shared" si="19"/>
        <v>47000</v>
      </c>
      <c r="AS254" s="30">
        <v>25</v>
      </c>
    </row>
    <row r="255" spans="1:45" ht="15.6" x14ac:dyDescent="0.3">
      <c r="A255" s="19">
        <v>252</v>
      </c>
      <c r="B255" s="21" t="s">
        <v>263</v>
      </c>
      <c r="C255" s="20" t="s">
        <v>279</v>
      </c>
      <c r="D255" s="324"/>
      <c r="E255" s="22">
        <v>6</v>
      </c>
      <c r="F255" s="23">
        <f t="shared" si="15"/>
        <v>15000</v>
      </c>
      <c r="G255" s="19">
        <v>0</v>
      </c>
      <c r="H255" s="23">
        <v>0</v>
      </c>
      <c r="I255" s="24">
        <v>0</v>
      </c>
      <c r="J255" s="19">
        <v>0</v>
      </c>
      <c r="K255" s="23">
        <v>0</v>
      </c>
      <c r="L255" s="24">
        <v>0</v>
      </c>
      <c r="M255" s="25">
        <v>2</v>
      </c>
      <c r="N255" s="26">
        <v>5000</v>
      </c>
      <c r="O255" s="27">
        <v>5</v>
      </c>
      <c r="P255" s="28">
        <f t="shared" si="16"/>
        <v>0.4</v>
      </c>
      <c r="Q255" s="29">
        <f t="shared" si="17"/>
        <v>1000</v>
      </c>
      <c r="R255" s="30">
        <v>1</v>
      </c>
      <c r="S255" s="19">
        <v>0</v>
      </c>
      <c r="T255" s="23">
        <v>0</v>
      </c>
      <c r="U255" s="24">
        <v>0</v>
      </c>
      <c r="V255" s="31">
        <f t="shared" si="18"/>
        <v>2.4</v>
      </c>
      <c r="W255" s="32">
        <v>6000</v>
      </c>
      <c r="X255" s="30">
        <v>6</v>
      </c>
      <c r="Y255" s="19">
        <v>0</v>
      </c>
      <c r="Z255" s="23">
        <v>0</v>
      </c>
      <c r="AA255" s="24">
        <v>0</v>
      </c>
      <c r="AB255" s="33">
        <v>0</v>
      </c>
      <c r="AC255" s="34">
        <v>0</v>
      </c>
      <c r="AD255" s="35">
        <v>0</v>
      </c>
      <c r="AE255" s="36">
        <v>0</v>
      </c>
      <c r="AF255" s="23">
        <v>0</v>
      </c>
      <c r="AG255" s="24">
        <v>0</v>
      </c>
      <c r="AH255" s="33">
        <v>0</v>
      </c>
      <c r="AI255" s="37">
        <v>0</v>
      </c>
      <c r="AJ255" s="35">
        <v>0</v>
      </c>
      <c r="AK255" s="36">
        <v>0</v>
      </c>
      <c r="AL255" s="38">
        <v>0</v>
      </c>
      <c r="AM255" s="35">
        <v>0</v>
      </c>
      <c r="AN255" s="19">
        <v>0</v>
      </c>
      <c r="AO255" s="23">
        <v>0</v>
      </c>
      <c r="AP255" s="24">
        <v>0</v>
      </c>
      <c r="AQ255" s="31">
        <f t="shared" si="19"/>
        <v>4.8</v>
      </c>
      <c r="AR255" s="32">
        <f t="shared" si="19"/>
        <v>12000</v>
      </c>
      <c r="AS255" s="30">
        <v>6</v>
      </c>
    </row>
    <row r="256" spans="1:45" ht="15.6" x14ac:dyDescent="0.3">
      <c r="A256" s="19">
        <v>253</v>
      </c>
      <c r="B256" s="21" t="s">
        <v>263</v>
      </c>
      <c r="C256" s="20" t="s">
        <v>280</v>
      </c>
      <c r="D256" s="324"/>
      <c r="E256" s="22">
        <v>7.6</v>
      </c>
      <c r="F256" s="23">
        <f t="shared" si="15"/>
        <v>19000</v>
      </c>
      <c r="G256" s="19">
        <v>0</v>
      </c>
      <c r="H256" s="23">
        <v>0</v>
      </c>
      <c r="I256" s="24">
        <v>0</v>
      </c>
      <c r="J256" s="19">
        <v>0</v>
      </c>
      <c r="K256" s="23">
        <v>0</v>
      </c>
      <c r="L256" s="24">
        <v>0</v>
      </c>
      <c r="M256" s="25">
        <v>1.6</v>
      </c>
      <c r="N256" s="26">
        <v>4000</v>
      </c>
      <c r="O256" s="27">
        <v>4</v>
      </c>
      <c r="P256" s="28">
        <f t="shared" si="16"/>
        <v>1.2</v>
      </c>
      <c r="Q256" s="29">
        <f t="shared" si="17"/>
        <v>3000</v>
      </c>
      <c r="R256" s="30">
        <v>3</v>
      </c>
      <c r="S256" s="19">
        <v>0</v>
      </c>
      <c r="T256" s="23">
        <v>0</v>
      </c>
      <c r="U256" s="24">
        <v>0</v>
      </c>
      <c r="V256" s="31">
        <f t="shared" si="18"/>
        <v>3.6</v>
      </c>
      <c r="W256" s="32">
        <v>9000</v>
      </c>
      <c r="X256" s="30">
        <v>9</v>
      </c>
      <c r="Y256" s="19">
        <v>0</v>
      </c>
      <c r="Z256" s="23">
        <v>0</v>
      </c>
      <c r="AA256" s="24">
        <v>0</v>
      </c>
      <c r="AB256" s="33">
        <v>0</v>
      </c>
      <c r="AC256" s="34">
        <v>0</v>
      </c>
      <c r="AD256" s="35">
        <v>0</v>
      </c>
      <c r="AE256" s="36">
        <v>0</v>
      </c>
      <c r="AF256" s="23">
        <v>0</v>
      </c>
      <c r="AG256" s="24">
        <v>0</v>
      </c>
      <c r="AH256" s="33">
        <v>0</v>
      </c>
      <c r="AI256" s="37">
        <v>0</v>
      </c>
      <c r="AJ256" s="35">
        <v>0</v>
      </c>
      <c r="AK256" s="36">
        <v>0</v>
      </c>
      <c r="AL256" s="38">
        <v>0</v>
      </c>
      <c r="AM256" s="35">
        <v>0</v>
      </c>
      <c r="AN256" s="19">
        <v>0</v>
      </c>
      <c r="AO256" s="23">
        <v>0</v>
      </c>
      <c r="AP256" s="24">
        <v>0</v>
      </c>
      <c r="AQ256" s="31">
        <f t="shared" si="19"/>
        <v>6.4</v>
      </c>
      <c r="AR256" s="32">
        <f t="shared" si="19"/>
        <v>16000</v>
      </c>
      <c r="AS256" s="30">
        <v>9</v>
      </c>
    </row>
    <row r="257" spans="1:45" ht="15.6" x14ac:dyDescent="0.3">
      <c r="A257" s="19">
        <v>254</v>
      </c>
      <c r="B257" s="21" t="s">
        <v>263</v>
      </c>
      <c r="C257" s="20" t="s">
        <v>281</v>
      </c>
      <c r="D257" s="324"/>
      <c r="E257" s="22">
        <v>28</v>
      </c>
      <c r="F257" s="23">
        <f t="shared" si="15"/>
        <v>70000</v>
      </c>
      <c r="G257" s="19">
        <v>0</v>
      </c>
      <c r="H257" s="23">
        <v>0</v>
      </c>
      <c r="I257" s="24">
        <v>0</v>
      </c>
      <c r="J257" s="19">
        <v>0</v>
      </c>
      <c r="K257" s="23">
        <v>0</v>
      </c>
      <c r="L257" s="24">
        <v>0</v>
      </c>
      <c r="M257" s="25">
        <v>6.4</v>
      </c>
      <c r="N257" s="26">
        <v>16000</v>
      </c>
      <c r="O257" s="27">
        <v>16</v>
      </c>
      <c r="P257" s="28">
        <f t="shared" si="16"/>
        <v>10</v>
      </c>
      <c r="Q257" s="29">
        <f t="shared" si="17"/>
        <v>25000</v>
      </c>
      <c r="R257" s="30">
        <v>25</v>
      </c>
      <c r="S257" s="19">
        <v>0</v>
      </c>
      <c r="T257" s="23">
        <v>0</v>
      </c>
      <c r="U257" s="24">
        <v>0</v>
      </c>
      <c r="V257" s="31">
        <f t="shared" si="18"/>
        <v>16.399999999999999</v>
      </c>
      <c r="W257" s="32">
        <v>41000</v>
      </c>
      <c r="X257" s="30">
        <v>41</v>
      </c>
      <c r="Y257" s="19">
        <v>0</v>
      </c>
      <c r="Z257" s="23">
        <v>0</v>
      </c>
      <c r="AA257" s="24">
        <v>0</v>
      </c>
      <c r="AB257" s="33">
        <v>0</v>
      </c>
      <c r="AC257" s="34">
        <v>0</v>
      </c>
      <c r="AD257" s="35">
        <v>0</v>
      </c>
      <c r="AE257" s="36">
        <v>0</v>
      </c>
      <c r="AF257" s="23">
        <v>0</v>
      </c>
      <c r="AG257" s="24">
        <v>0</v>
      </c>
      <c r="AH257" s="33">
        <v>0</v>
      </c>
      <c r="AI257" s="37">
        <v>0</v>
      </c>
      <c r="AJ257" s="35">
        <v>0</v>
      </c>
      <c r="AK257" s="36">
        <v>0</v>
      </c>
      <c r="AL257" s="38">
        <v>0</v>
      </c>
      <c r="AM257" s="35">
        <v>0</v>
      </c>
      <c r="AN257" s="19">
        <v>0</v>
      </c>
      <c r="AO257" s="23">
        <v>0</v>
      </c>
      <c r="AP257" s="24">
        <v>0</v>
      </c>
      <c r="AQ257" s="31">
        <f t="shared" si="19"/>
        <v>32.799999999999997</v>
      </c>
      <c r="AR257" s="32">
        <f t="shared" si="19"/>
        <v>82000</v>
      </c>
      <c r="AS257" s="30">
        <v>41</v>
      </c>
    </row>
    <row r="258" spans="1:45" ht="15.6" x14ac:dyDescent="0.3">
      <c r="A258" s="19">
        <v>255</v>
      </c>
      <c r="B258" s="21" t="s">
        <v>263</v>
      </c>
      <c r="C258" s="20" t="s">
        <v>282</v>
      </c>
      <c r="D258" s="324"/>
      <c r="E258" s="22">
        <v>16</v>
      </c>
      <c r="F258" s="23">
        <f t="shared" si="15"/>
        <v>40000</v>
      </c>
      <c r="G258" s="19">
        <v>0</v>
      </c>
      <c r="H258" s="23">
        <v>0</v>
      </c>
      <c r="I258" s="24">
        <v>0</v>
      </c>
      <c r="J258" s="19">
        <v>0</v>
      </c>
      <c r="K258" s="23">
        <v>0</v>
      </c>
      <c r="L258" s="24">
        <v>0</v>
      </c>
      <c r="M258" s="25">
        <v>5.6</v>
      </c>
      <c r="N258" s="26">
        <v>14000</v>
      </c>
      <c r="O258" s="27">
        <v>14</v>
      </c>
      <c r="P258" s="28">
        <f t="shared" si="16"/>
        <v>1.6</v>
      </c>
      <c r="Q258" s="29">
        <f t="shared" si="17"/>
        <v>4000</v>
      </c>
      <c r="R258" s="30">
        <v>4</v>
      </c>
      <c r="S258" s="19">
        <v>0</v>
      </c>
      <c r="T258" s="23">
        <v>0</v>
      </c>
      <c r="U258" s="24">
        <v>0</v>
      </c>
      <c r="V258" s="31">
        <f t="shared" si="18"/>
        <v>7.2</v>
      </c>
      <c r="W258" s="32">
        <v>18000</v>
      </c>
      <c r="X258" s="30">
        <v>18</v>
      </c>
      <c r="Y258" s="19">
        <v>0</v>
      </c>
      <c r="Z258" s="23">
        <v>0</v>
      </c>
      <c r="AA258" s="24">
        <v>0</v>
      </c>
      <c r="AB258" s="33">
        <v>0</v>
      </c>
      <c r="AC258" s="34">
        <v>0</v>
      </c>
      <c r="AD258" s="35">
        <v>0</v>
      </c>
      <c r="AE258" s="36">
        <v>0</v>
      </c>
      <c r="AF258" s="23">
        <v>0</v>
      </c>
      <c r="AG258" s="24">
        <v>0</v>
      </c>
      <c r="AH258" s="33">
        <v>0</v>
      </c>
      <c r="AI258" s="37">
        <v>0</v>
      </c>
      <c r="AJ258" s="35">
        <v>0</v>
      </c>
      <c r="AK258" s="36">
        <v>0</v>
      </c>
      <c r="AL258" s="38">
        <v>0</v>
      </c>
      <c r="AM258" s="35">
        <v>0</v>
      </c>
      <c r="AN258" s="19">
        <v>0</v>
      </c>
      <c r="AO258" s="23">
        <v>0</v>
      </c>
      <c r="AP258" s="24">
        <v>0</v>
      </c>
      <c r="AQ258" s="31">
        <f t="shared" si="19"/>
        <v>14.399999999999999</v>
      </c>
      <c r="AR258" s="32">
        <f t="shared" si="19"/>
        <v>36000</v>
      </c>
      <c r="AS258" s="30">
        <v>18</v>
      </c>
    </row>
    <row r="259" spans="1:45" ht="15.6" x14ac:dyDescent="0.3">
      <c r="A259" s="19">
        <v>256</v>
      </c>
      <c r="B259" s="21" t="s">
        <v>263</v>
      </c>
      <c r="C259" s="20" t="s">
        <v>283</v>
      </c>
      <c r="D259" s="324" t="s">
        <v>25</v>
      </c>
      <c r="E259" s="22">
        <v>8</v>
      </c>
      <c r="F259" s="23">
        <f t="shared" si="15"/>
        <v>20000</v>
      </c>
      <c r="G259" s="19">
        <v>0</v>
      </c>
      <c r="H259" s="23">
        <v>0</v>
      </c>
      <c r="I259" s="24">
        <v>0</v>
      </c>
      <c r="J259" s="19">
        <v>0</v>
      </c>
      <c r="K259" s="23">
        <v>0</v>
      </c>
      <c r="L259" s="24">
        <v>0</v>
      </c>
      <c r="M259" s="25">
        <v>2.8</v>
      </c>
      <c r="N259" s="26">
        <v>7000</v>
      </c>
      <c r="O259" s="27">
        <v>7</v>
      </c>
      <c r="P259" s="28">
        <f t="shared" si="16"/>
        <v>0.4</v>
      </c>
      <c r="Q259" s="29">
        <f t="shared" si="17"/>
        <v>1000</v>
      </c>
      <c r="R259" s="30">
        <v>1</v>
      </c>
      <c r="S259" s="19">
        <v>0</v>
      </c>
      <c r="T259" s="23">
        <v>0</v>
      </c>
      <c r="U259" s="24">
        <v>0</v>
      </c>
      <c r="V259" s="31">
        <f t="shared" si="18"/>
        <v>3.2</v>
      </c>
      <c r="W259" s="32">
        <v>8000</v>
      </c>
      <c r="X259" s="30">
        <v>8</v>
      </c>
      <c r="Y259" s="19">
        <v>0</v>
      </c>
      <c r="Z259" s="23">
        <v>0</v>
      </c>
      <c r="AA259" s="24">
        <v>0</v>
      </c>
      <c r="AB259" s="33">
        <v>0</v>
      </c>
      <c r="AC259" s="34">
        <v>0</v>
      </c>
      <c r="AD259" s="35">
        <v>0</v>
      </c>
      <c r="AE259" s="36">
        <v>0</v>
      </c>
      <c r="AF259" s="23">
        <v>0</v>
      </c>
      <c r="AG259" s="24">
        <v>0</v>
      </c>
      <c r="AH259" s="33">
        <v>0</v>
      </c>
      <c r="AI259" s="37">
        <v>0</v>
      </c>
      <c r="AJ259" s="35">
        <v>0</v>
      </c>
      <c r="AK259" s="36">
        <v>0</v>
      </c>
      <c r="AL259" s="38">
        <v>0</v>
      </c>
      <c r="AM259" s="35">
        <v>0</v>
      </c>
      <c r="AN259" s="19">
        <v>0</v>
      </c>
      <c r="AO259" s="23">
        <v>0</v>
      </c>
      <c r="AP259" s="24">
        <v>0</v>
      </c>
      <c r="AQ259" s="31">
        <f t="shared" si="19"/>
        <v>6.4</v>
      </c>
      <c r="AR259" s="32">
        <f t="shared" si="19"/>
        <v>16000</v>
      </c>
      <c r="AS259" s="30">
        <v>8</v>
      </c>
    </row>
    <row r="260" spans="1:45" ht="15.6" x14ac:dyDescent="0.3">
      <c r="A260" s="19">
        <v>257</v>
      </c>
      <c r="B260" s="21" t="s">
        <v>263</v>
      </c>
      <c r="C260" s="20" t="s">
        <v>263</v>
      </c>
      <c r="D260" s="324"/>
      <c r="E260" s="22">
        <v>8.6</v>
      </c>
      <c r="F260" s="23">
        <f t="shared" si="15"/>
        <v>21500</v>
      </c>
      <c r="G260" s="19">
        <v>0</v>
      </c>
      <c r="H260" s="23">
        <v>0</v>
      </c>
      <c r="I260" s="24">
        <v>0</v>
      </c>
      <c r="J260" s="19">
        <v>0</v>
      </c>
      <c r="K260" s="23">
        <v>0</v>
      </c>
      <c r="L260" s="24">
        <v>0</v>
      </c>
      <c r="M260" s="25">
        <v>2.8</v>
      </c>
      <c r="N260" s="26">
        <v>7000</v>
      </c>
      <c r="O260" s="27">
        <v>7</v>
      </c>
      <c r="P260" s="28">
        <f t="shared" si="16"/>
        <v>0.4</v>
      </c>
      <c r="Q260" s="29">
        <f t="shared" si="17"/>
        <v>1000</v>
      </c>
      <c r="R260" s="30">
        <v>1</v>
      </c>
      <c r="S260" s="19">
        <v>0</v>
      </c>
      <c r="T260" s="23">
        <v>0</v>
      </c>
      <c r="U260" s="24">
        <v>0</v>
      </c>
      <c r="V260" s="31">
        <f t="shared" si="18"/>
        <v>4.4000000000000004</v>
      </c>
      <c r="W260" s="32">
        <v>11000</v>
      </c>
      <c r="X260" s="30">
        <v>11</v>
      </c>
      <c r="Y260" s="19">
        <v>0</v>
      </c>
      <c r="Z260" s="23">
        <v>0</v>
      </c>
      <c r="AA260" s="24">
        <v>0</v>
      </c>
      <c r="AB260" s="33">
        <v>0</v>
      </c>
      <c r="AC260" s="34">
        <v>0</v>
      </c>
      <c r="AD260" s="35">
        <v>0</v>
      </c>
      <c r="AE260" s="36">
        <v>0</v>
      </c>
      <c r="AF260" s="23">
        <v>0</v>
      </c>
      <c r="AG260" s="24">
        <v>0</v>
      </c>
      <c r="AH260" s="33">
        <v>0</v>
      </c>
      <c r="AI260" s="37">
        <v>0</v>
      </c>
      <c r="AJ260" s="35">
        <v>0</v>
      </c>
      <c r="AK260" s="36">
        <v>0</v>
      </c>
      <c r="AL260" s="38">
        <v>0</v>
      </c>
      <c r="AM260" s="35">
        <v>0</v>
      </c>
      <c r="AN260" s="19">
        <v>0</v>
      </c>
      <c r="AO260" s="23">
        <v>0</v>
      </c>
      <c r="AP260" s="24">
        <v>0</v>
      </c>
      <c r="AQ260" s="31">
        <f t="shared" si="19"/>
        <v>7.6</v>
      </c>
      <c r="AR260" s="32">
        <f t="shared" si="19"/>
        <v>19000</v>
      </c>
      <c r="AS260" s="30">
        <v>11</v>
      </c>
    </row>
    <row r="261" spans="1:45" ht="15.6" x14ac:dyDescent="0.3">
      <c r="A261" s="19">
        <v>258</v>
      </c>
      <c r="B261" s="21" t="s">
        <v>263</v>
      </c>
      <c r="C261" s="20" t="s">
        <v>284</v>
      </c>
      <c r="D261" s="324"/>
      <c r="E261" s="22">
        <v>14.399999999999999</v>
      </c>
      <c r="F261" s="23">
        <f t="shared" ref="F261:F324" si="20">E261*2500</f>
        <v>36000</v>
      </c>
      <c r="G261" s="19">
        <v>0</v>
      </c>
      <c r="H261" s="23">
        <v>0</v>
      </c>
      <c r="I261" s="24">
        <v>0</v>
      </c>
      <c r="J261" s="19">
        <v>0</v>
      </c>
      <c r="K261" s="23">
        <v>0</v>
      </c>
      <c r="L261" s="24">
        <v>0</v>
      </c>
      <c r="M261" s="25">
        <v>4</v>
      </c>
      <c r="N261" s="26">
        <v>10000</v>
      </c>
      <c r="O261" s="27">
        <v>10</v>
      </c>
      <c r="P261" s="28">
        <f t="shared" ref="P261:P324" si="21">Q261/2500</f>
        <v>0.8</v>
      </c>
      <c r="Q261" s="29">
        <f t="shared" ref="Q261:Q324" si="22">R261*1000</f>
        <v>2000</v>
      </c>
      <c r="R261" s="30">
        <v>2</v>
      </c>
      <c r="S261" s="19">
        <v>0</v>
      </c>
      <c r="T261" s="23">
        <v>0</v>
      </c>
      <c r="U261" s="24">
        <v>0</v>
      </c>
      <c r="V261" s="31">
        <f t="shared" ref="V261:V324" si="23">W261/2500</f>
        <v>5.2</v>
      </c>
      <c r="W261" s="32">
        <v>13000</v>
      </c>
      <c r="X261" s="30">
        <v>13</v>
      </c>
      <c r="Y261" s="19">
        <v>0</v>
      </c>
      <c r="Z261" s="23">
        <v>0</v>
      </c>
      <c r="AA261" s="24">
        <v>0</v>
      </c>
      <c r="AB261" s="33">
        <v>0</v>
      </c>
      <c r="AC261" s="34">
        <v>0</v>
      </c>
      <c r="AD261" s="35">
        <v>0</v>
      </c>
      <c r="AE261" s="36">
        <v>0</v>
      </c>
      <c r="AF261" s="23">
        <v>0</v>
      </c>
      <c r="AG261" s="24">
        <v>0</v>
      </c>
      <c r="AH261" s="33">
        <v>0</v>
      </c>
      <c r="AI261" s="37">
        <v>0</v>
      </c>
      <c r="AJ261" s="35">
        <v>0</v>
      </c>
      <c r="AK261" s="36">
        <v>0</v>
      </c>
      <c r="AL261" s="38">
        <v>0</v>
      </c>
      <c r="AM261" s="35">
        <v>0</v>
      </c>
      <c r="AN261" s="19">
        <v>0</v>
      </c>
      <c r="AO261" s="23">
        <v>0</v>
      </c>
      <c r="AP261" s="24">
        <v>0</v>
      </c>
      <c r="AQ261" s="31">
        <f t="shared" ref="AQ261:AR324" si="24">G261+J261+M261+P261+S261+V261+Y261+AB261+AE261+AH261+AK261+AN261</f>
        <v>10</v>
      </c>
      <c r="AR261" s="32">
        <f t="shared" si="24"/>
        <v>25000</v>
      </c>
      <c r="AS261" s="30">
        <v>13</v>
      </c>
    </row>
    <row r="262" spans="1:45" ht="15.6" x14ac:dyDescent="0.3">
      <c r="A262" s="19">
        <v>259</v>
      </c>
      <c r="B262" s="21" t="s">
        <v>263</v>
      </c>
      <c r="C262" s="20" t="s">
        <v>285</v>
      </c>
      <c r="D262" s="324"/>
      <c r="E262" s="22">
        <v>10.199999999999999</v>
      </c>
      <c r="F262" s="23">
        <f t="shared" si="20"/>
        <v>25500</v>
      </c>
      <c r="G262" s="19">
        <v>0</v>
      </c>
      <c r="H262" s="23">
        <v>0</v>
      </c>
      <c r="I262" s="24">
        <v>0</v>
      </c>
      <c r="J262" s="19">
        <v>0</v>
      </c>
      <c r="K262" s="23">
        <v>0</v>
      </c>
      <c r="L262" s="24">
        <v>0</v>
      </c>
      <c r="M262" s="25">
        <v>2.8</v>
      </c>
      <c r="N262" s="26">
        <v>7000</v>
      </c>
      <c r="O262" s="27">
        <v>7</v>
      </c>
      <c r="P262" s="28">
        <f t="shared" si="21"/>
        <v>2</v>
      </c>
      <c r="Q262" s="29">
        <f t="shared" si="22"/>
        <v>5000</v>
      </c>
      <c r="R262" s="30">
        <v>5</v>
      </c>
      <c r="S262" s="19">
        <v>0</v>
      </c>
      <c r="T262" s="23">
        <v>0</v>
      </c>
      <c r="U262" s="24">
        <v>0</v>
      </c>
      <c r="V262" s="31">
        <f t="shared" si="23"/>
        <v>4.8</v>
      </c>
      <c r="W262" s="32">
        <v>12000</v>
      </c>
      <c r="X262" s="30">
        <v>12</v>
      </c>
      <c r="Y262" s="19">
        <v>0</v>
      </c>
      <c r="Z262" s="23">
        <v>0</v>
      </c>
      <c r="AA262" s="24">
        <v>0</v>
      </c>
      <c r="AB262" s="33">
        <v>0</v>
      </c>
      <c r="AC262" s="34">
        <v>0</v>
      </c>
      <c r="AD262" s="35">
        <v>0</v>
      </c>
      <c r="AE262" s="36">
        <v>0</v>
      </c>
      <c r="AF262" s="23">
        <v>0</v>
      </c>
      <c r="AG262" s="24">
        <v>0</v>
      </c>
      <c r="AH262" s="33">
        <v>0</v>
      </c>
      <c r="AI262" s="37">
        <v>0</v>
      </c>
      <c r="AJ262" s="35">
        <v>0</v>
      </c>
      <c r="AK262" s="36">
        <v>0</v>
      </c>
      <c r="AL262" s="38">
        <v>0</v>
      </c>
      <c r="AM262" s="35">
        <v>0</v>
      </c>
      <c r="AN262" s="19">
        <v>0</v>
      </c>
      <c r="AO262" s="23">
        <v>0</v>
      </c>
      <c r="AP262" s="24">
        <v>0</v>
      </c>
      <c r="AQ262" s="31">
        <f t="shared" si="24"/>
        <v>9.6</v>
      </c>
      <c r="AR262" s="32">
        <f t="shared" si="24"/>
        <v>24000</v>
      </c>
      <c r="AS262" s="30">
        <v>12</v>
      </c>
    </row>
    <row r="263" spans="1:45" ht="15.6" x14ac:dyDescent="0.3">
      <c r="A263" s="19">
        <v>260</v>
      </c>
      <c r="B263" s="21" t="s">
        <v>263</v>
      </c>
      <c r="C263" s="20" t="s">
        <v>112</v>
      </c>
      <c r="D263" s="324"/>
      <c r="E263" s="22">
        <v>11</v>
      </c>
      <c r="F263" s="23">
        <f t="shared" si="20"/>
        <v>27500</v>
      </c>
      <c r="G263" s="19">
        <v>0</v>
      </c>
      <c r="H263" s="23">
        <v>0</v>
      </c>
      <c r="I263" s="24">
        <v>0</v>
      </c>
      <c r="J263" s="19">
        <v>0</v>
      </c>
      <c r="K263" s="23">
        <v>0</v>
      </c>
      <c r="L263" s="24">
        <v>0</v>
      </c>
      <c r="M263" s="25">
        <v>4.8</v>
      </c>
      <c r="N263" s="26">
        <v>12000</v>
      </c>
      <c r="O263" s="27">
        <v>12</v>
      </c>
      <c r="P263" s="28">
        <f t="shared" si="21"/>
        <v>0.4</v>
      </c>
      <c r="Q263" s="29">
        <f t="shared" si="22"/>
        <v>1000</v>
      </c>
      <c r="R263" s="30">
        <v>1</v>
      </c>
      <c r="S263" s="19">
        <v>0</v>
      </c>
      <c r="T263" s="23">
        <v>0</v>
      </c>
      <c r="U263" s="24">
        <v>0</v>
      </c>
      <c r="V263" s="31">
        <f t="shared" si="23"/>
        <v>5.2</v>
      </c>
      <c r="W263" s="32">
        <v>13000</v>
      </c>
      <c r="X263" s="30">
        <v>13</v>
      </c>
      <c r="Y263" s="19">
        <v>0</v>
      </c>
      <c r="Z263" s="23">
        <v>0</v>
      </c>
      <c r="AA263" s="24">
        <v>0</v>
      </c>
      <c r="AB263" s="33">
        <v>0</v>
      </c>
      <c r="AC263" s="34">
        <v>0</v>
      </c>
      <c r="AD263" s="35">
        <v>0</v>
      </c>
      <c r="AE263" s="36">
        <v>0</v>
      </c>
      <c r="AF263" s="23">
        <v>0</v>
      </c>
      <c r="AG263" s="24">
        <v>0</v>
      </c>
      <c r="AH263" s="33">
        <v>0</v>
      </c>
      <c r="AI263" s="37">
        <v>0</v>
      </c>
      <c r="AJ263" s="35">
        <v>0</v>
      </c>
      <c r="AK263" s="36">
        <v>0</v>
      </c>
      <c r="AL263" s="38">
        <v>0</v>
      </c>
      <c r="AM263" s="35">
        <v>0</v>
      </c>
      <c r="AN263" s="19">
        <v>0</v>
      </c>
      <c r="AO263" s="23">
        <v>0</v>
      </c>
      <c r="AP263" s="24">
        <v>0</v>
      </c>
      <c r="AQ263" s="31">
        <f t="shared" si="24"/>
        <v>10.4</v>
      </c>
      <c r="AR263" s="32">
        <f t="shared" si="24"/>
        <v>26000</v>
      </c>
      <c r="AS263" s="30">
        <v>14</v>
      </c>
    </row>
    <row r="264" spans="1:45" ht="15.6" x14ac:dyDescent="0.3">
      <c r="A264" s="19">
        <v>261</v>
      </c>
      <c r="B264" s="21" t="s">
        <v>263</v>
      </c>
      <c r="C264" s="20" t="s">
        <v>286</v>
      </c>
      <c r="D264" s="324"/>
      <c r="E264" s="22">
        <v>5.2</v>
      </c>
      <c r="F264" s="23">
        <f t="shared" si="20"/>
        <v>13000</v>
      </c>
      <c r="G264" s="19">
        <v>0</v>
      </c>
      <c r="H264" s="23">
        <v>0</v>
      </c>
      <c r="I264" s="24">
        <v>0</v>
      </c>
      <c r="J264" s="19">
        <v>0</v>
      </c>
      <c r="K264" s="23">
        <v>0</v>
      </c>
      <c r="L264" s="24">
        <v>0</v>
      </c>
      <c r="M264" s="25">
        <v>1</v>
      </c>
      <c r="N264" s="26">
        <v>1000</v>
      </c>
      <c r="O264" s="27">
        <v>1</v>
      </c>
      <c r="P264" s="28">
        <f t="shared" si="21"/>
        <v>0.4</v>
      </c>
      <c r="Q264" s="29">
        <f t="shared" si="22"/>
        <v>1000</v>
      </c>
      <c r="R264" s="30">
        <v>1</v>
      </c>
      <c r="S264" s="19">
        <v>0</v>
      </c>
      <c r="T264" s="23">
        <v>0</v>
      </c>
      <c r="U264" s="24">
        <v>0</v>
      </c>
      <c r="V264" s="31">
        <f t="shared" si="23"/>
        <v>0.8</v>
      </c>
      <c r="W264" s="32">
        <v>2000</v>
      </c>
      <c r="X264" s="30">
        <v>2</v>
      </c>
      <c r="Y264" s="19">
        <v>0</v>
      </c>
      <c r="Z264" s="23">
        <v>0</v>
      </c>
      <c r="AA264" s="24">
        <v>0</v>
      </c>
      <c r="AB264" s="33">
        <v>0</v>
      </c>
      <c r="AC264" s="34">
        <v>0</v>
      </c>
      <c r="AD264" s="35">
        <v>0</v>
      </c>
      <c r="AE264" s="36">
        <v>0</v>
      </c>
      <c r="AF264" s="23">
        <v>0</v>
      </c>
      <c r="AG264" s="24">
        <v>0</v>
      </c>
      <c r="AH264" s="33">
        <v>0</v>
      </c>
      <c r="AI264" s="37">
        <v>0</v>
      </c>
      <c r="AJ264" s="35">
        <v>0</v>
      </c>
      <c r="AK264" s="36">
        <v>0</v>
      </c>
      <c r="AL264" s="38">
        <v>0</v>
      </c>
      <c r="AM264" s="35">
        <v>0</v>
      </c>
      <c r="AN264" s="19">
        <v>0</v>
      </c>
      <c r="AO264" s="23">
        <v>0</v>
      </c>
      <c r="AP264" s="24">
        <v>0</v>
      </c>
      <c r="AQ264" s="31">
        <f t="shared" si="24"/>
        <v>2.2000000000000002</v>
      </c>
      <c r="AR264" s="32">
        <f t="shared" si="24"/>
        <v>4000</v>
      </c>
      <c r="AS264" s="30">
        <v>2</v>
      </c>
    </row>
    <row r="265" spans="1:45" ht="15.6" x14ac:dyDescent="0.3">
      <c r="A265" s="19">
        <v>262</v>
      </c>
      <c r="B265" s="21" t="s">
        <v>263</v>
      </c>
      <c r="C265" s="20" t="s">
        <v>287</v>
      </c>
      <c r="D265" s="324"/>
      <c r="E265" s="22">
        <v>12</v>
      </c>
      <c r="F265" s="23">
        <f t="shared" si="20"/>
        <v>30000</v>
      </c>
      <c r="G265" s="19">
        <v>0</v>
      </c>
      <c r="H265" s="23">
        <v>0</v>
      </c>
      <c r="I265" s="24">
        <v>0</v>
      </c>
      <c r="J265" s="19">
        <v>0</v>
      </c>
      <c r="K265" s="23">
        <v>0</v>
      </c>
      <c r="L265" s="24">
        <v>0</v>
      </c>
      <c r="M265" s="25">
        <v>3.2</v>
      </c>
      <c r="N265" s="26">
        <v>8000</v>
      </c>
      <c r="O265" s="27">
        <v>8</v>
      </c>
      <c r="P265" s="28">
        <f t="shared" si="21"/>
        <v>0.4</v>
      </c>
      <c r="Q265" s="29">
        <f t="shared" si="22"/>
        <v>1000</v>
      </c>
      <c r="R265" s="30">
        <v>1</v>
      </c>
      <c r="S265" s="19">
        <v>0</v>
      </c>
      <c r="T265" s="23">
        <v>0</v>
      </c>
      <c r="U265" s="24">
        <v>0</v>
      </c>
      <c r="V265" s="31">
        <f t="shared" si="23"/>
        <v>4</v>
      </c>
      <c r="W265" s="32">
        <v>10000</v>
      </c>
      <c r="X265" s="30">
        <v>10</v>
      </c>
      <c r="Y265" s="19">
        <v>0</v>
      </c>
      <c r="Z265" s="23">
        <v>0</v>
      </c>
      <c r="AA265" s="24">
        <v>0</v>
      </c>
      <c r="AB265" s="33">
        <v>0</v>
      </c>
      <c r="AC265" s="34">
        <v>0</v>
      </c>
      <c r="AD265" s="35">
        <v>0</v>
      </c>
      <c r="AE265" s="36">
        <v>0</v>
      </c>
      <c r="AF265" s="23">
        <v>0</v>
      </c>
      <c r="AG265" s="24">
        <v>0</v>
      </c>
      <c r="AH265" s="33">
        <v>0</v>
      </c>
      <c r="AI265" s="37">
        <v>0</v>
      </c>
      <c r="AJ265" s="35">
        <v>0</v>
      </c>
      <c r="AK265" s="36">
        <v>0</v>
      </c>
      <c r="AL265" s="38">
        <v>0</v>
      </c>
      <c r="AM265" s="35">
        <v>0</v>
      </c>
      <c r="AN265" s="19">
        <v>0</v>
      </c>
      <c r="AO265" s="23">
        <v>0</v>
      </c>
      <c r="AP265" s="24">
        <v>0</v>
      </c>
      <c r="AQ265" s="31">
        <f t="shared" si="24"/>
        <v>7.6</v>
      </c>
      <c r="AR265" s="32">
        <f t="shared" si="24"/>
        <v>19000</v>
      </c>
      <c r="AS265" s="30">
        <v>10</v>
      </c>
    </row>
    <row r="266" spans="1:45" ht="15.6" x14ac:dyDescent="0.3">
      <c r="A266" s="19">
        <v>263</v>
      </c>
      <c r="B266" s="21" t="s">
        <v>263</v>
      </c>
      <c r="C266" s="20" t="s">
        <v>288</v>
      </c>
      <c r="D266" s="324"/>
      <c r="E266" s="22">
        <v>19</v>
      </c>
      <c r="F266" s="23">
        <f t="shared" si="20"/>
        <v>47500</v>
      </c>
      <c r="G266" s="19">
        <v>0</v>
      </c>
      <c r="H266" s="23">
        <v>0</v>
      </c>
      <c r="I266" s="24">
        <v>0</v>
      </c>
      <c r="J266" s="19">
        <v>0</v>
      </c>
      <c r="K266" s="23">
        <v>0</v>
      </c>
      <c r="L266" s="24">
        <v>0</v>
      </c>
      <c r="M266" s="25">
        <v>7.2</v>
      </c>
      <c r="N266" s="26">
        <v>18000</v>
      </c>
      <c r="O266" s="27">
        <v>18</v>
      </c>
      <c r="P266" s="28">
        <f t="shared" si="21"/>
        <v>0.4</v>
      </c>
      <c r="Q266" s="29">
        <f t="shared" si="22"/>
        <v>1000</v>
      </c>
      <c r="R266" s="30">
        <v>1</v>
      </c>
      <c r="S266" s="19">
        <v>0</v>
      </c>
      <c r="T266" s="23">
        <v>0</v>
      </c>
      <c r="U266" s="24">
        <v>0</v>
      </c>
      <c r="V266" s="31">
        <f t="shared" si="23"/>
        <v>7.6</v>
      </c>
      <c r="W266" s="32">
        <v>19000</v>
      </c>
      <c r="X266" s="30">
        <v>19</v>
      </c>
      <c r="Y266" s="19">
        <v>0</v>
      </c>
      <c r="Z266" s="23">
        <v>0</v>
      </c>
      <c r="AA266" s="24">
        <v>0</v>
      </c>
      <c r="AB266" s="33">
        <v>0</v>
      </c>
      <c r="AC266" s="34">
        <v>0</v>
      </c>
      <c r="AD266" s="35">
        <v>0</v>
      </c>
      <c r="AE266" s="36">
        <v>0</v>
      </c>
      <c r="AF266" s="23">
        <v>0</v>
      </c>
      <c r="AG266" s="24">
        <v>0</v>
      </c>
      <c r="AH266" s="33">
        <v>0</v>
      </c>
      <c r="AI266" s="37">
        <v>0</v>
      </c>
      <c r="AJ266" s="35">
        <v>0</v>
      </c>
      <c r="AK266" s="36">
        <v>0</v>
      </c>
      <c r="AL266" s="38">
        <v>0</v>
      </c>
      <c r="AM266" s="35">
        <v>0</v>
      </c>
      <c r="AN266" s="19">
        <v>0</v>
      </c>
      <c r="AO266" s="23">
        <v>0</v>
      </c>
      <c r="AP266" s="24">
        <v>0</v>
      </c>
      <c r="AQ266" s="31">
        <f t="shared" si="24"/>
        <v>15.2</v>
      </c>
      <c r="AR266" s="32">
        <f t="shared" si="24"/>
        <v>38000</v>
      </c>
      <c r="AS266" s="30">
        <v>19</v>
      </c>
    </row>
    <row r="267" spans="1:45" ht="15.6" x14ac:dyDescent="0.3">
      <c r="A267" s="19">
        <v>264</v>
      </c>
      <c r="B267" s="21" t="s">
        <v>263</v>
      </c>
      <c r="C267" s="20" t="s">
        <v>289</v>
      </c>
      <c r="D267" s="324"/>
      <c r="E267" s="22">
        <v>12</v>
      </c>
      <c r="F267" s="23">
        <f t="shared" si="20"/>
        <v>30000</v>
      </c>
      <c r="G267" s="19">
        <v>0</v>
      </c>
      <c r="H267" s="23">
        <v>0</v>
      </c>
      <c r="I267" s="24">
        <v>0</v>
      </c>
      <c r="J267" s="19">
        <v>0</v>
      </c>
      <c r="K267" s="23">
        <v>0</v>
      </c>
      <c r="L267" s="24">
        <v>0</v>
      </c>
      <c r="M267" s="25">
        <v>4.4000000000000004</v>
      </c>
      <c r="N267" s="26">
        <v>11000</v>
      </c>
      <c r="O267" s="27">
        <v>11</v>
      </c>
      <c r="P267" s="28">
        <f t="shared" si="21"/>
        <v>0.4</v>
      </c>
      <c r="Q267" s="29">
        <f t="shared" si="22"/>
        <v>1000</v>
      </c>
      <c r="R267" s="30">
        <v>1</v>
      </c>
      <c r="S267" s="19">
        <v>0</v>
      </c>
      <c r="T267" s="23">
        <v>0</v>
      </c>
      <c r="U267" s="24">
        <v>0</v>
      </c>
      <c r="V267" s="31">
        <f t="shared" si="23"/>
        <v>4.8</v>
      </c>
      <c r="W267" s="32">
        <v>12000</v>
      </c>
      <c r="X267" s="30">
        <v>12</v>
      </c>
      <c r="Y267" s="19">
        <v>0</v>
      </c>
      <c r="Z267" s="23">
        <v>0</v>
      </c>
      <c r="AA267" s="24">
        <v>0</v>
      </c>
      <c r="AB267" s="33">
        <v>0</v>
      </c>
      <c r="AC267" s="34">
        <v>0</v>
      </c>
      <c r="AD267" s="35">
        <v>0</v>
      </c>
      <c r="AE267" s="36">
        <v>0</v>
      </c>
      <c r="AF267" s="23">
        <v>0</v>
      </c>
      <c r="AG267" s="24">
        <v>0</v>
      </c>
      <c r="AH267" s="33">
        <v>0</v>
      </c>
      <c r="AI267" s="37">
        <v>0</v>
      </c>
      <c r="AJ267" s="35">
        <v>0</v>
      </c>
      <c r="AK267" s="36">
        <v>0</v>
      </c>
      <c r="AL267" s="38">
        <v>0</v>
      </c>
      <c r="AM267" s="35">
        <v>0</v>
      </c>
      <c r="AN267" s="19">
        <v>0</v>
      </c>
      <c r="AO267" s="23">
        <v>0</v>
      </c>
      <c r="AP267" s="24">
        <v>0</v>
      </c>
      <c r="AQ267" s="31">
        <f t="shared" si="24"/>
        <v>9.6000000000000014</v>
      </c>
      <c r="AR267" s="32">
        <f t="shared" si="24"/>
        <v>24000</v>
      </c>
      <c r="AS267" s="30">
        <v>12</v>
      </c>
    </row>
    <row r="268" spans="1:45" ht="15.6" x14ac:dyDescent="0.3">
      <c r="A268" s="19">
        <v>265</v>
      </c>
      <c r="B268" s="21" t="s">
        <v>263</v>
      </c>
      <c r="C268" s="20" t="s">
        <v>290</v>
      </c>
      <c r="D268" s="324"/>
      <c r="E268" s="22">
        <v>15</v>
      </c>
      <c r="F268" s="23">
        <f t="shared" si="20"/>
        <v>37500</v>
      </c>
      <c r="G268" s="19">
        <v>0</v>
      </c>
      <c r="H268" s="23">
        <v>0</v>
      </c>
      <c r="I268" s="24">
        <v>0</v>
      </c>
      <c r="J268" s="19">
        <v>0</v>
      </c>
      <c r="K268" s="23">
        <v>0</v>
      </c>
      <c r="L268" s="24">
        <v>0</v>
      </c>
      <c r="M268" s="25">
        <v>5.2</v>
      </c>
      <c r="N268" s="26">
        <v>13000</v>
      </c>
      <c r="O268" s="27">
        <v>13</v>
      </c>
      <c r="P268" s="28">
        <f t="shared" si="21"/>
        <v>0</v>
      </c>
      <c r="Q268" s="29">
        <f t="shared" si="22"/>
        <v>0</v>
      </c>
      <c r="R268" s="30">
        <v>0</v>
      </c>
      <c r="S268" s="19">
        <v>0</v>
      </c>
      <c r="T268" s="23">
        <v>0</v>
      </c>
      <c r="U268" s="24">
        <v>0</v>
      </c>
      <c r="V268" s="31">
        <f t="shared" si="23"/>
        <v>4.8</v>
      </c>
      <c r="W268" s="32">
        <v>12000</v>
      </c>
      <c r="X268" s="30">
        <v>12</v>
      </c>
      <c r="Y268" s="19">
        <v>0</v>
      </c>
      <c r="Z268" s="23">
        <v>0</v>
      </c>
      <c r="AA268" s="24">
        <v>0</v>
      </c>
      <c r="AB268" s="33">
        <v>0</v>
      </c>
      <c r="AC268" s="34">
        <v>0</v>
      </c>
      <c r="AD268" s="35">
        <v>0</v>
      </c>
      <c r="AE268" s="36">
        <v>0</v>
      </c>
      <c r="AF268" s="23">
        <v>0</v>
      </c>
      <c r="AG268" s="24">
        <v>0</v>
      </c>
      <c r="AH268" s="33">
        <v>0</v>
      </c>
      <c r="AI268" s="37">
        <v>0</v>
      </c>
      <c r="AJ268" s="35">
        <v>0</v>
      </c>
      <c r="AK268" s="36">
        <v>0</v>
      </c>
      <c r="AL268" s="38">
        <v>0</v>
      </c>
      <c r="AM268" s="35">
        <v>0</v>
      </c>
      <c r="AN268" s="19">
        <v>0</v>
      </c>
      <c r="AO268" s="23">
        <v>0</v>
      </c>
      <c r="AP268" s="24">
        <v>0</v>
      </c>
      <c r="AQ268" s="31">
        <f t="shared" si="24"/>
        <v>10</v>
      </c>
      <c r="AR268" s="32">
        <f t="shared" si="24"/>
        <v>25000</v>
      </c>
      <c r="AS268" s="30">
        <v>13</v>
      </c>
    </row>
    <row r="269" spans="1:45" ht="15.6" x14ac:dyDescent="0.3">
      <c r="A269" s="19">
        <v>266</v>
      </c>
      <c r="B269" s="21" t="s">
        <v>263</v>
      </c>
      <c r="C269" s="20" t="s">
        <v>291</v>
      </c>
      <c r="D269" s="324"/>
      <c r="E269" s="22">
        <v>34</v>
      </c>
      <c r="F269" s="23">
        <f t="shared" si="20"/>
        <v>85000</v>
      </c>
      <c r="G269" s="19">
        <v>0</v>
      </c>
      <c r="H269" s="23">
        <v>0</v>
      </c>
      <c r="I269" s="24">
        <v>0</v>
      </c>
      <c r="J269" s="19">
        <v>0</v>
      </c>
      <c r="K269" s="23">
        <v>0</v>
      </c>
      <c r="L269" s="24">
        <v>0</v>
      </c>
      <c r="M269" s="25">
        <v>11.6</v>
      </c>
      <c r="N269" s="26">
        <v>29000</v>
      </c>
      <c r="O269" s="27">
        <v>29</v>
      </c>
      <c r="P269" s="28">
        <f t="shared" si="21"/>
        <v>1.6</v>
      </c>
      <c r="Q269" s="29">
        <f t="shared" si="22"/>
        <v>4000</v>
      </c>
      <c r="R269" s="30">
        <v>4</v>
      </c>
      <c r="S269" s="19">
        <v>0</v>
      </c>
      <c r="T269" s="23">
        <v>0</v>
      </c>
      <c r="U269" s="24">
        <v>0</v>
      </c>
      <c r="V269" s="31">
        <f t="shared" si="23"/>
        <v>12.4</v>
      </c>
      <c r="W269" s="32">
        <v>31000</v>
      </c>
      <c r="X269" s="30">
        <v>31</v>
      </c>
      <c r="Y269" s="19">
        <v>0</v>
      </c>
      <c r="Z269" s="23">
        <v>0</v>
      </c>
      <c r="AA269" s="24">
        <v>0</v>
      </c>
      <c r="AB269" s="33">
        <v>0</v>
      </c>
      <c r="AC269" s="34">
        <v>0</v>
      </c>
      <c r="AD269" s="35">
        <v>0</v>
      </c>
      <c r="AE269" s="36">
        <v>0</v>
      </c>
      <c r="AF269" s="23">
        <v>0</v>
      </c>
      <c r="AG269" s="24">
        <v>0</v>
      </c>
      <c r="AH269" s="33">
        <v>0</v>
      </c>
      <c r="AI269" s="37">
        <v>0</v>
      </c>
      <c r="AJ269" s="35">
        <v>0</v>
      </c>
      <c r="AK269" s="36">
        <v>0</v>
      </c>
      <c r="AL269" s="38">
        <v>0</v>
      </c>
      <c r="AM269" s="35">
        <v>0</v>
      </c>
      <c r="AN269" s="19">
        <v>0</v>
      </c>
      <c r="AO269" s="23">
        <v>0</v>
      </c>
      <c r="AP269" s="24">
        <v>0</v>
      </c>
      <c r="AQ269" s="31">
        <f t="shared" si="24"/>
        <v>25.6</v>
      </c>
      <c r="AR269" s="32">
        <f t="shared" si="24"/>
        <v>64000</v>
      </c>
      <c r="AS269" s="30">
        <v>34</v>
      </c>
    </row>
    <row r="270" spans="1:45" ht="15.6" x14ac:dyDescent="0.3">
      <c r="A270" s="19">
        <v>267</v>
      </c>
      <c r="B270" s="21" t="s">
        <v>292</v>
      </c>
      <c r="C270" s="20" t="s">
        <v>293</v>
      </c>
      <c r="D270" s="324"/>
      <c r="E270" s="22">
        <v>11.4</v>
      </c>
      <c r="F270" s="23">
        <f t="shared" si="20"/>
        <v>28500</v>
      </c>
      <c r="G270" s="19">
        <v>0</v>
      </c>
      <c r="H270" s="23">
        <v>0</v>
      </c>
      <c r="I270" s="24">
        <v>0</v>
      </c>
      <c r="J270" s="19">
        <v>0</v>
      </c>
      <c r="K270" s="23">
        <v>0</v>
      </c>
      <c r="L270" s="24">
        <v>0</v>
      </c>
      <c r="M270" s="25">
        <v>3.6</v>
      </c>
      <c r="N270" s="26">
        <v>9000</v>
      </c>
      <c r="O270" s="27">
        <v>9</v>
      </c>
      <c r="P270" s="28">
        <f t="shared" si="21"/>
        <v>1.6</v>
      </c>
      <c r="Q270" s="29">
        <f t="shared" si="22"/>
        <v>4000</v>
      </c>
      <c r="R270" s="30">
        <v>4</v>
      </c>
      <c r="S270" s="19">
        <v>0</v>
      </c>
      <c r="T270" s="23">
        <v>0</v>
      </c>
      <c r="U270" s="24">
        <v>0</v>
      </c>
      <c r="V270" s="31">
        <f t="shared" si="23"/>
        <v>4.8</v>
      </c>
      <c r="W270" s="32">
        <v>12000</v>
      </c>
      <c r="X270" s="30">
        <v>12</v>
      </c>
      <c r="Y270" s="19">
        <v>0</v>
      </c>
      <c r="Z270" s="23">
        <v>0</v>
      </c>
      <c r="AA270" s="24">
        <v>0</v>
      </c>
      <c r="AB270" s="33">
        <v>0</v>
      </c>
      <c r="AC270" s="34">
        <v>0</v>
      </c>
      <c r="AD270" s="35">
        <v>0</v>
      </c>
      <c r="AE270" s="36">
        <v>0</v>
      </c>
      <c r="AF270" s="23">
        <v>0</v>
      </c>
      <c r="AG270" s="24">
        <v>0</v>
      </c>
      <c r="AH270" s="33">
        <v>0</v>
      </c>
      <c r="AI270" s="37">
        <v>0</v>
      </c>
      <c r="AJ270" s="35">
        <v>0</v>
      </c>
      <c r="AK270" s="36">
        <v>0</v>
      </c>
      <c r="AL270" s="38">
        <v>0</v>
      </c>
      <c r="AM270" s="35">
        <v>0</v>
      </c>
      <c r="AN270" s="19">
        <v>0</v>
      </c>
      <c r="AO270" s="23">
        <v>0</v>
      </c>
      <c r="AP270" s="24">
        <v>0</v>
      </c>
      <c r="AQ270" s="31">
        <f t="shared" si="24"/>
        <v>10</v>
      </c>
      <c r="AR270" s="32">
        <f t="shared" si="24"/>
        <v>25000</v>
      </c>
      <c r="AS270" s="30">
        <v>13</v>
      </c>
    </row>
    <row r="271" spans="1:45" ht="15.6" x14ac:dyDescent="0.3">
      <c r="A271" s="19">
        <v>268</v>
      </c>
      <c r="B271" s="21" t="s">
        <v>292</v>
      </c>
      <c r="C271" s="20" t="s">
        <v>294</v>
      </c>
      <c r="D271" s="324"/>
      <c r="E271" s="22">
        <v>8.5999999999999979</v>
      </c>
      <c r="F271" s="23">
        <f t="shared" si="20"/>
        <v>21499.999999999996</v>
      </c>
      <c r="G271" s="19">
        <v>0</v>
      </c>
      <c r="H271" s="23">
        <v>0</v>
      </c>
      <c r="I271" s="24">
        <v>0</v>
      </c>
      <c r="J271" s="19">
        <v>0</v>
      </c>
      <c r="K271" s="23">
        <v>0</v>
      </c>
      <c r="L271" s="24">
        <v>0</v>
      </c>
      <c r="M271" s="25">
        <v>2.8</v>
      </c>
      <c r="N271" s="26">
        <v>7000</v>
      </c>
      <c r="O271" s="27">
        <v>7</v>
      </c>
      <c r="P271" s="28">
        <f t="shared" si="21"/>
        <v>1.2</v>
      </c>
      <c r="Q271" s="29">
        <f t="shared" si="22"/>
        <v>3000</v>
      </c>
      <c r="R271" s="30">
        <v>3</v>
      </c>
      <c r="S271" s="19">
        <v>0</v>
      </c>
      <c r="T271" s="23">
        <v>0</v>
      </c>
      <c r="U271" s="24">
        <v>0</v>
      </c>
      <c r="V271" s="31">
        <f t="shared" si="23"/>
        <v>3.6</v>
      </c>
      <c r="W271" s="32">
        <v>9000</v>
      </c>
      <c r="X271" s="30">
        <v>9</v>
      </c>
      <c r="Y271" s="19">
        <v>0</v>
      </c>
      <c r="Z271" s="23">
        <v>0</v>
      </c>
      <c r="AA271" s="24">
        <v>0</v>
      </c>
      <c r="AB271" s="33">
        <v>0</v>
      </c>
      <c r="AC271" s="34">
        <v>0</v>
      </c>
      <c r="AD271" s="35">
        <v>0</v>
      </c>
      <c r="AE271" s="36">
        <v>0</v>
      </c>
      <c r="AF271" s="23">
        <v>0</v>
      </c>
      <c r="AG271" s="24">
        <v>0</v>
      </c>
      <c r="AH271" s="33">
        <v>0</v>
      </c>
      <c r="AI271" s="37">
        <v>0</v>
      </c>
      <c r="AJ271" s="35">
        <v>0</v>
      </c>
      <c r="AK271" s="36">
        <v>0</v>
      </c>
      <c r="AL271" s="38">
        <v>0</v>
      </c>
      <c r="AM271" s="35">
        <v>0</v>
      </c>
      <c r="AN271" s="19">
        <v>0</v>
      </c>
      <c r="AO271" s="23">
        <v>0</v>
      </c>
      <c r="AP271" s="24">
        <v>0</v>
      </c>
      <c r="AQ271" s="31">
        <f t="shared" si="24"/>
        <v>7.6</v>
      </c>
      <c r="AR271" s="32">
        <f t="shared" si="24"/>
        <v>19000</v>
      </c>
      <c r="AS271" s="30">
        <v>10</v>
      </c>
    </row>
    <row r="272" spans="1:45" ht="15.6" x14ac:dyDescent="0.3">
      <c r="A272" s="19">
        <v>269</v>
      </c>
      <c r="B272" s="21" t="s">
        <v>292</v>
      </c>
      <c r="C272" s="20" t="s">
        <v>295</v>
      </c>
      <c r="D272" s="324"/>
      <c r="E272" s="22">
        <v>40.6</v>
      </c>
      <c r="F272" s="23">
        <f t="shared" si="20"/>
        <v>101500</v>
      </c>
      <c r="G272" s="19">
        <v>0</v>
      </c>
      <c r="H272" s="23">
        <v>0</v>
      </c>
      <c r="I272" s="24">
        <v>0</v>
      </c>
      <c r="J272" s="19">
        <v>0</v>
      </c>
      <c r="K272" s="23">
        <v>0</v>
      </c>
      <c r="L272" s="24">
        <v>0</v>
      </c>
      <c r="M272" s="25">
        <v>13.2</v>
      </c>
      <c r="N272" s="26">
        <v>33000</v>
      </c>
      <c r="O272" s="27">
        <v>33</v>
      </c>
      <c r="P272" s="28">
        <f t="shared" si="21"/>
        <v>1.6</v>
      </c>
      <c r="Q272" s="29">
        <f t="shared" si="22"/>
        <v>4000</v>
      </c>
      <c r="R272" s="30">
        <v>4</v>
      </c>
      <c r="S272" s="19">
        <v>0</v>
      </c>
      <c r="T272" s="23">
        <v>0</v>
      </c>
      <c r="U272" s="24">
        <v>0</v>
      </c>
      <c r="V272" s="31">
        <f t="shared" si="23"/>
        <v>14.8</v>
      </c>
      <c r="W272" s="32">
        <v>37000</v>
      </c>
      <c r="X272" s="30">
        <v>37</v>
      </c>
      <c r="Y272" s="19">
        <v>0</v>
      </c>
      <c r="Z272" s="23">
        <v>0</v>
      </c>
      <c r="AA272" s="24">
        <v>0</v>
      </c>
      <c r="AB272" s="33">
        <v>0</v>
      </c>
      <c r="AC272" s="34">
        <v>0</v>
      </c>
      <c r="AD272" s="35">
        <v>0</v>
      </c>
      <c r="AE272" s="36">
        <v>0</v>
      </c>
      <c r="AF272" s="23">
        <v>0</v>
      </c>
      <c r="AG272" s="24">
        <v>0</v>
      </c>
      <c r="AH272" s="33">
        <v>0</v>
      </c>
      <c r="AI272" s="37">
        <v>0</v>
      </c>
      <c r="AJ272" s="35">
        <v>0</v>
      </c>
      <c r="AK272" s="36">
        <v>0</v>
      </c>
      <c r="AL272" s="38">
        <v>0</v>
      </c>
      <c r="AM272" s="35">
        <v>0</v>
      </c>
      <c r="AN272" s="19">
        <v>0</v>
      </c>
      <c r="AO272" s="23">
        <v>0</v>
      </c>
      <c r="AP272" s="24">
        <v>0</v>
      </c>
      <c r="AQ272" s="31">
        <f t="shared" si="24"/>
        <v>29.6</v>
      </c>
      <c r="AR272" s="32">
        <f t="shared" si="24"/>
        <v>74000</v>
      </c>
      <c r="AS272" s="30">
        <v>37</v>
      </c>
    </row>
    <row r="273" spans="1:45" ht="15.6" x14ac:dyDescent="0.3">
      <c r="A273" s="19">
        <v>270</v>
      </c>
      <c r="B273" s="21" t="s">
        <v>292</v>
      </c>
      <c r="C273" s="20" t="s">
        <v>296</v>
      </c>
      <c r="D273" s="324"/>
      <c r="E273" s="22">
        <v>20.399999999999999</v>
      </c>
      <c r="F273" s="23">
        <f t="shared" si="20"/>
        <v>51000</v>
      </c>
      <c r="G273" s="19">
        <v>0</v>
      </c>
      <c r="H273" s="23">
        <v>0</v>
      </c>
      <c r="I273" s="24">
        <v>0</v>
      </c>
      <c r="J273" s="19">
        <v>0</v>
      </c>
      <c r="K273" s="23">
        <v>0</v>
      </c>
      <c r="L273" s="24">
        <v>0</v>
      </c>
      <c r="M273" s="25">
        <v>5.6</v>
      </c>
      <c r="N273" s="26">
        <v>14000</v>
      </c>
      <c r="O273" s="27">
        <v>14</v>
      </c>
      <c r="P273" s="28">
        <f t="shared" si="21"/>
        <v>0.4</v>
      </c>
      <c r="Q273" s="29">
        <f t="shared" si="22"/>
        <v>1000</v>
      </c>
      <c r="R273" s="30">
        <v>1</v>
      </c>
      <c r="S273" s="19">
        <v>0</v>
      </c>
      <c r="T273" s="23">
        <v>0</v>
      </c>
      <c r="U273" s="24">
        <v>0</v>
      </c>
      <c r="V273" s="31">
        <f t="shared" si="23"/>
        <v>6</v>
      </c>
      <c r="W273" s="32">
        <v>15000</v>
      </c>
      <c r="X273" s="30">
        <v>15</v>
      </c>
      <c r="Y273" s="19">
        <v>0</v>
      </c>
      <c r="Z273" s="23">
        <v>0</v>
      </c>
      <c r="AA273" s="24">
        <v>0</v>
      </c>
      <c r="AB273" s="33">
        <v>0</v>
      </c>
      <c r="AC273" s="34">
        <v>0</v>
      </c>
      <c r="AD273" s="35">
        <v>0</v>
      </c>
      <c r="AE273" s="36">
        <v>0</v>
      </c>
      <c r="AF273" s="23">
        <v>0</v>
      </c>
      <c r="AG273" s="24">
        <v>0</v>
      </c>
      <c r="AH273" s="33">
        <v>0</v>
      </c>
      <c r="AI273" s="37">
        <v>0</v>
      </c>
      <c r="AJ273" s="35">
        <v>0</v>
      </c>
      <c r="AK273" s="36">
        <v>0</v>
      </c>
      <c r="AL273" s="38">
        <v>0</v>
      </c>
      <c r="AM273" s="35">
        <v>0</v>
      </c>
      <c r="AN273" s="19">
        <v>0</v>
      </c>
      <c r="AO273" s="23">
        <v>0</v>
      </c>
      <c r="AP273" s="24">
        <v>0</v>
      </c>
      <c r="AQ273" s="31">
        <f t="shared" si="24"/>
        <v>12</v>
      </c>
      <c r="AR273" s="32">
        <f t="shared" si="24"/>
        <v>30000</v>
      </c>
      <c r="AS273" s="30">
        <v>16</v>
      </c>
    </row>
    <row r="274" spans="1:45" ht="15.6" x14ac:dyDescent="0.3">
      <c r="A274" s="19">
        <v>271</v>
      </c>
      <c r="B274" s="21" t="s">
        <v>292</v>
      </c>
      <c r="C274" s="20" t="s">
        <v>297</v>
      </c>
      <c r="D274" s="324"/>
      <c r="E274" s="22">
        <v>6</v>
      </c>
      <c r="F274" s="23">
        <f t="shared" si="20"/>
        <v>15000</v>
      </c>
      <c r="G274" s="19">
        <v>0</v>
      </c>
      <c r="H274" s="23">
        <v>0</v>
      </c>
      <c r="I274" s="24">
        <v>0</v>
      </c>
      <c r="J274" s="19">
        <v>0</v>
      </c>
      <c r="K274" s="23">
        <v>0</v>
      </c>
      <c r="L274" s="24">
        <v>0</v>
      </c>
      <c r="M274" s="25">
        <v>2.4</v>
      </c>
      <c r="N274" s="26">
        <v>6000</v>
      </c>
      <c r="O274" s="27">
        <v>6</v>
      </c>
      <c r="P274" s="28">
        <f t="shared" si="21"/>
        <v>0</v>
      </c>
      <c r="Q274" s="29">
        <f t="shared" si="22"/>
        <v>0</v>
      </c>
      <c r="R274" s="30">
        <v>0</v>
      </c>
      <c r="S274" s="19">
        <v>0</v>
      </c>
      <c r="T274" s="23">
        <v>0</v>
      </c>
      <c r="U274" s="24">
        <v>0</v>
      </c>
      <c r="V274" s="31">
        <f t="shared" si="23"/>
        <v>1.6</v>
      </c>
      <c r="W274" s="32">
        <v>4000</v>
      </c>
      <c r="X274" s="30">
        <v>4</v>
      </c>
      <c r="Y274" s="19">
        <v>0</v>
      </c>
      <c r="Z274" s="23">
        <v>0</v>
      </c>
      <c r="AA274" s="24">
        <v>0</v>
      </c>
      <c r="AB274" s="33">
        <v>0</v>
      </c>
      <c r="AC274" s="34">
        <v>0</v>
      </c>
      <c r="AD274" s="35">
        <v>0</v>
      </c>
      <c r="AE274" s="36">
        <v>0</v>
      </c>
      <c r="AF274" s="23">
        <v>0</v>
      </c>
      <c r="AG274" s="24">
        <v>0</v>
      </c>
      <c r="AH274" s="33">
        <v>0</v>
      </c>
      <c r="AI274" s="37">
        <v>0</v>
      </c>
      <c r="AJ274" s="35">
        <v>0</v>
      </c>
      <c r="AK274" s="36">
        <v>0</v>
      </c>
      <c r="AL274" s="38">
        <v>0</v>
      </c>
      <c r="AM274" s="35">
        <v>0</v>
      </c>
      <c r="AN274" s="19">
        <v>0</v>
      </c>
      <c r="AO274" s="23">
        <v>0</v>
      </c>
      <c r="AP274" s="24">
        <v>0</v>
      </c>
      <c r="AQ274" s="31">
        <f t="shared" si="24"/>
        <v>4</v>
      </c>
      <c r="AR274" s="32">
        <f t="shared" si="24"/>
        <v>10000</v>
      </c>
      <c r="AS274" s="30">
        <v>6</v>
      </c>
    </row>
    <row r="275" spans="1:45" ht="15.6" x14ac:dyDescent="0.3">
      <c r="A275" s="19">
        <v>272</v>
      </c>
      <c r="B275" s="21" t="s">
        <v>292</v>
      </c>
      <c r="C275" s="20" t="s">
        <v>298</v>
      </c>
      <c r="D275" s="324"/>
      <c r="E275" s="22">
        <v>7</v>
      </c>
      <c r="F275" s="23">
        <f t="shared" si="20"/>
        <v>17500</v>
      </c>
      <c r="G275" s="19">
        <v>0</v>
      </c>
      <c r="H275" s="23">
        <v>0</v>
      </c>
      <c r="I275" s="24">
        <v>0</v>
      </c>
      <c r="J275" s="19">
        <v>0</v>
      </c>
      <c r="K275" s="23">
        <v>0</v>
      </c>
      <c r="L275" s="24">
        <v>0</v>
      </c>
      <c r="M275" s="25">
        <v>2.4</v>
      </c>
      <c r="N275" s="26">
        <v>6000</v>
      </c>
      <c r="O275" s="27">
        <v>6</v>
      </c>
      <c r="P275" s="28">
        <f t="shared" si="21"/>
        <v>1.2</v>
      </c>
      <c r="Q275" s="29">
        <f t="shared" si="22"/>
        <v>3000</v>
      </c>
      <c r="R275" s="30">
        <v>3</v>
      </c>
      <c r="S275" s="19">
        <v>0</v>
      </c>
      <c r="T275" s="23">
        <v>0</v>
      </c>
      <c r="U275" s="24">
        <v>0</v>
      </c>
      <c r="V275" s="31">
        <f t="shared" si="23"/>
        <v>4</v>
      </c>
      <c r="W275" s="32">
        <v>10000</v>
      </c>
      <c r="X275" s="30">
        <v>10</v>
      </c>
      <c r="Y275" s="19">
        <v>0</v>
      </c>
      <c r="Z275" s="23">
        <v>0</v>
      </c>
      <c r="AA275" s="24">
        <v>0</v>
      </c>
      <c r="AB275" s="33">
        <v>0</v>
      </c>
      <c r="AC275" s="34">
        <v>0</v>
      </c>
      <c r="AD275" s="35">
        <v>0</v>
      </c>
      <c r="AE275" s="36">
        <v>0</v>
      </c>
      <c r="AF275" s="23">
        <v>0</v>
      </c>
      <c r="AG275" s="24">
        <v>0</v>
      </c>
      <c r="AH275" s="33">
        <v>0</v>
      </c>
      <c r="AI275" s="37">
        <v>0</v>
      </c>
      <c r="AJ275" s="35">
        <v>0</v>
      </c>
      <c r="AK275" s="36">
        <v>0</v>
      </c>
      <c r="AL275" s="38">
        <v>0</v>
      </c>
      <c r="AM275" s="35">
        <v>0</v>
      </c>
      <c r="AN275" s="19">
        <v>0</v>
      </c>
      <c r="AO275" s="23">
        <v>0</v>
      </c>
      <c r="AP275" s="24">
        <v>0</v>
      </c>
      <c r="AQ275" s="31">
        <f t="shared" si="24"/>
        <v>7.6</v>
      </c>
      <c r="AR275" s="32">
        <f t="shared" si="24"/>
        <v>19000</v>
      </c>
      <c r="AS275" s="30">
        <v>10</v>
      </c>
    </row>
    <row r="276" spans="1:45" ht="15.6" x14ac:dyDescent="0.3">
      <c r="A276" s="19">
        <v>273</v>
      </c>
      <c r="B276" s="21" t="s">
        <v>292</v>
      </c>
      <c r="C276" s="20" t="s">
        <v>299</v>
      </c>
      <c r="D276" s="324" t="s">
        <v>25</v>
      </c>
      <c r="E276" s="22">
        <v>14</v>
      </c>
      <c r="F276" s="23">
        <f t="shared" si="20"/>
        <v>35000</v>
      </c>
      <c r="G276" s="19">
        <v>0</v>
      </c>
      <c r="H276" s="23">
        <v>0</v>
      </c>
      <c r="I276" s="24">
        <v>0</v>
      </c>
      <c r="J276" s="19">
        <v>0</v>
      </c>
      <c r="K276" s="23">
        <v>0</v>
      </c>
      <c r="L276" s="24">
        <v>0</v>
      </c>
      <c r="M276" s="25">
        <v>3.2</v>
      </c>
      <c r="N276" s="26">
        <v>8000</v>
      </c>
      <c r="O276" s="27">
        <v>8</v>
      </c>
      <c r="P276" s="28">
        <f t="shared" si="21"/>
        <v>0.8</v>
      </c>
      <c r="Q276" s="29">
        <f t="shared" si="22"/>
        <v>2000</v>
      </c>
      <c r="R276" s="30">
        <v>2</v>
      </c>
      <c r="S276" s="19">
        <v>0</v>
      </c>
      <c r="T276" s="23">
        <v>0</v>
      </c>
      <c r="U276" s="24">
        <v>0</v>
      </c>
      <c r="V276" s="31">
        <f t="shared" si="23"/>
        <v>4</v>
      </c>
      <c r="W276" s="32">
        <v>10000</v>
      </c>
      <c r="X276" s="30">
        <v>10</v>
      </c>
      <c r="Y276" s="19">
        <v>0</v>
      </c>
      <c r="Z276" s="23">
        <v>0</v>
      </c>
      <c r="AA276" s="24">
        <v>0</v>
      </c>
      <c r="AB276" s="33">
        <v>0</v>
      </c>
      <c r="AC276" s="34">
        <v>0</v>
      </c>
      <c r="AD276" s="35">
        <v>0</v>
      </c>
      <c r="AE276" s="36">
        <v>0</v>
      </c>
      <c r="AF276" s="23">
        <v>0</v>
      </c>
      <c r="AG276" s="24">
        <v>0</v>
      </c>
      <c r="AH276" s="33">
        <v>0</v>
      </c>
      <c r="AI276" s="37">
        <v>0</v>
      </c>
      <c r="AJ276" s="35">
        <v>0</v>
      </c>
      <c r="AK276" s="36">
        <v>0</v>
      </c>
      <c r="AL276" s="38">
        <v>0</v>
      </c>
      <c r="AM276" s="35">
        <v>0</v>
      </c>
      <c r="AN276" s="19">
        <v>0</v>
      </c>
      <c r="AO276" s="23">
        <v>0</v>
      </c>
      <c r="AP276" s="24">
        <v>0</v>
      </c>
      <c r="AQ276" s="31">
        <f t="shared" si="24"/>
        <v>8</v>
      </c>
      <c r="AR276" s="32">
        <f t="shared" si="24"/>
        <v>20000</v>
      </c>
      <c r="AS276" s="30">
        <v>10</v>
      </c>
    </row>
    <row r="277" spans="1:45" ht="15.6" x14ac:dyDescent="0.3">
      <c r="A277" s="19">
        <v>274</v>
      </c>
      <c r="B277" s="21" t="s">
        <v>292</v>
      </c>
      <c r="C277" s="20" t="s">
        <v>300</v>
      </c>
      <c r="D277" s="324"/>
      <c r="E277" s="22">
        <v>38.800000000000004</v>
      </c>
      <c r="F277" s="23">
        <f t="shared" si="20"/>
        <v>97000.000000000015</v>
      </c>
      <c r="G277" s="19">
        <v>0</v>
      </c>
      <c r="H277" s="23">
        <v>0</v>
      </c>
      <c r="I277" s="24">
        <v>0</v>
      </c>
      <c r="J277" s="19">
        <v>0</v>
      </c>
      <c r="K277" s="23">
        <v>0</v>
      </c>
      <c r="L277" s="24">
        <v>0</v>
      </c>
      <c r="M277" s="25">
        <v>12.4</v>
      </c>
      <c r="N277" s="26">
        <v>31000</v>
      </c>
      <c r="O277" s="27">
        <v>31</v>
      </c>
      <c r="P277" s="28">
        <f t="shared" si="21"/>
        <v>2.4</v>
      </c>
      <c r="Q277" s="29">
        <f t="shared" si="22"/>
        <v>6000</v>
      </c>
      <c r="R277" s="30">
        <v>6</v>
      </c>
      <c r="S277" s="19">
        <v>0</v>
      </c>
      <c r="T277" s="23">
        <v>0</v>
      </c>
      <c r="U277" s="24">
        <v>0</v>
      </c>
      <c r="V277" s="31">
        <f t="shared" si="23"/>
        <v>14.4</v>
      </c>
      <c r="W277" s="32">
        <v>36000</v>
      </c>
      <c r="X277" s="30">
        <v>36</v>
      </c>
      <c r="Y277" s="19">
        <v>0</v>
      </c>
      <c r="Z277" s="23">
        <v>0</v>
      </c>
      <c r="AA277" s="24">
        <v>0</v>
      </c>
      <c r="AB277" s="33">
        <v>0</v>
      </c>
      <c r="AC277" s="34">
        <v>0</v>
      </c>
      <c r="AD277" s="35">
        <v>0</v>
      </c>
      <c r="AE277" s="36">
        <v>0</v>
      </c>
      <c r="AF277" s="23">
        <v>0</v>
      </c>
      <c r="AG277" s="24">
        <v>0</v>
      </c>
      <c r="AH277" s="33">
        <v>0</v>
      </c>
      <c r="AI277" s="37">
        <v>0</v>
      </c>
      <c r="AJ277" s="35">
        <v>0</v>
      </c>
      <c r="AK277" s="36">
        <v>0</v>
      </c>
      <c r="AL277" s="38">
        <v>0</v>
      </c>
      <c r="AM277" s="35">
        <v>0</v>
      </c>
      <c r="AN277" s="19">
        <v>0</v>
      </c>
      <c r="AO277" s="23">
        <v>0</v>
      </c>
      <c r="AP277" s="24">
        <v>0</v>
      </c>
      <c r="AQ277" s="31">
        <f t="shared" si="24"/>
        <v>29.200000000000003</v>
      </c>
      <c r="AR277" s="32">
        <f t="shared" si="24"/>
        <v>73000</v>
      </c>
      <c r="AS277" s="30">
        <v>37</v>
      </c>
    </row>
    <row r="278" spans="1:45" ht="15.6" x14ac:dyDescent="0.3">
      <c r="A278" s="19">
        <v>275</v>
      </c>
      <c r="B278" s="21" t="s">
        <v>292</v>
      </c>
      <c r="C278" s="20" t="s">
        <v>301</v>
      </c>
      <c r="D278" s="324"/>
      <c r="E278" s="22">
        <v>10.399999999999999</v>
      </c>
      <c r="F278" s="23">
        <f t="shared" si="20"/>
        <v>25999.999999999996</v>
      </c>
      <c r="G278" s="19">
        <v>0</v>
      </c>
      <c r="H278" s="23">
        <v>0</v>
      </c>
      <c r="I278" s="24">
        <v>0</v>
      </c>
      <c r="J278" s="19">
        <v>0</v>
      </c>
      <c r="K278" s="23">
        <v>0</v>
      </c>
      <c r="L278" s="24">
        <v>0</v>
      </c>
      <c r="M278" s="25">
        <v>4</v>
      </c>
      <c r="N278" s="26">
        <v>10000</v>
      </c>
      <c r="O278" s="27">
        <v>10</v>
      </c>
      <c r="P278" s="28">
        <f t="shared" si="21"/>
        <v>0</v>
      </c>
      <c r="Q278" s="29">
        <f t="shared" si="22"/>
        <v>0</v>
      </c>
      <c r="R278" s="30">
        <v>0</v>
      </c>
      <c r="S278" s="19">
        <v>0</v>
      </c>
      <c r="T278" s="23">
        <v>0</v>
      </c>
      <c r="U278" s="24">
        <v>0</v>
      </c>
      <c r="V278" s="31">
        <f t="shared" si="23"/>
        <v>4</v>
      </c>
      <c r="W278" s="32">
        <v>10000</v>
      </c>
      <c r="X278" s="30">
        <v>10</v>
      </c>
      <c r="Y278" s="19">
        <v>0</v>
      </c>
      <c r="Z278" s="23">
        <v>0</v>
      </c>
      <c r="AA278" s="24">
        <v>0</v>
      </c>
      <c r="AB278" s="33">
        <v>0</v>
      </c>
      <c r="AC278" s="34">
        <v>0</v>
      </c>
      <c r="AD278" s="35">
        <v>0</v>
      </c>
      <c r="AE278" s="36">
        <v>0</v>
      </c>
      <c r="AF278" s="23">
        <v>0</v>
      </c>
      <c r="AG278" s="24">
        <v>0</v>
      </c>
      <c r="AH278" s="33">
        <v>0</v>
      </c>
      <c r="AI278" s="37">
        <v>0</v>
      </c>
      <c r="AJ278" s="35">
        <v>0</v>
      </c>
      <c r="AK278" s="36">
        <v>0</v>
      </c>
      <c r="AL278" s="38">
        <v>0</v>
      </c>
      <c r="AM278" s="35">
        <v>0</v>
      </c>
      <c r="AN278" s="19">
        <v>0</v>
      </c>
      <c r="AO278" s="23">
        <v>0</v>
      </c>
      <c r="AP278" s="24">
        <v>0</v>
      </c>
      <c r="AQ278" s="31">
        <f t="shared" si="24"/>
        <v>8</v>
      </c>
      <c r="AR278" s="32">
        <f t="shared" si="24"/>
        <v>20000</v>
      </c>
      <c r="AS278" s="30">
        <v>10</v>
      </c>
    </row>
    <row r="279" spans="1:45" ht="15.6" x14ac:dyDescent="0.3">
      <c r="A279" s="19">
        <v>276</v>
      </c>
      <c r="B279" s="21" t="s">
        <v>292</v>
      </c>
      <c r="C279" s="20" t="s">
        <v>302</v>
      </c>
      <c r="D279" s="324"/>
      <c r="E279" s="22">
        <v>23.200000000000003</v>
      </c>
      <c r="F279" s="23">
        <f t="shared" si="20"/>
        <v>58000.000000000007</v>
      </c>
      <c r="G279" s="19">
        <v>0</v>
      </c>
      <c r="H279" s="23">
        <v>0</v>
      </c>
      <c r="I279" s="24">
        <v>0</v>
      </c>
      <c r="J279" s="19">
        <v>0</v>
      </c>
      <c r="K279" s="23">
        <v>0</v>
      </c>
      <c r="L279" s="24">
        <v>0</v>
      </c>
      <c r="M279" s="25">
        <v>7.6</v>
      </c>
      <c r="N279" s="26">
        <v>19000</v>
      </c>
      <c r="O279" s="27">
        <v>19</v>
      </c>
      <c r="P279" s="28">
        <f t="shared" si="21"/>
        <v>2.4</v>
      </c>
      <c r="Q279" s="29">
        <f t="shared" si="22"/>
        <v>6000</v>
      </c>
      <c r="R279" s="30">
        <v>6</v>
      </c>
      <c r="S279" s="19">
        <v>0</v>
      </c>
      <c r="T279" s="23">
        <v>0</v>
      </c>
      <c r="U279" s="24">
        <v>0</v>
      </c>
      <c r="V279" s="31">
        <f t="shared" si="23"/>
        <v>9.6</v>
      </c>
      <c r="W279" s="32">
        <v>24000</v>
      </c>
      <c r="X279" s="30">
        <v>24</v>
      </c>
      <c r="Y279" s="19">
        <v>0</v>
      </c>
      <c r="Z279" s="23">
        <v>0</v>
      </c>
      <c r="AA279" s="24">
        <v>0</v>
      </c>
      <c r="AB279" s="33">
        <v>0</v>
      </c>
      <c r="AC279" s="34">
        <v>0</v>
      </c>
      <c r="AD279" s="35">
        <v>0</v>
      </c>
      <c r="AE279" s="36">
        <v>0</v>
      </c>
      <c r="AF279" s="23">
        <v>0</v>
      </c>
      <c r="AG279" s="24">
        <v>0</v>
      </c>
      <c r="AH279" s="33">
        <v>0</v>
      </c>
      <c r="AI279" s="37">
        <v>0</v>
      </c>
      <c r="AJ279" s="35">
        <v>0</v>
      </c>
      <c r="AK279" s="36">
        <v>0</v>
      </c>
      <c r="AL279" s="38">
        <v>0</v>
      </c>
      <c r="AM279" s="35">
        <v>0</v>
      </c>
      <c r="AN279" s="19">
        <v>0</v>
      </c>
      <c r="AO279" s="23">
        <v>0</v>
      </c>
      <c r="AP279" s="24">
        <v>0</v>
      </c>
      <c r="AQ279" s="31">
        <f t="shared" si="24"/>
        <v>19.600000000000001</v>
      </c>
      <c r="AR279" s="32">
        <f t="shared" si="24"/>
        <v>49000</v>
      </c>
      <c r="AS279" s="30">
        <v>25</v>
      </c>
    </row>
    <row r="280" spans="1:45" ht="15.6" x14ac:dyDescent="0.3">
      <c r="A280" s="19">
        <v>277</v>
      </c>
      <c r="B280" s="21" t="s">
        <v>292</v>
      </c>
      <c r="C280" s="20" t="s">
        <v>303</v>
      </c>
      <c r="D280" s="324"/>
      <c r="E280" s="22">
        <v>19</v>
      </c>
      <c r="F280" s="23">
        <f t="shared" si="20"/>
        <v>47500</v>
      </c>
      <c r="G280" s="19">
        <v>0</v>
      </c>
      <c r="H280" s="23">
        <v>0</v>
      </c>
      <c r="I280" s="24">
        <v>0</v>
      </c>
      <c r="J280" s="19">
        <v>0</v>
      </c>
      <c r="K280" s="23">
        <v>0</v>
      </c>
      <c r="L280" s="24">
        <v>0</v>
      </c>
      <c r="M280" s="25">
        <v>5.6</v>
      </c>
      <c r="N280" s="26">
        <v>14000</v>
      </c>
      <c r="O280" s="27">
        <v>14</v>
      </c>
      <c r="P280" s="28">
        <f t="shared" si="21"/>
        <v>2.4</v>
      </c>
      <c r="Q280" s="29">
        <f t="shared" si="22"/>
        <v>6000</v>
      </c>
      <c r="R280" s="30">
        <v>6</v>
      </c>
      <c r="S280" s="19">
        <v>0</v>
      </c>
      <c r="T280" s="23">
        <v>0</v>
      </c>
      <c r="U280" s="24">
        <v>0</v>
      </c>
      <c r="V280" s="31">
        <f t="shared" si="23"/>
        <v>8</v>
      </c>
      <c r="W280" s="32">
        <v>20000</v>
      </c>
      <c r="X280" s="30">
        <v>20</v>
      </c>
      <c r="Y280" s="19">
        <v>0</v>
      </c>
      <c r="Z280" s="23">
        <v>0</v>
      </c>
      <c r="AA280" s="24">
        <v>0</v>
      </c>
      <c r="AB280" s="33">
        <v>0</v>
      </c>
      <c r="AC280" s="34">
        <v>0</v>
      </c>
      <c r="AD280" s="35">
        <v>0</v>
      </c>
      <c r="AE280" s="36">
        <v>0</v>
      </c>
      <c r="AF280" s="23">
        <v>0</v>
      </c>
      <c r="AG280" s="24">
        <v>0</v>
      </c>
      <c r="AH280" s="33">
        <v>0</v>
      </c>
      <c r="AI280" s="37">
        <v>0</v>
      </c>
      <c r="AJ280" s="35">
        <v>0</v>
      </c>
      <c r="AK280" s="36">
        <v>0</v>
      </c>
      <c r="AL280" s="38">
        <v>0</v>
      </c>
      <c r="AM280" s="35">
        <v>0</v>
      </c>
      <c r="AN280" s="19">
        <v>0</v>
      </c>
      <c r="AO280" s="23">
        <v>0</v>
      </c>
      <c r="AP280" s="24">
        <v>0</v>
      </c>
      <c r="AQ280" s="31">
        <f t="shared" si="24"/>
        <v>16</v>
      </c>
      <c r="AR280" s="32">
        <f t="shared" si="24"/>
        <v>40000</v>
      </c>
      <c r="AS280" s="30">
        <v>20</v>
      </c>
    </row>
    <row r="281" spans="1:45" ht="15.6" x14ac:dyDescent="0.3">
      <c r="A281" s="19">
        <v>278</v>
      </c>
      <c r="B281" s="21" t="s">
        <v>292</v>
      </c>
      <c r="C281" s="20" t="s">
        <v>304</v>
      </c>
      <c r="D281" s="324"/>
      <c r="E281" s="22">
        <v>32.800000000000004</v>
      </c>
      <c r="F281" s="23">
        <f t="shared" si="20"/>
        <v>82000.000000000015</v>
      </c>
      <c r="G281" s="19">
        <v>0</v>
      </c>
      <c r="H281" s="23">
        <v>0</v>
      </c>
      <c r="I281" s="24">
        <v>0</v>
      </c>
      <c r="J281" s="19">
        <v>0</v>
      </c>
      <c r="K281" s="23">
        <v>0</v>
      </c>
      <c r="L281" s="24">
        <v>0</v>
      </c>
      <c r="M281" s="25">
        <v>10.8</v>
      </c>
      <c r="N281" s="26">
        <v>27000</v>
      </c>
      <c r="O281" s="27">
        <v>27</v>
      </c>
      <c r="P281" s="28">
        <f t="shared" si="21"/>
        <v>2.8</v>
      </c>
      <c r="Q281" s="29">
        <f t="shared" si="22"/>
        <v>7000</v>
      </c>
      <c r="R281" s="30">
        <v>7</v>
      </c>
      <c r="S281" s="19">
        <v>0</v>
      </c>
      <c r="T281" s="23">
        <v>0</v>
      </c>
      <c r="U281" s="24">
        <v>0</v>
      </c>
      <c r="V281" s="31">
        <f t="shared" si="23"/>
        <v>14</v>
      </c>
      <c r="W281" s="32">
        <v>35000</v>
      </c>
      <c r="X281" s="30">
        <v>35</v>
      </c>
      <c r="Y281" s="19">
        <v>0</v>
      </c>
      <c r="Z281" s="23">
        <v>0</v>
      </c>
      <c r="AA281" s="24">
        <v>0</v>
      </c>
      <c r="AB281" s="33">
        <v>0</v>
      </c>
      <c r="AC281" s="34">
        <v>0</v>
      </c>
      <c r="AD281" s="35">
        <v>0</v>
      </c>
      <c r="AE281" s="36">
        <v>0</v>
      </c>
      <c r="AF281" s="23">
        <v>0</v>
      </c>
      <c r="AG281" s="24">
        <v>0</v>
      </c>
      <c r="AH281" s="33">
        <v>0</v>
      </c>
      <c r="AI281" s="37">
        <v>0</v>
      </c>
      <c r="AJ281" s="35">
        <v>0</v>
      </c>
      <c r="AK281" s="36">
        <v>0</v>
      </c>
      <c r="AL281" s="38">
        <v>0</v>
      </c>
      <c r="AM281" s="35">
        <v>0</v>
      </c>
      <c r="AN281" s="19">
        <v>0</v>
      </c>
      <c r="AO281" s="23">
        <v>0</v>
      </c>
      <c r="AP281" s="24">
        <v>0</v>
      </c>
      <c r="AQ281" s="31">
        <f t="shared" si="24"/>
        <v>27.6</v>
      </c>
      <c r="AR281" s="32">
        <f t="shared" si="24"/>
        <v>69000</v>
      </c>
      <c r="AS281" s="30">
        <v>36</v>
      </c>
    </row>
    <row r="282" spans="1:45" ht="15.6" x14ac:dyDescent="0.3">
      <c r="A282" s="19">
        <v>279</v>
      </c>
      <c r="B282" s="21" t="s">
        <v>292</v>
      </c>
      <c r="C282" s="20" t="s">
        <v>305</v>
      </c>
      <c r="D282" s="324"/>
      <c r="E282" s="22">
        <v>5</v>
      </c>
      <c r="F282" s="23">
        <f t="shared" si="20"/>
        <v>12500</v>
      </c>
      <c r="G282" s="19">
        <v>0</v>
      </c>
      <c r="H282" s="23">
        <v>0</v>
      </c>
      <c r="I282" s="24">
        <v>0</v>
      </c>
      <c r="J282" s="19">
        <v>0</v>
      </c>
      <c r="K282" s="23">
        <v>0</v>
      </c>
      <c r="L282" s="24">
        <v>0</v>
      </c>
      <c r="M282" s="25">
        <v>2</v>
      </c>
      <c r="N282" s="26">
        <v>5000</v>
      </c>
      <c r="O282" s="27">
        <v>5</v>
      </c>
      <c r="P282" s="28">
        <f t="shared" si="21"/>
        <v>2</v>
      </c>
      <c r="Q282" s="29">
        <f t="shared" si="22"/>
        <v>5000</v>
      </c>
      <c r="R282" s="30">
        <v>5</v>
      </c>
      <c r="S282" s="19">
        <v>0</v>
      </c>
      <c r="T282" s="23">
        <v>0</v>
      </c>
      <c r="U282" s="24">
        <v>0</v>
      </c>
      <c r="V282" s="31">
        <f t="shared" si="23"/>
        <v>4.4000000000000004</v>
      </c>
      <c r="W282" s="32">
        <v>11000</v>
      </c>
      <c r="X282" s="30">
        <v>11</v>
      </c>
      <c r="Y282" s="19">
        <v>0</v>
      </c>
      <c r="Z282" s="23">
        <v>0</v>
      </c>
      <c r="AA282" s="24">
        <v>0</v>
      </c>
      <c r="AB282" s="33">
        <v>0</v>
      </c>
      <c r="AC282" s="34">
        <v>0</v>
      </c>
      <c r="AD282" s="35">
        <v>0</v>
      </c>
      <c r="AE282" s="36">
        <v>0</v>
      </c>
      <c r="AF282" s="23">
        <v>0</v>
      </c>
      <c r="AG282" s="24">
        <v>0</v>
      </c>
      <c r="AH282" s="33">
        <v>0</v>
      </c>
      <c r="AI282" s="37">
        <v>0</v>
      </c>
      <c r="AJ282" s="35">
        <v>0</v>
      </c>
      <c r="AK282" s="36">
        <v>0</v>
      </c>
      <c r="AL282" s="38">
        <v>0</v>
      </c>
      <c r="AM282" s="35">
        <v>0</v>
      </c>
      <c r="AN282" s="19">
        <v>0</v>
      </c>
      <c r="AO282" s="23">
        <v>0</v>
      </c>
      <c r="AP282" s="24">
        <v>0</v>
      </c>
      <c r="AQ282" s="31">
        <f t="shared" si="24"/>
        <v>8.4</v>
      </c>
      <c r="AR282" s="32">
        <f t="shared" si="24"/>
        <v>21000</v>
      </c>
      <c r="AS282" s="30">
        <v>11</v>
      </c>
    </row>
    <row r="283" spans="1:45" ht="15.6" x14ac:dyDescent="0.3">
      <c r="A283" s="19">
        <v>280</v>
      </c>
      <c r="B283" s="21" t="s">
        <v>292</v>
      </c>
      <c r="C283" s="20" t="s">
        <v>306</v>
      </c>
      <c r="D283" s="324"/>
      <c r="E283" s="22">
        <v>18.2</v>
      </c>
      <c r="F283" s="23">
        <f t="shared" si="20"/>
        <v>45500</v>
      </c>
      <c r="G283" s="19">
        <v>0</v>
      </c>
      <c r="H283" s="23">
        <v>0</v>
      </c>
      <c r="I283" s="24">
        <v>0</v>
      </c>
      <c r="J283" s="19">
        <v>0</v>
      </c>
      <c r="K283" s="23">
        <v>0</v>
      </c>
      <c r="L283" s="24">
        <v>0</v>
      </c>
      <c r="M283" s="25">
        <v>6</v>
      </c>
      <c r="N283" s="26">
        <v>15000</v>
      </c>
      <c r="O283" s="27">
        <v>15</v>
      </c>
      <c r="P283" s="28">
        <f t="shared" si="21"/>
        <v>1.2</v>
      </c>
      <c r="Q283" s="29">
        <f t="shared" si="22"/>
        <v>3000</v>
      </c>
      <c r="R283" s="30">
        <v>3</v>
      </c>
      <c r="S283" s="19">
        <v>0</v>
      </c>
      <c r="T283" s="23">
        <v>0</v>
      </c>
      <c r="U283" s="24">
        <v>0</v>
      </c>
      <c r="V283" s="31">
        <f t="shared" si="23"/>
        <v>7.6</v>
      </c>
      <c r="W283" s="32">
        <v>19000</v>
      </c>
      <c r="X283" s="30">
        <v>19</v>
      </c>
      <c r="Y283" s="19">
        <v>0</v>
      </c>
      <c r="Z283" s="23">
        <v>0</v>
      </c>
      <c r="AA283" s="24">
        <v>0</v>
      </c>
      <c r="AB283" s="33">
        <v>0</v>
      </c>
      <c r="AC283" s="34">
        <v>0</v>
      </c>
      <c r="AD283" s="35">
        <v>0</v>
      </c>
      <c r="AE283" s="36">
        <v>0</v>
      </c>
      <c r="AF283" s="23">
        <v>0</v>
      </c>
      <c r="AG283" s="24">
        <v>0</v>
      </c>
      <c r="AH283" s="33">
        <v>0</v>
      </c>
      <c r="AI283" s="37">
        <v>0</v>
      </c>
      <c r="AJ283" s="35">
        <v>0</v>
      </c>
      <c r="AK283" s="36">
        <v>0</v>
      </c>
      <c r="AL283" s="38">
        <v>0</v>
      </c>
      <c r="AM283" s="35">
        <v>0</v>
      </c>
      <c r="AN283" s="19">
        <v>0</v>
      </c>
      <c r="AO283" s="23">
        <v>0</v>
      </c>
      <c r="AP283" s="24">
        <v>0</v>
      </c>
      <c r="AQ283" s="31">
        <f t="shared" si="24"/>
        <v>14.8</v>
      </c>
      <c r="AR283" s="32">
        <f t="shared" si="24"/>
        <v>37000</v>
      </c>
      <c r="AS283" s="30">
        <v>19</v>
      </c>
    </row>
    <row r="284" spans="1:45" ht="15.6" x14ac:dyDescent="0.3">
      <c r="A284" s="19">
        <v>281</v>
      </c>
      <c r="B284" s="21" t="s">
        <v>307</v>
      </c>
      <c r="C284" s="20" t="s">
        <v>308</v>
      </c>
      <c r="D284" s="324"/>
      <c r="E284" s="22">
        <v>24.2</v>
      </c>
      <c r="F284" s="23">
        <f t="shared" si="20"/>
        <v>60500</v>
      </c>
      <c r="G284" s="19">
        <v>0</v>
      </c>
      <c r="H284" s="23">
        <v>0</v>
      </c>
      <c r="I284" s="24">
        <v>0</v>
      </c>
      <c r="J284" s="19">
        <v>0</v>
      </c>
      <c r="K284" s="23">
        <v>0</v>
      </c>
      <c r="L284" s="24">
        <v>0</v>
      </c>
      <c r="M284" s="25">
        <v>7.6</v>
      </c>
      <c r="N284" s="26">
        <v>19000</v>
      </c>
      <c r="O284" s="27">
        <v>19</v>
      </c>
      <c r="P284" s="28">
        <f t="shared" si="21"/>
        <v>0.4</v>
      </c>
      <c r="Q284" s="29">
        <f t="shared" si="22"/>
        <v>1000</v>
      </c>
      <c r="R284" s="30">
        <v>1</v>
      </c>
      <c r="S284" s="19">
        <v>0</v>
      </c>
      <c r="T284" s="23">
        <v>0</v>
      </c>
      <c r="U284" s="24">
        <v>0</v>
      </c>
      <c r="V284" s="31">
        <f t="shared" si="23"/>
        <v>8</v>
      </c>
      <c r="W284" s="32">
        <v>20000</v>
      </c>
      <c r="X284" s="30">
        <v>20</v>
      </c>
      <c r="Y284" s="19">
        <v>0</v>
      </c>
      <c r="Z284" s="23">
        <v>0</v>
      </c>
      <c r="AA284" s="24">
        <v>0</v>
      </c>
      <c r="AB284" s="33">
        <v>0</v>
      </c>
      <c r="AC284" s="34">
        <v>0</v>
      </c>
      <c r="AD284" s="35">
        <v>0</v>
      </c>
      <c r="AE284" s="36">
        <v>0</v>
      </c>
      <c r="AF284" s="23">
        <v>0</v>
      </c>
      <c r="AG284" s="24">
        <v>0</v>
      </c>
      <c r="AH284" s="33">
        <v>0</v>
      </c>
      <c r="AI284" s="37">
        <v>0</v>
      </c>
      <c r="AJ284" s="35">
        <v>0</v>
      </c>
      <c r="AK284" s="36">
        <v>0</v>
      </c>
      <c r="AL284" s="38">
        <v>0</v>
      </c>
      <c r="AM284" s="35">
        <v>0</v>
      </c>
      <c r="AN284" s="19">
        <v>0</v>
      </c>
      <c r="AO284" s="23">
        <v>0</v>
      </c>
      <c r="AP284" s="24">
        <v>0</v>
      </c>
      <c r="AQ284" s="31">
        <f t="shared" si="24"/>
        <v>16</v>
      </c>
      <c r="AR284" s="32">
        <f t="shared" si="24"/>
        <v>40000</v>
      </c>
      <c r="AS284" s="30">
        <v>20</v>
      </c>
    </row>
    <row r="285" spans="1:45" ht="15.6" x14ac:dyDescent="0.3">
      <c r="A285" s="19">
        <v>282</v>
      </c>
      <c r="B285" s="21" t="s">
        <v>307</v>
      </c>
      <c r="C285" s="20" t="s">
        <v>309</v>
      </c>
      <c r="D285" s="324"/>
      <c r="E285" s="22">
        <v>25.400000000000002</v>
      </c>
      <c r="F285" s="23">
        <f t="shared" si="20"/>
        <v>63500.000000000007</v>
      </c>
      <c r="G285" s="19">
        <v>0</v>
      </c>
      <c r="H285" s="23">
        <v>0</v>
      </c>
      <c r="I285" s="24">
        <v>0</v>
      </c>
      <c r="J285" s="19">
        <v>0</v>
      </c>
      <c r="K285" s="23">
        <v>0</v>
      </c>
      <c r="L285" s="24">
        <v>0</v>
      </c>
      <c r="M285" s="25">
        <v>9.1999999999999993</v>
      </c>
      <c r="N285" s="26">
        <v>23000</v>
      </c>
      <c r="O285" s="27">
        <v>23</v>
      </c>
      <c r="P285" s="28">
        <f t="shared" si="21"/>
        <v>2</v>
      </c>
      <c r="Q285" s="29">
        <f t="shared" si="22"/>
        <v>5000</v>
      </c>
      <c r="R285" s="30">
        <v>5</v>
      </c>
      <c r="S285" s="19">
        <v>0</v>
      </c>
      <c r="T285" s="23">
        <v>0</v>
      </c>
      <c r="U285" s="24">
        <v>0</v>
      </c>
      <c r="V285" s="31">
        <f t="shared" si="23"/>
        <v>11.2</v>
      </c>
      <c r="W285" s="32">
        <v>28000</v>
      </c>
      <c r="X285" s="30">
        <v>28</v>
      </c>
      <c r="Y285" s="19">
        <v>0</v>
      </c>
      <c r="Z285" s="23">
        <v>0</v>
      </c>
      <c r="AA285" s="24">
        <v>0</v>
      </c>
      <c r="AB285" s="33">
        <v>0</v>
      </c>
      <c r="AC285" s="34">
        <v>0</v>
      </c>
      <c r="AD285" s="35">
        <v>0</v>
      </c>
      <c r="AE285" s="36">
        <v>0</v>
      </c>
      <c r="AF285" s="23">
        <v>0</v>
      </c>
      <c r="AG285" s="24">
        <v>0</v>
      </c>
      <c r="AH285" s="33">
        <v>0</v>
      </c>
      <c r="AI285" s="37">
        <v>0</v>
      </c>
      <c r="AJ285" s="35">
        <v>0</v>
      </c>
      <c r="AK285" s="36">
        <v>0</v>
      </c>
      <c r="AL285" s="38">
        <v>0</v>
      </c>
      <c r="AM285" s="35">
        <v>0</v>
      </c>
      <c r="AN285" s="19">
        <v>0</v>
      </c>
      <c r="AO285" s="23">
        <v>0</v>
      </c>
      <c r="AP285" s="24">
        <v>0</v>
      </c>
      <c r="AQ285" s="31">
        <f t="shared" si="24"/>
        <v>22.4</v>
      </c>
      <c r="AR285" s="32">
        <f t="shared" si="24"/>
        <v>56000</v>
      </c>
      <c r="AS285" s="30">
        <v>28</v>
      </c>
    </row>
    <row r="286" spans="1:45" ht="15.6" x14ac:dyDescent="0.3">
      <c r="A286" s="19">
        <v>283</v>
      </c>
      <c r="B286" s="21" t="s">
        <v>307</v>
      </c>
      <c r="C286" s="20" t="s">
        <v>310</v>
      </c>
      <c r="D286" s="324"/>
      <c r="E286" s="22">
        <v>11</v>
      </c>
      <c r="F286" s="23">
        <f t="shared" si="20"/>
        <v>27500</v>
      </c>
      <c r="G286" s="19">
        <v>0</v>
      </c>
      <c r="H286" s="23">
        <v>0</v>
      </c>
      <c r="I286" s="24">
        <v>0</v>
      </c>
      <c r="J286" s="19">
        <v>0</v>
      </c>
      <c r="K286" s="23">
        <v>0</v>
      </c>
      <c r="L286" s="24">
        <v>0</v>
      </c>
      <c r="M286" s="25">
        <v>4</v>
      </c>
      <c r="N286" s="26">
        <v>10000</v>
      </c>
      <c r="O286" s="27">
        <v>10</v>
      </c>
      <c r="P286" s="28">
        <f t="shared" si="21"/>
        <v>1.6</v>
      </c>
      <c r="Q286" s="29">
        <f t="shared" si="22"/>
        <v>4000</v>
      </c>
      <c r="R286" s="30">
        <v>4</v>
      </c>
      <c r="S286" s="19">
        <v>0</v>
      </c>
      <c r="T286" s="23">
        <v>0</v>
      </c>
      <c r="U286" s="24">
        <v>0</v>
      </c>
      <c r="V286" s="31">
        <f t="shared" si="23"/>
        <v>6</v>
      </c>
      <c r="W286" s="32">
        <v>15000</v>
      </c>
      <c r="X286" s="30">
        <v>15</v>
      </c>
      <c r="Y286" s="19">
        <v>0</v>
      </c>
      <c r="Z286" s="23">
        <v>0</v>
      </c>
      <c r="AA286" s="24">
        <v>0</v>
      </c>
      <c r="AB286" s="33">
        <v>0</v>
      </c>
      <c r="AC286" s="34">
        <v>0</v>
      </c>
      <c r="AD286" s="35">
        <v>0</v>
      </c>
      <c r="AE286" s="36">
        <v>0</v>
      </c>
      <c r="AF286" s="23">
        <v>0</v>
      </c>
      <c r="AG286" s="24">
        <v>0</v>
      </c>
      <c r="AH286" s="33">
        <v>0</v>
      </c>
      <c r="AI286" s="37">
        <v>0</v>
      </c>
      <c r="AJ286" s="35">
        <v>0</v>
      </c>
      <c r="AK286" s="36">
        <v>0</v>
      </c>
      <c r="AL286" s="38">
        <v>0</v>
      </c>
      <c r="AM286" s="35">
        <v>0</v>
      </c>
      <c r="AN286" s="19">
        <v>0</v>
      </c>
      <c r="AO286" s="23">
        <v>0</v>
      </c>
      <c r="AP286" s="24">
        <v>0</v>
      </c>
      <c r="AQ286" s="31">
        <f t="shared" si="24"/>
        <v>11.6</v>
      </c>
      <c r="AR286" s="32">
        <f t="shared" si="24"/>
        <v>29000</v>
      </c>
      <c r="AS286" s="30">
        <v>15</v>
      </c>
    </row>
    <row r="287" spans="1:45" ht="15.6" x14ac:dyDescent="0.3">
      <c r="A287" s="19">
        <v>284</v>
      </c>
      <c r="B287" s="21" t="s">
        <v>307</v>
      </c>
      <c r="C287" s="20" t="s">
        <v>311</v>
      </c>
      <c r="D287" s="324"/>
      <c r="E287" s="22">
        <v>13.6</v>
      </c>
      <c r="F287" s="23">
        <f t="shared" si="20"/>
        <v>34000</v>
      </c>
      <c r="G287" s="19">
        <v>0</v>
      </c>
      <c r="H287" s="23">
        <v>0</v>
      </c>
      <c r="I287" s="24">
        <v>0</v>
      </c>
      <c r="J287" s="19">
        <v>0</v>
      </c>
      <c r="K287" s="23">
        <v>0</v>
      </c>
      <c r="L287" s="24">
        <v>0</v>
      </c>
      <c r="M287" s="25">
        <v>3.6</v>
      </c>
      <c r="N287" s="26">
        <v>9000</v>
      </c>
      <c r="O287" s="27">
        <v>9</v>
      </c>
      <c r="P287" s="28">
        <f t="shared" si="21"/>
        <v>2</v>
      </c>
      <c r="Q287" s="29">
        <f t="shared" si="22"/>
        <v>5000</v>
      </c>
      <c r="R287" s="30">
        <v>5</v>
      </c>
      <c r="S287" s="19">
        <v>0</v>
      </c>
      <c r="T287" s="23">
        <v>0</v>
      </c>
      <c r="U287" s="24">
        <v>0</v>
      </c>
      <c r="V287" s="31">
        <f t="shared" si="23"/>
        <v>5.6</v>
      </c>
      <c r="W287" s="32">
        <v>14000</v>
      </c>
      <c r="X287" s="30">
        <v>14</v>
      </c>
      <c r="Y287" s="19">
        <v>0</v>
      </c>
      <c r="Z287" s="23">
        <v>0</v>
      </c>
      <c r="AA287" s="24">
        <v>0</v>
      </c>
      <c r="AB287" s="33">
        <v>0</v>
      </c>
      <c r="AC287" s="34">
        <v>0</v>
      </c>
      <c r="AD287" s="35">
        <v>0</v>
      </c>
      <c r="AE287" s="36">
        <v>0</v>
      </c>
      <c r="AF287" s="23">
        <v>0</v>
      </c>
      <c r="AG287" s="24">
        <v>0</v>
      </c>
      <c r="AH287" s="33">
        <v>0</v>
      </c>
      <c r="AI287" s="37">
        <v>0</v>
      </c>
      <c r="AJ287" s="35">
        <v>0</v>
      </c>
      <c r="AK287" s="36">
        <v>0</v>
      </c>
      <c r="AL287" s="38">
        <v>0</v>
      </c>
      <c r="AM287" s="35">
        <v>0</v>
      </c>
      <c r="AN287" s="19">
        <v>0</v>
      </c>
      <c r="AO287" s="23">
        <v>0</v>
      </c>
      <c r="AP287" s="24">
        <v>0</v>
      </c>
      <c r="AQ287" s="31">
        <f t="shared" si="24"/>
        <v>11.2</v>
      </c>
      <c r="AR287" s="32">
        <f t="shared" si="24"/>
        <v>28000</v>
      </c>
      <c r="AS287" s="30">
        <v>14</v>
      </c>
    </row>
    <row r="288" spans="1:45" ht="15.6" x14ac:dyDescent="0.3">
      <c r="A288" s="19">
        <v>285</v>
      </c>
      <c r="B288" s="21" t="s">
        <v>307</v>
      </c>
      <c r="C288" s="20" t="s">
        <v>312</v>
      </c>
      <c r="D288" s="324"/>
      <c r="E288" s="22">
        <v>14.2</v>
      </c>
      <c r="F288" s="23">
        <f t="shared" si="20"/>
        <v>35500</v>
      </c>
      <c r="G288" s="19">
        <v>0</v>
      </c>
      <c r="H288" s="23">
        <v>0</v>
      </c>
      <c r="I288" s="24">
        <v>0</v>
      </c>
      <c r="J288" s="19">
        <v>0</v>
      </c>
      <c r="K288" s="23">
        <v>0</v>
      </c>
      <c r="L288" s="24">
        <v>0</v>
      </c>
      <c r="M288" s="25">
        <v>3.2</v>
      </c>
      <c r="N288" s="26">
        <v>8000</v>
      </c>
      <c r="O288" s="27">
        <v>8</v>
      </c>
      <c r="P288" s="28">
        <f t="shared" si="21"/>
        <v>2</v>
      </c>
      <c r="Q288" s="29">
        <f t="shared" si="22"/>
        <v>5000</v>
      </c>
      <c r="R288" s="30">
        <v>5</v>
      </c>
      <c r="S288" s="19">
        <v>0</v>
      </c>
      <c r="T288" s="23">
        <v>0</v>
      </c>
      <c r="U288" s="24">
        <v>0</v>
      </c>
      <c r="V288" s="31">
        <f t="shared" si="23"/>
        <v>5.2</v>
      </c>
      <c r="W288" s="32">
        <v>13000</v>
      </c>
      <c r="X288" s="30">
        <v>13</v>
      </c>
      <c r="Y288" s="19">
        <v>0</v>
      </c>
      <c r="Z288" s="23">
        <v>0</v>
      </c>
      <c r="AA288" s="24">
        <v>0</v>
      </c>
      <c r="AB288" s="33">
        <v>0</v>
      </c>
      <c r="AC288" s="34">
        <v>0</v>
      </c>
      <c r="AD288" s="35">
        <v>0</v>
      </c>
      <c r="AE288" s="36">
        <v>0</v>
      </c>
      <c r="AF288" s="23">
        <v>0</v>
      </c>
      <c r="AG288" s="24">
        <v>0</v>
      </c>
      <c r="AH288" s="33">
        <v>0</v>
      </c>
      <c r="AI288" s="37">
        <v>0</v>
      </c>
      <c r="AJ288" s="35">
        <v>0</v>
      </c>
      <c r="AK288" s="36">
        <v>0</v>
      </c>
      <c r="AL288" s="38">
        <v>0</v>
      </c>
      <c r="AM288" s="35">
        <v>0</v>
      </c>
      <c r="AN288" s="19">
        <v>0</v>
      </c>
      <c r="AO288" s="23">
        <v>0</v>
      </c>
      <c r="AP288" s="24">
        <v>0</v>
      </c>
      <c r="AQ288" s="31">
        <f t="shared" si="24"/>
        <v>10.4</v>
      </c>
      <c r="AR288" s="32">
        <f t="shared" si="24"/>
        <v>26000</v>
      </c>
      <c r="AS288" s="30">
        <v>13</v>
      </c>
    </row>
    <row r="289" spans="1:45" ht="15.6" x14ac:dyDescent="0.3">
      <c r="A289" s="19">
        <v>286</v>
      </c>
      <c r="B289" s="21" t="s">
        <v>307</v>
      </c>
      <c r="C289" s="20" t="s">
        <v>313</v>
      </c>
      <c r="D289" s="324"/>
      <c r="E289" s="22">
        <v>11</v>
      </c>
      <c r="F289" s="23">
        <f t="shared" si="20"/>
        <v>27500</v>
      </c>
      <c r="G289" s="19">
        <v>0</v>
      </c>
      <c r="H289" s="23">
        <v>0</v>
      </c>
      <c r="I289" s="24">
        <v>0</v>
      </c>
      <c r="J289" s="19">
        <v>0</v>
      </c>
      <c r="K289" s="23">
        <v>0</v>
      </c>
      <c r="L289" s="24">
        <v>0</v>
      </c>
      <c r="M289" s="25">
        <v>3.2</v>
      </c>
      <c r="N289" s="26">
        <v>8000</v>
      </c>
      <c r="O289" s="27">
        <v>8</v>
      </c>
      <c r="P289" s="28">
        <f t="shared" si="21"/>
        <v>0.4</v>
      </c>
      <c r="Q289" s="29">
        <f t="shared" si="22"/>
        <v>1000</v>
      </c>
      <c r="R289" s="30">
        <v>1</v>
      </c>
      <c r="S289" s="19">
        <v>0</v>
      </c>
      <c r="T289" s="23">
        <v>0</v>
      </c>
      <c r="U289" s="24">
        <v>0</v>
      </c>
      <c r="V289" s="31">
        <f t="shared" si="23"/>
        <v>3.2</v>
      </c>
      <c r="W289" s="32">
        <v>8000</v>
      </c>
      <c r="X289" s="30">
        <v>8</v>
      </c>
      <c r="Y289" s="19">
        <v>0</v>
      </c>
      <c r="Z289" s="23">
        <v>0</v>
      </c>
      <c r="AA289" s="24">
        <v>0</v>
      </c>
      <c r="AB289" s="33">
        <v>0</v>
      </c>
      <c r="AC289" s="34">
        <v>0</v>
      </c>
      <c r="AD289" s="35">
        <v>0</v>
      </c>
      <c r="AE289" s="36">
        <v>0</v>
      </c>
      <c r="AF289" s="23">
        <v>0</v>
      </c>
      <c r="AG289" s="24">
        <v>0</v>
      </c>
      <c r="AH289" s="33">
        <v>0</v>
      </c>
      <c r="AI289" s="37">
        <v>0</v>
      </c>
      <c r="AJ289" s="35">
        <v>0</v>
      </c>
      <c r="AK289" s="36">
        <v>0</v>
      </c>
      <c r="AL289" s="38">
        <v>0</v>
      </c>
      <c r="AM289" s="35">
        <v>0</v>
      </c>
      <c r="AN289" s="19">
        <v>0</v>
      </c>
      <c r="AO289" s="23">
        <v>0</v>
      </c>
      <c r="AP289" s="24">
        <v>0</v>
      </c>
      <c r="AQ289" s="31">
        <f t="shared" si="24"/>
        <v>6.8000000000000007</v>
      </c>
      <c r="AR289" s="32">
        <f t="shared" si="24"/>
        <v>17000</v>
      </c>
      <c r="AS289" s="30">
        <v>9</v>
      </c>
    </row>
    <row r="290" spans="1:45" ht="15.6" x14ac:dyDescent="0.3">
      <c r="A290" s="19">
        <v>287</v>
      </c>
      <c r="B290" s="21" t="s">
        <v>307</v>
      </c>
      <c r="C290" s="20" t="s">
        <v>314</v>
      </c>
      <c r="D290" s="324"/>
      <c r="E290" s="22">
        <v>18.200000000000003</v>
      </c>
      <c r="F290" s="23">
        <f t="shared" si="20"/>
        <v>45500.000000000007</v>
      </c>
      <c r="G290" s="19">
        <v>0</v>
      </c>
      <c r="H290" s="23">
        <v>0</v>
      </c>
      <c r="I290" s="24">
        <v>0</v>
      </c>
      <c r="J290" s="19">
        <v>0</v>
      </c>
      <c r="K290" s="23">
        <v>0</v>
      </c>
      <c r="L290" s="24">
        <v>0</v>
      </c>
      <c r="M290" s="25">
        <v>4.8</v>
      </c>
      <c r="N290" s="26">
        <v>12000</v>
      </c>
      <c r="O290" s="27">
        <v>12</v>
      </c>
      <c r="P290" s="28">
        <f t="shared" si="21"/>
        <v>1.2</v>
      </c>
      <c r="Q290" s="29">
        <f t="shared" si="22"/>
        <v>3000</v>
      </c>
      <c r="R290" s="30">
        <v>3</v>
      </c>
      <c r="S290" s="19">
        <v>0</v>
      </c>
      <c r="T290" s="23">
        <v>0</v>
      </c>
      <c r="U290" s="24">
        <v>0</v>
      </c>
      <c r="V290" s="31">
        <f t="shared" si="23"/>
        <v>5.6</v>
      </c>
      <c r="W290" s="32">
        <v>14000</v>
      </c>
      <c r="X290" s="30">
        <v>14</v>
      </c>
      <c r="Y290" s="19">
        <v>0</v>
      </c>
      <c r="Z290" s="23">
        <v>0</v>
      </c>
      <c r="AA290" s="24">
        <v>0</v>
      </c>
      <c r="AB290" s="33">
        <v>0</v>
      </c>
      <c r="AC290" s="34">
        <v>0</v>
      </c>
      <c r="AD290" s="35">
        <v>0</v>
      </c>
      <c r="AE290" s="36">
        <v>0</v>
      </c>
      <c r="AF290" s="23">
        <v>0</v>
      </c>
      <c r="AG290" s="24">
        <v>0</v>
      </c>
      <c r="AH290" s="33">
        <v>0</v>
      </c>
      <c r="AI290" s="37">
        <v>0</v>
      </c>
      <c r="AJ290" s="35">
        <v>0</v>
      </c>
      <c r="AK290" s="36">
        <v>0</v>
      </c>
      <c r="AL290" s="38">
        <v>0</v>
      </c>
      <c r="AM290" s="35">
        <v>0</v>
      </c>
      <c r="AN290" s="19">
        <v>0</v>
      </c>
      <c r="AO290" s="23">
        <v>0</v>
      </c>
      <c r="AP290" s="24">
        <v>0</v>
      </c>
      <c r="AQ290" s="31">
        <f t="shared" si="24"/>
        <v>11.6</v>
      </c>
      <c r="AR290" s="32">
        <f t="shared" si="24"/>
        <v>29000</v>
      </c>
      <c r="AS290" s="30">
        <v>15</v>
      </c>
    </row>
    <row r="291" spans="1:45" ht="15.6" x14ac:dyDescent="0.3">
      <c r="A291" s="19">
        <v>288</v>
      </c>
      <c r="B291" s="21" t="s">
        <v>307</v>
      </c>
      <c r="C291" s="20" t="s">
        <v>315</v>
      </c>
      <c r="D291" s="324"/>
      <c r="E291" s="22">
        <v>46</v>
      </c>
      <c r="F291" s="23">
        <f t="shared" si="20"/>
        <v>115000</v>
      </c>
      <c r="G291" s="19">
        <v>0</v>
      </c>
      <c r="H291" s="23">
        <v>0</v>
      </c>
      <c r="I291" s="24">
        <v>0</v>
      </c>
      <c r="J291" s="19">
        <v>0</v>
      </c>
      <c r="K291" s="23">
        <v>0</v>
      </c>
      <c r="L291" s="24">
        <v>0</v>
      </c>
      <c r="M291" s="25">
        <v>18</v>
      </c>
      <c r="N291" s="26">
        <v>45000</v>
      </c>
      <c r="O291" s="27">
        <v>45</v>
      </c>
      <c r="P291" s="28">
        <f t="shared" si="21"/>
        <v>2.8</v>
      </c>
      <c r="Q291" s="29">
        <f t="shared" si="22"/>
        <v>7000</v>
      </c>
      <c r="R291" s="30">
        <v>7</v>
      </c>
      <c r="S291" s="19">
        <v>0</v>
      </c>
      <c r="T291" s="23">
        <v>0</v>
      </c>
      <c r="U291" s="24">
        <v>0</v>
      </c>
      <c r="V291" s="31">
        <f t="shared" si="23"/>
        <v>20.8</v>
      </c>
      <c r="W291" s="32">
        <v>52000</v>
      </c>
      <c r="X291" s="30">
        <v>52</v>
      </c>
      <c r="Y291" s="19">
        <v>0</v>
      </c>
      <c r="Z291" s="23">
        <v>0</v>
      </c>
      <c r="AA291" s="24">
        <v>0</v>
      </c>
      <c r="AB291" s="33">
        <v>0</v>
      </c>
      <c r="AC291" s="34">
        <v>0</v>
      </c>
      <c r="AD291" s="35">
        <v>0</v>
      </c>
      <c r="AE291" s="36">
        <v>0</v>
      </c>
      <c r="AF291" s="23">
        <v>0</v>
      </c>
      <c r="AG291" s="24">
        <v>0</v>
      </c>
      <c r="AH291" s="33">
        <v>0</v>
      </c>
      <c r="AI291" s="37">
        <v>0</v>
      </c>
      <c r="AJ291" s="35">
        <v>0</v>
      </c>
      <c r="AK291" s="36">
        <v>0</v>
      </c>
      <c r="AL291" s="38">
        <v>0</v>
      </c>
      <c r="AM291" s="35">
        <v>0</v>
      </c>
      <c r="AN291" s="19">
        <v>0</v>
      </c>
      <c r="AO291" s="23">
        <v>0</v>
      </c>
      <c r="AP291" s="24">
        <v>0</v>
      </c>
      <c r="AQ291" s="31">
        <f t="shared" si="24"/>
        <v>41.6</v>
      </c>
      <c r="AR291" s="32">
        <f t="shared" si="24"/>
        <v>104000</v>
      </c>
      <c r="AS291" s="30">
        <v>52</v>
      </c>
    </row>
    <row r="292" spans="1:45" ht="15.6" x14ac:dyDescent="0.3">
      <c r="A292" s="19">
        <v>289</v>
      </c>
      <c r="B292" s="21" t="s">
        <v>307</v>
      </c>
      <c r="C292" s="20" t="s">
        <v>316</v>
      </c>
      <c r="D292" s="324"/>
      <c r="E292" s="22">
        <v>14</v>
      </c>
      <c r="F292" s="23">
        <f t="shared" si="20"/>
        <v>35000</v>
      </c>
      <c r="G292" s="19">
        <v>0</v>
      </c>
      <c r="H292" s="23">
        <v>0</v>
      </c>
      <c r="I292" s="24">
        <v>0</v>
      </c>
      <c r="J292" s="19">
        <v>0</v>
      </c>
      <c r="K292" s="23">
        <v>0</v>
      </c>
      <c r="L292" s="24">
        <v>0</v>
      </c>
      <c r="M292" s="25">
        <v>5.2</v>
      </c>
      <c r="N292" s="26">
        <v>13000</v>
      </c>
      <c r="O292" s="27">
        <v>13</v>
      </c>
      <c r="P292" s="28">
        <f t="shared" si="21"/>
        <v>2</v>
      </c>
      <c r="Q292" s="29">
        <f t="shared" si="22"/>
        <v>5000</v>
      </c>
      <c r="R292" s="30">
        <v>5</v>
      </c>
      <c r="S292" s="19">
        <v>0</v>
      </c>
      <c r="T292" s="23">
        <v>0</v>
      </c>
      <c r="U292" s="24">
        <v>0</v>
      </c>
      <c r="V292" s="31">
        <f t="shared" si="23"/>
        <v>7.2</v>
      </c>
      <c r="W292" s="32">
        <v>18000</v>
      </c>
      <c r="X292" s="30">
        <v>18</v>
      </c>
      <c r="Y292" s="19">
        <v>0</v>
      </c>
      <c r="Z292" s="23">
        <v>0</v>
      </c>
      <c r="AA292" s="24">
        <v>0</v>
      </c>
      <c r="AB292" s="33">
        <v>0</v>
      </c>
      <c r="AC292" s="34">
        <v>0</v>
      </c>
      <c r="AD292" s="35">
        <v>0</v>
      </c>
      <c r="AE292" s="36">
        <v>0</v>
      </c>
      <c r="AF292" s="23">
        <v>0</v>
      </c>
      <c r="AG292" s="24">
        <v>0</v>
      </c>
      <c r="AH292" s="33">
        <v>0</v>
      </c>
      <c r="AI292" s="37">
        <v>0</v>
      </c>
      <c r="AJ292" s="35">
        <v>0</v>
      </c>
      <c r="AK292" s="36">
        <v>0</v>
      </c>
      <c r="AL292" s="38">
        <v>0</v>
      </c>
      <c r="AM292" s="35">
        <v>0</v>
      </c>
      <c r="AN292" s="19">
        <v>0</v>
      </c>
      <c r="AO292" s="23">
        <v>0</v>
      </c>
      <c r="AP292" s="24">
        <v>0</v>
      </c>
      <c r="AQ292" s="31">
        <f t="shared" si="24"/>
        <v>14.4</v>
      </c>
      <c r="AR292" s="32">
        <f t="shared" si="24"/>
        <v>36000</v>
      </c>
      <c r="AS292" s="30">
        <v>18</v>
      </c>
    </row>
    <row r="293" spans="1:45" ht="15.6" x14ac:dyDescent="0.3">
      <c r="A293" s="19">
        <v>290</v>
      </c>
      <c r="B293" s="21" t="s">
        <v>307</v>
      </c>
      <c r="C293" s="20" t="s">
        <v>317</v>
      </c>
      <c r="D293" s="324" t="s">
        <v>25</v>
      </c>
      <c r="E293" s="22">
        <v>20</v>
      </c>
      <c r="F293" s="23">
        <f t="shared" si="20"/>
        <v>50000</v>
      </c>
      <c r="G293" s="19">
        <v>0</v>
      </c>
      <c r="H293" s="23">
        <v>0</v>
      </c>
      <c r="I293" s="24">
        <v>0</v>
      </c>
      <c r="J293" s="19">
        <v>0</v>
      </c>
      <c r="K293" s="23">
        <v>0</v>
      </c>
      <c r="L293" s="24">
        <v>0</v>
      </c>
      <c r="M293" s="25">
        <v>8.4</v>
      </c>
      <c r="N293" s="26">
        <v>21000</v>
      </c>
      <c r="O293" s="27">
        <v>21</v>
      </c>
      <c r="P293" s="28">
        <f t="shared" si="21"/>
        <v>2.4</v>
      </c>
      <c r="Q293" s="29">
        <f t="shared" si="22"/>
        <v>6000</v>
      </c>
      <c r="R293" s="30">
        <v>6</v>
      </c>
      <c r="S293" s="19">
        <v>0</v>
      </c>
      <c r="T293" s="23">
        <v>0</v>
      </c>
      <c r="U293" s="24">
        <v>0</v>
      </c>
      <c r="V293" s="31">
        <f t="shared" si="23"/>
        <v>10.8</v>
      </c>
      <c r="W293" s="32">
        <v>27000</v>
      </c>
      <c r="X293" s="30">
        <v>27</v>
      </c>
      <c r="Y293" s="19">
        <v>0</v>
      </c>
      <c r="Z293" s="23">
        <v>0</v>
      </c>
      <c r="AA293" s="24">
        <v>0</v>
      </c>
      <c r="AB293" s="33">
        <v>0</v>
      </c>
      <c r="AC293" s="34">
        <v>0</v>
      </c>
      <c r="AD293" s="35">
        <v>0</v>
      </c>
      <c r="AE293" s="36">
        <v>0</v>
      </c>
      <c r="AF293" s="23">
        <v>0</v>
      </c>
      <c r="AG293" s="24">
        <v>0</v>
      </c>
      <c r="AH293" s="33">
        <v>0</v>
      </c>
      <c r="AI293" s="37">
        <v>0</v>
      </c>
      <c r="AJ293" s="35">
        <v>0</v>
      </c>
      <c r="AK293" s="36">
        <v>0</v>
      </c>
      <c r="AL293" s="38">
        <v>0</v>
      </c>
      <c r="AM293" s="35">
        <v>0</v>
      </c>
      <c r="AN293" s="19">
        <v>0</v>
      </c>
      <c r="AO293" s="23">
        <v>0</v>
      </c>
      <c r="AP293" s="24">
        <v>0</v>
      </c>
      <c r="AQ293" s="31">
        <f t="shared" si="24"/>
        <v>21.6</v>
      </c>
      <c r="AR293" s="32">
        <f t="shared" si="24"/>
        <v>54000</v>
      </c>
      <c r="AS293" s="30">
        <v>27</v>
      </c>
    </row>
    <row r="294" spans="1:45" ht="15.6" x14ac:dyDescent="0.3">
      <c r="A294" s="19">
        <v>291</v>
      </c>
      <c r="B294" s="21" t="s">
        <v>307</v>
      </c>
      <c r="C294" s="20" t="s">
        <v>318</v>
      </c>
      <c r="D294" s="324"/>
      <c r="E294" s="22">
        <v>20.6</v>
      </c>
      <c r="F294" s="23">
        <f t="shared" si="20"/>
        <v>51500</v>
      </c>
      <c r="G294" s="19">
        <v>0</v>
      </c>
      <c r="H294" s="23">
        <v>0</v>
      </c>
      <c r="I294" s="24">
        <v>0</v>
      </c>
      <c r="J294" s="19">
        <v>0</v>
      </c>
      <c r="K294" s="23">
        <v>0</v>
      </c>
      <c r="L294" s="24">
        <v>0</v>
      </c>
      <c r="M294" s="25">
        <v>4.4000000000000004</v>
      </c>
      <c r="N294" s="26">
        <v>11000</v>
      </c>
      <c r="O294" s="27">
        <v>11</v>
      </c>
      <c r="P294" s="28">
        <f t="shared" si="21"/>
        <v>4</v>
      </c>
      <c r="Q294" s="29">
        <f t="shared" si="22"/>
        <v>10000</v>
      </c>
      <c r="R294" s="30">
        <v>10</v>
      </c>
      <c r="S294" s="19">
        <v>0</v>
      </c>
      <c r="T294" s="23">
        <v>0</v>
      </c>
      <c r="U294" s="24">
        <v>0</v>
      </c>
      <c r="V294" s="31">
        <f t="shared" si="23"/>
        <v>8.4</v>
      </c>
      <c r="W294" s="32">
        <v>21000</v>
      </c>
      <c r="X294" s="30">
        <v>21</v>
      </c>
      <c r="Y294" s="19">
        <v>0</v>
      </c>
      <c r="Z294" s="23">
        <v>0</v>
      </c>
      <c r="AA294" s="24">
        <v>0</v>
      </c>
      <c r="AB294" s="33">
        <v>0</v>
      </c>
      <c r="AC294" s="34">
        <v>0</v>
      </c>
      <c r="AD294" s="35">
        <v>0</v>
      </c>
      <c r="AE294" s="36">
        <v>0</v>
      </c>
      <c r="AF294" s="23">
        <v>0</v>
      </c>
      <c r="AG294" s="24">
        <v>0</v>
      </c>
      <c r="AH294" s="33">
        <v>0</v>
      </c>
      <c r="AI294" s="37">
        <v>0</v>
      </c>
      <c r="AJ294" s="35">
        <v>0</v>
      </c>
      <c r="AK294" s="36">
        <v>0</v>
      </c>
      <c r="AL294" s="38">
        <v>0</v>
      </c>
      <c r="AM294" s="35">
        <v>0</v>
      </c>
      <c r="AN294" s="19">
        <v>0</v>
      </c>
      <c r="AO294" s="23">
        <v>0</v>
      </c>
      <c r="AP294" s="24">
        <v>0</v>
      </c>
      <c r="AQ294" s="31">
        <f t="shared" si="24"/>
        <v>16.8</v>
      </c>
      <c r="AR294" s="32">
        <f t="shared" si="24"/>
        <v>42000</v>
      </c>
      <c r="AS294" s="30">
        <v>21</v>
      </c>
    </row>
    <row r="295" spans="1:45" ht="15.6" x14ac:dyDescent="0.3">
      <c r="A295" s="19">
        <v>292</v>
      </c>
      <c r="B295" s="21" t="s">
        <v>307</v>
      </c>
      <c r="C295" s="20" t="s">
        <v>319</v>
      </c>
      <c r="D295" s="324"/>
      <c r="E295" s="22">
        <v>3</v>
      </c>
      <c r="F295" s="23">
        <f t="shared" si="20"/>
        <v>7500</v>
      </c>
      <c r="G295" s="19">
        <v>0</v>
      </c>
      <c r="H295" s="23">
        <v>0</v>
      </c>
      <c r="I295" s="24">
        <v>0</v>
      </c>
      <c r="J295" s="19">
        <v>0</v>
      </c>
      <c r="K295" s="23">
        <v>0</v>
      </c>
      <c r="L295" s="24">
        <v>0</v>
      </c>
      <c r="M295" s="25">
        <v>1.2</v>
      </c>
      <c r="N295" s="26">
        <v>3000</v>
      </c>
      <c r="O295" s="27">
        <v>3</v>
      </c>
      <c r="P295" s="28">
        <f t="shared" si="21"/>
        <v>1.2</v>
      </c>
      <c r="Q295" s="29">
        <f t="shared" si="22"/>
        <v>3000</v>
      </c>
      <c r="R295" s="30">
        <v>3</v>
      </c>
      <c r="S295" s="19">
        <v>0</v>
      </c>
      <c r="T295" s="23">
        <v>0</v>
      </c>
      <c r="U295" s="24">
        <v>0</v>
      </c>
      <c r="V295" s="31">
        <f t="shared" si="23"/>
        <v>2.8</v>
      </c>
      <c r="W295" s="32">
        <v>7000</v>
      </c>
      <c r="X295" s="30">
        <v>7</v>
      </c>
      <c r="Y295" s="19">
        <v>0</v>
      </c>
      <c r="Z295" s="23">
        <v>0</v>
      </c>
      <c r="AA295" s="24">
        <v>0</v>
      </c>
      <c r="AB295" s="33">
        <v>0</v>
      </c>
      <c r="AC295" s="34">
        <v>0</v>
      </c>
      <c r="AD295" s="35">
        <v>0</v>
      </c>
      <c r="AE295" s="36">
        <v>0</v>
      </c>
      <c r="AF295" s="23">
        <v>0</v>
      </c>
      <c r="AG295" s="24">
        <v>0</v>
      </c>
      <c r="AH295" s="33">
        <v>0</v>
      </c>
      <c r="AI295" s="37">
        <v>0</v>
      </c>
      <c r="AJ295" s="35">
        <v>0</v>
      </c>
      <c r="AK295" s="36">
        <v>0</v>
      </c>
      <c r="AL295" s="38">
        <v>0</v>
      </c>
      <c r="AM295" s="35">
        <v>0</v>
      </c>
      <c r="AN295" s="19">
        <v>0</v>
      </c>
      <c r="AO295" s="23">
        <v>0</v>
      </c>
      <c r="AP295" s="24">
        <v>0</v>
      </c>
      <c r="AQ295" s="31">
        <f t="shared" si="24"/>
        <v>5.1999999999999993</v>
      </c>
      <c r="AR295" s="32">
        <f t="shared" si="24"/>
        <v>13000</v>
      </c>
      <c r="AS295" s="30">
        <v>7</v>
      </c>
    </row>
    <row r="296" spans="1:45" ht="15.6" x14ac:dyDescent="0.3">
      <c r="A296" s="19">
        <v>293</v>
      </c>
      <c r="B296" s="21" t="s">
        <v>307</v>
      </c>
      <c r="C296" s="20" t="s">
        <v>320</v>
      </c>
      <c r="D296" s="324"/>
      <c r="E296" s="22">
        <v>19.2</v>
      </c>
      <c r="F296" s="23">
        <f t="shared" si="20"/>
        <v>48000</v>
      </c>
      <c r="G296" s="19">
        <v>0</v>
      </c>
      <c r="H296" s="23">
        <v>0</v>
      </c>
      <c r="I296" s="24">
        <v>0</v>
      </c>
      <c r="J296" s="19">
        <v>0</v>
      </c>
      <c r="K296" s="23">
        <v>0</v>
      </c>
      <c r="L296" s="24">
        <v>0</v>
      </c>
      <c r="M296" s="25">
        <v>5.6</v>
      </c>
      <c r="N296" s="26">
        <v>14000</v>
      </c>
      <c r="O296" s="27">
        <v>14</v>
      </c>
      <c r="P296" s="28">
        <f t="shared" si="21"/>
        <v>2</v>
      </c>
      <c r="Q296" s="29">
        <f t="shared" si="22"/>
        <v>5000</v>
      </c>
      <c r="R296" s="30">
        <v>5</v>
      </c>
      <c r="S296" s="19">
        <v>0</v>
      </c>
      <c r="T296" s="23">
        <v>0</v>
      </c>
      <c r="U296" s="24">
        <v>0</v>
      </c>
      <c r="V296" s="31">
        <f t="shared" si="23"/>
        <v>7.6</v>
      </c>
      <c r="W296" s="32">
        <v>19000</v>
      </c>
      <c r="X296" s="30">
        <v>19</v>
      </c>
      <c r="Y296" s="19">
        <v>0</v>
      </c>
      <c r="Z296" s="23">
        <v>0</v>
      </c>
      <c r="AA296" s="24">
        <v>0</v>
      </c>
      <c r="AB296" s="33">
        <v>0</v>
      </c>
      <c r="AC296" s="34">
        <v>0</v>
      </c>
      <c r="AD296" s="35">
        <v>0</v>
      </c>
      <c r="AE296" s="36">
        <v>0</v>
      </c>
      <c r="AF296" s="23">
        <v>0</v>
      </c>
      <c r="AG296" s="24">
        <v>0</v>
      </c>
      <c r="AH296" s="33">
        <v>0</v>
      </c>
      <c r="AI296" s="37">
        <v>0</v>
      </c>
      <c r="AJ296" s="35">
        <v>0</v>
      </c>
      <c r="AK296" s="36">
        <v>0</v>
      </c>
      <c r="AL296" s="38">
        <v>0</v>
      </c>
      <c r="AM296" s="35">
        <v>0</v>
      </c>
      <c r="AN296" s="19">
        <v>0</v>
      </c>
      <c r="AO296" s="23">
        <v>0</v>
      </c>
      <c r="AP296" s="24">
        <v>0</v>
      </c>
      <c r="AQ296" s="31">
        <f t="shared" si="24"/>
        <v>15.2</v>
      </c>
      <c r="AR296" s="32">
        <f t="shared" si="24"/>
        <v>38000</v>
      </c>
      <c r="AS296" s="30">
        <v>19</v>
      </c>
    </row>
    <row r="297" spans="1:45" ht="15.6" x14ac:dyDescent="0.3">
      <c r="A297" s="19">
        <v>294</v>
      </c>
      <c r="B297" s="21" t="s">
        <v>307</v>
      </c>
      <c r="C297" s="20" t="s">
        <v>321</v>
      </c>
      <c r="D297" s="324"/>
      <c r="E297" s="22">
        <v>11.200000000000001</v>
      </c>
      <c r="F297" s="23">
        <f t="shared" si="20"/>
        <v>28000.000000000004</v>
      </c>
      <c r="G297" s="19">
        <v>0</v>
      </c>
      <c r="H297" s="23">
        <v>0</v>
      </c>
      <c r="I297" s="24">
        <v>0</v>
      </c>
      <c r="J297" s="19">
        <v>0</v>
      </c>
      <c r="K297" s="23">
        <v>0</v>
      </c>
      <c r="L297" s="24">
        <v>0</v>
      </c>
      <c r="M297" s="25">
        <v>3.2</v>
      </c>
      <c r="N297" s="26">
        <v>8000</v>
      </c>
      <c r="O297" s="27">
        <v>8</v>
      </c>
      <c r="P297" s="28">
        <f t="shared" si="21"/>
        <v>0.8</v>
      </c>
      <c r="Q297" s="29">
        <f t="shared" si="22"/>
        <v>2000</v>
      </c>
      <c r="R297" s="30">
        <v>2</v>
      </c>
      <c r="S297" s="19">
        <v>0</v>
      </c>
      <c r="T297" s="23">
        <v>0</v>
      </c>
      <c r="U297" s="24">
        <v>0</v>
      </c>
      <c r="V297" s="31">
        <f t="shared" si="23"/>
        <v>4</v>
      </c>
      <c r="W297" s="32">
        <v>10000</v>
      </c>
      <c r="X297" s="30">
        <v>10</v>
      </c>
      <c r="Y297" s="19">
        <v>0</v>
      </c>
      <c r="Z297" s="23">
        <v>0</v>
      </c>
      <c r="AA297" s="24">
        <v>0</v>
      </c>
      <c r="AB297" s="33">
        <v>0</v>
      </c>
      <c r="AC297" s="34">
        <v>0</v>
      </c>
      <c r="AD297" s="35">
        <v>0</v>
      </c>
      <c r="AE297" s="36">
        <v>0</v>
      </c>
      <c r="AF297" s="23">
        <v>0</v>
      </c>
      <c r="AG297" s="24">
        <v>0</v>
      </c>
      <c r="AH297" s="33">
        <v>0</v>
      </c>
      <c r="AI297" s="37">
        <v>0</v>
      </c>
      <c r="AJ297" s="35">
        <v>0</v>
      </c>
      <c r="AK297" s="36">
        <v>0</v>
      </c>
      <c r="AL297" s="38">
        <v>0</v>
      </c>
      <c r="AM297" s="35">
        <v>0</v>
      </c>
      <c r="AN297" s="19">
        <v>0</v>
      </c>
      <c r="AO297" s="23">
        <v>0</v>
      </c>
      <c r="AP297" s="24">
        <v>0</v>
      </c>
      <c r="AQ297" s="31">
        <f t="shared" si="24"/>
        <v>8</v>
      </c>
      <c r="AR297" s="32">
        <f t="shared" si="24"/>
        <v>20000</v>
      </c>
      <c r="AS297" s="30">
        <v>10</v>
      </c>
    </row>
    <row r="298" spans="1:45" ht="15.6" x14ac:dyDescent="0.3">
      <c r="A298" s="19">
        <v>295</v>
      </c>
      <c r="B298" s="21" t="s">
        <v>307</v>
      </c>
      <c r="C298" s="20" t="s">
        <v>322</v>
      </c>
      <c r="D298" s="324"/>
      <c r="E298" s="22">
        <v>20.6</v>
      </c>
      <c r="F298" s="23">
        <f t="shared" si="20"/>
        <v>51500</v>
      </c>
      <c r="G298" s="19">
        <v>0</v>
      </c>
      <c r="H298" s="23">
        <v>0</v>
      </c>
      <c r="I298" s="24">
        <v>0</v>
      </c>
      <c r="J298" s="19">
        <v>0</v>
      </c>
      <c r="K298" s="23">
        <v>0</v>
      </c>
      <c r="L298" s="24">
        <v>0</v>
      </c>
      <c r="M298" s="25">
        <v>5.6</v>
      </c>
      <c r="N298" s="26">
        <v>14000</v>
      </c>
      <c r="O298" s="27">
        <v>14</v>
      </c>
      <c r="P298" s="28">
        <f t="shared" si="21"/>
        <v>0.4</v>
      </c>
      <c r="Q298" s="29">
        <f t="shared" si="22"/>
        <v>1000</v>
      </c>
      <c r="R298" s="30">
        <v>1</v>
      </c>
      <c r="S298" s="19">
        <v>0</v>
      </c>
      <c r="T298" s="23">
        <v>0</v>
      </c>
      <c r="U298" s="24">
        <v>0</v>
      </c>
      <c r="V298" s="31">
        <f t="shared" si="23"/>
        <v>6</v>
      </c>
      <c r="W298" s="32">
        <v>15000</v>
      </c>
      <c r="X298" s="30">
        <v>15</v>
      </c>
      <c r="Y298" s="19">
        <v>0</v>
      </c>
      <c r="Z298" s="23">
        <v>0</v>
      </c>
      <c r="AA298" s="24">
        <v>0</v>
      </c>
      <c r="AB298" s="33">
        <v>0</v>
      </c>
      <c r="AC298" s="34">
        <v>0</v>
      </c>
      <c r="AD298" s="35">
        <v>0</v>
      </c>
      <c r="AE298" s="36">
        <v>0</v>
      </c>
      <c r="AF298" s="23">
        <v>0</v>
      </c>
      <c r="AG298" s="24">
        <v>0</v>
      </c>
      <c r="AH298" s="33">
        <v>0</v>
      </c>
      <c r="AI298" s="37">
        <v>0</v>
      </c>
      <c r="AJ298" s="35">
        <v>0</v>
      </c>
      <c r="AK298" s="36">
        <v>0</v>
      </c>
      <c r="AL298" s="38">
        <v>0</v>
      </c>
      <c r="AM298" s="35">
        <v>0</v>
      </c>
      <c r="AN298" s="19">
        <v>0</v>
      </c>
      <c r="AO298" s="23">
        <v>0</v>
      </c>
      <c r="AP298" s="24">
        <v>0</v>
      </c>
      <c r="AQ298" s="31">
        <f t="shared" si="24"/>
        <v>12</v>
      </c>
      <c r="AR298" s="32">
        <f t="shared" si="24"/>
        <v>30000</v>
      </c>
      <c r="AS298" s="30">
        <v>15</v>
      </c>
    </row>
    <row r="299" spans="1:45" ht="15.6" x14ac:dyDescent="0.3">
      <c r="A299" s="19">
        <v>296</v>
      </c>
      <c r="B299" s="21" t="s">
        <v>307</v>
      </c>
      <c r="C299" s="20" t="s">
        <v>323</v>
      </c>
      <c r="D299" s="324"/>
      <c r="E299" s="22">
        <v>6.4</v>
      </c>
      <c r="F299" s="23">
        <f t="shared" si="20"/>
        <v>16000</v>
      </c>
      <c r="G299" s="19">
        <v>0</v>
      </c>
      <c r="H299" s="23">
        <v>0</v>
      </c>
      <c r="I299" s="24">
        <v>0</v>
      </c>
      <c r="J299" s="19">
        <v>0</v>
      </c>
      <c r="K299" s="23">
        <v>0</v>
      </c>
      <c r="L299" s="24">
        <v>0</v>
      </c>
      <c r="M299" s="25">
        <v>1.6</v>
      </c>
      <c r="N299" s="26">
        <v>4000</v>
      </c>
      <c r="O299" s="27">
        <v>4</v>
      </c>
      <c r="P299" s="28">
        <f t="shared" si="21"/>
        <v>0.8</v>
      </c>
      <c r="Q299" s="29">
        <f t="shared" si="22"/>
        <v>2000</v>
      </c>
      <c r="R299" s="30">
        <v>2</v>
      </c>
      <c r="S299" s="19">
        <v>0</v>
      </c>
      <c r="T299" s="23">
        <v>0</v>
      </c>
      <c r="U299" s="24">
        <v>0</v>
      </c>
      <c r="V299" s="31">
        <f t="shared" si="23"/>
        <v>2.4</v>
      </c>
      <c r="W299" s="32">
        <v>6000</v>
      </c>
      <c r="X299" s="30">
        <v>6</v>
      </c>
      <c r="Y299" s="19">
        <v>0</v>
      </c>
      <c r="Z299" s="23">
        <v>0</v>
      </c>
      <c r="AA299" s="24">
        <v>0</v>
      </c>
      <c r="AB299" s="33">
        <v>0</v>
      </c>
      <c r="AC299" s="34">
        <v>0</v>
      </c>
      <c r="AD299" s="35">
        <v>0</v>
      </c>
      <c r="AE299" s="36">
        <v>0</v>
      </c>
      <c r="AF299" s="23">
        <v>0</v>
      </c>
      <c r="AG299" s="24">
        <v>0</v>
      </c>
      <c r="AH299" s="33">
        <v>0</v>
      </c>
      <c r="AI299" s="37">
        <v>0</v>
      </c>
      <c r="AJ299" s="35">
        <v>0</v>
      </c>
      <c r="AK299" s="36">
        <v>0</v>
      </c>
      <c r="AL299" s="38">
        <v>0</v>
      </c>
      <c r="AM299" s="35">
        <v>0</v>
      </c>
      <c r="AN299" s="19">
        <v>0</v>
      </c>
      <c r="AO299" s="23">
        <v>0</v>
      </c>
      <c r="AP299" s="24">
        <v>0</v>
      </c>
      <c r="AQ299" s="31">
        <f t="shared" si="24"/>
        <v>4.8000000000000007</v>
      </c>
      <c r="AR299" s="32">
        <f t="shared" si="24"/>
        <v>12000</v>
      </c>
      <c r="AS299" s="30">
        <v>6</v>
      </c>
    </row>
    <row r="300" spans="1:45" ht="15.6" x14ac:dyDescent="0.3">
      <c r="A300" s="19">
        <v>297</v>
      </c>
      <c r="B300" s="21" t="s">
        <v>307</v>
      </c>
      <c r="C300" s="20" t="s">
        <v>324</v>
      </c>
      <c r="D300" s="324"/>
      <c r="E300" s="22">
        <v>5</v>
      </c>
      <c r="F300" s="23">
        <f t="shared" si="20"/>
        <v>12500</v>
      </c>
      <c r="G300" s="19">
        <v>0</v>
      </c>
      <c r="H300" s="23">
        <v>0</v>
      </c>
      <c r="I300" s="24">
        <v>0</v>
      </c>
      <c r="J300" s="19">
        <v>0</v>
      </c>
      <c r="K300" s="23">
        <v>0</v>
      </c>
      <c r="L300" s="24">
        <v>0</v>
      </c>
      <c r="M300" s="25">
        <v>2</v>
      </c>
      <c r="N300" s="26">
        <v>5000</v>
      </c>
      <c r="O300" s="27">
        <v>5</v>
      </c>
      <c r="P300" s="28">
        <f t="shared" si="21"/>
        <v>1.2</v>
      </c>
      <c r="Q300" s="29">
        <f t="shared" si="22"/>
        <v>3000</v>
      </c>
      <c r="R300" s="30">
        <v>3</v>
      </c>
      <c r="S300" s="19">
        <v>0</v>
      </c>
      <c r="T300" s="23">
        <v>0</v>
      </c>
      <c r="U300" s="24">
        <v>0</v>
      </c>
      <c r="V300" s="31">
        <f t="shared" si="23"/>
        <v>3.2</v>
      </c>
      <c r="W300" s="32">
        <v>8000</v>
      </c>
      <c r="X300" s="30">
        <v>8</v>
      </c>
      <c r="Y300" s="19">
        <v>0</v>
      </c>
      <c r="Z300" s="23">
        <v>0</v>
      </c>
      <c r="AA300" s="24">
        <v>0</v>
      </c>
      <c r="AB300" s="33">
        <v>0</v>
      </c>
      <c r="AC300" s="34">
        <v>0</v>
      </c>
      <c r="AD300" s="35">
        <v>0</v>
      </c>
      <c r="AE300" s="36">
        <v>0</v>
      </c>
      <c r="AF300" s="23">
        <v>0</v>
      </c>
      <c r="AG300" s="24">
        <v>0</v>
      </c>
      <c r="AH300" s="33">
        <v>0</v>
      </c>
      <c r="AI300" s="37">
        <v>0</v>
      </c>
      <c r="AJ300" s="35">
        <v>0</v>
      </c>
      <c r="AK300" s="36">
        <v>0</v>
      </c>
      <c r="AL300" s="38">
        <v>0</v>
      </c>
      <c r="AM300" s="35">
        <v>0</v>
      </c>
      <c r="AN300" s="19">
        <v>0</v>
      </c>
      <c r="AO300" s="23">
        <v>0</v>
      </c>
      <c r="AP300" s="24">
        <v>0</v>
      </c>
      <c r="AQ300" s="31">
        <f t="shared" si="24"/>
        <v>6.4</v>
      </c>
      <c r="AR300" s="32">
        <f t="shared" si="24"/>
        <v>16000</v>
      </c>
      <c r="AS300" s="30">
        <v>8</v>
      </c>
    </row>
    <row r="301" spans="1:45" ht="15.6" x14ac:dyDescent="0.3">
      <c r="A301" s="19">
        <v>298</v>
      </c>
      <c r="B301" s="21" t="s">
        <v>307</v>
      </c>
      <c r="C301" s="20" t="s">
        <v>325</v>
      </c>
      <c r="D301" s="324"/>
      <c r="E301" s="22">
        <v>33</v>
      </c>
      <c r="F301" s="23">
        <f t="shared" si="20"/>
        <v>82500</v>
      </c>
      <c r="G301" s="19">
        <v>0</v>
      </c>
      <c r="H301" s="23">
        <v>0</v>
      </c>
      <c r="I301" s="24">
        <v>0</v>
      </c>
      <c r="J301" s="19">
        <v>0</v>
      </c>
      <c r="K301" s="23">
        <v>0</v>
      </c>
      <c r="L301" s="24">
        <v>0</v>
      </c>
      <c r="M301" s="25">
        <v>9.6</v>
      </c>
      <c r="N301" s="26">
        <v>24000</v>
      </c>
      <c r="O301" s="27">
        <v>24</v>
      </c>
      <c r="P301" s="28">
        <f t="shared" si="21"/>
        <v>1.2</v>
      </c>
      <c r="Q301" s="29">
        <f t="shared" si="22"/>
        <v>3000</v>
      </c>
      <c r="R301" s="30">
        <v>3</v>
      </c>
      <c r="S301" s="19">
        <v>0</v>
      </c>
      <c r="T301" s="23">
        <v>0</v>
      </c>
      <c r="U301" s="24">
        <v>0</v>
      </c>
      <c r="V301" s="31">
        <f t="shared" si="23"/>
        <v>10.8</v>
      </c>
      <c r="W301" s="32">
        <v>27000</v>
      </c>
      <c r="X301" s="30">
        <v>27</v>
      </c>
      <c r="Y301" s="19">
        <v>0</v>
      </c>
      <c r="Z301" s="23">
        <v>0</v>
      </c>
      <c r="AA301" s="24">
        <v>0</v>
      </c>
      <c r="AB301" s="33">
        <v>0</v>
      </c>
      <c r="AC301" s="34">
        <v>0</v>
      </c>
      <c r="AD301" s="35">
        <v>0</v>
      </c>
      <c r="AE301" s="36">
        <v>0</v>
      </c>
      <c r="AF301" s="23">
        <v>0</v>
      </c>
      <c r="AG301" s="24">
        <v>0</v>
      </c>
      <c r="AH301" s="33">
        <v>0</v>
      </c>
      <c r="AI301" s="37">
        <v>0</v>
      </c>
      <c r="AJ301" s="35">
        <v>0</v>
      </c>
      <c r="AK301" s="36">
        <v>0</v>
      </c>
      <c r="AL301" s="38">
        <v>0</v>
      </c>
      <c r="AM301" s="35">
        <v>0</v>
      </c>
      <c r="AN301" s="19">
        <v>0</v>
      </c>
      <c r="AO301" s="23">
        <v>0</v>
      </c>
      <c r="AP301" s="24">
        <v>0</v>
      </c>
      <c r="AQ301" s="31">
        <f t="shared" si="24"/>
        <v>21.6</v>
      </c>
      <c r="AR301" s="32">
        <f t="shared" si="24"/>
        <v>54000</v>
      </c>
      <c r="AS301" s="30">
        <v>27</v>
      </c>
    </row>
    <row r="302" spans="1:45" ht="15.6" x14ac:dyDescent="0.3">
      <c r="A302" s="19">
        <v>299</v>
      </c>
      <c r="B302" s="21" t="s">
        <v>307</v>
      </c>
      <c r="C302" s="20" t="s">
        <v>326</v>
      </c>
      <c r="D302" s="324"/>
      <c r="E302" s="22">
        <v>16</v>
      </c>
      <c r="F302" s="23">
        <f t="shared" si="20"/>
        <v>40000</v>
      </c>
      <c r="G302" s="19">
        <v>0</v>
      </c>
      <c r="H302" s="23">
        <v>0</v>
      </c>
      <c r="I302" s="24">
        <v>0</v>
      </c>
      <c r="J302" s="19">
        <v>0</v>
      </c>
      <c r="K302" s="23">
        <v>0</v>
      </c>
      <c r="L302" s="24">
        <v>0</v>
      </c>
      <c r="M302" s="25">
        <v>3.2</v>
      </c>
      <c r="N302" s="26">
        <v>8000</v>
      </c>
      <c r="O302" s="27">
        <v>8</v>
      </c>
      <c r="P302" s="28">
        <f t="shared" si="21"/>
        <v>0.4</v>
      </c>
      <c r="Q302" s="29">
        <f t="shared" si="22"/>
        <v>1000</v>
      </c>
      <c r="R302" s="30">
        <v>1</v>
      </c>
      <c r="S302" s="19">
        <v>0</v>
      </c>
      <c r="T302" s="23">
        <v>0</v>
      </c>
      <c r="U302" s="24">
        <v>0</v>
      </c>
      <c r="V302" s="31">
        <f t="shared" si="23"/>
        <v>3.6</v>
      </c>
      <c r="W302" s="32">
        <v>9000</v>
      </c>
      <c r="X302" s="30">
        <v>9</v>
      </c>
      <c r="Y302" s="19">
        <v>0</v>
      </c>
      <c r="Z302" s="23">
        <v>0</v>
      </c>
      <c r="AA302" s="24">
        <v>0</v>
      </c>
      <c r="AB302" s="33">
        <v>0</v>
      </c>
      <c r="AC302" s="34">
        <v>0</v>
      </c>
      <c r="AD302" s="35">
        <v>0</v>
      </c>
      <c r="AE302" s="36">
        <v>0</v>
      </c>
      <c r="AF302" s="23">
        <v>0</v>
      </c>
      <c r="AG302" s="24">
        <v>0</v>
      </c>
      <c r="AH302" s="33">
        <v>0</v>
      </c>
      <c r="AI302" s="37">
        <v>0</v>
      </c>
      <c r="AJ302" s="35">
        <v>0</v>
      </c>
      <c r="AK302" s="36">
        <v>0</v>
      </c>
      <c r="AL302" s="38">
        <v>0</v>
      </c>
      <c r="AM302" s="35">
        <v>0</v>
      </c>
      <c r="AN302" s="19">
        <v>0</v>
      </c>
      <c r="AO302" s="23">
        <v>0</v>
      </c>
      <c r="AP302" s="24">
        <v>0</v>
      </c>
      <c r="AQ302" s="31">
        <f t="shared" si="24"/>
        <v>7.2</v>
      </c>
      <c r="AR302" s="32">
        <f t="shared" si="24"/>
        <v>18000</v>
      </c>
      <c r="AS302" s="30">
        <v>9</v>
      </c>
    </row>
    <row r="303" spans="1:45" ht="15.6" x14ac:dyDescent="0.3">
      <c r="A303" s="19">
        <v>300</v>
      </c>
      <c r="B303" s="21" t="s">
        <v>327</v>
      </c>
      <c r="C303" s="20" t="s">
        <v>328</v>
      </c>
      <c r="D303" s="324"/>
      <c r="E303" s="22">
        <v>31</v>
      </c>
      <c r="F303" s="23">
        <f t="shared" si="20"/>
        <v>77500</v>
      </c>
      <c r="G303" s="19">
        <v>0</v>
      </c>
      <c r="H303" s="23">
        <v>0</v>
      </c>
      <c r="I303" s="24">
        <v>0</v>
      </c>
      <c r="J303" s="19">
        <v>0</v>
      </c>
      <c r="K303" s="23">
        <v>0</v>
      </c>
      <c r="L303" s="24">
        <v>0</v>
      </c>
      <c r="M303" s="25">
        <v>8</v>
      </c>
      <c r="N303" s="26">
        <v>20000</v>
      </c>
      <c r="O303" s="27">
        <v>20</v>
      </c>
      <c r="P303" s="28">
        <f t="shared" si="21"/>
        <v>3.6</v>
      </c>
      <c r="Q303" s="29">
        <f t="shared" si="22"/>
        <v>9000</v>
      </c>
      <c r="R303" s="30">
        <v>9</v>
      </c>
      <c r="S303" s="19">
        <v>0</v>
      </c>
      <c r="T303" s="23">
        <v>0</v>
      </c>
      <c r="U303" s="24">
        <v>0</v>
      </c>
      <c r="V303" s="31">
        <f t="shared" si="23"/>
        <v>11.2</v>
      </c>
      <c r="W303" s="32">
        <v>28000</v>
      </c>
      <c r="X303" s="30">
        <v>28</v>
      </c>
      <c r="Y303" s="19">
        <v>0</v>
      </c>
      <c r="Z303" s="23">
        <v>0</v>
      </c>
      <c r="AA303" s="24">
        <v>0</v>
      </c>
      <c r="AB303" s="33">
        <v>0</v>
      </c>
      <c r="AC303" s="34">
        <v>0</v>
      </c>
      <c r="AD303" s="35">
        <v>0</v>
      </c>
      <c r="AE303" s="36">
        <v>0</v>
      </c>
      <c r="AF303" s="23">
        <v>0</v>
      </c>
      <c r="AG303" s="24">
        <v>0</v>
      </c>
      <c r="AH303" s="33">
        <v>0</v>
      </c>
      <c r="AI303" s="37">
        <v>0</v>
      </c>
      <c r="AJ303" s="35">
        <v>0</v>
      </c>
      <c r="AK303" s="36">
        <v>0</v>
      </c>
      <c r="AL303" s="38">
        <v>0</v>
      </c>
      <c r="AM303" s="35">
        <v>0</v>
      </c>
      <c r="AN303" s="19">
        <v>0</v>
      </c>
      <c r="AO303" s="23">
        <v>0</v>
      </c>
      <c r="AP303" s="24">
        <v>0</v>
      </c>
      <c r="AQ303" s="31">
        <f t="shared" si="24"/>
        <v>22.799999999999997</v>
      </c>
      <c r="AR303" s="32">
        <f t="shared" si="24"/>
        <v>57000</v>
      </c>
      <c r="AS303" s="30">
        <v>29</v>
      </c>
    </row>
    <row r="304" spans="1:45" ht="15.6" x14ac:dyDescent="0.3">
      <c r="A304" s="19">
        <v>301</v>
      </c>
      <c r="B304" s="21" t="s">
        <v>327</v>
      </c>
      <c r="C304" s="20" t="s">
        <v>329</v>
      </c>
      <c r="D304" s="324"/>
      <c r="E304" s="22">
        <v>22</v>
      </c>
      <c r="F304" s="23">
        <f t="shared" si="20"/>
        <v>55000</v>
      </c>
      <c r="G304" s="19">
        <v>0</v>
      </c>
      <c r="H304" s="23">
        <v>0</v>
      </c>
      <c r="I304" s="24">
        <v>0</v>
      </c>
      <c r="J304" s="19">
        <v>0</v>
      </c>
      <c r="K304" s="23">
        <v>0</v>
      </c>
      <c r="L304" s="24">
        <v>0</v>
      </c>
      <c r="M304" s="25">
        <v>4.8</v>
      </c>
      <c r="N304" s="26">
        <v>12000</v>
      </c>
      <c r="O304" s="27">
        <v>12</v>
      </c>
      <c r="P304" s="28">
        <f t="shared" si="21"/>
        <v>1.6</v>
      </c>
      <c r="Q304" s="29">
        <f t="shared" si="22"/>
        <v>4000</v>
      </c>
      <c r="R304" s="30">
        <v>4</v>
      </c>
      <c r="S304" s="19">
        <v>0</v>
      </c>
      <c r="T304" s="23">
        <v>0</v>
      </c>
      <c r="U304" s="24">
        <v>0</v>
      </c>
      <c r="V304" s="31">
        <f t="shared" si="23"/>
        <v>6.8</v>
      </c>
      <c r="W304" s="32">
        <v>17000</v>
      </c>
      <c r="X304" s="30">
        <v>17</v>
      </c>
      <c r="Y304" s="19">
        <v>0</v>
      </c>
      <c r="Z304" s="23">
        <v>0</v>
      </c>
      <c r="AA304" s="24">
        <v>0</v>
      </c>
      <c r="AB304" s="33">
        <v>0</v>
      </c>
      <c r="AC304" s="34">
        <v>0</v>
      </c>
      <c r="AD304" s="35">
        <v>0</v>
      </c>
      <c r="AE304" s="36">
        <v>0</v>
      </c>
      <c r="AF304" s="23">
        <v>0</v>
      </c>
      <c r="AG304" s="24">
        <v>0</v>
      </c>
      <c r="AH304" s="33">
        <v>0</v>
      </c>
      <c r="AI304" s="37">
        <v>0</v>
      </c>
      <c r="AJ304" s="35">
        <v>0</v>
      </c>
      <c r="AK304" s="36">
        <v>0</v>
      </c>
      <c r="AL304" s="38">
        <v>0</v>
      </c>
      <c r="AM304" s="35">
        <v>0</v>
      </c>
      <c r="AN304" s="19">
        <v>0</v>
      </c>
      <c r="AO304" s="23">
        <v>0</v>
      </c>
      <c r="AP304" s="24">
        <v>0</v>
      </c>
      <c r="AQ304" s="31">
        <f t="shared" si="24"/>
        <v>13.2</v>
      </c>
      <c r="AR304" s="32">
        <f t="shared" si="24"/>
        <v>33000</v>
      </c>
      <c r="AS304" s="30">
        <v>17</v>
      </c>
    </row>
    <row r="305" spans="1:45" ht="15.6" x14ac:dyDescent="0.3">
      <c r="A305" s="19">
        <v>302</v>
      </c>
      <c r="B305" s="21" t="s">
        <v>327</v>
      </c>
      <c r="C305" s="20" t="s">
        <v>330</v>
      </c>
      <c r="D305" s="324"/>
      <c r="E305" s="22">
        <v>15.6</v>
      </c>
      <c r="F305" s="23">
        <f t="shared" si="20"/>
        <v>39000</v>
      </c>
      <c r="G305" s="19">
        <v>0</v>
      </c>
      <c r="H305" s="23">
        <v>0</v>
      </c>
      <c r="I305" s="24">
        <v>0</v>
      </c>
      <c r="J305" s="19">
        <v>0</v>
      </c>
      <c r="K305" s="23">
        <v>0</v>
      </c>
      <c r="L305" s="24">
        <v>0</v>
      </c>
      <c r="M305" s="25">
        <v>6</v>
      </c>
      <c r="N305" s="26">
        <v>15000</v>
      </c>
      <c r="O305" s="27">
        <v>15</v>
      </c>
      <c r="P305" s="28">
        <f t="shared" si="21"/>
        <v>2.4</v>
      </c>
      <c r="Q305" s="29">
        <f t="shared" si="22"/>
        <v>6000</v>
      </c>
      <c r="R305" s="30">
        <v>6</v>
      </c>
      <c r="S305" s="19">
        <v>0</v>
      </c>
      <c r="T305" s="23">
        <v>0</v>
      </c>
      <c r="U305" s="24">
        <v>0</v>
      </c>
      <c r="V305" s="31">
        <f t="shared" si="23"/>
        <v>8.8000000000000007</v>
      </c>
      <c r="W305" s="32">
        <v>22000</v>
      </c>
      <c r="X305" s="30">
        <v>22</v>
      </c>
      <c r="Y305" s="19">
        <v>0</v>
      </c>
      <c r="Z305" s="23">
        <v>0</v>
      </c>
      <c r="AA305" s="24">
        <v>0</v>
      </c>
      <c r="AB305" s="33">
        <v>0</v>
      </c>
      <c r="AC305" s="34">
        <v>0</v>
      </c>
      <c r="AD305" s="35">
        <v>0</v>
      </c>
      <c r="AE305" s="36">
        <v>0</v>
      </c>
      <c r="AF305" s="23">
        <v>0</v>
      </c>
      <c r="AG305" s="24">
        <v>0</v>
      </c>
      <c r="AH305" s="33">
        <v>0</v>
      </c>
      <c r="AI305" s="37">
        <v>0</v>
      </c>
      <c r="AJ305" s="35">
        <v>0</v>
      </c>
      <c r="AK305" s="36">
        <v>0</v>
      </c>
      <c r="AL305" s="38">
        <v>0</v>
      </c>
      <c r="AM305" s="35">
        <v>0</v>
      </c>
      <c r="AN305" s="19">
        <v>0</v>
      </c>
      <c r="AO305" s="23">
        <v>0</v>
      </c>
      <c r="AP305" s="24">
        <v>0</v>
      </c>
      <c r="AQ305" s="31">
        <f t="shared" si="24"/>
        <v>17.200000000000003</v>
      </c>
      <c r="AR305" s="32">
        <f t="shared" si="24"/>
        <v>43000</v>
      </c>
      <c r="AS305" s="30">
        <v>22</v>
      </c>
    </row>
    <row r="306" spans="1:45" ht="15.6" x14ac:dyDescent="0.3">
      <c r="A306" s="19">
        <v>303</v>
      </c>
      <c r="B306" s="21" t="s">
        <v>327</v>
      </c>
      <c r="C306" s="20" t="s">
        <v>331</v>
      </c>
      <c r="D306" s="324"/>
      <c r="E306" s="22">
        <v>21.4</v>
      </c>
      <c r="F306" s="23">
        <f t="shared" si="20"/>
        <v>53500</v>
      </c>
      <c r="G306" s="19">
        <v>0</v>
      </c>
      <c r="H306" s="23">
        <v>0</v>
      </c>
      <c r="I306" s="24">
        <v>0</v>
      </c>
      <c r="J306" s="19">
        <v>0</v>
      </c>
      <c r="K306" s="23">
        <v>0</v>
      </c>
      <c r="L306" s="24">
        <v>0</v>
      </c>
      <c r="M306" s="25">
        <v>6.8</v>
      </c>
      <c r="N306" s="26">
        <v>17000</v>
      </c>
      <c r="O306" s="27">
        <v>17</v>
      </c>
      <c r="P306" s="28">
        <f t="shared" si="21"/>
        <v>1.2</v>
      </c>
      <c r="Q306" s="29">
        <f t="shared" si="22"/>
        <v>3000</v>
      </c>
      <c r="R306" s="30">
        <v>3</v>
      </c>
      <c r="S306" s="19">
        <v>0</v>
      </c>
      <c r="T306" s="23">
        <v>0</v>
      </c>
      <c r="U306" s="24">
        <v>0</v>
      </c>
      <c r="V306" s="31">
        <f t="shared" si="23"/>
        <v>8.4</v>
      </c>
      <c r="W306" s="32">
        <v>21000</v>
      </c>
      <c r="X306" s="30">
        <v>21</v>
      </c>
      <c r="Y306" s="19">
        <v>0</v>
      </c>
      <c r="Z306" s="23">
        <v>0</v>
      </c>
      <c r="AA306" s="24">
        <v>0</v>
      </c>
      <c r="AB306" s="33">
        <v>0</v>
      </c>
      <c r="AC306" s="34">
        <v>0</v>
      </c>
      <c r="AD306" s="35">
        <v>0</v>
      </c>
      <c r="AE306" s="36">
        <v>0</v>
      </c>
      <c r="AF306" s="23">
        <v>0</v>
      </c>
      <c r="AG306" s="24">
        <v>0</v>
      </c>
      <c r="AH306" s="33">
        <v>0</v>
      </c>
      <c r="AI306" s="37">
        <v>0</v>
      </c>
      <c r="AJ306" s="35">
        <v>0</v>
      </c>
      <c r="AK306" s="36">
        <v>0</v>
      </c>
      <c r="AL306" s="38">
        <v>0</v>
      </c>
      <c r="AM306" s="35">
        <v>0</v>
      </c>
      <c r="AN306" s="19">
        <v>0</v>
      </c>
      <c r="AO306" s="23">
        <v>0</v>
      </c>
      <c r="AP306" s="24">
        <v>0</v>
      </c>
      <c r="AQ306" s="31">
        <f t="shared" si="24"/>
        <v>16.399999999999999</v>
      </c>
      <c r="AR306" s="32">
        <f t="shared" si="24"/>
        <v>41000</v>
      </c>
      <c r="AS306" s="30">
        <v>21</v>
      </c>
    </row>
    <row r="307" spans="1:45" ht="15.6" x14ac:dyDescent="0.3">
      <c r="A307" s="19">
        <v>304</v>
      </c>
      <c r="B307" s="21" t="s">
        <v>327</v>
      </c>
      <c r="C307" s="20" t="s">
        <v>332</v>
      </c>
      <c r="D307" s="324"/>
      <c r="E307" s="22">
        <v>20</v>
      </c>
      <c r="F307" s="23">
        <f t="shared" si="20"/>
        <v>50000</v>
      </c>
      <c r="G307" s="19">
        <v>0</v>
      </c>
      <c r="H307" s="23">
        <v>0</v>
      </c>
      <c r="I307" s="24">
        <v>0</v>
      </c>
      <c r="J307" s="19">
        <v>0</v>
      </c>
      <c r="K307" s="23">
        <v>0</v>
      </c>
      <c r="L307" s="24">
        <v>0</v>
      </c>
      <c r="M307" s="25">
        <v>7.2</v>
      </c>
      <c r="N307" s="26">
        <v>18000</v>
      </c>
      <c r="O307" s="27">
        <v>18</v>
      </c>
      <c r="P307" s="28">
        <f t="shared" si="21"/>
        <v>2</v>
      </c>
      <c r="Q307" s="29">
        <f t="shared" si="22"/>
        <v>5000</v>
      </c>
      <c r="R307" s="30">
        <v>5</v>
      </c>
      <c r="S307" s="19">
        <v>0</v>
      </c>
      <c r="T307" s="23">
        <v>0</v>
      </c>
      <c r="U307" s="24">
        <v>0</v>
      </c>
      <c r="V307" s="31">
        <f t="shared" si="23"/>
        <v>9.1999999999999993</v>
      </c>
      <c r="W307" s="32">
        <v>23000</v>
      </c>
      <c r="X307" s="30">
        <v>23</v>
      </c>
      <c r="Y307" s="19">
        <v>0</v>
      </c>
      <c r="Z307" s="23">
        <v>0</v>
      </c>
      <c r="AA307" s="24">
        <v>0</v>
      </c>
      <c r="AB307" s="33">
        <v>0</v>
      </c>
      <c r="AC307" s="34">
        <v>0</v>
      </c>
      <c r="AD307" s="35">
        <v>0</v>
      </c>
      <c r="AE307" s="36">
        <v>0</v>
      </c>
      <c r="AF307" s="23">
        <v>0</v>
      </c>
      <c r="AG307" s="24">
        <v>0</v>
      </c>
      <c r="AH307" s="33">
        <v>0</v>
      </c>
      <c r="AI307" s="37">
        <v>0</v>
      </c>
      <c r="AJ307" s="35">
        <v>0</v>
      </c>
      <c r="AK307" s="36">
        <v>0</v>
      </c>
      <c r="AL307" s="38">
        <v>0</v>
      </c>
      <c r="AM307" s="35">
        <v>0</v>
      </c>
      <c r="AN307" s="19">
        <v>0</v>
      </c>
      <c r="AO307" s="23">
        <v>0</v>
      </c>
      <c r="AP307" s="24">
        <v>0</v>
      </c>
      <c r="AQ307" s="31">
        <f t="shared" si="24"/>
        <v>18.399999999999999</v>
      </c>
      <c r="AR307" s="32">
        <f t="shared" si="24"/>
        <v>46000</v>
      </c>
      <c r="AS307" s="30">
        <v>24</v>
      </c>
    </row>
    <row r="308" spans="1:45" ht="15.6" x14ac:dyDescent="0.3">
      <c r="A308" s="19">
        <v>305</v>
      </c>
      <c r="B308" s="21" t="s">
        <v>327</v>
      </c>
      <c r="C308" s="20" t="s">
        <v>333</v>
      </c>
      <c r="D308" s="324"/>
      <c r="E308" s="22">
        <v>20.400000000000002</v>
      </c>
      <c r="F308" s="23">
        <f t="shared" si="20"/>
        <v>51000.000000000007</v>
      </c>
      <c r="G308" s="19">
        <v>0</v>
      </c>
      <c r="H308" s="23">
        <v>0</v>
      </c>
      <c r="I308" s="24">
        <v>0</v>
      </c>
      <c r="J308" s="19">
        <v>0</v>
      </c>
      <c r="K308" s="23">
        <v>0</v>
      </c>
      <c r="L308" s="24">
        <v>0</v>
      </c>
      <c r="M308" s="25">
        <v>5.2</v>
      </c>
      <c r="N308" s="26">
        <v>13000</v>
      </c>
      <c r="O308" s="27">
        <v>13</v>
      </c>
      <c r="P308" s="28">
        <f t="shared" si="21"/>
        <v>2</v>
      </c>
      <c r="Q308" s="29">
        <f t="shared" si="22"/>
        <v>5000</v>
      </c>
      <c r="R308" s="30">
        <v>5</v>
      </c>
      <c r="S308" s="19">
        <v>0</v>
      </c>
      <c r="T308" s="23">
        <v>0</v>
      </c>
      <c r="U308" s="24">
        <v>0</v>
      </c>
      <c r="V308" s="31">
        <f t="shared" si="23"/>
        <v>7.2</v>
      </c>
      <c r="W308" s="32">
        <v>18000</v>
      </c>
      <c r="X308" s="30">
        <v>18</v>
      </c>
      <c r="Y308" s="19">
        <v>0</v>
      </c>
      <c r="Z308" s="23">
        <v>0</v>
      </c>
      <c r="AA308" s="24">
        <v>0</v>
      </c>
      <c r="AB308" s="33">
        <v>0</v>
      </c>
      <c r="AC308" s="34">
        <v>0</v>
      </c>
      <c r="AD308" s="35">
        <v>0</v>
      </c>
      <c r="AE308" s="36">
        <v>0</v>
      </c>
      <c r="AF308" s="23">
        <v>0</v>
      </c>
      <c r="AG308" s="24">
        <v>0</v>
      </c>
      <c r="AH308" s="33">
        <v>0</v>
      </c>
      <c r="AI308" s="37">
        <v>0</v>
      </c>
      <c r="AJ308" s="35">
        <v>0</v>
      </c>
      <c r="AK308" s="36">
        <v>0</v>
      </c>
      <c r="AL308" s="38">
        <v>0</v>
      </c>
      <c r="AM308" s="35">
        <v>0</v>
      </c>
      <c r="AN308" s="19">
        <v>0</v>
      </c>
      <c r="AO308" s="23">
        <v>0</v>
      </c>
      <c r="AP308" s="24">
        <v>0</v>
      </c>
      <c r="AQ308" s="31">
        <f t="shared" si="24"/>
        <v>14.4</v>
      </c>
      <c r="AR308" s="32">
        <f t="shared" si="24"/>
        <v>36000</v>
      </c>
      <c r="AS308" s="30">
        <v>18</v>
      </c>
    </row>
    <row r="309" spans="1:45" ht="15.6" x14ac:dyDescent="0.3">
      <c r="A309" s="19">
        <v>306</v>
      </c>
      <c r="B309" s="21" t="s">
        <v>327</v>
      </c>
      <c r="C309" s="20" t="s">
        <v>334</v>
      </c>
      <c r="D309" s="324"/>
      <c r="E309" s="22">
        <v>21.800000000000004</v>
      </c>
      <c r="F309" s="23">
        <f t="shared" si="20"/>
        <v>54500.000000000007</v>
      </c>
      <c r="G309" s="19">
        <v>0</v>
      </c>
      <c r="H309" s="23">
        <v>0</v>
      </c>
      <c r="I309" s="24">
        <v>0</v>
      </c>
      <c r="J309" s="19">
        <v>0</v>
      </c>
      <c r="K309" s="23">
        <v>0</v>
      </c>
      <c r="L309" s="24">
        <v>0</v>
      </c>
      <c r="M309" s="25">
        <v>6.8</v>
      </c>
      <c r="N309" s="26">
        <v>17000</v>
      </c>
      <c r="O309" s="27">
        <v>17</v>
      </c>
      <c r="P309" s="28">
        <f t="shared" si="21"/>
        <v>1.2</v>
      </c>
      <c r="Q309" s="29">
        <f t="shared" si="22"/>
        <v>3000</v>
      </c>
      <c r="R309" s="30">
        <v>3</v>
      </c>
      <c r="S309" s="19">
        <v>0</v>
      </c>
      <c r="T309" s="23">
        <v>0</v>
      </c>
      <c r="U309" s="24">
        <v>0</v>
      </c>
      <c r="V309" s="31">
        <f t="shared" si="23"/>
        <v>7.6</v>
      </c>
      <c r="W309" s="32">
        <v>19000</v>
      </c>
      <c r="X309" s="30">
        <v>19</v>
      </c>
      <c r="Y309" s="19">
        <v>0</v>
      </c>
      <c r="Z309" s="23">
        <v>0</v>
      </c>
      <c r="AA309" s="24">
        <v>0</v>
      </c>
      <c r="AB309" s="33">
        <v>0</v>
      </c>
      <c r="AC309" s="34">
        <v>0</v>
      </c>
      <c r="AD309" s="35">
        <v>0</v>
      </c>
      <c r="AE309" s="36">
        <v>0</v>
      </c>
      <c r="AF309" s="23">
        <v>0</v>
      </c>
      <c r="AG309" s="24">
        <v>0</v>
      </c>
      <c r="AH309" s="33">
        <v>0</v>
      </c>
      <c r="AI309" s="37">
        <v>0</v>
      </c>
      <c r="AJ309" s="35">
        <v>0</v>
      </c>
      <c r="AK309" s="36">
        <v>0</v>
      </c>
      <c r="AL309" s="38">
        <v>0</v>
      </c>
      <c r="AM309" s="35">
        <v>0</v>
      </c>
      <c r="AN309" s="19">
        <v>0</v>
      </c>
      <c r="AO309" s="23">
        <v>0</v>
      </c>
      <c r="AP309" s="24">
        <v>0</v>
      </c>
      <c r="AQ309" s="31">
        <f t="shared" si="24"/>
        <v>15.6</v>
      </c>
      <c r="AR309" s="32">
        <f t="shared" si="24"/>
        <v>39000</v>
      </c>
      <c r="AS309" s="30">
        <v>20</v>
      </c>
    </row>
    <row r="310" spans="1:45" ht="15.6" x14ac:dyDescent="0.3">
      <c r="A310" s="19">
        <v>307</v>
      </c>
      <c r="B310" s="21" t="s">
        <v>327</v>
      </c>
      <c r="C310" s="20" t="s">
        <v>335</v>
      </c>
      <c r="D310" s="324" t="s">
        <v>25</v>
      </c>
      <c r="E310" s="22">
        <v>10.8</v>
      </c>
      <c r="F310" s="23">
        <f t="shared" si="20"/>
        <v>27000</v>
      </c>
      <c r="G310" s="19">
        <v>0</v>
      </c>
      <c r="H310" s="23">
        <v>0</v>
      </c>
      <c r="I310" s="24">
        <v>0</v>
      </c>
      <c r="J310" s="19">
        <v>0</v>
      </c>
      <c r="K310" s="23">
        <v>0</v>
      </c>
      <c r="L310" s="24">
        <v>0</v>
      </c>
      <c r="M310" s="25">
        <v>2.4</v>
      </c>
      <c r="N310" s="26">
        <v>6000</v>
      </c>
      <c r="O310" s="27">
        <v>6</v>
      </c>
      <c r="P310" s="28">
        <f t="shared" si="21"/>
        <v>3.2</v>
      </c>
      <c r="Q310" s="29">
        <f t="shared" si="22"/>
        <v>8000</v>
      </c>
      <c r="R310" s="30">
        <v>8</v>
      </c>
      <c r="S310" s="19">
        <v>0</v>
      </c>
      <c r="T310" s="23">
        <v>0</v>
      </c>
      <c r="U310" s="24">
        <v>0</v>
      </c>
      <c r="V310" s="31">
        <f t="shared" si="23"/>
        <v>5.2</v>
      </c>
      <c r="W310" s="32">
        <v>13000</v>
      </c>
      <c r="X310" s="30">
        <v>13</v>
      </c>
      <c r="Y310" s="19">
        <v>0</v>
      </c>
      <c r="Z310" s="23">
        <v>0</v>
      </c>
      <c r="AA310" s="24">
        <v>0</v>
      </c>
      <c r="AB310" s="33">
        <v>0</v>
      </c>
      <c r="AC310" s="34">
        <v>0</v>
      </c>
      <c r="AD310" s="35">
        <v>0</v>
      </c>
      <c r="AE310" s="36">
        <v>0</v>
      </c>
      <c r="AF310" s="23">
        <v>0</v>
      </c>
      <c r="AG310" s="24">
        <v>0</v>
      </c>
      <c r="AH310" s="33">
        <v>0</v>
      </c>
      <c r="AI310" s="37">
        <v>0</v>
      </c>
      <c r="AJ310" s="35">
        <v>0</v>
      </c>
      <c r="AK310" s="36">
        <v>0</v>
      </c>
      <c r="AL310" s="38">
        <v>0</v>
      </c>
      <c r="AM310" s="35">
        <v>0</v>
      </c>
      <c r="AN310" s="19">
        <v>0</v>
      </c>
      <c r="AO310" s="23">
        <v>0</v>
      </c>
      <c r="AP310" s="24">
        <v>0</v>
      </c>
      <c r="AQ310" s="31">
        <f t="shared" si="24"/>
        <v>10.8</v>
      </c>
      <c r="AR310" s="32">
        <f t="shared" si="24"/>
        <v>27000</v>
      </c>
      <c r="AS310" s="30">
        <v>14</v>
      </c>
    </row>
    <row r="311" spans="1:45" ht="15.6" x14ac:dyDescent="0.3">
      <c r="A311" s="19">
        <v>308</v>
      </c>
      <c r="B311" s="21" t="s">
        <v>327</v>
      </c>
      <c r="C311" s="20" t="s">
        <v>336</v>
      </c>
      <c r="D311" s="324"/>
      <c r="E311" s="22">
        <v>15</v>
      </c>
      <c r="F311" s="23">
        <f t="shared" si="20"/>
        <v>37500</v>
      </c>
      <c r="G311" s="19">
        <v>0</v>
      </c>
      <c r="H311" s="23">
        <v>0</v>
      </c>
      <c r="I311" s="24">
        <v>0</v>
      </c>
      <c r="J311" s="19">
        <v>0</v>
      </c>
      <c r="K311" s="23">
        <v>0</v>
      </c>
      <c r="L311" s="24">
        <v>0</v>
      </c>
      <c r="M311" s="25">
        <v>4.4000000000000004</v>
      </c>
      <c r="N311" s="26">
        <v>11000</v>
      </c>
      <c r="O311" s="27">
        <v>11</v>
      </c>
      <c r="P311" s="28">
        <f t="shared" si="21"/>
        <v>1.2</v>
      </c>
      <c r="Q311" s="29">
        <f t="shared" si="22"/>
        <v>3000</v>
      </c>
      <c r="R311" s="30">
        <v>3</v>
      </c>
      <c r="S311" s="19">
        <v>0</v>
      </c>
      <c r="T311" s="23">
        <v>0</v>
      </c>
      <c r="U311" s="24">
        <v>0</v>
      </c>
      <c r="V311" s="31">
        <f t="shared" si="23"/>
        <v>6</v>
      </c>
      <c r="W311" s="32">
        <v>15000</v>
      </c>
      <c r="X311" s="30">
        <v>15</v>
      </c>
      <c r="Y311" s="19">
        <v>0</v>
      </c>
      <c r="Z311" s="23">
        <v>0</v>
      </c>
      <c r="AA311" s="24">
        <v>0</v>
      </c>
      <c r="AB311" s="33">
        <v>0</v>
      </c>
      <c r="AC311" s="34">
        <v>0</v>
      </c>
      <c r="AD311" s="35">
        <v>0</v>
      </c>
      <c r="AE311" s="36">
        <v>0</v>
      </c>
      <c r="AF311" s="23">
        <v>0</v>
      </c>
      <c r="AG311" s="24">
        <v>0</v>
      </c>
      <c r="AH311" s="33">
        <v>0</v>
      </c>
      <c r="AI311" s="37">
        <v>0</v>
      </c>
      <c r="AJ311" s="35">
        <v>0</v>
      </c>
      <c r="AK311" s="36">
        <v>0</v>
      </c>
      <c r="AL311" s="38">
        <v>0</v>
      </c>
      <c r="AM311" s="35">
        <v>0</v>
      </c>
      <c r="AN311" s="19">
        <v>0</v>
      </c>
      <c r="AO311" s="23">
        <v>0</v>
      </c>
      <c r="AP311" s="24">
        <v>0</v>
      </c>
      <c r="AQ311" s="31">
        <f t="shared" si="24"/>
        <v>11.600000000000001</v>
      </c>
      <c r="AR311" s="32">
        <f t="shared" si="24"/>
        <v>29000</v>
      </c>
      <c r="AS311" s="30">
        <v>15</v>
      </c>
    </row>
    <row r="312" spans="1:45" ht="15.6" x14ac:dyDescent="0.3">
      <c r="A312" s="19">
        <v>309</v>
      </c>
      <c r="B312" s="21" t="s">
        <v>327</v>
      </c>
      <c r="C312" s="20" t="s">
        <v>337</v>
      </c>
      <c r="D312" s="324"/>
      <c r="E312" s="22">
        <v>11.4</v>
      </c>
      <c r="F312" s="23">
        <f t="shared" si="20"/>
        <v>28500</v>
      </c>
      <c r="G312" s="19">
        <v>0</v>
      </c>
      <c r="H312" s="23">
        <v>0</v>
      </c>
      <c r="I312" s="24">
        <v>0</v>
      </c>
      <c r="J312" s="19">
        <v>0</v>
      </c>
      <c r="K312" s="23">
        <v>0</v>
      </c>
      <c r="L312" s="24">
        <v>0</v>
      </c>
      <c r="M312" s="25">
        <v>3.2</v>
      </c>
      <c r="N312" s="26">
        <v>8000</v>
      </c>
      <c r="O312" s="27">
        <v>8</v>
      </c>
      <c r="P312" s="28">
        <f t="shared" si="21"/>
        <v>2.8</v>
      </c>
      <c r="Q312" s="29">
        <f t="shared" si="22"/>
        <v>7000</v>
      </c>
      <c r="R312" s="30">
        <v>7</v>
      </c>
      <c r="S312" s="19">
        <v>0</v>
      </c>
      <c r="T312" s="23">
        <v>0</v>
      </c>
      <c r="U312" s="24">
        <v>0</v>
      </c>
      <c r="V312" s="31">
        <f t="shared" si="23"/>
        <v>6</v>
      </c>
      <c r="W312" s="32">
        <v>15000</v>
      </c>
      <c r="X312" s="30">
        <v>15</v>
      </c>
      <c r="Y312" s="19">
        <v>0</v>
      </c>
      <c r="Z312" s="23">
        <v>0</v>
      </c>
      <c r="AA312" s="24">
        <v>0</v>
      </c>
      <c r="AB312" s="33">
        <v>0</v>
      </c>
      <c r="AC312" s="34">
        <v>0</v>
      </c>
      <c r="AD312" s="35">
        <v>0</v>
      </c>
      <c r="AE312" s="36">
        <v>0</v>
      </c>
      <c r="AF312" s="23">
        <v>0</v>
      </c>
      <c r="AG312" s="24">
        <v>0</v>
      </c>
      <c r="AH312" s="33">
        <v>0</v>
      </c>
      <c r="AI312" s="37">
        <v>0</v>
      </c>
      <c r="AJ312" s="35">
        <v>0</v>
      </c>
      <c r="AK312" s="36">
        <v>0</v>
      </c>
      <c r="AL312" s="38">
        <v>0</v>
      </c>
      <c r="AM312" s="35">
        <v>0</v>
      </c>
      <c r="AN312" s="19">
        <v>0</v>
      </c>
      <c r="AO312" s="23">
        <v>0</v>
      </c>
      <c r="AP312" s="24">
        <v>0</v>
      </c>
      <c r="AQ312" s="31">
        <f t="shared" si="24"/>
        <v>12</v>
      </c>
      <c r="AR312" s="32">
        <f t="shared" si="24"/>
        <v>30000</v>
      </c>
      <c r="AS312" s="30">
        <v>15</v>
      </c>
    </row>
    <row r="313" spans="1:45" ht="15.6" x14ac:dyDescent="0.3">
      <c r="A313" s="19">
        <v>310</v>
      </c>
      <c r="B313" s="21" t="s">
        <v>327</v>
      </c>
      <c r="C313" s="20" t="s">
        <v>338</v>
      </c>
      <c r="D313" s="324"/>
      <c r="E313" s="22">
        <v>27.200000000000003</v>
      </c>
      <c r="F313" s="23">
        <f t="shared" si="20"/>
        <v>68000</v>
      </c>
      <c r="G313" s="19">
        <v>0</v>
      </c>
      <c r="H313" s="23">
        <v>0</v>
      </c>
      <c r="I313" s="24">
        <v>0</v>
      </c>
      <c r="J313" s="19">
        <v>0</v>
      </c>
      <c r="K313" s="23">
        <v>0</v>
      </c>
      <c r="L313" s="24">
        <v>0</v>
      </c>
      <c r="M313" s="25">
        <v>7.6</v>
      </c>
      <c r="N313" s="26">
        <v>19000</v>
      </c>
      <c r="O313" s="27">
        <v>19</v>
      </c>
      <c r="P313" s="28">
        <f t="shared" si="21"/>
        <v>0.8</v>
      </c>
      <c r="Q313" s="29">
        <f t="shared" si="22"/>
        <v>2000</v>
      </c>
      <c r="R313" s="30">
        <v>2</v>
      </c>
      <c r="S313" s="19">
        <v>0</v>
      </c>
      <c r="T313" s="23">
        <v>0</v>
      </c>
      <c r="U313" s="24">
        <v>0</v>
      </c>
      <c r="V313" s="31">
        <f t="shared" si="23"/>
        <v>8.4</v>
      </c>
      <c r="W313" s="32">
        <v>21000</v>
      </c>
      <c r="X313" s="30">
        <v>21</v>
      </c>
      <c r="Y313" s="19">
        <v>0</v>
      </c>
      <c r="Z313" s="23">
        <v>0</v>
      </c>
      <c r="AA313" s="24">
        <v>0</v>
      </c>
      <c r="AB313" s="33">
        <v>0</v>
      </c>
      <c r="AC313" s="34">
        <v>0</v>
      </c>
      <c r="AD313" s="35">
        <v>0</v>
      </c>
      <c r="AE313" s="36">
        <v>0</v>
      </c>
      <c r="AF313" s="23">
        <v>0</v>
      </c>
      <c r="AG313" s="24">
        <v>0</v>
      </c>
      <c r="AH313" s="33">
        <v>0</v>
      </c>
      <c r="AI313" s="37">
        <v>0</v>
      </c>
      <c r="AJ313" s="35">
        <v>0</v>
      </c>
      <c r="AK313" s="36">
        <v>0</v>
      </c>
      <c r="AL313" s="38">
        <v>0</v>
      </c>
      <c r="AM313" s="35">
        <v>0</v>
      </c>
      <c r="AN313" s="19">
        <v>0</v>
      </c>
      <c r="AO313" s="23">
        <v>0</v>
      </c>
      <c r="AP313" s="24">
        <v>0</v>
      </c>
      <c r="AQ313" s="31">
        <f t="shared" si="24"/>
        <v>16.8</v>
      </c>
      <c r="AR313" s="32">
        <f t="shared" si="24"/>
        <v>42000</v>
      </c>
      <c r="AS313" s="30">
        <v>22</v>
      </c>
    </row>
    <row r="314" spans="1:45" ht="15.6" x14ac:dyDescent="0.3">
      <c r="A314" s="19">
        <v>311</v>
      </c>
      <c r="B314" s="21" t="s">
        <v>327</v>
      </c>
      <c r="C314" s="20" t="s">
        <v>339</v>
      </c>
      <c r="D314" s="324"/>
      <c r="E314" s="22">
        <v>20.8</v>
      </c>
      <c r="F314" s="23">
        <f t="shared" si="20"/>
        <v>52000</v>
      </c>
      <c r="G314" s="19">
        <v>0</v>
      </c>
      <c r="H314" s="23">
        <v>0</v>
      </c>
      <c r="I314" s="24">
        <v>0</v>
      </c>
      <c r="J314" s="19">
        <v>0</v>
      </c>
      <c r="K314" s="23">
        <v>0</v>
      </c>
      <c r="L314" s="24">
        <v>0</v>
      </c>
      <c r="M314" s="25">
        <v>6</v>
      </c>
      <c r="N314" s="26">
        <v>15000</v>
      </c>
      <c r="O314" s="27">
        <v>15</v>
      </c>
      <c r="P314" s="28">
        <f t="shared" si="21"/>
        <v>2.8</v>
      </c>
      <c r="Q314" s="29">
        <f t="shared" si="22"/>
        <v>7000</v>
      </c>
      <c r="R314" s="30">
        <v>7</v>
      </c>
      <c r="S314" s="19">
        <v>0</v>
      </c>
      <c r="T314" s="23">
        <v>0</v>
      </c>
      <c r="U314" s="24">
        <v>0</v>
      </c>
      <c r="V314" s="31">
        <f t="shared" si="23"/>
        <v>8.4</v>
      </c>
      <c r="W314" s="32">
        <v>21000</v>
      </c>
      <c r="X314" s="30">
        <v>21</v>
      </c>
      <c r="Y314" s="19">
        <v>0</v>
      </c>
      <c r="Z314" s="23">
        <v>0</v>
      </c>
      <c r="AA314" s="24">
        <v>0</v>
      </c>
      <c r="AB314" s="33">
        <v>0</v>
      </c>
      <c r="AC314" s="34">
        <v>0</v>
      </c>
      <c r="AD314" s="35">
        <v>0</v>
      </c>
      <c r="AE314" s="36">
        <v>0</v>
      </c>
      <c r="AF314" s="23">
        <v>0</v>
      </c>
      <c r="AG314" s="24">
        <v>0</v>
      </c>
      <c r="AH314" s="33">
        <v>0</v>
      </c>
      <c r="AI314" s="37">
        <v>0</v>
      </c>
      <c r="AJ314" s="35">
        <v>0</v>
      </c>
      <c r="AK314" s="36">
        <v>0</v>
      </c>
      <c r="AL314" s="38">
        <v>0</v>
      </c>
      <c r="AM314" s="35">
        <v>0</v>
      </c>
      <c r="AN314" s="19">
        <v>0</v>
      </c>
      <c r="AO314" s="23">
        <v>0</v>
      </c>
      <c r="AP314" s="24">
        <v>0</v>
      </c>
      <c r="AQ314" s="31">
        <f t="shared" si="24"/>
        <v>17.200000000000003</v>
      </c>
      <c r="AR314" s="32">
        <f t="shared" si="24"/>
        <v>43000</v>
      </c>
      <c r="AS314" s="30">
        <v>23</v>
      </c>
    </row>
    <row r="315" spans="1:45" ht="15.6" x14ac:dyDescent="0.3">
      <c r="A315" s="19">
        <v>312</v>
      </c>
      <c r="B315" s="21" t="s">
        <v>327</v>
      </c>
      <c r="C315" s="20" t="s">
        <v>340</v>
      </c>
      <c r="D315" s="324"/>
      <c r="E315" s="22">
        <v>30</v>
      </c>
      <c r="F315" s="23">
        <f t="shared" si="20"/>
        <v>75000</v>
      </c>
      <c r="G315" s="19">
        <v>0</v>
      </c>
      <c r="H315" s="23">
        <v>0</v>
      </c>
      <c r="I315" s="24">
        <v>0</v>
      </c>
      <c r="J315" s="19">
        <v>0</v>
      </c>
      <c r="K315" s="23">
        <v>0</v>
      </c>
      <c r="L315" s="24">
        <v>0</v>
      </c>
      <c r="M315" s="25">
        <v>10.8</v>
      </c>
      <c r="N315" s="26">
        <v>27000</v>
      </c>
      <c r="O315" s="27">
        <v>27</v>
      </c>
      <c r="P315" s="28">
        <f t="shared" si="21"/>
        <v>1.6</v>
      </c>
      <c r="Q315" s="29">
        <f t="shared" si="22"/>
        <v>4000</v>
      </c>
      <c r="R315" s="30">
        <v>4</v>
      </c>
      <c r="S315" s="19">
        <v>0</v>
      </c>
      <c r="T315" s="23">
        <v>0</v>
      </c>
      <c r="U315" s="24">
        <v>0</v>
      </c>
      <c r="V315" s="31">
        <f t="shared" si="23"/>
        <v>12.4</v>
      </c>
      <c r="W315" s="32">
        <v>31000</v>
      </c>
      <c r="X315" s="30">
        <v>31</v>
      </c>
      <c r="Y315" s="19">
        <v>0</v>
      </c>
      <c r="Z315" s="23">
        <v>0</v>
      </c>
      <c r="AA315" s="24">
        <v>0</v>
      </c>
      <c r="AB315" s="33">
        <v>0</v>
      </c>
      <c r="AC315" s="34">
        <v>0</v>
      </c>
      <c r="AD315" s="35">
        <v>0</v>
      </c>
      <c r="AE315" s="36">
        <v>0</v>
      </c>
      <c r="AF315" s="23">
        <v>0</v>
      </c>
      <c r="AG315" s="24">
        <v>0</v>
      </c>
      <c r="AH315" s="33">
        <v>0</v>
      </c>
      <c r="AI315" s="37">
        <v>0</v>
      </c>
      <c r="AJ315" s="35">
        <v>0</v>
      </c>
      <c r="AK315" s="36">
        <v>0</v>
      </c>
      <c r="AL315" s="38">
        <v>0</v>
      </c>
      <c r="AM315" s="35">
        <v>0</v>
      </c>
      <c r="AN315" s="19">
        <v>0</v>
      </c>
      <c r="AO315" s="23">
        <v>0</v>
      </c>
      <c r="AP315" s="24">
        <v>0</v>
      </c>
      <c r="AQ315" s="31">
        <f t="shared" si="24"/>
        <v>24.8</v>
      </c>
      <c r="AR315" s="32">
        <f t="shared" si="24"/>
        <v>62000</v>
      </c>
      <c r="AS315" s="30">
        <v>31</v>
      </c>
    </row>
    <row r="316" spans="1:45" ht="15.6" x14ac:dyDescent="0.3">
      <c r="A316" s="19">
        <v>313</v>
      </c>
      <c r="B316" s="21" t="s">
        <v>327</v>
      </c>
      <c r="C316" s="20" t="s">
        <v>341</v>
      </c>
      <c r="D316" s="324"/>
      <c r="E316" s="22">
        <v>31</v>
      </c>
      <c r="F316" s="23">
        <f t="shared" si="20"/>
        <v>77500</v>
      </c>
      <c r="G316" s="19">
        <v>0</v>
      </c>
      <c r="H316" s="23">
        <v>0</v>
      </c>
      <c r="I316" s="24">
        <v>0</v>
      </c>
      <c r="J316" s="19">
        <v>0</v>
      </c>
      <c r="K316" s="23">
        <v>0</v>
      </c>
      <c r="L316" s="24">
        <v>0</v>
      </c>
      <c r="M316" s="25">
        <v>10</v>
      </c>
      <c r="N316" s="26">
        <v>25000</v>
      </c>
      <c r="O316" s="27">
        <v>25</v>
      </c>
      <c r="P316" s="28">
        <f t="shared" si="21"/>
        <v>3.2</v>
      </c>
      <c r="Q316" s="29">
        <f t="shared" si="22"/>
        <v>8000</v>
      </c>
      <c r="R316" s="30">
        <v>8</v>
      </c>
      <c r="S316" s="19">
        <v>0</v>
      </c>
      <c r="T316" s="23">
        <v>0</v>
      </c>
      <c r="U316" s="24">
        <v>0</v>
      </c>
      <c r="V316" s="31">
        <f t="shared" si="23"/>
        <v>12.8</v>
      </c>
      <c r="W316" s="32">
        <v>32000</v>
      </c>
      <c r="X316" s="30">
        <v>32</v>
      </c>
      <c r="Y316" s="19">
        <v>0</v>
      </c>
      <c r="Z316" s="23">
        <v>0</v>
      </c>
      <c r="AA316" s="24">
        <v>0</v>
      </c>
      <c r="AB316" s="33">
        <v>0</v>
      </c>
      <c r="AC316" s="34">
        <v>0</v>
      </c>
      <c r="AD316" s="35">
        <v>0</v>
      </c>
      <c r="AE316" s="36">
        <v>0</v>
      </c>
      <c r="AF316" s="23">
        <v>0</v>
      </c>
      <c r="AG316" s="24">
        <v>0</v>
      </c>
      <c r="AH316" s="33">
        <v>0</v>
      </c>
      <c r="AI316" s="37">
        <v>0</v>
      </c>
      <c r="AJ316" s="35">
        <v>0</v>
      </c>
      <c r="AK316" s="36">
        <v>0</v>
      </c>
      <c r="AL316" s="38">
        <v>0</v>
      </c>
      <c r="AM316" s="35">
        <v>0</v>
      </c>
      <c r="AN316" s="19">
        <v>0</v>
      </c>
      <c r="AO316" s="23">
        <v>0</v>
      </c>
      <c r="AP316" s="24">
        <v>0</v>
      </c>
      <c r="AQ316" s="31">
        <f t="shared" si="24"/>
        <v>26</v>
      </c>
      <c r="AR316" s="32">
        <f t="shared" si="24"/>
        <v>65000</v>
      </c>
      <c r="AS316" s="30">
        <v>33</v>
      </c>
    </row>
    <row r="317" spans="1:45" ht="15.6" x14ac:dyDescent="0.3">
      <c r="A317" s="19">
        <v>314</v>
      </c>
      <c r="B317" s="21" t="s">
        <v>327</v>
      </c>
      <c r="C317" s="20" t="s">
        <v>283</v>
      </c>
      <c r="D317" s="324"/>
      <c r="E317" s="22">
        <v>26.800000000000004</v>
      </c>
      <c r="F317" s="23">
        <f t="shared" si="20"/>
        <v>67000.000000000015</v>
      </c>
      <c r="G317" s="19">
        <v>0</v>
      </c>
      <c r="H317" s="23">
        <v>0</v>
      </c>
      <c r="I317" s="24">
        <v>0</v>
      </c>
      <c r="J317" s="19">
        <v>0</v>
      </c>
      <c r="K317" s="23">
        <v>0</v>
      </c>
      <c r="L317" s="24">
        <v>0</v>
      </c>
      <c r="M317" s="25">
        <v>8</v>
      </c>
      <c r="N317" s="26">
        <v>20000</v>
      </c>
      <c r="O317" s="27">
        <v>20</v>
      </c>
      <c r="P317" s="28">
        <f t="shared" si="21"/>
        <v>2.4</v>
      </c>
      <c r="Q317" s="29">
        <f t="shared" si="22"/>
        <v>6000</v>
      </c>
      <c r="R317" s="30">
        <v>6</v>
      </c>
      <c r="S317" s="19">
        <v>0</v>
      </c>
      <c r="T317" s="23">
        <v>0</v>
      </c>
      <c r="U317" s="24">
        <v>0</v>
      </c>
      <c r="V317" s="31">
        <f t="shared" si="23"/>
        <v>10.4</v>
      </c>
      <c r="W317" s="32">
        <v>26000</v>
      </c>
      <c r="X317" s="30">
        <v>26</v>
      </c>
      <c r="Y317" s="19">
        <v>0</v>
      </c>
      <c r="Z317" s="23">
        <v>0</v>
      </c>
      <c r="AA317" s="24">
        <v>0</v>
      </c>
      <c r="AB317" s="33">
        <v>0</v>
      </c>
      <c r="AC317" s="34">
        <v>0</v>
      </c>
      <c r="AD317" s="35">
        <v>0</v>
      </c>
      <c r="AE317" s="36">
        <v>0</v>
      </c>
      <c r="AF317" s="23">
        <v>0</v>
      </c>
      <c r="AG317" s="24">
        <v>0</v>
      </c>
      <c r="AH317" s="33">
        <v>0</v>
      </c>
      <c r="AI317" s="37">
        <v>0</v>
      </c>
      <c r="AJ317" s="35">
        <v>0</v>
      </c>
      <c r="AK317" s="36">
        <v>0</v>
      </c>
      <c r="AL317" s="38">
        <v>0</v>
      </c>
      <c r="AM317" s="35">
        <v>0</v>
      </c>
      <c r="AN317" s="19">
        <v>0</v>
      </c>
      <c r="AO317" s="23">
        <v>0</v>
      </c>
      <c r="AP317" s="24">
        <v>0</v>
      </c>
      <c r="AQ317" s="31">
        <f t="shared" si="24"/>
        <v>20.8</v>
      </c>
      <c r="AR317" s="32">
        <f t="shared" si="24"/>
        <v>52000</v>
      </c>
      <c r="AS317" s="30">
        <v>26</v>
      </c>
    </row>
    <row r="318" spans="1:45" ht="15.6" x14ac:dyDescent="0.3">
      <c r="A318" s="19">
        <v>315</v>
      </c>
      <c r="B318" s="21" t="s">
        <v>327</v>
      </c>
      <c r="C318" s="20" t="s">
        <v>342</v>
      </c>
      <c r="D318" s="324"/>
      <c r="E318" s="22">
        <v>21.6</v>
      </c>
      <c r="F318" s="23">
        <f t="shared" si="20"/>
        <v>54000</v>
      </c>
      <c r="G318" s="19">
        <v>0</v>
      </c>
      <c r="H318" s="23">
        <v>0</v>
      </c>
      <c r="I318" s="24">
        <v>0</v>
      </c>
      <c r="J318" s="19">
        <v>0</v>
      </c>
      <c r="K318" s="23">
        <v>0</v>
      </c>
      <c r="L318" s="24">
        <v>0</v>
      </c>
      <c r="M318" s="25">
        <v>6.4</v>
      </c>
      <c r="N318" s="26">
        <v>16000</v>
      </c>
      <c r="O318" s="27">
        <v>16</v>
      </c>
      <c r="P318" s="28">
        <f t="shared" si="21"/>
        <v>1.6</v>
      </c>
      <c r="Q318" s="29">
        <f t="shared" si="22"/>
        <v>4000</v>
      </c>
      <c r="R318" s="30">
        <v>4</v>
      </c>
      <c r="S318" s="19">
        <v>0</v>
      </c>
      <c r="T318" s="23">
        <v>0</v>
      </c>
      <c r="U318" s="24">
        <v>0</v>
      </c>
      <c r="V318" s="31">
        <f t="shared" si="23"/>
        <v>8</v>
      </c>
      <c r="W318" s="32">
        <v>20000</v>
      </c>
      <c r="X318" s="30">
        <v>20</v>
      </c>
      <c r="Y318" s="19">
        <v>0</v>
      </c>
      <c r="Z318" s="23">
        <v>0</v>
      </c>
      <c r="AA318" s="24">
        <v>0</v>
      </c>
      <c r="AB318" s="33">
        <v>0</v>
      </c>
      <c r="AC318" s="34">
        <v>0</v>
      </c>
      <c r="AD318" s="35">
        <v>0</v>
      </c>
      <c r="AE318" s="36">
        <v>0</v>
      </c>
      <c r="AF318" s="23">
        <v>0</v>
      </c>
      <c r="AG318" s="24">
        <v>0</v>
      </c>
      <c r="AH318" s="33">
        <v>0</v>
      </c>
      <c r="AI318" s="37">
        <v>0</v>
      </c>
      <c r="AJ318" s="35">
        <v>0</v>
      </c>
      <c r="AK318" s="36">
        <v>0</v>
      </c>
      <c r="AL318" s="38">
        <v>0</v>
      </c>
      <c r="AM318" s="35">
        <v>0</v>
      </c>
      <c r="AN318" s="19">
        <v>0</v>
      </c>
      <c r="AO318" s="23">
        <v>0</v>
      </c>
      <c r="AP318" s="24">
        <v>0</v>
      </c>
      <c r="AQ318" s="31">
        <f t="shared" si="24"/>
        <v>16</v>
      </c>
      <c r="AR318" s="32">
        <f t="shared" si="24"/>
        <v>40000</v>
      </c>
      <c r="AS318" s="30">
        <v>20</v>
      </c>
    </row>
    <row r="319" spans="1:45" ht="15.6" x14ac:dyDescent="0.3">
      <c r="A319" s="19">
        <v>316</v>
      </c>
      <c r="B319" s="21" t="s">
        <v>327</v>
      </c>
      <c r="C319" s="20" t="s">
        <v>343</v>
      </c>
      <c r="D319" s="324"/>
      <c r="E319" s="22">
        <v>11.8</v>
      </c>
      <c r="F319" s="23">
        <f t="shared" si="20"/>
        <v>29500</v>
      </c>
      <c r="G319" s="19">
        <v>0</v>
      </c>
      <c r="H319" s="23">
        <v>0</v>
      </c>
      <c r="I319" s="24">
        <v>0</v>
      </c>
      <c r="J319" s="19">
        <v>0</v>
      </c>
      <c r="K319" s="23">
        <v>0</v>
      </c>
      <c r="L319" s="24">
        <v>0</v>
      </c>
      <c r="M319" s="25">
        <v>3.2</v>
      </c>
      <c r="N319" s="26">
        <v>8000</v>
      </c>
      <c r="O319" s="27">
        <v>8</v>
      </c>
      <c r="P319" s="28">
        <f t="shared" si="21"/>
        <v>2</v>
      </c>
      <c r="Q319" s="29">
        <f t="shared" si="22"/>
        <v>5000</v>
      </c>
      <c r="R319" s="30">
        <v>5</v>
      </c>
      <c r="S319" s="19">
        <v>0</v>
      </c>
      <c r="T319" s="23">
        <v>0</v>
      </c>
      <c r="U319" s="24">
        <v>0</v>
      </c>
      <c r="V319" s="31">
        <f t="shared" si="23"/>
        <v>4.8</v>
      </c>
      <c r="W319" s="32">
        <v>12000</v>
      </c>
      <c r="X319" s="30">
        <v>12</v>
      </c>
      <c r="Y319" s="19">
        <v>0</v>
      </c>
      <c r="Z319" s="23">
        <v>0</v>
      </c>
      <c r="AA319" s="24">
        <v>0</v>
      </c>
      <c r="AB319" s="33">
        <v>0</v>
      </c>
      <c r="AC319" s="34">
        <v>0</v>
      </c>
      <c r="AD319" s="35">
        <v>0</v>
      </c>
      <c r="AE319" s="36">
        <v>0</v>
      </c>
      <c r="AF319" s="23">
        <v>0</v>
      </c>
      <c r="AG319" s="24">
        <v>0</v>
      </c>
      <c r="AH319" s="33">
        <v>0</v>
      </c>
      <c r="AI319" s="37">
        <v>0</v>
      </c>
      <c r="AJ319" s="35">
        <v>0</v>
      </c>
      <c r="AK319" s="36">
        <v>0</v>
      </c>
      <c r="AL319" s="38">
        <v>0</v>
      </c>
      <c r="AM319" s="35">
        <v>0</v>
      </c>
      <c r="AN319" s="19">
        <v>0</v>
      </c>
      <c r="AO319" s="23">
        <v>0</v>
      </c>
      <c r="AP319" s="24">
        <v>0</v>
      </c>
      <c r="AQ319" s="31">
        <f t="shared" si="24"/>
        <v>10</v>
      </c>
      <c r="AR319" s="32">
        <f t="shared" si="24"/>
        <v>25000</v>
      </c>
      <c r="AS319" s="30">
        <v>13</v>
      </c>
    </row>
    <row r="320" spans="1:45" ht="15.6" x14ac:dyDescent="0.3">
      <c r="A320" s="19">
        <v>317</v>
      </c>
      <c r="B320" s="21" t="s">
        <v>327</v>
      </c>
      <c r="C320" s="20" t="s">
        <v>142</v>
      </c>
      <c r="D320" s="324"/>
      <c r="E320" s="22">
        <v>22</v>
      </c>
      <c r="F320" s="23">
        <f t="shared" si="20"/>
        <v>55000</v>
      </c>
      <c r="G320" s="19">
        <v>0</v>
      </c>
      <c r="H320" s="23">
        <v>0</v>
      </c>
      <c r="I320" s="24">
        <v>0</v>
      </c>
      <c r="J320" s="19">
        <v>0</v>
      </c>
      <c r="K320" s="23">
        <v>0</v>
      </c>
      <c r="L320" s="24">
        <v>0</v>
      </c>
      <c r="M320" s="25">
        <v>8</v>
      </c>
      <c r="N320" s="26">
        <v>22000</v>
      </c>
      <c r="O320" s="27">
        <v>22</v>
      </c>
      <c r="P320" s="28">
        <f t="shared" si="21"/>
        <v>1.6</v>
      </c>
      <c r="Q320" s="29">
        <f t="shared" si="22"/>
        <v>4000</v>
      </c>
      <c r="R320" s="30">
        <v>4</v>
      </c>
      <c r="S320" s="19">
        <v>0</v>
      </c>
      <c r="T320" s="23">
        <v>0</v>
      </c>
      <c r="U320" s="24">
        <v>0</v>
      </c>
      <c r="V320" s="31">
        <f t="shared" si="23"/>
        <v>10.4</v>
      </c>
      <c r="W320" s="32">
        <v>26000</v>
      </c>
      <c r="X320" s="30">
        <v>26</v>
      </c>
      <c r="Y320" s="19">
        <v>0</v>
      </c>
      <c r="Z320" s="23">
        <v>0</v>
      </c>
      <c r="AA320" s="24">
        <v>0</v>
      </c>
      <c r="AB320" s="33">
        <v>0</v>
      </c>
      <c r="AC320" s="34">
        <v>0</v>
      </c>
      <c r="AD320" s="35">
        <v>0</v>
      </c>
      <c r="AE320" s="36">
        <v>0</v>
      </c>
      <c r="AF320" s="23">
        <v>0</v>
      </c>
      <c r="AG320" s="24">
        <v>0</v>
      </c>
      <c r="AH320" s="33">
        <v>0</v>
      </c>
      <c r="AI320" s="37">
        <v>0</v>
      </c>
      <c r="AJ320" s="35">
        <v>0</v>
      </c>
      <c r="AK320" s="36">
        <v>0</v>
      </c>
      <c r="AL320" s="38">
        <v>0</v>
      </c>
      <c r="AM320" s="35">
        <v>0</v>
      </c>
      <c r="AN320" s="19">
        <v>0</v>
      </c>
      <c r="AO320" s="23">
        <v>0</v>
      </c>
      <c r="AP320" s="24">
        <v>0</v>
      </c>
      <c r="AQ320" s="31">
        <f t="shared" si="24"/>
        <v>20</v>
      </c>
      <c r="AR320" s="32">
        <f t="shared" si="24"/>
        <v>52000</v>
      </c>
      <c r="AS320" s="30">
        <v>26</v>
      </c>
    </row>
    <row r="321" spans="1:45" ht="15.6" x14ac:dyDescent="0.3">
      <c r="A321" s="19">
        <v>318</v>
      </c>
      <c r="B321" s="21" t="s">
        <v>327</v>
      </c>
      <c r="C321" s="20" t="s">
        <v>344</v>
      </c>
      <c r="D321" s="324"/>
      <c r="E321" s="22">
        <v>22.200000000000003</v>
      </c>
      <c r="F321" s="23">
        <f t="shared" si="20"/>
        <v>55500.000000000007</v>
      </c>
      <c r="G321" s="19">
        <v>0</v>
      </c>
      <c r="H321" s="23">
        <v>0</v>
      </c>
      <c r="I321" s="24">
        <v>0</v>
      </c>
      <c r="J321" s="19">
        <v>0</v>
      </c>
      <c r="K321" s="23">
        <v>0</v>
      </c>
      <c r="L321" s="24">
        <v>0</v>
      </c>
      <c r="M321" s="25">
        <v>6.8</v>
      </c>
      <c r="N321" s="26">
        <v>17000</v>
      </c>
      <c r="O321" s="27">
        <v>17</v>
      </c>
      <c r="P321" s="28">
        <f t="shared" si="21"/>
        <v>1.6</v>
      </c>
      <c r="Q321" s="29">
        <f t="shared" si="22"/>
        <v>4000</v>
      </c>
      <c r="R321" s="30">
        <v>4</v>
      </c>
      <c r="S321" s="19">
        <v>0</v>
      </c>
      <c r="T321" s="23">
        <v>0</v>
      </c>
      <c r="U321" s="24">
        <v>0</v>
      </c>
      <c r="V321" s="31">
        <f t="shared" si="23"/>
        <v>8.4</v>
      </c>
      <c r="W321" s="32">
        <v>21000</v>
      </c>
      <c r="X321" s="30">
        <v>21</v>
      </c>
      <c r="Y321" s="19">
        <v>0</v>
      </c>
      <c r="Z321" s="23">
        <v>0</v>
      </c>
      <c r="AA321" s="24">
        <v>0</v>
      </c>
      <c r="AB321" s="33">
        <v>0</v>
      </c>
      <c r="AC321" s="34">
        <v>0</v>
      </c>
      <c r="AD321" s="35">
        <v>0</v>
      </c>
      <c r="AE321" s="36">
        <v>0</v>
      </c>
      <c r="AF321" s="23">
        <v>0</v>
      </c>
      <c r="AG321" s="24">
        <v>0</v>
      </c>
      <c r="AH321" s="33">
        <v>0</v>
      </c>
      <c r="AI321" s="37">
        <v>0</v>
      </c>
      <c r="AJ321" s="35">
        <v>0</v>
      </c>
      <c r="AK321" s="36">
        <v>0</v>
      </c>
      <c r="AL321" s="38">
        <v>0</v>
      </c>
      <c r="AM321" s="35">
        <v>0</v>
      </c>
      <c r="AN321" s="19">
        <v>0</v>
      </c>
      <c r="AO321" s="23">
        <v>0</v>
      </c>
      <c r="AP321" s="24">
        <v>0</v>
      </c>
      <c r="AQ321" s="31">
        <f t="shared" si="24"/>
        <v>16.8</v>
      </c>
      <c r="AR321" s="32">
        <f t="shared" si="24"/>
        <v>42000</v>
      </c>
      <c r="AS321" s="30">
        <v>21</v>
      </c>
    </row>
    <row r="322" spans="1:45" ht="15.6" x14ac:dyDescent="0.3">
      <c r="A322" s="19">
        <v>319</v>
      </c>
      <c r="B322" s="21" t="s">
        <v>327</v>
      </c>
      <c r="C322" s="20" t="s">
        <v>345</v>
      </c>
      <c r="D322" s="324"/>
      <c r="E322" s="22">
        <v>18.600000000000001</v>
      </c>
      <c r="F322" s="23">
        <f t="shared" si="20"/>
        <v>46500</v>
      </c>
      <c r="G322" s="19">
        <v>0</v>
      </c>
      <c r="H322" s="23">
        <v>0</v>
      </c>
      <c r="I322" s="24">
        <v>0</v>
      </c>
      <c r="J322" s="19">
        <v>0</v>
      </c>
      <c r="K322" s="23">
        <v>0</v>
      </c>
      <c r="L322" s="24">
        <v>0</v>
      </c>
      <c r="M322" s="25">
        <v>6.4</v>
      </c>
      <c r="N322" s="26">
        <v>16000</v>
      </c>
      <c r="O322" s="27">
        <v>16</v>
      </c>
      <c r="P322" s="28">
        <f t="shared" si="21"/>
        <v>2</v>
      </c>
      <c r="Q322" s="29">
        <f t="shared" si="22"/>
        <v>5000</v>
      </c>
      <c r="R322" s="30">
        <v>5</v>
      </c>
      <c r="S322" s="19">
        <v>0</v>
      </c>
      <c r="T322" s="23">
        <v>0</v>
      </c>
      <c r="U322" s="24">
        <v>0</v>
      </c>
      <c r="V322" s="31">
        <f t="shared" si="23"/>
        <v>8.4</v>
      </c>
      <c r="W322" s="32">
        <v>21000</v>
      </c>
      <c r="X322" s="30">
        <v>21</v>
      </c>
      <c r="Y322" s="19">
        <v>0</v>
      </c>
      <c r="Z322" s="23">
        <v>0</v>
      </c>
      <c r="AA322" s="24">
        <v>0</v>
      </c>
      <c r="AB322" s="33">
        <v>0</v>
      </c>
      <c r="AC322" s="34">
        <v>0</v>
      </c>
      <c r="AD322" s="35">
        <v>0</v>
      </c>
      <c r="AE322" s="36">
        <v>0</v>
      </c>
      <c r="AF322" s="23">
        <v>0</v>
      </c>
      <c r="AG322" s="24">
        <v>0</v>
      </c>
      <c r="AH322" s="33">
        <v>0</v>
      </c>
      <c r="AI322" s="37">
        <v>0</v>
      </c>
      <c r="AJ322" s="35">
        <v>0</v>
      </c>
      <c r="AK322" s="36">
        <v>0</v>
      </c>
      <c r="AL322" s="38">
        <v>0</v>
      </c>
      <c r="AM322" s="35">
        <v>0</v>
      </c>
      <c r="AN322" s="19">
        <v>0</v>
      </c>
      <c r="AO322" s="23">
        <v>0</v>
      </c>
      <c r="AP322" s="24">
        <v>0</v>
      </c>
      <c r="AQ322" s="31">
        <f t="shared" si="24"/>
        <v>16.8</v>
      </c>
      <c r="AR322" s="32">
        <f t="shared" si="24"/>
        <v>42000</v>
      </c>
      <c r="AS322" s="30">
        <v>21</v>
      </c>
    </row>
    <row r="323" spans="1:45" ht="15.6" x14ac:dyDescent="0.3">
      <c r="A323" s="19">
        <v>320</v>
      </c>
      <c r="B323" s="21" t="s">
        <v>327</v>
      </c>
      <c r="C323" s="20" t="s">
        <v>346</v>
      </c>
      <c r="D323" s="324"/>
      <c r="E323" s="22">
        <v>18.8</v>
      </c>
      <c r="F323" s="23">
        <f t="shared" si="20"/>
        <v>47000</v>
      </c>
      <c r="G323" s="19">
        <v>0</v>
      </c>
      <c r="H323" s="23">
        <v>0</v>
      </c>
      <c r="I323" s="24">
        <v>0</v>
      </c>
      <c r="J323" s="19">
        <v>0</v>
      </c>
      <c r="K323" s="23">
        <v>0</v>
      </c>
      <c r="L323" s="24">
        <v>0</v>
      </c>
      <c r="M323" s="25">
        <v>5</v>
      </c>
      <c r="N323" s="26">
        <v>14000</v>
      </c>
      <c r="O323" s="27">
        <v>14</v>
      </c>
      <c r="P323" s="28">
        <f t="shared" si="21"/>
        <v>1.2</v>
      </c>
      <c r="Q323" s="29">
        <f t="shared" si="22"/>
        <v>3000</v>
      </c>
      <c r="R323" s="30">
        <v>3</v>
      </c>
      <c r="S323" s="19">
        <v>0</v>
      </c>
      <c r="T323" s="23">
        <v>0</v>
      </c>
      <c r="U323" s="24">
        <v>0</v>
      </c>
      <c r="V323" s="31">
        <f t="shared" si="23"/>
        <v>6.8</v>
      </c>
      <c r="W323" s="32">
        <v>17000</v>
      </c>
      <c r="X323" s="30">
        <v>17</v>
      </c>
      <c r="Y323" s="19">
        <v>0</v>
      </c>
      <c r="Z323" s="23">
        <v>0</v>
      </c>
      <c r="AA323" s="24">
        <v>0</v>
      </c>
      <c r="AB323" s="33">
        <v>0</v>
      </c>
      <c r="AC323" s="34">
        <v>0</v>
      </c>
      <c r="AD323" s="35">
        <v>0</v>
      </c>
      <c r="AE323" s="36">
        <v>0</v>
      </c>
      <c r="AF323" s="23">
        <v>0</v>
      </c>
      <c r="AG323" s="24">
        <v>0</v>
      </c>
      <c r="AH323" s="33">
        <v>0</v>
      </c>
      <c r="AI323" s="37">
        <v>0</v>
      </c>
      <c r="AJ323" s="35">
        <v>0</v>
      </c>
      <c r="AK323" s="36">
        <v>0</v>
      </c>
      <c r="AL323" s="38">
        <v>0</v>
      </c>
      <c r="AM323" s="35">
        <v>0</v>
      </c>
      <c r="AN323" s="19">
        <v>0</v>
      </c>
      <c r="AO323" s="23">
        <v>0</v>
      </c>
      <c r="AP323" s="24">
        <v>0</v>
      </c>
      <c r="AQ323" s="31">
        <f t="shared" si="24"/>
        <v>13</v>
      </c>
      <c r="AR323" s="32">
        <f t="shared" si="24"/>
        <v>34000</v>
      </c>
      <c r="AS323" s="30">
        <v>17</v>
      </c>
    </row>
    <row r="324" spans="1:45" ht="15.6" x14ac:dyDescent="0.3">
      <c r="A324" s="19">
        <v>321</v>
      </c>
      <c r="B324" s="21" t="s">
        <v>347</v>
      </c>
      <c r="C324" s="20" t="s">
        <v>348</v>
      </c>
      <c r="D324" s="324"/>
      <c r="E324" s="22">
        <v>16.399999999999999</v>
      </c>
      <c r="F324" s="23">
        <f t="shared" si="20"/>
        <v>41000</v>
      </c>
      <c r="G324" s="19">
        <v>0</v>
      </c>
      <c r="H324" s="23">
        <v>0</v>
      </c>
      <c r="I324" s="24">
        <v>0</v>
      </c>
      <c r="J324" s="19">
        <v>0</v>
      </c>
      <c r="K324" s="23">
        <v>0</v>
      </c>
      <c r="L324" s="24">
        <v>0</v>
      </c>
      <c r="M324" s="25">
        <v>5</v>
      </c>
      <c r="N324" s="26">
        <v>14000</v>
      </c>
      <c r="O324" s="27">
        <v>14</v>
      </c>
      <c r="P324" s="28">
        <f t="shared" si="21"/>
        <v>2.8</v>
      </c>
      <c r="Q324" s="29">
        <f t="shared" si="22"/>
        <v>7000</v>
      </c>
      <c r="R324" s="30">
        <v>7</v>
      </c>
      <c r="S324" s="19">
        <v>0</v>
      </c>
      <c r="T324" s="23">
        <v>0</v>
      </c>
      <c r="U324" s="24">
        <v>0</v>
      </c>
      <c r="V324" s="31">
        <f t="shared" si="23"/>
        <v>8.4</v>
      </c>
      <c r="W324" s="32">
        <v>21000</v>
      </c>
      <c r="X324" s="30">
        <v>21</v>
      </c>
      <c r="Y324" s="19">
        <v>0</v>
      </c>
      <c r="Z324" s="23">
        <v>0</v>
      </c>
      <c r="AA324" s="24">
        <v>0</v>
      </c>
      <c r="AB324" s="33">
        <v>0</v>
      </c>
      <c r="AC324" s="34">
        <v>0</v>
      </c>
      <c r="AD324" s="35">
        <v>0</v>
      </c>
      <c r="AE324" s="36">
        <v>0</v>
      </c>
      <c r="AF324" s="23">
        <v>0</v>
      </c>
      <c r="AG324" s="24">
        <v>0</v>
      </c>
      <c r="AH324" s="33">
        <v>0</v>
      </c>
      <c r="AI324" s="37">
        <v>0</v>
      </c>
      <c r="AJ324" s="35">
        <v>0</v>
      </c>
      <c r="AK324" s="36">
        <v>0</v>
      </c>
      <c r="AL324" s="38">
        <v>0</v>
      </c>
      <c r="AM324" s="35">
        <v>0</v>
      </c>
      <c r="AN324" s="19">
        <v>0</v>
      </c>
      <c r="AO324" s="23">
        <v>0</v>
      </c>
      <c r="AP324" s="24">
        <v>0</v>
      </c>
      <c r="AQ324" s="31">
        <f t="shared" si="24"/>
        <v>16.2</v>
      </c>
      <c r="AR324" s="32">
        <f t="shared" si="24"/>
        <v>42000</v>
      </c>
      <c r="AS324" s="30">
        <v>21</v>
      </c>
    </row>
    <row r="325" spans="1:45" ht="15.6" x14ac:dyDescent="0.3">
      <c r="A325" s="19">
        <v>322</v>
      </c>
      <c r="B325" s="21" t="s">
        <v>347</v>
      </c>
      <c r="C325" s="20" t="s">
        <v>349</v>
      </c>
      <c r="D325" s="324"/>
      <c r="E325" s="22">
        <v>13.4</v>
      </c>
      <c r="F325" s="23">
        <f t="shared" ref="F325:F342" si="25">E325*2500</f>
        <v>33500</v>
      </c>
      <c r="G325" s="19">
        <v>0</v>
      </c>
      <c r="H325" s="23">
        <v>0</v>
      </c>
      <c r="I325" s="24">
        <v>0</v>
      </c>
      <c r="J325" s="19">
        <v>0</v>
      </c>
      <c r="K325" s="23">
        <v>0</v>
      </c>
      <c r="L325" s="24">
        <v>0</v>
      </c>
      <c r="M325" s="25">
        <v>4</v>
      </c>
      <c r="N325" s="26">
        <v>10000</v>
      </c>
      <c r="O325" s="27">
        <v>10</v>
      </c>
      <c r="P325" s="28">
        <f t="shared" ref="P325:P342" si="26">Q325/2500</f>
        <v>2.4</v>
      </c>
      <c r="Q325" s="29">
        <f t="shared" ref="Q325:Q342" si="27">R325*1000</f>
        <v>6000</v>
      </c>
      <c r="R325" s="30">
        <v>6</v>
      </c>
      <c r="S325" s="19">
        <v>0</v>
      </c>
      <c r="T325" s="23">
        <v>0</v>
      </c>
      <c r="U325" s="24">
        <v>0</v>
      </c>
      <c r="V325" s="31">
        <f t="shared" ref="V325:V342" si="28">W325/2500</f>
        <v>6.4</v>
      </c>
      <c r="W325" s="32">
        <v>16000</v>
      </c>
      <c r="X325" s="30">
        <v>16</v>
      </c>
      <c r="Y325" s="19">
        <v>0</v>
      </c>
      <c r="Z325" s="23">
        <v>0</v>
      </c>
      <c r="AA325" s="24">
        <v>0</v>
      </c>
      <c r="AB325" s="33">
        <v>0</v>
      </c>
      <c r="AC325" s="34">
        <v>0</v>
      </c>
      <c r="AD325" s="35">
        <v>0</v>
      </c>
      <c r="AE325" s="36">
        <v>0</v>
      </c>
      <c r="AF325" s="23">
        <v>0</v>
      </c>
      <c r="AG325" s="24">
        <v>0</v>
      </c>
      <c r="AH325" s="33">
        <v>0</v>
      </c>
      <c r="AI325" s="37">
        <v>0</v>
      </c>
      <c r="AJ325" s="35">
        <v>0</v>
      </c>
      <c r="AK325" s="36">
        <v>0</v>
      </c>
      <c r="AL325" s="38">
        <v>0</v>
      </c>
      <c r="AM325" s="35">
        <v>0</v>
      </c>
      <c r="AN325" s="19">
        <v>0</v>
      </c>
      <c r="AO325" s="23">
        <v>0</v>
      </c>
      <c r="AP325" s="24">
        <v>0</v>
      </c>
      <c r="AQ325" s="31">
        <f t="shared" ref="AQ325:AR342" si="29">G325+J325+M325+P325+S325+V325+Y325+AB325+AE325+AH325+AK325+AN325</f>
        <v>12.8</v>
      </c>
      <c r="AR325" s="32">
        <f t="shared" si="29"/>
        <v>32000</v>
      </c>
      <c r="AS325" s="30">
        <v>16</v>
      </c>
    </row>
    <row r="326" spans="1:45" ht="15.6" x14ac:dyDescent="0.3">
      <c r="A326" s="19">
        <v>323</v>
      </c>
      <c r="B326" s="21" t="s">
        <v>347</v>
      </c>
      <c r="C326" s="20" t="s">
        <v>350</v>
      </c>
      <c r="D326" s="324"/>
      <c r="E326" s="22">
        <v>20.6</v>
      </c>
      <c r="F326" s="23">
        <f t="shared" si="25"/>
        <v>51500</v>
      </c>
      <c r="G326" s="19">
        <v>0</v>
      </c>
      <c r="H326" s="23">
        <v>0</v>
      </c>
      <c r="I326" s="24">
        <v>0</v>
      </c>
      <c r="J326" s="19">
        <v>0</v>
      </c>
      <c r="K326" s="23">
        <v>0</v>
      </c>
      <c r="L326" s="24">
        <v>0</v>
      </c>
      <c r="M326" s="25">
        <v>6.4</v>
      </c>
      <c r="N326" s="26">
        <v>16000</v>
      </c>
      <c r="O326" s="27">
        <v>16</v>
      </c>
      <c r="P326" s="28">
        <f t="shared" si="26"/>
        <v>1.2</v>
      </c>
      <c r="Q326" s="29">
        <f t="shared" si="27"/>
        <v>3000</v>
      </c>
      <c r="R326" s="30">
        <v>3</v>
      </c>
      <c r="S326" s="19">
        <v>0</v>
      </c>
      <c r="T326" s="23">
        <v>0</v>
      </c>
      <c r="U326" s="24">
        <v>0</v>
      </c>
      <c r="V326" s="31">
        <f t="shared" si="28"/>
        <v>7.2</v>
      </c>
      <c r="W326" s="32">
        <v>18000</v>
      </c>
      <c r="X326" s="30">
        <v>18</v>
      </c>
      <c r="Y326" s="19">
        <v>0</v>
      </c>
      <c r="Z326" s="23">
        <v>0</v>
      </c>
      <c r="AA326" s="24">
        <v>0</v>
      </c>
      <c r="AB326" s="33">
        <v>0</v>
      </c>
      <c r="AC326" s="34">
        <v>0</v>
      </c>
      <c r="AD326" s="35">
        <v>0</v>
      </c>
      <c r="AE326" s="36">
        <v>0</v>
      </c>
      <c r="AF326" s="23">
        <v>0</v>
      </c>
      <c r="AG326" s="24">
        <v>0</v>
      </c>
      <c r="AH326" s="33">
        <v>0</v>
      </c>
      <c r="AI326" s="37">
        <v>0</v>
      </c>
      <c r="AJ326" s="35">
        <v>0</v>
      </c>
      <c r="AK326" s="36">
        <v>0</v>
      </c>
      <c r="AL326" s="38">
        <v>0</v>
      </c>
      <c r="AM326" s="35">
        <v>0</v>
      </c>
      <c r="AN326" s="19">
        <v>0</v>
      </c>
      <c r="AO326" s="23">
        <v>0</v>
      </c>
      <c r="AP326" s="24">
        <v>0</v>
      </c>
      <c r="AQ326" s="31">
        <f t="shared" si="29"/>
        <v>14.8</v>
      </c>
      <c r="AR326" s="32">
        <f t="shared" si="29"/>
        <v>37000</v>
      </c>
      <c r="AS326" s="30">
        <v>19</v>
      </c>
    </row>
    <row r="327" spans="1:45" ht="15.6" x14ac:dyDescent="0.3">
      <c r="A327" s="19">
        <v>324</v>
      </c>
      <c r="B327" s="21" t="s">
        <v>347</v>
      </c>
      <c r="C327" s="20" t="s">
        <v>351</v>
      </c>
      <c r="D327" s="325" t="s">
        <v>25</v>
      </c>
      <c r="E327" s="22">
        <v>10.6</v>
      </c>
      <c r="F327" s="23">
        <f t="shared" si="25"/>
        <v>26500</v>
      </c>
      <c r="G327" s="19">
        <v>0</v>
      </c>
      <c r="H327" s="23">
        <v>0</v>
      </c>
      <c r="I327" s="24">
        <v>0</v>
      </c>
      <c r="J327" s="19">
        <v>0</v>
      </c>
      <c r="K327" s="23">
        <v>0</v>
      </c>
      <c r="L327" s="24">
        <v>0</v>
      </c>
      <c r="M327" s="25">
        <v>3.6</v>
      </c>
      <c r="N327" s="26">
        <v>9000</v>
      </c>
      <c r="O327" s="27">
        <v>9</v>
      </c>
      <c r="P327" s="28">
        <f t="shared" si="26"/>
        <v>0.4</v>
      </c>
      <c r="Q327" s="29">
        <f t="shared" si="27"/>
        <v>1000</v>
      </c>
      <c r="R327" s="30">
        <v>1</v>
      </c>
      <c r="S327" s="19">
        <v>0</v>
      </c>
      <c r="T327" s="23">
        <v>0</v>
      </c>
      <c r="U327" s="24">
        <v>0</v>
      </c>
      <c r="V327" s="31">
        <f t="shared" si="28"/>
        <v>4</v>
      </c>
      <c r="W327" s="32">
        <v>10000</v>
      </c>
      <c r="X327" s="30">
        <v>10</v>
      </c>
      <c r="Y327" s="19">
        <v>0</v>
      </c>
      <c r="Z327" s="23">
        <v>0</v>
      </c>
      <c r="AA327" s="24">
        <v>0</v>
      </c>
      <c r="AB327" s="33">
        <v>0</v>
      </c>
      <c r="AC327" s="34">
        <v>0</v>
      </c>
      <c r="AD327" s="35">
        <v>0</v>
      </c>
      <c r="AE327" s="36">
        <v>0</v>
      </c>
      <c r="AF327" s="23">
        <v>0</v>
      </c>
      <c r="AG327" s="24">
        <v>0</v>
      </c>
      <c r="AH327" s="33">
        <v>0</v>
      </c>
      <c r="AI327" s="37">
        <v>0</v>
      </c>
      <c r="AJ327" s="35">
        <v>0</v>
      </c>
      <c r="AK327" s="36">
        <v>0</v>
      </c>
      <c r="AL327" s="38">
        <v>0</v>
      </c>
      <c r="AM327" s="35">
        <v>0</v>
      </c>
      <c r="AN327" s="19">
        <v>0</v>
      </c>
      <c r="AO327" s="23">
        <v>0</v>
      </c>
      <c r="AP327" s="24">
        <v>0</v>
      </c>
      <c r="AQ327" s="31">
        <f t="shared" si="29"/>
        <v>8</v>
      </c>
      <c r="AR327" s="32">
        <f t="shared" si="29"/>
        <v>20000</v>
      </c>
      <c r="AS327" s="30">
        <v>10</v>
      </c>
    </row>
    <row r="328" spans="1:45" ht="15.6" x14ac:dyDescent="0.3">
      <c r="A328" s="19">
        <v>325</v>
      </c>
      <c r="B328" s="21" t="s">
        <v>347</v>
      </c>
      <c r="C328" s="20" t="s">
        <v>352</v>
      </c>
      <c r="D328" s="326"/>
      <c r="E328" s="22">
        <v>8</v>
      </c>
      <c r="F328" s="23">
        <f t="shared" si="25"/>
        <v>20000</v>
      </c>
      <c r="G328" s="19">
        <v>0</v>
      </c>
      <c r="H328" s="23">
        <v>0</v>
      </c>
      <c r="I328" s="24">
        <v>0</v>
      </c>
      <c r="J328" s="19">
        <v>0</v>
      </c>
      <c r="K328" s="23">
        <v>0</v>
      </c>
      <c r="L328" s="24">
        <v>0</v>
      </c>
      <c r="M328" s="25">
        <v>2.4</v>
      </c>
      <c r="N328" s="26">
        <v>6000</v>
      </c>
      <c r="O328" s="27">
        <v>6</v>
      </c>
      <c r="P328" s="28">
        <f t="shared" si="26"/>
        <v>2.4</v>
      </c>
      <c r="Q328" s="29">
        <f t="shared" si="27"/>
        <v>6000</v>
      </c>
      <c r="R328" s="30">
        <v>6</v>
      </c>
      <c r="S328" s="19">
        <v>0</v>
      </c>
      <c r="T328" s="23">
        <v>0</v>
      </c>
      <c r="U328" s="24">
        <v>0</v>
      </c>
      <c r="V328" s="31">
        <f t="shared" si="28"/>
        <v>4.8</v>
      </c>
      <c r="W328" s="32">
        <v>12000</v>
      </c>
      <c r="X328" s="30">
        <v>12</v>
      </c>
      <c r="Y328" s="19">
        <v>0</v>
      </c>
      <c r="Z328" s="23">
        <v>0</v>
      </c>
      <c r="AA328" s="24">
        <v>0</v>
      </c>
      <c r="AB328" s="33">
        <v>0</v>
      </c>
      <c r="AC328" s="34">
        <v>0</v>
      </c>
      <c r="AD328" s="35">
        <v>0</v>
      </c>
      <c r="AE328" s="36">
        <v>0</v>
      </c>
      <c r="AF328" s="23">
        <v>0</v>
      </c>
      <c r="AG328" s="24">
        <v>0</v>
      </c>
      <c r="AH328" s="33">
        <v>0</v>
      </c>
      <c r="AI328" s="37">
        <v>0</v>
      </c>
      <c r="AJ328" s="35">
        <v>0</v>
      </c>
      <c r="AK328" s="36">
        <v>0</v>
      </c>
      <c r="AL328" s="38">
        <v>0</v>
      </c>
      <c r="AM328" s="35">
        <v>0</v>
      </c>
      <c r="AN328" s="19">
        <v>0</v>
      </c>
      <c r="AO328" s="23">
        <v>0</v>
      </c>
      <c r="AP328" s="24">
        <v>0</v>
      </c>
      <c r="AQ328" s="31">
        <f t="shared" si="29"/>
        <v>9.6</v>
      </c>
      <c r="AR328" s="32">
        <f t="shared" si="29"/>
        <v>24000</v>
      </c>
      <c r="AS328" s="30">
        <v>12</v>
      </c>
    </row>
    <row r="329" spans="1:45" ht="15.6" x14ac:dyDescent="0.3">
      <c r="A329" s="19">
        <v>326</v>
      </c>
      <c r="B329" s="21" t="s">
        <v>347</v>
      </c>
      <c r="C329" s="20" t="s">
        <v>353</v>
      </c>
      <c r="D329" s="326"/>
      <c r="E329" s="22">
        <v>15</v>
      </c>
      <c r="F329" s="23">
        <f t="shared" si="25"/>
        <v>37500</v>
      </c>
      <c r="G329" s="19">
        <v>0</v>
      </c>
      <c r="H329" s="23">
        <v>0</v>
      </c>
      <c r="I329" s="24">
        <v>0</v>
      </c>
      <c r="J329" s="19">
        <v>0</v>
      </c>
      <c r="K329" s="23">
        <v>0</v>
      </c>
      <c r="L329" s="24">
        <v>0</v>
      </c>
      <c r="M329" s="25">
        <v>5.2</v>
      </c>
      <c r="N329" s="26">
        <v>13000</v>
      </c>
      <c r="O329" s="27">
        <v>13</v>
      </c>
      <c r="P329" s="28">
        <f t="shared" si="26"/>
        <v>1.6</v>
      </c>
      <c r="Q329" s="29">
        <f t="shared" si="27"/>
        <v>4000</v>
      </c>
      <c r="R329" s="30">
        <v>4</v>
      </c>
      <c r="S329" s="19">
        <v>0</v>
      </c>
      <c r="T329" s="23">
        <v>0</v>
      </c>
      <c r="U329" s="24">
        <v>0</v>
      </c>
      <c r="V329" s="31">
        <f t="shared" si="28"/>
        <v>6.8</v>
      </c>
      <c r="W329" s="32">
        <v>17000</v>
      </c>
      <c r="X329" s="30">
        <v>17</v>
      </c>
      <c r="Y329" s="19">
        <v>0</v>
      </c>
      <c r="Z329" s="23">
        <v>0</v>
      </c>
      <c r="AA329" s="24">
        <v>0</v>
      </c>
      <c r="AB329" s="33">
        <v>0</v>
      </c>
      <c r="AC329" s="34">
        <v>0</v>
      </c>
      <c r="AD329" s="35">
        <v>0</v>
      </c>
      <c r="AE329" s="36">
        <v>0</v>
      </c>
      <c r="AF329" s="23">
        <v>0</v>
      </c>
      <c r="AG329" s="24">
        <v>0</v>
      </c>
      <c r="AH329" s="33">
        <v>0</v>
      </c>
      <c r="AI329" s="37">
        <v>0</v>
      </c>
      <c r="AJ329" s="35">
        <v>0</v>
      </c>
      <c r="AK329" s="36">
        <v>0</v>
      </c>
      <c r="AL329" s="38">
        <v>0</v>
      </c>
      <c r="AM329" s="35">
        <v>0</v>
      </c>
      <c r="AN329" s="19">
        <v>0</v>
      </c>
      <c r="AO329" s="23">
        <v>0</v>
      </c>
      <c r="AP329" s="24">
        <v>0</v>
      </c>
      <c r="AQ329" s="31">
        <f t="shared" si="29"/>
        <v>13.600000000000001</v>
      </c>
      <c r="AR329" s="32">
        <f t="shared" si="29"/>
        <v>34000</v>
      </c>
      <c r="AS329" s="30">
        <v>17</v>
      </c>
    </row>
    <row r="330" spans="1:45" ht="15.6" x14ac:dyDescent="0.3">
      <c r="A330" s="19">
        <v>327</v>
      </c>
      <c r="B330" s="21" t="s">
        <v>347</v>
      </c>
      <c r="C330" s="20" t="s">
        <v>354</v>
      </c>
      <c r="D330" s="326"/>
      <c r="E330" s="22">
        <v>34.4</v>
      </c>
      <c r="F330" s="23">
        <f t="shared" si="25"/>
        <v>86000</v>
      </c>
      <c r="G330" s="19">
        <v>0</v>
      </c>
      <c r="H330" s="23">
        <v>0</v>
      </c>
      <c r="I330" s="24">
        <v>0</v>
      </c>
      <c r="J330" s="19">
        <v>0</v>
      </c>
      <c r="K330" s="23">
        <v>0</v>
      </c>
      <c r="L330" s="24">
        <v>0</v>
      </c>
      <c r="M330" s="25">
        <v>8.8000000000000007</v>
      </c>
      <c r="N330" s="26">
        <v>22000</v>
      </c>
      <c r="O330" s="27">
        <v>22</v>
      </c>
      <c r="P330" s="28">
        <f t="shared" si="26"/>
        <v>2.4</v>
      </c>
      <c r="Q330" s="29">
        <f t="shared" si="27"/>
        <v>6000</v>
      </c>
      <c r="R330" s="30">
        <v>6</v>
      </c>
      <c r="S330" s="19">
        <v>0</v>
      </c>
      <c r="T330" s="23">
        <v>0</v>
      </c>
      <c r="U330" s="24">
        <v>0</v>
      </c>
      <c r="V330" s="31">
        <f t="shared" si="28"/>
        <v>11.2</v>
      </c>
      <c r="W330" s="32">
        <v>28000</v>
      </c>
      <c r="X330" s="30">
        <v>28</v>
      </c>
      <c r="Y330" s="19">
        <v>0</v>
      </c>
      <c r="Z330" s="23">
        <v>0</v>
      </c>
      <c r="AA330" s="24">
        <v>0</v>
      </c>
      <c r="AB330" s="33">
        <v>0</v>
      </c>
      <c r="AC330" s="34">
        <v>0</v>
      </c>
      <c r="AD330" s="35">
        <v>0</v>
      </c>
      <c r="AE330" s="36">
        <v>0</v>
      </c>
      <c r="AF330" s="23">
        <v>0</v>
      </c>
      <c r="AG330" s="24">
        <v>0</v>
      </c>
      <c r="AH330" s="33">
        <v>0</v>
      </c>
      <c r="AI330" s="37">
        <v>0</v>
      </c>
      <c r="AJ330" s="35">
        <v>0</v>
      </c>
      <c r="AK330" s="36">
        <v>0</v>
      </c>
      <c r="AL330" s="38">
        <v>0</v>
      </c>
      <c r="AM330" s="35">
        <v>0</v>
      </c>
      <c r="AN330" s="19">
        <v>0</v>
      </c>
      <c r="AO330" s="23">
        <v>0</v>
      </c>
      <c r="AP330" s="24">
        <v>0</v>
      </c>
      <c r="AQ330" s="31">
        <f t="shared" si="29"/>
        <v>22.4</v>
      </c>
      <c r="AR330" s="32">
        <f t="shared" si="29"/>
        <v>56000</v>
      </c>
      <c r="AS330" s="30">
        <v>28</v>
      </c>
    </row>
    <row r="331" spans="1:45" ht="15.6" x14ac:dyDescent="0.3">
      <c r="A331" s="19">
        <v>328</v>
      </c>
      <c r="B331" s="21" t="s">
        <v>347</v>
      </c>
      <c r="C331" s="20" t="s">
        <v>355</v>
      </c>
      <c r="D331" s="326"/>
      <c r="E331" s="22">
        <v>20.000000000000007</v>
      </c>
      <c r="F331" s="23">
        <f t="shared" si="25"/>
        <v>50000.000000000015</v>
      </c>
      <c r="G331" s="19">
        <v>0</v>
      </c>
      <c r="H331" s="23">
        <v>0</v>
      </c>
      <c r="I331" s="24">
        <v>0</v>
      </c>
      <c r="J331" s="19">
        <v>0</v>
      </c>
      <c r="K331" s="23">
        <v>0</v>
      </c>
      <c r="L331" s="24">
        <v>0</v>
      </c>
      <c r="M331" s="25">
        <v>6.8</v>
      </c>
      <c r="N331" s="26">
        <v>17000</v>
      </c>
      <c r="O331" s="27">
        <v>17</v>
      </c>
      <c r="P331" s="28">
        <f t="shared" si="26"/>
        <v>1.2</v>
      </c>
      <c r="Q331" s="29">
        <f t="shared" si="27"/>
        <v>3000</v>
      </c>
      <c r="R331" s="30">
        <v>3</v>
      </c>
      <c r="S331" s="19">
        <v>0</v>
      </c>
      <c r="T331" s="23">
        <v>0</v>
      </c>
      <c r="U331" s="24">
        <v>0</v>
      </c>
      <c r="V331" s="31">
        <f t="shared" si="28"/>
        <v>8</v>
      </c>
      <c r="W331" s="32">
        <v>20000</v>
      </c>
      <c r="X331" s="30">
        <v>20</v>
      </c>
      <c r="Y331" s="19">
        <v>0</v>
      </c>
      <c r="Z331" s="23">
        <v>0</v>
      </c>
      <c r="AA331" s="24">
        <v>0</v>
      </c>
      <c r="AB331" s="33">
        <v>0</v>
      </c>
      <c r="AC331" s="34">
        <v>0</v>
      </c>
      <c r="AD331" s="35">
        <v>0</v>
      </c>
      <c r="AE331" s="36">
        <v>0</v>
      </c>
      <c r="AF331" s="23">
        <v>0</v>
      </c>
      <c r="AG331" s="24">
        <v>0</v>
      </c>
      <c r="AH331" s="33">
        <v>0</v>
      </c>
      <c r="AI331" s="37">
        <v>0</v>
      </c>
      <c r="AJ331" s="35">
        <v>0</v>
      </c>
      <c r="AK331" s="36">
        <v>0</v>
      </c>
      <c r="AL331" s="38">
        <v>0</v>
      </c>
      <c r="AM331" s="35">
        <v>0</v>
      </c>
      <c r="AN331" s="19">
        <v>0</v>
      </c>
      <c r="AO331" s="23">
        <v>0</v>
      </c>
      <c r="AP331" s="24">
        <v>0</v>
      </c>
      <c r="AQ331" s="31">
        <f t="shared" si="29"/>
        <v>16</v>
      </c>
      <c r="AR331" s="32">
        <f t="shared" si="29"/>
        <v>40000</v>
      </c>
      <c r="AS331" s="30">
        <v>20</v>
      </c>
    </row>
    <row r="332" spans="1:45" ht="15.6" x14ac:dyDescent="0.3">
      <c r="A332" s="19">
        <v>329</v>
      </c>
      <c r="B332" s="21" t="s">
        <v>356</v>
      </c>
      <c r="C332" s="20" t="s">
        <v>357</v>
      </c>
      <c r="D332" s="326"/>
      <c r="E332" s="22">
        <v>16.399999999999999</v>
      </c>
      <c r="F332" s="23">
        <f t="shared" si="25"/>
        <v>41000</v>
      </c>
      <c r="G332" s="19">
        <v>0</v>
      </c>
      <c r="H332" s="23">
        <v>0</v>
      </c>
      <c r="I332" s="24">
        <v>0</v>
      </c>
      <c r="J332" s="19">
        <v>0</v>
      </c>
      <c r="K332" s="23">
        <v>0</v>
      </c>
      <c r="L332" s="24">
        <v>0</v>
      </c>
      <c r="M332" s="25">
        <v>5.2</v>
      </c>
      <c r="N332" s="26">
        <v>13000</v>
      </c>
      <c r="O332" s="27">
        <v>13</v>
      </c>
      <c r="P332" s="28">
        <f t="shared" si="26"/>
        <v>3.2</v>
      </c>
      <c r="Q332" s="29">
        <f t="shared" si="27"/>
        <v>8000</v>
      </c>
      <c r="R332" s="30">
        <v>8</v>
      </c>
      <c r="S332" s="19">
        <v>0</v>
      </c>
      <c r="T332" s="23">
        <v>0</v>
      </c>
      <c r="U332" s="24">
        <v>0</v>
      </c>
      <c r="V332" s="31">
        <f t="shared" si="28"/>
        <v>8.4</v>
      </c>
      <c r="W332" s="32">
        <v>21000</v>
      </c>
      <c r="X332" s="30">
        <v>21</v>
      </c>
      <c r="Y332" s="19">
        <v>0</v>
      </c>
      <c r="Z332" s="23">
        <v>0</v>
      </c>
      <c r="AA332" s="24">
        <v>0</v>
      </c>
      <c r="AB332" s="33">
        <v>0</v>
      </c>
      <c r="AC332" s="34">
        <v>0</v>
      </c>
      <c r="AD332" s="35">
        <v>0</v>
      </c>
      <c r="AE332" s="36">
        <v>0</v>
      </c>
      <c r="AF332" s="23">
        <v>0</v>
      </c>
      <c r="AG332" s="24">
        <v>0</v>
      </c>
      <c r="AH332" s="33">
        <v>0</v>
      </c>
      <c r="AI332" s="37">
        <v>0</v>
      </c>
      <c r="AJ332" s="35">
        <v>0</v>
      </c>
      <c r="AK332" s="36">
        <v>0</v>
      </c>
      <c r="AL332" s="38">
        <v>0</v>
      </c>
      <c r="AM332" s="35">
        <v>0</v>
      </c>
      <c r="AN332" s="19">
        <v>0</v>
      </c>
      <c r="AO332" s="23">
        <v>0</v>
      </c>
      <c r="AP332" s="24">
        <v>0</v>
      </c>
      <c r="AQ332" s="31">
        <f t="shared" si="29"/>
        <v>16.8</v>
      </c>
      <c r="AR332" s="32">
        <f t="shared" si="29"/>
        <v>42000</v>
      </c>
      <c r="AS332" s="30">
        <v>21</v>
      </c>
    </row>
    <row r="333" spans="1:45" ht="15.6" x14ac:dyDescent="0.3">
      <c r="A333" s="19">
        <v>330</v>
      </c>
      <c r="B333" s="21" t="s">
        <v>356</v>
      </c>
      <c r="C333" s="20" t="s">
        <v>358</v>
      </c>
      <c r="D333" s="326"/>
      <c r="E333" s="22">
        <v>25</v>
      </c>
      <c r="F333" s="23">
        <f t="shared" si="25"/>
        <v>62500</v>
      </c>
      <c r="G333" s="19">
        <v>0</v>
      </c>
      <c r="H333" s="23">
        <v>0</v>
      </c>
      <c r="I333" s="24">
        <v>0</v>
      </c>
      <c r="J333" s="19">
        <v>0</v>
      </c>
      <c r="K333" s="23">
        <v>0</v>
      </c>
      <c r="L333" s="24">
        <v>0</v>
      </c>
      <c r="M333" s="25">
        <v>8</v>
      </c>
      <c r="N333" s="26">
        <v>20000</v>
      </c>
      <c r="O333" s="27">
        <v>20</v>
      </c>
      <c r="P333" s="28">
        <f t="shared" si="26"/>
        <v>4</v>
      </c>
      <c r="Q333" s="29">
        <f t="shared" si="27"/>
        <v>10000</v>
      </c>
      <c r="R333" s="30">
        <v>10</v>
      </c>
      <c r="S333" s="19">
        <v>0</v>
      </c>
      <c r="T333" s="23">
        <v>0</v>
      </c>
      <c r="U333" s="24">
        <v>0</v>
      </c>
      <c r="V333" s="31">
        <f t="shared" si="28"/>
        <v>11.2</v>
      </c>
      <c r="W333" s="32">
        <v>28000</v>
      </c>
      <c r="X333" s="30">
        <v>28</v>
      </c>
      <c r="Y333" s="19">
        <v>0</v>
      </c>
      <c r="Z333" s="23">
        <v>0</v>
      </c>
      <c r="AA333" s="24">
        <v>0</v>
      </c>
      <c r="AB333" s="33">
        <v>0</v>
      </c>
      <c r="AC333" s="34">
        <v>0</v>
      </c>
      <c r="AD333" s="35">
        <v>0</v>
      </c>
      <c r="AE333" s="36">
        <v>0</v>
      </c>
      <c r="AF333" s="23">
        <v>0</v>
      </c>
      <c r="AG333" s="24">
        <v>0</v>
      </c>
      <c r="AH333" s="33">
        <v>0</v>
      </c>
      <c r="AI333" s="37">
        <v>0</v>
      </c>
      <c r="AJ333" s="35">
        <v>0</v>
      </c>
      <c r="AK333" s="36">
        <v>0</v>
      </c>
      <c r="AL333" s="38">
        <v>0</v>
      </c>
      <c r="AM333" s="35">
        <v>0</v>
      </c>
      <c r="AN333" s="19">
        <v>0</v>
      </c>
      <c r="AO333" s="23">
        <v>0</v>
      </c>
      <c r="AP333" s="24">
        <v>0</v>
      </c>
      <c r="AQ333" s="31">
        <f t="shared" si="29"/>
        <v>23.2</v>
      </c>
      <c r="AR333" s="32">
        <f t="shared" si="29"/>
        <v>58000</v>
      </c>
      <c r="AS333" s="30">
        <v>31</v>
      </c>
    </row>
    <row r="334" spans="1:45" ht="15.6" x14ac:dyDescent="0.3">
      <c r="A334" s="19">
        <v>331</v>
      </c>
      <c r="B334" s="21" t="s">
        <v>356</v>
      </c>
      <c r="C334" s="20" t="s">
        <v>359</v>
      </c>
      <c r="D334" s="326"/>
      <c r="E334" s="22">
        <v>32</v>
      </c>
      <c r="F334" s="23">
        <f t="shared" si="25"/>
        <v>80000</v>
      </c>
      <c r="G334" s="19">
        <v>0</v>
      </c>
      <c r="H334" s="23">
        <v>0</v>
      </c>
      <c r="I334" s="24">
        <v>0</v>
      </c>
      <c r="J334" s="19">
        <v>0</v>
      </c>
      <c r="K334" s="23">
        <v>0</v>
      </c>
      <c r="L334" s="24">
        <v>0</v>
      </c>
      <c r="M334" s="25">
        <v>8.8000000000000007</v>
      </c>
      <c r="N334" s="26">
        <v>22000</v>
      </c>
      <c r="O334" s="27">
        <v>22</v>
      </c>
      <c r="P334" s="28">
        <f t="shared" si="26"/>
        <v>3.6</v>
      </c>
      <c r="Q334" s="29">
        <f t="shared" si="27"/>
        <v>9000</v>
      </c>
      <c r="R334" s="30">
        <v>9</v>
      </c>
      <c r="S334" s="19">
        <v>0</v>
      </c>
      <c r="T334" s="23">
        <v>0</v>
      </c>
      <c r="U334" s="24">
        <v>0</v>
      </c>
      <c r="V334" s="31">
        <f t="shared" si="28"/>
        <v>12.4</v>
      </c>
      <c r="W334" s="32">
        <v>31000</v>
      </c>
      <c r="X334" s="30">
        <v>31</v>
      </c>
      <c r="Y334" s="19">
        <v>0</v>
      </c>
      <c r="Z334" s="23">
        <v>0</v>
      </c>
      <c r="AA334" s="24">
        <v>0</v>
      </c>
      <c r="AB334" s="33">
        <v>0</v>
      </c>
      <c r="AC334" s="34">
        <v>0</v>
      </c>
      <c r="AD334" s="35">
        <v>0</v>
      </c>
      <c r="AE334" s="36">
        <v>0</v>
      </c>
      <c r="AF334" s="23">
        <v>0</v>
      </c>
      <c r="AG334" s="24">
        <v>0</v>
      </c>
      <c r="AH334" s="33">
        <v>0</v>
      </c>
      <c r="AI334" s="37">
        <v>0</v>
      </c>
      <c r="AJ334" s="35">
        <v>0</v>
      </c>
      <c r="AK334" s="36">
        <v>0</v>
      </c>
      <c r="AL334" s="38">
        <v>0</v>
      </c>
      <c r="AM334" s="35">
        <v>0</v>
      </c>
      <c r="AN334" s="19">
        <v>0</v>
      </c>
      <c r="AO334" s="23">
        <v>0</v>
      </c>
      <c r="AP334" s="24">
        <v>0</v>
      </c>
      <c r="AQ334" s="31">
        <f t="shared" si="29"/>
        <v>24.8</v>
      </c>
      <c r="AR334" s="32">
        <f t="shared" si="29"/>
        <v>62000</v>
      </c>
      <c r="AS334" s="30">
        <v>31</v>
      </c>
    </row>
    <row r="335" spans="1:45" ht="15.6" x14ac:dyDescent="0.3">
      <c r="A335" s="19">
        <v>332</v>
      </c>
      <c r="B335" s="21" t="s">
        <v>356</v>
      </c>
      <c r="C335" s="20" t="s">
        <v>360</v>
      </c>
      <c r="D335" s="326"/>
      <c r="E335" s="22">
        <v>29</v>
      </c>
      <c r="F335" s="23">
        <f t="shared" si="25"/>
        <v>72500</v>
      </c>
      <c r="G335" s="19">
        <v>0</v>
      </c>
      <c r="H335" s="23">
        <v>0</v>
      </c>
      <c r="I335" s="24">
        <v>0</v>
      </c>
      <c r="J335" s="19">
        <v>0</v>
      </c>
      <c r="K335" s="23">
        <v>0</v>
      </c>
      <c r="L335" s="24">
        <v>0</v>
      </c>
      <c r="M335" s="25">
        <v>9.1999999999999993</v>
      </c>
      <c r="N335" s="26">
        <v>23000</v>
      </c>
      <c r="O335" s="27">
        <v>23</v>
      </c>
      <c r="P335" s="28">
        <f t="shared" si="26"/>
        <v>3.6</v>
      </c>
      <c r="Q335" s="29">
        <f t="shared" si="27"/>
        <v>9000</v>
      </c>
      <c r="R335" s="30">
        <v>9</v>
      </c>
      <c r="S335" s="19">
        <v>0</v>
      </c>
      <c r="T335" s="23">
        <v>0</v>
      </c>
      <c r="U335" s="24">
        <v>0</v>
      </c>
      <c r="V335" s="31">
        <f t="shared" si="28"/>
        <v>12.4</v>
      </c>
      <c r="W335" s="32">
        <v>31000</v>
      </c>
      <c r="X335" s="30">
        <v>31</v>
      </c>
      <c r="Y335" s="19">
        <v>0</v>
      </c>
      <c r="Z335" s="23">
        <v>0</v>
      </c>
      <c r="AA335" s="24">
        <v>0</v>
      </c>
      <c r="AB335" s="33">
        <v>0</v>
      </c>
      <c r="AC335" s="34">
        <v>0</v>
      </c>
      <c r="AD335" s="35">
        <v>0</v>
      </c>
      <c r="AE335" s="36">
        <v>0</v>
      </c>
      <c r="AF335" s="23">
        <v>0</v>
      </c>
      <c r="AG335" s="24">
        <v>0</v>
      </c>
      <c r="AH335" s="33">
        <v>0</v>
      </c>
      <c r="AI335" s="37">
        <v>0</v>
      </c>
      <c r="AJ335" s="35">
        <v>0</v>
      </c>
      <c r="AK335" s="36">
        <v>0</v>
      </c>
      <c r="AL335" s="38">
        <v>0</v>
      </c>
      <c r="AM335" s="35">
        <v>0</v>
      </c>
      <c r="AN335" s="19">
        <v>0</v>
      </c>
      <c r="AO335" s="23">
        <v>0</v>
      </c>
      <c r="AP335" s="24">
        <v>0</v>
      </c>
      <c r="AQ335" s="31">
        <f t="shared" si="29"/>
        <v>25.2</v>
      </c>
      <c r="AR335" s="32">
        <f t="shared" si="29"/>
        <v>63000</v>
      </c>
      <c r="AS335" s="30">
        <v>32</v>
      </c>
    </row>
    <row r="336" spans="1:45" ht="15.6" x14ac:dyDescent="0.3">
      <c r="A336" s="19">
        <v>333</v>
      </c>
      <c r="B336" s="21" t="s">
        <v>356</v>
      </c>
      <c r="C336" s="20" t="s">
        <v>361</v>
      </c>
      <c r="D336" s="326"/>
      <c r="E336" s="22">
        <v>16</v>
      </c>
      <c r="F336" s="23">
        <f t="shared" si="25"/>
        <v>40000</v>
      </c>
      <c r="G336" s="19">
        <v>0</v>
      </c>
      <c r="H336" s="23">
        <v>0</v>
      </c>
      <c r="I336" s="24">
        <v>0</v>
      </c>
      <c r="J336" s="19">
        <v>0</v>
      </c>
      <c r="K336" s="23">
        <v>0</v>
      </c>
      <c r="L336" s="24">
        <v>0</v>
      </c>
      <c r="M336" s="25">
        <v>4.8</v>
      </c>
      <c r="N336" s="26">
        <v>12000</v>
      </c>
      <c r="O336" s="27">
        <v>12</v>
      </c>
      <c r="P336" s="28">
        <f t="shared" si="26"/>
        <v>3.6</v>
      </c>
      <c r="Q336" s="29">
        <f t="shared" si="27"/>
        <v>9000</v>
      </c>
      <c r="R336" s="30">
        <v>9</v>
      </c>
      <c r="S336" s="19">
        <v>0</v>
      </c>
      <c r="T336" s="23">
        <v>0</v>
      </c>
      <c r="U336" s="24">
        <v>0</v>
      </c>
      <c r="V336" s="31">
        <f t="shared" si="28"/>
        <v>8</v>
      </c>
      <c r="W336" s="32">
        <v>20000</v>
      </c>
      <c r="X336" s="30">
        <v>20</v>
      </c>
      <c r="Y336" s="19">
        <v>0</v>
      </c>
      <c r="Z336" s="23">
        <v>0</v>
      </c>
      <c r="AA336" s="24">
        <v>0</v>
      </c>
      <c r="AB336" s="33">
        <v>0</v>
      </c>
      <c r="AC336" s="34">
        <v>0</v>
      </c>
      <c r="AD336" s="35">
        <v>0</v>
      </c>
      <c r="AE336" s="36">
        <v>0</v>
      </c>
      <c r="AF336" s="23">
        <v>0</v>
      </c>
      <c r="AG336" s="24">
        <v>0</v>
      </c>
      <c r="AH336" s="33">
        <v>0</v>
      </c>
      <c r="AI336" s="37">
        <v>0</v>
      </c>
      <c r="AJ336" s="35">
        <v>0</v>
      </c>
      <c r="AK336" s="36">
        <v>0</v>
      </c>
      <c r="AL336" s="38">
        <v>0</v>
      </c>
      <c r="AM336" s="35">
        <v>0</v>
      </c>
      <c r="AN336" s="19">
        <v>0</v>
      </c>
      <c r="AO336" s="23">
        <v>0</v>
      </c>
      <c r="AP336" s="24">
        <v>0</v>
      </c>
      <c r="AQ336" s="31">
        <f t="shared" si="29"/>
        <v>16.399999999999999</v>
      </c>
      <c r="AR336" s="32">
        <f t="shared" si="29"/>
        <v>41000</v>
      </c>
      <c r="AS336" s="30">
        <v>22</v>
      </c>
    </row>
    <row r="337" spans="1:45" ht="15.6" x14ac:dyDescent="0.3">
      <c r="A337" s="19">
        <v>334</v>
      </c>
      <c r="B337" s="21" t="s">
        <v>356</v>
      </c>
      <c r="C337" s="20" t="s">
        <v>362</v>
      </c>
      <c r="D337" s="326"/>
      <c r="E337" s="22">
        <v>35.4</v>
      </c>
      <c r="F337" s="23">
        <f t="shared" si="25"/>
        <v>88500</v>
      </c>
      <c r="G337" s="19">
        <v>0</v>
      </c>
      <c r="H337" s="23">
        <v>0</v>
      </c>
      <c r="I337" s="24">
        <v>0</v>
      </c>
      <c r="J337" s="19">
        <v>0</v>
      </c>
      <c r="K337" s="23">
        <v>0</v>
      </c>
      <c r="L337" s="24">
        <v>0</v>
      </c>
      <c r="M337" s="25">
        <v>11.6</v>
      </c>
      <c r="N337" s="26">
        <v>29000</v>
      </c>
      <c r="O337" s="27">
        <v>29</v>
      </c>
      <c r="P337" s="28">
        <f t="shared" si="26"/>
        <v>2.8</v>
      </c>
      <c r="Q337" s="29">
        <f t="shared" si="27"/>
        <v>7000</v>
      </c>
      <c r="R337" s="30">
        <v>7</v>
      </c>
      <c r="S337" s="19">
        <v>0</v>
      </c>
      <c r="T337" s="23">
        <v>0</v>
      </c>
      <c r="U337" s="24">
        <v>0</v>
      </c>
      <c r="V337" s="31">
        <f t="shared" si="28"/>
        <v>14</v>
      </c>
      <c r="W337" s="32">
        <v>35000</v>
      </c>
      <c r="X337" s="30">
        <v>35</v>
      </c>
      <c r="Y337" s="19">
        <v>0</v>
      </c>
      <c r="Z337" s="23">
        <v>0</v>
      </c>
      <c r="AA337" s="24">
        <v>0</v>
      </c>
      <c r="AB337" s="33">
        <v>0</v>
      </c>
      <c r="AC337" s="34">
        <v>0</v>
      </c>
      <c r="AD337" s="35">
        <v>0</v>
      </c>
      <c r="AE337" s="36">
        <v>0</v>
      </c>
      <c r="AF337" s="23">
        <v>0</v>
      </c>
      <c r="AG337" s="24">
        <v>0</v>
      </c>
      <c r="AH337" s="33">
        <v>0</v>
      </c>
      <c r="AI337" s="37">
        <v>0</v>
      </c>
      <c r="AJ337" s="35">
        <v>0</v>
      </c>
      <c r="AK337" s="36">
        <v>0</v>
      </c>
      <c r="AL337" s="38">
        <v>0</v>
      </c>
      <c r="AM337" s="35">
        <v>0</v>
      </c>
      <c r="AN337" s="19">
        <v>0</v>
      </c>
      <c r="AO337" s="23">
        <v>0</v>
      </c>
      <c r="AP337" s="24">
        <v>0</v>
      </c>
      <c r="AQ337" s="31">
        <f t="shared" si="29"/>
        <v>28.4</v>
      </c>
      <c r="AR337" s="32">
        <f t="shared" si="29"/>
        <v>71000</v>
      </c>
      <c r="AS337" s="30">
        <v>37</v>
      </c>
    </row>
    <row r="338" spans="1:45" ht="15.6" x14ac:dyDescent="0.3">
      <c r="A338" s="19">
        <v>335</v>
      </c>
      <c r="B338" s="21" t="s">
        <v>356</v>
      </c>
      <c r="C338" s="20" t="s">
        <v>363</v>
      </c>
      <c r="D338" s="326"/>
      <c r="E338" s="22">
        <v>21</v>
      </c>
      <c r="F338" s="23">
        <f t="shared" si="25"/>
        <v>52500</v>
      </c>
      <c r="G338" s="19">
        <v>0</v>
      </c>
      <c r="H338" s="23">
        <v>0</v>
      </c>
      <c r="I338" s="24">
        <v>0</v>
      </c>
      <c r="J338" s="19">
        <v>0</v>
      </c>
      <c r="K338" s="23">
        <v>0</v>
      </c>
      <c r="L338" s="24">
        <v>0</v>
      </c>
      <c r="M338" s="25">
        <v>5.2</v>
      </c>
      <c r="N338" s="26">
        <v>13000</v>
      </c>
      <c r="O338" s="27">
        <v>13</v>
      </c>
      <c r="P338" s="28">
        <f t="shared" si="26"/>
        <v>0.8</v>
      </c>
      <c r="Q338" s="29">
        <f t="shared" si="27"/>
        <v>2000</v>
      </c>
      <c r="R338" s="30">
        <v>2</v>
      </c>
      <c r="S338" s="19">
        <v>0</v>
      </c>
      <c r="T338" s="23">
        <v>0</v>
      </c>
      <c r="U338" s="24">
        <v>0</v>
      </c>
      <c r="V338" s="31">
        <f t="shared" si="28"/>
        <v>6.4</v>
      </c>
      <c r="W338" s="32">
        <v>16000</v>
      </c>
      <c r="X338" s="30">
        <v>16</v>
      </c>
      <c r="Y338" s="19">
        <v>0</v>
      </c>
      <c r="Z338" s="23">
        <v>0</v>
      </c>
      <c r="AA338" s="24">
        <v>0</v>
      </c>
      <c r="AB338" s="33">
        <v>0</v>
      </c>
      <c r="AC338" s="34">
        <v>0</v>
      </c>
      <c r="AD338" s="35">
        <v>0</v>
      </c>
      <c r="AE338" s="36">
        <v>0</v>
      </c>
      <c r="AF338" s="23">
        <v>0</v>
      </c>
      <c r="AG338" s="24">
        <v>0</v>
      </c>
      <c r="AH338" s="33">
        <v>0</v>
      </c>
      <c r="AI338" s="37">
        <v>0</v>
      </c>
      <c r="AJ338" s="35">
        <v>0</v>
      </c>
      <c r="AK338" s="36">
        <v>0</v>
      </c>
      <c r="AL338" s="38">
        <v>0</v>
      </c>
      <c r="AM338" s="35">
        <v>0</v>
      </c>
      <c r="AN338" s="19">
        <v>0</v>
      </c>
      <c r="AO338" s="23">
        <v>0</v>
      </c>
      <c r="AP338" s="24">
        <v>0</v>
      </c>
      <c r="AQ338" s="31">
        <f t="shared" si="29"/>
        <v>12.4</v>
      </c>
      <c r="AR338" s="32">
        <f t="shared" si="29"/>
        <v>31000</v>
      </c>
      <c r="AS338" s="30">
        <v>16</v>
      </c>
    </row>
    <row r="339" spans="1:45" ht="15.6" x14ac:dyDescent="0.3">
      <c r="A339" s="19">
        <v>336</v>
      </c>
      <c r="B339" s="21" t="s">
        <v>356</v>
      </c>
      <c r="C339" s="20" t="s">
        <v>364</v>
      </c>
      <c r="D339" s="326"/>
      <c r="E339" s="22">
        <v>16</v>
      </c>
      <c r="F339" s="23">
        <f t="shared" si="25"/>
        <v>40000</v>
      </c>
      <c r="G339" s="19">
        <v>0</v>
      </c>
      <c r="H339" s="23">
        <v>0</v>
      </c>
      <c r="I339" s="24">
        <v>0</v>
      </c>
      <c r="J339" s="19">
        <v>0</v>
      </c>
      <c r="K339" s="23">
        <v>0</v>
      </c>
      <c r="L339" s="24">
        <v>0</v>
      </c>
      <c r="M339" s="25">
        <v>5.2</v>
      </c>
      <c r="N339" s="26">
        <v>13000</v>
      </c>
      <c r="O339" s="27">
        <v>13</v>
      </c>
      <c r="P339" s="28">
        <f t="shared" si="26"/>
        <v>0.8</v>
      </c>
      <c r="Q339" s="29">
        <f t="shared" si="27"/>
        <v>2000</v>
      </c>
      <c r="R339" s="30">
        <v>2</v>
      </c>
      <c r="S339" s="19">
        <v>0</v>
      </c>
      <c r="T339" s="23">
        <v>0</v>
      </c>
      <c r="U339" s="24">
        <v>0</v>
      </c>
      <c r="V339" s="31">
        <f t="shared" si="28"/>
        <v>6</v>
      </c>
      <c r="W339" s="32">
        <v>15000</v>
      </c>
      <c r="X339" s="30">
        <v>15</v>
      </c>
      <c r="Y339" s="19">
        <v>0</v>
      </c>
      <c r="Z339" s="23">
        <v>0</v>
      </c>
      <c r="AA339" s="24">
        <v>0</v>
      </c>
      <c r="AB339" s="33">
        <v>0</v>
      </c>
      <c r="AC339" s="34">
        <v>0</v>
      </c>
      <c r="AD339" s="35">
        <v>0</v>
      </c>
      <c r="AE339" s="36">
        <v>0</v>
      </c>
      <c r="AF339" s="23">
        <v>0</v>
      </c>
      <c r="AG339" s="24">
        <v>0</v>
      </c>
      <c r="AH339" s="33">
        <v>0</v>
      </c>
      <c r="AI339" s="37">
        <v>0</v>
      </c>
      <c r="AJ339" s="35">
        <v>0</v>
      </c>
      <c r="AK339" s="36">
        <v>0</v>
      </c>
      <c r="AL339" s="38">
        <v>0</v>
      </c>
      <c r="AM339" s="35">
        <v>0</v>
      </c>
      <c r="AN339" s="19">
        <v>0</v>
      </c>
      <c r="AO339" s="23">
        <v>0</v>
      </c>
      <c r="AP339" s="24">
        <v>0</v>
      </c>
      <c r="AQ339" s="31">
        <f t="shared" si="29"/>
        <v>12</v>
      </c>
      <c r="AR339" s="32">
        <f t="shared" si="29"/>
        <v>30000</v>
      </c>
      <c r="AS339" s="30">
        <v>15</v>
      </c>
    </row>
    <row r="340" spans="1:45" ht="15.6" x14ac:dyDescent="0.3">
      <c r="A340" s="19">
        <v>337</v>
      </c>
      <c r="B340" s="21" t="s">
        <v>356</v>
      </c>
      <c r="C340" s="20" t="s">
        <v>365</v>
      </c>
      <c r="D340" s="326"/>
      <c r="E340" s="22">
        <v>13.4</v>
      </c>
      <c r="F340" s="23">
        <f t="shared" si="25"/>
        <v>33500</v>
      </c>
      <c r="G340" s="19">
        <v>0</v>
      </c>
      <c r="H340" s="23">
        <v>0</v>
      </c>
      <c r="I340" s="24">
        <v>0</v>
      </c>
      <c r="J340" s="19">
        <v>0</v>
      </c>
      <c r="K340" s="23">
        <v>0</v>
      </c>
      <c r="L340" s="24">
        <v>0</v>
      </c>
      <c r="M340" s="25">
        <v>4</v>
      </c>
      <c r="N340" s="26">
        <v>10000</v>
      </c>
      <c r="O340" s="27">
        <v>10</v>
      </c>
      <c r="P340" s="28">
        <f t="shared" si="26"/>
        <v>2</v>
      </c>
      <c r="Q340" s="29">
        <f t="shared" si="27"/>
        <v>5000</v>
      </c>
      <c r="R340" s="30">
        <v>5</v>
      </c>
      <c r="S340" s="19">
        <v>0</v>
      </c>
      <c r="T340" s="23">
        <v>0</v>
      </c>
      <c r="U340" s="24">
        <v>0</v>
      </c>
      <c r="V340" s="31">
        <f t="shared" si="28"/>
        <v>6</v>
      </c>
      <c r="W340" s="32">
        <v>15000</v>
      </c>
      <c r="X340" s="30">
        <v>15</v>
      </c>
      <c r="Y340" s="19">
        <v>0</v>
      </c>
      <c r="Z340" s="23">
        <v>0</v>
      </c>
      <c r="AA340" s="24">
        <v>0</v>
      </c>
      <c r="AB340" s="33">
        <v>0</v>
      </c>
      <c r="AC340" s="34">
        <v>0</v>
      </c>
      <c r="AD340" s="35">
        <v>0</v>
      </c>
      <c r="AE340" s="36">
        <v>0</v>
      </c>
      <c r="AF340" s="23">
        <v>0</v>
      </c>
      <c r="AG340" s="24">
        <v>0</v>
      </c>
      <c r="AH340" s="33">
        <v>0</v>
      </c>
      <c r="AI340" s="37">
        <v>0</v>
      </c>
      <c r="AJ340" s="35">
        <v>0</v>
      </c>
      <c r="AK340" s="36">
        <v>0</v>
      </c>
      <c r="AL340" s="38">
        <v>0</v>
      </c>
      <c r="AM340" s="35">
        <v>0</v>
      </c>
      <c r="AN340" s="19">
        <v>0</v>
      </c>
      <c r="AO340" s="23">
        <v>0</v>
      </c>
      <c r="AP340" s="24">
        <v>0</v>
      </c>
      <c r="AQ340" s="31">
        <f t="shared" si="29"/>
        <v>12</v>
      </c>
      <c r="AR340" s="32">
        <f t="shared" si="29"/>
        <v>30000</v>
      </c>
      <c r="AS340" s="30">
        <v>15</v>
      </c>
    </row>
    <row r="341" spans="1:45" ht="15.6" x14ac:dyDescent="0.3">
      <c r="A341" s="19">
        <v>338</v>
      </c>
      <c r="B341" s="21" t="s">
        <v>356</v>
      </c>
      <c r="C341" s="20" t="s">
        <v>366</v>
      </c>
      <c r="D341" s="326"/>
      <c r="E341" s="22">
        <v>22.8</v>
      </c>
      <c r="F341" s="23">
        <f t="shared" si="25"/>
        <v>57000</v>
      </c>
      <c r="G341" s="19">
        <v>0</v>
      </c>
      <c r="H341" s="23">
        <v>0</v>
      </c>
      <c r="I341" s="24">
        <v>0</v>
      </c>
      <c r="J341" s="19">
        <v>0</v>
      </c>
      <c r="K341" s="23">
        <v>0</v>
      </c>
      <c r="L341" s="24">
        <v>0</v>
      </c>
      <c r="M341" s="25">
        <v>6.4</v>
      </c>
      <c r="N341" s="26">
        <v>16000</v>
      </c>
      <c r="O341" s="27">
        <v>16</v>
      </c>
      <c r="P341" s="28">
        <f t="shared" si="26"/>
        <v>0.8</v>
      </c>
      <c r="Q341" s="29">
        <f t="shared" si="27"/>
        <v>2000</v>
      </c>
      <c r="R341" s="30">
        <v>2</v>
      </c>
      <c r="S341" s="19">
        <v>0</v>
      </c>
      <c r="T341" s="23">
        <v>0</v>
      </c>
      <c r="U341" s="24">
        <v>0</v>
      </c>
      <c r="V341" s="31">
        <f t="shared" si="28"/>
        <v>7.2</v>
      </c>
      <c r="W341" s="32">
        <v>18000</v>
      </c>
      <c r="X341" s="30">
        <v>18</v>
      </c>
      <c r="Y341" s="19">
        <v>0</v>
      </c>
      <c r="Z341" s="23">
        <v>0</v>
      </c>
      <c r="AA341" s="24">
        <v>0</v>
      </c>
      <c r="AB341" s="33">
        <v>0</v>
      </c>
      <c r="AC341" s="34">
        <v>0</v>
      </c>
      <c r="AD341" s="35">
        <v>0</v>
      </c>
      <c r="AE341" s="36">
        <v>0</v>
      </c>
      <c r="AF341" s="23">
        <v>0</v>
      </c>
      <c r="AG341" s="24">
        <v>0</v>
      </c>
      <c r="AH341" s="33">
        <v>0</v>
      </c>
      <c r="AI341" s="37">
        <v>0</v>
      </c>
      <c r="AJ341" s="35">
        <v>0</v>
      </c>
      <c r="AK341" s="36">
        <v>0</v>
      </c>
      <c r="AL341" s="38">
        <v>0</v>
      </c>
      <c r="AM341" s="35">
        <v>0</v>
      </c>
      <c r="AN341" s="19">
        <v>0</v>
      </c>
      <c r="AO341" s="23">
        <v>0</v>
      </c>
      <c r="AP341" s="24">
        <v>0</v>
      </c>
      <c r="AQ341" s="31">
        <f t="shared" si="29"/>
        <v>14.4</v>
      </c>
      <c r="AR341" s="32">
        <f t="shared" si="29"/>
        <v>36000</v>
      </c>
      <c r="AS341" s="30">
        <v>18</v>
      </c>
    </row>
    <row r="342" spans="1:45" ht="15.6" x14ac:dyDescent="0.3">
      <c r="A342" s="19">
        <v>339</v>
      </c>
      <c r="B342" s="21" t="s">
        <v>356</v>
      </c>
      <c r="C342" s="20" t="s">
        <v>356</v>
      </c>
      <c r="D342" s="326"/>
      <c r="E342" s="22">
        <v>18.600000000000001</v>
      </c>
      <c r="F342" s="23">
        <f t="shared" si="25"/>
        <v>46500</v>
      </c>
      <c r="G342" s="19">
        <v>0</v>
      </c>
      <c r="H342" s="23">
        <v>0</v>
      </c>
      <c r="I342" s="24">
        <v>0</v>
      </c>
      <c r="J342" s="19">
        <v>0</v>
      </c>
      <c r="K342" s="23">
        <v>0</v>
      </c>
      <c r="L342" s="24">
        <v>0</v>
      </c>
      <c r="M342" s="25">
        <v>6.8</v>
      </c>
      <c r="N342" s="26">
        <v>17000</v>
      </c>
      <c r="O342" s="27">
        <v>17</v>
      </c>
      <c r="P342" s="28">
        <f t="shared" si="26"/>
        <v>2.8</v>
      </c>
      <c r="Q342" s="29">
        <f t="shared" si="27"/>
        <v>7000</v>
      </c>
      <c r="R342" s="30">
        <v>7</v>
      </c>
      <c r="S342" s="19">
        <v>0</v>
      </c>
      <c r="T342" s="23">
        <v>0</v>
      </c>
      <c r="U342" s="24">
        <v>0</v>
      </c>
      <c r="V342" s="31">
        <f t="shared" si="28"/>
        <v>9.6</v>
      </c>
      <c r="W342" s="32">
        <v>24000</v>
      </c>
      <c r="X342" s="30">
        <v>24</v>
      </c>
      <c r="Y342" s="19">
        <v>0</v>
      </c>
      <c r="Z342" s="23">
        <v>0</v>
      </c>
      <c r="AA342" s="24">
        <v>0</v>
      </c>
      <c r="AB342" s="33">
        <v>0</v>
      </c>
      <c r="AC342" s="34">
        <v>0</v>
      </c>
      <c r="AD342" s="35">
        <v>0</v>
      </c>
      <c r="AE342" s="36">
        <v>0</v>
      </c>
      <c r="AF342" s="23">
        <v>0</v>
      </c>
      <c r="AG342" s="24">
        <v>0</v>
      </c>
      <c r="AH342" s="33">
        <v>0</v>
      </c>
      <c r="AI342" s="37">
        <v>0</v>
      </c>
      <c r="AJ342" s="35">
        <v>0</v>
      </c>
      <c r="AK342" s="36">
        <v>0</v>
      </c>
      <c r="AL342" s="38">
        <v>0</v>
      </c>
      <c r="AM342" s="35">
        <v>0</v>
      </c>
      <c r="AN342" s="19">
        <v>0</v>
      </c>
      <c r="AO342" s="23">
        <v>0</v>
      </c>
      <c r="AP342" s="24">
        <v>0</v>
      </c>
      <c r="AQ342" s="31">
        <f t="shared" si="29"/>
        <v>19.2</v>
      </c>
      <c r="AR342" s="32">
        <f t="shared" si="29"/>
        <v>48000</v>
      </c>
      <c r="AS342" s="30">
        <v>24</v>
      </c>
    </row>
    <row r="343" spans="1:45" x14ac:dyDescent="0.3">
      <c r="M343" s="40">
        <f t="shared" ref="M343:R343" si="30">SUM(M4:M342)</f>
        <v>1599.8000000000002</v>
      </c>
      <c r="N343" s="41">
        <f t="shared" si="30"/>
        <v>4000000</v>
      </c>
      <c r="O343" s="42">
        <f t="shared" si="30"/>
        <v>4000</v>
      </c>
      <c r="P343" s="43">
        <f t="shared" si="30"/>
        <v>745.99999999999966</v>
      </c>
      <c r="Q343" s="44">
        <f t="shared" si="30"/>
        <v>1865000</v>
      </c>
      <c r="R343" s="45">
        <f t="shared" si="30"/>
        <v>1865</v>
      </c>
      <c r="V343" s="43">
        <f>SUM(V4:V342)</f>
        <v>2346.0000000000014</v>
      </c>
      <c r="W343" s="46">
        <f>SUM(W4:W342)</f>
        <v>5865000</v>
      </c>
      <c r="X343" s="45">
        <f>SUM(X4:X342)</f>
        <v>5865</v>
      </c>
      <c r="AQ343" s="43">
        <f>SUM(AQ4:AQ342)</f>
        <v>4691.800000000002</v>
      </c>
      <c r="AR343" s="46">
        <f>SUM(AR4:AR342)</f>
        <v>11730000</v>
      </c>
      <c r="AS343" s="45">
        <f>SUM(AS4:AS342)</f>
        <v>6004</v>
      </c>
    </row>
    <row r="346" spans="1:45" x14ac:dyDescent="0.3">
      <c r="S346" s="47">
        <f>M343+P343+V343</f>
        <v>4691.8000000000011</v>
      </c>
      <c r="T346">
        <f>O343+R343+X343</f>
        <v>11730</v>
      </c>
    </row>
  </sheetData>
  <mergeCells count="39">
    <mergeCell ref="A1:H1"/>
    <mergeCell ref="A2:A3"/>
    <mergeCell ref="B2:B3"/>
    <mergeCell ref="C2:C3"/>
    <mergeCell ref="D2:D3"/>
    <mergeCell ref="E2:F2"/>
    <mergeCell ref="G2:I2"/>
    <mergeCell ref="AQ2:AS2"/>
    <mergeCell ref="J2:L2"/>
    <mergeCell ref="M2:O2"/>
    <mergeCell ref="P2:R2"/>
    <mergeCell ref="S2:U2"/>
    <mergeCell ref="V2:X2"/>
    <mergeCell ref="Y2:AA2"/>
    <mergeCell ref="AB2:AD2"/>
    <mergeCell ref="AE2:AG2"/>
    <mergeCell ref="AH2:AJ2"/>
    <mergeCell ref="AK2:AM2"/>
    <mergeCell ref="AN2:AP2"/>
    <mergeCell ref="D191:D207"/>
    <mergeCell ref="D4:D20"/>
    <mergeCell ref="D21:D37"/>
    <mergeCell ref="D38:D54"/>
    <mergeCell ref="D55:D71"/>
    <mergeCell ref="D72:D88"/>
    <mergeCell ref="D89:D105"/>
    <mergeCell ref="D106:D122"/>
    <mergeCell ref="D123:D139"/>
    <mergeCell ref="D140:D156"/>
    <mergeCell ref="D157:D173"/>
    <mergeCell ref="D174:D190"/>
    <mergeCell ref="D310:D326"/>
    <mergeCell ref="D327:D342"/>
    <mergeCell ref="D208:D224"/>
    <mergeCell ref="D225:D241"/>
    <mergeCell ref="D242:D258"/>
    <mergeCell ref="D259:D275"/>
    <mergeCell ref="D276:D292"/>
    <mergeCell ref="D293:D3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344"/>
  <sheetViews>
    <sheetView topLeftCell="AH327" workbookViewId="0">
      <selection activeCell="AR344" sqref="AR344"/>
    </sheetView>
  </sheetViews>
  <sheetFormatPr baseColWidth="10" defaultRowHeight="14.4" x14ac:dyDescent="0.3"/>
  <cols>
    <col min="1" max="1" width="4.44140625" bestFit="1" customWidth="1"/>
    <col min="2" max="2" width="17.109375" bestFit="1" customWidth="1"/>
    <col min="3" max="3" width="31.33203125" customWidth="1"/>
    <col min="4" max="4" width="11" customWidth="1"/>
    <col min="5" max="5" width="12" hidden="1" customWidth="1"/>
    <col min="6" max="6" width="14.109375" style="39" hidden="1" customWidth="1"/>
    <col min="7" max="7" width="10.44140625" hidden="1" customWidth="1"/>
    <col min="8" max="8" width="16.109375" style="39" hidden="1" customWidth="1"/>
    <col min="9" max="9" width="13.44140625" hidden="1" customWidth="1"/>
    <col min="10" max="12" width="11.44140625" hidden="1" customWidth="1"/>
    <col min="13" max="13" width="16" customWidth="1"/>
    <col min="14" max="14" width="17.44140625" customWidth="1"/>
    <col min="15" max="15" width="17.33203125" customWidth="1"/>
    <col min="16" max="16" width="15.33203125" customWidth="1"/>
    <col min="17" max="17" width="20.33203125" customWidth="1"/>
    <col min="18" max="18" width="14.44140625" customWidth="1"/>
    <col min="19" max="19" width="11.44140625" customWidth="1"/>
    <col min="20" max="20" width="15.44140625" customWidth="1"/>
    <col min="21" max="21" width="13.44140625" customWidth="1"/>
    <col min="22" max="22" width="11.44140625" customWidth="1"/>
    <col min="23" max="23" width="19.33203125" customWidth="1"/>
    <col min="24" max="24" width="16.44140625" customWidth="1"/>
    <col min="25" max="25" width="11.44140625" customWidth="1"/>
    <col min="26" max="26" width="17.109375" customWidth="1"/>
    <col min="27" max="27" width="15.33203125" customWidth="1"/>
    <col min="28" max="28" width="11.44140625" customWidth="1"/>
    <col min="29" max="29" width="13.109375" customWidth="1"/>
    <col min="30" max="30" width="16" customWidth="1"/>
    <col min="31" max="31" width="11.44140625" customWidth="1"/>
    <col min="32" max="32" width="12" customWidth="1"/>
    <col min="33" max="33" width="16.6640625" customWidth="1"/>
    <col min="34" max="34" width="11.44140625" customWidth="1"/>
    <col min="35" max="35" width="18.33203125" customWidth="1"/>
    <col min="36" max="37" width="11.44140625" customWidth="1"/>
    <col min="38" max="38" width="12" customWidth="1"/>
    <col min="39" max="39" width="18.44140625" customWidth="1"/>
    <col min="40" max="41" width="11.44140625" customWidth="1"/>
    <col min="42" max="42" width="18.77734375" customWidth="1"/>
    <col min="43" max="43" width="11.44140625" bestFit="1" customWidth="1"/>
    <col min="44" max="44" width="21" customWidth="1"/>
    <col min="45" max="45" width="19.109375" customWidth="1"/>
  </cols>
  <sheetData>
    <row r="1" spans="1:45" ht="18.600000000000001" thickBot="1" x14ac:dyDescent="0.35">
      <c r="A1" s="343" t="s">
        <v>367</v>
      </c>
      <c r="B1" s="343"/>
      <c r="C1" s="343"/>
      <c r="D1" s="343"/>
      <c r="E1" s="343"/>
      <c r="F1" s="343"/>
      <c r="G1" s="343"/>
      <c r="H1" s="343"/>
    </row>
    <row r="2" spans="1:45" ht="15.6" x14ac:dyDescent="0.3">
      <c r="A2" s="337" t="s">
        <v>1</v>
      </c>
      <c r="B2" s="338" t="s">
        <v>2</v>
      </c>
      <c r="C2" s="338" t="s">
        <v>3</v>
      </c>
      <c r="D2" s="346" t="s">
        <v>4</v>
      </c>
      <c r="E2" s="338" t="s">
        <v>5</v>
      </c>
      <c r="F2" s="338"/>
      <c r="G2" s="329" t="s">
        <v>6</v>
      </c>
      <c r="H2" s="330"/>
      <c r="I2" s="331"/>
      <c r="J2" s="329" t="s">
        <v>7</v>
      </c>
      <c r="K2" s="330"/>
      <c r="L2" s="331"/>
      <c r="M2" s="329" t="s">
        <v>8</v>
      </c>
      <c r="N2" s="330"/>
      <c r="O2" s="342"/>
      <c r="P2" s="329" t="s">
        <v>9</v>
      </c>
      <c r="Q2" s="330"/>
      <c r="R2" s="330"/>
      <c r="S2" s="337" t="s">
        <v>10</v>
      </c>
      <c r="T2" s="338"/>
      <c r="U2" s="339"/>
      <c r="V2" s="329" t="s">
        <v>11</v>
      </c>
      <c r="W2" s="330"/>
      <c r="X2" s="342"/>
      <c r="Y2" s="341" t="s">
        <v>12</v>
      </c>
      <c r="Z2" s="330"/>
      <c r="AA2" s="342"/>
      <c r="AB2" s="341" t="s">
        <v>13</v>
      </c>
      <c r="AC2" s="330"/>
      <c r="AD2" s="342"/>
      <c r="AE2" s="341" t="s">
        <v>14</v>
      </c>
      <c r="AF2" s="330"/>
      <c r="AG2" s="342"/>
      <c r="AH2" s="341" t="s">
        <v>15</v>
      </c>
      <c r="AI2" s="330"/>
      <c r="AJ2" s="342"/>
      <c r="AK2" s="341" t="s">
        <v>16</v>
      </c>
      <c r="AL2" s="330"/>
      <c r="AM2" s="342"/>
      <c r="AN2" s="341" t="s">
        <v>17</v>
      </c>
      <c r="AO2" s="330"/>
      <c r="AP2" s="342"/>
      <c r="AQ2" s="349" t="s">
        <v>18</v>
      </c>
      <c r="AR2" s="350"/>
      <c r="AS2" s="350"/>
    </row>
    <row r="3" spans="1:45" ht="15.6" x14ac:dyDescent="0.3">
      <c r="A3" s="344"/>
      <c r="B3" s="345"/>
      <c r="C3" s="345"/>
      <c r="D3" s="347"/>
      <c r="E3" s="3" t="s">
        <v>19</v>
      </c>
      <c r="F3" s="4" t="s">
        <v>20</v>
      </c>
      <c r="G3" s="5" t="s">
        <v>19</v>
      </c>
      <c r="H3" s="4" t="s">
        <v>20</v>
      </c>
      <c r="I3" s="6" t="s">
        <v>21</v>
      </c>
      <c r="J3" s="5" t="s">
        <v>19</v>
      </c>
      <c r="K3" s="4" t="s">
        <v>20</v>
      </c>
      <c r="L3" s="6" t="s">
        <v>21</v>
      </c>
      <c r="M3" s="3" t="s">
        <v>19</v>
      </c>
      <c r="N3" s="13" t="s">
        <v>20</v>
      </c>
      <c r="O3" s="48" t="s">
        <v>21</v>
      </c>
      <c r="P3" s="3" t="s">
        <v>19</v>
      </c>
      <c r="Q3" s="13" t="s">
        <v>20</v>
      </c>
      <c r="R3" s="49" t="s">
        <v>22</v>
      </c>
      <c r="S3" s="5" t="s">
        <v>19</v>
      </c>
      <c r="T3" s="4" t="s">
        <v>20</v>
      </c>
      <c r="U3" s="50" t="s">
        <v>22</v>
      </c>
      <c r="V3" s="16" t="s">
        <v>19</v>
      </c>
      <c r="W3" s="13" t="s">
        <v>20</v>
      </c>
      <c r="X3" s="51" t="s">
        <v>22</v>
      </c>
      <c r="Y3" s="16" t="s">
        <v>19</v>
      </c>
      <c r="Z3" s="13" t="s">
        <v>20</v>
      </c>
      <c r="AA3" s="51" t="s">
        <v>22</v>
      </c>
      <c r="AB3" s="3" t="s">
        <v>19</v>
      </c>
      <c r="AC3" s="13" t="s">
        <v>20</v>
      </c>
      <c r="AD3" s="51" t="s">
        <v>22</v>
      </c>
      <c r="AE3" s="3" t="s">
        <v>19</v>
      </c>
      <c r="AF3" s="13" t="s">
        <v>20</v>
      </c>
      <c r="AG3" s="51" t="s">
        <v>22</v>
      </c>
      <c r="AH3" s="3" t="s">
        <v>19</v>
      </c>
      <c r="AI3" s="13" t="s">
        <v>20</v>
      </c>
      <c r="AJ3" s="51" t="s">
        <v>22</v>
      </c>
      <c r="AK3" s="3" t="s">
        <v>19</v>
      </c>
      <c r="AL3" s="13" t="s">
        <v>20</v>
      </c>
      <c r="AM3" s="51" t="s">
        <v>22</v>
      </c>
      <c r="AN3" s="3" t="s">
        <v>19</v>
      </c>
      <c r="AO3" s="13" t="s">
        <v>20</v>
      </c>
      <c r="AP3" s="52" t="s">
        <v>22</v>
      </c>
      <c r="AQ3" s="3" t="s">
        <v>19</v>
      </c>
      <c r="AR3" s="13" t="s">
        <v>20</v>
      </c>
      <c r="AS3" s="52" t="s">
        <v>22</v>
      </c>
    </row>
    <row r="4" spans="1:45" ht="15.6" x14ac:dyDescent="0.3">
      <c r="A4" s="53">
        <v>1</v>
      </c>
      <c r="B4" s="54" t="s">
        <v>23</v>
      </c>
      <c r="C4" s="55" t="s">
        <v>24</v>
      </c>
      <c r="D4" s="348" t="s">
        <v>25</v>
      </c>
      <c r="E4" s="53"/>
      <c r="F4" s="56"/>
      <c r="G4" s="53"/>
      <c r="H4" s="56"/>
      <c r="I4" s="57"/>
      <c r="J4" s="53"/>
      <c r="K4" s="56"/>
      <c r="L4" s="57"/>
      <c r="M4" s="58"/>
      <c r="N4" s="56"/>
      <c r="O4" s="57"/>
      <c r="P4" s="58">
        <f>Q4/2500</f>
        <v>8.64</v>
      </c>
      <c r="Q4" s="59">
        <f>R4*1800</f>
        <v>21600</v>
      </c>
      <c r="R4" s="35">
        <v>12</v>
      </c>
      <c r="S4" s="19">
        <v>0</v>
      </c>
      <c r="T4" s="23">
        <v>0</v>
      </c>
      <c r="U4" s="24">
        <v>0</v>
      </c>
      <c r="V4" s="33">
        <v>0</v>
      </c>
      <c r="W4" s="34">
        <v>0</v>
      </c>
      <c r="X4" s="35">
        <v>0</v>
      </c>
      <c r="Y4" s="19">
        <v>0</v>
      </c>
      <c r="Z4" s="23">
        <v>0</v>
      </c>
      <c r="AA4" s="24">
        <v>0</v>
      </c>
      <c r="AB4" s="33">
        <v>0</v>
      </c>
      <c r="AC4" s="34">
        <v>0</v>
      </c>
      <c r="AD4" s="35">
        <v>0</v>
      </c>
      <c r="AE4" s="36">
        <v>0</v>
      </c>
      <c r="AF4" s="23">
        <v>0</v>
      </c>
      <c r="AG4" s="24">
        <v>0</v>
      </c>
      <c r="AH4" s="33">
        <v>0</v>
      </c>
      <c r="AI4" s="37">
        <v>0</v>
      </c>
      <c r="AJ4" s="35">
        <v>0</v>
      </c>
      <c r="AK4" s="36">
        <v>0</v>
      </c>
      <c r="AL4" s="38">
        <v>0</v>
      </c>
      <c r="AM4" s="35">
        <v>0</v>
      </c>
      <c r="AN4" s="19">
        <v>0</v>
      </c>
      <c r="AO4" s="23">
        <v>0</v>
      </c>
      <c r="AP4" s="24">
        <v>0</v>
      </c>
      <c r="AQ4" s="58">
        <f>AR4/2500</f>
        <v>8.64</v>
      </c>
      <c r="AR4" s="59">
        <f>AS4*1800</f>
        <v>21600</v>
      </c>
      <c r="AS4" s="35">
        <v>12</v>
      </c>
    </row>
    <row r="5" spans="1:45" ht="15.6" x14ac:dyDescent="0.3">
      <c r="A5" s="53">
        <v>2</v>
      </c>
      <c r="B5" s="54" t="s">
        <v>23</v>
      </c>
      <c r="C5" s="55" t="s">
        <v>26</v>
      </c>
      <c r="D5" s="348"/>
      <c r="E5" s="53"/>
      <c r="F5" s="56"/>
      <c r="G5" s="53"/>
      <c r="H5" s="56"/>
      <c r="I5" s="57"/>
      <c r="J5" s="53"/>
      <c r="K5" s="56"/>
      <c r="L5" s="57"/>
      <c r="M5" s="58"/>
      <c r="N5" s="56"/>
      <c r="O5" s="57"/>
      <c r="P5" s="58">
        <f t="shared" ref="P5:P68" si="0">Q5/2500</f>
        <v>0</v>
      </c>
      <c r="Q5" s="59">
        <f t="shared" ref="Q5:Q68" si="1">R5*1800</f>
        <v>0</v>
      </c>
      <c r="R5" s="35">
        <v>0</v>
      </c>
      <c r="S5" s="19">
        <v>0</v>
      </c>
      <c r="T5" s="23">
        <v>0</v>
      </c>
      <c r="U5" s="24">
        <v>0</v>
      </c>
      <c r="V5" s="33">
        <v>0</v>
      </c>
      <c r="W5" s="34">
        <v>0</v>
      </c>
      <c r="X5" s="35">
        <v>0</v>
      </c>
      <c r="Y5" s="19">
        <v>0</v>
      </c>
      <c r="Z5" s="23">
        <v>0</v>
      </c>
      <c r="AA5" s="24">
        <v>0</v>
      </c>
      <c r="AB5" s="33">
        <v>0</v>
      </c>
      <c r="AC5" s="34">
        <v>0</v>
      </c>
      <c r="AD5" s="35">
        <v>0</v>
      </c>
      <c r="AE5" s="36">
        <v>0</v>
      </c>
      <c r="AF5" s="23">
        <v>0</v>
      </c>
      <c r="AG5" s="24">
        <v>0</v>
      </c>
      <c r="AH5" s="33">
        <v>0</v>
      </c>
      <c r="AI5" s="37">
        <v>0</v>
      </c>
      <c r="AJ5" s="35">
        <v>0</v>
      </c>
      <c r="AK5" s="36">
        <v>0</v>
      </c>
      <c r="AL5" s="38">
        <v>0</v>
      </c>
      <c r="AM5" s="35">
        <v>0</v>
      </c>
      <c r="AN5" s="19">
        <v>0</v>
      </c>
      <c r="AO5" s="23">
        <v>0</v>
      </c>
      <c r="AP5" s="24">
        <v>0</v>
      </c>
      <c r="AQ5" s="58">
        <f t="shared" ref="AQ5:AQ68" si="2">AR5/2500</f>
        <v>0</v>
      </c>
      <c r="AR5" s="59">
        <f t="shared" ref="AR5:AR68" si="3">AS5*1800</f>
        <v>0</v>
      </c>
      <c r="AS5" s="35">
        <v>0</v>
      </c>
    </row>
    <row r="6" spans="1:45" ht="15.6" x14ac:dyDescent="0.3">
      <c r="A6" s="53">
        <v>3</v>
      </c>
      <c r="B6" s="54" t="s">
        <v>23</v>
      </c>
      <c r="C6" s="55" t="s">
        <v>27</v>
      </c>
      <c r="D6" s="348"/>
      <c r="E6" s="53"/>
      <c r="F6" s="56"/>
      <c r="G6" s="53"/>
      <c r="H6" s="56"/>
      <c r="I6" s="57"/>
      <c r="J6" s="53"/>
      <c r="K6" s="56"/>
      <c r="L6" s="57"/>
      <c r="M6" s="58"/>
      <c r="N6" s="56"/>
      <c r="O6" s="57"/>
      <c r="P6" s="58">
        <f t="shared" si="0"/>
        <v>0</v>
      </c>
      <c r="Q6" s="59">
        <f t="shared" si="1"/>
        <v>0</v>
      </c>
      <c r="R6" s="35">
        <v>0</v>
      </c>
      <c r="S6" s="19">
        <v>0</v>
      </c>
      <c r="T6" s="23">
        <v>0</v>
      </c>
      <c r="U6" s="24">
        <v>0</v>
      </c>
      <c r="V6" s="33">
        <v>0</v>
      </c>
      <c r="W6" s="34">
        <v>0</v>
      </c>
      <c r="X6" s="35">
        <v>0</v>
      </c>
      <c r="Y6" s="19">
        <v>0</v>
      </c>
      <c r="Z6" s="23">
        <v>0</v>
      </c>
      <c r="AA6" s="24">
        <v>0</v>
      </c>
      <c r="AB6" s="33">
        <v>0</v>
      </c>
      <c r="AC6" s="34">
        <v>0</v>
      </c>
      <c r="AD6" s="35">
        <v>0</v>
      </c>
      <c r="AE6" s="36">
        <v>0</v>
      </c>
      <c r="AF6" s="23">
        <v>0</v>
      </c>
      <c r="AG6" s="24">
        <v>0</v>
      </c>
      <c r="AH6" s="33">
        <v>0</v>
      </c>
      <c r="AI6" s="37">
        <v>0</v>
      </c>
      <c r="AJ6" s="35">
        <v>0</v>
      </c>
      <c r="AK6" s="36">
        <v>0</v>
      </c>
      <c r="AL6" s="38">
        <v>0</v>
      </c>
      <c r="AM6" s="35">
        <v>0</v>
      </c>
      <c r="AN6" s="19">
        <v>0</v>
      </c>
      <c r="AO6" s="23">
        <v>0</v>
      </c>
      <c r="AP6" s="24">
        <v>0</v>
      </c>
      <c r="AQ6" s="58">
        <f t="shared" si="2"/>
        <v>0</v>
      </c>
      <c r="AR6" s="59">
        <f t="shared" si="3"/>
        <v>0</v>
      </c>
      <c r="AS6" s="35">
        <v>0</v>
      </c>
    </row>
    <row r="7" spans="1:45" ht="15.6" x14ac:dyDescent="0.3">
      <c r="A7" s="53">
        <v>4</v>
      </c>
      <c r="B7" s="54" t="s">
        <v>23</v>
      </c>
      <c r="C7" s="55" t="s">
        <v>28</v>
      </c>
      <c r="D7" s="348"/>
      <c r="E7" s="53"/>
      <c r="F7" s="56"/>
      <c r="G7" s="53"/>
      <c r="H7" s="56"/>
      <c r="I7" s="57"/>
      <c r="J7" s="53"/>
      <c r="K7" s="56"/>
      <c r="L7" s="57"/>
      <c r="M7" s="58"/>
      <c r="N7" s="56"/>
      <c r="O7" s="57"/>
      <c r="P7" s="58">
        <f t="shared" si="0"/>
        <v>10.08</v>
      </c>
      <c r="Q7" s="59">
        <f t="shared" si="1"/>
        <v>25200</v>
      </c>
      <c r="R7" s="35">
        <v>14</v>
      </c>
      <c r="S7" s="19">
        <v>0</v>
      </c>
      <c r="T7" s="23">
        <v>0</v>
      </c>
      <c r="U7" s="24">
        <v>0</v>
      </c>
      <c r="V7" s="33">
        <v>0</v>
      </c>
      <c r="W7" s="34">
        <v>0</v>
      </c>
      <c r="X7" s="35">
        <v>0</v>
      </c>
      <c r="Y7" s="19">
        <v>0</v>
      </c>
      <c r="Z7" s="23">
        <v>0</v>
      </c>
      <c r="AA7" s="24">
        <v>0</v>
      </c>
      <c r="AB7" s="33">
        <v>0</v>
      </c>
      <c r="AC7" s="34">
        <v>0</v>
      </c>
      <c r="AD7" s="35">
        <v>0</v>
      </c>
      <c r="AE7" s="36">
        <v>0</v>
      </c>
      <c r="AF7" s="23">
        <v>0</v>
      </c>
      <c r="AG7" s="24">
        <v>0</v>
      </c>
      <c r="AH7" s="33">
        <v>0</v>
      </c>
      <c r="AI7" s="37">
        <v>0</v>
      </c>
      <c r="AJ7" s="35">
        <v>0</v>
      </c>
      <c r="AK7" s="36">
        <v>0</v>
      </c>
      <c r="AL7" s="38">
        <v>0</v>
      </c>
      <c r="AM7" s="35">
        <v>0</v>
      </c>
      <c r="AN7" s="19">
        <v>0</v>
      </c>
      <c r="AO7" s="23">
        <v>0</v>
      </c>
      <c r="AP7" s="24">
        <v>0</v>
      </c>
      <c r="AQ7" s="58">
        <f t="shared" si="2"/>
        <v>10.08</v>
      </c>
      <c r="AR7" s="59">
        <f t="shared" si="3"/>
        <v>25200</v>
      </c>
      <c r="AS7" s="35">
        <v>14</v>
      </c>
    </row>
    <row r="8" spans="1:45" ht="15.6" x14ac:dyDescent="0.3">
      <c r="A8" s="53">
        <v>5</v>
      </c>
      <c r="B8" s="54" t="s">
        <v>23</v>
      </c>
      <c r="C8" s="55" t="s">
        <v>29</v>
      </c>
      <c r="D8" s="348"/>
      <c r="E8" s="53"/>
      <c r="F8" s="56"/>
      <c r="G8" s="53"/>
      <c r="H8" s="56"/>
      <c r="I8" s="57"/>
      <c r="J8" s="53"/>
      <c r="K8" s="56"/>
      <c r="L8" s="57"/>
      <c r="M8" s="58"/>
      <c r="N8" s="56"/>
      <c r="O8" s="57"/>
      <c r="P8" s="58">
        <f t="shared" si="0"/>
        <v>0</v>
      </c>
      <c r="Q8" s="59">
        <f t="shared" si="1"/>
        <v>0</v>
      </c>
      <c r="R8" s="35">
        <v>0</v>
      </c>
      <c r="S8" s="19">
        <v>0</v>
      </c>
      <c r="T8" s="23">
        <v>0</v>
      </c>
      <c r="U8" s="24">
        <v>0</v>
      </c>
      <c r="V8" s="33">
        <v>0</v>
      </c>
      <c r="W8" s="34">
        <v>0</v>
      </c>
      <c r="X8" s="35">
        <v>0</v>
      </c>
      <c r="Y8" s="19">
        <v>0</v>
      </c>
      <c r="Z8" s="23">
        <v>0</v>
      </c>
      <c r="AA8" s="24">
        <v>0</v>
      </c>
      <c r="AB8" s="33">
        <v>0</v>
      </c>
      <c r="AC8" s="34">
        <v>0</v>
      </c>
      <c r="AD8" s="35">
        <v>0</v>
      </c>
      <c r="AE8" s="36">
        <v>0</v>
      </c>
      <c r="AF8" s="23">
        <v>0</v>
      </c>
      <c r="AG8" s="24">
        <v>0</v>
      </c>
      <c r="AH8" s="33">
        <v>0</v>
      </c>
      <c r="AI8" s="37">
        <v>0</v>
      </c>
      <c r="AJ8" s="35">
        <v>0</v>
      </c>
      <c r="AK8" s="36">
        <v>0</v>
      </c>
      <c r="AL8" s="38">
        <v>0</v>
      </c>
      <c r="AM8" s="35">
        <v>0</v>
      </c>
      <c r="AN8" s="19">
        <v>0</v>
      </c>
      <c r="AO8" s="23">
        <v>0</v>
      </c>
      <c r="AP8" s="24">
        <v>0</v>
      </c>
      <c r="AQ8" s="58">
        <f t="shared" si="2"/>
        <v>0</v>
      </c>
      <c r="AR8" s="59">
        <f t="shared" si="3"/>
        <v>0</v>
      </c>
      <c r="AS8" s="35">
        <v>0</v>
      </c>
    </row>
    <row r="9" spans="1:45" ht="15.6" x14ac:dyDescent="0.3">
      <c r="A9" s="53">
        <v>6</v>
      </c>
      <c r="B9" s="54" t="s">
        <v>23</v>
      </c>
      <c r="C9" s="55" t="s">
        <v>30</v>
      </c>
      <c r="D9" s="348"/>
      <c r="E9" s="53"/>
      <c r="F9" s="56"/>
      <c r="G9" s="53"/>
      <c r="H9" s="56"/>
      <c r="I9" s="57"/>
      <c r="J9" s="53"/>
      <c r="K9" s="56"/>
      <c r="L9" s="57"/>
      <c r="M9" s="58"/>
      <c r="N9" s="56"/>
      <c r="O9" s="57"/>
      <c r="P9" s="58">
        <f t="shared" si="0"/>
        <v>5.04</v>
      </c>
      <c r="Q9" s="59">
        <f t="shared" si="1"/>
        <v>12600</v>
      </c>
      <c r="R9" s="35">
        <v>7</v>
      </c>
      <c r="S9" s="19">
        <v>0</v>
      </c>
      <c r="T9" s="23">
        <v>0</v>
      </c>
      <c r="U9" s="24">
        <v>0</v>
      </c>
      <c r="V9" s="33">
        <v>0</v>
      </c>
      <c r="W9" s="34">
        <v>0</v>
      </c>
      <c r="X9" s="35">
        <v>0</v>
      </c>
      <c r="Y9" s="19">
        <v>0</v>
      </c>
      <c r="Z9" s="23">
        <v>0</v>
      </c>
      <c r="AA9" s="24">
        <v>0</v>
      </c>
      <c r="AB9" s="33">
        <v>0</v>
      </c>
      <c r="AC9" s="34">
        <v>0</v>
      </c>
      <c r="AD9" s="35">
        <v>0</v>
      </c>
      <c r="AE9" s="36">
        <v>0</v>
      </c>
      <c r="AF9" s="23">
        <v>0</v>
      </c>
      <c r="AG9" s="24">
        <v>0</v>
      </c>
      <c r="AH9" s="33">
        <v>0</v>
      </c>
      <c r="AI9" s="37">
        <v>0</v>
      </c>
      <c r="AJ9" s="35">
        <v>0</v>
      </c>
      <c r="AK9" s="36">
        <v>0</v>
      </c>
      <c r="AL9" s="38">
        <v>0</v>
      </c>
      <c r="AM9" s="35">
        <v>0</v>
      </c>
      <c r="AN9" s="19">
        <v>0</v>
      </c>
      <c r="AO9" s="23">
        <v>0</v>
      </c>
      <c r="AP9" s="24">
        <v>0</v>
      </c>
      <c r="AQ9" s="58">
        <f t="shared" si="2"/>
        <v>5.04</v>
      </c>
      <c r="AR9" s="59">
        <f t="shared" si="3"/>
        <v>12600</v>
      </c>
      <c r="AS9" s="35">
        <v>7</v>
      </c>
    </row>
    <row r="10" spans="1:45" ht="15.6" x14ac:dyDescent="0.3">
      <c r="A10" s="53">
        <v>7</v>
      </c>
      <c r="B10" s="54" t="s">
        <v>23</v>
      </c>
      <c r="C10" s="55" t="s">
        <v>31</v>
      </c>
      <c r="D10" s="348"/>
      <c r="E10" s="53"/>
      <c r="F10" s="56"/>
      <c r="G10" s="53"/>
      <c r="H10" s="56"/>
      <c r="I10" s="57"/>
      <c r="J10" s="53"/>
      <c r="K10" s="56"/>
      <c r="L10" s="57"/>
      <c r="M10" s="58"/>
      <c r="N10" s="56"/>
      <c r="O10" s="57"/>
      <c r="P10" s="58">
        <f t="shared" si="0"/>
        <v>0</v>
      </c>
      <c r="Q10" s="59">
        <f t="shared" si="1"/>
        <v>0</v>
      </c>
      <c r="R10" s="35">
        <v>0</v>
      </c>
      <c r="S10" s="19">
        <v>0</v>
      </c>
      <c r="T10" s="23">
        <v>0</v>
      </c>
      <c r="U10" s="24">
        <v>0</v>
      </c>
      <c r="V10" s="33">
        <v>0</v>
      </c>
      <c r="W10" s="34">
        <v>0</v>
      </c>
      <c r="X10" s="35">
        <v>0</v>
      </c>
      <c r="Y10" s="19">
        <v>0</v>
      </c>
      <c r="Z10" s="23">
        <v>0</v>
      </c>
      <c r="AA10" s="24">
        <v>0</v>
      </c>
      <c r="AB10" s="33">
        <v>0</v>
      </c>
      <c r="AC10" s="34">
        <v>0</v>
      </c>
      <c r="AD10" s="35">
        <v>0</v>
      </c>
      <c r="AE10" s="36">
        <v>0</v>
      </c>
      <c r="AF10" s="23">
        <v>0</v>
      </c>
      <c r="AG10" s="24">
        <v>0</v>
      </c>
      <c r="AH10" s="33">
        <v>0</v>
      </c>
      <c r="AI10" s="37">
        <v>0</v>
      </c>
      <c r="AJ10" s="35">
        <v>0</v>
      </c>
      <c r="AK10" s="36">
        <v>0</v>
      </c>
      <c r="AL10" s="38">
        <v>0</v>
      </c>
      <c r="AM10" s="35">
        <v>0</v>
      </c>
      <c r="AN10" s="19">
        <v>0</v>
      </c>
      <c r="AO10" s="23">
        <v>0</v>
      </c>
      <c r="AP10" s="24">
        <v>0</v>
      </c>
      <c r="AQ10" s="58">
        <f t="shared" si="2"/>
        <v>0</v>
      </c>
      <c r="AR10" s="59">
        <f t="shared" si="3"/>
        <v>0</v>
      </c>
      <c r="AS10" s="35">
        <v>0</v>
      </c>
    </row>
    <row r="11" spans="1:45" ht="15.6" x14ac:dyDescent="0.3">
      <c r="A11" s="53">
        <v>8</v>
      </c>
      <c r="B11" s="54" t="s">
        <v>23</v>
      </c>
      <c r="C11" s="55" t="s">
        <v>32</v>
      </c>
      <c r="D11" s="348"/>
      <c r="E11" s="53"/>
      <c r="F11" s="56"/>
      <c r="G11" s="53"/>
      <c r="H11" s="56"/>
      <c r="I11" s="57"/>
      <c r="J11" s="53"/>
      <c r="K11" s="56"/>
      <c r="L11" s="57"/>
      <c r="M11" s="58"/>
      <c r="N11" s="56"/>
      <c r="O11" s="57"/>
      <c r="P11" s="58">
        <f t="shared" si="0"/>
        <v>0</v>
      </c>
      <c r="Q11" s="59">
        <f t="shared" si="1"/>
        <v>0</v>
      </c>
      <c r="R11" s="35">
        <v>0</v>
      </c>
      <c r="S11" s="19">
        <v>0</v>
      </c>
      <c r="T11" s="23">
        <v>0</v>
      </c>
      <c r="U11" s="24">
        <v>0</v>
      </c>
      <c r="V11" s="33">
        <v>0</v>
      </c>
      <c r="W11" s="34">
        <v>0</v>
      </c>
      <c r="X11" s="35">
        <v>0</v>
      </c>
      <c r="Y11" s="19">
        <v>0</v>
      </c>
      <c r="Z11" s="23">
        <v>0</v>
      </c>
      <c r="AA11" s="24">
        <v>0</v>
      </c>
      <c r="AB11" s="33">
        <v>0</v>
      </c>
      <c r="AC11" s="34">
        <v>0</v>
      </c>
      <c r="AD11" s="35">
        <v>0</v>
      </c>
      <c r="AE11" s="36">
        <v>0</v>
      </c>
      <c r="AF11" s="23">
        <v>0</v>
      </c>
      <c r="AG11" s="24">
        <v>0</v>
      </c>
      <c r="AH11" s="33">
        <v>0</v>
      </c>
      <c r="AI11" s="37">
        <v>0</v>
      </c>
      <c r="AJ11" s="35">
        <v>0</v>
      </c>
      <c r="AK11" s="36">
        <v>0</v>
      </c>
      <c r="AL11" s="38">
        <v>0</v>
      </c>
      <c r="AM11" s="35">
        <v>0</v>
      </c>
      <c r="AN11" s="19">
        <v>0</v>
      </c>
      <c r="AO11" s="23">
        <v>0</v>
      </c>
      <c r="AP11" s="24">
        <v>0</v>
      </c>
      <c r="AQ11" s="58">
        <f t="shared" si="2"/>
        <v>0</v>
      </c>
      <c r="AR11" s="59">
        <f t="shared" si="3"/>
        <v>0</v>
      </c>
      <c r="AS11" s="35">
        <v>0</v>
      </c>
    </row>
    <row r="12" spans="1:45" ht="15.6" x14ac:dyDescent="0.3">
      <c r="A12" s="53">
        <v>9</v>
      </c>
      <c r="B12" s="54" t="s">
        <v>23</v>
      </c>
      <c r="C12" s="55" t="s">
        <v>33</v>
      </c>
      <c r="D12" s="348"/>
      <c r="E12" s="53"/>
      <c r="F12" s="56"/>
      <c r="G12" s="53"/>
      <c r="H12" s="56"/>
      <c r="I12" s="57"/>
      <c r="J12" s="53"/>
      <c r="K12" s="56"/>
      <c r="L12" s="57"/>
      <c r="M12" s="58"/>
      <c r="N12" s="56"/>
      <c r="O12" s="57"/>
      <c r="P12" s="58">
        <f t="shared" si="0"/>
        <v>2.16</v>
      </c>
      <c r="Q12" s="59">
        <f t="shared" si="1"/>
        <v>5400</v>
      </c>
      <c r="R12" s="35">
        <v>3</v>
      </c>
      <c r="S12" s="19">
        <v>0</v>
      </c>
      <c r="T12" s="23">
        <v>0</v>
      </c>
      <c r="U12" s="24">
        <v>0</v>
      </c>
      <c r="V12" s="33">
        <v>0</v>
      </c>
      <c r="W12" s="34">
        <v>0</v>
      </c>
      <c r="X12" s="35">
        <v>0</v>
      </c>
      <c r="Y12" s="19">
        <v>0</v>
      </c>
      <c r="Z12" s="23">
        <v>0</v>
      </c>
      <c r="AA12" s="24">
        <v>0</v>
      </c>
      <c r="AB12" s="33">
        <v>0</v>
      </c>
      <c r="AC12" s="34">
        <v>0</v>
      </c>
      <c r="AD12" s="35">
        <v>0</v>
      </c>
      <c r="AE12" s="36">
        <v>0</v>
      </c>
      <c r="AF12" s="23">
        <v>0</v>
      </c>
      <c r="AG12" s="24">
        <v>0</v>
      </c>
      <c r="AH12" s="33">
        <v>0</v>
      </c>
      <c r="AI12" s="37">
        <v>0</v>
      </c>
      <c r="AJ12" s="35">
        <v>0</v>
      </c>
      <c r="AK12" s="36">
        <v>0</v>
      </c>
      <c r="AL12" s="38">
        <v>0</v>
      </c>
      <c r="AM12" s="35">
        <v>0</v>
      </c>
      <c r="AN12" s="19">
        <v>0</v>
      </c>
      <c r="AO12" s="23">
        <v>0</v>
      </c>
      <c r="AP12" s="24">
        <v>0</v>
      </c>
      <c r="AQ12" s="58">
        <f t="shared" si="2"/>
        <v>2.16</v>
      </c>
      <c r="AR12" s="59">
        <f t="shared" si="3"/>
        <v>5400</v>
      </c>
      <c r="AS12" s="35">
        <v>3</v>
      </c>
    </row>
    <row r="13" spans="1:45" ht="15.6" x14ac:dyDescent="0.3">
      <c r="A13" s="53">
        <v>10</v>
      </c>
      <c r="B13" s="54" t="s">
        <v>23</v>
      </c>
      <c r="C13" s="55" t="s">
        <v>34</v>
      </c>
      <c r="D13" s="348"/>
      <c r="E13" s="53"/>
      <c r="F13" s="56"/>
      <c r="G13" s="53"/>
      <c r="H13" s="56"/>
      <c r="I13" s="57"/>
      <c r="J13" s="53"/>
      <c r="K13" s="56"/>
      <c r="L13" s="57"/>
      <c r="M13" s="58"/>
      <c r="N13" s="56"/>
      <c r="O13" s="57"/>
      <c r="P13" s="58">
        <f t="shared" si="0"/>
        <v>0</v>
      </c>
      <c r="Q13" s="59">
        <f t="shared" si="1"/>
        <v>0</v>
      </c>
      <c r="R13" s="35">
        <v>0</v>
      </c>
      <c r="S13" s="19">
        <v>0</v>
      </c>
      <c r="T13" s="23">
        <v>0</v>
      </c>
      <c r="U13" s="24">
        <v>0</v>
      </c>
      <c r="V13" s="33">
        <v>0</v>
      </c>
      <c r="W13" s="34">
        <v>0</v>
      </c>
      <c r="X13" s="35">
        <v>0</v>
      </c>
      <c r="Y13" s="19">
        <v>0</v>
      </c>
      <c r="Z13" s="23">
        <v>0</v>
      </c>
      <c r="AA13" s="24">
        <v>0</v>
      </c>
      <c r="AB13" s="33">
        <v>0</v>
      </c>
      <c r="AC13" s="34">
        <v>0</v>
      </c>
      <c r="AD13" s="35">
        <v>0</v>
      </c>
      <c r="AE13" s="36">
        <v>0</v>
      </c>
      <c r="AF13" s="23">
        <v>0</v>
      </c>
      <c r="AG13" s="24">
        <v>0</v>
      </c>
      <c r="AH13" s="33">
        <v>0</v>
      </c>
      <c r="AI13" s="37">
        <v>0</v>
      </c>
      <c r="AJ13" s="35">
        <v>0</v>
      </c>
      <c r="AK13" s="36">
        <v>0</v>
      </c>
      <c r="AL13" s="38">
        <v>0</v>
      </c>
      <c r="AM13" s="35">
        <v>0</v>
      </c>
      <c r="AN13" s="19">
        <v>0</v>
      </c>
      <c r="AO13" s="23">
        <v>0</v>
      </c>
      <c r="AP13" s="24">
        <v>0</v>
      </c>
      <c r="AQ13" s="58">
        <f t="shared" si="2"/>
        <v>0</v>
      </c>
      <c r="AR13" s="59">
        <f t="shared" si="3"/>
        <v>0</v>
      </c>
      <c r="AS13" s="35">
        <v>0</v>
      </c>
    </row>
    <row r="14" spans="1:45" ht="15.6" x14ac:dyDescent="0.3">
      <c r="A14" s="53">
        <v>11</v>
      </c>
      <c r="B14" s="54" t="s">
        <v>23</v>
      </c>
      <c r="C14" s="55" t="s">
        <v>35</v>
      </c>
      <c r="D14" s="348"/>
      <c r="E14" s="53"/>
      <c r="F14" s="56"/>
      <c r="G14" s="53"/>
      <c r="H14" s="56"/>
      <c r="I14" s="57"/>
      <c r="J14" s="53"/>
      <c r="K14" s="56"/>
      <c r="L14" s="57"/>
      <c r="M14" s="58"/>
      <c r="N14" s="56"/>
      <c r="O14" s="57"/>
      <c r="P14" s="58">
        <f t="shared" si="0"/>
        <v>0.72</v>
      </c>
      <c r="Q14" s="59">
        <f t="shared" si="1"/>
        <v>1800</v>
      </c>
      <c r="R14" s="35">
        <v>1</v>
      </c>
      <c r="S14" s="19">
        <v>0</v>
      </c>
      <c r="T14" s="23">
        <v>0</v>
      </c>
      <c r="U14" s="24">
        <v>0</v>
      </c>
      <c r="V14" s="33">
        <v>0</v>
      </c>
      <c r="W14" s="34">
        <v>0</v>
      </c>
      <c r="X14" s="35">
        <v>0</v>
      </c>
      <c r="Y14" s="19">
        <v>0</v>
      </c>
      <c r="Z14" s="23">
        <v>0</v>
      </c>
      <c r="AA14" s="24">
        <v>0</v>
      </c>
      <c r="AB14" s="33">
        <v>0</v>
      </c>
      <c r="AC14" s="34">
        <v>0</v>
      </c>
      <c r="AD14" s="35">
        <v>0</v>
      </c>
      <c r="AE14" s="36">
        <v>0</v>
      </c>
      <c r="AF14" s="23">
        <v>0</v>
      </c>
      <c r="AG14" s="24">
        <v>0</v>
      </c>
      <c r="AH14" s="33">
        <v>0</v>
      </c>
      <c r="AI14" s="37">
        <v>0</v>
      </c>
      <c r="AJ14" s="35">
        <v>0</v>
      </c>
      <c r="AK14" s="36">
        <v>0</v>
      </c>
      <c r="AL14" s="38">
        <v>0</v>
      </c>
      <c r="AM14" s="35">
        <v>0</v>
      </c>
      <c r="AN14" s="19">
        <v>0</v>
      </c>
      <c r="AO14" s="23">
        <v>0</v>
      </c>
      <c r="AP14" s="24">
        <v>0</v>
      </c>
      <c r="AQ14" s="58">
        <f t="shared" si="2"/>
        <v>0.72</v>
      </c>
      <c r="AR14" s="59">
        <f t="shared" si="3"/>
        <v>1800</v>
      </c>
      <c r="AS14" s="35">
        <v>1</v>
      </c>
    </row>
    <row r="15" spans="1:45" ht="15.6" x14ac:dyDescent="0.3">
      <c r="A15" s="53">
        <v>12</v>
      </c>
      <c r="B15" s="54" t="s">
        <v>23</v>
      </c>
      <c r="C15" s="55" t="s">
        <v>36</v>
      </c>
      <c r="D15" s="348"/>
      <c r="E15" s="53"/>
      <c r="F15" s="56"/>
      <c r="G15" s="53"/>
      <c r="H15" s="56"/>
      <c r="I15" s="57"/>
      <c r="J15" s="53"/>
      <c r="K15" s="56"/>
      <c r="L15" s="57"/>
      <c r="M15" s="58"/>
      <c r="N15" s="56"/>
      <c r="O15" s="57"/>
      <c r="P15" s="58">
        <f t="shared" si="0"/>
        <v>0</v>
      </c>
      <c r="Q15" s="59">
        <f t="shared" si="1"/>
        <v>0</v>
      </c>
      <c r="R15" s="35">
        <v>0</v>
      </c>
      <c r="S15" s="19">
        <v>0</v>
      </c>
      <c r="T15" s="23">
        <v>0</v>
      </c>
      <c r="U15" s="24">
        <v>0</v>
      </c>
      <c r="V15" s="33">
        <v>0</v>
      </c>
      <c r="W15" s="34">
        <v>0</v>
      </c>
      <c r="X15" s="35">
        <v>0</v>
      </c>
      <c r="Y15" s="19">
        <v>0</v>
      </c>
      <c r="Z15" s="23">
        <v>0</v>
      </c>
      <c r="AA15" s="24">
        <v>0</v>
      </c>
      <c r="AB15" s="33">
        <v>0</v>
      </c>
      <c r="AC15" s="34">
        <v>0</v>
      </c>
      <c r="AD15" s="35">
        <v>0</v>
      </c>
      <c r="AE15" s="36">
        <v>0</v>
      </c>
      <c r="AF15" s="23">
        <v>0</v>
      </c>
      <c r="AG15" s="24">
        <v>0</v>
      </c>
      <c r="AH15" s="33">
        <v>0</v>
      </c>
      <c r="AI15" s="37">
        <v>0</v>
      </c>
      <c r="AJ15" s="35">
        <v>0</v>
      </c>
      <c r="AK15" s="36">
        <v>0</v>
      </c>
      <c r="AL15" s="38">
        <v>0</v>
      </c>
      <c r="AM15" s="35">
        <v>0</v>
      </c>
      <c r="AN15" s="19">
        <v>0</v>
      </c>
      <c r="AO15" s="23">
        <v>0</v>
      </c>
      <c r="AP15" s="24">
        <v>0</v>
      </c>
      <c r="AQ15" s="58">
        <f t="shared" si="2"/>
        <v>0</v>
      </c>
      <c r="AR15" s="59">
        <f t="shared" si="3"/>
        <v>0</v>
      </c>
      <c r="AS15" s="35">
        <v>0</v>
      </c>
    </row>
    <row r="16" spans="1:45" ht="15.6" x14ac:dyDescent="0.3">
      <c r="A16" s="53">
        <v>13</v>
      </c>
      <c r="B16" s="54" t="s">
        <v>23</v>
      </c>
      <c r="C16" s="55" t="s">
        <v>37</v>
      </c>
      <c r="D16" s="348"/>
      <c r="E16" s="53"/>
      <c r="F16" s="56"/>
      <c r="G16" s="53"/>
      <c r="H16" s="56"/>
      <c r="I16" s="57"/>
      <c r="J16" s="53"/>
      <c r="K16" s="56"/>
      <c r="L16" s="57"/>
      <c r="M16" s="58"/>
      <c r="N16" s="56"/>
      <c r="O16" s="57"/>
      <c r="P16" s="58">
        <f t="shared" si="0"/>
        <v>2.16</v>
      </c>
      <c r="Q16" s="59">
        <f t="shared" si="1"/>
        <v>5400</v>
      </c>
      <c r="R16" s="35">
        <v>3</v>
      </c>
      <c r="S16" s="19">
        <v>0</v>
      </c>
      <c r="T16" s="23">
        <v>0</v>
      </c>
      <c r="U16" s="24">
        <v>0</v>
      </c>
      <c r="V16" s="33">
        <v>0</v>
      </c>
      <c r="W16" s="34">
        <v>0</v>
      </c>
      <c r="X16" s="35">
        <v>0</v>
      </c>
      <c r="Y16" s="19">
        <v>0</v>
      </c>
      <c r="Z16" s="23">
        <v>0</v>
      </c>
      <c r="AA16" s="24">
        <v>0</v>
      </c>
      <c r="AB16" s="33">
        <v>0</v>
      </c>
      <c r="AC16" s="34">
        <v>0</v>
      </c>
      <c r="AD16" s="35">
        <v>0</v>
      </c>
      <c r="AE16" s="36">
        <v>0</v>
      </c>
      <c r="AF16" s="23">
        <v>0</v>
      </c>
      <c r="AG16" s="24">
        <v>0</v>
      </c>
      <c r="AH16" s="33">
        <v>0</v>
      </c>
      <c r="AI16" s="37">
        <v>0</v>
      </c>
      <c r="AJ16" s="35">
        <v>0</v>
      </c>
      <c r="AK16" s="36">
        <v>0</v>
      </c>
      <c r="AL16" s="38">
        <v>0</v>
      </c>
      <c r="AM16" s="35">
        <v>0</v>
      </c>
      <c r="AN16" s="19">
        <v>0</v>
      </c>
      <c r="AO16" s="23">
        <v>0</v>
      </c>
      <c r="AP16" s="24">
        <v>0</v>
      </c>
      <c r="AQ16" s="58">
        <f t="shared" si="2"/>
        <v>2.16</v>
      </c>
      <c r="AR16" s="59">
        <f t="shared" si="3"/>
        <v>5400</v>
      </c>
      <c r="AS16" s="35">
        <v>3</v>
      </c>
    </row>
    <row r="17" spans="1:45" ht="15.6" x14ac:dyDescent="0.3">
      <c r="A17" s="53">
        <v>14</v>
      </c>
      <c r="B17" s="54" t="s">
        <v>23</v>
      </c>
      <c r="C17" s="55" t="s">
        <v>38</v>
      </c>
      <c r="D17" s="348"/>
      <c r="E17" s="53"/>
      <c r="F17" s="56"/>
      <c r="G17" s="53"/>
      <c r="H17" s="56"/>
      <c r="I17" s="57"/>
      <c r="J17" s="53"/>
      <c r="K17" s="56"/>
      <c r="L17" s="57"/>
      <c r="M17" s="58"/>
      <c r="N17" s="56"/>
      <c r="O17" s="57"/>
      <c r="P17" s="58">
        <f t="shared" si="0"/>
        <v>2.16</v>
      </c>
      <c r="Q17" s="59">
        <f t="shared" si="1"/>
        <v>5400</v>
      </c>
      <c r="R17" s="35">
        <v>3</v>
      </c>
      <c r="S17" s="19">
        <v>0</v>
      </c>
      <c r="T17" s="23">
        <v>0</v>
      </c>
      <c r="U17" s="24">
        <v>0</v>
      </c>
      <c r="V17" s="33">
        <v>0</v>
      </c>
      <c r="W17" s="34">
        <v>0</v>
      </c>
      <c r="X17" s="35">
        <v>0</v>
      </c>
      <c r="Y17" s="19">
        <v>0</v>
      </c>
      <c r="Z17" s="23">
        <v>0</v>
      </c>
      <c r="AA17" s="24">
        <v>0</v>
      </c>
      <c r="AB17" s="33">
        <v>0</v>
      </c>
      <c r="AC17" s="34">
        <v>0</v>
      </c>
      <c r="AD17" s="35">
        <v>0</v>
      </c>
      <c r="AE17" s="36">
        <v>0</v>
      </c>
      <c r="AF17" s="23">
        <v>0</v>
      </c>
      <c r="AG17" s="24">
        <v>0</v>
      </c>
      <c r="AH17" s="33">
        <v>0</v>
      </c>
      <c r="AI17" s="37">
        <v>0</v>
      </c>
      <c r="AJ17" s="35">
        <v>0</v>
      </c>
      <c r="AK17" s="36">
        <v>0</v>
      </c>
      <c r="AL17" s="38">
        <v>0</v>
      </c>
      <c r="AM17" s="35">
        <v>0</v>
      </c>
      <c r="AN17" s="19">
        <v>0</v>
      </c>
      <c r="AO17" s="23">
        <v>0</v>
      </c>
      <c r="AP17" s="24">
        <v>0</v>
      </c>
      <c r="AQ17" s="58">
        <f t="shared" si="2"/>
        <v>2.16</v>
      </c>
      <c r="AR17" s="59">
        <f t="shared" si="3"/>
        <v>5400</v>
      </c>
      <c r="AS17" s="35">
        <v>3</v>
      </c>
    </row>
    <row r="18" spans="1:45" ht="15.6" x14ac:dyDescent="0.3">
      <c r="A18" s="53">
        <v>15</v>
      </c>
      <c r="B18" s="54" t="s">
        <v>23</v>
      </c>
      <c r="C18" s="55" t="s">
        <v>39</v>
      </c>
      <c r="D18" s="348"/>
      <c r="E18" s="53"/>
      <c r="F18" s="56"/>
      <c r="G18" s="53"/>
      <c r="H18" s="56"/>
      <c r="I18" s="57"/>
      <c r="J18" s="53"/>
      <c r="K18" s="56"/>
      <c r="L18" s="57"/>
      <c r="M18" s="58"/>
      <c r="N18" s="56"/>
      <c r="O18" s="57"/>
      <c r="P18" s="58">
        <f t="shared" si="0"/>
        <v>0</v>
      </c>
      <c r="Q18" s="59">
        <f t="shared" si="1"/>
        <v>0</v>
      </c>
      <c r="R18" s="35">
        <v>0</v>
      </c>
      <c r="S18" s="19">
        <v>0</v>
      </c>
      <c r="T18" s="23">
        <v>0</v>
      </c>
      <c r="U18" s="24">
        <v>0</v>
      </c>
      <c r="V18" s="33">
        <v>0</v>
      </c>
      <c r="W18" s="34">
        <v>0</v>
      </c>
      <c r="X18" s="35">
        <v>0</v>
      </c>
      <c r="Y18" s="19">
        <v>0</v>
      </c>
      <c r="Z18" s="23">
        <v>0</v>
      </c>
      <c r="AA18" s="24">
        <v>0</v>
      </c>
      <c r="AB18" s="33">
        <v>0</v>
      </c>
      <c r="AC18" s="34">
        <v>0</v>
      </c>
      <c r="AD18" s="35">
        <v>0</v>
      </c>
      <c r="AE18" s="36">
        <v>0</v>
      </c>
      <c r="AF18" s="23">
        <v>0</v>
      </c>
      <c r="AG18" s="24">
        <v>0</v>
      </c>
      <c r="AH18" s="33">
        <v>0</v>
      </c>
      <c r="AI18" s="37">
        <v>0</v>
      </c>
      <c r="AJ18" s="35">
        <v>0</v>
      </c>
      <c r="AK18" s="36">
        <v>0</v>
      </c>
      <c r="AL18" s="38">
        <v>0</v>
      </c>
      <c r="AM18" s="35">
        <v>0</v>
      </c>
      <c r="AN18" s="19">
        <v>0</v>
      </c>
      <c r="AO18" s="23">
        <v>0</v>
      </c>
      <c r="AP18" s="24">
        <v>0</v>
      </c>
      <c r="AQ18" s="58">
        <f t="shared" si="2"/>
        <v>0</v>
      </c>
      <c r="AR18" s="59">
        <f t="shared" si="3"/>
        <v>0</v>
      </c>
      <c r="AS18" s="35">
        <v>0</v>
      </c>
    </row>
    <row r="19" spans="1:45" ht="15.6" x14ac:dyDescent="0.3">
      <c r="A19" s="53">
        <v>16</v>
      </c>
      <c r="B19" s="54" t="s">
        <v>23</v>
      </c>
      <c r="C19" s="55" t="s">
        <v>40</v>
      </c>
      <c r="D19" s="348"/>
      <c r="E19" s="53"/>
      <c r="F19" s="56"/>
      <c r="G19" s="53"/>
      <c r="H19" s="56"/>
      <c r="I19" s="57"/>
      <c r="J19" s="53"/>
      <c r="K19" s="56"/>
      <c r="L19" s="57"/>
      <c r="M19" s="58"/>
      <c r="N19" s="56"/>
      <c r="O19" s="57"/>
      <c r="P19" s="58">
        <f t="shared" si="0"/>
        <v>0</v>
      </c>
      <c r="Q19" s="59">
        <f t="shared" si="1"/>
        <v>0</v>
      </c>
      <c r="R19" s="35">
        <v>0</v>
      </c>
      <c r="S19" s="19">
        <v>0</v>
      </c>
      <c r="T19" s="23">
        <v>0</v>
      </c>
      <c r="U19" s="24">
        <v>0</v>
      </c>
      <c r="V19" s="33">
        <v>0</v>
      </c>
      <c r="W19" s="34">
        <v>0</v>
      </c>
      <c r="X19" s="35">
        <v>0</v>
      </c>
      <c r="Y19" s="19">
        <v>0</v>
      </c>
      <c r="Z19" s="23">
        <v>0</v>
      </c>
      <c r="AA19" s="24">
        <v>0</v>
      </c>
      <c r="AB19" s="33">
        <v>0</v>
      </c>
      <c r="AC19" s="34">
        <v>0</v>
      </c>
      <c r="AD19" s="35">
        <v>0</v>
      </c>
      <c r="AE19" s="36">
        <v>0</v>
      </c>
      <c r="AF19" s="23">
        <v>0</v>
      </c>
      <c r="AG19" s="24">
        <v>0</v>
      </c>
      <c r="AH19" s="33">
        <v>0</v>
      </c>
      <c r="AI19" s="37">
        <v>0</v>
      </c>
      <c r="AJ19" s="35">
        <v>0</v>
      </c>
      <c r="AK19" s="36">
        <v>0</v>
      </c>
      <c r="AL19" s="38">
        <v>0</v>
      </c>
      <c r="AM19" s="35">
        <v>0</v>
      </c>
      <c r="AN19" s="19">
        <v>0</v>
      </c>
      <c r="AO19" s="23">
        <v>0</v>
      </c>
      <c r="AP19" s="24">
        <v>0</v>
      </c>
      <c r="AQ19" s="58">
        <f t="shared" si="2"/>
        <v>0</v>
      </c>
      <c r="AR19" s="59">
        <f t="shared" si="3"/>
        <v>0</v>
      </c>
      <c r="AS19" s="35">
        <v>0</v>
      </c>
    </row>
    <row r="20" spans="1:45" ht="15.6" x14ac:dyDescent="0.3">
      <c r="A20" s="53">
        <v>17</v>
      </c>
      <c r="B20" s="55" t="s">
        <v>23</v>
      </c>
      <c r="C20" s="54" t="s">
        <v>41</v>
      </c>
      <c r="D20" s="348"/>
      <c r="E20" s="53"/>
      <c r="F20" s="56"/>
      <c r="G20" s="53"/>
      <c r="H20" s="56"/>
      <c r="I20" s="57"/>
      <c r="J20" s="53"/>
      <c r="K20" s="56"/>
      <c r="L20" s="57"/>
      <c r="M20" s="58"/>
      <c r="N20" s="56"/>
      <c r="O20" s="57"/>
      <c r="P20" s="58">
        <f t="shared" si="0"/>
        <v>0</v>
      </c>
      <c r="Q20" s="59">
        <f t="shared" si="1"/>
        <v>0</v>
      </c>
      <c r="R20" s="35">
        <v>0</v>
      </c>
      <c r="S20" s="19">
        <v>0</v>
      </c>
      <c r="T20" s="23">
        <v>0</v>
      </c>
      <c r="U20" s="24">
        <v>0</v>
      </c>
      <c r="V20" s="33">
        <v>0</v>
      </c>
      <c r="W20" s="34">
        <v>0</v>
      </c>
      <c r="X20" s="35">
        <v>0</v>
      </c>
      <c r="Y20" s="19">
        <v>0</v>
      </c>
      <c r="Z20" s="23">
        <v>0</v>
      </c>
      <c r="AA20" s="24">
        <v>0</v>
      </c>
      <c r="AB20" s="33">
        <v>0</v>
      </c>
      <c r="AC20" s="34">
        <v>0</v>
      </c>
      <c r="AD20" s="35">
        <v>0</v>
      </c>
      <c r="AE20" s="36">
        <v>0</v>
      </c>
      <c r="AF20" s="23">
        <v>0</v>
      </c>
      <c r="AG20" s="24">
        <v>0</v>
      </c>
      <c r="AH20" s="33">
        <v>0</v>
      </c>
      <c r="AI20" s="37">
        <v>0</v>
      </c>
      <c r="AJ20" s="35">
        <v>0</v>
      </c>
      <c r="AK20" s="36">
        <v>0</v>
      </c>
      <c r="AL20" s="38">
        <v>0</v>
      </c>
      <c r="AM20" s="35">
        <v>0</v>
      </c>
      <c r="AN20" s="19">
        <v>0</v>
      </c>
      <c r="AO20" s="23">
        <v>0</v>
      </c>
      <c r="AP20" s="24">
        <v>0</v>
      </c>
      <c r="AQ20" s="58">
        <f t="shared" si="2"/>
        <v>0</v>
      </c>
      <c r="AR20" s="59">
        <f t="shared" si="3"/>
        <v>0</v>
      </c>
      <c r="AS20" s="35">
        <v>0</v>
      </c>
    </row>
    <row r="21" spans="1:45" ht="15.6" x14ac:dyDescent="0.3">
      <c r="A21" s="53">
        <v>18</v>
      </c>
      <c r="B21" s="55" t="s">
        <v>42</v>
      </c>
      <c r="C21" s="54" t="s">
        <v>43</v>
      </c>
      <c r="D21" s="348" t="s">
        <v>25</v>
      </c>
      <c r="E21" s="53"/>
      <c r="F21" s="56"/>
      <c r="G21" s="53"/>
      <c r="H21" s="56"/>
      <c r="I21" s="57"/>
      <c r="J21" s="53"/>
      <c r="K21" s="56"/>
      <c r="L21" s="57"/>
      <c r="M21" s="58"/>
      <c r="N21" s="56"/>
      <c r="O21" s="57"/>
      <c r="P21" s="58">
        <f t="shared" si="0"/>
        <v>5.04</v>
      </c>
      <c r="Q21" s="59">
        <f t="shared" si="1"/>
        <v>12600</v>
      </c>
      <c r="R21" s="35">
        <v>7</v>
      </c>
      <c r="S21" s="19">
        <v>0</v>
      </c>
      <c r="T21" s="23">
        <v>0</v>
      </c>
      <c r="U21" s="24">
        <v>0</v>
      </c>
      <c r="V21" s="33">
        <v>0</v>
      </c>
      <c r="W21" s="34">
        <v>0</v>
      </c>
      <c r="X21" s="35">
        <v>0</v>
      </c>
      <c r="Y21" s="19">
        <v>0</v>
      </c>
      <c r="Z21" s="23">
        <v>0</v>
      </c>
      <c r="AA21" s="24">
        <v>0</v>
      </c>
      <c r="AB21" s="33">
        <v>0</v>
      </c>
      <c r="AC21" s="34">
        <v>0</v>
      </c>
      <c r="AD21" s="35">
        <v>0</v>
      </c>
      <c r="AE21" s="36">
        <v>0</v>
      </c>
      <c r="AF21" s="23">
        <v>0</v>
      </c>
      <c r="AG21" s="24">
        <v>0</v>
      </c>
      <c r="AH21" s="33">
        <v>0</v>
      </c>
      <c r="AI21" s="37">
        <v>0</v>
      </c>
      <c r="AJ21" s="35">
        <v>0</v>
      </c>
      <c r="AK21" s="36">
        <v>0</v>
      </c>
      <c r="AL21" s="38">
        <v>0</v>
      </c>
      <c r="AM21" s="35">
        <v>0</v>
      </c>
      <c r="AN21" s="19">
        <v>0</v>
      </c>
      <c r="AO21" s="23">
        <v>0</v>
      </c>
      <c r="AP21" s="24">
        <v>0</v>
      </c>
      <c r="AQ21" s="58">
        <f t="shared" si="2"/>
        <v>5.04</v>
      </c>
      <c r="AR21" s="59">
        <f t="shared" si="3"/>
        <v>12600</v>
      </c>
      <c r="AS21" s="35">
        <v>7</v>
      </c>
    </row>
    <row r="22" spans="1:45" ht="15.6" x14ac:dyDescent="0.3">
      <c r="A22" s="53">
        <v>19</v>
      </c>
      <c r="B22" s="55" t="s">
        <v>42</v>
      </c>
      <c r="C22" s="54" t="s">
        <v>44</v>
      </c>
      <c r="D22" s="348"/>
      <c r="E22" s="53"/>
      <c r="F22" s="56"/>
      <c r="G22" s="53"/>
      <c r="H22" s="56"/>
      <c r="I22" s="57"/>
      <c r="J22" s="53"/>
      <c r="K22" s="56"/>
      <c r="L22" s="57"/>
      <c r="M22" s="58"/>
      <c r="N22" s="56"/>
      <c r="O22" s="57"/>
      <c r="P22" s="58">
        <f t="shared" si="0"/>
        <v>5.76</v>
      </c>
      <c r="Q22" s="59">
        <f t="shared" si="1"/>
        <v>14400</v>
      </c>
      <c r="R22" s="35">
        <v>8</v>
      </c>
      <c r="S22" s="19">
        <v>0</v>
      </c>
      <c r="T22" s="23">
        <v>0</v>
      </c>
      <c r="U22" s="24">
        <v>0</v>
      </c>
      <c r="V22" s="33">
        <v>0</v>
      </c>
      <c r="W22" s="34">
        <v>0</v>
      </c>
      <c r="X22" s="35">
        <v>0</v>
      </c>
      <c r="Y22" s="19">
        <v>0</v>
      </c>
      <c r="Z22" s="23">
        <v>0</v>
      </c>
      <c r="AA22" s="24">
        <v>0</v>
      </c>
      <c r="AB22" s="33">
        <v>0</v>
      </c>
      <c r="AC22" s="34">
        <v>0</v>
      </c>
      <c r="AD22" s="35">
        <v>0</v>
      </c>
      <c r="AE22" s="36">
        <v>0</v>
      </c>
      <c r="AF22" s="23">
        <v>0</v>
      </c>
      <c r="AG22" s="24">
        <v>0</v>
      </c>
      <c r="AH22" s="33">
        <v>0</v>
      </c>
      <c r="AI22" s="37">
        <v>0</v>
      </c>
      <c r="AJ22" s="35">
        <v>0</v>
      </c>
      <c r="AK22" s="36">
        <v>0</v>
      </c>
      <c r="AL22" s="38">
        <v>0</v>
      </c>
      <c r="AM22" s="35">
        <v>0</v>
      </c>
      <c r="AN22" s="19">
        <v>0</v>
      </c>
      <c r="AO22" s="23">
        <v>0</v>
      </c>
      <c r="AP22" s="24">
        <v>0</v>
      </c>
      <c r="AQ22" s="58">
        <f t="shared" si="2"/>
        <v>5.76</v>
      </c>
      <c r="AR22" s="59">
        <f t="shared" si="3"/>
        <v>14400</v>
      </c>
      <c r="AS22" s="35">
        <v>8</v>
      </c>
    </row>
    <row r="23" spans="1:45" ht="15.6" x14ac:dyDescent="0.3">
      <c r="A23" s="53">
        <v>20</v>
      </c>
      <c r="B23" s="55" t="s">
        <v>42</v>
      </c>
      <c r="C23" s="54" t="s">
        <v>45</v>
      </c>
      <c r="D23" s="348"/>
      <c r="E23" s="53"/>
      <c r="F23" s="56"/>
      <c r="G23" s="53"/>
      <c r="H23" s="56"/>
      <c r="I23" s="57"/>
      <c r="J23" s="53"/>
      <c r="K23" s="56"/>
      <c r="L23" s="57"/>
      <c r="M23" s="58"/>
      <c r="N23" s="56"/>
      <c r="O23" s="57"/>
      <c r="P23" s="58">
        <f t="shared" si="0"/>
        <v>8.64</v>
      </c>
      <c r="Q23" s="59">
        <f t="shared" si="1"/>
        <v>21600</v>
      </c>
      <c r="R23" s="35">
        <v>12</v>
      </c>
      <c r="S23" s="19">
        <v>0</v>
      </c>
      <c r="T23" s="23">
        <v>0</v>
      </c>
      <c r="U23" s="24">
        <v>0</v>
      </c>
      <c r="V23" s="33">
        <v>0</v>
      </c>
      <c r="W23" s="34">
        <v>0</v>
      </c>
      <c r="X23" s="35">
        <v>0</v>
      </c>
      <c r="Y23" s="19">
        <v>0</v>
      </c>
      <c r="Z23" s="23">
        <v>0</v>
      </c>
      <c r="AA23" s="24">
        <v>0</v>
      </c>
      <c r="AB23" s="33">
        <v>0</v>
      </c>
      <c r="AC23" s="34">
        <v>0</v>
      </c>
      <c r="AD23" s="35">
        <v>0</v>
      </c>
      <c r="AE23" s="36">
        <v>0</v>
      </c>
      <c r="AF23" s="23">
        <v>0</v>
      </c>
      <c r="AG23" s="24">
        <v>0</v>
      </c>
      <c r="AH23" s="33">
        <v>0</v>
      </c>
      <c r="AI23" s="37">
        <v>0</v>
      </c>
      <c r="AJ23" s="35">
        <v>0</v>
      </c>
      <c r="AK23" s="36">
        <v>0</v>
      </c>
      <c r="AL23" s="38">
        <v>0</v>
      </c>
      <c r="AM23" s="35">
        <v>0</v>
      </c>
      <c r="AN23" s="19">
        <v>0</v>
      </c>
      <c r="AO23" s="23">
        <v>0</v>
      </c>
      <c r="AP23" s="24">
        <v>0</v>
      </c>
      <c r="AQ23" s="58">
        <f t="shared" si="2"/>
        <v>8.64</v>
      </c>
      <c r="AR23" s="59">
        <f t="shared" si="3"/>
        <v>21600</v>
      </c>
      <c r="AS23" s="35">
        <v>12</v>
      </c>
    </row>
    <row r="24" spans="1:45" ht="15.6" x14ac:dyDescent="0.3">
      <c r="A24" s="53">
        <v>21</v>
      </c>
      <c r="B24" s="55" t="s">
        <v>42</v>
      </c>
      <c r="C24" s="54" t="s">
        <v>46</v>
      </c>
      <c r="D24" s="348"/>
      <c r="E24" s="53"/>
      <c r="F24" s="56"/>
      <c r="G24" s="53"/>
      <c r="H24" s="56"/>
      <c r="I24" s="57"/>
      <c r="J24" s="53"/>
      <c r="K24" s="56"/>
      <c r="L24" s="57"/>
      <c r="M24" s="58"/>
      <c r="N24" s="56"/>
      <c r="O24" s="57"/>
      <c r="P24" s="58">
        <f t="shared" si="0"/>
        <v>7.92</v>
      </c>
      <c r="Q24" s="59">
        <f t="shared" si="1"/>
        <v>19800</v>
      </c>
      <c r="R24" s="35">
        <v>11</v>
      </c>
      <c r="S24" s="19">
        <v>0</v>
      </c>
      <c r="T24" s="23">
        <v>0</v>
      </c>
      <c r="U24" s="24">
        <v>0</v>
      </c>
      <c r="V24" s="33">
        <v>0</v>
      </c>
      <c r="W24" s="34">
        <v>0</v>
      </c>
      <c r="X24" s="35">
        <v>0</v>
      </c>
      <c r="Y24" s="19">
        <v>0</v>
      </c>
      <c r="Z24" s="23">
        <v>0</v>
      </c>
      <c r="AA24" s="24">
        <v>0</v>
      </c>
      <c r="AB24" s="33">
        <v>0</v>
      </c>
      <c r="AC24" s="34">
        <v>0</v>
      </c>
      <c r="AD24" s="35">
        <v>0</v>
      </c>
      <c r="AE24" s="36">
        <v>0</v>
      </c>
      <c r="AF24" s="23">
        <v>0</v>
      </c>
      <c r="AG24" s="24">
        <v>0</v>
      </c>
      <c r="AH24" s="33">
        <v>0</v>
      </c>
      <c r="AI24" s="37">
        <v>0</v>
      </c>
      <c r="AJ24" s="35">
        <v>0</v>
      </c>
      <c r="AK24" s="36">
        <v>0</v>
      </c>
      <c r="AL24" s="38">
        <v>0</v>
      </c>
      <c r="AM24" s="35">
        <v>0</v>
      </c>
      <c r="AN24" s="19">
        <v>0</v>
      </c>
      <c r="AO24" s="23">
        <v>0</v>
      </c>
      <c r="AP24" s="24">
        <v>0</v>
      </c>
      <c r="AQ24" s="58">
        <f t="shared" si="2"/>
        <v>7.92</v>
      </c>
      <c r="AR24" s="59">
        <f t="shared" si="3"/>
        <v>19800</v>
      </c>
      <c r="AS24" s="35">
        <v>11</v>
      </c>
    </row>
    <row r="25" spans="1:45" ht="15.6" x14ac:dyDescent="0.3">
      <c r="A25" s="53">
        <v>22</v>
      </c>
      <c r="B25" s="55" t="s">
        <v>42</v>
      </c>
      <c r="C25" s="54" t="s">
        <v>47</v>
      </c>
      <c r="D25" s="348"/>
      <c r="E25" s="53"/>
      <c r="F25" s="56"/>
      <c r="G25" s="53"/>
      <c r="H25" s="56"/>
      <c r="I25" s="57"/>
      <c r="J25" s="53"/>
      <c r="K25" s="56"/>
      <c r="L25" s="57"/>
      <c r="M25" s="58"/>
      <c r="N25" s="56"/>
      <c r="O25" s="57"/>
      <c r="P25" s="58">
        <f t="shared" si="0"/>
        <v>1.44</v>
      </c>
      <c r="Q25" s="59">
        <f t="shared" si="1"/>
        <v>3600</v>
      </c>
      <c r="R25" s="35">
        <v>2</v>
      </c>
      <c r="S25" s="19">
        <v>0</v>
      </c>
      <c r="T25" s="23">
        <v>0</v>
      </c>
      <c r="U25" s="24">
        <v>0</v>
      </c>
      <c r="V25" s="33">
        <v>0</v>
      </c>
      <c r="W25" s="34">
        <v>0</v>
      </c>
      <c r="X25" s="35">
        <v>0</v>
      </c>
      <c r="Y25" s="19">
        <v>0</v>
      </c>
      <c r="Z25" s="23">
        <v>0</v>
      </c>
      <c r="AA25" s="24">
        <v>0</v>
      </c>
      <c r="AB25" s="33">
        <v>0</v>
      </c>
      <c r="AC25" s="34">
        <v>0</v>
      </c>
      <c r="AD25" s="35">
        <v>0</v>
      </c>
      <c r="AE25" s="36">
        <v>0</v>
      </c>
      <c r="AF25" s="23">
        <v>0</v>
      </c>
      <c r="AG25" s="24">
        <v>0</v>
      </c>
      <c r="AH25" s="33">
        <v>0</v>
      </c>
      <c r="AI25" s="37">
        <v>0</v>
      </c>
      <c r="AJ25" s="35">
        <v>0</v>
      </c>
      <c r="AK25" s="36">
        <v>0</v>
      </c>
      <c r="AL25" s="38">
        <v>0</v>
      </c>
      <c r="AM25" s="35">
        <v>0</v>
      </c>
      <c r="AN25" s="19">
        <v>0</v>
      </c>
      <c r="AO25" s="23">
        <v>0</v>
      </c>
      <c r="AP25" s="24">
        <v>0</v>
      </c>
      <c r="AQ25" s="58">
        <f t="shared" si="2"/>
        <v>1.44</v>
      </c>
      <c r="AR25" s="59">
        <f t="shared" si="3"/>
        <v>3600</v>
      </c>
      <c r="AS25" s="35">
        <v>2</v>
      </c>
    </row>
    <row r="26" spans="1:45" ht="15.6" x14ac:dyDescent="0.3">
      <c r="A26" s="53">
        <v>23</v>
      </c>
      <c r="B26" s="55" t="s">
        <v>42</v>
      </c>
      <c r="C26" s="54" t="s">
        <v>48</v>
      </c>
      <c r="D26" s="348"/>
      <c r="E26" s="53"/>
      <c r="F26" s="56"/>
      <c r="G26" s="53"/>
      <c r="H26" s="56"/>
      <c r="I26" s="57"/>
      <c r="J26" s="53"/>
      <c r="K26" s="56"/>
      <c r="L26" s="57"/>
      <c r="M26" s="58"/>
      <c r="N26" s="56"/>
      <c r="O26" s="57"/>
      <c r="P26" s="58">
        <f t="shared" si="0"/>
        <v>6.48</v>
      </c>
      <c r="Q26" s="59">
        <f t="shared" si="1"/>
        <v>16200</v>
      </c>
      <c r="R26" s="35">
        <v>9</v>
      </c>
      <c r="S26" s="19">
        <v>0</v>
      </c>
      <c r="T26" s="23">
        <v>0</v>
      </c>
      <c r="U26" s="24">
        <v>0</v>
      </c>
      <c r="V26" s="33">
        <v>0</v>
      </c>
      <c r="W26" s="34">
        <v>0</v>
      </c>
      <c r="X26" s="35">
        <v>0</v>
      </c>
      <c r="Y26" s="19">
        <v>0</v>
      </c>
      <c r="Z26" s="23">
        <v>0</v>
      </c>
      <c r="AA26" s="24">
        <v>0</v>
      </c>
      <c r="AB26" s="33">
        <v>0</v>
      </c>
      <c r="AC26" s="34">
        <v>0</v>
      </c>
      <c r="AD26" s="35">
        <v>0</v>
      </c>
      <c r="AE26" s="36">
        <v>0</v>
      </c>
      <c r="AF26" s="23">
        <v>0</v>
      </c>
      <c r="AG26" s="24">
        <v>0</v>
      </c>
      <c r="AH26" s="33">
        <v>0</v>
      </c>
      <c r="AI26" s="37">
        <v>0</v>
      </c>
      <c r="AJ26" s="35">
        <v>0</v>
      </c>
      <c r="AK26" s="36">
        <v>0</v>
      </c>
      <c r="AL26" s="38">
        <v>0</v>
      </c>
      <c r="AM26" s="35">
        <v>0</v>
      </c>
      <c r="AN26" s="19">
        <v>0</v>
      </c>
      <c r="AO26" s="23">
        <v>0</v>
      </c>
      <c r="AP26" s="24">
        <v>0</v>
      </c>
      <c r="AQ26" s="58">
        <f t="shared" si="2"/>
        <v>6.48</v>
      </c>
      <c r="AR26" s="59">
        <f t="shared" si="3"/>
        <v>16200</v>
      </c>
      <c r="AS26" s="35">
        <v>9</v>
      </c>
    </row>
    <row r="27" spans="1:45" ht="15.6" x14ac:dyDescent="0.3">
      <c r="A27" s="53">
        <v>24</v>
      </c>
      <c r="B27" s="55" t="s">
        <v>42</v>
      </c>
      <c r="C27" s="54" t="s">
        <v>49</v>
      </c>
      <c r="D27" s="348"/>
      <c r="E27" s="53"/>
      <c r="F27" s="56"/>
      <c r="G27" s="53"/>
      <c r="H27" s="56"/>
      <c r="I27" s="57"/>
      <c r="J27" s="53"/>
      <c r="K27" s="56"/>
      <c r="L27" s="57"/>
      <c r="M27" s="58"/>
      <c r="N27" s="56"/>
      <c r="O27" s="57"/>
      <c r="P27" s="58">
        <f t="shared" si="0"/>
        <v>4.32</v>
      </c>
      <c r="Q27" s="59">
        <f t="shared" si="1"/>
        <v>10800</v>
      </c>
      <c r="R27" s="35">
        <v>6</v>
      </c>
      <c r="S27" s="19">
        <v>0</v>
      </c>
      <c r="T27" s="23">
        <v>0</v>
      </c>
      <c r="U27" s="24">
        <v>0</v>
      </c>
      <c r="V27" s="33">
        <v>0</v>
      </c>
      <c r="W27" s="34">
        <v>0</v>
      </c>
      <c r="X27" s="35">
        <v>0</v>
      </c>
      <c r="Y27" s="19">
        <v>0</v>
      </c>
      <c r="Z27" s="23">
        <v>0</v>
      </c>
      <c r="AA27" s="24">
        <v>0</v>
      </c>
      <c r="AB27" s="33">
        <v>0</v>
      </c>
      <c r="AC27" s="34">
        <v>0</v>
      </c>
      <c r="AD27" s="35">
        <v>0</v>
      </c>
      <c r="AE27" s="36">
        <v>0</v>
      </c>
      <c r="AF27" s="23">
        <v>0</v>
      </c>
      <c r="AG27" s="24">
        <v>0</v>
      </c>
      <c r="AH27" s="33">
        <v>0</v>
      </c>
      <c r="AI27" s="37">
        <v>0</v>
      </c>
      <c r="AJ27" s="35">
        <v>0</v>
      </c>
      <c r="AK27" s="36">
        <v>0</v>
      </c>
      <c r="AL27" s="38">
        <v>0</v>
      </c>
      <c r="AM27" s="35">
        <v>0</v>
      </c>
      <c r="AN27" s="19">
        <v>0</v>
      </c>
      <c r="AO27" s="23">
        <v>0</v>
      </c>
      <c r="AP27" s="24">
        <v>0</v>
      </c>
      <c r="AQ27" s="58">
        <f t="shared" si="2"/>
        <v>4.32</v>
      </c>
      <c r="AR27" s="59">
        <f t="shared" si="3"/>
        <v>10800</v>
      </c>
      <c r="AS27" s="35">
        <v>6</v>
      </c>
    </row>
    <row r="28" spans="1:45" ht="15.6" x14ac:dyDescent="0.3">
      <c r="A28" s="53">
        <v>25</v>
      </c>
      <c r="B28" s="55" t="s">
        <v>42</v>
      </c>
      <c r="C28" s="54" t="s">
        <v>50</v>
      </c>
      <c r="D28" s="348"/>
      <c r="E28" s="53"/>
      <c r="F28" s="56"/>
      <c r="G28" s="53"/>
      <c r="H28" s="56"/>
      <c r="I28" s="57"/>
      <c r="J28" s="53"/>
      <c r="K28" s="56"/>
      <c r="L28" s="57"/>
      <c r="M28" s="58"/>
      <c r="N28" s="56"/>
      <c r="O28" s="57"/>
      <c r="P28" s="58">
        <f t="shared" si="0"/>
        <v>3.6</v>
      </c>
      <c r="Q28" s="59">
        <f t="shared" si="1"/>
        <v>9000</v>
      </c>
      <c r="R28" s="35">
        <v>5</v>
      </c>
      <c r="S28" s="19">
        <v>0</v>
      </c>
      <c r="T28" s="23">
        <v>0</v>
      </c>
      <c r="U28" s="24">
        <v>0</v>
      </c>
      <c r="V28" s="33">
        <v>0</v>
      </c>
      <c r="W28" s="34">
        <v>0</v>
      </c>
      <c r="X28" s="35">
        <v>0</v>
      </c>
      <c r="Y28" s="19">
        <v>0</v>
      </c>
      <c r="Z28" s="23">
        <v>0</v>
      </c>
      <c r="AA28" s="24">
        <v>0</v>
      </c>
      <c r="AB28" s="33">
        <v>0</v>
      </c>
      <c r="AC28" s="34">
        <v>0</v>
      </c>
      <c r="AD28" s="35">
        <v>0</v>
      </c>
      <c r="AE28" s="36">
        <v>0</v>
      </c>
      <c r="AF28" s="23">
        <v>0</v>
      </c>
      <c r="AG28" s="24">
        <v>0</v>
      </c>
      <c r="AH28" s="33">
        <v>0</v>
      </c>
      <c r="AI28" s="37">
        <v>0</v>
      </c>
      <c r="AJ28" s="35">
        <v>0</v>
      </c>
      <c r="AK28" s="36">
        <v>0</v>
      </c>
      <c r="AL28" s="38">
        <v>0</v>
      </c>
      <c r="AM28" s="35">
        <v>0</v>
      </c>
      <c r="AN28" s="19">
        <v>0</v>
      </c>
      <c r="AO28" s="23">
        <v>0</v>
      </c>
      <c r="AP28" s="24">
        <v>0</v>
      </c>
      <c r="AQ28" s="58">
        <f t="shared" si="2"/>
        <v>3.6</v>
      </c>
      <c r="AR28" s="59">
        <f t="shared" si="3"/>
        <v>9000</v>
      </c>
      <c r="AS28" s="35">
        <v>5</v>
      </c>
    </row>
    <row r="29" spans="1:45" ht="15.6" x14ac:dyDescent="0.3">
      <c r="A29" s="53">
        <v>26</v>
      </c>
      <c r="B29" s="55" t="s">
        <v>51</v>
      </c>
      <c r="C29" s="54" t="s">
        <v>52</v>
      </c>
      <c r="D29" s="348"/>
      <c r="E29" s="53"/>
      <c r="F29" s="56"/>
      <c r="G29" s="53"/>
      <c r="H29" s="56"/>
      <c r="I29" s="57"/>
      <c r="J29" s="53"/>
      <c r="K29" s="56"/>
      <c r="L29" s="57"/>
      <c r="M29" s="58"/>
      <c r="N29" s="56"/>
      <c r="O29" s="57"/>
      <c r="P29" s="58">
        <f t="shared" si="0"/>
        <v>1.44</v>
      </c>
      <c r="Q29" s="59">
        <f t="shared" si="1"/>
        <v>3600</v>
      </c>
      <c r="R29" s="35">
        <v>2</v>
      </c>
      <c r="S29" s="19">
        <v>0</v>
      </c>
      <c r="T29" s="23">
        <v>0</v>
      </c>
      <c r="U29" s="24">
        <v>0</v>
      </c>
      <c r="V29" s="33">
        <v>0</v>
      </c>
      <c r="W29" s="34">
        <v>0</v>
      </c>
      <c r="X29" s="35">
        <v>0</v>
      </c>
      <c r="Y29" s="19">
        <v>0</v>
      </c>
      <c r="Z29" s="23">
        <v>0</v>
      </c>
      <c r="AA29" s="24">
        <v>0</v>
      </c>
      <c r="AB29" s="33">
        <v>0</v>
      </c>
      <c r="AC29" s="34">
        <v>0</v>
      </c>
      <c r="AD29" s="35">
        <v>0</v>
      </c>
      <c r="AE29" s="36">
        <v>0</v>
      </c>
      <c r="AF29" s="23">
        <v>0</v>
      </c>
      <c r="AG29" s="24">
        <v>0</v>
      </c>
      <c r="AH29" s="33">
        <v>0</v>
      </c>
      <c r="AI29" s="37">
        <v>0</v>
      </c>
      <c r="AJ29" s="35">
        <v>0</v>
      </c>
      <c r="AK29" s="36">
        <v>0</v>
      </c>
      <c r="AL29" s="38">
        <v>0</v>
      </c>
      <c r="AM29" s="35">
        <v>0</v>
      </c>
      <c r="AN29" s="19">
        <v>0</v>
      </c>
      <c r="AO29" s="23">
        <v>0</v>
      </c>
      <c r="AP29" s="24">
        <v>0</v>
      </c>
      <c r="AQ29" s="58">
        <f t="shared" si="2"/>
        <v>1.44</v>
      </c>
      <c r="AR29" s="59">
        <f t="shared" si="3"/>
        <v>3600</v>
      </c>
      <c r="AS29" s="35">
        <v>2</v>
      </c>
    </row>
    <row r="30" spans="1:45" ht="15.6" x14ac:dyDescent="0.3">
      <c r="A30" s="53">
        <v>27</v>
      </c>
      <c r="B30" s="55" t="s">
        <v>51</v>
      </c>
      <c r="C30" s="54" t="s">
        <v>51</v>
      </c>
      <c r="D30" s="348"/>
      <c r="E30" s="53"/>
      <c r="F30" s="56"/>
      <c r="G30" s="53"/>
      <c r="H30" s="56"/>
      <c r="I30" s="57"/>
      <c r="J30" s="53"/>
      <c r="K30" s="56"/>
      <c r="L30" s="57"/>
      <c r="M30" s="58"/>
      <c r="N30" s="56"/>
      <c r="O30" s="57"/>
      <c r="P30" s="58">
        <f t="shared" si="0"/>
        <v>4.32</v>
      </c>
      <c r="Q30" s="59">
        <f t="shared" si="1"/>
        <v>10800</v>
      </c>
      <c r="R30" s="35">
        <v>6</v>
      </c>
      <c r="S30" s="19">
        <v>0</v>
      </c>
      <c r="T30" s="23">
        <v>0</v>
      </c>
      <c r="U30" s="24">
        <v>0</v>
      </c>
      <c r="V30" s="33">
        <v>0</v>
      </c>
      <c r="W30" s="34">
        <v>0</v>
      </c>
      <c r="X30" s="35">
        <v>0</v>
      </c>
      <c r="Y30" s="19">
        <v>0</v>
      </c>
      <c r="Z30" s="23">
        <v>0</v>
      </c>
      <c r="AA30" s="24">
        <v>0</v>
      </c>
      <c r="AB30" s="33">
        <v>0</v>
      </c>
      <c r="AC30" s="34">
        <v>0</v>
      </c>
      <c r="AD30" s="35">
        <v>0</v>
      </c>
      <c r="AE30" s="36">
        <v>0</v>
      </c>
      <c r="AF30" s="23">
        <v>0</v>
      </c>
      <c r="AG30" s="24">
        <v>0</v>
      </c>
      <c r="AH30" s="33">
        <v>0</v>
      </c>
      <c r="AI30" s="37">
        <v>0</v>
      </c>
      <c r="AJ30" s="35">
        <v>0</v>
      </c>
      <c r="AK30" s="36">
        <v>0</v>
      </c>
      <c r="AL30" s="38">
        <v>0</v>
      </c>
      <c r="AM30" s="35">
        <v>0</v>
      </c>
      <c r="AN30" s="19">
        <v>0</v>
      </c>
      <c r="AO30" s="23">
        <v>0</v>
      </c>
      <c r="AP30" s="24">
        <v>0</v>
      </c>
      <c r="AQ30" s="58">
        <f t="shared" si="2"/>
        <v>4.32</v>
      </c>
      <c r="AR30" s="59">
        <f t="shared" si="3"/>
        <v>10800</v>
      </c>
      <c r="AS30" s="35">
        <v>6</v>
      </c>
    </row>
    <row r="31" spans="1:45" ht="15.6" x14ac:dyDescent="0.3">
      <c r="A31" s="53">
        <v>28</v>
      </c>
      <c r="B31" s="55" t="s">
        <v>51</v>
      </c>
      <c r="C31" s="54" t="s">
        <v>53</v>
      </c>
      <c r="D31" s="348"/>
      <c r="E31" s="53"/>
      <c r="F31" s="56"/>
      <c r="G31" s="53"/>
      <c r="H31" s="56"/>
      <c r="I31" s="57"/>
      <c r="J31" s="53"/>
      <c r="K31" s="56"/>
      <c r="L31" s="57"/>
      <c r="M31" s="58"/>
      <c r="N31" s="56"/>
      <c r="O31" s="57"/>
      <c r="P31" s="58">
        <f t="shared" si="0"/>
        <v>6.48</v>
      </c>
      <c r="Q31" s="59">
        <f t="shared" si="1"/>
        <v>16200</v>
      </c>
      <c r="R31" s="35">
        <v>9</v>
      </c>
      <c r="S31" s="19">
        <v>0</v>
      </c>
      <c r="T31" s="23">
        <v>0</v>
      </c>
      <c r="U31" s="24">
        <v>0</v>
      </c>
      <c r="V31" s="33">
        <v>0</v>
      </c>
      <c r="W31" s="34">
        <v>0</v>
      </c>
      <c r="X31" s="35">
        <v>0</v>
      </c>
      <c r="Y31" s="19">
        <v>0</v>
      </c>
      <c r="Z31" s="23">
        <v>0</v>
      </c>
      <c r="AA31" s="24">
        <v>0</v>
      </c>
      <c r="AB31" s="33">
        <v>0</v>
      </c>
      <c r="AC31" s="34">
        <v>0</v>
      </c>
      <c r="AD31" s="35">
        <v>0</v>
      </c>
      <c r="AE31" s="36">
        <v>0</v>
      </c>
      <c r="AF31" s="23">
        <v>0</v>
      </c>
      <c r="AG31" s="24">
        <v>0</v>
      </c>
      <c r="AH31" s="33">
        <v>0</v>
      </c>
      <c r="AI31" s="37">
        <v>0</v>
      </c>
      <c r="AJ31" s="35">
        <v>0</v>
      </c>
      <c r="AK31" s="36">
        <v>0</v>
      </c>
      <c r="AL31" s="38">
        <v>0</v>
      </c>
      <c r="AM31" s="35">
        <v>0</v>
      </c>
      <c r="AN31" s="19">
        <v>0</v>
      </c>
      <c r="AO31" s="23">
        <v>0</v>
      </c>
      <c r="AP31" s="24">
        <v>0</v>
      </c>
      <c r="AQ31" s="58">
        <f t="shared" si="2"/>
        <v>6.48</v>
      </c>
      <c r="AR31" s="59">
        <f t="shared" si="3"/>
        <v>16200</v>
      </c>
      <c r="AS31" s="35">
        <v>9</v>
      </c>
    </row>
    <row r="32" spans="1:45" ht="15.6" x14ac:dyDescent="0.3">
      <c r="A32" s="53">
        <v>29</v>
      </c>
      <c r="B32" s="55" t="s">
        <v>51</v>
      </c>
      <c r="C32" s="54" t="s">
        <v>54</v>
      </c>
      <c r="D32" s="348"/>
      <c r="E32" s="53"/>
      <c r="F32" s="56"/>
      <c r="G32" s="53"/>
      <c r="H32" s="56"/>
      <c r="I32" s="57"/>
      <c r="J32" s="53"/>
      <c r="K32" s="56"/>
      <c r="L32" s="57"/>
      <c r="M32" s="58"/>
      <c r="N32" s="56"/>
      <c r="O32" s="57"/>
      <c r="P32" s="58">
        <f t="shared" si="0"/>
        <v>2.16</v>
      </c>
      <c r="Q32" s="59">
        <f t="shared" si="1"/>
        <v>5400</v>
      </c>
      <c r="R32" s="35">
        <v>3</v>
      </c>
      <c r="S32" s="19">
        <v>0</v>
      </c>
      <c r="T32" s="23">
        <v>0</v>
      </c>
      <c r="U32" s="24">
        <v>0</v>
      </c>
      <c r="V32" s="33">
        <v>0</v>
      </c>
      <c r="W32" s="34">
        <v>0</v>
      </c>
      <c r="X32" s="35">
        <v>0</v>
      </c>
      <c r="Y32" s="19">
        <v>0</v>
      </c>
      <c r="Z32" s="23">
        <v>0</v>
      </c>
      <c r="AA32" s="24">
        <v>0</v>
      </c>
      <c r="AB32" s="33">
        <v>0</v>
      </c>
      <c r="AC32" s="34">
        <v>0</v>
      </c>
      <c r="AD32" s="35">
        <v>0</v>
      </c>
      <c r="AE32" s="36">
        <v>0</v>
      </c>
      <c r="AF32" s="23">
        <v>0</v>
      </c>
      <c r="AG32" s="24">
        <v>0</v>
      </c>
      <c r="AH32" s="33">
        <v>0</v>
      </c>
      <c r="AI32" s="37">
        <v>0</v>
      </c>
      <c r="AJ32" s="35">
        <v>0</v>
      </c>
      <c r="AK32" s="36">
        <v>0</v>
      </c>
      <c r="AL32" s="38">
        <v>0</v>
      </c>
      <c r="AM32" s="35">
        <v>0</v>
      </c>
      <c r="AN32" s="19">
        <v>0</v>
      </c>
      <c r="AO32" s="23">
        <v>0</v>
      </c>
      <c r="AP32" s="24">
        <v>0</v>
      </c>
      <c r="AQ32" s="58">
        <f t="shared" si="2"/>
        <v>2.16</v>
      </c>
      <c r="AR32" s="59">
        <f t="shared" si="3"/>
        <v>5400</v>
      </c>
      <c r="AS32" s="35">
        <v>3</v>
      </c>
    </row>
    <row r="33" spans="1:45" ht="15.6" x14ac:dyDescent="0.3">
      <c r="A33" s="53">
        <v>30</v>
      </c>
      <c r="B33" s="55" t="s">
        <v>51</v>
      </c>
      <c r="C33" s="54" t="s">
        <v>55</v>
      </c>
      <c r="D33" s="348"/>
      <c r="E33" s="53"/>
      <c r="F33" s="56"/>
      <c r="G33" s="53"/>
      <c r="H33" s="56"/>
      <c r="I33" s="57"/>
      <c r="J33" s="53"/>
      <c r="K33" s="56"/>
      <c r="L33" s="57"/>
      <c r="M33" s="58"/>
      <c r="N33" s="56"/>
      <c r="O33" s="57"/>
      <c r="P33" s="58">
        <f t="shared" si="0"/>
        <v>2.16</v>
      </c>
      <c r="Q33" s="59">
        <f t="shared" si="1"/>
        <v>5400</v>
      </c>
      <c r="R33" s="35">
        <v>3</v>
      </c>
      <c r="S33" s="19">
        <v>0</v>
      </c>
      <c r="T33" s="23">
        <v>0</v>
      </c>
      <c r="U33" s="24">
        <v>0</v>
      </c>
      <c r="V33" s="33">
        <v>0</v>
      </c>
      <c r="W33" s="34">
        <v>0</v>
      </c>
      <c r="X33" s="35">
        <v>0</v>
      </c>
      <c r="Y33" s="19">
        <v>0</v>
      </c>
      <c r="Z33" s="23">
        <v>0</v>
      </c>
      <c r="AA33" s="24">
        <v>0</v>
      </c>
      <c r="AB33" s="33">
        <v>0</v>
      </c>
      <c r="AC33" s="34">
        <v>0</v>
      </c>
      <c r="AD33" s="35">
        <v>0</v>
      </c>
      <c r="AE33" s="36">
        <v>0</v>
      </c>
      <c r="AF33" s="23">
        <v>0</v>
      </c>
      <c r="AG33" s="24">
        <v>0</v>
      </c>
      <c r="AH33" s="33">
        <v>0</v>
      </c>
      <c r="AI33" s="37">
        <v>0</v>
      </c>
      <c r="AJ33" s="35">
        <v>0</v>
      </c>
      <c r="AK33" s="36">
        <v>0</v>
      </c>
      <c r="AL33" s="38">
        <v>0</v>
      </c>
      <c r="AM33" s="35">
        <v>0</v>
      </c>
      <c r="AN33" s="19">
        <v>0</v>
      </c>
      <c r="AO33" s="23">
        <v>0</v>
      </c>
      <c r="AP33" s="24">
        <v>0</v>
      </c>
      <c r="AQ33" s="58">
        <f t="shared" si="2"/>
        <v>2.16</v>
      </c>
      <c r="AR33" s="59">
        <f t="shared" si="3"/>
        <v>5400</v>
      </c>
      <c r="AS33" s="35">
        <v>3</v>
      </c>
    </row>
    <row r="34" spans="1:45" ht="15.6" x14ac:dyDescent="0.3">
      <c r="A34" s="53">
        <v>31</v>
      </c>
      <c r="B34" s="55" t="s">
        <v>51</v>
      </c>
      <c r="C34" s="54" t="s">
        <v>56</v>
      </c>
      <c r="D34" s="348"/>
      <c r="E34" s="53"/>
      <c r="F34" s="56"/>
      <c r="G34" s="53"/>
      <c r="H34" s="56"/>
      <c r="I34" s="57"/>
      <c r="J34" s="53"/>
      <c r="K34" s="56"/>
      <c r="L34" s="57"/>
      <c r="M34" s="58"/>
      <c r="N34" s="56"/>
      <c r="O34" s="57"/>
      <c r="P34" s="58">
        <f t="shared" si="0"/>
        <v>3.6</v>
      </c>
      <c r="Q34" s="59">
        <f t="shared" si="1"/>
        <v>9000</v>
      </c>
      <c r="R34" s="35">
        <v>5</v>
      </c>
      <c r="S34" s="19">
        <v>0</v>
      </c>
      <c r="T34" s="23">
        <v>0</v>
      </c>
      <c r="U34" s="24">
        <v>0</v>
      </c>
      <c r="V34" s="33">
        <v>0</v>
      </c>
      <c r="W34" s="34">
        <v>0</v>
      </c>
      <c r="X34" s="35">
        <v>0</v>
      </c>
      <c r="Y34" s="19">
        <v>0</v>
      </c>
      <c r="Z34" s="23">
        <v>0</v>
      </c>
      <c r="AA34" s="24">
        <v>0</v>
      </c>
      <c r="AB34" s="33">
        <v>0</v>
      </c>
      <c r="AC34" s="34">
        <v>0</v>
      </c>
      <c r="AD34" s="35">
        <v>0</v>
      </c>
      <c r="AE34" s="36">
        <v>0</v>
      </c>
      <c r="AF34" s="23">
        <v>0</v>
      </c>
      <c r="AG34" s="24">
        <v>0</v>
      </c>
      <c r="AH34" s="33">
        <v>0</v>
      </c>
      <c r="AI34" s="37">
        <v>0</v>
      </c>
      <c r="AJ34" s="35">
        <v>0</v>
      </c>
      <c r="AK34" s="36">
        <v>0</v>
      </c>
      <c r="AL34" s="38">
        <v>0</v>
      </c>
      <c r="AM34" s="35">
        <v>0</v>
      </c>
      <c r="AN34" s="19">
        <v>0</v>
      </c>
      <c r="AO34" s="23">
        <v>0</v>
      </c>
      <c r="AP34" s="24">
        <v>0</v>
      </c>
      <c r="AQ34" s="58">
        <f t="shared" si="2"/>
        <v>3.6</v>
      </c>
      <c r="AR34" s="59">
        <f t="shared" si="3"/>
        <v>9000</v>
      </c>
      <c r="AS34" s="35">
        <v>5</v>
      </c>
    </row>
    <row r="35" spans="1:45" ht="15.6" x14ac:dyDescent="0.3">
      <c r="A35" s="53">
        <v>32</v>
      </c>
      <c r="B35" s="55" t="s">
        <v>51</v>
      </c>
      <c r="C35" s="54" t="s">
        <v>57</v>
      </c>
      <c r="D35" s="348"/>
      <c r="E35" s="53"/>
      <c r="F35" s="56"/>
      <c r="G35" s="53"/>
      <c r="H35" s="56"/>
      <c r="I35" s="57"/>
      <c r="J35" s="53"/>
      <c r="K35" s="56"/>
      <c r="L35" s="57"/>
      <c r="M35" s="58"/>
      <c r="N35" s="56"/>
      <c r="O35" s="57"/>
      <c r="P35" s="58">
        <f t="shared" si="0"/>
        <v>1.44</v>
      </c>
      <c r="Q35" s="59">
        <f t="shared" si="1"/>
        <v>3600</v>
      </c>
      <c r="R35" s="35">
        <v>2</v>
      </c>
      <c r="S35" s="19">
        <v>0</v>
      </c>
      <c r="T35" s="23">
        <v>0</v>
      </c>
      <c r="U35" s="24">
        <v>0</v>
      </c>
      <c r="V35" s="33">
        <v>0</v>
      </c>
      <c r="W35" s="34">
        <v>0</v>
      </c>
      <c r="X35" s="35">
        <v>0</v>
      </c>
      <c r="Y35" s="19">
        <v>0</v>
      </c>
      <c r="Z35" s="23">
        <v>0</v>
      </c>
      <c r="AA35" s="24">
        <v>0</v>
      </c>
      <c r="AB35" s="33">
        <v>0</v>
      </c>
      <c r="AC35" s="34">
        <v>0</v>
      </c>
      <c r="AD35" s="35">
        <v>0</v>
      </c>
      <c r="AE35" s="36">
        <v>0</v>
      </c>
      <c r="AF35" s="23">
        <v>0</v>
      </c>
      <c r="AG35" s="24">
        <v>0</v>
      </c>
      <c r="AH35" s="33">
        <v>0</v>
      </c>
      <c r="AI35" s="37">
        <v>0</v>
      </c>
      <c r="AJ35" s="35">
        <v>0</v>
      </c>
      <c r="AK35" s="36">
        <v>0</v>
      </c>
      <c r="AL35" s="38">
        <v>0</v>
      </c>
      <c r="AM35" s="35">
        <v>0</v>
      </c>
      <c r="AN35" s="19">
        <v>0</v>
      </c>
      <c r="AO35" s="23">
        <v>0</v>
      </c>
      <c r="AP35" s="24">
        <v>0</v>
      </c>
      <c r="AQ35" s="58">
        <f t="shared" si="2"/>
        <v>1.44</v>
      </c>
      <c r="AR35" s="59">
        <f t="shared" si="3"/>
        <v>3600</v>
      </c>
      <c r="AS35" s="35">
        <v>2</v>
      </c>
    </row>
    <row r="36" spans="1:45" ht="15.6" x14ac:dyDescent="0.3">
      <c r="A36" s="53">
        <v>33</v>
      </c>
      <c r="B36" s="55" t="s">
        <v>51</v>
      </c>
      <c r="C36" s="54" t="s">
        <v>58</v>
      </c>
      <c r="D36" s="348"/>
      <c r="E36" s="53"/>
      <c r="F36" s="56"/>
      <c r="G36" s="53"/>
      <c r="H36" s="56"/>
      <c r="I36" s="57"/>
      <c r="J36" s="53"/>
      <c r="K36" s="56"/>
      <c r="L36" s="57"/>
      <c r="M36" s="58"/>
      <c r="N36" s="56"/>
      <c r="O36" s="57"/>
      <c r="P36" s="58">
        <f t="shared" si="0"/>
        <v>4.32</v>
      </c>
      <c r="Q36" s="59">
        <f t="shared" si="1"/>
        <v>10800</v>
      </c>
      <c r="R36" s="35">
        <v>6</v>
      </c>
      <c r="S36" s="19">
        <v>0</v>
      </c>
      <c r="T36" s="23">
        <v>0</v>
      </c>
      <c r="U36" s="24">
        <v>0</v>
      </c>
      <c r="V36" s="33">
        <v>0</v>
      </c>
      <c r="W36" s="34">
        <v>0</v>
      </c>
      <c r="X36" s="35">
        <v>0</v>
      </c>
      <c r="Y36" s="19">
        <v>0</v>
      </c>
      <c r="Z36" s="23">
        <v>0</v>
      </c>
      <c r="AA36" s="24">
        <v>0</v>
      </c>
      <c r="AB36" s="33">
        <v>0</v>
      </c>
      <c r="AC36" s="34">
        <v>0</v>
      </c>
      <c r="AD36" s="35">
        <v>0</v>
      </c>
      <c r="AE36" s="36">
        <v>0</v>
      </c>
      <c r="AF36" s="23">
        <v>0</v>
      </c>
      <c r="AG36" s="24">
        <v>0</v>
      </c>
      <c r="AH36" s="33">
        <v>0</v>
      </c>
      <c r="AI36" s="37">
        <v>0</v>
      </c>
      <c r="AJ36" s="35">
        <v>0</v>
      </c>
      <c r="AK36" s="36">
        <v>0</v>
      </c>
      <c r="AL36" s="38">
        <v>0</v>
      </c>
      <c r="AM36" s="35">
        <v>0</v>
      </c>
      <c r="AN36" s="19">
        <v>0</v>
      </c>
      <c r="AO36" s="23">
        <v>0</v>
      </c>
      <c r="AP36" s="24">
        <v>0</v>
      </c>
      <c r="AQ36" s="58">
        <f t="shared" si="2"/>
        <v>4.32</v>
      </c>
      <c r="AR36" s="59">
        <f t="shared" si="3"/>
        <v>10800</v>
      </c>
      <c r="AS36" s="35">
        <v>6</v>
      </c>
    </row>
    <row r="37" spans="1:45" ht="15.6" x14ac:dyDescent="0.3">
      <c r="A37" s="53">
        <v>34</v>
      </c>
      <c r="B37" s="55" t="s">
        <v>51</v>
      </c>
      <c r="C37" s="54" t="s">
        <v>59</v>
      </c>
      <c r="D37" s="348"/>
      <c r="E37" s="53"/>
      <c r="F37" s="56"/>
      <c r="G37" s="53"/>
      <c r="H37" s="56"/>
      <c r="I37" s="57"/>
      <c r="J37" s="53"/>
      <c r="K37" s="56"/>
      <c r="L37" s="57"/>
      <c r="M37" s="58"/>
      <c r="N37" s="56"/>
      <c r="O37" s="57"/>
      <c r="P37" s="58">
        <f t="shared" si="0"/>
        <v>1.44</v>
      </c>
      <c r="Q37" s="59">
        <f t="shared" si="1"/>
        <v>3600</v>
      </c>
      <c r="R37" s="35">
        <v>2</v>
      </c>
      <c r="S37" s="19">
        <v>0</v>
      </c>
      <c r="T37" s="23">
        <v>0</v>
      </c>
      <c r="U37" s="24">
        <v>0</v>
      </c>
      <c r="V37" s="33">
        <v>0</v>
      </c>
      <c r="W37" s="34">
        <v>0</v>
      </c>
      <c r="X37" s="35">
        <v>0</v>
      </c>
      <c r="Y37" s="19">
        <v>0</v>
      </c>
      <c r="Z37" s="23">
        <v>0</v>
      </c>
      <c r="AA37" s="24">
        <v>0</v>
      </c>
      <c r="AB37" s="33">
        <v>0</v>
      </c>
      <c r="AC37" s="34">
        <v>0</v>
      </c>
      <c r="AD37" s="35">
        <v>0</v>
      </c>
      <c r="AE37" s="36">
        <v>0</v>
      </c>
      <c r="AF37" s="23">
        <v>0</v>
      </c>
      <c r="AG37" s="24">
        <v>0</v>
      </c>
      <c r="AH37" s="33">
        <v>0</v>
      </c>
      <c r="AI37" s="37">
        <v>0</v>
      </c>
      <c r="AJ37" s="35">
        <v>0</v>
      </c>
      <c r="AK37" s="36">
        <v>0</v>
      </c>
      <c r="AL37" s="38">
        <v>0</v>
      </c>
      <c r="AM37" s="35">
        <v>0</v>
      </c>
      <c r="AN37" s="19">
        <v>0</v>
      </c>
      <c r="AO37" s="23">
        <v>0</v>
      </c>
      <c r="AP37" s="24">
        <v>0</v>
      </c>
      <c r="AQ37" s="58">
        <f t="shared" si="2"/>
        <v>1.44</v>
      </c>
      <c r="AR37" s="59">
        <f t="shared" si="3"/>
        <v>3600</v>
      </c>
      <c r="AS37" s="35">
        <v>2</v>
      </c>
    </row>
    <row r="38" spans="1:45" ht="15.6" x14ac:dyDescent="0.3">
      <c r="A38" s="53">
        <v>35</v>
      </c>
      <c r="B38" s="55" t="s">
        <v>51</v>
      </c>
      <c r="C38" s="54" t="s">
        <v>60</v>
      </c>
      <c r="D38" s="348" t="s">
        <v>25</v>
      </c>
      <c r="E38" s="53"/>
      <c r="F38" s="56"/>
      <c r="G38" s="53"/>
      <c r="H38" s="56"/>
      <c r="I38" s="57"/>
      <c r="J38" s="53"/>
      <c r="K38" s="56"/>
      <c r="L38" s="57"/>
      <c r="M38" s="58"/>
      <c r="N38" s="56"/>
      <c r="O38" s="57"/>
      <c r="P38" s="58">
        <f t="shared" si="0"/>
        <v>0.72</v>
      </c>
      <c r="Q38" s="59">
        <f t="shared" si="1"/>
        <v>1800</v>
      </c>
      <c r="R38" s="35">
        <v>1</v>
      </c>
      <c r="S38" s="19">
        <v>0</v>
      </c>
      <c r="T38" s="23">
        <v>0</v>
      </c>
      <c r="U38" s="24">
        <v>0</v>
      </c>
      <c r="V38" s="33">
        <v>0</v>
      </c>
      <c r="W38" s="34">
        <v>0</v>
      </c>
      <c r="X38" s="35">
        <v>0</v>
      </c>
      <c r="Y38" s="19">
        <v>0</v>
      </c>
      <c r="Z38" s="23">
        <v>0</v>
      </c>
      <c r="AA38" s="24">
        <v>0</v>
      </c>
      <c r="AB38" s="33">
        <v>0</v>
      </c>
      <c r="AC38" s="34">
        <v>0</v>
      </c>
      <c r="AD38" s="35">
        <v>0</v>
      </c>
      <c r="AE38" s="36">
        <v>0</v>
      </c>
      <c r="AF38" s="23">
        <v>0</v>
      </c>
      <c r="AG38" s="24">
        <v>0</v>
      </c>
      <c r="AH38" s="33">
        <v>0</v>
      </c>
      <c r="AI38" s="37">
        <v>0</v>
      </c>
      <c r="AJ38" s="35">
        <v>0</v>
      </c>
      <c r="AK38" s="36">
        <v>0</v>
      </c>
      <c r="AL38" s="38">
        <v>0</v>
      </c>
      <c r="AM38" s="35">
        <v>0</v>
      </c>
      <c r="AN38" s="19">
        <v>0</v>
      </c>
      <c r="AO38" s="23">
        <v>0</v>
      </c>
      <c r="AP38" s="24">
        <v>0</v>
      </c>
      <c r="AQ38" s="58">
        <f t="shared" si="2"/>
        <v>0.72</v>
      </c>
      <c r="AR38" s="59">
        <f t="shared" si="3"/>
        <v>1800</v>
      </c>
      <c r="AS38" s="35">
        <v>1</v>
      </c>
    </row>
    <row r="39" spans="1:45" ht="15.6" x14ac:dyDescent="0.3">
      <c r="A39" s="53">
        <v>36</v>
      </c>
      <c r="B39" s="55" t="s">
        <v>51</v>
      </c>
      <c r="C39" s="54" t="s">
        <v>61</v>
      </c>
      <c r="D39" s="348"/>
      <c r="E39" s="53"/>
      <c r="F39" s="56"/>
      <c r="G39" s="53"/>
      <c r="H39" s="56"/>
      <c r="I39" s="57"/>
      <c r="J39" s="53"/>
      <c r="K39" s="56"/>
      <c r="L39" s="57"/>
      <c r="M39" s="58"/>
      <c r="N39" s="56"/>
      <c r="O39" s="57"/>
      <c r="P39" s="58">
        <f t="shared" si="0"/>
        <v>0</v>
      </c>
      <c r="Q39" s="59">
        <f t="shared" si="1"/>
        <v>0</v>
      </c>
      <c r="R39" s="35"/>
      <c r="S39" s="19">
        <v>0</v>
      </c>
      <c r="T39" s="23">
        <v>0</v>
      </c>
      <c r="U39" s="24">
        <v>0</v>
      </c>
      <c r="V39" s="33">
        <v>0</v>
      </c>
      <c r="W39" s="34">
        <v>0</v>
      </c>
      <c r="X39" s="35">
        <v>0</v>
      </c>
      <c r="Y39" s="19">
        <v>0</v>
      </c>
      <c r="Z39" s="23">
        <v>0</v>
      </c>
      <c r="AA39" s="24">
        <v>0</v>
      </c>
      <c r="AB39" s="33">
        <v>0</v>
      </c>
      <c r="AC39" s="34">
        <v>0</v>
      </c>
      <c r="AD39" s="35">
        <v>0</v>
      </c>
      <c r="AE39" s="36">
        <v>0</v>
      </c>
      <c r="AF39" s="23">
        <v>0</v>
      </c>
      <c r="AG39" s="24">
        <v>0</v>
      </c>
      <c r="AH39" s="33">
        <v>0</v>
      </c>
      <c r="AI39" s="37">
        <v>0</v>
      </c>
      <c r="AJ39" s="35">
        <v>0</v>
      </c>
      <c r="AK39" s="36">
        <v>0</v>
      </c>
      <c r="AL39" s="38">
        <v>0</v>
      </c>
      <c r="AM39" s="35">
        <v>0</v>
      </c>
      <c r="AN39" s="19">
        <v>0</v>
      </c>
      <c r="AO39" s="23">
        <v>0</v>
      </c>
      <c r="AP39" s="24">
        <v>0</v>
      </c>
      <c r="AQ39" s="58">
        <f t="shared" si="2"/>
        <v>0</v>
      </c>
      <c r="AR39" s="59">
        <f t="shared" si="3"/>
        <v>0</v>
      </c>
      <c r="AS39" s="35"/>
    </row>
    <row r="40" spans="1:45" ht="15.6" x14ac:dyDescent="0.3">
      <c r="A40" s="53">
        <v>37</v>
      </c>
      <c r="B40" s="55" t="s">
        <v>51</v>
      </c>
      <c r="C40" s="54" t="s">
        <v>62</v>
      </c>
      <c r="D40" s="348"/>
      <c r="E40" s="53"/>
      <c r="F40" s="56"/>
      <c r="G40" s="53"/>
      <c r="H40" s="56"/>
      <c r="I40" s="57"/>
      <c r="J40" s="53"/>
      <c r="K40" s="56"/>
      <c r="L40" s="57"/>
      <c r="M40" s="58"/>
      <c r="N40" s="56"/>
      <c r="O40" s="57"/>
      <c r="P40" s="58">
        <f t="shared" si="0"/>
        <v>0.72</v>
      </c>
      <c r="Q40" s="59">
        <f t="shared" si="1"/>
        <v>1800</v>
      </c>
      <c r="R40" s="35">
        <v>1</v>
      </c>
      <c r="S40" s="19">
        <v>0</v>
      </c>
      <c r="T40" s="23">
        <v>0</v>
      </c>
      <c r="U40" s="24">
        <v>0</v>
      </c>
      <c r="V40" s="33">
        <v>0</v>
      </c>
      <c r="W40" s="34">
        <v>0</v>
      </c>
      <c r="X40" s="35">
        <v>0</v>
      </c>
      <c r="Y40" s="19">
        <v>0</v>
      </c>
      <c r="Z40" s="23">
        <v>0</v>
      </c>
      <c r="AA40" s="24">
        <v>0</v>
      </c>
      <c r="AB40" s="33">
        <v>0</v>
      </c>
      <c r="AC40" s="34">
        <v>0</v>
      </c>
      <c r="AD40" s="35">
        <v>0</v>
      </c>
      <c r="AE40" s="36">
        <v>0</v>
      </c>
      <c r="AF40" s="23">
        <v>0</v>
      </c>
      <c r="AG40" s="24">
        <v>0</v>
      </c>
      <c r="AH40" s="33">
        <v>0</v>
      </c>
      <c r="AI40" s="37">
        <v>0</v>
      </c>
      <c r="AJ40" s="35">
        <v>0</v>
      </c>
      <c r="AK40" s="36">
        <v>0</v>
      </c>
      <c r="AL40" s="38">
        <v>0</v>
      </c>
      <c r="AM40" s="35">
        <v>0</v>
      </c>
      <c r="AN40" s="19">
        <v>0</v>
      </c>
      <c r="AO40" s="23">
        <v>0</v>
      </c>
      <c r="AP40" s="24">
        <v>0</v>
      </c>
      <c r="AQ40" s="58">
        <f t="shared" si="2"/>
        <v>0.72</v>
      </c>
      <c r="AR40" s="59">
        <f t="shared" si="3"/>
        <v>1800</v>
      </c>
      <c r="AS40" s="35">
        <v>1</v>
      </c>
    </row>
    <row r="41" spans="1:45" ht="15.6" x14ac:dyDescent="0.3">
      <c r="A41" s="53">
        <v>38</v>
      </c>
      <c r="B41" s="55" t="s">
        <v>51</v>
      </c>
      <c r="C41" s="54" t="s">
        <v>63</v>
      </c>
      <c r="D41" s="348"/>
      <c r="E41" s="53"/>
      <c r="F41" s="56"/>
      <c r="G41" s="53"/>
      <c r="H41" s="56"/>
      <c r="I41" s="57"/>
      <c r="J41" s="53"/>
      <c r="K41" s="56"/>
      <c r="L41" s="57"/>
      <c r="M41" s="58"/>
      <c r="N41" s="56"/>
      <c r="O41" s="57"/>
      <c r="P41" s="58">
        <f t="shared" si="0"/>
        <v>1.44</v>
      </c>
      <c r="Q41" s="59">
        <f t="shared" si="1"/>
        <v>3600</v>
      </c>
      <c r="R41" s="35">
        <v>2</v>
      </c>
      <c r="S41" s="19">
        <v>0</v>
      </c>
      <c r="T41" s="23">
        <v>0</v>
      </c>
      <c r="U41" s="24">
        <v>0</v>
      </c>
      <c r="V41" s="33">
        <v>0</v>
      </c>
      <c r="W41" s="34">
        <v>0</v>
      </c>
      <c r="X41" s="35">
        <v>0</v>
      </c>
      <c r="Y41" s="19">
        <v>0</v>
      </c>
      <c r="Z41" s="23">
        <v>0</v>
      </c>
      <c r="AA41" s="24">
        <v>0</v>
      </c>
      <c r="AB41" s="33">
        <v>0</v>
      </c>
      <c r="AC41" s="34">
        <v>0</v>
      </c>
      <c r="AD41" s="35">
        <v>0</v>
      </c>
      <c r="AE41" s="36">
        <v>0</v>
      </c>
      <c r="AF41" s="23">
        <v>0</v>
      </c>
      <c r="AG41" s="24">
        <v>0</v>
      </c>
      <c r="AH41" s="33">
        <v>0</v>
      </c>
      <c r="AI41" s="37">
        <v>0</v>
      </c>
      <c r="AJ41" s="35">
        <v>0</v>
      </c>
      <c r="AK41" s="36">
        <v>0</v>
      </c>
      <c r="AL41" s="38">
        <v>0</v>
      </c>
      <c r="AM41" s="35">
        <v>0</v>
      </c>
      <c r="AN41" s="19">
        <v>0</v>
      </c>
      <c r="AO41" s="23">
        <v>0</v>
      </c>
      <c r="AP41" s="24">
        <v>0</v>
      </c>
      <c r="AQ41" s="58">
        <f t="shared" si="2"/>
        <v>1.44</v>
      </c>
      <c r="AR41" s="59">
        <f t="shared" si="3"/>
        <v>3600</v>
      </c>
      <c r="AS41" s="35">
        <v>2</v>
      </c>
    </row>
    <row r="42" spans="1:45" ht="15.6" x14ac:dyDescent="0.3">
      <c r="A42" s="53">
        <v>39</v>
      </c>
      <c r="B42" s="55" t="s">
        <v>51</v>
      </c>
      <c r="C42" s="54" t="s">
        <v>64</v>
      </c>
      <c r="D42" s="348"/>
      <c r="E42" s="53"/>
      <c r="F42" s="56"/>
      <c r="G42" s="53"/>
      <c r="H42" s="56"/>
      <c r="I42" s="57"/>
      <c r="J42" s="53"/>
      <c r="K42" s="56"/>
      <c r="L42" s="57"/>
      <c r="M42" s="58"/>
      <c r="N42" s="56"/>
      <c r="O42" s="57"/>
      <c r="P42" s="58">
        <f t="shared" si="0"/>
        <v>2.16</v>
      </c>
      <c r="Q42" s="59">
        <f t="shared" si="1"/>
        <v>5400</v>
      </c>
      <c r="R42" s="35">
        <v>3</v>
      </c>
      <c r="S42" s="19">
        <v>0</v>
      </c>
      <c r="T42" s="23">
        <v>0</v>
      </c>
      <c r="U42" s="24">
        <v>0</v>
      </c>
      <c r="V42" s="33">
        <v>0</v>
      </c>
      <c r="W42" s="34">
        <v>0</v>
      </c>
      <c r="X42" s="35">
        <v>0</v>
      </c>
      <c r="Y42" s="19">
        <v>0</v>
      </c>
      <c r="Z42" s="23">
        <v>0</v>
      </c>
      <c r="AA42" s="24">
        <v>0</v>
      </c>
      <c r="AB42" s="33">
        <v>0</v>
      </c>
      <c r="AC42" s="34">
        <v>0</v>
      </c>
      <c r="AD42" s="35">
        <v>0</v>
      </c>
      <c r="AE42" s="36">
        <v>0</v>
      </c>
      <c r="AF42" s="23">
        <v>0</v>
      </c>
      <c r="AG42" s="24">
        <v>0</v>
      </c>
      <c r="AH42" s="33">
        <v>0</v>
      </c>
      <c r="AI42" s="37">
        <v>0</v>
      </c>
      <c r="AJ42" s="35">
        <v>0</v>
      </c>
      <c r="AK42" s="36">
        <v>0</v>
      </c>
      <c r="AL42" s="38">
        <v>0</v>
      </c>
      <c r="AM42" s="35">
        <v>0</v>
      </c>
      <c r="AN42" s="19">
        <v>0</v>
      </c>
      <c r="AO42" s="23">
        <v>0</v>
      </c>
      <c r="AP42" s="24">
        <v>0</v>
      </c>
      <c r="AQ42" s="58">
        <f t="shared" si="2"/>
        <v>2.16</v>
      </c>
      <c r="AR42" s="59">
        <f t="shared" si="3"/>
        <v>5400</v>
      </c>
      <c r="AS42" s="35">
        <v>3</v>
      </c>
    </row>
    <row r="43" spans="1:45" ht="15.6" x14ac:dyDescent="0.3">
      <c r="A43" s="53">
        <v>40</v>
      </c>
      <c r="B43" s="55" t="s">
        <v>51</v>
      </c>
      <c r="C43" s="54" t="s">
        <v>65</v>
      </c>
      <c r="D43" s="348"/>
      <c r="E43" s="53"/>
      <c r="F43" s="56"/>
      <c r="G43" s="53"/>
      <c r="H43" s="56"/>
      <c r="I43" s="57"/>
      <c r="J43" s="53"/>
      <c r="K43" s="56"/>
      <c r="L43" s="57"/>
      <c r="M43" s="58"/>
      <c r="N43" s="56"/>
      <c r="O43" s="57"/>
      <c r="P43" s="58">
        <f t="shared" si="0"/>
        <v>0</v>
      </c>
      <c r="Q43" s="59">
        <f t="shared" si="1"/>
        <v>0</v>
      </c>
      <c r="R43" s="35">
        <v>0</v>
      </c>
      <c r="S43" s="19">
        <v>0</v>
      </c>
      <c r="T43" s="23">
        <v>0</v>
      </c>
      <c r="U43" s="24">
        <v>0</v>
      </c>
      <c r="V43" s="33">
        <v>0</v>
      </c>
      <c r="W43" s="34">
        <v>0</v>
      </c>
      <c r="X43" s="35">
        <v>0</v>
      </c>
      <c r="Y43" s="19">
        <v>0</v>
      </c>
      <c r="Z43" s="23">
        <v>0</v>
      </c>
      <c r="AA43" s="24">
        <v>0</v>
      </c>
      <c r="AB43" s="33">
        <v>0</v>
      </c>
      <c r="AC43" s="34">
        <v>0</v>
      </c>
      <c r="AD43" s="35">
        <v>0</v>
      </c>
      <c r="AE43" s="36">
        <v>0</v>
      </c>
      <c r="AF43" s="23">
        <v>0</v>
      </c>
      <c r="AG43" s="24">
        <v>0</v>
      </c>
      <c r="AH43" s="33">
        <v>0</v>
      </c>
      <c r="AI43" s="37">
        <v>0</v>
      </c>
      <c r="AJ43" s="35">
        <v>0</v>
      </c>
      <c r="AK43" s="36">
        <v>0</v>
      </c>
      <c r="AL43" s="38">
        <v>0</v>
      </c>
      <c r="AM43" s="35">
        <v>0</v>
      </c>
      <c r="AN43" s="19">
        <v>0</v>
      </c>
      <c r="AO43" s="23">
        <v>0</v>
      </c>
      <c r="AP43" s="24">
        <v>0</v>
      </c>
      <c r="AQ43" s="58">
        <f t="shared" si="2"/>
        <v>0</v>
      </c>
      <c r="AR43" s="59">
        <f t="shared" si="3"/>
        <v>0</v>
      </c>
      <c r="AS43" s="35">
        <v>0</v>
      </c>
    </row>
    <row r="44" spans="1:45" ht="15.6" x14ac:dyDescent="0.3">
      <c r="A44" s="53">
        <v>41</v>
      </c>
      <c r="B44" s="55" t="s">
        <v>51</v>
      </c>
      <c r="C44" s="54" t="s">
        <v>66</v>
      </c>
      <c r="D44" s="348"/>
      <c r="E44" s="53"/>
      <c r="F44" s="56"/>
      <c r="G44" s="53"/>
      <c r="H44" s="56"/>
      <c r="I44" s="57"/>
      <c r="J44" s="53"/>
      <c r="K44" s="56"/>
      <c r="L44" s="57"/>
      <c r="M44" s="58"/>
      <c r="N44" s="56"/>
      <c r="O44" s="57"/>
      <c r="P44" s="58">
        <f t="shared" si="0"/>
        <v>3.6</v>
      </c>
      <c r="Q44" s="59">
        <f t="shared" si="1"/>
        <v>9000</v>
      </c>
      <c r="R44" s="35">
        <v>5</v>
      </c>
      <c r="S44" s="19">
        <v>0</v>
      </c>
      <c r="T44" s="23">
        <v>0</v>
      </c>
      <c r="U44" s="24">
        <v>0</v>
      </c>
      <c r="V44" s="33">
        <v>0</v>
      </c>
      <c r="W44" s="34">
        <v>0</v>
      </c>
      <c r="X44" s="35">
        <v>0</v>
      </c>
      <c r="Y44" s="19">
        <v>0</v>
      </c>
      <c r="Z44" s="23">
        <v>0</v>
      </c>
      <c r="AA44" s="24">
        <v>0</v>
      </c>
      <c r="AB44" s="33">
        <v>0</v>
      </c>
      <c r="AC44" s="34">
        <v>0</v>
      </c>
      <c r="AD44" s="35">
        <v>0</v>
      </c>
      <c r="AE44" s="36">
        <v>0</v>
      </c>
      <c r="AF44" s="23">
        <v>0</v>
      </c>
      <c r="AG44" s="24">
        <v>0</v>
      </c>
      <c r="AH44" s="33">
        <v>0</v>
      </c>
      <c r="AI44" s="37">
        <v>0</v>
      </c>
      <c r="AJ44" s="35">
        <v>0</v>
      </c>
      <c r="AK44" s="36">
        <v>0</v>
      </c>
      <c r="AL44" s="38">
        <v>0</v>
      </c>
      <c r="AM44" s="35">
        <v>0</v>
      </c>
      <c r="AN44" s="19">
        <v>0</v>
      </c>
      <c r="AO44" s="23">
        <v>0</v>
      </c>
      <c r="AP44" s="24">
        <v>0</v>
      </c>
      <c r="AQ44" s="58">
        <f t="shared" si="2"/>
        <v>3.6</v>
      </c>
      <c r="AR44" s="59">
        <f t="shared" si="3"/>
        <v>9000</v>
      </c>
      <c r="AS44" s="35">
        <v>5</v>
      </c>
    </row>
    <row r="45" spans="1:45" ht="15.6" x14ac:dyDescent="0.3">
      <c r="A45" s="53">
        <v>42</v>
      </c>
      <c r="B45" s="55" t="s">
        <v>67</v>
      </c>
      <c r="C45" s="54" t="s">
        <v>68</v>
      </c>
      <c r="D45" s="348"/>
      <c r="E45" s="53"/>
      <c r="F45" s="56"/>
      <c r="G45" s="53"/>
      <c r="H45" s="56"/>
      <c r="I45" s="57"/>
      <c r="J45" s="53"/>
      <c r="K45" s="56"/>
      <c r="L45" s="57"/>
      <c r="M45" s="58"/>
      <c r="N45" s="56"/>
      <c r="O45" s="57"/>
      <c r="P45" s="58">
        <f t="shared" si="0"/>
        <v>0.72</v>
      </c>
      <c r="Q45" s="59">
        <f t="shared" si="1"/>
        <v>1800</v>
      </c>
      <c r="R45" s="19">
        <v>1</v>
      </c>
      <c r="S45" s="19">
        <v>0</v>
      </c>
      <c r="T45" s="23">
        <v>0</v>
      </c>
      <c r="U45" s="24">
        <v>0</v>
      </c>
      <c r="V45" s="33">
        <v>0</v>
      </c>
      <c r="W45" s="34">
        <v>0</v>
      </c>
      <c r="X45" s="35">
        <v>0</v>
      </c>
      <c r="Y45" s="19">
        <v>0</v>
      </c>
      <c r="Z45" s="23">
        <v>0</v>
      </c>
      <c r="AA45" s="24">
        <v>0</v>
      </c>
      <c r="AB45" s="33">
        <v>0</v>
      </c>
      <c r="AC45" s="34">
        <v>0</v>
      </c>
      <c r="AD45" s="35">
        <v>0</v>
      </c>
      <c r="AE45" s="36">
        <v>0</v>
      </c>
      <c r="AF45" s="23">
        <v>0</v>
      </c>
      <c r="AG45" s="24">
        <v>0</v>
      </c>
      <c r="AH45" s="33">
        <v>0</v>
      </c>
      <c r="AI45" s="37">
        <v>0</v>
      </c>
      <c r="AJ45" s="35">
        <v>0</v>
      </c>
      <c r="AK45" s="36">
        <v>0</v>
      </c>
      <c r="AL45" s="38">
        <v>0</v>
      </c>
      <c r="AM45" s="35">
        <v>0</v>
      </c>
      <c r="AN45" s="19">
        <v>0</v>
      </c>
      <c r="AO45" s="23">
        <v>0</v>
      </c>
      <c r="AP45" s="24">
        <v>0</v>
      </c>
      <c r="AQ45" s="58">
        <f t="shared" si="2"/>
        <v>0.72</v>
      </c>
      <c r="AR45" s="59">
        <f t="shared" si="3"/>
        <v>1800</v>
      </c>
      <c r="AS45" s="19">
        <v>1</v>
      </c>
    </row>
    <row r="46" spans="1:45" ht="15.6" x14ac:dyDescent="0.3">
      <c r="A46" s="53">
        <v>43</v>
      </c>
      <c r="B46" s="55" t="s">
        <v>67</v>
      </c>
      <c r="C46" s="54" t="s">
        <v>67</v>
      </c>
      <c r="D46" s="348"/>
      <c r="E46" s="53"/>
      <c r="F46" s="56"/>
      <c r="G46" s="53"/>
      <c r="H46" s="56"/>
      <c r="I46" s="57"/>
      <c r="J46" s="53"/>
      <c r="K46" s="56"/>
      <c r="L46" s="57"/>
      <c r="M46" s="58"/>
      <c r="N46" s="56"/>
      <c r="O46" s="57"/>
      <c r="P46" s="58">
        <f t="shared" si="0"/>
        <v>8.64</v>
      </c>
      <c r="Q46" s="59">
        <f t="shared" si="1"/>
        <v>21600</v>
      </c>
      <c r="R46" s="19">
        <v>12</v>
      </c>
      <c r="S46" s="19">
        <v>0</v>
      </c>
      <c r="T46" s="23">
        <v>0</v>
      </c>
      <c r="U46" s="24">
        <v>0</v>
      </c>
      <c r="V46" s="33">
        <v>0</v>
      </c>
      <c r="W46" s="34">
        <v>0</v>
      </c>
      <c r="X46" s="35">
        <v>0</v>
      </c>
      <c r="Y46" s="19">
        <v>0</v>
      </c>
      <c r="Z46" s="23">
        <v>0</v>
      </c>
      <c r="AA46" s="24">
        <v>0</v>
      </c>
      <c r="AB46" s="33">
        <v>0</v>
      </c>
      <c r="AC46" s="34">
        <v>0</v>
      </c>
      <c r="AD46" s="35">
        <v>0</v>
      </c>
      <c r="AE46" s="36">
        <v>0</v>
      </c>
      <c r="AF46" s="23">
        <v>0</v>
      </c>
      <c r="AG46" s="24">
        <v>0</v>
      </c>
      <c r="AH46" s="33">
        <v>0</v>
      </c>
      <c r="AI46" s="37">
        <v>0</v>
      </c>
      <c r="AJ46" s="35">
        <v>0</v>
      </c>
      <c r="AK46" s="36">
        <v>0</v>
      </c>
      <c r="AL46" s="38">
        <v>0</v>
      </c>
      <c r="AM46" s="35">
        <v>0</v>
      </c>
      <c r="AN46" s="19">
        <v>0</v>
      </c>
      <c r="AO46" s="23">
        <v>0</v>
      </c>
      <c r="AP46" s="24">
        <v>0</v>
      </c>
      <c r="AQ46" s="58">
        <f t="shared" si="2"/>
        <v>8.64</v>
      </c>
      <c r="AR46" s="59">
        <f t="shared" si="3"/>
        <v>21600</v>
      </c>
      <c r="AS46" s="19">
        <v>12</v>
      </c>
    </row>
    <row r="47" spans="1:45" ht="15.6" x14ac:dyDescent="0.3">
      <c r="A47" s="53">
        <v>44</v>
      </c>
      <c r="B47" s="55" t="s">
        <v>67</v>
      </c>
      <c r="C47" s="54" t="s">
        <v>69</v>
      </c>
      <c r="D47" s="348"/>
      <c r="E47" s="53"/>
      <c r="F47" s="56"/>
      <c r="G47" s="53"/>
      <c r="H47" s="56"/>
      <c r="I47" s="57"/>
      <c r="J47" s="53"/>
      <c r="K47" s="56"/>
      <c r="L47" s="57"/>
      <c r="M47" s="58"/>
      <c r="N47" s="56"/>
      <c r="O47" s="57"/>
      <c r="P47" s="58">
        <f t="shared" si="0"/>
        <v>0</v>
      </c>
      <c r="Q47" s="59">
        <f t="shared" si="1"/>
        <v>0</v>
      </c>
      <c r="R47" s="35"/>
      <c r="S47" s="19">
        <v>0</v>
      </c>
      <c r="T47" s="23">
        <v>0</v>
      </c>
      <c r="U47" s="24">
        <v>0</v>
      </c>
      <c r="V47" s="33">
        <v>0</v>
      </c>
      <c r="W47" s="34">
        <v>0</v>
      </c>
      <c r="X47" s="35">
        <v>0</v>
      </c>
      <c r="Y47" s="19">
        <v>0</v>
      </c>
      <c r="Z47" s="23">
        <v>0</v>
      </c>
      <c r="AA47" s="24">
        <v>0</v>
      </c>
      <c r="AB47" s="33">
        <v>0</v>
      </c>
      <c r="AC47" s="34">
        <v>0</v>
      </c>
      <c r="AD47" s="35">
        <v>0</v>
      </c>
      <c r="AE47" s="36">
        <v>0</v>
      </c>
      <c r="AF47" s="23">
        <v>0</v>
      </c>
      <c r="AG47" s="24">
        <v>0</v>
      </c>
      <c r="AH47" s="33">
        <v>0</v>
      </c>
      <c r="AI47" s="37">
        <v>0</v>
      </c>
      <c r="AJ47" s="35">
        <v>0</v>
      </c>
      <c r="AK47" s="36">
        <v>0</v>
      </c>
      <c r="AL47" s="38">
        <v>0</v>
      </c>
      <c r="AM47" s="35">
        <v>0</v>
      </c>
      <c r="AN47" s="19">
        <v>0</v>
      </c>
      <c r="AO47" s="23">
        <v>0</v>
      </c>
      <c r="AP47" s="24">
        <v>0</v>
      </c>
      <c r="AQ47" s="58">
        <f t="shared" si="2"/>
        <v>0</v>
      </c>
      <c r="AR47" s="59">
        <f t="shared" si="3"/>
        <v>0</v>
      </c>
      <c r="AS47" s="35"/>
    </row>
    <row r="48" spans="1:45" ht="15.6" x14ac:dyDescent="0.3">
      <c r="A48" s="53">
        <v>45</v>
      </c>
      <c r="B48" s="55" t="s">
        <v>67</v>
      </c>
      <c r="C48" s="54" t="s">
        <v>70</v>
      </c>
      <c r="D48" s="348"/>
      <c r="E48" s="53"/>
      <c r="F48" s="56"/>
      <c r="G48" s="53"/>
      <c r="H48" s="56"/>
      <c r="I48" s="57"/>
      <c r="J48" s="53"/>
      <c r="K48" s="56"/>
      <c r="L48" s="57"/>
      <c r="M48" s="58"/>
      <c r="N48" s="56"/>
      <c r="O48" s="57"/>
      <c r="P48" s="58">
        <f t="shared" si="0"/>
        <v>0</v>
      </c>
      <c r="Q48" s="59">
        <f t="shared" si="1"/>
        <v>0</v>
      </c>
      <c r="R48" s="35"/>
      <c r="S48" s="19">
        <v>0</v>
      </c>
      <c r="T48" s="23">
        <v>0</v>
      </c>
      <c r="U48" s="24">
        <v>0</v>
      </c>
      <c r="V48" s="33">
        <v>0</v>
      </c>
      <c r="W48" s="34">
        <v>0</v>
      </c>
      <c r="X48" s="35">
        <v>0</v>
      </c>
      <c r="Y48" s="19">
        <v>0</v>
      </c>
      <c r="Z48" s="23">
        <v>0</v>
      </c>
      <c r="AA48" s="24">
        <v>0</v>
      </c>
      <c r="AB48" s="33">
        <v>0</v>
      </c>
      <c r="AC48" s="34">
        <v>0</v>
      </c>
      <c r="AD48" s="35">
        <v>0</v>
      </c>
      <c r="AE48" s="36">
        <v>0</v>
      </c>
      <c r="AF48" s="23">
        <v>0</v>
      </c>
      <c r="AG48" s="24">
        <v>0</v>
      </c>
      <c r="AH48" s="33">
        <v>0</v>
      </c>
      <c r="AI48" s="37">
        <v>0</v>
      </c>
      <c r="AJ48" s="35">
        <v>0</v>
      </c>
      <c r="AK48" s="36">
        <v>0</v>
      </c>
      <c r="AL48" s="38">
        <v>0</v>
      </c>
      <c r="AM48" s="35">
        <v>0</v>
      </c>
      <c r="AN48" s="19">
        <v>0</v>
      </c>
      <c r="AO48" s="23">
        <v>0</v>
      </c>
      <c r="AP48" s="24">
        <v>0</v>
      </c>
      <c r="AQ48" s="58">
        <f t="shared" si="2"/>
        <v>0</v>
      </c>
      <c r="AR48" s="59">
        <f t="shared" si="3"/>
        <v>0</v>
      </c>
      <c r="AS48" s="35"/>
    </row>
    <row r="49" spans="1:45" ht="15.6" x14ac:dyDescent="0.3">
      <c r="A49" s="53">
        <v>46</v>
      </c>
      <c r="B49" s="55" t="s">
        <v>67</v>
      </c>
      <c r="C49" s="54" t="s">
        <v>71</v>
      </c>
      <c r="D49" s="348"/>
      <c r="E49" s="53"/>
      <c r="F49" s="56"/>
      <c r="G49" s="53"/>
      <c r="H49" s="56"/>
      <c r="I49" s="57"/>
      <c r="J49" s="53"/>
      <c r="K49" s="56"/>
      <c r="L49" s="57"/>
      <c r="M49" s="58"/>
      <c r="N49" s="56"/>
      <c r="O49" s="57"/>
      <c r="P49" s="58">
        <f t="shared" si="0"/>
        <v>0.72</v>
      </c>
      <c r="Q49" s="59">
        <f t="shared" si="1"/>
        <v>1800</v>
      </c>
      <c r="R49" s="19">
        <v>1</v>
      </c>
      <c r="S49" s="19">
        <v>0</v>
      </c>
      <c r="T49" s="23">
        <v>0</v>
      </c>
      <c r="U49" s="24">
        <v>0</v>
      </c>
      <c r="V49" s="33">
        <v>0</v>
      </c>
      <c r="W49" s="34">
        <v>0</v>
      </c>
      <c r="X49" s="35">
        <v>0</v>
      </c>
      <c r="Y49" s="19">
        <v>0</v>
      </c>
      <c r="Z49" s="23">
        <v>0</v>
      </c>
      <c r="AA49" s="24">
        <v>0</v>
      </c>
      <c r="AB49" s="33">
        <v>0</v>
      </c>
      <c r="AC49" s="34">
        <v>0</v>
      </c>
      <c r="AD49" s="35">
        <v>0</v>
      </c>
      <c r="AE49" s="36">
        <v>0</v>
      </c>
      <c r="AF49" s="23">
        <v>0</v>
      </c>
      <c r="AG49" s="24">
        <v>0</v>
      </c>
      <c r="AH49" s="33">
        <v>0</v>
      </c>
      <c r="AI49" s="37">
        <v>0</v>
      </c>
      <c r="AJ49" s="35">
        <v>0</v>
      </c>
      <c r="AK49" s="36">
        <v>0</v>
      </c>
      <c r="AL49" s="38">
        <v>0</v>
      </c>
      <c r="AM49" s="35">
        <v>0</v>
      </c>
      <c r="AN49" s="19">
        <v>0</v>
      </c>
      <c r="AO49" s="23">
        <v>0</v>
      </c>
      <c r="AP49" s="24">
        <v>0</v>
      </c>
      <c r="AQ49" s="58">
        <f t="shared" si="2"/>
        <v>0.72</v>
      </c>
      <c r="AR49" s="59">
        <f t="shared" si="3"/>
        <v>1800</v>
      </c>
      <c r="AS49" s="19">
        <v>1</v>
      </c>
    </row>
    <row r="50" spans="1:45" ht="15.6" x14ac:dyDescent="0.3">
      <c r="A50" s="53">
        <v>47</v>
      </c>
      <c r="B50" s="55" t="s">
        <v>67</v>
      </c>
      <c r="C50" s="54" t="s">
        <v>72</v>
      </c>
      <c r="D50" s="348"/>
      <c r="E50" s="53"/>
      <c r="F50" s="56"/>
      <c r="G50" s="53"/>
      <c r="H50" s="56"/>
      <c r="I50" s="57"/>
      <c r="J50" s="53"/>
      <c r="K50" s="56"/>
      <c r="L50" s="57"/>
      <c r="M50" s="58"/>
      <c r="N50" s="56"/>
      <c r="O50" s="57"/>
      <c r="P50" s="58">
        <f t="shared" si="0"/>
        <v>5.04</v>
      </c>
      <c r="Q50" s="59">
        <f t="shared" si="1"/>
        <v>12600</v>
      </c>
      <c r="R50" s="19">
        <v>7</v>
      </c>
      <c r="S50" s="19">
        <v>0</v>
      </c>
      <c r="T50" s="23">
        <v>0</v>
      </c>
      <c r="U50" s="24">
        <v>0</v>
      </c>
      <c r="V50" s="33">
        <v>0</v>
      </c>
      <c r="W50" s="34">
        <v>0</v>
      </c>
      <c r="X50" s="35">
        <v>0</v>
      </c>
      <c r="Y50" s="19">
        <v>0</v>
      </c>
      <c r="Z50" s="23">
        <v>0</v>
      </c>
      <c r="AA50" s="24">
        <v>0</v>
      </c>
      <c r="AB50" s="33">
        <v>0</v>
      </c>
      <c r="AC50" s="34">
        <v>0</v>
      </c>
      <c r="AD50" s="35">
        <v>0</v>
      </c>
      <c r="AE50" s="36">
        <v>0</v>
      </c>
      <c r="AF50" s="23">
        <v>0</v>
      </c>
      <c r="AG50" s="24">
        <v>0</v>
      </c>
      <c r="AH50" s="33">
        <v>0</v>
      </c>
      <c r="AI50" s="37">
        <v>0</v>
      </c>
      <c r="AJ50" s="35">
        <v>0</v>
      </c>
      <c r="AK50" s="36">
        <v>0</v>
      </c>
      <c r="AL50" s="38">
        <v>0</v>
      </c>
      <c r="AM50" s="35">
        <v>0</v>
      </c>
      <c r="AN50" s="19">
        <v>0</v>
      </c>
      <c r="AO50" s="23">
        <v>0</v>
      </c>
      <c r="AP50" s="24">
        <v>0</v>
      </c>
      <c r="AQ50" s="58">
        <f t="shared" si="2"/>
        <v>5.04</v>
      </c>
      <c r="AR50" s="59">
        <f t="shared" si="3"/>
        <v>12600</v>
      </c>
      <c r="AS50" s="19">
        <v>7</v>
      </c>
    </row>
    <row r="51" spans="1:45" ht="15.6" x14ac:dyDescent="0.3">
      <c r="A51" s="53">
        <v>48</v>
      </c>
      <c r="B51" s="55" t="s">
        <v>67</v>
      </c>
      <c r="C51" s="54" t="s">
        <v>73</v>
      </c>
      <c r="D51" s="348"/>
      <c r="E51" s="53"/>
      <c r="F51" s="56"/>
      <c r="G51" s="53"/>
      <c r="H51" s="56"/>
      <c r="I51" s="57"/>
      <c r="J51" s="53"/>
      <c r="K51" s="56"/>
      <c r="L51" s="57"/>
      <c r="M51" s="58"/>
      <c r="N51" s="56"/>
      <c r="O51" s="57"/>
      <c r="P51" s="58">
        <f t="shared" si="0"/>
        <v>1.44</v>
      </c>
      <c r="Q51" s="59">
        <f t="shared" si="1"/>
        <v>3600</v>
      </c>
      <c r="R51" s="19">
        <v>2</v>
      </c>
      <c r="S51" s="19">
        <v>0</v>
      </c>
      <c r="T51" s="23">
        <v>0</v>
      </c>
      <c r="U51" s="24">
        <v>0</v>
      </c>
      <c r="V51" s="33">
        <v>0</v>
      </c>
      <c r="W51" s="34">
        <v>0</v>
      </c>
      <c r="X51" s="35">
        <v>0</v>
      </c>
      <c r="Y51" s="19">
        <v>0</v>
      </c>
      <c r="Z51" s="23">
        <v>0</v>
      </c>
      <c r="AA51" s="24">
        <v>0</v>
      </c>
      <c r="AB51" s="33">
        <v>0</v>
      </c>
      <c r="AC51" s="34">
        <v>0</v>
      </c>
      <c r="AD51" s="35">
        <v>0</v>
      </c>
      <c r="AE51" s="36">
        <v>0</v>
      </c>
      <c r="AF51" s="23">
        <v>0</v>
      </c>
      <c r="AG51" s="24">
        <v>0</v>
      </c>
      <c r="AH51" s="33">
        <v>0</v>
      </c>
      <c r="AI51" s="37">
        <v>0</v>
      </c>
      <c r="AJ51" s="35">
        <v>0</v>
      </c>
      <c r="AK51" s="36">
        <v>0</v>
      </c>
      <c r="AL51" s="38">
        <v>0</v>
      </c>
      <c r="AM51" s="35">
        <v>0</v>
      </c>
      <c r="AN51" s="19">
        <v>0</v>
      </c>
      <c r="AO51" s="23">
        <v>0</v>
      </c>
      <c r="AP51" s="24">
        <v>0</v>
      </c>
      <c r="AQ51" s="58">
        <f t="shared" si="2"/>
        <v>1.44</v>
      </c>
      <c r="AR51" s="59">
        <f t="shared" si="3"/>
        <v>3600</v>
      </c>
      <c r="AS51" s="19">
        <v>2</v>
      </c>
    </row>
    <row r="52" spans="1:45" ht="15.6" x14ac:dyDescent="0.3">
      <c r="A52" s="53">
        <v>49</v>
      </c>
      <c r="B52" s="55" t="s">
        <v>67</v>
      </c>
      <c r="C52" s="54" t="s">
        <v>74</v>
      </c>
      <c r="D52" s="348"/>
      <c r="E52" s="53"/>
      <c r="F52" s="56"/>
      <c r="G52" s="53"/>
      <c r="H52" s="56"/>
      <c r="I52" s="57"/>
      <c r="J52" s="53"/>
      <c r="K52" s="56"/>
      <c r="L52" s="57"/>
      <c r="M52" s="58"/>
      <c r="N52" s="56"/>
      <c r="O52" s="57"/>
      <c r="P52" s="58">
        <f t="shared" si="0"/>
        <v>3.6</v>
      </c>
      <c r="Q52" s="59">
        <f t="shared" si="1"/>
        <v>9000</v>
      </c>
      <c r="R52" s="19">
        <v>5</v>
      </c>
      <c r="S52" s="19">
        <v>0</v>
      </c>
      <c r="T52" s="23">
        <v>0</v>
      </c>
      <c r="U52" s="24">
        <v>0</v>
      </c>
      <c r="V52" s="33">
        <v>0</v>
      </c>
      <c r="W52" s="34">
        <v>0</v>
      </c>
      <c r="X52" s="35">
        <v>0</v>
      </c>
      <c r="Y52" s="19">
        <v>0</v>
      </c>
      <c r="Z52" s="23">
        <v>0</v>
      </c>
      <c r="AA52" s="24">
        <v>0</v>
      </c>
      <c r="AB52" s="33">
        <v>0</v>
      </c>
      <c r="AC52" s="34">
        <v>0</v>
      </c>
      <c r="AD52" s="35">
        <v>0</v>
      </c>
      <c r="AE52" s="36">
        <v>0</v>
      </c>
      <c r="AF52" s="23">
        <v>0</v>
      </c>
      <c r="AG52" s="24">
        <v>0</v>
      </c>
      <c r="AH52" s="33">
        <v>0</v>
      </c>
      <c r="AI52" s="37">
        <v>0</v>
      </c>
      <c r="AJ52" s="35">
        <v>0</v>
      </c>
      <c r="AK52" s="36">
        <v>0</v>
      </c>
      <c r="AL52" s="38">
        <v>0</v>
      </c>
      <c r="AM52" s="35">
        <v>0</v>
      </c>
      <c r="AN52" s="19">
        <v>0</v>
      </c>
      <c r="AO52" s="23">
        <v>0</v>
      </c>
      <c r="AP52" s="24">
        <v>0</v>
      </c>
      <c r="AQ52" s="58">
        <f t="shared" si="2"/>
        <v>3.6</v>
      </c>
      <c r="AR52" s="59">
        <f t="shared" si="3"/>
        <v>9000</v>
      </c>
      <c r="AS52" s="19">
        <v>5</v>
      </c>
    </row>
    <row r="53" spans="1:45" ht="15.6" x14ac:dyDescent="0.3">
      <c r="A53" s="53">
        <v>50</v>
      </c>
      <c r="B53" s="55" t="s">
        <v>67</v>
      </c>
      <c r="C53" s="54" t="s">
        <v>75</v>
      </c>
      <c r="D53" s="348"/>
      <c r="E53" s="53"/>
      <c r="F53" s="56"/>
      <c r="G53" s="53"/>
      <c r="H53" s="56"/>
      <c r="I53" s="57"/>
      <c r="J53" s="53"/>
      <c r="K53" s="56"/>
      <c r="L53" s="57"/>
      <c r="M53" s="58"/>
      <c r="N53" s="56"/>
      <c r="O53" s="57"/>
      <c r="P53" s="58">
        <f t="shared" si="0"/>
        <v>3.6</v>
      </c>
      <c r="Q53" s="59">
        <f t="shared" si="1"/>
        <v>9000</v>
      </c>
      <c r="R53" s="35">
        <v>5</v>
      </c>
      <c r="S53" s="19">
        <v>0</v>
      </c>
      <c r="T53" s="23">
        <v>0</v>
      </c>
      <c r="U53" s="24">
        <v>0</v>
      </c>
      <c r="V53" s="33">
        <v>0</v>
      </c>
      <c r="W53" s="34">
        <v>0</v>
      </c>
      <c r="X53" s="35">
        <v>0</v>
      </c>
      <c r="Y53" s="19">
        <v>0</v>
      </c>
      <c r="Z53" s="23">
        <v>0</v>
      </c>
      <c r="AA53" s="24">
        <v>0</v>
      </c>
      <c r="AB53" s="33">
        <v>0</v>
      </c>
      <c r="AC53" s="34">
        <v>0</v>
      </c>
      <c r="AD53" s="35">
        <v>0</v>
      </c>
      <c r="AE53" s="36">
        <v>0</v>
      </c>
      <c r="AF53" s="23">
        <v>0</v>
      </c>
      <c r="AG53" s="24">
        <v>0</v>
      </c>
      <c r="AH53" s="33">
        <v>0</v>
      </c>
      <c r="AI53" s="37">
        <v>0</v>
      </c>
      <c r="AJ53" s="35">
        <v>0</v>
      </c>
      <c r="AK53" s="36">
        <v>0</v>
      </c>
      <c r="AL53" s="38">
        <v>0</v>
      </c>
      <c r="AM53" s="35">
        <v>0</v>
      </c>
      <c r="AN53" s="19">
        <v>0</v>
      </c>
      <c r="AO53" s="23">
        <v>0</v>
      </c>
      <c r="AP53" s="24">
        <v>0</v>
      </c>
      <c r="AQ53" s="58">
        <f t="shared" si="2"/>
        <v>3.6</v>
      </c>
      <c r="AR53" s="59">
        <f t="shared" si="3"/>
        <v>9000</v>
      </c>
      <c r="AS53" s="35">
        <v>5</v>
      </c>
    </row>
    <row r="54" spans="1:45" ht="15.6" x14ac:dyDescent="0.3">
      <c r="A54" s="53">
        <v>51</v>
      </c>
      <c r="B54" s="55" t="s">
        <v>67</v>
      </c>
      <c r="C54" s="54" t="s">
        <v>368</v>
      </c>
      <c r="D54" s="348"/>
      <c r="E54" s="53"/>
      <c r="F54" s="56"/>
      <c r="G54" s="53"/>
      <c r="H54" s="56"/>
      <c r="I54" s="57"/>
      <c r="J54" s="53"/>
      <c r="K54" s="56"/>
      <c r="L54" s="57"/>
      <c r="M54" s="58"/>
      <c r="N54" s="56"/>
      <c r="O54" s="57"/>
      <c r="P54" s="58">
        <f t="shared" si="0"/>
        <v>1.44</v>
      </c>
      <c r="Q54" s="59">
        <f t="shared" si="1"/>
        <v>3600</v>
      </c>
      <c r="R54" s="19">
        <v>2</v>
      </c>
      <c r="S54" s="19"/>
      <c r="T54" s="23"/>
      <c r="U54" s="24"/>
      <c r="V54" s="33"/>
      <c r="W54" s="34"/>
      <c r="X54" s="35"/>
      <c r="Y54" s="19"/>
      <c r="Z54" s="23"/>
      <c r="AA54" s="24"/>
      <c r="AB54" s="33"/>
      <c r="AC54" s="34"/>
      <c r="AD54" s="35"/>
      <c r="AE54" s="36"/>
      <c r="AF54" s="23"/>
      <c r="AG54" s="24"/>
      <c r="AH54" s="33"/>
      <c r="AI54" s="37"/>
      <c r="AJ54" s="35"/>
      <c r="AK54" s="36"/>
      <c r="AL54" s="38"/>
      <c r="AM54" s="35"/>
      <c r="AN54" s="19"/>
      <c r="AO54" s="23"/>
      <c r="AP54" s="24"/>
      <c r="AQ54" s="58">
        <f t="shared" si="2"/>
        <v>1.44</v>
      </c>
      <c r="AR54" s="59">
        <f t="shared" si="3"/>
        <v>3600</v>
      </c>
      <c r="AS54" s="19">
        <v>2</v>
      </c>
    </row>
    <row r="55" spans="1:45" ht="15.6" x14ac:dyDescent="0.3">
      <c r="A55" s="53">
        <v>51</v>
      </c>
      <c r="B55" s="55" t="s">
        <v>67</v>
      </c>
      <c r="C55" s="54" t="s">
        <v>76</v>
      </c>
      <c r="D55" s="348"/>
      <c r="E55" s="53"/>
      <c r="F55" s="56"/>
      <c r="G55" s="53"/>
      <c r="H55" s="56"/>
      <c r="I55" s="57"/>
      <c r="J55" s="53"/>
      <c r="K55" s="56"/>
      <c r="L55" s="57"/>
      <c r="M55" s="58"/>
      <c r="N55" s="56"/>
      <c r="O55" s="57"/>
      <c r="P55" s="58">
        <f t="shared" si="0"/>
        <v>0</v>
      </c>
      <c r="Q55" s="59">
        <f t="shared" si="1"/>
        <v>0</v>
      </c>
      <c r="R55" s="35">
        <v>0</v>
      </c>
      <c r="S55" s="19">
        <v>0</v>
      </c>
      <c r="T55" s="23">
        <v>0</v>
      </c>
      <c r="U55" s="24">
        <v>0</v>
      </c>
      <c r="V55" s="33">
        <v>0</v>
      </c>
      <c r="W55" s="34">
        <v>0</v>
      </c>
      <c r="X55" s="35">
        <v>0</v>
      </c>
      <c r="Y55" s="19">
        <v>0</v>
      </c>
      <c r="Z55" s="23">
        <v>0</v>
      </c>
      <c r="AA55" s="24">
        <v>0</v>
      </c>
      <c r="AB55" s="33">
        <v>0</v>
      </c>
      <c r="AC55" s="34">
        <v>0</v>
      </c>
      <c r="AD55" s="35">
        <v>0</v>
      </c>
      <c r="AE55" s="36">
        <v>0</v>
      </c>
      <c r="AF55" s="23">
        <v>0</v>
      </c>
      <c r="AG55" s="24">
        <v>0</v>
      </c>
      <c r="AH55" s="33">
        <v>0</v>
      </c>
      <c r="AI55" s="37">
        <v>0</v>
      </c>
      <c r="AJ55" s="35">
        <v>0</v>
      </c>
      <c r="AK55" s="36">
        <v>0</v>
      </c>
      <c r="AL55" s="38">
        <v>0</v>
      </c>
      <c r="AM55" s="35">
        <v>0</v>
      </c>
      <c r="AN55" s="19">
        <v>0</v>
      </c>
      <c r="AO55" s="23">
        <v>0</v>
      </c>
      <c r="AP55" s="24">
        <v>0</v>
      </c>
      <c r="AQ55" s="58">
        <f t="shared" si="2"/>
        <v>0</v>
      </c>
      <c r="AR55" s="59">
        <f t="shared" si="3"/>
        <v>0</v>
      </c>
      <c r="AS55" s="35">
        <v>0</v>
      </c>
    </row>
    <row r="56" spans="1:45" ht="15.6" x14ac:dyDescent="0.3">
      <c r="A56" s="53">
        <v>52</v>
      </c>
      <c r="B56" s="55" t="s">
        <v>77</v>
      </c>
      <c r="C56" s="54" t="s">
        <v>78</v>
      </c>
      <c r="D56" s="348" t="s">
        <v>25</v>
      </c>
      <c r="E56" s="53"/>
      <c r="F56" s="56"/>
      <c r="G56" s="53"/>
      <c r="H56" s="56"/>
      <c r="I56" s="57"/>
      <c r="J56" s="53"/>
      <c r="K56" s="56"/>
      <c r="L56" s="57"/>
      <c r="M56" s="58"/>
      <c r="N56" s="56"/>
      <c r="O56" s="57"/>
      <c r="P56" s="58">
        <f t="shared" si="0"/>
        <v>0.72</v>
      </c>
      <c r="Q56" s="59">
        <f t="shared" si="1"/>
        <v>1800</v>
      </c>
      <c r="R56" s="35">
        <v>1</v>
      </c>
      <c r="S56" s="19">
        <v>0</v>
      </c>
      <c r="T56" s="23">
        <v>0</v>
      </c>
      <c r="U56" s="24">
        <v>0</v>
      </c>
      <c r="V56" s="33">
        <v>0</v>
      </c>
      <c r="W56" s="34">
        <v>0</v>
      </c>
      <c r="X56" s="35">
        <v>0</v>
      </c>
      <c r="Y56" s="19">
        <v>0</v>
      </c>
      <c r="Z56" s="23">
        <v>0</v>
      </c>
      <c r="AA56" s="24">
        <v>0</v>
      </c>
      <c r="AB56" s="33">
        <v>0</v>
      </c>
      <c r="AC56" s="34">
        <v>0</v>
      </c>
      <c r="AD56" s="35">
        <v>0</v>
      </c>
      <c r="AE56" s="36">
        <v>0</v>
      </c>
      <c r="AF56" s="23">
        <v>0</v>
      </c>
      <c r="AG56" s="24">
        <v>0</v>
      </c>
      <c r="AH56" s="33">
        <v>0</v>
      </c>
      <c r="AI56" s="37">
        <v>0</v>
      </c>
      <c r="AJ56" s="35">
        <v>0</v>
      </c>
      <c r="AK56" s="36">
        <v>0</v>
      </c>
      <c r="AL56" s="38">
        <v>0</v>
      </c>
      <c r="AM56" s="35">
        <v>0</v>
      </c>
      <c r="AN56" s="19">
        <v>0</v>
      </c>
      <c r="AO56" s="23">
        <v>0</v>
      </c>
      <c r="AP56" s="24">
        <v>0</v>
      </c>
      <c r="AQ56" s="58">
        <f t="shared" si="2"/>
        <v>0.72</v>
      </c>
      <c r="AR56" s="59">
        <f t="shared" si="3"/>
        <v>1800</v>
      </c>
      <c r="AS56" s="35">
        <v>1</v>
      </c>
    </row>
    <row r="57" spans="1:45" ht="15.6" x14ac:dyDescent="0.3">
      <c r="A57" s="53">
        <v>53</v>
      </c>
      <c r="B57" s="55" t="s">
        <v>77</v>
      </c>
      <c r="C57" s="54" t="s">
        <v>79</v>
      </c>
      <c r="D57" s="348"/>
      <c r="E57" s="53"/>
      <c r="F57" s="56"/>
      <c r="G57" s="53"/>
      <c r="H57" s="56"/>
      <c r="I57" s="57"/>
      <c r="J57" s="53"/>
      <c r="K57" s="56"/>
      <c r="L57" s="57"/>
      <c r="M57" s="58"/>
      <c r="N57" s="56"/>
      <c r="O57" s="57"/>
      <c r="P57" s="58">
        <f t="shared" si="0"/>
        <v>3.6</v>
      </c>
      <c r="Q57" s="59">
        <f t="shared" si="1"/>
        <v>9000</v>
      </c>
      <c r="R57" s="35">
        <v>5</v>
      </c>
      <c r="S57" s="19">
        <v>0</v>
      </c>
      <c r="T57" s="23">
        <v>0</v>
      </c>
      <c r="U57" s="24">
        <v>0</v>
      </c>
      <c r="V57" s="33">
        <v>0</v>
      </c>
      <c r="W57" s="34">
        <v>0</v>
      </c>
      <c r="X57" s="35">
        <v>0</v>
      </c>
      <c r="Y57" s="19">
        <v>0</v>
      </c>
      <c r="Z57" s="23">
        <v>0</v>
      </c>
      <c r="AA57" s="24">
        <v>0</v>
      </c>
      <c r="AB57" s="33">
        <v>0</v>
      </c>
      <c r="AC57" s="34">
        <v>0</v>
      </c>
      <c r="AD57" s="35">
        <v>0</v>
      </c>
      <c r="AE57" s="36">
        <v>0</v>
      </c>
      <c r="AF57" s="23">
        <v>0</v>
      </c>
      <c r="AG57" s="24">
        <v>0</v>
      </c>
      <c r="AH57" s="33">
        <v>0</v>
      </c>
      <c r="AI57" s="37">
        <v>0</v>
      </c>
      <c r="AJ57" s="35">
        <v>0</v>
      </c>
      <c r="AK57" s="36">
        <v>0</v>
      </c>
      <c r="AL57" s="38">
        <v>0</v>
      </c>
      <c r="AM57" s="35">
        <v>0</v>
      </c>
      <c r="AN57" s="19">
        <v>0</v>
      </c>
      <c r="AO57" s="23">
        <v>0</v>
      </c>
      <c r="AP57" s="24">
        <v>0</v>
      </c>
      <c r="AQ57" s="58">
        <f t="shared" si="2"/>
        <v>3.6</v>
      </c>
      <c r="AR57" s="59">
        <f t="shared" si="3"/>
        <v>9000</v>
      </c>
      <c r="AS57" s="35">
        <v>5</v>
      </c>
    </row>
    <row r="58" spans="1:45" ht="15.6" x14ac:dyDescent="0.3">
      <c r="A58" s="53">
        <v>54</v>
      </c>
      <c r="B58" s="55" t="s">
        <v>77</v>
      </c>
      <c r="C58" s="54" t="s">
        <v>80</v>
      </c>
      <c r="D58" s="348"/>
      <c r="E58" s="53"/>
      <c r="F58" s="56"/>
      <c r="G58" s="53"/>
      <c r="H58" s="56"/>
      <c r="I58" s="57"/>
      <c r="J58" s="53"/>
      <c r="K58" s="56"/>
      <c r="L58" s="57"/>
      <c r="M58" s="58"/>
      <c r="N58" s="56"/>
      <c r="O58" s="57"/>
      <c r="P58" s="58">
        <f t="shared" si="0"/>
        <v>0.72</v>
      </c>
      <c r="Q58" s="59">
        <f t="shared" si="1"/>
        <v>1800</v>
      </c>
      <c r="R58" s="35">
        <v>1</v>
      </c>
      <c r="S58" s="19">
        <v>0</v>
      </c>
      <c r="T58" s="23">
        <v>0</v>
      </c>
      <c r="U58" s="24">
        <v>0</v>
      </c>
      <c r="V58" s="33">
        <v>0</v>
      </c>
      <c r="W58" s="34">
        <v>0</v>
      </c>
      <c r="X58" s="35">
        <v>0</v>
      </c>
      <c r="Y58" s="19">
        <v>0</v>
      </c>
      <c r="Z58" s="23">
        <v>0</v>
      </c>
      <c r="AA58" s="24">
        <v>0</v>
      </c>
      <c r="AB58" s="33">
        <v>0</v>
      </c>
      <c r="AC58" s="34">
        <v>0</v>
      </c>
      <c r="AD58" s="35">
        <v>0</v>
      </c>
      <c r="AE58" s="36">
        <v>0</v>
      </c>
      <c r="AF58" s="23">
        <v>0</v>
      </c>
      <c r="AG58" s="24">
        <v>0</v>
      </c>
      <c r="AH58" s="33">
        <v>0</v>
      </c>
      <c r="AI58" s="37">
        <v>0</v>
      </c>
      <c r="AJ58" s="35">
        <v>0</v>
      </c>
      <c r="AK58" s="36">
        <v>0</v>
      </c>
      <c r="AL58" s="38">
        <v>0</v>
      </c>
      <c r="AM58" s="35">
        <v>0</v>
      </c>
      <c r="AN58" s="19">
        <v>0</v>
      </c>
      <c r="AO58" s="23">
        <v>0</v>
      </c>
      <c r="AP58" s="24">
        <v>0</v>
      </c>
      <c r="AQ58" s="58">
        <f t="shared" si="2"/>
        <v>0.72</v>
      </c>
      <c r="AR58" s="59">
        <f t="shared" si="3"/>
        <v>1800</v>
      </c>
      <c r="AS58" s="35">
        <v>1</v>
      </c>
    </row>
    <row r="59" spans="1:45" ht="15.6" x14ac:dyDescent="0.3">
      <c r="A59" s="53">
        <v>55</v>
      </c>
      <c r="B59" s="55" t="s">
        <v>77</v>
      </c>
      <c r="C59" s="54" t="s">
        <v>81</v>
      </c>
      <c r="D59" s="348"/>
      <c r="E59" s="53"/>
      <c r="F59" s="56"/>
      <c r="G59" s="53"/>
      <c r="H59" s="56"/>
      <c r="I59" s="57"/>
      <c r="J59" s="53"/>
      <c r="K59" s="56"/>
      <c r="L59" s="57"/>
      <c r="M59" s="58"/>
      <c r="N59" s="56"/>
      <c r="O59" s="57"/>
      <c r="P59" s="58">
        <f t="shared" si="0"/>
        <v>5.76</v>
      </c>
      <c r="Q59" s="59">
        <f t="shared" si="1"/>
        <v>14400</v>
      </c>
      <c r="R59" s="35">
        <v>8</v>
      </c>
      <c r="S59" s="19">
        <v>0</v>
      </c>
      <c r="T59" s="23">
        <v>0</v>
      </c>
      <c r="U59" s="24">
        <v>0</v>
      </c>
      <c r="V59" s="33">
        <v>0</v>
      </c>
      <c r="W59" s="34">
        <v>0</v>
      </c>
      <c r="X59" s="35">
        <v>0</v>
      </c>
      <c r="Y59" s="19">
        <v>0</v>
      </c>
      <c r="Z59" s="23">
        <v>0</v>
      </c>
      <c r="AA59" s="24">
        <v>0</v>
      </c>
      <c r="AB59" s="33">
        <v>0</v>
      </c>
      <c r="AC59" s="34">
        <v>0</v>
      </c>
      <c r="AD59" s="35">
        <v>0</v>
      </c>
      <c r="AE59" s="36">
        <v>0</v>
      </c>
      <c r="AF59" s="23">
        <v>0</v>
      </c>
      <c r="AG59" s="24">
        <v>0</v>
      </c>
      <c r="AH59" s="33">
        <v>0</v>
      </c>
      <c r="AI59" s="37">
        <v>0</v>
      </c>
      <c r="AJ59" s="35">
        <v>0</v>
      </c>
      <c r="AK59" s="36">
        <v>0</v>
      </c>
      <c r="AL59" s="38">
        <v>0</v>
      </c>
      <c r="AM59" s="35">
        <v>0</v>
      </c>
      <c r="AN59" s="19">
        <v>0</v>
      </c>
      <c r="AO59" s="23">
        <v>0</v>
      </c>
      <c r="AP59" s="24">
        <v>0</v>
      </c>
      <c r="AQ59" s="58">
        <f t="shared" si="2"/>
        <v>5.76</v>
      </c>
      <c r="AR59" s="59">
        <f t="shared" si="3"/>
        <v>14400</v>
      </c>
      <c r="AS59" s="35">
        <v>8</v>
      </c>
    </row>
    <row r="60" spans="1:45" ht="15.6" x14ac:dyDescent="0.3">
      <c r="A60" s="53">
        <v>56</v>
      </c>
      <c r="B60" s="55" t="s">
        <v>77</v>
      </c>
      <c r="C60" s="54" t="s">
        <v>82</v>
      </c>
      <c r="D60" s="348"/>
      <c r="E60" s="53"/>
      <c r="F60" s="56"/>
      <c r="G60" s="53"/>
      <c r="H60" s="56"/>
      <c r="I60" s="57"/>
      <c r="J60" s="53"/>
      <c r="K60" s="56"/>
      <c r="L60" s="57"/>
      <c r="M60" s="58"/>
      <c r="N60" s="56"/>
      <c r="O60" s="57"/>
      <c r="P60" s="58">
        <f t="shared" si="0"/>
        <v>2.16</v>
      </c>
      <c r="Q60" s="59">
        <f t="shared" si="1"/>
        <v>5400</v>
      </c>
      <c r="R60" s="35">
        <v>3</v>
      </c>
      <c r="S60" s="19">
        <v>0</v>
      </c>
      <c r="T60" s="23">
        <v>0</v>
      </c>
      <c r="U60" s="24">
        <v>0</v>
      </c>
      <c r="V60" s="33">
        <v>0</v>
      </c>
      <c r="W60" s="34">
        <v>0</v>
      </c>
      <c r="X60" s="35">
        <v>0</v>
      </c>
      <c r="Y60" s="19">
        <v>0</v>
      </c>
      <c r="Z60" s="23">
        <v>0</v>
      </c>
      <c r="AA60" s="24">
        <v>0</v>
      </c>
      <c r="AB60" s="33">
        <v>0</v>
      </c>
      <c r="AC60" s="34">
        <v>0</v>
      </c>
      <c r="AD60" s="35">
        <v>0</v>
      </c>
      <c r="AE60" s="36">
        <v>0</v>
      </c>
      <c r="AF60" s="23">
        <v>0</v>
      </c>
      <c r="AG60" s="24">
        <v>0</v>
      </c>
      <c r="AH60" s="33">
        <v>0</v>
      </c>
      <c r="AI60" s="37">
        <v>0</v>
      </c>
      <c r="AJ60" s="35">
        <v>0</v>
      </c>
      <c r="AK60" s="36">
        <v>0</v>
      </c>
      <c r="AL60" s="38">
        <v>0</v>
      </c>
      <c r="AM60" s="35">
        <v>0</v>
      </c>
      <c r="AN60" s="19">
        <v>0</v>
      </c>
      <c r="AO60" s="23">
        <v>0</v>
      </c>
      <c r="AP60" s="24">
        <v>0</v>
      </c>
      <c r="AQ60" s="58">
        <f t="shared" si="2"/>
        <v>2.16</v>
      </c>
      <c r="AR60" s="59">
        <f t="shared" si="3"/>
        <v>5400</v>
      </c>
      <c r="AS60" s="35">
        <v>3</v>
      </c>
    </row>
    <row r="61" spans="1:45" ht="15.6" x14ac:dyDescent="0.3">
      <c r="A61" s="53">
        <v>57</v>
      </c>
      <c r="B61" s="55" t="s">
        <v>77</v>
      </c>
      <c r="C61" s="54" t="s">
        <v>83</v>
      </c>
      <c r="D61" s="348"/>
      <c r="E61" s="53"/>
      <c r="F61" s="56"/>
      <c r="G61" s="53"/>
      <c r="H61" s="56"/>
      <c r="I61" s="57"/>
      <c r="J61" s="53"/>
      <c r="K61" s="56"/>
      <c r="L61" s="57"/>
      <c r="M61" s="58"/>
      <c r="N61" s="56"/>
      <c r="O61" s="57"/>
      <c r="P61" s="58">
        <f t="shared" si="0"/>
        <v>2.16</v>
      </c>
      <c r="Q61" s="59">
        <f t="shared" si="1"/>
        <v>5400</v>
      </c>
      <c r="R61" s="35">
        <v>3</v>
      </c>
      <c r="S61" s="19">
        <v>0</v>
      </c>
      <c r="T61" s="23">
        <v>0</v>
      </c>
      <c r="U61" s="24">
        <v>0</v>
      </c>
      <c r="V61" s="33">
        <v>0</v>
      </c>
      <c r="W61" s="34">
        <v>0</v>
      </c>
      <c r="X61" s="35">
        <v>0</v>
      </c>
      <c r="Y61" s="19">
        <v>0</v>
      </c>
      <c r="Z61" s="23">
        <v>0</v>
      </c>
      <c r="AA61" s="24">
        <v>0</v>
      </c>
      <c r="AB61" s="33">
        <v>0</v>
      </c>
      <c r="AC61" s="34">
        <v>0</v>
      </c>
      <c r="AD61" s="35">
        <v>0</v>
      </c>
      <c r="AE61" s="36">
        <v>0</v>
      </c>
      <c r="AF61" s="23">
        <v>0</v>
      </c>
      <c r="AG61" s="24">
        <v>0</v>
      </c>
      <c r="AH61" s="33">
        <v>0</v>
      </c>
      <c r="AI61" s="37">
        <v>0</v>
      </c>
      <c r="AJ61" s="35">
        <v>0</v>
      </c>
      <c r="AK61" s="36">
        <v>0</v>
      </c>
      <c r="AL61" s="38">
        <v>0</v>
      </c>
      <c r="AM61" s="35">
        <v>0</v>
      </c>
      <c r="AN61" s="19">
        <v>0</v>
      </c>
      <c r="AO61" s="23">
        <v>0</v>
      </c>
      <c r="AP61" s="24">
        <v>0</v>
      </c>
      <c r="AQ61" s="58">
        <f t="shared" si="2"/>
        <v>2.16</v>
      </c>
      <c r="AR61" s="59">
        <f t="shared" si="3"/>
        <v>5400</v>
      </c>
      <c r="AS61" s="35">
        <v>3</v>
      </c>
    </row>
    <row r="62" spans="1:45" ht="15.6" x14ac:dyDescent="0.3">
      <c r="A62" s="53">
        <v>58</v>
      </c>
      <c r="B62" s="55" t="s">
        <v>77</v>
      </c>
      <c r="C62" s="54" t="s">
        <v>84</v>
      </c>
      <c r="D62" s="348"/>
      <c r="E62" s="53"/>
      <c r="F62" s="56"/>
      <c r="G62" s="53"/>
      <c r="H62" s="56"/>
      <c r="I62" s="57"/>
      <c r="J62" s="53"/>
      <c r="K62" s="56"/>
      <c r="L62" s="57"/>
      <c r="M62" s="58"/>
      <c r="N62" s="56"/>
      <c r="O62" s="57"/>
      <c r="P62" s="58">
        <f t="shared" si="0"/>
        <v>15.12</v>
      </c>
      <c r="Q62" s="59">
        <f t="shared" si="1"/>
        <v>37800</v>
      </c>
      <c r="R62" s="35">
        <v>21</v>
      </c>
      <c r="S62" s="19">
        <v>0</v>
      </c>
      <c r="T62" s="23">
        <v>0</v>
      </c>
      <c r="U62" s="24">
        <v>0</v>
      </c>
      <c r="V62" s="33">
        <v>0</v>
      </c>
      <c r="W62" s="34">
        <v>0</v>
      </c>
      <c r="X62" s="35">
        <v>0</v>
      </c>
      <c r="Y62" s="19">
        <v>0</v>
      </c>
      <c r="Z62" s="23">
        <v>0</v>
      </c>
      <c r="AA62" s="24">
        <v>0</v>
      </c>
      <c r="AB62" s="33">
        <v>0</v>
      </c>
      <c r="AC62" s="34">
        <v>0</v>
      </c>
      <c r="AD62" s="35">
        <v>0</v>
      </c>
      <c r="AE62" s="36">
        <v>0</v>
      </c>
      <c r="AF62" s="23">
        <v>0</v>
      </c>
      <c r="AG62" s="24">
        <v>0</v>
      </c>
      <c r="AH62" s="33">
        <v>0</v>
      </c>
      <c r="AI62" s="37">
        <v>0</v>
      </c>
      <c r="AJ62" s="35">
        <v>0</v>
      </c>
      <c r="AK62" s="36">
        <v>0</v>
      </c>
      <c r="AL62" s="38">
        <v>0</v>
      </c>
      <c r="AM62" s="35">
        <v>0</v>
      </c>
      <c r="AN62" s="19">
        <v>0</v>
      </c>
      <c r="AO62" s="23">
        <v>0</v>
      </c>
      <c r="AP62" s="24">
        <v>0</v>
      </c>
      <c r="AQ62" s="58">
        <f t="shared" si="2"/>
        <v>15.12</v>
      </c>
      <c r="AR62" s="59">
        <f t="shared" si="3"/>
        <v>37800</v>
      </c>
      <c r="AS62" s="35">
        <v>21</v>
      </c>
    </row>
    <row r="63" spans="1:45" ht="15.6" x14ac:dyDescent="0.3">
      <c r="A63" s="53">
        <v>59</v>
      </c>
      <c r="B63" s="55" t="s">
        <v>77</v>
      </c>
      <c r="C63" s="54" t="s">
        <v>85</v>
      </c>
      <c r="D63" s="348"/>
      <c r="E63" s="53"/>
      <c r="F63" s="56"/>
      <c r="G63" s="53"/>
      <c r="H63" s="56"/>
      <c r="I63" s="57"/>
      <c r="J63" s="53"/>
      <c r="K63" s="56"/>
      <c r="L63" s="57"/>
      <c r="M63" s="58"/>
      <c r="N63" s="56"/>
      <c r="O63" s="57"/>
      <c r="P63" s="58">
        <f t="shared" si="0"/>
        <v>5.76</v>
      </c>
      <c r="Q63" s="59">
        <f t="shared" si="1"/>
        <v>14400</v>
      </c>
      <c r="R63" s="35">
        <v>8</v>
      </c>
      <c r="S63" s="19">
        <v>0</v>
      </c>
      <c r="T63" s="23">
        <v>0</v>
      </c>
      <c r="U63" s="24">
        <v>0</v>
      </c>
      <c r="V63" s="33">
        <v>0</v>
      </c>
      <c r="W63" s="34">
        <v>0</v>
      </c>
      <c r="X63" s="35">
        <v>0</v>
      </c>
      <c r="Y63" s="19">
        <v>0</v>
      </c>
      <c r="Z63" s="23">
        <v>0</v>
      </c>
      <c r="AA63" s="24">
        <v>0</v>
      </c>
      <c r="AB63" s="33">
        <v>0</v>
      </c>
      <c r="AC63" s="34">
        <v>0</v>
      </c>
      <c r="AD63" s="35">
        <v>0</v>
      </c>
      <c r="AE63" s="36">
        <v>0</v>
      </c>
      <c r="AF63" s="23">
        <v>0</v>
      </c>
      <c r="AG63" s="24">
        <v>0</v>
      </c>
      <c r="AH63" s="33">
        <v>0</v>
      </c>
      <c r="AI63" s="37">
        <v>0</v>
      </c>
      <c r="AJ63" s="35">
        <v>0</v>
      </c>
      <c r="AK63" s="36">
        <v>0</v>
      </c>
      <c r="AL63" s="38">
        <v>0</v>
      </c>
      <c r="AM63" s="35">
        <v>0</v>
      </c>
      <c r="AN63" s="19">
        <v>0</v>
      </c>
      <c r="AO63" s="23">
        <v>0</v>
      </c>
      <c r="AP63" s="24">
        <v>0</v>
      </c>
      <c r="AQ63" s="58">
        <f t="shared" si="2"/>
        <v>5.76</v>
      </c>
      <c r="AR63" s="59">
        <f t="shared" si="3"/>
        <v>14400</v>
      </c>
      <c r="AS63" s="35">
        <v>8</v>
      </c>
    </row>
    <row r="64" spans="1:45" ht="15.6" x14ac:dyDescent="0.3">
      <c r="A64" s="53">
        <v>60</v>
      </c>
      <c r="B64" s="55" t="s">
        <v>86</v>
      </c>
      <c r="C64" s="54" t="s">
        <v>86</v>
      </c>
      <c r="D64" s="348"/>
      <c r="E64" s="53"/>
      <c r="F64" s="56"/>
      <c r="G64" s="53"/>
      <c r="H64" s="56"/>
      <c r="I64" s="57"/>
      <c r="J64" s="53"/>
      <c r="K64" s="56"/>
      <c r="L64" s="57"/>
      <c r="M64" s="58"/>
      <c r="N64" s="56"/>
      <c r="O64" s="57"/>
      <c r="P64" s="58">
        <f t="shared" si="0"/>
        <v>7.92</v>
      </c>
      <c r="Q64" s="59">
        <f t="shared" si="1"/>
        <v>19800</v>
      </c>
      <c r="R64" s="35">
        <v>11</v>
      </c>
      <c r="S64" s="19">
        <v>0</v>
      </c>
      <c r="T64" s="23">
        <v>0</v>
      </c>
      <c r="U64" s="24">
        <v>0</v>
      </c>
      <c r="V64" s="33">
        <v>0</v>
      </c>
      <c r="W64" s="34">
        <v>0</v>
      </c>
      <c r="X64" s="35">
        <v>0</v>
      </c>
      <c r="Y64" s="19">
        <v>0</v>
      </c>
      <c r="Z64" s="23">
        <v>0</v>
      </c>
      <c r="AA64" s="24">
        <v>0</v>
      </c>
      <c r="AB64" s="33">
        <v>0</v>
      </c>
      <c r="AC64" s="34">
        <v>0</v>
      </c>
      <c r="AD64" s="35">
        <v>0</v>
      </c>
      <c r="AE64" s="36">
        <v>0</v>
      </c>
      <c r="AF64" s="23">
        <v>0</v>
      </c>
      <c r="AG64" s="24">
        <v>0</v>
      </c>
      <c r="AH64" s="33">
        <v>0</v>
      </c>
      <c r="AI64" s="37">
        <v>0</v>
      </c>
      <c r="AJ64" s="35">
        <v>0</v>
      </c>
      <c r="AK64" s="36">
        <v>0</v>
      </c>
      <c r="AL64" s="38">
        <v>0</v>
      </c>
      <c r="AM64" s="35">
        <v>0</v>
      </c>
      <c r="AN64" s="19">
        <v>0</v>
      </c>
      <c r="AO64" s="23">
        <v>0</v>
      </c>
      <c r="AP64" s="24">
        <v>0</v>
      </c>
      <c r="AQ64" s="58">
        <f t="shared" si="2"/>
        <v>7.92</v>
      </c>
      <c r="AR64" s="59">
        <f t="shared" si="3"/>
        <v>19800</v>
      </c>
      <c r="AS64" s="35">
        <v>11</v>
      </c>
    </row>
    <row r="65" spans="1:45" ht="15.6" x14ac:dyDescent="0.3">
      <c r="A65" s="53">
        <v>61</v>
      </c>
      <c r="B65" s="55" t="s">
        <v>86</v>
      </c>
      <c r="C65" s="54" t="s">
        <v>87</v>
      </c>
      <c r="D65" s="348"/>
      <c r="E65" s="53"/>
      <c r="F65" s="56"/>
      <c r="G65" s="53"/>
      <c r="H65" s="56"/>
      <c r="I65" s="57"/>
      <c r="J65" s="53"/>
      <c r="K65" s="56"/>
      <c r="L65" s="57"/>
      <c r="M65" s="58"/>
      <c r="N65" s="56"/>
      <c r="O65" s="57"/>
      <c r="P65" s="58">
        <f t="shared" si="0"/>
        <v>1.44</v>
      </c>
      <c r="Q65" s="59">
        <f t="shared" si="1"/>
        <v>3600</v>
      </c>
      <c r="R65" s="35">
        <v>2</v>
      </c>
      <c r="S65" s="19">
        <v>0</v>
      </c>
      <c r="T65" s="23">
        <v>0</v>
      </c>
      <c r="U65" s="24">
        <v>0</v>
      </c>
      <c r="V65" s="33">
        <v>0</v>
      </c>
      <c r="W65" s="34">
        <v>0</v>
      </c>
      <c r="X65" s="35">
        <v>0</v>
      </c>
      <c r="Y65" s="19">
        <v>0</v>
      </c>
      <c r="Z65" s="23">
        <v>0</v>
      </c>
      <c r="AA65" s="24">
        <v>0</v>
      </c>
      <c r="AB65" s="33">
        <v>0</v>
      </c>
      <c r="AC65" s="34">
        <v>0</v>
      </c>
      <c r="AD65" s="35">
        <v>0</v>
      </c>
      <c r="AE65" s="36">
        <v>0</v>
      </c>
      <c r="AF65" s="23">
        <v>0</v>
      </c>
      <c r="AG65" s="24">
        <v>0</v>
      </c>
      <c r="AH65" s="33">
        <v>0</v>
      </c>
      <c r="AI65" s="37">
        <v>0</v>
      </c>
      <c r="AJ65" s="35">
        <v>0</v>
      </c>
      <c r="AK65" s="36">
        <v>0</v>
      </c>
      <c r="AL65" s="38">
        <v>0</v>
      </c>
      <c r="AM65" s="35">
        <v>0</v>
      </c>
      <c r="AN65" s="19">
        <v>0</v>
      </c>
      <c r="AO65" s="23">
        <v>0</v>
      </c>
      <c r="AP65" s="24">
        <v>0</v>
      </c>
      <c r="AQ65" s="58">
        <f t="shared" si="2"/>
        <v>1.44</v>
      </c>
      <c r="AR65" s="59">
        <f t="shared" si="3"/>
        <v>3600</v>
      </c>
      <c r="AS65" s="35">
        <v>2</v>
      </c>
    </row>
    <row r="66" spans="1:45" ht="15.6" x14ac:dyDescent="0.3">
      <c r="A66" s="53">
        <v>62</v>
      </c>
      <c r="B66" s="55" t="s">
        <v>86</v>
      </c>
      <c r="C66" s="54" t="s">
        <v>88</v>
      </c>
      <c r="D66" s="348"/>
      <c r="E66" s="53"/>
      <c r="F66" s="56"/>
      <c r="G66" s="53"/>
      <c r="H66" s="56"/>
      <c r="I66" s="57"/>
      <c r="J66" s="53"/>
      <c r="K66" s="56"/>
      <c r="L66" s="57"/>
      <c r="M66" s="58"/>
      <c r="N66" s="56"/>
      <c r="O66" s="57"/>
      <c r="P66" s="58">
        <f t="shared" si="0"/>
        <v>2.16</v>
      </c>
      <c r="Q66" s="59">
        <f t="shared" si="1"/>
        <v>5400</v>
      </c>
      <c r="R66" s="35">
        <v>3</v>
      </c>
      <c r="S66" s="19">
        <v>0</v>
      </c>
      <c r="T66" s="23">
        <v>0</v>
      </c>
      <c r="U66" s="24">
        <v>0</v>
      </c>
      <c r="V66" s="33">
        <v>0</v>
      </c>
      <c r="W66" s="34">
        <v>0</v>
      </c>
      <c r="X66" s="35">
        <v>0</v>
      </c>
      <c r="Y66" s="19">
        <v>0</v>
      </c>
      <c r="Z66" s="23">
        <v>0</v>
      </c>
      <c r="AA66" s="24">
        <v>0</v>
      </c>
      <c r="AB66" s="33">
        <v>0</v>
      </c>
      <c r="AC66" s="34">
        <v>0</v>
      </c>
      <c r="AD66" s="35">
        <v>0</v>
      </c>
      <c r="AE66" s="36">
        <v>0</v>
      </c>
      <c r="AF66" s="23">
        <v>0</v>
      </c>
      <c r="AG66" s="24">
        <v>0</v>
      </c>
      <c r="AH66" s="33">
        <v>0</v>
      </c>
      <c r="AI66" s="37">
        <v>0</v>
      </c>
      <c r="AJ66" s="35">
        <v>0</v>
      </c>
      <c r="AK66" s="36">
        <v>0</v>
      </c>
      <c r="AL66" s="38">
        <v>0</v>
      </c>
      <c r="AM66" s="35">
        <v>0</v>
      </c>
      <c r="AN66" s="19">
        <v>0</v>
      </c>
      <c r="AO66" s="23">
        <v>0</v>
      </c>
      <c r="AP66" s="24">
        <v>0</v>
      </c>
      <c r="AQ66" s="58">
        <f t="shared" si="2"/>
        <v>2.16</v>
      </c>
      <c r="AR66" s="59">
        <f t="shared" si="3"/>
        <v>5400</v>
      </c>
      <c r="AS66" s="35">
        <v>3</v>
      </c>
    </row>
    <row r="67" spans="1:45" ht="15.6" x14ac:dyDescent="0.3">
      <c r="A67" s="53">
        <v>63</v>
      </c>
      <c r="B67" s="55" t="s">
        <v>86</v>
      </c>
      <c r="C67" s="54" t="s">
        <v>89</v>
      </c>
      <c r="D67" s="348"/>
      <c r="E67" s="53"/>
      <c r="F67" s="56"/>
      <c r="G67" s="53"/>
      <c r="H67" s="56"/>
      <c r="I67" s="57"/>
      <c r="J67" s="53"/>
      <c r="K67" s="56"/>
      <c r="L67" s="57"/>
      <c r="M67" s="58"/>
      <c r="N67" s="56"/>
      <c r="O67" s="57"/>
      <c r="P67" s="58">
        <f t="shared" si="0"/>
        <v>5.76</v>
      </c>
      <c r="Q67" s="59">
        <f t="shared" si="1"/>
        <v>14400</v>
      </c>
      <c r="R67" s="35">
        <v>8</v>
      </c>
      <c r="S67" s="19">
        <v>0</v>
      </c>
      <c r="T67" s="23">
        <v>0</v>
      </c>
      <c r="U67" s="24">
        <v>0</v>
      </c>
      <c r="V67" s="33">
        <v>0</v>
      </c>
      <c r="W67" s="34">
        <v>0</v>
      </c>
      <c r="X67" s="35">
        <v>0</v>
      </c>
      <c r="Y67" s="19">
        <v>0</v>
      </c>
      <c r="Z67" s="23">
        <v>0</v>
      </c>
      <c r="AA67" s="24">
        <v>0</v>
      </c>
      <c r="AB67" s="33">
        <v>0</v>
      </c>
      <c r="AC67" s="34">
        <v>0</v>
      </c>
      <c r="AD67" s="35">
        <v>0</v>
      </c>
      <c r="AE67" s="36">
        <v>0</v>
      </c>
      <c r="AF67" s="23">
        <v>0</v>
      </c>
      <c r="AG67" s="24">
        <v>0</v>
      </c>
      <c r="AH67" s="33">
        <v>0</v>
      </c>
      <c r="AI67" s="37">
        <v>0</v>
      </c>
      <c r="AJ67" s="35">
        <v>0</v>
      </c>
      <c r="AK67" s="36">
        <v>0</v>
      </c>
      <c r="AL67" s="38">
        <v>0</v>
      </c>
      <c r="AM67" s="35">
        <v>0</v>
      </c>
      <c r="AN67" s="19">
        <v>0</v>
      </c>
      <c r="AO67" s="23">
        <v>0</v>
      </c>
      <c r="AP67" s="24">
        <v>0</v>
      </c>
      <c r="AQ67" s="58">
        <f t="shared" si="2"/>
        <v>5.76</v>
      </c>
      <c r="AR67" s="59">
        <f t="shared" si="3"/>
        <v>14400</v>
      </c>
      <c r="AS67" s="35">
        <v>8</v>
      </c>
    </row>
    <row r="68" spans="1:45" ht="15.6" x14ac:dyDescent="0.3">
      <c r="A68" s="53">
        <v>64</v>
      </c>
      <c r="B68" s="55" t="s">
        <v>86</v>
      </c>
      <c r="C68" s="54" t="s">
        <v>90</v>
      </c>
      <c r="D68" s="348"/>
      <c r="E68" s="53"/>
      <c r="F68" s="56"/>
      <c r="G68" s="53"/>
      <c r="H68" s="56"/>
      <c r="I68" s="57"/>
      <c r="J68" s="53"/>
      <c r="K68" s="56"/>
      <c r="L68" s="57"/>
      <c r="M68" s="58"/>
      <c r="N68" s="56"/>
      <c r="O68" s="57"/>
      <c r="P68" s="58">
        <f t="shared" si="0"/>
        <v>5.76</v>
      </c>
      <c r="Q68" s="59">
        <f t="shared" si="1"/>
        <v>14400</v>
      </c>
      <c r="R68" s="35">
        <v>8</v>
      </c>
      <c r="S68" s="19">
        <v>0</v>
      </c>
      <c r="T68" s="23">
        <v>0</v>
      </c>
      <c r="U68" s="24">
        <v>0</v>
      </c>
      <c r="V68" s="33">
        <v>0</v>
      </c>
      <c r="W68" s="34">
        <v>0</v>
      </c>
      <c r="X68" s="35">
        <v>0</v>
      </c>
      <c r="Y68" s="19">
        <v>0</v>
      </c>
      <c r="Z68" s="23">
        <v>0</v>
      </c>
      <c r="AA68" s="24">
        <v>0</v>
      </c>
      <c r="AB68" s="33">
        <v>0</v>
      </c>
      <c r="AC68" s="34">
        <v>0</v>
      </c>
      <c r="AD68" s="35">
        <v>0</v>
      </c>
      <c r="AE68" s="36">
        <v>0</v>
      </c>
      <c r="AF68" s="23">
        <v>0</v>
      </c>
      <c r="AG68" s="24">
        <v>0</v>
      </c>
      <c r="AH68" s="33">
        <v>0</v>
      </c>
      <c r="AI68" s="37">
        <v>0</v>
      </c>
      <c r="AJ68" s="35">
        <v>0</v>
      </c>
      <c r="AK68" s="36">
        <v>0</v>
      </c>
      <c r="AL68" s="38">
        <v>0</v>
      </c>
      <c r="AM68" s="35">
        <v>0</v>
      </c>
      <c r="AN68" s="19">
        <v>0</v>
      </c>
      <c r="AO68" s="23">
        <v>0</v>
      </c>
      <c r="AP68" s="24">
        <v>0</v>
      </c>
      <c r="AQ68" s="58">
        <f t="shared" si="2"/>
        <v>5.76</v>
      </c>
      <c r="AR68" s="59">
        <f t="shared" si="3"/>
        <v>14400</v>
      </c>
      <c r="AS68" s="35">
        <v>8</v>
      </c>
    </row>
    <row r="69" spans="1:45" ht="15.6" x14ac:dyDescent="0.3">
      <c r="A69" s="53">
        <v>65</v>
      </c>
      <c r="B69" s="55" t="s">
        <v>86</v>
      </c>
      <c r="C69" s="54" t="s">
        <v>91</v>
      </c>
      <c r="D69" s="348"/>
      <c r="E69" s="53"/>
      <c r="F69" s="56"/>
      <c r="G69" s="53"/>
      <c r="H69" s="56"/>
      <c r="I69" s="57"/>
      <c r="J69" s="53"/>
      <c r="K69" s="56"/>
      <c r="L69" s="57"/>
      <c r="M69" s="58"/>
      <c r="N69" s="56"/>
      <c r="O69" s="57"/>
      <c r="P69" s="58">
        <f t="shared" ref="P69:P132" si="4">Q69/2500</f>
        <v>10.8</v>
      </c>
      <c r="Q69" s="59">
        <f t="shared" ref="Q69:Q132" si="5">R69*1800</f>
        <v>27000</v>
      </c>
      <c r="R69" s="35">
        <v>15</v>
      </c>
      <c r="S69" s="19">
        <v>0</v>
      </c>
      <c r="T69" s="23">
        <v>0</v>
      </c>
      <c r="U69" s="24">
        <v>0</v>
      </c>
      <c r="V69" s="33">
        <v>0</v>
      </c>
      <c r="W69" s="34">
        <v>0</v>
      </c>
      <c r="X69" s="35">
        <v>0</v>
      </c>
      <c r="Y69" s="19">
        <v>0</v>
      </c>
      <c r="Z69" s="23">
        <v>0</v>
      </c>
      <c r="AA69" s="24">
        <v>0</v>
      </c>
      <c r="AB69" s="33">
        <v>0</v>
      </c>
      <c r="AC69" s="34">
        <v>0</v>
      </c>
      <c r="AD69" s="35">
        <v>0</v>
      </c>
      <c r="AE69" s="36">
        <v>0</v>
      </c>
      <c r="AF69" s="23">
        <v>0</v>
      </c>
      <c r="AG69" s="24">
        <v>0</v>
      </c>
      <c r="AH69" s="33">
        <v>0</v>
      </c>
      <c r="AI69" s="37">
        <v>0</v>
      </c>
      <c r="AJ69" s="35">
        <v>0</v>
      </c>
      <c r="AK69" s="36">
        <v>0</v>
      </c>
      <c r="AL69" s="38">
        <v>0</v>
      </c>
      <c r="AM69" s="35">
        <v>0</v>
      </c>
      <c r="AN69" s="19">
        <v>0</v>
      </c>
      <c r="AO69" s="23">
        <v>0</v>
      </c>
      <c r="AP69" s="24">
        <v>0</v>
      </c>
      <c r="AQ69" s="58">
        <f t="shared" ref="AQ69:AQ132" si="6">AR69/2500</f>
        <v>10.8</v>
      </c>
      <c r="AR69" s="59">
        <f t="shared" ref="AR69:AR132" si="7">AS69*1800</f>
        <v>27000</v>
      </c>
      <c r="AS69" s="35">
        <v>15</v>
      </c>
    </row>
    <row r="70" spans="1:45" ht="15.6" x14ac:dyDescent="0.3">
      <c r="A70" s="53">
        <v>66</v>
      </c>
      <c r="B70" s="55" t="s">
        <v>86</v>
      </c>
      <c r="C70" s="54" t="s">
        <v>92</v>
      </c>
      <c r="D70" s="348"/>
      <c r="E70" s="53"/>
      <c r="F70" s="56"/>
      <c r="G70" s="53"/>
      <c r="H70" s="56"/>
      <c r="I70" s="57"/>
      <c r="J70" s="53"/>
      <c r="K70" s="56"/>
      <c r="L70" s="57"/>
      <c r="M70" s="58"/>
      <c r="N70" s="56"/>
      <c r="O70" s="57"/>
      <c r="P70" s="58">
        <f t="shared" si="4"/>
        <v>5.04</v>
      </c>
      <c r="Q70" s="59">
        <f t="shared" si="5"/>
        <v>12600</v>
      </c>
      <c r="R70" s="35">
        <v>7</v>
      </c>
      <c r="S70" s="19">
        <v>0</v>
      </c>
      <c r="T70" s="23">
        <v>0</v>
      </c>
      <c r="U70" s="24">
        <v>0</v>
      </c>
      <c r="V70" s="33">
        <v>0</v>
      </c>
      <c r="W70" s="34">
        <v>0</v>
      </c>
      <c r="X70" s="35">
        <v>0</v>
      </c>
      <c r="Y70" s="19">
        <v>0</v>
      </c>
      <c r="Z70" s="23">
        <v>0</v>
      </c>
      <c r="AA70" s="24">
        <v>0</v>
      </c>
      <c r="AB70" s="33">
        <v>0</v>
      </c>
      <c r="AC70" s="34">
        <v>0</v>
      </c>
      <c r="AD70" s="35">
        <v>0</v>
      </c>
      <c r="AE70" s="36">
        <v>0</v>
      </c>
      <c r="AF70" s="23">
        <v>0</v>
      </c>
      <c r="AG70" s="24">
        <v>0</v>
      </c>
      <c r="AH70" s="33">
        <v>0</v>
      </c>
      <c r="AI70" s="37">
        <v>0</v>
      </c>
      <c r="AJ70" s="35">
        <v>0</v>
      </c>
      <c r="AK70" s="36">
        <v>0</v>
      </c>
      <c r="AL70" s="38">
        <v>0</v>
      </c>
      <c r="AM70" s="35">
        <v>0</v>
      </c>
      <c r="AN70" s="19">
        <v>0</v>
      </c>
      <c r="AO70" s="23">
        <v>0</v>
      </c>
      <c r="AP70" s="24">
        <v>0</v>
      </c>
      <c r="AQ70" s="58">
        <f t="shared" si="6"/>
        <v>5.04</v>
      </c>
      <c r="AR70" s="59">
        <f t="shared" si="7"/>
        <v>12600</v>
      </c>
      <c r="AS70" s="35">
        <v>7</v>
      </c>
    </row>
    <row r="71" spans="1:45" ht="15.6" x14ac:dyDescent="0.3">
      <c r="A71" s="53">
        <v>67</v>
      </c>
      <c r="B71" s="55" t="s">
        <v>86</v>
      </c>
      <c r="C71" s="54" t="s">
        <v>93</v>
      </c>
      <c r="D71" s="348"/>
      <c r="E71" s="53"/>
      <c r="F71" s="56"/>
      <c r="G71" s="53"/>
      <c r="H71" s="56"/>
      <c r="I71" s="57"/>
      <c r="J71" s="53"/>
      <c r="K71" s="56"/>
      <c r="L71" s="57"/>
      <c r="M71" s="58"/>
      <c r="N71" s="56"/>
      <c r="O71" s="57"/>
      <c r="P71" s="58">
        <f t="shared" si="4"/>
        <v>6.48</v>
      </c>
      <c r="Q71" s="59">
        <f t="shared" si="5"/>
        <v>16200</v>
      </c>
      <c r="R71" s="35">
        <v>9</v>
      </c>
      <c r="S71" s="19">
        <v>0</v>
      </c>
      <c r="T71" s="23">
        <v>0</v>
      </c>
      <c r="U71" s="24">
        <v>0</v>
      </c>
      <c r="V71" s="33">
        <v>0</v>
      </c>
      <c r="W71" s="34">
        <v>0</v>
      </c>
      <c r="X71" s="35">
        <v>0</v>
      </c>
      <c r="Y71" s="19">
        <v>0</v>
      </c>
      <c r="Z71" s="23">
        <v>0</v>
      </c>
      <c r="AA71" s="24">
        <v>0</v>
      </c>
      <c r="AB71" s="33">
        <v>0</v>
      </c>
      <c r="AC71" s="34">
        <v>0</v>
      </c>
      <c r="AD71" s="35">
        <v>0</v>
      </c>
      <c r="AE71" s="36">
        <v>0</v>
      </c>
      <c r="AF71" s="23">
        <v>0</v>
      </c>
      <c r="AG71" s="24">
        <v>0</v>
      </c>
      <c r="AH71" s="33">
        <v>0</v>
      </c>
      <c r="AI71" s="37">
        <v>0</v>
      </c>
      <c r="AJ71" s="35">
        <v>0</v>
      </c>
      <c r="AK71" s="36">
        <v>0</v>
      </c>
      <c r="AL71" s="38">
        <v>0</v>
      </c>
      <c r="AM71" s="35">
        <v>0</v>
      </c>
      <c r="AN71" s="19">
        <v>0</v>
      </c>
      <c r="AO71" s="23">
        <v>0</v>
      </c>
      <c r="AP71" s="24">
        <v>0</v>
      </c>
      <c r="AQ71" s="58">
        <f t="shared" si="6"/>
        <v>6.48</v>
      </c>
      <c r="AR71" s="59">
        <f t="shared" si="7"/>
        <v>16200</v>
      </c>
      <c r="AS71" s="35">
        <v>9</v>
      </c>
    </row>
    <row r="72" spans="1:45" ht="15.6" x14ac:dyDescent="0.3">
      <c r="A72" s="53">
        <v>68</v>
      </c>
      <c r="B72" s="55" t="s">
        <v>86</v>
      </c>
      <c r="C72" s="54" t="s">
        <v>94</v>
      </c>
      <c r="D72" s="348"/>
      <c r="E72" s="53"/>
      <c r="F72" s="56"/>
      <c r="G72" s="53"/>
      <c r="H72" s="56"/>
      <c r="I72" s="57"/>
      <c r="J72" s="53"/>
      <c r="K72" s="56"/>
      <c r="L72" s="57"/>
      <c r="M72" s="58"/>
      <c r="N72" s="56"/>
      <c r="O72" s="57"/>
      <c r="P72" s="58">
        <f t="shared" si="4"/>
        <v>5.76</v>
      </c>
      <c r="Q72" s="59">
        <f t="shared" si="5"/>
        <v>14400</v>
      </c>
      <c r="R72" s="35">
        <v>8</v>
      </c>
      <c r="S72" s="19">
        <v>0</v>
      </c>
      <c r="T72" s="23">
        <v>0</v>
      </c>
      <c r="U72" s="24">
        <v>0</v>
      </c>
      <c r="V72" s="33">
        <v>0</v>
      </c>
      <c r="W72" s="34">
        <v>0</v>
      </c>
      <c r="X72" s="35">
        <v>0</v>
      </c>
      <c r="Y72" s="19">
        <v>0</v>
      </c>
      <c r="Z72" s="23">
        <v>0</v>
      </c>
      <c r="AA72" s="24">
        <v>0</v>
      </c>
      <c r="AB72" s="33">
        <v>0</v>
      </c>
      <c r="AC72" s="34">
        <v>0</v>
      </c>
      <c r="AD72" s="35">
        <v>0</v>
      </c>
      <c r="AE72" s="36">
        <v>0</v>
      </c>
      <c r="AF72" s="23">
        <v>0</v>
      </c>
      <c r="AG72" s="24">
        <v>0</v>
      </c>
      <c r="AH72" s="33">
        <v>0</v>
      </c>
      <c r="AI72" s="37">
        <v>0</v>
      </c>
      <c r="AJ72" s="35">
        <v>0</v>
      </c>
      <c r="AK72" s="36">
        <v>0</v>
      </c>
      <c r="AL72" s="38">
        <v>0</v>
      </c>
      <c r="AM72" s="35">
        <v>0</v>
      </c>
      <c r="AN72" s="19">
        <v>0</v>
      </c>
      <c r="AO72" s="23">
        <v>0</v>
      </c>
      <c r="AP72" s="24">
        <v>0</v>
      </c>
      <c r="AQ72" s="58">
        <f t="shared" si="6"/>
        <v>5.76</v>
      </c>
      <c r="AR72" s="59">
        <f t="shared" si="7"/>
        <v>14400</v>
      </c>
      <c r="AS72" s="35">
        <v>8</v>
      </c>
    </row>
    <row r="73" spans="1:45" ht="15.6" x14ac:dyDescent="0.3">
      <c r="A73" s="53">
        <v>69</v>
      </c>
      <c r="B73" s="55" t="s">
        <v>86</v>
      </c>
      <c r="C73" s="54" t="s">
        <v>95</v>
      </c>
      <c r="D73" s="348" t="s">
        <v>25</v>
      </c>
      <c r="E73" s="53"/>
      <c r="F73" s="56"/>
      <c r="G73" s="53"/>
      <c r="H73" s="56"/>
      <c r="I73" s="57"/>
      <c r="J73" s="53"/>
      <c r="K73" s="56"/>
      <c r="L73" s="57"/>
      <c r="M73" s="58"/>
      <c r="N73" s="56"/>
      <c r="O73" s="57"/>
      <c r="P73" s="58">
        <f t="shared" si="4"/>
        <v>8.64</v>
      </c>
      <c r="Q73" s="59">
        <f t="shared" si="5"/>
        <v>21600</v>
      </c>
      <c r="R73" s="35">
        <v>12</v>
      </c>
      <c r="S73" s="19">
        <v>0</v>
      </c>
      <c r="T73" s="23">
        <v>0</v>
      </c>
      <c r="U73" s="24">
        <v>0</v>
      </c>
      <c r="V73" s="33">
        <v>0</v>
      </c>
      <c r="W73" s="34">
        <v>0</v>
      </c>
      <c r="X73" s="35">
        <v>0</v>
      </c>
      <c r="Y73" s="19">
        <v>0</v>
      </c>
      <c r="Z73" s="23">
        <v>0</v>
      </c>
      <c r="AA73" s="24">
        <v>0</v>
      </c>
      <c r="AB73" s="33">
        <v>0</v>
      </c>
      <c r="AC73" s="34">
        <v>0</v>
      </c>
      <c r="AD73" s="35">
        <v>0</v>
      </c>
      <c r="AE73" s="36">
        <v>0</v>
      </c>
      <c r="AF73" s="23">
        <v>0</v>
      </c>
      <c r="AG73" s="24">
        <v>0</v>
      </c>
      <c r="AH73" s="33">
        <v>0</v>
      </c>
      <c r="AI73" s="37">
        <v>0</v>
      </c>
      <c r="AJ73" s="35">
        <v>0</v>
      </c>
      <c r="AK73" s="36">
        <v>0</v>
      </c>
      <c r="AL73" s="38">
        <v>0</v>
      </c>
      <c r="AM73" s="35">
        <v>0</v>
      </c>
      <c r="AN73" s="19">
        <v>0</v>
      </c>
      <c r="AO73" s="23">
        <v>0</v>
      </c>
      <c r="AP73" s="24">
        <v>0</v>
      </c>
      <c r="AQ73" s="58">
        <f t="shared" si="6"/>
        <v>8.64</v>
      </c>
      <c r="AR73" s="59">
        <f t="shared" si="7"/>
        <v>21600</v>
      </c>
      <c r="AS73" s="35">
        <v>12</v>
      </c>
    </row>
    <row r="74" spans="1:45" ht="15.6" x14ac:dyDescent="0.3">
      <c r="A74" s="53">
        <v>70</v>
      </c>
      <c r="B74" s="55" t="s">
        <v>86</v>
      </c>
      <c r="C74" s="54" t="s">
        <v>96</v>
      </c>
      <c r="D74" s="348"/>
      <c r="E74" s="53"/>
      <c r="F74" s="56"/>
      <c r="G74" s="53"/>
      <c r="H74" s="56"/>
      <c r="I74" s="57"/>
      <c r="J74" s="53"/>
      <c r="K74" s="56"/>
      <c r="L74" s="57"/>
      <c r="M74" s="58"/>
      <c r="N74" s="56"/>
      <c r="O74" s="57"/>
      <c r="P74" s="58">
        <f t="shared" si="4"/>
        <v>7.92</v>
      </c>
      <c r="Q74" s="59">
        <f t="shared" si="5"/>
        <v>19800</v>
      </c>
      <c r="R74" s="35">
        <v>11</v>
      </c>
      <c r="S74" s="19">
        <v>0</v>
      </c>
      <c r="T74" s="23">
        <v>0</v>
      </c>
      <c r="U74" s="24">
        <v>0</v>
      </c>
      <c r="V74" s="33">
        <v>0</v>
      </c>
      <c r="W74" s="34">
        <v>0</v>
      </c>
      <c r="X74" s="35">
        <v>0</v>
      </c>
      <c r="Y74" s="19">
        <v>0</v>
      </c>
      <c r="Z74" s="23">
        <v>0</v>
      </c>
      <c r="AA74" s="24">
        <v>0</v>
      </c>
      <c r="AB74" s="33">
        <v>0</v>
      </c>
      <c r="AC74" s="34">
        <v>0</v>
      </c>
      <c r="AD74" s="35">
        <v>0</v>
      </c>
      <c r="AE74" s="36">
        <v>0</v>
      </c>
      <c r="AF74" s="23">
        <v>0</v>
      </c>
      <c r="AG74" s="24">
        <v>0</v>
      </c>
      <c r="AH74" s="33">
        <v>0</v>
      </c>
      <c r="AI74" s="37">
        <v>0</v>
      </c>
      <c r="AJ74" s="35">
        <v>0</v>
      </c>
      <c r="AK74" s="36">
        <v>0</v>
      </c>
      <c r="AL74" s="38">
        <v>0</v>
      </c>
      <c r="AM74" s="35">
        <v>0</v>
      </c>
      <c r="AN74" s="19">
        <v>0</v>
      </c>
      <c r="AO74" s="23">
        <v>0</v>
      </c>
      <c r="AP74" s="24">
        <v>0</v>
      </c>
      <c r="AQ74" s="58">
        <f t="shared" si="6"/>
        <v>7.92</v>
      </c>
      <c r="AR74" s="59">
        <f t="shared" si="7"/>
        <v>19800</v>
      </c>
      <c r="AS74" s="35">
        <v>11</v>
      </c>
    </row>
    <row r="75" spans="1:45" ht="15.6" x14ac:dyDescent="0.3">
      <c r="A75" s="53">
        <v>71</v>
      </c>
      <c r="B75" s="55" t="s">
        <v>86</v>
      </c>
      <c r="C75" s="54" t="s">
        <v>97</v>
      </c>
      <c r="D75" s="348"/>
      <c r="E75" s="53"/>
      <c r="F75" s="56"/>
      <c r="G75" s="53"/>
      <c r="H75" s="56"/>
      <c r="I75" s="57"/>
      <c r="J75" s="53"/>
      <c r="K75" s="56"/>
      <c r="L75" s="57"/>
      <c r="M75" s="58"/>
      <c r="N75" s="56"/>
      <c r="O75" s="57"/>
      <c r="P75" s="58">
        <f t="shared" si="4"/>
        <v>2.88</v>
      </c>
      <c r="Q75" s="59">
        <f t="shared" si="5"/>
        <v>7200</v>
      </c>
      <c r="R75" s="35">
        <v>4</v>
      </c>
      <c r="S75" s="19">
        <v>0</v>
      </c>
      <c r="T75" s="23">
        <v>0</v>
      </c>
      <c r="U75" s="24">
        <v>0</v>
      </c>
      <c r="V75" s="33">
        <v>0</v>
      </c>
      <c r="W75" s="34">
        <v>0</v>
      </c>
      <c r="X75" s="35">
        <v>0</v>
      </c>
      <c r="Y75" s="19">
        <v>0</v>
      </c>
      <c r="Z75" s="23">
        <v>0</v>
      </c>
      <c r="AA75" s="24">
        <v>0</v>
      </c>
      <c r="AB75" s="33">
        <v>0</v>
      </c>
      <c r="AC75" s="34">
        <v>0</v>
      </c>
      <c r="AD75" s="35">
        <v>0</v>
      </c>
      <c r="AE75" s="36">
        <v>0</v>
      </c>
      <c r="AF75" s="23">
        <v>0</v>
      </c>
      <c r="AG75" s="24">
        <v>0</v>
      </c>
      <c r="AH75" s="33">
        <v>0</v>
      </c>
      <c r="AI75" s="37">
        <v>0</v>
      </c>
      <c r="AJ75" s="35">
        <v>0</v>
      </c>
      <c r="AK75" s="36">
        <v>0</v>
      </c>
      <c r="AL75" s="38">
        <v>0</v>
      </c>
      <c r="AM75" s="35">
        <v>0</v>
      </c>
      <c r="AN75" s="19">
        <v>0</v>
      </c>
      <c r="AO75" s="23">
        <v>0</v>
      </c>
      <c r="AP75" s="24">
        <v>0</v>
      </c>
      <c r="AQ75" s="58">
        <f t="shared" si="6"/>
        <v>2.88</v>
      </c>
      <c r="AR75" s="59">
        <f t="shared" si="7"/>
        <v>7200</v>
      </c>
      <c r="AS75" s="35">
        <v>4</v>
      </c>
    </row>
    <row r="76" spans="1:45" ht="15.6" x14ac:dyDescent="0.3">
      <c r="A76" s="53">
        <v>72</v>
      </c>
      <c r="B76" s="55" t="s">
        <v>86</v>
      </c>
      <c r="C76" s="54" t="s">
        <v>98</v>
      </c>
      <c r="D76" s="348"/>
      <c r="E76" s="53"/>
      <c r="F76" s="56"/>
      <c r="G76" s="53"/>
      <c r="H76" s="56"/>
      <c r="I76" s="57"/>
      <c r="J76" s="53"/>
      <c r="K76" s="56"/>
      <c r="L76" s="57"/>
      <c r="M76" s="58"/>
      <c r="N76" s="56"/>
      <c r="O76" s="57"/>
      <c r="P76" s="58">
        <f t="shared" si="4"/>
        <v>5.04</v>
      </c>
      <c r="Q76" s="59">
        <f t="shared" si="5"/>
        <v>12600</v>
      </c>
      <c r="R76" s="35">
        <v>7</v>
      </c>
      <c r="S76" s="19">
        <v>0</v>
      </c>
      <c r="T76" s="23">
        <v>0</v>
      </c>
      <c r="U76" s="24">
        <v>0</v>
      </c>
      <c r="V76" s="33">
        <v>0</v>
      </c>
      <c r="W76" s="34">
        <v>0</v>
      </c>
      <c r="X76" s="35">
        <v>0</v>
      </c>
      <c r="Y76" s="19">
        <v>0</v>
      </c>
      <c r="Z76" s="23">
        <v>0</v>
      </c>
      <c r="AA76" s="24">
        <v>0</v>
      </c>
      <c r="AB76" s="33">
        <v>0</v>
      </c>
      <c r="AC76" s="34">
        <v>0</v>
      </c>
      <c r="AD76" s="35">
        <v>0</v>
      </c>
      <c r="AE76" s="36">
        <v>0</v>
      </c>
      <c r="AF76" s="23">
        <v>0</v>
      </c>
      <c r="AG76" s="24">
        <v>0</v>
      </c>
      <c r="AH76" s="33">
        <v>0</v>
      </c>
      <c r="AI76" s="37">
        <v>0</v>
      </c>
      <c r="AJ76" s="35">
        <v>0</v>
      </c>
      <c r="AK76" s="36">
        <v>0</v>
      </c>
      <c r="AL76" s="38">
        <v>0</v>
      </c>
      <c r="AM76" s="35">
        <v>0</v>
      </c>
      <c r="AN76" s="19">
        <v>0</v>
      </c>
      <c r="AO76" s="23">
        <v>0</v>
      </c>
      <c r="AP76" s="24">
        <v>0</v>
      </c>
      <c r="AQ76" s="58">
        <f t="shared" si="6"/>
        <v>5.04</v>
      </c>
      <c r="AR76" s="59">
        <f t="shared" si="7"/>
        <v>12600</v>
      </c>
      <c r="AS76" s="35">
        <v>7</v>
      </c>
    </row>
    <row r="77" spans="1:45" ht="15.6" x14ac:dyDescent="0.3">
      <c r="A77" s="53">
        <v>73</v>
      </c>
      <c r="B77" s="55" t="s">
        <v>86</v>
      </c>
      <c r="C77" s="54" t="s">
        <v>99</v>
      </c>
      <c r="D77" s="348"/>
      <c r="E77" s="53"/>
      <c r="F77" s="56"/>
      <c r="G77" s="53"/>
      <c r="H77" s="56"/>
      <c r="I77" s="57"/>
      <c r="J77" s="53"/>
      <c r="K77" s="56"/>
      <c r="L77" s="57"/>
      <c r="M77" s="58"/>
      <c r="N77" s="56"/>
      <c r="O77" s="57"/>
      <c r="P77" s="58">
        <f t="shared" si="4"/>
        <v>2.16</v>
      </c>
      <c r="Q77" s="59">
        <f t="shared" si="5"/>
        <v>5400</v>
      </c>
      <c r="R77" s="35">
        <v>3</v>
      </c>
      <c r="S77" s="19">
        <v>0</v>
      </c>
      <c r="T77" s="23">
        <v>0</v>
      </c>
      <c r="U77" s="24">
        <v>0</v>
      </c>
      <c r="V77" s="33">
        <v>0</v>
      </c>
      <c r="W77" s="34">
        <v>0</v>
      </c>
      <c r="X77" s="35">
        <v>0</v>
      </c>
      <c r="Y77" s="19">
        <v>0</v>
      </c>
      <c r="Z77" s="23">
        <v>0</v>
      </c>
      <c r="AA77" s="24">
        <v>0</v>
      </c>
      <c r="AB77" s="33">
        <v>0</v>
      </c>
      <c r="AC77" s="34">
        <v>0</v>
      </c>
      <c r="AD77" s="35">
        <v>0</v>
      </c>
      <c r="AE77" s="36">
        <v>0</v>
      </c>
      <c r="AF77" s="23">
        <v>0</v>
      </c>
      <c r="AG77" s="24">
        <v>0</v>
      </c>
      <c r="AH77" s="33">
        <v>0</v>
      </c>
      <c r="AI77" s="37">
        <v>0</v>
      </c>
      <c r="AJ77" s="35">
        <v>0</v>
      </c>
      <c r="AK77" s="36">
        <v>0</v>
      </c>
      <c r="AL77" s="38">
        <v>0</v>
      </c>
      <c r="AM77" s="35">
        <v>0</v>
      </c>
      <c r="AN77" s="19">
        <v>0</v>
      </c>
      <c r="AO77" s="23">
        <v>0</v>
      </c>
      <c r="AP77" s="24">
        <v>0</v>
      </c>
      <c r="AQ77" s="58">
        <f t="shared" si="6"/>
        <v>2.16</v>
      </c>
      <c r="AR77" s="59">
        <f t="shared" si="7"/>
        <v>5400</v>
      </c>
      <c r="AS77" s="35">
        <v>3</v>
      </c>
    </row>
    <row r="78" spans="1:45" ht="15.6" x14ac:dyDescent="0.3">
      <c r="A78" s="53">
        <v>74</v>
      </c>
      <c r="B78" s="55" t="s">
        <v>100</v>
      </c>
      <c r="C78" s="54" t="s">
        <v>101</v>
      </c>
      <c r="D78" s="348"/>
      <c r="E78" s="53"/>
      <c r="F78" s="56"/>
      <c r="G78" s="53"/>
      <c r="H78" s="56"/>
      <c r="I78" s="57"/>
      <c r="J78" s="53"/>
      <c r="K78" s="56"/>
      <c r="L78" s="57"/>
      <c r="M78" s="58"/>
      <c r="N78" s="56"/>
      <c r="O78" s="57"/>
      <c r="P78" s="58">
        <f t="shared" si="4"/>
        <v>3.6</v>
      </c>
      <c r="Q78" s="59">
        <f t="shared" si="5"/>
        <v>9000</v>
      </c>
      <c r="R78" s="35">
        <v>5</v>
      </c>
      <c r="S78" s="19">
        <v>0</v>
      </c>
      <c r="T78" s="23">
        <v>0</v>
      </c>
      <c r="U78" s="24">
        <v>0</v>
      </c>
      <c r="V78" s="33">
        <v>0</v>
      </c>
      <c r="W78" s="34">
        <v>0</v>
      </c>
      <c r="X78" s="35">
        <v>0</v>
      </c>
      <c r="Y78" s="19">
        <v>0</v>
      </c>
      <c r="Z78" s="23">
        <v>0</v>
      </c>
      <c r="AA78" s="24">
        <v>0</v>
      </c>
      <c r="AB78" s="33">
        <v>0</v>
      </c>
      <c r="AC78" s="34">
        <v>0</v>
      </c>
      <c r="AD78" s="35">
        <v>0</v>
      </c>
      <c r="AE78" s="36">
        <v>0</v>
      </c>
      <c r="AF78" s="23">
        <v>0</v>
      </c>
      <c r="AG78" s="24">
        <v>0</v>
      </c>
      <c r="AH78" s="33">
        <v>0</v>
      </c>
      <c r="AI78" s="37">
        <v>0</v>
      </c>
      <c r="AJ78" s="35">
        <v>0</v>
      </c>
      <c r="AK78" s="36">
        <v>0</v>
      </c>
      <c r="AL78" s="38">
        <v>0</v>
      </c>
      <c r="AM78" s="35">
        <v>0</v>
      </c>
      <c r="AN78" s="19">
        <v>0</v>
      </c>
      <c r="AO78" s="23">
        <v>0</v>
      </c>
      <c r="AP78" s="24">
        <v>0</v>
      </c>
      <c r="AQ78" s="58">
        <f t="shared" si="6"/>
        <v>3.6</v>
      </c>
      <c r="AR78" s="59">
        <f t="shared" si="7"/>
        <v>9000</v>
      </c>
      <c r="AS78" s="35">
        <v>5</v>
      </c>
    </row>
    <row r="79" spans="1:45" ht="15.6" x14ac:dyDescent="0.3">
      <c r="A79" s="53">
        <v>75</v>
      </c>
      <c r="B79" s="55" t="s">
        <v>100</v>
      </c>
      <c r="C79" s="54" t="s">
        <v>102</v>
      </c>
      <c r="D79" s="348"/>
      <c r="E79" s="53"/>
      <c r="F79" s="56"/>
      <c r="G79" s="53"/>
      <c r="H79" s="56"/>
      <c r="I79" s="57"/>
      <c r="J79" s="53"/>
      <c r="K79" s="56"/>
      <c r="L79" s="57"/>
      <c r="M79" s="58"/>
      <c r="N79" s="56"/>
      <c r="O79" s="57"/>
      <c r="P79" s="58">
        <f t="shared" si="4"/>
        <v>2.16</v>
      </c>
      <c r="Q79" s="59">
        <f t="shared" si="5"/>
        <v>5400</v>
      </c>
      <c r="R79" s="35">
        <v>3</v>
      </c>
      <c r="S79" s="19">
        <v>0</v>
      </c>
      <c r="T79" s="23">
        <v>0</v>
      </c>
      <c r="U79" s="24">
        <v>0</v>
      </c>
      <c r="V79" s="33">
        <v>0</v>
      </c>
      <c r="W79" s="34">
        <v>0</v>
      </c>
      <c r="X79" s="35">
        <v>0</v>
      </c>
      <c r="Y79" s="19">
        <v>0</v>
      </c>
      <c r="Z79" s="23">
        <v>0</v>
      </c>
      <c r="AA79" s="24">
        <v>0</v>
      </c>
      <c r="AB79" s="33">
        <v>0</v>
      </c>
      <c r="AC79" s="34">
        <v>0</v>
      </c>
      <c r="AD79" s="35">
        <v>0</v>
      </c>
      <c r="AE79" s="36">
        <v>0</v>
      </c>
      <c r="AF79" s="23">
        <v>0</v>
      </c>
      <c r="AG79" s="24">
        <v>0</v>
      </c>
      <c r="AH79" s="33">
        <v>0</v>
      </c>
      <c r="AI79" s="37">
        <v>0</v>
      </c>
      <c r="AJ79" s="35">
        <v>0</v>
      </c>
      <c r="AK79" s="36">
        <v>0</v>
      </c>
      <c r="AL79" s="38">
        <v>0</v>
      </c>
      <c r="AM79" s="35">
        <v>0</v>
      </c>
      <c r="AN79" s="19">
        <v>0</v>
      </c>
      <c r="AO79" s="23">
        <v>0</v>
      </c>
      <c r="AP79" s="24">
        <v>0</v>
      </c>
      <c r="AQ79" s="58">
        <f t="shared" si="6"/>
        <v>2.16</v>
      </c>
      <c r="AR79" s="59">
        <f t="shared" si="7"/>
        <v>5400</v>
      </c>
      <c r="AS79" s="35">
        <v>3</v>
      </c>
    </row>
    <row r="80" spans="1:45" ht="15.6" x14ac:dyDescent="0.3">
      <c r="A80" s="53">
        <v>76</v>
      </c>
      <c r="B80" s="55" t="s">
        <v>100</v>
      </c>
      <c r="C80" s="54" t="s">
        <v>103</v>
      </c>
      <c r="D80" s="348"/>
      <c r="E80" s="53"/>
      <c r="F80" s="56"/>
      <c r="G80" s="53"/>
      <c r="H80" s="56"/>
      <c r="I80" s="57"/>
      <c r="J80" s="53"/>
      <c r="K80" s="56"/>
      <c r="L80" s="57"/>
      <c r="M80" s="58"/>
      <c r="N80" s="56"/>
      <c r="O80" s="57"/>
      <c r="P80" s="58">
        <f t="shared" si="4"/>
        <v>0</v>
      </c>
      <c r="Q80" s="59">
        <f t="shared" si="5"/>
        <v>0</v>
      </c>
      <c r="R80" s="35"/>
      <c r="S80" s="19">
        <v>0</v>
      </c>
      <c r="T80" s="23">
        <v>0</v>
      </c>
      <c r="U80" s="24">
        <v>0</v>
      </c>
      <c r="V80" s="33">
        <v>0</v>
      </c>
      <c r="W80" s="34">
        <v>0</v>
      </c>
      <c r="X80" s="35">
        <v>0</v>
      </c>
      <c r="Y80" s="19">
        <v>0</v>
      </c>
      <c r="Z80" s="23">
        <v>0</v>
      </c>
      <c r="AA80" s="24">
        <v>0</v>
      </c>
      <c r="AB80" s="33">
        <v>0</v>
      </c>
      <c r="AC80" s="34">
        <v>0</v>
      </c>
      <c r="AD80" s="35">
        <v>0</v>
      </c>
      <c r="AE80" s="36">
        <v>0</v>
      </c>
      <c r="AF80" s="23">
        <v>0</v>
      </c>
      <c r="AG80" s="24">
        <v>0</v>
      </c>
      <c r="AH80" s="33">
        <v>0</v>
      </c>
      <c r="AI80" s="37">
        <v>0</v>
      </c>
      <c r="AJ80" s="35">
        <v>0</v>
      </c>
      <c r="AK80" s="36">
        <v>0</v>
      </c>
      <c r="AL80" s="38">
        <v>0</v>
      </c>
      <c r="AM80" s="35">
        <v>0</v>
      </c>
      <c r="AN80" s="19">
        <v>0</v>
      </c>
      <c r="AO80" s="23">
        <v>0</v>
      </c>
      <c r="AP80" s="24">
        <v>0</v>
      </c>
      <c r="AQ80" s="58">
        <f t="shared" si="6"/>
        <v>0</v>
      </c>
      <c r="AR80" s="59">
        <f t="shared" si="7"/>
        <v>0</v>
      </c>
      <c r="AS80" s="35"/>
    </row>
    <row r="81" spans="1:45" ht="15.6" x14ac:dyDescent="0.3">
      <c r="A81" s="53">
        <v>77</v>
      </c>
      <c r="B81" s="55" t="s">
        <v>100</v>
      </c>
      <c r="C81" s="54" t="s">
        <v>104</v>
      </c>
      <c r="D81" s="348"/>
      <c r="E81" s="53"/>
      <c r="F81" s="56"/>
      <c r="G81" s="53"/>
      <c r="H81" s="56"/>
      <c r="I81" s="57"/>
      <c r="J81" s="53"/>
      <c r="K81" s="56"/>
      <c r="L81" s="57"/>
      <c r="M81" s="58"/>
      <c r="N81" s="56"/>
      <c r="O81" s="57"/>
      <c r="P81" s="58">
        <f t="shared" si="4"/>
        <v>2.88</v>
      </c>
      <c r="Q81" s="59">
        <f t="shared" si="5"/>
        <v>7200</v>
      </c>
      <c r="R81" s="35">
        <v>4</v>
      </c>
      <c r="S81" s="19">
        <v>0</v>
      </c>
      <c r="T81" s="23">
        <v>0</v>
      </c>
      <c r="U81" s="24">
        <v>0</v>
      </c>
      <c r="V81" s="33">
        <v>0</v>
      </c>
      <c r="W81" s="34">
        <v>0</v>
      </c>
      <c r="X81" s="35">
        <v>0</v>
      </c>
      <c r="Y81" s="19">
        <v>0</v>
      </c>
      <c r="Z81" s="23">
        <v>0</v>
      </c>
      <c r="AA81" s="24">
        <v>0</v>
      </c>
      <c r="AB81" s="33">
        <v>0</v>
      </c>
      <c r="AC81" s="34">
        <v>0</v>
      </c>
      <c r="AD81" s="35">
        <v>0</v>
      </c>
      <c r="AE81" s="36">
        <v>0</v>
      </c>
      <c r="AF81" s="23">
        <v>0</v>
      </c>
      <c r="AG81" s="24">
        <v>0</v>
      </c>
      <c r="AH81" s="33">
        <v>0</v>
      </c>
      <c r="AI81" s="37">
        <v>0</v>
      </c>
      <c r="AJ81" s="35">
        <v>0</v>
      </c>
      <c r="AK81" s="36">
        <v>0</v>
      </c>
      <c r="AL81" s="38">
        <v>0</v>
      </c>
      <c r="AM81" s="35">
        <v>0</v>
      </c>
      <c r="AN81" s="19">
        <v>0</v>
      </c>
      <c r="AO81" s="23">
        <v>0</v>
      </c>
      <c r="AP81" s="24">
        <v>0</v>
      </c>
      <c r="AQ81" s="58">
        <f t="shared" si="6"/>
        <v>2.88</v>
      </c>
      <c r="AR81" s="59">
        <f t="shared" si="7"/>
        <v>7200</v>
      </c>
      <c r="AS81" s="35">
        <v>4</v>
      </c>
    </row>
    <row r="82" spans="1:45" ht="15.6" x14ac:dyDescent="0.3">
      <c r="A82" s="53">
        <v>78</v>
      </c>
      <c r="B82" s="55" t="s">
        <v>100</v>
      </c>
      <c r="C82" s="54" t="s">
        <v>100</v>
      </c>
      <c r="D82" s="348"/>
      <c r="E82" s="53"/>
      <c r="F82" s="56"/>
      <c r="G82" s="53"/>
      <c r="H82" s="56"/>
      <c r="I82" s="57"/>
      <c r="J82" s="53"/>
      <c r="K82" s="56"/>
      <c r="L82" s="57"/>
      <c r="M82" s="58"/>
      <c r="N82" s="56"/>
      <c r="O82" s="57"/>
      <c r="P82" s="58">
        <f t="shared" si="4"/>
        <v>4.32</v>
      </c>
      <c r="Q82" s="59">
        <f t="shared" si="5"/>
        <v>10800</v>
      </c>
      <c r="R82" s="35">
        <v>6</v>
      </c>
      <c r="S82" s="19">
        <v>0</v>
      </c>
      <c r="T82" s="23">
        <v>0</v>
      </c>
      <c r="U82" s="24">
        <v>0</v>
      </c>
      <c r="V82" s="33">
        <v>0</v>
      </c>
      <c r="W82" s="34">
        <v>0</v>
      </c>
      <c r="X82" s="35">
        <v>0</v>
      </c>
      <c r="Y82" s="19">
        <v>0</v>
      </c>
      <c r="Z82" s="23">
        <v>0</v>
      </c>
      <c r="AA82" s="24">
        <v>0</v>
      </c>
      <c r="AB82" s="33">
        <v>0</v>
      </c>
      <c r="AC82" s="34">
        <v>0</v>
      </c>
      <c r="AD82" s="35">
        <v>0</v>
      </c>
      <c r="AE82" s="36">
        <v>0</v>
      </c>
      <c r="AF82" s="23">
        <v>0</v>
      </c>
      <c r="AG82" s="24">
        <v>0</v>
      </c>
      <c r="AH82" s="33">
        <v>0</v>
      </c>
      <c r="AI82" s="37">
        <v>0</v>
      </c>
      <c r="AJ82" s="35">
        <v>0</v>
      </c>
      <c r="AK82" s="36">
        <v>0</v>
      </c>
      <c r="AL82" s="38">
        <v>0</v>
      </c>
      <c r="AM82" s="35">
        <v>0</v>
      </c>
      <c r="AN82" s="19">
        <v>0</v>
      </c>
      <c r="AO82" s="23">
        <v>0</v>
      </c>
      <c r="AP82" s="24">
        <v>0</v>
      </c>
      <c r="AQ82" s="58">
        <f t="shared" si="6"/>
        <v>4.32</v>
      </c>
      <c r="AR82" s="59">
        <f t="shared" si="7"/>
        <v>10800</v>
      </c>
      <c r="AS82" s="35">
        <v>6</v>
      </c>
    </row>
    <row r="83" spans="1:45" ht="15.6" x14ac:dyDescent="0.3">
      <c r="A83" s="53">
        <v>79</v>
      </c>
      <c r="B83" s="55" t="s">
        <v>100</v>
      </c>
      <c r="C83" s="54" t="s">
        <v>105</v>
      </c>
      <c r="D83" s="348"/>
      <c r="E83" s="53"/>
      <c r="F83" s="56"/>
      <c r="G83" s="53"/>
      <c r="H83" s="56"/>
      <c r="I83" s="57"/>
      <c r="J83" s="53"/>
      <c r="K83" s="56"/>
      <c r="L83" s="57"/>
      <c r="M83" s="58"/>
      <c r="N83" s="56"/>
      <c r="O83" s="57"/>
      <c r="P83" s="58">
        <f t="shared" si="4"/>
        <v>2.16</v>
      </c>
      <c r="Q83" s="59">
        <f t="shared" si="5"/>
        <v>5400</v>
      </c>
      <c r="R83" s="35">
        <v>3</v>
      </c>
      <c r="S83" s="19">
        <v>0</v>
      </c>
      <c r="T83" s="23">
        <v>0</v>
      </c>
      <c r="U83" s="24">
        <v>0</v>
      </c>
      <c r="V83" s="33">
        <v>0</v>
      </c>
      <c r="W83" s="34">
        <v>0</v>
      </c>
      <c r="X83" s="35">
        <v>0</v>
      </c>
      <c r="Y83" s="19">
        <v>0</v>
      </c>
      <c r="Z83" s="23">
        <v>0</v>
      </c>
      <c r="AA83" s="24">
        <v>0</v>
      </c>
      <c r="AB83" s="33">
        <v>0</v>
      </c>
      <c r="AC83" s="34">
        <v>0</v>
      </c>
      <c r="AD83" s="35">
        <v>0</v>
      </c>
      <c r="AE83" s="36">
        <v>0</v>
      </c>
      <c r="AF83" s="23">
        <v>0</v>
      </c>
      <c r="AG83" s="24">
        <v>0</v>
      </c>
      <c r="AH83" s="33">
        <v>0</v>
      </c>
      <c r="AI83" s="37">
        <v>0</v>
      </c>
      <c r="AJ83" s="35">
        <v>0</v>
      </c>
      <c r="AK83" s="36">
        <v>0</v>
      </c>
      <c r="AL83" s="38">
        <v>0</v>
      </c>
      <c r="AM83" s="35">
        <v>0</v>
      </c>
      <c r="AN83" s="19">
        <v>0</v>
      </c>
      <c r="AO83" s="23">
        <v>0</v>
      </c>
      <c r="AP83" s="24">
        <v>0</v>
      </c>
      <c r="AQ83" s="58">
        <f t="shared" si="6"/>
        <v>2.16</v>
      </c>
      <c r="AR83" s="59">
        <f t="shared" si="7"/>
        <v>5400</v>
      </c>
      <c r="AS83" s="35">
        <v>3</v>
      </c>
    </row>
    <row r="84" spans="1:45" ht="15.6" x14ac:dyDescent="0.3">
      <c r="A84" s="53">
        <v>80</v>
      </c>
      <c r="B84" s="55" t="s">
        <v>100</v>
      </c>
      <c r="C84" s="54" t="s">
        <v>106</v>
      </c>
      <c r="D84" s="348"/>
      <c r="E84" s="53"/>
      <c r="F84" s="56"/>
      <c r="G84" s="53"/>
      <c r="H84" s="56"/>
      <c r="I84" s="57"/>
      <c r="J84" s="53"/>
      <c r="K84" s="56"/>
      <c r="L84" s="57"/>
      <c r="M84" s="58"/>
      <c r="N84" s="56"/>
      <c r="O84" s="57"/>
      <c r="P84" s="58">
        <f t="shared" si="4"/>
        <v>7.92</v>
      </c>
      <c r="Q84" s="59">
        <f t="shared" si="5"/>
        <v>19800</v>
      </c>
      <c r="R84" s="35">
        <v>11</v>
      </c>
      <c r="S84" s="19">
        <v>0</v>
      </c>
      <c r="T84" s="23">
        <v>0</v>
      </c>
      <c r="U84" s="24">
        <v>0</v>
      </c>
      <c r="V84" s="33">
        <v>0</v>
      </c>
      <c r="W84" s="34">
        <v>0</v>
      </c>
      <c r="X84" s="35">
        <v>0</v>
      </c>
      <c r="Y84" s="19">
        <v>0</v>
      </c>
      <c r="Z84" s="23">
        <v>0</v>
      </c>
      <c r="AA84" s="24">
        <v>0</v>
      </c>
      <c r="AB84" s="33">
        <v>0</v>
      </c>
      <c r="AC84" s="34">
        <v>0</v>
      </c>
      <c r="AD84" s="35">
        <v>0</v>
      </c>
      <c r="AE84" s="36">
        <v>0</v>
      </c>
      <c r="AF84" s="23">
        <v>0</v>
      </c>
      <c r="AG84" s="24">
        <v>0</v>
      </c>
      <c r="AH84" s="33">
        <v>0</v>
      </c>
      <c r="AI84" s="37">
        <v>0</v>
      </c>
      <c r="AJ84" s="35">
        <v>0</v>
      </c>
      <c r="AK84" s="36">
        <v>0</v>
      </c>
      <c r="AL84" s="38">
        <v>0</v>
      </c>
      <c r="AM84" s="35">
        <v>0</v>
      </c>
      <c r="AN84" s="19">
        <v>0</v>
      </c>
      <c r="AO84" s="23">
        <v>0</v>
      </c>
      <c r="AP84" s="24">
        <v>0</v>
      </c>
      <c r="AQ84" s="58">
        <f t="shared" si="6"/>
        <v>7.92</v>
      </c>
      <c r="AR84" s="59">
        <f t="shared" si="7"/>
        <v>19800</v>
      </c>
      <c r="AS84" s="35">
        <v>11</v>
      </c>
    </row>
    <row r="85" spans="1:45" ht="15.6" x14ac:dyDescent="0.3">
      <c r="A85" s="53">
        <v>81</v>
      </c>
      <c r="B85" s="55" t="s">
        <v>100</v>
      </c>
      <c r="C85" s="54" t="s">
        <v>107</v>
      </c>
      <c r="D85" s="348"/>
      <c r="E85" s="53"/>
      <c r="F85" s="56"/>
      <c r="G85" s="53"/>
      <c r="H85" s="56"/>
      <c r="I85" s="57"/>
      <c r="J85" s="53"/>
      <c r="K85" s="56"/>
      <c r="L85" s="57"/>
      <c r="M85" s="58"/>
      <c r="N85" s="56"/>
      <c r="O85" s="57"/>
      <c r="P85" s="58">
        <f t="shared" si="4"/>
        <v>2.88</v>
      </c>
      <c r="Q85" s="59">
        <f t="shared" si="5"/>
        <v>7200</v>
      </c>
      <c r="R85" s="35">
        <v>4</v>
      </c>
      <c r="S85" s="19">
        <v>0</v>
      </c>
      <c r="T85" s="23">
        <v>0</v>
      </c>
      <c r="U85" s="24">
        <v>0</v>
      </c>
      <c r="V85" s="33">
        <v>0</v>
      </c>
      <c r="W85" s="34">
        <v>0</v>
      </c>
      <c r="X85" s="35">
        <v>0</v>
      </c>
      <c r="Y85" s="19">
        <v>0</v>
      </c>
      <c r="Z85" s="23">
        <v>0</v>
      </c>
      <c r="AA85" s="24">
        <v>0</v>
      </c>
      <c r="AB85" s="33">
        <v>0</v>
      </c>
      <c r="AC85" s="34">
        <v>0</v>
      </c>
      <c r="AD85" s="35">
        <v>0</v>
      </c>
      <c r="AE85" s="36">
        <v>0</v>
      </c>
      <c r="AF85" s="23">
        <v>0</v>
      </c>
      <c r="AG85" s="24">
        <v>0</v>
      </c>
      <c r="AH85" s="33">
        <v>0</v>
      </c>
      <c r="AI85" s="37">
        <v>0</v>
      </c>
      <c r="AJ85" s="35">
        <v>0</v>
      </c>
      <c r="AK85" s="36">
        <v>0</v>
      </c>
      <c r="AL85" s="38">
        <v>0</v>
      </c>
      <c r="AM85" s="35">
        <v>0</v>
      </c>
      <c r="AN85" s="19">
        <v>0</v>
      </c>
      <c r="AO85" s="23">
        <v>0</v>
      </c>
      <c r="AP85" s="24">
        <v>0</v>
      </c>
      <c r="AQ85" s="58">
        <f t="shared" si="6"/>
        <v>2.88</v>
      </c>
      <c r="AR85" s="59">
        <f t="shared" si="7"/>
        <v>7200</v>
      </c>
      <c r="AS85" s="35">
        <v>4</v>
      </c>
    </row>
    <row r="86" spans="1:45" ht="15.6" x14ac:dyDescent="0.3">
      <c r="A86" s="53">
        <v>82</v>
      </c>
      <c r="B86" s="55" t="s">
        <v>100</v>
      </c>
      <c r="C86" s="54" t="s">
        <v>108</v>
      </c>
      <c r="D86" s="348"/>
      <c r="E86" s="53"/>
      <c r="F86" s="56"/>
      <c r="G86" s="53"/>
      <c r="H86" s="56"/>
      <c r="I86" s="57"/>
      <c r="J86" s="53"/>
      <c r="K86" s="56"/>
      <c r="L86" s="57"/>
      <c r="M86" s="58"/>
      <c r="N86" s="56"/>
      <c r="O86" s="57"/>
      <c r="P86" s="58">
        <f t="shared" si="4"/>
        <v>1.44</v>
      </c>
      <c r="Q86" s="59">
        <f t="shared" si="5"/>
        <v>3600</v>
      </c>
      <c r="R86" s="35">
        <v>2</v>
      </c>
      <c r="S86" s="19">
        <v>0</v>
      </c>
      <c r="T86" s="23">
        <v>0</v>
      </c>
      <c r="U86" s="24">
        <v>0</v>
      </c>
      <c r="V86" s="33">
        <v>0</v>
      </c>
      <c r="W86" s="34">
        <v>0</v>
      </c>
      <c r="X86" s="35">
        <v>0</v>
      </c>
      <c r="Y86" s="19">
        <v>0</v>
      </c>
      <c r="Z86" s="23">
        <v>0</v>
      </c>
      <c r="AA86" s="24">
        <v>0</v>
      </c>
      <c r="AB86" s="33">
        <v>0</v>
      </c>
      <c r="AC86" s="34">
        <v>0</v>
      </c>
      <c r="AD86" s="35">
        <v>0</v>
      </c>
      <c r="AE86" s="36">
        <v>0</v>
      </c>
      <c r="AF86" s="23">
        <v>0</v>
      </c>
      <c r="AG86" s="24">
        <v>0</v>
      </c>
      <c r="AH86" s="33">
        <v>0</v>
      </c>
      <c r="AI86" s="37">
        <v>0</v>
      </c>
      <c r="AJ86" s="35">
        <v>0</v>
      </c>
      <c r="AK86" s="36">
        <v>0</v>
      </c>
      <c r="AL86" s="38">
        <v>0</v>
      </c>
      <c r="AM86" s="35">
        <v>0</v>
      </c>
      <c r="AN86" s="19">
        <v>0</v>
      </c>
      <c r="AO86" s="23">
        <v>0</v>
      </c>
      <c r="AP86" s="24">
        <v>0</v>
      </c>
      <c r="AQ86" s="58">
        <f t="shared" si="6"/>
        <v>1.44</v>
      </c>
      <c r="AR86" s="59">
        <f t="shared" si="7"/>
        <v>3600</v>
      </c>
      <c r="AS86" s="35">
        <v>2</v>
      </c>
    </row>
    <row r="87" spans="1:45" ht="15.6" x14ac:dyDescent="0.3">
      <c r="A87" s="53">
        <v>83</v>
      </c>
      <c r="B87" s="55" t="s">
        <v>100</v>
      </c>
      <c r="C87" s="54" t="s">
        <v>109</v>
      </c>
      <c r="D87" s="348"/>
      <c r="E87" s="53"/>
      <c r="F87" s="56"/>
      <c r="G87" s="53"/>
      <c r="H87" s="56"/>
      <c r="I87" s="57"/>
      <c r="J87" s="53"/>
      <c r="K87" s="56"/>
      <c r="L87" s="57"/>
      <c r="M87" s="58"/>
      <c r="N87" s="56"/>
      <c r="O87" s="57"/>
      <c r="P87" s="58">
        <f t="shared" si="4"/>
        <v>5.04</v>
      </c>
      <c r="Q87" s="59">
        <f t="shared" si="5"/>
        <v>12600</v>
      </c>
      <c r="R87" s="35">
        <v>7</v>
      </c>
      <c r="S87" s="19">
        <v>0</v>
      </c>
      <c r="T87" s="23">
        <v>0</v>
      </c>
      <c r="U87" s="24">
        <v>0</v>
      </c>
      <c r="V87" s="33">
        <v>0</v>
      </c>
      <c r="W87" s="34">
        <v>0</v>
      </c>
      <c r="X87" s="35">
        <v>0</v>
      </c>
      <c r="Y87" s="19">
        <v>0</v>
      </c>
      <c r="Z87" s="23">
        <v>0</v>
      </c>
      <c r="AA87" s="24">
        <v>0</v>
      </c>
      <c r="AB87" s="33">
        <v>0</v>
      </c>
      <c r="AC87" s="34">
        <v>0</v>
      </c>
      <c r="AD87" s="35">
        <v>0</v>
      </c>
      <c r="AE87" s="36">
        <v>0</v>
      </c>
      <c r="AF87" s="23">
        <v>0</v>
      </c>
      <c r="AG87" s="24">
        <v>0</v>
      </c>
      <c r="AH87" s="33">
        <v>0</v>
      </c>
      <c r="AI87" s="37">
        <v>0</v>
      </c>
      <c r="AJ87" s="35">
        <v>0</v>
      </c>
      <c r="AK87" s="36">
        <v>0</v>
      </c>
      <c r="AL87" s="38">
        <v>0</v>
      </c>
      <c r="AM87" s="35">
        <v>0</v>
      </c>
      <c r="AN87" s="19">
        <v>0</v>
      </c>
      <c r="AO87" s="23">
        <v>0</v>
      </c>
      <c r="AP87" s="24">
        <v>0</v>
      </c>
      <c r="AQ87" s="58">
        <f t="shared" si="6"/>
        <v>5.04</v>
      </c>
      <c r="AR87" s="59">
        <f t="shared" si="7"/>
        <v>12600</v>
      </c>
      <c r="AS87" s="35">
        <v>7</v>
      </c>
    </row>
    <row r="88" spans="1:45" ht="15.6" x14ac:dyDescent="0.3">
      <c r="A88" s="53">
        <v>84</v>
      </c>
      <c r="B88" s="55" t="s">
        <v>100</v>
      </c>
      <c r="C88" s="54" t="s">
        <v>110</v>
      </c>
      <c r="D88" s="348"/>
      <c r="E88" s="53"/>
      <c r="F88" s="56"/>
      <c r="G88" s="53"/>
      <c r="H88" s="56"/>
      <c r="I88" s="57"/>
      <c r="J88" s="53"/>
      <c r="K88" s="56"/>
      <c r="L88" s="57"/>
      <c r="M88" s="58"/>
      <c r="N88" s="56"/>
      <c r="O88" s="57"/>
      <c r="P88" s="58">
        <f t="shared" si="4"/>
        <v>3.6</v>
      </c>
      <c r="Q88" s="59">
        <f t="shared" si="5"/>
        <v>9000</v>
      </c>
      <c r="R88" s="35">
        <v>5</v>
      </c>
      <c r="S88" s="19">
        <v>0</v>
      </c>
      <c r="T88" s="23">
        <v>0</v>
      </c>
      <c r="U88" s="24">
        <v>0</v>
      </c>
      <c r="V88" s="33">
        <v>0</v>
      </c>
      <c r="W88" s="34">
        <v>0</v>
      </c>
      <c r="X88" s="35">
        <v>0</v>
      </c>
      <c r="Y88" s="19">
        <v>0</v>
      </c>
      <c r="Z88" s="23">
        <v>0</v>
      </c>
      <c r="AA88" s="24">
        <v>0</v>
      </c>
      <c r="AB88" s="33">
        <v>0</v>
      </c>
      <c r="AC88" s="34">
        <v>0</v>
      </c>
      <c r="AD88" s="35">
        <v>0</v>
      </c>
      <c r="AE88" s="36">
        <v>0</v>
      </c>
      <c r="AF88" s="23">
        <v>0</v>
      </c>
      <c r="AG88" s="24">
        <v>0</v>
      </c>
      <c r="AH88" s="33">
        <v>0</v>
      </c>
      <c r="AI88" s="37">
        <v>0</v>
      </c>
      <c r="AJ88" s="35">
        <v>0</v>
      </c>
      <c r="AK88" s="36">
        <v>0</v>
      </c>
      <c r="AL88" s="38">
        <v>0</v>
      </c>
      <c r="AM88" s="35">
        <v>0</v>
      </c>
      <c r="AN88" s="19">
        <v>0</v>
      </c>
      <c r="AO88" s="23">
        <v>0</v>
      </c>
      <c r="AP88" s="24">
        <v>0</v>
      </c>
      <c r="AQ88" s="58">
        <f t="shared" si="6"/>
        <v>3.6</v>
      </c>
      <c r="AR88" s="59">
        <f t="shared" si="7"/>
        <v>9000</v>
      </c>
      <c r="AS88" s="35">
        <v>5</v>
      </c>
    </row>
    <row r="89" spans="1:45" ht="15.6" x14ac:dyDescent="0.3">
      <c r="A89" s="53">
        <v>85</v>
      </c>
      <c r="B89" s="55" t="s">
        <v>100</v>
      </c>
      <c r="C89" s="54" t="s">
        <v>111</v>
      </c>
      <c r="D89" s="348"/>
      <c r="E89" s="53"/>
      <c r="F89" s="56"/>
      <c r="G89" s="53"/>
      <c r="H89" s="56"/>
      <c r="I89" s="57"/>
      <c r="J89" s="53"/>
      <c r="K89" s="56"/>
      <c r="L89" s="57"/>
      <c r="M89" s="58"/>
      <c r="N89" s="56"/>
      <c r="O89" s="57"/>
      <c r="P89" s="58">
        <f t="shared" si="4"/>
        <v>0</v>
      </c>
      <c r="Q89" s="59">
        <f t="shared" si="5"/>
        <v>0</v>
      </c>
      <c r="R89" s="35"/>
      <c r="S89" s="19">
        <v>0</v>
      </c>
      <c r="T89" s="23">
        <v>0</v>
      </c>
      <c r="U89" s="24">
        <v>0</v>
      </c>
      <c r="V89" s="33">
        <v>0</v>
      </c>
      <c r="W89" s="34">
        <v>0</v>
      </c>
      <c r="X89" s="35">
        <v>0</v>
      </c>
      <c r="Y89" s="19">
        <v>0</v>
      </c>
      <c r="Z89" s="23">
        <v>0</v>
      </c>
      <c r="AA89" s="24">
        <v>0</v>
      </c>
      <c r="AB89" s="33">
        <v>0</v>
      </c>
      <c r="AC89" s="34">
        <v>0</v>
      </c>
      <c r="AD89" s="35">
        <v>0</v>
      </c>
      <c r="AE89" s="36">
        <v>0</v>
      </c>
      <c r="AF89" s="23">
        <v>0</v>
      </c>
      <c r="AG89" s="24">
        <v>0</v>
      </c>
      <c r="AH89" s="33">
        <v>0</v>
      </c>
      <c r="AI89" s="37">
        <v>0</v>
      </c>
      <c r="AJ89" s="35">
        <v>0</v>
      </c>
      <c r="AK89" s="36">
        <v>0</v>
      </c>
      <c r="AL89" s="38">
        <v>0</v>
      </c>
      <c r="AM89" s="35">
        <v>0</v>
      </c>
      <c r="AN89" s="19">
        <v>0</v>
      </c>
      <c r="AO89" s="23">
        <v>0</v>
      </c>
      <c r="AP89" s="24">
        <v>0</v>
      </c>
      <c r="AQ89" s="58">
        <f t="shared" si="6"/>
        <v>0</v>
      </c>
      <c r="AR89" s="59">
        <f t="shared" si="7"/>
        <v>0</v>
      </c>
      <c r="AS89" s="35"/>
    </row>
    <row r="90" spans="1:45" ht="15.6" x14ac:dyDescent="0.3">
      <c r="A90" s="53">
        <v>86</v>
      </c>
      <c r="B90" s="55" t="s">
        <v>100</v>
      </c>
      <c r="C90" s="54" t="s">
        <v>112</v>
      </c>
      <c r="D90" s="348" t="s">
        <v>25</v>
      </c>
      <c r="E90" s="53"/>
      <c r="F90" s="56"/>
      <c r="G90" s="53"/>
      <c r="H90" s="56"/>
      <c r="I90" s="57"/>
      <c r="J90" s="53"/>
      <c r="K90" s="56"/>
      <c r="L90" s="57"/>
      <c r="M90" s="58"/>
      <c r="N90" s="56"/>
      <c r="O90" s="57"/>
      <c r="P90" s="58">
        <f t="shared" si="4"/>
        <v>9.36</v>
      </c>
      <c r="Q90" s="59">
        <f t="shared" si="5"/>
        <v>23400</v>
      </c>
      <c r="R90" s="35">
        <v>13</v>
      </c>
      <c r="S90" s="19">
        <v>0</v>
      </c>
      <c r="T90" s="23">
        <v>0</v>
      </c>
      <c r="U90" s="24">
        <v>0</v>
      </c>
      <c r="V90" s="33">
        <v>0</v>
      </c>
      <c r="W90" s="34">
        <v>0</v>
      </c>
      <c r="X90" s="35">
        <v>0</v>
      </c>
      <c r="Y90" s="19">
        <v>0</v>
      </c>
      <c r="Z90" s="23">
        <v>0</v>
      </c>
      <c r="AA90" s="24">
        <v>0</v>
      </c>
      <c r="AB90" s="33">
        <v>0</v>
      </c>
      <c r="AC90" s="34">
        <v>0</v>
      </c>
      <c r="AD90" s="35">
        <v>0</v>
      </c>
      <c r="AE90" s="36">
        <v>0</v>
      </c>
      <c r="AF90" s="23">
        <v>0</v>
      </c>
      <c r="AG90" s="24">
        <v>0</v>
      </c>
      <c r="AH90" s="33">
        <v>0</v>
      </c>
      <c r="AI90" s="37">
        <v>0</v>
      </c>
      <c r="AJ90" s="35">
        <v>0</v>
      </c>
      <c r="AK90" s="36">
        <v>0</v>
      </c>
      <c r="AL90" s="38">
        <v>0</v>
      </c>
      <c r="AM90" s="35">
        <v>0</v>
      </c>
      <c r="AN90" s="19">
        <v>0</v>
      </c>
      <c r="AO90" s="23">
        <v>0</v>
      </c>
      <c r="AP90" s="24">
        <v>0</v>
      </c>
      <c r="AQ90" s="58">
        <f t="shared" si="6"/>
        <v>9.36</v>
      </c>
      <c r="AR90" s="59">
        <f t="shared" si="7"/>
        <v>23400</v>
      </c>
      <c r="AS90" s="35">
        <v>13</v>
      </c>
    </row>
    <row r="91" spans="1:45" ht="15.6" x14ac:dyDescent="0.3">
      <c r="A91" s="53">
        <v>87</v>
      </c>
      <c r="B91" s="55" t="s">
        <v>100</v>
      </c>
      <c r="C91" s="54" t="s">
        <v>113</v>
      </c>
      <c r="D91" s="348"/>
      <c r="E91" s="53"/>
      <c r="F91" s="56"/>
      <c r="G91" s="53"/>
      <c r="H91" s="56"/>
      <c r="I91" s="57"/>
      <c r="J91" s="53"/>
      <c r="K91" s="56"/>
      <c r="L91" s="57"/>
      <c r="M91" s="58"/>
      <c r="N91" s="56"/>
      <c r="O91" s="57"/>
      <c r="P91" s="58">
        <f t="shared" si="4"/>
        <v>3.6</v>
      </c>
      <c r="Q91" s="59">
        <f t="shared" si="5"/>
        <v>9000</v>
      </c>
      <c r="R91" s="35">
        <v>5</v>
      </c>
      <c r="S91" s="19">
        <v>0</v>
      </c>
      <c r="T91" s="23">
        <v>0</v>
      </c>
      <c r="U91" s="24">
        <v>0</v>
      </c>
      <c r="V91" s="33">
        <v>0</v>
      </c>
      <c r="W91" s="34">
        <v>0</v>
      </c>
      <c r="X91" s="35">
        <v>0</v>
      </c>
      <c r="Y91" s="19">
        <v>0</v>
      </c>
      <c r="Z91" s="23">
        <v>0</v>
      </c>
      <c r="AA91" s="24">
        <v>0</v>
      </c>
      <c r="AB91" s="33">
        <v>0</v>
      </c>
      <c r="AC91" s="34">
        <v>0</v>
      </c>
      <c r="AD91" s="35">
        <v>0</v>
      </c>
      <c r="AE91" s="36">
        <v>0</v>
      </c>
      <c r="AF91" s="23">
        <v>0</v>
      </c>
      <c r="AG91" s="24">
        <v>0</v>
      </c>
      <c r="AH91" s="33">
        <v>0</v>
      </c>
      <c r="AI91" s="37">
        <v>0</v>
      </c>
      <c r="AJ91" s="35">
        <v>0</v>
      </c>
      <c r="AK91" s="36">
        <v>0</v>
      </c>
      <c r="AL91" s="38">
        <v>0</v>
      </c>
      <c r="AM91" s="35">
        <v>0</v>
      </c>
      <c r="AN91" s="19">
        <v>0</v>
      </c>
      <c r="AO91" s="23">
        <v>0</v>
      </c>
      <c r="AP91" s="24">
        <v>0</v>
      </c>
      <c r="AQ91" s="58">
        <f t="shared" si="6"/>
        <v>3.6</v>
      </c>
      <c r="AR91" s="59">
        <f t="shared" si="7"/>
        <v>9000</v>
      </c>
      <c r="AS91" s="35">
        <v>5</v>
      </c>
    </row>
    <row r="92" spans="1:45" ht="15.6" x14ac:dyDescent="0.3">
      <c r="A92" s="53">
        <v>88</v>
      </c>
      <c r="B92" s="55" t="s">
        <v>100</v>
      </c>
      <c r="C92" s="54" t="s">
        <v>114</v>
      </c>
      <c r="D92" s="348"/>
      <c r="E92" s="53"/>
      <c r="F92" s="56"/>
      <c r="G92" s="53"/>
      <c r="H92" s="56"/>
      <c r="I92" s="57"/>
      <c r="J92" s="53"/>
      <c r="K92" s="56"/>
      <c r="L92" s="57"/>
      <c r="M92" s="58"/>
      <c r="N92" s="56"/>
      <c r="O92" s="57"/>
      <c r="P92" s="58">
        <f t="shared" si="4"/>
        <v>4.32</v>
      </c>
      <c r="Q92" s="59">
        <f t="shared" si="5"/>
        <v>10800</v>
      </c>
      <c r="R92" s="35">
        <v>6</v>
      </c>
      <c r="S92" s="19">
        <v>0</v>
      </c>
      <c r="T92" s="23">
        <v>0</v>
      </c>
      <c r="U92" s="24">
        <v>0</v>
      </c>
      <c r="V92" s="33">
        <v>0</v>
      </c>
      <c r="W92" s="34">
        <v>0</v>
      </c>
      <c r="X92" s="35">
        <v>0</v>
      </c>
      <c r="Y92" s="19">
        <v>0</v>
      </c>
      <c r="Z92" s="23">
        <v>0</v>
      </c>
      <c r="AA92" s="24">
        <v>0</v>
      </c>
      <c r="AB92" s="33">
        <v>0</v>
      </c>
      <c r="AC92" s="34">
        <v>0</v>
      </c>
      <c r="AD92" s="35">
        <v>0</v>
      </c>
      <c r="AE92" s="36">
        <v>0</v>
      </c>
      <c r="AF92" s="23">
        <v>0</v>
      </c>
      <c r="AG92" s="24">
        <v>0</v>
      </c>
      <c r="AH92" s="33">
        <v>0</v>
      </c>
      <c r="AI92" s="37">
        <v>0</v>
      </c>
      <c r="AJ92" s="35">
        <v>0</v>
      </c>
      <c r="AK92" s="36">
        <v>0</v>
      </c>
      <c r="AL92" s="38">
        <v>0</v>
      </c>
      <c r="AM92" s="35">
        <v>0</v>
      </c>
      <c r="AN92" s="19">
        <v>0</v>
      </c>
      <c r="AO92" s="23">
        <v>0</v>
      </c>
      <c r="AP92" s="24">
        <v>0</v>
      </c>
      <c r="AQ92" s="58">
        <f t="shared" si="6"/>
        <v>4.32</v>
      </c>
      <c r="AR92" s="59">
        <f t="shared" si="7"/>
        <v>10800</v>
      </c>
      <c r="AS92" s="35">
        <v>6</v>
      </c>
    </row>
    <row r="93" spans="1:45" ht="15.6" x14ac:dyDescent="0.3">
      <c r="A93" s="53">
        <v>89</v>
      </c>
      <c r="B93" s="55" t="s">
        <v>100</v>
      </c>
      <c r="C93" s="54" t="s">
        <v>115</v>
      </c>
      <c r="D93" s="348"/>
      <c r="E93" s="53"/>
      <c r="F93" s="56"/>
      <c r="G93" s="53"/>
      <c r="H93" s="56"/>
      <c r="I93" s="57"/>
      <c r="J93" s="53"/>
      <c r="K93" s="56"/>
      <c r="L93" s="57"/>
      <c r="M93" s="58"/>
      <c r="N93" s="56"/>
      <c r="O93" s="57"/>
      <c r="P93" s="58">
        <f t="shared" si="4"/>
        <v>2.88</v>
      </c>
      <c r="Q93" s="59">
        <f t="shared" si="5"/>
        <v>7200</v>
      </c>
      <c r="R93" s="35">
        <v>4</v>
      </c>
      <c r="S93" s="19">
        <v>0</v>
      </c>
      <c r="T93" s="23">
        <v>0</v>
      </c>
      <c r="U93" s="24">
        <v>0</v>
      </c>
      <c r="V93" s="33">
        <v>0</v>
      </c>
      <c r="W93" s="34">
        <v>0</v>
      </c>
      <c r="X93" s="35">
        <v>0</v>
      </c>
      <c r="Y93" s="19">
        <v>0</v>
      </c>
      <c r="Z93" s="23">
        <v>0</v>
      </c>
      <c r="AA93" s="24">
        <v>0</v>
      </c>
      <c r="AB93" s="33">
        <v>0</v>
      </c>
      <c r="AC93" s="34">
        <v>0</v>
      </c>
      <c r="AD93" s="35">
        <v>0</v>
      </c>
      <c r="AE93" s="36">
        <v>0</v>
      </c>
      <c r="AF93" s="23">
        <v>0</v>
      </c>
      <c r="AG93" s="24">
        <v>0</v>
      </c>
      <c r="AH93" s="33">
        <v>0</v>
      </c>
      <c r="AI93" s="37">
        <v>0</v>
      </c>
      <c r="AJ93" s="35">
        <v>0</v>
      </c>
      <c r="AK93" s="36">
        <v>0</v>
      </c>
      <c r="AL93" s="38">
        <v>0</v>
      </c>
      <c r="AM93" s="35">
        <v>0</v>
      </c>
      <c r="AN93" s="19">
        <v>0</v>
      </c>
      <c r="AO93" s="23">
        <v>0</v>
      </c>
      <c r="AP93" s="24">
        <v>0</v>
      </c>
      <c r="AQ93" s="58">
        <f t="shared" si="6"/>
        <v>2.88</v>
      </c>
      <c r="AR93" s="59">
        <f t="shared" si="7"/>
        <v>7200</v>
      </c>
      <c r="AS93" s="35">
        <v>4</v>
      </c>
    </row>
    <row r="94" spans="1:45" ht="15.6" x14ac:dyDescent="0.3">
      <c r="A94" s="53">
        <v>90</v>
      </c>
      <c r="B94" s="55" t="s">
        <v>100</v>
      </c>
      <c r="C94" s="54" t="s">
        <v>116</v>
      </c>
      <c r="D94" s="348"/>
      <c r="E94" s="53"/>
      <c r="F94" s="56"/>
      <c r="G94" s="53"/>
      <c r="H94" s="56"/>
      <c r="I94" s="57"/>
      <c r="J94" s="53"/>
      <c r="K94" s="56"/>
      <c r="L94" s="57"/>
      <c r="M94" s="58"/>
      <c r="N94" s="56"/>
      <c r="O94" s="57"/>
      <c r="P94" s="58">
        <f t="shared" si="4"/>
        <v>23.04</v>
      </c>
      <c r="Q94" s="59">
        <f t="shared" si="5"/>
        <v>57600</v>
      </c>
      <c r="R94" s="35">
        <v>32</v>
      </c>
      <c r="S94" s="19">
        <v>0</v>
      </c>
      <c r="T94" s="23">
        <v>0</v>
      </c>
      <c r="U94" s="24">
        <v>0</v>
      </c>
      <c r="V94" s="33">
        <v>0</v>
      </c>
      <c r="W94" s="34">
        <v>0</v>
      </c>
      <c r="X94" s="35">
        <v>0</v>
      </c>
      <c r="Y94" s="19">
        <v>0</v>
      </c>
      <c r="Z94" s="23">
        <v>0</v>
      </c>
      <c r="AA94" s="24">
        <v>0</v>
      </c>
      <c r="AB94" s="33">
        <v>0</v>
      </c>
      <c r="AC94" s="34">
        <v>0</v>
      </c>
      <c r="AD94" s="35">
        <v>0</v>
      </c>
      <c r="AE94" s="36">
        <v>0</v>
      </c>
      <c r="AF94" s="23">
        <v>0</v>
      </c>
      <c r="AG94" s="24">
        <v>0</v>
      </c>
      <c r="AH94" s="33">
        <v>0</v>
      </c>
      <c r="AI94" s="37">
        <v>0</v>
      </c>
      <c r="AJ94" s="35">
        <v>0</v>
      </c>
      <c r="AK94" s="36">
        <v>0</v>
      </c>
      <c r="AL94" s="38">
        <v>0</v>
      </c>
      <c r="AM94" s="35">
        <v>0</v>
      </c>
      <c r="AN94" s="19">
        <v>0</v>
      </c>
      <c r="AO94" s="23">
        <v>0</v>
      </c>
      <c r="AP94" s="24">
        <v>0</v>
      </c>
      <c r="AQ94" s="58">
        <f t="shared" si="6"/>
        <v>23.04</v>
      </c>
      <c r="AR94" s="59">
        <f t="shared" si="7"/>
        <v>57600</v>
      </c>
      <c r="AS94" s="35">
        <v>32</v>
      </c>
    </row>
    <row r="95" spans="1:45" ht="15.6" x14ac:dyDescent="0.3">
      <c r="A95" s="53">
        <v>91</v>
      </c>
      <c r="B95" s="55" t="s">
        <v>117</v>
      </c>
      <c r="C95" s="54" t="s">
        <v>118</v>
      </c>
      <c r="D95" s="348"/>
      <c r="E95" s="53"/>
      <c r="F95" s="56"/>
      <c r="G95" s="53"/>
      <c r="H95" s="56"/>
      <c r="I95" s="57"/>
      <c r="J95" s="53"/>
      <c r="K95" s="56"/>
      <c r="L95" s="57"/>
      <c r="M95" s="58"/>
      <c r="N95" s="56"/>
      <c r="O95" s="57"/>
      <c r="P95" s="58">
        <f t="shared" si="4"/>
        <v>2.88</v>
      </c>
      <c r="Q95" s="59">
        <f t="shared" si="5"/>
        <v>7200</v>
      </c>
      <c r="R95" s="35">
        <v>4</v>
      </c>
      <c r="S95" s="19">
        <v>0</v>
      </c>
      <c r="T95" s="23">
        <v>0</v>
      </c>
      <c r="U95" s="24">
        <v>0</v>
      </c>
      <c r="V95" s="33">
        <v>0</v>
      </c>
      <c r="W95" s="34">
        <v>0</v>
      </c>
      <c r="X95" s="35">
        <v>0</v>
      </c>
      <c r="Y95" s="19">
        <v>0</v>
      </c>
      <c r="Z95" s="23">
        <v>0</v>
      </c>
      <c r="AA95" s="24">
        <v>0</v>
      </c>
      <c r="AB95" s="33">
        <v>0</v>
      </c>
      <c r="AC95" s="34">
        <v>0</v>
      </c>
      <c r="AD95" s="35">
        <v>0</v>
      </c>
      <c r="AE95" s="36">
        <v>0</v>
      </c>
      <c r="AF95" s="23">
        <v>0</v>
      </c>
      <c r="AG95" s="24">
        <v>0</v>
      </c>
      <c r="AH95" s="33">
        <v>0</v>
      </c>
      <c r="AI95" s="37">
        <v>0</v>
      </c>
      <c r="AJ95" s="35">
        <v>0</v>
      </c>
      <c r="AK95" s="36">
        <v>0</v>
      </c>
      <c r="AL95" s="38">
        <v>0</v>
      </c>
      <c r="AM95" s="35">
        <v>0</v>
      </c>
      <c r="AN95" s="19">
        <v>0</v>
      </c>
      <c r="AO95" s="23">
        <v>0</v>
      </c>
      <c r="AP95" s="24">
        <v>0</v>
      </c>
      <c r="AQ95" s="58">
        <f t="shared" si="6"/>
        <v>2.88</v>
      </c>
      <c r="AR95" s="59">
        <f t="shared" si="7"/>
        <v>7200</v>
      </c>
      <c r="AS95" s="35">
        <v>4</v>
      </c>
    </row>
    <row r="96" spans="1:45" ht="15.6" x14ac:dyDescent="0.3">
      <c r="A96" s="53">
        <v>92</v>
      </c>
      <c r="B96" s="55" t="s">
        <v>117</v>
      </c>
      <c r="C96" s="54" t="s">
        <v>119</v>
      </c>
      <c r="D96" s="348"/>
      <c r="E96" s="53"/>
      <c r="F96" s="56"/>
      <c r="G96" s="53"/>
      <c r="H96" s="56"/>
      <c r="I96" s="57"/>
      <c r="J96" s="53"/>
      <c r="K96" s="56"/>
      <c r="L96" s="57"/>
      <c r="M96" s="58"/>
      <c r="N96" s="56"/>
      <c r="O96" s="57"/>
      <c r="P96" s="58">
        <f t="shared" si="4"/>
        <v>2.16</v>
      </c>
      <c r="Q96" s="59">
        <f t="shared" si="5"/>
        <v>5400</v>
      </c>
      <c r="R96" s="35">
        <v>3</v>
      </c>
      <c r="S96" s="19">
        <v>0</v>
      </c>
      <c r="T96" s="23">
        <v>0</v>
      </c>
      <c r="U96" s="24">
        <v>0</v>
      </c>
      <c r="V96" s="33">
        <v>0</v>
      </c>
      <c r="W96" s="34">
        <v>0</v>
      </c>
      <c r="X96" s="35">
        <v>0</v>
      </c>
      <c r="Y96" s="19">
        <v>0</v>
      </c>
      <c r="Z96" s="23">
        <v>0</v>
      </c>
      <c r="AA96" s="24">
        <v>0</v>
      </c>
      <c r="AB96" s="33">
        <v>0</v>
      </c>
      <c r="AC96" s="34">
        <v>0</v>
      </c>
      <c r="AD96" s="35">
        <v>0</v>
      </c>
      <c r="AE96" s="36">
        <v>0</v>
      </c>
      <c r="AF96" s="23">
        <v>0</v>
      </c>
      <c r="AG96" s="24">
        <v>0</v>
      </c>
      <c r="AH96" s="33">
        <v>0</v>
      </c>
      <c r="AI96" s="37">
        <v>0</v>
      </c>
      <c r="AJ96" s="35">
        <v>0</v>
      </c>
      <c r="AK96" s="36">
        <v>0</v>
      </c>
      <c r="AL96" s="38">
        <v>0</v>
      </c>
      <c r="AM96" s="35">
        <v>0</v>
      </c>
      <c r="AN96" s="19">
        <v>0</v>
      </c>
      <c r="AO96" s="23">
        <v>0</v>
      </c>
      <c r="AP96" s="24">
        <v>0</v>
      </c>
      <c r="AQ96" s="58">
        <f t="shared" si="6"/>
        <v>2.16</v>
      </c>
      <c r="AR96" s="59">
        <f t="shared" si="7"/>
        <v>5400</v>
      </c>
      <c r="AS96" s="35">
        <v>3</v>
      </c>
    </row>
    <row r="97" spans="1:45" ht="15.6" x14ac:dyDescent="0.3">
      <c r="A97" s="53">
        <v>93</v>
      </c>
      <c r="B97" s="55" t="s">
        <v>117</v>
      </c>
      <c r="C97" s="54" t="s">
        <v>120</v>
      </c>
      <c r="D97" s="348"/>
      <c r="E97" s="53"/>
      <c r="F97" s="56"/>
      <c r="G97" s="53"/>
      <c r="H97" s="56"/>
      <c r="I97" s="57"/>
      <c r="J97" s="53"/>
      <c r="K97" s="56"/>
      <c r="L97" s="57"/>
      <c r="M97" s="58"/>
      <c r="N97" s="56"/>
      <c r="O97" s="57"/>
      <c r="P97" s="58">
        <f t="shared" si="4"/>
        <v>0.72</v>
      </c>
      <c r="Q97" s="59">
        <f t="shared" si="5"/>
        <v>1800</v>
      </c>
      <c r="R97" s="35">
        <v>1</v>
      </c>
      <c r="S97" s="19">
        <v>0</v>
      </c>
      <c r="T97" s="23">
        <v>0</v>
      </c>
      <c r="U97" s="24">
        <v>0</v>
      </c>
      <c r="V97" s="33">
        <v>0</v>
      </c>
      <c r="W97" s="34">
        <v>0</v>
      </c>
      <c r="X97" s="35">
        <v>0</v>
      </c>
      <c r="Y97" s="19">
        <v>0</v>
      </c>
      <c r="Z97" s="23">
        <v>0</v>
      </c>
      <c r="AA97" s="24">
        <v>0</v>
      </c>
      <c r="AB97" s="33">
        <v>0</v>
      </c>
      <c r="AC97" s="34">
        <v>0</v>
      </c>
      <c r="AD97" s="35">
        <v>0</v>
      </c>
      <c r="AE97" s="36">
        <v>0</v>
      </c>
      <c r="AF97" s="23">
        <v>0</v>
      </c>
      <c r="AG97" s="24">
        <v>0</v>
      </c>
      <c r="AH97" s="33">
        <v>0</v>
      </c>
      <c r="AI97" s="37">
        <v>0</v>
      </c>
      <c r="AJ97" s="35">
        <v>0</v>
      </c>
      <c r="AK97" s="36">
        <v>0</v>
      </c>
      <c r="AL97" s="38">
        <v>0</v>
      </c>
      <c r="AM97" s="35">
        <v>0</v>
      </c>
      <c r="AN97" s="19">
        <v>0</v>
      </c>
      <c r="AO97" s="23">
        <v>0</v>
      </c>
      <c r="AP97" s="24">
        <v>0</v>
      </c>
      <c r="AQ97" s="58">
        <f t="shared" si="6"/>
        <v>0.72</v>
      </c>
      <c r="AR97" s="59">
        <f t="shared" si="7"/>
        <v>1800</v>
      </c>
      <c r="AS97" s="35">
        <v>1</v>
      </c>
    </row>
    <row r="98" spans="1:45" ht="15.6" x14ac:dyDescent="0.3">
      <c r="A98" s="53">
        <v>94</v>
      </c>
      <c r="B98" s="55" t="s">
        <v>117</v>
      </c>
      <c r="C98" s="54" t="s">
        <v>121</v>
      </c>
      <c r="D98" s="348"/>
      <c r="E98" s="53"/>
      <c r="F98" s="56"/>
      <c r="G98" s="53"/>
      <c r="H98" s="56"/>
      <c r="I98" s="57"/>
      <c r="J98" s="53"/>
      <c r="K98" s="56"/>
      <c r="L98" s="57"/>
      <c r="M98" s="58"/>
      <c r="N98" s="56"/>
      <c r="O98" s="57"/>
      <c r="P98" s="58">
        <f t="shared" si="4"/>
        <v>2.88</v>
      </c>
      <c r="Q98" s="59">
        <f t="shared" si="5"/>
        <v>7200</v>
      </c>
      <c r="R98" s="35">
        <v>4</v>
      </c>
      <c r="S98" s="19">
        <v>0</v>
      </c>
      <c r="T98" s="23">
        <v>0</v>
      </c>
      <c r="U98" s="24">
        <v>0</v>
      </c>
      <c r="V98" s="33">
        <v>0</v>
      </c>
      <c r="W98" s="34">
        <v>0</v>
      </c>
      <c r="X98" s="35">
        <v>0</v>
      </c>
      <c r="Y98" s="19">
        <v>0</v>
      </c>
      <c r="Z98" s="23">
        <v>0</v>
      </c>
      <c r="AA98" s="24">
        <v>0</v>
      </c>
      <c r="AB98" s="33">
        <v>0</v>
      </c>
      <c r="AC98" s="34">
        <v>0</v>
      </c>
      <c r="AD98" s="35">
        <v>0</v>
      </c>
      <c r="AE98" s="36">
        <v>0</v>
      </c>
      <c r="AF98" s="23">
        <v>0</v>
      </c>
      <c r="AG98" s="24">
        <v>0</v>
      </c>
      <c r="AH98" s="33">
        <v>0</v>
      </c>
      <c r="AI98" s="37">
        <v>0</v>
      </c>
      <c r="AJ98" s="35">
        <v>0</v>
      </c>
      <c r="AK98" s="36">
        <v>0</v>
      </c>
      <c r="AL98" s="38">
        <v>0</v>
      </c>
      <c r="AM98" s="35">
        <v>0</v>
      </c>
      <c r="AN98" s="19">
        <v>0</v>
      </c>
      <c r="AO98" s="23">
        <v>0</v>
      </c>
      <c r="AP98" s="24">
        <v>0</v>
      </c>
      <c r="AQ98" s="58">
        <f t="shared" si="6"/>
        <v>2.88</v>
      </c>
      <c r="AR98" s="59">
        <f t="shared" si="7"/>
        <v>7200</v>
      </c>
      <c r="AS98" s="35">
        <v>4</v>
      </c>
    </row>
    <row r="99" spans="1:45" ht="15.6" x14ac:dyDescent="0.3">
      <c r="A99" s="53">
        <v>95</v>
      </c>
      <c r="B99" s="55" t="s">
        <v>117</v>
      </c>
      <c r="C99" s="54" t="s">
        <v>122</v>
      </c>
      <c r="D99" s="348"/>
      <c r="E99" s="53"/>
      <c r="F99" s="56"/>
      <c r="G99" s="53"/>
      <c r="H99" s="56"/>
      <c r="I99" s="57"/>
      <c r="J99" s="53"/>
      <c r="K99" s="56"/>
      <c r="L99" s="57"/>
      <c r="M99" s="58"/>
      <c r="N99" s="56"/>
      <c r="O99" s="57"/>
      <c r="P99" s="58">
        <f t="shared" si="4"/>
        <v>2.16</v>
      </c>
      <c r="Q99" s="59">
        <f t="shared" si="5"/>
        <v>5400</v>
      </c>
      <c r="R99" s="35">
        <v>3</v>
      </c>
      <c r="S99" s="19">
        <v>0</v>
      </c>
      <c r="T99" s="23">
        <v>0</v>
      </c>
      <c r="U99" s="24">
        <v>0</v>
      </c>
      <c r="V99" s="33">
        <v>0</v>
      </c>
      <c r="W99" s="34">
        <v>0</v>
      </c>
      <c r="X99" s="35">
        <v>0</v>
      </c>
      <c r="Y99" s="19">
        <v>0</v>
      </c>
      <c r="Z99" s="23">
        <v>0</v>
      </c>
      <c r="AA99" s="24">
        <v>0</v>
      </c>
      <c r="AB99" s="33">
        <v>0</v>
      </c>
      <c r="AC99" s="34">
        <v>0</v>
      </c>
      <c r="AD99" s="35">
        <v>0</v>
      </c>
      <c r="AE99" s="36">
        <v>0</v>
      </c>
      <c r="AF99" s="23">
        <v>0</v>
      </c>
      <c r="AG99" s="24">
        <v>0</v>
      </c>
      <c r="AH99" s="33">
        <v>0</v>
      </c>
      <c r="AI99" s="37">
        <v>0</v>
      </c>
      <c r="AJ99" s="35">
        <v>0</v>
      </c>
      <c r="AK99" s="36">
        <v>0</v>
      </c>
      <c r="AL99" s="38">
        <v>0</v>
      </c>
      <c r="AM99" s="35">
        <v>0</v>
      </c>
      <c r="AN99" s="19">
        <v>0</v>
      </c>
      <c r="AO99" s="23">
        <v>0</v>
      </c>
      <c r="AP99" s="24">
        <v>0</v>
      </c>
      <c r="AQ99" s="58">
        <f t="shared" si="6"/>
        <v>2.16</v>
      </c>
      <c r="AR99" s="59">
        <f t="shared" si="7"/>
        <v>5400</v>
      </c>
      <c r="AS99" s="35">
        <v>3</v>
      </c>
    </row>
    <row r="100" spans="1:45" ht="15.6" x14ac:dyDescent="0.3">
      <c r="A100" s="53">
        <v>96</v>
      </c>
      <c r="B100" s="55" t="s">
        <v>117</v>
      </c>
      <c r="C100" s="54" t="s">
        <v>123</v>
      </c>
      <c r="D100" s="348"/>
      <c r="E100" s="53"/>
      <c r="F100" s="56"/>
      <c r="G100" s="53"/>
      <c r="H100" s="56"/>
      <c r="I100" s="57"/>
      <c r="J100" s="53"/>
      <c r="K100" s="56"/>
      <c r="L100" s="57"/>
      <c r="M100" s="58"/>
      <c r="N100" s="56"/>
      <c r="O100" s="57"/>
      <c r="P100" s="58">
        <f t="shared" si="4"/>
        <v>2.16</v>
      </c>
      <c r="Q100" s="59">
        <f t="shared" si="5"/>
        <v>5400</v>
      </c>
      <c r="R100" s="35">
        <v>3</v>
      </c>
      <c r="S100" s="19">
        <v>0</v>
      </c>
      <c r="T100" s="23">
        <v>0</v>
      </c>
      <c r="U100" s="24">
        <v>0</v>
      </c>
      <c r="V100" s="33">
        <v>0</v>
      </c>
      <c r="W100" s="34">
        <v>0</v>
      </c>
      <c r="X100" s="35">
        <v>0</v>
      </c>
      <c r="Y100" s="19">
        <v>0</v>
      </c>
      <c r="Z100" s="23">
        <v>0</v>
      </c>
      <c r="AA100" s="24">
        <v>0</v>
      </c>
      <c r="AB100" s="33">
        <v>0</v>
      </c>
      <c r="AC100" s="34">
        <v>0</v>
      </c>
      <c r="AD100" s="35">
        <v>0</v>
      </c>
      <c r="AE100" s="36">
        <v>0</v>
      </c>
      <c r="AF100" s="23">
        <v>0</v>
      </c>
      <c r="AG100" s="24">
        <v>0</v>
      </c>
      <c r="AH100" s="33">
        <v>0</v>
      </c>
      <c r="AI100" s="37">
        <v>0</v>
      </c>
      <c r="AJ100" s="35">
        <v>0</v>
      </c>
      <c r="AK100" s="36">
        <v>0</v>
      </c>
      <c r="AL100" s="38">
        <v>0</v>
      </c>
      <c r="AM100" s="35">
        <v>0</v>
      </c>
      <c r="AN100" s="19">
        <v>0</v>
      </c>
      <c r="AO100" s="23">
        <v>0</v>
      </c>
      <c r="AP100" s="24">
        <v>0</v>
      </c>
      <c r="AQ100" s="58">
        <f t="shared" si="6"/>
        <v>2.16</v>
      </c>
      <c r="AR100" s="59">
        <f t="shared" si="7"/>
        <v>5400</v>
      </c>
      <c r="AS100" s="35">
        <v>3</v>
      </c>
    </row>
    <row r="101" spans="1:45" ht="15.6" x14ac:dyDescent="0.3">
      <c r="A101" s="53">
        <v>97</v>
      </c>
      <c r="B101" s="55" t="s">
        <v>117</v>
      </c>
      <c r="C101" s="54" t="s">
        <v>117</v>
      </c>
      <c r="D101" s="348"/>
      <c r="E101" s="53"/>
      <c r="F101" s="56"/>
      <c r="G101" s="53"/>
      <c r="H101" s="56"/>
      <c r="I101" s="57"/>
      <c r="J101" s="53"/>
      <c r="K101" s="56"/>
      <c r="L101" s="57"/>
      <c r="M101" s="58"/>
      <c r="N101" s="56"/>
      <c r="O101" s="57"/>
      <c r="P101" s="58">
        <f t="shared" si="4"/>
        <v>1.44</v>
      </c>
      <c r="Q101" s="59">
        <f t="shared" si="5"/>
        <v>3600</v>
      </c>
      <c r="R101" s="35">
        <v>2</v>
      </c>
      <c r="S101" s="19">
        <v>0</v>
      </c>
      <c r="T101" s="23">
        <v>0</v>
      </c>
      <c r="U101" s="24">
        <v>0</v>
      </c>
      <c r="V101" s="33">
        <v>0</v>
      </c>
      <c r="W101" s="34">
        <v>0</v>
      </c>
      <c r="X101" s="35">
        <v>0</v>
      </c>
      <c r="Y101" s="19">
        <v>0</v>
      </c>
      <c r="Z101" s="23">
        <v>0</v>
      </c>
      <c r="AA101" s="24">
        <v>0</v>
      </c>
      <c r="AB101" s="33">
        <v>0</v>
      </c>
      <c r="AC101" s="34">
        <v>0</v>
      </c>
      <c r="AD101" s="35">
        <v>0</v>
      </c>
      <c r="AE101" s="36">
        <v>0</v>
      </c>
      <c r="AF101" s="23">
        <v>0</v>
      </c>
      <c r="AG101" s="24">
        <v>0</v>
      </c>
      <c r="AH101" s="33">
        <v>0</v>
      </c>
      <c r="AI101" s="37">
        <v>0</v>
      </c>
      <c r="AJ101" s="35">
        <v>0</v>
      </c>
      <c r="AK101" s="36">
        <v>0</v>
      </c>
      <c r="AL101" s="38">
        <v>0</v>
      </c>
      <c r="AM101" s="35">
        <v>0</v>
      </c>
      <c r="AN101" s="19">
        <v>0</v>
      </c>
      <c r="AO101" s="23">
        <v>0</v>
      </c>
      <c r="AP101" s="24">
        <v>0</v>
      </c>
      <c r="AQ101" s="58">
        <f t="shared" si="6"/>
        <v>1.44</v>
      </c>
      <c r="AR101" s="59">
        <f t="shared" si="7"/>
        <v>3600</v>
      </c>
      <c r="AS101" s="35">
        <v>2</v>
      </c>
    </row>
    <row r="102" spans="1:45" ht="15.6" x14ac:dyDescent="0.3">
      <c r="A102" s="53">
        <v>98</v>
      </c>
      <c r="B102" s="55" t="s">
        <v>117</v>
      </c>
      <c r="C102" s="54" t="s">
        <v>124</v>
      </c>
      <c r="D102" s="348"/>
      <c r="E102" s="53"/>
      <c r="F102" s="56"/>
      <c r="G102" s="53"/>
      <c r="H102" s="56"/>
      <c r="I102" s="57"/>
      <c r="J102" s="53"/>
      <c r="K102" s="56"/>
      <c r="L102" s="57"/>
      <c r="M102" s="58"/>
      <c r="N102" s="56"/>
      <c r="O102" s="57"/>
      <c r="P102" s="58">
        <f t="shared" si="4"/>
        <v>2.16</v>
      </c>
      <c r="Q102" s="59">
        <f t="shared" si="5"/>
        <v>5400</v>
      </c>
      <c r="R102" s="35">
        <v>3</v>
      </c>
      <c r="S102" s="19">
        <v>0</v>
      </c>
      <c r="T102" s="23">
        <v>0</v>
      </c>
      <c r="U102" s="24">
        <v>0</v>
      </c>
      <c r="V102" s="33">
        <v>0</v>
      </c>
      <c r="W102" s="34">
        <v>0</v>
      </c>
      <c r="X102" s="35">
        <v>0</v>
      </c>
      <c r="Y102" s="19">
        <v>0</v>
      </c>
      <c r="Z102" s="23">
        <v>0</v>
      </c>
      <c r="AA102" s="24">
        <v>0</v>
      </c>
      <c r="AB102" s="33">
        <v>0</v>
      </c>
      <c r="AC102" s="34">
        <v>0</v>
      </c>
      <c r="AD102" s="35">
        <v>0</v>
      </c>
      <c r="AE102" s="36">
        <v>0</v>
      </c>
      <c r="AF102" s="23">
        <v>0</v>
      </c>
      <c r="AG102" s="24">
        <v>0</v>
      </c>
      <c r="AH102" s="33">
        <v>0</v>
      </c>
      <c r="AI102" s="37">
        <v>0</v>
      </c>
      <c r="AJ102" s="35">
        <v>0</v>
      </c>
      <c r="AK102" s="36">
        <v>0</v>
      </c>
      <c r="AL102" s="38">
        <v>0</v>
      </c>
      <c r="AM102" s="35">
        <v>0</v>
      </c>
      <c r="AN102" s="19">
        <v>0</v>
      </c>
      <c r="AO102" s="23">
        <v>0</v>
      </c>
      <c r="AP102" s="24">
        <v>0</v>
      </c>
      <c r="AQ102" s="58">
        <f t="shared" si="6"/>
        <v>2.16</v>
      </c>
      <c r="AR102" s="59">
        <f t="shared" si="7"/>
        <v>5400</v>
      </c>
      <c r="AS102" s="35">
        <v>3</v>
      </c>
    </row>
    <row r="103" spans="1:45" ht="15.6" x14ac:dyDescent="0.3">
      <c r="A103" s="53">
        <v>99</v>
      </c>
      <c r="B103" s="55" t="s">
        <v>117</v>
      </c>
      <c r="C103" s="54" t="s">
        <v>89</v>
      </c>
      <c r="D103" s="348"/>
      <c r="E103" s="53"/>
      <c r="F103" s="56"/>
      <c r="G103" s="53"/>
      <c r="H103" s="56"/>
      <c r="I103" s="57"/>
      <c r="J103" s="53"/>
      <c r="K103" s="56"/>
      <c r="L103" s="57"/>
      <c r="M103" s="58"/>
      <c r="N103" s="56"/>
      <c r="O103" s="57"/>
      <c r="P103" s="58">
        <f t="shared" si="4"/>
        <v>0</v>
      </c>
      <c r="Q103" s="59">
        <f t="shared" si="5"/>
        <v>0</v>
      </c>
      <c r="R103" s="35"/>
      <c r="S103" s="19">
        <v>0</v>
      </c>
      <c r="T103" s="23">
        <v>0</v>
      </c>
      <c r="U103" s="24">
        <v>0</v>
      </c>
      <c r="V103" s="33">
        <v>0</v>
      </c>
      <c r="W103" s="34">
        <v>0</v>
      </c>
      <c r="X103" s="35">
        <v>0</v>
      </c>
      <c r="Y103" s="19">
        <v>0</v>
      </c>
      <c r="Z103" s="23">
        <v>0</v>
      </c>
      <c r="AA103" s="24">
        <v>0</v>
      </c>
      <c r="AB103" s="33">
        <v>0</v>
      </c>
      <c r="AC103" s="34">
        <v>0</v>
      </c>
      <c r="AD103" s="35">
        <v>0</v>
      </c>
      <c r="AE103" s="36">
        <v>0</v>
      </c>
      <c r="AF103" s="23">
        <v>0</v>
      </c>
      <c r="AG103" s="24">
        <v>0</v>
      </c>
      <c r="AH103" s="33">
        <v>0</v>
      </c>
      <c r="AI103" s="37">
        <v>0</v>
      </c>
      <c r="AJ103" s="35">
        <v>0</v>
      </c>
      <c r="AK103" s="36">
        <v>0</v>
      </c>
      <c r="AL103" s="38">
        <v>0</v>
      </c>
      <c r="AM103" s="35">
        <v>0</v>
      </c>
      <c r="AN103" s="19">
        <v>0</v>
      </c>
      <c r="AO103" s="23">
        <v>0</v>
      </c>
      <c r="AP103" s="24">
        <v>0</v>
      </c>
      <c r="AQ103" s="58">
        <f t="shared" si="6"/>
        <v>0</v>
      </c>
      <c r="AR103" s="59">
        <f t="shared" si="7"/>
        <v>0</v>
      </c>
      <c r="AS103" s="35"/>
    </row>
    <row r="104" spans="1:45" ht="15.6" x14ac:dyDescent="0.3">
      <c r="A104" s="53">
        <v>100</v>
      </c>
      <c r="B104" s="55" t="s">
        <v>117</v>
      </c>
      <c r="C104" s="54" t="s">
        <v>125</v>
      </c>
      <c r="D104" s="348"/>
      <c r="E104" s="53"/>
      <c r="F104" s="56"/>
      <c r="G104" s="53"/>
      <c r="H104" s="56"/>
      <c r="I104" s="57"/>
      <c r="J104" s="53"/>
      <c r="K104" s="56"/>
      <c r="L104" s="57"/>
      <c r="M104" s="58"/>
      <c r="N104" s="56"/>
      <c r="O104" s="57"/>
      <c r="P104" s="58">
        <f t="shared" si="4"/>
        <v>1.44</v>
      </c>
      <c r="Q104" s="59">
        <f t="shared" si="5"/>
        <v>3600</v>
      </c>
      <c r="R104" s="35">
        <v>2</v>
      </c>
      <c r="S104" s="19">
        <v>0</v>
      </c>
      <c r="T104" s="23">
        <v>0</v>
      </c>
      <c r="U104" s="24">
        <v>0</v>
      </c>
      <c r="V104" s="33">
        <v>0</v>
      </c>
      <c r="W104" s="34">
        <v>0</v>
      </c>
      <c r="X104" s="35">
        <v>0</v>
      </c>
      <c r="Y104" s="19">
        <v>0</v>
      </c>
      <c r="Z104" s="23">
        <v>0</v>
      </c>
      <c r="AA104" s="24">
        <v>0</v>
      </c>
      <c r="AB104" s="33">
        <v>0</v>
      </c>
      <c r="AC104" s="34">
        <v>0</v>
      </c>
      <c r="AD104" s="35">
        <v>0</v>
      </c>
      <c r="AE104" s="36">
        <v>0</v>
      </c>
      <c r="AF104" s="23">
        <v>0</v>
      </c>
      <c r="AG104" s="24">
        <v>0</v>
      </c>
      <c r="AH104" s="33">
        <v>0</v>
      </c>
      <c r="AI104" s="37">
        <v>0</v>
      </c>
      <c r="AJ104" s="35">
        <v>0</v>
      </c>
      <c r="AK104" s="36">
        <v>0</v>
      </c>
      <c r="AL104" s="38">
        <v>0</v>
      </c>
      <c r="AM104" s="35">
        <v>0</v>
      </c>
      <c r="AN104" s="19">
        <v>0</v>
      </c>
      <c r="AO104" s="23">
        <v>0</v>
      </c>
      <c r="AP104" s="24">
        <v>0</v>
      </c>
      <c r="AQ104" s="58">
        <f t="shared" si="6"/>
        <v>1.44</v>
      </c>
      <c r="AR104" s="59">
        <f t="shared" si="7"/>
        <v>3600</v>
      </c>
      <c r="AS104" s="35">
        <v>2</v>
      </c>
    </row>
    <row r="105" spans="1:45" ht="15.6" x14ac:dyDescent="0.3">
      <c r="A105" s="53">
        <v>101</v>
      </c>
      <c r="B105" s="55" t="s">
        <v>117</v>
      </c>
      <c r="C105" s="54" t="s">
        <v>126</v>
      </c>
      <c r="D105" s="348"/>
      <c r="E105" s="53"/>
      <c r="F105" s="56"/>
      <c r="G105" s="53"/>
      <c r="H105" s="56"/>
      <c r="I105" s="57"/>
      <c r="J105" s="53"/>
      <c r="K105" s="56"/>
      <c r="L105" s="57"/>
      <c r="M105" s="58"/>
      <c r="N105" s="56"/>
      <c r="O105" s="57"/>
      <c r="P105" s="58">
        <f t="shared" si="4"/>
        <v>0</v>
      </c>
      <c r="Q105" s="59">
        <f t="shared" si="5"/>
        <v>0</v>
      </c>
      <c r="R105" s="35"/>
      <c r="S105" s="19">
        <v>0</v>
      </c>
      <c r="T105" s="23">
        <v>0</v>
      </c>
      <c r="U105" s="24">
        <v>0</v>
      </c>
      <c r="V105" s="33">
        <v>0</v>
      </c>
      <c r="W105" s="34">
        <v>0</v>
      </c>
      <c r="X105" s="35">
        <v>0</v>
      </c>
      <c r="Y105" s="19">
        <v>0</v>
      </c>
      <c r="Z105" s="23">
        <v>0</v>
      </c>
      <c r="AA105" s="24">
        <v>0</v>
      </c>
      <c r="AB105" s="33">
        <v>0</v>
      </c>
      <c r="AC105" s="34">
        <v>0</v>
      </c>
      <c r="AD105" s="35">
        <v>0</v>
      </c>
      <c r="AE105" s="36">
        <v>0</v>
      </c>
      <c r="AF105" s="23">
        <v>0</v>
      </c>
      <c r="AG105" s="24">
        <v>0</v>
      </c>
      <c r="AH105" s="33">
        <v>0</v>
      </c>
      <c r="AI105" s="37">
        <v>0</v>
      </c>
      <c r="AJ105" s="35">
        <v>0</v>
      </c>
      <c r="AK105" s="36">
        <v>0</v>
      </c>
      <c r="AL105" s="38">
        <v>0</v>
      </c>
      <c r="AM105" s="35">
        <v>0</v>
      </c>
      <c r="AN105" s="19">
        <v>0</v>
      </c>
      <c r="AO105" s="23">
        <v>0</v>
      </c>
      <c r="AP105" s="24">
        <v>0</v>
      </c>
      <c r="AQ105" s="58">
        <f t="shared" si="6"/>
        <v>0</v>
      </c>
      <c r="AR105" s="59">
        <f t="shared" si="7"/>
        <v>0</v>
      </c>
      <c r="AS105" s="35"/>
    </row>
    <row r="106" spans="1:45" ht="15.6" x14ac:dyDescent="0.3">
      <c r="A106" s="53">
        <v>102</v>
      </c>
      <c r="B106" s="55" t="s">
        <v>117</v>
      </c>
      <c r="C106" s="54" t="s">
        <v>127</v>
      </c>
      <c r="D106" s="348"/>
      <c r="E106" s="53"/>
      <c r="F106" s="56"/>
      <c r="G106" s="53"/>
      <c r="H106" s="56"/>
      <c r="I106" s="57"/>
      <c r="J106" s="53"/>
      <c r="K106" s="56"/>
      <c r="L106" s="57"/>
      <c r="M106" s="58"/>
      <c r="N106" s="56"/>
      <c r="O106" s="57"/>
      <c r="P106" s="58">
        <f t="shared" si="4"/>
        <v>1.44</v>
      </c>
      <c r="Q106" s="59">
        <f t="shared" si="5"/>
        <v>3600</v>
      </c>
      <c r="R106" s="35">
        <v>2</v>
      </c>
      <c r="S106" s="19">
        <v>0</v>
      </c>
      <c r="T106" s="23">
        <v>0</v>
      </c>
      <c r="U106" s="24">
        <v>0</v>
      </c>
      <c r="V106" s="33">
        <v>0</v>
      </c>
      <c r="W106" s="34">
        <v>0</v>
      </c>
      <c r="X106" s="35">
        <v>0</v>
      </c>
      <c r="Y106" s="19">
        <v>0</v>
      </c>
      <c r="Z106" s="23">
        <v>0</v>
      </c>
      <c r="AA106" s="24">
        <v>0</v>
      </c>
      <c r="AB106" s="33">
        <v>0</v>
      </c>
      <c r="AC106" s="34">
        <v>0</v>
      </c>
      <c r="AD106" s="35">
        <v>0</v>
      </c>
      <c r="AE106" s="36">
        <v>0</v>
      </c>
      <c r="AF106" s="23">
        <v>0</v>
      </c>
      <c r="AG106" s="24">
        <v>0</v>
      </c>
      <c r="AH106" s="33">
        <v>0</v>
      </c>
      <c r="AI106" s="37">
        <v>0</v>
      </c>
      <c r="AJ106" s="35">
        <v>0</v>
      </c>
      <c r="AK106" s="36">
        <v>0</v>
      </c>
      <c r="AL106" s="38">
        <v>0</v>
      </c>
      <c r="AM106" s="35">
        <v>0</v>
      </c>
      <c r="AN106" s="19">
        <v>0</v>
      </c>
      <c r="AO106" s="23">
        <v>0</v>
      </c>
      <c r="AP106" s="24">
        <v>0</v>
      </c>
      <c r="AQ106" s="58">
        <f t="shared" si="6"/>
        <v>1.44</v>
      </c>
      <c r="AR106" s="59">
        <f t="shared" si="7"/>
        <v>3600</v>
      </c>
      <c r="AS106" s="35">
        <v>2</v>
      </c>
    </row>
    <row r="107" spans="1:45" ht="15.6" x14ac:dyDescent="0.3">
      <c r="A107" s="53">
        <v>103</v>
      </c>
      <c r="B107" s="55" t="s">
        <v>117</v>
      </c>
      <c r="C107" s="54" t="s">
        <v>128</v>
      </c>
      <c r="D107" s="348" t="s">
        <v>25</v>
      </c>
      <c r="E107" s="53"/>
      <c r="F107" s="56"/>
      <c r="G107" s="53"/>
      <c r="H107" s="56"/>
      <c r="I107" s="57"/>
      <c r="J107" s="53"/>
      <c r="K107" s="56"/>
      <c r="L107" s="57"/>
      <c r="M107" s="58"/>
      <c r="N107" s="56"/>
      <c r="O107" s="57"/>
      <c r="P107" s="58">
        <f t="shared" si="4"/>
        <v>0.72</v>
      </c>
      <c r="Q107" s="59">
        <f t="shared" si="5"/>
        <v>1800</v>
      </c>
      <c r="R107" s="35">
        <v>1</v>
      </c>
      <c r="S107" s="19">
        <v>0</v>
      </c>
      <c r="T107" s="23">
        <v>0</v>
      </c>
      <c r="U107" s="24">
        <v>0</v>
      </c>
      <c r="V107" s="33">
        <v>0</v>
      </c>
      <c r="W107" s="34">
        <v>0</v>
      </c>
      <c r="X107" s="35">
        <v>0</v>
      </c>
      <c r="Y107" s="19">
        <v>0</v>
      </c>
      <c r="Z107" s="23">
        <v>0</v>
      </c>
      <c r="AA107" s="24">
        <v>0</v>
      </c>
      <c r="AB107" s="33">
        <v>0</v>
      </c>
      <c r="AC107" s="34">
        <v>0</v>
      </c>
      <c r="AD107" s="35">
        <v>0</v>
      </c>
      <c r="AE107" s="36">
        <v>0</v>
      </c>
      <c r="AF107" s="23">
        <v>0</v>
      </c>
      <c r="AG107" s="24">
        <v>0</v>
      </c>
      <c r="AH107" s="33">
        <v>0</v>
      </c>
      <c r="AI107" s="37">
        <v>0</v>
      </c>
      <c r="AJ107" s="35">
        <v>0</v>
      </c>
      <c r="AK107" s="36">
        <v>0</v>
      </c>
      <c r="AL107" s="38">
        <v>0</v>
      </c>
      <c r="AM107" s="35">
        <v>0</v>
      </c>
      <c r="AN107" s="19">
        <v>0</v>
      </c>
      <c r="AO107" s="23">
        <v>0</v>
      </c>
      <c r="AP107" s="24">
        <v>0</v>
      </c>
      <c r="AQ107" s="58">
        <f t="shared" si="6"/>
        <v>0.72</v>
      </c>
      <c r="AR107" s="59">
        <f t="shared" si="7"/>
        <v>1800</v>
      </c>
      <c r="AS107" s="35">
        <v>1</v>
      </c>
    </row>
    <row r="108" spans="1:45" ht="15.6" x14ac:dyDescent="0.3">
      <c r="A108" s="53">
        <v>104</v>
      </c>
      <c r="B108" s="55" t="s">
        <v>117</v>
      </c>
      <c r="C108" s="54" t="s">
        <v>129</v>
      </c>
      <c r="D108" s="348"/>
      <c r="E108" s="53"/>
      <c r="F108" s="56"/>
      <c r="G108" s="53"/>
      <c r="H108" s="56"/>
      <c r="I108" s="57"/>
      <c r="J108" s="53"/>
      <c r="K108" s="56"/>
      <c r="L108" s="57"/>
      <c r="M108" s="58"/>
      <c r="N108" s="56"/>
      <c r="O108" s="57"/>
      <c r="P108" s="58">
        <f t="shared" si="4"/>
        <v>0.72</v>
      </c>
      <c r="Q108" s="59">
        <f t="shared" si="5"/>
        <v>1800</v>
      </c>
      <c r="R108" s="35">
        <v>1</v>
      </c>
      <c r="S108" s="19">
        <v>0</v>
      </c>
      <c r="T108" s="23">
        <v>0</v>
      </c>
      <c r="U108" s="24">
        <v>0</v>
      </c>
      <c r="V108" s="33">
        <v>0</v>
      </c>
      <c r="W108" s="34">
        <v>0</v>
      </c>
      <c r="X108" s="35">
        <v>0</v>
      </c>
      <c r="Y108" s="19">
        <v>0</v>
      </c>
      <c r="Z108" s="23">
        <v>0</v>
      </c>
      <c r="AA108" s="24">
        <v>0</v>
      </c>
      <c r="AB108" s="33">
        <v>0</v>
      </c>
      <c r="AC108" s="34">
        <v>0</v>
      </c>
      <c r="AD108" s="35">
        <v>0</v>
      </c>
      <c r="AE108" s="36">
        <v>0</v>
      </c>
      <c r="AF108" s="23">
        <v>0</v>
      </c>
      <c r="AG108" s="24">
        <v>0</v>
      </c>
      <c r="AH108" s="33">
        <v>0</v>
      </c>
      <c r="AI108" s="37">
        <v>0</v>
      </c>
      <c r="AJ108" s="35">
        <v>0</v>
      </c>
      <c r="AK108" s="36">
        <v>0</v>
      </c>
      <c r="AL108" s="38">
        <v>0</v>
      </c>
      <c r="AM108" s="35">
        <v>0</v>
      </c>
      <c r="AN108" s="19">
        <v>0</v>
      </c>
      <c r="AO108" s="23">
        <v>0</v>
      </c>
      <c r="AP108" s="24">
        <v>0</v>
      </c>
      <c r="AQ108" s="58">
        <f t="shared" si="6"/>
        <v>0.72</v>
      </c>
      <c r="AR108" s="59">
        <f t="shared" si="7"/>
        <v>1800</v>
      </c>
      <c r="AS108" s="35">
        <v>1</v>
      </c>
    </row>
    <row r="109" spans="1:45" ht="15.6" x14ac:dyDescent="0.3">
      <c r="A109" s="53">
        <v>105</v>
      </c>
      <c r="B109" s="55" t="s">
        <v>117</v>
      </c>
      <c r="C109" s="54" t="s">
        <v>130</v>
      </c>
      <c r="D109" s="348"/>
      <c r="E109" s="53"/>
      <c r="F109" s="56"/>
      <c r="G109" s="53"/>
      <c r="H109" s="56"/>
      <c r="I109" s="57"/>
      <c r="J109" s="53"/>
      <c r="K109" s="56"/>
      <c r="L109" s="57"/>
      <c r="M109" s="58"/>
      <c r="N109" s="56"/>
      <c r="O109" s="57"/>
      <c r="P109" s="58">
        <f t="shared" si="4"/>
        <v>0.72</v>
      </c>
      <c r="Q109" s="59">
        <f t="shared" si="5"/>
        <v>1800</v>
      </c>
      <c r="R109" s="35">
        <v>1</v>
      </c>
      <c r="S109" s="19">
        <v>0</v>
      </c>
      <c r="T109" s="23">
        <v>0</v>
      </c>
      <c r="U109" s="24">
        <v>0</v>
      </c>
      <c r="V109" s="33">
        <v>0</v>
      </c>
      <c r="W109" s="34">
        <v>0</v>
      </c>
      <c r="X109" s="35">
        <v>0</v>
      </c>
      <c r="Y109" s="19">
        <v>0</v>
      </c>
      <c r="Z109" s="23">
        <v>0</v>
      </c>
      <c r="AA109" s="24">
        <v>0</v>
      </c>
      <c r="AB109" s="33">
        <v>0</v>
      </c>
      <c r="AC109" s="34">
        <v>0</v>
      </c>
      <c r="AD109" s="35">
        <v>0</v>
      </c>
      <c r="AE109" s="36">
        <v>0</v>
      </c>
      <c r="AF109" s="23">
        <v>0</v>
      </c>
      <c r="AG109" s="24">
        <v>0</v>
      </c>
      <c r="AH109" s="33">
        <v>0</v>
      </c>
      <c r="AI109" s="37">
        <v>0</v>
      </c>
      <c r="AJ109" s="35">
        <v>0</v>
      </c>
      <c r="AK109" s="36">
        <v>0</v>
      </c>
      <c r="AL109" s="38">
        <v>0</v>
      </c>
      <c r="AM109" s="35">
        <v>0</v>
      </c>
      <c r="AN109" s="19">
        <v>0</v>
      </c>
      <c r="AO109" s="23">
        <v>0</v>
      </c>
      <c r="AP109" s="24">
        <v>0</v>
      </c>
      <c r="AQ109" s="58">
        <f t="shared" si="6"/>
        <v>0.72</v>
      </c>
      <c r="AR109" s="59">
        <f t="shared" si="7"/>
        <v>1800</v>
      </c>
      <c r="AS109" s="35">
        <v>1</v>
      </c>
    </row>
    <row r="110" spans="1:45" ht="15.6" x14ac:dyDescent="0.3">
      <c r="A110" s="53">
        <v>106</v>
      </c>
      <c r="B110" s="55" t="s">
        <v>117</v>
      </c>
      <c r="C110" s="54" t="s">
        <v>131</v>
      </c>
      <c r="D110" s="348"/>
      <c r="E110" s="53"/>
      <c r="F110" s="56"/>
      <c r="G110" s="53"/>
      <c r="H110" s="56"/>
      <c r="I110" s="57"/>
      <c r="J110" s="53"/>
      <c r="K110" s="56"/>
      <c r="L110" s="57"/>
      <c r="M110" s="58"/>
      <c r="N110" s="56"/>
      <c r="O110" s="57"/>
      <c r="P110" s="58">
        <f t="shared" si="4"/>
        <v>4.32</v>
      </c>
      <c r="Q110" s="59">
        <f t="shared" si="5"/>
        <v>10800</v>
      </c>
      <c r="R110" s="35">
        <v>6</v>
      </c>
      <c r="S110" s="19">
        <v>0</v>
      </c>
      <c r="T110" s="23">
        <v>0</v>
      </c>
      <c r="U110" s="24">
        <v>0</v>
      </c>
      <c r="V110" s="33">
        <v>0</v>
      </c>
      <c r="W110" s="34">
        <v>0</v>
      </c>
      <c r="X110" s="35">
        <v>0</v>
      </c>
      <c r="Y110" s="19">
        <v>0</v>
      </c>
      <c r="Z110" s="23">
        <v>0</v>
      </c>
      <c r="AA110" s="24">
        <v>0</v>
      </c>
      <c r="AB110" s="33">
        <v>0</v>
      </c>
      <c r="AC110" s="34">
        <v>0</v>
      </c>
      <c r="AD110" s="35">
        <v>0</v>
      </c>
      <c r="AE110" s="36">
        <v>0</v>
      </c>
      <c r="AF110" s="23">
        <v>0</v>
      </c>
      <c r="AG110" s="24">
        <v>0</v>
      </c>
      <c r="AH110" s="33">
        <v>0</v>
      </c>
      <c r="AI110" s="37">
        <v>0</v>
      </c>
      <c r="AJ110" s="35">
        <v>0</v>
      </c>
      <c r="AK110" s="36">
        <v>0</v>
      </c>
      <c r="AL110" s="38">
        <v>0</v>
      </c>
      <c r="AM110" s="35">
        <v>0</v>
      </c>
      <c r="AN110" s="19">
        <v>0</v>
      </c>
      <c r="AO110" s="23">
        <v>0</v>
      </c>
      <c r="AP110" s="24">
        <v>0</v>
      </c>
      <c r="AQ110" s="58">
        <f t="shared" si="6"/>
        <v>4.32</v>
      </c>
      <c r="AR110" s="59">
        <f t="shared" si="7"/>
        <v>10800</v>
      </c>
      <c r="AS110" s="35">
        <v>6</v>
      </c>
    </row>
    <row r="111" spans="1:45" ht="15.6" x14ac:dyDescent="0.3">
      <c r="A111" s="53">
        <v>107</v>
      </c>
      <c r="B111" s="55" t="s">
        <v>117</v>
      </c>
      <c r="C111" s="54" t="s">
        <v>132</v>
      </c>
      <c r="D111" s="348"/>
      <c r="E111" s="53"/>
      <c r="F111" s="56"/>
      <c r="G111" s="53"/>
      <c r="H111" s="56"/>
      <c r="I111" s="57"/>
      <c r="J111" s="53"/>
      <c r="K111" s="56"/>
      <c r="L111" s="57"/>
      <c r="M111" s="58"/>
      <c r="N111" s="56"/>
      <c r="O111" s="57"/>
      <c r="P111" s="58">
        <f t="shared" si="4"/>
        <v>0</v>
      </c>
      <c r="Q111" s="59">
        <f t="shared" si="5"/>
        <v>0</v>
      </c>
      <c r="R111" s="35"/>
      <c r="S111" s="19">
        <v>0</v>
      </c>
      <c r="T111" s="23">
        <v>0</v>
      </c>
      <c r="U111" s="24">
        <v>0</v>
      </c>
      <c r="V111" s="33">
        <v>0</v>
      </c>
      <c r="W111" s="34">
        <v>0</v>
      </c>
      <c r="X111" s="35">
        <v>0</v>
      </c>
      <c r="Y111" s="19">
        <v>0</v>
      </c>
      <c r="Z111" s="23">
        <v>0</v>
      </c>
      <c r="AA111" s="24">
        <v>0</v>
      </c>
      <c r="AB111" s="33">
        <v>0</v>
      </c>
      <c r="AC111" s="34">
        <v>0</v>
      </c>
      <c r="AD111" s="35">
        <v>0</v>
      </c>
      <c r="AE111" s="36">
        <v>0</v>
      </c>
      <c r="AF111" s="23">
        <v>0</v>
      </c>
      <c r="AG111" s="24">
        <v>0</v>
      </c>
      <c r="AH111" s="33">
        <v>0</v>
      </c>
      <c r="AI111" s="37">
        <v>0</v>
      </c>
      <c r="AJ111" s="35">
        <v>0</v>
      </c>
      <c r="AK111" s="36">
        <v>0</v>
      </c>
      <c r="AL111" s="38">
        <v>0</v>
      </c>
      <c r="AM111" s="35">
        <v>0</v>
      </c>
      <c r="AN111" s="19">
        <v>0</v>
      </c>
      <c r="AO111" s="23">
        <v>0</v>
      </c>
      <c r="AP111" s="24">
        <v>0</v>
      </c>
      <c r="AQ111" s="58">
        <f t="shared" si="6"/>
        <v>0</v>
      </c>
      <c r="AR111" s="59">
        <f t="shared" si="7"/>
        <v>0</v>
      </c>
      <c r="AS111" s="35"/>
    </row>
    <row r="112" spans="1:45" ht="15.6" x14ac:dyDescent="0.3">
      <c r="A112" s="53">
        <v>108</v>
      </c>
      <c r="B112" s="55" t="s">
        <v>117</v>
      </c>
      <c r="C112" s="54" t="s">
        <v>133</v>
      </c>
      <c r="D112" s="348"/>
      <c r="E112" s="53"/>
      <c r="F112" s="56"/>
      <c r="G112" s="53"/>
      <c r="H112" s="56"/>
      <c r="I112" s="57"/>
      <c r="J112" s="53"/>
      <c r="K112" s="56"/>
      <c r="L112" s="57"/>
      <c r="M112" s="58"/>
      <c r="N112" s="56"/>
      <c r="O112" s="57"/>
      <c r="P112" s="58">
        <f t="shared" si="4"/>
        <v>0</v>
      </c>
      <c r="Q112" s="59">
        <f t="shared" si="5"/>
        <v>0</v>
      </c>
      <c r="R112" s="35"/>
      <c r="S112" s="19">
        <v>0</v>
      </c>
      <c r="T112" s="23">
        <v>0</v>
      </c>
      <c r="U112" s="24">
        <v>0</v>
      </c>
      <c r="V112" s="33">
        <v>0</v>
      </c>
      <c r="W112" s="34">
        <v>0</v>
      </c>
      <c r="X112" s="35">
        <v>0</v>
      </c>
      <c r="Y112" s="19">
        <v>0</v>
      </c>
      <c r="Z112" s="23">
        <v>0</v>
      </c>
      <c r="AA112" s="24">
        <v>0</v>
      </c>
      <c r="AB112" s="33">
        <v>0</v>
      </c>
      <c r="AC112" s="34">
        <v>0</v>
      </c>
      <c r="AD112" s="35">
        <v>0</v>
      </c>
      <c r="AE112" s="36">
        <v>0</v>
      </c>
      <c r="AF112" s="23">
        <v>0</v>
      </c>
      <c r="AG112" s="24">
        <v>0</v>
      </c>
      <c r="AH112" s="33">
        <v>0</v>
      </c>
      <c r="AI112" s="37">
        <v>0</v>
      </c>
      <c r="AJ112" s="35">
        <v>0</v>
      </c>
      <c r="AK112" s="36">
        <v>0</v>
      </c>
      <c r="AL112" s="38">
        <v>0</v>
      </c>
      <c r="AM112" s="35">
        <v>0</v>
      </c>
      <c r="AN112" s="19">
        <v>0</v>
      </c>
      <c r="AO112" s="23">
        <v>0</v>
      </c>
      <c r="AP112" s="24">
        <v>0</v>
      </c>
      <c r="AQ112" s="58">
        <f t="shared" si="6"/>
        <v>0</v>
      </c>
      <c r="AR112" s="59">
        <f t="shared" si="7"/>
        <v>0</v>
      </c>
      <c r="AS112" s="35"/>
    </row>
    <row r="113" spans="1:45" ht="15.6" x14ac:dyDescent="0.3">
      <c r="A113" s="53">
        <v>109</v>
      </c>
      <c r="B113" s="55" t="s">
        <v>117</v>
      </c>
      <c r="C113" s="54" t="s">
        <v>134</v>
      </c>
      <c r="D113" s="348"/>
      <c r="E113" s="53"/>
      <c r="F113" s="56"/>
      <c r="G113" s="53"/>
      <c r="H113" s="56"/>
      <c r="I113" s="57"/>
      <c r="J113" s="53"/>
      <c r="K113" s="56"/>
      <c r="L113" s="57"/>
      <c r="M113" s="58"/>
      <c r="N113" s="56"/>
      <c r="O113" s="57"/>
      <c r="P113" s="58">
        <f t="shared" si="4"/>
        <v>5.04</v>
      </c>
      <c r="Q113" s="59">
        <f t="shared" si="5"/>
        <v>12600</v>
      </c>
      <c r="R113" s="35">
        <v>7</v>
      </c>
      <c r="S113" s="19">
        <v>0</v>
      </c>
      <c r="T113" s="23">
        <v>0</v>
      </c>
      <c r="U113" s="24">
        <v>0</v>
      </c>
      <c r="V113" s="33">
        <v>0</v>
      </c>
      <c r="W113" s="34">
        <v>0</v>
      </c>
      <c r="X113" s="35">
        <v>0</v>
      </c>
      <c r="Y113" s="19">
        <v>0</v>
      </c>
      <c r="Z113" s="23">
        <v>0</v>
      </c>
      <c r="AA113" s="24">
        <v>0</v>
      </c>
      <c r="AB113" s="33">
        <v>0</v>
      </c>
      <c r="AC113" s="34">
        <v>0</v>
      </c>
      <c r="AD113" s="35">
        <v>0</v>
      </c>
      <c r="AE113" s="36">
        <v>0</v>
      </c>
      <c r="AF113" s="23">
        <v>0</v>
      </c>
      <c r="AG113" s="24">
        <v>0</v>
      </c>
      <c r="AH113" s="33">
        <v>0</v>
      </c>
      <c r="AI113" s="37">
        <v>0</v>
      </c>
      <c r="AJ113" s="35">
        <v>0</v>
      </c>
      <c r="AK113" s="36">
        <v>0</v>
      </c>
      <c r="AL113" s="38">
        <v>0</v>
      </c>
      <c r="AM113" s="35">
        <v>0</v>
      </c>
      <c r="AN113" s="19">
        <v>0</v>
      </c>
      <c r="AO113" s="23">
        <v>0</v>
      </c>
      <c r="AP113" s="24">
        <v>0</v>
      </c>
      <c r="AQ113" s="58">
        <f t="shared" si="6"/>
        <v>5.04</v>
      </c>
      <c r="AR113" s="59">
        <f t="shared" si="7"/>
        <v>12600</v>
      </c>
      <c r="AS113" s="35">
        <v>7</v>
      </c>
    </row>
    <row r="114" spans="1:45" ht="15.6" x14ac:dyDescent="0.3">
      <c r="A114" s="53">
        <v>110</v>
      </c>
      <c r="B114" s="55" t="s">
        <v>117</v>
      </c>
      <c r="C114" s="54" t="s">
        <v>135</v>
      </c>
      <c r="D114" s="348"/>
      <c r="E114" s="53"/>
      <c r="F114" s="56"/>
      <c r="G114" s="53"/>
      <c r="H114" s="56"/>
      <c r="I114" s="57"/>
      <c r="J114" s="53"/>
      <c r="K114" s="56"/>
      <c r="L114" s="57"/>
      <c r="M114" s="58"/>
      <c r="N114" s="56"/>
      <c r="O114" s="57"/>
      <c r="P114" s="58">
        <f t="shared" si="4"/>
        <v>0</v>
      </c>
      <c r="Q114" s="59">
        <f t="shared" si="5"/>
        <v>0</v>
      </c>
      <c r="R114" s="35">
        <v>0</v>
      </c>
      <c r="S114" s="19">
        <v>0</v>
      </c>
      <c r="T114" s="23">
        <v>0</v>
      </c>
      <c r="U114" s="24">
        <v>0</v>
      </c>
      <c r="V114" s="33">
        <v>0</v>
      </c>
      <c r="W114" s="34">
        <v>0</v>
      </c>
      <c r="X114" s="35">
        <v>0</v>
      </c>
      <c r="Y114" s="19">
        <v>0</v>
      </c>
      <c r="Z114" s="23">
        <v>0</v>
      </c>
      <c r="AA114" s="24">
        <v>0</v>
      </c>
      <c r="AB114" s="33">
        <v>0</v>
      </c>
      <c r="AC114" s="34">
        <v>0</v>
      </c>
      <c r="AD114" s="35">
        <v>0</v>
      </c>
      <c r="AE114" s="36">
        <v>0</v>
      </c>
      <c r="AF114" s="23">
        <v>0</v>
      </c>
      <c r="AG114" s="24">
        <v>0</v>
      </c>
      <c r="AH114" s="33">
        <v>0</v>
      </c>
      <c r="AI114" s="37">
        <v>0</v>
      </c>
      <c r="AJ114" s="35">
        <v>0</v>
      </c>
      <c r="AK114" s="36">
        <v>0</v>
      </c>
      <c r="AL114" s="38">
        <v>0</v>
      </c>
      <c r="AM114" s="35">
        <v>0</v>
      </c>
      <c r="AN114" s="19">
        <v>0</v>
      </c>
      <c r="AO114" s="23">
        <v>0</v>
      </c>
      <c r="AP114" s="24">
        <v>0</v>
      </c>
      <c r="AQ114" s="58">
        <f t="shared" si="6"/>
        <v>0</v>
      </c>
      <c r="AR114" s="59">
        <f t="shared" si="7"/>
        <v>0</v>
      </c>
      <c r="AS114" s="35">
        <v>0</v>
      </c>
    </row>
    <row r="115" spans="1:45" ht="15.6" x14ac:dyDescent="0.3">
      <c r="A115" s="53">
        <v>111</v>
      </c>
      <c r="B115" s="55" t="s">
        <v>117</v>
      </c>
      <c r="C115" s="54" t="s">
        <v>136</v>
      </c>
      <c r="D115" s="348"/>
      <c r="E115" s="53"/>
      <c r="F115" s="56"/>
      <c r="G115" s="53"/>
      <c r="H115" s="56"/>
      <c r="I115" s="57"/>
      <c r="J115" s="53"/>
      <c r="K115" s="56"/>
      <c r="L115" s="57"/>
      <c r="M115" s="58"/>
      <c r="N115" s="56"/>
      <c r="O115" s="57"/>
      <c r="P115" s="58">
        <f t="shared" si="4"/>
        <v>0</v>
      </c>
      <c r="Q115" s="59">
        <f t="shared" si="5"/>
        <v>0</v>
      </c>
      <c r="R115" s="35">
        <v>0</v>
      </c>
      <c r="S115" s="19">
        <v>0</v>
      </c>
      <c r="T115" s="23">
        <v>0</v>
      </c>
      <c r="U115" s="24">
        <v>0</v>
      </c>
      <c r="V115" s="33">
        <v>0</v>
      </c>
      <c r="W115" s="34">
        <v>0</v>
      </c>
      <c r="X115" s="35">
        <v>0</v>
      </c>
      <c r="Y115" s="19">
        <v>0</v>
      </c>
      <c r="Z115" s="23">
        <v>0</v>
      </c>
      <c r="AA115" s="24">
        <v>0</v>
      </c>
      <c r="AB115" s="33">
        <v>0</v>
      </c>
      <c r="AC115" s="34">
        <v>0</v>
      </c>
      <c r="AD115" s="35">
        <v>0</v>
      </c>
      <c r="AE115" s="36">
        <v>0</v>
      </c>
      <c r="AF115" s="23">
        <v>0</v>
      </c>
      <c r="AG115" s="24">
        <v>0</v>
      </c>
      <c r="AH115" s="33">
        <v>0</v>
      </c>
      <c r="AI115" s="37">
        <v>0</v>
      </c>
      <c r="AJ115" s="35">
        <v>0</v>
      </c>
      <c r="AK115" s="36">
        <v>0</v>
      </c>
      <c r="AL115" s="38">
        <v>0</v>
      </c>
      <c r="AM115" s="35">
        <v>0</v>
      </c>
      <c r="AN115" s="19">
        <v>0</v>
      </c>
      <c r="AO115" s="23">
        <v>0</v>
      </c>
      <c r="AP115" s="24">
        <v>0</v>
      </c>
      <c r="AQ115" s="58">
        <f t="shared" si="6"/>
        <v>0</v>
      </c>
      <c r="AR115" s="59">
        <f t="shared" si="7"/>
        <v>0</v>
      </c>
      <c r="AS115" s="35">
        <v>0</v>
      </c>
    </row>
    <row r="116" spans="1:45" ht="15.6" x14ac:dyDescent="0.3">
      <c r="A116" s="53">
        <v>112</v>
      </c>
      <c r="B116" s="55" t="s">
        <v>117</v>
      </c>
      <c r="C116" s="54" t="s">
        <v>137</v>
      </c>
      <c r="D116" s="348"/>
      <c r="E116" s="53"/>
      <c r="F116" s="56"/>
      <c r="G116" s="53"/>
      <c r="H116" s="56"/>
      <c r="I116" s="57"/>
      <c r="J116" s="53"/>
      <c r="K116" s="56"/>
      <c r="L116" s="57"/>
      <c r="M116" s="58"/>
      <c r="N116" s="56"/>
      <c r="O116" s="57"/>
      <c r="P116" s="58">
        <f t="shared" si="4"/>
        <v>0.72</v>
      </c>
      <c r="Q116" s="59">
        <f t="shared" si="5"/>
        <v>1800</v>
      </c>
      <c r="R116" s="35">
        <v>1</v>
      </c>
      <c r="S116" s="19">
        <v>0</v>
      </c>
      <c r="T116" s="23">
        <v>0</v>
      </c>
      <c r="U116" s="24">
        <v>0</v>
      </c>
      <c r="V116" s="33">
        <v>0</v>
      </c>
      <c r="W116" s="34">
        <v>0</v>
      </c>
      <c r="X116" s="35">
        <v>0</v>
      </c>
      <c r="Y116" s="19">
        <v>0</v>
      </c>
      <c r="Z116" s="23">
        <v>0</v>
      </c>
      <c r="AA116" s="24">
        <v>0</v>
      </c>
      <c r="AB116" s="33">
        <v>0</v>
      </c>
      <c r="AC116" s="34">
        <v>0</v>
      </c>
      <c r="AD116" s="35">
        <v>0</v>
      </c>
      <c r="AE116" s="36">
        <v>0</v>
      </c>
      <c r="AF116" s="23">
        <v>0</v>
      </c>
      <c r="AG116" s="24">
        <v>0</v>
      </c>
      <c r="AH116" s="33">
        <v>0</v>
      </c>
      <c r="AI116" s="37">
        <v>0</v>
      </c>
      <c r="AJ116" s="35">
        <v>0</v>
      </c>
      <c r="AK116" s="36">
        <v>0</v>
      </c>
      <c r="AL116" s="38">
        <v>0</v>
      </c>
      <c r="AM116" s="35">
        <v>0</v>
      </c>
      <c r="AN116" s="19">
        <v>0</v>
      </c>
      <c r="AO116" s="23">
        <v>0</v>
      </c>
      <c r="AP116" s="24">
        <v>0</v>
      </c>
      <c r="AQ116" s="58">
        <f t="shared" si="6"/>
        <v>0.72</v>
      </c>
      <c r="AR116" s="59">
        <f t="shared" si="7"/>
        <v>1800</v>
      </c>
      <c r="AS116" s="35">
        <v>1</v>
      </c>
    </row>
    <row r="117" spans="1:45" ht="15.6" x14ac:dyDescent="0.3">
      <c r="A117" s="53">
        <v>113</v>
      </c>
      <c r="B117" s="55" t="s">
        <v>117</v>
      </c>
      <c r="C117" s="54" t="s">
        <v>138</v>
      </c>
      <c r="D117" s="348"/>
      <c r="E117" s="53"/>
      <c r="F117" s="56"/>
      <c r="G117" s="53"/>
      <c r="H117" s="56"/>
      <c r="I117" s="57"/>
      <c r="J117" s="53"/>
      <c r="K117" s="56"/>
      <c r="L117" s="57"/>
      <c r="M117" s="58"/>
      <c r="N117" s="56"/>
      <c r="O117" s="57"/>
      <c r="P117" s="58">
        <f t="shared" si="4"/>
        <v>0</v>
      </c>
      <c r="Q117" s="59">
        <f t="shared" si="5"/>
        <v>0</v>
      </c>
      <c r="R117" s="35">
        <v>0</v>
      </c>
      <c r="S117" s="19">
        <v>0</v>
      </c>
      <c r="T117" s="23">
        <v>0</v>
      </c>
      <c r="U117" s="24">
        <v>0</v>
      </c>
      <c r="V117" s="33">
        <v>0</v>
      </c>
      <c r="W117" s="34">
        <v>0</v>
      </c>
      <c r="X117" s="35">
        <v>0</v>
      </c>
      <c r="Y117" s="19">
        <v>0</v>
      </c>
      <c r="Z117" s="23">
        <v>0</v>
      </c>
      <c r="AA117" s="24">
        <v>0</v>
      </c>
      <c r="AB117" s="33">
        <v>0</v>
      </c>
      <c r="AC117" s="34">
        <v>0</v>
      </c>
      <c r="AD117" s="35">
        <v>0</v>
      </c>
      <c r="AE117" s="36">
        <v>0</v>
      </c>
      <c r="AF117" s="23">
        <v>0</v>
      </c>
      <c r="AG117" s="24">
        <v>0</v>
      </c>
      <c r="AH117" s="33">
        <v>0</v>
      </c>
      <c r="AI117" s="37">
        <v>0</v>
      </c>
      <c r="AJ117" s="35">
        <v>0</v>
      </c>
      <c r="AK117" s="36">
        <v>0</v>
      </c>
      <c r="AL117" s="38">
        <v>0</v>
      </c>
      <c r="AM117" s="35">
        <v>0</v>
      </c>
      <c r="AN117" s="19">
        <v>0</v>
      </c>
      <c r="AO117" s="23">
        <v>0</v>
      </c>
      <c r="AP117" s="24">
        <v>0</v>
      </c>
      <c r="AQ117" s="58">
        <f t="shared" si="6"/>
        <v>0</v>
      </c>
      <c r="AR117" s="59">
        <f t="shared" si="7"/>
        <v>0</v>
      </c>
      <c r="AS117" s="35">
        <v>0</v>
      </c>
    </row>
    <row r="118" spans="1:45" ht="15.6" x14ac:dyDescent="0.3">
      <c r="A118" s="53">
        <v>114</v>
      </c>
      <c r="B118" s="55" t="s">
        <v>117</v>
      </c>
      <c r="C118" s="54" t="s">
        <v>139</v>
      </c>
      <c r="D118" s="348"/>
      <c r="E118" s="53"/>
      <c r="F118" s="56"/>
      <c r="G118" s="53"/>
      <c r="H118" s="56"/>
      <c r="I118" s="57"/>
      <c r="J118" s="53"/>
      <c r="K118" s="56"/>
      <c r="L118" s="57"/>
      <c r="M118" s="58"/>
      <c r="N118" s="56"/>
      <c r="O118" s="57"/>
      <c r="P118" s="58">
        <f t="shared" si="4"/>
        <v>0</v>
      </c>
      <c r="Q118" s="59">
        <f t="shared" si="5"/>
        <v>0</v>
      </c>
      <c r="R118" s="35">
        <v>0</v>
      </c>
      <c r="S118" s="19">
        <v>0</v>
      </c>
      <c r="T118" s="23">
        <v>0</v>
      </c>
      <c r="U118" s="24">
        <v>0</v>
      </c>
      <c r="V118" s="33">
        <v>0</v>
      </c>
      <c r="W118" s="34">
        <v>0</v>
      </c>
      <c r="X118" s="35">
        <v>0</v>
      </c>
      <c r="Y118" s="19">
        <v>0</v>
      </c>
      <c r="Z118" s="23">
        <v>0</v>
      </c>
      <c r="AA118" s="24">
        <v>0</v>
      </c>
      <c r="AB118" s="33">
        <v>0</v>
      </c>
      <c r="AC118" s="34">
        <v>0</v>
      </c>
      <c r="AD118" s="35">
        <v>0</v>
      </c>
      <c r="AE118" s="36">
        <v>0</v>
      </c>
      <c r="AF118" s="23">
        <v>0</v>
      </c>
      <c r="AG118" s="24">
        <v>0</v>
      </c>
      <c r="AH118" s="33">
        <v>0</v>
      </c>
      <c r="AI118" s="37">
        <v>0</v>
      </c>
      <c r="AJ118" s="35">
        <v>0</v>
      </c>
      <c r="AK118" s="36">
        <v>0</v>
      </c>
      <c r="AL118" s="38">
        <v>0</v>
      </c>
      <c r="AM118" s="35">
        <v>0</v>
      </c>
      <c r="AN118" s="19">
        <v>0</v>
      </c>
      <c r="AO118" s="23">
        <v>0</v>
      </c>
      <c r="AP118" s="24">
        <v>0</v>
      </c>
      <c r="AQ118" s="58">
        <f t="shared" si="6"/>
        <v>0</v>
      </c>
      <c r="AR118" s="59">
        <f t="shared" si="7"/>
        <v>0</v>
      </c>
      <c r="AS118" s="35">
        <v>0</v>
      </c>
    </row>
    <row r="119" spans="1:45" ht="15.6" x14ac:dyDescent="0.3">
      <c r="A119" s="53">
        <v>115</v>
      </c>
      <c r="B119" s="55" t="s">
        <v>117</v>
      </c>
      <c r="C119" s="54" t="s">
        <v>140</v>
      </c>
      <c r="D119" s="348"/>
      <c r="E119" s="53"/>
      <c r="F119" s="56"/>
      <c r="G119" s="53"/>
      <c r="H119" s="56"/>
      <c r="I119" s="57"/>
      <c r="J119" s="53"/>
      <c r="K119" s="56"/>
      <c r="L119" s="57"/>
      <c r="M119" s="58"/>
      <c r="N119" s="56"/>
      <c r="O119" s="57"/>
      <c r="P119" s="58">
        <f t="shared" si="4"/>
        <v>2.88</v>
      </c>
      <c r="Q119" s="59">
        <f t="shared" si="5"/>
        <v>7200</v>
      </c>
      <c r="R119" s="35">
        <v>4</v>
      </c>
      <c r="S119" s="19">
        <v>0</v>
      </c>
      <c r="T119" s="23">
        <v>0</v>
      </c>
      <c r="U119" s="24">
        <v>0</v>
      </c>
      <c r="V119" s="33">
        <v>0</v>
      </c>
      <c r="W119" s="34">
        <v>0</v>
      </c>
      <c r="X119" s="35">
        <v>0</v>
      </c>
      <c r="Y119" s="19">
        <v>0</v>
      </c>
      <c r="Z119" s="23">
        <v>0</v>
      </c>
      <c r="AA119" s="24">
        <v>0</v>
      </c>
      <c r="AB119" s="33">
        <v>0</v>
      </c>
      <c r="AC119" s="34">
        <v>0</v>
      </c>
      <c r="AD119" s="35">
        <v>0</v>
      </c>
      <c r="AE119" s="36">
        <v>0</v>
      </c>
      <c r="AF119" s="23">
        <v>0</v>
      </c>
      <c r="AG119" s="24">
        <v>0</v>
      </c>
      <c r="AH119" s="33">
        <v>0</v>
      </c>
      <c r="AI119" s="37">
        <v>0</v>
      </c>
      <c r="AJ119" s="35">
        <v>0</v>
      </c>
      <c r="AK119" s="36">
        <v>0</v>
      </c>
      <c r="AL119" s="38">
        <v>0</v>
      </c>
      <c r="AM119" s="35">
        <v>0</v>
      </c>
      <c r="AN119" s="19">
        <v>0</v>
      </c>
      <c r="AO119" s="23">
        <v>0</v>
      </c>
      <c r="AP119" s="24">
        <v>0</v>
      </c>
      <c r="AQ119" s="58">
        <f t="shared" si="6"/>
        <v>2.88</v>
      </c>
      <c r="AR119" s="59">
        <f t="shared" si="7"/>
        <v>7200</v>
      </c>
      <c r="AS119" s="35">
        <v>4</v>
      </c>
    </row>
    <row r="120" spans="1:45" ht="15.6" x14ac:dyDescent="0.3">
      <c r="A120" s="53">
        <v>116</v>
      </c>
      <c r="B120" s="55" t="s">
        <v>117</v>
      </c>
      <c r="C120" s="54" t="s">
        <v>141</v>
      </c>
      <c r="D120" s="348"/>
      <c r="E120" s="53"/>
      <c r="F120" s="56"/>
      <c r="G120" s="53"/>
      <c r="H120" s="56"/>
      <c r="I120" s="57"/>
      <c r="J120" s="53"/>
      <c r="K120" s="56"/>
      <c r="L120" s="57"/>
      <c r="M120" s="58"/>
      <c r="N120" s="56"/>
      <c r="O120" s="57"/>
      <c r="P120" s="58">
        <f t="shared" si="4"/>
        <v>0.72</v>
      </c>
      <c r="Q120" s="59">
        <f t="shared" si="5"/>
        <v>1800</v>
      </c>
      <c r="R120" s="35">
        <v>1</v>
      </c>
      <c r="S120" s="19">
        <v>0</v>
      </c>
      <c r="T120" s="23">
        <v>0</v>
      </c>
      <c r="U120" s="24">
        <v>0</v>
      </c>
      <c r="V120" s="33">
        <v>0</v>
      </c>
      <c r="W120" s="34">
        <v>0</v>
      </c>
      <c r="X120" s="35">
        <v>0</v>
      </c>
      <c r="Y120" s="19">
        <v>0</v>
      </c>
      <c r="Z120" s="23">
        <v>0</v>
      </c>
      <c r="AA120" s="24">
        <v>0</v>
      </c>
      <c r="AB120" s="33">
        <v>0</v>
      </c>
      <c r="AC120" s="34">
        <v>0</v>
      </c>
      <c r="AD120" s="35">
        <v>0</v>
      </c>
      <c r="AE120" s="36">
        <v>0</v>
      </c>
      <c r="AF120" s="23">
        <v>0</v>
      </c>
      <c r="AG120" s="24">
        <v>0</v>
      </c>
      <c r="AH120" s="33">
        <v>0</v>
      </c>
      <c r="AI120" s="37">
        <v>0</v>
      </c>
      <c r="AJ120" s="35">
        <v>0</v>
      </c>
      <c r="AK120" s="36">
        <v>0</v>
      </c>
      <c r="AL120" s="38">
        <v>0</v>
      </c>
      <c r="AM120" s="35">
        <v>0</v>
      </c>
      <c r="AN120" s="19">
        <v>0</v>
      </c>
      <c r="AO120" s="23">
        <v>0</v>
      </c>
      <c r="AP120" s="24">
        <v>0</v>
      </c>
      <c r="AQ120" s="58">
        <f t="shared" si="6"/>
        <v>0.72</v>
      </c>
      <c r="AR120" s="59">
        <f t="shared" si="7"/>
        <v>1800</v>
      </c>
      <c r="AS120" s="35">
        <v>1</v>
      </c>
    </row>
    <row r="121" spans="1:45" ht="15.6" x14ac:dyDescent="0.3">
      <c r="A121" s="53">
        <v>117</v>
      </c>
      <c r="B121" s="55" t="s">
        <v>117</v>
      </c>
      <c r="C121" s="54" t="s">
        <v>142</v>
      </c>
      <c r="D121" s="348"/>
      <c r="E121" s="53"/>
      <c r="F121" s="56"/>
      <c r="G121" s="53"/>
      <c r="H121" s="56"/>
      <c r="I121" s="57"/>
      <c r="J121" s="53"/>
      <c r="K121" s="56"/>
      <c r="L121" s="57"/>
      <c r="M121" s="58"/>
      <c r="N121" s="56"/>
      <c r="O121" s="57"/>
      <c r="P121" s="58">
        <f t="shared" si="4"/>
        <v>0</v>
      </c>
      <c r="Q121" s="59">
        <f t="shared" si="5"/>
        <v>0</v>
      </c>
      <c r="R121" s="35">
        <v>0</v>
      </c>
      <c r="S121" s="19">
        <v>0</v>
      </c>
      <c r="T121" s="23">
        <v>0</v>
      </c>
      <c r="U121" s="24">
        <v>0</v>
      </c>
      <c r="V121" s="33">
        <v>0</v>
      </c>
      <c r="W121" s="34">
        <v>0</v>
      </c>
      <c r="X121" s="35">
        <v>0</v>
      </c>
      <c r="Y121" s="19">
        <v>0</v>
      </c>
      <c r="Z121" s="23">
        <v>0</v>
      </c>
      <c r="AA121" s="24">
        <v>0</v>
      </c>
      <c r="AB121" s="33">
        <v>0</v>
      </c>
      <c r="AC121" s="34">
        <v>0</v>
      </c>
      <c r="AD121" s="35">
        <v>0</v>
      </c>
      <c r="AE121" s="36">
        <v>0</v>
      </c>
      <c r="AF121" s="23">
        <v>0</v>
      </c>
      <c r="AG121" s="24">
        <v>0</v>
      </c>
      <c r="AH121" s="33">
        <v>0</v>
      </c>
      <c r="AI121" s="37">
        <v>0</v>
      </c>
      <c r="AJ121" s="35">
        <v>0</v>
      </c>
      <c r="AK121" s="36">
        <v>0</v>
      </c>
      <c r="AL121" s="38">
        <v>0</v>
      </c>
      <c r="AM121" s="35">
        <v>0</v>
      </c>
      <c r="AN121" s="19">
        <v>0</v>
      </c>
      <c r="AO121" s="23">
        <v>0</v>
      </c>
      <c r="AP121" s="24">
        <v>0</v>
      </c>
      <c r="AQ121" s="58">
        <f t="shared" si="6"/>
        <v>0</v>
      </c>
      <c r="AR121" s="59">
        <f t="shared" si="7"/>
        <v>0</v>
      </c>
      <c r="AS121" s="35">
        <v>0</v>
      </c>
    </row>
    <row r="122" spans="1:45" ht="15.6" x14ac:dyDescent="0.3">
      <c r="A122" s="53">
        <v>118</v>
      </c>
      <c r="B122" s="55" t="s">
        <v>117</v>
      </c>
      <c r="C122" s="54" t="s">
        <v>143</v>
      </c>
      <c r="D122" s="348"/>
      <c r="E122" s="53"/>
      <c r="F122" s="56"/>
      <c r="G122" s="53"/>
      <c r="H122" s="56"/>
      <c r="I122" s="57"/>
      <c r="J122" s="53"/>
      <c r="K122" s="56"/>
      <c r="L122" s="57"/>
      <c r="M122" s="58"/>
      <c r="N122" s="56"/>
      <c r="O122" s="57"/>
      <c r="P122" s="58">
        <f t="shared" si="4"/>
        <v>0</v>
      </c>
      <c r="Q122" s="59">
        <f t="shared" si="5"/>
        <v>0</v>
      </c>
      <c r="R122" s="35">
        <v>0</v>
      </c>
      <c r="S122" s="19">
        <v>0</v>
      </c>
      <c r="T122" s="23">
        <v>0</v>
      </c>
      <c r="U122" s="24">
        <v>0</v>
      </c>
      <c r="V122" s="33">
        <v>0</v>
      </c>
      <c r="W122" s="34">
        <v>0</v>
      </c>
      <c r="X122" s="35">
        <v>0</v>
      </c>
      <c r="Y122" s="19">
        <v>0</v>
      </c>
      <c r="Z122" s="23">
        <v>0</v>
      </c>
      <c r="AA122" s="24">
        <v>0</v>
      </c>
      <c r="AB122" s="33">
        <v>0</v>
      </c>
      <c r="AC122" s="34">
        <v>0</v>
      </c>
      <c r="AD122" s="35">
        <v>0</v>
      </c>
      <c r="AE122" s="36">
        <v>0</v>
      </c>
      <c r="AF122" s="23">
        <v>0</v>
      </c>
      <c r="AG122" s="24">
        <v>0</v>
      </c>
      <c r="AH122" s="33">
        <v>0</v>
      </c>
      <c r="AI122" s="37">
        <v>0</v>
      </c>
      <c r="AJ122" s="35">
        <v>0</v>
      </c>
      <c r="AK122" s="36">
        <v>0</v>
      </c>
      <c r="AL122" s="38">
        <v>0</v>
      </c>
      <c r="AM122" s="35">
        <v>0</v>
      </c>
      <c r="AN122" s="19">
        <v>0</v>
      </c>
      <c r="AO122" s="23">
        <v>0</v>
      </c>
      <c r="AP122" s="24">
        <v>0</v>
      </c>
      <c r="AQ122" s="58">
        <f t="shared" si="6"/>
        <v>0</v>
      </c>
      <c r="AR122" s="59">
        <f t="shared" si="7"/>
        <v>0</v>
      </c>
      <c r="AS122" s="35">
        <v>0</v>
      </c>
    </row>
    <row r="123" spans="1:45" ht="15.6" x14ac:dyDescent="0.3">
      <c r="A123" s="53">
        <v>119</v>
      </c>
      <c r="B123" s="55" t="s">
        <v>117</v>
      </c>
      <c r="C123" s="54" t="s">
        <v>144</v>
      </c>
      <c r="D123" s="348"/>
      <c r="E123" s="53"/>
      <c r="F123" s="56"/>
      <c r="G123" s="53"/>
      <c r="H123" s="56"/>
      <c r="I123" s="57"/>
      <c r="J123" s="53"/>
      <c r="K123" s="56"/>
      <c r="L123" s="57"/>
      <c r="M123" s="58"/>
      <c r="N123" s="56"/>
      <c r="O123" s="57"/>
      <c r="P123" s="58">
        <f t="shared" si="4"/>
        <v>0</v>
      </c>
      <c r="Q123" s="59">
        <f t="shared" si="5"/>
        <v>0</v>
      </c>
      <c r="R123" s="35">
        <v>0</v>
      </c>
      <c r="S123" s="19">
        <v>0</v>
      </c>
      <c r="T123" s="23">
        <v>0</v>
      </c>
      <c r="U123" s="24">
        <v>0</v>
      </c>
      <c r="V123" s="33">
        <v>0</v>
      </c>
      <c r="W123" s="34">
        <v>0</v>
      </c>
      <c r="X123" s="35">
        <v>0</v>
      </c>
      <c r="Y123" s="19">
        <v>0</v>
      </c>
      <c r="Z123" s="23">
        <v>0</v>
      </c>
      <c r="AA123" s="24">
        <v>0</v>
      </c>
      <c r="AB123" s="33">
        <v>0</v>
      </c>
      <c r="AC123" s="34">
        <v>0</v>
      </c>
      <c r="AD123" s="35">
        <v>0</v>
      </c>
      <c r="AE123" s="36">
        <v>0</v>
      </c>
      <c r="AF123" s="23">
        <v>0</v>
      </c>
      <c r="AG123" s="24">
        <v>0</v>
      </c>
      <c r="AH123" s="33">
        <v>0</v>
      </c>
      <c r="AI123" s="37">
        <v>0</v>
      </c>
      <c r="AJ123" s="35">
        <v>0</v>
      </c>
      <c r="AK123" s="36">
        <v>0</v>
      </c>
      <c r="AL123" s="38">
        <v>0</v>
      </c>
      <c r="AM123" s="35">
        <v>0</v>
      </c>
      <c r="AN123" s="19">
        <v>0</v>
      </c>
      <c r="AO123" s="23">
        <v>0</v>
      </c>
      <c r="AP123" s="24">
        <v>0</v>
      </c>
      <c r="AQ123" s="58">
        <f t="shared" si="6"/>
        <v>0</v>
      </c>
      <c r="AR123" s="59">
        <f t="shared" si="7"/>
        <v>0</v>
      </c>
      <c r="AS123" s="35">
        <v>0</v>
      </c>
    </row>
    <row r="124" spans="1:45" ht="15.6" x14ac:dyDescent="0.3">
      <c r="A124" s="53">
        <v>120</v>
      </c>
      <c r="B124" s="55" t="s">
        <v>117</v>
      </c>
      <c r="C124" s="54" t="s">
        <v>145</v>
      </c>
      <c r="D124" s="348" t="s">
        <v>25</v>
      </c>
      <c r="E124" s="53"/>
      <c r="F124" s="56"/>
      <c r="G124" s="53"/>
      <c r="H124" s="56"/>
      <c r="I124" s="57"/>
      <c r="J124" s="53"/>
      <c r="K124" s="56"/>
      <c r="L124" s="57"/>
      <c r="M124" s="58"/>
      <c r="N124" s="56"/>
      <c r="O124" s="57"/>
      <c r="P124" s="58">
        <f t="shared" si="4"/>
        <v>0.72</v>
      </c>
      <c r="Q124" s="59">
        <f t="shared" si="5"/>
        <v>1800</v>
      </c>
      <c r="R124" s="35">
        <v>1</v>
      </c>
      <c r="S124" s="19">
        <v>0</v>
      </c>
      <c r="T124" s="23">
        <v>0</v>
      </c>
      <c r="U124" s="24">
        <v>0</v>
      </c>
      <c r="V124" s="33">
        <v>0</v>
      </c>
      <c r="W124" s="34">
        <v>0</v>
      </c>
      <c r="X124" s="35">
        <v>0</v>
      </c>
      <c r="Y124" s="19">
        <v>0</v>
      </c>
      <c r="Z124" s="23">
        <v>0</v>
      </c>
      <c r="AA124" s="24">
        <v>0</v>
      </c>
      <c r="AB124" s="33">
        <v>0</v>
      </c>
      <c r="AC124" s="34">
        <v>0</v>
      </c>
      <c r="AD124" s="35">
        <v>0</v>
      </c>
      <c r="AE124" s="36">
        <v>0</v>
      </c>
      <c r="AF124" s="23">
        <v>0</v>
      </c>
      <c r="AG124" s="24">
        <v>0</v>
      </c>
      <c r="AH124" s="33">
        <v>0</v>
      </c>
      <c r="AI124" s="37">
        <v>0</v>
      </c>
      <c r="AJ124" s="35">
        <v>0</v>
      </c>
      <c r="AK124" s="36">
        <v>0</v>
      </c>
      <c r="AL124" s="38">
        <v>0</v>
      </c>
      <c r="AM124" s="35">
        <v>0</v>
      </c>
      <c r="AN124" s="19">
        <v>0</v>
      </c>
      <c r="AO124" s="23">
        <v>0</v>
      </c>
      <c r="AP124" s="24">
        <v>0</v>
      </c>
      <c r="AQ124" s="58">
        <f t="shared" si="6"/>
        <v>0.72</v>
      </c>
      <c r="AR124" s="59">
        <f t="shared" si="7"/>
        <v>1800</v>
      </c>
      <c r="AS124" s="35">
        <v>1</v>
      </c>
    </row>
    <row r="125" spans="1:45" ht="15.6" x14ac:dyDescent="0.3">
      <c r="A125" s="53">
        <v>121</v>
      </c>
      <c r="B125" s="55" t="s">
        <v>117</v>
      </c>
      <c r="C125" s="54" t="s">
        <v>146</v>
      </c>
      <c r="D125" s="348"/>
      <c r="E125" s="53"/>
      <c r="F125" s="56"/>
      <c r="G125" s="53"/>
      <c r="H125" s="56"/>
      <c r="I125" s="57"/>
      <c r="J125" s="53"/>
      <c r="K125" s="56"/>
      <c r="L125" s="57"/>
      <c r="M125" s="58"/>
      <c r="N125" s="56"/>
      <c r="O125" s="57"/>
      <c r="P125" s="58">
        <f t="shared" si="4"/>
        <v>4.32</v>
      </c>
      <c r="Q125" s="59">
        <f t="shared" si="5"/>
        <v>10800</v>
      </c>
      <c r="R125" s="35">
        <v>6</v>
      </c>
      <c r="S125" s="19">
        <v>0</v>
      </c>
      <c r="T125" s="23">
        <v>0</v>
      </c>
      <c r="U125" s="24">
        <v>0</v>
      </c>
      <c r="V125" s="33">
        <v>0</v>
      </c>
      <c r="W125" s="34">
        <v>0</v>
      </c>
      <c r="X125" s="35">
        <v>0</v>
      </c>
      <c r="Y125" s="19">
        <v>0</v>
      </c>
      <c r="Z125" s="23">
        <v>0</v>
      </c>
      <c r="AA125" s="24">
        <v>0</v>
      </c>
      <c r="AB125" s="33">
        <v>0</v>
      </c>
      <c r="AC125" s="34">
        <v>0</v>
      </c>
      <c r="AD125" s="35">
        <v>0</v>
      </c>
      <c r="AE125" s="36">
        <v>0</v>
      </c>
      <c r="AF125" s="23">
        <v>0</v>
      </c>
      <c r="AG125" s="24">
        <v>0</v>
      </c>
      <c r="AH125" s="33">
        <v>0</v>
      </c>
      <c r="AI125" s="37">
        <v>0</v>
      </c>
      <c r="AJ125" s="35">
        <v>0</v>
      </c>
      <c r="AK125" s="36">
        <v>0</v>
      </c>
      <c r="AL125" s="38">
        <v>0</v>
      </c>
      <c r="AM125" s="35">
        <v>0</v>
      </c>
      <c r="AN125" s="19">
        <v>0</v>
      </c>
      <c r="AO125" s="23">
        <v>0</v>
      </c>
      <c r="AP125" s="24">
        <v>0</v>
      </c>
      <c r="AQ125" s="58">
        <f t="shared" si="6"/>
        <v>4.32</v>
      </c>
      <c r="AR125" s="59">
        <f t="shared" si="7"/>
        <v>10800</v>
      </c>
      <c r="AS125" s="35">
        <v>6</v>
      </c>
    </row>
    <row r="126" spans="1:45" ht="15.6" x14ac:dyDescent="0.3">
      <c r="A126" s="53">
        <v>122</v>
      </c>
      <c r="B126" s="55" t="s">
        <v>117</v>
      </c>
      <c r="C126" s="54" t="s">
        <v>147</v>
      </c>
      <c r="D126" s="348"/>
      <c r="E126" s="53"/>
      <c r="F126" s="56"/>
      <c r="G126" s="53"/>
      <c r="H126" s="56"/>
      <c r="I126" s="57"/>
      <c r="J126" s="53"/>
      <c r="K126" s="56"/>
      <c r="L126" s="57"/>
      <c r="M126" s="58"/>
      <c r="N126" s="56"/>
      <c r="O126" s="57"/>
      <c r="P126" s="58">
        <f t="shared" si="4"/>
        <v>0.72</v>
      </c>
      <c r="Q126" s="59">
        <f t="shared" si="5"/>
        <v>1800</v>
      </c>
      <c r="R126" s="35">
        <v>1</v>
      </c>
      <c r="S126" s="19">
        <v>0</v>
      </c>
      <c r="T126" s="23">
        <v>0</v>
      </c>
      <c r="U126" s="24">
        <v>0</v>
      </c>
      <c r="V126" s="33">
        <v>0</v>
      </c>
      <c r="W126" s="34">
        <v>0</v>
      </c>
      <c r="X126" s="35">
        <v>0</v>
      </c>
      <c r="Y126" s="19">
        <v>0</v>
      </c>
      <c r="Z126" s="23">
        <v>0</v>
      </c>
      <c r="AA126" s="24">
        <v>0</v>
      </c>
      <c r="AB126" s="33">
        <v>0</v>
      </c>
      <c r="AC126" s="34">
        <v>0</v>
      </c>
      <c r="AD126" s="35">
        <v>0</v>
      </c>
      <c r="AE126" s="36">
        <v>0</v>
      </c>
      <c r="AF126" s="23">
        <v>0</v>
      </c>
      <c r="AG126" s="24">
        <v>0</v>
      </c>
      <c r="AH126" s="33">
        <v>0</v>
      </c>
      <c r="AI126" s="37">
        <v>0</v>
      </c>
      <c r="AJ126" s="35">
        <v>0</v>
      </c>
      <c r="AK126" s="36">
        <v>0</v>
      </c>
      <c r="AL126" s="38">
        <v>0</v>
      </c>
      <c r="AM126" s="35">
        <v>0</v>
      </c>
      <c r="AN126" s="19">
        <v>0</v>
      </c>
      <c r="AO126" s="23">
        <v>0</v>
      </c>
      <c r="AP126" s="24">
        <v>0</v>
      </c>
      <c r="AQ126" s="58">
        <f t="shared" si="6"/>
        <v>0.72</v>
      </c>
      <c r="AR126" s="59">
        <f t="shared" si="7"/>
        <v>1800</v>
      </c>
      <c r="AS126" s="35">
        <v>1</v>
      </c>
    </row>
    <row r="127" spans="1:45" ht="15.6" x14ac:dyDescent="0.3">
      <c r="A127" s="53">
        <v>123</v>
      </c>
      <c r="B127" s="55" t="s">
        <v>117</v>
      </c>
      <c r="C127" s="54" t="s">
        <v>148</v>
      </c>
      <c r="D127" s="348"/>
      <c r="E127" s="53"/>
      <c r="F127" s="56"/>
      <c r="G127" s="53"/>
      <c r="H127" s="56"/>
      <c r="I127" s="57"/>
      <c r="J127" s="53"/>
      <c r="K127" s="56"/>
      <c r="L127" s="57"/>
      <c r="M127" s="58"/>
      <c r="N127" s="56"/>
      <c r="O127" s="57"/>
      <c r="P127" s="58">
        <f t="shared" si="4"/>
        <v>2.16</v>
      </c>
      <c r="Q127" s="59">
        <f t="shared" si="5"/>
        <v>5400</v>
      </c>
      <c r="R127" s="35">
        <v>3</v>
      </c>
      <c r="S127" s="19">
        <v>0</v>
      </c>
      <c r="T127" s="23">
        <v>0</v>
      </c>
      <c r="U127" s="24">
        <v>0</v>
      </c>
      <c r="V127" s="33">
        <v>0</v>
      </c>
      <c r="W127" s="34">
        <v>0</v>
      </c>
      <c r="X127" s="35">
        <v>0</v>
      </c>
      <c r="Y127" s="19">
        <v>0</v>
      </c>
      <c r="Z127" s="23">
        <v>0</v>
      </c>
      <c r="AA127" s="24">
        <v>0</v>
      </c>
      <c r="AB127" s="33">
        <v>0</v>
      </c>
      <c r="AC127" s="34">
        <v>0</v>
      </c>
      <c r="AD127" s="35">
        <v>0</v>
      </c>
      <c r="AE127" s="36">
        <v>0</v>
      </c>
      <c r="AF127" s="23">
        <v>0</v>
      </c>
      <c r="AG127" s="24">
        <v>0</v>
      </c>
      <c r="AH127" s="33">
        <v>0</v>
      </c>
      <c r="AI127" s="37">
        <v>0</v>
      </c>
      <c r="AJ127" s="35">
        <v>0</v>
      </c>
      <c r="AK127" s="36">
        <v>0</v>
      </c>
      <c r="AL127" s="38">
        <v>0</v>
      </c>
      <c r="AM127" s="35">
        <v>0</v>
      </c>
      <c r="AN127" s="19">
        <v>0</v>
      </c>
      <c r="AO127" s="23">
        <v>0</v>
      </c>
      <c r="AP127" s="24">
        <v>0</v>
      </c>
      <c r="AQ127" s="58">
        <f t="shared" si="6"/>
        <v>2.16</v>
      </c>
      <c r="AR127" s="59">
        <f t="shared" si="7"/>
        <v>5400</v>
      </c>
      <c r="AS127" s="35">
        <v>3</v>
      </c>
    </row>
    <row r="128" spans="1:45" ht="15.6" x14ac:dyDescent="0.3">
      <c r="A128" s="53">
        <v>124</v>
      </c>
      <c r="B128" s="55" t="s">
        <v>149</v>
      </c>
      <c r="C128" s="54" t="s">
        <v>150</v>
      </c>
      <c r="D128" s="348"/>
      <c r="E128" s="53"/>
      <c r="F128" s="56"/>
      <c r="G128" s="53"/>
      <c r="H128" s="56"/>
      <c r="I128" s="57"/>
      <c r="J128" s="53"/>
      <c r="K128" s="56"/>
      <c r="L128" s="57"/>
      <c r="M128" s="58"/>
      <c r="N128" s="56"/>
      <c r="O128" s="57"/>
      <c r="P128" s="58">
        <f t="shared" si="4"/>
        <v>13.68</v>
      </c>
      <c r="Q128" s="59">
        <f t="shared" si="5"/>
        <v>34200</v>
      </c>
      <c r="R128" s="35">
        <v>19</v>
      </c>
      <c r="S128" s="19">
        <v>0</v>
      </c>
      <c r="T128" s="23">
        <v>0</v>
      </c>
      <c r="U128" s="24">
        <v>0</v>
      </c>
      <c r="V128" s="33">
        <v>0</v>
      </c>
      <c r="W128" s="34">
        <v>0</v>
      </c>
      <c r="X128" s="35">
        <v>0</v>
      </c>
      <c r="Y128" s="19">
        <v>0</v>
      </c>
      <c r="Z128" s="23">
        <v>0</v>
      </c>
      <c r="AA128" s="24">
        <v>0</v>
      </c>
      <c r="AB128" s="33">
        <v>0</v>
      </c>
      <c r="AC128" s="34">
        <v>0</v>
      </c>
      <c r="AD128" s="35">
        <v>0</v>
      </c>
      <c r="AE128" s="36">
        <v>0</v>
      </c>
      <c r="AF128" s="23">
        <v>0</v>
      </c>
      <c r="AG128" s="24">
        <v>0</v>
      </c>
      <c r="AH128" s="33">
        <v>0</v>
      </c>
      <c r="AI128" s="37">
        <v>0</v>
      </c>
      <c r="AJ128" s="35">
        <v>0</v>
      </c>
      <c r="AK128" s="36">
        <v>0</v>
      </c>
      <c r="AL128" s="38">
        <v>0</v>
      </c>
      <c r="AM128" s="35">
        <v>0</v>
      </c>
      <c r="AN128" s="19">
        <v>0</v>
      </c>
      <c r="AO128" s="23">
        <v>0</v>
      </c>
      <c r="AP128" s="24">
        <v>0</v>
      </c>
      <c r="AQ128" s="58">
        <f t="shared" si="6"/>
        <v>13.68</v>
      </c>
      <c r="AR128" s="59">
        <f t="shared" si="7"/>
        <v>34200</v>
      </c>
      <c r="AS128" s="35">
        <v>19</v>
      </c>
    </row>
    <row r="129" spans="1:45" ht="15.6" x14ac:dyDescent="0.3">
      <c r="A129" s="53">
        <v>125</v>
      </c>
      <c r="B129" s="55" t="s">
        <v>149</v>
      </c>
      <c r="C129" s="54" t="s">
        <v>151</v>
      </c>
      <c r="D129" s="348"/>
      <c r="E129" s="53"/>
      <c r="F129" s="56"/>
      <c r="G129" s="53"/>
      <c r="H129" s="56"/>
      <c r="I129" s="57"/>
      <c r="J129" s="53"/>
      <c r="K129" s="56"/>
      <c r="L129" s="57"/>
      <c r="M129" s="58"/>
      <c r="N129" s="56"/>
      <c r="O129" s="57"/>
      <c r="P129" s="58">
        <f t="shared" si="4"/>
        <v>19.440000000000001</v>
      </c>
      <c r="Q129" s="59">
        <f t="shared" si="5"/>
        <v>48600</v>
      </c>
      <c r="R129" s="35">
        <v>27</v>
      </c>
      <c r="S129" s="19">
        <v>0</v>
      </c>
      <c r="T129" s="23">
        <v>0</v>
      </c>
      <c r="U129" s="24">
        <v>0</v>
      </c>
      <c r="V129" s="33">
        <v>0</v>
      </c>
      <c r="W129" s="34">
        <v>0</v>
      </c>
      <c r="X129" s="35">
        <v>0</v>
      </c>
      <c r="Y129" s="19">
        <v>0</v>
      </c>
      <c r="Z129" s="23">
        <v>0</v>
      </c>
      <c r="AA129" s="24">
        <v>0</v>
      </c>
      <c r="AB129" s="33">
        <v>0</v>
      </c>
      <c r="AC129" s="34">
        <v>0</v>
      </c>
      <c r="AD129" s="35">
        <v>0</v>
      </c>
      <c r="AE129" s="36">
        <v>0</v>
      </c>
      <c r="AF129" s="23">
        <v>0</v>
      </c>
      <c r="AG129" s="24">
        <v>0</v>
      </c>
      <c r="AH129" s="33">
        <v>0</v>
      </c>
      <c r="AI129" s="37">
        <v>0</v>
      </c>
      <c r="AJ129" s="35">
        <v>0</v>
      </c>
      <c r="AK129" s="36">
        <v>0</v>
      </c>
      <c r="AL129" s="38">
        <v>0</v>
      </c>
      <c r="AM129" s="35">
        <v>0</v>
      </c>
      <c r="AN129" s="19">
        <v>0</v>
      </c>
      <c r="AO129" s="23">
        <v>0</v>
      </c>
      <c r="AP129" s="24">
        <v>0</v>
      </c>
      <c r="AQ129" s="58">
        <f t="shared" si="6"/>
        <v>19.440000000000001</v>
      </c>
      <c r="AR129" s="59">
        <f t="shared" si="7"/>
        <v>48600</v>
      </c>
      <c r="AS129" s="35">
        <v>27</v>
      </c>
    </row>
    <row r="130" spans="1:45" ht="15.6" x14ac:dyDescent="0.3">
      <c r="A130" s="53">
        <v>126</v>
      </c>
      <c r="B130" s="55" t="s">
        <v>149</v>
      </c>
      <c r="C130" s="54" t="s">
        <v>152</v>
      </c>
      <c r="D130" s="348"/>
      <c r="E130" s="53"/>
      <c r="F130" s="56"/>
      <c r="G130" s="53"/>
      <c r="H130" s="56"/>
      <c r="I130" s="57"/>
      <c r="J130" s="53"/>
      <c r="K130" s="56"/>
      <c r="L130" s="57"/>
      <c r="M130" s="58"/>
      <c r="N130" s="56"/>
      <c r="O130" s="57"/>
      <c r="P130" s="58">
        <f t="shared" si="4"/>
        <v>9.36</v>
      </c>
      <c r="Q130" s="59">
        <f t="shared" si="5"/>
        <v>23400</v>
      </c>
      <c r="R130" s="35">
        <v>13</v>
      </c>
      <c r="S130" s="19">
        <v>0</v>
      </c>
      <c r="T130" s="23">
        <v>0</v>
      </c>
      <c r="U130" s="24">
        <v>0</v>
      </c>
      <c r="V130" s="33">
        <v>0</v>
      </c>
      <c r="W130" s="34">
        <v>0</v>
      </c>
      <c r="X130" s="35">
        <v>0</v>
      </c>
      <c r="Y130" s="19">
        <v>0</v>
      </c>
      <c r="Z130" s="23">
        <v>0</v>
      </c>
      <c r="AA130" s="24">
        <v>0</v>
      </c>
      <c r="AB130" s="33">
        <v>0</v>
      </c>
      <c r="AC130" s="34">
        <v>0</v>
      </c>
      <c r="AD130" s="35">
        <v>0</v>
      </c>
      <c r="AE130" s="36">
        <v>0</v>
      </c>
      <c r="AF130" s="23">
        <v>0</v>
      </c>
      <c r="AG130" s="24">
        <v>0</v>
      </c>
      <c r="AH130" s="33">
        <v>0</v>
      </c>
      <c r="AI130" s="37">
        <v>0</v>
      </c>
      <c r="AJ130" s="35">
        <v>0</v>
      </c>
      <c r="AK130" s="36">
        <v>0</v>
      </c>
      <c r="AL130" s="38">
        <v>0</v>
      </c>
      <c r="AM130" s="35">
        <v>0</v>
      </c>
      <c r="AN130" s="19">
        <v>0</v>
      </c>
      <c r="AO130" s="23">
        <v>0</v>
      </c>
      <c r="AP130" s="24">
        <v>0</v>
      </c>
      <c r="AQ130" s="58">
        <f t="shared" si="6"/>
        <v>9.36</v>
      </c>
      <c r="AR130" s="59">
        <f t="shared" si="7"/>
        <v>23400</v>
      </c>
      <c r="AS130" s="35">
        <v>13</v>
      </c>
    </row>
    <row r="131" spans="1:45" ht="15.6" x14ac:dyDescent="0.3">
      <c r="A131" s="53">
        <v>127</v>
      </c>
      <c r="B131" s="55" t="s">
        <v>149</v>
      </c>
      <c r="C131" s="54" t="s">
        <v>153</v>
      </c>
      <c r="D131" s="348"/>
      <c r="E131" s="53"/>
      <c r="F131" s="56"/>
      <c r="G131" s="53"/>
      <c r="H131" s="56"/>
      <c r="I131" s="57"/>
      <c r="J131" s="53"/>
      <c r="K131" s="56"/>
      <c r="L131" s="57"/>
      <c r="M131" s="58"/>
      <c r="N131" s="56"/>
      <c r="O131" s="57"/>
      <c r="P131" s="58">
        <f t="shared" si="4"/>
        <v>9.36</v>
      </c>
      <c r="Q131" s="59">
        <f t="shared" si="5"/>
        <v>23400</v>
      </c>
      <c r="R131" s="35">
        <v>13</v>
      </c>
      <c r="S131" s="19">
        <v>0</v>
      </c>
      <c r="T131" s="23">
        <v>0</v>
      </c>
      <c r="U131" s="24">
        <v>0</v>
      </c>
      <c r="V131" s="33">
        <v>0</v>
      </c>
      <c r="W131" s="34">
        <v>0</v>
      </c>
      <c r="X131" s="35">
        <v>0</v>
      </c>
      <c r="Y131" s="19">
        <v>0</v>
      </c>
      <c r="Z131" s="23">
        <v>0</v>
      </c>
      <c r="AA131" s="24">
        <v>0</v>
      </c>
      <c r="AB131" s="33">
        <v>0</v>
      </c>
      <c r="AC131" s="34">
        <v>0</v>
      </c>
      <c r="AD131" s="35">
        <v>0</v>
      </c>
      <c r="AE131" s="36">
        <v>0</v>
      </c>
      <c r="AF131" s="23">
        <v>0</v>
      </c>
      <c r="AG131" s="24">
        <v>0</v>
      </c>
      <c r="AH131" s="33">
        <v>0</v>
      </c>
      <c r="AI131" s="37">
        <v>0</v>
      </c>
      <c r="AJ131" s="35">
        <v>0</v>
      </c>
      <c r="AK131" s="36">
        <v>0</v>
      </c>
      <c r="AL131" s="38">
        <v>0</v>
      </c>
      <c r="AM131" s="35">
        <v>0</v>
      </c>
      <c r="AN131" s="19">
        <v>0</v>
      </c>
      <c r="AO131" s="23">
        <v>0</v>
      </c>
      <c r="AP131" s="24">
        <v>0</v>
      </c>
      <c r="AQ131" s="58">
        <f t="shared" si="6"/>
        <v>9.36</v>
      </c>
      <c r="AR131" s="59">
        <f t="shared" si="7"/>
        <v>23400</v>
      </c>
      <c r="AS131" s="35">
        <v>13</v>
      </c>
    </row>
    <row r="132" spans="1:45" ht="15.6" x14ac:dyDescent="0.3">
      <c r="A132" s="53">
        <v>128</v>
      </c>
      <c r="B132" s="55" t="s">
        <v>149</v>
      </c>
      <c r="C132" s="54" t="s">
        <v>154</v>
      </c>
      <c r="D132" s="348"/>
      <c r="E132" s="53"/>
      <c r="F132" s="56"/>
      <c r="G132" s="53"/>
      <c r="H132" s="56"/>
      <c r="I132" s="57"/>
      <c r="J132" s="53"/>
      <c r="K132" s="56"/>
      <c r="L132" s="57"/>
      <c r="M132" s="58"/>
      <c r="N132" s="56"/>
      <c r="O132" s="57"/>
      <c r="P132" s="58">
        <f t="shared" si="4"/>
        <v>5.76</v>
      </c>
      <c r="Q132" s="59">
        <f t="shared" si="5"/>
        <v>14400</v>
      </c>
      <c r="R132" s="35">
        <v>8</v>
      </c>
      <c r="S132" s="19">
        <v>0</v>
      </c>
      <c r="T132" s="23">
        <v>0</v>
      </c>
      <c r="U132" s="24">
        <v>0</v>
      </c>
      <c r="V132" s="33">
        <v>0</v>
      </c>
      <c r="W132" s="34">
        <v>0</v>
      </c>
      <c r="X132" s="35">
        <v>0</v>
      </c>
      <c r="Y132" s="19">
        <v>0</v>
      </c>
      <c r="Z132" s="23">
        <v>0</v>
      </c>
      <c r="AA132" s="24">
        <v>0</v>
      </c>
      <c r="AB132" s="33">
        <v>0</v>
      </c>
      <c r="AC132" s="34">
        <v>0</v>
      </c>
      <c r="AD132" s="35">
        <v>0</v>
      </c>
      <c r="AE132" s="36">
        <v>0</v>
      </c>
      <c r="AF132" s="23">
        <v>0</v>
      </c>
      <c r="AG132" s="24">
        <v>0</v>
      </c>
      <c r="AH132" s="33">
        <v>0</v>
      </c>
      <c r="AI132" s="37">
        <v>0</v>
      </c>
      <c r="AJ132" s="35">
        <v>0</v>
      </c>
      <c r="AK132" s="36">
        <v>0</v>
      </c>
      <c r="AL132" s="38">
        <v>0</v>
      </c>
      <c r="AM132" s="35">
        <v>0</v>
      </c>
      <c r="AN132" s="19">
        <v>0</v>
      </c>
      <c r="AO132" s="23">
        <v>0</v>
      </c>
      <c r="AP132" s="24">
        <v>0</v>
      </c>
      <c r="AQ132" s="58">
        <f t="shared" si="6"/>
        <v>5.76</v>
      </c>
      <c r="AR132" s="59">
        <f t="shared" si="7"/>
        <v>14400</v>
      </c>
      <c r="AS132" s="35">
        <v>8</v>
      </c>
    </row>
    <row r="133" spans="1:45" ht="15.6" x14ac:dyDescent="0.3">
      <c r="A133" s="53">
        <v>129</v>
      </c>
      <c r="B133" s="55" t="s">
        <v>155</v>
      </c>
      <c r="C133" s="54" t="s">
        <v>155</v>
      </c>
      <c r="D133" s="348"/>
      <c r="E133" s="53"/>
      <c r="F133" s="56"/>
      <c r="G133" s="53"/>
      <c r="H133" s="56"/>
      <c r="I133" s="57"/>
      <c r="J133" s="53"/>
      <c r="K133" s="56"/>
      <c r="L133" s="57"/>
      <c r="M133" s="58"/>
      <c r="N133" s="56"/>
      <c r="O133" s="57"/>
      <c r="P133" s="58">
        <f t="shared" ref="P133:P196" si="8">Q133/2500</f>
        <v>16.559999999999999</v>
      </c>
      <c r="Q133" s="59">
        <f t="shared" ref="Q133:Q196" si="9">R133*1800</f>
        <v>41400</v>
      </c>
      <c r="R133" s="35">
        <v>23</v>
      </c>
      <c r="S133" s="19">
        <v>0</v>
      </c>
      <c r="T133" s="23">
        <v>0</v>
      </c>
      <c r="U133" s="24">
        <v>0</v>
      </c>
      <c r="V133" s="33">
        <v>0</v>
      </c>
      <c r="W133" s="34">
        <v>0</v>
      </c>
      <c r="X133" s="35">
        <v>0</v>
      </c>
      <c r="Y133" s="19">
        <v>0</v>
      </c>
      <c r="Z133" s="23">
        <v>0</v>
      </c>
      <c r="AA133" s="24">
        <v>0</v>
      </c>
      <c r="AB133" s="33">
        <v>0</v>
      </c>
      <c r="AC133" s="34">
        <v>0</v>
      </c>
      <c r="AD133" s="35">
        <v>0</v>
      </c>
      <c r="AE133" s="36">
        <v>0</v>
      </c>
      <c r="AF133" s="23">
        <v>0</v>
      </c>
      <c r="AG133" s="24">
        <v>0</v>
      </c>
      <c r="AH133" s="33">
        <v>0</v>
      </c>
      <c r="AI133" s="37">
        <v>0</v>
      </c>
      <c r="AJ133" s="35">
        <v>0</v>
      </c>
      <c r="AK133" s="36">
        <v>0</v>
      </c>
      <c r="AL133" s="38">
        <v>0</v>
      </c>
      <c r="AM133" s="35">
        <v>0</v>
      </c>
      <c r="AN133" s="19">
        <v>0</v>
      </c>
      <c r="AO133" s="23">
        <v>0</v>
      </c>
      <c r="AP133" s="24">
        <v>0</v>
      </c>
      <c r="AQ133" s="58">
        <f t="shared" ref="AQ133:AQ196" si="10">AR133/2500</f>
        <v>16.559999999999999</v>
      </c>
      <c r="AR133" s="59">
        <f t="shared" ref="AR133:AR196" si="11">AS133*1800</f>
        <v>41400</v>
      </c>
      <c r="AS133" s="35">
        <v>23</v>
      </c>
    </row>
    <row r="134" spans="1:45" ht="15.6" x14ac:dyDescent="0.3">
      <c r="A134" s="53">
        <v>130</v>
      </c>
      <c r="B134" s="55" t="s">
        <v>155</v>
      </c>
      <c r="C134" s="54" t="s">
        <v>156</v>
      </c>
      <c r="D134" s="348"/>
      <c r="E134" s="53"/>
      <c r="F134" s="56"/>
      <c r="G134" s="53"/>
      <c r="H134" s="56"/>
      <c r="I134" s="57"/>
      <c r="J134" s="53"/>
      <c r="K134" s="56"/>
      <c r="L134" s="57"/>
      <c r="M134" s="58"/>
      <c r="N134" s="56"/>
      <c r="O134" s="57"/>
      <c r="P134" s="58">
        <f t="shared" si="8"/>
        <v>12.96</v>
      </c>
      <c r="Q134" s="59">
        <f t="shared" si="9"/>
        <v>32400</v>
      </c>
      <c r="R134" s="35">
        <v>18</v>
      </c>
      <c r="S134" s="19">
        <v>0</v>
      </c>
      <c r="T134" s="23">
        <v>0</v>
      </c>
      <c r="U134" s="24">
        <v>0</v>
      </c>
      <c r="V134" s="33">
        <v>0</v>
      </c>
      <c r="W134" s="34">
        <v>0</v>
      </c>
      <c r="X134" s="35">
        <v>0</v>
      </c>
      <c r="Y134" s="19">
        <v>0</v>
      </c>
      <c r="Z134" s="23">
        <v>0</v>
      </c>
      <c r="AA134" s="24">
        <v>0</v>
      </c>
      <c r="AB134" s="33">
        <v>0</v>
      </c>
      <c r="AC134" s="34">
        <v>0</v>
      </c>
      <c r="AD134" s="35">
        <v>0</v>
      </c>
      <c r="AE134" s="36">
        <v>0</v>
      </c>
      <c r="AF134" s="23">
        <v>0</v>
      </c>
      <c r="AG134" s="24">
        <v>0</v>
      </c>
      <c r="AH134" s="33">
        <v>0</v>
      </c>
      <c r="AI134" s="37">
        <v>0</v>
      </c>
      <c r="AJ134" s="35">
        <v>0</v>
      </c>
      <c r="AK134" s="36">
        <v>0</v>
      </c>
      <c r="AL134" s="38">
        <v>0</v>
      </c>
      <c r="AM134" s="35">
        <v>0</v>
      </c>
      <c r="AN134" s="19">
        <v>0</v>
      </c>
      <c r="AO134" s="23">
        <v>0</v>
      </c>
      <c r="AP134" s="24">
        <v>0</v>
      </c>
      <c r="AQ134" s="58">
        <f t="shared" si="10"/>
        <v>12.96</v>
      </c>
      <c r="AR134" s="59">
        <f t="shared" si="11"/>
        <v>32400</v>
      </c>
      <c r="AS134" s="35">
        <v>18</v>
      </c>
    </row>
    <row r="135" spans="1:45" ht="15.6" x14ac:dyDescent="0.3">
      <c r="A135" s="53">
        <v>131</v>
      </c>
      <c r="B135" s="55" t="s">
        <v>155</v>
      </c>
      <c r="C135" s="54" t="s">
        <v>157</v>
      </c>
      <c r="D135" s="348"/>
      <c r="E135" s="53"/>
      <c r="F135" s="56"/>
      <c r="G135" s="53"/>
      <c r="H135" s="56"/>
      <c r="I135" s="57"/>
      <c r="J135" s="53"/>
      <c r="K135" s="56"/>
      <c r="L135" s="57"/>
      <c r="M135" s="58"/>
      <c r="N135" s="56"/>
      <c r="O135" s="57"/>
      <c r="P135" s="58">
        <f t="shared" si="8"/>
        <v>9.36</v>
      </c>
      <c r="Q135" s="59">
        <f t="shared" si="9"/>
        <v>23400</v>
      </c>
      <c r="R135" s="35">
        <v>13</v>
      </c>
      <c r="S135" s="19">
        <v>0</v>
      </c>
      <c r="T135" s="23">
        <v>0</v>
      </c>
      <c r="U135" s="24">
        <v>0</v>
      </c>
      <c r="V135" s="33">
        <v>0</v>
      </c>
      <c r="W135" s="34">
        <v>0</v>
      </c>
      <c r="X135" s="35">
        <v>0</v>
      </c>
      <c r="Y135" s="19">
        <v>0</v>
      </c>
      <c r="Z135" s="23">
        <v>0</v>
      </c>
      <c r="AA135" s="24">
        <v>0</v>
      </c>
      <c r="AB135" s="33">
        <v>0</v>
      </c>
      <c r="AC135" s="34">
        <v>0</v>
      </c>
      <c r="AD135" s="35">
        <v>0</v>
      </c>
      <c r="AE135" s="36">
        <v>0</v>
      </c>
      <c r="AF135" s="23">
        <v>0</v>
      </c>
      <c r="AG135" s="24">
        <v>0</v>
      </c>
      <c r="AH135" s="33">
        <v>0</v>
      </c>
      <c r="AI135" s="37">
        <v>0</v>
      </c>
      <c r="AJ135" s="35">
        <v>0</v>
      </c>
      <c r="AK135" s="36">
        <v>0</v>
      </c>
      <c r="AL135" s="38">
        <v>0</v>
      </c>
      <c r="AM135" s="35">
        <v>0</v>
      </c>
      <c r="AN135" s="19">
        <v>0</v>
      </c>
      <c r="AO135" s="23">
        <v>0</v>
      </c>
      <c r="AP135" s="24">
        <v>0</v>
      </c>
      <c r="AQ135" s="58">
        <f t="shared" si="10"/>
        <v>9.36</v>
      </c>
      <c r="AR135" s="59">
        <f t="shared" si="11"/>
        <v>23400</v>
      </c>
      <c r="AS135" s="35">
        <v>13</v>
      </c>
    </row>
    <row r="136" spans="1:45" ht="15.6" x14ac:dyDescent="0.3">
      <c r="A136" s="53">
        <v>132</v>
      </c>
      <c r="B136" s="55" t="s">
        <v>155</v>
      </c>
      <c r="C136" s="54" t="s">
        <v>158</v>
      </c>
      <c r="D136" s="348"/>
      <c r="E136" s="53"/>
      <c r="F136" s="56"/>
      <c r="G136" s="53"/>
      <c r="H136" s="56"/>
      <c r="I136" s="57"/>
      <c r="J136" s="53"/>
      <c r="K136" s="56"/>
      <c r="L136" s="57"/>
      <c r="M136" s="58"/>
      <c r="N136" s="56"/>
      <c r="O136" s="57"/>
      <c r="P136" s="58">
        <f t="shared" si="8"/>
        <v>7.92</v>
      </c>
      <c r="Q136" s="59">
        <f t="shared" si="9"/>
        <v>19800</v>
      </c>
      <c r="R136" s="35">
        <v>11</v>
      </c>
      <c r="S136" s="19">
        <v>0</v>
      </c>
      <c r="T136" s="23">
        <v>0</v>
      </c>
      <c r="U136" s="24">
        <v>0</v>
      </c>
      <c r="V136" s="33">
        <v>0</v>
      </c>
      <c r="W136" s="34">
        <v>0</v>
      </c>
      <c r="X136" s="35">
        <v>0</v>
      </c>
      <c r="Y136" s="19">
        <v>0</v>
      </c>
      <c r="Z136" s="23">
        <v>0</v>
      </c>
      <c r="AA136" s="24">
        <v>0</v>
      </c>
      <c r="AB136" s="33">
        <v>0</v>
      </c>
      <c r="AC136" s="34">
        <v>0</v>
      </c>
      <c r="AD136" s="35">
        <v>0</v>
      </c>
      <c r="AE136" s="36">
        <v>0</v>
      </c>
      <c r="AF136" s="23">
        <v>0</v>
      </c>
      <c r="AG136" s="24">
        <v>0</v>
      </c>
      <c r="AH136" s="33">
        <v>0</v>
      </c>
      <c r="AI136" s="37">
        <v>0</v>
      </c>
      <c r="AJ136" s="35">
        <v>0</v>
      </c>
      <c r="AK136" s="36">
        <v>0</v>
      </c>
      <c r="AL136" s="38">
        <v>0</v>
      </c>
      <c r="AM136" s="35">
        <v>0</v>
      </c>
      <c r="AN136" s="19">
        <v>0</v>
      </c>
      <c r="AO136" s="23">
        <v>0</v>
      </c>
      <c r="AP136" s="24">
        <v>0</v>
      </c>
      <c r="AQ136" s="58">
        <f t="shared" si="10"/>
        <v>7.92</v>
      </c>
      <c r="AR136" s="59">
        <f t="shared" si="11"/>
        <v>19800</v>
      </c>
      <c r="AS136" s="35">
        <v>11</v>
      </c>
    </row>
    <row r="137" spans="1:45" ht="15.6" x14ac:dyDescent="0.3">
      <c r="A137" s="53">
        <v>133</v>
      </c>
      <c r="B137" s="55" t="s">
        <v>155</v>
      </c>
      <c r="C137" s="54" t="s">
        <v>159</v>
      </c>
      <c r="D137" s="348"/>
      <c r="E137" s="53"/>
      <c r="F137" s="56"/>
      <c r="G137" s="53"/>
      <c r="H137" s="56"/>
      <c r="I137" s="57"/>
      <c r="J137" s="53"/>
      <c r="K137" s="56"/>
      <c r="L137" s="57"/>
      <c r="M137" s="58"/>
      <c r="N137" s="56"/>
      <c r="O137" s="57"/>
      <c r="P137" s="58">
        <f t="shared" si="8"/>
        <v>5.76</v>
      </c>
      <c r="Q137" s="59">
        <f t="shared" si="9"/>
        <v>14400</v>
      </c>
      <c r="R137" s="35">
        <v>8</v>
      </c>
      <c r="S137" s="19">
        <v>0</v>
      </c>
      <c r="T137" s="23">
        <v>0</v>
      </c>
      <c r="U137" s="24">
        <v>0</v>
      </c>
      <c r="V137" s="33">
        <v>0</v>
      </c>
      <c r="W137" s="34">
        <v>0</v>
      </c>
      <c r="X137" s="35">
        <v>0</v>
      </c>
      <c r="Y137" s="19">
        <v>0</v>
      </c>
      <c r="Z137" s="23">
        <v>0</v>
      </c>
      <c r="AA137" s="24">
        <v>0</v>
      </c>
      <c r="AB137" s="33">
        <v>0</v>
      </c>
      <c r="AC137" s="34">
        <v>0</v>
      </c>
      <c r="AD137" s="35">
        <v>0</v>
      </c>
      <c r="AE137" s="36">
        <v>0</v>
      </c>
      <c r="AF137" s="23">
        <v>0</v>
      </c>
      <c r="AG137" s="24">
        <v>0</v>
      </c>
      <c r="AH137" s="33">
        <v>0</v>
      </c>
      <c r="AI137" s="37">
        <v>0</v>
      </c>
      <c r="AJ137" s="35">
        <v>0</v>
      </c>
      <c r="AK137" s="36">
        <v>0</v>
      </c>
      <c r="AL137" s="38">
        <v>0</v>
      </c>
      <c r="AM137" s="35">
        <v>0</v>
      </c>
      <c r="AN137" s="19">
        <v>0</v>
      </c>
      <c r="AO137" s="23">
        <v>0</v>
      </c>
      <c r="AP137" s="24">
        <v>0</v>
      </c>
      <c r="AQ137" s="58">
        <f t="shared" si="10"/>
        <v>5.76</v>
      </c>
      <c r="AR137" s="59">
        <f t="shared" si="11"/>
        <v>14400</v>
      </c>
      <c r="AS137" s="35">
        <v>8</v>
      </c>
    </row>
    <row r="138" spans="1:45" ht="15.6" x14ac:dyDescent="0.3">
      <c r="A138" s="53">
        <v>134</v>
      </c>
      <c r="B138" s="55" t="s">
        <v>155</v>
      </c>
      <c r="C138" s="54" t="s">
        <v>160</v>
      </c>
      <c r="D138" s="348"/>
      <c r="E138" s="53"/>
      <c r="F138" s="56"/>
      <c r="G138" s="53"/>
      <c r="H138" s="56"/>
      <c r="I138" s="57"/>
      <c r="J138" s="53"/>
      <c r="K138" s="56"/>
      <c r="L138" s="57"/>
      <c r="M138" s="58"/>
      <c r="N138" s="56"/>
      <c r="O138" s="57"/>
      <c r="P138" s="58">
        <f t="shared" si="8"/>
        <v>7.2</v>
      </c>
      <c r="Q138" s="59">
        <f t="shared" si="9"/>
        <v>18000</v>
      </c>
      <c r="R138" s="35">
        <v>10</v>
      </c>
      <c r="S138" s="19">
        <v>0</v>
      </c>
      <c r="T138" s="23">
        <v>0</v>
      </c>
      <c r="U138" s="24">
        <v>0</v>
      </c>
      <c r="V138" s="33">
        <v>0</v>
      </c>
      <c r="W138" s="34">
        <v>0</v>
      </c>
      <c r="X138" s="35">
        <v>0</v>
      </c>
      <c r="Y138" s="19">
        <v>0</v>
      </c>
      <c r="Z138" s="23">
        <v>0</v>
      </c>
      <c r="AA138" s="24">
        <v>0</v>
      </c>
      <c r="AB138" s="33">
        <v>0</v>
      </c>
      <c r="AC138" s="34">
        <v>0</v>
      </c>
      <c r="AD138" s="35">
        <v>0</v>
      </c>
      <c r="AE138" s="36">
        <v>0</v>
      </c>
      <c r="AF138" s="23">
        <v>0</v>
      </c>
      <c r="AG138" s="24">
        <v>0</v>
      </c>
      <c r="AH138" s="33">
        <v>0</v>
      </c>
      <c r="AI138" s="37">
        <v>0</v>
      </c>
      <c r="AJ138" s="35">
        <v>0</v>
      </c>
      <c r="AK138" s="36">
        <v>0</v>
      </c>
      <c r="AL138" s="38">
        <v>0</v>
      </c>
      <c r="AM138" s="35">
        <v>0</v>
      </c>
      <c r="AN138" s="19">
        <v>0</v>
      </c>
      <c r="AO138" s="23">
        <v>0</v>
      </c>
      <c r="AP138" s="24">
        <v>0</v>
      </c>
      <c r="AQ138" s="58">
        <f t="shared" si="10"/>
        <v>7.2</v>
      </c>
      <c r="AR138" s="59">
        <f t="shared" si="11"/>
        <v>18000</v>
      </c>
      <c r="AS138" s="35">
        <v>10</v>
      </c>
    </row>
    <row r="139" spans="1:45" ht="15.6" x14ac:dyDescent="0.3">
      <c r="A139" s="53">
        <v>135</v>
      </c>
      <c r="B139" s="55" t="s">
        <v>155</v>
      </c>
      <c r="C139" s="54" t="s">
        <v>161</v>
      </c>
      <c r="D139" s="348"/>
      <c r="E139" s="53"/>
      <c r="F139" s="56"/>
      <c r="G139" s="53"/>
      <c r="H139" s="56"/>
      <c r="I139" s="57"/>
      <c r="J139" s="53"/>
      <c r="K139" s="56"/>
      <c r="L139" s="57"/>
      <c r="M139" s="58"/>
      <c r="N139" s="56"/>
      <c r="O139" s="57"/>
      <c r="P139" s="58">
        <f t="shared" si="8"/>
        <v>11.52</v>
      </c>
      <c r="Q139" s="59">
        <f t="shared" si="9"/>
        <v>28800</v>
      </c>
      <c r="R139" s="35">
        <v>16</v>
      </c>
      <c r="S139" s="19">
        <v>0</v>
      </c>
      <c r="T139" s="23">
        <v>0</v>
      </c>
      <c r="U139" s="24">
        <v>0</v>
      </c>
      <c r="V139" s="33">
        <v>0</v>
      </c>
      <c r="W139" s="34">
        <v>0</v>
      </c>
      <c r="X139" s="35">
        <v>0</v>
      </c>
      <c r="Y139" s="19">
        <v>0</v>
      </c>
      <c r="Z139" s="23">
        <v>0</v>
      </c>
      <c r="AA139" s="24">
        <v>0</v>
      </c>
      <c r="AB139" s="33">
        <v>0</v>
      </c>
      <c r="AC139" s="34">
        <v>0</v>
      </c>
      <c r="AD139" s="35">
        <v>0</v>
      </c>
      <c r="AE139" s="36">
        <v>0</v>
      </c>
      <c r="AF139" s="23">
        <v>0</v>
      </c>
      <c r="AG139" s="24">
        <v>0</v>
      </c>
      <c r="AH139" s="33">
        <v>0</v>
      </c>
      <c r="AI139" s="37">
        <v>0</v>
      </c>
      <c r="AJ139" s="35">
        <v>0</v>
      </c>
      <c r="AK139" s="36">
        <v>0</v>
      </c>
      <c r="AL139" s="38">
        <v>0</v>
      </c>
      <c r="AM139" s="35">
        <v>0</v>
      </c>
      <c r="AN139" s="19">
        <v>0</v>
      </c>
      <c r="AO139" s="23">
        <v>0</v>
      </c>
      <c r="AP139" s="24">
        <v>0</v>
      </c>
      <c r="AQ139" s="58">
        <f t="shared" si="10"/>
        <v>11.52</v>
      </c>
      <c r="AR139" s="59">
        <f t="shared" si="11"/>
        <v>28800</v>
      </c>
      <c r="AS139" s="35">
        <v>16</v>
      </c>
    </row>
    <row r="140" spans="1:45" ht="15.6" x14ac:dyDescent="0.3">
      <c r="A140" s="53">
        <v>136</v>
      </c>
      <c r="B140" s="55" t="s">
        <v>162</v>
      </c>
      <c r="C140" s="54" t="s">
        <v>163</v>
      </c>
      <c r="D140" s="348"/>
      <c r="E140" s="53"/>
      <c r="F140" s="56"/>
      <c r="G140" s="53"/>
      <c r="H140" s="56"/>
      <c r="I140" s="57"/>
      <c r="J140" s="53"/>
      <c r="K140" s="56"/>
      <c r="L140" s="57"/>
      <c r="M140" s="58"/>
      <c r="N140" s="56"/>
      <c r="O140" s="57"/>
      <c r="P140" s="58">
        <f t="shared" si="8"/>
        <v>6.48</v>
      </c>
      <c r="Q140" s="59">
        <f t="shared" si="9"/>
        <v>16200</v>
      </c>
      <c r="R140" s="35">
        <v>9</v>
      </c>
      <c r="S140" s="19">
        <v>0</v>
      </c>
      <c r="T140" s="23">
        <v>0</v>
      </c>
      <c r="U140" s="24">
        <v>0</v>
      </c>
      <c r="V140" s="33">
        <v>0</v>
      </c>
      <c r="W140" s="34">
        <v>0</v>
      </c>
      <c r="X140" s="35">
        <v>0</v>
      </c>
      <c r="Y140" s="19">
        <v>0</v>
      </c>
      <c r="Z140" s="23">
        <v>0</v>
      </c>
      <c r="AA140" s="24">
        <v>0</v>
      </c>
      <c r="AB140" s="33">
        <v>0</v>
      </c>
      <c r="AC140" s="34">
        <v>0</v>
      </c>
      <c r="AD140" s="35">
        <v>0</v>
      </c>
      <c r="AE140" s="36">
        <v>0</v>
      </c>
      <c r="AF140" s="23">
        <v>0</v>
      </c>
      <c r="AG140" s="24">
        <v>0</v>
      </c>
      <c r="AH140" s="33">
        <v>0</v>
      </c>
      <c r="AI140" s="37">
        <v>0</v>
      </c>
      <c r="AJ140" s="35">
        <v>0</v>
      </c>
      <c r="AK140" s="36">
        <v>0</v>
      </c>
      <c r="AL140" s="38">
        <v>0</v>
      </c>
      <c r="AM140" s="35">
        <v>0</v>
      </c>
      <c r="AN140" s="19">
        <v>0</v>
      </c>
      <c r="AO140" s="23">
        <v>0</v>
      </c>
      <c r="AP140" s="24">
        <v>0</v>
      </c>
      <c r="AQ140" s="58">
        <f t="shared" si="10"/>
        <v>6.48</v>
      </c>
      <c r="AR140" s="59">
        <f t="shared" si="11"/>
        <v>16200</v>
      </c>
      <c r="AS140" s="35">
        <v>9</v>
      </c>
    </row>
    <row r="141" spans="1:45" ht="15.6" x14ac:dyDescent="0.3">
      <c r="A141" s="53">
        <v>137</v>
      </c>
      <c r="B141" s="55" t="s">
        <v>162</v>
      </c>
      <c r="C141" s="54" t="s">
        <v>164</v>
      </c>
      <c r="D141" s="348" t="s">
        <v>25</v>
      </c>
      <c r="E141" s="53"/>
      <c r="F141" s="56"/>
      <c r="G141" s="53"/>
      <c r="H141" s="56"/>
      <c r="I141" s="57"/>
      <c r="J141" s="53"/>
      <c r="K141" s="56"/>
      <c r="L141" s="57"/>
      <c r="M141" s="58"/>
      <c r="N141" s="56"/>
      <c r="O141" s="57"/>
      <c r="P141" s="58">
        <f t="shared" si="8"/>
        <v>3.6</v>
      </c>
      <c r="Q141" s="59">
        <f t="shared" si="9"/>
        <v>9000</v>
      </c>
      <c r="R141" s="35">
        <v>5</v>
      </c>
      <c r="S141" s="19">
        <v>0</v>
      </c>
      <c r="T141" s="23">
        <v>0</v>
      </c>
      <c r="U141" s="24">
        <v>0</v>
      </c>
      <c r="V141" s="33">
        <v>0</v>
      </c>
      <c r="W141" s="34">
        <v>0</v>
      </c>
      <c r="X141" s="35">
        <v>0</v>
      </c>
      <c r="Y141" s="19">
        <v>0</v>
      </c>
      <c r="Z141" s="23">
        <v>0</v>
      </c>
      <c r="AA141" s="24">
        <v>0</v>
      </c>
      <c r="AB141" s="33">
        <v>0</v>
      </c>
      <c r="AC141" s="34">
        <v>0</v>
      </c>
      <c r="AD141" s="35">
        <v>0</v>
      </c>
      <c r="AE141" s="36">
        <v>0</v>
      </c>
      <c r="AF141" s="23">
        <v>0</v>
      </c>
      <c r="AG141" s="24">
        <v>0</v>
      </c>
      <c r="AH141" s="33">
        <v>0</v>
      </c>
      <c r="AI141" s="37">
        <v>0</v>
      </c>
      <c r="AJ141" s="35">
        <v>0</v>
      </c>
      <c r="AK141" s="36">
        <v>0</v>
      </c>
      <c r="AL141" s="38">
        <v>0</v>
      </c>
      <c r="AM141" s="35">
        <v>0</v>
      </c>
      <c r="AN141" s="19">
        <v>0</v>
      </c>
      <c r="AO141" s="23">
        <v>0</v>
      </c>
      <c r="AP141" s="24">
        <v>0</v>
      </c>
      <c r="AQ141" s="58">
        <f t="shared" si="10"/>
        <v>3.6</v>
      </c>
      <c r="AR141" s="59">
        <f t="shared" si="11"/>
        <v>9000</v>
      </c>
      <c r="AS141" s="35">
        <v>5</v>
      </c>
    </row>
    <row r="142" spans="1:45" ht="15.6" x14ac:dyDescent="0.3">
      <c r="A142" s="53">
        <v>138</v>
      </c>
      <c r="B142" s="55" t="s">
        <v>162</v>
      </c>
      <c r="C142" s="54" t="s">
        <v>165</v>
      </c>
      <c r="D142" s="348"/>
      <c r="E142" s="53"/>
      <c r="F142" s="56"/>
      <c r="G142" s="53"/>
      <c r="H142" s="56"/>
      <c r="I142" s="57"/>
      <c r="J142" s="53"/>
      <c r="K142" s="56"/>
      <c r="L142" s="57"/>
      <c r="M142" s="58"/>
      <c r="N142" s="56"/>
      <c r="O142" s="57"/>
      <c r="P142" s="58">
        <f t="shared" si="8"/>
        <v>12.24</v>
      </c>
      <c r="Q142" s="59">
        <f t="shared" si="9"/>
        <v>30600</v>
      </c>
      <c r="R142" s="35">
        <v>17</v>
      </c>
      <c r="S142" s="19">
        <v>0</v>
      </c>
      <c r="T142" s="23">
        <v>0</v>
      </c>
      <c r="U142" s="24">
        <v>0</v>
      </c>
      <c r="V142" s="33">
        <v>0</v>
      </c>
      <c r="W142" s="34">
        <v>0</v>
      </c>
      <c r="X142" s="35">
        <v>0</v>
      </c>
      <c r="Y142" s="19">
        <v>0</v>
      </c>
      <c r="Z142" s="23">
        <v>0</v>
      </c>
      <c r="AA142" s="24">
        <v>0</v>
      </c>
      <c r="AB142" s="33">
        <v>0</v>
      </c>
      <c r="AC142" s="34">
        <v>0</v>
      </c>
      <c r="AD142" s="35">
        <v>0</v>
      </c>
      <c r="AE142" s="36">
        <v>0</v>
      </c>
      <c r="AF142" s="23">
        <v>0</v>
      </c>
      <c r="AG142" s="24">
        <v>0</v>
      </c>
      <c r="AH142" s="33">
        <v>0</v>
      </c>
      <c r="AI142" s="37">
        <v>0</v>
      </c>
      <c r="AJ142" s="35">
        <v>0</v>
      </c>
      <c r="AK142" s="36">
        <v>0</v>
      </c>
      <c r="AL142" s="38">
        <v>0</v>
      </c>
      <c r="AM142" s="35">
        <v>0</v>
      </c>
      <c r="AN142" s="19">
        <v>0</v>
      </c>
      <c r="AO142" s="23">
        <v>0</v>
      </c>
      <c r="AP142" s="24">
        <v>0</v>
      </c>
      <c r="AQ142" s="58">
        <f t="shared" si="10"/>
        <v>12.24</v>
      </c>
      <c r="AR142" s="59">
        <f t="shared" si="11"/>
        <v>30600</v>
      </c>
      <c r="AS142" s="35">
        <v>17</v>
      </c>
    </row>
    <row r="143" spans="1:45" ht="15.6" x14ac:dyDescent="0.3">
      <c r="A143" s="53">
        <v>139</v>
      </c>
      <c r="B143" s="55" t="s">
        <v>162</v>
      </c>
      <c r="C143" s="54" t="s">
        <v>166</v>
      </c>
      <c r="D143" s="348"/>
      <c r="E143" s="53"/>
      <c r="F143" s="56"/>
      <c r="G143" s="53"/>
      <c r="H143" s="56"/>
      <c r="I143" s="57"/>
      <c r="J143" s="53"/>
      <c r="K143" s="56"/>
      <c r="L143" s="57"/>
      <c r="M143" s="58"/>
      <c r="N143" s="56"/>
      <c r="O143" s="57"/>
      <c r="P143" s="58">
        <f t="shared" si="8"/>
        <v>3.6</v>
      </c>
      <c r="Q143" s="59">
        <f t="shared" si="9"/>
        <v>9000</v>
      </c>
      <c r="R143" s="35">
        <v>5</v>
      </c>
      <c r="S143" s="19">
        <v>0</v>
      </c>
      <c r="T143" s="23">
        <v>0</v>
      </c>
      <c r="U143" s="24">
        <v>0</v>
      </c>
      <c r="V143" s="33">
        <v>0</v>
      </c>
      <c r="W143" s="34">
        <v>0</v>
      </c>
      <c r="X143" s="35">
        <v>0</v>
      </c>
      <c r="Y143" s="19">
        <v>0</v>
      </c>
      <c r="Z143" s="23">
        <v>0</v>
      </c>
      <c r="AA143" s="24">
        <v>0</v>
      </c>
      <c r="AB143" s="33">
        <v>0</v>
      </c>
      <c r="AC143" s="34">
        <v>0</v>
      </c>
      <c r="AD143" s="35">
        <v>0</v>
      </c>
      <c r="AE143" s="36">
        <v>0</v>
      </c>
      <c r="AF143" s="23">
        <v>0</v>
      </c>
      <c r="AG143" s="24">
        <v>0</v>
      </c>
      <c r="AH143" s="33">
        <v>0</v>
      </c>
      <c r="AI143" s="37">
        <v>0</v>
      </c>
      <c r="AJ143" s="35">
        <v>0</v>
      </c>
      <c r="AK143" s="36">
        <v>0</v>
      </c>
      <c r="AL143" s="38">
        <v>0</v>
      </c>
      <c r="AM143" s="35">
        <v>0</v>
      </c>
      <c r="AN143" s="19">
        <v>0</v>
      </c>
      <c r="AO143" s="23">
        <v>0</v>
      </c>
      <c r="AP143" s="24">
        <v>0</v>
      </c>
      <c r="AQ143" s="58">
        <f t="shared" si="10"/>
        <v>3.6</v>
      </c>
      <c r="AR143" s="59">
        <f t="shared" si="11"/>
        <v>9000</v>
      </c>
      <c r="AS143" s="35">
        <v>5</v>
      </c>
    </row>
    <row r="144" spans="1:45" ht="15.6" x14ac:dyDescent="0.3">
      <c r="A144" s="53">
        <v>140</v>
      </c>
      <c r="B144" s="55" t="s">
        <v>162</v>
      </c>
      <c r="C144" s="54" t="s">
        <v>167</v>
      </c>
      <c r="D144" s="348"/>
      <c r="E144" s="53"/>
      <c r="F144" s="56"/>
      <c r="G144" s="53"/>
      <c r="H144" s="56"/>
      <c r="I144" s="57"/>
      <c r="J144" s="53"/>
      <c r="K144" s="56"/>
      <c r="L144" s="57"/>
      <c r="M144" s="58"/>
      <c r="N144" s="56"/>
      <c r="O144" s="57"/>
      <c r="P144" s="58">
        <f t="shared" si="8"/>
        <v>3.6</v>
      </c>
      <c r="Q144" s="59">
        <f t="shared" si="9"/>
        <v>9000</v>
      </c>
      <c r="R144" s="35">
        <v>5</v>
      </c>
      <c r="S144" s="19">
        <v>0</v>
      </c>
      <c r="T144" s="23">
        <v>0</v>
      </c>
      <c r="U144" s="24">
        <v>0</v>
      </c>
      <c r="V144" s="33">
        <v>0</v>
      </c>
      <c r="W144" s="34">
        <v>0</v>
      </c>
      <c r="X144" s="35">
        <v>0</v>
      </c>
      <c r="Y144" s="19">
        <v>0</v>
      </c>
      <c r="Z144" s="23">
        <v>0</v>
      </c>
      <c r="AA144" s="24">
        <v>0</v>
      </c>
      <c r="AB144" s="33">
        <v>0</v>
      </c>
      <c r="AC144" s="34">
        <v>0</v>
      </c>
      <c r="AD144" s="35">
        <v>0</v>
      </c>
      <c r="AE144" s="36">
        <v>0</v>
      </c>
      <c r="AF144" s="23">
        <v>0</v>
      </c>
      <c r="AG144" s="24">
        <v>0</v>
      </c>
      <c r="AH144" s="33">
        <v>0</v>
      </c>
      <c r="AI144" s="37">
        <v>0</v>
      </c>
      <c r="AJ144" s="35">
        <v>0</v>
      </c>
      <c r="AK144" s="36">
        <v>0</v>
      </c>
      <c r="AL144" s="38">
        <v>0</v>
      </c>
      <c r="AM144" s="35">
        <v>0</v>
      </c>
      <c r="AN144" s="19">
        <v>0</v>
      </c>
      <c r="AO144" s="23">
        <v>0</v>
      </c>
      <c r="AP144" s="24">
        <v>0</v>
      </c>
      <c r="AQ144" s="58">
        <f t="shared" si="10"/>
        <v>3.6</v>
      </c>
      <c r="AR144" s="59">
        <f t="shared" si="11"/>
        <v>9000</v>
      </c>
      <c r="AS144" s="35">
        <v>5</v>
      </c>
    </row>
    <row r="145" spans="1:45" ht="15.6" x14ac:dyDescent="0.3">
      <c r="A145" s="53">
        <v>141</v>
      </c>
      <c r="B145" s="55" t="s">
        <v>162</v>
      </c>
      <c r="C145" s="54" t="s">
        <v>168</v>
      </c>
      <c r="D145" s="348"/>
      <c r="E145" s="53"/>
      <c r="F145" s="56"/>
      <c r="G145" s="53"/>
      <c r="H145" s="56"/>
      <c r="I145" s="57"/>
      <c r="J145" s="53"/>
      <c r="K145" s="56"/>
      <c r="L145" s="57"/>
      <c r="M145" s="58"/>
      <c r="N145" s="56"/>
      <c r="O145" s="57"/>
      <c r="P145" s="58">
        <f t="shared" si="8"/>
        <v>4.32</v>
      </c>
      <c r="Q145" s="59">
        <f t="shared" si="9"/>
        <v>10800</v>
      </c>
      <c r="R145" s="35">
        <v>6</v>
      </c>
      <c r="S145" s="19">
        <v>0</v>
      </c>
      <c r="T145" s="23">
        <v>0</v>
      </c>
      <c r="U145" s="24">
        <v>0</v>
      </c>
      <c r="V145" s="33">
        <v>0</v>
      </c>
      <c r="W145" s="34">
        <v>0</v>
      </c>
      <c r="X145" s="35">
        <v>0</v>
      </c>
      <c r="Y145" s="19">
        <v>0</v>
      </c>
      <c r="Z145" s="23">
        <v>0</v>
      </c>
      <c r="AA145" s="24">
        <v>0</v>
      </c>
      <c r="AB145" s="33">
        <v>0</v>
      </c>
      <c r="AC145" s="34">
        <v>0</v>
      </c>
      <c r="AD145" s="35">
        <v>0</v>
      </c>
      <c r="AE145" s="36">
        <v>0</v>
      </c>
      <c r="AF145" s="23">
        <v>0</v>
      </c>
      <c r="AG145" s="24">
        <v>0</v>
      </c>
      <c r="AH145" s="33">
        <v>0</v>
      </c>
      <c r="AI145" s="37">
        <v>0</v>
      </c>
      <c r="AJ145" s="35">
        <v>0</v>
      </c>
      <c r="AK145" s="36">
        <v>0</v>
      </c>
      <c r="AL145" s="38">
        <v>0</v>
      </c>
      <c r="AM145" s="35">
        <v>0</v>
      </c>
      <c r="AN145" s="19">
        <v>0</v>
      </c>
      <c r="AO145" s="23">
        <v>0</v>
      </c>
      <c r="AP145" s="24">
        <v>0</v>
      </c>
      <c r="AQ145" s="58">
        <f t="shared" si="10"/>
        <v>4.32</v>
      </c>
      <c r="AR145" s="59">
        <f t="shared" si="11"/>
        <v>10800</v>
      </c>
      <c r="AS145" s="35">
        <v>6</v>
      </c>
    </row>
    <row r="146" spans="1:45" ht="15.6" x14ac:dyDescent="0.3">
      <c r="A146" s="53">
        <v>142</v>
      </c>
      <c r="B146" s="55" t="s">
        <v>162</v>
      </c>
      <c r="C146" s="54" t="s">
        <v>77</v>
      </c>
      <c r="D146" s="348"/>
      <c r="E146" s="53"/>
      <c r="F146" s="56"/>
      <c r="G146" s="53"/>
      <c r="H146" s="56"/>
      <c r="I146" s="57"/>
      <c r="J146" s="53"/>
      <c r="K146" s="56"/>
      <c r="L146" s="57"/>
      <c r="M146" s="58"/>
      <c r="N146" s="56"/>
      <c r="O146" s="57"/>
      <c r="P146" s="58">
        <f t="shared" si="8"/>
        <v>2.16</v>
      </c>
      <c r="Q146" s="59">
        <f t="shared" si="9"/>
        <v>5400</v>
      </c>
      <c r="R146" s="35">
        <v>3</v>
      </c>
      <c r="S146" s="19">
        <v>0</v>
      </c>
      <c r="T146" s="23">
        <v>0</v>
      </c>
      <c r="U146" s="24">
        <v>0</v>
      </c>
      <c r="V146" s="33">
        <v>0</v>
      </c>
      <c r="W146" s="34">
        <v>0</v>
      </c>
      <c r="X146" s="35">
        <v>0</v>
      </c>
      <c r="Y146" s="19">
        <v>0</v>
      </c>
      <c r="Z146" s="23">
        <v>0</v>
      </c>
      <c r="AA146" s="24">
        <v>0</v>
      </c>
      <c r="AB146" s="33">
        <v>0</v>
      </c>
      <c r="AC146" s="34">
        <v>0</v>
      </c>
      <c r="AD146" s="35">
        <v>0</v>
      </c>
      <c r="AE146" s="36">
        <v>0</v>
      </c>
      <c r="AF146" s="23">
        <v>0</v>
      </c>
      <c r="AG146" s="24">
        <v>0</v>
      </c>
      <c r="AH146" s="33">
        <v>0</v>
      </c>
      <c r="AI146" s="37">
        <v>0</v>
      </c>
      <c r="AJ146" s="35">
        <v>0</v>
      </c>
      <c r="AK146" s="36">
        <v>0</v>
      </c>
      <c r="AL146" s="38">
        <v>0</v>
      </c>
      <c r="AM146" s="35">
        <v>0</v>
      </c>
      <c r="AN146" s="19">
        <v>0</v>
      </c>
      <c r="AO146" s="23">
        <v>0</v>
      </c>
      <c r="AP146" s="24">
        <v>0</v>
      </c>
      <c r="AQ146" s="58">
        <f t="shared" si="10"/>
        <v>2.16</v>
      </c>
      <c r="AR146" s="59">
        <f t="shared" si="11"/>
        <v>5400</v>
      </c>
      <c r="AS146" s="35">
        <v>3</v>
      </c>
    </row>
    <row r="147" spans="1:45" ht="15.6" x14ac:dyDescent="0.3">
      <c r="A147" s="53">
        <v>143</v>
      </c>
      <c r="B147" s="55" t="s">
        <v>162</v>
      </c>
      <c r="C147" s="54" t="s">
        <v>169</v>
      </c>
      <c r="D147" s="348"/>
      <c r="E147" s="53"/>
      <c r="F147" s="56"/>
      <c r="G147" s="53"/>
      <c r="H147" s="56"/>
      <c r="I147" s="57"/>
      <c r="J147" s="53"/>
      <c r="K147" s="56"/>
      <c r="L147" s="57"/>
      <c r="M147" s="58"/>
      <c r="N147" s="56"/>
      <c r="O147" s="57"/>
      <c r="P147" s="58">
        <f t="shared" si="8"/>
        <v>5.04</v>
      </c>
      <c r="Q147" s="59">
        <f t="shared" si="9"/>
        <v>12600</v>
      </c>
      <c r="R147" s="35">
        <v>7</v>
      </c>
      <c r="S147" s="19">
        <v>0</v>
      </c>
      <c r="T147" s="23">
        <v>0</v>
      </c>
      <c r="U147" s="24">
        <v>0</v>
      </c>
      <c r="V147" s="33">
        <v>0</v>
      </c>
      <c r="W147" s="34">
        <v>0</v>
      </c>
      <c r="X147" s="35">
        <v>0</v>
      </c>
      <c r="Y147" s="19">
        <v>0</v>
      </c>
      <c r="Z147" s="23">
        <v>0</v>
      </c>
      <c r="AA147" s="24">
        <v>0</v>
      </c>
      <c r="AB147" s="33">
        <v>0</v>
      </c>
      <c r="AC147" s="34">
        <v>0</v>
      </c>
      <c r="AD147" s="35">
        <v>0</v>
      </c>
      <c r="AE147" s="36">
        <v>0</v>
      </c>
      <c r="AF147" s="23">
        <v>0</v>
      </c>
      <c r="AG147" s="24">
        <v>0</v>
      </c>
      <c r="AH147" s="33">
        <v>0</v>
      </c>
      <c r="AI147" s="37">
        <v>0</v>
      </c>
      <c r="AJ147" s="35">
        <v>0</v>
      </c>
      <c r="AK147" s="36">
        <v>0</v>
      </c>
      <c r="AL147" s="38">
        <v>0</v>
      </c>
      <c r="AM147" s="35">
        <v>0</v>
      </c>
      <c r="AN147" s="19">
        <v>0</v>
      </c>
      <c r="AO147" s="23">
        <v>0</v>
      </c>
      <c r="AP147" s="24">
        <v>0</v>
      </c>
      <c r="AQ147" s="58">
        <f t="shared" si="10"/>
        <v>5.04</v>
      </c>
      <c r="AR147" s="59">
        <f t="shared" si="11"/>
        <v>12600</v>
      </c>
      <c r="AS147" s="35">
        <v>7</v>
      </c>
    </row>
    <row r="148" spans="1:45" ht="15.6" x14ac:dyDescent="0.3">
      <c r="A148" s="53">
        <v>144</v>
      </c>
      <c r="B148" s="55" t="s">
        <v>162</v>
      </c>
      <c r="C148" s="54" t="s">
        <v>170</v>
      </c>
      <c r="D148" s="348"/>
      <c r="E148" s="53"/>
      <c r="F148" s="56"/>
      <c r="G148" s="53"/>
      <c r="H148" s="56"/>
      <c r="I148" s="57"/>
      <c r="J148" s="53"/>
      <c r="K148" s="56"/>
      <c r="L148" s="57"/>
      <c r="M148" s="58"/>
      <c r="N148" s="56"/>
      <c r="O148" s="57"/>
      <c r="P148" s="58">
        <f t="shared" si="8"/>
        <v>5.76</v>
      </c>
      <c r="Q148" s="59">
        <f t="shared" si="9"/>
        <v>14400</v>
      </c>
      <c r="R148" s="35">
        <v>8</v>
      </c>
      <c r="S148" s="19">
        <v>0</v>
      </c>
      <c r="T148" s="23">
        <v>0</v>
      </c>
      <c r="U148" s="24">
        <v>0</v>
      </c>
      <c r="V148" s="33">
        <v>0</v>
      </c>
      <c r="W148" s="34">
        <v>0</v>
      </c>
      <c r="X148" s="35">
        <v>0</v>
      </c>
      <c r="Y148" s="19">
        <v>0</v>
      </c>
      <c r="Z148" s="23">
        <v>0</v>
      </c>
      <c r="AA148" s="24">
        <v>0</v>
      </c>
      <c r="AB148" s="33">
        <v>0</v>
      </c>
      <c r="AC148" s="34">
        <v>0</v>
      </c>
      <c r="AD148" s="35">
        <v>0</v>
      </c>
      <c r="AE148" s="36">
        <v>0</v>
      </c>
      <c r="AF148" s="23">
        <v>0</v>
      </c>
      <c r="AG148" s="24">
        <v>0</v>
      </c>
      <c r="AH148" s="33">
        <v>0</v>
      </c>
      <c r="AI148" s="37">
        <v>0</v>
      </c>
      <c r="AJ148" s="35">
        <v>0</v>
      </c>
      <c r="AK148" s="36">
        <v>0</v>
      </c>
      <c r="AL148" s="38">
        <v>0</v>
      </c>
      <c r="AM148" s="35">
        <v>0</v>
      </c>
      <c r="AN148" s="19">
        <v>0</v>
      </c>
      <c r="AO148" s="23">
        <v>0</v>
      </c>
      <c r="AP148" s="24">
        <v>0</v>
      </c>
      <c r="AQ148" s="58">
        <f t="shared" si="10"/>
        <v>5.76</v>
      </c>
      <c r="AR148" s="59">
        <f t="shared" si="11"/>
        <v>14400</v>
      </c>
      <c r="AS148" s="35">
        <v>8</v>
      </c>
    </row>
    <row r="149" spans="1:45" ht="15.6" x14ac:dyDescent="0.3">
      <c r="A149" s="53">
        <v>145</v>
      </c>
      <c r="B149" s="55" t="s">
        <v>162</v>
      </c>
      <c r="C149" s="54" t="s">
        <v>162</v>
      </c>
      <c r="D149" s="348"/>
      <c r="E149" s="53"/>
      <c r="F149" s="56"/>
      <c r="G149" s="53"/>
      <c r="H149" s="56"/>
      <c r="I149" s="57"/>
      <c r="J149" s="53"/>
      <c r="K149" s="56"/>
      <c r="L149" s="57"/>
      <c r="M149" s="58"/>
      <c r="N149" s="56"/>
      <c r="O149" s="57"/>
      <c r="P149" s="58">
        <f t="shared" si="8"/>
        <v>14.4</v>
      </c>
      <c r="Q149" s="59">
        <f t="shared" si="9"/>
        <v>36000</v>
      </c>
      <c r="R149" s="35">
        <v>20</v>
      </c>
      <c r="S149" s="19">
        <v>0</v>
      </c>
      <c r="T149" s="23">
        <v>0</v>
      </c>
      <c r="U149" s="24">
        <v>0</v>
      </c>
      <c r="V149" s="33">
        <v>0</v>
      </c>
      <c r="W149" s="34">
        <v>0</v>
      </c>
      <c r="X149" s="35">
        <v>0</v>
      </c>
      <c r="Y149" s="19">
        <v>0</v>
      </c>
      <c r="Z149" s="23">
        <v>0</v>
      </c>
      <c r="AA149" s="24">
        <v>0</v>
      </c>
      <c r="AB149" s="33">
        <v>0</v>
      </c>
      <c r="AC149" s="34">
        <v>0</v>
      </c>
      <c r="AD149" s="35">
        <v>0</v>
      </c>
      <c r="AE149" s="36">
        <v>0</v>
      </c>
      <c r="AF149" s="23">
        <v>0</v>
      </c>
      <c r="AG149" s="24">
        <v>0</v>
      </c>
      <c r="AH149" s="33">
        <v>0</v>
      </c>
      <c r="AI149" s="37">
        <v>0</v>
      </c>
      <c r="AJ149" s="35">
        <v>0</v>
      </c>
      <c r="AK149" s="36">
        <v>0</v>
      </c>
      <c r="AL149" s="38">
        <v>0</v>
      </c>
      <c r="AM149" s="35">
        <v>0</v>
      </c>
      <c r="AN149" s="19">
        <v>0</v>
      </c>
      <c r="AO149" s="23">
        <v>0</v>
      </c>
      <c r="AP149" s="24">
        <v>0</v>
      </c>
      <c r="AQ149" s="58">
        <f t="shared" si="10"/>
        <v>14.4</v>
      </c>
      <c r="AR149" s="59">
        <f t="shared" si="11"/>
        <v>36000</v>
      </c>
      <c r="AS149" s="35">
        <v>20</v>
      </c>
    </row>
    <row r="150" spans="1:45" ht="15.6" x14ac:dyDescent="0.3">
      <c r="A150" s="53">
        <v>146</v>
      </c>
      <c r="B150" s="55" t="s">
        <v>162</v>
      </c>
      <c r="C150" s="54" t="s">
        <v>171</v>
      </c>
      <c r="D150" s="348"/>
      <c r="E150" s="53"/>
      <c r="F150" s="56"/>
      <c r="G150" s="53"/>
      <c r="H150" s="56"/>
      <c r="I150" s="57"/>
      <c r="J150" s="53"/>
      <c r="K150" s="56"/>
      <c r="L150" s="57"/>
      <c r="M150" s="58"/>
      <c r="N150" s="56"/>
      <c r="O150" s="57"/>
      <c r="P150" s="58">
        <f t="shared" si="8"/>
        <v>0.72</v>
      </c>
      <c r="Q150" s="59">
        <f t="shared" si="9"/>
        <v>1800</v>
      </c>
      <c r="R150" s="35">
        <v>1</v>
      </c>
      <c r="S150" s="19">
        <v>0</v>
      </c>
      <c r="T150" s="23">
        <v>0</v>
      </c>
      <c r="U150" s="24">
        <v>0</v>
      </c>
      <c r="V150" s="33">
        <v>0</v>
      </c>
      <c r="W150" s="34">
        <v>0</v>
      </c>
      <c r="X150" s="35">
        <v>0</v>
      </c>
      <c r="Y150" s="19">
        <v>0</v>
      </c>
      <c r="Z150" s="23">
        <v>0</v>
      </c>
      <c r="AA150" s="24">
        <v>0</v>
      </c>
      <c r="AB150" s="33">
        <v>0</v>
      </c>
      <c r="AC150" s="34">
        <v>0</v>
      </c>
      <c r="AD150" s="35">
        <v>0</v>
      </c>
      <c r="AE150" s="36">
        <v>0</v>
      </c>
      <c r="AF150" s="23">
        <v>0</v>
      </c>
      <c r="AG150" s="24">
        <v>0</v>
      </c>
      <c r="AH150" s="33">
        <v>0</v>
      </c>
      <c r="AI150" s="37">
        <v>0</v>
      </c>
      <c r="AJ150" s="35">
        <v>0</v>
      </c>
      <c r="AK150" s="36">
        <v>0</v>
      </c>
      <c r="AL150" s="38">
        <v>0</v>
      </c>
      <c r="AM150" s="35">
        <v>0</v>
      </c>
      <c r="AN150" s="19">
        <v>0</v>
      </c>
      <c r="AO150" s="23">
        <v>0</v>
      </c>
      <c r="AP150" s="24">
        <v>0</v>
      </c>
      <c r="AQ150" s="58">
        <f t="shared" si="10"/>
        <v>0.72</v>
      </c>
      <c r="AR150" s="59">
        <f t="shared" si="11"/>
        <v>1800</v>
      </c>
      <c r="AS150" s="35">
        <v>1</v>
      </c>
    </row>
    <row r="151" spans="1:45" ht="15.6" x14ac:dyDescent="0.3">
      <c r="A151" s="53">
        <v>147</v>
      </c>
      <c r="B151" s="55" t="s">
        <v>162</v>
      </c>
      <c r="C151" s="54" t="s">
        <v>172</v>
      </c>
      <c r="D151" s="348"/>
      <c r="E151" s="53"/>
      <c r="F151" s="56"/>
      <c r="G151" s="53"/>
      <c r="H151" s="56"/>
      <c r="I151" s="57"/>
      <c r="J151" s="53"/>
      <c r="K151" s="56"/>
      <c r="L151" s="57"/>
      <c r="M151" s="58"/>
      <c r="N151" s="56"/>
      <c r="O151" s="57"/>
      <c r="P151" s="58">
        <f t="shared" si="8"/>
        <v>3.6</v>
      </c>
      <c r="Q151" s="59">
        <f t="shared" si="9"/>
        <v>9000</v>
      </c>
      <c r="R151" s="35">
        <v>5</v>
      </c>
      <c r="S151" s="19">
        <v>0</v>
      </c>
      <c r="T151" s="23">
        <v>0</v>
      </c>
      <c r="U151" s="24">
        <v>0</v>
      </c>
      <c r="V151" s="33">
        <v>0</v>
      </c>
      <c r="W151" s="34">
        <v>0</v>
      </c>
      <c r="X151" s="35">
        <v>0</v>
      </c>
      <c r="Y151" s="19">
        <v>0</v>
      </c>
      <c r="Z151" s="23">
        <v>0</v>
      </c>
      <c r="AA151" s="24">
        <v>0</v>
      </c>
      <c r="AB151" s="33">
        <v>0</v>
      </c>
      <c r="AC151" s="34">
        <v>0</v>
      </c>
      <c r="AD151" s="35">
        <v>0</v>
      </c>
      <c r="AE151" s="36">
        <v>0</v>
      </c>
      <c r="AF151" s="23">
        <v>0</v>
      </c>
      <c r="AG151" s="24">
        <v>0</v>
      </c>
      <c r="AH151" s="33">
        <v>0</v>
      </c>
      <c r="AI151" s="37">
        <v>0</v>
      </c>
      <c r="AJ151" s="35">
        <v>0</v>
      </c>
      <c r="AK151" s="36">
        <v>0</v>
      </c>
      <c r="AL151" s="38">
        <v>0</v>
      </c>
      <c r="AM151" s="35">
        <v>0</v>
      </c>
      <c r="AN151" s="19">
        <v>0</v>
      </c>
      <c r="AO151" s="23">
        <v>0</v>
      </c>
      <c r="AP151" s="24">
        <v>0</v>
      </c>
      <c r="AQ151" s="58">
        <f t="shared" si="10"/>
        <v>3.6</v>
      </c>
      <c r="AR151" s="59">
        <f t="shared" si="11"/>
        <v>9000</v>
      </c>
      <c r="AS151" s="35">
        <v>5</v>
      </c>
    </row>
    <row r="152" spans="1:45" ht="15.6" x14ac:dyDescent="0.3">
      <c r="A152" s="53">
        <v>148</v>
      </c>
      <c r="B152" s="55" t="s">
        <v>162</v>
      </c>
      <c r="C152" s="54" t="s">
        <v>173</v>
      </c>
      <c r="D152" s="348"/>
      <c r="E152" s="53"/>
      <c r="F152" s="56"/>
      <c r="G152" s="53"/>
      <c r="H152" s="56"/>
      <c r="I152" s="57"/>
      <c r="J152" s="53"/>
      <c r="K152" s="56"/>
      <c r="L152" s="57"/>
      <c r="M152" s="58"/>
      <c r="N152" s="56"/>
      <c r="O152" s="57"/>
      <c r="P152" s="58">
        <f t="shared" si="8"/>
        <v>2.88</v>
      </c>
      <c r="Q152" s="59">
        <f t="shared" si="9"/>
        <v>7200</v>
      </c>
      <c r="R152" s="35">
        <v>4</v>
      </c>
      <c r="S152" s="19">
        <v>0</v>
      </c>
      <c r="T152" s="23">
        <v>0</v>
      </c>
      <c r="U152" s="24">
        <v>0</v>
      </c>
      <c r="V152" s="33">
        <v>0</v>
      </c>
      <c r="W152" s="34">
        <v>0</v>
      </c>
      <c r="X152" s="35">
        <v>0</v>
      </c>
      <c r="Y152" s="19">
        <v>0</v>
      </c>
      <c r="Z152" s="23">
        <v>0</v>
      </c>
      <c r="AA152" s="24">
        <v>0</v>
      </c>
      <c r="AB152" s="33">
        <v>0</v>
      </c>
      <c r="AC152" s="34">
        <v>0</v>
      </c>
      <c r="AD152" s="35">
        <v>0</v>
      </c>
      <c r="AE152" s="36">
        <v>0</v>
      </c>
      <c r="AF152" s="23">
        <v>0</v>
      </c>
      <c r="AG152" s="24">
        <v>0</v>
      </c>
      <c r="AH152" s="33">
        <v>0</v>
      </c>
      <c r="AI152" s="37">
        <v>0</v>
      </c>
      <c r="AJ152" s="35">
        <v>0</v>
      </c>
      <c r="AK152" s="36">
        <v>0</v>
      </c>
      <c r="AL152" s="38">
        <v>0</v>
      </c>
      <c r="AM152" s="35">
        <v>0</v>
      </c>
      <c r="AN152" s="19">
        <v>0</v>
      </c>
      <c r="AO152" s="23">
        <v>0</v>
      </c>
      <c r="AP152" s="24">
        <v>0</v>
      </c>
      <c r="AQ152" s="58">
        <f t="shared" si="10"/>
        <v>2.88</v>
      </c>
      <c r="AR152" s="59">
        <f t="shared" si="11"/>
        <v>7200</v>
      </c>
      <c r="AS152" s="35">
        <v>4</v>
      </c>
    </row>
    <row r="153" spans="1:45" ht="15.6" x14ac:dyDescent="0.3">
      <c r="A153" s="53">
        <v>149</v>
      </c>
      <c r="B153" s="55" t="s">
        <v>162</v>
      </c>
      <c r="C153" s="54" t="s">
        <v>174</v>
      </c>
      <c r="D153" s="348"/>
      <c r="E153" s="53"/>
      <c r="F153" s="56"/>
      <c r="G153" s="53"/>
      <c r="H153" s="56"/>
      <c r="I153" s="57"/>
      <c r="J153" s="53"/>
      <c r="K153" s="56"/>
      <c r="L153" s="57"/>
      <c r="M153" s="58"/>
      <c r="N153" s="56"/>
      <c r="O153" s="57"/>
      <c r="P153" s="58">
        <f t="shared" si="8"/>
        <v>2.16</v>
      </c>
      <c r="Q153" s="59">
        <f t="shared" si="9"/>
        <v>5400</v>
      </c>
      <c r="R153" s="35">
        <v>3</v>
      </c>
      <c r="S153" s="19">
        <v>0</v>
      </c>
      <c r="T153" s="23">
        <v>0</v>
      </c>
      <c r="U153" s="24">
        <v>0</v>
      </c>
      <c r="V153" s="33">
        <v>0</v>
      </c>
      <c r="W153" s="34">
        <v>0</v>
      </c>
      <c r="X153" s="35">
        <v>0</v>
      </c>
      <c r="Y153" s="19">
        <v>0</v>
      </c>
      <c r="Z153" s="23">
        <v>0</v>
      </c>
      <c r="AA153" s="24">
        <v>0</v>
      </c>
      <c r="AB153" s="33">
        <v>0</v>
      </c>
      <c r="AC153" s="34">
        <v>0</v>
      </c>
      <c r="AD153" s="35">
        <v>0</v>
      </c>
      <c r="AE153" s="36">
        <v>0</v>
      </c>
      <c r="AF153" s="23">
        <v>0</v>
      </c>
      <c r="AG153" s="24">
        <v>0</v>
      </c>
      <c r="AH153" s="33">
        <v>0</v>
      </c>
      <c r="AI153" s="37">
        <v>0</v>
      </c>
      <c r="AJ153" s="35">
        <v>0</v>
      </c>
      <c r="AK153" s="36">
        <v>0</v>
      </c>
      <c r="AL153" s="38">
        <v>0</v>
      </c>
      <c r="AM153" s="35">
        <v>0</v>
      </c>
      <c r="AN153" s="19">
        <v>0</v>
      </c>
      <c r="AO153" s="23">
        <v>0</v>
      </c>
      <c r="AP153" s="24">
        <v>0</v>
      </c>
      <c r="AQ153" s="58">
        <f t="shared" si="10"/>
        <v>2.16</v>
      </c>
      <c r="AR153" s="59">
        <f t="shared" si="11"/>
        <v>5400</v>
      </c>
      <c r="AS153" s="35">
        <v>3</v>
      </c>
    </row>
    <row r="154" spans="1:45" ht="15.6" x14ac:dyDescent="0.3">
      <c r="A154" s="53">
        <v>150</v>
      </c>
      <c r="B154" s="55" t="s">
        <v>162</v>
      </c>
      <c r="C154" s="54" t="s">
        <v>175</v>
      </c>
      <c r="D154" s="348"/>
      <c r="E154" s="53"/>
      <c r="F154" s="56"/>
      <c r="G154" s="53"/>
      <c r="H154" s="56"/>
      <c r="I154" s="57"/>
      <c r="J154" s="53"/>
      <c r="K154" s="56"/>
      <c r="L154" s="57"/>
      <c r="M154" s="58"/>
      <c r="N154" s="56"/>
      <c r="O154" s="57"/>
      <c r="P154" s="58">
        <f t="shared" si="8"/>
        <v>1.44</v>
      </c>
      <c r="Q154" s="59">
        <f t="shared" si="9"/>
        <v>3600</v>
      </c>
      <c r="R154" s="35">
        <v>2</v>
      </c>
      <c r="S154" s="19">
        <v>0</v>
      </c>
      <c r="T154" s="23">
        <v>0</v>
      </c>
      <c r="U154" s="24">
        <v>0</v>
      </c>
      <c r="V154" s="33">
        <v>0</v>
      </c>
      <c r="W154" s="34">
        <v>0</v>
      </c>
      <c r="X154" s="35">
        <v>0</v>
      </c>
      <c r="Y154" s="19">
        <v>0</v>
      </c>
      <c r="Z154" s="23">
        <v>0</v>
      </c>
      <c r="AA154" s="24">
        <v>0</v>
      </c>
      <c r="AB154" s="33">
        <v>0</v>
      </c>
      <c r="AC154" s="34">
        <v>0</v>
      </c>
      <c r="AD154" s="35">
        <v>0</v>
      </c>
      <c r="AE154" s="36">
        <v>0</v>
      </c>
      <c r="AF154" s="23">
        <v>0</v>
      </c>
      <c r="AG154" s="24">
        <v>0</v>
      </c>
      <c r="AH154" s="33">
        <v>0</v>
      </c>
      <c r="AI154" s="37">
        <v>0</v>
      </c>
      <c r="AJ154" s="35">
        <v>0</v>
      </c>
      <c r="AK154" s="36">
        <v>0</v>
      </c>
      <c r="AL154" s="38">
        <v>0</v>
      </c>
      <c r="AM154" s="35">
        <v>0</v>
      </c>
      <c r="AN154" s="19">
        <v>0</v>
      </c>
      <c r="AO154" s="23">
        <v>0</v>
      </c>
      <c r="AP154" s="24">
        <v>0</v>
      </c>
      <c r="AQ154" s="58">
        <f t="shared" si="10"/>
        <v>1.44</v>
      </c>
      <c r="AR154" s="59">
        <f t="shared" si="11"/>
        <v>3600</v>
      </c>
      <c r="AS154" s="35">
        <v>2</v>
      </c>
    </row>
    <row r="155" spans="1:45" ht="15.6" x14ac:dyDescent="0.3">
      <c r="A155" s="53">
        <v>151</v>
      </c>
      <c r="B155" s="55" t="s">
        <v>162</v>
      </c>
      <c r="C155" s="54" t="s">
        <v>176</v>
      </c>
      <c r="D155" s="348"/>
      <c r="E155" s="53"/>
      <c r="F155" s="56"/>
      <c r="G155" s="53"/>
      <c r="H155" s="56"/>
      <c r="I155" s="57"/>
      <c r="J155" s="53"/>
      <c r="K155" s="56"/>
      <c r="L155" s="57"/>
      <c r="M155" s="58"/>
      <c r="N155" s="56"/>
      <c r="O155" s="57"/>
      <c r="P155" s="58">
        <f t="shared" si="8"/>
        <v>2.88</v>
      </c>
      <c r="Q155" s="59">
        <f t="shared" si="9"/>
        <v>7200</v>
      </c>
      <c r="R155" s="35">
        <v>4</v>
      </c>
      <c r="S155" s="19">
        <v>0</v>
      </c>
      <c r="T155" s="23">
        <v>0</v>
      </c>
      <c r="U155" s="24">
        <v>0</v>
      </c>
      <c r="V155" s="33">
        <v>0</v>
      </c>
      <c r="W155" s="34">
        <v>0</v>
      </c>
      <c r="X155" s="35">
        <v>0</v>
      </c>
      <c r="Y155" s="19">
        <v>0</v>
      </c>
      <c r="Z155" s="23">
        <v>0</v>
      </c>
      <c r="AA155" s="24">
        <v>0</v>
      </c>
      <c r="AB155" s="33">
        <v>0</v>
      </c>
      <c r="AC155" s="34">
        <v>0</v>
      </c>
      <c r="AD155" s="35">
        <v>0</v>
      </c>
      <c r="AE155" s="36">
        <v>0</v>
      </c>
      <c r="AF155" s="23">
        <v>0</v>
      </c>
      <c r="AG155" s="24">
        <v>0</v>
      </c>
      <c r="AH155" s="33">
        <v>0</v>
      </c>
      <c r="AI155" s="37">
        <v>0</v>
      </c>
      <c r="AJ155" s="35">
        <v>0</v>
      </c>
      <c r="AK155" s="36">
        <v>0</v>
      </c>
      <c r="AL155" s="38">
        <v>0</v>
      </c>
      <c r="AM155" s="35">
        <v>0</v>
      </c>
      <c r="AN155" s="19">
        <v>0</v>
      </c>
      <c r="AO155" s="23">
        <v>0</v>
      </c>
      <c r="AP155" s="24">
        <v>0</v>
      </c>
      <c r="AQ155" s="58">
        <f t="shared" si="10"/>
        <v>2.88</v>
      </c>
      <c r="AR155" s="59">
        <f t="shared" si="11"/>
        <v>7200</v>
      </c>
      <c r="AS155" s="35">
        <v>4</v>
      </c>
    </row>
    <row r="156" spans="1:45" ht="15.6" x14ac:dyDescent="0.3">
      <c r="A156" s="53">
        <v>152</v>
      </c>
      <c r="B156" s="55" t="s">
        <v>162</v>
      </c>
      <c r="C156" s="54" t="s">
        <v>177</v>
      </c>
      <c r="D156" s="348"/>
      <c r="E156" s="53"/>
      <c r="F156" s="56"/>
      <c r="G156" s="53"/>
      <c r="H156" s="56"/>
      <c r="I156" s="57"/>
      <c r="J156" s="53"/>
      <c r="K156" s="56"/>
      <c r="L156" s="57"/>
      <c r="M156" s="58"/>
      <c r="N156" s="56"/>
      <c r="O156" s="57"/>
      <c r="P156" s="58">
        <f t="shared" si="8"/>
        <v>5.04</v>
      </c>
      <c r="Q156" s="59">
        <f t="shared" si="9"/>
        <v>12600</v>
      </c>
      <c r="R156" s="35">
        <v>7</v>
      </c>
      <c r="S156" s="19">
        <v>0</v>
      </c>
      <c r="T156" s="23">
        <v>0</v>
      </c>
      <c r="U156" s="24">
        <v>0</v>
      </c>
      <c r="V156" s="33">
        <v>0</v>
      </c>
      <c r="W156" s="34">
        <v>0</v>
      </c>
      <c r="X156" s="35">
        <v>0</v>
      </c>
      <c r="Y156" s="19">
        <v>0</v>
      </c>
      <c r="Z156" s="23">
        <v>0</v>
      </c>
      <c r="AA156" s="24">
        <v>0</v>
      </c>
      <c r="AB156" s="33">
        <v>0</v>
      </c>
      <c r="AC156" s="34">
        <v>0</v>
      </c>
      <c r="AD156" s="35">
        <v>0</v>
      </c>
      <c r="AE156" s="36">
        <v>0</v>
      </c>
      <c r="AF156" s="23">
        <v>0</v>
      </c>
      <c r="AG156" s="24">
        <v>0</v>
      </c>
      <c r="AH156" s="33">
        <v>0</v>
      </c>
      <c r="AI156" s="37">
        <v>0</v>
      </c>
      <c r="AJ156" s="35">
        <v>0</v>
      </c>
      <c r="AK156" s="36">
        <v>0</v>
      </c>
      <c r="AL156" s="38">
        <v>0</v>
      </c>
      <c r="AM156" s="35">
        <v>0</v>
      </c>
      <c r="AN156" s="19">
        <v>0</v>
      </c>
      <c r="AO156" s="23">
        <v>0</v>
      </c>
      <c r="AP156" s="24">
        <v>0</v>
      </c>
      <c r="AQ156" s="58">
        <f t="shared" si="10"/>
        <v>5.04</v>
      </c>
      <c r="AR156" s="59">
        <f t="shared" si="11"/>
        <v>12600</v>
      </c>
      <c r="AS156" s="35">
        <v>7</v>
      </c>
    </row>
    <row r="157" spans="1:45" ht="15.6" x14ac:dyDescent="0.3">
      <c r="A157" s="53">
        <v>153</v>
      </c>
      <c r="B157" s="55" t="s">
        <v>178</v>
      </c>
      <c r="C157" s="54" t="s">
        <v>179</v>
      </c>
      <c r="D157" s="348"/>
      <c r="E157" s="53"/>
      <c r="F157" s="56"/>
      <c r="G157" s="53"/>
      <c r="H157" s="56"/>
      <c r="I157" s="57"/>
      <c r="J157" s="53"/>
      <c r="K157" s="56"/>
      <c r="L157" s="57"/>
      <c r="M157" s="58"/>
      <c r="N157" s="56"/>
      <c r="O157" s="57"/>
      <c r="P157" s="58">
        <f t="shared" si="8"/>
        <v>4.32</v>
      </c>
      <c r="Q157" s="59">
        <f t="shared" si="9"/>
        <v>10800</v>
      </c>
      <c r="R157" s="35">
        <v>6</v>
      </c>
      <c r="S157" s="19">
        <v>0</v>
      </c>
      <c r="T157" s="23">
        <v>0</v>
      </c>
      <c r="U157" s="24">
        <v>0</v>
      </c>
      <c r="V157" s="33">
        <v>0</v>
      </c>
      <c r="W157" s="34">
        <v>0</v>
      </c>
      <c r="X157" s="35">
        <v>0</v>
      </c>
      <c r="Y157" s="19">
        <v>0</v>
      </c>
      <c r="Z157" s="23">
        <v>0</v>
      </c>
      <c r="AA157" s="24">
        <v>0</v>
      </c>
      <c r="AB157" s="33">
        <v>0</v>
      </c>
      <c r="AC157" s="34">
        <v>0</v>
      </c>
      <c r="AD157" s="35">
        <v>0</v>
      </c>
      <c r="AE157" s="36">
        <v>0</v>
      </c>
      <c r="AF157" s="23">
        <v>0</v>
      </c>
      <c r="AG157" s="24">
        <v>0</v>
      </c>
      <c r="AH157" s="33">
        <v>0</v>
      </c>
      <c r="AI157" s="37">
        <v>0</v>
      </c>
      <c r="AJ157" s="35">
        <v>0</v>
      </c>
      <c r="AK157" s="36">
        <v>0</v>
      </c>
      <c r="AL157" s="38">
        <v>0</v>
      </c>
      <c r="AM157" s="35">
        <v>0</v>
      </c>
      <c r="AN157" s="19">
        <v>0</v>
      </c>
      <c r="AO157" s="23">
        <v>0</v>
      </c>
      <c r="AP157" s="24">
        <v>0</v>
      </c>
      <c r="AQ157" s="58">
        <f t="shared" si="10"/>
        <v>4.32</v>
      </c>
      <c r="AR157" s="59">
        <f t="shared" si="11"/>
        <v>10800</v>
      </c>
      <c r="AS157" s="35">
        <v>6</v>
      </c>
    </row>
    <row r="158" spans="1:45" ht="15.6" x14ac:dyDescent="0.3">
      <c r="A158" s="53">
        <v>154</v>
      </c>
      <c r="B158" s="55" t="s">
        <v>178</v>
      </c>
      <c r="C158" s="54" t="s">
        <v>180</v>
      </c>
      <c r="D158" s="348" t="s">
        <v>25</v>
      </c>
      <c r="E158" s="53"/>
      <c r="F158" s="56"/>
      <c r="G158" s="53"/>
      <c r="H158" s="56"/>
      <c r="I158" s="57"/>
      <c r="J158" s="53"/>
      <c r="K158" s="56"/>
      <c r="L158" s="57"/>
      <c r="M158" s="58"/>
      <c r="N158" s="56"/>
      <c r="O158" s="57"/>
      <c r="P158" s="58">
        <f t="shared" si="8"/>
        <v>1.44</v>
      </c>
      <c r="Q158" s="59">
        <f t="shared" si="9"/>
        <v>3600</v>
      </c>
      <c r="R158" s="35">
        <v>2</v>
      </c>
      <c r="S158" s="19">
        <v>0</v>
      </c>
      <c r="T158" s="23">
        <v>0</v>
      </c>
      <c r="U158" s="24">
        <v>0</v>
      </c>
      <c r="V158" s="33">
        <v>0</v>
      </c>
      <c r="W158" s="34">
        <v>0</v>
      </c>
      <c r="X158" s="35">
        <v>0</v>
      </c>
      <c r="Y158" s="19">
        <v>0</v>
      </c>
      <c r="Z158" s="23">
        <v>0</v>
      </c>
      <c r="AA158" s="24">
        <v>0</v>
      </c>
      <c r="AB158" s="33">
        <v>0</v>
      </c>
      <c r="AC158" s="34">
        <v>0</v>
      </c>
      <c r="AD158" s="35">
        <v>0</v>
      </c>
      <c r="AE158" s="36">
        <v>0</v>
      </c>
      <c r="AF158" s="23">
        <v>0</v>
      </c>
      <c r="AG158" s="24">
        <v>0</v>
      </c>
      <c r="AH158" s="33">
        <v>0</v>
      </c>
      <c r="AI158" s="37">
        <v>0</v>
      </c>
      <c r="AJ158" s="35">
        <v>0</v>
      </c>
      <c r="AK158" s="36">
        <v>0</v>
      </c>
      <c r="AL158" s="38">
        <v>0</v>
      </c>
      <c r="AM158" s="35">
        <v>0</v>
      </c>
      <c r="AN158" s="19">
        <v>0</v>
      </c>
      <c r="AO158" s="23">
        <v>0</v>
      </c>
      <c r="AP158" s="24">
        <v>0</v>
      </c>
      <c r="AQ158" s="58">
        <f t="shared" si="10"/>
        <v>1.44</v>
      </c>
      <c r="AR158" s="59">
        <f t="shared" si="11"/>
        <v>3600</v>
      </c>
      <c r="AS158" s="35">
        <v>2</v>
      </c>
    </row>
    <row r="159" spans="1:45" ht="15.6" x14ac:dyDescent="0.3">
      <c r="A159" s="53">
        <v>155</v>
      </c>
      <c r="B159" s="55" t="s">
        <v>178</v>
      </c>
      <c r="C159" s="54" t="s">
        <v>181</v>
      </c>
      <c r="D159" s="348"/>
      <c r="E159" s="53"/>
      <c r="F159" s="56"/>
      <c r="G159" s="53"/>
      <c r="H159" s="56"/>
      <c r="I159" s="57"/>
      <c r="J159" s="53"/>
      <c r="K159" s="56"/>
      <c r="L159" s="57"/>
      <c r="M159" s="58"/>
      <c r="N159" s="56"/>
      <c r="O159" s="57"/>
      <c r="P159" s="58">
        <f t="shared" si="8"/>
        <v>4.32</v>
      </c>
      <c r="Q159" s="59">
        <f t="shared" si="9"/>
        <v>10800</v>
      </c>
      <c r="R159" s="35">
        <v>6</v>
      </c>
      <c r="S159" s="19">
        <v>0</v>
      </c>
      <c r="T159" s="23">
        <v>0</v>
      </c>
      <c r="U159" s="24">
        <v>0</v>
      </c>
      <c r="V159" s="33">
        <v>0</v>
      </c>
      <c r="W159" s="34">
        <v>0</v>
      </c>
      <c r="X159" s="35">
        <v>0</v>
      </c>
      <c r="Y159" s="19">
        <v>0</v>
      </c>
      <c r="Z159" s="23">
        <v>0</v>
      </c>
      <c r="AA159" s="24">
        <v>0</v>
      </c>
      <c r="AB159" s="33">
        <v>0</v>
      </c>
      <c r="AC159" s="34">
        <v>0</v>
      </c>
      <c r="AD159" s="35">
        <v>0</v>
      </c>
      <c r="AE159" s="36">
        <v>0</v>
      </c>
      <c r="AF159" s="23">
        <v>0</v>
      </c>
      <c r="AG159" s="24">
        <v>0</v>
      </c>
      <c r="AH159" s="33">
        <v>0</v>
      </c>
      <c r="AI159" s="37">
        <v>0</v>
      </c>
      <c r="AJ159" s="35">
        <v>0</v>
      </c>
      <c r="AK159" s="36">
        <v>0</v>
      </c>
      <c r="AL159" s="38">
        <v>0</v>
      </c>
      <c r="AM159" s="35">
        <v>0</v>
      </c>
      <c r="AN159" s="19">
        <v>0</v>
      </c>
      <c r="AO159" s="23">
        <v>0</v>
      </c>
      <c r="AP159" s="24">
        <v>0</v>
      </c>
      <c r="AQ159" s="58">
        <f t="shared" si="10"/>
        <v>4.32</v>
      </c>
      <c r="AR159" s="59">
        <f t="shared" si="11"/>
        <v>10800</v>
      </c>
      <c r="AS159" s="35">
        <v>6</v>
      </c>
    </row>
    <row r="160" spans="1:45" ht="15.6" x14ac:dyDescent="0.3">
      <c r="A160" s="53">
        <v>156</v>
      </c>
      <c r="B160" s="55" t="s">
        <v>178</v>
      </c>
      <c r="C160" s="54" t="s">
        <v>125</v>
      </c>
      <c r="D160" s="348"/>
      <c r="E160" s="53"/>
      <c r="F160" s="56"/>
      <c r="G160" s="53"/>
      <c r="H160" s="56"/>
      <c r="I160" s="57"/>
      <c r="J160" s="53"/>
      <c r="K160" s="56"/>
      <c r="L160" s="57"/>
      <c r="M160" s="58"/>
      <c r="N160" s="56"/>
      <c r="O160" s="57"/>
      <c r="P160" s="58">
        <f t="shared" si="8"/>
        <v>5.76</v>
      </c>
      <c r="Q160" s="59">
        <f t="shared" si="9"/>
        <v>14400</v>
      </c>
      <c r="R160" s="35">
        <v>8</v>
      </c>
      <c r="S160" s="19">
        <v>0</v>
      </c>
      <c r="T160" s="23">
        <v>0</v>
      </c>
      <c r="U160" s="24">
        <v>0</v>
      </c>
      <c r="V160" s="33">
        <v>0</v>
      </c>
      <c r="W160" s="34">
        <v>0</v>
      </c>
      <c r="X160" s="35">
        <v>0</v>
      </c>
      <c r="Y160" s="19">
        <v>0</v>
      </c>
      <c r="Z160" s="23">
        <v>0</v>
      </c>
      <c r="AA160" s="24">
        <v>0</v>
      </c>
      <c r="AB160" s="33">
        <v>0</v>
      </c>
      <c r="AC160" s="34">
        <v>0</v>
      </c>
      <c r="AD160" s="35">
        <v>0</v>
      </c>
      <c r="AE160" s="36">
        <v>0</v>
      </c>
      <c r="AF160" s="23">
        <v>0</v>
      </c>
      <c r="AG160" s="24">
        <v>0</v>
      </c>
      <c r="AH160" s="33">
        <v>0</v>
      </c>
      <c r="AI160" s="37">
        <v>0</v>
      </c>
      <c r="AJ160" s="35">
        <v>0</v>
      </c>
      <c r="AK160" s="36">
        <v>0</v>
      </c>
      <c r="AL160" s="38">
        <v>0</v>
      </c>
      <c r="AM160" s="35">
        <v>0</v>
      </c>
      <c r="AN160" s="19">
        <v>0</v>
      </c>
      <c r="AO160" s="23">
        <v>0</v>
      </c>
      <c r="AP160" s="24">
        <v>0</v>
      </c>
      <c r="AQ160" s="58">
        <f t="shared" si="10"/>
        <v>5.76</v>
      </c>
      <c r="AR160" s="59">
        <f t="shared" si="11"/>
        <v>14400</v>
      </c>
      <c r="AS160" s="35">
        <v>8</v>
      </c>
    </row>
    <row r="161" spans="1:45" ht="15.6" x14ac:dyDescent="0.3">
      <c r="A161" s="53">
        <v>157</v>
      </c>
      <c r="B161" s="55" t="s">
        <v>178</v>
      </c>
      <c r="C161" s="54" t="s">
        <v>182</v>
      </c>
      <c r="D161" s="348"/>
      <c r="E161" s="53"/>
      <c r="F161" s="56"/>
      <c r="G161" s="53"/>
      <c r="H161" s="56"/>
      <c r="I161" s="57"/>
      <c r="J161" s="53"/>
      <c r="K161" s="56"/>
      <c r="L161" s="57"/>
      <c r="M161" s="58"/>
      <c r="N161" s="56"/>
      <c r="O161" s="57"/>
      <c r="P161" s="58">
        <f t="shared" si="8"/>
        <v>1.44</v>
      </c>
      <c r="Q161" s="59">
        <f t="shared" si="9"/>
        <v>3600</v>
      </c>
      <c r="R161" s="35">
        <v>2</v>
      </c>
      <c r="S161" s="19">
        <v>0</v>
      </c>
      <c r="T161" s="23">
        <v>0</v>
      </c>
      <c r="U161" s="24">
        <v>0</v>
      </c>
      <c r="V161" s="33">
        <v>0</v>
      </c>
      <c r="W161" s="34">
        <v>0</v>
      </c>
      <c r="X161" s="35">
        <v>0</v>
      </c>
      <c r="Y161" s="19">
        <v>0</v>
      </c>
      <c r="Z161" s="23">
        <v>0</v>
      </c>
      <c r="AA161" s="24">
        <v>0</v>
      </c>
      <c r="AB161" s="33">
        <v>0</v>
      </c>
      <c r="AC161" s="34">
        <v>0</v>
      </c>
      <c r="AD161" s="35">
        <v>0</v>
      </c>
      <c r="AE161" s="36">
        <v>0</v>
      </c>
      <c r="AF161" s="23">
        <v>0</v>
      </c>
      <c r="AG161" s="24">
        <v>0</v>
      </c>
      <c r="AH161" s="33">
        <v>0</v>
      </c>
      <c r="AI161" s="37">
        <v>0</v>
      </c>
      <c r="AJ161" s="35">
        <v>0</v>
      </c>
      <c r="AK161" s="36">
        <v>0</v>
      </c>
      <c r="AL161" s="38">
        <v>0</v>
      </c>
      <c r="AM161" s="35">
        <v>0</v>
      </c>
      <c r="AN161" s="19">
        <v>0</v>
      </c>
      <c r="AO161" s="23">
        <v>0</v>
      </c>
      <c r="AP161" s="24">
        <v>0</v>
      </c>
      <c r="AQ161" s="58">
        <f t="shared" si="10"/>
        <v>1.44</v>
      </c>
      <c r="AR161" s="59">
        <f t="shared" si="11"/>
        <v>3600</v>
      </c>
      <c r="AS161" s="35">
        <v>2</v>
      </c>
    </row>
    <row r="162" spans="1:45" ht="15.6" x14ac:dyDescent="0.3">
      <c r="A162" s="53">
        <v>158</v>
      </c>
      <c r="B162" s="55" t="s">
        <v>178</v>
      </c>
      <c r="C162" s="54" t="s">
        <v>183</v>
      </c>
      <c r="D162" s="348"/>
      <c r="E162" s="53"/>
      <c r="F162" s="56"/>
      <c r="G162" s="53"/>
      <c r="H162" s="56"/>
      <c r="I162" s="57"/>
      <c r="J162" s="53"/>
      <c r="K162" s="56"/>
      <c r="L162" s="57"/>
      <c r="M162" s="58"/>
      <c r="N162" s="56"/>
      <c r="O162" s="57"/>
      <c r="P162" s="58">
        <f t="shared" si="8"/>
        <v>3.6</v>
      </c>
      <c r="Q162" s="59">
        <f t="shared" si="9"/>
        <v>9000</v>
      </c>
      <c r="R162" s="35">
        <v>5</v>
      </c>
      <c r="S162" s="19">
        <v>0</v>
      </c>
      <c r="T162" s="23">
        <v>0</v>
      </c>
      <c r="U162" s="24">
        <v>0</v>
      </c>
      <c r="V162" s="33">
        <v>0</v>
      </c>
      <c r="W162" s="34">
        <v>0</v>
      </c>
      <c r="X162" s="35">
        <v>0</v>
      </c>
      <c r="Y162" s="19">
        <v>0</v>
      </c>
      <c r="Z162" s="23">
        <v>0</v>
      </c>
      <c r="AA162" s="24">
        <v>0</v>
      </c>
      <c r="AB162" s="33">
        <v>0</v>
      </c>
      <c r="AC162" s="34">
        <v>0</v>
      </c>
      <c r="AD162" s="35">
        <v>0</v>
      </c>
      <c r="AE162" s="36">
        <v>0</v>
      </c>
      <c r="AF162" s="23">
        <v>0</v>
      </c>
      <c r="AG162" s="24">
        <v>0</v>
      </c>
      <c r="AH162" s="33">
        <v>0</v>
      </c>
      <c r="AI162" s="37">
        <v>0</v>
      </c>
      <c r="AJ162" s="35">
        <v>0</v>
      </c>
      <c r="AK162" s="36">
        <v>0</v>
      </c>
      <c r="AL162" s="38">
        <v>0</v>
      </c>
      <c r="AM162" s="35">
        <v>0</v>
      </c>
      <c r="AN162" s="19">
        <v>0</v>
      </c>
      <c r="AO162" s="23">
        <v>0</v>
      </c>
      <c r="AP162" s="24">
        <v>0</v>
      </c>
      <c r="AQ162" s="58">
        <f t="shared" si="10"/>
        <v>3.6</v>
      </c>
      <c r="AR162" s="59">
        <f t="shared" si="11"/>
        <v>9000</v>
      </c>
      <c r="AS162" s="35">
        <v>5</v>
      </c>
    </row>
    <row r="163" spans="1:45" ht="15.6" x14ac:dyDescent="0.3">
      <c r="A163" s="53">
        <v>159</v>
      </c>
      <c r="B163" s="55" t="s">
        <v>178</v>
      </c>
      <c r="C163" s="54" t="s">
        <v>184</v>
      </c>
      <c r="D163" s="348"/>
      <c r="E163" s="53"/>
      <c r="F163" s="56"/>
      <c r="G163" s="53"/>
      <c r="H163" s="56"/>
      <c r="I163" s="57"/>
      <c r="J163" s="53"/>
      <c r="K163" s="56"/>
      <c r="L163" s="57"/>
      <c r="M163" s="58"/>
      <c r="N163" s="56"/>
      <c r="O163" s="57"/>
      <c r="P163" s="58">
        <f t="shared" si="8"/>
        <v>6.48</v>
      </c>
      <c r="Q163" s="59">
        <f t="shared" si="9"/>
        <v>16200</v>
      </c>
      <c r="R163" s="35">
        <v>9</v>
      </c>
      <c r="S163" s="19">
        <v>0</v>
      </c>
      <c r="T163" s="23">
        <v>0</v>
      </c>
      <c r="U163" s="24">
        <v>0</v>
      </c>
      <c r="V163" s="33">
        <v>0</v>
      </c>
      <c r="W163" s="34">
        <v>0</v>
      </c>
      <c r="X163" s="35">
        <v>0</v>
      </c>
      <c r="Y163" s="19">
        <v>0</v>
      </c>
      <c r="Z163" s="23">
        <v>0</v>
      </c>
      <c r="AA163" s="24">
        <v>0</v>
      </c>
      <c r="AB163" s="33">
        <v>0</v>
      </c>
      <c r="AC163" s="34">
        <v>0</v>
      </c>
      <c r="AD163" s="35">
        <v>0</v>
      </c>
      <c r="AE163" s="36">
        <v>0</v>
      </c>
      <c r="AF163" s="23">
        <v>0</v>
      </c>
      <c r="AG163" s="24">
        <v>0</v>
      </c>
      <c r="AH163" s="33">
        <v>0</v>
      </c>
      <c r="AI163" s="37">
        <v>0</v>
      </c>
      <c r="AJ163" s="35">
        <v>0</v>
      </c>
      <c r="AK163" s="36">
        <v>0</v>
      </c>
      <c r="AL163" s="38">
        <v>0</v>
      </c>
      <c r="AM163" s="35">
        <v>0</v>
      </c>
      <c r="AN163" s="19">
        <v>0</v>
      </c>
      <c r="AO163" s="23">
        <v>0</v>
      </c>
      <c r="AP163" s="24">
        <v>0</v>
      </c>
      <c r="AQ163" s="58">
        <f t="shared" si="10"/>
        <v>6.48</v>
      </c>
      <c r="AR163" s="59">
        <f t="shared" si="11"/>
        <v>16200</v>
      </c>
      <c r="AS163" s="35">
        <v>9</v>
      </c>
    </row>
    <row r="164" spans="1:45" ht="15.6" x14ac:dyDescent="0.3">
      <c r="A164" s="53">
        <v>160</v>
      </c>
      <c r="B164" s="55" t="s">
        <v>178</v>
      </c>
      <c r="C164" s="54" t="s">
        <v>185</v>
      </c>
      <c r="D164" s="348"/>
      <c r="E164" s="53"/>
      <c r="F164" s="56"/>
      <c r="G164" s="53"/>
      <c r="H164" s="56"/>
      <c r="I164" s="57"/>
      <c r="J164" s="53"/>
      <c r="K164" s="56"/>
      <c r="L164" s="57"/>
      <c r="M164" s="58"/>
      <c r="N164" s="56"/>
      <c r="O164" s="57"/>
      <c r="P164" s="58">
        <f t="shared" si="8"/>
        <v>0.72</v>
      </c>
      <c r="Q164" s="59">
        <f t="shared" si="9"/>
        <v>1800</v>
      </c>
      <c r="R164" s="35">
        <v>1</v>
      </c>
      <c r="S164" s="19">
        <v>0</v>
      </c>
      <c r="T164" s="23">
        <v>0</v>
      </c>
      <c r="U164" s="24">
        <v>0</v>
      </c>
      <c r="V164" s="33">
        <v>0</v>
      </c>
      <c r="W164" s="34">
        <v>0</v>
      </c>
      <c r="X164" s="35">
        <v>0</v>
      </c>
      <c r="Y164" s="19">
        <v>0</v>
      </c>
      <c r="Z164" s="23">
        <v>0</v>
      </c>
      <c r="AA164" s="24">
        <v>0</v>
      </c>
      <c r="AB164" s="33">
        <v>0</v>
      </c>
      <c r="AC164" s="34">
        <v>0</v>
      </c>
      <c r="AD164" s="35">
        <v>0</v>
      </c>
      <c r="AE164" s="36">
        <v>0</v>
      </c>
      <c r="AF164" s="23">
        <v>0</v>
      </c>
      <c r="AG164" s="24">
        <v>0</v>
      </c>
      <c r="AH164" s="33">
        <v>0</v>
      </c>
      <c r="AI164" s="37">
        <v>0</v>
      </c>
      <c r="AJ164" s="35">
        <v>0</v>
      </c>
      <c r="AK164" s="36">
        <v>0</v>
      </c>
      <c r="AL164" s="38">
        <v>0</v>
      </c>
      <c r="AM164" s="35">
        <v>0</v>
      </c>
      <c r="AN164" s="19">
        <v>0</v>
      </c>
      <c r="AO164" s="23">
        <v>0</v>
      </c>
      <c r="AP164" s="24">
        <v>0</v>
      </c>
      <c r="AQ164" s="58">
        <f t="shared" si="10"/>
        <v>0.72</v>
      </c>
      <c r="AR164" s="59">
        <f t="shared" si="11"/>
        <v>1800</v>
      </c>
      <c r="AS164" s="35">
        <v>1</v>
      </c>
    </row>
    <row r="165" spans="1:45" ht="15.6" x14ac:dyDescent="0.3">
      <c r="A165" s="53">
        <v>161</v>
      </c>
      <c r="B165" s="55" t="s">
        <v>178</v>
      </c>
      <c r="C165" s="54" t="s">
        <v>186</v>
      </c>
      <c r="D165" s="348"/>
      <c r="E165" s="53"/>
      <c r="F165" s="56"/>
      <c r="G165" s="53"/>
      <c r="H165" s="56"/>
      <c r="I165" s="57"/>
      <c r="J165" s="53"/>
      <c r="K165" s="56"/>
      <c r="L165" s="57"/>
      <c r="M165" s="58"/>
      <c r="N165" s="56"/>
      <c r="O165" s="57"/>
      <c r="P165" s="58">
        <f t="shared" si="8"/>
        <v>7.2</v>
      </c>
      <c r="Q165" s="59">
        <f t="shared" si="9"/>
        <v>18000</v>
      </c>
      <c r="R165" s="35">
        <v>10</v>
      </c>
      <c r="S165" s="19">
        <v>0</v>
      </c>
      <c r="T165" s="23">
        <v>0</v>
      </c>
      <c r="U165" s="24">
        <v>0</v>
      </c>
      <c r="V165" s="33">
        <v>0</v>
      </c>
      <c r="W165" s="34">
        <v>0</v>
      </c>
      <c r="X165" s="35">
        <v>0</v>
      </c>
      <c r="Y165" s="19">
        <v>0</v>
      </c>
      <c r="Z165" s="23">
        <v>0</v>
      </c>
      <c r="AA165" s="24">
        <v>0</v>
      </c>
      <c r="AB165" s="33">
        <v>0</v>
      </c>
      <c r="AC165" s="34">
        <v>0</v>
      </c>
      <c r="AD165" s="35">
        <v>0</v>
      </c>
      <c r="AE165" s="36">
        <v>0</v>
      </c>
      <c r="AF165" s="23">
        <v>0</v>
      </c>
      <c r="AG165" s="24">
        <v>0</v>
      </c>
      <c r="AH165" s="33">
        <v>0</v>
      </c>
      <c r="AI165" s="37">
        <v>0</v>
      </c>
      <c r="AJ165" s="35">
        <v>0</v>
      </c>
      <c r="AK165" s="36">
        <v>0</v>
      </c>
      <c r="AL165" s="38">
        <v>0</v>
      </c>
      <c r="AM165" s="35">
        <v>0</v>
      </c>
      <c r="AN165" s="19">
        <v>0</v>
      </c>
      <c r="AO165" s="23">
        <v>0</v>
      </c>
      <c r="AP165" s="24">
        <v>0</v>
      </c>
      <c r="AQ165" s="58">
        <f t="shared" si="10"/>
        <v>7.2</v>
      </c>
      <c r="AR165" s="59">
        <f t="shared" si="11"/>
        <v>18000</v>
      </c>
      <c r="AS165" s="35">
        <v>10</v>
      </c>
    </row>
    <row r="166" spans="1:45" ht="15.6" x14ac:dyDescent="0.3">
      <c r="A166" s="53">
        <v>162</v>
      </c>
      <c r="B166" s="55" t="s">
        <v>178</v>
      </c>
      <c r="C166" s="54" t="s">
        <v>187</v>
      </c>
      <c r="D166" s="348"/>
      <c r="E166" s="53"/>
      <c r="F166" s="56"/>
      <c r="G166" s="53"/>
      <c r="H166" s="56"/>
      <c r="I166" s="57"/>
      <c r="J166" s="53"/>
      <c r="K166" s="56"/>
      <c r="L166" s="57"/>
      <c r="M166" s="58"/>
      <c r="N166" s="56"/>
      <c r="O166" s="57"/>
      <c r="P166" s="58">
        <f t="shared" si="8"/>
        <v>5.04</v>
      </c>
      <c r="Q166" s="59">
        <f t="shared" si="9"/>
        <v>12600</v>
      </c>
      <c r="R166" s="35">
        <v>7</v>
      </c>
      <c r="S166" s="19">
        <v>0</v>
      </c>
      <c r="T166" s="23">
        <v>0</v>
      </c>
      <c r="U166" s="24">
        <v>0</v>
      </c>
      <c r="V166" s="33">
        <v>0</v>
      </c>
      <c r="W166" s="34">
        <v>0</v>
      </c>
      <c r="X166" s="35">
        <v>0</v>
      </c>
      <c r="Y166" s="19">
        <v>0</v>
      </c>
      <c r="Z166" s="23">
        <v>0</v>
      </c>
      <c r="AA166" s="24">
        <v>0</v>
      </c>
      <c r="AB166" s="33">
        <v>0</v>
      </c>
      <c r="AC166" s="34">
        <v>0</v>
      </c>
      <c r="AD166" s="35">
        <v>0</v>
      </c>
      <c r="AE166" s="36">
        <v>0</v>
      </c>
      <c r="AF166" s="23">
        <v>0</v>
      </c>
      <c r="AG166" s="24">
        <v>0</v>
      </c>
      <c r="AH166" s="33">
        <v>0</v>
      </c>
      <c r="AI166" s="37">
        <v>0</v>
      </c>
      <c r="AJ166" s="35">
        <v>0</v>
      </c>
      <c r="AK166" s="36">
        <v>0</v>
      </c>
      <c r="AL166" s="38">
        <v>0</v>
      </c>
      <c r="AM166" s="35">
        <v>0</v>
      </c>
      <c r="AN166" s="19">
        <v>0</v>
      </c>
      <c r="AO166" s="23">
        <v>0</v>
      </c>
      <c r="AP166" s="24">
        <v>0</v>
      </c>
      <c r="AQ166" s="58">
        <f t="shared" si="10"/>
        <v>5.04</v>
      </c>
      <c r="AR166" s="59">
        <f t="shared" si="11"/>
        <v>12600</v>
      </c>
      <c r="AS166" s="35">
        <v>7</v>
      </c>
    </row>
    <row r="167" spans="1:45" ht="15.6" x14ac:dyDescent="0.3">
      <c r="A167" s="53">
        <v>163</v>
      </c>
      <c r="B167" s="55" t="s">
        <v>178</v>
      </c>
      <c r="C167" s="54" t="s">
        <v>94</v>
      </c>
      <c r="D167" s="348"/>
      <c r="E167" s="53"/>
      <c r="F167" s="56"/>
      <c r="G167" s="53"/>
      <c r="H167" s="56"/>
      <c r="I167" s="57"/>
      <c r="J167" s="53"/>
      <c r="K167" s="56"/>
      <c r="L167" s="57"/>
      <c r="M167" s="58"/>
      <c r="N167" s="56"/>
      <c r="O167" s="57"/>
      <c r="P167" s="58">
        <f t="shared" si="8"/>
        <v>0</v>
      </c>
      <c r="Q167" s="59">
        <f t="shared" si="9"/>
        <v>0</v>
      </c>
      <c r="R167" s="35">
        <v>0</v>
      </c>
      <c r="S167" s="19">
        <v>0</v>
      </c>
      <c r="T167" s="23">
        <v>0</v>
      </c>
      <c r="U167" s="24">
        <v>0</v>
      </c>
      <c r="V167" s="33">
        <v>0</v>
      </c>
      <c r="W167" s="34">
        <v>0</v>
      </c>
      <c r="X167" s="35">
        <v>0</v>
      </c>
      <c r="Y167" s="19">
        <v>0</v>
      </c>
      <c r="Z167" s="23">
        <v>0</v>
      </c>
      <c r="AA167" s="24">
        <v>0</v>
      </c>
      <c r="AB167" s="33">
        <v>0</v>
      </c>
      <c r="AC167" s="34">
        <v>0</v>
      </c>
      <c r="AD167" s="35">
        <v>0</v>
      </c>
      <c r="AE167" s="36">
        <v>0</v>
      </c>
      <c r="AF167" s="23">
        <v>0</v>
      </c>
      <c r="AG167" s="24">
        <v>0</v>
      </c>
      <c r="AH167" s="33">
        <v>0</v>
      </c>
      <c r="AI167" s="37">
        <v>0</v>
      </c>
      <c r="AJ167" s="35">
        <v>0</v>
      </c>
      <c r="AK167" s="36">
        <v>0</v>
      </c>
      <c r="AL167" s="38">
        <v>0</v>
      </c>
      <c r="AM167" s="35">
        <v>0</v>
      </c>
      <c r="AN167" s="19">
        <v>0</v>
      </c>
      <c r="AO167" s="23">
        <v>0</v>
      </c>
      <c r="AP167" s="24">
        <v>0</v>
      </c>
      <c r="AQ167" s="58">
        <f t="shared" si="10"/>
        <v>0</v>
      </c>
      <c r="AR167" s="59">
        <f t="shared" si="11"/>
        <v>0</v>
      </c>
      <c r="AS167" s="35">
        <v>0</v>
      </c>
    </row>
    <row r="168" spans="1:45" ht="15.6" x14ac:dyDescent="0.3">
      <c r="A168" s="53">
        <v>164</v>
      </c>
      <c r="B168" s="55" t="s">
        <v>178</v>
      </c>
      <c r="C168" s="54" t="s">
        <v>188</v>
      </c>
      <c r="D168" s="348"/>
      <c r="E168" s="53"/>
      <c r="F168" s="56"/>
      <c r="G168" s="53"/>
      <c r="H168" s="56"/>
      <c r="I168" s="57"/>
      <c r="J168" s="53"/>
      <c r="K168" s="56"/>
      <c r="L168" s="57"/>
      <c r="M168" s="58"/>
      <c r="N168" s="56"/>
      <c r="O168" s="57"/>
      <c r="P168" s="58">
        <f t="shared" si="8"/>
        <v>11.52</v>
      </c>
      <c r="Q168" s="59">
        <f t="shared" si="9"/>
        <v>28800</v>
      </c>
      <c r="R168" s="35">
        <v>16</v>
      </c>
      <c r="S168" s="19">
        <v>0</v>
      </c>
      <c r="T168" s="23">
        <v>0</v>
      </c>
      <c r="U168" s="24">
        <v>0</v>
      </c>
      <c r="V168" s="33">
        <v>0</v>
      </c>
      <c r="W168" s="34">
        <v>0</v>
      </c>
      <c r="X168" s="35">
        <v>0</v>
      </c>
      <c r="Y168" s="19">
        <v>0</v>
      </c>
      <c r="Z168" s="23">
        <v>0</v>
      </c>
      <c r="AA168" s="24">
        <v>0</v>
      </c>
      <c r="AB168" s="33">
        <v>0</v>
      </c>
      <c r="AC168" s="34">
        <v>0</v>
      </c>
      <c r="AD168" s="35">
        <v>0</v>
      </c>
      <c r="AE168" s="36">
        <v>0</v>
      </c>
      <c r="AF168" s="23">
        <v>0</v>
      </c>
      <c r="AG168" s="24">
        <v>0</v>
      </c>
      <c r="AH168" s="33">
        <v>0</v>
      </c>
      <c r="AI168" s="37">
        <v>0</v>
      </c>
      <c r="AJ168" s="35">
        <v>0</v>
      </c>
      <c r="AK168" s="36">
        <v>0</v>
      </c>
      <c r="AL168" s="38">
        <v>0</v>
      </c>
      <c r="AM168" s="35">
        <v>0</v>
      </c>
      <c r="AN168" s="19">
        <v>0</v>
      </c>
      <c r="AO168" s="23">
        <v>0</v>
      </c>
      <c r="AP168" s="24">
        <v>0</v>
      </c>
      <c r="AQ168" s="58">
        <f t="shared" si="10"/>
        <v>11.52</v>
      </c>
      <c r="AR168" s="59">
        <f t="shared" si="11"/>
        <v>28800</v>
      </c>
      <c r="AS168" s="35">
        <v>16</v>
      </c>
    </row>
    <row r="169" spans="1:45" ht="15.6" x14ac:dyDescent="0.3">
      <c r="A169" s="53">
        <v>165</v>
      </c>
      <c r="B169" s="55" t="s">
        <v>178</v>
      </c>
      <c r="C169" s="54" t="s">
        <v>189</v>
      </c>
      <c r="D169" s="348"/>
      <c r="E169" s="53"/>
      <c r="F169" s="56"/>
      <c r="G169" s="53"/>
      <c r="H169" s="56"/>
      <c r="I169" s="57"/>
      <c r="J169" s="53"/>
      <c r="K169" s="56"/>
      <c r="L169" s="57"/>
      <c r="M169" s="58"/>
      <c r="N169" s="56"/>
      <c r="O169" s="57"/>
      <c r="P169" s="58">
        <f t="shared" si="8"/>
        <v>0.72</v>
      </c>
      <c r="Q169" s="59">
        <f t="shared" si="9"/>
        <v>1800</v>
      </c>
      <c r="R169" s="35">
        <v>1</v>
      </c>
      <c r="S169" s="19">
        <v>0</v>
      </c>
      <c r="T169" s="23">
        <v>0</v>
      </c>
      <c r="U169" s="24">
        <v>0</v>
      </c>
      <c r="V169" s="33">
        <v>0</v>
      </c>
      <c r="W169" s="34">
        <v>0</v>
      </c>
      <c r="X169" s="35">
        <v>0</v>
      </c>
      <c r="Y169" s="19">
        <v>0</v>
      </c>
      <c r="Z169" s="23">
        <v>0</v>
      </c>
      <c r="AA169" s="24">
        <v>0</v>
      </c>
      <c r="AB169" s="33">
        <v>0</v>
      </c>
      <c r="AC169" s="34">
        <v>0</v>
      </c>
      <c r="AD169" s="35">
        <v>0</v>
      </c>
      <c r="AE169" s="36">
        <v>0</v>
      </c>
      <c r="AF169" s="23">
        <v>0</v>
      </c>
      <c r="AG169" s="24">
        <v>0</v>
      </c>
      <c r="AH169" s="33">
        <v>0</v>
      </c>
      <c r="AI169" s="37">
        <v>0</v>
      </c>
      <c r="AJ169" s="35">
        <v>0</v>
      </c>
      <c r="AK169" s="36">
        <v>0</v>
      </c>
      <c r="AL169" s="38">
        <v>0</v>
      </c>
      <c r="AM169" s="35">
        <v>0</v>
      </c>
      <c r="AN169" s="19">
        <v>0</v>
      </c>
      <c r="AO169" s="23">
        <v>0</v>
      </c>
      <c r="AP169" s="24">
        <v>0</v>
      </c>
      <c r="AQ169" s="58">
        <f t="shared" si="10"/>
        <v>0.72</v>
      </c>
      <c r="AR169" s="59">
        <f t="shared" si="11"/>
        <v>1800</v>
      </c>
      <c r="AS169" s="35">
        <v>1</v>
      </c>
    </row>
    <row r="170" spans="1:45" ht="15.6" x14ac:dyDescent="0.3">
      <c r="A170" s="53">
        <v>166</v>
      </c>
      <c r="B170" s="55" t="s">
        <v>178</v>
      </c>
      <c r="C170" s="54" t="s">
        <v>190</v>
      </c>
      <c r="D170" s="348"/>
      <c r="E170" s="53"/>
      <c r="F170" s="56"/>
      <c r="G170" s="53"/>
      <c r="H170" s="56"/>
      <c r="I170" s="57"/>
      <c r="J170" s="53"/>
      <c r="K170" s="56"/>
      <c r="L170" s="57"/>
      <c r="M170" s="58"/>
      <c r="N170" s="56"/>
      <c r="O170" s="57"/>
      <c r="P170" s="58">
        <f t="shared" si="8"/>
        <v>2.16</v>
      </c>
      <c r="Q170" s="59">
        <f t="shared" si="9"/>
        <v>5400</v>
      </c>
      <c r="R170" s="35">
        <v>3</v>
      </c>
      <c r="S170" s="19">
        <v>0</v>
      </c>
      <c r="T170" s="23">
        <v>0</v>
      </c>
      <c r="U170" s="24">
        <v>0</v>
      </c>
      <c r="V170" s="33">
        <v>0</v>
      </c>
      <c r="W170" s="34">
        <v>0</v>
      </c>
      <c r="X170" s="35">
        <v>0</v>
      </c>
      <c r="Y170" s="19">
        <v>0</v>
      </c>
      <c r="Z170" s="23">
        <v>0</v>
      </c>
      <c r="AA170" s="24">
        <v>0</v>
      </c>
      <c r="AB170" s="33">
        <v>0</v>
      </c>
      <c r="AC170" s="34">
        <v>0</v>
      </c>
      <c r="AD170" s="35">
        <v>0</v>
      </c>
      <c r="AE170" s="36">
        <v>0</v>
      </c>
      <c r="AF170" s="23">
        <v>0</v>
      </c>
      <c r="AG170" s="24">
        <v>0</v>
      </c>
      <c r="AH170" s="33">
        <v>0</v>
      </c>
      <c r="AI170" s="37">
        <v>0</v>
      </c>
      <c r="AJ170" s="35">
        <v>0</v>
      </c>
      <c r="AK170" s="36">
        <v>0</v>
      </c>
      <c r="AL170" s="38">
        <v>0</v>
      </c>
      <c r="AM170" s="35">
        <v>0</v>
      </c>
      <c r="AN170" s="19">
        <v>0</v>
      </c>
      <c r="AO170" s="23">
        <v>0</v>
      </c>
      <c r="AP170" s="24">
        <v>0</v>
      </c>
      <c r="AQ170" s="58">
        <f t="shared" si="10"/>
        <v>2.16</v>
      </c>
      <c r="AR170" s="59">
        <f t="shared" si="11"/>
        <v>5400</v>
      </c>
      <c r="AS170" s="35">
        <v>3</v>
      </c>
    </row>
    <row r="171" spans="1:45" ht="15.6" x14ac:dyDescent="0.3">
      <c r="A171" s="53">
        <v>167</v>
      </c>
      <c r="B171" s="55" t="s">
        <v>191</v>
      </c>
      <c r="C171" s="54" t="s">
        <v>192</v>
      </c>
      <c r="D171" s="348"/>
      <c r="E171" s="53"/>
      <c r="F171" s="56"/>
      <c r="G171" s="53"/>
      <c r="H171" s="56"/>
      <c r="I171" s="57"/>
      <c r="J171" s="53"/>
      <c r="K171" s="56"/>
      <c r="L171" s="57"/>
      <c r="M171" s="58"/>
      <c r="N171" s="56"/>
      <c r="O171" s="57"/>
      <c r="P171" s="58">
        <f t="shared" si="8"/>
        <v>0</v>
      </c>
      <c r="Q171" s="59">
        <f t="shared" si="9"/>
        <v>0</v>
      </c>
      <c r="R171" s="35">
        <v>0</v>
      </c>
      <c r="S171" s="19">
        <v>0</v>
      </c>
      <c r="T171" s="23">
        <v>0</v>
      </c>
      <c r="U171" s="24">
        <v>0</v>
      </c>
      <c r="V171" s="33">
        <v>0</v>
      </c>
      <c r="W171" s="34">
        <v>0</v>
      </c>
      <c r="X171" s="35">
        <v>0</v>
      </c>
      <c r="Y171" s="19">
        <v>0</v>
      </c>
      <c r="Z171" s="23">
        <v>0</v>
      </c>
      <c r="AA171" s="24">
        <v>0</v>
      </c>
      <c r="AB171" s="33">
        <v>0</v>
      </c>
      <c r="AC171" s="34">
        <v>0</v>
      </c>
      <c r="AD171" s="35">
        <v>0</v>
      </c>
      <c r="AE171" s="36">
        <v>0</v>
      </c>
      <c r="AF171" s="23">
        <v>0</v>
      </c>
      <c r="AG171" s="24">
        <v>0</v>
      </c>
      <c r="AH171" s="33">
        <v>0</v>
      </c>
      <c r="AI171" s="37">
        <v>0</v>
      </c>
      <c r="AJ171" s="35">
        <v>0</v>
      </c>
      <c r="AK171" s="36">
        <v>0</v>
      </c>
      <c r="AL171" s="38">
        <v>0</v>
      </c>
      <c r="AM171" s="35">
        <v>0</v>
      </c>
      <c r="AN171" s="19">
        <v>0</v>
      </c>
      <c r="AO171" s="23">
        <v>0</v>
      </c>
      <c r="AP171" s="24">
        <v>0</v>
      </c>
      <c r="AQ171" s="58">
        <f t="shared" si="10"/>
        <v>0</v>
      </c>
      <c r="AR171" s="59">
        <f t="shared" si="11"/>
        <v>0</v>
      </c>
      <c r="AS171" s="35">
        <v>0</v>
      </c>
    </row>
    <row r="172" spans="1:45" ht="15.6" x14ac:dyDescent="0.3">
      <c r="A172" s="53">
        <v>168</v>
      </c>
      <c r="B172" s="55" t="s">
        <v>191</v>
      </c>
      <c r="C172" s="54" t="s">
        <v>193</v>
      </c>
      <c r="D172" s="348"/>
      <c r="E172" s="53"/>
      <c r="F172" s="56"/>
      <c r="G172" s="53"/>
      <c r="H172" s="56"/>
      <c r="I172" s="57"/>
      <c r="J172" s="53"/>
      <c r="K172" s="56"/>
      <c r="L172" s="57"/>
      <c r="M172" s="58"/>
      <c r="N172" s="56"/>
      <c r="O172" s="57"/>
      <c r="P172" s="58">
        <f t="shared" si="8"/>
        <v>0</v>
      </c>
      <c r="Q172" s="59">
        <f t="shared" si="9"/>
        <v>0</v>
      </c>
      <c r="R172" s="35">
        <v>0</v>
      </c>
      <c r="S172" s="19">
        <v>0</v>
      </c>
      <c r="T172" s="23">
        <v>0</v>
      </c>
      <c r="U172" s="24">
        <v>0</v>
      </c>
      <c r="V172" s="33">
        <v>0</v>
      </c>
      <c r="W172" s="34">
        <v>0</v>
      </c>
      <c r="X172" s="35">
        <v>0</v>
      </c>
      <c r="Y172" s="19">
        <v>0</v>
      </c>
      <c r="Z172" s="23">
        <v>0</v>
      </c>
      <c r="AA172" s="24">
        <v>0</v>
      </c>
      <c r="AB172" s="33">
        <v>0</v>
      </c>
      <c r="AC172" s="34">
        <v>0</v>
      </c>
      <c r="AD172" s="35">
        <v>0</v>
      </c>
      <c r="AE172" s="36">
        <v>0</v>
      </c>
      <c r="AF172" s="23">
        <v>0</v>
      </c>
      <c r="AG172" s="24">
        <v>0</v>
      </c>
      <c r="AH172" s="33">
        <v>0</v>
      </c>
      <c r="AI172" s="37">
        <v>0</v>
      </c>
      <c r="AJ172" s="35">
        <v>0</v>
      </c>
      <c r="AK172" s="36">
        <v>0</v>
      </c>
      <c r="AL172" s="38">
        <v>0</v>
      </c>
      <c r="AM172" s="35">
        <v>0</v>
      </c>
      <c r="AN172" s="19">
        <v>0</v>
      </c>
      <c r="AO172" s="23">
        <v>0</v>
      </c>
      <c r="AP172" s="24">
        <v>0</v>
      </c>
      <c r="AQ172" s="58">
        <f t="shared" si="10"/>
        <v>0</v>
      </c>
      <c r="AR172" s="59">
        <f t="shared" si="11"/>
        <v>0</v>
      </c>
      <c r="AS172" s="35">
        <v>0</v>
      </c>
    </row>
    <row r="173" spans="1:45" ht="15.6" x14ac:dyDescent="0.3">
      <c r="A173" s="53">
        <v>169</v>
      </c>
      <c r="B173" s="55" t="s">
        <v>191</v>
      </c>
      <c r="C173" s="54" t="s">
        <v>194</v>
      </c>
      <c r="D173" s="348"/>
      <c r="E173" s="53"/>
      <c r="F173" s="56"/>
      <c r="G173" s="53"/>
      <c r="H173" s="56"/>
      <c r="I173" s="57"/>
      <c r="J173" s="53"/>
      <c r="K173" s="56"/>
      <c r="L173" s="57"/>
      <c r="M173" s="58"/>
      <c r="N173" s="56"/>
      <c r="O173" s="57"/>
      <c r="P173" s="58">
        <f t="shared" si="8"/>
        <v>0.72</v>
      </c>
      <c r="Q173" s="59">
        <f t="shared" si="9"/>
        <v>1800</v>
      </c>
      <c r="R173" s="35">
        <v>1</v>
      </c>
      <c r="S173" s="19">
        <v>0</v>
      </c>
      <c r="T173" s="23">
        <v>0</v>
      </c>
      <c r="U173" s="24">
        <v>0</v>
      </c>
      <c r="V173" s="33">
        <v>0</v>
      </c>
      <c r="W173" s="34">
        <v>0</v>
      </c>
      <c r="X173" s="35">
        <v>0</v>
      </c>
      <c r="Y173" s="19">
        <v>0</v>
      </c>
      <c r="Z173" s="23">
        <v>0</v>
      </c>
      <c r="AA173" s="24">
        <v>0</v>
      </c>
      <c r="AB173" s="33">
        <v>0</v>
      </c>
      <c r="AC173" s="34">
        <v>0</v>
      </c>
      <c r="AD173" s="35">
        <v>0</v>
      </c>
      <c r="AE173" s="36">
        <v>0</v>
      </c>
      <c r="AF173" s="23">
        <v>0</v>
      </c>
      <c r="AG173" s="24">
        <v>0</v>
      </c>
      <c r="AH173" s="33">
        <v>0</v>
      </c>
      <c r="AI173" s="37">
        <v>0</v>
      </c>
      <c r="AJ173" s="35">
        <v>0</v>
      </c>
      <c r="AK173" s="36">
        <v>0</v>
      </c>
      <c r="AL173" s="38">
        <v>0</v>
      </c>
      <c r="AM173" s="35">
        <v>0</v>
      </c>
      <c r="AN173" s="19">
        <v>0</v>
      </c>
      <c r="AO173" s="23">
        <v>0</v>
      </c>
      <c r="AP173" s="24">
        <v>0</v>
      </c>
      <c r="AQ173" s="58">
        <f t="shared" si="10"/>
        <v>0.72</v>
      </c>
      <c r="AR173" s="59">
        <f t="shared" si="11"/>
        <v>1800</v>
      </c>
      <c r="AS173" s="35">
        <v>1</v>
      </c>
    </row>
    <row r="174" spans="1:45" ht="15.6" x14ac:dyDescent="0.3">
      <c r="A174" s="53">
        <v>170</v>
      </c>
      <c r="B174" s="55" t="s">
        <v>191</v>
      </c>
      <c r="C174" s="54" t="s">
        <v>195</v>
      </c>
      <c r="D174" s="348"/>
      <c r="E174" s="53"/>
      <c r="F174" s="56"/>
      <c r="G174" s="53"/>
      <c r="H174" s="56"/>
      <c r="I174" s="57"/>
      <c r="J174" s="53"/>
      <c r="K174" s="56"/>
      <c r="L174" s="57"/>
      <c r="M174" s="58"/>
      <c r="N174" s="56"/>
      <c r="O174" s="57"/>
      <c r="P174" s="58">
        <f t="shared" si="8"/>
        <v>2.88</v>
      </c>
      <c r="Q174" s="59">
        <f t="shared" si="9"/>
        <v>7200</v>
      </c>
      <c r="R174" s="35">
        <v>4</v>
      </c>
      <c r="S174" s="19">
        <v>0</v>
      </c>
      <c r="T174" s="23">
        <v>0</v>
      </c>
      <c r="U174" s="24">
        <v>0</v>
      </c>
      <c r="V174" s="33">
        <v>0</v>
      </c>
      <c r="W174" s="34">
        <v>0</v>
      </c>
      <c r="X174" s="35">
        <v>0</v>
      </c>
      <c r="Y174" s="19">
        <v>0</v>
      </c>
      <c r="Z174" s="23">
        <v>0</v>
      </c>
      <c r="AA174" s="24">
        <v>0</v>
      </c>
      <c r="AB174" s="33">
        <v>0</v>
      </c>
      <c r="AC174" s="34">
        <v>0</v>
      </c>
      <c r="AD174" s="35">
        <v>0</v>
      </c>
      <c r="AE174" s="36">
        <v>0</v>
      </c>
      <c r="AF174" s="23">
        <v>0</v>
      </c>
      <c r="AG174" s="24">
        <v>0</v>
      </c>
      <c r="AH174" s="33">
        <v>0</v>
      </c>
      <c r="AI174" s="37">
        <v>0</v>
      </c>
      <c r="AJ174" s="35">
        <v>0</v>
      </c>
      <c r="AK174" s="36">
        <v>0</v>
      </c>
      <c r="AL174" s="38">
        <v>0</v>
      </c>
      <c r="AM174" s="35">
        <v>0</v>
      </c>
      <c r="AN174" s="19">
        <v>0</v>
      </c>
      <c r="AO174" s="23">
        <v>0</v>
      </c>
      <c r="AP174" s="24">
        <v>0</v>
      </c>
      <c r="AQ174" s="58">
        <f t="shared" si="10"/>
        <v>2.88</v>
      </c>
      <c r="AR174" s="59">
        <f t="shared" si="11"/>
        <v>7200</v>
      </c>
      <c r="AS174" s="35">
        <v>4</v>
      </c>
    </row>
    <row r="175" spans="1:45" ht="15.6" x14ac:dyDescent="0.3">
      <c r="A175" s="53">
        <v>171</v>
      </c>
      <c r="B175" s="55" t="s">
        <v>191</v>
      </c>
      <c r="C175" s="54" t="s">
        <v>196</v>
      </c>
      <c r="D175" s="348" t="s">
        <v>25</v>
      </c>
      <c r="E175" s="53"/>
      <c r="F175" s="56"/>
      <c r="G175" s="53"/>
      <c r="H175" s="56"/>
      <c r="I175" s="57"/>
      <c r="J175" s="53"/>
      <c r="K175" s="56"/>
      <c r="L175" s="57"/>
      <c r="M175" s="58"/>
      <c r="N175" s="56"/>
      <c r="O175" s="57"/>
      <c r="P175" s="58">
        <f t="shared" si="8"/>
        <v>7.2</v>
      </c>
      <c r="Q175" s="59">
        <f t="shared" si="9"/>
        <v>18000</v>
      </c>
      <c r="R175" s="35">
        <v>10</v>
      </c>
      <c r="S175" s="19">
        <v>0</v>
      </c>
      <c r="T175" s="23">
        <v>0</v>
      </c>
      <c r="U175" s="24">
        <v>0</v>
      </c>
      <c r="V175" s="33">
        <v>0</v>
      </c>
      <c r="W175" s="34">
        <v>0</v>
      </c>
      <c r="X175" s="35">
        <v>0</v>
      </c>
      <c r="Y175" s="19">
        <v>0</v>
      </c>
      <c r="Z175" s="23">
        <v>0</v>
      </c>
      <c r="AA175" s="24">
        <v>0</v>
      </c>
      <c r="AB175" s="33">
        <v>0</v>
      </c>
      <c r="AC175" s="34">
        <v>0</v>
      </c>
      <c r="AD175" s="35">
        <v>0</v>
      </c>
      <c r="AE175" s="36">
        <v>0</v>
      </c>
      <c r="AF175" s="23">
        <v>0</v>
      </c>
      <c r="AG175" s="24">
        <v>0</v>
      </c>
      <c r="AH175" s="33">
        <v>0</v>
      </c>
      <c r="AI175" s="37">
        <v>0</v>
      </c>
      <c r="AJ175" s="35">
        <v>0</v>
      </c>
      <c r="AK175" s="36">
        <v>0</v>
      </c>
      <c r="AL175" s="38">
        <v>0</v>
      </c>
      <c r="AM175" s="35">
        <v>0</v>
      </c>
      <c r="AN175" s="19">
        <v>0</v>
      </c>
      <c r="AO175" s="23">
        <v>0</v>
      </c>
      <c r="AP175" s="24">
        <v>0</v>
      </c>
      <c r="AQ175" s="58">
        <f t="shared" si="10"/>
        <v>7.2</v>
      </c>
      <c r="AR175" s="59">
        <f t="shared" si="11"/>
        <v>18000</v>
      </c>
      <c r="AS175" s="35">
        <v>10</v>
      </c>
    </row>
    <row r="176" spans="1:45" ht="15.6" x14ac:dyDescent="0.3">
      <c r="A176" s="53">
        <v>172</v>
      </c>
      <c r="B176" s="55" t="s">
        <v>191</v>
      </c>
      <c r="C176" s="54" t="s">
        <v>197</v>
      </c>
      <c r="D176" s="348"/>
      <c r="E176" s="53"/>
      <c r="F176" s="56"/>
      <c r="G176" s="53"/>
      <c r="H176" s="56"/>
      <c r="I176" s="57"/>
      <c r="J176" s="53"/>
      <c r="K176" s="56"/>
      <c r="L176" s="57"/>
      <c r="M176" s="58"/>
      <c r="N176" s="56"/>
      <c r="O176" s="57"/>
      <c r="P176" s="58">
        <f t="shared" si="8"/>
        <v>3.6</v>
      </c>
      <c r="Q176" s="59">
        <f t="shared" si="9"/>
        <v>9000</v>
      </c>
      <c r="R176" s="35">
        <v>5</v>
      </c>
      <c r="S176" s="19">
        <v>0</v>
      </c>
      <c r="T176" s="23">
        <v>0</v>
      </c>
      <c r="U176" s="24">
        <v>0</v>
      </c>
      <c r="V176" s="33">
        <v>0</v>
      </c>
      <c r="W176" s="34">
        <v>0</v>
      </c>
      <c r="X176" s="35">
        <v>0</v>
      </c>
      <c r="Y176" s="19">
        <v>0</v>
      </c>
      <c r="Z176" s="23">
        <v>0</v>
      </c>
      <c r="AA176" s="24">
        <v>0</v>
      </c>
      <c r="AB176" s="33">
        <v>0</v>
      </c>
      <c r="AC176" s="34">
        <v>0</v>
      </c>
      <c r="AD176" s="35">
        <v>0</v>
      </c>
      <c r="AE176" s="36">
        <v>0</v>
      </c>
      <c r="AF176" s="23">
        <v>0</v>
      </c>
      <c r="AG176" s="24">
        <v>0</v>
      </c>
      <c r="AH176" s="33">
        <v>0</v>
      </c>
      <c r="AI176" s="37">
        <v>0</v>
      </c>
      <c r="AJ176" s="35">
        <v>0</v>
      </c>
      <c r="AK176" s="36">
        <v>0</v>
      </c>
      <c r="AL176" s="38">
        <v>0</v>
      </c>
      <c r="AM176" s="35">
        <v>0</v>
      </c>
      <c r="AN176" s="19">
        <v>0</v>
      </c>
      <c r="AO176" s="23">
        <v>0</v>
      </c>
      <c r="AP176" s="24">
        <v>0</v>
      </c>
      <c r="AQ176" s="58">
        <f t="shared" si="10"/>
        <v>3.6</v>
      </c>
      <c r="AR176" s="59">
        <f t="shared" si="11"/>
        <v>9000</v>
      </c>
      <c r="AS176" s="35">
        <v>5</v>
      </c>
    </row>
    <row r="177" spans="1:45" ht="15.6" x14ac:dyDescent="0.3">
      <c r="A177" s="53">
        <v>173</v>
      </c>
      <c r="B177" s="55" t="s">
        <v>191</v>
      </c>
      <c r="C177" s="54" t="s">
        <v>198</v>
      </c>
      <c r="D177" s="348"/>
      <c r="E177" s="53"/>
      <c r="F177" s="56"/>
      <c r="G177" s="53"/>
      <c r="H177" s="56"/>
      <c r="I177" s="57"/>
      <c r="J177" s="53"/>
      <c r="K177" s="56"/>
      <c r="L177" s="57"/>
      <c r="M177" s="58"/>
      <c r="N177" s="56"/>
      <c r="O177" s="57"/>
      <c r="P177" s="58">
        <f t="shared" si="8"/>
        <v>0</v>
      </c>
      <c r="Q177" s="59">
        <f t="shared" si="9"/>
        <v>0</v>
      </c>
      <c r="R177" s="35">
        <v>0</v>
      </c>
      <c r="S177" s="19">
        <v>0</v>
      </c>
      <c r="T177" s="23">
        <v>0</v>
      </c>
      <c r="U177" s="24">
        <v>0</v>
      </c>
      <c r="V177" s="33">
        <v>0</v>
      </c>
      <c r="W177" s="34">
        <v>0</v>
      </c>
      <c r="X177" s="35">
        <v>0</v>
      </c>
      <c r="Y177" s="19">
        <v>0</v>
      </c>
      <c r="Z177" s="23">
        <v>0</v>
      </c>
      <c r="AA177" s="24">
        <v>0</v>
      </c>
      <c r="AB177" s="33">
        <v>0</v>
      </c>
      <c r="AC177" s="34">
        <v>0</v>
      </c>
      <c r="AD177" s="35">
        <v>0</v>
      </c>
      <c r="AE177" s="36">
        <v>0</v>
      </c>
      <c r="AF177" s="23">
        <v>0</v>
      </c>
      <c r="AG177" s="24">
        <v>0</v>
      </c>
      <c r="AH177" s="33">
        <v>0</v>
      </c>
      <c r="AI177" s="37">
        <v>0</v>
      </c>
      <c r="AJ177" s="35">
        <v>0</v>
      </c>
      <c r="AK177" s="36">
        <v>0</v>
      </c>
      <c r="AL177" s="38">
        <v>0</v>
      </c>
      <c r="AM177" s="35">
        <v>0</v>
      </c>
      <c r="AN177" s="19">
        <v>0</v>
      </c>
      <c r="AO177" s="23">
        <v>0</v>
      </c>
      <c r="AP177" s="24">
        <v>0</v>
      </c>
      <c r="AQ177" s="58">
        <f t="shared" si="10"/>
        <v>0</v>
      </c>
      <c r="AR177" s="59">
        <f t="shared" si="11"/>
        <v>0</v>
      </c>
      <c r="AS177" s="35">
        <v>0</v>
      </c>
    </row>
    <row r="178" spans="1:45" ht="15.6" x14ac:dyDescent="0.3">
      <c r="A178" s="53">
        <v>174</v>
      </c>
      <c r="B178" s="55" t="s">
        <v>191</v>
      </c>
      <c r="C178" s="54" t="s">
        <v>199</v>
      </c>
      <c r="D178" s="348"/>
      <c r="E178" s="53"/>
      <c r="F178" s="56"/>
      <c r="G178" s="53"/>
      <c r="H178" s="56"/>
      <c r="I178" s="57"/>
      <c r="J178" s="53"/>
      <c r="K178" s="56"/>
      <c r="L178" s="57"/>
      <c r="M178" s="58"/>
      <c r="N178" s="56"/>
      <c r="O178" s="57"/>
      <c r="P178" s="58">
        <f t="shared" si="8"/>
        <v>10.8</v>
      </c>
      <c r="Q178" s="59">
        <f t="shared" si="9"/>
        <v>27000</v>
      </c>
      <c r="R178" s="35">
        <v>15</v>
      </c>
      <c r="S178" s="19">
        <v>0</v>
      </c>
      <c r="T178" s="23">
        <v>0</v>
      </c>
      <c r="U178" s="24">
        <v>0</v>
      </c>
      <c r="V178" s="33">
        <v>0</v>
      </c>
      <c r="W178" s="34">
        <v>0</v>
      </c>
      <c r="X178" s="35">
        <v>0</v>
      </c>
      <c r="Y178" s="19">
        <v>0</v>
      </c>
      <c r="Z178" s="23">
        <v>0</v>
      </c>
      <c r="AA178" s="24">
        <v>0</v>
      </c>
      <c r="AB178" s="33">
        <v>0</v>
      </c>
      <c r="AC178" s="34">
        <v>0</v>
      </c>
      <c r="AD178" s="35">
        <v>0</v>
      </c>
      <c r="AE178" s="36">
        <v>0</v>
      </c>
      <c r="AF178" s="23">
        <v>0</v>
      </c>
      <c r="AG178" s="24">
        <v>0</v>
      </c>
      <c r="AH178" s="33">
        <v>0</v>
      </c>
      <c r="AI178" s="37">
        <v>0</v>
      </c>
      <c r="AJ178" s="35">
        <v>0</v>
      </c>
      <c r="AK178" s="36">
        <v>0</v>
      </c>
      <c r="AL178" s="38">
        <v>0</v>
      </c>
      <c r="AM178" s="35">
        <v>0</v>
      </c>
      <c r="AN178" s="19">
        <v>0</v>
      </c>
      <c r="AO178" s="23">
        <v>0</v>
      </c>
      <c r="AP178" s="24">
        <v>0</v>
      </c>
      <c r="AQ178" s="58">
        <f t="shared" si="10"/>
        <v>10.8</v>
      </c>
      <c r="AR178" s="59">
        <f t="shared" si="11"/>
        <v>27000</v>
      </c>
      <c r="AS178" s="35">
        <v>15</v>
      </c>
    </row>
    <row r="179" spans="1:45" ht="15.6" x14ac:dyDescent="0.3">
      <c r="A179" s="53">
        <v>175</v>
      </c>
      <c r="B179" s="55" t="s">
        <v>191</v>
      </c>
      <c r="C179" s="54" t="s">
        <v>200</v>
      </c>
      <c r="D179" s="348"/>
      <c r="E179" s="53"/>
      <c r="F179" s="56"/>
      <c r="G179" s="53"/>
      <c r="H179" s="56"/>
      <c r="I179" s="57"/>
      <c r="J179" s="53"/>
      <c r="K179" s="56"/>
      <c r="L179" s="57"/>
      <c r="M179" s="58"/>
      <c r="N179" s="56"/>
      <c r="O179" s="57"/>
      <c r="P179" s="58">
        <f t="shared" si="8"/>
        <v>2.16</v>
      </c>
      <c r="Q179" s="59">
        <f t="shared" si="9"/>
        <v>5400</v>
      </c>
      <c r="R179" s="35">
        <v>3</v>
      </c>
      <c r="S179" s="19">
        <v>0</v>
      </c>
      <c r="T179" s="23">
        <v>0</v>
      </c>
      <c r="U179" s="24">
        <v>0</v>
      </c>
      <c r="V179" s="33">
        <v>0</v>
      </c>
      <c r="W179" s="34">
        <v>0</v>
      </c>
      <c r="X179" s="35">
        <v>0</v>
      </c>
      <c r="Y179" s="19">
        <v>0</v>
      </c>
      <c r="Z179" s="23">
        <v>0</v>
      </c>
      <c r="AA179" s="24">
        <v>0</v>
      </c>
      <c r="AB179" s="33">
        <v>0</v>
      </c>
      <c r="AC179" s="34">
        <v>0</v>
      </c>
      <c r="AD179" s="35">
        <v>0</v>
      </c>
      <c r="AE179" s="36">
        <v>0</v>
      </c>
      <c r="AF179" s="23">
        <v>0</v>
      </c>
      <c r="AG179" s="24">
        <v>0</v>
      </c>
      <c r="AH179" s="33">
        <v>0</v>
      </c>
      <c r="AI179" s="37">
        <v>0</v>
      </c>
      <c r="AJ179" s="35">
        <v>0</v>
      </c>
      <c r="AK179" s="36">
        <v>0</v>
      </c>
      <c r="AL179" s="38">
        <v>0</v>
      </c>
      <c r="AM179" s="35">
        <v>0</v>
      </c>
      <c r="AN179" s="19">
        <v>0</v>
      </c>
      <c r="AO179" s="23">
        <v>0</v>
      </c>
      <c r="AP179" s="24">
        <v>0</v>
      </c>
      <c r="AQ179" s="58">
        <f t="shared" si="10"/>
        <v>2.16</v>
      </c>
      <c r="AR179" s="59">
        <f t="shared" si="11"/>
        <v>5400</v>
      </c>
      <c r="AS179" s="35">
        <v>3</v>
      </c>
    </row>
    <row r="180" spans="1:45" ht="15.6" x14ac:dyDescent="0.3">
      <c r="A180" s="53">
        <v>176</v>
      </c>
      <c r="B180" s="55" t="s">
        <v>191</v>
      </c>
      <c r="C180" s="54" t="s">
        <v>201</v>
      </c>
      <c r="D180" s="348"/>
      <c r="E180" s="53"/>
      <c r="F180" s="56"/>
      <c r="G180" s="53"/>
      <c r="H180" s="56"/>
      <c r="I180" s="57"/>
      <c r="J180" s="53"/>
      <c r="K180" s="56"/>
      <c r="L180" s="57"/>
      <c r="M180" s="58"/>
      <c r="N180" s="56"/>
      <c r="O180" s="57"/>
      <c r="P180" s="58">
        <f t="shared" si="8"/>
        <v>3.6</v>
      </c>
      <c r="Q180" s="59">
        <f t="shared" si="9"/>
        <v>9000</v>
      </c>
      <c r="R180" s="35">
        <v>5</v>
      </c>
      <c r="S180" s="19">
        <v>0</v>
      </c>
      <c r="T180" s="23">
        <v>0</v>
      </c>
      <c r="U180" s="24">
        <v>0</v>
      </c>
      <c r="V180" s="33">
        <v>0</v>
      </c>
      <c r="W180" s="34">
        <v>0</v>
      </c>
      <c r="X180" s="35">
        <v>0</v>
      </c>
      <c r="Y180" s="19">
        <v>0</v>
      </c>
      <c r="Z180" s="23">
        <v>0</v>
      </c>
      <c r="AA180" s="24">
        <v>0</v>
      </c>
      <c r="AB180" s="33">
        <v>0</v>
      </c>
      <c r="AC180" s="34">
        <v>0</v>
      </c>
      <c r="AD180" s="35">
        <v>0</v>
      </c>
      <c r="AE180" s="36">
        <v>0</v>
      </c>
      <c r="AF180" s="23">
        <v>0</v>
      </c>
      <c r="AG180" s="24">
        <v>0</v>
      </c>
      <c r="AH180" s="33">
        <v>0</v>
      </c>
      <c r="AI180" s="37">
        <v>0</v>
      </c>
      <c r="AJ180" s="35">
        <v>0</v>
      </c>
      <c r="AK180" s="36">
        <v>0</v>
      </c>
      <c r="AL180" s="38">
        <v>0</v>
      </c>
      <c r="AM180" s="35">
        <v>0</v>
      </c>
      <c r="AN180" s="19">
        <v>0</v>
      </c>
      <c r="AO180" s="23">
        <v>0</v>
      </c>
      <c r="AP180" s="24">
        <v>0</v>
      </c>
      <c r="AQ180" s="58">
        <f t="shared" si="10"/>
        <v>3.6</v>
      </c>
      <c r="AR180" s="59">
        <f t="shared" si="11"/>
        <v>9000</v>
      </c>
      <c r="AS180" s="35">
        <v>5</v>
      </c>
    </row>
    <row r="181" spans="1:45" ht="15.6" x14ac:dyDescent="0.3">
      <c r="A181" s="53">
        <v>177</v>
      </c>
      <c r="B181" s="55" t="s">
        <v>191</v>
      </c>
      <c r="C181" s="54" t="s">
        <v>202</v>
      </c>
      <c r="D181" s="348"/>
      <c r="E181" s="53"/>
      <c r="F181" s="56"/>
      <c r="G181" s="53"/>
      <c r="H181" s="56"/>
      <c r="I181" s="57"/>
      <c r="J181" s="53"/>
      <c r="K181" s="56"/>
      <c r="L181" s="57"/>
      <c r="M181" s="58"/>
      <c r="N181" s="56"/>
      <c r="O181" s="57"/>
      <c r="P181" s="58">
        <f t="shared" si="8"/>
        <v>0</v>
      </c>
      <c r="Q181" s="59">
        <f t="shared" si="9"/>
        <v>0</v>
      </c>
      <c r="R181" s="35">
        <v>0</v>
      </c>
      <c r="S181" s="19">
        <v>0</v>
      </c>
      <c r="T181" s="23">
        <v>0</v>
      </c>
      <c r="U181" s="24">
        <v>0</v>
      </c>
      <c r="V181" s="33">
        <v>0</v>
      </c>
      <c r="W181" s="34">
        <v>0</v>
      </c>
      <c r="X181" s="35">
        <v>0</v>
      </c>
      <c r="Y181" s="19">
        <v>0</v>
      </c>
      <c r="Z181" s="23">
        <v>0</v>
      </c>
      <c r="AA181" s="24">
        <v>0</v>
      </c>
      <c r="AB181" s="33">
        <v>0</v>
      </c>
      <c r="AC181" s="34">
        <v>0</v>
      </c>
      <c r="AD181" s="35">
        <v>0</v>
      </c>
      <c r="AE181" s="36">
        <v>0</v>
      </c>
      <c r="AF181" s="23">
        <v>0</v>
      </c>
      <c r="AG181" s="24">
        <v>0</v>
      </c>
      <c r="AH181" s="33">
        <v>0</v>
      </c>
      <c r="AI181" s="37">
        <v>0</v>
      </c>
      <c r="AJ181" s="35">
        <v>0</v>
      </c>
      <c r="AK181" s="36">
        <v>0</v>
      </c>
      <c r="AL181" s="38">
        <v>0</v>
      </c>
      <c r="AM181" s="35">
        <v>0</v>
      </c>
      <c r="AN181" s="19">
        <v>0</v>
      </c>
      <c r="AO181" s="23">
        <v>0</v>
      </c>
      <c r="AP181" s="24">
        <v>0</v>
      </c>
      <c r="AQ181" s="58">
        <f t="shared" si="10"/>
        <v>0</v>
      </c>
      <c r="AR181" s="59">
        <f t="shared" si="11"/>
        <v>0</v>
      </c>
      <c r="AS181" s="35">
        <v>0</v>
      </c>
    </row>
    <row r="182" spans="1:45" ht="15.6" x14ac:dyDescent="0.3">
      <c r="A182" s="53">
        <v>178</v>
      </c>
      <c r="B182" s="55" t="s">
        <v>191</v>
      </c>
      <c r="C182" s="54" t="s">
        <v>203</v>
      </c>
      <c r="D182" s="348"/>
      <c r="E182" s="53"/>
      <c r="F182" s="56"/>
      <c r="G182" s="53"/>
      <c r="H182" s="56"/>
      <c r="I182" s="57"/>
      <c r="J182" s="53"/>
      <c r="K182" s="56"/>
      <c r="L182" s="57"/>
      <c r="M182" s="58"/>
      <c r="N182" s="56"/>
      <c r="O182" s="57"/>
      <c r="P182" s="58">
        <f t="shared" si="8"/>
        <v>0.72</v>
      </c>
      <c r="Q182" s="59">
        <f t="shared" si="9"/>
        <v>1800</v>
      </c>
      <c r="R182" s="35">
        <v>1</v>
      </c>
      <c r="S182" s="19">
        <v>0</v>
      </c>
      <c r="T182" s="23">
        <v>0</v>
      </c>
      <c r="U182" s="24">
        <v>0</v>
      </c>
      <c r="V182" s="33">
        <v>0</v>
      </c>
      <c r="W182" s="34">
        <v>0</v>
      </c>
      <c r="X182" s="35">
        <v>0</v>
      </c>
      <c r="Y182" s="19">
        <v>0</v>
      </c>
      <c r="Z182" s="23">
        <v>0</v>
      </c>
      <c r="AA182" s="24">
        <v>0</v>
      </c>
      <c r="AB182" s="33">
        <v>0</v>
      </c>
      <c r="AC182" s="34">
        <v>0</v>
      </c>
      <c r="AD182" s="35">
        <v>0</v>
      </c>
      <c r="AE182" s="36">
        <v>0</v>
      </c>
      <c r="AF182" s="23">
        <v>0</v>
      </c>
      <c r="AG182" s="24">
        <v>0</v>
      </c>
      <c r="AH182" s="33">
        <v>0</v>
      </c>
      <c r="AI182" s="37">
        <v>0</v>
      </c>
      <c r="AJ182" s="35">
        <v>0</v>
      </c>
      <c r="AK182" s="36">
        <v>0</v>
      </c>
      <c r="AL182" s="38">
        <v>0</v>
      </c>
      <c r="AM182" s="35">
        <v>0</v>
      </c>
      <c r="AN182" s="19">
        <v>0</v>
      </c>
      <c r="AO182" s="23">
        <v>0</v>
      </c>
      <c r="AP182" s="24">
        <v>0</v>
      </c>
      <c r="AQ182" s="58">
        <f t="shared" si="10"/>
        <v>0.72</v>
      </c>
      <c r="AR182" s="59">
        <f t="shared" si="11"/>
        <v>1800</v>
      </c>
      <c r="AS182" s="35">
        <v>1</v>
      </c>
    </row>
    <row r="183" spans="1:45" ht="15.6" x14ac:dyDescent="0.3">
      <c r="A183" s="53">
        <v>179</v>
      </c>
      <c r="B183" s="55" t="s">
        <v>191</v>
      </c>
      <c r="C183" s="54" t="s">
        <v>204</v>
      </c>
      <c r="D183" s="348"/>
      <c r="E183" s="53"/>
      <c r="F183" s="56"/>
      <c r="G183" s="53"/>
      <c r="H183" s="56"/>
      <c r="I183" s="57"/>
      <c r="J183" s="53"/>
      <c r="K183" s="56"/>
      <c r="L183" s="57"/>
      <c r="M183" s="58"/>
      <c r="N183" s="56"/>
      <c r="O183" s="57"/>
      <c r="P183" s="58">
        <f t="shared" si="8"/>
        <v>0.72</v>
      </c>
      <c r="Q183" s="59">
        <f t="shared" si="9"/>
        <v>1800</v>
      </c>
      <c r="R183" s="35">
        <v>1</v>
      </c>
      <c r="S183" s="19">
        <v>0</v>
      </c>
      <c r="T183" s="23">
        <v>0</v>
      </c>
      <c r="U183" s="24">
        <v>0</v>
      </c>
      <c r="V183" s="33">
        <v>0</v>
      </c>
      <c r="W183" s="34">
        <v>0</v>
      </c>
      <c r="X183" s="35">
        <v>0</v>
      </c>
      <c r="Y183" s="19">
        <v>0</v>
      </c>
      <c r="Z183" s="23">
        <v>0</v>
      </c>
      <c r="AA183" s="24">
        <v>0</v>
      </c>
      <c r="AB183" s="33">
        <v>0</v>
      </c>
      <c r="AC183" s="34">
        <v>0</v>
      </c>
      <c r="AD183" s="35">
        <v>0</v>
      </c>
      <c r="AE183" s="36">
        <v>0</v>
      </c>
      <c r="AF183" s="23">
        <v>0</v>
      </c>
      <c r="AG183" s="24">
        <v>0</v>
      </c>
      <c r="AH183" s="33">
        <v>0</v>
      </c>
      <c r="AI183" s="37">
        <v>0</v>
      </c>
      <c r="AJ183" s="35">
        <v>0</v>
      </c>
      <c r="AK183" s="36">
        <v>0</v>
      </c>
      <c r="AL183" s="38">
        <v>0</v>
      </c>
      <c r="AM183" s="35">
        <v>0</v>
      </c>
      <c r="AN183" s="19">
        <v>0</v>
      </c>
      <c r="AO183" s="23">
        <v>0</v>
      </c>
      <c r="AP183" s="24">
        <v>0</v>
      </c>
      <c r="AQ183" s="58">
        <f t="shared" si="10"/>
        <v>0.72</v>
      </c>
      <c r="AR183" s="59">
        <f t="shared" si="11"/>
        <v>1800</v>
      </c>
      <c r="AS183" s="35">
        <v>1</v>
      </c>
    </row>
    <row r="184" spans="1:45" ht="15.6" x14ac:dyDescent="0.3">
      <c r="A184" s="53">
        <v>180</v>
      </c>
      <c r="B184" s="55" t="s">
        <v>191</v>
      </c>
      <c r="C184" s="54" t="s">
        <v>205</v>
      </c>
      <c r="D184" s="348"/>
      <c r="E184" s="53"/>
      <c r="F184" s="56"/>
      <c r="G184" s="53"/>
      <c r="H184" s="56"/>
      <c r="I184" s="57"/>
      <c r="J184" s="53"/>
      <c r="K184" s="56"/>
      <c r="L184" s="57"/>
      <c r="M184" s="58"/>
      <c r="N184" s="56"/>
      <c r="O184" s="57"/>
      <c r="P184" s="58">
        <f t="shared" si="8"/>
        <v>0</v>
      </c>
      <c r="Q184" s="59">
        <f t="shared" si="9"/>
        <v>0</v>
      </c>
      <c r="R184" s="35">
        <v>0</v>
      </c>
      <c r="S184" s="19">
        <v>0</v>
      </c>
      <c r="T184" s="23">
        <v>0</v>
      </c>
      <c r="U184" s="24">
        <v>0</v>
      </c>
      <c r="V184" s="33">
        <v>0</v>
      </c>
      <c r="W184" s="34">
        <v>0</v>
      </c>
      <c r="X184" s="35">
        <v>0</v>
      </c>
      <c r="Y184" s="19">
        <v>0</v>
      </c>
      <c r="Z184" s="23">
        <v>0</v>
      </c>
      <c r="AA184" s="24">
        <v>0</v>
      </c>
      <c r="AB184" s="33">
        <v>0</v>
      </c>
      <c r="AC184" s="34">
        <v>0</v>
      </c>
      <c r="AD184" s="35">
        <v>0</v>
      </c>
      <c r="AE184" s="36">
        <v>0</v>
      </c>
      <c r="AF184" s="23">
        <v>0</v>
      </c>
      <c r="AG184" s="24">
        <v>0</v>
      </c>
      <c r="AH184" s="33">
        <v>0</v>
      </c>
      <c r="AI184" s="37">
        <v>0</v>
      </c>
      <c r="AJ184" s="35">
        <v>0</v>
      </c>
      <c r="AK184" s="36">
        <v>0</v>
      </c>
      <c r="AL184" s="38">
        <v>0</v>
      </c>
      <c r="AM184" s="35">
        <v>0</v>
      </c>
      <c r="AN184" s="19">
        <v>0</v>
      </c>
      <c r="AO184" s="23">
        <v>0</v>
      </c>
      <c r="AP184" s="24">
        <v>0</v>
      </c>
      <c r="AQ184" s="58">
        <f t="shared" si="10"/>
        <v>0</v>
      </c>
      <c r="AR184" s="59">
        <f t="shared" si="11"/>
        <v>0</v>
      </c>
      <c r="AS184" s="35">
        <v>0</v>
      </c>
    </row>
    <row r="185" spans="1:45" ht="15.6" x14ac:dyDescent="0.3">
      <c r="A185" s="53">
        <v>181</v>
      </c>
      <c r="B185" s="55" t="s">
        <v>191</v>
      </c>
      <c r="C185" s="54" t="s">
        <v>191</v>
      </c>
      <c r="D185" s="348"/>
      <c r="E185" s="53"/>
      <c r="F185" s="56"/>
      <c r="G185" s="53"/>
      <c r="H185" s="56"/>
      <c r="I185" s="57"/>
      <c r="J185" s="53"/>
      <c r="K185" s="56"/>
      <c r="L185" s="57"/>
      <c r="M185" s="58"/>
      <c r="N185" s="56"/>
      <c r="O185" s="57"/>
      <c r="P185" s="58">
        <f t="shared" si="8"/>
        <v>5.76</v>
      </c>
      <c r="Q185" s="59">
        <f t="shared" si="9"/>
        <v>14400</v>
      </c>
      <c r="R185" s="35">
        <v>8</v>
      </c>
      <c r="S185" s="19">
        <v>0</v>
      </c>
      <c r="T185" s="23">
        <v>0</v>
      </c>
      <c r="U185" s="24">
        <v>0</v>
      </c>
      <c r="V185" s="33">
        <v>0</v>
      </c>
      <c r="W185" s="34">
        <v>0</v>
      </c>
      <c r="X185" s="35">
        <v>0</v>
      </c>
      <c r="Y185" s="19">
        <v>0</v>
      </c>
      <c r="Z185" s="23">
        <v>0</v>
      </c>
      <c r="AA185" s="24">
        <v>0</v>
      </c>
      <c r="AB185" s="33">
        <v>0</v>
      </c>
      <c r="AC185" s="34">
        <v>0</v>
      </c>
      <c r="AD185" s="35">
        <v>0</v>
      </c>
      <c r="AE185" s="36">
        <v>0</v>
      </c>
      <c r="AF185" s="23">
        <v>0</v>
      </c>
      <c r="AG185" s="24">
        <v>0</v>
      </c>
      <c r="AH185" s="33">
        <v>0</v>
      </c>
      <c r="AI185" s="37">
        <v>0</v>
      </c>
      <c r="AJ185" s="35">
        <v>0</v>
      </c>
      <c r="AK185" s="36">
        <v>0</v>
      </c>
      <c r="AL185" s="38">
        <v>0</v>
      </c>
      <c r="AM185" s="35">
        <v>0</v>
      </c>
      <c r="AN185" s="19">
        <v>0</v>
      </c>
      <c r="AO185" s="23">
        <v>0</v>
      </c>
      <c r="AP185" s="24">
        <v>0</v>
      </c>
      <c r="AQ185" s="58">
        <f t="shared" si="10"/>
        <v>5.76</v>
      </c>
      <c r="AR185" s="59">
        <f t="shared" si="11"/>
        <v>14400</v>
      </c>
      <c r="AS185" s="35">
        <v>8</v>
      </c>
    </row>
    <row r="186" spans="1:45" ht="15.6" x14ac:dyDescent="0.3">
      <c r="A186" s="53">
        <v>182</v>
      </c>
      <c r="B186" s="55" t="s">
        <v>191</v>
      </c>
      <c r="C186" s="54" t="s">
        <v>206</v>
      </c>
      <c r="D186" s="348"/>
      <c r="E186" s="53"/>
      <c r="F186" s="56"/>
      <c r="G186" s="53"/>
      <c r="H186" s="56"/>
      <c r="I186" s="57"/>
      <c r="J186" s="53"/>
      <c r="K186" s="56"/>
      <c r="L186" s="57"/>
      <c r="M186" s="58"/>
      <c r="N186" s="56"/>
      <c r="O186" s="57"/>
      <c r="P186" s="58">
        <f t="shared" si="8"/>
        <v>4.32</v>
      </c>
      <c r="Q186" s="59">
        <f t="shared" si="9"/>
        <v>10800</v>
      </c>
      <c r="R186" s="35">
        <v>6</v>
      </c>
      <c r="S186" s="19">
        <v>0</v>
      </c>
      <c r="T186" s="23">
        <v>0</v>
      </c>
      <c r="U186" s="24">
        <v>0</v>
      </c>
      <c r="V186" s="33">
        <v>0</v>
      </c>
      <c r="W186" s="34">
        <v>0</v>
      </c>
      <c r="X186" s="35">
        <v>0</v>
      </c>
      <c r="Y186" s="19">
        <v>0</v>
      </c>
      <c r="Z186" s="23">
        <v>0</v>
      </c>
      <c r="AA186" s="24">
        <v>0</v>
      </c>
      <c r="AB186" s="33">
        <v>0</v>
      </c>
      <c r="AC186" s="34">
        <v>0</v>
      </c>
      <c r="AD186" s="35">
        <v>0</v>
      </c>
      <c r="AE186" s="36">
        <v>0</v>
      </c>
      <c r="AF186" s="23">
        <v>0</v>
      </c>
      <c r="AG186" s="24">
        <v>0</v>
      </c>
      <c r="AH186" s="33">
        <v>0</v>
      </c>
      <c r="AI186" s="37">
        <v>0</v>
      </c>
      <c r="AJ186" s="35">
        <v>0</v>
      </c>
      <c r="AK186" s="36">
        <v>0</v>
      </c>
      <c r="AL186" s="38">
        <v>0</v>
      </c>
      <c r="AM186" s="35">
        <v>0</v>
      </c>
      <c r="AN186" s="19">
        <v>0</v>
      </c>
      <c r="AO186" s="23">
        <v>0</v>
      </c>
      <c r="AP186" s="24">
        <v>0</v>
      </c>
      <c r="AQ186" s="58">
        <f t="shared" si="10"/>
        <v>4.32</v>
      </c>
      <c r="AR186" s="59">
        <f t="shared" si="11"/>
        <v>10800</v>
      </c>
      <c r="AS186" s="35">
        <v>6</v>
      </c>
    </row>
    <row r="187" spans="1:45" ht="15.6" x14ac:dyDescent="0.3">
      <c r="A187" s="53">
        <v>183</v>
      </c>
      <c r="B187" s="55" t="s">
        <v>191</v>
      </c>
      <c r="C187" s="54" t="s">
        <v>207</v>
      </c>
      <c r="D187" s="348"/>
      <c r="E187" s="53"/>
      <c r="F187" s="56"/>
      <c r="G187" s="53"/>
      <c r="H187" s="56"/>
      <c r="I187" s="57"/>
      <c r="J187" s="53"/>
      <c r="K187" s="56"/>
      <c r="L187" s="57"/>
      <c r="M187" s="58"/>
      <c r="N187" s="56"/>
      <c r="O187" s="57"/>
      <c r="P187" s="58">
        <f t="shared" si="8"/>
        <v>2.16</v>
      </c>
      <c r="Q187" s="59">
        <f t="shared" si="9"/>
        <v>5400</v>
      </c>
      <c r="R187" s="35">
        <v>3</v>
      </c>
      <c r="S187" s="19">
        <v>0</v>
      </c>
      <c r="T187" s="23">
        <v>0</v>
      </c>
      <c r="U187" s="24">
        <v>0</v>
      </c>
      <c r="V187" s="33">
        <v>0</v>
      </c>
      <c r="W187" s="34">
        <v>0</v>
      </c>
      <c r="X187" s="35">
        <v>0</v>
      </c>
      <c r="Y187" s="19">
        <v>0</v>
      </c>
      <c r="Z187" s="23">
        <v>0</v>
      </c>
      <c r="AA187" s="24">
        <v>0</v>
      </c>
      <c r="AB187" s="33">
        <v>0</v>
      </c>
      <c r="AC187" s="34">
        <v>0</v>
      </c>
      <c r="AD187" s="35">
        <v>0</v>
      </c>
      <c r="AE187" s="36">
        <v>0</v>
      </c>
      <c r="AF187" s="23">
        <v>0</v>
      </c>
      <c r="AG187" s="24">
        <v>0</v>
      </c>
      <c r="AH187" s="33">
        <v>0</v>
      </c>
      <c r="AI187" s="37">
        <v>0</v>
      </c>
      <c r="AJ187" s="35">
        <v>0</v>
      </c>
      <c r="AK187" s="36">
        <v>0</v>
      </c>
      <c r="AL187" s="38">
        <v>0</v>
      </c>
      <c r="AM187" s="35">
        <v>0</v>
      </c>
      <c r="AN187" s="19">
        <v>0</v>
      </c>
      <c r="AO187" s="23">
        <v>0</v>
      </c>
      <c r="AP187" s="24">
        <v>0</v>
      </c>
      <c r="AQ187" s="58">
        <f t="shared" si="10"/>
        <v>2.16</v>
      </c>
      <c r="AR187" s="59">
        <f t="shared" si="11"/>
        <v>5400</v>
      </c>
      <c r="AS187" s="35">
        <v>3</v>
      </c>
    </row>
    <row r="188" spans="1:45" ht="15.6" x14ac:dyDescent="0.3">
      <c r="A188" s="53">
        <v>184</v>
      </c>
      <c r="B188" s="55" t="s">
        <v>191</v>
      </c>
      <c r="C188" s="54" t="s">
        <v>208</v>
      </c>
      <c r="D188" s="348"/>
      <c r="E188" s="53"/>
      <c r="F188" s="56"/>
      <c r="G188" s="53"/>
      <c r="H188" s="56"/>
      <c r="I188" s="57"/>
      <c r="J188" s="53"/>
      <c r="K188" s="56"/>
      <c r="L188" s="57"/>
      <c r="M188" s="58"/>
      <c r="N188" s="56"/>
      <c r="O188" s="57"/>
      <c r="P188" s="58">
        <f t="shared" si="8"/>
        <v>0</v>
      </c>
      <c r="Q188" s="59">
        <f t="shared" si="9"/>
        <v>0</v>
      </c>
      <c r="R188" s="35">
        <v>0</v>
      </c>
      <c r="S188" s="19">
        <v>0</v>
      </c>
      <c r="T188" s="23">
        <v>0</v>
      </c>
      <c r="U188" s="24">
        <v>0</v>
      </c>
      <c r="V188" s="33">
        <v>0</v>
      </c>
      <c r="W188" s="34">
        <v>0</v>
      </c>
      <c r="X188" s="35">
        <v>0</v>
      </c>
      <c r="Y188" s="19">
        <v>0</v>
      </c>
      <c r="Z188" s="23">
        <v>0</v>
      </c>
      <c r="AA188" s="24">
        <v>0</v>
      </c>
      <c r="AB188" s="33">
        <v>0</v>
      </c>
      <c r="AC188" s="34">
        <v>0</v>
      </c>
      <c r="AD188" s="35">
        <v>0</v>
      </c>
      <c r="AE188" s="36">
        <v>0</v>
      </c>
      <c r="AF188" s="23">
        <v>0</v>
      </c>
      <c r="AG188" s="24">
        <v>0</v>
      </c>
      <c r="AH188" s="33">
        <v>0</v>
      </c>
      <c r="AI188" s="37">
        <v>0</v>
      </c>
      <c r="AJ188" s="35">
        <v>0</v>
      </c>
      <c r="AK188" s="36">
        <v>0</v>
      </c>
      <c r="AL188" s="38">
        <v>0</v>
      </c>
      <c r="AM188" s="35">
        <v>0</v>
      </c>
      <c r="AN188" s="19">
        <v>0</v>
      </c>
      <c r="AO188" s="23">
        <v>0</v>
      </c>
      <c r="AP188" s="24">
        <v>0</v>
      </c>
      <c r="AQ188" s="58">
        <f t="shared" si="10"/>
        <v>0</v>
      </c>
      <c r="AR188" s="59">
        <f t="shared" si="11"/>
        <v>0</v>
      </c>
      <c r="AS188" s="35">
        <v>0</v>
      </c>
    </row>
    <row r="189" spans="1:45" ht="15.6" x14ac:dyDescent="0.3">
      <c r="A189" s="53">
        <v>185</v>
      </c>
      <c r="B189" s="55" t="s">
        <v>191</v>
      </c>
      <c r="C189" s="54" t="s">
        <v>209</v>
      </c>
      <c r="D189" s="348"/>
      <c r="E189" s="53"/>
      <c r="F189" s="56"/>
      <c r="G189" s="53"/>
      <c r="H189" s="56"/>
      <c r="I189" s="57"/>
      <c r="J189" s="53"/>
      <c r="K189" s="56"/>
      <c r="L189" s="57"/>
      <c r="M189" s="58"/>
      <c r="N189" s="56"/>
      <c r="O189" s="57"/>
      <c r="P189" s="58">
        <f t="shared" si="8"/>
        <v>2.88</v>
      </c>
      <c r="Q189" s="59">
        <f t="shared" si="9"/>
        <v>7200</v>
      </c>
      <c r="R189" s="35">
        <v>4</v>
      </c>
      <c r="S189" s="19">
        <v>0</v>
      </c>
      <c r="T189" s="23">
        <v>0</v>
      </c>
      <c r="U189" s="24">
        <v>0</v>
      </c>
      <c r="V189" s="33">
        <v>0</v>
      </c>
      <c r="W189" s="34">
        <v>0</v>
      </c>
      <c r="X189" s="35">
        <v>0</v>
      </c>
      <c r="Y189" s="19">
        <v>0</v>
      </c>
      <c r="Z189" s="23">
        <v>0</v>
      </c>
      <c r="AA189" s="24">
        <v>0</v>
      </c>
      <c r="AB189" s="33">
        <v>0</v>
      </c>
      <c r="AC189" s="34">
        <v>0</v>
      </c>
      <c r="AD189" s="35">
        <v>0</v>
      </c>
      <c r="AE189" s="36">
        <v>0</v>
      </c>
      <c r="AF189" s="23">
        <v>0</v>
      </c>
      <c r="AG189" s="24">
        <v>0</v>
      </c>
      <c r="AH189" s="33">
        <v>0</v>
      </c>
      <c r="AI189" s="37">
        <v>0</v>
      </c>
      <c r="AJ189" s="35">
        <v>0</v>
      </c>
      <c r="AK189" s="36">
        <v>0</v>
      </c>
      <c r="AL189" s="38">
        <v>0</v>
      </c>
      <c r="AM189" s="35">
        <v>0</v>
      </c>
      <c r="AN189" s="19">
        <v>0</v>
      </c>
      <c r="AO189" s="23">
        <v>0</v>
      </c>
      <c r="AP189" s="24">
        <v>0</v>
      </c>
      <c r="AQ189" s="58">
        <f t="shared" si="10"/>
        <v>2.88</v>
      </c>
      <c r="AR189" s="59">
        <f t="shared" si="11"/>
        <v>7200</v>
      </c>
      <c r="AS189" s="35">
        <v>4</v>
      </c>
    </row>
    <row r="190" spans="1:45" ht="15.6" x14ac:dyDescent="0.3">
      <c r="A190" s="53">
        <v>186</v>
      </c>
      <c r="B190" s="55" t="s">
        <v>191</v>
      </c>
      <c r="C190" s="54" t="s">
        <v>210</v>
      </c>
      <c r="D190" s="348"/>
      <c r="E190" s="53"/>
      <c r="F190" s="56"/>
      <c r="G190" s="53"/>
      <c r="H190" s="56"/>
      <c r="I190" s="57"/>
      <c r="J190" s="53"/>
      <c r="K190" s="56"/>
      <c r="L190" s="57"/>
      <c r="M190" s="58"/>
      <c r="N190" s="56"/>
      <c r="O190" s="57"/>
      <c r="P190" s="58">
        <f t="shared" si="8"/>
        <v>0</v>
      </c>
      <c r="Q190" s="59">
        <f t="shared" si="9"/>
        <v>0</v>
      </c>
      <c r="R190" s="35">
        <v>0</v>
      </c>
      <c r="S190" s="19">
        <v>0</v>
      </c>
      <c r="T190" s="23">
        <v>0</v>
      </c>
      <c r="U190" s="24">
        <v>0</v>
      </c>
      <c r="V190" s="33">
        <v>0</v>
      </c>
      <c r="W190" s="34">
        <v>0</v>
      </c>
      <c r="X190" s="35">
        <v>0</v>
      </c>
      <c r="Y190" s="19">
        <v>0</v>
      </c>
      <c r="Z190" s="23">
        <v>0</v>
      </c>
      <c r="AA190" s="24">
        <v>0</v>
      </c>
      <c r="AB190" s="33">
        <v>0</v>
      </c>
      <c r="AC190" s="34">
        <v>0</v>
      </c>
      <c r="AD190" s="35">
        <v>0</v>
      </c>
      <c r="AE190" s="36">
        <v>0</v>
      </c>
      <c r="AF190" s="23">
        <v>0</v>
      </c>
      <c r="AG190" s="24">
        <v>0</v>
      </c>
      <c r="AH190" s="33">
        <v>0</v>
      </c>
      <c r="AI190" s="37">
        <v>0</v>
      </c>
      <c r="AJ190" s="35">
        <v>0</v>
      </c>
      <c r="AK190" s="36">
        <v>0</v>
      </c>
      <c r="AL190" s="38">
        <v>0</v>
      </c>
      <c r="AM190" s="35">
        <v>0</v>
      </c>
      <c r="AN190" s="19">
        <v>0</v>
      </c>
      <c r="AO190" s="23">
        <v>0</v>
      </c>
      <c r="AP190" s="24">
        <v>0</v>
      </c>
      <c r="AQ190" s="58">
        <f t="shared" si="10"/>
        <v>0</v>
      </c>
      <c r="AR190" s="59">
        <f t="shared" si="11"/>
        <v>0</v>
      </c>
      <c r="AS190" s="35">
        <v>0</v>
      </c>
    </row>
    <row r="191" spans="1:45" ht="15.6" x14ac:dyDescent="0.3">
      <c r="A191" s="53">
        <v>187</v>
      </c>
      <c r="B191" s="55" t="s">
        <v>191</v>
      </c>
      <c r="C191" s="54" t="s">
        <v>211</v>
      </c>
      <c r="D191" s="348"/>
      <c r="E191" s="53"/>
      <c r="F191" s="56"/>
      <c r="G191" s="53"/>
      <c r="H191" s="56"/>
      <c r="I191" s="57"/>
      <c r="J191" s="53"/>
      <c r="K191" s="56"/>
      <c r="L191" s="57"/>
      <c r="M191" s="58"/>
      <c r="N191" s="56"/>
      <c r="O191" s="57"/>
      <c r="P191" s="58">
        <f t="shared" si="8"/>
        <v>0</v>
      </c>
      <c r="Q191" s="59">
        <f t="shared" si="9"/>
        <v>0</v>
      </c>
      <c r="R191" s="35">
        <v>0</v>
      </c>
      <c r="S191" s="19">
        <v>0</v>
      </c>
      <c r="T191" s="23">
        <v>0</v>
      </c>
      <c r="U191" s="24">
        <v>0</v>
      </c>
      <c r="V191" s="33">
        <v>0</v>
      </c>
      <c r="W191" s="34">
        <v>0</v>
      </c>
      <c r="X191" s="35">
        <v>0</v>
      </c>
      <c r="Y191" s="19">
        <v>0</v>
      </c>
      <c r="Z191" s="23">
        <v>0</v>
      </c>
      <c r="AA191" s="24">
        <v>0</v>
      </c>
      <c r="AB191" s="33">
        <v>0</v>
      </c>
      <c r="AC191" s="34">
        <v>0</v>
      </c>
      <c r="AD191" s="35">
        <v>0</v>
      </c>
      <c r="AE191" s="36">
        <v>0</v>
      </c>
      <c r="AF191" s="23">
        <v>0</v>
      </c>
      <c r="AG191" s="24">
        <v>0</v>
      </c>
      <c r="AH191" s="33">
        <v>0</v>
      </c>
      <c r="AI191" s="37">
        <v>0</v>
      </c>
      <c r="AJ191" s="35">
        <v>0</v>
      </c>
      <c r="AK191" s="36">
        <v>0</v>
      </c>
      <c r="AL191" s="38">
        <v>0</v>
      </c>
      <c r="AM191" s="35">
        <v>0</v>
      </c>
      <c r="AN191" s="19">
        <v>0</v>
      </c>
      <c r="AO191" s="23">
        <v>0</v>
      </c>
      <c r="AP191" s="24">
        <v>0</v>
      </c>
      <c r="AQ191" s="58">
        <f t="shared" si="10"/>
        <v>0</v>
      </c>
      <c r="AR191" s="59">
        <f t="shared" si="11"/>
        <v>0</v>
      </c>
      <c r="AS191" s="35">
        <v>0</v>
      </c>
    </row>
    <row r="192" spans="1:45" ht="15.6" x14ac:dyDescent="0.3">
      <c r="A192" s="53">
        <v>188</v>
      </c>
      <c r="B192" s="55" t="s">
        <v>191</v>
      </c>
      <c r="C192" s="54" t="s">
        <v>212</v>
      </c>
      <c r="D192" s="348" t="s">
        <v>25</v>
      </c>
      <c r="E192" s="53"/>
      <c r="F192" s="56"/>
      <c r="G192" s="53"/>
      <c r="H192" s="56"/>
      <c r="I192" s="57"/>
      <c r="J192" s="53"/>
      <c r="K192" s="56"/>
      <c r="L192" s="57"/>
      <c r="M192" s="58"/>
      <c r="N192" s="56"/>
      <c r="O192" s="57"/>
      <c r="P192" s="58">
        <f t="shared" si="8"/>
        <v>0</v>
      </c>
      <c r="Q192" s="59">
        <f t="shared" si="9"/>
        <v>0</v>
      </c>
      <c r="R192" s="35">
        <v>0</v>
      </c>
      <c r="S192" s="19">
        <v>0</v>
      </c>
      <c r="T192" s="23">
        <v>0</v>
      </c>
      <c r="U192" s="24">
        <v>0</v>
      </c>
      <c r="V192" s="33">
        <v>0</v>
      </c>
      <c r="W192" s="34">
        <v>0</v>
      </c>
      <c r="X192" s="35">
        <v>0</v>
      </c>
      <c r="Y192" s="19">
        <v>0</v>
      </c>
      <c r="Z192" s="23">
        <v>0</v>
      </c>
      <c r="AA192" s="24">
        <v>0</v>
      </c>
      <c r="AB192" s="33">
        <v>0</v>
      </c>
      <c r="AC192" s="34">
        <v>0</v>
      </c>
      <c r="AD192" s="35">
        <v>0</v>
      </c>
      <c r="AE192" s="36">
        <v>0</v>
      </c>
      <c r="AF192" s="23">
        <v>0</v>
      </c>
      <c r="AG192" s="24">
        <v>0</v>
      </c>
      <c r="AH192" s="33">
        <v>0</v>
      </c>
      <c r="AI192" s="37">
        <v>0</v>
      </c>
      <c r="AJ192" s="35">
        <v>0</v>
      </c>
      <c r="AK192" s="36">
        <v>0</v>
      </c>
      <c r="AL192" s="38">
        <v>0</v>
      </c>
      <c r="AM192" s="35">
        <v>0</v>
      </c>
      <c r="AN192" s="19">
        <v>0</v>
      </c>
      <c r="AO192" s="23">
        <v>0</v>
      </c>
      <c r="AP192" s="24">
        <v>0</v>
      </c>
      <c r="AQ192" s="58">
        <f t="shared" si="10"/>
        <v>0</v>
      </c>
      <c r="AR192" s="59">
        <f t="shared" si="11"/>
        <v>0</v>
      </c>
      <c r="AS192" s="35">
        <v>0</v>
      </c>
    </row>
    <row r="193" spans="1:45" ht="15.6" x14ac:dyDescent="0.3">
      <c r="A193" s="53">
        <v>189</v>
      </c>
      <c r="B193" s="55" t="s">
        <v>191</v>
      </c>
      <c r="C193" s="54" t="s">
        <v>213</v>
      </c>
      <c r="D193" s="348"/>
      <c r="E193" s="53"/>
      <c r="F193" s="56"/>
      <c r="G193" s="53"/>
      <c r="H193" s="56"/>
      <c r="I193" s="57"/>
      <c r="J193" s="53"/>
      <c r="K193" s="56"/>
      <c r="L193" s="57"/>
      <c r="M193" s="58"/>
      <c r="N193" s="56"/>
      <c r="O193" s="57"/>
      <c r="P193" s="58">
        <f t="shared" si="8"/>
        <v>0</v>
      </c>
      <c r="Q193" s="59">
        <f t="shared" si="9"/>
        <v>0</v>
      </c>
      <c r="R193" s="35">
        <v>0</v>
      </c>
      <c r="S193" s="19">
        <v>0</v>
      </c>
      <c r="T193" s="23">
        <v>0</v>
      </c>
      <c r="U193" s="24">
        <v>0</v>
      </c>
      <c r="V193" s="33">
        <v>0</v>
      </c>
      <c r="W193" s="34">
        <v>0</v>
      </c>
      <c r="X193" s="35">
        <v>0</v>
      </c>
      <c r="Y193" s="19">
        <v>0</v>
      </c>
      <c r="Z193" s="23">
        <v>0</v>
      </c>
      <c r="AA193" s="24">
        <v>0</v>
      </c>
      <c r="AB193" s="33">
        <v>0</v>
      </c>
      <c r="AC193" s="34">
        <v>0</v>
      </c>
      <c r="AD193" s="35">
        <v>0</v>
      </c>
      <c r="AE193" s="36">
        <v>0</v>
      </c>
      <c r="AF193" s="23">
        <v>0</v>
      </c>
      <c r="AG193" s="24">
        <v>0</v>
      </c>
      <c r="AH193" s="33">
        <v>0</v>
      </c>
      <c r="AI193" s="37">
        <v>0</v>
      </c>
      <c r="AJ193" s="35">
        <v>0</v>
      </c>
      <c r="AK193" s="36">
        <v>0</v>
      </c>
      <c r="AL193" s="38">
        <v>0</v>
      </c>
      <c r="AM193" s="35">
        <v>0</v>
      </c>
      <c r="AN193" s="19">
        <v>0</v>
      </c>
      <c r="AO193" s="23">
        <v>0</v>
      </c>
      <c r="AP193" s="24">
        <v>0</v>
      </c>
      <c r="AQ193" s="58">
        <f t="shared" si="10"/>
        <v>0</v>
      </c>
      <c r="AR193" s="59">
        <f t="shared" si="11"/>
        <v>0</v>
      </c>
      <c r="AS193" s="35">
        <v>0</v>
      </c>
    </row>
    <row r="194" spans="1:45" ht="15.6" x14ac:dyDescent="0.3">
      <c r="A194" s="53">
        <v>190</v>
      </c>
      <c r="B194" s="55" t="s">
        <v>191</v>
      </c>
      <c r="C194" s="54" t="s">
        <v>214</v>
      </c>
      <c r="D194" s="348"/>
      <c r="E194" s="53"/>
      <c r="F194" s="56"/>
      <c r="G194" s="53"/>
      <c r="H194" s="56"/>
      <c r="I194" s="57"/>
      <c r="J194" s="53"/>
      <c r="K194" s="56"/>
      <c r="L194" s="57"/>
      <c r="M194" s="58"/>
      <c r="N194" s="56"/>
      <c r="O194" s="57"/>
      <c r="P194" s="58">
        <f t="shared" si="8"/>
        <v>0.72</v>
      </c>
      <c r="Q194" s="59">
        <f t="shared" si="9"/>
        <v>1800</v>
      </c>
      <c r="R194" s="35">
        <v>1</v>
      </c>
      <c r="S194" s="19">
        <v>0</v>
      </c>
      <c r="T194" s="23">
        <v>0</v>
      </c>
      <c r="U194" s="24">
        <v>0</v>
      </c>
      <c r="V194" s="33">
        <v>0</v>
      </c>
      <c r="W194" s="34">
        <v>0</v>
      </c>
      <c r="X194" s="35">
        <v>0</v>
      </c>
      <c r="Y194" s="19">
        <v>0</v>
      </c>
      <c r="Z194" s="23">
        <v>0</v>
      </c>
      <c r="AA194" s="24">
        <v>0</v>
      </c>
      <c r="AB194" s="33">
        <v>0</v>
      </c>
      <c r="AC194" s="34">
        <v>0</v>
      </c>
      <c r="AD194" s="35">
        <v>0</v>
      </c>
      <c r="AE194" s="36">
        <v>0</v>
      </c>
      <c r="AF194" s="23">
        <v>0</v>
      </c>
      <c r="AG194" s="24">
        <v>0</v>
      </c>
      <c r="AH194" s="33">
        <v>0</v>
      </c>
      <c r="AI194" s="37">
        <v>0</v>
      </c>
      <c r="AJ194" s="35">
        <v>0</v>
      </c>
      <c r="AK194" s="36">
        <v>0</v>
      </c>
      <c r="AL194" s="38">
        <v>0</v>
      </c>
      <c r="AM194" s="35">
        <v>0</v>
      </c>
      <c r="AN194" s="19">
        <v>0</v>
      </c>
      <c r="AO194" s="23">
        <v>0</v>
      </c>
      <c r="AP194" s="24">
        <v>0</v>
      </c>
      <c r="AQ194" s="58">
        <f t="shared" si="10"/>
        <v>0.72</v>
      </c>
      <c r="AR194" s="59">
        <f t="shared" si="11"/>
        <v>1800</v>
      </c>
      <c r="AS194" s="35">
        <v>1</v>
      </c>
    </row>
    <row r="195" spans="1:45" ht="15.6" x14ac:dyDescent="0.3">
      <c r="A195" s="53">
        <v>191</v>
      </c>
      <c r="B195" s="55" t="s">
        <v>215</v>
      </c>
      <c r="C195" s="54" t="s">
        <v>216</v>
      </c>
      <c r="D195" s="348"/>
      <c r="E195" s="53"/>
      <c r="F195" s="56"/>
      <c r="G195" s="53"/>
      <c r="H195" s="56"/>
      <c r="I195" s="57"/>
      <c r="J195" s="53"/>
      <c r="K195" s="56"/>
      <c r="L195" s="57"/>
      <c r="M195" s="58"/>
      <c r="N195" s="56"/>
      <c r="O195" s="57"/>
      <c r="P195" s="58">
        <f t="shared" si="8"/>
        <v>2.16</v>
      </c>
      <c r="Q195" s="59">
        <f t="shared" si="9"/>
        <v>5400</v>
      </c>
      <c r="R195" s="35">
        <v>3</v>
      </c>
      <c r="S195" s="19">
        <v>0</v>
      </c>
      <c r="T195" s="23">
        <v>0</v>
      </c>
      <c r="U195" s="24">
        <v>0</v>
      </c>
      <c r="V195" s="33">
        <v>0</v>
      </c>
      <c r="W195" s="34">
        <v>0</v>
      </c>
      <c r="X195" s="35">
        <v>0</v>
      </c>
      <c r="Y195" s="19">
        <v>0</v>
      </c>
      <c r="Z195" s="23">
        <v>0</v>
      </c>
      <c r="AA195" s="24">
        <v>0</v>
      </c>
      <c r="AB195" s="33">
        <v>0</v>
      </c>
      <c r="AC195" s="34">
        <v>0</v>
      </c>
      <c r="AD195" s="35">
        <v>0</v>
      </c>
      <c r="AE195" s="36">
        <v>0</v>
      </c>
      <c r="AF195" s="23">
        <v>0</v>
      </c>
      <c r="AG195" s="24">
        <v>0</v>
      </c>
      <c r="AH195" s="33">
        <v>0</v>
      </c>
      <c r="AI195" s="37">
        <v>0</v>
      </c>
      <c r="AJ195" s="35">
        <v>0</v>
      </c>
      <c r="AK195" s="36">
        <v>0</v>
      </c>
      <c r="AL195" s="38">
        <v>0</v>
      </c>
      <c r="AM195" s="35">
        <v>0</v>
      </c>
      <c r="AN195" s="19">
        <v>0</v>
      </c>
      <c r="AO195" s="23">
        <v>0</v>
      </c>
      <c r="AP195" s="24">
        <v>0</v>
      </c>
      <c r="AQ195" s="58">
        <f t="shared" si="10"/>
        <v>2.16</v>
      </c>
      <c r="AR195" s="59">
        <f t="shared" si="11"/>
        <v>5400</v>
      </c>
      <c r="AS195" s="35">
        <v>3</v>
      </c>
    </row>
    <row r="196" spans="1:45" ht="15.6" x14ac:dyDescent="0.3">
      <c r="A196" s="53">
        <v>192</v>
      </c>
      <c r="B196" s="55" t="s">
        <v>215</v>
      </c>
      <c r="C196" s="54" t="s">
        <v>217</v>
      </c>
      <c r="D196" s="348"/>
      <c r="E196" s="53"/>
      <c r="F196" s="56"/>
      <c r="G196" s="53"/>
      <c r="H196" s="56"/>
      <c r="I196" s="57"/>
      <c r="J196" s="53"/>
      <c r="K196" s="56"/>
      <c r="L196" s="57"/>
      <c r="M196" s="58"/>
      <c r="N196" s="56"/>
      <c r="O196" s="57"/>
      <c r="P196" s="58">
        <f t="shared" si="8"/>
        <v>0</v>
      </c>
      <c r="Q196" s="59">
        <f t="shared" si="9"/>
        <v>0</v>
      </c>
      <c r="R196" s="35">
        <v>0</v>
      </c>
      <c r="S196" s="19">
        <v>0</v>
      </c>
      <c r="T196" s="23">
        <v>0</v>
      </c>
      <c r="U196" s="24">
        <v>0</v>
      </c>
      <c r="V196" s="33">
        <v>0</v>
      </c>
      <c r="W196" s="34">
        <v>0</v>
      </c>
      <c r="X196" s="35">
        <v>0</v>
      </c>
      <c r="Y196" s="19">
        <v>0</v>
      </c>
      <c r="Z196" s="23">
        <v>0</v>
      </c>
      <c r="AA196" s="24">
        <v>0</v>
      </c>
      <c r="AB196" s="33">
        <v>0</v>
      </c>
      <c r="AC196" s="34">
        <v>0</v>
      </c>
      <c r="AD196" s="35">
        <v>0</v>
      </c>
      <c r="AE196" s="36">
        <v>0</v>
      </c>
      <c r="AF196" s="23">
        <v>0</v>
      </c>
      <c r="AG196" s="24">
        <v>0</v>
      </c>
      <c r="AH196" s="33">
        <v>0</v>
      </c>
      <c r="AI196" s="37">
        <v>0</v>
      </c>
      <c r="AJ196" s="35">
        <v>0</v>
      </c>
      <c r="AK196" s="36">
        <v>0</v>
      </c>
      <c r="AL196" s="38">
        <v>0</v>
      </c>
      <c r="AM196" s="35">
        <v>0</v>
      </c>
      <c r="AN196" s="19">
        <v>0</v>
      </c>
      <c r="AO196" s="23">
        <v>0</v>
      </c>
      <c r="AP196" s="24">
        <v>0</v>
      </c>
      <c r="AQ196" s="58">
        <f t="shared" si="10"/>
        <v>0</v>
      </c>
      <c r="AR196" s="59">
        <f t="shared" si="11"/>
        <v>0</v>
      </c>
      <c r="AS196" s="35">
        <v>0</v>
      </c>
    </row>
    <row r="197" spans="1:45" ht="15.6" x14ac:dyDescent="0.3">
      <c r="A197" s="53">
        <v>193</v>
      </c>
      <c r="B197" s="55" t="s">
        <v>215</v>
      </c>
      <c r="C197" s="54" t="s">
        <v>218</v>
      </c>
      <c r="D197" s="348"/>
      <c r="E197" s="53"/>
      <c r="F197" s="56"/>
      <c r="G197" s="53"/>
      <c r="H197" s="56"/>
      <c r="I197" s="57"/>
      <c r="J197" s="53"/>
      <c r="K197" s="56"/>
      <c r="L197" s="57"/>
      <c r="M197" s="58"/>
      <c r="N197" s="56"/>
      <c r="O197" s="57"/>
      <c r="P197" s="58">
        <f t="shared" ref="P197:P260" si="12">Q197/2500</f>
        <v>5.04</v>
      </c>
      <c r="Q197" s="59">
        <f t="shared" ref="Q197:Q260" si="13">R197*1800</f>
        <v>12600</v>
      </c>
      <c r="R197" s="35">
        <v>7</v>
      </c>
      <c r="S197" s="19">
        <v>0</v>
      </c>
      <c r="T197" s="23">
        <v>0</v>
      </c>
      <c r="U197" s="24">
        <v>0</v>
      </c>
      <c r="V197" s="33">
        <v>0</v>
      </c>
      <c r="W197" s="34">
        <v>0</v>
      </c>
      <c r="X197" s="35">
        <v>0</v>
      </c>
      <c r="Y197" s="19">
        <v>0</v>
      </c>
      <c r="Z197" s="23">
        <v>0</v>
      </c>
      <c r="AA197" s="24">
        <v>0</v>
      </c>
      <c r="AB197" s="33">
        <v>0</v>
      </c>
      <c r="AC197" s="34">
        <v>0</v>
      </c>
      <c r="AD197" s="35">
        <v>0</v>
      </c>
      <c r="AE197" s="36">
        <v>0</v>
      </c>
      <c r="AF197" s="23">
        <v>0</v>
      </c>
      <c r="AG197" s="24">
        <v>0</v>
      </c>
      <c r="AH197" s="33">
        <v>0</v>
      </c>
      <c r="AI197" s="37">
        <v>0</v>
      </c>
      <c r="AJ197" s="35">
        <v>0</v>
      </c>
      <c r="AK197" s="36">
        <v>0</v>
      </c>
      <c r="AL197" s="38">
        <v>0</v>
      </c>
      <c r="AM197" s="35">
        <v>0</v>
      </c>
      <c r="AN197" s="19">
        <v>0</v>
      </c>
      <c r="AO197" s="23">
        <v>0</v>
      </c>
      <c r="AP197" s="24">
        <v>0</v>
      </c>
      <c r="AQ197" s="58">
        <f t="shared" ref="AQ197:AQ260" si="14">AR197/2500</f>
        <v>5.04</v>
      </c>
      <c r="AR197" s="59">
        <f t="shared" ref="AR197:AR260" si="15">AS197*1800</f>
        <v>12600</v>
      </c>
      <c r="AS197" s="35">
        <v>7</v>
      </c>
    </row>
    <row r="198" spans="1:45" ht="15.6" x14ac:dyDescent="0.3">
      <c r="A198" s="53">
        <v>194</v>
      </c>
      <c r="B198" s="55" t="s">
        <v>215</v>
      </c>
      <c r="C198" s="54" t="s">
        <v>219</v>
      </c>
      <c r="D198" s="348"/>
      <c r="E198" s="53"/>
      <c r="F198" s="56"/>
      <c r="G198" s="53"/>
      <c r="H198" s="56"/>
      <c r="I198" s="57"/>
      <c r="J198" s="53"/>
      <c r="K198" s="56"/>
      <c r="L198" s="57"/>
      <c r="M198" s="58"/>
      <c r="N198" s="56"/>
      <c r="O198" s="57"/>
      <c r="P198" s="58">
        <f t="shared" si="12"/>
        <v>1.44</v>
      </c>
      <c r="Q198" s="59">
        <f t="shared" si="13"/>
        <v>3600</v>
      </c>
      <c r="R198" s="35">
        <v>2</v>
      </c>
      <c r="S198" s="19">
        <v>0</v>
      </c>
      <c r="T198" s="23">
        <v>0</v>
      </c>
      <c r="U198" s="24">
        <v>0</v>
      </c>
      <c r="V198" s="33">
        <v>0</v>
      </c>
      <c r="W198" s="34">
        <v>0</v>
      </c>
      <c r="X198" s="35">
        <v>0</v>
      </c>
      <c r="Y198" s="19">
        <v>0</v>
      </c>
      <c r="Z198" s="23">
        <v>0</v>
      </c>
      <c r="AA198" s="24">
        <v>0</v>
      </c>
      <c r="AB198" s="33">
        <v>0</v>
      </c>
      <c r="AC198" s="34">
        <v>0</v>
      </c>
      <c r="AD198" s="35">
        <v>0</v>
      </c>
      <c r="AE198" s="36">
        <v>0</v>
      </c>
      <c r="AF198" s="23">
        <v>0</v>
      </c>
      <c r="AG198" s="24">
        <v>0</v>
      </c>
      <c r="AH198" s="33">
        <v>0</v>
      </c>
      <c r="AI198" s="37">
        <v>0</v>
      </c>
      <c r="AJ198" s="35">
        <v>0</v>
      </c>
      <c r="AK198" s="36">
        <v>0</v>
      </c>
      <c r="AL198" s="38">
        <v>0</v>
      </c>
      <c r="AM198" s="35">
        <v>0</v>
      </c>
      <c r="AN198" s="19">
        <v>0</v>
      </c>
      <c r="AO198" s="23">
        <v>0</v>
      </c>
      <c r="AP198" s="24">
        <v>0</v>
      </c>
      <c r="AQ198" s="58">
        <f t="shared" si="14"/>
        <v>1.44</v>
      </c>
      <c r="AR198" s="59">
        <f t="shared" si="15"/>
        <v>3600</v>
      </c>
      <c r="AS198" s="35">
        <v>2</v>
      </c>
    </row>
    <row r="199" spans="1:45" ht="15.6" x14ac:dyDescent="0.3">
      <c r="A199" s="53">
        <v>195</v>
      </c>
      <c r="B199" s="55" t="s">
        <v>215</v>
      </c>
      <c r="C199" s="54" t="s">
        <v>220</v>
      </c>
      <c r="D199" s="348"/>
      <c r="E199" s="53"/>
      <c r="F199" s="56"/>
      <c r="G199" s="53"/>
      <c r="H199" s="56"/>
      <c r="I199" s="57"/>
      <c r="J199" s="53"/>
      <c r="K199" s="56"/>
      <c r="L199" s="57"/>
      <c r="M199" s="58"/>
      <c r="N199" s="56"/>
      <c r="O199" s="57"/>
      <c r="P199" s="58">
        <f t="shared" si="12"/>
        <v>3.6</v>
      </c>
      <c r="Q199" s="59">
        <f t="shared" si="13"/>
        <v>9000</v>
      </c>
      <c r="R199" s="35">
        <v>5</v>
      </c>
      <c r="S199" s="19">
        <v>0</v>
      </c>
      <c r="T199" s="23">
        <v>0</v>
      </c>
      <c r="U199" s="24">
        <v>0</v>
      </c>
      <c r="V199" s="33">
        <v>0</v>
      </c>
      <c r="W199" s="34">
        <v>0</v>
      </c>
      <c r="X199" s="35">
        <v>0</v>
      </c>
      <c r="Y199" s="19">
        <v>0</v>
      </c>
      <c r="Z199" s="23">
        <v>0</v>
      </c>
      <c r="AA199" s="24">
        <v>0</v>
      </c>
      <c r="AB199" s="33">
        <v>0</v>
      </c>
      <c r="AC199" s="34">
        <v>0</v>
      </c>
      <c r="AD199" s="35">
        <v>0</v>
      </c>
      <c r="AE199" s="36">
        <v>0</v>
      </c>
      <c r="AF199" s="23">
        <v>0</v>
      </c>
      <c r="AG199" s="24">
        <v>0</v>
      </c>
      <c r="AH199" s="33">
        <v>0</v>
      </c>
      <c r="AI199" s="37">
        <v>0</v>
      </c>
      <c r="AJ199" s="35">
        <v>0</v>
      </c>
      <c r="AK199" s="36">
        <v>0</v>
      </c>
      <c r="AL199" s="38">
        <v>0</v>
      </c>
      <c r="AM199" s="35">
        <v>0</v>
      </c>
      <c r="AN199" s="19">
        <v>0</v>
      </c>
      <c r="AO199" s="23">
        <v>0</v>
      </c>
      <c r="AP199" s="24">
        <v>0</v>
      </c>
      <c r="AQ199" s="58">
        <f t="shared" si="14"/>
        <v>3.6</v>
      </c>
      <c r="AR199" s="59">
        <f t="shared" si="15"/>
        <v>9000</v>
      </c>
      <c r="AS199" s="35">
        <v>5</v>
      </c>
    </row>
    <row r="200" spans="1:45" ht="15.6" x14ac:dyDescent="0.3">
      <c r="A200" s="53">
        <v>196</v>
      </c>
      <c r="B200" s="55" t="s">
        <v>215</v>
      </c>
      <c r="C200" s="54" t="s">
        <v>221</v>
      </c>
      <c r="D200" s="348"/>
      <c r="E200" s="53"/>
      <c r="F200" s="56"/>
      <c r="G200" s="53"/>
      <c r="H200" s="56"/>
      <c r="I200" s="57"/>
      <c r="J200" s="53"/>
      <c r="K200" s="56"/>
      <c r="L200" s="57"/>
      <c r="M200" s="58"/>
      <c r="N200" s="56"/>
      <c r="O200" s="57"/>
      <c r="P200" s="58">
        <f t="shared" si="12"/>
        <v>0</v>
      </c>
      <c r="Q200" s="59">
        <f t="shared" si="13"/>
        <v>0</v>
      </c>
      <c r="R200" s="35">
        <v>0</v>
      </c>
      <c r="S200" s="19">
        <v>0</v>
      </c>
      <c r="T200" s="23">
        <v>0</v>
      </c>
      <c r="U200" s="24">
        <v>0</v>
      </c>
      <c r="V200" s="33">
        <v>0</v>
      </c>
      <c r="W200" s="34">
        <v>0</v>
      </c>
      <c r="X200" s="35">
        <v>0</v>
      </c>
      <c r="Y200" s="19">
        <v>0</v>
      </c>
      <c r="Z200" s="23">
        <v>0</v>
      </c>
      <c r="AA200" s="24">
        <v>0</v>
      </c>
      <c r="AB200" s="33">
        <v>0</v>
      </c>
      <c r="AC200" s="34">
        <v>0</v>
      </c>
      <c r="AD200" s="35">
        <v>0</v>
      </c>
      <c r="AE200" s="36">
        <v>0</v>
      </c>
      <c r="AF200" s="23">
        <v>0</v>
      </c>
      <c r="AG200" s="24">
        <v>0</v>
      </c>
      <c r="AH200" s="33">
        <v>0</v>
      </c>
      <c r="AI200" s="37">
        <v>0</v>
      </c>
      <c r="AJ200" s="35">
        <v>0</v>
      </c>
      <c r="AK200" s="36">
        <v>0</v>
      </c>
      <c r="AL200" s="38">
        <v>0</v>
      </c>
      <c r="AM200" s="35">
        <v>0</v>
      </c>
      <c r="AN200" s="19">
        <v>0</v>
      </c>
      <c r="AO200" s="23">
        <v>0</v>
      </c>
      <c r="AP200" s="24">
        <v>0</v>
      </c>
      <c r="AQ200" s="58">
        <f t="shared" si="14"/>
        <v>0</v>
      </c>
      <c r="AR200" s="59">
        <f t="shared" si="15"/>
        <v>0</v>
      </c>
      <c r="AS200" s="35">
        <v>0</v>
      </c>
    </row>
    <row r="201" spans="1:45" ht="15.6" x14ac:dyDescent="0.3">
      <c r="A201" s="53">
        <v>197</v>
      </c>
      <c r="B201" s="55" t="s">
        <v>215</v>
      </c>
      <c r="C201" s="54" t="s">
        <v>222</v>
      </c>
      <c r="D201" s="348"/>
      <c r="E201" s="53"/>
      <c r="F201" s="56"/>
      <c r="G201" s="53"/>
      <c r="H201" s="56"/>
      <c r="I201" s="57"/>
      <c r="J201" s="53"/>
      <c r="K201" s="56"/>
      <c r="L201" s="57"/>
      <c r="M201" s="58"/>
      <c r="N201" s="56"/>
      <c r="O201" s="57"/>
      <c r="P201" s="58">
        <f t="shared" si="12"/>
        <v>1.44</v>
      </c>
      <c r="Q201" s="59">
        <f t="shared" si="13"/>
        <v>3600</v>
      </c>
      <c r="R201" s="35">
        <v>2</v>
      </c>
      <c r="S201" s="19">
        <v>0</v>
      </c>
      <c r="T201" s="23">
        <v>0</v>
      </c>
      <c r="U201" s="24">
        <v>0</v>
      </c>
      <c r="V201" s="33">
        <v>0</v>
      </c>
      <c r="W201" s="34">
        <v>0</v>
      </c>
      <c r="X201" s="35">
        <v>0</v>
      </c>
      <c r="Y201" s="19">
        <v>0</v>
      </c>
      <c r="Z201" s="23">
        <v>0</v>
      </c>
      <c r="AA201" s="24">
        <v>0</v>
      </c>
      <c r="AB201" s="33">
        <v>0</v>
      </c>
      <c r="AC201" s="34">
        <v>0</v>
      </c>
      <c r="AD201" s="35">
        <v>0</v>
      </c>
      <c r="AE201" s="36">
        <v>0</v>
      </c>
      <c r="AF201" s="23">
        <v>0</v>
      </c>
      <c r="AG201" s="24">
        <v>0</v>
      </c>
      <c r="AH201" s="33">
        <v>0</v>
      </c>
      <c r="AI201" s="37">
        <v>0</v>
      </c>
      <c r="AJ201" s="35">
        <v>0</v>
      </c>
      <c r="AK201" s="36">
        <v>0</v>
      </c>
      <c r="AL201" s="38">
        <v>0</v>
      </c>
      <c r="AM201" s="35">
        <v>0</v>
      </c>
      <c r="AN201" s="19">
        <v>0</v>
      </c>
      <c r="AO201" s="23">
        <v>0</v>
      </c>
      <c r="AP201" s="24">
        <v>0</v>
      </c>
      <c r="AQ201" s="58">
        <f t="shared" si="14"/>
        <v>1.44</v>
      </c>
      <c r="AR201" s="59">
        <f t="shared" si="15"/>
        <v>3600</v>
      </c>
      <c r="AS201" s="35">
        <v>2</v>
      </c>
    </row>
    <row r="202" spans="1:45" ht="15.6" x14ac:dyDescent="0.3">
      <c r="A202" s="53">
        <v>198</v>
      </c>
      <c r="B202" s="55" t="s">
        <v>215</v>
      </c>
      <c r="C202" s="54" t="s">
        <v>223</v>
      </c>
      <c r="D202" s="348"/>
      <c r="E202" s="53"/>
      <c r="F202" s="56"/>
      <c r="G202" s="53"/>
      <c r="H202" s="56"/>
      <c r="I202" s="57"/>
      <c r="J202" s="53"/>
      <c r="K202" s="56"/>
      <c r="L202" s="57"/>
      <c r="M202" s="58"/>
      <c r="N202" s="56"/>
      <c r="O202" s="57"/>
      <c r="P202" s="58">
        <f t="shared" si="12"/>
        <v>10.08</v>
      </c>
      <c r="Q202" s="59">
        <f t="shared" si="13"/>
        <v>25200</v>
      </c>
      <c r="R202" s="35">
        <v>14</v>
      </c>
      <c r="S202" s="19">
        <v>0</v>
      </c>
      <c r="T202" s="23">
        <v>0</v>
      </c>
      <c r="U202" s="24">
        <v>0</v>
      </c>
      <c r="V202" s="33">
        <v>0</v>
      </c>
      <c r="W202" s="34">
        <v>0</v>
      </c>
      <c r="X202" s="35">
        <v>0</v>
      </c>
      <c r="Y202" s="19">
        <v>0</v>
      </c>
      <c r="Z202" s="23">
        <v>0</v>
      </c>
      <c r="AA202" s="24">
        <v>0</v>
      </c>
      <c r="AB202" s="33">
        <v>0</v>
      </c>
      <c r="AC202" s="34">
        <v>0</v>
      </c>
      <c r="AD202" s="35">
        <v>0</v>
      </c>
      <c r="AE202" s="36">
        <v>0</v>
      </c>
      <c r="AF202" s="23">
        <v>0</v>
      </c>
      <c r="AG202" s="24">
        <v>0</v>
      </c>
      <c r="AH202" s="33">
        <v>0</v>
      </c>
      <c r="AI202" s="37">
        <v>0</v>
      </c>
      <c r="AJ202" s="35">
        <v>0</v>
      </c>
      <c r="AK202" s="36">
        <v>0</v>
      </c>
      <c r="AL202" s="38">
        <v>0</v>
      </c>
      <c r="AM202" s="35">
        <v>0</v>
      </c>
      <c r="AN202" s="19">
        <v>0</v>
      </c>
      <c r="AO202" s="23">
        <v>0</v>
      </c>
      <c r="AP202" s="24">
        <v>0</v>
      </c>
      <c r="AQ202" s="58">
        <f t="shared" si="14"/>
        <v>10.08</v>
      </c>
      <c r="AR202" s="59">
        <f t="shared" si="15"/>
        <v>25200</v>
      </c>
      <c r="AS202" s="35">
        <v>14</v>
      </c>
    </row>
    <row r="203" spans="1:45" ht="15.6" x14ac:dyDescent="0.3">
      <c r="A203" s="53">
        <v>199</v>
      </c>
      <c r="B203" s="55" t="s">
        <v>215</v>
      </c>
      <c r="C203" s="54" t="s">
        <v>224</v>
      </c>
      <c r="D203" s="348"/>
      <c r="E203" s="53"/>
      <c r="F203" s="56"/>
      <c r="G203" s="53"/>
      <c r="H203" s="56"/>
      <c r="I203" s="57"/>
      <c r="J203" s="53"/>
      <c r="K203" s="56"/>
      <c r="L203" s="57"/>
      <c r="M203" s="58"/>
      <c r="N203" s="56"/>
      <c r="O203" s="57"/>
      <c r="P203" s="58">
        <f t="shared" si="12"/>
        <v>5.76</v>
      </c>
      <c r="Q203" s="59">
        <f t="shared" si="13"/>
        <v>14400</v>
      </c>
      <c r="R203" s="35">
        <v>8</v>
      </c>
      <c r="S203" s="19">
        <v>0</v>
      </c>
      <c r="T203" s="23">
        <v>0</v>
      </c>
      <c r="U203" s="24">
        <v>0</v>
      </c>
      <c r="V203" s="33">
        <v>0</v>
      </c>
      <c r="W203" s="34">
        <v>0</v>
      </c>
      <c r="X203" s="35">
        <v>0</v>
      </c>
      <c r="Y203" s="19">
        <v>0</v>
      </c>
      <c r="Z203" s="23">
        <v>0</v>
      </c>
      <c r="AA203" s="24">
        <v>0</v>
      </c>
      <c r="AB203" s="33">
        <v>0</v>
      </c>
      <c r="AC203" s="34">
        <v>0</v>
      </c>
      <c r="AD203" s="35">
        <v>0</v>
      </c>
      <c r="AE203" s="36">
        <v>0</v>
      </c>
      <c r="AF203" s="23">
        <v>0</v>
      </c>
      <c r="AG203" s="24">
        <v>0</v>
      </c>
      <c r="AH203" s="33">
        <v>0</v>
      </c>
      <c r="AI203" s="37">
        <v>0</v>
      </c>
      <c r="AJ203" s="35">
        <v>0</v>
      </c>
      <c r="AK203" s="36">
        <v>0</v>
      </c>
      <c r="AL203" s="38">
        <v>0</v>
      </c>
      <c r="AM203" s="35">
        <v>0</v>
      </c>
      <c r="AN203" s="19">
        <v>0</v>
      </c>
      <c r="AO203" s="23">
        <v>0</v>
      </c>
      <c r="AP203" s="24">
        <v>0</v>
      </c>
      <c r="AQ203" s="58">
        <f t="shared" si="14"/>
        <v>5.76</v>
      </c>
      <c r="AR203" s="59">
        <f t="shared" si="15"/>
        <v>14400</v>
      </c>
      <c r="AS203" s="35">
        <v>8</v>
      </c>
    </row>
    <row r="204" spans="1:45" ht="15.6" x14ac:dyDescent="0.3">
      <c r="A204" s="53">
        <v>200</v>
      </c>
      <c r="B204" s="55" t="s">
        <v>215</v>
      </c>
      <c r="C204" s="54" t="s">
        <v>225</v>
      </c>
      <c r="D204" s="348"/>
      <c r="E204" s="53"/>
      <c r="F204" s="56"/>
      <c r="G204" s="53"/>
      <c r="H204" s="56"/>
      <c r="I204" s="57"/>
      <c r="J204" s="53"/>
      <c r="K204" s="56"/>
      <c r="L204" s="57"/>
      <c r="M204" s="58"/>
      <c r="N204" s="56"/>
      <c r="O204" s="57"/>
      <c r="P204" s="58">
        <f t="shared" si="12"/>
        <v>3.6</v>
      </c>
      <c r="Q204" s="59">
        <f t="shared" si="13"/>
        <v>9000</v>
      </c>
      <c r="R204" s="35">
        <v>5</v>
      </c>
      <c r="S204" s="19">
        <v>0</v>
      </c>
      <c r="T204" s="23">
        <v>0</v>
      </c>
      <c r="U204" s="24">
        <v>0</v>
      </c>
      <c r="V204" s="33">
        <v>0</v>
      </c>
      <c r="W204" s="34">
        <v>0</v>
      </c>
      <c r="X204" s="35">
        <v>0</v>
      </c>
      <c r="Y204" s="19">
        <v>0</v>
      </c>
      <c r="Z204" s="23">
        <v>0</v>
      </c>
      <c r="AA204" s="24">
        <v>0</v>
      </c>
      <c r="AB204" s="33">
        <v>0</v>
      </c>
      <c r="AC204" s="34">
        <v>0</v>
      </c>
      <c r="AD204" s="35">
        <v>0</v>
      </c>
      <c r="AE204" s="36">
        <v>0</v>
      </c>
      <c r="AF204" s="23">
        <v>0</v>
      </c>
      <c r="AG204" s="24">
        <v>0</v>
      </c>
      <c r="AH204" s="33">
        <v>0</v>
      </c>
      <c r="AI204" s="37">
        <v>0</v>
      </c>
      <c r="AJ204" s="35">
        <v>0</v>
      </c>
      <c r="AK204" s="36">
        <v>0</v>
      </c>
      <c r="AL204" s="38">
        <v>0</v>
      </c>
      <c r="AM204" s="35">
        <v>0</v>
      </c>
      <c r="AN204" s="19">
        <v>0</v>
      </c>
      <c r="AO204" s="23">
        <v>0</v>
      </c>
      <c r="AP204" s="24">
        <v>0</v>
      </c>
      <c r="AQ204" s="58">
        <f t="shared" si="14"/>
        <v>3.6</v>
      </c>
      <c r="AR204" s="59">
        <f t="shared" si="15"/>
        <v>9000</v>
      </c>
      <c r="AS204" s="35">
        <v>5</v>
      </c>
    </row>
    <row r="205" spans="1:45" ht="15.6" x14ac:dyDescent="0.3">
      <c r="A205" s="53">
        <v>201</v>
      </c>
      <c r="B205" s="55" t="s">
        <v>215</v>
      </c>
      <c r="C205" s="54" t="s">
        <v>226</v>
      </c>
      <c r="D205" s="348"/>
      <c r="E205" s="53"/>
      <c r="F205" s="56"/>
      <c r="G205" s="53"/>
      <c r="H205" s="56"/>
      <c r="I205" s="57"/>
      <c r="J205" s="53"/>
      <c r="K205" s="56"/>
      <c r="L205" s="57"/>
      <c r="M205" s="58"/>
      <c r="N205" s="56"/>
      <c r="O205" s="57"/>
      <c r="P205" s="58">
        <f t="shared" si="12"/>
        <v>8.64</v>
      </c>
      <c r="Q205" s="59">
        <f t="shared" si="13"/>
        <v>21600</v>
      </c>
      <c r="R205" s="35">
        <v>12</v>
      </c>
      <c r="S205" s="19">
        <v>0</v>
      </c>
      <c r="T205" s="23">
        <v>0</v>
      </c>
      <c r="U205" s="24">
        <v>0</v>
      </c>
      <c r="V205" s="33">
        <v>0</v>
      </c>
      <c r="W205" s="34">
        <v>0</v>
      </c>
      <c r="X205" s="35">
        <v>0</v>
      </c>
      <c r="Y205" s="19">
        <v>0</v>
      </c>
      <c r="Z205" s="23">
        <v>0</v>
      </c>
      <c r="AA205" s="24">
        <v>0</v>
      </c>
      <c r="AB205" s="33">
        <v>0</v>
      </c>
      <c r="AC205" s="34">
        <v>0</v>
      </c>
      <c r="AD205" s="35">
        <v>0</v>
      </c>
      <c r="AE205" s="36">
        <v>0</v>
      </c>
      <c r="AF205" s="23">
        <v>0</v>
      </c>
      <c r="AG205" s="24">
        <v>0</v>
      </c>
      <c r="AH205" s="33">
        <v>0</v>
      </c>
      <c r="AI205" s="37">
        <v>0</v>
      </c>
      <c r="AJ205" s="35">
        <v>0</v>
      </c>
      <c r="AK205" s="36">
        <v>0</v>
      </c>
      <c r="AL205" s="38">
        <v>0</v>
      </c>
      <c r="AM205" s="35">
        <v>0</v>
      </c>
      <c r="AN205" s="19">
        <v>0</v>
      </c>
      <c r="AO205" s="23">
        <v>0</v>
      </c>
      <c r="AP205" s="24">
        <v>0</v>
      </c>
      <c r="AQ205" s="58">
        <f t="shared" si="14"/>
        <v>8.64</v>
      </c>
      <c r="AR205" s="59">
        <f t="shared" si="15"/>
        <v>21600</v>
      </c>
      <c r="AS205" s="35">
        <v>12</v>
      </c>
    </row>
    <row r="206" spans="1:45" ht="15.6" x14ac:dyDescent="0.3">
      <c r="A206" s="53">
        <v>202</v>
      </c>
      <c r="B206" s="55" t="s">
        <v>215</v>
      </c>
      <c r="C206" s="54" t="s">
        <v>227</v>
      </c>
      <c r="D206" s="348"/>
      <c r="E206" s="53"/>
      <c r="F206" s="56"/>
      <c r="G206" s="53"/>
      <c r="H206" s="56"/>
      <c r="I206" s="57"/>
      <c r="J206" s="53"/>
      <c r="K206" s="56"/>
      <c r="L206" s="57"/>
      <c r="M206" s="58"/>
      <c r="N206" s="56"/>
      <c r="O206" s="57"/>
      <c r="P206" s="58">
        <f t="shared" si="12"/>
        <v>0.72</v>
      </c>
      <c r="Q206" s="59">
        <f t="shared" si="13"/>
        <v>1800</v>
      </c>
      <c r="R206" s="35">
        <v>1</v>
      </c>
      <c r="S206" s="19">
        <v>0</v>
      </c>
      <c r="T206" s="23">
        <v>0</v>
      </c>
      <c r="U206" s="24">
        <v>0</v>
      </c>
      <c r="V206" s="33">
        <v>0</v>
      </c>
      <c r="W206" s="34">
        <v>0</v>
      </c>
      <c r="X206" s="35">
        <v>0</v>
      </c>
      <c r="Y206" s="19">
        <v>0</v>
      </c>
      <c r="Z206" s="23">
        <v>0</v>
      </c>
      <c r="AA206" s="24">
        <v>0</v>
      </c>
      <c r="AB206" s="33">
        <v>0</v>
      </c>
      <c r="AC206" s="34">
        <v>0</v>
      </c>
      <c r="AD206" s="35">
        <v>0</v>
      </c>
      <c r="AE206" s="36">
        <v>0</v>
      </c>
      <c r="AF206" s="23">
        <v>0</v>
      </c>
      <c r="AG206" s="24">
        <v>0</v>
      </c>
      <c r="AH206" s="33">
        <v>0</v>
      </c>
      <c r="AI206" s="37">
        <v>0</v>
      </c>
      <c r="AJ206" s="35">
        <v>0</v>
      </c>
      <c r="AK206" s="36">
        <v>0</v>
      </c>
      <c r="AL206" s="38">
        <v>0</v>
      </c>
      <c r="AM206" s="35">
        <v>0</v>
      </c>
      <c r="AN206" s="19">
        <v>0</v>
      </c>
      <c r="AO206" s="23">
        <v>0</v>
      </c>
      <c r="AP206" s="24">
        <v>0</v>
      </c>
      <c r="AQ206" s="58">
        <f t="shared" si="14"/>
        <v>0.72</v>
      </c>
      <c r="AR206" s="59">
        <f t="shared" si="15"/>
        <v>1800</v>
      </c>
      <c r="AS206" s="35">
        <v>1</v>
      </c>
    </row>
    <row r="207" spans="1:45" ht="15.6" x14ac:dyDescent="0.3">
      <c r="A207" s="53">
        <v>203</v>
      </c>
      <c r="B207" s="55" t="s">
        <v>215</v>
      </c>
      <c r="C207" s="54" t="s">
        <v>228</v>
      </c>
      <c r="D207" s="348"/>
      <c r="E207" s="53"/>
      <c r="F207" s="56"/>
      <c r="G207" s="53"/>
      <c r="H207" s="56"/>
      <c r="I207" s="57"/>
      <c r="J207" s="53"/>
      <c r="K207" s="56"/>
      <c r="L207" s="57"/>
      <c r="M207" s="58"/>
      <c r="N207" s="56"/>
      <c r="O207" s="57"/>
      <c r="P207" s="58">
        <f t="shared" si="12"/>
        <v>1.44</v>
      </c>
      <c r="Q207" s="59">
        <f t="shared" si="13"/>
        <v>3600</v>
      </c>
      <c r="R207" s="35">
        <v>2</v>
      </c>
      <c r="S207" s="19">
        <v>0</v>
      </c>
      <c r="T207" s="23">
        <v>0</v>
      </c>
      <c r="U207" s="24">
        <v>0</v>
      </c>
      <c r="V207" s="33">
        <v>0</v>
      </c>
      <c r="W207" s="34">
        <v>0</v>
      </c>
      <c r="X207" s="35">
        <v>0</v>
      </c>
      <c r="Y207" s="19">
        <v>0</v>
      </c>
      <c r="Z207" s="23">
        <v>0</v>
      </c>
      <c r="AA207" s="24">
        <v>0</v>
      </c>
      <c r="AB207" s="33">
        <v>0</v>
      </c>
      <c r="AC207" s="34">
        <v>0</v>
      </c>
      <c r="AD207" s="35">
        <v>0</v>
      </c>
      <c r="AE207" s="36">
        <v>0</v>
      </c>
      <c r="AF207" s="23">
        <v>0</v>
      </c>
      <c r="AG207" s="24">
        <v>0</v>
      </c>
      <c r="AH207" s="33">
        <v>0</v>
      </c>
      <c r="AI207" s="37">
        <v>0</v>
      </c>
      <c r="AJ207" s="35">
        <v>0</v>
      </c>
      <c r="AK207" s="36">
        <v>0</v>
      </c>
      <c r="AL207" s="38">
        <v>0</v>
      </c>
      <c r="AM207" s="35">
        <v>0</v>
      </c>
      <c r="AN207" s="19">
        <v>0</v>
      </c>
      <c r="AO207" s="23">
        <v>0</v>
      </c>
      <c r="AP207" s="24">
        <v>0</v>
      </c>
      <c r="AQ207" s="58">
        <f t="shared" si="14"/>
        <v>1.44</v>
      </c>
      <c r="AR207" s="59">
        <f t="shared" si="15"/>
        <v>3600</v>
      </c>
      <c r="AS207" s="35">
        <v>2</v>
      </c>
    </row>
    <row r="208" spans="1:45" ht="15.6" x14ac:dyDescent="0.3">
      <c r="A208" s="53">
        <v>204</v>
      </c>
      <c r="B208" s="55" t="s">
        <v>215</v>
      </c>
      <c r="C208" s="54" t="s">
        <v>229</v>
      </c>
      <c r="D208" s="348"/>
      <c r="E208" s="53"/>
      <c r="F208" s="56"/>
      <c r="G208" s="53"/>
      <c r="H208" s="56"/>
      <c r="I208" s="57"/>
      <c r="J208" s="53"/>
      <c r="K208" s="56"/>
      <c r="L208" s="57"/>
      <c r="M208" s="58"/>
      <c r="N208" s="56"/>
      <c r="O208" s="57"/>
      <c r="P208" s="58">
        <f t="shared" si="12"/>
        <v>7.2</v>
      </c>
      <c r="Q208" s="59">
        <f t="shared" si="13"/>
        <v>18000</v>
      </c>
      <c r="R208" s="35">
        <v>10</v>
      </c>
      <c r="S208" s="19"/>
      <c r="T208" s="23">
        <v>0</v>
      </c>
      <c r="U208" s="24">
        <v>0</v>
      </c>
      <c r="V208" s="33">
        <v>0</v>
      </c>
      <c r="W208" s="34">
        <v>0</v>
      </c>
      <c r="X208" s="35">
        <v>0</v>
      </c>
      <c r="Y208" s="19">
        <v>0</v>
      </c>
      <c r="Z208" s="23">
        <v>0</v>
      </c>
      <c r="AA208" s="24">
        <v>0</v>
      </c>
      <c r="AB208" s="33">
        <v>0</v>
      </c>
      <c r="AC208" s="34">
        <v>0</v>
      </c>
      <c r="AD208" s="35">
        <v>0</v>
      </c>
      <c r="AE208" s="36">
        <v>0</v>
      </c>
      <c r="AF208" s="23">
        <v>0</v>
      </c>
      <c r="AG208" s="24">
        <v>0</v>
      </c>
      <c r="AH208" s="33">
        <v>0</v>
      </c>
      <c r="AI208" s="37">
        <v>0</v>
      </c>
      <c r="AJ208" s="35">
        <v>0</v>
      </c>
      <c r="AK208" s="36">
        <v>0</v>
      </c>
      <c r="AL208" s="38">
        <v>0</v>
      </c>
      <c r="AM208" s="35">
        <v>0</v>
      </c>
      <c r="AN208" s="19">
        <v>0</v>
      </c>
      <c r="AO208" s="23">
        <v>0</v>
      </c>
      <c r="AP208" s="24">
        <v>0</v>
      </c>
      <c r="AQ208" s="58">
        <f t="shared" si="14"/>
        <v>7.2</v>
      </c>
      <c r="AR208" s="59">
        <f t="shared" si="15"/>
        <v>18000</v>
      </c>
      <c r="AS208" s="35">
        <v>10</v>
      </c>
    </row>
    <row r="209" spans="1:45" ht="15.6" x14ac:dyDescent="0.3">
      <c r="A209" s="53">
        <v>205</v>
      </c>
      <c r="B209" s="55" t="s">
        <v>215</v>
      </c>
      <c r="C209" s="54" t="s">
        <v>230</v>
      </c>
      <c r="D209" s="348" t="s">
        <v>25</v>
      </c>
      <c r="E209" s="53"/>
      <c r="F209" s="56"/>
      <c r="G209" s="53"/>
      <c r="H209" s="56"/>
      <c r="I209" s="57"/>
      <c r="J209" s="53"/>
      <c r="K209" s="56"/>
      <c r="L209" s="57"/>
      <c r="M209" s="58"/>
      <c r="N209" s="56"/>
      <c r="O209" s="57"/>
      <c r="P209" s="58">
        <f t="shared" si="12"/>
        <v>2.16</v>
      </c>
      <c r="Q209" s="59">
        <f t="shared" si="13"/>
        <v>5400</v>
      </c>
      <c r="R209" s="35">
        <v>3</v>
      </c>
      <c r="S209" s="19">
        <v>0</v>
      </c>
      <c r="T209" s="23">
        <v>0</v>
      </c>
      <c r="U209" s="24">
        <v>0</v>
      </c>
      <c r="V209" s="33">
        <v>0</v>
      </c>
      <c r="W209" s="34">
        <v>0</v>
      </c>
      <c r="X209" s="35">
        <v>0</v>
      </c>
      <c r="Y209" s="19">
        <v>0</v>
      </c>
      <c r="Z209" s="23">
        <v>0</v>
      </c>
      <c r="AA209" s="24">
        <v>0</v>
      </c>
      <c r="AB209" s="33">
        <v>0</v>
      </c>
      <c r="AC209" s="34">
        <v>0</v>
      </c>
      <c r="AD209" s="35">
        <v>0</v>
      </c>
      <c r="AE209" s="36">
        <v>0</v>
      </c>
      <c r="AF209" s="23">
        <v>0</v>
      </c>
      <c r="AG209" s="24">
        <v>0</v>
      </c>
      <c r="AH209" s="33">
        <v>0</v>
      </c>
      <c r="AI209" s="37">
        <v>0</v>
      </c>
      <c r="AJ209" s="35">
        <v>0</v>
      </c>
      <c r="AK209" s="36">
        <v>0</v>
      </c>
      <c r="AL209" s="38">
        <v>0</v>
      </c>
      <c r="AM209" s="35">
        <v>0</v>
      </c>
      <c r="AN209" s="19">
        <v>0</v>
      </c>
      <c r="AO209" s="23">
        <v>0</v>
      </c>
      <c r="AP209" s="24">
        <v>0</v>
      </c>
      <c r="AQ209" s="58">
        <f t="shared" si="14"/>
        <v>2.16</v>
      </c>
      <c r="AR209" s="59">
        <f t="shared" si="15"/>
        <v>5400</v>
      </c>
      <c r="AS209" s="35">
        <v>3</v>
      </c>
    </row>
    <row r="210" spans="1:45" ht="15.6" x14ac:dyDescent="0.3">
      <c r="A210" s="53">
        <v>206</v>
      </c>
      <c r="B210" s="55" t="s">
        <v>215</v>
      </c>
      <c r="C210" s="54" t="s">
        <v>231</v>
      </c>
      <c r="D210" s="348"/>
      <c r="E210" s="53"/>
      <c r="F210" s="56"/>
      <c r="G210" s="53"/>
      <c r="H210" s="56"/>
      <c r="I210" s="57"/>
      <c r="J210" s="53"/>
      <c r="K210" s="56"/>
      <c r="L210" s="57"/>
      <c r="M210" s="58"/>
      <c r="N210" s="56"/>
      <c r="O210" s="57"/>
      <c r="P210" s="58">
        <f t="shared" si="12"/>
        <v>0</v>
      </c>
      <c r="Q210" s="59">
        <f t="shared" si="13"/>
        <v>0</v>
      </c>
      <c r="R210" s="35">
        <v>0</v>
      </c>
      <c r="S210" s="19">
        <v>0</v>
      </c>
      <c r="T210" s="23">
        <v>0</v>
      </c>
      <c r="U210" s="24">
        <v>0</v>
      </c>
      <c r="V210" s="33">
        <v>0</v>
      </c>
      <c r="W210" s="34">
        <v>0</v>
      </c>
      <c r="X210" s="35">
        <v>0</v>
      </c>
      <c r="Y210" s="19">
        <v>0</v>
      </c>
      <c r="Z210" s="23">
        <v>0</v>
      </c>
      <c r="AA210" s="24">
        <v>0</v>
      </c>
      <c r="AB210" s="33">
        <v>0</v>
      </c>
      <c r="AC210" s="34">
        <v>0</v>
      </c>
      <c r="AD210" s="35">
        <v>0</v>
      </c>
      <c r="AE210" s="36">
        <v>0</v>
      </c>
      <c r="AF210" s="23">
        <v>0</v>
      </c>
      <c r="AG210" s="24">
        <v>0</v>
      </c>
      <c r="AH210" s="33">
        <v>0</v>
      </c>
      <c r="AI210" s="37">
        <v>0</v>
      </c>
      <c r="AJ210" s="35">
        <v>0</v>
      </c>
      <c r="AK210" s="36">
        <v>0</v>
      </c>
      <c r="AL210" s="38">
        <v>0</v>
      </c>
      <c r="AM210" s="35">
        <v>0</v>
      </c>
      <c r="AN210" s="19">
        <v>0</v>
      </c>
      <c r="AO210" s="23">
        <v>0</v>
      </c>
      <c r="AP210" s="24">
        <v>0</v>
      </c>
      <c r="AQ210" s="58">
        <f t="shared" si="14"/>
        <v>0</v>
      </c>
      <c r="AR210" s="59">
        <f t="shared" si="15"/>
        <v>0</v>
      </c>
      <c r="AS210" s="35">
        <v>0</v>
      </c>
    </row>
    <row r="211" spans="1:45" ht="15.6" x14ac:dyDescent="0.3">
      <c r="A211" s="53">
        <v>207</v>
      </c>
      <c r="B211" s="55" t="s">
        <v>215</v>
      </c>
      <c r="C211" s="54" t="s">
        <v>232</v>
      </c>
      <c r="D211" s="348"/>
      <c r="E211" s="53"/>
      <c r="F211" s="56"/>
      <c r="G211" s="53"/>
      <c r="H211" s="56"/>
      <c r="I211" s="57"/>
      <c r="J211" s="53"/>
      <c r="K211" s="56"/>
      <c r="L211" s="57"/>
      <c r="M211" s="58"/>
      <c r="N211" s="56"/>
      <c r="O211" s="57"/>
      <c r="P211" s="58">
        <f t="shared" si="12"/>
        <v>2.16</v>
      </c>
      <c r="Q211" s="59">
        <f t="shared" si="13"/>
        <v>5400</v>
      </c>
      <c r="R211" s="35">
        <v>3</v>
      </c>
      <c r="S211" s="19">
        <v>0</v>
      </c>
      <c r="T211" s="23">
        <v>0</v>
      </c>
      <c r="U211" s="24">
        <v>0</v>
      </c>
      <c r="V211" s="33">
        <v>0</v>
      </c>
      <c r="W211" s="34">
        <v>0</v>
      </c>
      <c r="X211" s="35">
        <v>0</v>
      </c>
      <c r="Y211" s="19">
        <v>0</v>
      </c>
      <c r="Z211" s="23">
        <v>0</v>
      </c>
      <c r="AA211" s="24">
        <v>0</v>
      </c>
      <c r="AB211" s="33">
        <v>0</v>
      </c>
      <c r="AC211" s="34">
        <v>0</v>
      </c>
      <c r="AD211" s="35">
        <v>0</v>
      </c>
      <c r="AE211" s="36">
        <v>0</v>
      </c>
      <c r="AF211" s="23">
        <v>0</v>
      </c>
      <c r="AG211" s="24">
        <v>0</v>
      </c>
      <c r="AH211" s="33">
        <v>0</v>
      </c>
      <c r="AI211" s="37">
        <v>0</v>
      </c>
      <c r="AJ211" s="35">
        <v>0</v>
      </c>
      <c r="AK211" s="36">
        <v>0</v>
      </c>
      <c r="AL211" s="38">
        <v>0</v>
      </c>
      <c r="AM211" s="35">
        <v>0</v>
      </c>
      <c r="AN211" s="19">
        <v>0</v>
      </c>
      <c r="AO211" s="23">
        <v>0</v>
      </c>
      <c r="AP211" s="24">
        <v>0</v>
      </c>
      <c r="AQ211" s="58">
        <f t="shared" si="14"/>
        <v>2.16</v>
      </c>
      <c r="AR211" s="59">
        <f t="shared" si="15"/>
        <v>5400</v>
      </c>
      <c r="AS211" s="35">
        <v>3</v>
      </c>
    </row>
    <row r="212" spans="1:45" ht="15.6" x14ac:dyDescent="0.3">
      <c r="A212" s="53">
        <v>208</v>
      </c>
      <c r="B212" s="55" t="s">
        <v>215</v>
      </c>
      <c r="C212" s="54" t="s">
        <v>233</v>
      </c>
      <c r="D212" s="348"/>
      <c r="E212" s="53"/>
      <c r="F212" s="56"/>
      <c r="G212" s="53"/>
      <c r="H212" s="56"/>
      <c r="I212" s="57"/>
      <c r="J212" s="53"/>
      <c r="K212" s="56"/>
      <c r="L212" s="57"/>
      <c r="M212" s="58"/>
      <c r="N212" s="56"/>
      <c r="O212" s="57"/>
      <c r="P212" s="58">
        <f t="shared" si="12"/>
        <v>0.72</v>
      </c>
      <c r="Q212" s="59">
        <f t="shared" si="13"/>
        <v>1800</v>
      </c>
      <c r="R212" s="35">
        <v>1</v>
      </c>
      <c r="S212" s="19">
        <v>0</v>
      </c>
      <c r="T212" s="23">
        <v>0</v>
      </c>
      <c r="U212" s="24">
        <v>0</v>
      </c>
      <c r="V212" s="33">
        <v>0</v>
      </c>
      <c r="W212" s="34">
        <v>0</v>
      </c>
      <c r="X212" s="35">
        <v>0</v>
      </c>
      <c r="Y212" s="19">
        <v>0</v>
      </c>
      <c r="Z212" s="23">
        <v>0</v>
      </c>
      <c r="AA212" s="24">
        <v>0</v>
      </c>
      <c r="AB212" s="33">
        <v>0</v>
      </c>
      <c r="AC212" s="34">
        <v>0</v>
      </c>
      <c r="AD212" s="35">
        <v>0</v>
      </c>
      <c r="AE212" s="36">
        <v>0</v>
      </c>
      <c r="AF212" s="23">
        <v>0</v>
      </c>
      <c r="AG212" s="24">
        <v>0</v>
      </c>
      <c r="AH212" s="33">
        <v>0</v>
      </c>
      <c r="AI212" s="37">
        <v>0</v>
      </c>
      <c r="AJ212" s="35">
        <v>0</v>
      </c>
      <c r="AK212" s="36">
        <v>0</v>
      </c>
      <c r="AL212" s="38">
        <v>0</v>
      </c>
      <c r="AM212" s="35">
        <v>0</v>
      </c>
      <c r="AN212" s="19">
        <v>0</v>
      </c>
      <c r="AO212" s="23">
        <v>0</v>
      </c>
      <c r="AP212" s="24">
        <v>0</v>
      </c>
      <c r="AQ212" s="58">
        <f t="shared" si="14"/>
        <v>0.72</v>
      </c>
      <c r="AR212" s="59">
        <f t="shared" si="15"/>
        <v>1800</v>
      </c>
      <c r="AS212" s="35">
        <v>1</v>
      </c>
    </row>
    <row r="213" spans="1:45" ht="15.6" x14ac:dyDescent="0.3">
      <c r="A213" s="53">
        <v>209</v>
      </c>
      <c r="B213" s="55" t="s">
        <v>215</v>
      </c>
      <c r="C213" s="54" t="s">
        <v>234</v>
      </c>
      <c r="D213" s="348"/>
      <c r="E213" s="53"/>
      <c r="F213" s="56"/>
      <c r="G213" s="53"/>
      <c r="H213" s="56"/>
      <c r="I213" s="57"/>
      <c r="J213" s="53"/>
      <c r="K213" s="56"/>
      <c r="L213" s="57"/>
      <c r="M213" s="58"/>
      <c r="N213" s="56"/>
      <c r="O213" s="57"/>
      <c r="P213" s="58">
        <f t="shared" si="12"/>
        <v>2.88</v>
      </c>
      <c r="Q213" s="59">
        <f t="shared" si="13"/>
        <v>7200</v>
      </c>
      <c r="R213" s="35">
        <v>4</v>
      </c>
      <c r="S213" s="19">
        <v>0</v>
      </c>
      <c r="T213" s="23">
        <v>0</v>
      </c>
      <c r="U213" s="24">
        <v>0</v>
      </c>
      <c r="V213" s="33">
        <v>0</v>
      </c>
      <c r="W213" s="34">
        <v>0</v>
      </c>
      <c r="X213" s="35">
        <v>0</v>
      </c>
      <c r="Y213" s="19">
        <v>0</v>
      </c>
      <c r="Z213" s="23">
        <v>0</v>
      </c>
      <c r="AA213" s="24">
        <v>0</v>
      </c>
      <c r="AB213" s="33">
        <v>0</v>
      </c>
      <c r="AC213" s="34">
        <v>0</v>
      </c>
      <c r="AD213" s="35">
        <v>0</v>
      </c>
      <c r="AE213" s="36">
        <v>0</v>
      </c>
      <c r="AF213" s="23">
        <v>0</v>
      </c>
      <c r="AG213" s="24">
        <v>0</v>
      </c>
      <c r="AH213" s="33">
        <v>0</v>
      </c>
      <c r="AI213" s="37">
        <v>0</v>
      </c>
      <c r="AJ213" s="35">
        <v>0</v>
      </c>
      <c r="AK213" s="36">
        <v>0</v>
      </c>
      <c r="AL213" s="38">
        <v>0</v>
      </c>
      <c r="AM213" s="35">
        <v>0</v>
      </c>
      <c r="AN213" s="19">
        <v>0</v>
      </c>
      <c r="AO213" s="23">
        <v>0</v>
      </c>
      <c r="AP213" s="24">
        <v>0</v>
      </c>
      <c r="AQ213" s="58">
        <f t="shared" si="14"/>
        <v>2.88</v>
      </c>
      <c r="AR213" s="59">
        <f t="shared" si="15"/>
        <v>7200</v>
      </c>
      <c r="AS213" s="35">
        <v>4</v>
      </c>
    </row>
    <row r="214" spans="1:45" ht="15.6" x14ac:dyDescent="0.3">
      <c r="A214" s="53">
        <v>210</v>
      </c>
      <c r="B214" s="55" t="s">
        <v>215</v>
      </c>
      <c r="C214" s="54" t="s">
        <v>235</v>
      </c>
      <c r="D214" s="348"/>
      <c r="E214" s="53"/>
      <c r="F214" s="56"/>
      <c r="G214" s="53"/>
      <c r="H214" s="56"/>
      <c r="I214" s="57"/>
      <c r="J214" s="53"/>
      <c r="K214" s="56"/>
      <c r="L214" s="57"/>
      <c r="M214" s="58"/>
      <c r="N214" s="56"/>
      <c r="O214" s="57"/>
      <c r="P214" s="58">
        <f t="shared" si="12"/>
        <v>0</v>
      </c>
      <c r="Q214" s="59">
        <f t="shared" si="13"/>
        <v>0</v>
      </c>
      <c r="R214" s="35">
        <v>0</v>
      </c>
      <c r="S214" s="19">
        <v>0</v>
      </c>
      <c r="T214" s="23">
        <v>0</v>
      </c>
      <c r="U214" s="24">
        <v>0</v>
      </c>
      <c r="V214" s="33">
        <v>0</v>
      </c>
      <c r="W214" s="34">
        <v>0</v>
      </c>
      <c r="X214" s="35">
        <v>0</v>
      </c>
      <c r="Y214" s="19">
        <v>0</v>
      </c>
      <c r="Z214" s="23">
        <v>0</v>
      </c>
      <c r="AA214" s="24">
        <v>0</v>
      </c>
      <c r="AB214" s="33">
        <v>0</v>
      </c>
      <c r="AC214" s="34">
        <v>0</v>
      </c>
      <c r="AD214" s="35">
        <v>0</v>
      </c>
      <c r="AE214" s="36">
        <v>0</v>
      </c>
      <c r="AF214" s="23">
        <v>0</v>
      </c>
      <c r="AG214" s="24">
        <v>0</v>
      </c>
      <c r="AH214" s="33">
        <v>0</v>
      </c>
      <c r="AI214" s="37">
        <v>0</v>
      </c>
      <c r="AJ214" s="35">
        <v>0</v>
      </c>
      <c r="AK214" s="36">
        <v>0</v>
      </c>
      <c r="AL214" s="38">
        <v>0</v>
      </c>
      <c r="AM214" s="35">
        <v>0</v>
      </c>
      <c r="AN214" s="19">
        <v>0</v>
      </c>
      <c r="AO214" s="23">
        <v>0</v>
      </c>
      <c r="AP214" s="24">
        <v>0</v>
      </c>
      <c r="AQ214" s="58">
        <f t="shared" si="14"/>
        <v>0</v>
      </c>
      <c r="AR214" s="59">
        <f t="shared" si="15"/>
        <v>0</v>
      </c>
      <c r="AS214" s="35">
        <v>0</v>
      </c>
    </row>
    <row r="215" spans="1:45" ht="15.6" x14ac:dyDescent="0.3">
      <c r="A215" s="53">
        <v>211</v>
      </c>
      <c r="B215" s="55" t="s">
        <v>215</v>
      </c>
      <c r="C215" s="54" t="s">
        <v>236</v>
      </c>
      <c r="D215" s="348"/>
      <c r="E215" s="53"/>
      <c r="F215" s="56"/>
      <c r="G215" s="53"/>
      <c r="H215" s="56"/>
      <c r="I215" s="57"/>
      <c r="J215" s="53"/>
      <c r="K215" s="56"/>
      <c r="L215" s="57"/>
      <c r="M215" s="58"/>
      <c r="N215" s="56"/>
      <c r="O215" s="57"/>
      <c r="P215" s="58">
        <f t="shared" si="12"/>
        <v>2.16</v>
      </c>
      <c r="Q215" s="59">
        <f t="shared" si="13"/>
        <v>5400</v>
      </c>
      <c r="R215" s="35">
        <v>3</v>
      </c>
      <c r="S215" s="19">
        <v>0</v>
      </c>
      <c r="T215" s="23">
        <v>0</v>
      </c>
      <c r="U215" s="24">
        <v>0</v>
      </c>
      <c r="V215" s="33">
        <v>0</v>
      </c>
      <c r="W215" s="34">
        <v>0</v>
      </c>
      <c r="X215" s="35">
        <v>0</v>
      </c>
      <c r="Y215" s="19">
        <v>0</v>
      </c>
      <c r="Z215" s="23">
        <v>0</v>
      </c>
      <c r="AA215" s="24">
        <v>0</v>
      </c>
      <c r="AB215" s="33">
        <v>0</v>
      </c>
      <c r="AC215" s="34">
        <v>0</v>
      </c>
      <c r="AD215" s="35">
        <v>0</v>
      </c>
      <c r="AE215" s="36">
        <v>0</v>
      </c>
      <c r="AF215" s="23">
        <v>0</v>
      </c>
      <c r="AG215" s="24">
        <v>0</v>
      </c>
      <c r="AH215" s="33">
        <v>0</v>
      </c>
      <c r="AI215" s="37">
        <v>0</v>
      </c>
      <c r="AJ215" s="35">
        <v>0</v>
      </c>
      <c r="AK215" s="36">
        <v>0</v>
      </c>
      <c r="AL215" s="38">
        <v>0</v>
      </c>
      <c r="AM215" s="35">
        <v>0</v>
      </c>
      <c r="AN215" s="19">
        <v>0</v>
      </c>
      <c r="AO215" s="23">
        <v>0</v>
      </c>
      <c r="AP215" s="24">
        <v>0</v>
      </c>
      <c r="AQ215" s="58">
        <f t="shared" si="14"/>
        <v>2.16</v>
      </c>
      <c r="AR215" s="59">
        <f t="shared" si="15"/>
        <v>5400</v>
      </c>
      <c r="AS215" s="35">
        <v>3</v>
      </c>
    </row>
    <row r="216" spans="1:45" ht="15.6" x14ac:dyDescent="0.3">
      <c r="A216" s="53">
        <v>212</v>
      </c>
      <c r="B216" s="55" t="s">
        <v>237</v>
      </c>
      <c r="C216" s="54" t="s">
        <v>238</v>
      </c>
      <c r="D216" s="348"/>
      <c r="E216" s="53"/>
      <c r="F216" s="56"/>
      <c r="G216" s="53"/>
      <c r="H216" s="56"/>
      <c r="I216" s="57"/>
      <c r="J216" s="53"/>
      <c r="K216" s="56"/>
      <c r="L216" s="57"/>
      <c r="M216" s="58"/>
      <c r="N216" s="56"/>
      <c r="O216" s="57"/>
      <c r="P216" s="58">
        <f t="shared" si="12"/>
        <v>3.6</v>
      </c>
      <c r="Q216" s="59">
        <f t="shared" si="13"/>
        <v>9000</v>
      </c>
      <c r="R216" s="35">
        <v>5</v>
      </c>
      <c r="S216" s="19">
        <v>0</v>
      </c>
      <c r="T216" s="23">
        <v>0</v>
      </c>
      <c r="U216" s="24">
        <v>0</v>
      </c>
      <c r="V216" s="33">
        <v>0</v>
      </c>
      <c r="W216" s="34">
        <v>0</v>
      </c>
      <c r="X216" s="35">
        <v>0</v>
      </c>
      <c r="Y216" s="19">
        <v>0</v>
      </c>
      <c r="Z216" s="23">
        <v>0</v>
      </c>
      <c r="AA216" s="24">
        <v>0</v>
      </c>
      <c r="AB216" s="33">
        <v>0</v>
      </c>
      <c r="AC216" s="34">
        <v>0</v>
      </c>
      <c r="AD216" s="35">
        <v>0</v>
      </c>
      <c r="AE216" s="36">
        <v>0</v>
      </c>
      <c r="AF216" s="23">
        <v>0</v>
      </c>
      <c r="AG216" s="24">
        <v>0</v>
      </c>
      <c r="AH216" s="33">
        <v>0</v>
      </c>
      <c r="AI216" s="37">
        <v>0</v>
      </c>
      <c r="AJ216" s="35">
        <v>0</v>
      </c>
      <c r="AK216" s="36">
        <v>0</v>
      </c>
      <c r="AL216" s="38">
        <v>0</v>
      </c>
      <c r="AM216" s="35">
        <v>0</v>
      </c>
      <c r="AN216" s="19">
        <v>0</v>
      </c>
      <c r="AO216" s="23">
        <v>0</v>
      </c>
      <c r="AP216" s="24">
        <v>0</v>
      </c>
      <c r="AQ216" s="58">
        <f t="shared" si="14"/>
        <v>3.6</v>
      </c>
      <c r="AR216" s="59">
        <f t="shared" si="15"/>
        <v>9000</v>
      </c>
      <c r="AS216" s="35">
        <v>5</v>
      </c>
    </row>
    <row r="217" spans="1:45" ht="15.6" x14ac:dyDescent="0.3">
      <c r="A217" s="53">
        <v>213</v>
      </c>
      <c r="B217" s="55" t="s">
        <v>237</v>
      </c>
      <c r="C217" s="54" t="s">
        <v>239</v>
      </c>
      <c r="D217" s="348"/>
      <c r="E217" s="53"/>
      <c r="F217" s="56"/>
      <c r="G217" s="53"/>
      <c r="H217" s="56"/>
      <c r="I217" s="57"/>
      <c r="J217" s="53"/>
      <c r="K217" s="56"/>
      <c r="L217" s="57"/>
      <c r="M217" s="58"/>
      <c r="N217" s="56"/>
      <c r="O217" s="57"/>
      <c r="P217" s="58">
        <f t="shared" si="12"/>
        <v>3.6</v>
      </c>
      <c r="Q217" s="59">
        <f t="shared" si="13"/>
        <v>9000</v>
      </c>
      <c r="R217" s="35">
        <v>5</v>
      </c>
      <c r="S217" s="19">
        <v>0</v>
      </c>
      <c r="T217" s="23">
        <v>0</v>
      </c>
      <c r="U217" s="24">
        <v>0</v>
      </c>
      <c r="V217" s="33">
        <v>0</v>
      </c>
      <c r="W217" s="34">
        <v>0</v>
      </c>
      <c r="X217" s="35">
        <v>0</v>
      </c>
      <c r="Y217" s="19">
        <v>0</v>
      </c>
      <c r="Z217" s="23">
        <v>0</v>
      </c>
      <c r="AA217" s="24">
        <v>0</v>
      </c>
      <c r="AB217" s="33">
        <v>0</v>
      </c>
      <c r="AC217" s="34">
        <v>0</v>
      </c>
      <c r="AD217" s="35">
        <v>0</v>
      </c>
      <c r="AE217" s="36">
        <v>0</v>
      </c>
      <c r="AF217" s="23">
        <v>0</v>
      </c>
      <c r="AG217" s="24">
        <v>0</v>
      </c>
      <c r="AH217" s="33">
        <v>0</v>
      </c>
      <c r="AI217" s="37">
        <v>0</v>
      </c>
      <c r="AJ217" s="35">
        <v>0</v>
      </c>
      <c r="AK217" s="36">
        <v>0</v>
      </c>
      <c r="AL217" s="38">
        <v>0</v>
      </c>
      <c r="AM217" s="35">
        <v>0</v>
      </c>
      <c r="AN217" s="19">
        <v>0</v>
      </c>
      <c r="AO217" s="23">
        <v>0</v>
      </c>
      <c r="AP217" s="24">
        <v>0</v>
      </c>
      <c r="AQ217" s="58">
        <f t="shared" si="14"/>
        <v>3.6</v>
      </c>
      <c r="AR217" s="59">
        <f t="shared" si="15"/>
        <v>9000</v>
      </c>
      <c r="AS217" s="35">
        <v>5</v>
      </c>
    </row>
    <row r="218" spans="1:45" ht="15.6" x14ac:dyDescent="0.3">
      <c r="A218" s="53">
        <v>214</v>
      </c>
      <c r="B218" s="55" t="s">
        <v>237</v>
      </c>
      <c r="C218" s="54" t="s">
        <v>240</v>
      </c>
      <c r="D218" s="348"/>
      <c r="E218" s="53"/>
      <c r="F218" s="56"/>
      <c r="G218" s="53"/>
      <c r="H218" s="56"/>
      <c r="I218" s="57"/>
      <c r="J218" s="53"/>
      <c r="K218" s="56"/>
      <c r="L218" s="57"/>
      <c r="M218" s="58"/>
      <c r="N218" s="56"/>
      <c r="O218" s="57"/>
      <c r="P218" s="58">
        <f t="shared" si="12"/>
        <v>6.48</v>
      </c>
      <c r="Q218" s="59">
        <f t="shared" si="13"/>
        <v>16200</v>
      </c>
      <c r="R218" s="35">
        <v>9</v>
      </c>
      <c r="S218" s="19">
        <v>0</v>
      </c>
      <c r="T218" s="23">
        <v>0</v>
      </c>
      <c r="U218" s="24">
        <v>0</v>
      </c>
      <c r="V218" s="33">
        <v>0</v>
      </c>
      <c r="W218" s="34">
        <v>0</v>
      </c>
      <c r="X218" s="35">
        <v>0</v>
      </c>
      <c r="Y218" s="19">
        <v>0</v>
      </c>
      <c r="Z218" s="23">
        <v>0</v>
      </c>
      <c r="AA218" s="24">
        <v>0</v>
      </c>
      <c r="AB218" s="33">
        <v>0</v>
      </c>
      <c r="AC218" s="34">
        <v>0</v>
      </c>
      <c r="AD218" s="35">
        <v>0</v>
      </c>
      <c r="AE218" s="36">
        <v>0</v>
      </c>
      <c r="AF218" s="23">
        <v>0</v>
      </c>
      <c r="AG218" s="24">
        <v>0</v>
      </c>
      <c r="AH218" s="33">
        <v>0</v>
      </c>
      <c r="AI218" s="37">
        <v>0</v>
      </c>
      <c r="AJ218" s="35">
        <v>0</v>
      </c>
      <c r="AK218" s="36">
        <v>0</v>
      </c>
      <c r="AL218" s="38">
        <v>0</v>
      </c>
      <c r="AM218" s="35">
        <v>0</v>
      </c>
      <c r="AN218" s="19">
        <v>0</v>
      </c>
      <c r="AO218" s="23">
        <v>0</v>
      </c>
      <c r="AP218" s="24">
        <v>0</v>
      </c>
      <c r="AQ218" s="58">
        <f t="shared" si="14"/>
        <v>6.48</v>
      </c>
      <c r="AR218" s="59">
        <f t="shared" si="15"/>
        <v>16200</v>
      </c>
      <c r="AS218" s="35">
        <v>9</v>
      </c>
    </row>
    <row r="219" spans="1:45" ht="15.6" x14ac:dyDescent="0.3">
      <c r="A219" s="53">
        <v>215</v>
      </c>
      <c r="B219" s="55" t="s">
        <v>237</v>
      </c>
      <c r="C219" s="54" t="s">
        <v>237</v>
      </c>
      <c r="D219" s="348"/>
      <c r="E219" s="53"/>
      <c r="F219" s="56"/>
      <c r="G219" s="53"/>
      <c r="H219" s="56"/>
      <c r="I219" s="57"/>
      <c r="J219" s="53"/>
      <c r="K219" s="56"/>
      <c r="L219" s="57"/>
      <c r="M219" s="58"/>
      <c r="N219" s="56"/>
      <c r="O219" s="57"/>
      <c r="P219" s="58">
        <f t="shared" si="12"/>
        <v>8.64</v>
      </c>
      <c r="Q219" s="59">
        <f t="shared" si="13"/>
        <v>21600</v>
      </c>
      <c r="R219" s="35">
        <v>12</v>
      </c>
      <c r="S219" s="19">
        <v>0</v>
      </c>
      <c r="T219" s="23">
        <v>0</v>
      </c>
      <c r="U219" s="24">
        <v>0</v>
      </c>
      <c r="V219" s="33">
        <v>0</v>
      </c>
      <c r="W219" s="34">
        <v>0</v>
      </c>
      <c r="X219" s="35">
        <v>0</v>
      </c>
      <c r="Y219" s="19">
        <v>0</v>
      </c>
      <c r="Z219" s="23">
        <v>0</v>
      </c>
      <c r="AA219" s="24">
        <v>0</v>
      </c>
      <c r="AB219" s="33">
        <v>0</v>
      </c>
      <c r="AC219" s="34">
        <v>0</v>
      </c>
      <c r="AD219" s="35">
        <v>0</v>
      </c>
      <c r="AE219" s="36">
        <v>0</v>
      </c>
      <c r="AF219" s="23">
        <v>0</v>
      </c>
      <c r="AG219" s="24">
        <v>0</v>
      </c>
      <c r="AH219" s="33">
        <v>0</v>
      </c>
      <c r="AI219" s="37">
        <v>0</v>
      </c>
      <c r="AJ219" s="35">
        <v>0</v>
      </c>
      <c r="AK219" s="36">
        <v>0</v>
      </c>
      <c r="AL219" s="38">
        <v>0</v>
      </c>
      <c r="AM219" s="35">
        <v>0</v>
      </c>
      <c r="AN219" s="19">
        <v>0</v>
      </c>
      <c r="AO219" s="23">
        <v>0</v>
      </c>
      <c r="AP219" s="24">
        <v>0</v>
      </c>
      <c r="AQ219" s="58">
        <f t="shared" si="14"/>
        <v>8.64</v>
      </c>
      <c r="AR219" s="59">
        <f t="shared" si="15"/>
        <v>21600</v>
      </c>
      <c r="AS219" s="35">
        <v>12</v>
      </c>
    </row>
    <row r="220" spans="1:45" ht="15.6" x14ac:dyDescent="0.3">
      <c r="A220" s="53">
        <v>216</v>
      </c>
      <c r="B220" s="55" t="s">
        <v>237</v>
      </c>
      <c r="C220" s="54" t="s">
        <v>241</v>
      </c>
      <c r="D220" s="348"/>
      <c r="E220" s="53"/>
      <c r="F220" s="56"/>
      <c r="G220" s="53"/>
      <c r="H220" s="56"/>
      <c r="I220" s="57"/>
      <c r="J220" s="53"/>
      <c r="K220" s="56"/>
      <c r="L220" s="57"/>
      <c r="M220" s="58"/>
      <c r="N220" s="56"/>
      <c r="O220" s="57"/>
      <c r="P220" s="58">
        <f t="shared" si="12"/>
        <v>7.92</v>
      </c>
      <c r="Q220" s="59">
        <f t="shared" si="13"/>
        <v>19800</v>
      </c>
      <c r="R220" s="35">
        <v>11</v>
      </c>
      <c r="S220" s="19">
        <v>0</v>
      </c>
      <c r="T220" s="23">
        <v>0</v>
      </c>
      <c r="U220" s="24">
        <v>0</v>
      </c>
      <c r="V220" s="33">
        <v>0</v>
      </c>
      <c r="W220" s="34">
        <v>0</v>
      </c>
      <c r="X220" s="35">
        <v>0</v>
      </c>
      <c r="Y220" s="19">
        <v>0</v>
      </c>
      <c r="Z220" s="23">
        <v>0</v>
      </c>
      <c r="AA220" s="24">
        <v>0</v>
      </c>
      <c r="AB220" s="33">
        <v>0</v>
      </c>
      <c r="AC220" s="34">
        <v>0</v>
      </c>
      <c r="AD220" s="35">
        <v>0</v>
      </c>
      <c r="AE220" s="36">
        <v>0</v>
      </c>
      <c r="AF220" s="23">
        <v>0</v>
      </c>
      <c r="AG220" s="24">
        <v>0</v>
      </c>
      <c r="AH220" s="33">
        <v>0</v>
      </c>
      <c r="AI220" s="37">
        <v>0</v>
      </c>
      <c r="AJ220" s="35">
        <v>0</v>
      </c>
      <c r="AK220" s="36">
        <v>0</v>
      </c>
      <c r="AL220" s="38">
        <v>0</v>
      </c>
      <c r="AM220" s="35">
        <v>0</v>
      </c>
      <c r="AN220" s="19">
        <v>0</v>
      </c>
      <c r="AO220" s="23">
        <v>0</v>
      </c>
      <c r="AP220" s="24">
        <v>0</v>
      </c>
      <c r="AQ220" s="58">
        <f t="shared" si="14"/>
        <v>7.92</v>
      </c>
      <c r="AR220" s="59">
        <f t="shared" si="15"/>
        <v>19800</v>
      </c>
      <c r="AS220" s="35">
        <v>11</v>
      </c>
    </row>
    <row r="221" spans="1:45" ht="15.6" x14ac:dyDescent="0.3">
      <c r="A221" s="53">
        <v>217</v>
      </c>
      <c r="B221" s="55" t="s">
        <v>237</v>
      </c>
      <c r="C221" s="54" t="s">
        <v>242</v>
      </c>
      <c r="D221" s="348"/>
      <c r="E221" s="53"/>
      <c r="F221" s="56"/>
      <c r="G221" s="53"/>
      <c r="H221" s="56"/>
      <c r="I221" s="57"/>
      <c r="J221" s="53"/>
      <c r="K221" s="56"/>
      <c r="L221" s="57"/>
      <c r="M221" s="58"/>
      <c r="N221" s="56"/>
      <c r="O221" s="57"/>
      <c r="P221" s="58">
        <f t="shared" si="12"/>
        <v>3.6</v>
      </c>
      <c r="Q221" s="59">
        <f t="shared" si="13"/>
        <v>9000</v>
      </c>
      <c r="R221" s="35">
        <v>5</v>
      </c>
      <c r="S221" s="19">
        <v>0</v>
      </c>
      <c r="T221" s="23">
        <v>0</v>
      </c>
      <c r="U221" s="24">
        <v>0</v>
      </c>
      <c r="V221" s="33">
        <v>0</v>
      </c>
      <c r="W221" s="34">
        <v>0</v>
      </c>
      <c r="X221" s="35">
        <v>0</v>
      </c>
      <c r="Y221" s="19">
        <v>0</v>
      </c>
      <c r="Z221" s="23">
        <v>0</v>
      </c>
      <c r="AA221" s="24">
        <v>0</v>
      </c>
      <c r="AB221" s="33">
        <v>0</v>
      </c>
      <c r="AC221" s="34">
        <v>0</v>
      </c>
      <c r="AD221" s="35">
        <v>0</v>
      </c>
      <c r="AE221" s="36">
        <v>0</v>
      </c>
      <c r="AF221" s="23">
        <v>0</v>
      </c>
      <c r="AG221" s="24">
        <v>0</v>
      </c>
      <c r="AH221" s="33">
        <v>0</v>
      </c>
      <c r="AI221" s="37">
        <v>0</v>
      </c>
      <c r="AJ221" s="35">
        <v>0</v>
      </c>
      <c r="AK221" s="36">
        <v>0</v>
      </c>
      <c r="AL221" s="38">
        <v>0</v>
      </c>
      <c r="AM221" s="35">
        <v>0</v>
      </c>
      <c r="AN221" s="19">
        <v>0</v>
      </c>
      <c r="AO221" s="23">
        <v>0</v>
      </c>
      <c r="AP221" s="24">
        <v>0</v>
      </c>
      <c r="AQ221" s="58">
        <f t="shared" si="14"/>
        <v>3.6</v>
      </c>
      <c r="AR221" s="59">
        <f t="shared" si="15"/>
        <v>9000</v>
      </c>
      <c r="AS221" s="35">
        <v>5</v>
      </c>
    </row>
    <row r="222" spans="1:45" ht="15.6" x14ac:dyDescent="0.3">
      <c r="A222" s="53">
        <v>218</v>
      </c>
      <c r="B222" s="55" t="s">
        <v>237</v>
      </c>
      <c r="C222" s="54" t="s">
        <v>243</v>
      </c>
      <c r="D222" s="348"/>
      <c r="E222" s="53"/>
      <c r="F222" s="56"/>
      <c r="G222" s="53"/>
      <c r="H222" s="56"/>
      <c r="I222" s="57"/>
      <c r="J222" s="53"/>
      <c r="K222" s="56"/>
      <c r="L222" s="57"/>
      <c r="M222" s="58"/>
      <c r="N222" s="56"/>
      <c r="O222" s="57"/>
      <c r="P222" s="58">
        <f t="shared" si="12"/>
        <v>2.16</v>
      </c>
      <c r="Q222" s="59">
        <f t="shared" si="13"/>
        <v>5400</v>
      </c>
      <c r="R222" s="35">
        <v>3</v>
      </c>
      <c r="S222" s="19">
        <v>0</v>
      </c>
      <c r="T222" s="23">
        <v>0</v>
      </c>
      <c r="U222" s="24">
        <v>0</v>
      </c>
      <c r="V222" s="33">
        <v>0</v>
      </c>
      <c r="W222" s="34">
        <v>0</v>
      </c>
      <c r="X222" s="35">
        <v>0</v>
      </c>
      <c r="Y222" s="19">
        <v>0</v>
      </c>
      <c r="Z222" s="23">
        <v>0</v>
      </c>
      <c r="AA222" s="24">
        <v>0</v>
      </c>
      <c r="AB222" s="33">
        <v>0</v>
      </c>
      <c r="AC222" s="34">
        <v>0</v>
      </c>
      <c r="AD222" s="35">
        <v>0</v>
      </c>
      <c r="AE222" s="36">
        <v>0</v>
      </c>
      <c r="AF222" s="23">
        <v>0</v>
      </c>
      <c r="AG222" s="24">
        <v>0</v>
      </c>
      <c r="AH222" s="33">
        <v>0</v>
      </c>
      <c r="AI222" s="37">
        <v>0</v>
      </c>
      <c r="AJ222" s="35">
        <v>0</v>
      </c>
      <c r="AK222" s="36">
        <v>0</v>
      </c>
      <c r="AL222" s="38">
        <v>0</v>
      </c>
      <c r="AM222" s="35">
        <v>0</v>
      </c>
      <c r="AN222" s="19">
        <v>0</v>
      </c>
      <c r="AO222" s="23">
        <v>0</v>
      </c>
      <c r="AP222" s="24">
        <v>0</v>
      </c>
      <c r="AQ222" s="58">
        <f t="shared" si="14"/>
        <v>2.16</v>
      </c>
      <c r="AR222" s="59">
        <f t="shared" si="15"/>
        <v>5400</v>
      </c>
      <c r="AS222" s="35">
        <v>3</v>
      </c>
    </row>
    <row r="223" spans="1:45" ht="15.6" x14ac:dyDescent="0.3">
      <c r="A223" s="53">
        <v>219</v>
      </c>
      <c r="B223" s="55" t="s">
        <v>237</v>
      </c>
      <c r="C223" s="54" t="s">
        <v>244</v>
      </c>
      <c r="D223" s="348"/>
      <c r="E223" s="53"/>
      <c r="F223" s="56"/>
      <c r="G223" s="53"/>
      <c r="H223" s="56"/>
      <c r="I223" s="57"/>
      <c r="J223" s="53"/>
      <c r="K223" s="56"/>
      <c r="L223" s="57"/>
      <c r="M223" s="58"/>
      <c r="N223" s="56"/>
      <c r="O223" s="57"/>
      <c r="P223" s="58">
        <f t="shared" si="12"/>
        <v>2.16</v>
      </c>
      <c r="Q223" s="59">
        <f t="shared" si="13"/>
        <v>5400</v>
      </c>
      <c r="R223" s="35">
        <v>3</v>
      </c>
      <c r="S223" s="19">
        <v>0</v>
      </c>
      <c r="T223" s="23">
        <v>0</v>
      </c>
      <c r="U223" s="24">
        <v>0</v>
      </c>
      <c r="V223" s="33">
        <v>0</v>
      </c>
      <c r="W223" s="34">
        <v>0</v>
      </c>
      <c r="X223" s="35">
        <v>0</v>
      </c>
      <c r="Y223" s="19">
        <v>0</v>
      </c>
      <c r="Z223" s="23">
        <v>0</v>
      </c>
      <c r="AA223" s="24">
        <v>0</v>
      </c>
      <c r="AB223" s="33">
        <v>0</v>
      </c>
      <c r="AC223" s="34">
        <v>0</v>
      </c>
      <c r="AD223" s="35">
        <v>0</v>
      </c>
      <c r="AE223" s="36">
        <v>0</v>
      </c>
      <c r="AF223" s="23">
        <v>0</v>
      </c>
      <c r="AG223" s="24">
        <v>0</v>
      </c>
      <c r="AH223" s="33">
        <v>0</v>
      </c>
      <c r="AI223" s="37">
        <v>0</v>
      </c>
      <c r="AJ223" s="35">
        <v>0</v>
      </c>
      <c r="AK223" s="36">
        <v>0</v>
      </c>
      <c r="AL223" s="38">
        <v>0</v>
      </c>
      <c r="AM223" s="35">
        <v>0</v>
      </c>
      <c r="AN223" s="19">
        <v>0</v>
      </c>
      <c r="AO223" s="23">
        <v>0</v>
      </c>
      <c r="AP223" s="24">
        <v>0</v>
      </c>
      <c r="AQ223" s="58">
        <f t="shared" si="14"/>
        <v>2.16</v>
      </c>
      <c r="AR223" s="59">
        <f t="shared" si="15"/>
        <v>5400</v>
      </c>
      <c r="AS223" s="35">
        <v>3</v>
      </c>
    </row>
    <row r="224" spans="1:45" ht="15.6" x14ac:dyDescent="0.3">
      <c r="A224" s="53">
        <v>220</v>
      </c>
      <c r="B224" s="55" t="s">
        <v>237</v>
      </c>
      <c r="C224" s="54" t="s">
        <v>245</v>
      </c>
      <c r="D224" s="348"/>
      <c r="E224" s="53"/>
      <c r="F224" s="56"/>
      <c r="G224" s="53"/>
      <c r="H224" s="56"/>
      <c r="I224" s="57"/>
      <c r="J224" s="53"/>
      <c r="K224" s="56"/>
      <c r="L224" s="57"/>
      <c r="M224" s="58"/>
      <c r="N224" s="56"/>
      <c r="O224" s="57"/>
      <c r="P224" s="58">
        <f t="shared" si="12"/>
        <v>6.48</v>
      </c>
      <c r="Q224" s="59">
        <f t="shared" si="13"/>
        <v>16200</v>
      </c>
      <c r="R224" s="35">
        <v>9</v>
      </c>
      <c r="S224" s="19">
        <v>0</v>
      </c>
      <c r="T224" s="23">
        <v>0</v>
      </c>
      <c r="U224" s="24">
        <v>0</v>
      </c>
      <c r="V224" s="33">
        <v>0</v>
      </c>
      <c r="W224" s="34">
        <v>0</v>
      </c>
      <c r="X224" s="35">
        <v>0</v>
      </c>
      <c r="Y224" s="19">
        <v>0</v>
      </c>
      <c r="Z224" s="23">
        <v>0</v>
      </c>
      <c r="AA224" s="24">
        <v>0</v>
      </c>
      <c r="AB224" s="33">
        <v>0</v>
      </c>
      <c r="AC224" s="34">
        <v>0</v>
      </c>
      <c r="AD224" s="35">
        <v>0</v>
      </c>
      <c r="AE224" s="36">
        <v>0</v>
      </c>
      <c r="AF224" s="23">
        <v>0</v>
      </c>
      <c r="AG224" s="24">
        <v>0</v>
      </c>
      <c r="AH224" s="33">
        <v>0</v>
      </c>
      <c r="AI224" s="37">
        <v>0</v>
      </c>
      <c r="AJ224" s="35">
        <v>0</v>
      </c>
      <c r="AK224" s="36">
        <v>0</v>
      </c>
      <c r="AL224" s="38">
        <v>0</v>
      </c>
      <c r="AM224" s="35">
        <v>0</v>
      </c>
      <c r="AN224" s="19">
        <v>0</v>
      </c>
      <c r="AO224" s="23">
        <v>0</v>
      </c>
      <c r="AP224" s="24">
        <v>0</v>
      </c>
      <c r="AQ224" s="58">
        <f t="shared" si="14"/>
        <v>6.48</v>
      </c>
      <c r="AR224" s="59">
        <f t="shared" si="15"/>
        <v>16200</v>
      </c>
      <c r="AS224" s="35">
        <v>9</v>
      </c>
    </row>
    <row r="225" spans="1:45" ht="15.6" x14ac:dyDescent="0.3">
      <c r="A225" s="53">
        <v>221</v>
      </c>
      <c r="B225" s="55" t="s">
        <v>246</v>
      </c>
      <c r="C225" s="54" t="s">
        <v>247</v>
      </c>
      <c r="D225" s="348"/>
      <c r="E225" s="53"/>
      <c r="F225" s="56"/>
      <c r="G225" s="53"/>
      <c r="H225" s="56"/>
      <c r="I225" s="57"/>
      <c r="J225" s="53"/>
      <c r="K225" s="56"/>
      <c r="L225" s="57"/>
      <c r="M225" s="58"/>
      <c r="N225" s="56"/>
      <c r="O225" s="57"/>
      <c r="P225" s="58">
        <f t="shared" si="12"/>
        <v>1.44</v>
      </c>
      <c r="Q225" s="59">
        <f t="shared" si="13"/>
        <v>3600</v>
      </c>
      <c r="R225" s="35">
        <v>2</v>
      </c>
      <c r="S225" s="19">
        <v>0</v>
      </c>
      <c r="T225" s="23">
        <v>0</v>
      </c>
      <c r="U225" s="24">
        <v>0</v>
      </c>
      <c r="V225" s="33">
        <v>0</v>
      </c>
      <c r="W225" s="34">
        <v>0</v>
      </c>
      <c r="X225" s="35">
        <v>0</v>
      </c>
      <c r="Y225" s="19">
        <v>0</v>
      </c>
      <c r="Z225" s="23">
        <v>0</v>
      </c>
      <c r="AA225" s="24">
        <v>0</v>
      </c>
      <c r="AB225" s="33">
        <v>0</v>
      </c>
      <c r="AC225" s="34">
        <v>0</v>
      </c>
      <c r="AD225" s="35">
        <v>0</v>
      </c>
      <c r="AE225" s="36">
        <v>0</v>
      </c>
      <c r="AF225" s="23">
        <v>0</v>
      </c>
      <c r="AG225" s="24">
        <v>0</v>
      </c>
      <c r="AH225" s="33">
        <v>0</v>
      </c>
      <c r="AI225" s="37">
        <v>0</v>
      </c>
      <c r="AJ225" s="35">
        <v>0</v>
      </c>
      <c r="AK225" s="36">
        <v>0</v>
      </c>
      <c r="AL225" s="38">
        <v>0</v>
      </c>
      <c r="AM225" s="35">
        <v>0</v>
      </c>
      <c r="AN225" s="19">
        <v>0</v>
      </c>
      <c r="AO225" s="23">
        <v>0</v>
      </c>
      <c r="AP225" s="24">
        <v>0</v>
      </c>
      <c r="AQ225" s="58">
        <f t="shared" si="14"/>
        <v>1.44</v>
      </c>
      <c r="AR225" s="59">
        <f t="shared" si="15"/>
        <v>3600</v>
      </c>
      <c r="AS225" s="35">
        <v>2</v>
      </c>
    </row>
    <row r="226" spans="1:45" ht="15.6" x14ac:dyDescent="0.3">
      <c r="A226" s="53">
        <v>222</v>
      </c>
      <c r="B226" s="55" t="s">
        <v>246</v>
      </c>
      <c r="C226" s="54" t="s">
        <v>248</v>
      </c>
      <c r="D226" s="348" t="s">
        <v>25</v>
      </c>
      <c r="E226" s="53"/>
      <c r="F226" s="56"/>
      <c r="G226" s="53"/>
      <c r="H226" s="56"/>
      <c r="I226" s="57"/>
      <c r="J226" s="53"/>
      <c r="K226" s="56"/>
      <c r="L226" s="57"/>
      <c r="M226" s="58"/>
      <c r="N226" s="56"/>
      <c r="O226" s="57"/>
      <c r="P226" s="58">
        <f t="shared" si="12"/>
        <v>2.16</v>
      </c>
      <c r="Q226" s="59">
        <f t="shared" si="13"/>
        <v>5400</v>
      </c>
      <c r="R226" s="35">
        <v>3</v>
      </c>
      <c r="S226" s="19">
        <v>0</v>
      </c>
      <c r="T226" s="23">
        <v>0</v>
      </c>
      <c r="U226" s="24">
        <v>0</v>
      </c>
      <c r="V226" s="33">
        <v>0</v>
      </c>
      <c r="W226" s="34">
        <v>0</v>
      </c>
      <c r="X226" s="35">
        <v>0</v>
      </c>
      <c r="Y226" s="19">
        <v>0</v>
      </c>
      <c r="Z226" s="23">
        <v>0</v>
      </c>
      <c r="AA226" s="24">
        <v>0</v>
      </c>
      <c r="AB226" s="33">
        <v>0</v>
      </c>
      <c r="AC226" s="34">
        <v>0</v>
      </c>
      <c r="AD226" s="35">
        <v>0</v>
      </c>
      <c r="AE226" s="36">
        <v>0</v>
      </c>
      <c r="AF226" s="23">
        <v>0</v>
      </c>
      <c r="AG226" s="24">
        <v>0</v>
      </c>
      <c r="AH226" s="33">
        <v>0</v>
      </c>
      <c r="AI226" s="37">
        <v>0</v>
      </c>
      <c r="AJ226" s="35">
        <v>0</v>
      </c>
      <c r="AK226" s="36">
        <v>0</v>
      </c>
      <c r="AL226" s="38">
        <v>0</v>
      </c>
      <c r="AM226" s="35">
        <v>0</v>
      </c>
      <c r="AN226" s="19">
        <v>0</v>
      </c>
      <c r="AO226" s="23">
        <v>0</v>
      </c>
      <c r="AP226" s="24">
        <v>0</v>
      </c>
      <c r="AQ226" s="58">
        <f t="shared" si="14"/>
        <v>2.16</v>
      </c>
      <c r="AR226" s="59">
        <f t="shared" si="15"/>
        <v>5400</v>
      </c>
      <c r="AS226" s="35">
        <v>3</v>
      </c>
    </row>
    <row r="227" spans="1:45" ht="15.6" x14ac:dyDescent="0.3">
      <c r="A227" s="53">
        <v>223</v>
      </c>
      <c r="B227" s="55" t="s">
        <v>246</v>
      </c>
      <c r="C227" s="54" t="s">
        <v>249</v>
      </c>
      <c r="D227" s="348"/>
      <c r="E227" s="53"/>
      <c r="F227" s="56"/>
      <c r="G227" s="53"/>
      <c r="H227" s="56"/>
      <c r="I227" s="57"/>
      <c r="J227" s="53"/>
      <c r="K227" s="56"/>
      <c r="L227" s="57"/>
      <c r="M227" s="58"/>
      <c r="N227" s="56"/>
      <c r="O227" s="57"/>
      <c r="P227" s="58">
        <f t="shared" si="12"/>
        <v>2.16</v>
      </c>
      <c r="Q227" s="59">
        <f t="shared" si="13"/>
        <v>5400</v>
      </c>
      <c r="R227" s="35">
        <v>3</v>
      </c>
      <c r="S227" s="19">
        <v>0</v>
      </c>
      <c r="T227" s="23">
        <v>0</v>
      </c>
      <c r="U227" s="24">
        <v>0</v>
      </c>
      <c r="V227" s="33">
        <v>0</v>
      </c>
      <c r="W227" s="34">
        <v>0</v>
      </c>
      <c r="X227" s="35">
        <v>0</v>
      </c>
      <c r="Y227" s="19">
        <v>0</v>
      </c>
      <c r="Z227" s="23">
        <v>0</v>
      </c>
      <c r="AA227" s="24">
        <v>0</v>
      </c>
      <c r="AB227" s="33">
        <v>0</v>
      </c>
      <c r="AC227" s="34">
        <v>0</v>
      </c>
      <c r="AD227" s="35">
        <v>0</v>
      </c>
      <c r="AE227" s="36">
        <v>0</v>
      </c>
      <c r="AF227" s="23">
        <v>0</v>
      </c>
      <c r="AG227" s="24">
        <v>0</v>
      </c>
      <c r="AH227" s="33">
        <v>0</v>
      </c>
      <c r="AI227" s="37">
        <v>0</v>
      </c>
      <c r="AJ227" s="35">
        <v>0</v>
      </c>
      <c r="AK227" s="36">
        <v>0</v>
      </c>
      <c r="AL227" s="38">
        <v>0</v>
      </c>
      <c r="AM227" s="35">
        <v>0</v>
      </c>
      <c r="AN227" s="19">
        <v>0</v>
      </c>
      <c r="AO227" s="23">
        <v>0</v>
      </c>
      <c r="AP227" s="24">
        <v>0</v>
      </c>
      <c r="AQ227" s="58">
        <f t="shared" si="14"/>
        <v>2.16</v>
      </c>
      <c r="AR227" s="59">
        <f t="shared" si="15"/>
        <v>5400</v>
      </c>
      <c r="AS227" s="35">
        <v>3</v>
      </c>
    </row>
    <row r="228" spans="1:45" ht="15.6" x14ac:dyDescent="0.3">
      <c r="A228" s="53">
        <v>224</v>
      </c>
      <c r="B228" s="55" t="s">
        <v>246</v>
      </c>
      <c r="C228" s="54" t="s">
        <v>250</v>
      </c>
      <c r="D228" s="348"/>
      <c r="E228" s="53"/>
      <c r="F228" s="56"/>
      <c r="G228" s="53"/>
      <c r="H228" s="56"/>
      <c r="I228" s="57"/>
      <c r="J228" s="53"/>
      <c r="K228" s="56"/>
      <c r="L228" s="57"/>
      <c r="M228" s="58"/>
      <c r="N228" s="56"/>
      <c r="O228" s="57"/>
      <c r="P228" s="58">
        <f t="shared" si="12"/>
        <v>1.44</v>
      </c>
      <c r="Q228" s="59">
        <f t="shared" si="13"/>
        <v>3600</v>
      </c>
      <c r="R228" s="35">
        <v>2</v>
      </c>
      <c r="S228" s="19">
        <v>0</v>
      </c>
      <c r="T228" s="23">
        <v>0</v>
      </c>
      <c r="U228" s="24">
        <v>0</v>
      </c>
      <c r="V228" s="33">
        <v>0</v>
      </c>
      <c r="W228" s="34">
        <v>0</v>
      </c>
      <c r="X228" s="35">
        <v>0</v>
      </c>
      <c r="Y228" s="19">
        <v>0</v>
      </c>
      <c r="Z228" s="23">
        <v>0</v>
      </c>
      <c r="AA228" s="24">
        <v>0</v>
      </c>
      <c r="AB228" s="33">
        <v>0</v>
      </c>
      <c r="AC228" s="34">
        <v>0</v>
      </c>
      <c r="AD228" s="35">
        <v>0</v>
      </c>
      <c r="AE228" s="36">
        <v>0</v>
      </c>
      <c r="AF228" s="23">
        <v>0</v>
      </c>
      <c r="AG228" s="24">
        <v>0</v>
      </c>
      <c r="AH228" s="33">
        <v>0</v>
      </c>
      <c r="AI228" s="37">
        <v>0</v>
      </c>
      <c r="AJ228" s="35">
        <v>0</v>
      </c>
      <c r="AK228" s="36">
        <v>0</v>
      </c>
      <c r="AL228" s="38">
        <v>0</v>
      </c>
      <c r="AM228" s="35">
        <v>0</v>
      </c>
      <c r="AN228" s="19">
        <v>0</v>
      </c>
      <c r="AO228" s="23">
        <v>0</v>
      </c>
      <c r="AP228" s="24">
        <v>0</v>
      </c>
      <c r="AQ228" s="58">
        <f t="shared" si="14"/>
        <v>1.44</v>
      </c>
      <c r="AR228" s="59">
        <f t="shared" si="15"/>
        <v>3600</v>
      </c>
      <c r="AS228" s="35">
        <v>2</v>
      </c>
    </row>
    <row r="229" spans="1:45" ht="15.6" x14ac:dyDescent="0.3">
      <c r="A229" s="53">
        <v>225</v>
      </c>
      <c r="B229" s="55" t="s">
        <v>246</v>
      </c>
      <c r="C229" s="54" t="s">
        <v>251</v>
      </c>
      <c r="D229" s="348"/>
      <c r="E229" s="53"/>
      <c r="F229" s="56"/>
      <c r="G229" s="53"/>
      <c r="H229" s="56"/>
      <c r="I229" s="57"/>
      <c r="J229" s="53"/>
      <c r="K229" s="56"/>
      <c r="L229" s="57"/>
      <c r="M229" s="58"/>
      <c r="N229" s="56"/>
      <c r="O229" s="57"/>
      <c r="P229" s="58">
        <f t="shared" si="12"/>
        <v>1.44</v>
      </c>
      <c r="Q229" s="59">
        <f t="shared" si="13"/>
        <v>3600</v>
      </c>
      <c r="R229" s="35">
        <v>2</v>
      </c>
      <c r="S229" s="19">
        <v>0</v>
      </c>
      <c r="T229" s="23">
        <v>0</v>
      </c>
      <c r="U229" s="24">
        <v>0</v>
      </c>
      <c r="V229" s="33">
        <v>0</v>
      </c>
      <c r="W229" s="34">
        <v>0</v>
      </c>
      <c r="X229" s="35">
        <v>0</v>
      </c>
      <c r="Y229" s="19">
        <v>0</v>
      </c>
      <c r="Z229" s="23">
        <v>0</v>
      </c>
      <c r="AA229" s="24">
        <v>0</v>
      </c>
      <c r="AB229" s="33">
        <v>0</v>
      </c>
      <c r="AC229" s="34">
        <v>0</v>
      </c>
      <c r="AD229" s="35">
        <v>0</v>
      </c>
      <c r="AE229" s="36">
        <v>0</v>
      </c>
      <c r="AF229" s="23">
        <v>0</v>
      </c>
      <c r="AG229" s="24">
        <v>0</v>
      </c>
      <c r="AH229" s="33">
        <v>0</v>
      </c>
      <c r="AI229" s="37">
        <v>0</v>
      </c>
      <c r="AJ229" s="35">
        <v>0</v>
      </c>
      <c r="AK229" s="36">
        <v>0</v>
      </c>
      <c r="AL229" s="38">
        <v>0</v>
      </c>
      <c r="AM229" s="35">
        <v>0</v>
      </c>
      <c r="AN229" s="19">
        <v>0</v>
      </c>
      <c r="AO229" s="23">
        <v>0</v>
      </c>
      <c r="AP229" s="24">
        <v>0</v>
      </c>
      <c r="AQ229" s="58">
        <f t="shared" si="14"/>
        <v>1.44</v>
      </c>
      <c r="AR229" s="59">
        <f t="shared" si="15"/>
        <v>3600</v>
      </c>
      <c r="AS229" s="35">
        <v>2</v>
      </c>
    </row>
    <row r="230" spans="1:45" ht="15.6" x14ac:dyDescent="0.3">
      <c r="A230" s="53">
        <v>226</v>
      </c>
      <c r="B230" s="55" t="s">
        <v>246</v>
      </c>
      <c r="C230" s="54" t="s">
        <v>252</v>
      </c>
      <c r="D230" s="348"/>
      <c r="E230" s="53"/>
      <c r="F230" s="56"/>
      <c r="G230" s="53"/>
      <c r="H230" s="56"/>
      <c r="I230" s="57"/>
      <c r="J230" s="53"/>
      <c r="K230" s="56"/>
      <c r="L230" s="57"/>
      <c r="M230" s="58"/>
      <c r="N230" s="56"/>
      <c r="O230" s="57"/>
      <c r="P230" s="58">
        <f t="shared" si="12"/>
        <v>0.72</v>
      </c>
      <c r="Q230" s="59">
        <f t="shared" si="13"/>
        <v>1800</v>
      </c>
      <c r="R230" s="35">
        <v>1</v>
      </c>
      <c r="S230" s="19">
        <v>0</v>
      </c>
      <c r="T230" s="23">
        <v>0</v>
      </c>
      <c r="U230" s="24">
        <v>0</v>
      </c>
      <c r="V230" s="33">
        <v>0</v>
      </c>
      <c r="W230" s="34">
        <v>0</v>
      </c>
      <c r="X230" s="35">
        <v>0</v>
      </c>
      <c r="Y230" s="19">
        <v>0</v>
      </c>
      <c r="Z230" s="23">
        <v>0</v>
      </c>
      <c r="AA230" s="24">
        <v>0</v>
      </c>
      <c r="AB230" s="33">
        <v>0</v>
      </c>
      <c r="AC230" s="34">
        <v>0</v>
      </c>
      <c r="AD230" s="35">
        <v>0</v>
      </c>
      <c r="AE230" s="36">
        <v>0</v>
      </c>
      <c r="AF230" s="23">
        <v>0</v>
      </c>
      <c r="AG230" s="24">
        <v>0</v>
      </c>
      <c r="AH230" s="33">
        <v>0</v>
      </c>
      <c r="AI230" s="37">
        <v>0</v>
      </c>
      <c r="AJ230" s="35">
        <v>0</v>
      </c>
      <c r="AK230" s="36">
        <v>0</v>
      </c>
      <c r="AL230" s="38">
        <v>0</v>
      </c>
      <c r="AM230" s="35">
        <v>0</v>
      </c>
      <c r="AN230" s="19">
        <v>0</v>
      </c>
      <c r="AO230" s="23">
        <v>0</v>
      </c>
      <c r="AP230" s="24">
        <v>0</v>
      </c>
      <c r="AQ230" s="58">
        <f t="shared" si="14"/>
        <v>0.72</v>
      </c>
      <c r="AR230" s="59">
        <f t="shared" si="15"/>
        <v>1800</v>
      </c>
      <c r="AS230" s="35">
        <v>1</v>
      </c>
    </row>
    <row r="231" spans="1:45" ht="15.6" x14ac:dyDescent="0.3">
      <c r="A231" s="53">
        <v>227</v>
      </c>
      <c r="B231" s="55" t="s">
        <v>246</v>
      </c>
      <c r="C231" s="54" t="s">
        <v>253</v>
      </c>
      <c r="D231" s="348"/>
      <c r="E231" s="53"/>
      <c r="F231" s="56"/>
      <c r="G231" s="53"/>
      <c r="H231" s="56"/>
      <c r="I231" s="57"/>
      <c r="J231" s="53"/>
      <c r="K231" s="56"/>
      <c r="L231" s="57"/>
      <c r="M231" s="58"/>
      <c r="N231" s="56"/>
      <c r="O231" s="57"/>
      <c r="P231" s="58">
        <f t="shared" si="12"/>
        <v>2.16</v>
      </c>
      <c r="Q231" s="59">
        <f t="shared" si="13"/>
        <v>5400</v>
      </c>
      <c r="R231" s="35">
        <v>3</v>
      </c>
      <c r="S231" s="19">
        <v>0</v>
      </c>
      <c r="T231" s="23">
        <v>0</v>
      </c>
      <c r="U231" s="24">
        <v>0</v>
      </c>
      <c r="V231" s="33">
        <v>0</v>
      </c>
      <c r="W231" s="34">
        <v>0</v>
      </c>
      <c r="X231" s="35">
        <v>0</v>
      </c>
      <c r="Y231" s="19">
        <v>0</v>
      </c>
      <c r="Z231" s="23">
        <v>0</v>
      </c>
      <c r="AA231" s="24">
        <v>0</v>
      </c>
      <c r="AB231" s="33">
        <v>0</v>
      </c>
      <c r="AC231" s="34">
        <v>0</v>
      </c>
      <c r="AD231" s="35">
        <v>0</v>
      </c>
      <c r="AE231" s="36">
        <v>0</v>
      </c>
      <c r="AF231" s="23">
        <v>0</v>
      </c>
      <c r="AG231" s="24">
        <v>0</v>
      </c>
      <c r="AH231" s="33">
        <v>0</v>
      </c>
      <c r="AI231" s="37">
        <v>0</v>
      </c>
      <c r="AJ231" s="35">
        <v>0</v>
      </c>
      <c r="AK231" s="36">
        <v>0</v>
      </c>
      <c r="AL231" s="38">
        <v>0</v>
      </c>
      <c r="AM231" s="35">
        <v>0</v>
      </c>
      <c r="AN231" s="19">
        <v>0</v>
      </c>
      <c r="AO231" s="23">
        <v>0</v>
      </c>
      <c r="AP231" s="24">
        <v>0</v>
      </c>
      <c r="AQ231" s="58">
        <f t="shared" si="14"/>
        <v>2.16</v>
      </c>
      <c r="AR231" s="59">
        <f t="shared" si="15"/>
        <v>5400</v>
      </c>
      <c r="AS231" s="35">
        <v>3</v>
      </c>
    </row>
    <row r="232" spans="1:45" ht="15.6" x14ac:dyDescent="0.3">
      <c r="A232" s="53">
        <v>228</v>
      </c>
      <c r="B232" s="55" t="s">
        <v>246</v>
      </c>
      <c r="C232" s="54" t="s">
        <v>254</v>
      </c>
      <c r="D232" s="348"/>
      <c r="E232" s="53"/>
      <c r="F232" s="56"/>
      <c r="G232" s="53"/>
      <c r="H232" s="56"/>
      <c r="I232" s="57"/>
      <c r="J232" s="53"/>
      <c r="K232" s="56"/>
      <c r="L232" s="57"/>
      <c r="M232" s="58"/>
      <c r="N232" s="56"/>
      <c r="O232" s="57"/>
      <c r="P232" s="58">
        <f t="shared" si="12"/>
        <v>2.88</v>
      </c>
      <c r="Q232" s="59">
        <f t="shared" si="13"/>
        <v>7200</v>
      </c>
      <c r="R232" s="35">
        <v>4</v>
      </c>
      <c r="S232" s="19">
        <v>0</v>
      </c>
      <c r="T232" s="23">
        <v>0</v>
      </c>
      <c r="U232" s="24">
        <v>0</v>
      </c>
      <c r="V232" s="33">
        <v>0</v>
      </c>
      <c r="W232" s="34">
        <v>0</v>
      </c>
      <c r="X232" s="35">
        <v>0</v>
      </c>
      <c r="Y232" s="19">
        <v>0</v>
      </c>
      <c r="Z232" s="23">
        <v>0</v>
      </c>
      <c r="AA232" s="24">
        <v>0</v>
      </c>
      <c r="AB232" s="33">
        <v>0</v>
      </c>
      <c r="AC232" s="34">
        <v>0</v>
      </c>
      <c r="AD232" s="35">
        <v>0</v>
      </c>
      <c r="AE232" s="36">
        <v>0</v>
      </c>
      <c r="AF232" s="23">
        <v>0</v>
      </c>
      <c r="AG232" s="24">
        <v>0</v>
      </c>
      <c r="AH232" s="33">
        <v>0</v>
      </c>
      <c r="AI232" s="37">
        <v>0</v>
      </c>
      <c r="AJ232" s="35">
        <v>0</v>
      </c>
      <c r="AK232" s="36">
        <v>0</v>
      </c>
      <c r="AL232" s="38">
        <v>0</v>
      </c>
      <c r="AM232" s="35">
        <v>0</v>
      </c>
      <c r="AN232" s="19">
        <v>0</v>
      </c>
      <c r="AO232" s="23">
        <v>0</v>
      </c>
      <c r="AP232" s="24">
        <v>0</v>
      </c>
      <c r="AQ232" s="58">
        <f t="shared" si="14"/>
        <v>2.88</v>
      </c>
      <c r="AR232" s="59">
        <f t="shared" si="15"/>
        <v>7200</v>
      </c>
      <c r="AS232" s="35">
        <v>4</v>
      </c>
    </row>
    <row r="233" spans="1:45" ht="15.6" x14ac:dyDescent="0.3">
      <c r="A233" s="53">
        <v>229</v>
      </c>
      <c r="B233" s="55" t="s">
        <v>246</v>
      </c>
      <c r="C233" s="54" t="s">
        <v>255</v>
      </c>
      <c r="D233" s="348"/>
      <c r="E233" s="53"/>
      <c r="F233" s="56"/>
      <c r="G233" s="53"/>
      <c r="H233" s="56"/>
      <c r="I233" s="57"/>
      <c r="J233" s="53"/>
      <c r="K233" s="56"/>
      <c r="L233" s="57"/>
      <c r="M233" s="58"/>
      <c r="N233" s="56"/>
      <c r="O233" s="57"/>
      <c r="P233" s="58">
        <f t="shared" si="12"/>
        <v>2.16</v>
      </c>
      <c r="Q233" s="59">
        <f t="shared" si="13"/>
        <v>5400</v>
      </c>
      <c r="R233" s="35">
        <v>3</v>
      </c>
      <c r="S233" s="19">
        <v>0</v>
      </c>
      <c r="T233" s="23">
        <v>0</v>
      </c>
      <c r="U233" s="24">
        <v>0</v>
      </c>
      <c r="V233" s="33">
        <v>0</v>
      </c>
      <c r="W233" s="34">
        <v>0</v>
      </c>
      <c r="X233" s="35">
        <v>0</v>
      </c>
      <c r="Y233" s="19">
        <v>0</v>
      </c>
      <c r="Z233" s="23">
        <v>0</v>
      </c>
      <c r="AA233" s="24">
        <v>0</v>
      </c>
      <c r="AB233" s="33">
        <v>0</v>
      </c>
      <c r="AC233" s="34">
        <v>0</v>
      </c>
      <c r="AD233" s="35">
        <v>0</v>
      </c>
      <c r="AE233" s="36">
        <v>0</v>
      </c>
      <c r="AF233" s="23">
        <v>0</v>
      </c>
      <c r="AG233" s="24">
        <v>0</v>
      </c>
      <c r="AH233" s="33">
        <v>0</v>
      </c>
      <c r="AI233" s="37">
        <v>0</v>
      </c>
      <c r="AJ233" s="35">
        <v>0</v>
      </c>
      <c r="AK233" s="36">
        <v>0</v>
      </c>
      <c r="AL233" s="38">
        <v>0</v>
      </c>
      <c r="AM233" s="35">
        <v>0</v>
      </c>
      <c r="AN233" s="19">
        <v>0</v>
      </c>
      <c r="AO233" s="23">
        <v>0</v>
      </c>
      <c r="AP233" s="24">
        <v>0</v>
      </c>
      <c r="AQ233" s="58">
        <f t="shared" si="14"/>
        <v>2.16</v>
      </c>
      <c r="AR233" s="59">
        <f t="shared" si="15"/>
        <v>5400</v>
      </c>
      <c r="AS233" s="35">
        <v>3</v>
      </c>
    </row>
    <row r="234" spans="1:45" ht="15.6" x14ac:dyDescent="0.3">
      <c r="A234" s="53">
        <v>230</v>
      </c>
      <c r="B234" s="55" t="s">
        <v>246</v>
      </c>
      <c r="C234" s="54" t="s">
        <v>256</v>
      </c>
      <c r="D234" s="348"/>
      <c r="E234" s="53"/>
      <c r="F234" s="56"/>
      <c r="G234" s="53"/>
      <c r="H234" s="56"/>
      <c r="I234" s="57"/>
      <c r="J234" s="53"/>
      <c r="K234" s="56"/>
      <c r="L234" s="57"/>
      <c r="M234" s="58"/>
      <c r="N234" s="56"/>
      <c r="O234" s="57"/>
      <c r="P234" s="58">
        <f t="shared" si="12"/>
        <v>2.16</v>
      </c>
      <c r="Q234" s="59">
        <f t="shared" si="13"/>
        <v>5400</v>
      </c>
      <c r="R234" s="35">
        <v>3</v>
      </c>
      <c r="S234" s="19">
        <v>0</v>
      </c>
      <c r="T234" s="23">
        <v>0</v>
      </c>
      <c r="U234" s="24">
        <v>0</v>
      </c>
      <c r="V234" s="33">
        <v>0</v>
      </c>
      <c r="W234" s="34">
        <v>0</v>
      </c>
      <c r="X234" s="35">
        <v>0</v>
      </c>
      <c r="Y234" s="19">
        <v>0</v>
      </c>
      <c r="Z234" s="23">
        <v>0</v>
      </c>
      <c r="AA234" s="24">
        <v>0</v>
      </c>
      <c r="AB234" s="33">
        <v>0</v>
      </c>
      <c r="AC234" s="34">
        <v>0</v>
      </c>
      <c r="AD234" s="35">
        <v>0</v>
      </c>
      <c r="AE234" s="36">
        <v>0</v>
      </c>
      <c r="AF234" s="23">
        <v>0</v>
      </c>
      <c r="AG234" s="24">
        <v>0</v>
      </c>
      <c r="AH234" s="33">
        <v>0</v>
      </c>
      <c r="AI234" s="37">
        <v>0</v>
      </c>
      <c r="AJ234" s="35">
        <v>0</v>
      </c>
      <c r="AK234" s="36">
        <v>0</v>
      </c>
      <c r="AL234" s="38">
        <v>0</v>
      </c>
      <c r="AM234" s="35">
        <v>0</v>
      </c>
      <c r="AN234" s="19">
        <v>0</v>
      </c>
      <c r="AO234" s="23">
        <v>0</v>
      </c>
      <c r="AP234" s="24">
        <v>0</v>
      </c>
      <c r="AQ234" s="58">
        <f t="shared" si="14"/>
        <v>2.16</v>
      </c>
      <c r="AR234" s="59">
        <f t="shared" si="15"/>
        <v>5400</v>
      </c>
      <c r="AS234" s="35">
        <v>3</v>
      </c>
    </row>
    <row r="235" spans="1:45" ht="15.6" x14ac:dyDescent="0.3">
      <c r="A235" s="53">
        <v>231</v>
      </c>
      <c r="B235" s="55" t="s">
        <v>246</v>
      </c>
      <c r="C235" s="54" t="s">
        <v>257</v>
      </c>
      <c r="D235" s="348"/>
      <c r="E235" s="53"/>
      <c r="F235" s="56"/>
      <c r="G235" s="53"/>
      <c r="H235" s="56"/>
      <c r="I235" s="57"/>
      <c r="J235" s="53"/>
      <c r="K235" s="56"/>
      <c r="L235" s="57"/>
      <c r="M235" s="58"/>
      <c r="N235" s="56"/>
      <c r="O235" s="57"/>
      <c r="P235" s="58">
        <f t="shared" si="12"/>
        <v>2.88</v>
      </c>
      <c r="Q235" s="59">
        <f t="shared" si="13"/>
        <v>7200</v>
      </c>
      <c r="R235" s="35">
        <v>4</v>
      </c>
      <c r="S235" s="19">
        <v>0</v>
      </c>
      <c r="T235" s="23">
        <v>0</v>
      </c>
      <c r="U235" s="24">
        <v>0</v>
      </c>
      <c r="V235" s="33">
        <v>0</v>
      </c>
      <c r="W235" s="34">
        <v>0</v>
      </c>
      <c r="X235" s="35">
        <v>0</v>
      </c>
      <c r="Y235" s="19">
        <v>0</v>
      </c>
      <c r="Z235" s="23">
        <v>0</v>
      </c>
      <c r="AA235" s="24">
        <v>0</v>
      </c>
      <c r="AB235" s="33">
        <v>0</v>
      </c>
      <c r="AC235" s="34">
        <v>0</v>
      </c>
      <c r="AD235" s="35">
        <v>0</v>
      </c>
      <c r="AE235" s="36">
        <v>0</v>
      </c>
      <c r="AF235" s="23">
        <v>0</v>
      </c>
      <c r="AG235" s="24">
        <v>0</v>
      </c>
      <c r="AH235" s="33">
        <v>0</v>
      </c>
      <c r="AI235" s="37">
        <v>0</v>
      </c>
      <c r="AJ235" s="35">
        <v>0</v>
      </c>
      <c r="AK235" s="36">
        <v>0</v>
      </c>
      <c r="AL235" s="38">
        <v>0</v>
      </c>
      <c r="AM235" s="35">
        <v>0</v>
      </c>
      <c r="AN235" s="19">
        <v>0</v>
      </c>
      <c r="AO235" s="23">
        <v>0</v>
      </c>
      <c r="AP235" s="24">
        <v>0</v>
      </c>
      <c r="AQ235" s="58">
        <f t="shared" si="14"/>
        <v>2.88</v>
      </c>
      <c r="AR235" s="59">
        <f t="shared" si="15"/>
        <v>7200</v>
      </c>
      <c r="AS235" s="35">
        <v>4</v>
      </c>
    </row>
    <row r="236" spans="1:45" ht="15.6" x14ac:dyDescent="0.3">
      <c r="A236" s="53">
        <v>232</v>
      </c>
      <c r="B236" s="55" t="s">
        <v>246</v>
      </c>
      <c r="C236" s="54" t="s">
        <v>258</v>
      </c>
      <c r="D236" s="348"/>
      <c r="E236" s="53"/>
      <c r="F236" s="56"/>
      <c r="G236" s="53"/>
      <c r="H236" s="56"/>
      <c r="I236" s="57"/>
      <c r="J236" s="53"/>
      <c r="K236" s="56"/>
      <c r="L236" s="57"/>
      <c r="M236" s="58"/>
      <c r="N236" s="56"/>
      <c r="O236" s="57"/>
      <c r="P236" s="58">
        <f t="shared" si="12"/>
        <v>2.88</v>
      </c>
      <c r="Q236" s="59">
        <f t="shared" si="13"/>
        <v>7200</v>
      </c>
      <c r="R236" s="35">
        <v>4</v>
      </c>
      <c r="S236" s="19">
        <v>0</v>
      </c>
      <c r="T236" s="23">
        <v>0</v>
      </c>
      <c r="U236" s="24">
        <v>0</v>
      </c>
      <c r="V236" s="33">
        <v>0</v>
      </c>
      <c r="W236" s="34">
        <v>0</v>
      </c>
      <c r="X236" s="35">
        <v>0</v>
      </c>
      <c r="Y236" s="19">
        <v>0</v>
      </c>
      <c r="Z236" s="23">
        <v>0</v>
      </c>
      <c r="AA236" s="24">
        <v>0</v>
      </c>
      <c r="AB236" s="33">
        <v>0</v>
      </c>
      <c r="AC236" s="34">
        <v>0</v>
      </c>
      <c r="AD236" s="35">
        <v>0</v>
      </c>
      <c r="AE236" s="36">
        <v>0</v>
      </c>
      <c r="AF236" s="23">
        <v>0</v>
      </c>
      <c r="AG236" s="24">
        <v>0</v>
      </c>
      <c r="AH236" s="33">
        <v>0</v>
      </c>
      <c r="AI236" s="37">
        <v>0</v>
      </c>
      <c r="AJ236" s="35">
        <v>0</v>
      </c>
      <c r="AK236" s="36">
        <v>0</v>
      </c>
      <c r="AL236" s="38">
        <v>0</v>
      </c>
      <c r="AM236" s="35">
        <v>0</v>
      </c>
      <c r="AN236" s="19">
        <v>0</v>
      </c>
      <c r="AO236" s="23">
        <v>0</v>
      </c>
      <c r="AP236" s="24">
        <v>0</v>
      </c>
      <c r="AQ236" s="58">
        <f t="shared" si="14"/>
        <v>2.88</v>
      </c>
      <c r="AR236" s="59">
        <f t="shared" si="15"/>
        <v>7200</v>
      </c>
      <c r="AS236" s="35">
        <v>4</v>
      </c>
    </row>
    <row r="237" spans="1:45" ht="15.6" x14ac:dyDescent="0.3">
      <c r="A237" s="53">
        <v>233</v>
      </c>
      <c r="B237" s="55" t="s">
        <v>246</v>
      </c>
      <c r="C237" s="54" t="s">
        <v>259</v>
      </c>
      <c r="D237" s="348"/>
      <c r="E237" s="53"/>
      <c r="F237" s="56"/>
      <c r="G237" s="53"/>
      <c r="H237" s="56"/>
      <c r="I237" s="57"/>
      <c r="J237" s="53"/>
      <c r="K237" s="56"/>
      <c r="L237" s="57"/>
      <c r="M237" s="58"/>
      <c r="N237" s="56"/>
      <c r="O237" s="57"/>
      <c r="P237" s="58">
        <f t="shared" si="12"/>
        <v>0.72</v>
      </c>
      <c r="Q237" s="59">
        <f t="shared" si="13"/>
        <v>1800</v>
      </c>
      <c r="R237" s="35">
        <v>1</v>
      </c>
      <c r="S237" s="19">
        <v>0</v>
      </c>
      <c r="T237" s="23">
        <v>0</v>
      </c>
      <c r="U237" s="24">
        <v>0</v>
      </c>
      <c r="V237" s="33">
        <v>0</v>
      </c>
      <c r="W237" s="34">
        <v>0</v>
      </c>
      <c r="X237" s="35">
        <v>0</v>
      </c>
      <c r="Y237" s="19">
        <v>0</v>
      </c>
      <c r="Z237" s="23">
        <v>0</v>
      </c>
      <c r="AA237" s="24">
        <v>0</v>
      </c>
      <c r="AB237" s="33">
        <v>0</v>
      </c>
      <c r="AC237" s="34">
        <v>0</v>
      </c>
      <c r="AD237" s="35">
        <v>0</v>
      </c>
      <c r="AE237" s="36">
        <v>0</v>
      </c>
      <c r="AF237" s="23">
        <v>0</v>
      </c>
      <c r="AG237" s="24">
        <v>0</v>
      </c>
      <c r="AH237" s="33">
        <v>0</v>
      </c>
      <c r="AI237" s="37">
        <v>0</v>
      </c>
      <c r="AJ237" s="35">
        <v>0</v>
      </c>
      <c r="AK237" s="36">
        <v>0</v>
      </c>
      <c r="AL237" s="38">
        <v>0</v>
      </c>
      <c r="AM237" s="35">
        <v>0</v>
      </c>
      <c r="AN237" s="19">
        <v>0</v>
      </c>
      <c r="AO237" s="23">
        <v>0</v>
      </c>
      <c r="AP237" s="24">
        <v>0</v>
      </c>
      <c r="AQ237" s="58">
        <f t="shared" si="14"/>
        <v>0.72</v>
      </c>
      <c r="AR237" s="59">
        <f t="shared" si="15"/>
        <v>1800</v>
      </c>
      <c r="AS237" s="35">
        <v>1</v>
      </c>
    </row>
    <row r="238" spans="1:45" ht="15.6" x14ac:dyDescent="0.3">
      <c r="A238" s="53">
        <v>234</v>
      </c>
      <c r="B238" s="55" t="s">
        <v>246</v>
      </c>
      <c r="C238" s="54" t="s">
        <v>260</v>
      </c>
      <c r="D238" s="348"/>
      <c r="E238" s="53"/>
      <c r="F238" s="56"/>
      <c r="G238" s="53"/>
      <c r="H238" s="56"/>
      <c r="I238" s="57"/>
      <c r="J238" s="53"/>
      <c r="K238" s="56"/>
      <c r="L238" s="57"/>
      <c r="M238" s="58"/>
      <c r="N238" s="56"/>
      <c r="O238" s="57"/>
      <c r="P238" s="58">
        <f t="shared" si="12"/>
        <v>2.16</v>
      </c>
      <c r="Q238" s="59">
        <f t="shared" si="13"/>
        <v>5400</v>
      </c>
      <c r="R238" s="35">
        <v>3</v>
      </c>
      <c r="S238" s="19">
        <v>0</v>
      </c>
      <c r="T238" s="23">
        <v>0</v>
      </c>
      <c r="U238" s="24">
        <v>0</v>
      </c>
      <c r="V238" s="33">
        <v>0</v>
      </c>
      <c r="W238" s="34">
        <v>0</v>
      </c>
      <c r="X238" s="35">
        <v>0</v>
      </c>
      <c r="Y238" s="19">
        <v>0</v>
      </c>
      <c r="Z238" s="23">
        <v>0</v>
      </c>
      <c r="AA238" s="24">
        <v>0</v>
      </c>
      <c r="AB238" s="33">
        <v>0</v>
      </c>
      <c r="AC238" s="34">
        <v>0</v>
      </c>
      <c r="AD238" s="35">
        <v>0</v>
      </c>
      <c r="AE238" s="36">
        <v>0</v>
      </c>
      <c r="AF238" s="23">
        <v>0</v>
      </c>
      <c r="AG238" s="24">
        <v>0</v>
      </c>
      <c r="AH238" s="33">
        <v>0</v>
      </c>
      <c r="AI238" s="37">
        <v>0</v>
      </c>
      <c r="AJ238" s="35">
        <v>0</v>
      </c>
      <c r="AK238" s="36">
        <v>0</v>
      </c>
      <c r="AL238" s="38">
        <v>0</v>
      </c>
      <c r="AM238" s="35">
        <v>0</v>
      </c>
      <c r="AN238" s="19">
        <v>0</v>
      </c>
      <c r="AO238" s="23">
        <v>0</v>
      </c>
      <c r="AP238" s="24">
        <v>0</v>
      </c>
      <c r="AQ238" s="58">
        <f t="shared" si="14"/>
        <v>2.16</v>
      </c>
      <c r="AR238" s="59">
        <f t="shared" si="15"/>
        <v>5400</v>
      </c>
      <c r="AS238" s="35">
        <v>3</v>
      </c>
    </row>
    <row r="239" spans="1:45" ht="15.6" x14ac:dyDescent="0.3">
      <c r="A239" s="53">
        <v>235</v>
      </c>
      <c r="B239" s="55" t="s">
        <v>246</v>
      </c>
      <c r="C239" s="54" t="s">
        <v>261</v>
      </c>
      <c r="D239" s="348"/>
      <c r="E239" s="53"/>
      <c r="F239" s="56"/>
      <c r="G239" s="53"/>
      <c r="H239" s="56"/>
      <c r="I239" s="57"/>
      <c r="J239" s="53"/>
      <c r="K239" s="56"/>
      <c r="L239" s="57"/>
      <c r="M239" s="58"/>
      <c r="N239" s="56"/>
      <c r="O239" s="57"/>
      <c r="P239" s="58">
        <f t="shared" si="12"/>
        <v>2.16</v>
      </c>
      <c r="Q239" s="59">
        <f t="shared" si="13"/>
        <v>5400</v>
      </c>
      <c r="R239" s="35">
        <v>3</v>
      </c>
      <c r="S239" s="19">
        <v>0</v>
      </c>
      <c r="T239" s="23">
        <v>0</v>
      </c>
      <c r="U239" s="24">
        <v>0</v>
      </c>
      <c r="V239" s="33">
        <v>0</v>
      </c>
      <c r="W239" s="34">
        <v>0</v>
      </c>
      <c r="X239" s="35">
        <v>0</v>
      </c>
      <c r="Y239" s="19">
        <v>0</v>
      </c>
      <c r="Z239" s="23">
        <v>0</v>
      </c>
      <c r="AA239" s="24">
        <v>0</v>
      </c>
      <c r="AB239" s="33">
        <v>0</v>
      </c>
      <c r="AC239" s="34">
        <v>0</v>
      </c>
      <c r="AD239" s="35">
        <v>0</v>
      </c>
      <c r="AE239" s="36">
        <v>0</v>
      </c>
      <c r="AF239" s="23">
        <v>0</v>
      </c>
      <c r="AG239" s="24">
        <v>0</v>
      </c>
      <c r="AH239" s="33">
        <v>0</v>
      </c>
      <c r="AI239" s="37">
        <v>0</v>
      </c>
      <c r="AJ239" s="35">
        <v>0</v>
      </c>
      <c r="AK239" s="36">
        <v>0</v>
      </c>
      <c r="AL239" s="38">
        <v>0</v>
      </c>
      <c r="AM239" s="35">
        <v>0</v>
      </c>
      <c r="AN239" s="19">
        <v>0</v>
      </c>
      <c r="AO239" s="23">
        <v>0</v>
      </c>
      <c r="AP239" s="24">
        <v>0</v>
      </c>
      <c r="AQ239" s="58">
        <f t="shared" si="14"/>
        <v>2.16</v>
      </c>
      <c r="AR239" s="59">
        <f t="shared" si="15"/>
        <v>5400</v>
      </c>
      <c r="AS239" s="35">
        <v>3</v>
      </c>
    </row>
    <row r="240" spans="1:45" ht="15.6" x14ac:dyDescent="0.3">
      <c r="A240" s="53">
        <v>236</v>
      </c>
      <c r="B240" s="55" t="s">
        <v>246</v>
      </c>
      <c r="C240" s="54" t="s">
        <v>262</v>
      </c>
      <c r="D240" s="348"/>
      <c r="E240" s="53"/>
      <c r="F240" s="56"/>
      <c r="G240" s="53"/>
      <c r="H240" s="56"/>
      <c r="I240" s="57"/>
      <c r="J240" s="53"/>
      <c r="K240" s="56"/>
      <c r="L240" s="57"/>
      <c r="M240" s="58"/>
      <c r="N240" s="56"/>
      <c r="O240" s="57"/>
      <c r="P240" s="58">
        <f t="shared" si="12"/>
        <v>4.32</v>
      </c>
      <c r="Q240" s="59">
        <f t="shared" si="13"/>
        <v>10800</v>
      </c>
      <c r="R240" s="35">
        <v>6</v>
      </c>
      <c r="S240" s="19">
        <v>0</v>
      </c>
      <c r="T240" s="23">
        <v>0</v>
      </c>
      <c r="U240" s="24">
        <v>0</v>
      </c>
      <c r="V240" s="33">
        <v>0</v>
      </c>
      <c r="W240" s="34">
        <v>0</v>
      </c>
      <c r="X240" s="35">
        <v>0</v>
      </c>
      <c r="Y240" s="19">
        <v>0</v>
      </c>
      <c r="Z240" s="23">
        <v>0</v>
      </c>
      <c r="AA240" s="24">
        <v>0</v>
      </c>
      <c r="AB240" s="33">
        <v>0</v>
      </c>
      <c r="AC240" s="34">
        <v>0</v>
      </c>
      <c r="AD240" s="35">
        <v>0</v>
      </c>
      <c r="AE240" s="36">
        <v>0</v>
      </c>
      <c r="AF240" s="23">
        <v>0</v>
      </c>
      <c r="AG240" s="24">
        <v>0</v>
      </c>
      <c r="AH240" s="33">
        <v>0</v>
      </c>
      <c r="AI240" s="37">
        <v>0</v>
      </c>
      <c r="AJ240" s="35">
        <v>0</v>
      </c>
      <c r="AK240" s="36">
        <v>0</v>
      </c>
      <c r="AL240" s="38">
        <v>0</v>
      </c>
      <c r="AM240" s="35">
        <v>0</v>
      </c>
      <c r="AN240" s="19">
        <v>0</v>
      </c>
      <c r="AO240" s="23">
        <v>0</v>
      </c>
      <c r="AP240" s="24">
        <v>0</v>
      </c>
      <c r="AQ240" s="58">
        <f t="shared" si="14"/>
        <v>4.32</v>
      </c>
      <c r="AR240" s="59">
        <f t="shared" si="15"/>
        <v>10800</v>
      </c>
      <c r="AS240" s="35">
        <v>6</v>
      </c>
    </row>
    <row r="241" spans="1:45" ht="15.6" x14ac:dyDescent="0.3">
      <c r="A241" s="53">
        <v>237</v>
      </c>
      <c r="B241" s="55" t="s">
        <v>263</v>
      </c>
      <c r="C241" s="54" t="s">
        <v>264</v>
      </c>
      <c r="D241" s="348"/>
      <c r="E241" s="53"/>
      <c r="F241" s="56"/>
      <c r="G241" s="53"/>
      <c r="H241" s="56"/>
      <c r="I241" s="57"/>
      <c r="J241" s="53"/>
      <c r="K241" s="56"/>
      <c r="L241" s="57"/>
      <c r="M241" s="58"/>
      <c r="N241" s="56"/>
      <c r="O241" s="57"/>
      <c r="P241" s="58">
        <f t="shared" si="12"/>
        <v>1.44</v>
      </c>
      <c r="Q241" s="59">
        <f t="shared" si="13"/>
        <v>3600</v>
      </c>
      <c r="R241" s="35">
        <v>2</v>
      </c>
      <c r="S241" s="19">
        <v>0</v>
      </c>
      <c r="T241" s="23">
        <v>0</v>
      </c>
      <c r="U241" s="24">
        <v>0</v>
      </c>
      <c r="V241" s="33">
        <v>0</v>
      </c>
      <c r="W241" s="34">
        <v>0</v>
      </c>
      <c r="X241" s="35">
        <v>0</v>
      </c>
      <c r="Y241" s="19">
        <v>0</v>
      </c>
      <c r="Z241" s="23">
        <v>0</v>
      </c>
      <c r="AA241" s="24">
        <v>0</v>
      </c>
      <c r="AB241" s="33">
        <v>0</v>
      </c>
      <c r="AC241" s="34">
        <v>0</v>
      </c>
      <c r="AD241" s="35">
        <v>0</v>
      </c>
      <c r="AE241" s="36">
        <v>0</v>
      </c>
      <c r="AF241" s="23">
        <v>0</v>
      </c>
      <c r="AG241" s="24">
        <v>0</v>
      </c>
      <c r="AH241" s="33">
        <v>0</v>
      </c>
      <c r="AI241" s="37">
        <v>0</v>
      </c>
      <c r="AJ241" s="35">
        <v>0</v>
      </c>
      <c r="AK241" s="36">
        <v>0</v>
      </c>
      <c r="AL241" s="38">
        <v>0</v>
      </c>
      <c r="AM241" s="35">
        <v>0</v>
      </c>
      <c r="AN241" s="19">
        <v>0</v>
      </c>
      <c r="AO241" s="23">
        <v>0</v>
      </c>
      <c r="AP241" s="24">
        <v>0</v>
      </c>
      <c r="AQ241" s="58">
        <f t="shared" si="14"/>
        <v>1.44</v>
      </c>
      <c r="AR241" s="59">
        <f t="shared" si="15"/>
        <v>3600</v>
      </c>
      <c r="AS241" s="35">
        <v>2</v>
      </c>
    </row>
    <row r="242" spans="1:45" ht="15.6" x14ac:dyDescent="0.3">
      <c r="A242" s="53">
        <v>238</v>
      </c>
      <c r="B242" s="55" t="s">
        <v>263</v>
      </c>
      <c r="C242" s="54" t="s">
        <v>265</v>
      </c>
      <c r="D242" s="348"/>
      <c r="E242" s="53"/>
      <c r="F242" s="56"/>
      <c r="G242" s="53"/>
      <c r="H242" s="56"/>
      <c r="I242" s="57"/>
      <c r="J242" s="53"/>
      <c r="K242" s="56"/>
      <c r="L242" s="57"/>
      <c r="M242" s="58"/>
      <c r="N242" s="56"/>
      <c r="O242" s="57"/>
      <c r="P242" s="58">
        <f t="shared" si="12"/>
        <v>4.32</v>
      </c>
      <c r="Q242" s="59">
        <f t="shared" si="13"/>
        <v>10800</v>
      </c>
      <c r="R242" s="35">
        <v>6</v>
      </c>
      <c r="S242" s="19">
        <v>0</v>
      </c>
      <c r="T242" s="23">
        <v>0</v>
      </c>
      <c r="U242" s="24">
        <v>0</v>
      </c>
      <c r="V242" s="33">
        <v>0</v>
      </c>
      <c r="W242" s="34">
        <v>0</v>
      </c>
      <c r="X242" s="35">
        <v>0</v>
      </c>
      <c r="Y242" s="19">
        <v>0</v>
      </c>
      <c r="Z242" s="23">
        <v>0</v>
      </c>
      <c r="AA242" s="24">
        <v>0</v>
      </c>
      <c r="AB242" s="33">
        <v>0</v>
      </c>
      <c r="AC242" s="34">
        <v>0</v>
      </c>
      <c r="AD242" s="35">
        <v>0</v>
      </c>
      <c r="AE242" s="36">
        <v>0</v>
      </c>
      <c r="AF242" s="23">
        <v>0</v>
      </c>
      <c r="AG242" s="24">
        <v>0</v>
      </c>
      <c r="AH242" s="33">
        <v>0</v>
      </c>
      <c r="AI242" s="37">
        <v>0</v>
      </c>
      <c r="AJ242" s="35">
        <v>0</v>
      </c>
      <c r="AK242" s="36">
        <v>0</v>
      </c>
      <c r="AL242" s="38">
        <v>0</v>
      </c>
      <c r="AM242" s="35">
        <v>0</v>
      </c>
      <c r="AN242" s="19">
        <v>0</v>
      </c>
      <c r="AO242" s="23">
        <v>0</v>
      </c>
      <c r="AP242" s="24">
        <v>0</v>
      </c>
      <c r="AQ242" s="58">
        <f t="shared" si="14"/>
        <v>4.32</v>
      </c>
      <c r="AR242" s="59">
        <f t="shared" si="15"/>
        <v>10800</v>
      </c>
      <c r="AS242" s="35">
        <v>6</v>
      </c>
    </row>
    <row r="243" spans="1:45" ht="15.6" x14ac:dyDescent="0.3">
      <c r="A243" s="53">
        <v>239</v>
      </c>
      <c r="B243" s="55" t="s">
        <v>263</v>
      </c>
      <c r="C243" s="54" t="s">
        <v>266</v>
      </c>
      <c r="D243" s="348" t="s">
        <v>25</v>
      </c>
      <c r="E243" s="53"/>
      <c r="F243" s="56"/>
      <c r="G243" s="53"/>
      <c r="H243" s="56"/>
      <c r="I243" s="57"/>
      <c r="J243" s="53"/>
      <c r="K243" s="56"/>
      <c r="L243" s="57"/>
      <c r="M243" s="58"/>
      <c r="N243" s="56"/>
      <c r="O243" s="57"/>
      <c r="P243" s="58">
        <f t="shared" si="12"/>
        <v>0.72</v>
      </c>
      <c r="Q243" s="59">
        <f t="shared" si="13"/>
        <v>1800</v>
      </c>
      <c r="R243" s="35">
        <v>1</v>
      </c>
      <c r="S243" s="19">
        <v>0</v>
      </c>
      <c r="T243" s="23">
        <v>0</v>
      </c>
      <c r="U243" s="24">
        <v>0</v>
      </c>
      <c r="V243" s="33">
        <v>0</v>
      </c>
      <c r="W243" s="34">
        <v>0</v>
      </c>
      <c r="X243" s="35">
        <v>0</v>
      </c>
      <c r="Y243" s="19">
        <v>0</v>
      </c>
      <c r="Z243" s="23">
        <v>0</v>
      </c>
      <c r="AA243" s="24">
        <v>0</v>
      </c>
      <c r="AB243" s="33">
        <v>0</v>
      </c>
      <c r="AC243" s="34">
        <v>0</v>
      </c>
      <c r="AD243" s="35">
        <v>0</v>
      </c>
      <c r="AE243" s="36">
        <v>0</v>
      </c>
      <c r="AF243" s="23">
        <v>0</v>
      </c>
      <c r="AG243" s="24">
        <v>0</v>
      </c>
      <c r="AH243" s="33">
        <v>0</v>
      </c>
      <c r="AI243" s="37">
        <v>0</v>
      </c>
      <c r="AJ243" s="35">
        <v>0</v>
      </c>
      <c r="AK243" s="36">
        <v>0</v>
      </c>
      <c r="AL243" s="38">
        <v>0</v>
      </c>
      <c r="AM243" s="35">
        <v>0</v>
      </c>
      <c r="AN243" s="19">
        <v>0</v>
      </c>
      <c r="AO243" s="23">
        <v>0</v>
      </c>
      <c r="AP243" s="24">
        <v>0</v>
      </c>
      <c r="AQ243" s="58">
        <f t="shared" si="14"/>
        <v>0.72</v>
      </c>
      <c r="AR243" s="59">
        <f t="shared" si="15"/>
        <v>1800</v>
      </c>
      <c r="AS243" s="35">
        <v>1</v>
      </c>
    </row>
    <row r="244" spans="1:45" ht="15.6" x14ac:dyDescent="0.3">
      <c r="A244" s="53">
        <v>240</v>
      </c>
      <c r="B244" s="55" t="s">
        <v>263</v>
      </c>
      <c r="C244" s="54" t="s">
        <v>267</v>
      </c>
      <c r="D244" s="348"/>
      <c r="E244" s="53"/>
      <c r="F244" s="56"/>
      <c r="G244" s="53"/>
      <c r="H244" s="56"/>
      <c r="I244" s="57"/>
      <c r="J244" s="53"/>
      <c r="K244" s="56"/>
      <c r="L244" s="57"/>
      <c r="M244" s="58"/>
      <c r="N244" s="56"/>
      <c r="O244" s="57"/>
      <c r="P244" s="58">
        <f t="shared" si="12"/>
        <v>1.44</v>
      </c>
      <c r="Q244" s="59">
        <f t="shared" si="13"/>
        <v>3600</v>
      </c>
      <c r="R244" s="35">
        <v>2</v>
      </c>
      <c r="S244" s="19">
        <v>0</v>
      </c>
      <c r="T244" s="23">
        <v>0</v>
      </c>
      <c r="U244" s="24">
        <v>0</v>
      </c>
      <c r="V244" s="33">
        <v>0</v>
      </c>
      <c r="W244" s="34">
        <v>0</v>
      </c>
      <c r="X244" s="35">
        <v>0</v>
      </c>
      <c r="Y244" s="19">
        <v>0</v>
      </c>
      <c r="Z244" s="23">
        <v>0</v>
      </c>
      <c r="AA244" s="24">
        <v>0</v>
      </c>
      <c r="AB244" s="33">
        <v>0</v>
      </c>
      <c r="AC244" s="34">
        <v>0</v>
      </c>
      <c r="AD244" s="35">
        <v>0</v>
      </c>
      <c r="AE244" s="36">
        <v>0</v>
      </c>
      <c r="AF244" s="23">
        <v>0</v>
      </c>
      <c r="AG244" s="24">
        <v>0</v>
      </c>
      <c r="AH244" s="33">
        <v>0</v>
      </c>
      <c r="AI244" s="37">
        <v>0</v>
      </c>
      <c r="AJ244" s="35">
        <v>0</v>
      </c>
      <c r="AK244" s="36">
        <v>0</v>
      </c>
      <c r="AL244" s="38">
        <v>0</v>
      </c>
      <c r="AM244" s="35">
        <v>0</v>
      </c>
      <c r="AN244" s="19">
        <v>0</v>
      </c>
      <c r="AO244" s="23">
        <v>0</v>
      </c>
      <c r="AP244" s="24">
        <v>0</v>
      </c>
      <c r="AQ244" s="58">
        <f t="shared" si="14"/>
        <v>1.44</v>
      </c>
      <c r="AR244" s="59">
        <f t="shared" si="15"/>
        <v>3600</v>
      </c>
      <c r="AS244" s="35">
        <v>2</v>
      </c>
    </row>
    <row r="245" spans="1:45" ht="15.6" x14ac:dyDescent="0.3">
      <c r="A245" s="53">
        <v>241</v>
      </c>
      <c r="B245" s="55" t="s">
        <v>263</v>
      </c>
      <c r="C245" s="54" t="s">
        <v>268</v>
      </c>
      <c r="D245" s="348"/>
      <c r="E245" s="53"/>
      <c r="F245" s="56"/>
      <c r="G245" s="53"/>
      <c r="H245" s="56"/>
      <c r="I245" s="57"/>
      <c r="J245" s="53"/>
      <c r="K245" s="56"/>
      <c r="L245" s="57"/>
      <c r="M245" s="58"/>
      <c r="N245" s="56"/>
      <c r="O245" s="57"/>
      <c r="P245" s="58">
        <f t="shared" si="12"/>
        <v>0.72</v>
      </c>
      <c r="Q245" s="59">
        <f t="shared" si="13"/>
        <v>1800</v>
      </c>
      <c r="R245" s="35">
        <v>1</v>
      </c>
      <c r="S245" s="19">
        <v>0</v>
      </c>
      <c r="T245" s="23">
        <v>0</v>
      </c>
      <c r="U245" s="24">
        <v>0</v>
      </c>
      <c r="V245" s="33">
        <v>0</v>
      </c>
      <c r="W245" s="34">
        <v>0</v>
      </c>
      <c r="X245" s="35">
        <v>0</v>
      </c>
      <c r="Y245" s="19">
        <v>0</v>
      </c>
      <c r="Z245" s="23">
        <v>0</v>
      </c>
      <c r="AA245" s="24">
        <v>0</v>
      </c>
      <c r="AB245" s="33">
        <v>0</v>
      </c>
      <c r="AC245" s="34">
        <v>0</v>
      </c>
      <c r="AD245" s="35">
        <v>0</v>
      </c>
      <c r="AE245" s="36">
        <v>0</v>
      </c>
      <c r="AF245" s="23">
        <v>0</v>
      </c>
      <c r="AG245" s="24">
        <v>0</v>
      </c>
      <c r="AH245" s="33">
        <v>0</v>
      </c>
      <c r="AI245" s="37">
        <v>0</v>
      </c>
      <c r="AJ245" s="35">
        <v>0</v>
      </c>
      <c r="AK245" s="36">
        <v>0</v>
      </c>
      <c r="AL245" s="38">
        <v>0</v>
      </c>
      <c r="AM245" s="35">
        <v>0</v>
      </c>
      <c r="AN245" s="19">
        <v>0</v>
      </c>
      <c r="AO245" s="23">
        <v>0</v>
      </c>
      <c r="AP245" s="24">
        <v>0</v>
      </c>
      <c r="AQ245" s="58">
        <f t="shared" si="14"/>
        <v>0.72</v>
      </c>
      <c r="AR245" s="59">
        <f t="shared" si="15"/>
        <v>1800</v>
      </c>
      <c r="AS245" s="35">
        <v>1</v>
      </c>
    </row>
    <row r="246" spans="1:45" ht="15.6" x14ac:dyDescent="0.3">
      <c r="A246" s="53">
        <v>242</v>
      </c>
      <c r="B246" s="55" t="s">
        <v>263</v>
      </c>
      <c r="C246" s="54" t="s">
        <v>269</v>
      </c>
      <c r="D246" s="348"/>
      <c r="E246" s="53"/>
      <c r="F246" s="56"/>
      <c r="G246" s="53"/>
      <c r="H246" s="56"/>
      <c r="I246" s="57"/>
      <c r="J246" s="53"/>
      <c r="K246" s="56"/>
      <c r="L246" s="57"/>
      <c r="M246" s="58"/>
      <c r="N246" s="56"/>
      <c r="O246" s="57"/>
      <c r="P246" s="58">
        <f t="shared" si="12"/>
        <v>0</v>
      </c>
      <c r="Q246" s="59">
        <f t="shared" si="13"/>
        <v>0</v>
      </c>
      <c r="R246" s="35">
        <v>0</v>
      </c>
      <c r="S246" s="19">
        <v>0</v>
      </c>
      <c r="T246" s="23">
        <v>0</v>
      </c>
      <c r="U246" s="24">
        <v>0</v>
      </c>
      <c r="V246" s="33">
        <v>0</v>
      </c>
      <c r="W246" s="34">
        <v>0</v>
      </c>
      <c r="X246" s="35">
        <v>0</v>
      </c>
      <c r="Y246" s="19">
        <v>0</v>
      </c>
      <c r="Z246" s="23">
        <v>0</v>
      </c>
      <c r="AA246" s="24">
        <v>0</v>
      </c>
      <c r="AB246" s="33">
        <v>0</v>
      </c>
      <c r="AC246" s="34">
        <v>0</v>
      </c>
      <c r="AD246" s="35">
        <v>0</v>
      </c>
      <c r="AE246" s="36">
        <v>0</v>
      </c>
      <c r="AF246" s="23">
        <v>0</v>
      </c>
      <c r="AG246" s="24">
        <v>0</v>
      </c>
      <c r="AH246" s="33">
        <v>0</v>
      </c>
      <c r="AI246" s="37">
        <v>0</v>
      </c>
      <c r="AJ246" s="35">
        <v>0</v>
      </c>
      <c r="AK246" s="36">
        <v>0</v>
      </c>
      <c r="AL246" s="38">
        <v>0</v>
      </c>
      <c r="AM246" s="35">
        <v>0</v>
      </c>
      <c r="AN246" s="19">
        <v>0</v>
      </c>
      <c r="AO246" s="23">
        <v>0</v>
      </c>
      <c r="AP246" s="24">
        <v>0</v>
      </c>
      <c r="AQ246" s="58">
        <f t="shared" si="14"/>
        <v>0</v>
      </c>
      <c r="AR246" s="59">
        <f t="shared" si="15"/>
        <v>0</v>
      </c>
      <c r="AS246" s="35">
        <v>0</v>
      </c>
    </row>
    <row r="247" spans="1:45" ht="15.6" x14ac:dyDescent="0.3">
      <c r="A247" s="53">
        <v>243</v>
      </c>
      <c r="B247" s="55" t="s">
        <v>263</v>
      </c>
      <c r="C247" s="54" t="s">
        <v>270</v>
      </c>
      <c r="D247" s="348"/>
      <c r="E247" s="53"/>
      <c r="F247" s="56"/>
      <c r="G247" s="53"/>
      <c r="H247" s="56"/>
      <c r="I247" s="57"/>
      <c r="J247" s="53"/>
      <c r="K247" s="56"/>
      <c r="L247" s="57"/>
      <c r="M247" s="58"/>
      <c r="N247" s="56"/>
      <c r="O247" s="57"/>
      <c r="P247" s="58">
        <f t="shared" si="12"/>
        <v>0</v>
      </c>
      <c r="Q247" s="59">
        <f t="shared" si="13"/>
        <v>0</v>
      </c>
      <c r="R247" s="35">
        <v>0</v>
      </c>
      <c r="S247" s="19">
        <v>0</v>
      </c>
      <c r="T247" s="23">
        <v>0</v>
      </c>
      <c r="U247" s="24">
        <v>0</v>
      </c>
      <c r="V247" s="33">
        <v>0</v>
      </c>
      <c r="W247" s="34">
        <v>0</v>
      </c>
      <c r="X247" s="35">
        <v>0</v>
      </c>
      <c r="Y247" s="19">
        <v>0</v>
      </c>
      <c r="Z247" s="23">
        <v>0</v>
      </c>
      <c r="AA247" s="24">
        <v>0</v>
      </c>
      <c r="AB247" s="33">
        <v>0</v>
      </c>
      <c r="AC247" s="34">
        <v>0</v>
      </c>
      <c r="AD247" s="35">
        <v>0</v>
      </c>
      <c r="AE247" s="36">
        <v>0</v>
      </c>
      <c r="AF247" s="23">
        <v>0</v>
      </c>
      <c r="AG247" s="24">
        <v>0</v>
      </c>
      <c r="AH247" s="33">
        <v>0</v>
      </c>
      <c r="AI247" s="37">
        <v>0</v>
      </c>
      <c r="AJ247" s="35">
        <v>0</v>
      </c>
      <c r="AK247" s="36">
        <v>0</v>
      </c>
      <c r="AL247" s="38">
        <v>0</v>
      </c>
      <c r="AM247" s="35">
        <v>0</v>
      </c>
      <c r="AN247" s="19">
        <v>0</v>
      </c>
      <c r="AO247" s="23">
        <v>0</v>
      </c>
      <c r="AP247" s="24">
        <v>0</v>
      </c>
      <c r="AQ247" s="58">
        <f t="shared" si="14"/>
        <v>0</v>
      </c>
      <c r="AR247" s="59">
        <f t="shared" si="15"/>
        <v>0</v>
      </c>
      <c r="AS247" s="35">
        <v>0</v>
      </c>
    </row>
    <row r="248" spans="1:45" ht="15.6" x14ac:dyDescent="0.3">
      <c r="A248" s="53">
        <v>244</v>
      </c>
      <c r="B248" s="55" t="s">
        <v>263</v>
      </c>
      <c r="C248" s="54" t="s">
        <v>271</v>
      </c>
      <c r="D248" s="348"/>
      <c r="E248" s="53"/>
      <c r="F248" s="56"/>
      <c r="G248" s="53"/>
      <c r="H248" s="56"/>
      <c r="I248" s="57"/>
      <c r="J248" s="53"/>
      <c r="K248" s="56"/>
      <c r="L248" s="57"/>
      <c r="M248" s="58"/>
      <c r="N248" s="56"/>
      <c r="O248" s="57"/>
      <c r="P248" s="58">
        <f t="shared" si="12"/>
        <v>1.44</v>
      </c>
      <c r="Q248" s="59">
        <f t="shared" si="13"/>
        <v>3600</v>
      </c>
      <c r="R248" s="35">
        <v>2</v>
      </c>
      <c r="S248" s="19">
        <v>0</v>
      </c>
      <c r="T248" s="23">
        <v>0</v>
      </c>
      <c r="U248" s="24">
        <v>0</v>
      </c>
      <c r="V248" s="33">
        <v>0</v>
      </c>
      <c r="W248" s="34">
        <v>0</v>
      </c>
      <c r="X248" s="35">
        <v>0</v>
      </c>
      <c r="Y248" s="19">
        <v>0</v>
      </c>
      <c r="Z248" s="23">
        <v>0</v>
      </c>
      <c r="AA248" s="24">
        <v>0</v>
      </c>
      <c r="AB248" s="33">
        <v>0</v>
      </c>
      <c r="AC248" s="34">
        <v>0</v>
      </c>
      <c r="AD248" s="35">
        <v>0</v>
      </c>
      <c r="AE248" s="36">
        <v>0</v>
      </c>
      <c r="AF248" s="23">
        <v>0</v>
      </c>
      <c r="AG248" s="24">
        <v>0</v>
      </c>
      <c r="AH248" s="33">
        <v>0</v>
      </c>
      <c r="AI248" s="37">
        <v>0</v>
      </c>
      <c r="AJ248" s="35">
        <v>0</v>
      </c>
      <c r="AK248" s="36">
        <v>0</v>
      </c>
      <c r="AL248" s="38">
        <v>0</v>
      </c>
      <c r="AM248" s="35">
        <v>0</v>
      </c>
      <c r="AN248" s="19">
        <v>0</v>
      </c>
      <c r="AO248" s="23">
        <v>0</v>
      </c>
      <c r="AP248" s="24">
        <v>0</v>
      </c>
      <c r="AQ248" s="58">
        <f t="shared" si="14"/>
        <v>1.44</v>
      </c>
      <c r="AR248" s="59">
        <f t="shared" si="15"/>
        <v>3600</v>
      </c>
      <c r="AS248" s="35">
        <v>2</v>
      </c>
    </row>
    <row r="249" spans="1:45" ht="15.6" x14ac:dyDescent="0.3">
      <c r="A249" s="53">
        <v>245</v>
      </c>
      <c r="B249" s="55" t="s">
        <v>263</v>
      </c>
      <c r="C249" s="54" t="s">
        <v>272</v>
      </c>
      <c r="D249" s="348"/>
      <c r="E249" s="53"/>
      <c r="F249" s="56"/>
      <c r="G249" s="53"/>
      <c r="H249" s="56"/>
      <c r="I249" s="57"/>
      <c r="J249" s="53"/>
      <c r="K249" s="56"/>
      <c r="L249" s="57"/>
      <c r="M249" s="58"/>
      <c r="N249" s="56"/>
      <c r="O249" s="57"/>
      <c r="P249" s="58">
        <f t="shared" si="12"/>
        <v>0</v>
      </c>
      <c r="Q249" s="59">
        <f t="shared" si="13"/>
        <v>0</v>
      </c>
      <c r="R249" s="35">
        <v>0</v>
      </c>
      <c r="S249" s="19">
        <v>0</v>
      </c>
      <c r="T249" s="23">
        <v>0</v>
      </c>
      <c r="U249" s="24">
        <v>0</v>
      </c>
      <c r="V249" s="33">
        <v>0</v>
      </c>
      <c r="W249" s="34">
        <v>0</v>
      </c>
      <c r="X249" s="35">
        <v>0</v>
      </c>
      <c r="Y249" s="19">
        <v>0</v>
      </c>
      <c r="Z249" s="23">
        <v>0</v>
      </c>
      <c r="AA249" s="24">
        <v>0</v>
      </c>
      <c r="AB249" s="33">
        <v>0</v>
      </c>
      <c r="AC249" s="34">
        <v>0</v>
      </c>
      <c r="AD249" s="35">
        <v>0</v>
      </c>
      <c r="AE249" s="36">
        <v>0</v>
      </c>
      <c r="AF249" s="23">
        <v>0</v>
      </c>
      <c r="AG249" s="24">
        <v>0</v>
      </c>
      <c r="AH249" s="33">
        <v>0</v>
      </c>
      <c r="AI249" s="37">
        <v>0</v>
      </c>
      <c r="AJ249" s="35">
        <v>0</v>
      </c>
      <c r="AK249" s="36">
        <v>0</v>
      </c>
      <c r="AL249" s="38">
        <v>0</v>
      </c>
      <c r="AM249" s="35">
        <v>0</v>
      </c>
      <c r="AN249" s="19">
        <v>0</v>
      </c>
      <c r="AO249" s="23">
        <v>0</v>
      </c>
      <c r="AP249" s="24">
        <v>0</v>
      </c>
      <c r="AQ249" s="58">
        <f t="shared" si="14"/>
        <v>0</v>
      </c>
      <c r="AR249" s="59">
        <f t="shared" si="15"/>
        <v>0</v>
      </c>
      <c r="AS249" s="35">
        <v>0</v>
      </c>
    </row>
    <row r="250" spans="1:45" ht="15.6" x14ac:dyDescent="0.3">
      <c r="A250" s="53">
        <v>246</v>
      </c>
      <c r="B250" s="55" t="s">
        <v>263</v>
      </c>
      <c r="C250" s="54" t="s">
        <v>273</v>
      </c>
      <c r="D250" s="348"/>
      <c r="E250" s="53"/>
      <c r="F250" s="56"/>
      <c r="G250" s="53"/>
      <c r="H250" s="56"/>
      <c r="I250" s="57"/>
      <c r="J250" s="53"/>
      <c r="K250" s="56"/>
      <c r="L250" s="57"/>
      <c r="M250" s="58"/>
      <c r="N250" s="56"/>
      <c r="O250" s="57"/>
      <c r="P250" s="58">
        <f t="shared" si="12"/>
        <v>0</v>
      </c>
      <c r="Q250" s="59">
        <f t="shared" si="13"/>
        <v>0</v>
      </c>
      <c r="R250" s="35">
        <v>0</v>
      </c>
      <c r="S250" s="19">
        <v>0</v>
      </c>
      <c r="T250" s="23">
        <v>0</v>
      </c>
      <c r="U250" s="24">
        <v>0</v>
      </c>
      <c r="V250" s="33">
        <v>0</v>
      </c>
      <c r="W250" s="34">
        <v>0</v>
      </c>
      <c r="X250" s="35">
        <v>0</v>
      </c>
      <c r="Y250" s="19">
        <v>0</v>
      </c>
      <c r="Z250" s="23">
        <v>0</v>
      </c>
      <c r="AA250" s="24">
        <v>0</v>
      </c>
      <c r="AB250" s="33">
        <v>0</v>
      </c>
      <c r="AC250" s="34">
        <v>0</v>
      </c>
      <c r="AD250" s="35">
        <v>0</v>
      </c>
      <c r="AE250" s="36">
        <v>0</v>
      </c>
      <c r="AF250" s="23">
        <v>0</v>
      </c>
      <c r="AG250" s="24">
        <v>0</v>
      </c>
      <c r="AH250" s="33">
        <v>0</v>
      </c>
      <c r="AI250" s="37">
        <v>0</v>
      </c>
      <c r="AJ250" s="35">
        <v>0</v>
      </c>
      <c r="AK250" s="36">
        <v>0</v>
      </c>
      <c r="AL250" s="38">
        <v>0</v>
      </c>
      <c r="AM250" s="35">
        <v>0</v>
      </c>
      <c r="AN250" s="19">
        <v>0</v>
      </c>
      <c r="AO250" s="23">
        <v>0</v>
      </c>
      <c r="AP250" s="24">
        <v>0</v>
      </c>
      <c r="AQ250" s="58">
        <f t="shared" si="14"/>
        <v>0</v>
      </c>
      <c r="AR250" s="59">
        <f t="shared" si="15"/>
        <v>0</v>
      </c>
      <c r="AS250" s="35">
        <v>0</v>
      </c>
    </row>
    <row r="251" spans="1:45" ht="15.6" x14ac:dyDescent="0.3">
      <c r="A251" s="53">
        <v>247</v>
      </c>
      <c r="B251" s="55" t="s">
        <v>263</v>
      </c>
      <c r="C251" s="54" t="s">
        <v>274</v>
      </c>
      <c r="D251" s="348"/>
      <c r="E251" s="53"/>
      <c r="F251" s="56"/>
      <c r="G251" s="53"/>
      <c r="H251" s="56"/>
      <c r="I251" s="57"/>
      <c r="J251" s="53"/>
      <c r="K251" s="56"/>
      <c r="L251" s="57"/>
      <c r="M251" s="58"/>
      <c r="N251" s="56"/>
      <c r="O251" s="57"/>
      <c r="P251" s="58">
        <f t="shared" si="12"/>
        <v>0</v>
      </c>
      <c r="Q251" s="59">
        <f t="shared" si="13"/>
        <v>0</v>
      </c>
      <c r="R251" s="35">
        <v>0</v>
      </c>
      <c r="S251" s="19">
        <v>0</v>
      </c>
      <c r="T251" s="23">
        <v>0</v>
      </c>
      <c r="U251" s="24">
        <v>0</v>
      </c>
      <c r="V251" s="33">
        <v>0</v>
      </c>
      <c r="W251" s="34">
        <v>0</v>
      </c>
      <c r="X251" s="35">
        <v>0</v>
      </c>
      <c r="Y251" s="19">
        <v>0</v>
      </c>
      <c r="Z251" s="23">
        <v>0</v>
      </c>
      <c r="AA251" s="24">
        <v>0</v>
      </c>
      <c r="AB251" s="33">
        <v>0</v>
      </c>
      <c r="AC251" s="34">
        <v>0</v>
      </c>
      <c r="AD251" s="35">
        <v>0</v>
      </c>
      <c r="AE251" s="36">
        <v>0</v>
      </c>
      <c r="AF251" s="23">
        <v>0</v>
      </c>
      <c r="AG251" s="24">
        <v>0</v>
      </c>
      <c r="AH251" s="33">
        <v>0</v>
      </c>
      <c r="AI251" s="37">
        <v>0</v>
      </c>
      <c r="AJ251" s="35">
        <v>0</v>
      </c>
      <c r="AK251" s="36">
        <v>0</v>
      </c>
      <c r="AL251" s="38">
        <v>0</v>
      </c>
      <c r="AM251" s="35">
        <v>0</v>
      </c>
      <c r="AN251" s="19">
        <v>0</v>
      </c>
      <c r="AO251" s="23">
        <v>0</v>
      </c>
      <c r="AP251" s="24">
        <v>0</v>
      </c>
      <c r="AQ251" s="58">
        <f t="shared" si="14"/>
        <v>0</v>
      </c>
      <c r="AR251" s="59">
        <f t="shared" si="15"/>
        <v>0</v>
      </c>
      <c r="AS251" s="35">
        <v>0</v>
      </c>
    </row>
    <row r="252" spans="1:45" ht="15.6" x14ac:dyDescent="0.3">
      <c r="A252" s="53">
        <v>248</v>
      </c>
      <c r="B252" s="55" t="s">
        <v>263</v>
      </c>
      <c r="C252" s="54" t="s">
        <v>275</v>
      </c>
      <c r="D252" s="348"/>
      <c r="E252" s="53"/>
      <c r="F252" s="56"/>
      <c r="G252" s="53"/>
      <c r="H252" s="56"/>
      <c r="I252" s="57"/>
      <c r="J252" s="53"/>
      <c r="K252" s="56"/>
      <c r="L252" s="57"/>
      <c r="M252" s="58"/>
      <c r="N252" s="56"/>
      <c r="O252" s="57"/>
      <c r="P252" s="58">
        <f t="shared" si="12"/>
        <v>0</v>
      </c>
      <c r="Q252" s="59">
        <f t="shared" si="13"/>
        <v>0</v>
      </c>
      <c r="R252" s="35">
        <v>0</v>
      </c>
      <c r="S252" s="19">
        <v>0</v>
      </c>
      <c r="T252" s="23">
        <v>0</v>
      </c>
      <c r="U252" s="24">
        <v>0</v>
      </c>
      <c r="V252" s="33">
        <v>0</v>
      </c>
      <c r="W252" s="34">
        <v>0</v>
      </c>
      <c r="X252" s="35">
        <v>0</v>
      </c>
      <c r="Y252" s="19">
        <v>0</v>
      </c>
      <c r="Z252" s="23">
        <v>0</v>
      </c>
      <c r="AA252" s="24">
        <v>0</v>
      </c>
      <c r="AB252" s="33">
        <v>0</v>
      </c>
      <c r="AC252" s="34">
        <v>0</v>
      </c>
      <c r="AD252" s="35">
        <v>0</v>
      </c>
      <c r="AE252" s="36">
        <v>0</v>
      </c>
      <c r="AF252" s="23">
        <v>0</v>
      </c>
      <c r="AG252" s="24">
        <v>0</v>
      </c>
      <c r="AH252" s="33">
        <v>0</v>
      </c>
      <c r="AI252" s="37">
        <v>0</v>
      </c>
      <c r="AJ252" s="35">
        <v>0</v>
      </c>
      <c r="AK252" s="36">
        <v>0</v>
      </c>
      <c r="AL252" s="38">
        <v>0</v>
      </c>
      <c r="AM252" s="35">
        <v>0</v>
      </c>
      <c r="AN252" s="19">
        <v>0</v>
      </c>
      <c r="AO252" s="23">
        <v>0</v>
      </c>
      <c r="AP252" s="24">
        <v>0</v>
      </c>
      <c r="AQ252" s="58">
        <f t="shared" si="14"/>
        <v>0</v>
      </c>
      <c r="AR252" s="59">
        <f t="shared" si="15"/>
        <v>0</v>
      </c>
      <c r="AS252" s="35">
        <v>0</v>
      </c>
    </row>
    <row r="253" spans="1:45" ht="15.6" x14ac:dyDescent="0.3">
      <c r="A253" s="53">
        <v>249</v>
      </c>
      <c r="B253" s="55" t="s">
        <v>263</v>
      </c>
      <c r="C253" s="54" t="s">
        <v>276</v>
      </c>
      <c r="D253" s="348"/>
      <c r="E253" s="53"/>
      <c r="F253" s="56"/>
      <c r="G253" s="53"/>
      <c r="H253" s="56"/>
      <c r="I253" s="57"/>
      <c r="J253" s="53"/>
      <c r="K253" s="56"/>
      <c r="L253" s="57"/>
      <c r="M253" s="58"/>
      <c r="N253" s="56"/>
      <c r="O253" s="57"/>
      <c r="P253" s="58">
        <f t="shared" si="12"/>
        <v>2.16</v>
      </c>
      <c r="Q253" s="59">
        <f t="shared" si="13"/>
        <v>5400</v>
      </c>
      <c r="R253" s="35">
        <v>3</v>
      </c>
      <c r="S253" s="19">
        <v>0</v>
      </c>
      <c r="T253" s="23">
        <v>0</v>
      </c>
      <c r="U253" s="24">
        <v>0</v>
      </c>
      <c r="V253" s="33">
        <v>0</v>
      </c>
      <c r="W253" s="34">
        <v>0</v>
      </c>
      <c r="X253" s="35">
        <v>0</v>
      </c>
      <c r="Y253" s="19">
        <v>0</v>
      </c>
      <c r="Z253" s="23">
        <v>0</v>
      </c>
      <c r="AA253" s="24">
        <v>0</v>
      </c>
      <c r="AB253" s="33">
        <v>0</v>
      </c>
      <c r="AC253" s="34">
        <v>0</v>
      </c>
      <c r="AD253" s="35">
        <v>0</v>
      </c>
      <c r="AE253" s="36">
        <v>0</v>
      </c>
      <c r="AF253" s="23">
        <v>0</v>
      </c>
      <c r="AG253" s="24">
        <v>0</v>
      </c>
      <c r="AH253" s="33">
        <v>0</v>
      </c>
      <c r="AI253" s="37">
        <v>0</v>
      </c>
      <c r="AJ253" s="35">
        <v>0</v>
      </c>
      <c r="AK253" s="36">
        <v>0</v>
      </c>
      <c r="AL253" s="38">
        <v>0</v>
      </c>
      <c r="AM253" s="35">
        <v>0</v>
      </c>
      <c r="AN253" s="19">
        <v>0</v>
      </c>
      <c r="AO253" s="23">
        <v>0</v>
      </c>
      <c r="AP253" s="24">
        <v>0</v>
      </c>
      <c r="AQ253" s="58">
        <f t="shared" si="14"/>
        <v>2.16</v>
      </c>
      <c r="AR253" s="59">
        <f t="shared" si="15"/>
        <v>5400</v>
      </c>
      <c r="AS253" s="35">
        <v>3</v>
      </c>
    </row>
    <row r="254" spans="1:45" ht="15.6" x14ac:dyDescent="0.3">
      <c r="A254" s="53">
        <v>250</v>
      </c>
      <c r="B254" s="55" t="s">
        <v>263</v>
      </c>
      <c r="C254" s="54" t="s">
        <v>277</v>
      </c>
      <c r="D254" s="348"/>
      <c r="E254" s="53"/>
      <c r="F254" s="56"/>
      <c r="G254" s="53"/>
      <c r="H254" s="56"/>
      <c r="I254" s="57"/>
      <c r="J254" s="53"/>
      <c r="K254" s="56"/>
      <c r="L254" s="57"/>
      <c r="M254" s="58"/>
      <c r="N254" s="56"/>
      <c r="O254" s="57"/>
      <c r="P254" s="58">
        <f t="shared" si="12"/>
        <v>2.16</v>
      </c>
      <c r="Q254" s="59">
        <f t="shared" si="13"/>
        <v>5400</v>
      </c>
      <c r="R254" s="35">
        <v>3</v>
      </c>
      <c r="S254" s="19">
        <v>0</v>
      </c>
      <c r="T254" s="23">
        <v>0</v>
      </c>
      <c r="U254" s="24">
        <v>0</v>
      </c>
      <c r="V254" s="33">
        <v>0</v>
      </c>
      <c r="W254" s="34">
        <v>0</v>
      </c>
      <c r="X254" s="35">
        <v>0</v>
      </c>
      <c r="Y254" s="19">
        <v>0</v>
      </c>
      <c r="Z254" s="23">
        <v>0</v>
      </c>
      <c r="AA254" s="24">
        <v>0</v>
      </c>
      <c r="AB254" s="33">
        <v>0</v>
      </c>
      <c r="AC254" s="34">
        <v>0</v>
      </c>
      <c r="AD254" s="35">
        <v>0</v>
      </c>
      <c r="AE254" s="36">
        <v>0</v>
      </c>
      <c r="AF254" s="23">
        <v>0</v>
      </c>
      <c r="AG254" s="24">
        <v>0</v>
      </c>
      <c r="AH254" s="33">
        <v>0</v>
      </c>
      <c r="AI254" s="37">
        <v>0</v>
      </c>
      <c r="AJ254" s="35">
        <v>0</v>
      </c>
      <c r="AK254" s="36">
        <v>0</v>
      </c>
      <c r="AL254" s="38">
        <v>0</v>
      </c>
      <c r="AM254" s="35">
        <v>0</v>
      </c>
      <c r="AN254" s="19">
        <v>0</v>
      </c>
      <c r="AO254" s="23">
        <v>0</v>
      </c>
      <c r="AP254" s="24">
        <v>0</v>
      </c>
      <c r="AQ254" s="58">
        <f t="shared" si="14"/>
        <v>2.16</v>
      </c>
      <c r="AR254" s="59">
        <f t="shared" si="15"/>
        <v>5400</v>
      </c>
      <c r="AS254" s="35">
        <v>3</v>
      </c>
    </row>
    <row r="255" spans="1:45" ht="15.6" x14ac:dyDescent="0.3">
      <c r="A255" s="53">
        <v>251</v>
      </c>
      <c r="B255" s="55" t="s">
        <v>263</v>
      </c>
      <c r="C255" s="54" t="s">
        <v>278</v>
      </c>
      <c r="D255" s="348"/>
      <c r="E255" s="53"/>
      <c r="F255" s="56"/>
      <c r="G255" s="53"/>
      <c r="H255" s="56"/>
      <c r="I255" s="57"/>
      <c r="J255" s="53"/>
      <c r="K255" s="56"/>
      <c r="L255" s="57"/>
      <c r="M255" s="58"/>
      <c r="N255" s="56"/>
      <c r="O255" s="57"/>
      <c r="P255" s="58">
        <f t="shared" si="12"/>
        <v>0</v>
      </c>
      <c r="Q255" s="59">
        <f t="shared" si="13"/>
        <v>0</v>
      </c>
      <c r="R255" s="35">
        <v>0</v>
      </c>
      <c r="S255" s="19">
        <v>0</v>
      </c>
      <c r="T255" s="23">
        <v>0</v>
      </c>
      <c r="U255" s="24">
        <v>0</v>
      </c>
      <c r="V255" s="33">
        <v>0</v>
      </c>
      <c r="W255" s="34">
        <v>0</v>
      </c>
      <c r="X255" s="35">
        <v>0</v>
      </c>
      <c r="Y255" s="19">
        <v>0</v>
      </c>
      <c r="Z255" s="23">
        <v>0</v>
      </c>
      <c r="AA255" s="24">
        <v>0</v>
      </c>
      <c r="AB255" s="33">
        <v>0</v>
      </c>
      <c r="AC255" s="34">
        <v>0</v>
      </c>
      <c r="AD255" s="35">
        <v>0</v>
      </c>
      <c r="AE255" s="36">
        <v>0</v>
      </c>
      <c r="AF255" s="23">
        <v>0</v>
      </c>
      <c r="AG255" s="24">
        <v>0</v>
      </c>
      <c r="AH255" s="33">
        <v>0</v>
      </c>
      <c r="AI255" s="37">
        <v>0</v>
      </c>
      <c r="AJ255" s="35">
        <v>0</v>
      </c>
      <c r="AK255" s="36">
        <v>0</v>
      </c>
      <c r="AL255" s="38">
        <v>0</v>
      </c>
      <c r="AM255" s="35">
        <v>0</v>
      </c>
      <c r="AN255" s="19">
        <v>0</v>
      </c>
      <c r="AO255" s="23">
        <v>0</v>
      </c>
      <c r="AP255" s="24">
        <v>0</v>
      </c>
      <c r="AQ255" s="58">
        <f t="shared" si="14"/>
        <v>0</v>
      </c>
      <c r="AR255" s="59">
        <f t="shared" si="15"/>
        <v>0</v>
      </c>
      <c r="AS255" s="35">
        <v>0</v>
      </c>
    </row>
    <row r="256" spans="1:45" ht="15.6" x14ac:dyDescent="0.3">
      <c r="A256" s="53">
        <v>252</v>
      </c>
      <c r="B256" s="55" t="s">
        <v>263</v>
      </c>
      <c r="C256" s="54" t="s">
        <v>279</v>
      </c>
      <c r="D256" s="348"/>
      <c r="E256" s="53"/>
      <c r="F256" s="56"/>
      <c r="G256" s="53"/>
      <c r="H256" s="56"/>
      <c r="I256" s="57"/>
      <c r="J256" s="53"/>
      <c r="K256" s="56"/>
      <c r="L256" s="57"/>
      <c r="M256" s="58"/>
      <c r="N256" s="56"/>
      <c r="O256" s="57"/>
      <c r="P256" s="58">
        <f t="shared" si="12"/>
        <v>0</v>
      </c>
      <c r="Q256" s="59">
        <f t="shared" si="13"/>
        <v>0</v>
      </c>
      <c r="R256" s="35">
        <v>0</v>
      </c>
      <c r="S256" s="19">
        <v>0</v>
      </c>
      <c r="T256" s="23">
        <v>0</v>
      </c>
      <c r="U256" s="24">
        <v>0</v>
      </c>
      <c r="V256" s="33">
        <v>0</v>
      </c>
      <c r="W256" s="34">
        <v>0</v>
      </c>
      <c r="X256" s="35">
        <v>0</v>
      </c>
      <c r="Y256" s="19">
        <v>0</v>
      </c>
      <c r="Z256" s="23">
        <v>0</v>
      </c>
      <c r="AA256" s="24">
        <v>0</v>
      </c>
      <c r="AB256" s="33">
        <v>0</v>
      </c>
      <c r="AC256" s="34">
        <v>0</v>
      </c>
      <c r="AD256" s="35">
        <v>0</v>
      </c>
      <c r="AE256" s="36">
        <v>0</v>
      </c>
      <c r="AF256" s="23">
        <v>0</v>
      </c>
      <c r="AG256" s="24">
        <v>0</v>
      </c>
      <c r="AH256" s="33">
        <v>0</v>
      </c>
      <c r="AI256" s="37">
        <v>0</v>
      </c>
      <c r="AJ256" s="35">
        <v>0</v>
      </c>
      <c r="AK256" s="36">
        <v>0</v>
      </c>
      <c r="AL256" s="38">
        <v>0</v>
      </c>
      <c r="AM256" s="35">
        <v>0</v>
      </c>
      <c r="AN256" s="19">
        <v>0</v>
      </c>
      <c r="AO256" s="23">
        <v>0</v>
      </c>
      <c r="AP256" s="24">
        <v>0</v>
      </c>
      <c r="AQ256" s="58">
        <f t="shared" si="14"/>
        <v>0</v>
      </c>
      <c r="AR256" s="59">
        <f t="shared" si="15"/>
        <v>0</v>
      </c>
      <c r="AS256" s="35">
        <v>0</v>
      </c>
    </row>
    <row r="257" spans="1:45" ht="15.6" x14ac:dyDescent="0.3">
      <c r="A257" s="53">
        <v>253</v>
      </c>
      <c r="B257" s="55" t="s">
        <v>263</v>
      </c>
      <c r="C257" s="54" t="s">
        <v>280</v>
      </c>
      <c r="D257" s="348"/>
      <c r="E257" s="53"/>
      <c r="F257" s="56"/>
      <c r="G257" s="53"/>
      <c r="H257" s="56"/>
      <c r="I257" s="57"/>
      <c r="J257" s="53"/>
      <c r="K257" s="56"/>
      <c r="L257" s="57"/>
      <c r="M257" s="58"/>
      <c r="N257" s="56"/>
      <c r="O257" s="57"/>
      <c r="P257" s="58">
        <f t="shared" si="12"/>
        <v>2.16</v>
      </c>
      <c r="Q257" s="59">
        <f t="shared" si="13"/>
        <v>5400</v>
      </c>
      <c r="R257" s="35">
        <v>3</v>
      </c>
      <c r="S257" s="19">
        <v>0</v>
      </c>
      <c r="T257" s="23">
        <v>0</v>
      </c>
      <c r="U257" s="24">
        <v>0</v>
      </c>
      <c r="V257" s="33">
        <v>0</v>
      </c>
      <c r="W257" s="34">
        <v>0</v>
      </c>
      <c r="X257" s="35">
        <v>0</v>
      </c>
      <c r="Y257" s="19">
        <v>0</v>
      </c>
      <c r="Z257" s="23">
        <v>0</v>
      </c>
      <c r="AA257" s="24">
        <v>0</v>
      </c>
      <c r="AB257" s="33">
        <v>0</v>
      </c>
      <c r="AC257" s="34">
        <v>0</v>
      </c>
      <c r="AD257" s="35">
        <v>0</v>
      </c>
      <c r="AE257" s="36">
        <v>0</v>
      </c>
      <c r="AF257" s="23">
        <v>0</v>
      </c>
      <c r="AG257" s="24">
        <v>0</v>
      </c>
      <c r="AH257" s="33">
        <v>0</v>
      </c>
      <c r="AI257" s="37">
        <v>0</v>
      </c>
      <c r="AJ257" s="35">
        <v>0</v>
      </c>
      <c r="AK257" s="36">
        <v>0</v>
      </c>
      <c r="AL257" s="38">
        <v>0</v>
      </c>
      <c r="AM257" s="35">
        <v>0</v>
      </c>
      <c r="AN257" s="19">
        <v>0</v>
      </c>
      <c r="AO257" s="23">
        <v>0</v>
      </c>
      <c r="AP257" s="24">
        <v>0</v>
      </c>
      <c r="AQ257" s="58">
        <f t="shared" si="14"/>
        <v>2.16</v>
      </c>
      <c r="AR257" s="59">
        <f t="shared" si="15"/>
        <v>5400</v>
      </c>
      <c r="AS257" s="35">
        <v>3</v>
      </c>
    </row>
    <row r="258" spans="1:45" ht="15.6" x14ac:dyDescent="0.3">
      <c r="A258" s="53">
        <v>254</v>
      </c>
      <c r="B258" s="55" t="s">
        <v>263</v>
      </c>
      <c r="C258" s="54" t="s">
        <v>281</v>
      </c>
      <c r="D258" s="348"/>
      <c r="E258" s="53"/>
      <c r="F258" s="56"/>
      <c r="G258" s="53"/>
      <c r="H258" s="56"/>
      <c r="I258" s="57"/>
      <c r="J258" s="53"/>
      <c r="K258" s="56"/>
      <c r="L258" s="57"/>
      <c r="M258" s="58"/>
      <c r="N258" s="56"/>
      <c r="O258" s="57"/>
      <c r="P258" s="58">
        <f t="shared" si="12"/>
        <v>0</v>
      </c>
      <c r="Q258" s="59">
        <f t="shared" si="13"/>
        <v>0</v>
      </c>
      <c r="R258" s="35">
        <v>0</v>
      </c>
      <c r="S258" s="19">
        <v>0</v>
      </c>
      <c r="T258" s="23">
        <v>0</v>
      </c>
      <c r="U258" s="24">
        <v>0</v>
      </c>
      <c r="V258" s="33">
        <v>0</v>
      </c>
      <c r="W258" s="34">
        <v>0</v>
      </c>
      <c r="X258" s="35">
        <v>0</v>
      </c>
      <c r="Y258" s="19">
        <v>0</v>
      </c>
      <c r="Z258" s="23">
        <v>0</v>
      </c>
      <c r="AA258" s="24">
        <v>0</v>
      </c>
      <c r="AB258" s="33">
        <v>0</v>
      </c>
      <c r="AC258" s="34">
        <v>0</v>
      </c>
      <c r="AD258" s="35">
        <v>0</v>
      </c>
      <c r="AE258" s="36">
        <v>0</v>
      </c>
      <c r="AF258" s="23">
        <v>0</v>
      </c>
      <c r="AG258" s="24">
        <v>0</v>
      </c>
      <c r="AH258" s="33">
        <v>0</v>
      </c>
      <c r="AI258" s="37">
        <v>0</v>
      </c>
      <c r="AJ258" s="35">
        <v>0</v>
      </c>
      <c r="AK258" s="36">
        <v>0</v>
      </c>
      <c r="AL258" s="38">
        <v>0</v>
      </c>
      <c r="AM258" s="35">
        <v>0</v>
      </c>
      <c r="AN258" s="19">
        <v>0</v>
      </c>
      <c r="AO258" s="23">
        <v>0</v>
      </c>
      <c r="AP258" s="24">
        <v>0</v>
      </c>
      <c r="AQ258" s="58">
        <f t="shared" si="14"/>
        <v>0</v>
      </c>
      <c r="AR258" s="59">
        <f t="shared" si="15"/>
        <v>0</v>
      </c>
      <c r="AS258" s="35">
        <v>0</v>
      </c>
    </row>
    <row r="259" spans="1:45" ht="15.6" x14ac:dyDescent="0.3">
      <c r="A259" s="53">
        <v>255</v>
      </c>
      <c r="B259" s="55" t="s">
        <v>263</v>
      </c>
      <c r="C259" s="54" t="s">
        <v>282</v>
      </c>
      <c r="D259" s="348"/>
      <c r="E259" s="53"/>
      <c r="F259" s="56"/>
      <c r="G259" s="53"/>
      <c r="H259" s="56"/>
      <c r="I259" s="57"/>
      <c r="J259" s="53"/>
      <c r="K259" s="56"/>
      <c r="L259" s="57"/>
      <c r="M259" s="58"/>
      <c r="N259" s="56"/>
      <c r="O259" s="57"/>
      <c r="P259" s="58">
        <f t="shared" si="12"/>
        <v>0</v>
      </c>
      <c r="Q259" s="59">
        <f t="shared" si="13"/>
        <v>0</v>
      </c>
      <c r="R259" s="35">
        <v>0</v>
      </c>
      <c r="S259" s="19">
        <v>0</v>
      </c>
      <c r="T259" s="23">
        <v>0</v>
      </c>
      <c r="U259" s="24">
        <v>0</v>
      </c>
      <c r="V259" s="33">
        <v>0</v>
      </c>
      <c r="W259" s="34">
        <v>0</v>
      </c>
      <c r="X259" s="35">
        <v>0</v>
      </c>
      <c r="Y259" s="19">
        <v>0</v>
      </c>
      <c r="Z259" s="23">
        <v>0</v>
      </c>
      <c r="AA259" s="24">
        <v>0</v>
      </c>
      <c r="AB259" s="33">
        <v>0</v>
      </c>
      <c r="AC259" s="34">
        <v>0</v>
      </c>
      <c r="AD259" s="35">
        <v>0</v>
      </c>
      <c r="AE259" s="36">
        <v>0</v>
      </c>
      <c r="AF259" s="23">
        <v>0</v>
      </c>
      <c r="AG259" s="24">
        <v>0</v>
      </c>
      <c r="AH259" s="33">
        <v>0</v>
      </c>
      <c r="AI259" s="37">
        <v>0</v>
      </c>
      <c r="AJ259" s="35">
        <v>0</v>
      </c>
      <c r="AK259" s="36">
        <v>0</v>
      </c>
      <c r="AL259" s="38">
        <v>0</v>
      </c>
      <c r="AM259" s="35">
        <v>0</v>
      </c>
      <c r="AN259" s="19">
        <v>0</v>
      </c>
      <c r="AO259" s="23">
        <v>0</v>
      </c>
      <c r="AP259" s="24">
        <v>0</v>
      </c>
      <c r="AQ259" s="58">
        <f t="shared" si="14"/>
        <v>0</v>
      </c>
      <c r="AR259" s="59">
        <f t="shared" si="15"/>
        <v>0</v>
      </c>
      <c r="AS259" s="35">
        <v>0</v>
      </c>
    </row>
    <row r="260" spans="1:45" ht="15.6" x14ac:dyDescent="0.3">
      <c r="A260" s="53">
        <v>256</v>
      </c>
      <c r="B260" s="55" t="s">
        <v>263</v>
      </c>
      <c r="C260" s="54" t="s">
        <v>283</v>
      </c>
      <c r="D260" s="348" t="s">
        <v>25</v>
      </c>
      <c r="E260" s="53"/>
      <c r="F260" s="56"/>
      <c r="G260" s="53"/>
      <c r="H260" s="56"/>
      <c r="I260" s="57"/>
      <c r="J260" s="53"/>
      <c r="K260" s="56"/>
      <c r="L260" s="57"/>
      <c r="M260" s="58"/>
      <c r="N260" s="56"/>
      <c r="O260" s="57"/>
      <c r="P260" s="58">
        <f t="shared" si="12"/>
        <v>0</v>
      </c>
      <c r="Q260" s="59">
        <f t="shared" si="13"/>
        <v>0</v>
      </c>
      <c r="R260" s="35">
        <v>0</v>
      </c>
      <c r="S260" s="19">
        <v>0</v>
      </c>
      <c r="T260" s="23">
        <v>0</v>
      </c>
      <c r="U260" s="24">
        <v>0</v>
      </c>
      <c r="V260" s="33">
        <v>0</v>
      </c>
      <c r="W260" s="34">
        <v>0</v>
      </c>
      <c r="X260" s="35">
        <v>0</v>
      </c>
      <c r="Y260" s="19">
        <v>0</v>
      </c>
      <c r="Z260" s="23">
        <v>0</v>
      </c>
      <c r="AA260" s="24">
        <v>0</v>
      </c>
      <c r="AB260" s="33">
        <v>0</v>
      </c>
      <c r="AC260" s="34">
        <v>0</v>
      </c>
      <c r="AD260" s="35">
        <v>0</v>
      </c>
      <c r="AE260" s="36">
        <v>0</v>
      </c>
      <c r="AF260" s="23">
        <v>0</v>
      </c>
      <c r="AG260" s="24">
        <v>0</v>
      </c>
      <c r="AH260" s="33">
        <v>0</v>
      </c>
      <c r="AI260" s="37">
        <v>0</v>
      </c>
      <c r="AJ260" s="35">
        <v>0</v>
      </c>
      <c r="AK260" s="36">
        <v>0</v>
      </c>
      <c r="AL260" s="38">
        <v>0</v>
      </c>
      <c r="AM260" s="35">
        <v>0</v>
      </c>
      <c r="AN260" s="19">
        <v>0</v>
      </c>
      <c r="AO260" s="23">
        <v>0</v>
      </c>
      <c r="AP260" s="24">
        <v>0</v>
      </c>
      <c r="AQ260" s="58">
        <f t="shared" si="14"/>
        <v>0</v>
      </c>
      <c r="AR260" s="59">
        <f t="shared" si="15"/>
        <v>0</v>
      </c>
      <c r="AS260" s="35">
        <v>0</v>
      </c>
    </row>
    <row r="261" spans="1:45" ht="15.6" x14ac:dyDescent="0.3">
      <c r="A261" s="53">
        <v>257</v>
      </c>
      <c r="B261" s="55" t="s">
        <v>263</v>
      </c>
      <c r="C261" s="54" t="s">
        <v>263</v>
      </c>
      <c r="D261" s="348"/>
      <c r="E261" s="53"/>
      <c r="F261" s="56"/>
      <c r="G261" s="53"/>
      <c r="H261" s="56"/>
      <c r="I261" s="57"/>
      <c r="J261" s="53"/>
      <c r="K261" s="56"/>
      <c r="L261" s="57"/>
      <c r="M261" s="58"/>
      <c r="N261" s="56"/>
      <c r="O261" s="57"/>
      <c r="P261" s="58">
        <f t="shared" ref="P261:P324" si="16">Q261/2500</f>
        <v>5.04</v>
      </c>
      <c r="Q261" s="59">
        <f t="shared" ref="Q261:Q324" si="17">R261*1800</f>
        <v>12600</v>
      </c>
      <c r="R261" s="35">
        <v>7</v>
      </c>
      <c r="S261" s="19">
        <v>0</v>
      </c>
      <c r="T261" s="23">
        <v>0</v>
      </c>
      <c r="U261" s="24">
        <v>0</v>
      </c>
      <c r="V261" s="33">
        <v>0</v>
      </c>
      <c r="W261" s="34">
        <v>0</v>
      </c>
      <c r="X261" s="35">
        <v>0</v>
      </c>
      <c r="Y261" s="19">
        <v>0</v>
      </c>
      <c r="Z261" s="23">
        <v>0</v>
      </c>
      <c r="AA261" s="24">
        <v>0</v>
      </c>
      <c r="AB261" s="33">
        <v>0</v>
      </c>
      <c r="AC261" s="34">
        <v>0</v>
      </c>
      <c r="AD261" s="35">
        <v>0</v>
      </c>
      <c r="AE261" s="36">
        <v>0</v>
      </c>
      <c r="AF261" s="23">
        <v>0</v>
      </c>
      <c r="AG261" s="24">
        <v>0</v>
      </c>
      <c r="AH261" s="33">
        <v>0</v>
      </c>
      <c r="AI261" s="37">
        <v>0</v>
      </c>
      <c r="AJ261" s="35">
        <v>0</v>
      </c>
      <c r="AK261" s="36">
        <v>0</v>
      </c>
      <c r="AL261" s="38">
        <v>0</v>
      </c>
      <c r="AM261" s="35">
        <v>0</v>
      </c>
      <c r="AN261" s="19">
        <v>0</v>
      </c>
      <c r="AO261" s="23">
        <v>0</v>
      </c>
      <c r="AP261" s="24">
        <v>0</v>
      </c>
      <c r="AQ261" s="58">
        <f t="shared" ref="AQ261:AQ324" si="18">AR261/2500</f>
        <v>5.04</v>
      </c>
      <c r="AR261" s="59">
        <f t="shared" ref="AR261:AR324" si="19">AS261*1800</f>
        <v>12600</v>
      </c>
      <c r="AS261" s="35">
        <v>7</v>
      </c>
    </row>
    <row r="262" spans="1:45" ht="15.6" x14ac:dyDescent="0.3">
      <c r="A262" s="53">
        <v>258</v>
      </c>
      <c r="B262" s="55" t="s">
        <v>263</v>
      </c>
      <c r="C262" s="54" t="s">
        <v>284</v>
      </c>
      <c r="D262" s="348"/>
      <c r="E262" s="53"/>
      <c r="F262" s="56"/>
      <c r="G262" s="53"/>
      <c r="H262" s="56"/>
      <c r="I262" s="57"/>
      <c r="J262" s="53"/>
      <c r="K262" s="56"/>
      <c r="L262" s="57"/>
      <c r="M262" s="58"/>
      <c r="N262" s="56"/>
      <c r="O262" s="57"/>
      <c r="P262" s="58">
        <f t="shared" si="16"/>
        <v>3.6</v>
      </c>
      <c r="Q262" s="59">
        <f t="shared" si="17"/>
        <v>9000</v>
      </c>
      <c r="R262" s="35">
        <v>5</v>
      </c>
      <c r="S262" s="19">
        <v>0</v>
      </c>
      <c r="T262" s="23">
        <v>0</v>
      </c>
      <c r="U262" s="24">
        <v>0</v>
      </c>
      <c r="V262" s="33">
        <v>0</v>
      </c>
      <c r="W262" s="34">
        <v>0</v>
      </c>
      <c r="X262" s="35">
        <v>0</v>
      </c>
      <c r="Y262" s="19">
        <v>0</v>
      </c>
      <c r="Z262" s="23">
        <v>0</v>
      </c>
      <c r="AA262" s="24">
        <v>0</v>
      </c>
      <c r="AB262" s="33">
        <v>0</v>
      </c>
      <c r="AC262" s="34">
        <v>0</v>
      </c>
      <c r="AD262" s="35">
        <v>0</v>
      </c>
      <c r="AE262" s="36">
        <v>0</v>
      </c>
      <c r="AF262" s="23">
        <v>0</v>
      </c>
      <c r="AG262" s="24">
        <v>0</v>
      </c>
      <c r="AH262" s="33">
        <v>0</v>
      </c>
      <c r="AI262" s="37">
        <v>0</v>
      </c>
      <c r="AJ262" s="35">
        <v>0</v>
      </c>
      <c r="AK262" s="36">
        <v>0</v>
      </c>
      <c r="AL262" s="38">
        <v>0</v>
      </c>
      <c r="AM262" s="35">
        <v>0</v>
      </c>
      <c r="AN262" s="19">
        <v>0</v>
      </c>
      <c r="AO262" s="23">
        <v>0</v>
      </c>
      <c r="AP262" s="24">
        <v>0</v>
      </c>
      <c r="AQ262" s="58">
        <f t="shared" si="18"/>
        <v>3.6</v>
      </c>
      <c r="AR262" s="59">
        <f t="shared" si="19"/>
        <v>9000</v>
      </c>
      <c r="AS262" s="35">
        <v>5</v>
      </c>
    </row>
    <row r="263" spans="1:45" ht="15.6" x14ac:dyDescent="0.3">
      <c r="A263" s="53">
        <v>259</v>
      </c>
      <c r="B263" s="55" t="s">
        <v>263</v>
      </c>
      <c r="C263" s="54" t="s">
        <v>285</v>
      </c>
      <c r="D263" s="348"/>
      <c r="E263" s="53"/>
      <c r="F263" s="56"/>
      <c r="G263" s="53"/>
      <c r="H263" s="56"/>
      <c r="I263" s="57"/>
      <c r="J263" s="53"/>
      <c r="K263" s="56"/>
      <c r="L263" s="57"/>
      <c r="M263" s="58"/>
      <c r="N263" s="56"/>
      <c r="O263" s="57"/>
      <c r="P263" s="58">
        <f t="shared" si="16"/>
        <v>1.44</v>
      </c>
      <c r="Q263" s="59">
        <f t="shared" si="17"/>
        <v>3600</v>
      </c>
      <c r="R263" s="35">
        <v>2</v>
      </c>
      <c r="S263" s="19">
        <v>0</v>
      </c>
      <c r="T263" s="23">
        <v>0</v>
      </c>
      <c r="U263" s="24">
        <v>0</v>
      </c>
      <c r="V263" s="33">
        <v>0</v>
      </c>
      <c r="W263" s="34">
        <v>0</v>
      </c>
      <c r="X263" s="35">
        <v>0</v>
      </c>
      <c r="Y263" s="19">
        <v>0</v>
      </c>
      <c r="Z263" s="23">
        <v>0</v>
      </c>
      <c r="AA263" s="24">
        <v>0</v>
      </c>
      <c r="AB263" s="33">
        <v>0</v>
      </c>
      <c r="AC263" s="34">
        <v>0</v>
      </c>
      <c r="AD263" s="35">
        <v>0</v>
      </c>
      <c r="AE263" s="36">
        <v>0</v>
      </c>
      <c r="AF263" s="23">
        <v>0</v>
      </c>
      <c r="AG263" s="24">
        <v>0</v>
      </c>
      <c r="AH263" s="33">
        <v>0</v>
      </c>
      <c r="AI263" s="37">
        <v>0</v>
      </c>
      <c r="AJ263" s="35">
        <v>0</v>
      </c>
      <c r="AK263" s="36">
        <v>0</v>
      </c>
      <c r="AL263" s="38">
        <v>0</v>
      </c>
      <c r="AM263" s="35">
        <v>0</v>
      </c>
      <c r="AN263" s="19">
        <v>0</v>
      </c>
      <c r="AO263" s="23">
        <v>0</v>
      </c>
      <c r="AP263" s="24">
        <v>0</v>
      </c>
      <c r="AQ263" s="58">
        <f t="shared" si="18"/>
        <v>1.44</v>
      </c>
      <c r="AR263" s="59">
        <f t="shared" si="19"/>
        <v>3600</v>
      </c>
      <c r="AS263" s="35">
        <v>2</v>
      </c>
    </row>
    <row r="264" spans="1:45" ht="15.6" x14ac:dyDescent="0.3">
      <c r="A264" s="53">
        <v>260</v>
      </c>
      <c r="B264" s="55" t="s">
        <v>263</v>
      </c>
      <c r="C264" s="54" t="s">
        <v>112</v>
      </c>
      <c r="D264" s="348"/>
      <c r="E264" s="53"/>
      <c r="F264" s="56"/>
      <c r="G264" s="53"/>
      <c r="H264" s="56"/>
      <c r="I264" s="57"/>
      <c r="J264" s="53"/>
      <c r="K264" s="56"/>
      <c r="L264" s="57"/>
      <c r="M264" s="58"/>
      <c r="N264" s="56"/>
      <c r="O264" s="57"/>
      <c r="P264" s="58">
        <f t="shared" si="16"/>
        <v>4.32</v>
      </c>
      <c r="Q264" s="59">
        <f t="shared" si="17"/>
        <v>10800</v>
      </c>
      <c r="R264" s="35">
        <v>6</v>
      </c>
      <c r="S264" s="19">
        <v>0</v>
      </c>
      <c r="T264" s="23">
        <v>0</v>
      </c>
      <c r="U264" s="24">
        <v>0</v>
      </c>
      <c r="V264" s="33">
        <v>0</v>
      </c>
      <c r="W264" s="34">
        <v>0</v>
      </c>
      <c r="X264" s="35">
        <v>0</v>
      </c>
      <c r="Y264" s="19">
        <v>0</v>
      </c>
      <c r="Z264" s="23">
        <v>0</v>
      </c>
      <c r="AA264" s="24">
        <v>0</v>
      </c>
      <c r="AB264" s="33">
        <v>0</v>
      </c>
      <c r="AC264" s="34">
        <v>0</v>
      </c>
      <c r="AD264" s="35">
        <v>0</v>
      </c>
      <c r="AE264" s="36">
        <v>0</v>
      </c>
      <c r="AF264" s="23">
        <v>0</v>
      </c>
      <c r="AG264" s="24">
        <v>0</v>
      </c>
      <c r="AH264" s="33">
        <v>0</v>
      </c>
      <c r="AI264" s="37">
        <v>0</v>
      </c>
      <c r="AJ264" s="35">
        <v>0</v>
      </c>
      <c r="AK264" s="36">
        <v>0</v>
      </c>
      <c r="AL264" s="38">
        <v>0</v>
      </c>
      <c r="AM264" s="35">
        <v>0</v>
      </c>
      <c r="AN264" s="19">
        <v>0</v>
      </c>
      <c r="AO264" s="23">
        <v>0</v>
      </c>
      <c r="AP264" s="24">
        <v>0</v>
      </c>
      <c r="AQ264" s="58">
        <f t="shared" si="18"/>
        <v>4.32</v>
      </c>
      <c r="AR264" s="59">
        <f t="shared" si="19"/>
        <v>10800</v>
      </c>
      <c r="AS264" s="35">
        <v>6</v>
      </c>
    </row>
    <row r="265" spans="1:45" ht="15.6" x14ac:dyDescent="0.3">
      <c r="A265" s="53">
        <v>261</v>
      </c>
      <c r="B265" s="55" t="s">
        <v>263</v>
      </c>
      <c r="C265" s="54" t="s">
        <v>286</v>
      </c>
      <c r="D265" s="348"/>
      <c r="E265" s="53"/>
      <c r="F265" s="56"/>
      <c r="G265" s="53"/>
      <c r="H265" s="56"/>
      <c r="I265" s="57"/>
      <c r="J265" s="53"/>
      <c r="K265" s="56"/>
      <c r="L265" s="57"/>
      <c r="M265" s="58"/>
      <c r="N265" s="56"/>
      <c r="O265" s="57"/>
      <c r="P265" s="58">
        <f t="shared" si="16"/>
        <v>0.72</v>
      </c>
      <c r="Q265" s="59">
        <f t="shared" si="17"/>
        <v>1800</v>
      </c>
      <c r="R265" s="35">
        <v>1</v>
      </c>
      <c r="S265" s="19">
        <v>0</v>
      </c>
      <c r="T265" s="23">
        <v>0</v>
      </c>
      <c r="U265" s="24">
        <v>0</v>
      </c>
      <c r="V265" s="33">
        <v>0</v>
      </c>
      <c r="W265" s="34">
        <v>0</v>
      </c>
      <c r="X265" s="35">
        <v>0</v>
      </c>
      <c r="Y265" s="19">
        <v>0</v>
      </c>
      <c r="Z265" s="23">
        <v>0</v>
      </c>
      <c r="AA265" s="24">
        <v>0</v>
      </c>
      <c r="AB265" s="33">
        <v>0</v>
      </c>
      <c r="AC265" s="34">
        <v>0</v>
      </c>
      <c r="AD265" s="35">
        <v>0</v>
      </c>
      <c r="AE265" s="36">
        <v>0</v>
      </c>
      <c r="AF265" s="23">
        <v>0</v>
      </c>
      <c r="AG265" s="24">
        <v>0</v>
      </c>
      <c r="AH265" s="33">
        <v>0</v>
      </c>
      <c r="AI265" s="37">
        <v>0</v>
      </c>
      <c r="AJ265" s="35">
        <v>0</v>
      </c>
      <c r="AK265" s="36">
        <v>0</v>
      </c>
      <c r="AL265" s="38">
        <v>0</v>
      </c>
      <c r="AM265" s="35">
        <v>0</v>
      </c>
      <c r="AN265" s="19">
        <v>0</v>
      </c>
      <c r="AO265" s="23">
        <v>0</v>
      </c>
      <c r="AP265" s="24">
        <v>0</v>
      </c>
      <c r="AQ265" s="58">
        <f t="shared" si="18"/>
        <v>0.72</v>
      </c>
      <c r="AR265" s="59">
        <f t="shared" si="19"/>
        <v>1800</v>
      </c>
      <c r="AS265" s="35">
        <v>1</v>
      </c>
    </row>
    <row r="266" spans="1:45" ht="15.6" x14ac:dyDescent="0.3">
      <c r="A266" s="53">
        <v>262</v>
      </c>
      <c r="B266" s="55" t="s">
        <v>263</v>
      </c>
      <c r="C266" s="54" t="s">
        <v>287</v>
      </c>
      <c r="D266" s="348"/>
      <c r="E266" s="53"/>
      <c r="F266" s="56"/>
      <c r="G266" s="53"/>
      <c r="H266" s="56"/>
      <c r="I266" s="57"/>
      <c r="J266" s="53"/>
      <c r="K266" s="56"/>
      <c r="L266" s="57"/>
      <c r="M266" s="58"/>
      <c r="N266" s="56"/>
      <c r="O266" s="57"/>
      <c r="P266" s="58">
        <f t="shared" si="16"/>
        <v>0</v>
      </c>
      <c r="Q266" s="59">
        <f t="shared" si="17"/>
        <v>0</v>
      </c>
      <c r="R266" s="35">
        <v>0</v>
      </c>
      <c r="S266" s="19">
        <v>0</v>
      </c>
      <c r="T266" s="23">
        <v>0</v>
      </c>
      <c r="U266" s="24">
        <v>0</v>
      </c>
      <c r="V266" s="33">
        <v>0</v>
      </c>
      <c r="W266" s="34">
        <v>0</v>
      </c>
      <c r="X266" s="35">
        <v>0</v>
      </c>
      <c r="Y266" s="19">
        <v>0</v>
      </c>
      <c r="Z266" s="23">
        <v>0</v>
      </c>
      <c r="AA266" s="24">
        <v>0</v>
      </c>
      <c r="AB266" s="33">
        <v>0</v>
      </c>
      <c r="AC266" s="34">
        <v>0</v>
      </c>
      <c r="AD266" s="35">
        <v>0</v>
      </c>
      <c r="AE266" s="36">
        <v>0</v>
      </c>
      <c r="AF266" s="23">
        <v>0</v>
      </c>
      <c r="AG266" s="24">
        <v>0</v>
      </c>
      <c r="AH266" s="33">
        <v>0</v>
      </c>
      <c r="AI266" s="37">
        <v>0</v>
      </c>
      <c r="AJ266" s="35">
        <v>0</v>
      </c>
      <c r="AK266" s="36">
        <v>0</v>
      </c>
      <c r="AL266" s="38">
        <v>0</v>
      </c>
      <c r="AM266" s="35">
        <v>0</v>
      </c>
      <c r="AN266" s="19">
        <v>0</v>
      </c>
      <c r="AO266" s="23">
        <v>0</v>
      </c>
      <c r="AP266" s="24">
        <v>0</v>
      </c>
      <c r="AQ266" s="58">
        <f t="shared" si="18"/>
        <v>0</v>
      </c>
      <c r="AR266" s="59">
        <f t="shared" si="19"/>
        <v>0</v>
      </c>
      <c r="AS266" s="35">
        <v>0</v>
      </c>
    </row>
    <row r="267" spans="1:45" ht="15.6" x14ac:dyDescent="0.3">
      <c r="A267" s="53">
        <v>263</v>
      </c>
      <c r="B267" s="55" t="s">
        <v>263</v>
      </c>
      <c r="C267" s="54" t="s">
        <v>288</v>
      </c>
      <c r="D267" s="348"/>
      <c r="E267" s="53"/>
      <c r="F267" s="56"/>
      <c r="G267" s="53"/>
      <c r="H267" s="56"/>
      <c r="I267" s="57"/>
      <c r="J267" s="53"/>
      <c r="K267" s="56"/>
      <c r="L267" s="57"/>
      <c r="M267" s="58"/>
      <c r="N267" s="56"/>
      <c r="O267" s="57"/>
      <c r="P267" s="58">
        <f t="shared" si="16"/>
        <v>0</v>
      </c>
      <c r="Q267" s="59">
        <f t="shared" si="17"/>
        <v>0</v>
      </c>
      <c r="R267" s="35">
        <v>0</v>
      </c>
      <c r="S267" s="19">
        <v>0</v>
      </c>
      <c r="T267" s="23">
        <v>0</v>
      </c>
      <c r="U267" s="24">
        <v>0</v>
      </c>
      <c r="V267" s="33">
        <v>0</v>
      </c>
      <c r="W267" s="34">
        <v>0</v>
      </c>
      <c r="X267" s="35">
        <v>0</v>
      </c>
      <c r="Y267" s="19">
        <v>0</v>
      </c>
      <c r="Z267" s="23">
        <v>0</v>
      </c>
      <c r="AA267" s="24">
        <v>0</v>
      </c>
      <c r="AB267" s="33">
        <v>0</v>
      </c>
      <c r="AC267" s="34">
        <v>0</v>
      </c>
      <c r="AD267" s="35">
        <v>0</v>
      </c>
      <c r="AE267" s="36">
        <v>0</v>
      </c>
      <c r="AF267" s="23">
        <v>0</v>
      </c>
      <c r="AG267" s="24">
        <v>0</v>
      </c>
      <c r="AH267" s="33">
        <v>0</v>
      </c>
      <c r="AI267" s="37">
        <v>0</v>
      </c>
      <c r="AJ267" s="35">
        <v>0</v>
      </c>
      <c r="AK267" s="36">
        <v>0</v>
      </c>
      <c r="AL267" s="38">
        <v>0</v>
      </c>
      <c r="AM267" s="35">
        <v>0</v>
      </c>
      <c r="AN267" s="19">
        <v>0</v>
      </c>
      <c r="AO267" s="23">
        <v>0</v>
      </c>
      <c r="AP267" s="24">
        <v>0</v>
      </c>
      <c r="AQ267" s="58">
        <f t="shared" si="18"/>
        <v>0</v>
      </c>
      <c r="AR267" s="59">
        <f t="shared" si="19"/>
        <v>0</v>
      </c>
      <c r="AS267" s="35">
        <v>0</v>
      </c>
    </row>
    <row r="268" spans="1:45" ht="15.6" x14ac:dyDescent="0.3">
      <c r="A268" s="53">
        <v>264</v>
      </c>
      <c r="B268" s="55" t="s">
        <v>263</v>
      </c>
      <c r="C268" s="54" t="s">
        <v>289</v>
      </c>
      <c r="D268" s="348"/>
      <c r="E268" s="53"/>
      <c r="F268" s="56"/>
      <c r="G268" s="53"/>
      <c r="H268" s="56"/>
      <c r="I268" s="57"/>
      <c r="J268" s="53"/>
      <c r="K268" s="56"/>
      <c r="L268" s="57"/>
      <c r="M268" s="58"/>
      <c r="N268" s="56"/>
      <c r="O268" s="57"/>
      <c r="P268" s="58">
        <f t="shared" si="16"/>
        <v>0</v>
      </c>
      <c r="Q268" s="59">
        <f t="shared" si="17"/>
        <v>0</v>
      </c>
      <c r="R268" s="35">
        <v>0</v>
      </c>
      <c r="S268" s="19">
        <v>0</v>
      </c>
      <c r="T268" s="23">
        <v>0</v>
      </c>
      <c r="U268" s="24">
        <v>0</v>
      </c>
      <c r="V268" s="33">
        <v>0</v>
      </c>
      <c r="W268" s="34">
        <v>0</v>
      </c>
      <c r="X268" s="35">
        <v>0</v>
      </c>
      <c r="Y268" s="19">
        <v>0</v>
      </c>
      <c r="Z268" s="23">
        <v>0</v>
      </c>
      <c r="AA268" s="24">
        <v>0</v>
      </c>
      <c r="AB268" s="33">
        <v>0</v>
      </c>
      <c r="AC268" s="34">
        <v>0</v>
      </c>
      <c r="AD268" s="35">
        <v>0</v>
      </c>
      <c r="AE268" s="36">
        <v>0</v>
      </c>
      <c r="AF268" s="23">
        <v>0</v>
      </c>
      <c r="AG268" s="24">
        <v>0</v>
      </c>
      <c r="AH268" s="33">
        <v>0</v>
      </c>
      <c r="AI268" s="37">
        <v>0</v>
      </c>
      <c r="AJ268" s="35">
        <v>0</v>
      </c>
      <c r="AK268" s="36">
        <v>0</v>
      </c>
      <c r="AL268" s="38">
        <v>0</v>
      </c>
      <c r="AM268" s="35">
        <v>0</v>
      </c>
      <c r="AN268" s="19">
        <v>0</v>
      </c>
      <c r="AO268" s="23">
        <v>0</v>
      </c>
      <c r="AP268" s="24">
        <v>0</v>
      </c>
      <c r="AQ268" s="58">
        <f t="shared" si="18"/>
        <v>0</v>
      </c>
      <c r="AR268" s="59">
        <f t="shared" si="19"/>
        <v>0</v>
      </c>
      <c r="AS268" s="35">
        <v>0</v>
      </c>
    </row>
    <row r="269" spans="1:45" ht="15.6" x14ac:dyDescent="0.3">
      <c r="A269" s="53">
        <v>265</v>
      </c>
      <c r="B269" s="55" t="s">
        <v>263</v>
      </c>
      <c r="C269" s="54" t="s">
        <v>290</v>
      </c>
      <c r="D269" s="348"/>
      <c r="E269" s="53"/>
      <c r="F269" s="56"/>
      <c r="G269" s="53"/>
      <c r="H269" s="56"/>
      <c r="I269" s="57"/>
      <c r="J269" s="53"/>
      <c r="K269" s="56"/>
      <c r="L269" s="57"/>
      <c r="M269" s="58"/>
      <c r="N269" s="56"/>
      <c r="O269" s="57"/>
      <c r="P269" s="58">
        <f t="shared" si="16"/>
        <v>0</v>
      </c>
      <c r="Q269" s="59">
        <f t="shared" si="17"/>
        <v>0</v>
      </c>
      <c r="R269" s="35">
        <v>0</v>
      </c>
      <c r="S269" s="19">
        <v>0</v>
      </c>
      <c r="T269" s="23">
        <v>0</v>
      </c>
      <c r="U269" s="24">
        <v>0</v>
      </c>
      <c r="V269" s="33">
        <v>0</v>
      </c>
      <c r="W269" s="34">
        <v>0</v>
      </c>
      <c r="X269" s="35">
        <v>0</v>
      </c>
      <c r="Y269" s="19">
        <v>0</v>
      </c>
      <c r="Z269" s="23">
        <v>0</v>
      </c>
      <c r="AA269" s="24">
        <v>0</v>
      </c>
      <c r="AB269" s="33">
        <v>0</v>
      </c>
      <c r="AC269" s="34">
        <v>0</v>
      </c>
      <c r="AD269" s="35">
        <v>0</v>
      </c>
      <c r="AE269" s="36">
        <v>0</v>
      </c>
      <c r="AF269" s="23">
        <v>0</v>
      </c>
      <c r="AG269" s="24">
        <v>0</v>
      </c>
      <c r="AH269" s="33">
        <v>0</v>
      </c>
      <c r="AI269" s="37">
        <v>0</v>
      </c>
      <c r="AJ269" s="35">
        <v>0</v>
      </c>
      <c r="AK269" s="36">
        <v>0</v>
      </c>
      <c r="AL269" s="38">
        <v>0</v>
      </c>
      <c r="AM269" s="35">
        <v>0</v>
      </c>
      <c r="AN269" s="19">
        <v>0</v>
      </c>
      <c r="AO269" s="23">
        <v>0</v>
      </c>
      <c r="AP269" s="24">
        <v>0</v>
      </c>
      <c r="AQ269" s="58">
        <f t="shared" si="18"/>
        <v>0</v>
      </c>
      <c r="AR269" s="59">
        <f t="shared" si="19"/>
        <v>0</v>
      </c>
      <c r="AS269" s="35">
        <v>0</v>
      </c>
    </row>
    <row r="270" spans="1:45" ht="15.6" x14ac:dyDescent="0.3">
      <c r="A270" s="53">
        <v>266</v>
      </c>
      <c r="B270" s="55" t="s">
        <v>263</v>
      </c>
      <c r="C270" s="54" t="s">
        <v>291</v>
      </c>
      <c r="D270" s="348"/>
      <c r="E270" s="53"/>
      <c r="F270" s="56"/>
      <c r="G270" s="53"/>
      <c r="H270" s="56"/>
      <c r="I270" s="57"/>
      <c r="J270" s="53"/>
      <c r="K270" s="56"/>
      <c r="L270" s="57"/>
      <c r="M270" s="58"/>
      <c r="N270" s="56"/>
      <c r="O270" s="57"/>
      <c r="P270" s="58">
        <f t="shared" si="16"/>
        <v>4.32</v>
      </c>
      <c r="Q270" s="59">
        <f t="shared" si="17"/>
        <v>10800</v>
      </c>
      <c r="R270" s="35">
        <v>6</v>
      </c>
      <c r="S270" s="19">
        <v>0</v>
      </c>
      <c r="T270" s="23">
        <v>0</v>
      </c>
      <c r="U270" s="24">
        <v>0</v>
      </c>
      <c r="V270" s="33">
        <v>0</v>
      </c>
      <c r="W270" s="34">
        <v>0</v>
      </c>
      <c r="X270" s="35">
        <v>0</v>
      </c>
      <c r="Y270" s="19">
        <v>0</v>
      </c>
      <c r="Z270" s="23">
        <v>0</v>
      </c>
      <c r="AA270" s="24">
        <v>0</v>
      </c>
      <c r="AB270" s="33">
        <v>0</v>
      </c>
      <c r="AC270" s="34">
        <v>0</v>
      </c>
      <c r="AD270" s="35">
        <v>0</v>
      </c>
      <c r="AE270" s="36">
        <v>0</v>
      </c>
      <c r="AF270" s="23">
        <v>0</v>
      </c>
      <c r="AG270" s="24">
        <v>0</v>
      </c>
      <c r="AH270" s="33">
        <v>0</v>
      </c>
      <c r="AI270" s="37">
        <v>0</v>
      </c>
      <c r="AJ270" s="35">
        <v>0</v>
      </c>
      <c r="AK270" s="36">
        <v>0</v>
      </c>
      <c r="AL270" s="38">
        <v>0</v>
      </c>
      <c r="AM270" s="35">
        <v>0</v>
      </c>
      <c r="AN270" s="19">
        <v>0</v>
      </c>
      <c r="AO270" s="23">
        <v>0</v>
      </c>
      <c r="AP270" s="24">
        <v>0</v>
      </c>
      <c r="AQ270" s="58">
        <f t="shared" si="18"/>
        <v>4.32</v>
      </c>
      <c r="AR270" s="59">
        <f t="shared" si="19"/>
        <v>10800</v>
      </c>
      <c r="AS270" s="35">
        <v>6</v>
      </c>
    </row>
    <row r="271" spans="1:45" ht="15.6" x14ac:dyDescent="0.3">
      <c r="A271" s="53">
        <v>267</v>
      </c>
      <c r="B271" s="55" t="s">
        <v>292</v>
      </c>
      <c r="C271" s="54" t="s">
        <v>293</v>
      </c>
      <c r="D271" s="348"/>
      <c r="E271" s="53"/>
      <c r="F271" s="56"/>
      <c r="G271" s="53"/>
      <c r="H271" s="56"/>
      <c r="I271" s="57"/>
      <c r="J271" s="53"/>
      <c r="K271" s="56"/>
      <c r="L271" s="57"/>
      <c r="M271" s="58"/>
      <c r="N271" s="56"/>
      <c r="O271" s="57"/>
      <c r="P271" s="58">
        <f t="shared" si="16"/>
        <v>1.44</v>
      </c>
      <c r="Q271" s="59">
        <f t="shared" si="17"/>
        <v>3600</v>
      </c>
      <c r="R271" s="35">
        <v>2</v>
      </c>
      <c r="S271" s="19">
        <v>0</v>
      </c>
      <c r="T271" s="23">
        <v>0</v>
      </c>
      <c r="U271" s="24">
        <v>0</v>
      </c>
      <c r="V271" s="33">
        <v>0</v>
      </c>
      <c r="W271" s="34">
        <v>0</v>
      </c>
      <c r="X271" s="35">
        <v>0</v>
      </c>
      <c r="Y271" s="19">
        <v>0</v>
      </c>
      <c r="Z271" s="23">
        <v>0</v>
      </c>
      <c r="AA271" s="24">
        <v>0</v>
      </c>
      <c r="AB271" s="33">
        <v>0</v>
      </c>
      <c r="AC271" s="34">
        <v>0</v>
      </c>
      <c r="AD271" s="35">
        <v>0</v>
      </c>
      <c r="AE271" s="36">
        <v>0</v>
      </c>
      <c r="AF271" s="23">
        <v>0</v>
      </c>
      <c r="AG271" s="24">
        <v>0</v>
      </c>
      <c r="AH271" s="33">
        <v>0</v>
      </c>
      <c r="AI271" s="37">
        <v>0</v>
      </c>
      <c r="AJ271" s="35">
        <v>0</v>
      </c>
      <c r="AK271" s="36">
        <v>0</v>
      </c>
      <c r="AL271" s="38">
        <v>0</v>
      </c>
      <c r="AM271" s="35">
        <v>0</v>
      </c>
      <c r="AN271" s="19">
        <v>0</v>
      </c>
      <c r="AO271" s="23">
        <v>0</v>
      </c>
      <c r="AP271" s="24">
        <v>0</v>
      </c>
      <c r="AQ271" s="58">
        <f t="shared" si="18"/>
        <v>1.44</v>
      </c>
      <c r="AR271" s="59">
        <f t="shared" si="19"/>
        <v>3600</v>
      </c>
      <c r="AS271" s="35">
        <v>2</v>
      </c>
    </row>
    <row r="272" spans="1:45" ht="15.6" x14ac:dyDescent="0.3">
      <c r="A272" s="53">
        <v>268</v>
      </c>
      <c r="B272" s="55" t="s">
        <v>292</v>
      </c>
      <c r="C272" s="54" t="s">
        <v>294</v>
      </c>
      <c r="D272" s="348"/>
      <c r="E272" s="53"/>
      <c r="F272" s="56"/>
      <c r="G272" s="53"/>
      <c r="H272" s="56"/>
      <c r="I272" s="57"/>
      <c r="J272" s="53"/>
      <c r="K272" s="56"/>
      <c r="L272" s="57"/>
      <c r="M272" s="58"/>
      <c r="N272" s="56"/>
      <c r="O272" s="57"/>
      <c r="P272" s="58">
        <f t="shared" si="16"/>
        <v>3.6</v>
      </c>
      <c r="Q272" s="59">
        <f t="shared" si="17"/>
        <v>9000</v>
      </c>
      <c r="R272" s="35">
        <v>5</v>
      </c>
      <c r="S272" s="19">
        <v>0</v>
      </c>
      <c r="T272" s="23">
        <v>0</v>
      </c>
      <c r="U272" s="24">
        <v>0</v>
      </c>
      <c r="V272" s="33">
        <v>0</v>
      </c>
      <c r="W272" s="34">
        <v>0</v>
      </c>
      <c r="X272" s="35">
        <v>0</v>
      </c>
      <c r="Y272" s="19">
        <v>0</v>
      </c>
      <c r="Z272" s="23">
        <v>0</v>
      </c>
      <c r="AA272" s="24">
        <v>0</v>
      </c>
      <c r="AB272" s="33">
        <v>0</v>
      </c>
      <c r="AC272" s="34">
        <v>0</v>
      </c>
      <c r="AD272" s="35">
        <v>0</v>
      </c>
      <c r="AE272" s="36">
        <v>0</v>
      </c>
      <c r="AF272" s="23">
        <v>0</v>
      </c>
      <c r="AG272" s="24">
        <v>0</v>
      </c>
      <c r="AH272" s="33">
        <v>0</v>
      </c>
      <c r="AI272" s="37">
        <v>0</v>
      </c>
      <c r="AJ272" s="35">
        <v>0</v>
      </c>
      <c r="AK272" s="36">
        <v>0</v>
      </c>
      <c r="AL272" s="38">
        <v>0</v>
      </c>
      <c r="AM272" s="35">
        <v>0</v>
      </c>
      <c r="AN272" s="19">
        <v>0</v>
      </c>
      <c r="AO272" s="23">
        <v>0</v>
      </c>
      <c r="AP272" s="24">
        <v>0</v>
      </c>
      <c r="AQ272" s="58">
        <f t="shared" si="18"/>
        <v>3.6</v>
      </c>
      <c r="AR272" s="59">
        <f t="shared" si="19"/>
        <v>9000</v>
      </c>
      <c r="AS272" s="35">
        <v>5</v>
      </c>
    </row>
    <row r="273" spans="1:45" ht="15.6" x14ac:dyDescent="0.3">
      <c r="A273" s="53">
        <v>269</v>
      </c>
      <c r="B273" s="55" t="s">
        <v>292</v>
      </c>
      <c r="C273" s="54" t="s">
        <v>295</v>
      </c>
      <c r="D273" s="348"/>
      <c r="E273" s="53"/>
      <c r="F273" s="56"/>
      <c r="G273" s="53"/>
      <c r="H273" s="56"/>
      <c r="I273" s="57"/>
      <c r="J273" s="53"/>
      <c r="K273" s="56"/>
      <c r="L273" s="57"/>
      <c r="M273" s="58"/>
      <c r="N273" s="56"/>
      <c r="O273" s="57"/>
      <c r="P273" s="58">
        <f t="shared" si="16"/>
        <v>7.2</v>
      </c>
      <c r="Q273" s="59">
        <f t="shared" si="17"/>
        <v>18000</v>
      </c>
      <c r="R273" s="35">
        <v>10</v>
      </c>
      <c r="S273" s="19">
        <v>0</v>
      </c>
      <c r="T273" s="23">
        <v>0</v>
      </c>
      <c r="U273" s="24">
        <v>0</v>
      </c>
      <c r="V273" s="33">
        <v>0</v>
      </c>
      <c r="W273" s="34">
        <v>0</v>
      </c>
      <c r="X273" s="35">
        <v>0</v>
      </c>
      <c r="Y273" s="19">
        <v>0</v>
      </c>
      <c r="Z273" s="23">
        <v>0</v>
      </c>
      <c r="AA273" s="24">
        <v>0</v>
      </c>
      <c r="AB273" s="33">
        <v>0</v>
      </c>
      <c r="AC273" s="34">
        <v>0</v>
      </c>
      <c r="AD273" s="35">
        <v>0</v>
      </c>
      <c r="AE273" s="36">
        <v>0</v>
      </c>
      <c r="AF273" s="23">
        <v>0</v>
      </c>
      <c r="AG273" s="24">
        <v>0</v>
      </c>
      <c r="AH273" s="33">
        <v>0</v>
      </c>
      <c r="AI273" s="37">
        <v>0</v>
      </c>
      <c r="AJ273" s="35">
        <v>0</v>
      </c>
      <c r="AK273" s="36">
        <v>0</v>
      </c>
      <c r="AL273" s="38">
        <v>0</v>
      </c>
      <c r="AM273" s="35">
        <v>0</v>
      </c>
      <c r="AN273" s="19">
        <v>0</v>
      </c>
      <c r="AO273" s="23">
        <v>0</v>
      </c>
      <c r="AP273" s="24">
        <v>0</v>
      </c>
      <c r="AQ273" s="58">
        <f t="shared" si="18"/>
        <v>7.2</v>
      </c>
      <c r="AR273" s="59">
        <f t="shared" si="19"/>
        <v>18000</v>
      </c>
      <c r="AS273" s="35">
        <v>10</v>
      </c>
    </row>
    <row r="274" spans="1:45" ht="15.6" x14ac:dyDescent="0.3">
      <c r="A274" s="53">
        <v>270</v>
      </c>
      <c r="B274" s="55" t="s">
        <v>292</v>
      </c>
      <c r="C274" s="54" t="s">
        <v>296</v>
      </c>
      <c r="D274" s="348"/>
      <c r="E274" s="53"/>
      <c r="F274" s="56"/>
      <c r="G274" s="53"/>
      <c r="H274" s="56"/>
      <c r="I274" s="57"/>
      <c r="J274" s="53"/>
      <c r="K274" s="56"/>
      <c r="L274" s="57"/>
      <c r="M274" s="58"/>
      <c r="N274" s="56"/>
      <c r="O274" s="57"/>
      <c r="P274" s="58">
        <f t="shared" si="16"/>
        <v>7.92</v>
      </c>
      <c r="Q274" s="59">
        <f t="shared" si="17"/>
        <v>19800</v>
      </c>
      <c r="R274" s="35">
        <v>11</v>
      </c>
      <c r="S274" s="19">
        <v>0</v>
      </c>
      <c r="T274" s="23">
        <v>0</v>
      </c>
      <c r="U274" s="24">
        <v>0</v>
      </c>
      <c r="V274" s="33">
        <v>0</v>
      </c>
      <c r="W274" s="34">
        <v>0</v>
      </c>
      <c r="X274" s="35">
        <v>0</v>
      </c>
      <c r="Y274" s="19">
        <v>0</v>
      </c>
      <c r="Z274" s="23">
        <v>0</v>
      </c>
      <c r="AA274" s="24">
        <v>0</v>
      </c>
      <c r="AB274" s="33">
        <v>0</v>
      </c>
      <c r="AC274" s="34">
        <v>0</v>
      </c>
      <c r="AD274" s="35">
        <v>0</v>
      </c>
      <c r="AE274" s="36">
        <v>0</v>
      </c>
      <c r="AF274" s="23">
        <v>0</v>
      </c>
      <c r="AG274" s="24">
        <v>0</v>
      </c>
      <c r="AH274" s="33">
        <v>0</v>
      </c>
      <c r="AI274" s="37">
        <v>0</v>
      </c>
      <c r="AJ274" s="35">
        <v>0</v>
      </c>
      <c r="AK274" s="36">
        <v>0</v>
      </c>
      <c r="AL274" s="38">
        <v>0</v>
      </c>
      <c r="AM274" s="35">
        <v>0</v>
      </c>
      <c r="AN274" s="19">
        <v>0</v>
      </c>
      <c r="AO274" s="23">
        <v>0</v>
      </c>
      <c r="AP274" s="24">
        <v>0</v>
      </c>
      <c r="AQ274" s="58">
        <f t="shared" si="18"/>
        <v>7.92</v>
      </c>
      <c r="AR274" s="59">
        <f t="shared" si="19"/>
        <v>19800</v>
      </c>
      <c r="AS274" s="35">
        <v>11</v>
      </c>
    </row>
    <row r="275" spans="1:45" ht="15.6" x14ac:dyDescent="0.3">
      <c r="A275" s="53">
        <v>271</v>
      </c>
      <c r="B275" s="55" t="s">
        <v>292</v>
      </c>
      <c r="C275" s="54" t="s">
        <v>297</v>
      </c>
      <c r="D275" s="348"/>
      <c r="E275" s="53"/>
      <c r="F275" s="56"/>
      <c r="G275" s="53"/>
      <c r="H275" s="56"/>
      <c r="I275" s="57"/>
      <c r="J275" s="53"/>
      <c r="K275" s="56"/>
      <c r="L275" s="57"/>
      <c r="M275" s="58"/>
      <c r="N275" s="56"/>
      <c r="O275" s="57"/>
      <c r="P275" s="58">
        <f t="shared" si="16"/>
        <v>0.72</v>
      </c>
      <c r="Q275" s="59">
        <f t="shared" si="17"/>
        <v>1800</v>
      </c>
      <c r="R275" s="35">
        <v>1</v>
      </c>
      <c r="S275" s="19">
        <v>0</v>
      </c>
      <c r="T275" s="23">
        <v>0</v>
      </c>
      <c r="U275" s="24">
        <v>0</v>
      </c>
      <c r="V275" s="33">
        <v>0</v>
      </c>
      <c r="W275" s="34">
        <v>0</v>
      </c>
      <c r="X275" s="35">
        <v>0</v>
      </c>
      <c r="Y275" s="19">
        <v>0</v>
      </c>
      <c r="Z275" s="23">
        <v>0</v>
      </c>
      <c r="AA275" s="24">
        <v>0</v>
      </c>
      <c r="AB275" s="33">
        <v>0</v>
      </c>
      <c r="AC275" s="34">
        <v>0</v>
      </c>
      <c r="AD275" s="35">
        <v>0</v>
      </c>
      <c r="AE275" s="36">
        <v>0</v>
      </c>
      <c r="AF275" s="23">
        <v>0</v>
      </c>
      <c r="AG275" s="24">
        <v>0</v>
      </c>
      <c r="AH275" s="33">
        <v>0</v>
      </c>
      <c r="AI275" s="37">
        <v>0</v>
      </c>
      <c r="AJ275" s="35">
        <v>0</v>
      </c>
      <c r="AK275" s="36">
        <v>0</v>
      </c>
      <c r="AL275" s="38">
        <v>0</v>
      </c>
      <c r="AM275" s="35">
        <v>0</v>
      </c>
      <c r="AN275" s="19">
        <v>0</v>
      </c>
      <c r="AO275" s="23">
        <v>0</v>
      </c>
      <c r="AP275" s="24">
        <v>0</v>
      </c>
      <c r="AQ275" s="58">
        <f t="shared" si="18"/>
        <v>0.72</v>
      </c>
      <c r="AR275" s="59">
        <f t="shared" si="19"/>
        <v>1800</v>
      </c>
      <c r="AS275" s="35">
        <v>1</v>
      </c>
    </row>
    <row r="276" spans="1:45" ht="15.6" x14ac:dyDescent="0.3">
      <c r="A276" s="53">
        <v>272</v>
      </c>
      <c r="B276" s="55" t="s">
        <v>292</v>
      </c>
      <c r="C276" s="54" t="s">
        <v>298</v>
      </c>
      <c r="D276" s="348"/>
      <c r="E276" s="53"/>
      <c r="F276" s="56"/>
      <c r="G276" s="53"/>
      <c r="H276" s="56"/>
      <c r="I276" s="57"/>
      <c r="J276" s="53"/>
      <c r="K276" s="56"/>
      <c r="L276" s="57"/>
      <c r="M276" s="58"/>
      <c r="N276" s="56"/>
      <c r="O276" s="57"/>
      <c r="P276" s="58">
        <f t="shared" si="16"/>
        <v>2.88</v>
      </c>
      <c r="Q276" s="59">
        <f t="shared" si="17"/>
        <v>7200</v>
      </c>
      <c r="R276" s="35">
        <v>4</v>
      </c>
      <c r="S276" s="19">
        <v>0</v>
      </c>
      <c r="T276" s="23">
        <v>0</v>
      </c>
      <c r="U276" s="24">
        <v>0</v>
      </c>
      <c r="V276" s="33">
        <v>0</v>
      </c>
      <c r="W276" s="34">
        <v>0</v>
      </c>
      <c r="X276" s="35">
        <v>0</v>
      </c>
      <c r="Y276" s="19">
        <v>0</v>
      </c>
      <c r="Z276" s="23">
        <v>0</v>
      </c>
      <c r="AA276" s="24">
        <v>0</v>
      </c>
      <c r="AB276" s="33">
        <v>0</v>
      </c>
      <c r="AC276" s="34">
        <v>0</v>
      </c>
      <c r="AD276" s="35">
        <v>0</v>
      </c>
      <c r="AE276" s="36">
        <v>0</v>
      </c>
      <c r="AF276" s="23">
        <v>0</v>
      </c>
      <c r="AG276" s="24">
        <v>0</v>
      </c>
      <c r="AH276" s="33">
        <v>0</v>
      </c>
      <c r="AI276" s="37">
        <v>0</v>
      </c>
      <c r="AJ276" s="35">
        <v>0</v>
      </c>
      <c r="AK276" s="36">
        <v>0</v>
      </c>
      <c r="AL276" s="38">
        <v>0</v>
      </c>
      <c r="AM276" s="35">
        <v>0</v>
      </c>
      <c r="AN276" s="19">
        <v>0</v>
      </c>
      <c r="AO276" s="23">
        <v>0</v>
      </c>
      <c r="AP276" s="24">
        <v>0</v>
      </c>
      <c r="AQ276" s="58">
        <f t="shared" si="18"/>
        <v>2.88</v>
      </c>
      <c r="AR276" s="59">
        <f t="shared" si="19"/>
        <v>7200</v>
      </c>
      <c r="AS276" s="35">
        <v>4</v>
      </c>
    </row>
    <row r="277" spans="1:45" ht="15.6" x14ac:dyDescent="0.3">
      <c r="A277" s="53">
        <v>273</v>
      </c>
      <c r="B277" s="55" t="s">
        <v>292</v>
      </c>
      <c r="C277" s="54" t="s">
        <v>299</v>
      </c>
      <c r="D277" s="348" t="s">
        <v>25</v>
      </c>
      <c r="E277" s="53"/>
      <c r="F277" s="56"/>
      <c r="G277" s="53"/>
      <c r="H277" s="56"/>
      <c r="I277" s="57"/>
      <c r="J277" s="53"/>
      <c r="K277" s="56"/>
      <c r="L277" s="57"/>
      <c r="M277" s="58"/>
      <c r="N277" s="56"/>
      <c r="O277" s="57"/>
      <c r="P277" s="58">
        <f t="shared" si="16"/>
        <v>1.44</v>
      </c>
      <c r="Q277" s="59">
        <f t="shared" si="17"/>
        <v>3600</v>
      </c>
      <c r="R277" s="35">
        <v>2</v>
      </c>
      <c r="S277" s="19">
        <v>0</v>
      </c>
      <c r="T277" s="23">
        <v>0</v>
      </c>
      <c r="U277" s="24">
        <v>0</v>
      </c>
      <c r="V277" s="33">
        <v>0</v>
      </c>
      <c r="W277" s="34">
        <v>0</v>
      </c>
      <c r="X277" s="35">
        <v>0</v>
      </c>
      <c r="Y277" s="19">
        <v>0</v>
      </c>
      <c r="Z277" s="23">
        <v>0</v>
      </c>
      <c r="AA277" s="24">
        <v>0</v>
      </c>
      <c r="AB277" s="33">
        <v>0</v>
      </c>
      <c r="AC277" s="34">
        <v>0</v>
      </c>
      <c r="AD277" s="35">
        <v>0</v>
      </c>
      <c r="AE277" s="36">
        <v>0</v>
      </c>
      <c r="AF277" s="23">
        <v>0</v>
      </c>
      <c r="AG277" s="24">
        <v>0</v>
      </c>
      <c r="AH277" s="33">
        <v>0</v>
      </c>
      <c r="AI277" s="37">
        <v>0</v>
      </c>
      <c r="AJ277" s="35">
        <v>0</v>
      </c>
      <c r="AK277" s="36">
        <v>0</v>
      </c>
      <c r="AL277" s="38">
        <v>0</v>
      </c>
      <c r="AM277" s="35">
        <v>0</v>
      </c>
      <c r="AN277" s="19">
        <v>0</v>
      </c>
      <c r="AO277" s="23">
        <v>0</v>
      </c>
      <c r="AP277" s="24">
        <v>0</v>
      </c>
      <c r="AQ277" s="58">
        <f t="shared" si="18"/>
        <v>1.44</v>
      </c>
      <c r="AR277" s="59">
        <f t="shared" si="19"/>
        <v>3600</v>
      </c>
      <c r="AS277" s="35">
        <v>2</v>
      </c>
    </row>
    <row r="278" spans="1:45" ht="15.6" x14ac:dyDescent="0.3">
      <c r="A278" s="53">
        <v>274</v>
      </c>
      <c r="B278" s="55" t="s">
        <v>292</v>
      </c>
      <c r="C278" s="54" t="s">
        <v>300</v>
      </c>
      <c r="D278" s="348"/>
      <c r="E278" s="53"/>
      <c r="F278" s="56"/>
      <c r="G278" s="53"/>
      <c r="H278" s="56"/>
      <c r="I278" s="57"/>
      <c r="J278" s="53"/>
      <c r="K278" s="56"/>
      <c r="L278" s="57"/>
      <c r="M278" s="58"/>
      <c r="N278" s="56"/>
      <c r="O278" s="57"/>
      <c r="P278" s="58">
        <f t="shared" si="16"/>
        <v>0</v>
      </c>
      <c r="Q278" s="59">
        <f t="shared" si="17"/>
        <v>0</v>
      </c>
      <c r="R278" s="35"/>
      <c r="S278" s="19">
        <v>0</v>
      </c>
      <c r="T278" s="23">
        <v>0</v>
      </c>
      <c r="U278" s="24">
        <v>0</v>
      </c>
      <c r="V278" s="33">
        <v>0</v>
      </c>
      <c r="W278" s="34">
        <v>0</v>
      </c>
      <c r="X278" s="35">
        <v>0</v>
      </c>
      <c r="Y278" s="19">
        <v>0</v>
      </c>
      <c r="Z278" s="23">
        <v>0</v>
      </c>
      <c r="AA278" s="24">
        <v>0</v>
      </c>
      <c r="AB278" s="33">
        <v>0</v>
      </c>
      <c r="AC278" s="34">
        <v>0</v>
      </c>
      <c r="AD278" s="35">
        <v>0</v>
      </c>
      <c r="AE278" s="36">
        <v>0</v>
      </c>
      <c r="AF278" s="23">
        <v>0</v>
      </c>
      <c r="AG278" s="24">
        <v>0</v>
      </c>
      <c r="AH278" s="33">
        <v>0</v>
      </c>
      <c r="AI278" s="37">
        <v>0</v>
      </c>
      <c r="AJ278" s="35">
        <v>0</v>
      </c>
      <c r="AK278" s="36">
        <v>0</v>
      </c>
      <c r="AL278" s="38">
        <v>0</v>
      </c>
      <c r="AM278" s="35">
        <v>0</v>
      </c>
      <c r="AN278" s="19">
        <v>0</v>
      </c>
      <c r="AO278" s="23">
        <v>0</v>
      </c>
      <c r="AP278" s="24">
        <v>0</v>
      </c>
      <c r="AQ278" s="58">
        <f t="shared" si="18"/>
        <v>0</v>
      </c>
      <c r="AR278" s="59">
        <f t="shared" si="19"/>
        <v>0</v>
      </c>
      <c r="AS278" s="35"/>
    </row>
    <row r="279" spans="1:45" ht="15.6" x14ac:dyDescent="0.3">
      <c r="A279" s="53">
        <v>275</v>
      </c>
      <c r="B279" s="55" t="s">
        <v>292</v>
      </c>
      <c r="C279" s="54" t="s">
        <v>301</v>
      </c>
      <c r="D279" s="348"/>
      <c r="E279" s="53"/>
      <c r="F279" s="56"/>
      <c r="G279" s="53"/>
      <c r="H279" s="56"/>
      <c r="I279" s="57"/>
      <c r="J279" s="53"/>
      <c r="K279" s="56"/>
      <c r="L279" s="57"/>
      <c r="M279" s="58"/>
      <c r="N279" s="56"/>
      <c r="O279" s="57"/>
      <c r="P279" s="58">
        <f t="shared" si="16"/>
        <v>5.04</v>
      </c>
      <c r="Q279" s="59">
        <f t="shared" si="17"/>
        <v>12600</v>
      </c>
      <c r="R279" s="35">
        <v>7</v>
      </c>
      <c r="S279" s="19">
        <v>0</v>
      </c>
      <c r="T279" s="23">
        <v>0</v>
      </c>
      <c r="U279" s="24">
        <v>0</v>
      </c>
      <c r="V279" s="33">
        <v>0</v>
      </c>
      <c r="W279" s="34">
        <v>0</v>
      </c>
      <c r="X279" s="35">
        <v>0</v>
      </c>
      <c r="Y279" s="19">
        <v>0</v>
      </c>
      <c r="Z279" s="23">
        <v>0</v>
      </c>
      <c r="AA279" s="24">
        <v>0</v>
      </c>
      <c r="AB279" s="33">
        <v>0</v>
      </c>
      <c r="AC279" s="34">
        <v>0</v>
      </c>
      <c r="AD279" s="35">
        <v>0</v>
      </c>
      <c r="AE279" s="36">
        <v>0</v>
      </c>
      <c r="AF279" s="23">
        <v>0</v>
      </c>
      <c r="AG279" s="24">
        <v>0</v>
      </c>
      <c r="AH279" s="33">
        <v>0</v>
      </c>
      <c r="AI279" s="37">
        <v>0</v>
      </c>
      <c r="AJ279" s="35">
        <v>0</v>
      </c>
      <c r="AK279" s="36">
        <v>0</v>
      </c>
      <c r="AL279" s="38">
        <v>0</v>
      </c>
      <c r="AM279" s="35">
        <v>0</v>
      </c>
      <c r="AN279" s="19">
        <v>0</v>
      </c>
      <c r="AO279" s="23">
        <v>0</v>
      </c>
      <c r="AP279" s="24">
        <v>0</v>
      </c>
      <c r="AQ279" s="58">
        <f t="shared" si="18"/>
        <v>5.04</v>
      </c>
      <c r="AR279" s="59">
        <f t="shared" si="19"/>
        <v>12600</v>
      </c>
      <c r="AS279" s="35">
        <v>7</v>
      </c>
    </row>
    <row r="280" spans="1:45" ht="15.6" x14ac:dyDescent="0.3">
      <c r="A280" s="53">
        <v>276</v>
      </c>
      <c r="B280" s="55" t="s">
        <v>292</v>
      </c>
      <c r="C280" s="54" t="s">
        <v>302</v>
      </c>
      <c r="D280" s="348"/>
      <c r="E280" s="53"/>
      <c r="F280" s="56"/>
      <c r="G280" s="53"/>
      <c r="H280" s="56"/>
      <c r="I280" s="57"/>
      <c r="J280" s="53"/>
      <c r="K280" s="56"/>
      <c r="L280" s="57"/>
      <c r="M280" s="58"/>
      <c r="N280" s="56"/>
      <c r="O280" s="57"/>
      <c r="P280" s="58">
        <f t="shared" si="16"/>
        <v>2.16</v>
      </c>
      <c r="Q280" s="59">
        <f t="shared" si="17"/>
        <v>5400</v>
      </c>
      <c r="R280" s="35">
        <v>3</v>
      </c>
      <c r="S280" s="19">
        <v>0</v>
      </c>
      <c r="T280" s="23">
        <v>0</v>
      </c>
      <c r="U280" s="24">
        <v>0</v>
      </c>
      <c r="V280" s="33">
        <v>0</v>
      </c>
      <c r="W280" s="34">
        <v>0</v>
      </c>
      <c r="X280" s="35">
        <v>0</v>
      </c>
      <c r="Y280" s="19">
        <v>0</v>
      </c>
      <c r="Z280" s="23">
        <v>0</v>
      </c>
      <c r="AA280" s="24">
        <v>0</v>
      </c>
      <c r="AB280" s="33">
        <v>0</v>
      </c>
      <c r="AC280" s="34">
        <v>0</v>
      </c>
      <c r="AD280" s="35">
        <v>0</v>
      </c>
      <c r="AE280" s="36">
        <v>0</v>
      </c>
      <c r="AF280" s="23">
        <v>0</v>
      </c>
      <c r="AG280" s="24">
        <v>0</v>
      </c>
      <c r="AH280" s="33">
        <v>0</v>
      </c>
      <c r="AI280" s="37">
        <v>0</v>
      </c>
      <c r="AJ280" s="35">
        <v>0</v>
      </c>
      <c r="AK280" s="36">
        <v>0</v>
      </c>
      <c r="AL280" s="38">
        <v>0</v>
      </c>
      <c r="AM280" s="35">
        <v>0</v>
      </c>
      <c r="AN280" s="19">
        <v>0</v>
      </c>
      <c r="AO280" s="23">
        <v>0</v>
      </c>
      <c r="AP280" s="24">
        <v>0</v>
      </c>
      <c r="AQ280" s="58">
        <f t="shared" si="18"/>
        <v>2.16</v>
      </c>
      <c r="AR280" s="59">
        <f t="shared" si="19"/>
        <v>5400</v>
      </c>
      <c r="AS280" s="35">
        <v>3</v>
      </c>
    </row>
    <row r="281" spans="1:45" ht="15.6" x14ac:dyDescent="0.3">
      <c r="A281" s="53">
        <v>277</v>
      </c>
      <c r="B281" s="55" t="s">
        <v>292</v>
      </c>
      <c r="C281" s="54" t="s">
        <v>303</v>
      </c>
      <c r="D281" s="348"/>
      <c r="E281" s="53"/>
      <c r="F281" s="56"/>
      <c r="G281" s="53"/>
      <c r="H281" s="56"/>
      <c r="I281" s="57"/>
      <c r="J281" s="53"/>
      <c r="K281" s="56"/>
      <c r="L281" s="57"/>
      <c r="M281" s="58"/>
      <c r="N281" s="56"/>
      <c r="O281" s="57"/>
      <c r="P281" s="58">
        <f t="shared" si="16"/>
        <v>4.32</v>
      </c>
      <c r="Q281" s="59">
        <f t="shared" si="17"/>
        <v>10800</v>
      </c>
      <c r="R281" s="35">
        <v>6</v>
      </c>
      <c r="S281" s="19">
        <v>0</v>
      </c>
      <c r="T281" s="23">
        <v>0</v>
      </c>
      <c r="U281" s="24">
        <v>0</v>
      </c>
      <c r="V281" s="33">
        <v>0</v>
      </c>
      <c r="W281" s="34">
        <v>0</v>
      </c>
      <c r="X281" s="35">
        <v>0</v>
      </c>
      <c r="Y281" s="19">
        <v>0</v>
      </c>
      <c r="Z281" s="23">
        <v>0</v>
      </c>
      <c r="AA281" s="24">
        <v>0</v>
      </c>
      <c r="AB281" s="33">
        <v>0</v>
      </c>
      <c r="AC281" s="34">
        <v>0</v>
      </c>
      <c r="AD281" s="35">
        <v>0</v>
      </c>
      <c r="AE281" s="36">
        <v>0</v>
      </c>
      <c r="AF281" s="23">
        <v>0</v>
      </c>
      <c r="AG281" s="24">
        <v>0</v>
      </c>
      <c r="AH281" s="33">
        <v>0</v>
      </c>
      <c r="AI281" s="37">
        <v>0</v>
      </c>
      <c r="AJ281" s="35">
        <v>0</v>
      </c>
      <c r="AK281" s="36">
        <v>0</v>
      </c>
      <c r="AL281" s="38">
        <v>0</v>
      </c>
      <c r="AM281" s="35">
        <v>0</v>
      </c>
      <c r="AN281" s="19">
        <v>0</v>
      </c>
      <c r="AO281" s="23">
        <v>0</v>
      </c>
      <c r="AP281" s="24">
        <v>0</v>
      </c>
      <c r="AQ281" s="58">
        <f t="shared" si="18"/>
        <v>4.32</v>
      </c>
      <c r="AR281" s="59">
        <f t="shared" si="19"/>
        <v>10800</v>
      </c>
      <c r="AS281" s="35">
        <v>6</v>
      </c>
    </row>
    <row r="282" spans="1:45" ht="15.6" x14ac:dyDescent="0.3">
      <c r="A282" s="53">
        <v>278</v>
      </c>
      <c r="B282" s="55" t="s">
        <v>292</v>
      </c>
      <c r="C282" s="54" t="s">
        <v>304</v>
      </c>
      <c r="D282" s="348"/>
      <c r="E282" s="53"/>
      <c r="F282" s="56"/>
      <c r="G282" s="53"/>
      <c r="H282" s="56"/>
      <c r="I282" s="57"/>
      <c r="J282" s="53"/>
      <c r="K282" s="56"/>
      <c r="L282" s="57"/>
      <c r="M282" s="58"/>
      <c r="N282" s="56"/>
      <c r="O282" s="57"/>
      <c r="P282" s="58">
        <f t="shared" si="16"/>
        <v>2.88</v>
      </c>
      <c r="Q282" s="59">
        <f t="shared" si="17"/>
        <v>7200</v>
      </c>
      <c r="R282" s="35">
        <v>4</v>
      </c>
      <c r="S282" s="19">
        <v>0</v>
      </c>
      <c r="T282" s="23">
        <v>0</v>
      </c>
      <c r="U282" s="24">
        <v>0</v>
      </c>
      <c r="V282" s="33">
        <v>0</v>
      </c>
      <c r="W282" s="34">
        <v>0</v>
      </c>
      <c r="X282" s="35">
        <v>0</v>
      </c>
      <c r="Y282" s="19">
        <v>0</v>
      </c>
      <c r="Z282" s="23">
        <v>0</v>
      </c>
      <c r="AA282" s="24">
        <v>0</v>
      </c>
      <c r="AB282" s="33">
        <v>0</v>
      </c>
      <c r="AC282" s="34">
        <v>0</v>
      </c>
      <c r="AD282" s="35">
        <v>0</v>
      </c>
      <c r="AE282" s="36">
        <v>0</v>
      </c>
      <c r="AF282" s="23">
        <v>0</v>
      </c>
      <c r="AG282" s="24">
        <v>0</v>
      </c>
      <c r="AH282" s="33">
        <v>0</v>
      </c>
      <c r="AI282" s="37">
        <v>0</v>
      </c>
      <c r="AJ282" s="35">
        <v>0</v>
      </c>
      <c r="AK282" s="36">
        <v>0</v>
      </c>
      <c r="AL282" s="38">
        <v>0</v>
      </c>
      <c r="AM282" s="35">
        <v>0</v>
      </c>
      <c r="AN282" s="19">
        <v>0</v>
      </c>
      <c r="AO282" s="23">
        <v>0</v>
      </c>
      <c r="AP282" s="24">
        <v>0</v>
      </c>
      <c r="AQ282" s="58">
        <f t="shared" si="18"/>
        <v>2.88</v>
      </c>
      <c r="AR282" s="59">
        <f t="shared" si="19"/>
        <v>7200</v>
      </c>
      <c r="AS282" s="35">
        <v>4</v>
      </c>
    </row>
    <row r="283" spans="1:45" ht="15.6" x14ac:dyDescent="0.3">
      <c r="A283" s="53">
        <v>279</v>
      </c>
      <c r="B283" s="55" t="s">
        <v>292</v>
      </c>
      <c r="C283" s="54" t="s">
        <v>305</v>
      </c>
      <c r="D283" s="348"/>
      <c r="E283" s="53"/>
      <c r="F283" s="56"/>
      <c r="G283" s="53"/>
      <c r="H283" s="56"/>
      <c r="I283" s="57"/>
      <c r="J283" s="53"/>
      <c r="K283" s="56"/>
      <c r="L283" s="57"/>
      <c r="M283" s="58"/>
      <c r="N283" s="56"/>
      <c r="O283" s="57"/>
      <c r="P283" s="58">
        <f t="shared" si="16"/>
        <v>0</v>
      </c>
      <c r="Q283" s="59">
        <f t="shared" si="17"/>
        <v>0</v>
      </c>
      <c r="R283" s="35">
        <v>0</v>
      </c>
      <c r="S283" s="19">
        <v>0</v>
      </c>
      <c r="T283" s="23">
        <v>0</v>
      </c>
      <c r="U283" s="24">
        <v>0</v>
      </c>
      <c r="V283" s="33">
        <v>0</v>
      </c>
      <c r="W283" s="34">
        <v>0</v>
      </c>
      <c r="X283" s="35">
        <v>0</v>
      </c>
      <c r="Y283" s="19">
        <v>0</v>
      </c>
      <c r="Z283" s="23">
        <v>0</v>
      </c>
      <c r="AA283" s="24">
        <v>0</v>
      </c>
      <c r="AB283" s="33">
        <v>0</v>
      </c>
      <c r="AC283" s="34">
        <v>0</v>
      </c>
      <c r="AD283" s="35">
        <v>0</v>
      </c>
      <c r="AE283" s="36">
        <v>0</v>
      </c>
      <c r="AF283" s="23">
        <v>0</v>
      </c>
      <c r="AG283" s="24">
        <v>0</v>
      </c>
      <c r="AH283" s="33">
        <v>0</v>
      </c>
      <c r="AI283" s="37">
        <v>0</v>
      </c>
      <c r="AJ283" s="35">
        <v>0</v>
      </c>
      <c r="AK283" s="36">
        <v>0</v>
      </c>
      <c r="AL283" s="38">
        <v>0</v>
      </c>
      <c r="AM283" s="35">
        <v>0</v>
      </c>
      <c r="AN283" s="19">
        <v>0</v>
      </c>
      <c r="AO283" s="23">
        <v>0</v>
      </c>
      <c r="AP283" s="24">
        <v>0</v>
      </c>
      <c r="AQ283" s="58">
        <f t="shared" si="18"/>
        <v>0</v>
      </c>
      <c r="AR283" s="59">
        <f t="shared" si="19"/>
        <v>0</v>
      </c>
      <c r="AS283" s="35">
        <v>0</v>
      </c>
    </row>
    <row r="284" spans="1:45" ht="15.6" x14ac:dyDescent="0.3">
      <c r="A284" s="53">
        <v>280</v>
      </c>
      <c r="B284" s="55" t="s">
        <v>292</v>
      </c>
      <c r="C284" s="54" t="s">
        <v>306</v>
      </c>
      <c r="D284" s="348"/>
      <c r="E284" s="53"/>
      <c r="F284" s="56"/>
      <c r="G284" s="53"/>
      <c r="H284" s="56"/>
      <c r="I284" s="57"/>
      <c r="J284" s="53"/>
      <c r="K284" s="56"/>
      <c r="L284" s="57"/>
      <c r="M284" s="58"/>
      <c r="N284" s="56"/>
      <c r="O284" s="57"/>
      <c r="P284" s="58">
        <f t="shared" si="16"/>
        <v>15.12</v>
      </c>
      <c r="Q284" s="59">
        <f t="shared" si="17"/>
        <v>37800</v>
      </c>
      <c r="R284" s="35">
        <v>21</v>
      </c>
      <c r="S284" s="19">
        <v>0</v>
      </c>
      <c r="T284" s="23">
        <v>0</v>
      </c>
      <c r="U284" s="24">
        <v>0</v>
      </c>
      <c r="V284" s="33">
        <v>0</v>
      </c>
      <c r="W284" s="34">
        <v>0</v>
      </c>
      <c r="X284" s="35">
        <v>0</v>
      </c>
      <c r="Y284" s="19">
        <v>0</v>
      </c>
      <c r="Z284" s="23">
        <v>0</v>
      </c>
      <c r="AA284" s="24">
        <v>0</v>
      </c>
      <c r="AB284" s="33">
        <v>0</v>
      </c>
      <c r="AC284" s="34">
        <v>0</v>
      </c>
      <c r="AD284" s="35">
        <v>0</v>
      </c>
      <c r="AE284" s="36">
        <v>0</v>
      </c>
      <c r="AF284" s="23">
        <v>0</v>
      </c>
      <c r="AG284" s="24">
        <v>0</v>
      </c>
      <c r="AH284" s="33">
        <v>0</v>
      </c>
      <c r="AI284" s="37">
        <v>0</v>
      </c>
      <c r="AJ284" s="35">
        <v>0</v>
      </c>
      <c r="AK284" s="36">
        <v>0</v>
      </c>
      <c r="AL284" s="38">
        <v>0</v>
      </c>
      <c r="AM284" s="35">
        <v>0</v>
      </c>
      <c r="AN284" s="19">
        <v>0</v>
      </c>
      <c r="AO284" s="23">
        <v>0</v>
      </c>
      <c r="AP284" s="24">
        <v>0</v>
      </c>
      <c r="AQ284" s="58">
        <f t="shared" si="18"/>
        <v>15.12</v>
      </c>
      <c r="AR284" s="59">
        <f t="shared" si="19"/>
        <v>37800</v>
      </c>
      <c r="AS284" s="35">
        <v>21</v>
      </c>
    </row>
    <row r="285" spans="1:45" ht="15.6" x14ac:dyDescent="0.3">
      <c r="A285" s="53">
        <v>281</v>
      </c>
      <c r="B285" s="55" t="s">
        <v>307</v>
      </c>
      <c r="C285" s="54" t="s">
        <v>308</v>
      </c>
      <c r="D285" s="348"/>
      <c r="E285" s="53"/>
      <c r="F285" s="56"/>
      <c r="G285" s="53"/>
      <c r="H285" s="56"/>
      <c r="I285" s="57"/>
      <c r="J285" s="53"/>
      <c r="K285" s="56"/>
      <c r="L285" s="57"/>
      <c r="M285" s="58"/>
      <c r="N285" s="56"/>
      <c r="O285" s="57"/>
      <c r="P285" s="58">
        <f t="shared" si="16"/>
        <v>0.72</v>
      </c>
      <c r="Q285" s="59">
        <f t="shared" si="17"/>
        <v>1800</v>
      </c>
      <c r="R285" s="35">
        <v>1</v>
      </c>
      <c r="S285" s="19">
        <v>0</v>
      </c>
      <c r="T285" s="23">
        <v>0</v>
      </c>
      <c r="U285" s="24">
        <v>0</v>
      </c>
      <c r="V285" s="33">
        <v>0</v>
      </c>
      <c r="W285" s="34">
        <v>0</v>
      </c>
      <c r="X285" s="35">
        <v>0</v>
      </c>
      <c r="Y285" s="19">
        <v>0</v>
      </c>
      <c r="Z285" s="23">
        <v>0</v>
      </c>
      <c r="AA285" s="24">
        <v>0</v>
      </c>
      <c r="AB285" s="33">
        <v>0</v>
      </c>
      <c r="AC285" s="34">
        <v>0</v>
      </c>
      <c r="AD285" s="35">
        <v>0</v>
      </c>
      <c r="AE285" s="36">
        <v>0</v>
      </c>
      <c r="AF285" s="23">
        <v>0</v>
      </c>
      <c r="AG285" s="24">
        <v>0</v>
      </c>
      <c r="AH285" s="33">
        <v>0</v>
      </c>
      <c r="AI285" s="37">
        <v>0</v>
      </c>
      <c r="AJ285" s="35">
        <v>0</v>
      </c>
      <c r="AK285" s="36">
        <v>0</v>
      </c>
      <c r="AL285" s="38">
        <v>0</v>
      </c>
      <c r="AM285" s="35">
        <v>0</v>
      </c>
      <c r="AN285" s="19">
        <v>0</v>
      </c>
      <c r="AO285" s="23">
        <v>0</v>
      </c>
      <c r="AP285" s="24">
        <v>0</v>
      </c>
      <c r="AQ285" s="58">
        <f t="shared" si="18"/>
        <v>0.72</v>
      </c>
      <c r="AR285" s="59">
        <f t="shared" si="19"/>
        <v>1800</v>
      </c>
      <c r="AS285" s="35">
        <v>1</v>
      </c>
    </row>
    <row r="286" spans="1:45" ht="15.6" x14ac:dyDescent="0.3">
      <c r="A286" s="53">
        <v>282</v>
      </c>
      <c r="B286" s="55" t="s">
        <v>307</v>
      </c>
      <c r="C286" s="54" t="s">
        <v>309</v>
      </c>
      <c r="D286" s="348"/>
      <c r="E286" s="53"/>
      <c r="F286" s="56"/>
      <c r="G286" s="53"/>
      <c r="H286" s="56"/>
      <c r="I286" s="57"/>
      <c r="J286" s="53"/>
      <c r="K286" s="56"/>
      <c r="L286" s="57"/>
      <c r="M286" s="58"/>
      <c r="N286" s="56"/>
      <c r="O286" s="57"/>
      <c r="P286" s="58">
        <f t="shared" si="16"/>
        <v>2.16</v>
      </c>
      <c r="Q286" s="59">
        <f t="shared" si="17"/>
        <v>5400</v>
      </c>
      <c r="R286" s="35">
        <v>3</v>
      </c>
      <c r="S286" s="19">
        <v>0</v>
      </c>
      <c r="T286" s="23">
        <v>0</v>
      </c>
      <c r="U286" s="24">
        <v>0</v>
      </c>
      <c r="V286" s="33">
        <v>0</v>
      </c>
      <c r="W286" s="34">
        <v>0</v>
      </c>
      <c r="X286" s="35">
        <v>0</v>
      </c>
      <c r="Y286" s="19">
        <v>0</v>
      </c>
      <c r="Z286" s="23">
        <v>0</v>
      </c>
      <c r="AA286" s="24">
        <v>0</v>
      </c>
      <c r="AB286" s="33">
        <v>0</v>
      </c>
      <c r="AC286" s="34">
        <v>0</v>
      </c>
      <c r="AD286" s="35">
        <v>0</v>
      </c>
      <c r="AE286" s="36">
        <v>0</v>
      </c>
      <c r="AF286" s="23">
        <v>0</v>
      </c>
      <c r="AG286" s="24">
        <v>0</v>
      </c>
      <c r="AH286" s="33">
        <v>0</v>
      </c>
      <c r="AI286" s="37">
        <v>0</v>
      </c>
      <c r="AJ286" s="35">
        <v>0</v>
      </c>
      <c r="AK286" s="36">
        <v>0</v>
      </c>
      <c r="AL286" s="38">
        <v>0</v>
      </c>
      <c r="AM286" s="35">
        <v>0</v>
      </c>
      <c r="AN286" s="19">
        <v>0</v>
      </c>
      <c r="AO286" s="23">
        <v>0</v>
      </c>
      <c r="AP286" s="24">
        <v>0</v>
      </c>
      <c r="AQ286" s="58">
        <f t="shared" si="18"/>
        <v>2.16</v>
      </c>
      <c r="AR286" s="59">
        <f t="shared" si="19"/>
        <v>5400</v>
      </c>
      <c r="AS286" s="35">
        <v>3</v>
      </c>
    </row>
    <row r="287" spans="1:45" ht="15.6" x14ac:dyDescent="0.3">
      <c r="A287" s="53">
        <v>283</v>
      </c>
      <c r="B287" s="55" t="s">
        <v>307</v>
      </c>
      <c r="C287" s="54" t="s">
        <v>310</v>
      </c>
      <c r="D287" s="348"/>
      <c r="E287" s="53"/>
      <c r="F287" s="56"/>
      <c r="G287" s="53"/>
      <c r="H287" s="56"/>
      <c r="I287" s="57"/>
      <c r="J287" s="53"/>
      <c r="K287" s="56"/>
      <c r="L287" s="57"/>
      <c r="M287" s="58"/>
      <c r="N287" s="56"/>
      <c r="O287" s="57"/>
      <c r="P287" s="58">
        <f t="shared" si="16"/>
        <v>0.72</v>
      </c>
      <c r="Q287" s="59">
        <f t="shared" si="17"/>
        <v>1800</v>
      </c>
      <c r="R287" s="35">
        <v>1</v>
      </c>
      <c r="S287" s="19">
        <v>0</v>
      </c>
      <c r="T287" s="23">
        <v>0</v>
      </c>
      <c r="U287" s="24">
        <v>0</v>
      </c>
      <c r="V287" s="33">
        <v>0</v>
      </c>
      <c r="W287" s="34">
        <v>0</v>
      </c>
      <c r="X287" s="35">
        <v>0</v>
      </c>
      <c r="Y287" s="19">
        <v>0</v>
      </c>
      <c r="Z287" s="23">
        <v>0</v>
      </c>
      <c r="AA287" s="24">
        <v>0</v>
      </c>
      <c r="AB287" s="33">
        <v>0</v>
      </c>
      <c r="AC287" s="34">
        <v>0</v>
      </c>
      <c r="AD287" s="35">
        <v>0</v>
      </c>
      <c r="AE287" s="36">
        <v>0</v>
      </c>
      <c r="AF287" s="23">
        <v>0</v>
      </c>
      <c r="AG287" s="24">
        <v>0</v>
      </c>
      <c r="AH287" s="33">
        <v>0</v>
      </c>
      <c r="AI287" s="37">
        <v>0</v>
      </c>
      <c r="AJ287" s="35">
        <v>0</v>
      </c>
      <c r="AK287" s="36">
        <v>0</v>
      </c>
      <c r="AL287" s="38">
        <v>0</v>
      </c>
      <c r="AM287" s="35">
        <v>0</v>
      </c>
      <c r="AN287" s="19">
        <v>0</v>
      </c>
      <c r="AO287" s="23">
        <v>0</v>
      </c>
      <c r="AP287" s="24">
        <v>0</v>
      </c>
      <c r="AQ287" s="58">
        <f t="shared" si="18"/>
        <v>0.72</v>
      </c>
      <c r="AR287" s="59">
        <f t="shared" si="19"/>
        <v>1800</v>
      </c>
      <c r="AS287" s="35">
        <v>1</v>
      </c>
    </row>
    <row r="288" spans="1:45" ht="15.6" x14ac:dyDescent="0.3">
      <c r="A288" s="53">
        <v>284</v>
      </c>
      <c r="B288" s="55" t="s">
        <v>307</v>
      </c>
      <c r="C288" s="54" t="s">
        <v>311</v>
      </c>
      <c r="D288" s="348"/>
      <c r="E288" s="53"/>
      <c r="F288" s="56"/>
      <c r="G288" s="53"/>
      <c r="H288" s="56"/>
      <c r="I288" s="57"/>
      <c r="J288" s="53"/>
      <c r="K288" s="56"/>
      <c r="L288" s="57"/>
      <c r="M288" s="58"/>
      <c r="N288" s="56"/>
      <c r="O288" s="57"/>
      <c r="P288" s="58">
        <f t="shared" si="16"/>
        <v>2.16</v>
      </c>
      <c r="Q288" s="59">
        <f t="shared" si="17"/>
        <v>5400</v>
      </c>
      <c r="R288" s="35">
        <v>3</v>
      </c>
      <c r="S288" s="19">
        <v>0</v>
      </c>
      <c r="T288" s="23">
        <v>0</v>
      </c>
      <c r="U288" s="24">
        <v>0</v>
      </c>
      <c r="V288" s="33">
        <v>0</v>
      </c>
      <c r="W288" s="34">
        <v>0</v>
      </c>
      <c r="X288" s="35">
        <v>0</v>
      </c>
      <c r="Y288" s="19">
        <v>0</v>
      </c>
      <c r="Z288" s="23">
        <v>0</v>
      </c>
      <c r="AA288" s="24">
        <v>0</v>
      </c>
      <c r="AB288" s="33">
        <v>0</v>
      </c>
      <c r="AC288" s="34">
        <v>0</v>
      </c>
      <c r="AD288" s="35">
        <v>0</v>
      </c>
      <c r="AE288" s="36">
        <v>0</v>
      </c>
      <c r="AF288" s="23">
        <v>0</v>
      </c>
      <c r="AG288" s="24">
        <v>0</v>
      </c>
      <c r="AH288" s="33">
        <v>0</v>
      </c>
      <c r="AI288" s="37">
        <v>0</v>
      </c>
      <c r="AJ288" s="35">
        <v>0</v>
      </c>
      <c r="AK288" s="36">
        <v>0</v>
      </c>
      <c r="AL288" s="38">
        <v>0</v>
      </c>
      <c r="AM288" s="35">
        <v>0</v>
      </c>
      <c r="AN288" s="19">
        <v>0</v>
      </c>
      <c r="AO288" s="23">
        <v>0</v>
      </c>
      <c r="AP288" s="24">
        <v>0</v>
      </c>
      <c r="AQ288" s="58">
        <f t="shared" si="18"/>
        <v>2.16</v>
      </c>
      <c r="AR288" s="59">
        <f t="shared" si="19"/>
        <v>5400</v>
      </c>
      <c r="AS288" s="35">
        <v>3</v>
      </c>
    </row>
    <row r="289" spans="1:45" ht="15.6" x14ac:dyDescent="0.3">
      <c r="A289" s="53">
        <v>285</v>
      </c>
      <c r="B289" s="55" t="s">
        <v>307</v>
      </c>
      <c r="C289" s="54" t="s">
        <v>312</v>
      </c>
      <c r="D289" s="348"/>
      <c r="E289" s="53"/>
      <c r="F289" s="56"/>
      <c r="G289" s="53"/>
      <c r="H289" s="56"/>
      <c r="I289" s="57"/>
      <c r="J289" s="53"/>
      <c r="K289" s="56"/>
      <c r="L289" s="57"/>
      <c r="M289" s="58"/>
      <c r="N289" s="56"/>
      <c r="O289" s="57"/>
      <c r="P289" s="58">
        <f t="shared" si="16"/>
        <v>0.72</v>
      </c>
      <c r="Q289" s="59">
        <f t="shared" si="17"/>
        <v>1800</v>
      </c>
      <c r="R289" s="35">
        <v>1</v>
      </c>
      <c r="S289" s="19">
        <v>0</v>
      </c>
      <c r="T289" s="23">
        <v>0</v>
      </c>
      <c r="U289" s="24">
        <v>0</v>
      </c>
      <c r="V289" s="33">
        <v>0</v>
      </c>
      <c r="W289" s="34">
        <v>0</v>
      </c>
      <c r="X289" s="35">
        <v>0</v>
      </c>
      <c r="Y289" s="19">
        <v>0</v>
      </c>
      <c r="Z289" s="23">
        <v>0</v>
      </c>
      <c r="AA289" s="24">
        <v>0</v>
      </c>
      <c r="AB289" s="33">
        <v>0</v>
      </c>
      <c r="AC289" s="34">
        <v>0</v>
      </c>
      <c r="AD289" s="35">
        <v>0</v>
      </c>
      <c r="AE289" s="36">
        <v>0</v>
      </c>
      <c r="AF289" s="23">
        <v>0</v>
      </c>
      <c r="AG289" s="24">
        <v>0</v>
      </c>
      <c r="AH289" s="33">
        <v>0</v>
      </c>
      <c r="AI289" s="37">
        <v>0</v>
      </c>
      <c r="AJ289" s="35">
        <v>0</v>
      </c>
      <c r="AK289" s="36">
        <v>0</v>
      </c>
      <c r="AL289" s="38">
        <v>0</v>
      </c>
      <c r="AM289" s="35">
        <v>0</v>
      </c>
      <c r="AN289" s="19">
        <v>0</v>
      </c>
      <c r="AO289" s="23">
        <v>0</v>
      </c>
      <c r="AP289" s="24">
        <v>0</v>
      </c>
      <c r="AQ289" s="58">
        <f t="shared" si="18"/>
        <v>0.72</v>
      </c>
      <c r="AR289" s="59">
        <f t="shared" si="19"/>
        <v>1800</v>
      </c>
      <c r="AS289" s="35">
        <v>1</v>
      </c>
    </row>
    <row r="290" spans="1:45" ht="15.6" x14ac:dyDescent="0.3">
      <c r="A290" s="53">
        <v>286</v>
      </c>
      <c r="B290" s="55" t="s">
        <v>307</v>
      </c>
      <c r="C290" s="54" t="s">
        <v>313</v>
      </c>
      <c r="D290" s="348"/>
      <c r="E290" s="53"/>
      <c r="F290" s="56"/>
      <c r="G290" s="53"/>
      <c r="H290" s="56"/>
      <c r="I290" s="57"/>
      <c r="J290" s="53"/>
      <c r="K290" s="56"/>
      <c r="L290" s="57"/>
      <c r="M290" s="58"/>
      <c r="N290" s="56"/>
      <c r="O290" s="57"/>
      <c r="P290" s="58">
        <f t="shared" si="16"/>
        <v>1.44</v>
      </c>
      <c r="Q290" s="59">
        <f t="shared" si="17"/>
        <v>3600</v>
      </c>
      <c r="R290" s="35">
        <v>2</v>
      </c>
      <c r="S290" s="19">
        <v>0</v>
      </c>
      <c r="T290" s="23">
        <v>0</v>
      </c>
      <c r="U290" s="24">
        <v>0</v>
      </c>
      <c r="V290" s="33">
        <v>0</v>
      </c>
      <c r="W290" s="34">
        <v>0</v>
      </c>
      <c r="X290" s="35">
        <v>0</v>
      </c>
      <c r="Y290" s="19">
        <v>0</v>
      </c>
      <c r="Z290" s="23">
        <v>0</v>
      </c>
      <c r="AA290" s="24">
        <v>0</v>
      </c>
      <c r="AB290" s="33">
        <v>0</v>
      </c>
      <c r="AC290" s="34">
        <v>0</v>
      </c>
      <c r="AD290" s="35">
        <v>0</v>
      </c>
      <c r="AE290" s="36">
        <v>0</v>
      </c>
      <c r="AF290" s="23">
        <v>0</v>
      </c>
      <c r="AG290" s="24">
        <v>0</v>
      </c>
      <c r="AH290" s="33">
        <v>0</v>
      </c>
      <c r="AI290" s="37">
        <v>0</v>
      </c>
      <c r="AJ290" s="35">
        <v>0</v>
      </c>
      <c r="AK290" s="36">
        <v>0</v>
      </c>
      <c r="AL290" s="38">
        <v>0</v>
      </c>
      <c r="AM290" s="35">
        <v>0</v>
      </c>
      <c r="AN290" s="19">
        <v>0</v>
      </c>
      <c r="AO290" s="23">
        <v>0</v>
      </c>
      <c r="AP290" s="24">
        <v>0</v>
      </c>
      <c r="AQ290" s="58">
        <f t="shared" si="18"/>
        <v>1.44</v>
      </c>
      <c r="AR290" s="59">
        <f t="shared" si="19"/>
        <v>3600</v>
      </c>
      <c r="AS290" s="35">
        <v>2</v>
      </c>
    </row>
    <row r="291" spans="1:45" ht="15.6" x14ac:dyDescent="0.3">
      <c r="A291" s="53">
        <v>287</v>
      </c>
      <c r="B291" s="55" t="s">
        <v>307</v>
      </c>
      <c r="C291" s="54" t="s">
        <v>314</v>
      </c>
      <c r="D291" s="348"/>
      <c r="E291" s="53"/>
      <c r="F291" s="56"/>
      <c r="G291" s="53"/>
      <c r="H291" s="56"/>
      <c r="I291" s="57"/>
      <c r="J291" s="53"/>
      <c r="K291" s="56"/>
      <c r="L291" s="57"/>
      <c r="M291" s="58"/>
      <c r="N291" s="56"/>
      <c r="O291" s="57"/>
      <c r="P291" s="58">
        <f t="shared" si="16"/>
        <v>2.88</v>
      </c>
      <c r="Q291" s="59">
        <f t="shared" si="17"/>
        <v>7200</v>
      </c>
      <c r="R291" s="35">
        <v>4</v>
      </c>
      <c r="S291" s="19">
        <v>0</v>
      </c>
      <c r="T291" s="23">
        <v>0</v>
      </c>
      <c r="U291" s="24">
        <v>0</v>
      </c>
      <c r="V291" s="33">
        <v>0</v>
      </c>
      <c r="W291" s="34">
        <v>0</v>
      </c>
      <c r="X291" s="35">
        <v>0</v>
      </c>
      <c r="Y291" s="19">
        <v>0</v>
      </c>
      <c r="Z291" s="23">
        <v>0</v>
      </c>
      <c r="AA291" s="24">
        <v>0</v>
      </c>
      <c r="AB291" s="33">
        <v>0</v>
      </c>
      <c r="AC291" s="34">
        <v>0</v>
      </c>
      <c r="AD291" s="35">
        <v>0</v>
      </c>
      <c r="AE291" s="36">
        <v>0</v>
      </c>
      <c r="AF291" s="23">
        <v>0</v>
      </c>
      <c r="AG291" s="24">
        <v>0</v>
      </c>
      <c r="AH291" s="33">
        <v>0</v>
      </c>
      <c r="AI291" s="37">
        <v>0</v>
      </c>
      <c r="AJ291" s="35">
        <v>0</v>
      </c>
      <c r="AK291" s="36">
        <v>0</v>
      </c>
      <c r="AL291" s="38">
        <v>0</v>
      </c>
      <c r="AM291" s="35">
        <v>0</v>
      </c>
      <c r="AN291" s="19">
        <v>0</v>
      </c>
      <c r="AO291" s="23">
        <v>0</v>
      </c>
      <c r="AP291" s="24">
        <v>0</v>
      </c>
      <c r="AQ291" s="58">
        <f t="shared" si="18"/>
        <v>2.88</v>
      </c>
      <c r="AR291" s="59">
        <f t="shared" si="19"/>
        <v>7200</v>
      </c>
      <c r="AS291" s="35">
        <v>4</v>
      </c>
    </row>
    <row r="292" spans="1:45" ht="15.6" x14ac:dyDescent="0.3">
      <c r="A292" s="53">
        <v>288</v>
      </c>
      <c r="B292" s="55" t="s">
        <v>307</v>
      </c>
      <c r="C292" s="54" t="s">
        <v>315</v>
      </c>
      <c r="D292" s="348"/>
      <c r="E292" s="53"/>
      <c r="F292" s="56"/>
      <c r="G292" s="53"/>
      <c r="H292" s="56"/>
      <c r="I292" s="57"/>
      <c r="J292" s="53"/>
      <c r="K292" s="56"/>
      <c r="L292" s="57"/>
      <c r="M292" s="58"/>
      <c r="N292" s="56"/>
      <c r="O292" s="57"/>
      <c r="P292" s="58">
        <f t="shared" si="16"/>
        <v>10.08</v>
      </c>
      <c r="Q292" s="59">
        <f t="shared" si="17"/>
        <v>25200</v>
      </c>
      <c r="R292" s="35">
        <v>14</v>
      </c>
      <c r="S292" s="19">
        <v>0</v>
      </c>
      <c r="T292" s="23">
        <v>0</v>
      </c>
      <c r="U292" s="24">
        <v>0</v>
      </c>
      <c r="V292" s="33">
        <v>0</v>
      </c>
      <c r="W292" s="34">
        <v>0</v>
      </c>
      <c r="X292" s="35">
        <v>0</v>
      </c>
      <c r="Y292" s="19">
        <v>0</v>
      </c>
      <c r="Z292" s="23">
        <v>0</v>
      </c>
      <c r="AA292" s="24">
        <v>0</v>
      </c>
      <c r="AB292" s="33">
        <v>0</v>
      </c>
      <c r="AC292" s="34">
        <v>0</v>
      </c>
      <c r="AD292" s="35">
        <v>0</v>
      </c>
      <c r="AE292" s="36">
        <v>0</v>
      </c>
      <c r="AF292" s="23">
        <v>0</v>
      </c>
      <c r="AG292" s="24">
        <v>0</v>
      </c>
      <c r="AH292" s="33">
        <v>0</v>
      </c>
      <c r="AI292" s="37">
        <v>0</v>
      </c>
      <c r="AJ292" s="35">
        <v>0</v>
      </c>
      <c r="AK292" s="36">
        <v>0</v>
      </c>
      <c r="AL292" s="38">
        <v>0</v>
      </c>
      <c r="AM292" s="35">
        <v>0</v>
      </c>
      <c r="AN292" s="19">
        <v>0</v>
      </c>
      <c r="AO292" s="23">
        <v>0</v>
      </c>
      <c r="AP292" s="24">
        <v>0</v>
      </c>
      <c r="AQ292" s="58">
        <f t="shared" si="18"/>
        <v>10.08</v>
      </c>
      <c r="AR292" s="59">
        <f t="shared" si="19"/>
        <v>25200</v>
      </c>
      <c r="AS292" s="35">
        <v>14</v>
      </c>
    </row>
    <row r="293" spans="1:45" ht="15.6" x14ac:dyDescent="0.3">
      <c r="A293" s="53">
        <v>289</v>
      </c>
      <c r="B293" s="55" t="s">
        <v>307</v>
      </c>
      <c r="C293" s="54" t="s">
        <v>316</v>
      </c>
      <c r="D293" s="348"/>
      <c r="E293" s="53"/>
      <c r="F293" s="56"/>
      <c r="G293" s="53"/>
      <c r="H293" s="56"/>
      <c r="I293" s="57"/>
      <c r="J293" s="53"/>
      <c r="K293" s="56"/>
      <c r="L293" s="57"/>
      <c r="M293" s="58"/>
      <c r="N293" s="56"/>
      <c r="O293" s="57"/>
      <c r="P293" s="58">
        <f t="shared" si="16"/>
        <v>0</v>
      </c>
      <c r="Q293" s="59">
        <f t="shared" si="17"/>
        <v>0</v>
      </c>
      <c r="R293" s="35"/>
      <c r="S293" s="19">
        <v>0</v>
      </c>
      <c r="T293" s="23">
        <v>0</v>
      </c>
      <c r="U293" s="24">
        <v>0</v>
      </c>
      <c r="V293" s="33">
        <v>0</v>
      </c>
      <c r="W293" s="34">
        <v>0</v>
      </c>
      <c r="X293" s="35">
        <v>0</v>
      </c>
      <c r="Y293" s="19">
        <v>0</v>
      </c>
      <c r="Z293" s="23">
        <v>0</v>
      </c>
      <c r="AA293" s="24">
        <v>0</v>
      </c>
      <c r="AB293" s="33">
        <v>0</v>
      </c>
      <c r="AC293" s="34">
        <v>0</v>
      </c>
      <c r="AD293" s="35">
        <v>0</v>
      </c>
      <c r="AE293" s="36">
        <v>0</v>
      </c>
      <c r="AF293" s="23">
        <v>0</v>
      </c>
      <c r="AG293" s="24">
        <v>0</v>
      </c>
      <c r="AH293" s="33">
        <v>0</v>
      </c>
      <c r="AI293" s="37">
        <v>0</v>
      </c>
      <c r="AJ293" s="35">
        <v>0</v>
      </c>
      <c r="AK293" s="36">
        <v>0</v>
      </c>
      <c r="AL293" s="38">
        <v>0</v>
      </c>
      <c r="AM293" s="35">
        <v>0</v>
      </c>
      <c r="AN293" s="19">
        <v>0</v>
      </c>
      <c r="AO293" s="23">
        <v>0</v>
      </c>
      <c r="AP293" s="24">
        <v>0</v>
      </c>
      <c r="AQ293" s="58">
        <f t="shared" si="18"/>
        <v>0</v>
      </c>
      <c r="AR293" s="59">
        <f t="shared" si="19"/>
        <v>0</v>
      </c>
      <c r="AS293" s="35"/>
    </row>
    <row r="294" spans="1:45" ht="15.6" x14ac:dyDescent="0.3">
      <c r="A294" s="53">
        <v>290</v>
      </c>
      <c r="B294" s="55" t="s">
        <v>307</v>
      </c>
      <c r="C294" s="54" t="s">
        <v>317</v>
      </c>
      <c r="D294" s="348" t="s">
        <v>25</v>
      </c>
      <c r="E294" s="53"/>
      <c r="F294" s="56"/>
      <c r="G294" s="53"/>
      <c r="H294" s="56"/>
      <c r="I294" s="57"/>
      <c r="J294" s="53"/>
      <c r="K294" s="56"/>
      <c r="L294" s="57"/>
      <c r="M294" s="58"/>
      <c r="N294" s="56"/>
      <c r="O294" s="57"/>
      <c r="P294" s="58">
        <f t="shared" si="16"/>
        <v>1.44</v>
      </c>
      <c r="Q294" s="59">
        <f t="shared" si="17"/>
        <v>3600</v>
      </c>
      <c r="R294" s="35">
        <v>2</v>
      </c>
      <c r="S294" s="19">
        <v>0</v>
      </c>
      <c r="T294" s="23">
        <v>0</v>
      </c>
      <c r="U294" s="24">
        <v>0</v>
      </c>
      <c r="V294" s="33">
        <v>0</v>
      </c>
      <c r="W294" s="34">
        <v>0</v>
      </c>
      <c r="X294" s="35">
        <v>0</v>
      </c>
      <c r="Y294" s="19">
        <v>0</v>
      </c>
      <c r="Z294" s="23">
        <v>0</v>
      </c>
      <c r="AA294" s="24">
        <v>0</v>
      </c>
      <c r="AB294" s="33">
        <v>0</v>
      </c>
      <c r="AC294" s="34">
        <v>0</v>
      </c>
      <c r="AD294" s="35">
        <v>0</v>
      </c>
      <c r="AE294" s="36">
        <v>0</v>
      </c>
      <c r="AF294" s="23">
        <v>0</v>
      </c>
      <c r="AG294" s="24">
        <v>0</v>
      </c>
      <c r="AH294" s="33">
        <v>0</v>
      </c>
      <c r="AI294" s="37">
        <v>0</v>
      </c>
      <c r="AJ294" s="35">
        <v>0</v>
      </c>
      <c r="AK294" s="36">
        <v>0</v>
      </c>
      <c r="AL294" s="38">
        <v>0</v>
      </c>
      <c r="AM294" s="35">
        <v>0</v>
      </c>
      <c r="AN294" s="19">
        <v>0</v>
      </c>
      <c r="AO294" s="23">
        <v>0</v>
      </c>
      <c r="AP294" s="24">
        <v>0</v>
      </c>
      <c r="AQ294" s="58">
        <f t="shared" si="18"/>
        <v>1.44</v>
      </c>
      <c r="AR294" s="59">
        <f t="shared" si="19"/>
        <v>3600</v>
      </c>
      <c r="AS294" s="35">
        <v>2</v>
      </c>
    </row>
    <row r="295" spans="1:45" ht="15.6" x14ac:dyDescent="0.3">
      <c r="A295" s="53">
        <v>291</v>
      </c>
      <c r="B295" s="55" t="s">
        <v>307</v>
      </c>
      <c r="C295" s="54" t="s">
        <v>318</v>
      </c>
      <c r="D295" s="348"/>
      <c r="E295" s="53"/>
      <c r="F295" s="56"/>
      <c r="G295" s="53"/>
      <c r="H295" s="56"/>
      <c r="I295" s="57"/>
      <c r="J295" s="53"/>
      <c r="K295" s="56"/>
      <c r="L295" s="57"/>
      <c r="M295" s="58"/>
      <c r="N295" s="56"/>
      <c r="O295" s="57"/>
      <c r="P295" s="58">
        <f t="shared" si="16"/>
        <v>2.16</v>
      </c>
      <c r="Q295" s="59">
        <f t="shared" si="17"/>
        <v>5400</v>
      </c>
      <c r="R295" s="35">
        <v>3</v>
      </c>
      <c r="S295" s="19">
        <v>0</v>
      </c>
      <c r="T295" s="23">
        <v>0</v>
      </c>
      <c r="U295" s="24">
        <v>0</v>
      </c>
      <c r="V295" s="33">
        <v>0</v>
      </c>
      <c r="W295" s="34">
        <v>0</v>
      </c>
      <c r="X295" s="35">
        <v>0</v>
      </c>
      <c r="Y295" s="19">
        <v>0</v>
      </c>
      <c r="Z295" s="23">
        <v>0</v>
      </c>
      <c r="AA295" s="24">
        <v>0</v>
      </c>
      <c r="AB295" s="33">
        <v>0</v>
      </c>
      <c r="AC295" s="34">
        <v>0</v>
      </c>
      <c r="AD295" s="35">
        <v>0</v>
      </c>
      <c r="AE295" s="36">
        <v>0</v>
      </c>
      <c r="AF295" s="23">
        <v>0</v>
      </c>
      <c r="AG295" s="24">
        <v>0</v>
      </c>
      <c r="AH295" s="33">
        <v>0</v>
      </c>
      <c r="AI295" s="37">
        <v>0</v>
      </c>
      <c r="AJ295" s="35">
        <v>0</v>
      </c>
      <c r="AK295" s="36">
        <v>0</v>
      </c>
      <c r="AL295" s="38">
        <v>0</v>
      </c>
      <c r="AM295" s="35">
        <v>0</v>
      </c>
      <c r="AN295" s="19">
        <v>0</v>
      </c>
      <c r="AO295" s="23">
        <v>0</v>
      </c>
      <c r="AP295" s="24">
        <v>0</v>
      </c>
      <c r="AQ295" s="58">
        <f t="shared" si="18"/>
        <v>2.16</v>
      </c>
      <c r="AR295" s="59">
        <f t="shared" si="19"/>
        <v>5400</v>
      </c>
      <c r="AS295" s="35">
        <v>3</v>
      </c>
    </row>
    <row r="296" spans="1:45" ht="15.6" x14ac:dyDescent="0.3">
      <c r="A296" s="53">
        <v>292</v>
      </c>
      <c r="B296" s="55" t="s">
        <v>307</v>
      </c>
      <c r="C296" s="54" t="s">
        <v>319</v>
      </c>
      <c r="D296" s="348"/>
      <c r="E296" s="53"/>
      <c r="F296" s="56"/>
      <c r="G296" s="53"/>
      <c r="H296" s="56"/>
      <c r="I296" s="57"/>
      <c r="J296" s="53"/>
      <c r="K296" s="56"/>
      <c r="L296" s="57"/>
      <c r="M296" s="58"/>
      <c r="N296" s="56"/>
      <c r="O296" s="57"/>
      <c r="P296" s="58">
        <f t="shared" si="16"/>
        <v>0</v>
      </c>
      <c r="Q296" s="59">
        <f t="shared" si="17"/>
        <v>0</v>
      </c>
      <c r="R296" s="35"/>
      <c r="S296" s="19">
        <v>0</v>
      </c>
      <c r="T296" s="23">
        <v>0</v>
      </c>
      <c r="U296" s="24">
        <v>0</v>
      </c>
      <c r="V296" s="33">
        <v>0</v>
      </c>
      <c r="W296" s="34">
        <v>0</v>
      </c>
      <c r="X296" s="35">
        <v>0</v>
      </c>
      <c r="Y296" s="19">
        <v>0</v>
      </c>
      <c r="Z296" s="23">
        <v>0</v>
      </c>
      <c r="AA296" s="24">
        <v>0</v>
      </c>
      <c r="AB296" s="33">
        <v>0</v>
      </c>
      <c r="AC296" s="34">
        <v>0</v>
      </c>
      <c r="AD296" s="35">
        <v>0</v>
      </c>
      <c r="AE296" s="36">
        <v>0</v>
      </c>
      <c r="AF296" s="23">
        <v>0</v>
      </c>
      <c r="AG296" s="24">
        <v>0</v>
      </c>
      <c r="AH296" s="33">
        <v>0</v>
      </c>
      <c r="AI296" s="37">
        <v>0</v>
      </c>
      <c r="AJ296" s="35">
        <v>0</v>
      </c>
      <c r="AK296" s="36">
        <v>0</v>
      </c>
      <c r="AL296" s="38">
        <v>0</v>
      </c>
      <c r="AM296" s="35">
        <v>0</v>
      </c>
      <c r="AN296" s="19">
        <v>0</v>
      </c>
      <c r="AO296" s="23">
        <v>0</v>
      </c>
      <c r="AP296" s="24">
        <v>0</v>
      </c>
      <c r="AQ296" s="58">
        <f t="shared" si="18"/>
        <v>0</v>
      </c>
      <c r="AR296" s="59">
        <f t="shared" si="19"/>
        <v>0</v>
      </c>
      <c r="AS296" s="35"/>
    </row>
    <row r="297" spans="1:45" ht="15.6" x14ac:dyDescent="0.3">
      <c r="A297" s="53">
        <v>293</v>
      </c>
      <c r="B297" s="55" t="s">
        <v>307</v>
      </c>
      <c r="C297" s="54" t="s">
        <v>320</v>
      </c>
      <c r="D297" s="348"/>
      <c r="E297" s="53"/>
      <c r="F297" s="56"/>
      <c r="G297" s="53"/>
      <c r="H297" s="56"/>
      <c r="I297" s="57"/>
      <c r="J297" s="53"/>
      <c r="K297" s="56"/>
      <c r="L297" s="57"/>
      <c r="M297" s="58"/>
      <c r="N297" s="56"/>
      <c r="O297" s="57"/>
      <c r="P297" s="58">
        <f t="shared" si="16"/>
        <v>1.44</v>
      </c>
      <c r="Q297" s="59">
        <f t="shared" si="17"/>
        <v>3600</v>
      </c>
      <c r="R297" s="35">
        <v>2</v>
      </c>
      <c r="S297" s="19">
        <v>0</v>
      </c>
      <c r="T297" s="23">
        <v>0</v>
      </c>
      <c r="U297" s="24">
        <v>0</v>
      </c>
      <c r="V297" s="33">
        <v>0</v>
      </c>
      <c r="W297" s="34">
        <v>0</v>
      </c>
      <c r="X297" s="35">
        <v>0</v>
      </c>
      <c r="Y297" s="19">
        <v>0</v>
      </c>
      <c r="Z297" s="23">
        <v>0</v>
      </c>
      <c r="AA297" s="24">
        <v>0</v>
      </c>
      <c r="AB297" s="33">
        <v>0</v>
      </c>
      <c r="AC297" s="34">
        <v>0</v>
      </c>
      <c r="AD297" s="35">
        <v>0</v>
      </c>
      <c r="AE297" s="36">
        <v>0</v>
      </c>
      <c r="AF297" s="23">
        <v>0</v>
      </c>
      <c r="AG297" s="24">
        <v>0</v>
      </c>
      <c r="AH297" s="33">
        <v>0</v>
      </c>
      <c r="AI297" s="37">
        <v>0</v>
      </c>
      <c r="AJ297" s="35">
        <v>0</v>
      </c>
      <c r="AK297" s="36">
        <v>0</v>
      </c>
      <c r="AL297" s="38">
        <v>0</v>
      </c>
      <c r="AM297" s="35">
        <v>0</v>
      </c>
      <c r="AN297" s="19">
        <v>0</v>
      </c>
      <c r="AO297" s="23">
        <v>0</v>
      </c>
      <c r="AP297" s="24">
        <v>0</v>
      </c>
      <c r="AQ297" s="58">
        <f t="shared" si="18"/>
        <v>1.44</v>
      </c>
      <c r="AR297" s="59">
        <f t="shared" si="19"/>
        <v>3600</v>
      </c>
      <c r="AS297" s="35">
        <v>2</v>
      </c>
    </row>
    <row r="298" spans="1:45" ht="15.6" x14ac:dyDescent="0.3">
      <c r="A298" s="53">
        <v>294</v>
      </c>
      <c r="B298" s="55" t="s">
        <v>307</v>
      </c>
      <c r="C298" s="54" t="s">
        <v>321</v>
      </c>
      <c r="D298" s="348"/>
      <c r="E298" s="53"/>
      <c r="F298" s="56"/>
      <c r="G298" s="53"/>
      <c r="H298" s="56"/>
      <c r="I298" s="57"/>
      <c r="J298" s="53"/>
      <c r="K298" s="56"/>
      <c r="L298" s="57"/>
      <c r="M298" s="58"/>
      <c r="N298" s="56"/>
      <c r="O298" s="57"/>
      <c r="P298" s="58">
        <f t="shared" si="16"/>
        <v>2.88</v>
      </c>
      <c r="Q298" s="59">
        <f t="shared" si="17"/>
        <v>7200</v>
      </c>
      <c r="R298" s="35">
        <v>4</v>
      </c>
      <c r="S298" s="19">
        <v>0</v>
      </c>
      <c r="T298" s="23">
        <v>0</v>
      </c>
      <c r="U298" s="24">
        <v>0</v>
      </c>
      <c r="V298" s="33">
        <v>0</v>
      </c>
      <c r="W298" s="34">
        <v>0</v>
      </c>
      <c r="X298" s="35">
        <v>0</v>
      </c>
      <c r="Y298" s="19">
        <v>0</v>
      </c>
      <c r="Z298" s="23">
        <v>0</v>
      </c>
      <c r="AA298" s="24">
        <v>0</v>
      </c>
      <c r="AB298" s="33">
        <v>0</v>
      </c>
      <c r="AC298" s="34">
        <v>0</v>
      </c>
      <c r="AD298" s="35">
        <v>0</v>
      </c>
      <c r="AE298" s="36">
        <v>0</v>
      </c>
      <c r="AF298" s="23">
        <v>0</v>
      </c>
      <c r="AG298" s="24">
        <v>0</v>
      </c>
      <c r="AH298" s="33">
        <v>0</v>
      </c>
      <c r="AI298" s="37">
        <v>0</v>
      </c>
      <c r="AJ298" s="35">
        <v>0</v>
      </c>
      <c r="AK298" s="36">
        <v>0</v>
      </c>
      <c r="AL298" s="38">
        <v>0</v>
      </c>
      <c r="AM298" s="35">
        <v>0</v>
      </c>
      <c r="AN298" s="19">
        <v>0</v>
      </c>
      <c r="AO298" s="23">
        <v>0</v>
      </c>
      <c r="AP298" s="24">
        <v>0</v>
      </c>
      <c r="AQ298" s="58">
        <f t="shared" si="18"/>
        <v>2.88</v>
      </c>
      <c r="AR298" s="59">
        <f t="shared" si="19"/>
        <v>7200</v>
      </c>
      <c r="AS298" s="35">
        <v>4</v>
      </c>
    </row>
    <row r="299" spans="1:45" ht="15.6" x14ac:dyDescent="0.3">
      <c r="A299" s="53">
        <v>295</v>
      </c>
      <c r="B299" s="55" t="s">
        <v>307</v>
      </c>
      <c r="C299" s="54" t="s">
        <v>322</v>
      </c>
      <c r="D299" s="348"/>
      <c r="E299" s="53"/>
      <c r="F299" s="56"/>
      <c r="G299" s="53"/>
      <c r="H299" s="56"/>
      <c r="I299" s="57"/>
      <c r="J299" s="53"/>
      <c r="K299" s="56"/>
      <c r="L299" s="57"/>
      <c r="M299" s="58"/>
      <c r="N299" s="56"/>
      <c r="O299" s="57"/>
      <c r="P299" s="58">
        <f t="shared" si="16"/>
        <v>0.72</v>
      </c>
      <c r="Q299" s="59">
        <f t="shared" si="17"/>
        <v>1800</v>
      </c>
      <c r="R299" s="35">
        <v>1</v>
      </c>
      <c r="S299" s="19">
        <v>0</v>
      </c>
      <c r="T299" s="23">
        <v>0</v>
      </c>
      <c r="U299" s="24">
        <v>0</v>
      </c>
      <c r="V299" s="33">
        <v>0</v>
      </c>
      <c r="W299" s="34">
        <v>0</v>
      </c>
      <c r="X299" s="35">
        <v>0</v>
      </c>
      <c r="Y299" s="19">
        <v>0</v>
      </c>
      <c r="Z299" s="23">
        <v>0</v>
      </c>
      <c r="AA299" s="24">
        <v>0</v>
      </c>
      <c r="AB299" s="33">
        <v>0</v>
      </c>
      <c r="AC299" s="34">
        <v>0</v>
      </c>
      <c r="AD299" s="35">
        <v>0</v>
      </c>
      <c r="AE299" s="36">
        <v>0</v>
      </c>
      <c r="AF299" s="23">
        <v>0</v>
      </c>
      <c r="AG299" s="24">
        <v>0</v>
      </c>
      <c r="AH299" s="33">
        <v>0</v>
      </c>
      <c r="AI299" s="37">
        <v>0</v>
      </c>
      <c r="AJ299" s="35">
        <v>0</v>
      </c>
      <c r="AK299" s="36">
        <v>0</v>
      </c>
      <c r="AL299" s="38">
        <v>0</v>
      </c>
      <c r="AM299" s="35">
        <v>0</v>
      </c>
      <c r="AN299" s="19">
        <v>0</v>
      </c>
      <c r="AO299" s="23">
        <v>0</v>
      </c>
      <c r="AP299" s="24">
        <v>0</v>
      </c>
      <c r="AQ299" s="58">
        <f t="shared" si="18"/>
        <v>0.72</v>
      </c>
      <c r="AR299" s="59">
        <f t="shared" si="19"/>
        <v>1800</v>
      </c>
      <c r="AS299" s="35">
        <v>1</v>
      </c>
    </row>
    <row r="300" spans="1:45" ht="15.6" x14ac:dyDescent="0.3">
      <c r="A300" s="53">
        <v>296</v>
      </c>
      <c r="B300" s="55" t="s">
        <v>307</v>
      </c>
      <c r="C300" s="54" t="s">
        <v>323</v>
      </c>
      <c r="D300" s="348"/>
      <c r="E300" s="53"/>
      <c r="F300" s="56"/>
      <c r="G300" s="53"/>
      <c r="H300" s="56"/>
      <c r="I300" s="57"/>
      <c r="J300" s="53"/>
      <c r="K300" s="56"/>
      <c r="L300" s="57"/>
      <c r="M300" s="58"/>
      <c r="N300" s="56"/>
      <c r="O300" s="57"/>
      <c r="P300" s="58">
        <f t="shared" si="16"/>
        <v>3.6</v>
      </c>
      <c r="Q300" s="59">
        <f t="shared" si="17"/>
        <v>9000</v>
      </c>
      <c r="R300" s="35">
        <v>5</v>
      </c>
      <c r="S300" s="19">
        <v>0</v>
      </c>
      <c r="T300" s="23">
        <v>0</v>
      </c>
      <c r="U300" s="24">
        <v>0</v>
      </c>
      <c r="V300" s="33">
        <v>0</v>
      </c>
      <c r="W300" s="34">
        <v>0</v>
      </c>
      <c r="X300" s="35">
        <v>0</v>
      </c>
      <c r="Y300" s="19">
        <v>0</v>
      </c>
      <c r="Z300" s="23">
        <v>0</v>
      </c>
      <c r="AA300" s="24">
        <v>0</v>
      </c>
      <c r="AB300" s="33">
        <v>0</v>
      </c>
      <c r="AC300" s="34">
        <v>0</v>
      </c>
      <c r="AD300" s="35">
        <v>0</v>
      </c>
      <c r="AE300" s="36">
        <v>0</v>
      </c>
      <c r="AF300" s="23">
        <v>0</v>
      </c>
      <c r="AG300" s="24">
        <v>0</v>
      </c>
      <c r="AH300" s="33">
        <v>0</v>
      </c>
      <c r="AI300" s="37">
        <v>0</v>
      </c>
      <c r="AJ300" s="35">
        <v>0</v>
      </c>
      <c r="AK300" s="36">
        <v>0</v>
      </c>
      <c r="AL300" s="38">
        <v>0</v>
      </c>
      <c r="AM300" s="35">
        <v>0</v>
      </c>
      <c r="AN300" s="19">
        <v>0</v>
      </c>
      <c r="AO300" s="23">
        <v>0</v>
      </c>
      <c r="AP300" s="24">
        <v>0</v>
      </c>
      <c r="AQ300" s="58">
        <f t="shared" si="18"/>
        <v>3.6</v>
      </c>
      <c r="AR300" s="59">
        <f t="shared" si="19"/>
        <v>9000</v>
      </c>
      <c r="AS300" s="35">
        <v>5</v>
      </c>
    </row>
    <row r="301" spans="1:45" ht="15.6" x14ac:dyDescent="0.3">
      <c r="A301" s="53">
        <v>297</v>
      </c>
      <c r="B301" s="55" t="s">
        <v>307</v>
      </c>
      <c r="C301" s="54" t="s">
        <v>324</v>
      </c>
      <c r="D301" s="348"/>
      <c r="E301" s="53"/>
      <c r="F301" s="56"/>
      <c r="G301" s="53"/>
      <c r="H301" s="56"/>
      <c r="I301" s="57"/>
      <c r="J301" s="53"/>
      <c r="K301" s="56"/>
      <c r="L301" s="57"/>
      <c r="M301" s="58"/>
      <c r="N301" s="56"/>
      <c r="O301" s="57"/>
      <c r="P301" s="58">
        <f t="shared" si="16"/>
        <v>2.88</v>
      </c>
      <c r="Q301" s="59">
        <f t="shared" si="17"/>
        <v>7200</v>
      </c>
      <c r="R301" s="35">
        <v>4</v>
      </c>
      <c r="S301" s="19">
        <v>0</v>
      </c>
      <c r="T301" s="23">
        <v>0</v>
      </c>
      <c r="U301" s="24">
        <v>0</v>
      </c>
      <c r="V301" s="33">
        <v>0</v>
      </c>
      <c r="W301" s="34">
        <v>0</v>
      </c>
      <c r="X301" s="35">
        <v>0</v>
      </c>
      <c r="Y301" s="19">
        <v>0</v>
      </c>
      <c r="Z301" s="23">
        <v>0</v>
      </c>
      <c r="AA301" s="24">
        <v>0</v>
      </c>
      <c r="AB301" s="33">
        <v>0</v>
      </c>
      <c r="AC301" s="34">
        <v>0</v>
      </c>
      <c r="AD301" s="35">
        <v>0</v>
      </c>
      <c r="AE301" s="36">
        <v>0</v>
      </c>
      <c r="AF301" s="23">
        <v>0</v>
      </c>
      <c r="AG301" s="24">
        <v>0</v>
      </c>
      <c r="AH301" s="33">
        <v>0</v>
      </c>
      <c r="AI301" s="37">
        <v>0</v>
      </c>
      <c r="AJ301" s="35">
        <v>0</v>
      </c>
      <c r="AK301" s="36">
        <v>0</v>
      </c>
      <c r="AL301" s="38">
        <v>0</v>
      </c>
      <c r="AM301" s="35">
        <v>0</v>
      </c>
      <c r="AN301" s="19">
        <v>0</v>
      </c>
      <c r="AO301" s="23">
        <v>0</v>
      </c>
      <c r="AP301" s="24">
        <v>0</v>
      </c>
      <c r="AQ301" s="58">
        <f t="shared" si="18"/>
        <v>2.88</v>
      </c>
      <c r="AR301" s="59">
        <f t="shared" si="19"/>
        <v>7200</v>
      </c>
      <c r="AS301" s="35">
        <v>4</v>
      </c>
    </row>
    <row r="302" spans="1:45" ht="15.6" x14ac:dyDescent="0.3">
      <c r="A302" s="53">
        <v>298</v>
      </c>
      <c r="B302" s="55" t="s">
        <v>307</v>
      </c>
      <c r="C302" s="54" t="s">
        <v>325</v>
      </c>
      <c r="D302" s="348"/>
      <c r="E302" s="53"/>
      <c r="F302" s="56"/>
      <c r="G302" s="53"/>
      <c r="H302" s="56"/>
      <c r="I302" s="57"/>
      <c r="J302" s="53"/>
      <c r="K302" s="56"/>
      <c r="L302" s="57"/>
      <c r="M302" s="58"/>
      <c r="N302" s="56"/>
      <c r="O302" s="57"/>
      <c r="P302" s="58">
        <f t="shared" si="16"/>
        <v>8.64</v>
      </c>
      <c r="Q302" s="59">
        <f t="shared" si="17"/>
        <v>21600</v>
      </c>
      <c r="R302" s="35">
        <v>12</v>
      </c>
      <c r="S302" s="19">
        <v>0</v>
      </c>
      <c r="T302" s="23">
        <v>0</v>
      </c>
      <c r="U302" s="24">
        <v>0</v>
      </c>
      <c r="V302" s="33">
        <v>0</v>
      </c>
      <c r="W302" s="34">
        <v>0</v>
      </c>
      <c r="X302" s="35">
        <v>0</v>
      </c>
      <c r="Y302" s="19">
        <v>0</v>
      </c>
      <c r="Z302" s="23">
        <v>0</v>
      </c>
      <c r="AA302" s="24">
        <v>0</v>
      </c>
      <c r="AB302" s="33">
        <v>0</v>
      </c>
      <c r="AC302" s="34">
        <v>0</v>
      </c>
      <c r="AD302" s="35">
        <v>0</v>
      </c>
      <c r="AE302" s="36">
        <v>0</v>
      </c>
      <c r="AF302" s="23">
        <v>0</v>
      </c>
      <c r="AG302" s="24">
        <v>0</v>
      </c>
      <c r="AH302" s="33">
        <v>0</v>
      </c>
      <c r="AI302" s="37">
        <v>0</v>
      </c>
      <c r="AJ302" s="35">
        <v>0</v>
      </c>
      <c r="AK302" s="36">
        <v>0</v>
      </c>
      <c r="AL302" s="38">
        <v>0</v>
      </c>
      <c r="AM302" s="35">
        <v>0</v>
      </c>
      <c r="AN302" s="19">
        <v>0</v>
      </c>
      <c r="AO302" s="23">
        <v>0</v>
      </c>
      <c r="AP302" s="24">
        <v>0</v>
      </c>
      <c r="AQ302" s="58">
        <f t="shared" si="18"/>
        <v>8.64</v>
      </c>
      <c r="AR302" s="59">
        <f t="shared" si="19"/>
        <v>21600</v>
      </c>
      <c r="AS302" s="35">
        <v>12</v>
      </c>
    </row>
    <row r="303" spans="1:45" ht="15.6" x14ac:dyDescent="0.3">
      <c r="A303" s="53">
        <v>299</v>
      </c>
      <c r="B303" s="55" t="s">
        <v>307</v>
      </c>
      <c r="C303" s="54" t="s">
        <v>326</v>
      </c>
      <c r="D303" s="348"/>
      <c r="E303" s="53"/>
      <c r="F303" s="56"/>
      <c r="G303" s="53"/>
      <c r="H303" s="56"/>
      <c r="I303" s="57"/>
      <c r="J303" s="53"/>
      <c r="K303" s="56"/>
      <c r="L303" s="57"/>
      <c r="M303" s="58"/>
      <c r="N303" s="56"/>
      <c r="O303" s="57"/>
      <c r="P303" s="58">
        <f t="shared" si="16"/>
        <v>0</v>
      </c>
      <c r="Q303" s="59">
        <f t="shared" si="17"/>
        <v>0</v>
      </c>
      <c r="R303" s="35">
        <v>0</v>
      </c>
      <c r="S303" s="19">
        <v>0</v>
      </c>
      <c r="T303" s="23">
        <v>0</v>
      </c>
      <c r="U303" s="24">
        <v>0</v>
      </c>
      <c r="V303" s="33">
        <v>0</v>
      </c>
      <c r="W303" s="34">
        <v>0</v>
      </c>
      <c r="X303" s="35">
        <v>0</v>
      </c>
      <c r="Y303" s="19">
        <v>0</v>
      </c>
      <c r="Z303" s="23">
        <v>0</v>
      </c>
      <c r="AA303" s="24">
        <v>0</v>
      </c>
      <c r="AB303" s="33">
        <v>0</v>
      </c>
      <c r="AC303" s="34">
        <v>0</v>
      </c>
      <c r="AD303" s="35">
        <v>0</v>
      </c>
      <c r="AE303" s="36">
        <v>0</v>
      </c>
      <c r="AF303" s="23">
        <v>0</v>
      </c>
      <c r="AG303" s="24">
        <v>0</v>
      </c>
      <c r="AH303" s="33">
        <v>0</v>
      </c>
      <c r="AI303" s="37">
        <v>0</v>
      </c>
      <c r="AJ303" s="35">
        <v>0</v>
      </c>
      <c r="AK303" s="36">
        <v>0</v>
      </c>
      <c r="AL303" s="38">
        <v>0</v>
      </c>
      <c r="AM303" s="35">
        <v>0</v>
      </c>
      <c r="AN303" s="19">
        <v>0</v>
      </c>
      <c r="AO303" s="23">
        <v>0</v>
      </c>
      <c r="AP303" s="24">
        <v>0</v>
      </c>
      <c r="AQ303" s="58">
        <f t="shared" si="18"/>
        <v>0</v>
      </c>
      <c r="AR303" s="59">
        <f t="shared" si="19"/>
        <v>0</v>
      </c>
      <c r="AS303" s="35">
        <v>0</v>
      </c>
    </row>
    <row r="304" spans="1:45" ht="15.6" x14ac:dyDescent="0.3">
      <c r="A304" s="53">
        <v>300</v>
      </c>
      <c r="B304" s="55" t="s">
        <v>327</v>
      </c>
      <c r="C304" s="54" t="s">
        <v>328</v>
      </c>
      <c r="D304" s="348"/>
      <c r="E304" s="53"/>
      <c r="F304" s="56"/>
      <c r="G304" s="53"/>
      <c r="H304" s="56"/>
      <c r="I304" s="57"/>
      <c r="J304" s="53"/>
      <c r="K304" s="56"/>
      <c r="L304" s="57"/>
      <c r="M304" s="58"/>
      <c r="N304" s="56"/>
      <c r="O304" s="57"/>
      <c r="P304" s="58">
        <f t="shared" si="16"/>
        <v>1.44</v>
      </c>
      <c r="Q304" s="59">
        <f t="shared" si="17"/>
        <v>3600</v>
      </c>
      <c r="R304" s="35">
        <v>2</v>
      </c>
      <c r="S304" s="19">
        <v>0</v>
      </c>
      <c r="T304" s="23">
        <v>0</v>
      </c>
      <c r="U304" s="24">
        <v>0</v>
      </c>
      <c r="V304" s="33">
        <v>0</v>
      </c>
      <c r="W304" s="34">
        <v>0</v>
      </c>
      <c r="X304" s="35">
        <v>0</v>
      </c>
      <c r="Y304" s="19">
        <v>0</v>
      </c>
      <c r="Z304" s="23">
        <v>0</v>
      </c>
      <c r="AA304" s="24">
        <v>0</v>
      </c>
      <c r="AB304" s="33">
        <v>0</v>
      </c>
      <c r="AC304" s="34">
        <v>0</v>
      </c>
      <c r="AD304" s="35">
        <v>0</v>
      </c>
      <c r="AE304" s="36">
        <v>0</v>
      </c>
      <c r="AF304" s="23">
        <v>0</v>
      </c>
      <c r="AG304" s="24">
        <v>0</v>
      </c>
      <c r="AH304" s="33">
        <v>0</v>
      </c>
      <c r="AI304" s="37">
        <v>0</v>
      </c>
      <c r="AJ304" s="35">
        <v>0</v>
      </c>
      <c r="AK304" s="36">
        <v>0</v>
      </c>
      <c r="AL304" s="38">
        <v>0</v>
      </c>
      <c r="AM304" s="35">
        <v>0</v>
      </c>
      <c r="AN304" s="19">
        <v>0</v>
      </c>
      <c r="AO304" s="23">
        <v>0</v>
      </c>
      <c r="AP304" s="24">
        <v>0</v>
      </c>
      <c r="AQ304" s="58">
        <f t="shared" si="18"/>
        <v>1.44</v>
      </c>
      <c r="AR304" s="59">
        <f t="shared" si="19"/>
        <v>3600</v>
      </c>
      <c r="AS304" s="35">
        <v>2</v>
      </c>
    </row>
    <row r="305" spans="1:45" ht="15.6" x14ac:dyDescent="0.3">
      <c r="A305" s="53">
        <v>301</v>
      </c>
      <c r="B305" s="55" t="s">
        <v>327</v>
      </c>
      <c r="C305" s="54" t="s">
        <v>329</v>
      </c>
      <c r="D305" s="348"/>
      <c r="E305" s="53"/>
      <c r="F305" s="56"/>
      <c r="G305" s="53"/>
      <c r="H305" s="56"/>
      <c r="I305" s="57"/>
      <c r="J305" s="53"/>
      <c r="K305" s="56"/>
      <c r="L305" s="57"/>
      <c r="M305" s="58"/>
      <c r="N305" s="56"/>
      <c r="O305" s="57"/>
      <c r="P305" s="58">
        <f t="shared" si="16"/>
        <v>3.6</v>
      </c>
      <c r="Q305" s="59">
        <f t="shared" si="17"/>
        <v>9000</v>
      </c>
      <c r="R305" s="35">
        <v>5</v>
      </c>
      <c r="S305" s="19">
        <v>0</v>
      </c>
      <c r="T305" s="23">
        <v>0</v>
      </c>
      <c r="U305" s="24">
        <v>0</v>
      </c>
      <c r="V305" s="33">
        <v>0</v>
      </c>
      <c r="W305" s="34">
        <v>0</v>
      </c>
      <c r="X305" s="35">
        <v>0</v>
      </c>
      <c r="Y305" s="19">
        <v>0</v>
      </c>
      <c r="Z305" s="23">
        <v>0</v>
      </c>
      <c r="AA305" s="24">
        <v>0</v>
      </c>
      <c r="AB305" s="33">
        <v>0</v>
      </c>
      <c r="AC305" s="34">
        <v>0</v>
      </c>
      <c r="AD305" s="35">
        <v>0</v>
      </c>
      <c r="AE305" s="36">
        <v>0</v>
      </c>
      <c r="AF305" s="23">
        <v>0</v>
      </c>
      <c r="AG305" s="24">
        <v>0</v>
      </c>
      <c r="AH305" s="33">
        <v>0</v>
      </c>
      <c r="AI305" s="37">
        <v>0</v>
      </c>
      <c r="AJ305" s="35">
        <v>0</v>
      </c>
      <c r="AK305" s="36">
        <v>0</v>
      </c>
      <c r="AL305" s="38">
        <v>0</v>
      </c>
      <c r="AM305" s="35">
        <v>0</v>
      </c>
      <c r="AN305" s="19">
        <v>0</v>
      </c>
      <c r="AO305" s="23">
        <v>0</v>
      </c>
      <c r="AP305" s="24">
        <v>0</v>
      </c>
      <c r="AQ305" s="58">
        <f t="shared" si="18"/>
        <v>3.6</v>
      </c>
      <c r="AR305" s="59">
        <f t="shared" si="19"/>
        <v>9000</v>
      </c>
      <c r="AS305" s="35">
        <v>5</v>
      </c>
    </row>
    <row r="306" spans="1:45" ht="15.6" x14ac:dyDescent="0.3">
      <c r="A306" s="53">
        <v>302</v>
      </c>
      <c r="B306" s="55" t="s">
        <v>327</v>
      </c>
      <c r="C306" s="54" t="s">
        <v>330</v>
      </c>
      <c r="D306" s="348"/>
      <c r="E306" s="53"/>
      <c r="F306" s="56"/>
      <c r="G306" s="53"/>
      <c r="H306" s="56"/>
      <c r="I306" s="57"/>
      <c r="J306" s="53"/>
      <c r="K306" s="56"/>
      <c r="L306" s="57"/>
      <c r="M306" s="58"/>
      <c r="N306" s="56"/>
      <c r="O306" s="57"/>
      <c r="P306" s="58">
        <f t="shared" si="16"/>
        <v>2.88</v>
      </c>
      <c r="Q306" s="59">
        <f t="shared" si="17"/>
        <v>7200</v>
      </c>
      <c r="R306" s="35">
        <v>4</v>
      </c>
      <c r="S306" s="19">
        <v>0</v>
      </c>
      <c r="T306" s="23">
        <v>0</v>
      </c>
      <c r="U306" s="24">
        <v>0</v>
      </c>
      <c r="V306" s="33">
        <v>0</v>
      </c>
      <c r="W306" s="34">
        <v>0</v>
      </c>
      <c r="X306" s="35">
        <v>0</v>
      </c>
      <c r="Y306" s="19">
        <v>0</v>
      </c>
      <c r="Z306" s="23">
        <v>0</v>
      </c>
      <c r="AA306" s="24">
        <v>0</v>
      </c>
      <c r="AB306" s="33">
        <v>0</v>
      </c>
      <c r="AC306" s="34">
        <v>0</v>
      </c>
      <c r="AD306" s="35">
        <v>0</v>
      </c>
      <c r="AE306" s="36">
        <v>0</v>
      </c>
      <c r="AF306" s="23">
        <v>0</v>
      </c>
      <c r="AG306" s="24">
        <v>0</v>
      </c>
      <c r="AH306" s="33">
        <v>0</v>
      </c>
      <c r="AI306" s="37">
        <v>0</v>
      </c>
      <c r="AJ306" s="35">
        <v>0</v>
      </c>
      <c r="AK306" s="36">
        <v>0</v>
      </c>
      <c r="AL306" s="38">
        <v>0</v>
      </c>
      <c r="AM306" s="35">
        <v>0</v>
      </c>
      <c r="AN306" s="19">
        <v>0</v>
      </c>
      <c r="AO306" s="23">
        <v>0</v>
      </c>
      <c r="AP306" s="24">
        <v>0</v>
      </c>
      <c r="AQ306" s="58">
        <f t="shared" si="18"/>
        <v>2.88</v>
      </c>
      <c r="AR306" s="59">
        <f t="shared" si="19"/>
        <v>7200</v>
      </c>
      <c r="AS306" s="35">
        <v>4</v>
      </c>
    </row>
    <row r="307" spans="1:45" ht="15.6" x14ac:dyDescent="0.3">
      <c r="A307" s="53">
        <v>303</v>
      </c>
      <c r="B307" s="55" t="s">
        <v>327</v>
      </c>
      <c r="C307" s="54" t="s">
        <v>331</v>
      </c>
      <c r="D307" s="348"/>
      <c r="E307" s="53"/>
      <c r="F307" s="56"/>
      <c r="G307" s="53"/>
      <c r="H307" s="56"/>
      <c r="I307" s="57"/>
      <c r="J307" s="53"/>
      <c r="K307" s="56"/>
      <c r="L307" s="57"/>
      <c r="M307" s="58"/>
      <c r="N307" s="56"/>
      <c r="O307" s="57"/>
      <c r="P307" s="58">
        <f t="shared" si="16"/>
        <v>5.04</v>
      </c>
      <c r="Q307" s="59">
        <f t="shared" si="17"/>
        <v>12600</v>
      </c>
      <c r="R307" s="35">
        <v>7</v>
      </c>
      <c r="S307" s="19">
        <v>0</v>
      </c>
      <c r="T307" s="23">
        <v>0</v>
      </c>
      <c r="U307" s="24">
        <v>0</v>
      </c>
      <c r="V307" s="33">
        <v>0</v>
      </c>
      <c r="W307" s="34">
        <v>0</v>
      </c>
      <c r="X307" s="35">
        <v>0</v>
      </c>
      <c r="Y307" s="19">
        <v>0</v>
      </c>
      <c r="Z307" s="23">
        <v>0</v>
      </c>
      <c r="AA307" s="24">
        <v>0</v>
      </c>
      <c r="AB307" s="33">
        <v>0</v>
      </c>
      <c r="AC307" s="34">
        <v>0</v>
      </c>
      <c r="AD307" s="35">
        <v>0</v>
      </c>
      <c r="AE307" s="36">
        <v>0</v>
      </c>
      <c r="AF307" s="23">
        <v>0</v>
      </c>
      <c r="AG307" s="24">
        <v>0</v>
      </c>
      <c r="AH307" s="33">
        <v>0</v>
      </c>
      <c r="AI307" s="37">
        <v>0</v>
      </c>
      <c r="AJ307" s="35">
        <v>0</v>
      </c>
      <c r="AK307" s="36">
        <v>0</v>
      </c>
      <c r="AL307" s="38">
        <v>0</v>
      </c>
      <c r="AM307" s="35">
        <v>0</v>
      </c>
      <c r="AN307" s="19">
        <v>0</v>
      </c>
      <c r="AO307" s="23">
        <v>0</v>
      </c>
      <c r="AP307" s="24">
        <v>0</v>
      </c>
      <c r="AQ307" s="58">
        <f t="shared" si="18"/>
        <v>5.04</v>
      </c>
      <c r="AR307" s="59">
        <f t="shared" si="19"/>
        <v>12600</v>
      </c>
      <c r="AS307" s="35">
        <v>7</v>
      </c>
    </row>
    <row r="308" spans="1:45" ht="15.6" x14ac:dyDescent="0.3">
      <c r="A308" s="53">
        <v>304</v>
      </c>
      <c r="B308" s="55" t="s">
        <v>327</v>
      </c>
      <c r="C308" s="54" t="s">
        <v>332</v>
      </c>
      <c r="D308" s="348"/>
      <c r="E308" s="53"/>
      <c r="F308" s="56"/>
      <c r="G308" s="53"/>
      <c r="H308" s="56"/>
      <c r="I308" s="57"/>
      <c r="J308" s="53"/>
      <c r="K308" s="56"/>
      <c r="L308" s="57"/>
      <c r="M308" s="58"/>
      <c r="N308" s="56"/>
      <c r="O308" s="57"/>
      <c r="P308" s="58">
        <f t="shared" si="16"/>
        <v>2.88</v>
      </c>
      <c r="Q308" s="59">
        <f t="shared" si="17"/>
        <v>7200</v>
      </c>
      <c r="R308" s="35">
        <v>4</v>
      </c>
      <c r="S308" s="19">
        <v>0</v>
      </c>
      <c r="T308" s="23">
        <v>0</v>
      </c>
      <c r="U308" s="24">
        <v>0</v>
      </c>
      <c r="V308" s="33">
        <v>0</v>
      </c>
      <c r="W308" s="34">
        <v>0</v>
      </c>
      <c r="X308" s="35">
        <v>0</v>
      </c>
      <c r="Y308" s="19">
        <v>0</v>
      </c>
      <c r="Z308" s="23">
        <v>0</v>
      </c>
      <c r="AA308" s="24">
        <v>0</v>
      </c>
      <c r="AB308" s="33">
        <v>0</v>
      </c>
      <c r="AC308" s="34">
        <v>0</v>
      </c>
      <c r="AD308" s="35">
        <v>0</v>
      </c>
      <c r="AE308" s="36">
        <v>0</v>
      </c>
      <c r="AF308" s="23">
        <v>0</v>
      </c>
      <c r="AG308" s="24">
        <v>0</v>
      </c>
      <c r="AH308" s="33">
        <v>0</v>
      </c>
      <c r="AI308" s="37">
        <v>0</v>
      </c>
      <c r="AJ308" s="35">
        <v>0</v>
      </c>
      <c r="AK308" s="36">
        <v>0</v>
      </c>
      <c r="AL308" s="38">
        <v>0</v>
      </c>
      <c r="AM308" s="35">
        <v>0</v>
      </c>
      <c r="AN308" s="19">
        <v>0</v>
      </c>
      <c r="AO308" s="23">
        <v>0</v>
      </c>
      <c r="AP308" s="24">
        <v>0</v>
      </c>
      <c r="AQ308" s="58">
        <f t="shared" si="18"/>
        <v>2.88</v>
      </c>
      <c r="AR308" s="59">
        <f t="shared" si="19"/>
        <v>7200</v>
      </c>
      <c r="AS308" s="35">
        <v>4</v>
      </c>
    </row>
    <row r="309" spans="1:45" ht="15.6" x14ac:dyDescent="0.3">
      <c r="A309" s="53">
        <v>305</v>
      </c>
      <c r="B309" s="55" t="s">
        <v>327</v>
      </c>
      <c r="C309" s="54" t="s">
        <v>333</v>
      </c>
      <c r="D309" s="348"/>
      <c r="E309" s="53"/>
      <c r="F309" s="56"/>
      <c r="G309" s="53"/>
      <c r="H309" s="56"/>
      <c r="I309" s="57"/>
      <c r="J309" s="53"/>
      <c r="K309" s="56"/>
      <c r="L309" s="57"/>
      <c r="M309" s="58"/>
      <c r="N309" s="56"/>
      <c r="O309" s="57"/>
      <c r="P309" s="58">
        <f t="shared" si="16"/>
        <v>0.72</v>
      </c>
      <c r="Q309" s="59">
        <f t="shared" si="17"/>
        <v>1800</v>
      </c>
      <c r="R309" s="35">
        <v>1</v>
      </c>
      <c r="S309" s="19">
        <v>0</v>
      </c>
      <c r="T309" s="23">
        <v>0</v>
      </c>
      <c r="U309" s="24">
        <v>0</v>
      </c>
      <c r="V309" s="33">
        <v>0</v>
      </c>
      <c r="W309" s="34">
        <v>0</v>
      </c>
      <c r="X309" s="35">
        <v>0</v>
      </c>
      <c r="Y309" s="19">
        <v>0</v>
      </c>
      <c r="Z309" s="23">
        <v>0</v>
      </c>
      <c r="AA309" s="24">
        <v>0</v>
      </c>
      <c r="AB309" s="33">
        <v>0</v>
      </c>
      <c r="AC309" s="34">
        <v>0</v>
      </c>
      <c r="AD309" s="35">
        <v>0</v>
      </c>
      <c r="AE309" s="36">
        <v>0</v>
      </c>
      <c r="AF309" s="23">
        <v>0</v>
      </c>
      <c r="AG309" s="24">
        <v>0</v>
      </c>
      <c r="AH309" s="33">
        <v>0</v>
      </c>
      <c r="AI309" s="37">
        <v>0</v>
      </c>
      <c r="AJ309" s="35">
        <v>0</v>
      </c>
      <c r="AK309" s="36">
        <v>0</v>
      </c>
      <c r="AL309" s="38">
        <v>0</v>
      </c>
      <c r="AM309" s="35">
        <v>0</v>
      </c>
      <c r="AN309" s="19">
        <v>0</v>
      </c>
      <c r="AO309" s="23">
        <v>0</v>
      </c>
      <c r="AP309" s="24">
        <v>0</v>
      </c>
      <c r="AQ309" s="58">
        <f t="shared" si="18"/>
        <v>0.72</v>
      </c>
      <c r="AR309" s="59">
        <f t="shared" si="19"/>
        <v>1800</v>
      </c>
      <c r="AS309" s="35">
        <v>1</v>
      </c>
    </row>
    <row r="310" spans="1:45" ht="15.6" x14ac:dyDescent="0.3">
      <c r="A310" s="53">
        <v>306</v>
      </c>
      <c r="B310" s="55" t="s">
        <v>327</v>
      </c>
      <c r="C310" s="54" t="s">
        <v>334</v>
      </c>
      <c r="D310" s="348"/>
      <c r="E310" s="53"/>
      <c r="F310" s="56"/>
      <c r="G310" s="53"/>
      <c r="H310" s="56"/>
      <c r="I310" s="57"/>
      <c r="J310" s="53"/>
      <c r="K310" s="56"/>
      <c r="L310" s="57"/>
      <c r="M310" s="58"/>
      <c r="N310" s="56"/>
      <c r="O310" s="57"/>
      <c r="P310" s="58">
        <f t="shared" si="16"/>
        <v>2.88</v>
      </c>
      <c r="Q310" s="59">
        <f t="shared" si="17"/>
        <v>7200</v>
      </c>
      <c r="R310" s="35">
        <v>4</v>
      </c>
      <c r="S310" s="19">
        <v>0</v>
      </c>
      <c r="T310" s="23">
        <v>0</v>
      </c>
      <c r="U310" s="24">
        <v>0</v>
      </c>
      <c r="V310" s="33">
        <v>0</v>
      </c>
      <c r="W310" s="34">
        <v>0</v>
      </c>
      <c r="X310" s="35">
        <v>0</v>
      </c>
      <c r="Y310" s="19">
        <v>0</v>
      </c>
      <c r="Z310" s="23">
        <v>0</v>
      </c>
      <c r="AA310" s="24">
        <v>0</v>
      </c>
      <c r="AB310" s="33">
        <v>0</v>
      </c>
      <c r="AC310" s="34">
        <v>0</v>
      </c>
      <c r="AD310" s="35">
        <v>0</v>
      </c>
      <c r="AE310" s="36">
        <v>0</v>
      </c>
      <c r="AF310" s="23">
        <v>0</v>
      </c>
      <c r="AG310" s="24">
        <v>0</v>
      </c>
      <c r="AH310" s="33">
        <v>0</v>
      </c>
      <c r="AI310" s="37">
        <v>0</v>
      </c>
      <c r="AJ310" s="35">
        <v>0</v>
      </c>
      <c r="AK310" s="36">
        <v>0</v>
      </c>
      <c r="AL310" s="38">
        <v>0</v>
      </c>
      <c r="AM310" s="35">
        <v>0</v>
      </c>
      <c r="AN310" s="19">
        <v>0</v>
      </c>
      <c r="AO310" s="23">
        <v>0</v>
      </c>
      <c r="AP310" s="24">
        <v>0</v>
      </c>
      <c r="AQ310" s="58">
        <f t="shared" si="18"/>
        <v>2.88</v>
      </c>
      <c r="AR310" s="59">
        <f t="shared" si="19"/>
        <v>7200</v>
      </c>
      <c r="AS310" s="35">
        <v>4</v>
      </c>
    </row>
    <row r="311" spans="1:45" ht="15.6" x14ac:dyDescent="0.3">
      <c r="A311" s="53">
        <v>307</v>
      </c>
      <c r="B311" s="55" t="s">
        <v>327</v>
      </c>
      <c r="C311" s="54" t="s">
        <v>335</v>
      </c>
      <c r="D311" s="348" t="s">
        <v>25</v>
      </c>
      <c r="E311" s="53"/>
      <c r="F311" s="56"/>
      <c r="G311" s="53"/>
      <c r="H311" s="56"/>
      <c r="I311" s="57"/>
      <c r="J311" s="53"/>
      <c r="K311" s="56"/>
      <c r="L311" s="57"/>
      <c r="M311" s="58"/>
      <c r="N311" s="56"/>
      <c r="O311" s="57"/>
      <c r="P311" s="58">
        <f t="shared" si="16"/>
        <v>4.32</v>
      </c>
      <c r="Q311" s="59">
        <f t="shared" si="17"/>
        <v>10800</v>
      </c>
      <c r="R311" s="35">
        <v>6</v>
      </c>
      <c r="S311" s="19">
        <v>0</v>
      </c>
      <c r="T311" s="23">
        <v>0</v>
      </c>
      <c r="U311" s="24">
        <v>0</v>
      </c>
      <c r="V311" s="33">
        <v>0</v>
      </c>
      <c r="W311" s="34">
        <v>0</v>
      </c>
      <c r="X311" s="35">
        <v>0</v>
      </c>
      <c r="Y311" s="19">
        <v>0</v>
      </c>
      <c r="Z311" s="23">
        <v>0</v>
      </c>
      <c r="AA311" s="24">
        <v>0</v>
      </c>
      <c r="AB311" s="33">
        <v>0</v>
      </c>
      <c r="AC311" s="34">
        <v>0</v>
      </c>
      <c r="AD311" s="35">
        <v>0</v>
      </c>
      <c r="AE311" s="36">
        <v>0</v>
      </c>
      <c r="AF311" s="23">
        <v>0</v>
      </c>
      <c r="AG311" s="24">
        <v>0</v>
      </c>
      <c r="AH311" s="33">
        <v>0</v>
      </c>
      <c r="AI311" s="37">
        <v>0</v>
      </c>
      <c r="AJ311" s="35">
        <v>0</v>
      </c>
      <c r="AK311" s="36">
        <v>0</v>
      </c>
      <c r="AL311" s="38">
        <v>0</v>
      </c>
      <c r="AM311" s="35">
        <v>0</v>
      </c>
      <c r="AN311" s="19">
        <v>0</v>
      </c>
      <c r="AO311" s="23">
        <v>0</v>
      </c>
      <c r="AP311" s="24">
        <v>0</v>
      </c>
      <c r="AQ311" s="58">
        <f t="shared" si="18"/>
        <v>4.32</v>
      </c>
      <c r="AR311" s="59">
        <f t="shared" si="19"/>
        <v>10800</v>
      </c>
      <c r="AS311" s="35">
        <v>6</v>
      </c>
    </row>
    <row r="312" spans="1:45" ht="15.6" x14ac:dyDescent="0.3">
      <c r="A312" s="53">
        <v>308</v>
      </c>
      <c r="B312" s="55" t="s">
        <v>327</v>
      </c>
      <c r="C312" s="54" t="s">
        <v>336</v>
      </c>
      <c r="D312" s="348"/>
      <c r="E312" s="53"/>
      <c r="F312" s="56"/>
      <c r="G312" s="53"/>
      <c r="H312" s="56"/>
      <c r="I312" s="57"/>
      <c r="J312" s="53"/>
      <c r="K312" s="56"/>
      <c r="L312" s="57"/>
      <c r="M312" s="58"/>
      <c r="N312" s="56"/>
      <c r="O312" s="57"/>
      <c r="P312" s="58">
        <f t="shared" si="16"/>
        <v>1.44</v>
      </c>
      <c r="Q312" s="59">
        <f t="shared" si="17"/>
        <v>3600</v>
      </c>
      <c r="R312" s="35">
        <v>2</v>
      </c>
      <c r="S312" s="19">
        <v>0</v>
      </c>
      <c r="T312" s="23">
        <v>0</v>
      </c>
      <c r="U312" s="24">
        <v>0</v>
      </c>
      <c r="V312" s="33">
        <v>0</v>
      </c>
      <c r="W312" s="34">
        <v>0</v>
      </c>
      <c r="X312" s="35">
        <v>0</v>
      </c>
      <c r="Y312" s="19">
        <v>0</v>
      </c>
      <c r="Z312" s="23">
        <v>0</v>
      </c>
      <c r="AA312" s="24">
        <v>0</v>
      </c>
      <c r="AB312" s="33">
        <v>0</v>
      </c>
      <c r="AC312" s="34">
        <v>0</v>
      </c>
      <c r="AD312" s="35">
        <v>0</v>
      </c>
      <c r="AE312" s="36">
        <v>0</v>
      </c>
      <c r="AF312" s="23">
        <v>0</v>
      </c>
      <c r="AG312" s="24">
        <v>0</v>
      </c>
      <c r="AH312" s="33">
        <v>0</v>
      </c>
      <c r="AI312" s="37">
        <v>0</v>
      </c>
      <c r="AJ312" s="35">
        <v>0</v>
      </c>
      <c r="AK312" s="36">
        <v>0</v>
      </c>
      <c r="AL312" s="38">
        <v>0</v>
      </c>
      <c r="AM312" s="35">
        <v>0</v>
      </c>
      <c r="AN312" s="19">
        <v>0</v>
      </c>
      <c r="AO312" s="23">
        <v>0</v>
      </c>
      <c r="AP312" s="24">
        <v>0</v>
      </c>
      <c r="AQ312" s="58">
        <f t="shared" si="18"/>
        <v>1.44</v>
      </c>
      <c r="AR312" s="59">
        <f t="shared" si="19"/>
        <v>3600</v>
      </c>
      <c r="AS312" s="35">
        <v>2</v>
      </c>
    </row>
    <row r="313" spans="1:45" ht="15.6" x14ac:dyDescent="0.3">
      <c r="A313" s="53">
        <v>309</v>
      </c>
      <c r="B313" s="55" t="s">
        <v>327</v>
      </c>
      <c r="C313" s="54" t="s">
        <v>337</v>
      </c>
      <c r="D313" s="348"/>
      <c r="E313" s="53"/>
      <c r="F313" s="56"/>
      <c r="G313" s="53"/>
      <c r="H313" s="56"/>
      <c r="I313" s="57"/>
      <c r="J313" s="53"/>
      <c r="K313" s="56"/>
      <c r="L313" s="57"/>
      <c r="M313" s="58"/>
      <c r="N313" s="56"/>
      <c r="O313" s="57"/>
      <c r="P313" s="58">
        <f t="shared" si="16"/>
        <v>6.48</v>
      </c>
      <c r="Q313" s="59">
        <f t="shared" si="17"/>
        <v>16200</v>
      </c>
      <c r="R313" s="35">
        <v>9</v>
      </c>
      <c r="S313" s="19">
        <v>0</v>
      </c>
      <c r="T313" s="23">
        <v>0</v>
      </c>
      <c r="U313" s="24">
        <v>0</v>
      </c>
      <c r="V313" s="33">
        <v>0</v>
      </c>
      <c r="W313" s="34">
        <v>0</v>
      </c>
      <c r="X313" s="35">
        <v>0</v>
      </c>
      <c r="Y313" s="19">
        <v>0</v>
      </c>
      <c r="Z313" s="23">
        <v>0</v>
      </c>
      <c r="AA313" s="24">
        <v>0</v>
      </c>
      <c r="AB313" s="33">
        <v>0</v>
      </c>
      <c r="AC313" s="34">
        <v>0</v>
      </c>
      <c r="AD313" s="35">
        <v>0</v>
      </c>
      <c r="AE313" s="36">
        <v>0</v>
      </c>
      <c r="AF313" s="23">
        <v>0</v>
      </c>
      <c r="AG313" s="24">
        <v>0</v>
      </c>
      <c r="AH313" s="33">
        <v>0</v>
      </c>
      <c r="AI313" s="37">
        <v>0</v>
      </c>
      <c r="AJ313" s="35">
        <v>0</v>
      </c>
      <c r="AK313" s="36">
        <v>0</v>
      </c>
      <c r="AL313" s="38">
        <v>0</v>
      </c>
      <c r="AM313" s="35">
        <v>0</v>
      </c>
      <c r="AN313" s="19">
        <v>0</v>
      </c>
      <c r="AO313" s="23">
        <v>0</v>
      </c>
      <c r="AP313" s="24">
        <v>0</v>
      </c>
      <c r="AQ313" s="58">
        <f t="shared" si="18"/>
        <v>6.48</v>
      </c>
      <c r="AR313" s="59">
        <f t="shared" si="19"/>
        <v>16200</v>
      </c>
      <c r="AS313" s="35">
        <v>9</v>
      </c>
    </row>
    <row r="314" spans="1:45" ht="15.6" x14ac:dyDescent="0.3">
      <c r="A314" s="53">
        <v>310</v>
      </c>
      <c r="B314" s="55" t="s">
        <v>327</v>
      </c>
      <c r="C314" s="54" t="s">
        <v>338</v>
      </c>
      <c r="D314" s="348"/>
      <c r="E314" s="53"/>
      <c r="F314" s="56"/>
      <c r="G314" s="53"/>
      <c r="H314" s="56"/>
      <c r="I314" s="57"/>
      <c r="J314" s="53"/>
      <c r="K314" s="56"/>
      <c r="L314" s="57"/>
      <c r="M314" s="58"/>
      <c r="N314" s="56"/>
      <c r="O314" s="57"/>
      <c r="P314" s="58">
        <f t="shared" si="16"/>
        <v>0.72</v>
      </c>
      <c r="Q314" s="59">
        <f t="shared" si="17"/>
        <v>1800</v>
      </c>
      <c r="R314" s="35">
        <v>1</v>
      </c>
      <c r="S314" s="19">
        <v>0</v>
      </c>
      <c r="T314" s="23">
        <v>0</v>
      </c>
      <c r="U314" s="24">
        <v>0</v>
      </c>
      <c r="V314" s="33">
        <v>0</v>
      </c>
      <c r="W314" s="34">
        <v>0</v>
      </c>
      <c r="X314" s="35">
        <v>0</v>
      </c>
      <c r="Y314" s="19">
        <v>0</v>
      </c>
      <c r="Z314" s="23">
        <v>0</v>
      </c>
      <c r="AA314" s="24">
        <v>0</v>
      </c>
      <c r="AB314" s="33">
        <v>0</v>
      </c>
      <c r="AC314" s="34">
        <v>0</v>
      </c>
      <c r="AD314" s="35">
        <v>0</v>
      </c>
      <c r="AE314" s="36">
        <v>0</v>
      </c>
      <c r="AF314" s="23">
        <v>0</v>
      </c>
      <c r="AG314" s="24">
        <v>0</v>
      </c>
      <c r="AH314" s="33">
        <v>0</v>
      </c>
      <c r="AI314" s="37">
        <v>0</v>
      </c>
      <c r="AJ314" s="35">
        <v>0</v>
      </c>
      <c r="AK314" s="36">
        <v>0</v>
      </c>
      <c r="AL314" s="38">
        <v>0</v>
      </c>
      <c r="AM314" s="35">
        <v>0</v>
      </c>
      <c r="AN314" s="19">
        <v>0</v>
      </c>
      <c r="AO314" s="23">
        <v>0</v>
      </c>
      <c r="AP314" s="24">
        <v>0</v>
      </c>
      <c r="AQ314" s="58">
        <f t="shared" si="18"/>
        <v>0.72</v>
      </c>
      <c r="AR314" s="59">
        <f t="shared" si="19"/>
        <v>1800</v>
      </c>
      <c r="AS314" s="35">
        <v>1</v>
      </c>
    </row>
    <row r="315" spans="1:45" ht="15.6" x14ac:dyDescent="0.3">
      <c r="A315" s="53">
        <v>311</v>
      </c>
      <c r="B315" s="55" t="s">
        <v>327</v>
      </c>
      <c r="C315" s="54" t="s">
        <v>339</v>
      </c>
      <c r="D315" s="348"/>
      <c r="E315" s="53"/>
      <c r="F315" s="56"/>
      <c r="G315" s="53"/>
      <c r="H315" s="56"/>
      <c r="I315" s="57"/>
      <c r="J315" s="53"/>
      <c r="K315" s="56"/>
      <c r="L315" s="57"/>
      <c r="M315" s="58"/>
      <c r="N315" s="56"/>
      <c r="O315" s="57"/>
      <c r="P315" s="58">
        <f t="shared" si="16"/>
        <v>2.16</v>
      </c>
      <c r="Q315" s="59">
        <f t="shared" si="17"/>
        <v>5400</v>
      </c>
      <c r="R315" s="35">
        <v>3</v>
      </c>
      <c r="S315" s="19">
        <v>0</v>
      </c>
      <c r="T315" s="23">
        <v>0</v>
      </c>
      <c r="U315" s="24">
        <v>0</v>
      </c>
      <c r="V315" s="33">
        <v>0</v>
      </c>
      <c r="W315" s="34">
        <v>0</v>
      </c>
      <c r="X315" s="35">
        <v>0</v>
      </c>
      <c r="Y315" s="19">
        <v>0</v>
      </c>
      <c r="Z315" s="23">
        <v>0</v>
      </c>
      <c r="AA315" s="24">
        <v>0</v>
      </c>
      <c r="AB315" s="33">
        <v>0</v>
      </c>
      <c r="AC315" s="34">
        <v>0</v>
      </c>
      <c r="AD315" s="35">
        <v>0</v>
      </c>
      <c r="AE315" s="36">
        <v>0</v>
      </c>
      <c r="AF315" s="23">
        <v>0</v>
      </c>
      <c r="AG315" s="24">
        <v>0</v>
      </c>
      <c r="AH315" s="33">
        <v>0</v>
      </c>
      <c r="AI315" s="37">
        <v>0</v>
      </c>
      <c r="AJ315" s="35">
        <v>0</v>
      </c>
      <c r="AK315" s="36">
        <v>0</v>
      </c>
      <c r="AL315" s="38">
        <v>0</v>
      </c>
      <c r="AM315" s="35">
        <v>0</v>
      </c>
      <c r="AN315" s="19">
        <v>0</v>
      </c>
      <c r="AO315" s="23">
        <v>0</v>
      </c>
      <c r="AP315" s="24">
        <v>0</v>
      </c>
      <c r="AQ315" s="58">
        <f t="shared" si="18"/>
        <v>2.16</v>
      </c>
      <c r="AR315" s="59">
        <f t="shared" si="19"/>
        <v>5400</v>
      </c>
      <c r="AS315" s="35">
        <v>3</v>
      </c>
    </row>
    <row r="316" spans="1:45" ht="15.6" x14ac:dyDescent="0.3">
      <c r="A316" s="53">
        <v>312</v>
      </c>
      <c r="B316" s="55" t="s">
        <v>327</v>
      </c>
      <c r="C316" s="54" t="s">
        <v>340</v>
      </c>
      <c r="D316" s="348"/>
      <c r="E316" s="53"/>
      <c r="F316" s="56"/>
      <c r="G316" s="53"/>
      <c r="H316" s="56"/>
      <c r="I316" s="57"/>
      <c r="J316" s="53"/>
      <c r="K316" s="56"/>
      <c r="L316" s="57"/>
      <c r="M316" s="58"/>
      <c r="N316" s="56"/>
      <c r="O316" s="57"/>
      <c r="P316" s="58">
        <f t="shared" si="16"/>
        <v>2.16</v>
      </c>
      <c r="Q316" s="59">
        <f t="shared" si="17"/>
        <v>5400</v>
      </c>
      <c r="R316" s="35">
        <v>3</v>
      </c>
      <c r="S316" s="19">
        <v>0</v>
      </c>
      <c r="T316" s="23">
        <v>0</v>
      </c>
      <c r="U316" s="24">
        <v>0</v>
      </c>
      <c r="V316" s="33">
        <v>0</v>
      </c>
      <c r="W316" s="34">
        <v>0</v>
      </c>
      <c r="X316" s="35">
        <v>0</v>
      </c>
      <c r="Y316" s="19">
        <v>0</v>
      </c>
      <c r="Z316" s="23">
        <v>0</v>
      </c>
      <c r="AA316" s="24">
        <v>0</v>
      </c>
      <c r="AB316" s="33">
        <v>0</v>
      </c>
      <c r="AC316" s="34">
        <v>0</v>
      </c>
      <c r="AD316" s="35">
        <v>0</v>
      </c>
      <c r="AE316" s="36">
        <v>0</v>
      </c>
      <c r="AF316" s="23">
        <v>0</v>
      </c>
      <c r="AG316" s="24">
        <v>0</v>
      </c>
      <c r="AH316" s="33">
        <v>0</v>
      </c>
      <c r="AI316" s="37">
        <v>0</v>
      </c>
      <c r="AJ316" s="35">
        <v>0</v>
      </c>
      <c r="AK316" s="36">
        <v>0</v>
      </c>
      <c r="AL316" s="38">
        <v>0</v>
      </c>
      <c r="AM316" s="35">
        <v>0</v>
      </c>
      <c r="AN316" s="19">
        <v>0</v>
      </c>
      <c r="AO316" s="23">
        <v>0</v>
      </c>
      <c r="AP316" s="24">
        <v>0</v>
      </c>
      <c r="AQ316" s="58">
        <f t="shared" si="18"/>
        <v>2.16</v>
      </c>
      <c r="AR316" s="59">
        <f t="shared" si="19"/>
        <v>5400</v>
      </c>
      <c r="AS316" s="35">
        <v>3</v>
      </c>
    </row>
    <row r="317" spans="1:45" ht="15.6" x14ac:dyDescent="0.3">
      <c r="A317" s="53">
        <v>313</v>
      </c>
      <c r="B317" s="55" t="s">
        <v>327</v>
      </c>
      <c r="C317" s="54" t="s">
        <v>341</v>
      </c>
      <c r="D317" s="348"/>
      <c r="E317" s="53"/>
      <c r="F317" s="56"/>
      <c r="G317" s="53"/>
      <c r="H317" s="56"/>
      <c r="I317" s="57"/>
      <c r="J317" s="53"/>
      <c r="K317" s="56"/>
      <c r="L317" s="57"/>
      <c r="M317" s="58"/>
      <c r="N317" s="56"/>
      <c r="O317" s="57"/>
      <c r="P317" s="58">
        <f t="shared" si="16"/>
        <v>3.6</v>
      </c>
      <c r="Q317" s="59">
        <f t="shared" si="17"/>
        <v>9000</v>
      </c>
      <c r="R317" s="35">
        <v>5</v>
      </c>
      <c r="S317" s="19">
        <v>0</v>
      </c>
      <c r="T317" s="23">
        <v>0</v>
      </c>
      <c r="U317" s="24">
        <v>0</v>
      </c>
      <c r="V317" s="33">
        <v>0</v>
      </c>
      <c r="W317" s="34">
        <v>0</v>
      </c>
      <c r="X317" s="35">
        <v>0</v>
      </c>
      <c r="Y317" s="19">
        <v>0</v>
      </c>
      <c r="Z317" s="23">
        <v>0</v>
      </c>
      <c r="AA317" s="24">
        <v>0</v>
      </c>
      <c r="AB317" s="33">
        <v>0</v>
      </c>
      <c r="AC317" s="34">
        <v>0</v>
      </c>
      <c r="AD317" s="35">
        <v>0</v>
      </c>
      <c r="AE317" s="36">
        <v>0</v>
      </c>
      <c r="AF317" s="23">
        <v>0</v>
      </c>
      <c r="AG317" s="24">
        <v>0</v>
      </c>
      <c r="AH317" s="33">
        <v>0</v>
      </c>
      <c r="AI317" s="37">
        <v>0</v>
      </c>
      <c r="AJ317" s="35">
        <v>0</v>
      </c>
      <c r="AK317" s="36">
        <v>0</v>
      </c>
      <c r="AL317" s="38">
        <v>0</v>
      </c>
      <c r="AM317" s="35">
        <v>0</v>
      </c>
      <c r="AN317" s="19">
        <v>0</v>
      </c>
      <c r="AO317" s="23">
        <v>0</v>
      </c>
      <c r="AP317" s="24">
        <v>0</v>
      </c>
      <c r="AQ317" s="58">
        <f t="shared" si="18"/>
        <v>3.6</v>
      </c>
      <c r="AR317" s="59">
        <f t="shared" si="19"/>
        <v>9000</v>
      </c>
      <c r="AS317" s="35">
        <v>5</v>
      </c>
    </row>
    <row r="318" spans="1:45" ht="15.6" x14ac:dyDescent="0.3">
      <c r="A318" s="53">
        <v>314</v>
      </c>
      <c r="B318" s="55" t="s">
        <v>327</v>
      </c>
      <c r="C318" s="54" t="s">
        <v>283</v>
      </c>
      <c r="D318" s="348"/>
      <c r="E318" s="53"/>
      <c r="F318" s="56"/>
      <c r="G318" s="53"/>
      <c r="H318" s="56"/>
      <c r="I318" s="57"/>
      <c r="J318" s="53"/>
      <c r="K318" s="56"/>
      <c r="L318" s="57"/>
      <c r="M318" s="58"/>
      <c r="N318" s="56"/>
      <c r="O318" s="57"/>
      <c r="P318" s="58">
        <f t="shared" si="16"/>
        <v>0</v>
      </c>
      <c r="Q318" s="59">
        <f t="shared" si="17"/>
        <v>0</v>
      </c>
      <c r="R318" s="35">
        <v>0</v>
      </c>
      <c r="S318" s="19">
        <v>0</v>
      </c>
      <c r="T318" s="23">
        <v>0</v>
      </c>
      <c r="U318" s="24">
        <v>0</v>
      </c>
      <c r="V318" s="33">
        <v>0</v>
      </c>
      <c r="W318" s="34">
        <v>0</v>
      </c>
      <c r="X318" s="35">
        <v>0</v>
      </c>
      <c r="Y318" s="19">
        <v>0</v>
      </c>
      <c r="Z318" s="23">
        <v>0</v>
      </c>
      <c r="AA318" s="24">
        <v>0</v>
      </c>
      <c r="AB318" s="33">
        <v>0</v>
      </c>
      <c r="AC318" s="34">
        <v>0</v>
      </c>
      <c r="AD318" s="35">
        <v>0</v>
      </c>
      <c r="AE318" s="36">
        <v>0</v>
      </c>
      <c r="AF318" s="23">
        <v>0</v>
      </c>
      <c r="AG318" s="24">
        <v>0</v>
      </c>
      <c r="AH318" s="33">
        <v>0</v>
      </c>
      <c r="AI318" s="37">
        <v>0</v>
      </c>
      <c r="AJ318" s="35">
        <v>0</v>
      </c>
      <c r="AK318" s="36">
        <v>0</v>
      </c>
      <c r="AL318" s="38">
        <v>0</v>
      </c>
      <c r="AM318" s="35">
        <v>0</v>
      </c>
      <c r="AN318" s="19">
        <v>0</v>
      </c>
      <c r="AO318" s="23">
        <v>0</v>
      </c>
      <c r="AP318" s="24">
        <v>0</v>
      </c>
      <c r="AQ318" s="58">
        <f t="shared" si="18"/>
        <v>0</v>
      </c>
      <c r="AR318" s="59">
        <f t="shared" si="19"/>
        <v>0</v>
      </c>
      <c r="AS318" s="35">
        <v>0</v>
      </c>
    </row>
    <row r="319" spans="1:45" ht="15.6" x14ac:dyDescent="0.3">
      <c r="A319" s="53">
        <v>315</v>
      </c>
      <c r="B319" s="55" t="s">
        <v>327</v>
      </c>
      <c r="C319" s="54" t="s">
        <v>342</v>
      </c>
      <c r="D319" s="348"/>
      <c r="E319" s="53"/>
      <c r="F319" s="56"/>
      <c r="G319" s="53"/>
      <c r="H319" s="56"/>
      <c r="I319" s="57"/>
      <c r="J319" s="53"/>
      <c r="K319" s="56"/>
      <c r="L319" s="57"/>
      <c r="M319" s="58"/>
      <c r="N319" s="56"/>
      <c r="O319" s="57"/>
      <c r="P319" s="58">
        <f t="shared" si="16"/>
        <v>2.88</v>
      </c>
      <c r="Q319" s="59">
        <f t="shared" si="17"/>
        <v>7200</v>
      </c>
      <c r="R319" s="35">
        <v>4</v>
      </c>
      <c r="S319" s="19">
        <v>0</v>
      </c>
      <c r="T319" s="23">
        <v>0</v>
      </c>
      <c r="U319" s="24">
        <v>0</v>
      </c>
      <c r="V319" s="33">
        <v>0</v>
      </c>
      <c r="W319" s="34">
        <v>0</v>
      </c>
      <c r="X319" s="35">
        <v>0</v>
      </c>
      <c r="Y319" s="19">
        <v>0</v>
      </c>
      <c r="Z319" s="23">
        <v>0</v>
      </c>
      <c r="AA319" s="24">
        <v>0</v>
      </c>
      <c r="AB319" s="33">
        <v>0</v>
      </c>
      <c r="AC319" s="34">
        <v>0</v>
      </c>
      <c r="AD319" s="35">
        <v>0</v>
      </c>
      <c r="AE319" s="36">
        <v>0</v>
      </c>
      <c r="AF319" s="23">
        <v>0</v>
      </c>
      <c r="AG319" s="24">
        <v>0</v>
      </c>
      <c r="AH319" s="33">
        <v>0</v>
      </c>
      <c r="AI319" s="37">
        <v>0</v>
      </c>
      <c r="AJ319" s="35">
        <v>0</v>
      </c>
      <c r="AK319" s="36">
        <v>0</v>
      </c>
      <c r="AL319" s="38">
        <v>0</v>
      </c>
      <c r="AM319" s="35">
        <v>0</v>
      </c>
      <c r="AN319" s="19">
        <v>0</v>
      </c>
      <c r="AO319" s="23">
        <v>0</v>
      </c>
      <c r="AP319" s="24">
        <v>0</v>
      </c>
      <c r="AQ319" s="58">
        <f t="shared" si="18"/>
        <v>2.88</v>
      </c>
      <c r="AR319" s="59">
        <f t="shared" si="19"/>
        <v>7200</v>
      </c>
      <c r="AS319" s="35">
        <v>4</v>
      </c>
    </row>
    <row r="320" spans="1:45" ht="15.6" x14ac:dyDescent="0.3">
      <c r="A320" s="53">
        <v>316</v>
      </c>
      <c r="B320" s="55" t="s">
        <v>327</v>
      </c>
      <c r="C320" s="54" t="s">
        <v>343</v>
      </c>
      <c r="D320" s="348"/>
      <c r="E320" s="53"/>
      <c r="F320" s="56"/>
      <c r="G320" s="53"/>
      <c r="H320" s="56"/>
      <c r="I320" s="57"/>
      <c r="J320" s="53"/>
      <c r="K320" s="56"/>
      <c r="L320" s="57"/>
      <c r="M320" s="58"/>
      <c r="N320" s="56"/>
      <c r="O320" s="57"/>
      <c r="P320" s="58">
        <f t="shared" si="16"/>
        <v>1.44</v>
      </c>
      <c r="Q320" s="59">
        <f t="shared" si="17"/>
        <v>3600</v>
      </c>
      <c r="R320" s="35">
        <v>2</v>
      </c>
      <c r="S320" s="19">
        <v>0</v>
      </c>
      <c r="T320" s="23">
        <v>0</v>
      </c>
      <c r="U320" s="24">
        <v>0</v>
      </c>
      <c r="V320" s="33">
        <v>0</v>
      </c>
      <c r="W320" s="34">
        <v>0</v>
      </c>
      <c r="X320" s="35">
        <v>0</v>
      </c>
      <c r="Y320" s="19">
        <v>0</v>
      </c>
      <c r="Z320" s="23">
        <v>0</v>
      </c>
      <c r="AA320" s="24">
        <v>0</v>
      </c>
      <c r="AB320" s="33">
        <v>0</v>
      </c>
      <c r="AC320" s="34">
        <v>0</v>
      </c>
      <c r="AD320" s="35">
        <v>0</v>
      </c>
      <c r="AE320" s="36">
        <v>0</v>
      </c>
      <c r="AF320" s="23">
        <v>0</v>
      </c>
      <c r="AG320" s="24">
        <v>0</v>
      </c>
      <c r="AH320" s="33">
        <v>0</v>
      </c>
      <c r="AI320" s="37">
        <v>0</v>
      </c>
      <c r="AJ320" s="35">
        <v>0</v>
      </c>
      <c r="AK320" s="36">
        <v>0</v>
      </c>
      <c r="AL320" s="38">
        <v>0</v>
      </c>
      <c r="AM320" s="35">
        <v>0</v>
      </c>
      <c r="AN320" s="19">
        <v>0</v>
      </c>
      <c r="AO320" s="23">
        <v>0</v>
      </c>
      <c r="AP320" s="24">
        <v>0</v>
      </c>
      <c r="AQ320" s="58">
        <f t="shared" si="18"/>
        <v>1.44</v>
      </c>
      <c r="AR320" s="59">
        <f t="shared" si="19"/>
        <v>3600</v>
      </c>
      <c r="AS320" s="35">
        <v>2</v>
      </c>
    </row>
    <row r="321" spans="1:45" ht="15.6" x14ac:dyDescent="0.3">
      <c r="A321" s="53">
        <v>317</v>
      </c>
      <c r="B321" s="55" t="s">
        <v>327</v>
      </c>
      <c r="C321" s="54" t="s">
        <v>142</v>
      </c>
      <c r="D321" s="348"/>
      <c r="E321" s="53"/>
      <c r="F321" s="56"/>
      <c r="G321" s="53"/>
      <c r="H321" s="56"/>
      <c r="I321" s="57"/>
      <c r="J321" s="53"/>
      <c r="K321" s="56"/>
      <c r="L321" s="57"/>
      <c r="M321" s="58"/>
      <c r="N321" s="56"/>
      <c r="O321" s="57"/>
      <c r="P321" s="58">
        <f t="shared" si="16"/>
        <v>4.32</v>
      </c>
      <c r="Q321" s="59">
        <f t="shared" si="17"/>
        <v>10800</v>
      </c>
      <c r="R321" s="35">
        <v>6</v>
      </c>
      <c r="S321" s="19">
        <v>0</v>
      </c>
      <c r="T321" s="23">
        <v>0</v>
      </c>
      <c r="U321" s="24">
        <v>0</v>
      </c>
      <c r="V321" s="33">
        <v>0</v>
      </c>
      <c r="W321" s="34">
        <v>0</v>
      </c>
      <c r="X321" s="35">
        <v>0</v>
      </c>
      <c r="Y321" s="19">
        <v>0</v>
      </c>
      <c r="Z321" s="23">
        <v>0</v>
      </c>
      <c r="AA321" s="24">
        <v>0</v>
      </c>
      <c r="AB321" s="33">
        <v>0</v>
      </c>
      <c r="AC321" s="34">
        <v>0</v>
      </c>
      <c r="AD321" s="35">
        <v>0</v>
      </c>
      <c r="AE321" s="36">
        <v>0</v>
      </c>
      <c r="AF321" s="23">
        <v>0</v>
      </c>
      <c r="AG321" s="24">
        <v>0</v>
      </c>
      <c r="AH321" s="33">
        <v>0</v>
      </c>
      <c r="AI321" s="37">
        <v>0</v>
      </c>
      <c r="AJ321" s="35">
        <v>0</v>
      </c>
      <c r="AK321" s="36">
        <v>0</v>
      </c>
      <c r="AL321" s="38">
        <v>0</v>
      </c>
      <c r="AM321" s="35">
        <v>0</v>
      </c>
      <c r="AN321" s="19">
        <v>0</v>
      </c>
      <c r="AO321" s="23">
        <v>0</v>
      </c>
      <c r="AP321" s="24">
        <v>0</v>
      </c>
      <c r="AQ321" s="58">
        <f t="shared" si="18"/>
        <v>4.32</v>
      </c>
      <c r="AR321" s="59">
        <f t="shared" si="19"/>
        <v>10800</v>
      </c>
      <c r="AS321" s="35">
        <v>6</v>
      </c>
    </row>
    <row r="322" spans="1:45" ht="15.6" x14ac:dyDescent="0.3">
      <c r="A322" s="53">
        <v>318</v>
      </c>
      <c r="B322" s="55" t="s">
        <v>327</v>
      </c>
      <c r="C322" s="54" t="s">
        <v>344</v>
      </c>
      <c r="D322" s="348"/>
      <c r="E322" s="53"/>
      <c r="F322" s="56"/>
      <c r="G322" s="53"/>
      <c r="H322" s="56"/>
      <c r="I322" s="57"/>
      <c r="J322" s="53"/>
      <c r="K322" s="56"/>
      <c r="L322" s="57"/>
      <c r="M322" s="58"/>
      <c r="N322" s="56"/>
      <c r="O322" s="57"/>
      <c r="P322" s="58">
        <f t="shared" si="16"/>
        <v>2.88</v>
      </c>
      <c r="Q322" s="59">
        <f t="shared" si="17"/>
        <v>7200</v>
      </c>
      <c r="R322" s="35">
        <v>4</v>
      </c>
      <c r="S322" s="19">
        <v>0</v>
      </c>
      <c r="T322" s="23">
        <v>0</v>
      </c>
      <c r="U322" s="24">
        <v>0</v>
      </c>
      <c r="V322" s="33">
        <v>0</v>
      </c>
      <c r="W322" s="34">
        <v>0</v>
      </c>
      <c r="X322" s="35">
        <v>0</v>
      </c>
      <c r="Y322" s="19">
        <v>0</v>
      </c>
      <c r="Z322" s="23">
        <v>0</v>
      </c>
      <c r="AA322" s="24">
        <v>0</v>
      </c>
      <c r="AB322" s="33">
        <v>0</v>
      </c>
      <c r="AC322" s="34">
        <v>0</v>
      </c>
      <c r="AD322" s="35">
        <v>0</v>
      </c>
      <c r="AE322" s="36">
        <v>0</v>
      </c>
      <c r="AF322" s="23">
        <v>0</v>
      </c>
      <c r="AG322" s="24">
        <v>0</v>
      </c>
      <c r="AH322" s="33">
        <v>0</v>
      </c>
      <c r="AI322" s="37">
        <v>0</v>
      </c>
      <c r="AJ322" s="35">
        <v>0</v>
      </c>
      <c r="AK322" s="36">
        <v>0</v>
      </c>
      <c r="AL322" s="38">
        <v>0</v>
      </c>
      <c r="AM322" s="35">
        <v>0</v>
      </c>
      <c r="AN322" s="19">
        <v>0</v>
      </c>
      <c r="AO322" s="23">
        <v>0</v>
      </c>
      <c r="AP322" s="24">
        <v>0</v>
      </c>
      <c r="AQ322" s="58">
        <f t="shared" si="18"/>
        <v>2.88</v>
      </c>
      <c r="AR322" s="59">
        <f t="shared" si="19"/>
        <v>7200</v>
      </c>
      <c r="AS322" s="35">
        <v>4</v>
      </c>
    </row>
    <row r="323" spans="1:45" ht="15.6" x14ac:dyDescent="0.3">
      <c r="A323" s="53">
        <v>319</v>
      </c>
      <c r="B323" s="55" t="s">
        <v>327</v>
      </c>
      <c r="C323" s="54" t="s">
        <v>345</v>
      </c>
      <c r="D323" s="348"/>
      <c r="E323" s="53"/>
      <c r="F323" s="56"/>
      <c r="G323" s="53"/>
      <c r="H323" s="56"/>
      <c r="I323" s="57"/>
      <c r="J323" s="53"/>
      <c r="K323" s="56"/>
      <c r="L323" s="57"/>
      <c r="M323" s="58"/>
      <c r="N323" s="56"/>
      <c r="O323" s="57"/>
      <c r="P323" s="58">
        <f t="shared" si="16"/>
        <v>0.72</v>
      </c>
      <c r="Q323" s="59">
        <f t="shared" si="17"/>
        <v>1800</v>
      </c>
      <c r="R323" s="35">
        <v>1</v>
      </c>
      <c r="S323" s="19">
        <v>0</v>
      </c>
      <c r="T323" s="23">
        <v>0</v>
      </c>
      <c r="U323" s="24">
        <v>0</v>
      </c>
      <c r="V323" s="33">
        <v>0</v>
      </c>
      <c r="W323" s="34">
        <v>0</v>
      </c>
      <c r="X323" s="35">
        <v>0</v>
      </c>
      <c r="Y323" s="19">
        <v>0</v>
      </c>
      <c r="Z323" s="23">
        <v>0</v>
      </c>
      <c r="AA323" s="24">
        <v>0</v>
      </c>
      <c r="AB323" s="33">
        <v>0</v>
      </c>
      <c r="AC323" s="34">
        <v>0</v>
      </c>
      <c r="AD323" s="35">
        <v>0</v>
      </c>
      <c r="AE323" s="36">
        <v>0</v>
      </c>
      <c r="AF323" s="23">
        <v>0</v>
      </c>
      <c r="AG323" s="24">
        <v>0</v>
      </c>
      <c r="AH323" s="33">
        <v>0</v>
      </c>
      <c r="AI323" s="37">
        <v>0</v>
      </c>
      <c r="AJ323" s="35">
        <v>0</v>
      </c>
      <c r="AK323" s="36">
        <v>0</v>
      </c>
      <c r="AL323" s="38">
        <v>0</v>
      </c>
      <c r="AM323" s="35">
        <v>0</v>
      </c>
      <c r="AN323" s="19">
        <v>0</v>
      </c>
      <c r="AO323" s="23">
        <v>0</v>
      </c>
      <c r="AP323" s="24">
        <v>0</v>
      </c>
      <c r="AQ323" s="58">
        <f t="shared" si="18"/>
        <v>0.72</v>
      </c>
      <c r="AR323" s="59">
        <f t="shared" si="19"/>
        <v>1800</v>
      </c>
      <c r="AS323" s="35">
        <v>1</v>
      </c>
    </row>
    <row r="324" spans="1:45" ht="15.6" x14ac:dyDescent="0.3">
      <c r="A324" s="53">
        <v>320</v>
      </c>
      <c r="B324" s="55" t="s">
        <v>327</v>
      </c>
      <c r="C324" s="54" t="s">
        <v>346</v>
      </c>
      <c r="D324" s="348"/>
      <c r="E324" s="53"/>
      <c r="F324" s="56"/>
      <c r="G324" s="53"/>
      <c r="H324" s="56"/>
      <c r="I324" s="57"/>
      <c r="J324" s="53"/>
      <c r="K324" s="56"/>
      <c r="L324" s="57"/>
      <c r="M324" s="58"/>
      <c r="N324" s="56"/>
      <c r="O324" s="57"/>
      <c r="P324" s="58">
        <f t="shared" si="16"/>
        <v>2.88</v>
      </c>
      <c r="Q324" s="59">
        <f t="shared" si="17"/>
        <v>7200</v>
      </c>
      <c r="R324" s="35">
        <v>4</v>
      </c>
      <c r="S324" s="19">
        <v>0</v>
      </c>
      <c r="T324" s="23">
        <v>0</v>
      </c>
      <c r="U324" s="24">
        <v>0</v>
      </c>
      <c r="V324" s="33">
        <v>0</v>
      </c>
      <c r="W324" s="34">
        <v>0</v>
      </c>
      <c r="X324" s="35">
        <v>0</v>
      </c>
      <c r="Y324" s="19">
        <v>0</v>
      </c>
      <c r="Z324" s="23">
        <v>0</v>
      </c>
      <c r="AA324" s="24">
        <v>0</v>
      </c>
      <c r="AB324" s="33">
        <v>0</v>
      </c>
      <c r="AC324" s="34">
        <v>0</v>
      </c>
      <c r="AD324" s="35">
        <v>0</v>
      </c>
      <c r="AE324" s="36">
        <v>0</v>
      </c>
      <c r="AF324" s="23">
        <v>0</v>
      </c>
      <c r="AG324" s="24">
        <v>0</v>
      </c>
      <c r="AH324" s="33">
        <v>0</v>
      </c>
      <c r="AI324" s="37">
        <v>0</v>
      </c>
      <c r="AJ324" s="35">
        <v>0</v>
      </c>
      <c r="AK324" s="36">
        <v>0</v>
      </c>
      <c r="AL324" s="38">
        <v>0</v>
      </c>
      <c r="AM324" s="35">
        <v>0</v>
      </c>
      <c r="AN324" s="19">
        <v>0</v>
      </c>
      <c r="AO324" s="23">
        <v>0</v>
      </c>
      <c r="AP324" s="24">
        <v>0</v>
      </c>
      <c r="AQ324" s="58">
        <f t="shared" si="18"/>
        <v>2.88</v>
      </c>
      <c r="AR324" s="59">
        <f t="shared" si="19"/>
        <v>7200</v>
      </c>
      <c r="AS324" s="35">
        <v>4</v>
      </c>
    </row>
    <row r="325" spans="1:45" ht="15.6" x14ac:dyDescent="0.3">
      <c r="A325" s="53">
        <v>321</v>
      </c>
      <c r="B325" s="55" t="s">
        <v>347</v>
      </c>
      <c r="C325" s="54" t="s">
        <v>348</v>
      </c>
      <c r="D325" s="348"/>
      <c r="E325" s="53"/>
      <c r="F325" s="56"/>
      <c r="G325" s="53"/>
      <c r="H325" s="56"/>
      <c r="I325" s="57"/>
      <c r="J325" s="53"/>
      <c r="K325" s="56"/>
      <c r="L325" s="57"/>
      <c r="M325" s="58"/>
      <c r="N325" s="56"/>
      <c r="O325" s="57"/>
      <c r="P325" s="58">
        <f t="shared" ref="P325:P344" si="20">Q325/2500</f>
        <v>1.44</v>
      </c>
      <c r="Q325" s="59">
        <f t="shared" ref="Q325:Q344" si="21">R325*1800</f>
        <v>3600</v>
      </c>
      <c r="R325" s="35">
        <v>2</v>
      </c>
      <c r="S325" s="19">
        <v>0</v>
      </c>
      <c r="T325" s="23">
        <v>0</v>
      </c>
      <c r="U325" s="24">
        <v>0</v>
      </c>
      <c r="V325" s="33">
        <v>0</v>
      </c>
      <c r="W325" s="34">
        <v>0</v>
      </c>
      <c r="X325" s="35">
        <v>0</v>
      </c>
      <c r="Y325" s="19">
        <v>0</v>
      </c>
      <c r="Z325" s="23">
        <v>0</v>
      </c>
      <c r="AA325" s="24">
        <v>0</v>
      </c>
      <c r="AB325" s="33">
        <v>0</v>
      </c>
      <c r="AC325" s="34">
        <v>0</v>
      </c>
      <c r="AD325" s="35">
        <v>0</v>
      </c>
      <c r="AE325" s="36">
        <v>0</v>
      </c>
      <c r="AF325" s="23">
        <v>0</v>
      </c>
      <c r="AG325" s="24">
        <v>0</v>
      </c>
      <c r="AH325" s="33">
        <v>0</v>
      </c>
      <c r="AI325" s="37">
        <v>0</v>
      </c>
      <c r="AJ325" s="35">
        <v>0</v>
      </c>
      <c r="AK325" s="36">
        <v>0</v>
      </c>
      <c r="AL325" s="38">
        <v>0</v>
      </c>
      <c r="AM325" s="35">
        <v>0</v>
      </c>
      <c r="AN325" s="19">
        <v>0</v>
      </c>
      <c r="AO325" s="23">
        <v>0</v>
      </c>
      <c r="AP325" s="24">
        <v>0</v>
      </c>
      <c r="AQ325" s="58">
        <f t="shared" ref="AQ325:AQ344" si="22">AR325/2500</f>
        <v>1.44</v>
      </c>
      <c r="AR325" s="59">
        <f t="shared" ref="AR325:AR344" si="23">AS325*1800</f>
        <v>3600</v>
      </c>
      <c r="AS325" s="35">
        <v>2</v>
      </c>
    </row>
    <row r="326" spans="1:45" ht="15.6" x14ac:dyDescent="0.3">
      <c r="A326" s="53">
        <v>322</v>
      </c>
      <c r="B326" s="55" t="s">
        <v>347</v>
      </c>
      <c r="C326" s="54" t="s">
        <v>349</v>
      </c>
      <c r="D326" s="348"/>
      <c r="E326" s="53"/>
      <c r="F326" s="56"/>
      <c r="G326" s="53"/>
      <c r="H326" s="56"/>
      <c r="I326" s="57"/>
      <c r="J326" s="53"/>
      <c r="K326" s="56"/>
      <c r="L326" s="57"/>
      <c r="M326" s="58"/>
      <c r="N326" s="56"/>
      <c r="O326" s="57"/>
      <c r="P326" s="58">
        <f t="shared" si="20"/>
        <v>1.44</v>
      </c>
      <c r="Q326" s="59">
        <f t="shared" si="21"/>
        <v>3600</v>
      </c>
      <c r="R326" s="35">
        <v>2</v>
      </c>
      <c r="S326" s="19">
        <v>0</v>
      </c>
      <c r="T326" s="23">
        <v>0</v>
      </c>
      <c r="U326" s="24">
        <v>0</v>
      </c>
      <c r="V326" s="33">
        <v>0</v>
      </c>
      <c r="W326" s="34">
        <v>0</v>
      </c>
      <c r="X326" s="35">
        <v>0</v>
      </c>
      <c r="Y326" s="19">
        <v>0</v>
      </c>
      <c r="Z326" s="23">
        <v>0</v>
      </c>
      <c r="AA326" s="24">
        <v>0</v>
      </c>
      <c r="AB326" s="33">
        <v>0</v>
      </c>
      <c r="AC326" s="34">
        <v>0</v>
      </c>
      <c r="AD326" s="35">
        <v>0</v>
      </c>
      <c r="AE326" s="36">
        <v>0</v>
      </c>
      <c r="AF326" s="23">
        <v>0</v>
      </c>
      <c r="AG326" s="24">
        <v>0</v>
      </c>
      <c r="AH326" s="33">
        <v>0</v>
      </c>
      <c r="AI326" s="37">
        <v>0</v>
      </c>
      <c r="AJ326" s="35">
        <v>0</v>
      </c>
      <c r="AK326" s="36">
        <v>0</v>
      </c>
      <c r="AL326" s="38">
        <v>0</v>
      </c>
      <c r="AM326" s="35">
        <v>0</v>
      </c>
      <c r="AN326" s="19">
        <v>0</v>
      </c>
      <c r="AO326" s="23">
        <v>0</v>
      </c>
      <c r="AP326" s="24">
        <v>0</v>
      </c>
      <c r="AQ326" s="58">
        <f t="shared" si="22"/>
        <v>1.44</v>
      </c>
      <c r="AR326" s="59">
        <f t="shared" si="23"/>
        <v>3600</v>
      </c>
      <c r="AS326" s="35">
        <v>2</v>
      </c>
    </row>
    <row r="327" spans="1:45" ht="15.6" x14ac:dyDescent="0.3">
      <c r="A327" s="53">
        <v>323</v>
      </c>
      <c r="B327" s="55" t="s">
        <v>347</v>
      </c>
      <c r="C327" s="54" t="s">
        <v>350</v>
      </c>
      <c r="D327" s="348"/>
      <c r="E327" s="53"/>
      <c r="F327" s="56"/>
      <c r="G327" s="53"/>
      <c r="H327" s="56"/>
      <c r="I327" s="57"/>
      <c r="J327" s="53"/>
      <c r="K327" s="56"/>
      <c r="L327" s="57"/>
      <c r="M327" s="58"/>
      <c r="N327" s="56"/>
      <c r="O327" s="57"/>
      <c r="P327" s="58">
        <f t="shared" si="20"/>
        <v>5.76</v>
      </c>
      <c r="Q327" s="59">
        <f t="shared" si="21"/>
        <v>14400</v>
      </c>
      <c r="R327" s="35">
        <v>8</v>
      </c>
      <c r="S327" s="19">
        <v>0</v>
      </c>
      <c r="T327" s="23">
        <v>0</v>
      </c>
      <c r="U327" s="24">
        <v>0</v>
      </c>
      <c r="V327" s="33">
        <v>0</v>
      </c>
      <c r="W327" s="34">
        <v>0</v>
      </c>
      <c r="X327" s="35">
        <v>0</v>
      </c>
      <c r="Y327" s="19">
        <v>0</v>
      </c>
      <c r="Z327" s="23">
        <v>0</v>
      </c>
      <c r="AA327" s="24">
        <v>0</v>
      </c>
      <c r="AB327" s="33">
        <v>0</v>
      </c>
      <c r="AC327" s="34">
        <v>0</v>
      </c>
      <c r="AD327" s="35">
        <v>0</v>
      </c>
      <c r="AE327" s="36">
        <v>0</v>
      </c>
      <c r="AF327" s="23">
        <v>0</v>
      </c>
      <c r="AG327" s="24">
        <v>0</v>
      </c>
      <c r="AH327" s="33">
        <v>0</v>
      </c>
      <c r="AI327" s="37">
        <v>0</v>
      </c>
      <c r="AJ327" s="35">
        <v>0</v>
      </c>
      <c r="AK327" s="36">
        <v>0</v>
      </c>
      <c r="AL327" s="38">
        <v>0</v>
      </c>
      <c r="AM327" s="35">
        <v>0</v>
      </c>
      <c r="AN327" s="19">
        <v>0</v>
      </c>
      <c r="AO327" s="23">
        <v>0</v>
      </c>
      <c r="AP327" s="24">
        <v>0</v>
      </c>
      <c r="AQ327" s="58">
        <f t="shared" si="22"/>
        <v>5.76</v>
      </c>
      <c r="AR327" s="59">
        <f t="shared" si="23"/>
        <v>14400</v>
      </c>
      <c r="AS327" s="35">
        <v>8</v>
      </c>
    </row>
    <row r="328" spans="1:45" ht="15.6" x14ac:dyDescent="0.3">
      <c r="A328" s="53">
        <v>324</v>
      </c>
      <c r="B328" s="55" t="s">
        <v>347</v>
      </c>
      <c r="C328" s="54" t="s">
        <v>351</v>
      </c>
      <c r="D328" s="348" t="s">
        <v>25</v>
      </c>
      <c r="E328" s="53"/>
      <c r="F328" s="56"/>
      <c r="G328" s="53"/>
      <c r="H328" s="56"/>
      <c r="I328" s="57"/>
      <c r="J328" s="53"/>
      <c r="K328" s="56"/>
      <c r="L328" s="57"/>
      <c r="M328" s="58"/>
      <c r="N328" s="56"/>
      <c r="O328" s="57"/>
      <c r="P328" s="58">
        <f t="shared" si="20"/>
        <v>1.44</v>
      </c>
      <c r="Q328" s="59">
        <f t="shared" si="21"/>
        <v>3600</v>
      </c>
      <c r="R328" s="35">
        <v>2</v>
      </c>
      <c r="S328" s="19">
        <v>0</v>
      </c>
      <c r="T328" s="23">
        <v>0</v>
      </c>
      <c r="U328" s="24">
        <v>0</v>
      </c>
      <c r="V328" s="33">
        <v>0</v>
      </c>
      <c r="W328" s="34">
        <v>0</v>
      </c>
      <c r="X328" s="35">
        <v>0</v>
      </c>
      <c r="Y328" s="19">
        <v>0</v>
      </c>
      <c r="Z328" s="23">
        <v>0</v>
      </c>
      <c r="AA328" s="24">
        <v>0</v>
      </c>
      <c r="AB328" s="33">
        <v>0</v>
      </c>
      <c r="AC328" s="34">
        <v>0</v>
      </c>
      <c r="AD328" s="35">
        <v>0</v>
      </c>
      <c r="AE328" s="36">
        <v>0</v>
      </c>
      <c r="AF328" s="23">
        <v>0</v>
      </c>
      <c r="AG328" s="24">
        <v>0</v>
      </c>
      <c r="AH328" s="33">
        <v>0</v>
      </c>
      <c r="AI328" s="37">
        <v>0</v>
      </c>
      <c r="AJ328" s="35">
        <v>0</v>
      </c>
      <c r="AK328" s="36">
        <v>0</v>
      </c>
      <c r="AL328" s="38">
        <v>0</v>
      </c>
      <c r="AM328" s="35">
        <v>0</v>
      </c>
      <c r="AN328" s="19">
        <v>0</v>
      </c>
      <c r="AO328" s="23">
        <v>0</v>
      </c>
      <c r="AP328" s="24">
        <v>0</v>
      </c>
      <c r="AQ328" s="58">
        <f t="shared" si="22"/>
        <v>1.44</v>
      </c>
      <c r="AR328" s="59">
        <f t="shared" si="23"/>
        <v>3600</v>
      </c>
      <c r="AS328" s="35">
        <v>2</v>
      </c>
    </row>
    <row r="329" spans="1:45" ht="15.6" x14ac:dyDescent="0.3">
      <c r="A329" s="53">
        <v>325</v>
      </c>
      <c r="B329" s="55" t="s">
        <v>347</v>
      </c>
      <c r="C329" s="54" t="s">
        <v>352</v>
      </c>
      <c r="D329" s="348"/>
      <c r="E329" s="53"/>
      <c r="F329" s="56"/>
      <c r="G329" s="53"/>
      <c r="H329" s="56"/>
      <c r="I329" s="57"/>
      <c r="J329" s="53"/>
      <c r="K329" s="56"/>
      <c r="L329" s="57"/>
      <c r="M329" s="58"/>
      <c r="N329" s="56"/>
      <c r="O329" s="57"/>
      <c r="P329" s="58">
        <f t="shared" si="20"/>
        <v>0.72</v>
      </c>
      <c r="Q329" s="59">
        <f t="shared" si="21"/>
        <v>1800</v>
      </c>
      <c r="R329" s="35">
        <v>1</v>
      </c>
      <c r="S329" s="19">
        <v>0</v>
      </c>
      <c r="T329" s="23">
        <v>0</v>
      </c>
      <c r="U329" s="24">
        <v>0</v>
      </c>
      <c r="V329" s="33">
        <v>0</v>
      </c>
      <c r="W329" s="34">
        <v>0</v>
      </c>
      <c r="X329" s="35">
        <v>0</v>
      </c>
      <c r="Y329" s="19">
        <v>0</v>
      </c>
      <c r="Z329" s="23">
        <v>0</v>
      </c>
      <c r="AA329" s="24">
        <v>0</v>
      </c>
      <c r="AB329" s="33">
        <v>0</v>
      </c>
      <c r="AC329" s="34">
        <v>0</v>
      </c>
      <c r="AD329" s="35">
        <v>0</v>
      </c>
      <c r="AE329" s="36">
        <v>0</v>
      </c>
      <c r="AF329" s="23">
        <v>0</v>
      </c>
      <c r="AG329" s="24">
        <v>0</v>
      </c>
      <c r="AH329" s="33">
        <v>0</v>
      </c>
      <c r="AI329" s="37">
        <v>0</v>
      </c>
      <c r="AJ329" s="35">
        <v>0</v>
      </c>
      <c r="AK329" s="36">
        <v>0</v>
      </c>
      <c r="AL329" s="38">
        <v>0</v>
      </c>
      <c r="AM329" s="35">
        <v>0</v>
      </c>
      <c r="AN329" s="19">
        <v>0</v>
      </c>
      <c r="AO329" s="23">
        <v>0</v>
      </c>
      <c r="AP329" s="24">
        <v>0</v>
      </c>
      <c r="AQ329" s="58">
        <f t="shared" si="22"/>
        <v>0.72</v>
      </c>
      <c r="AR329" s="59">
        <f t="shared" si="23"/>
        <v>1800</v>
      </c>
      <c r="AS329" s="35">
        <v>1</v>
      </c>
    </row>
    <row r="330" spans="1:45" ht="15.6" x14ac:dyDescent="0.3">
      <c r="A330" s="53">
        <v>326</v>
      </c>
      <c r="B330" s="55" t="s">
        <v>347</v>
      </c>
      <c r="C330" s="54" t="s">
        <v>353</v>
      </c>
      <c r="D330" s="348"/>
      <c r="E330" s="53"/>
      <c r="F330" s="56"/>
      <c r="G330" s="53"/>
      <c r="H330" s="56"/>
      <c r="I330" s="57"/>
      <c r="J330" s="53"/>
      <c r="K330" s="56"/>
      <c r="L330" s="57"/>
      <c r="M330" s="58"/>
      <c r="N330" s="56"/>
      <c r="O330" s="57"/>
      <c r="P330" s="58">
        <f t="shared" si="20"/>
        <v>0</v>
      </c>
      <c r="Q330" s="59">
        <f t="shared" si="21"/>
        <v>0</v>
      </c>
      <c r="R330" s="35">
        <v>0</v>
      </c>
      <c r="S330" s="19">
        <v>0</v>
      </c>
      <c r="T330" s="23">
        <v>0</v>
      </c>
      <c r="U330" s="24">
        <v>0</v>
      </c>
      <c r="V330" s="33">
        <v>0</v>
      </c>
      <c r="W330" s="34">
        <v>0</v>
      </c>
      <c r="X330" s="35">
        <v>0</v>
      </c>
      <c r="Y330" s="19">
        <v>0</v>
      </c>
      <c r="Z330" s="23">
        <v>0</v>
      </c>
      <c r="AA330" s="24">
        <v>0</v>
      </c>
      <c r="AB330" s="33">
        <v>0</v>
      </c>
      <c r="AC330" s="34">
        <v>0</v>
      </c>
      <c r="AD330" s="35">
        <v>0</v>
      </c>
      <c r="AE330" s="36">
        <v>0</v>
      </c>
      <c r="AF330" s="23">
        <v>0</v>
      </c>
      <c r="AG330" s="24">
        <v>0</v>
      </c>
      <c r="AH330" s="33">
        <v>0</v>
      </c>
      <c r="AI330" s="37">
        <v>0</v>
      </c>
      <c r="AJ330" s="35">
        <v>0</v>
      </c>
      <c r="AK330" s="36">
        <v>0</v>
      </c>
      <c r="AL330" s="38">
        <v>0</v>
      </c>
      <c r="AM330" s="35">
        <v>0</v>
      </c>
      <c r="AN330" s="19">
        <v>0</v>
      </c>
      <c r="AO330" s="23">
        <v>0</v>
      </c>
      <c r="AP330" s="24">
        <v>0</v>
      </c>
      <c r="AQ330" s="58">
        <f t="shared" si="22"/>
        <v>0</v>
      </c>
      <c r="AR330" s="59">
        <f t="shared" si="23"/>
        <v>0</v>
      </c>
      <c r="AS330" s="35">
        <v>0</v>
      </c>
    </row>
    <row r="331" spans="1:45" ht="15.6" x14ac:dyDescent="0.3">
      <c r="A331" s="53">
        <v>327</v>
      </c>
      <c r="B331" s="55" t="s">
        <v>347</v>
      </c>
      <c r="C331" s="54" t="s">
        <v>354</v>
      </c>
      <c r="D331" s="348"/>
      <c r="E331" s="53"/>
      <c r="F331" s="56"/>
      <c r="G331" s="53"/>
      <c r="H331" s="56"/>
      <c r="I331" s="57"/>
      <c r="J331" s="53"/>
      <c r="K331" s="56"/>
      <c r="L331" s="57"/>
      <c r="M331" s="58"/>
      <c r="N331" s="56"/>
      <c r="O331" s="57"/>
      <c r="P331" s="58">
        <f t="shared" si="20"/>
        <v>3.6</v>
      </c>
      <c r="Q331" s="59">
        <f t="shared" si="21"/>
        <v>9000</v>
      </c>
      <c r="R331" s="35">
        <v>5</v>
      </c>
      <c r="S331" s="19">
        <v>0</v>
      </c>
      <c r="T331" s="23">
        <v>0</v>
      </c>
      <c r="U331" s="24">
        <v>0</v>
      </c>
      <c r="V331" s="33">
        <v>0</v>
      </c>
      <c r="W331" s="34">
        <v>0</v>
      </c>
      <c r="X331" s="35">
        <v>0</v>
      </c>
      <c r="Y331" s="19">
        <v>0</v>
      </c>
      <c r="Z331" s="23">
        <v>0</v>
      </c>
      <c r="AA331" s="24">
        <v>0</v>
      </c>
      <c r="AB331" s="33">
        <v>0</v>
      </c>
      <c r="AC331" s="34">
        <v>0</v>
      </c>
      <c r="AD331" s="35">
        <v>0</v>
      </c>
      <c r="AE331" s="36">
        <v>0</v>
      </c>
      <c r="AF331" s="23">
        <v>0</v>
      </c>
      <c r="AG331" s="24">
        <v>0</v>
      </c>
      <c r="AH331" s="33">
        <v>0</v>
      </c>
      <c r="AI331" s="37">
        <v>0</v>
      </c>
      <c r="AJ331" s="35">
        <v>0</v>
      </c>
      <c r="AK331" s="36">
        <v>0</v>
      </c>
      <c r="AL331" s="38">
        <v>0</v>
      </c>
      <c r="AM331" s="35">
        <v>0</v>
      </c>
      <c r="AN331" s="19">
        <v>0</v>
      </c>
      <c r="AO331" s="23">
        <v>0</v>
      </c>
      <c r="AP331" s="24">
        <v>0</v>
      </c>
      <c r="AQ331" s="58">
        <f t="shared" si="22"/>
        <v>3.6</v>
      </c>
      <c r="AR331" s="59">
        <f t="shared" si="23"/>
        <v>9000</v>
      </c>
      <c r="AS331" s="35">
        <v>5</v>
      </c>
    </row>
    <row r="332" spans="1:45" ht="15.6" x14ac:dyDescent="0.3">
      <c r="A332" s="53">
        <v>328</v>
      </c>
      <c r="B332" s="55" t="s">
        <v>347</v>
      </c>
      <c r="C332" s="54" t="s">
        <v>355</v>
      </c>
      <c r="D332" s="348"/>
      <c r="E332" s="53"/>
      <c r="F332" s="56"/>
      <c r="G332" s="53"/>
      <c r="H332" s="56"/>
      <c r="I332" s="57"/>
      <c r="J332" s="53"/>
      <c r="K332" s="56"/>
      <c r="L332" s="57"/>
      <c r="M332" s="58"/>
      <c r="N332" s="56"/>
      <c r="O332" s="57"/>
      <c r="P332" s="58">
        <f t="shared" si="20"/>
        <v>15.84</v>
      </c>
      <c r="Q332" s="59">
        <f t="shared" si="21"/>
        <v>39600</v>
      </c>
      <c r="R332" s="35">
        <v>22</v>
      </c>
      <c r="S332" s="19">
        <v>0</v>
      </c>
      <c r="T332" s="23">
        <v>0</v>
      </c>
      <c r="U332" s="24">
        <v>0</v>
      </c>
      <c r="V332" s="33">
        <v>0</v>
      </c>
      <c r="W332" s="34">
        <v>0</v>
      </c>
      <c r="X332" s="35">
        <v>0</v>
      </c>
      <c r="Y332" s="19">
        <v>0</v>
      </c>
      <c r="Z332" s="23">
        <v>0</v>
      </c>
      <c r="AA332" s="24">
        <v>0</v>
      </c>
      <c r="AB332" s="33">
        <v>0</v>
      </c>
      <c r="AC332" s="34">
        <v>0</v>
      </c>
      <c r="AD332" s="35">
        <v>0</v>
      </c>
      <c r="AE332" s="36">
        <v>0</v>
      </c>
      <c r="AF332" s="23">
        <v>0</v>
      </c>
      <c r="AG332" s="24">
        <v>0</v>
      </c>
      <c r="AH332" s="33">
        <v>0</v>
      </c>
      <c r="AI332" s="37">
        <v>0</v>
      </c>
      <c r="AJ332" s="35">
        <v>0</v>
      </c>
      <c r="AK332" s="36">
        <v>0</v>
      </c>
      <c r="AL332" s="38">
        <v>0</v>
      </c>
      <c r="AM332" s="35">
        <v>0</v>
      </c>
      <c r="AN332" s="19">
        <v>0</v>
      </c>
      <c r="AO332" s="23">
        <v>0</v>
      </c>
      <c r="AP332" s="24">
        <v>0</v>
      </c>
      <c r="AQ332" s="58">
        <f t="shared" si="22"/>
        <v>15.84</v>
      </c>
      <c r="AR332" s="59">
        <f t="shared" si="23"/>
        <v>39600</v>
      </c>
      <c r="AS332" s="35">
        <v>22</v>
      </c>
    </row>
    <row r="333" spans="1:45" ht="15.6" x14ac:dyDescent="0.3">
      <c r="A333" s="53">
        <v>329</v>
      </c>
      <c r="B333" s="55" t="s">
        <v>356</v>
      </c>
      <c r="C333" s="54" t="s">
        <v>357</v>
      </c>
      <c r="D333" s="348"/>
      <c r="E333" s="53"/>
      <c r="F333" s="56"/>
      <c r="G333" s="53"/>
      <c r="H333" s="56"/>
      <c r="I333" s="57"/>
      <c r="J333" s="53"/>
      <c r="K333" s="56"/>
      <c r="L333" s="57"/>
      <c r="M333" s="58"/>
      <c r="N333" s="56"/>
      <c r="O333" s="57"/>
      <c r="P333" s="58">
        <f t="shared" si="20"/>
        <v>2.88</v>
      </c>
      <c r="Q333" s="59">
        <f t="shared" si="21"/>
        <v>7200</v>
      </c>
      <c r="R333" s="35">
        <v>4</v>
      </c>
      <c r="S333" s="19">
        <v>0</v>
      </c>
      <c r="T333" s="23">
        <v>0</v>
      </c>
      <c r="U333" s="24">
        <v>0</v>
      </c>
      <c r="V333" s="33">
        <v>0</v>
      </c>
      <c r="W333" s="34">
        <v>0</v>
      </c>
      <c r="X333" s="35">
        <v>0</v>
      </c>
      <c r="Y333" s="19">
        <v>0</v>
      </c>
      <c r="Z333" s="23">
        <v>0</v>
      </c>
      <c r="AA333" s="24">
        <v>0</v>
      </c>
      <c r="AB333" s="33">
        <v>0</v>
      </c>
      <c r="AC333" s="34">
        <v>0</v>
      </c>
      <c r="AD333" s="35">
        <v>0</v>
      </c>
      <c r="AE333" s="36">
        <v>0</v>
      </c>
      <c r="AF333" s="23">
        <v>0</v>
      </c>
      <c r="AG333" s="24">
        <v>0</v>
      </c>
      <c r="AH333" s="33">
        <v>0</v>
      </c>
      <c r="AI333" s="37">
        <v>0</v>
      </c>
      <c r="AJ333" s="35">
        <v>0</v>
      </c>
      <c r="AK333" s="36">
        <v>0</v>
      </c>
      <c r="AL333" s="38">
        <v>0</v>
      </c>
      <c r="AM333" s="35">
        <v>0</v>
      </c>
      <c r="AN333" s="19">
        <v>0</v>
      </c>
      <c r="AO333" s="23">
        <v>0</v>
      </c>
      <c r="AP333" s="24">
        <v>0</v>
      </c>
      <c r="AQ333" s="58">
        <f t="shared" si="22"/>
        <v>2.88</v>
      </c>
      <c r="AR333" s="59">
        <f t="shared" si="23"/>
        <v>7200</v>
      </c>
      <c r="AS333" s="35">
        <v>4</v>
      </c>
    </row>
    <row r="334" spans="1:45" ht="15.6" x14ac:dyDescent="0.3">
      <c r="A334" s="53">
        <v>330</v>
      </c>
      <c r="B334" s="55" t="s">
        <v>356</v>
      </c>
      <c r="C334" s="54" t="s">
        <v>358</v>
      </c>
      <c r="D334" s="348"/>
      <c r="E334" s="53"/>
      <c r="F334" s="56"/>
      <c r="G334" s="53"/>
      <c r="H334" s="56"/>
      <c r="I334" s="57"/>
      <c r="J334" s="53"/>
      <c r="K334" s="56"/>
      <c r="L334" s="57"/>
      <c r="M334" s="58"/>
      <c r="N334" s="56"/>
      <c r="O334" s="57"/>
      <c r="P334" s="58">
        <f t="shared" si="20"/>
        <v>4.32</v>
      </c>
      <c r="Q334" s="59">
        <f t="shared" si="21"/>
        <v>10800</v>
      </c>
      <c r="R334" s="35">
        <v>6</v>
      </c>
      <c r="S334" s="19">
        <v>0</v>
      </c>
      <c r="T334" s="23">
        <v>0</v>
      </c>
      <c r="U334" s="24">
        <v>0</v>
      </c>
      <c r="V334" s="33">
        <v>0</v>
      </c>
      <c r="W334" s="34">
        <v>0</v>
      </c>
      <c r="X334" s="35">
        <v>0</v>
      </c>
      <c r="Y334" s="19">
        <v>0</v>
      </c>
      <c r="Z334" s="23">
        <v>0</v>
      </c>
      <c r="AA334" s="24">
        <v>0</v>
      </c>
      <c r="AB334" s="33">
        <v>0</v>
      </c>
      <c r="AC334" s="34">
        <v>0</v>
      </c>
      <c r="AD334" s="35">
        <v>0</v>
      </c>
      <c r="AE334" s="36">
        <v>0</v>
      </c>
      <c r="AF334" s="23">
        <v>0</v>
      </c>
      <c r="AG334" s="24">
        <v>0</v>
      </c>
      <c r="AH334" s="33">
        <v>0</v>
      </c>
      <c r="AI334" s="37">
        <v>0</v>
      </c>
      <c r="AJ334" s="35">
        <v>0</v>
      </c>
      <c r="AK334" s="36">
        <v>0</v>
      </c>
      <c r="AL334" s="38">
        <v>0</v>
      </c>
      <c r="AM334" s="35">
        <v>0</v>
      </c>
      <c r="AN334" s="19">
        <v>0</v>
      </c>
      <c r="AO334" s="23">
        <v>0</v>
      </c>
      <c r="AP334" s="24">
        <v>0</v>
      </c>
      <c r="AQ334" s="58">
        <f t="shared" si="22"/>
        <v>4.32</v>
      </c>
      <c r="AR334" s="59">
        <f t="shared" si="23"/>
        <v>10800</v>
      </c>
      <c r="AS334" s="35">
        <v>6</v>
      </c>
    </row>
    <row r="335" spans="1:45" ht="15.6" x14ac:dyDescent="0.3">
      <c r="A335" s="53">
        <v>331</v>
      </c>
      <c r="B335" s="55" t="s">
        <v>356</v>
      </c>
      <c r="C335" s="54" t="s">
        <v>359</v>
      </c>
      <c r="D335" s="348"/>
      <c r="E335" s="53"/>
      <c r="F335" s="56"/>
      <c r="G335" s="53"/>
      <c r="H335" s="56"/>
      <c r="I335" s="57"/>
      <c r="J335" s="53"/>
      <c r="K335" s="56"/>
      <c r="L335" s="57"/>
      <c r="M335" s="58"/>
      <c r="N335" s="56"/>
      <c r="O335" s="57"/>
      <c r="P335" s="58">
        <f t="shared" si="20"/>
        <v>2.16</v>
      </c>
      <c r="Q335" s="59">
        <f t="shared" si="21"/>
        <v>5400</v>
      </c>
      <c r="R335" s="35">
        <v>3</v>
      </c>
      <c r="S335" s="19">
        <v>0</v>
      </c>
      <c r="T335" s="23">
        <v>0</v>
      </c>
      <c r="U335" s="24">
        <v>0</v>
      </c>
      <c r="V335" s="33">
        <v>0</v>
      </c>
      <c r="W335" s="34">
        <v>0</v>
      </c>
      <c r="X335" s="35">
        <v>0</v>
      </c>
      <c r="Y335" s="19">
        <v>0</v>
      </c>
      <c r="Z335" s="23">
        <v>0</v>
      </c>
      <c r="AA335" s="24">
        <v>0</v>
      </c>
      <c r="AB335" s="33">
        <v>0</v>
      </c>
      <c r="AC335" s="34">
        <v>0</v>
      </c>
      <c r="AD335" s="35">
        <v>0</v>
      </c>
      <c r="AE335" s="36">
        <v>0</v>
      </c>
      <c r="AF335" s="23">
        <v>0</v>
      </c>
      <c r="AG335" s="24">
        <v>0</v>
      </c>
      <c r="AH335" s="33">
        <v>0</v>
      </c>
      <c r="AI335" s="37">
        <v>0</v>
      </c>
      <c r="AJ335" s="35">
        <v>0</v>
      </c>
      <c r="AK335" s="36">
        <v>0</v>
      </c>
      <c r="AL335" s="38">
        <v>0</v>
      </c>
      <c r="AM335" s="35">
        <v>0</v>
      </c>
      <c r="AN335" s="19">
        <v>0</v>
      </c>
      <c r="AO335" s="23">
        <v>0</v>
      </c>
      <c r="AP335" s="24">
        <v>0</v>
      </c>
      <c r="AQ335" s="58">
        <f t="shared" si="22"/>
        <v>2.16</v>
      </c>
      <c r="AR335" s="59">
        <f t="shared" si="23"/>
        <v>5400</v>
      </c>
      <c r="AS335" s="35">
        <v>3</v>
      </c>
    </row>
    <row r="336" spans="1:45" ht="15.6" x14ac:dyDescent="0.3">
      <c r="A336" s="53">
        <v>332</v>
      </c>
      <c r="B336" s="55" t="s">
        <v>356</v>
      </c>
      <c r="C336" s="54" t="s">
        <v>360</v>
      </c>
      <c r="D336" s="348"/>
      <c r="E336" s="53"/>
      <c r="F336" s="56"/>
      <c r="G336" s="53"/>
      <c r="H336" s="56"/>
      <c r="I336" s="57"/>
      <c r="J336" s="53"/>
      <c r="K336" s="56"/>
      <c r="L336" s="57"/>
      <c r="M336" s="58"/>
      <c r="N336" s="56"/>
      <c r="O336" s="57"/>
      <c r="P336" s="58">
        <f t="shared" si="20"/>
        <v>7.92</v>
      </c>
      <c r="Q336" s="59">
        <f t="shared" si="21"/>
        <v>19800</v>
      </c>
      <c r="R336" s="35">
        <v>11</v>
      </c>
      <c r="S336" s="19">
        <v>0</v>
      </c>
      <c r="T336" s="23">
        <v>0</v>
      </c>
      <c r="U336" s="24">
        <v>0</v>
      </c>
      <c r="V336" s="33">
        <v>0</v>
      </c>
      <c r="W336" s="34">
        <v>0</v>
      </c>
      <c r="X336" s="35">
        <v>0</v>
      </c>
      <c r="Y336" s="19">
        <v>0</v>
      </c>
      <c r="Z336" s="23">
        <v>0</v>
      </c>
      <c r="AA336" s="24">
        <v>0</v>
      </c>
      <c r="AB336" s="33">
        <v>0</v>
      </c>
      <c r="AC336" s="34">
        <v>0</v>
      </c>
      <c r="AD336" s="35">
        <v>0</v>
      </c>
      <c r="AE336" s="36">
        <v>0</v>
      </c>
      <c r="AF336" s="23">
        <v>0</v>
      </c>
      <c r="AG336" s="24">
        <v>0</v>
      </c>
      <c r="AH336" s="33">
        <v>0</v>
      </c>
      <c r="AI336" s="37">
        <v>0</v>
      </c>
      <c r="AJ336" s="35">
        <v>0</v>
      </c>
      <c r="AK336" s="36">
        <v>0</v>
      </c>
      <c r="AL336" s="38">
        <v>0</v>
      </c>
      <c r="AM336" s="35">
        <v>0</v>
      </c>
      <c r="AN336" s="19">
        <v>0</v>
      </c>
      <c r="AO336" s="23">
        <v>0</v>
      </c>
      <c r="AP336" s="24">
        <v>0</v>
      </c>
      <c r="AQ336" s="58">
        <f t="shared" si="22"/>
        <v>7.92</v>
      </c>
      <c r="AR336" s="59">
        <f t="shared" si="23"/>
        <v>19800</v>
      </c>
      <c r="AS336" s="35">
        <v>11</v>
      </c>
    </row>
    <row r="337" spans="1:45" ht="15.6" x14ac:dyDescent="0.3">
      <c r="A337" s="53">
        <v>333</v>
      </c>
      <c r="B337" s="55" t="s">
        <v>356</v>
      </c>
      <c r="C337" s="54" t="s">
        <v>361</v>
      </c>
      <c r="D337" s="348"/>
      <c r="E337" s="53"/>
      <c r="F337" s="56"/>
      <c r="G337" s="53"/>
      <c r="H337" s="56"/>
      <c r="I337" s="57"/>
      <c r="J337" s="53"/>
      <c r="K337" s="56"/>
      <c r="L337" s="57"/>
      <c r="M337" s="58"/>
      <c r="N337" s="56"/>
      <c r="O337" s="57"/>
      <c r="P337" s="58">
        <f t="shared" si="20"/>
        <v>4.32</v>
      </c>
      <c r="Q337" s="59">
        <f t="shared" si="21"/>
        <v>10800</v>
      </c>
      <c r="R337" s="35">
        <v>6</v>
      </c>
      <c r="S337" s="19">
        <v>0</v>
      </c>
      <c r="T337" s="23">
        <v>0</v>
      </c>
      <c r="U337" s="24">
        <v>0</v>
      </c>
      <c r="V337" s="33">
        <v>0</v>
      </c>
      <c r="W337" s="34">
        <v>0</v>
      </c>
      <c r="X337" s="35">
        <v>0</v>
      </c>
      <c r="Y337" s="19">
        <v>0</v>
      </c>
      <c r="Z337" s="23">
        <v>0</v>
      </c>
      <c r="AA337" s="24">
        <v>0</v>
      </c>
      <c r="AB337" s="33">
        <v>0</v>
      </c>
      <c r="AC337" s="34">
        <v>0</v>
      </c>
      <c r="AD337" s="35">
        <v>0</v>
      </c>
      <c r="AE337" s="36">
        <v>0</v>
      </c>
      <c r="AF337" s="23">
        <v>0</v>
      </c>
      <c r="AG337" s="24">
        <v>0</v>
      </c>
      <c r="AH337" s="33">
        <v>0</v>
      </c>
      <c r="AI337" s="37">
        <v>0</v>
      </c>
      <c r="AJ337" s="35">
        <v>0</v>
      </c>
      <c r="AK337" s="36">
        <v>0</v>
      </c>
      <c r="AL337" s="38">
        <v>0</v>
      </c>
      <c r="AM337" s="35">
        <v>0</v>
      </c>
      <c r="AN337" s="19">
        <v>0</v>
      </c>
      <c r="AO337" s="23">
        <v>0</v>
      </c>
      <c r="AP337" s="24">
        <v>0</v>
      </c>
      <c r="AQ337" s="58">
        <f t="shared" si="22"/>
        <v>4.32</v>
      </c>
      <c r="AR337" s="59">
        <f t="shared" si="23"/>
        <v>10800</v>
      </c>
      <c r="AS337" s="35">
        <v>6</v>
      </c>
    </row>
    <row r="338" spans="1:45" ht="15.6" x14ac:dyDescent="0.3">
      <c r="A338" s="53">
        <v>334</v>
      </c>
      <c r="B338" s="55" t="s">
        <v>356</v>
      </c>
      <c r="C338" s="54" t="s">
        <v>362</v>
      </c>
      <c r="D338" s="348"/>
      <c r="E338" s="53"/>
      <c r="F338" s="56"/>
      <c r="G338" s="53"/>
      <c r="H338" s="56"/>
      <c r="I338" s="57"/>
      <c r="J338" s="53"/>
      <c r="K338" s="56"/>
      <c r="L338" s="57"/>
      <c r="M338" s="58"/>
      <c r="N338" s="56"/>
      <c r="O338" s="57"/>
      <c r="P338" s="58">
        <f t="shared" si="20"/>
        <v>6.48</v>
      </c>
      <c r="Q338" s="59">
        <f t="shared" si="21"/>
        <v>16200</v>
      </c>
      <c r="R338" s="35">
        <v>9</v>
      </c>
      <c r="S338" s="19">
        <v>0</v>
      </c>
      <c r="T338" s="23">
        <v>0</v>
      </c>
      <c r="U338" s="24">
        <v>0</v>
      </c>
      <c r="V338" s="33">
        <v>0</v>
      </c>
      <c r="W338" s="34">
        <v>0</v>
      </c>
      <c r="X338" s="35">
        <v>0</v>
      </c>
      <c r="Y338" s="19">
        <v>0</v>
      </c>
      <c r="Z338" s="23">
        <v>0</v>
      </c>
      <c r="AA338" s="24">
        <v>0</v>
      </c>
      <c r="AB338" s="33">
        <v>0</v>
      </c>
      <c r="AC338" s="34">
        <v>0</v>
      </c>
      <c r="AD338" s="35">
        <v>0</v>
      </c>
      <c r="AE338" s="36">
        <v>0</v>
      </c>
      <c r="AF338" s="23">
        <v>0</v>
      </c>
      <c r="AG338" s="24">
        <v>0</v>
      </c>
      <c r="AH338" s="33">
        <v>0</v>
      </c>
      <c r="AI338" s="37">
        <v>0</v>
      </c>
      <c r="AJ338" s="35">
        <v>0</v>
      </c>
      <c r="AK338" s="36">
        <v>0</v>
      </c>
      <c r="AL338" s="38">
        <v>0</v>
      </c>
      <c r="AM338" s="35">
        <v>0</v>
      </c>
      <c r="AN338" s="19">
        <v>0</v>
      </c>
      <c r="AO338" s="23">
        <v>0</v>
      </c>
      <c r="AP338" s="24">
        <v>0</v>
      </c>
      <c r="AQ338" s="58">
        <f t="shared" si="22"/>
        <v>6.48</v>
      </c>
      <c r="AR338" s="59">
        <f t="shared" si="23"/>
        <v>16200</v>
      </c>
      <c r="AS338" s="35">
        <v>9</v>
      </c>
    </row>
    <row r="339" spans="1:45" ht="15.6" x14ac:dyDescent="0.3">
      <c r="A339" s="53">
        <v>335</v>
      </c>
      <c r="B339" s="55" t="s">
        <v>356</v>
      </c>
      <c r="C339" s="54" t="s">
        <v>363</v>
      </c>
      <c r="D339" s="348"/>
      <c r="E339" s="53"/>
      <c r="F339" s="56"/>
      <c r="G339" s="53"/>
      <c r="H339" s="56"/>
      <c r="I339" s="57"/>
      <c r="J339" s="53"/>
      <c r="K339" s="56"/>
      <c r="L339" s="57"/>
      <c r="M339" s="58"/>
      <c r="N339" s="56"/>
      <c r="O339" s="57"/>
      <c r="P339" s="58">
        <f t="shared" si="20"/>
        <v>5.04</v>
      </c>
      <c r="Q339" s="59">
        <f t="shared" si="21"/>
        <v>12600</v>
      </c>
      <c r="R339" s="35">
        <v>7</v>
      </c>
      <c r="S339" s="19">
        <v>0</v>
      </c>
      <c r="T339" s="23">
        <v>0</v>
      </c>
      <c r="U339" s="24">
        <v>0</v>
      </c>
      <c r="V339" s="33">
        <v>0</v>
      </c>
      <c r="W339" s="34">
        <v>0</v>
      </c>
      <c r="X339" s="35">
        <v>0</v>
      </c>
      <c r="Y339" s="19">
        <v>0</v>
      </c>
      <c r="Z339" s="23">
        <v>0</v>
      </c>
      <c r="AA339" s="24">
        <v>0</v>
      </c>
      <c r="AB339" s="33">
        <v>0</v>
      </c>
      <c r="AC339" s="34">
        <v>0</v>
      </c>
      <c r="AD339" s="35">
        <v>0</v>
      </c>
      <c r="AE339" s="36">
        <v>0</v>
      </c>
      <c r="AF339" s="23">
        <v>0</v>
      </c>
      <c r="AG339" s="24">
        <v>0</v>
      </c>
      <c r="AH339" s="33">
        <v>0</v>
      </c>
      <c r="AI339" s="37">
        <v>0</v>
      </c>
      <c r="AJ339" s="35">
        <v>0</v>
      </c>
      <c r="AK339" s="36">
        <v>0</v>
      </c>
      <c r="AL339" s="38">
        <v>0</v>
      </c>
      <c r="AM339" s="35">
        <v>0</v>
      </c>
      <c r="AN339" s="19">
        <v>0</v>
      </c>
      <c r="AO339" s="23">
        <v>0</v>
      </c>
      <c r="AP339" s="24">
        <v>0</v>
      </c>
      <c r="AQ339" s="58">
        <f t="shared" si="22"/>
        <v>5.04</v>
      </c>
      <c r="AR339" s="59">
        <f t="shared" si="23"/>
        <v>12600</v>
      </c>
      <c r="AS339" s="35">
        <v>7</v>
      </c>
    </row>
    <row r="340" spans="1:45" ht="15.6" x14ac:dyDescent="0.3">
      <c r="A340" s="53">
        <v>336</v>
      </c>
      <c r="B340" s="55" t="s">
        <v>356</v>
      </c>
      <c r="C340" s="54" t="s">
        <v>364</v>
      </c>
      <c r="D340" s="348"/>
      <c r="E340" s="53"/>
      <c r="F340" s="56"/>
      <c r="G340" s="53"/>
      <c r="H340" s="56"/>
      <c r="I340" s="57"/>
      <c r="J340" s="53"/>
      <c r="K340" s="56"/>
      <c r="L340" s="57"/>
      <c r="M340" s="58"/>
      <c r="N340" s="56"/>
      <c r="O340" s="57"/>
      <c r="P340" s="58">
        <f t="shared" si="20"/>
        <v>2.88</v>
      </c>
      <c r="Q340" s="59">
        <f t="shared" si="21"/>
        <v>7200</v>
      </c>
      <c r="R340" s="35">
        <v>4</v>
      </c>
      <c r="S340" s="19">
        <v>0</v>
      </c>
      <c r="T340" s="23">
        <v>0</v>
      </c>
      <c r="U340" s="24">
        <v>0</v>
      </c>
      <c r="V340" s="33">
        <v>0</v>
      </c>
      <c r="W340" s="34">
        <v>0</v>
      </c>
      <c r="X340" s="35">
        <v>0</v>
      </c>
      <c r="Y340" s="19">
        <v>0</v>
      </c>
      <c r="Z340" s="23">
        <v>0</v>
      </c>
      <c r="AA340" s="24">
        <v>0</v>
      </c>
      <c r="AB340" s="33">
        <v>0</v>
      </c>
      <c r="AC340" s="34">
        <v>0</v>
      </c>
      <c r="AD340" s="35">
        <v>0</v>
      </c>
      <c r="AE340" s="36">
        <v>0</v>
      </c>
      <c r="AF340" s="23">
        <v>0</v>
      </c>
      <c r="AG340" s="24">
        <v>0</v>
      </c>
      <c r="AH340" s="33">
        <v>0</v>
      </c>
      <c r="AI340" s="37">
        <v>0</v>
      </c>
      <c r="AJ340" s="35">
        <v>0</v>
      </c>
      <c r="AK340" s="36">
        <v>0</v>
      </c>
      <c r="AL340" s="38">
        <v>0</v>
      </c>
      <c r="AM340" s="35">
        <v>0</v>
      </c>
      <c r="AN340" s="19">
        <v>0</v>
      </c>
      <c r="AO340" s="23">
        <v>0</v>
      </c>
      <c r="AP340" s="24">
        <v>0</v>
      </c>
      <c r="AQ340" s="58">
        <f t="shared" si="22"/>
        <v>2.88</v>
      </c>
      <c r="AR340" s="59">
        <f t="shared" si="23"/>
        <v>7200</v>
      </c>
      <c r="AS340" s="35">
        <v>4</v>
      </c>
    </row>
    <row r="341" spans="1:45" ht="15.6" x14ac:dyDescent="0.3">
      <c r="A341" s="53">
        <v>337</v>
      </c>
      <c r="B341" s="55" t="s">
        <v>356</v>
      </c>
      <c r="C341" s="54" t="s">
        <v>365</v>
      </c>
      <c r="D341" s="348"/>
      <c r="E341" s="53"/>
      <c r="F341" s="56"/>
      <c r="G341" s="53"/>
      <c r="H341" s="56"/>
      <c r="I341" s="57"/>
      <c r="J341" s="53"/>
      <c r="K341" s="56"/>
      <c r="L341" s="57"/>
      <c r="M341" s="58"/>
      <c r="N341" s="56"/>
      <c r="O341" s="57"/>
      <c r="P341" s="58">
        <f t="shared" si="20"/>
        <v>7.2</v>
      </c>
      <c r="Q341" s="59">
        <f t="shared" si="21"/>
        <v>18000</v>
      </c>
      <c r="R341" s="35">
        <v>10</v>
      </c>
      <c r="S341" s="19">
        <v>0</v>
      </c>
      <c r="T341" s="23">
        <v>0</v>
      </c>
      <c r="U341" s="24">
        <v>0</v>
      </c>
      <c r="V341" s="33">
        <v>0</v>
      </c>
      <c r="W341" s="34">
        <v>0</v>
      </c>
      <c r="X341" s="35">
        <v>0</v>
      </c>
      <c r="Y341" s="19">
        <v>0</v>
      </c>
      <c r="Z341" s="23">
        <v>0</v>
      </c>
      <c r="AA341" s="24">
        <v>0</v>
      </c>
      <c r="AB341" s="33">
        <v>0</v>
      </c>
      <c r="AC341" s="34">
        <v>0</v>
      </c>
      <c r="AD341" s="35">
        <v>0</v>
      </c>
      <c r="AE341" s="36">
        <v>0</v>
      </c>
      <c r="AF341" s="23">
        <v>0</v>
      </c>
      <c r="AG341" s="24">
        <v>0</v>
      </c>
      <c r="AH341" s="33">
        <v>0</v>
      </c>
      <c r="AI341" s="37">
        <v>0</v>
      </c>
      <c r="AJ341" s="35">
        <v>0</v>
      </c>
      <c r="AK341" s="36">
        <v>0</v>
      </c>
      <c r="AL341" s="38">
        <v>0</v>
      </c>
      <c r="AM341" s="35">
        <v>0</v>
      </c>
      <c r="AN341" s="19">
        <v>0</v>
      </c>
      <c r="AO341" s="23">
        <v>0</v>
      </c>
      <c r="AP341" s="24">
        <v>0</v>
      </c>
      <c r="AQ341" s="58">
        <f t="shared" si="22"/>
        <v>7.2</v>
      </c>
      <c r="AR341" s="59">
        <f t="shared" si="23"/>
        <v>18000</v>
      </c>
      <c r="AS341" s="35">
        <v>10</v>
      </c>
    </row>
    <row r="342" spans="1:45" ht="15.6" x14ac:dyDescent="0.3">
      <c r="A342" s="53">
        <v>338</v>
      </c>
      <c r="B342" s="55" t="s">
        <v>356</v>
      </c>
      <c r="C342" s="54" t="s">
        <v>366</v>
      </c>
      <c r="D342" s="348"/>
      <c r="E342" s="53"/>
      <c r="F342" s="56"/>
      <c r="G342" s="53"/>
      <c r="H342" s="56"/>
      <c r="I342" s="57"/>
      <c r="J342" s="53"/>
      <c r="K342" s="56"/>
      <c r="L342" s="57"/>
      <c r="M342" s="58"/>
      <c r="N342" s="56"/>
      <c r="O342" s="57"/>
      <c r="P342" s="58">
        <f t="shared" si="20"/>
        <v>8.64</v>
      </c>
      <c r="Q342" s="59">
        <f t="shared" si="21"/>
        <v>21600</v>
      </c>
      <c r="R342" s="35">
        <v>12</v>
      </c>
      <c r="S342" s="19">
        <v>0</v>
      </c>
      <c r="T342" s="23">
        <v>0</v>
      </c>
      <c r="U342" s="24">
        <v>0</v>
      </c>
      <c r="V342" s="33">
        <v>0</v>
      </c>
      <c r="W342" s="34">
        <v>0</v>
      </c>
      <c r="X342" s="35">
        <v>0</v>
      </c>
      <c r="Y342" s="19">
        <v>0</v>
      </c>
      <c r="Z342" s="23">
        <v>0</v>
      </c>
      <c r="AA342" s="24">
        <v>0</v>
      </c>
      <c r="AB342" s="33">
        <v>0</v>
      </c>
      <c r="AC342" s="34">
        <v>0</v>
      </c>
      <c r="AD342" s="35">
        <v>0</v>
      </c>
      <c r="AE342" s="36">
        <v>0</v>
      </c>
      <c r="AF342" s="23">
        <v>0</v>
      </c>
      <c r="AG342" s="24">
        <v>0</v>
      </c>
      <c r="AH342" s="33">
        <v>0</v>
      </c>
      <c r="AI342" s="37">
        <v>0</v>
      </c>
      <c r="AJ342" s="35">
        <v>0</v>
      </c>
      <c r="AK342" s="36">
        <v>0</v>
      </c>
      <c r="AL342" s="38">
        <v>0</v>
      </c>
      <c r="AM342" s="35">
        <v>0</v>
      </c>
      <c r="AN342" s="19">
        <v>0</v>
      </c>
      <c r="AO342" s="23">
        <v>0</v>
      </c>
      <c r="AP342" s="24">
        <v>0</v>
      </c>
      <c r="AQ342" s="58">
        <f t="shared" si="22"/>
        <v>8.64</v>
      </c>
      <c r="AR342" s="59">
        <f t="shared" si="23"/>
        <v>21600</v>
      </c>
      <c r="AS342" s="35">
        <v>12</v>
      </c>
    </row>
    <row r="343" spans="1:45" ht="15.6" x14ac:dyDescent="0.3">
      <c r="A343" s="53">
        <v>339</v>
      </c>
      <c r="B343" s="55" t="s">
        <v>356</v>
      </c>
      <c r="C343" s="54" t="s">
        <v>356</v>
      </c>
      <c r="D343" s="348"/>
      <c r="E343" s="53"/>
      <c r="F343" s="56"/>
      <c r="G343" s="53"/>
      <c r="H343" s="56"/>
      <c r="I343" s="57"/>
      <c r="J343" s="53"/>
      <c r="K343" s="56"/>
      <c r="L343" s="57"/>
      <c r="M343" s="58"/>
      <c r="N343" s="56"/>
      <c r="O343" s="57"/>
      <c r="P343" s="58">
        <f t="shared" si="20"/>
        <v>15.84</v>
      </c>
      <c r="Q343" s="59">
        <f t="shared" si="21"/>
        <v>39600</v>
      </c>
      <c r="R343" s="35">
        <v>22</v>
      </c>
      <c r="S343" s="19">
        <v>0</v>
      </c>
      <c r="T343" s="23">
        <v>0</v>
      </c>
      <c r="U343" s="24">
        <v>0</v>
      </c>
      <c r="V343" s="33">
        <v>0</v>
      </c>
      <c r="W343" s="34">
        <v>0</v>
      </c>
      <c r="X343" s="35">
        <v>0</v>
      </c>
      <c r="Y343" s="19">
        <v>0</v>
      </c>
      <c r="Z343" s="23">
        <v>0</v>
      </c>
      <c r="AA343" s="24">
        <v>0</v>
      </c>
      <c r="AB343" s="33">
        <v>0</v>
      </c>
      <c r="AC343" s="34">
        <v>0</v>
      </c>
      <c r="AD343" s="35">
        <v>0</v>
      </c>
      <c r="AE343" s="36">
        <v>0</v>
      </c>
      <c r="AF343" s="23">
        <v>0</v>
      </c>
      <c r="AG343" s="24">
        <v>0</v>
      </c>
      <c r="AH343" s="33">
        <v>0</v>
      </c>
      <c r="AI343" s="37">
        <v>0</v>
      </c>
      <c r="AJ343" s="35">
        <v>0</v>
      </c>
      <c r="AK343" s="36">
        <v>0</v>
      </c>
      <c r="AL343" s="38">
        <v>0</v>
      </c>
      <c r="AM343" s="35">
        <v>0</v>
      </c>
      <c r="AN343" s="19">
        <v>0</v>
      </c>
      <c r="AO343" s="23">
        <v>0</v>
      </c>
      <c r="AP343" s="24">
        <v>0</v>
      </c>
      <c r="AQ343" s="58">
        <f t="shared" si="22"/>
        <v>15.84</v>
      </c>
      <c r="AR343" s="59">
        <f t="shared" si="23"/>
        <v>39600</v>
      </c>
      <c r="AS343" s="35">
        <v>22</v>
      </c>
    </row>
    <row r="344" spans="1:45" x14ac:dyDescent="0.3">
      <c r="P344" s="58">
        <f t="shared" si="20"/>
        <v>1111.68</v>
      </c>
      <c r="Q344" s="59">
        <f t="shared" si="21"/>
        <v>2779200</v>
      </c>
      <c r="R344" s="60">
        <f>SUM(R4:R343)</f>
        <v>1544</v>
      </c>
      <c r="AQ344" s="58">
        <f t="shared" si="22"/>
        <v>1111.68</v>
      </c>
      <c r="AR344" s="59">
        <f t="shared" si="23"/>
        <v>2779200</v>
      </c>
      <c r="AS344" s="61">
        <f>SUM(AS4:AS343)</f>
        <v>1544</v>
      </c>
    </row>
  </sheetData>
  <mergeCells count="39">
    <mergeCell ref="A1:H1"/>
    <mergeCell ref="A2:A3"/>
    <mergeCell ref="B2:B3"/>
    <mergeCell ref="C2:C3"/>
    <mergeCell ref="D2:D3"/>
    <mergeCell ref="E2:F2"/>
    <mergeCell ref="G2:I2"/>
    <mergeCell ref="AQ2:AS2"/>
    <mergeCell ref="J2:L2"/>
    <mergeCell ref="M2:O2"/>
    <mergeCell ref="P2:R2"/>
    <mergeCell ref="S2:U2"/>
    <mergeCell ref="V2:X2"/>
    <mergeCell ref="Y2:AA2"/>
    <mergeCell ref="AB2:AD2"/>
    <mergeCell ref="AE2:AG2"/>
    <mergeCell ref="AH2:AJ2"/>
    <mergeCell ref="AK2:AM2"/>
    <mergeCell ref="AN2:AP2"/>
    <mergeCell ref="D192:D208"/>
    <mergeCell ref="D4:D20"/>
    <mergeCell ref="D21:D37"/>
    <mergeCell ref="D38:D55"/>
    <mergeCell ref="D56:D72"/>
    <mergeCell ref="D73:D89"/>
    <mergeCell ref="D90:D106"/>
    <mergeCell ref="D107:D123"/>
    <mergeCell ref="D124:D140"/>
    <mergeCell ref="D141:D157"/>
    <mergeCell ref="D158:D174"/>
    <mergeCell ref="D175:D191"/>
    <mergeCell ref="D311:D327"/>
    <mergeCell ref="D328:D343"/>
    <mergeCell ref="D209:D225"/>
    <mergeCell ref="D226:D242"/>
    <mergeCell ref="D243:D259"/>
    <mergeCell ref="D260:D276"/>
    <mergeCell ref="D277:D293"/>
    <mergeCell ref="D294:D3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71B85-CA7B-2649-A936-8BE863B729F1}">
  <dimension ref="A1:AF146"/>
  <sheetViews>
    <sheetView topLeftCell="K120" workbookViewId="0">
      <selection activeCell="T137" sqref="T137"/>
    </sheetView>
  </sheetViews>
  <sheetFormatPr baseColWidth="10" defaultRowHeight="14.4" x14ac:dyDescent="0.3"/>
  <cols>
    <col min="20" max="20" width="13.109375" bestFit="1" customWidth="1"/>
    <col min="22" max="22" width="8.109375" hidden="1" customWidth="1"/>
    <col min="23" max="23" width="5.33203125" hidden="1" customWidth="1"/>
    <col min="24" max="24" width="11.6640625" hidden="1" customWidth="1"/>
    <col min="25" max="25" width="10.44140625" hidden="1" customWidth="1"/>
  </cols>
  <sheetData>
    <row r="1" spans="1:32" x14ac:dyDescent="0.3">
      <c r="A1" s="85"/>
      <c r="B1" s="85"/>
      <c r="C1" s="85"/>
      <c r="D1" s="85"/>
      <c r="E1" s="114"/>
      <c r="F1" s="85"/>
      <c r="G1" s="94"/>
      <c r="H1" s="115"/>
      <c r="I1" s="94"/>
      <c r="J1" s="115"/>
      <c r="K1" s="94"/>
      <c r="L1" s="115"/>
      <c r="M1" s="94"/>
      <c r="N1" s="115"/>
      <c r="O1" s="115"/>
      <c r="P1" s="115"/>
      <c r="Q1" s="249"/>
      <c r="R1" s="115"/>
      <c r="S1" s="94"/>
      <c r="T1" s="85"/>
      <c r="U1" s="85"/>
      <c r="V1" s="276"/>
      <c r="W1" s="277"/>
      <c r="X1" s="278"/>
      <c r="Y1" s="278"/>
      <c r="Z1" s="279"/>
      <c r="AA1" s="280"/>
      <c r="AB1" s="281"/>
      <c r="AC1" s="281"/>
      <c r="AD1" s="276"/>
      <c r="AE1" s="276"/>
      <c r="AF1" s="276"/>
    </row>
    <row r="2" spans="1:32" ht="21" thickBot="1" x14ac:dyDescent="0.35">
      <c r="A2" s="351" t="s">
        <v>418</v>
      </c>
      <c r="B2" s="351"/>
      <c r="C2" s="351"/>
      <c r="D2" s="351"/>
      <c r="E2" s="351"/>
      <c r="F2" s="351"/>
      <c r="G2" s="351"/>
      <c r="H2" s="351"/>
      <c r="I2" s="351"/>
      <c r="J2" s="351"/>
      <c r="K2" s="351"/>
      <c r="L2" s="351"/>
      <c r="M2" s="351"/>
      <c r="N2" s="351"/>
      <c r="O2" s="351"/>
      <c r="P2" s="351"/>
      <c r="Q2" s="351"/>
      <c r="R2" s="351"/>
      <c r="S2" s="351"/>
      <c r="T2" s="351"/>
      <c r="U2" s="117"/>
      <c r="V2" s="282">
        <f>+H146</f>
        <v>0</v>
      </c>
      <c r="W2" s="277"/>
      <c r="X2" s="278"/>
      <c r="Y2" s="283">
        <f>476985.41+34720</f>
        <v>511705.41</v>
      </c>
      <c r="Z2" s="279"/>
      <c r="AA2" s="280"/>
      <c r="AB2" s="281"/>
      <c r="AC2" s="284"/>
      <c r="AD2" s="276"/>
      <c r="AE2" s="276"/>
      <c r="AF2" s="276"/>
    </row>
    <row r="3" spans="1:32" ht="15.6" x14ac:dyDescent="0.3">
      <c r="A3" s="337" t="s">
        <v>1</v>
      </c>
      <c r="B3" s="338" t="s">
        <v>2</v>
      </c>
      <c r="C3" s="338" t="s">
        <v>3</v>
      </c>
      <c r="D3" s="346" t="s">
        <v>4</v>
      </c>
      <c r="E3" s="329" t="s">
        <v>6</v>
      </c>
      <c r="F3" s="330"/>
      <c r="G3" s="329" t="s">
        <v>7</v>
      </c>
      <c r="H3" s="330"/>
      <c r="I3" s="329" t="s">
        <v>419</v>
      </c>
      <c r="J3" s="330"/>
      <c r="K3" s="329" t="s">
        <v>420</v>
      </c>
      <c r="L3" s="330"/>
      <c r="M3" s="329" t="s">
        <v>421</v>
      </c>
      <c r="N3" s="330"/>
      <c r="O3" s="329" t="s">
        <v>422</v>
      </c>
      <c r="P3" s="330"/>
      <c r="Q3" s="329" t="s">
        <v>663</v>
      </c>
      <c r="R3" s="330"/>
      <c r="S3" s="341" t="s">
        <v>18</v>
      </c>
      <c r="T3" s="331"/>
      <c r="U3" s="178"/>
      <c r="V3" s="352">
        <v>3872299.36</v>
      </c>
      <c r="W3" s="352"/>
      <c r="X3" s="285">
        <v>1794116.5</v>
      </c>
      <c r="Y3" s="283">
        <f>+Y2/5092</f>
        <v>100.49202867242734</v>
      </c>
      <c r="Z3" s="277">
        <v>1459509.5</v>
      </c>
      <c r="AA3" s="286">
        <v>2566297.11</v>
      </c>
      <c r="AB3" s="281"/>
      <c r="AC3" s="281"/>
      <c r="AD3" s="276"/>
      <c r="AE3" s="276"/>
      <c r="AF3" s="276"/>
    </row>
    <row r="4" spans="1:32" ht="16.2" thickBot="1" x14ac:dyDescent="0.35">
      <c r="A4" s="344"/>
      <c r="B4" s="345"/>
      <c r="C4" s="345"/>
      <c r="D4" s="347"/>
      <c r="E4" s="250" t="s">
        <v>19</v>
      </c>
      <c r="F4" s="251" t="s">
        <v>20</v>
      </c>
      <c r="G4" s="250" t="s">
        <v>19</v>
      </c>
      <c r="H4" s="252" t="s">
        <v>20</v>
      </c>
      <c r="I4" s="250" t="s">
        <v>19</v>
      </c>
      <c r="J4" s="252" t="s">
        <v>20</v>
      </c>
      <c r="K4" s="250" t="s">
        <v>19</v>
      </c>
      <c r="L4" s="252" t="s">
        <v>20</v>
      </c>
      <c r="M4" s="250" t="s">
        <v>19</v>
      </c>
      <c r="N4" s="252" t="s">
        <v>20</v>
      </c>
      <c r="O4" s="250" t="s">
        <v>19</v>
      </c>
      <c r="P4" s="252" t="s">
        <v>20</v>
      </c>
      <c r="Q4" s="250" t="s">
        <v>19</v>
      </c>
      <c r="R4" s="252" t="s">
        <v>20</v>
      </c>
      <c r="S4" s="253" t="s">
        <v>19</v>
      </c>
      <c r="T4" s="66" t="s">
        <v>20</v>
      </c>
      <c r="U4" s="179"/>
      <c r="V4" s="287">
        <f>+V3/4899</f>
        <v>790.42648703817099</v>
      </c>
      <c r="W4" s="277"/>
      <c r="X4" s="285">
        <f>+X3/1779</f>
        <v>1008.4971894322654</v>
      </c>
      <c r="Y4" s="283">
        <f>+Y3</f>
        <v>100.49202867242734</v>
      </c>
      <c r="Z4" s="288">
        <f>+Z3/I133</f>
        <v>165.75917092561045</v>
      </c>
      <c r="AA4" s="286">
        <f>+AA3/11160</f>
        <v>229.954938172043</v>
      </c>
      <c r="AB4" s="281"/>
      <c r="AC4" s="281"/>
      <c r="AD4" s="276"/>
      <c r="AE4" s="276"/>
      <c r="AF4" s="276"/>
    </row>
    <row r="5" spans="1:32" x14ac:dyDescent="0.3">
      <c r="A5" s="86">
        <v>1</v>
      </c>
      <c r="B5" s="353" t="s">
        <v>423</v>
      </c>
      <c r="C5" s="93" t="s">
        <v>424</v>
      </c>
      <c r="D5" s="356" t="s">
        <v>425</v>
      </c>
      <c r="E5" s="254">
        <v>0</v>
      </c>
      <c r="F5" s="255">
        <v>0</v>
      </c>
      <c r="G5" s="256">
        <v>280</v>
      </c>
      <c r="H5" s="257">
        <f>+G5*Y5</f>
        <v>28137.768028279654</v>
      </c>
      <c r="I5" s="256">
        <v>275</v>
      </c>
      <c r="J5" s="257">
        <f t="shared" ref="J5:J10" si="0">+I5*Z5</f>
        <v>45583.772004542872</v>
      </c>
      <c r="K5" s="256">
        <v>29</v>
      </c>
      <c r="L5" s="258">
        <v>24931.105172591448</v>
      </c>
      <c r="M5" s="256">
        <v>28</v>
      </c>
      <c r="N5" s="255">
        <f>+M5*X5</f>
        <v>28237.921304103431</v>
      </c>
      <c r="O5" s="259">
        <v>268</v>
      </c>
      <c r="P5" s="257">
        <f t="shared" ref="P5:P68" si="1">+O5*AA5</f>
        <v>61627.923430107527</v>
      </c>
      <c r="Q5" s="254">
        <v>102</v>
      </c>
      <c r="R5" s="257">
        <f>+Q5*V5</f>
        <v>80623.501677893437</v>
      </c>
      <c r="S5" s="256">
        <f>+G5+I5+K5+M5+O5+Q5</f>
        <v>982</v>
      </c>
      <c r="T5" s="260">
        <f>+H5+J5+L5+N5+P5+R5</f>
        <v>269141.99161751836</v>
      </c>
      <c r="U5" s="116"/>
      <c r="V5" s="289">
        <f>+V4</f>
        <v>790.42648703817099</v>
      </c>
      <c r="W5" s="277"/>
      <c r="X5" s="290">
        <f>+X4</f>
        <v>1008.4971894322654</v>
      </c>
      <c r="Y5" s="283">
        <f t="shared" ref="Y5:AA18" si="2">+Y4</f>
        <v>100.49202867242734</v>
      </c>
      <c r="Z5" s="288">
        <f>+Z4</f>
        <v>165.75917092561045</v>
      </c>
      <c r="AA5" s="286">
        <f>+AA4</f>
        <v>229.954938172043</v>
      </c>
      <c r="AB5" s="281"/>
      <c r="AC5" s="281"/>
      <c r="AD5" s="276"/>
      <c r="AE5" s="276"/>
      <c r="AF5" s="276"/>
    </row>
    <row r="6" spans="1:32" x14ac:dyDescent="0.3">
      <c r="A6" s="86">
        <f>+A5+1</f>
        <v>2</v>
      </c>
      <c r="B6" s="354"/>
      <c r="C6" s="93" t="s">
        <v>426</v>
      </c>
      <c r="D6" s="357"/>
      <c r="E6" s="93">
        <v>0</v>
      </c>
      <c r="F6" s="87">
        <v>0</v>
      </c>
      <c r="G6" s="88">
        <v>130</v>
      </c>
      <c r="H6" s="89">
        <f>+G6*Y5</f>
        <v>13063.963727415554</v>
      </c>
      <c r="I6" s="88">
        <v>174</v>
      </c>
      <c r="J6" s="89">
        <f t="shared" si="0"/>
        <v>28842.095741056219</v>
      </c>
      <c r="K6" s="88">
        <v>38</v>
      </c>
      <c r="L6" s="90">
        <v>32668.344708912929</v>
      </c>
      <c r="M6" s="88">
        <v>14</v>
      </c>
      <c r="N6" s="87">
        <f t="shared" ref="N6:N77" si="3">+M6*X6</f>
        <v>14118.960652051715</v>
      </c>
      <c r="O6" s="91">
        <v>134</v>
      </c>
      <c r="P6" s="89">
        <f t="shared" si="1"/>
        <v>30813.961715053763</v>
      </c>
      <c r="Q6" s="93">
        <v>42</v>
      </c>
      <c r="R6" s="89">
        <f t="shared" ref="R6:R69" si="4">+Q6*V6</f>
        <v>33197.912455603182</v>
      </c>
      <c r="S6" s="88">
        <f t="shared" ref="S6:T67" si="5">+G6+I6+K6+M6+O6+Q6</f>
        <v>532</v>
      </c>
      <c r="T6" s="92">
        <f t="shared" si="5"/>
        <v>152705.23900009337</v>
      </c>
      <c r="U6" s="116"/>
      <c r="V6" s="289">
        <f t="shared" ref="V6:X21" si="6">+V5</f>
        <v>790.42648703817099</v>
      </c>
      <c r="W6" s="291">
        <f t="shared" si="6"/>
        <v>0</v>
      </c>
      <c r="X6" s="290">
        <f t="shared" si="6"/>
        <v>1008.4971894322654</v>
      </c>
      <c r="Y6" s="283">
        <f t="shared" si="2"/>
        <v>100.49202867242734</v>
      </c>
      <c r="Z6" s="288">
        <f t="shared" si="2"/>
        <v>165.75917092561045</v>
      </c>
      <c r="AA6" s="286">
        <f t="shared" si="2"/>
        <v>229.954938172043</v>
      </c>
      <c r="AB6" s="281"/>
      <c r="AC6" s="281"/>
      <c r="AD6" s="276"/>
      <c r="AE6" s="276"/>
      <c r="AF6" s="276"/>
    </row>
    <row r="7" spans="1:32" x14ac:dyDescent="0.3">
      <c r="A7" s="86">
        <f t="shared" ref="A7:A70" si="7">+A6+1</f>
        <v>3</v>
      </c>
      <c r="B7" s="354"/>
      <c r="C7" s="93" t="s">
        <v>427</v>
      </c>
      <c r="D7" s="357"/>
      <c r="E7" s="93">
        <v>0</v>
      </c>
      <c r="F7" s="87">
        <v>0</v>
      </c>
      <c r="G7" s="88">
        <v>354</v>
      </c>
      <c r="H7" s="89">
        <f>+G7*Y6</f>
        <v>35574.178150039275</v>
      </c>
      <c r="I7" s="88">
        <v>373</v>
      </c>
      <c r="J7" s="89">
        <f t="shared" si="0"/>
        <v>61828.1707552527</v>
      </c>
      <c r="K7" s="88">
        <v>39</v>
      </c>
      <c r="L7" s="90">
        <v>33528.037990726429</v>
      </c>
      <c r="M7" s="88">
        <v>9</v>
      </c>
      <c r="N7" s="87">
        <f t="shared" si="3"/>
        <v>9076.4747048903882</v>
      </c>
      <c r="O7" s="91">
        <v>377</v>
      </c>
      <c r="P7" s="89">
        <f t="shared" si="1"/>
        <v>86693.011690860207</v>
      </c>
      <c r="Q7" s="93">
        <v>202</v>
      </c>
      <c r="R7" s="89">
        <f t="shared" si="4"/>
        <v>159666.15038171053</v>
      </c>
      <c r="S7" s="88">
        <f t="shared" si="5"/>
        <v>1354</v>
      </c>
      <c r="T7" s="92">
        <f t="shared" si="5"/>
        <v>386366.02367347956</v>
      </c>
      <c r="U7" s="116"/>
      <c r="V7" s="289">
        <f t="shared" si="6"/>
        <v>790.42648703817099</v>
      </c>
      <c r="W7" s="291">
        <f t="shared" si="6"/>
        <v>0</v>
      </c>
      <c r="X7" s="290">
        <f t="shared" si="6"/>
        <v>1008.4971894322654</v>
      </c>
      <c r="Y7" s="283">
        <f t="shared" si="2"/>
        <v>100.49202867242734</v>
      </c>
      <c r="Z7" s="288">
        <f t="shared" si="2"/>
        <v>165.75917092561045</v>
      </c>
      <c r="AA7" s="286">
        <f t="shared" si="2"/>
        <v>229.954938172043</v>
      </c>
      <c r="AB7" s="281"/>
      <c r="AC7" s="281"/>
      <c r="AD7" s="276"/>
      <c r="AE7" s="276"/>
      <c r="AF7" s="276"/>
    </row>
    <row r="8" spans="1:32" x14ac:dyDescent="0.3">
      <c r="A8" s="86">
        <f t="shared" si="7"/>
        <v>4</v>
      </c>
      <c r="B8" s="354"/>
      <c r="C8" s="93" t="s">
        <v>428</v>
      </c>
      <c r="D8" s="357"/>
      <c r="E8" s="93">
        <v>0</v>
      </c>
      <c r="F8" s="87">
        <v>0</v>
      </c>
      <c r="G8" s="88">
        <v>204</v>
      </c>
      <c r="H8" s="89">
        <f>+G8*Y7</f>
        <v>20500.373849175176</v>
      </c>
      <c r="I8" s="88">
        <v>171</v>
      </c>
      <c r="J8" s="89">
        <f t="shared" si="0"/>
        <v>28344.818228279386</v>
      </c>
      <c r="K8" s="88">
        <v>12</v>
      </c>
      <c r="L8" s="90">
        <v>10316.319381761978</v>
      </c>
      <c r="M8" s="88">
        <v>5</v>
      </c>
      <c r="N8" s="87">
        <f t="shared" si="3"/>
        <v>5042.4859471613272</v>
      </c>
      <c r="O8" s="91">
        <v>123</v>
      </c>
      <c r="P8" s="89">
        <f t="shared" si="1"/>
        <v>28284.457395161287</v>
      </c>
      <c r="Q8" s="93">
        <v>53</v>
      </c>
      <c r="R8" s="89">
        <f t="shared" si="4"/>
        <v>41892.603813023059</v>
      </c>
      <c r="S8" s="88">
        <f t="shared" si="5"/>
        <v>568</v>
      </c>
      <c r="T8" s="92">
        <f t="shared" si="5"/>
        <v>134381.05861456221</v>
      </c>
      <c r="U8" s="116"/>
      <c r="V8" s="289">
        <f t="shared" si="6"/>
        <v>790.42648703817099</v>
      </c>
      <c r="W8" s="291">
        <f t="shared" si="6"/>
        <v>0</v>
      </c>
      <c r="X8" s="290">
        <f t="shared" si="6"/>
        <v>1008.4971894322654</v>
      </c>
      <c r="Y8" s="283">
        <f t="shared" si="2"/>
        <v>100.49202867242734</v>
      </c>
      <c r="Z8" s="288">
        <f t="shared" si="2"/>
        <v>165.75917092561045</v>
      </c>
      <c r="AA8" s="286">
        <f t="shared" si="2"/>
        <v>229.954938172043</v>
      </c>
      <c r="AB8" s="281"/>
      <c r="AC8" s="281"/>
      <c r="AD8" s="276"/>
      <c r="AE8" s="276"/>
      <c r="AF8" s="276"/>
    </row>
    <row r="9" spans="1:32" x14ac:dyDescent="0.3">
      <c r="A9" s="86">
        <f t="shared" si="7"/>
        <v>5</v>
      </c>
      <c r="B9" s="354"/>
      <c r="C9" s="93" t="s">
        <v>429</v>
      </c>
      <c r="D9" s="357"/>
      <c r="E9" s="93">
        <v>0</v>
      </c>
      <c r="F9" s="87">
        <v>0</v>
      </c>
      <c r="G9" s="88">
        <v>108</v>
      </c>
      <c r="H9" s="89">
        <f>+G9*Y8</f>
        <v>10853.139096622153</v>
      </c>
      <c r="I9" s="88">
        <v>167</v>
      </c>
      <c r="J9" s="89">
        <f t="shared" si="0"/>
        <v>27681.781544576945</v>
      </c>
      <c r="K9" s="88">
        <v>15</v>
      </c>
      <c r="L9" s="90">
        <v>12895.399227202473</v>
      </c>
      <c r="M9" s="88">
        <v>8</v>
      </c>
      <c r="N9" s="87">
        <f t="shared" si="3"/>
        <v>8067.977515458123</v>
      </c>
      <c r="O9" s="91">
        <v>125</v>
      </c>
      <c r="P9" s="89">
        <f t="shared" si="1"/>
        <v>28744.367271505376</v>
      </c>
      <c r="Q9" s="93">
        <v>11</v>
      </c>
      <c r="R9" s="89">
        <f t="shared" si="4"/>
        <v>8694.6913574198807</v>
      </c>
      <c r="S9" s="88">
        <f t="shared" si="5"/>
        <v>434</v>
      </c>
      <c r="T9" s="92">
        <f t="shared" si="5"/>
        <v>96937.356012784949</v>
      </c>
      <c r="U9" s="116"/>
      <c r="V9" s="289">
        <f t="shared" si="6"/>
        <v>790.42648703817099</v>
      </c>
      <c r="W9" s="291">
        <f t="shared" si="6"/>
        <v>0</v>
      </c>
      <c r="X9" s="290">
        <f t="shared" si="6"/>
        <v>1008.4971894322654</v>
      </c>
      <c r="Y9" s="283">
        <f t="shared" si="2"/>
        <v>100.49202867242734</v>
      </c>
      <c r="Z9" s="288">
        <f t="shared" si="2"/>
        <v>165.75917092561045</v>
      </c>
      <c r="AA9" s="286">
        <f t="shared" si="2"/>
        <v>229.954938172043</v>
      </c>
      <c r="AB9" s="281"/>
      <c r="AC9" s="281"/>
      <c r="AD9" s="276"/>
      <c r="AE9" s="276"/>
      <c r="AF9" s="276"/>
    </row>
    <row r="10" spans="1:32" x14ac:dyDescent="0.3">
      <c r="A10" s="86">
        <f t="shared" si="7"/>
        <v>6</v>
      </c>
      <c r="B10" s="354"/>
      <c r="C10" s="93" t="s">
        <v>430</v>
      </c>
      <c r="D10" s="357"/>
      <c r="E10" s="93">
        <v>0</v>
      </c>
      <c r="F10" s="87">
        <v>0</v>
      </c>
      <c r="G10" s="88">
        <v>967</v>
      </c>
      <c r="H10" s="89">
        <f>+G10*Y9</f>
        <v>97175.791726237236</v>
      </c>
      <c r="I10" s="88">
        <v>946</v>
      </c>
      <c r="J10" s="89">
        <f t="shared" si="0"/>
        <v>156808.17569562749</v>
      </c>
      <c r="K10" s="88">
        <v>153</v>
      </c>
      <c r="L10" s="90">
        <v>131533.07211746523</v>
      </c>
      <c r="M10" s="88">
        <v>247</v>
      </c>
      <c r="N10" s="87">
        <f t="shared" si="3"/>
        <v>249098.80578976954</v>
      </c>
      <c r="O10" s="91">
        <v>990</v>
      </c>
      <c r="P10" s="89">
        <f t="shared" si="1"/>
        <v>227655.38879032258</v>
      </c>
      <c r="Q10" s="93">
        <v>463</v>
      </c>
      <c r="R10" s="89">
        <f t="shared" si="4"/>
        <v>365967.46349867317</v>
      </c>
      <c r="S10" s="88">
        <f t="shared" si="5"/>
        <v>3766</v>
      </c>
      <c r="T10" s="92">
        <f t="shared" si="5"/>
        <v>1228238.6976180952</v>
      </c>
      <c r="U10" s="116"/>
      <c r="V10" s="289">
        <f t="shared" si="6"/>
        <v>790.42648703817099</v>
      </c>
      <c r="W10" s="291">
        <f t="shared" si="6"/>
        <v>0</v>
      </c>
      <c r="X10" s="290">
        <f t="shared" si="6"/>
        <v>1008.4971894322654</v>
      </c>
      <c r="Y10" s="283">
        <f>+Y9</f>
        <v>100.49202867242734</v>
      </c>
      <c r="Z10" s="288">
        <f>+Z9</f>
        <v>165.75917092561045</v>
      </c>
      <c r="AA10" s="286">
        <f t="shared" si="2"/>
        <v>229.954938172043</v>
      </c>
      <c r="AB10" s="281"/>
      <c r="AC10" s="281"/>
      <c r="AD10" s="276"/>
      <c r="AE10" s="276"/>
      <c r="AF10" s="276"/>
    </row>
    <row r="11" spans="1:32" x14ac:dyDescent="0.3">
      <c r="A11" s="86">
        <f t="shared" si="7"/>
        <v>7</v>
      </c>
      <c r="B11" s="355"/>
      <c r="C11" s="93" t="s">
        <v>431</v>
      </c>
      <c r="D11" s="357"/>
      <c r="E11" s="93">
        <v>0</v>
      </c>
      <c r="F11" s="87">
        <v>0</v>
      </c>
      <c r="G11" s="88">
        <v>0</v>
      </c>
      <c r="H11" s="89">
        <v>0</v>
      </c>
      <c r="I11" s="88">
        <v>0</v>
      </c>
      <c r="J11" s="89">
        <v>0</v>
      </c>
      <c r="K11" s="88">
        <v>0</v>
      </c>
      <c r="L11" s="90">
        <v>0</v>
      </c>
      <c r="M11" s="88">
        <v>0</v>
      </c>
      <c r="N11" s="87">
        <f t="shared" si="3"/>
        <v>0</v>
      </c>
      <c r="O11" s="91">
        <v>4</v>
      </c>
      <c r="P11" s="89">
        <f t="shared" si="1"/>
        <v>919.819752688172</v>
      </c>
      <c r="Q11" s="93">
        <v>33</v>
      </c>
      <c r="R11" s="89">
        <f t="shared" si="4"/>
        <v>26084.074072259642</v>
      </c>
      <c r="S11" s="88">
        <f t="shared" si="5"/>
        <v>37</v>
      </c>
      <c r="T11" s="92">
        <f t="shared" si="5"/>
        <v>27003.893824947812</v>
      </c>
      <c r="U11" s="116"/>
      <c r="V11" s="289">
        <f t="shared" si="6"/>
        <v>790.42648703817099</v>
      </c>
      <c r="W11" s="291">
        <f t="shared" si="6"/>
        <v>0</v>
      </c>
      <c r="X11" s="290">
        <f t="shared" si="6"/>
        <v>1008.4971894322654</v>
      </c>
      <c r="Y11" s="283"/>
      <c r="Z11" s="288"/>
      <c r="AA11" s="286">
        <f t="shared" si="2"/>
        <v>229.954938172043</v>
      </c>
      <c r="AB11" s="281"/>
      <c r="AC11" s="281"/>
      <c r="AD11" s="276"/>
      <c r="AE11" s="276"/>
      <c r="AF11" s="276"/>
    </row>
    <row r="12" spans="1:32" x14ac:dyDescent="0.3">
      <c r="A12" s="86">
        <f t="shared" si="7"/>
        <v>8</v>
      </c>
      <c r="B12" s="358" t="s">
        <v>432</v>
      </c>
      <c r="C12" s="93" t="s">
        <v>433</v>
      </c>
      <c r="D12" s="357"/>
      <c r="E12" s="93">
        <v>0</v>
      </c>
      <c r="F12" s="87">
        <v>0</v>
      </c>
      <c r="G12" s="88">
        <v>99</v>
      </c>
      <c r="H12" s="89">
        <f>+G12*Y10</f>
        <v>9948.7108385703068</v>
      </c>
      <c r="I12" s="88">
        <v>93</v>
      </c>
      <c r="J12" s="89">
        <f t="shared" ref="J12:J35" si="8">+I12*Z12</f>
        <v>15415.602896081771</v>
      </c>
      <c r="K12" s="88">
        <v>20</v>
      </c>
      <c r="L12" s="90">
        <v>17193.865636269962</v>
      </c>
      <c r="M12" s="88">
        <v>0</v>
      </c>
      <c r="N12" s="87">
        <f t="shared" si="3"/>
        <v>0</v>
      </c>
      <c r="O12" s="91">
        <v>120</v>
      </c>
      <c r="P12" s="89">
        <f t="shared" si="1"/>
        <v>27594.59258064516</v>
      </c>
      <c r="Q12" s="93">
        <v>0</v>
      </c>
      <c r="R12" s="89">
        <f t="shared" si="4"/>
        <v>0</v>
      </c>
      <c r="S12" s="88">
        <f t="shared" si="5"/>
        <v>332</v>
      </c>
      <c r="T12" s="92">
        <f t="shared" si="5"/>
        <v>70152.771951567192</v>
      </c>
      <c r="U12" s="116"/>
      <c r="V12" s="289">
        <f t="shared" si="6"/>
        <v>790.42648703817099</v>
      </c>
      <c r="W12" s="291">
        <f t="shared" si="6"/>
        <v>0</v>
      </c>
      <c r="X12" s="290">
        <f t="shared" si="6"/>
        <v>1008.4971894322654</v>
      </c>
      <c r="Y12" s="283">
        <f>+Y10</f>
        <v>100.49202867242734</v>
      </c>
      <c r="Z12" s="288">
        <f>+Z10</f>
        <v>165.75917092561045</v>
      </c>
      <c r="AA12" s="286">
        <f t="shared" si="2"/>
        <v>229.954938172043</v>
      </c>
      <c r="AB12" s="281"/>
      <c r="AC12" s="281"/>
      <c r="AD12" s="276"/>
      <c r="AE12" s="276"/>
      <c r="AF12" s="276"/>
    </row>
    <row r="13" spans="1:32" x14ac:dyDescent="0.3">
      <c r="A13" s="86">
        <f t="shared" si="7"/>
        <v>9</v>
      </c>
      <c r="B13" s="358"/>
      <c r="C13" s="93" t="s">
        <v>434</v>
      </c>
      <c r="D13" s="357"/>
      <c r="E13" s="93">
        <v>0</v>
      </c>
      <c r="F13" s="87">
        <v>0</v>
      </c>
      <c r="G13" s="88">
        <v>13</v>
      </c>
      <c r="H13" s="89">
        <f>+G13*Y12</f>
        <v>1306.3963727415553</v>
      </c>
      <c r="I13" s="88">
        <v>7</v>
      </c>
      <c r="J13" s="89">
        <f t="shared" si="8"/>
        <v>1160.3141964792731</v>
      </c>
      <c r="K13" s="88">
        <v>4</v>
      </c>
      <c r="L13" s="90">
        <v>3438.7731272539927</v>
      </c>
      <c r="M13" s="88">
        <v>0</v>
      </c>
      <c r="N13" s="87">
        <f t="shared" si="3"/>
        <v>0</v>
      </c>
      <c r="O13" s="91">
        <v>0</v>
      </c>
      <c r="P13" s="89">
        <f t="shared" si="1"/>
        <v>0</v>
      </c>
      <c r="Q13" s="93">
        <v>9</v>
      </c>
      <c r="R13" s="89">
        <f t="shared" si="4"/>
        <v>7113.8383833435391</v>
      </c>
      <c r="S13" s="88">
        <f t="shared" si="5"/>
        <v>33</v>
      </c>
      <c r="T13" s="92">
        <f t="shared" si="5"/>
        <v>13019.322079818361</v>
      </c>
      <c r="U13" s="116"/>
      <c r="V13" s="289">
        <f t="shared" si="6"/>
        <v>790.42648703817099</v>
      </c>
      <c r="W13" s="291">
        <f t="shared" si="6"/>
        <v>0</v>
      </c>
      <c r="X13" s="290">
        <f t="shared" si="6"/>
        <v>1008.4971894322654</v>
      </c>
      <c r="Y13" s="283">
        <f t="shared" si="2"/>
        <v>100.49202867242734</v>
      </c>
      <c r="Z13" s="288">
        <f t="shared" si="2"/>
        <v>165.75917092561045</v>
      </c>
      <c r="AA13" s="286">
        <f t="shared" si="2"/>
        <v>229.954938172043</v>
      </c>
      <c r="AB13" s="281"/>
      <c r="AC13" s="281"/>
      <c r="AD13" s="276"/>
      <c r="AE13" s="276"/>
      <c r="AF13" s="276"/>
    </row>
    <row r="14" spans="1:32" x14ac:dyDescent="0.3">
      <c r="A14" s="86">
        <f t="shared" si="7"/>
        <v>10</v>
      </c>
      <c r="B14" s="358"/>
      <c r="C14" s="93" t="s">
        <v>435</v>
      </c>
      <c r="D14" s="357"/>
      <c r="E14" s="93">
        <v>0</v>
      </c>
      <c r="F14" s="87">
        <v>0</v>
      </c>
      <c r="G14" s="88">
        <v>101</v>
      </c>
      <c r="H14" s="89">
        <f>+G14*Y13</f>
        <v>10149.694895915161</v>
      </c>
      <c r="I14" s="88">
        <v>94</v>
      </c>
      <c r="J14" s="89">
        <f t="shared" si="8"/>
        <v>15581.362067007381</v>
      </c>
      <c r="K14" s="88">
        <v>0</v>
      </c>
      <c r="L14" s="90">
        <v>0</v>
      </c>
      <c r="M14" s="88">
        <v>0</v>
      </c>
      <c r="N14" s="87">
        <f t="shared" si="3"/>
        <v>0</v>
      </c>
      <c r="O14" s="91">
        <v>120</v>
      </c>
      <c r="P14" s="89">
        <f t="shared" si="1"/>
        <v>27594.59258064516</v>
      </c>
      <c r="Q14" s="93">
        <v>0</v>
      </c>
      <c r="R14" s="89">
        <f t="shared" si="4"/>
        <v>0</v>
      </c>
      <c r="S14" s="88">
        <f t="shared" si="5"/>
        <v>315</v>
      </c>
      <c r="T14" s="92">
        <f t="shared" si="5"/>
        <v>53325.649543567706</v>
      </c>
      <c r="U14" s="116"/>
      <c r="V14" s="289">
        <f t="shared" si="6"/>
        <v>790.42648703817099</v>
      </c>
      <c r="W14" s="291">
        <f t="shared" si="6"/>
        <v>0</v>
      </c>
      <c r="X14" s="290">
        <f t="shared" si="6"/>
        <v>1008.4971894322654</v>
      </c>
      <c r="Y14" s="283">
        <f t="shared" si="2"/>
        <v>100.49202867242734</v>
      </c>
      <c r="Z14" s="288">
        <f t="shared" si="2"/>
        <v>165.75917092561045</v>
      </c>
      <c r="AA14" s="286">
        <f t="shared" si="2"/>
        <v>229.954938172043</v>
      </c>
      <c r="AB14" s="281"/>
      <c r="AC14" s="281"/>
      <c r="AD14" s="276"/>
      <c r="AE14" s="276"/>
      <c r="AF14" s="276"/>
    </row>
    <row r="15" spans="1:32" x14ac:dyDescent="0.3">
      <c r="A15" s="86">
        <f t="shared" si="7"/>
        <v>11</v>
      </c>
      <c r="B15" s="358"/>
      <c r="C15" s="93" t="s">
        <v>436</v>
      </c>
      <c r="D15" s="357"/>
      <c r="E15" s="93">
        <v>0</v>
      </c>
      <c r="F15" s="87">
        <v>0</v>
      </c>
      <c r="G15" s="88">
        <v>125</v>
      </c>
      <c r="H15" s="89">
        <f>+G15*Y14</f>
        <v>12561.503584053416</v>
      </c>
      <c r="I15" s="88">
        <v>160</v>
      </c>
      <c r="J15" s="89">
        <f t="shared" si="8"/>
        <v>26521.467348097671</v>
      </c>
      <c r="K15" s="88">
        <v>21</v>
      </c>
      <c r="L15" s="90">
        <v>18053.558918083461</v>
      </c>
      <c r="M15" s="88">
        <v>0</v>
      </c>
      <c r="N15" s="87">
        <f t="shared" si="3"/>
        <v>0</v>
      </c>
      <c r="O15" s="91">
        <v>120</v>
      </c>
      <c r="P15" s="89">
        <f t="shared" si="1"/>
        <v>27594.59258064516</v>
      </c>
      <c r="Q15" s="93">
        <v>0</v>
      </c>
      <c r="R15" s="89">
        <f t="shared" si="4"/>
        <v>0</v>
      </c>
      <c r="S15" s="88">
        <f t="shared" si="5"/>
        <v>426</v>
      </c>
      <c r="T15" s="92">
        <f t="shared" si="5"/>
        <v>84731.12243087971</v>
      </c>
      <c r="U15" s="116"/>
      <c r="V15" s="289">
        <f t="shared" si="6"/>
        <v>790.42648703817099</v>
      </c>
      <c r="W15" s="291">
        <f t="shared" si="6"/>
        <v>0</v>
      </c>
      <c r="X15" s="290">
        <f t="shared" si="6"/>
        <v>1008.4971894322654</v>
      </c>
      <c r="Y15" s="283">
        <f t="shared" si="2"/>
        <v>100.49202867242734</v>
      </c>
      <c r="Z15" s="288">
        <f t="shared" si="2"/>
        <v>165.75917092561045</v>
      </c>
      <c r="AA15" s="286">
        <f t="shared" si="2"/>
        <v>229.954938172043</v>
      </c>
      <c r="AB15" s="281"/>
      <c r="AC15" s="281"/>
      <c r="AD15" s="276"/>
      <c r="AE15" s="276"/>
      <c r="AF15" s="276"/>
    </row>
    <row r="16" spans="1:32" x14ac:dyDescent="0.3">
      <c r="A16" s="86">
        <f t="shared" si="7"/>
        <v>12</v>
      </c>
      <c r="B16" s="353" t="s">
        <v>437</v>
      </c>
      <c r="C16" s="93" t="s">
        <v>438</v>
      </c>
      <c r="D16" s="357"/>
      <c r="E16" s="93">
        <v>0</v>
      </c>
      <c r="F16" s="87">
        <v>0</v>
      </c>
      <c r="G16" s="88">
        <v>10</v>
      </c>
      <c r="H16" s="89">
        <f>+G16*Y15</f>
        <v>1004.9202867242734</v>
      </c>
      <c r="I16" s="88">
        <v>150</v>
      </c>
      <c r="J16" s="89">
        <f t="shared" si="8"/>
        <v>24863.875638841568</v>
      </c>
      <c r="K16" s="88">
        <v>3</v>
      </c>
      <c r="L16" s="90">
        <v>2579.0798454404944</v>
      </c>
      <c r="M16" s="88">
        <v>7</v>
      </c>
      <c r="N16" s="87">
        <f t="shared" si="3"/>
        <v>7059.4803260258577</v>
      </c>
      <c r="O16" s="91">
        <v>6</v>
      </c>
      <c r="P16" s="89">
        <f t="shared" si="1"/>
        <v>1379.7296290322579</v>
      </c>
      <c r="Q16" s="93">
        <v>3</v>
      </c>
      <c r="R16" s="89">
        <f t="shared" si="4"/>
        <v>2371.2794611145127</v>
      </c>
      <c r="S16" s="88">
        <f t="shared" si="5"/>
        <v>179</v>
      </c>
      <c r="T16" s="92">
        <f t="shared" si="5"/>
        <v>39258.365187178963</v>
      </c>
      <c r="U16" s="116"/>
      <c r="V16" s="289">
        <f t="shared" si="6"/>
        <v>790.42648703817099</v>
      </c>
      <c r="W16" s="291">
        <f t="shared" si="6"/>
        <v>0</v>
      </c>
      <c r="X16" s="290">
        <f t="shared" si="6"/>
        <v>1008.4971894322654</v>
      </c>
      <c r="Y16" s="283">
        <f t="shared" si="2"/>
        <v>100.49202867242734</v>
      </c>
      <c r="Z16" s="288">
        <f t="shared" si="2"/>
        <v>165.75917092561045</v>
      </c>
      <c r="AA16" s="286">
        <f t="shared" si="2"/>
        <v>229.954938172043</v>
      </c>
      <c r="AB16" s="281"/>
      <c r="AC16" s="281"/>
      <c r="AD16" s="276"/>
      <c r="AE16" s="276"/>
      <c r="AF16" s="276"/>
    </row>
    <row r="17" spans="1:32" x14ac:dyDescent="0.3">
      <c r="A17" s="86">
        <f t="shared" si="7"/>
        <v>13</v>
      </c>
      <c r="B17" s="354"/>
      <c r="C17" s="93" t="s">
        <v>439</v>
      </c>
      <c r="D17" s="357"/>
      <c r="E17" s="93">
        <v>0</v>
      </c>
      <c r="F17" s="87">
        <v>0</v>
      </c>
      <c r="G17" s="88">
        <v>0</v>
      </c>
      <c r="H17" s="89">
        <v>0</v>
      </c>
      <c r="I17" s="88">
        <v>39</v>
      </c>
      <c r="J17" s="89">
        <f t="shared" si="8"/>
        <v>6464.6076660988074</v>
      </c>
      <c r="K17" s="88">
        <v>18</v>
      </c>
      <c r="L17" s="90">
        <v>15474.479072642967</v>
      </c>
      <c r="M17" s="88">
        <v>10</v>
      </c>
      <c r="N17" s="87">
        <f t="shared" si="3"/>
        <v>10084.971894322654</v>
      </c>
      <c r="O17" s="91">
        <v>3</v>
      </c>
      <c r="P17" s="89">
        <f t="shared" si="1"/>
        <v>689.86481451612894</v>
      </c>
      <c r="Q17" s="93">
        <v>5</v>
      </c>
      <c r="R17" s="89">
        <f t="shared" si="4"/>
        <v>3952.1324351908552</v>
      </c>
      <c r="S17" s="88">
        <f t="shared" si="5"/>
        <v>75</v>
      </c>
      <c r="T17" s="92">
        <f t="shared" si="5"/>
        <v>36666.055882771412</v>
      </c>
      <c r="U17" s="116"/>
      <c r="V17" s="289">
        <f t="shared" si="6"/>
        <v>790.42648703817099</v>
      </c>
      <c r="W17" s="291">
        <f t="shared" si="6"/>
        <v>0</v>
      </c>
      <c r="X17" s="290">
        <f t="shared" si="6"/>
        <v>1008.4971894322654</v>
      </c>
      <c r="Y17" s="283"/>
      <c r="Z17" s="288">
        <f t="shared" si="2"/>
        <v>165.75917092561045</v>
      </c>
      <c r="AA17" s="286">
        <f t="shared" si="2"/>
        <v>229.954938172043</v>
      </c>
      <c r="AB17" s="281"/>
      <c r="AC17" s="281"/>
      <c r="AD17" s="276"/>
      <c r="AE17" s="276"/>
      <c r="AF17" s="276"/>
    </row>
    <row r="18" spans="1:32" x14ac:dyDescent="0.3">
      <c r="A18" s="86">
        <f t="shared" si="7"/>
        <v>14</v>
      </c>
      <c r="B18" s="354"/>
      <c r="C18" s="93" t="s">
        <v>440</v>
      </c>
      <c r="D18" s="357"/>
      <c r="E18" s="93">
        <v>0</v>
      </c>
      <c r="F18" s="87">
        <v>0</v>
      </c>
      <c r="G18" s="88">
        <v>21</v>
      </c>
      <c r="H18" s="89">
        <f>+G18*Y16</f>
        <v>2110.3326021209741</v>
      </c>
      <c r="I18" s="88">
        <v>95</v>
      </c>
      <c r="J18" s="89">
        <f t="shared" si="8"/>
        <v>15747.121237932992</v>
      </c>
      <c r="K18" s="88">
        <v>0</v>
      </c>
      <c r="L18" s="90">
        <v>0</v>
      </c>
      <c r="M18" s="88">
        <v>13</v>
      </c>
      <c r="N18" s="87">
        <f t="shared" si="3"/>
        <v>13110.463462619449</v>
      </c>
      <c r="O18" s="91">
        <v>0</v>
      </c>
      <c r="P18" s="89">
        <f t="shared" si="1"/>
        <v>0</v>
      </c>
      <c r="Q18" s="93">
        <v>26</v>
      </c>
      <c r="R18" s="89">
        <f t="shared" si="4"/>
        <v>20551.088662992446</v>
      </c>
      <c r="S18" s="88">
        <f t="shared" si="5"/>
        <v>155</v>
      </c>
      <c r="T18" s="92">
        <f t="shared" si="5"/>
        <v>51519.005965665863</v>
      </c>
      <c r="U18" s="116"/>
      <c r="V18" s="289">
        <f t="shared" si="6"/>
        <v>790.42648703817099</v>
      </c>
      <c r="W18" s="291">
        <f t="shared" si="6"/>
        <v>0</v>
      </c>
      <c r="X18" s="290">
        <f t="shared" si="6"/>
        <v>1008.4971894322654</v>
      </c>
      <c r="Y18" s="283">
        <f>+Y16</f>
        <v>100.49202867242734</v>
      </c>
      <c r="Z18" s="288">
        <f t="shared" si="2"/>
        <v>165.75917092561045</v>
      </c>
      <c r="AA18" s="286">
        <f t="shared" si="2"/>
        <v>229.954938172043</v>
      </c>
      <c r="AB18" s="281"/>
      <c r="AC18" s="281"/>
      <c r="AD18" s="276"/>
      <c r="AE18" s="276"/>
      <c r="AF18" s="276"/>
    </row>
    <row r="19" spans="1:32" x14ac:dyDescent="0.3">
      <c r="A19" s="86">
        <f t="shared" si="7"/>
        <v>15</v>
      </c>
      <c r="B19" s="354"/>
      <c r="C19" s="93" t="s">
        <v>664</v>
      </c>
      <c r="D19" s="357"/>
      <c r="E19" s="93">
        <v>0</v>
      </c>
      <c r="F19" s="87">
        <v>0</v>
      </c>
      <c r="G19" s="93">
        <v>0</v>
      </c>
      <c r="H19" s="87">
        <v>0</v>
      </c>
      <c r="I19" s="93">
        <v>0</v>
      </c>
      <c r="J19" s="87">
        <v>0</v>
      </c>
      <c r="K19" s="93">
        <v>0</v>
      </c>
      <c r="L19" s="87">
        <v>0</v>
      </c>
      <c r="M19" s="93">
        <v>0</v>
      </c>
      <c r="N19" s="87">
        <v>0</v>
      </c>
      <c r="O19" s="93">
        <v>0</v>
      </c>
      <c r="P19" s="87">
        <v>0</v>
      </c>
      <c r="Q19" s="93">
        <v>1</v>
      </c>
      <c r="R19" s="89">
        <f t="shared" si="4"/>
        <v>790.42648703817099</v>
      </c>
      <c r="S19" s="88">
        <f t="shared" si="5"/>
        <v>1</v>
      </c>
      <c r="T19" s="92">
        <f t="shared" si="5"/>
        <v>790.42648703817099</v>
      </c>
      <c r="U19" s="116"/>
      <c r="V19" s="289">
        <f t="shared" si="6"/>
        <v>790.42648703817099</v>
      </c>
      <c r="W19" s="291"/>
      <c r="X19" s="290"/>
      <c r="Y19" s="283"/>
      <c r="Z19" s="288"/>
      <c r="AA19" s="286"/>
      <c r="AB19" s="281"/>
      <c r="AC19" s="281"/>
      <c r="AD19" s="276"/>
      <c r="AE19" s="276"/>
      <c r="AF19" s="276"/>
    </row>
    <row r="20" spans="1:32" x14ac:dyDescent="0.3">
      <c r="A20" s="86">
        <f t="shared" si="7"/>
        <v>16</v>
      </c>
      <c r="B20" s="354"/>
      <c r="C20" s="93" t="s">
        <v>665</v>
      </c>
      <c r="D20" s="357"/>
      <c r="E20" s="93">
        <v>0</v>
      </c>
      <c r="F20" s="87">
        <v>0</v>
      </c>
      <c r="G20" s="93">
        <v>0</v>
      </c>
      <c r="H20" s="87">
        <v>0</v>
      </c>
      <c r="I20" s="93">
        <v>0</v>
      </c>
      <c r="J20" s="87">
        <v>0</v>
      </c>
      <c r="K20" s="93">
        <v>0</v>
      </c>
      <c r="L20" s="87">
        <v>0</v>
      </c>
      <c r="M20" s="93">
        <v>0</v>
      </c>
      <c r="N20" s="87">
        <v>0</v>
      </c>
      <c r="O20" s="93">
        <v>0</v>
      </c>
      <c r="P20" s="87">
        <v>0</v>
      </c>
      <c r="Q20" s="93">
        <v>1</v>
      </c>
      <c r="R20" s="89">
        <f t="shared" si="4"/>
        <v>790.42648703817099</v>
      </c>
      <c r="S20" s="88">
        <f t="shared" si="5"/>
        <v>1</v>
      </c>
      <c r="T20" s="92">
        <f t="shared" si="5"/>
        <v>790.42648703817099</v>
      </c>
      <c r="U20" s="116"/>
      <c r="V20" s="289">
        <f t="shared" si="6"/>
        <v>790.42648703817099</v>
      </c>
      <c r="W20" s="291"/>
      <c r="X20" s="290"/>
      <c r="Y20" s="283"/>
      <c r="Z20" s="288"/>
      <c r="AA20" s="286"/>
      <c r="AB20" s="281"/>
      <c r="AC20" s="281"/>
      <c r="AD20" s="276"/>
      <c r="AE20" s="276"/>
      <c r="AF20" s="276"/>
    </row>
    <row r="21" spans="1:32" x14ac:dyDescent="0.3">
      <c r="A21" s="86">
        <f t="shared" si="7"/>
        <v>17</v>
      </c>
      <c r="B21" s="355"/>
      <c r="C21" s="93" t="s">
        <v>666</v>
      </c>
      <c r="D21" s="357"/>
      <c r="E21" s="93">
        <v>0</v>
      </c>
      <c r="F21" s="87">
        <v>0</v>
      </c>
      <c r="G21" s="93">
        <v>0</v>
      </c>
      <c r="H21" s="87">
        <v>0</v>
      </c>
      <c r="I21" s="93">
        <v>0</v>
      </c>
      <c r="J21" s="87">
        <v>0</v>
      </c>
      <c r="K21" s="93">
        <v>0</v>
      </c>
      <c r="L21" s="87">
        <v>0</v>
      </c>
      <c r="M21" s="93">
        <v>0</v>
      </c>
      <c r="N21" s="87">
        <v>0</v>
      </c>
      <c r="O21" s="93">
        <v>0</v>
      </c>
      <c r="P21" s="87">
        <v>0</v>
      </c>
      <c r="Q21" s="93">
        <v>1</v>
      </c>
      <c r="R21" s="89">
        <f t="shared" si="4"/>
        <v>790.42648703817099</v>
      </c>
      <c r="S21" s="88">
        <f t="shared" si="5"/>
        <v>1</v>
      </c>
      <c r="T21" s="92">
        <f t="shared" si="5"/>
        <v>790.42648703817099</v>
      </c>
      <c r="U21" s="116"/>
      <c r="V21" s="289">
        <f t="shared" si="6"/>
        <v>790.42648703817099</v>
      </c>
      <c r="W21" s="291"/>
      <c r="X21" s="290"/>
      <c r="Y21" s="283"/>
      <c r="Z21" s="288"/>
      <c r="AA21" s="286"/>
      <c r="AB21" s="281"/>
      <c r="AC21" s="281"/>
      <c r="AD21" s="276"/>
      <c r="AE21" s="276"/>
      <c r="AF21" s="276"/>
    </row>
    <row r="22" spans="1:32" x14ac:dyDescent="0.3">
      <c r="A22" s="86">
        <f t="shared" si="7"/>
        <v>18</v>
      </c>
      <c r="B22" s="353" t="s">
        <v>441</v>
      </c>
      <c r="C22" s="93" t="s">
        <v>442</v>
      </c>
      <c r="D22" s="357"/>
      <c r="E22" s="93">
        <v>0</v>
      </c>
      <c r="F22" s="87">
        <v>0</v>
      </c>
      <c r="G22" s="88">
        <v>4</v>
      </c>
      <c r="H22" s="89">
        <f>+G22*Y18</f>
        <v>401.96811468970935</v>
      </c>
      <c r="I22" s="88">
        <v>20</v>
      </c>
      <c r="J22" s="89">
        <f t="shared" si="8"/>
        <v>3315.1834185122088</v>
      </c>
      <c r="K22" s="88">
        <v>11</v>
      </c>
      <c r="L22" s="90">
        <v>9456.6260999484803</v>
      </c>
      <c r="M22" s="88">
        <v>60</v>
      </c>
      <c r="N22" s="87">
        <f t="shared" si="3"/>
        <v>60509.831365935919</v>
      </c>
      <c r="O22" s="91">
        <v>35</v>
      </c>
      <c r="P22" s="89">
        <f t="shared" si="1"/>
        <v>8048.4228360215047</v>
      </c>
      <c r="Q22" s="93">
        <v>25</v>
      </c>
      <c r="R22" s="89">
        <f t="shared" si="4"/>
        <v>19760.662175954276</v>
      </c>
      <c r="S22" s="88">
        <f t="shared" si="5"/>
        <v>155</v>
      </c>
      <c r="T22" s="92">
        <f t="shared" si="5"/>
        <v>101492.69401106209</v>
      </c>
      <c r="U22" s="116"/>
      <c r="V22" s="289">
        <f t="shared" ref="V22:Z37" si="9">+V21</f>
        <v>790.42648703817099</v>
      </c>
      <c r="W22" s="291">
        <f>+W18</f>
        <v>0</v>
      </c>
      <c r="X22" s="290">
        <f>+X18</f>
        <v>1008.4971894322654</v>
      </c>
      <c r="Y22" s="283">
        <f>+Y18</f>
        <v>100.49202867242734</v>
      </c>
      <c r="Z22" s="288">
        <f>+Z18</f>
        <v>165.75917092561045</v>
      </c>
      <c r="AA22" s="286">
        <f>+AA18</f>
        <v>229.954938172043</v>
      </c>
      <c r="AB22" s="281"/>
      <c r="AC22" s="281"/>
      <c r="AD22" s="276"/>
      <c r="AE22" s="276"/>
      <c r="AF22" s="276"/>
    </row>
    <row r="23" spans="1:32" x14ac:dyDescent="0.3">
      <c r="A23" s="86">
        <f t="shared" si="7"/>
        <v>19</v>
      </c>
      <c r="B23" s="354"/>
      <c r="C23" s="93" t="s">
        <v>443</v>
      </c>
      <c r="D23" s="357"/>
      <c r="E23" s="93">
        <v>0</v>
      </c>
      <c r="F23" s="87">
        <v>0</v>
      </c>
      <c r="G23" s="88">
        <v>0</v>
      </c>
      <c r="H23" s="89">
        <v>0</v>
      </c>
      <c r="I23" s="88">
        <v>36</v>
      </c>
      <c r="J23" s="89">
        <f t="shared" si="8"/>
        <v>5967.3301533219765</v>
      </c>
      <c r="K23" s="88">
        <v>18</v>
      </c>
      <c r="L23" s="90">
        <v>15474.479072642967</v>
      </c>
      <c r="M23" s="88">
        <v>9</v>
      </c>
      <c r="N23" s="87">
        <f t="shared" si="3"/>
        <v>9076.4747048903882</v>
      </c>
      <c r="O23" s="91">
        <v>134</v>
      </c>
      <c r="P23" s="89">
        <f t="shared" si="1"/>
        <v>30813.961715053763</v>
      </c>
      <c r="Q23" s="93">
        <v>14</v>
      </c>
      <c r="R23" s="89">
        <f t="shared" si="4"/>
        <v>11065.970818534393</v>
      </c>
      <c r="S23" s="88">
        <f t="shared" si="5"/>
        <v>211</v>
      </c>
      <c r="T23" s="92">
        <f t="shared" si="5"/>
        <v>72398.216464443482</v>
      </c>
      <c r="U23" s="116"/>
      <c r="V23" s="289">
        <f t="shared" si="9"/>
        <v>790.42648703817099</v>
      </c>
      <c r="W23" s="291">
        <f t="shared" si="9"/>
        <v>0</v>
      </c>
      <c r="X23" s="290">
        <f t="shared" si="9"/>
        <v>1008.4971894322654</v>
      </c>
      <c r="Y23" s="283"/>
      <c r="Z23" s="288">
        <f t="shared" ref="Z23:AA38" si="10">+Z22</f>
        <v>165.75917092561045</v>
      </c>
      <c r="AA23" s="286">
        <f t="shared" si="10"/>
        <v>229.954938172043</v>
      </c>
      <c r="AB23" s="281"/>
      <c r="AC23" s="281"/>
      <c r="AD23" s="276"/>
      <c r="AE23" s="276"/>
      <c r="AF23" s="276"/>
    </row>
    <row r="24" spans="1:32" x14ac:dyDescent="0.3">
      <c r="A24" s="86">
        <f t="shared" si="7"/>
        <v>20</v>
      </c>
      <c r="B24" s="354"/>
      <c r="C24" s="93" t="s">
        <v>444</v>
      </c>
      <c r="D24" s="357"/>
      <c r="E24" s="93">
        <v>0</v>
      </c>
      <c r="F24" s="87">
        <v>0</v>
      </c>
      <c r="G24" s="88">
        <v>8</v>
      </c>
      <c r="H24" s="89">
        <f>+G24*Y22</f>
        <v>803.93622937941871</v>
      </c>
      <c r="I24" s="88">
        <v>38</v>
      </c>
      <c r="J24" s="89">
        <f t="shared" si="8"/>
        <v>6298.8484951731971</v>
      </c>
      <c r="K24" s="88">
        <v>8</v>
      </c>
      <c r="L24" s="90">
        <v>6877.5462545079854</v>
      </c>
      <c r="M24" s="88">
        <v>0</v>
      </c>
      <c r="N24" s="87">
        <f t="shared" si="3"/>
        <v>0</v>
      </c>
      <c r="O24" s="91">
        <v>22</v>
      </c>
      <c r="P24" s="89">
        <f t="shared" si="1"/>
        <v>5059.0086397849464</v>
      </c>
      <c r="Q24" s="93">
        <v>16</v>
      </c>
      <c r="R24" s="89">
        <f t="shared" si="4"/>
        <v>12646.823792610736</v>
      </c>
      <c r="S24" s="88">
        <f t="shared" si="5"/>
        <v>92</v>
      </c>
      <c r="T24" s="92">
        <f t="shared" si="5"/>
        <v>31686.16341145628</v>
      </c>
      <c r="U24" s="116"/>
      <c r="V24" s="289">
        <f t="shared" si="9"/>
        <v>790.42648703817099</v>
      </c>
      <c r="W24" s="291">
        <f t="shared" si="9"/>
        <v>0</v>
      </c>
      <c r="X24" s="290">
        <f t="shared" si="9"/>
        <v>1008.4971894322654</v>
      </c>
      <c r="Y24" s="283">
        <f>+Y22</f>
        <v>100.49202867242734</v>
      </c>
      <c r="Z24" s="288">
        <f t="shared" si="10"/>
        <v>165.75917092561045</v>
      </c>
      <c r="AA24" s="286">
        <f t="shared" si="10"/>
        <v>229.954938172043</v>
      </c>
      <c r="AB24" s="281"/>
      <c r="AC24" s="281"/>
      <c r="AD24" s="276"/>
      <c r="AE24" s="276"/>
      <c r="AF24" s="276"/>
    </row>
    <row r="25" spans="1:32" x14ac:dyDescent="0.3">
      <c r="A25" s="86">
        <f t="shared" si="7"/>
        <v>21</v>
      </c>
      <c r="B25" s="354"/>
      <c r="C25" s="93" t="s">
        <v>667</v>
      </c>
      <c r="D25" s="357"/>
      <c r="E25" s="93">
        <v>0</v>
      </c>
      <c r="F25" s="87">
        <v>0</v>
      </c>
      <c r="G25" s="93">
        <v>0</v>
      </c>
      <c r="H25" s="87">
        <v>0</v>
      </c>
      <c r="I25" s="93">
        <v>0</v>
      </c>
      <c r="J25" s="87">
        <v>0</v>
      </c>
      <c r="K25" s="93">
        <v>0</v>
      </c>
      <c r="L25" s="87">
        <v>0</v>
      </c>
      <c r="M25" s="93">
        <v>0</v>
      </c>
      <c r="N25" s="87">
        <v>0</v>
      </c>
      <c r="O25" s="93">
        <v>0</v>
      </c>
      <c r="P25" s="87">
        <v>0</v>
      </c>
      <c r="Q25" s="93">
        <v>1</v>
      </c>
      <c r="R25" s="89">
        <f t="shared" si="4"/>
        <v>790.42648703817099</v>
      </c>
      <c r="S25" s="88">
        <f t="shared" si="5"/>
        <v>1</v>
      </c>
      <c r="T25" s="92">
        <f t="shared" si="5"/>
        <v>790.42648703817099</v>
      </c>
      <c r="U25" s="116"/>
      <c r="V25" s="289">
        <f t="shared" si="9"/>
        <v>790.42648703817099</v>
      </c>
      <c r="W25" s="291"/>
      <c r="X25" s="290"/>
      <c r="Y25" s="283"/>
      <c r="Z25" s="288"/>
      <c r="AA25" s="286"/>
      <c r="AB25" s="281"/>
      <c r="AC25" s="281"/>
      <c r="AD25" s="276"/>
      <c r="AE25" s="276"/>
      <c r="AF25" s="276"/>
    </row>
    <row r="26" spans="1:32" x14ac:dyDescent="0.3">
      <c r="A26" s="86">
        <f t="shared" si="7"/>
        <v>22</v>
      </c>
      <c r="B26" s="355"/>
      <c r="C26" s="93" t="s">
        <v>668</v>
      </c>
      <c r="D26" s="357"/>
      <c r="E26" s="93">
        <v>0</v>
      </c>
      <c r="F26" s="87">
        <v>0</v>
      </c>
      <c r="G26" s="93">
        <v>0</v>
      </c>
      <c r="H26" s="87">
        <v>0</v>
      </c>
      <c r="I26" s="93">
        <v>0</v>
      </c>
      <c r="J26" s="87">
        <v>0</v>
      </c>
      <c r="K26" s="93">
        <v>0</v>
      </c>
      <c r="L26" s="87">
        <v>0</v>
      </c>
      <c r="M26" s="93">
        <v>0</v>
      </c>
      <c r="N26" s="87">
        <v>0</v>
      </c>
      <c r="O26" s="93">
        <v>0</v>
      </c>
      <c r="P26" s="87">
        <v>0</v>
      </c>
      <c r="Q26" s="93">
        <v>4</v>
      </c>
      <c r="R26" s="89">
        <f t="shared" si="4"/>
        <v>3161.705948152684</v>
      </c>
      <c r="S26" s="88">
        <f t="shared" si="5"/>
        <v>4</v>
      </c>
      <c r="T26" s="92">
        <f t="shared" si="5"/>
        <v>3161.705948152684</v>
      </c>
      <c r="U26" s="116"/>
      <c r="V26" s="289">
        <f t="shared" si="9"/>
        <v>790.42648703817099</v>
      </c>
      <c r="W26" s="291"/>
      <c r="X26" s="290"/>
      <c r="Y26" s="283"/>
      <c r="Z26" s="288"/>
      <c r="AA26" s="286"/>
      <c r="AB26" s="281"/>
      <c r="AC26" s="281"/>
      <c r="AD26" s="276"/>
      <c r="AE26" s="276"/>
      <c r="AF26" s="276"/>
    </row>
    <row r="27" spans="1:32" x14ac:dyDescent="0.3">
      <c r="A27" s="86">
        <f t="shared" si="7"/>
        <v>23</v>
      </c>
      <c r="B27" s="358" t="s">
        <v>445</v>
      </c>
      <c r="C27" s="93" t="s">
        <v>446</v>
      </c>
      <c r="D27" s="357"/>
      <c r="E27" s="93">
        <v>0</v>
      </c>
      <c r="F27" s="87">
        <v>0</v>
      </c>
      <c r="G27" s="88">
        <v>52</v>
      </c>
      <c r="H27" s="89">
        <f>+G27*Y24</f>
        <v>5225.5854909662212</v>
      </c>
      <c r="I27" s="88">
        <v>243</v>
      </c>
      <c r="J27" s="89">
        <f t="shared" si="8"/>
        <v>40279.478534923335</v>
      </c>
      <c r="K27" s="88">
        <v>25</v>
      </c>
      <c r="L27" s="90">
        <v>21492.332045337454</v>
      </c>
      <c r="M27" s="88">
        <v>12</v>
      </c>
      <c r="N27" s="87">
        <f t="shared" si="3"/>
        <v>12101.966273187185</v>
      </c>
      <c r="O27" s="91">
        <v>8</v>
      </c>
      <c r="P27" s="89">
        <f t="shared" si="1"/>
        <v>1839.639505376344</v>
      </c>
      <c r="Q27" s="93">
        <v>36</v>
      </c>
      <c r="R27" s="89">
        <f t="shared" si="4"/>
        <v>28455.353533374157</v>
      </c>
      <c r="S27" s="88">
        <f t="shared" si="5"/>
        <v>376</v>
      </c>
      <c r="T27" s="92">
        <f t="shared" si="5"/>
        <v>109394.35538316469</v>
      </c>
      <c r="U27" s="116"/>
      <c r="V27" s="289">
        <f t="shared" si="9"/>
        <v>790.42648703817099</v>
      </c>
      <c r="W27" s="291">
        <f>+W24</f>
        <v>0</v>
      </c>
      <c r="X27" s="290">
        <f>+X24</f>
        <v>1008.4971894322654</v>
      </c>
      <c r="Y27" s="283">
        <f>+Y24</f>
        <v>100.49202867242734</v>
      </c>
      <c r="Z27" s="288">
        <f>+Z24</f>
        <v>165.75917092561045</v>
      </c>
      <c r="AA27" s="286">
        <f>+AA24</f>
        <v>229.954938172043</v>
      </c>
      <c r="AB27" s="281"/>
      <c r="AC27" s="281"/>
      <c r="AD27" s="276"/>
      <c r="AE27" s="276"/>
      <c r="AF27" s="276"/>
    </row>
    <row r="28" spans="1:32" x14ac:dyDescent="0.3">
      <c r="A28" s="86">
        <f t="shared" si="7"/>
        <v>24</v>
      </c>
      <c r="B28" s="358"/>
      <c r="C28" s="93" t="s">
        <v>447</v>
      </c>
      <c r="D28" s="357"/>
      <c r="E28" s="93">
        <v>0</v>
      </c>
      <c r="F28" s="87">
        <v>0</v>
      </c>
      <c r="G28" s="88">
        <v>30</v>
      </c>
      <c r="H28" s="89">
        <f t="shared" ref="H28:H35" si="11">+G28*Y27</f>
        <v>3014.7608601728202</v>
      </c>
      <c r="I28" s="88">
        <v>32</v>
      </c>
      <c r="J28" s="89">
        <f t="shared" si="8"/>
        <v>5304.2934696195343</v>
      </c>
      <c r="K28" s="88">
        <v>4</v>
      </c>
      <c r="L28" s="90">
        <v>3438.7731272539927</v>
      </c>
      <c r="M28" s="88">
        <v>9</v>
      </c>
      <c r="N28" s="87">
        <f t="shared" si="3"/>
        <v>9076.4747048903882</v>
      </c>
      <c r="O28" s="91">
        <v>6</v>
      </c>
      <c r="P28" s="89">
        <f t="shared" si="1"/>
        <v>1379.7296290322579</v>
      </c>
      <c r="Q28" s="93">
        <v>86</v>
      </c>
      <c r="R28" s="89">
        <f t="shared" si="4"/>
        <v>67976.677885282712</v>
      </c>
      <c r="S28" s="88">
        <f t="shared" si="5"/>
        <v>167</v>
      </c>
      <c r="T28" s="92">
        <f t="shared" si="5"/>
        <v>90190.709676251703</v>
      </c>
      <c r="U28" s="116"/>
      <c r="V28" s="289">
        <f t="shared" si="9"/>
        <v>790.42648703817099</v>
      </c>
      <c r="W28" s="291">
        <f t="shared" si="9"/>
        <v>0</v>
      </c>
      <c r="X28" s="290">
        <f t="shared" si="9"/>
        <v>1008.4971894322654</v>
      </c>
      <c r="Y28" s="283">
        <f t="shared" si="9"/>
        <v>100.49202867242734</v>
      </c>
      <c r="Z28" s="288">
        <f t="shared" si="9"/>
        <v>165.75917092561045</v>
      </c>
      <c r="AA28" s="286">
        <f t="shared" si="10"/>
        <v>229.954938172043</v>
      </c>
      <c r="AB28" s="281"/>
      <c r="AC28" s="281"/>
      <c r="AD28" s="276"/>
      <c r="AE28" s="276"/>
      <c r="AF28" s="276"/>
    </row>
    <row r="29" spans="1:32" x14ac:dyDescent="0.3">
      <c r="A29" s="86">
        <f t="shared" si="7"/>
        <v>25</v>
      </c>
      <c r="B29" s="358"/>
      <c r="C29" s="93" t="s">
        <v>448</v>
      </c>
      <c r="D29" s="357"/>
      <c r="E29" s="93">
        <v>0</v>
      </c>
      <c r="F29" s="87">
        <v>0</v>
      </c>
      <c r="G29" s="88">
        <v>23</v>
      </c>
      <c r="H29" s="89">
        <f t="shared" si="11"/>
        <v>2311.3166594658287</v>
      </c>
      <c r="I29" s="88">
        <v>64</v>
      </c>
      <c r="J29" s="89">
        <f t="shared" si="8"/>
        <v>10608.586939239069</v>
      </c>
      <c r="K29" s="88">
        <v>33</v>
      </c>
      <c r="L29" s="90">
        <v>28369.878299845441</v>
      </c>
      <c r="M29" s="88">
        <v>0</v>
      </c>
      <c r="N29" s="87">
        <f t="shared" si="3"/>
        <v>0</v>
      </c>
      <c r="O29" s="91">
        <v>125</v>
      </c>
      <c r="P29" s="89">
        <f t="shared" si="1"/>
        <v>28744.367271505376</v>
      </c>
      <c r="Q29" s="93">
        <v>7</v>
      </c>
      <c r="R29" s="89">
        <f t="shared" si="4"/>
        <v>5532.9854092671967</v>
      </c>
      <c r="S29" s="88">
        <f t="shared" si="5"/>
        <v>252</v>
      </c>
      <c r="T29" s="92">
        <f t="shared" si="5"/>
        <v>75567.134579322927</v>
      </c>
      <c r="U29" s="116"/>
      <c r="V29" s="289">
        <f t="shared" si="9"/>
        <v>790.42648703817099</v>
      </c>
      <c r="W29" s="291">
        <f t="shared" si="9"/>
        <v>0</v>
      </c>
      <c r="X29" s="290">
        <f t="shared" si="9"/>
        <v>1008.4971894322654</v>
      </c>
      <c r="Y29" s="283">
        <f t="shared" si="9"/>
        <v>100.49202867242734</v>
      </c>
      <c r="Z29" s="288">
        <f t="shared" si="9"/>
        <v>165.75917092561045</v>
      </c>
      <c r="AA29" s="286">
        <f t="shared" si="10"/>
        <v>229.954938172043</v>
      </c>
      <c r="AB29" s="281"/>
      <c r="AC29" s="281"/>
      <c r="AD29" s="276"/>
      <c r="AE29" s="276"/>
      <c r="AF29" s="276"/>
    </row>
    <row r="30" spans="1:32" x14ac:dyDescent="0.3">
      <c r="A30" s="86">
        <f t="shared" si="7"/>
        <v>26</v>
      </c>
      <c r="B30" s="358"/>
      <c r="C30" s="93" t="s">
        <v>449</v>
      </c>
      <c r="D30" s="357"/>
      <c r="E30" s="93">
        <v>0</v>
      </c>
      <c r="F30" s="87">
        <v>0</v>
      </c>
      <c r="G30" s="88">
        <v>39</v>
      </c>
      <c r="H30" s="89">
        <f t="shared" si="11"/>
        <v>3919.1891182246663</v>
      </c>
      <c r="I30" s="88">
        <v>39</v>
      </c>
      <c r="J30" s="89">
        <f t="shared" si="8"/>
        <v>6464.6076660988074</v>
      </c>
      <c r="K30" s="88">
        <v>6</v>
      </c>
      <c r="L30" s="90">
        <v>5158.1596908809888</v>
      </c>
      <c r="M30" s="88">
        <v>4</v>
      </c>
      <c r="N30" s="87">
        <f t="shared" si="3"/>
        <v>4033.9887577290615</v>
      </c>
      <c r="O30" s="91">
        <v>23</v>
      </c>
      <c r="P30" s="89">
        <f t="shared" si="1"/>
        <v>5288.963577956989</v>
      </c>
      <c r="Q30" s="93">
        <v>51</v>
      </c>
      <c r="R30" s="89">
        <f t="shared" si="4"/>
        <v>40311.750838946718</v>
      </c>
      <c r="S30" s="88">
        <f t="shared" si="5"/>
        <v>162</v>
      </c>
      <c r="T30" s="92">
        <f t="shared" si="5"/>
        <v>65176.659649837231</v>
      </c>
      <c r="U30" s="116"/>
      <c r="V30" s="289">
        <f t="shared" si="9"/>
        <v>790.42648703817099</v>
      </c>
      <c r="W30" s="291">
        <f t="shared" si="9"/>
        <v>0</v>
      </c>
      <c r="X30" s="290">
        <f t="shared" si="9"/>
        <v>1008.4971894322654</v>
      </c>
      <c r="Y30" s="283">
        <f t="shared" si="9"/>
        <v>100.49202867242734</v>
      </c>
      <c r="Z30" s="288">
        <f t="shared" si="9"/>
        <v>165.75917092561045</v>
      </c>
      <c r="AA30" s="286">
        <f t="shared" si="10"/>
        <v>229.954938172043</v>
      </c>
      <c r="AB30" s="281"/>
      <c r="AC30" s="281"/>
      <c r="AD30" s="276"/>
      <c r="AE30" s="276"/>
      <c r="AF30" s="276"/>
    </row>
    <row r="31" spans="1:32" x14ac:dyDescent="0.3">
      <c r="A31" s="86">
        <f t="shared" si="7"/>
        <v>27</v>
      </c>
      <c r="B31" s="358"/>
      <c r="C31" s="93" t="s">
        <v>450</v>
      </c>
      <c r="D31" s="357"/>
      <c r="E31" s="93">
        <v>0</v>
      </c>
      <c r="F31" s="87">
        <v>0</v>
      </c>
      <c r="G31" s="88">
        <v>31</v>
      </c>
      <c r="H31" s="89">
        <f t="shared" si="11"/>
        <v>3115.2528888452475</v>
      </c>
      <c r="I31" s="88">
        <v>45</v>
      </c>
      <c r="J31" s="89">
        <f t="shared" si="8"/>
        <v>7459.1626916524701</v>
      </c>
      <c r="K31" s="88">
        <v>1</v>
      </c>
      <c r="L31" s="90">
        <v>859.69328181349817</v>
      </c>
      <c r="M31" s="88">
        <v>3</v>
      </c>
      <c r="N31" s="87">
        <f t="shared" si="3"/>
        <v>3025.4915682967962</v>
      </c>
      <c r="O31" s="91">
        <v>27</v>
      </c>
      <c r="P31" s="89">
        <f t="shared" si="1"/>
        <v>6208.7833306451612</v>
      </c>
      <c r="Q31" s="93">
        <v>15</v>
      </c>
      <c r="R31" s="89">
        <f t="shared" si="4"/>
        <v>11856.397305572566</v>
      </c>
      <c r="S31" s="88">
        <f t="shared" si="5"/>
        <v>122</v>
      </c>
      <c r="T31" s="92">
        <f t="shared" si="5"/>
        <v>32524.781066825737</v>
      </c>
      <c r="U31" s="116"/>
      <c r="V31" s="289">
        <f t="shared" si="9"/>
        <v>790.42648703817099</v>
      </c>
      <c r="W31" s="291">
        <f t="shared" si="9"/>
        <v>0</v>
      </c>
      <c r="X31" s="290">
        <f t="shared" si="9"/>
        <v>1008.4971894322654</v>
      </c>
      <c r="Y31" s="283">
        <f t="shared" si="9"/>
        <v>100.49202867242734</v>
      </c>
      <c r="Z31" s="288">
        <f t="shared" si="9"/>
        <v>165.75917092561045</v>
      </c>
      <c r="AA31" s="286">
        <f t="shared" si="10"/>
        <v>229.954938172043</v>
      </c>
      <c r="AB31" s="281"/>
      <c r="AC31" s="281"/>
      <c r="AD31" s="276"/>
      <c r="AE31" s="276"/>
      <c r="AF31" s="276"/>
    </row>
    <row r="32" spans="1:32" x14ac:dyDescent="0.3">
      <c r="A32" s="86">
        <f t="shared" si="7"/>
        <v>28</v>
      </c>
      <c r="B32" s="353" t="s">
        <v>451</v>
      </c>
      <c r="C32" s="93" t="s">
        <v>451</v>
      </c>
      <c r="D32" s="357"/>
      <c r="E32" s="93">
        <v>0</v>
      </c>
      <c r="F32" s="87">
        <v>0</v>
      </c>
      <c r="G32" s="88">
        <v>43</v>
      </c>
      <c r="H32" s="89">
        <f t="shared" si="11"/>
        <v>4321.1572329143755</v>
      </c>
      <c r="I32" s="88">
        <v>160</v>
      </c>
      <c r="J32" s="89">
        <f t="shared" si="8"/>
        <v>26521.467348097671</v>
      </c>
      <c r="K32" s="88">
        <v>43</v>
      </c>
      <c r="L32" s="90">
        <v>36966.811117980418</v>
      </c>
      <c r="M32" s="88">
        <v>13</v>
      </c>
      <c r="N32" s="87">
        <f t="shared" si="3"/>
        <v>13110.463462619449</v>
      </c>
      <c r="O32" s="91">
        <v>346</v>
      </c>
      <c r="P32" s="89">
        <f t="shared" si="1"/>
        <v>79564.408607526871</v>
      </c>
      <c r="Q32" s="93">
        <v>30</v>
      </c>
      <c r="R32" s="89">
        <f t="shared" si="4"/>
        <v>23712.794611145131</v>
      </c>
      <c r="S32" s="88">
        <f t="shared" si="5"/>
        <v>635</v>
      </c>
      <c r="T32" s="92">
        <f t="shared" si="5"/>
        <v>184197.1023802839</v>
      </c>
      <c r="U32" s="116"/>
      <c r="V32" s="289">
        <f t="shared" si="9"/>
        <v>790.42648703817099</v>
      </c>
      <c r="W32" s="291">
        <f t="shared" si="9"/>
        <v>0</v>
      </c>
      <c r="X32" s="290">
        <f t="shared" si="9"/>
        <v>1008.4971894322654</v>
      </c>
      <c r="Y32" s="283">
        <f t="shared" si="9"/>
        <v>100.49202867242734</v>
      </c>
      <c r="Z32" s="288">
        <f t="shared" si="9"/>
        <v>165.75917092561045</v>
      </c>
      <c r="AA32" s="286">
        <f t="shared" si="10"/>
        <v>229.954938172043</v>
      </c>
      <c r="AB32" s="281"/>
      <c r="AC32" s="281"/>
      <c r="AD32" s="276"/>
      <c r="AE32" s="276"/>
      <c r="AF32" s="276"/>
    </row>
    <row r="33" spans="1:32" x14ac:dyDescent="0.3">
      <c r="A33" s="86">
        <f t="shared" si="7"/>
        <v>29</v>
      </c>
      <c r="B33" s="354"/>
      <c r="C33" s="93" t="s">
        <v>452</v>
      </c>
      <c r="D33" s="357"/>
      <c r="E33" s="93">
        <v>0</v>
      </c>
      <c r="F33" s="87">
        <v>0</v>
      </c>
      <c r="G33" s="88">
        <v>43</v>
      </c>
      <c r="H33" s="89">
        <f t="shared" si="11"/>
        <v>4321.1572329143755</v>
      </c>
      <c r="I33" s="88">
        <v>168</v>
      </c>
      <c r="J33" s="89">
        <f t="shared" si="8"/>
        <v>27847.540715502557</v>
      </c>
      <c r="K33" s="88">
        <v>21</v>
      </c>
      <c r="L33" s="90">
        <v>18053.558918083461</v>
      </c>
      <c r="M33" s="88">
        <v>10</v>
      </c>
      <c r="N33" s="87">
        <f t="shared" si="3"/>
        <v>10084.971894322654</v>
      </c>
      <c r="O33" s="91">
        <v>302</v>
      </c>
      <c r="P33" s="89">
        <f t="shared" si="1"/>
        <v>69446.391327956982</v>
      </c>
      <c r="Q33" s="93">
        <v>41</v>
      </c>
      <c r="R33" s="89">
        <f t="shared" si="4"/>
        <v>32407.485968565012</v>
      </c>
      <c r="S33" s="88">
        <f t="shared" si="5"/>
        <v>585</v>
      </c>
      <c r="T33" s="92">
        <f t="shared" si="5"/>
        <v>162161.10605734505</v>
      </c>
      <c r="U33" s="116"/>
      <c r="V33" s="289">
        <f t="shared" si="9"/>
        <v>790.42648703817099</v>
      </c>
      <c r="W33" s="291">
        <f t="shared" si="9"/>
        <v>0</v>
      </c>
      <c r="X33" s="290">
        <f t="shared" si="9"/>
        <v>1008.4971894322654</v>
      </c>
      <c r="Y33" s="283">
        <f t="shared" si="9"/>
        <v>100.49202867242734</v>
      </c>
      <c r="Z33" s="288">
        <f t="shared" si="9"/>
        <v>165.75917092561045</v>
      </c>
      <c r="AA33" s="286">
        <f t="shared" si="10"/>
        <v>229.954938172043</v>
      </c>
      <c r="AB33" s="281"/>
      <c r="AC33" s="281"/>
      <c r="AD33" s="276"/>
      <c r="AE33" s="276"/>
      <c r="AF33" s="276"/>
    </row>
    <row r="34" spans="1:32" x14ac:dyDescent="0.3">
      <c r="A34" s="86">
        <f t="shared" si="7"/>
        <v>30</v>
      </c>
      <c r="B34" s="354"/>
      <c r="C34" s="93" t="s">
        <v>453</v>
      </c>
      <c r="D34" s="357"/>
      <c r="E34" s="93">
        <v>0</v>
      </c>
      <c r="F34" s="87">
        <v>0</v>
      </c>
      <c r="G34" s="88">
        <v>0</v>
      </c>
      <c r="H34" s="89">
        <f t="shared" si="11"/>
        <v>0</v>
      </c>
      <c r="I34" s="88">
        <v>43</v>
      </c>
      <c r="J34" s="89">
        <f t="shared" si="8"/>
        <v>7127.6443498012495</v>
      </c>
      <c r="K34" s="88">
        <v>7</v>
      </c>
      <c r="L34" s="90">
        <v>6017.8529726944871</v>
      </c>
      <c r="M34" s="88">
        <v>2</v>
      </c>
      <c r="N34" s="87">
        <f t="shared" si="3"/>
        <v>2016.9943788645307</v>
      </c>
      <c r="O34" s="91">
        <v>177</v>
      </c>
      <c r="P34" s="89">
        <f t="shared" si="1"/>
        <v>40702.024056451613</v>
      </c>
      <c r="Q34" s="93">
        <v>21</v>
      </c>
      <c r="R34" s="89">
        <f t="shared" si="4"/>
        <v>16598.956227801591</v>
      </c>
      <c r="S34" s="88">
        <f t="shared" si="5"/>
        <v>250</v>
      </c>
      <c r="T34" s="92">
        <f t="shared" si="5"/>
        <v>72463.471985613476</v>
      </c>
      <c r="U34" s="116"/>
      <c r="V34" s="289">
        <f t="shared" si="9"/>
        <v>790.42648703817099</v>
      </c>
      <c r="W34" s="291">
        <f t="shared" si="9"/>
        <v>0</v>
      </c>
      <c r="X34" s="290">
        <f t="shared" si="9"/>
        <v>1008.4971894322654</v>
      </c>
      <c r="Y34" s="283">
        <f t="shared" si="9"/>
        <v>100.49202867242734</v>
      </c>
      <c r="Z34" s="288">
        <f t="shared" si="9"/>
        <v>165.75917092561045</v>
      </c>
      <c r="AA34" s="286">
        <f t="shared" si="10"/>
        <v>229.954938172043</v>
      </c>
      <c r="AB34" s="281"/>
      <c r="AC34" s="281"/>
      <c r="AD34" s="276"/>
      <c r="AE34" s="276"/>
      <c r="AF34" s="276"/>
    </row>
    <row r="35" spans="1:32" x14ac:dyDescent="0.3">
      <c r="A35" s="86">
        <f t="shared" si="7"/>
        <v>31</v>
      </c>
      <c r="B35" s="354"/>
      <c r="C35" s="93" t="s">
        <v>454</v>
      </c>
      <c r="D35" s="357"/>
      <c r="E35" s="93">
        <v>0</v>
      </c>
      <c r="F35" s="87">
        <v>0</v>
      </c>
      <c r="G35" s="88">
        <v>71</v>
      </c>
      <c r="H35" s="89">
        <f t="shared" si="11"/>
        <v>7134.9340357423407</v>
      </c>
      <c r="I35" s="88">
        <v>146</v>
      </c>
      <c r="J35" s="89">
        <f t="shared" si="8"/>
        <v>24200.838955139126</v>
      </c>
      <c r="K35" s="88">
        <v>27</v>
      </c>
      <c r="L35" s="90">
        <v>23211.718608964449</v>
      </c>
      <c r="M35" s="88">
        <v>43</v>
      </c>
      <c r="N35" s="87">
        <f t="shared" si="3"/>
        <v>43365.379145587409</v>
      </c>
      <c r="O35" s="91">
        <v>379</v>
      </c>
      <c r="P35" s="89">
        <f t="shared" si="1"/>
        <v>87152.921567204292</v>
      </c>
      <c r="Q35" s="93">
        <v>41</v>
      </c>
      <c r="R35" s="89">
        <f t="shared" si="4"/>
        <v>32407.485968565012</v>
      </c>
      <c r="S35" s="88">
        <f t="shared" si="5"/>
        <v>707</v>
      </c>
      <c r="T35" s="92">
        <f t="shared" si="5"/>
        <v>217473.27828120263</v>
      </c>
      <c r="U35" s="116"/>
      <c r="V35" s="289">
        <f t="shared" si="9"/>
        <v>790.42648703817099</v>
      </c>
      <c r="W35" s="291">
        <f t="shared" si="9"/>
        <v>0</v>
      </c>
      <c r="X35" s="290">
        <f t="shared" si="9"/>
        <v>1008.4971894322654</v>
      </c>
      <c r="Y35" s="283">
        <f t="shared" si="9"/>
        <v>100.49202867242734</v>
      </c>
      <c r="Z35" s="288">
        <f t="shared" si="9"/>
        <v>165.75917092561045</v>
      </c>
      <c r="AA35" s="286">
        <f t="shared" si="10"/>
        <v>229.954938172043</v>
      </c>
      <c r="AB35" s="281"/>
      <c r="AC35" s="281"/>
      <c r="AD35" s="276"/>
      <c r="AE35" s="276"/>
      <c r="AF35" s="276"/>
    </row>
    <row r="36" spans="1:32" x14ac:dyDescent="0.3">
      <c r="A36" s="86">
        <f t="shared" si="7"/>
        <v>32</v>
      </c>
      <c r="B36" s="354"/>
      <c r="C36" s="93" t="s">
        <v>455</v>
      </c>
      <c r="D36" s="357"/>
      <c r="E36" s="93">
        <v>0</v>
      </c>
      <c r="F36" s="87">
        <v>0</v>
      </c>
      <c r="G36" s="88">
        <v>0</v>
      </c>
      <c r="H36" s="89">
        <v>0</v>
      </c>
      <c r="I36" s="88">
        <v>0</v>
      </c>
      <c r="J36" s="89">
        <v>0</v>
      </c>
      <c r="K36" s="88">
        <v>0</v>
      </c>
      <c r="L36" s="90">
        <v>0</v>
      </c>
      <c r="M36" s="88">
        <v>0</v>
      </c>
      <c r="N36" s="87">
        <f t="shared" si="3"/>
        <v>0</v>
      </c>
      <c r="O36" s="91">
        <v>0</v>
      </c>
      <c r="P36" s="89">
        <f t="shared" si="1"/>
        <v>0</v>
      </c>
      <c r="Q36" s="93">
        <v>20</v>
      </c>
      <c r="R36" s="89">
        <f t="shared" si="4"/>
        <v>15808.529740763421</v>
      </c>
      <c r="S36" s="88">
        <f t="shared" si="5"/>
        <v>20</v>
      </c>
      <c r="T36" s="92">
        <f t="shared" si="5"/>
        <v>15808.529740763421</v>
      </c>
      <c r="U36" s="116"/>
      <c r="V36" s="289">
        <f t="shared" si="9"/>
        <v>790.42648703817099</v>
      </c>
      <c r="W36" s="291">
        <f t="shared" si="9"/>
        <v>0</v>
      </c>
      <c r="X36" s="290">
        <f t="shared" si="9"/>
        <v>1008.4971894322654</v>
      </c>
      <c r="Y36" s="283"/>
      <c r="Z36" s="288"/>
      <c r="AA36" s="286">
        <f t="shared" si="10"/>
        <v>229.954938172043</v>
      </c>
      <c r="AB36" s="281"/>
      <c r="AC36" s="281"/>
      <c r="AD36" s="276"/>
      <c r="AE36" s="276"/>
      <c r="AF36" s="276"/>
    </row>
    <row r="37" spans="1:32" x14ac:dyDescent="0.3">
      <c r="A37" s="86">
        <f t="shared" si="7"/>
        <v>33</v>
      </c>
      <c r="B37" s="354"/>
      <c r="C37" s="93" t="s">
        <v>456</v>
      </c>
      <c r="D37" s="357"/>
      <c r="E37" s="93">
        <v>0</v>
      </c>
      <c r="F37" s="87">
        <v>0</v>
      </c>
      <c r="G37" s="88">
        <v>0</v>
      </c>
      <c r="H37" s="89">
        <v>0</v>
      </c>
      <c r="I37" s="88">
        <v>0</v>
      </c>
      <c r="J37" s="89">
        <v>0</v>
      </c>
      <c r="K37" s="88">
        <v>0</v>
      </c>
      <c r="L37" s="90">
        <v>0</v>
      </c>
      <c r="M37" s="88">
        <v>0</v>
      </c>
      <c r="N37" s="87">
        <f t="shared" si="3"/>
        <v>0</v>
      </c>
      <c r="O37" s="91">
        <v>0</v>
      </c>
      <c r="P37" s="89">
        <f t="shared" si="1"/>
        <v>0</v>
      </c>
      <c r="Q37" s="93">
        <v>0</v>
      </c>
      <c r="R37" s="89">
        <f t="shared" si="4"/>
        <v>0</v>
      </c>
      <c r="S37" s="88">
        <f t="shared" si="5"/>
        <v>0</v>
      </c>
      <c r="T37" s="92">
        <f t="shared" si="5"/>
        <v>0</v>
      </c>
      <c r="U37" s="116"/>
      <c r="V37" s="289">
        <f t="shared" si="9"/>
        <v>790.42648703817099</v>
      </c>
      <c r="W37" s="291">
        <f t="shared" si="9"/>
        <v>0</v>
      </c>
      <c r="X37" s="290">
        <f t="shared" si="9"/>
        <v>1008.4971894322654</v>
      </c>
      <c r="Y37" s="283"/>
      <c r="Z37" s="288"/>
      <c r="AA37" s="286">
        <f t="shared" si="10"/>
        <v>229.954938172043</v>
      </c>
      <c r="AB37" s="281"/>
      <c r="AC37" s="281"/>
      <c r="AD37" s="276"/>
      <c r="AE37" s="276"/>
      <c r="AF37" s="276"/>
    </row>
    <row r="38" spans="1:32" x14ac:dyDescent="0.3">
      <c r="A38" s="86">
        <f t="shared" si="7"/>
        <v>34</v>
      </c>
      <c r="B38" s="354"/>
      <c r="C38" s="93" t="s">
        <v>457</v>
      </c>
      <c r="D38" s="357"/>
      <c r="E38" s="93">
        <v>0</v>
      </c>
      <c r="F38" s="87">
        <v>0</v>
      </c>
      <c r="G38" s="88">
        <v>0</v>
      </c>
      <c r="H38" s="89">
        <v>0</v>
      </c>
      <c r="I38" s="88">
        <v>0</v>
      </c>
      <c r="J38" s="89">
        <v>0</v>
      </c>
      <c r="K38" s="88">
        <v>0</v>
      </c>
      <c r="L38" s="90">
        <v>0</v>
      </c>
      <c r="M38" s="88">
        <v>0</v>
      </c>
      <c r="N38" s="87">
        <f t="shared" si="3"/>
        <v>0</v>
      </c>
      <c r="O38" s="91">
        <v>21</v>
      </c>
      <c r="P38" s="89">
        <f t="shared" si="1"/>
        <v>4829.0537016129028</v>
      </c>
      <c r="Q38" s="93">
        <v>51</v>
      </c>
      <c r="R38" s="89">
        <f t="shared" si="4"/>
        <v>40311.750838946718</v>
      </c>
      <c r="S38" s="88">
        <f t="shared" si="5"/>
        <v>72</v>
      </c>
      <c r="T38" s="92">
        <f t="shared" si="5"/>
        <v>45140.80454055962</v>
      </c>
      <c r="U38" s="116"/>
      <c r="V38" s="289">
        <f t="shared" ref="V38:AA53" si="12">+V37</f>
        <v>790.42648703817099</v>
      </c>
      <c r="W38" s="291">
        <f t="shared" si="12"/>
        <v>0</v>
      </c>
      <c r="X38" s="290">
        <f t="shared" si="12"/>
        <v>1008.4971894322654</v>
      </c>
      <c r="Y38" s="283"/>
      <c r="Z38" s="288"/>
      <c r="AA38" s="286">
        <f t="shared" si="10"/>
        <v>229.954938172043</v>
      </c>
      <c r="AB38" s="281"/>
      <c r="AC38" s="281"/>
      <c r="AD38" s="276"/>
      <c r="AE38" s="276"/>
      <c r="AF38" s="276"/>
    </row>
    <row r="39" spans="1:32" x14ac:dyDescent="0.3">
      <c r="A39" s="86">
        <f t="shared" si="7"/>
        <v>35</v>
      </c>
      <c r="B39" s="354"/>
      <c r="C39" s="93" t="s">
        <v>669</v>
      </c>
      <c r="D39" s="357"/>
      <c r="E39" s="93">
        <v>0</v>
      </c>
      <c r="F39" s="87">
        <v>0</v>
      </c>
      <c r="G39" s="88">
        <v>0</v>
      </c>
      <c r="H39" s="89">
        <v>0</v>
      </c>
      <c r="I39" s="88">
        <v>0</v>
      </c>
      <c r="J39" s="89">
        <v>0</v>
      </c>
      <c r="K39" s="88">
        <v>0</v>
      </c>
      <c r="L39" s="89">
        <v>0</v>
      </c>
      <c r="M39" s="88">
        <v>0</v>
      </c>
      <c r="N39" s="89">
        <v>0</v>
      </c>
      <c r="O39" s="88">
        <v>0</v>
      </c>
      <c r="P39" s="89">
        <v>0</v>
      </c>
      <c r="Q39" s="93">
        <v>1</v>
      </c>
      <c r="R39" s="89">
        <f t="shared" si="4"/>
        <v>790.42648703817099</v>
      </c>
      <c r="S39" s="88">
        <f t="shared" si="5"/>
        <v>1</v>
      </c>
      <c r="T39" s="92">
        <f t="shared" si="5"/>
        <v>790.42648703817099</v>
      </c>
      <c r="U39" s="116"/>
      <c r="V39" s="289">
        <f t="shared" si="12"/>
        <v>790.42648703817099</v>
      </c>
      <c r="W39" s="291"/>
      <c r="X39" s="290"/>
      <c r="Y39" s="283"/>
      <c r="Z39" s="288"/>
      <c r="AA39" s="286"/>
      <c r="AB39" s="281"/>
      <c r="AC39" s="281"/>
      <c r="AD39" s="276"/>
      <c r="AE39" s="276"/>
      <c r="AF39" s="276"/>
    </row>
    <row r="40" spans="1:32" x14ac:dyDescent="0.3">
      <c r="A40" s="86">
        <f t="shared" si="7"/>
        <v>36</v>
      </c>
      <c r="B40" s="354"/>
      <c r="C40" s="93" t="s">
        <v>670</v>
      </c>
      <c r="D40" s="357"/>
      <c r="E40" s="93">
        <v>0</v>
      </c>
      <c r="F40" s="87">
        <v>0</v>
      </c>
      <c r="G40" s="88">
        <v>0</v>
      </c>
      <c r="H40" s="89">
        <v>0</v>
      </c>
      <c r="I40" s="88">
        <v>0</v>
      </c>
      <c r="J40" s="89">
        <v>0</v>
      </c>
      <c r="K40" s="88">
        <v>0</v>
      </c>
      <c r="L40" s="89">
        <v>0</v>
      </c>
      <c r="M40" s="88">
        <v>0</v>
      </c>
      <c r="N40" s="89">
        <v>0</v>
      </c>
      <c r="O40" s="88">
        <v>0</v>
      </c>
      <c r="P40" s="89">
        <v>0</v>
      </c>
      <c r="Q40" s="93">
        <v>9</v>
      </c>
      <c r="R40" s="89">
        <f t="shared" si="4"/>
        <v>7113.8383833435391</v>
      </c>
      <c r="S40" s="88">
        <f t="shared" si="5"/>
        <v>9</v>
      </c>
      <c r="T40" s="92">
        <f t="shared" si="5"/>
        <v>7113.8383833435391</v>
      </c>
      <c r="U40" s="116"/>
      <c r="V40" s="289">
        <f t="shared" si="12"/>
        <v>790.42648703817099</v>
      </c>
      <c r="W40" s="291"/>
      <c r="X40" s="290"/>
      <c r="Y40" s="283"/>
      <c r="Z40" s="288"/>
      <c r="AA40" s="286"/>
      <c r="AB40" s="281"/>
      <c r="AC40" s="281"/>
      <c r="AD40" s="276"/>
      <c r="AE40" s="276"/>
      <c r="AF40" s="276"/>
    </row>
    <row r="41" spans="1:32" x14ac:dyDescent="0.3">
      <c r="A41" s="86">
        <f t="shared" si="7"/>
        <v>37</v>
      </c>
      <c r="B41" s="355"/>
      <c r="C41" s="93" t="s">
        <v>671</v>
      </c>
      <c r="D41" s="357"/>
      <c r="E41" s="93">
        <v>0</v>
      </c>
      <c r="F41" s="87">
        <v>0</v>
      </c>
      <c r="G41" s="88">
        <v>0</v>
      </c>
      <c r="H41" s="89">
        <v>0</v>
      </c>
      <c r="I41" s="88">
        <v>0</v>
      </c>
      <c r="J41" s="89">
        <v>0</v>
      </c>
      <c r="K41" s="88">
        <v>0</v>
      </c>
      <c r="L41" s="89">
        <v>0</v>
      </c>
      <c r="M41" s="88">
        <v>0</v>
      </c>
      <c r="N41" s="89">
        <v>0</v>
      </c>
      <c r="O41" s="88">
        <v>0</v>
      </c>
      <c r="P41" s="89">
        <v>0</v>
      </c>
      <c r="Q41" s="93">
        <v>1</v>
      </c>
      <c r="R41" s="89">
        <f t="shared" si="4"/>
        <v>790.42648703817099</v>
      </c>
      <c r="S41" s="88">
        <f t="shared" si="5"/>
        <v>1</v>
      </c>
      <c r="T41" s="92">
        <f t="shared" si="5"/>
        <v>790.42648703817099</v>
      </c>
      <c r="U41" s="116"/>
      <c r="V41" s="289">
        <f t="shared" si="12"/>
        <v>790.42648703817099</v>
      </c>
      <c r="W41" s="291"/>
      <c r="X41" s="290"/>
      <c r="Y41" s="283"/>
      <c r="Z41" s="288"/>
      <c r="AA41" s="286"/>
      <c r="AB41" s="281"/>
      <c r="AC41" s="281"/>
      <c r="AD41" s="276"/>
      <c r="AE41" s="276"/>
      <c r="AF41" s="276"/>
    </row>
    <row r="42" spans="1:32" x14ac:dyDescent="0.3">
      <c r="A42" s="86">
        <f t="shared" si="7"/>
        <v>38</v>
      </c>
      <c r="B42" s="353" t="s">
        <v>458</v>
      </c>
      <c r="C42" s="93" t="s">
        <v>459</v>
      </c>
      <c r="D42" s="357"/>
      <c r="E42" s="93">
        <v>0</v>
      </c>
      <c r="F42" s="87">
        <v>0</v>
      </c>
      <c r="G42" s="88">
        <v>30</v>
      </c>
      <c r="H42" s="89">
        <f>+G42*Y35</f>
        <v>3014.7608601728202</v>
      </c>
      <c r="I42" s="88">
        <v>156</v>
      </c>
      <c r="J42" s="89">
        <f t="shared" ref="J42:J48" si="13">+I42*Z42</f>
        <v>25858.43066439523</v>
      </c>
      <c r="K42" s="88">
        <v>21</v>
      </c>
      <c r="L42" s="90">
        <v>18053.558918083461</v>
      </c>
      <c r="M42" s="88">
        <v>13</v>
      </c>
      <c r="N42" s="87">
        <f t="shared" si="3"/>
        <v>13110.463462619449</v>
      </c>
      <c r="O42" s="91">
        <v>128</v>
      </c>
      <c r="P42" s="89">
        <f t="shared" si="1"/>
        <v>29434.232086021504</v>
      </c>
      <c r="Q42" s="93">
        <v>7</v>
      </c>
      <c r="R42" s="89">
        <f t="shared" si="4"/>
        <v>5532.9854092671967</v>
      </c>
      <c r="S42" s="88">
        <f t="shared" si="5"/>
        <v>355</v>
      </c>
      <c r="T42" s="92">
        <f t="shared" si="5"/>
        <v>95004.431400559653</v>
      </c>
      <c r="U42" s="116"/>
      <c r="V42" s="289">
        <f t="shared" si="12"/>
        <v>790.42648703817099</v>
      </c>
      <c r="W42" s="291">
        <f>+W38</f>
        <v>0</v>
      </c>
      <c r="X42" s="290">
        <f>+X38</f>
        <v>1008.4971894322654</v>
      </c>
      <c r="Y42" s="283">
        <f>+Y35</f>
        <v>100.49202867242734</v>
      </c>
      <c r="Z42" s="288">
        <f>+Z35</f>
        <v>165.75917092561045</v>
      </c>
      <c r="AA42" s="286">
        <f>+AA38</f>
        <v>229.954938172043</v>
      </c>
      <c r="AB42" s="281"/>
      <c r="AC42" s="281"/>
      <c r="AD42" s="276"/>
      <c r="AE42" s="276"/>
      <c r="AF42" s="276"/>
    </row>
    <row r="43" spans="1:32" x14ac:dyDescent="0.3">
      <c r="A43" s="86">
        <f t="shared" si="7"/>
        <v>39</v>
      </c>
      <c r="B43" s="354"/>
      <c r="C43" s="93" t="s">
        <v>460</v>
      </c>
      <c r="D43" s="357"/>
      <c r="E43" s="93">
        <v>0</v>
      </c>
      <c r="F43" s="87">
        <v>0</v>
      </c>
      <c r="G43" s="88">
        <v>50</v>
      </c>
      <c r="H43" s="89">
        <f t="shared" ref="H43:H48" si="14">+G43*Y42</f>
        <v>5024.6014336213666</v>
      </c>
      <c r="I43" s="88">
        <v>112</v>
      </c>
      <c r="J43" s="89">
        <f t="shared" si="13"/>
        <v>18565.027143668369</v>
      </c>
      <c r="K43" s="88">
        <v>8</v>
      </c>
      <c r="L43" s="90">
        <v>6877.5462545079854</v>
      </c>
      <c r="M43" s="88">
        <v>71</v>
      </c>
      <c r="N43" s="87">
        <f t="shared" si="3"/>
        <v>71603.30044969084</v>
      </c>
      <c r="O43" s="91">
        <v>67</v>
      </c>
      <c r="P43" s="89">
        <f t="shared" si="1"/>
        <v>15406.980857526882</v>
      </c>
      <c r="Q43" s="93">
        <v>35</v>
      </c>
      <c r="R43" s="89">
        <f t="shared" si="4"/>
        <v>27664.927046335986</v>
      </c>
      <c r="S43" s="88">
        <f t="shared" si="5"/>
        <v>343</v>
      </c>
      <c r="T43" s="92">
        <f t="shared" si="5"/>
        <v>145142.38318535144</v>
      </c>
      <c r="U43" s="116"/>
      <c r="V43" s="289">
        <f t="shared" si="12"/>
        <v>790.42648703817099</v>
      </c>
      <c r="W43" s="291">
        <f t="shared" si="12"/>
        <v>0</v>
      </c>
      <c r="X43" s="290">
        <f t="shared" si="12"/>
        <v>1008.4971894322654</v>
      </c>
      <c r="Y43" s="283">
        <f t="shared" si="12"/>
        <v>100.49202867242734</v>
      </c>
      <c r="Z43" s="288">
        <f t="shared" si="12"/>
        <v>165.75917092561045</v>
      </c>
      <c r="AA43" s="286">
        <f t="shared" si="12"/>
        <v>229.954938172043</v>
      </c>
      <c r="AB43" s="281"/>
      <c r="AC43" s="281"/>
      <c r="AD43" s="276"/>
      <c r="AE43" s="276"/>
      <c r="AF43" s="276"/>
    </row>
    <row r="44" spans="1:32" x14ac:dyDescent="0.3">
      <c r="A44" s="86">
        <f t="shared" si="7"/>
        <v>40</v>
      </c>
      <c r="B44" s="354"/>
      <c r="C44" s="93" t="s">
        <v>461</v>
      </c>
      <c r="D44" s="357"/>
      <c r="E44" s="93">
        <v>0</v>
      </c>
      <c r="F44" s="87">
        <v>0</v>
      </c>
      <c r="G44" s="88">
        <v>14</v>
      </c>
      <c r="H44" s="89">
        <f t="shared" si="14"/>
        <v>1406.8884014139828</v>
      </c>
      <c r="I44" s="88">
        <v>147</v>
      </c>
      <c r="J44" s="89">
        <f t="shared" si="13"/>
        <v>24366.598126064735</v>
      </c>
      <c r="K44" s="88">
        <v>19</v>
      </c>
      <c r="L44" s="90">
        <v>16334.172354456465</v>
      </c>
      <c r="M44" s="88">
        <v>63</v>
      </c>
      <c r="N44" s="87">
        <f t="shared" si="3"/>
        <v>63535.322934232718</v>
      </c>
      <c r="O44" s="91">
        <v>120</v>
      </c>
      <c r="P44" s="89">
        <f t="shared" si="1"/>
        <v>27594.59258064516</v>
      </c>
      <c r="Q44" s="93">
        <v>0</v>
      </c>
      <c r="R44" s="89">
        <f t="shared" si="4"/>
        <v>0</v>
      </c>
      <c r="S44" s="88">
        <f t="shared" si="5"/>
        <v>363</v>
      </c>
      <c r="T44" s="92">
        <f t="shared" si="5"/>
        <v>133237.57439681306</v>
      </c>
      <c r="U44" s="116"/>
      <c r="V44" s="289">
        <f t="shared" si="12"/>
        <v>790.42648703817099</v>
      </c>
      <c r="W44" s="291">
        <f t="shared" si="12"/>
        <v>0</v>
      </c>
      <c r="X44" s="290">
        <f t="shared" si="12"/>
        <v>1008.4971894322654</v>
      </c>
      <c r="Y44" s="283">
        <f t="shared" si="12"/>
        <v>100.49202867242734</v>
      </c>
      <c r="Z44" s="288">
        <f t="shared" si="12"/>
        <v>165.75917092561045</v>
      </c>
      <c r="AA44" s="286">
        <f t="shared" si="12"/>
        <v>229.954938172043</v>
      </c>
      <c r="AB44" s="281"/>
      <c r="AC44" s="281"/>
      <c r="AD44" s="276"/>
      <c r="AE44" s="276"/>
      <c r="AF44" s="276"/>
    </row>
    <row r="45" spans="1:32" x14ac:dyDescent="0.3">
      <c r="A45" s="86">
        <f t="shared" si="7"/>
        <v>41</v>
      </c>
      <c r="B45" s="354"/>
      <c r="C45" s="93" t="s">
        <v>462</v>
      </c>
      <c r="D45" s="357"/>
      <c r="E45" s="93">
        <v>0</v>
      </c>
      <c r="F45" s="87">
        <v>0</v>
      </c>
      <c r="G45" s="88">
        <v>18</v>
      </c>
      <c r="H45" s="89">
        <f t="shared" si="14"/>
        <v>1808.856516103692</v>
      </c>
      <c r="I45" s="88">
        <v>81</v>
      </c>
      <c r="J45" s="89">
        <f t="shared" si="13"/>
        <v>13426.492844974446</v>
      </c>
      <c r="K45" s="88">
        <v>25</v>
      </c>
      <c r="L45" s="90">
        <v>21492.332045337454</v>
      </c>
      <c r="M45" s="88">
        <v>0</v>
      </c>
      <c r="N45" s="87">
        <f t="shared" si="3"/>
        <v>0</v>
      </c>
      <c r="O45" s="91">
        <v>120</v>
      </c>
      <c r="P45" s="89">
        <f t="shared" si="1"/>
        <v>27594.59258064516</v>
      </c>
      <c r="Q45" s="93">
        <v>28</v>
      </c>
      <c r="R45" s="89">
        <f t="shared" si="4"/>
        <v>22131.941637068787</v>
      </c>
      <c r="S45" s="88">
        <f t="shared" si="5"/>
        <v>272</v>
      </c>
      <c r="T45" s="92">
        <f t="shared" si="5"/>
        <v>86454.215624129531</v>
      </c>
      <c r="U45" s="116"/>
      <c r="V45" s="289">
        <f t="shared" si="12"/>
        <v>790.42648703817099</v>
      </c>
      <c r="W45" s="291">
        <f t="shared" si="12"/>
        <v>0</v>
      </c>
      <c r="X45" s="290">
        <f t="shared" si="12"/>
        <v>1008.4971894322654</v>
      </c>
      <c r="Y45" s="283">
        <f t="shared" si="12"/>
        <v>100.49202867242734</v>
      </c>
      <c r="Z45" s="288">
        <f t="shared" si="12"/>
        <v>165.75917092561045</v>
      </c>
      <c r="AA45" s="286">
        <f t="shared" si="12"/>
        <v>229.954938172043</v>
      </c>
      <c r="AB45" s="281"/>
      <c r="AC45" s="281"/>
      <c r="AD45" s="276"/>
      <c r="AE45" s="276"/>
      <c r="AF45" s="276"/>
    </row>
    <row r="46" spans="1:32" x14ac:dyDescent="0.3">
      <c r="A46" s="86">
        <f t="shared" si="7"/>
        <v>42</v>
      </c>
      <c r="B46" s="354"/>
      <c r="C46" s="93" t="s">
        <v>463</v>
      </c>
      <c r="D46" s="357"/>
      <c r="E46" s="93">
        <v>0</v>
      </c>
      <c r="F46" s="87">
        <v>0</v>
      </c>
      <c r="G46" s="88">
        <v>34</v>
      </c>
      <c r="H46" s="89">
        <f t="shared" si="14"/>
        <v>3416.7289748625294</v>
      </c>
      <c r="I46" s="88">
        <v>0</v>
      </c>
      <c r="J46" s="89">
        <f t="shared" si="13"/>
        <v>0</v>
      </c>
      <c r="K46" s="88">
        <v>0</v>
      </c>
      <c r="L46" s="90">
        <v>0</v>
      </c>
      <c r="M46" s="88">
        <v>0</v>
      </c>
      <c r="N46" s="87">
        <f t="shared" si="3"/>
        <v>0</v>
      </c>
      <c r="O46" s="91">
        <v>120</v>
      </c>
      <c r="P46" s="89">
        <f t="shared" si="1"/>
        <v>27594.59258064516</v>
      </c>
      <c r="Q46" s="93">
        <v>30</v>
      </c>
      <c r="R46" s="89">
        <f t="shared" si="4"/>
        <v>23712.794611145131</v>
      </c>
      <c r="S46" s="88">
        <f t="shared" si="5"/>
        <v>184</v>
      </c>
      <c r="T46" s="92">
        <f t="shared" si="5"/>
        <v>54724.116166652821</v>
      </c>
      <c r="U46" s="116"/>
      <c r="V46" s="289">
        <f t="shared" si="12"/>
        <v>790.42648703817099</v>
      </c>
      <c r="W46" s="291">
        <f t="shared" si="12"/>
        <v>0</v>
      </c>
      <c r="X46" s="290">
        <f t="shared" si="12"/>
        <v>1008.4971894322654</v>
      </c>
      <c r="Y46" s="283">
        <f t="shared" si="12"/>
        <v>100.49202867242734</v>
      </c>
      <c r="Z46" s="288">
        <f t="shared" si="12"/>
        <v>165.75917092561045</v>
      </c>
      <c r="AA46" s="286">
        <f t="shared" si="12"/>
        <v>229.954938172043</v>
      </c>
      <c r="AB46" s="281"/>
      <c r="AC46" s="281"/>
      <c r="AD46" s="276"/>
      <c r="AE46" s="276"/>
      <c r="AF46" s="276"/>
    </row>
    <row r="47" spans="1:32" x14ac:dyDescent="0.3">
      <c r="A47" s="86">
        <f t="shared" si="7"/>
        <v>43</v>
      </c>
      <c r="B47" s="354"/>
      <c r="C47" s="93" t="s">
        <v>464</v>
      </c>
      <c r="D47" s="357"/>
      <c r="E47" s="93">
        <v>0</v>
      </c>
      <c r="F47" s="87">
        <v>0</v>
      </c>
      <c r="G47" s="88">
        <v>0</v>
      </c>
      <c r="H47" s="89">
        <f t="shared" si="14"/>
        <v>0</v>
      </c>
      <c r="I47" s="88">
        <v>0</v>
      </c>
      <c r="J47" s="89">
        <f t="shared" si="13"/>
        <v>0</v>
      </c>
      <c r="K47" s="88">
        <v>65</v>
      </c>
      <c r="L47" s="90">
        <v>55880.063317877379</v>
      </c>
      <c r="M47" s="88">
        <v>3</v>
      </c>
      <c r="N47" s="87">
        <f t="shared" si="3"/>
        <v>3025.4915682967962</v>
      </c>
      <c r="O47" s="91">
        <v>126</v>
      </c>
      <c r="P47" s="89">
        <f t="shared" si="1"/>
        <v>28974.322209677419</v>
      </c>
      <c r="Q47" s="93">
        <v>1</v>
      </c>
      <c r="R47" s="89">
        <f t="shared" si="4"/>
        <v>790.42648703817099</v>
      </c>
      <c r="S47" s="88">
        <f t="shared" si="5"/>
        <v>195</v>
      </c>
      <c r="T47" s="92">
        <f t="shared" si="5"/>
        <v>88670.30358288977</v>
      </c>
      <c r="U47" s="116"/>
      <c r="V47" s="289">
        <f t="shared" si="12"/>
        <v>790.42648703817099</v>
      </c>
      <c r="W47" s="291">
        <f t="shared" si="12"/>
        <v>0</v>
      </c>
      <c r="X47" s="290">
        <f t="shared" si="12"/>
        <v>1008.4971894322654</v>
      </c>
      <c r="Y47" s="283">
        <f t="shared" si="12"/>
        <v>100.49202867242734</v>
      </c>
      <c r="Z47" s="288">
        <f t="shared" si="12"/>
        <v>165.75917092561045</v>
      </c>
      <c r="AA47" s="286">
        <f t="shared" si="12"/>
        <v>229.954938172043</v>
      </c>
      <c r="AB47" s="281"/>
      <c r="AC47" s="281"/>
      <c r="AD47" s="276"/>
      <c r="AE47" s="276"/>
      <c r="AF47" s="276"/>
    </row>
    <row r="48" spans="1:32" x14ac:dyDescent="0.3">
      <c r="A48" s="86">
        <f t="shared" si="7"/>
        <v>44</v>
      </c>
      <c r="B48" s="354"/>
      <c r="C48" s="93" t="s">
        <v>465</v>
      </c>
      <c r="D48" s="357"/>
      <c r="E48" s="93">
        <v>0</v>
      </c>
      <c r="F48" s="87">
        <v>0</v>
      </c>
      <c r="G48" s="88">
        <v>60</v>
      </c>
      <c r="H48" s="89">
        <f t="shared" si="14"/>
        <v>6029.5217203456405</v>
      </c>
      <c r="I48" s="88">
        <v>130</v>
      </c>
      <c r="J48" s="89">
        <f t="shared" si="13"/>
        <v>21548.692220329358</v>
      </c>
      <c r="K48" s="88">
        <v>36</v>
      </c>
      <c r="L48" s="90">
        <v>30948.958145285935</v>
      </c>
      <c r="M48" s="88">
        <v>0</v>
      </c>
      <c r="N48" s="87">
        <f t="shared" si="3"/>
        <v>0</v>
      </c>
      <c r="O48" s="91">
        <v>0</v>
      </c>
      <c r="P48" s="89">
        <f t="shared" si="1"/>
        <v>0</v>
      </c>
      <c r="Q48" s="93">
        <v>70</v>
      </c>
      <c r="R48" s="89">
        <f t="shared" si="4"/>
        <v>55329.854092671972</v>
      </c>
      <c r="S48" s="88">
        <f t="shared" si="5"/>
        <v>296</v>
      </c>
      <c r="T48" s="92">
        <f t="shared" si="5"/>
        <v>113857.02617863291</v>
      </c>
      <c r="U48" s="116"/>
      <c r="V48" s="289">
        <f t="shared" si="12"/>
        <v>790.42648703817099</v>
      </c>
      <c r="W48" s="291">
        <f t="shared" si="12"/>
        <v>0</v>
      </c>
      <c r="X48" s="290">
        <f t="shared" si="12"/>
        <v>1008.4971894322654</v>
      </c>
      <c r="Y48" s="283">
        <f>+Y47</f>
        <v>100.49202867242734</v>
      </c>
      <c r="Z48" s="288">
        <f>+Z47</f>
        <v>165.75917092561045</v>
      </c>
      <c r="AA48" s="286">
        <f t="shared" si="12"/>
        <v>229.954938172043</v>
      </c>
      <c r="AB48" s="281"/>
      <c r="AC48" s="281"/>
      <c r="AD48" s="276"/>
      <c r="AE48" s="276"/>
      <c r="AF48" s="276"/>
    </row>
    <row r="49" spans="1:32" x14ac:dyDescent="0.3">
      <c r="A49" s="86">
        <f t="shared" si="7"/>
        <v>45</v>
      </c>
      <c r="B49" s="355"/>
      <c r="C49" s="93" t="s">
        <v>466</v>
      </c>
      <c r="D49" s="357"/>
      <c r="E49" s="93">
        <v>0</v>
      </c>
      <c r="F49" s="87">
        <v>0</v>
      </c>
      <c r="G49" s="88">
        <v>0</v>
      </c>
      <c r="H49" s="89">
        <v>0</v>
      </c>
      <c r="I49" s="88">
        <v>0</v>
      </c>
      <c r="J49" s="89">
        <v>0</v>
      </c>
      <c r="K49" s="88">
        <v>0</v>
      </c>
      <c r="L49" s="90">
        <v>2579.0798454404944</v>
      </c>
      <c r="M49" s="88">
        <v>0</v>
      </c>
      <c r="N49" s="87">
        <f t="shared" si="3"/>
        <v>0</v>
      </c>
      <c r="O49" s="91">
        <v>16</v>
      </c>
      <c r="P49" s="89">
        <f t="shared" si="1"/>
        <v>3679.279010752688</v>
      </c>
      <c r="Q49" s="93">
        <v>52</v>
      </c>
      <c r="R49" s="89">
        <f t="shared" si="4"/>
        <v>41102.177325984892</v>
      </c>
      <c r="S49" s="88">
        <f t="shared" si="5"/>
        <v>68</v>
      </c>
      <c r="T49" s="92">
        <f t="shared" si="5"/>
        <v>47360.536182178075</v>
      </c>
      <c r="U49" s="116"/>
      <c r="V49" s="289">
        <f t="shared" si="12"/>
        <v>790.42648703817099</v>
      </c>
      <c r="W49" s="291">
        <f t="shared" si="12"/>
        <v>0</v>
      </c>
      <c r="X49" s="290">
        <f t="shared" si="12"/>
        <v>1008.4971894322654</v>
      </c>
      <c r="Y49" s="283"/>
      <c r="Z49" s="288"/>
      <c r="AA49" s="286">
        <f t="shared" si="12"/>
        <v>229.954938172043</v>
      </c>
      <c r="AB49" s="281"/>
      <c r="AC49" s="281"/>
      <c r="AD49" s="276"/>
      <c r="AE49" s="276"/>
      <c r="AF49" s="276"/>
    </row>
    <row r="50" spans="1:32" x14ac:dyDescent="0.3">
      <c r="A50" s="86">
        <f t="shared" si="7"/>
        <v>46</v>
      </c>
      <c r="B50" s="358" t="s">
        <v>467</v>
      </c>
      <c r="C50" s="93" t="s">
        <v>468</v>
      </c>
      <c r="D50" s="357"/>
      <c r="E50" s="93">
        <v>0</v>
      </c>
      <c r="F50" s="87">
        <v>0</v>
      </c>
      <c r="G50" s="88">
        <v>29</v>
      </c>
      <c r="H50" s="89">
        <f>+G50*Y48</f>
        <v>2914.2688315003929</v>
      </c>
      <c r="I50" s="88">
        <v>27</v>
      </c>
      <c r="J50" s="89">
        <f t="shared" ref="J50:J55" si="15">+I50*Z50</f>
        <v>4475.4976149914819</v>
      </c>
      <c r="K50" s="88">
        <v>3</v>
      </c>
      <c r="L50" s="90">
        <v>2579.0798454404944</v>
      </c>
      <c r="M50" s="88">
        <v>2</v>
      </c>
      <c r="N50" s="87">
        <f t="shared" si="3"/>
        <v>2016.9943788645307</v>
      </c>
      <c r="O50" s="91">
        <v>122</v>
      </c>
      <c r="P50" s="89">
        <f t="shared" si="1"/>
        <v>28054.502456989245</v>
      </c>
      <c r="Q50" s="93">
        <v>9</v>
      </c>
      <c r="R50" s="89">
        <f t="shared" si="4"/>
        <v>7113.8383833435391</v>
      </c>
      <c r="S50" s="88">
        <f t="shared" si="5"/>
        <v>192</v>
      </c>
      <c r="T50" s="92">
        <f t="shared" si="5"/>
        <v>47154.181511129682</v>
      </c>
      <c r="U50" s="116"/>
      <c r="V50" s="289">
        <f t="shared" si="12"/>
        <v>790.42648703817099</v>
      </c>
      <c r="W50" s="291">
        <f t="shared" si="12"/>
        <v>0</v>
      </c>
      <c r="X50" s="290">
        <f t="shared" si="12"/>
        <v>1008.4971894322654</v>
      </c>
      <c r="Y50" s="283">
        <f>+Y48</f>
        <v>100.49202867242734</v>
      </c>
      <c r="Z50" s="288">
        <f>+Z48</f>
        <v>165.75917092561045</v>
      </c>
      <c r="AA50" s="286">
        <f t="shared" si="12"/>
        <v>229.954938172043</v>
      </c>
      <c r="AB50" s="281"/>
      <c r="AC50" s="281"/>
      <c r="AD50" s="276"/>
      <c r="AE50" s="276"/>
      <c r="AF50" s="276"/>
    </row>
    <row r="51" spans="1:32" x14ac:dyDescent="0.3">
      <c r="A51" s="86">
        <f t="shared" si="7"/>
        <v>47</v>
      </c>
      <c r="B51" s="358"/>
      <c r="C51" s="93" t="s">
        <v>428</v>
      </c>
      <c r="D51" s="357"/>
      <c r="E51" s="93">
        <v>0</v>
      </c>
      <c r="F51" s="87">
        <v>0</v>
      </c>
      <c r="G51" s="88">
        <v>50</v>
      </c>
      <c r="H51" s="89">
        <f>+G51*Y50</f>
        <v>5024.6014336213666</v>
      </c>
      <c r="I51" s="88">
        <v>59</v>
      </c>
      <c r="J51" s="89">
        <f t="shared" si="15"/>
        <v>9779.7910846110171</v>
      </c>
      <c r="K51" s="88">
        <v>3</v>
      </c>
      <c r="L51" s="90">
        <v>11176.012663575477</v>
      </c>
      <c r="M51" s="88">
        <v>10</v>
      </c>
      <c r="N51" s="87">
        <f t="shared" si="3"/>
        <v>10084.971894322654</v>
      </c>
      <c r="O51" s="91">
        <v>132</v>
      </c>
      <c r="P51" s="89">
        <f t="shared" si="1"/>
        <v>30354.051838709674</v>
      </c>
      <c r="Q51" s="93">
        <v>4</v>
      </c>
      <c r="R51" s="89">
        <f t="shared" si="4"/>
        <v>3161.705948152684</v>
      </c>
      <c r="S51" s="88">
        <f t="shared" si="5"/>
        <v>258</v>
      </c>
      <c r="T51" s="92">
        <f t="shared" si="5"/>
        <v>69581.134862992869</v>
      </c>
      <c r="U51" s="116"/>
      <c r="V51" s="289">
        <f t="shared" si="12"/>
        <v>790.42648703817099</v>
      </c>
      <c r="W51" s="291">
        <f t="shared" si="12"/>
        <v>0</v>
      </c>
      <c r="X51" s="290">
        <f t="shared" si="12"/>
        <v>1008.4971894322654</v>
      </c>
      <c r="Y51" s="283">
        <f t="shared" si="12"/>
        <v>100.49202867242734</v>
      </c>
      <c r="Z51" s="288">
        <f t="shared" si="12"/>
        <v>165.75917092561045</v>
      </c>
      <c r="AA51" s="286">
        <f t="shared" si="12"/>
        <v>229.954938172043</v>
      </c>
      <c r="AB51" s="281"/>
      <c r="AC51" s="281"/>
      <c r="AD51" s="276"/>
      <c r="AE51" s="276"/>
      <c r="AF51" s="276"/>
    </row>
    <row r="52" spans="1:32" x14ac:dyDescent="0.3">
      <c r="A52" s="86">
        <f t="shared" si="7"/>
        <v>48</v>
      </c>
      <c r="B52" s="358"/>
      <c r="C52" s="93" t="s">
        <v>469</v>
      </c>
      <c r="D52" s="357"/>
      <c r="E52" s="93">
        <v>0</v>
      </c>
      <c r="F52" s="87">
        <v>0</v>
      </c>
      <c r="G52" s="88">
        <v>35</v>
      </c>
      <c r="H52" s="89">
        <f>+G52*Y51</f>
        <v>3517.2210035349567</v>
      </c>
      <c r="I52" s="88">
        <v>45</v>
      </c>
      <c r="J52" s="89">
        <f t="shared" si="15"/>
        <v>7459.1626916524701</v>
      </c>
      <c r="K52" s="88">
        <v>13</v>
      </c>
      <c r="L52" s="90">
        <v>0</v>
      </c>
      <c r="M52" s="88">
        <v>14</v>
      </c>
      <c r="N52" s="87">
        <f t="shared" si="3"/>
        <v>14118.960652051715</v>
      </c>
      <c r="O52" s="91">
        <v>3</v>
      </c>
      <c r="P52" s="89">
        <f t="shared" si="1"/>
        <v>689.86481451612894</v>
      </c>
      <c r="Q52" s="93">
        <v>13</v>
      </c>
      <c r="R52" s="89">
        <f t="shared" si="4"/>
        <v>10275.544331496223</v>
      </c>
      <c r="S52" s="88">
        <f t="shared" si="5"/>
        <v>123</v>
      </c>
      <c r="T52" s="92">
        <f t="shared" si="5"/>
        <v>36060.753493251497</v>
      </c>
      <c r="U52" s="116"/>
      <c r="V52" s="289">
        <f t="shared" si="12"/>
        <v>790.42648703817099</v>
      </c>
      <c r="W52" s="291">
        <f t="shared" si="12"/>
        <v>0</v>
      </c>
      <c r="X52" s="290">
        <f t="shared" si="12"/>
        <v>1008.4971894322654</v>
      </c>
      <c r="Y52" s="283">
        <f t="shared" si="12"/>
        <v>100.49202867242734</v>
      </c>
      <c r="Z52" s="288">
        <f t="shared" si="12"/>
        <v>165.75917092561045</v>
      </c>
      <c r="AA52" s="286">
        <f t="shared" si="12"/>
        <v>229.954938172043</v>
      </c>
      <c r="AB52" s="281"/>
      <c r="AC52" s="281"/>
      <c r="AD52" s="276"/>
      <c r="AE52" s="276"/>
      <c r="AF52" s="276"/>
    </row>
    <row r="53" spans="1:32" x14ac:dyDescent="0.3">
      <c r="A53" s="86">
        <f t="shared" si="7"/>
        <v>49</v>
      </c>
      <c r="B53" s="353" t="s">
        <v>470</v>
      </c>
      <c r="C53" s="93" t="s">
        <v>470</v>
      </c>
      <c r="D53" s="357"/>
      <c r="E53" s="93">
        <v>0</v>
      </c>
      <c r="F53" s="87">
        <v>0</v>
      </c>
      <c r="G53" s="88">
        <v>50</v>
      </c>
      <c r="H53" s="89">
        <f>+G53*Y52</f>
        <v>5024.6014336213666</v>
      </c>
      <c r="I53" s="88">
        <v>18</v>
      </c>
      <c r="J53" s="89">
        <f t="shared" si="15"/>
        <v>2983.6650766609882</v>
      </c>
      <c r="K53" s="88">
        <v>0</v>
      </c>
      <c r="L53" s="90">
        <v>859.69328181349817</v>
      </c>
      <c r="M53" s="88">
        <v>0</v>
      </c>
      <c r="N53" s="87">
        <f t="shared" si="3"/>
        <v>0</v>
      </c>
      <c r="O53" s="91">
        <v>12</v>
      </c>
      <c r="P53" s="89">
        <f t="shared" si="1"/>
        <v>2759.4592580645158</v>
      </c>
      <c r="Q53" s="93">
        <v>25</v>
      </c>
      <c r="R53" s="89">
        <f t="shared" si="4"/>
        <v>19760.662175954276</v>
      </c>
      <c r="S53" s="88">
        <f t="shared" si="5"/>
        <v>105</v>
      </c>
      <c r="T53" s="92">
        <f t="shared" si="5"/>
        <v>31388.081226114646</v>
      </c>
      <c r="U53" s="116"/>
      <c r="V53" s="289">
        <f t="shared" si="12"/>
        <v>790.42648703817099</v>
      </c>
      <c r="W53" s="291">
        <f t="shared" si="12"/>
        <v>0</v>
      </c>
      <c r="X53" s="290">
        <f t="shared" si="12"/>
        <v>1008.4971894322654</v>
      </c>
      <c r="Y53" s="283">
        <f t="shared" si="12"/>
        <v>100.49202867242734</v>
      </c>
      <c r="Z53" s="288">
        <f t="shared" si="12"/>
        <v>165.75917092561045</v>
      </c>
      <c r="AA53" s="286">
        <f t="shared" si="12"/>
        <v>229.954938172043</v>
      </c>
      <c r="AB53" s="281"/>
      <c r="AC53" s="281"/>
      <c r="AD53" s="276"/>
      <c r="AE53" s="276"/>
      <c r="AF53" s="276"/>
    </row>
    <row r="54" spans="1:32" x14ac:dyDescent="0.3">
      <c r="A54" s="86">
        <f t="shared" si="7"/>
        <v>50</v>
      </c>
      <c r="B54" s="354"/>
      <c r="C54" s="93" t="s">
        <v>471</v>
      </c>
      <c r="D54" s="357"/>
      <c r="E54" s="93">
        <v>0</v>
      </c>
      <c r="F54" s="87">
        <v>0</v>
      </c>
      <c r="G54" s="88">
        <v>39</v>
      </c>
      <c r="H54" s="89">
        <f>+G54*Y53</f>
        <v>3919.1891182246663</v>
      </c>
      <c r="I54" s="88">
        <v>0</v>
      </c>
      <c r="J54" s="89">
        <f t="shared" si="15"/>
        <v>0</v>
      </c>
      <c r="K54" s="88">
        <v>1</v>
      </c>
      <c r="L54" s="90">
        <v>16334.172354456465</v>
      </c>
      <c r="M54" s="88">
        <v>0</v>
      </c>
      <c r="N54" s="87">
        <f t="shared" si="3"/>
        <v>0</v>
      </c>
      <c r="O54" s="91">
        <v>10</v>
      </c>
      <c r="P54" s="89">
        <f t="shared" si="1"/>
        <v>2299.5493817204301</v>
      </c>
      <c r="Q54" s="93">
        <v>16</v>
      </c>
      <c r="R54" s="89">
        <f t="shared" si="4"/>
        <v>12646.823792610736</v>
      </c>
      <c r="S54" s="88">
        <f t="shared" si="5"/>
        <v>66</v>
      </c>
      <c r="T54" s="92">
        <f t="shared" si="5"/>
        <v>35199.734647012301</v>
      </c>
      <c r="U54" s="116"/>
      <c r="V54" s="289">
        <f t="shared" ref="V54:AA69" si="16">+V53</f>
        <v>790.42648703817099</v>
      </c>
      <c r="W54" s="291">
        <f t="shared" si="16"/>
        <v>0</v>
      </c>
      <c r="X54" s="290">
        <f t="shared" si="16"/>
        <v>1008.4971894322654</v>
      </c>
      <c r="Y54" s="283">
        <f t="shared" si="16"/>
        <v>100.49202867242734</v>
      </c>
      <c r="Z54" s="288">
        <f t="shared" si="16"/>
        <v>165.75917092561045</v>
      </c>
      <c r="AA54" s="286">
        <f t="shared" si="16"/>
        <v>229.954938172043</v>
      </c>
      <c r="AB54" s="281"/>
      <c r="AC54" s="281"/>
      <c r="AD54" s="276"/>
      <c r="AE54" s="276"/>
      <c r="AF54" s="276"/>
    </row>
    <row r="55" spans="1:32" x14ac:dyDescent="0.3">
      <c r="A55" s="86">
        <f t="shared" si="7"/>
        <v>51</v>
      </c>
      <c r="B55" s="354"/>
      <c r="C55" s="93" t="s">
        <v>472</v>
      </c>
      <c r="D55" s="357"/>
      <c r="E55" s="93">
        <v>0</v>
      </c>
      <c r="F55" s="87">
        <v>0</v>
      </c>
      <c r="G55" s="88">
        <v>57</v>
      </c>
      <c r="H55" s="89">
        <f>+G55*Y54</f>
        <v>5728.0456343283586</v>
      </c>
      <c r="I55" s="88">
        <v>113</v>
      </c>
      <c r="J55" s="89">
        <f t="shared" si="15"/>
        <v>18730.786314593981</v>
      </c>
      <c r="K55" s="88">
        <v>19</v>
      </c>
      <c r="L55" s="90">
        <v>0</v>
      </c>
      <c r="M55" s="88">
        <v>18</v>
      </c>
      <c r="N55" s="87">
        <f t="shared" si="3"/>
        <v>18152.949409780776</v>
      </c>
      <c r="O55" s="91">
        <v>16</v>
      </c>
      <c r="P55" s="89">
        <f t="shared" si="1"/>
        <v>3679.279010752688</v>
      </c>
      <c r="Q55" s="93">
        <v>11</v>
      </c>
      <c r="R55" s="89">
        <f t="shared" si="4"/>
        <v>8694.6913574198807</v>
      </c>
      <c r="S55" s="88">
        <f t="shared" si="5"/>
        <v>234</v>
      </c>
      <c r="T55" s="92">
        <f t="shared" si="5"/>
        <v>54985.751726875678</v>
      </c>
      <c r="U55" s="116"/>
      <c r="V55" s="289">
        <f t="shared" si="16"/>
        <v>790.42648703817099</v>
      </c>
      <c r="W55" s="291">
        <f t="shared" si="16"/>
        <v>0</v>
      </c>
      <c r="X55" s="290">
        <f t="shared" si="16"/>
        <v>1008.4971894322654</v>
      </c>
      <c r="Y55" s="283">
        <f>+Y54</f>
        <v>100.49202867242734</v>
      </c>
      <c r="Z55" s="288">
        <f>+Z54</f>
        <v>165.75917092561045</v>
      </c>
      <c r="AA55" s="286">
        <f t="shared" si="16"/>
        <v>229.954938172043</v>
      </c>
      <c r="AB55" s="281"/>
      <c r="AC55" s="281"/>
      <c r="AD55" s="276"/>
      <c r="AE55" s="276"/>
      <c r="AF55" s="276"/>
    </row>
    <row r="56" spans="1:32" x14ac:dyDescent="0.3">
      <c r="A56" s="86">
        <f t="shared" si="7"/>
        <v>52</v>
      </c>
      <c r="B56" s="354"/>
      <c r="C56" s="93" t="s">
        <v>473</v>
      </c>
      <c r="D56" s="357"/>
      <c r="E56" s="93">
        <v>0</v>
      </c>
      <c r="F56" s="87">
        <v>0</v>
      </c>
      <c r="G56" s="88">
        <v>0</v>
      </c>
      <c r="H56" s="89">
        <v>0</v>
      </c>
      <c r="I56" s="88">
        <v>0</v>
      </c>
      <c r="J56" s="89">
        <v>0</v>
      </c>
      <c r="K56" s="88">
        <v>0</v>
      </c>
      <c r="L56" s="90">
        <v>0</v>
      </c>
      <c r="M56" s="88">
        <v>0</v>
      </c>
      <c r="N56" s="87">
        <f t="shared" si="3"/>
        <v>0</v>
      </c>
      <c r="O56" s="91">
        <v>0</v>
      </c>
      <c r="P56" s="89">
        <f t="shared" si="1"/>
        <v>0</v>
      </c>
      <c r="Q56" s="93">
        <v>12</v>
      </c>
      <c r="R56" s="89">
        <f t="shared" si="4"/>
        <v>9485.117844458051</v>
      </c>
      <c r="S56" s="88">
        <f t="shared" si="5"/>
        <v>12</v>
      </c>
      <c r="T56" s="92">
        <f t="shared" si="5"/>
        <v>9485.117844458051</v>
      </c>
      <c r="U56" s="116"/>
      <c r="V56" s="289">
        <f t="shared" si="16"/>
        <v>790.42648703817099</v>
      </c>
      <c r="W56" s="291">
        <f t="shared" si="16"/>
        <v>0</v>
      </c>
      <c r="X56" s="290">
        <f t="shared" si="16"/>
        <v>1008.4971894322654</v>
      </c>
      <c r="Y56" s="283"/>
      <c r="Z56" s="288"/>
      <c r="AA56" s="286">
        <f t="shared" si="16"/>
        <v>229.954938172043</v>
      </c>
      <c r="AB56" s="281"/>
      <c r="AC56" s="281"/>
      <c r="AD56" s="276"/>
      <c r="AE56" s="276"/>
      <c r="AF56" s="276"/>
    </row>
    <row r="57" spans="1:32" x14ac:dyDescent="0.3">
      <c r="A57" s="86">
        <f t="shared" si="7"/>
        <v>53</v>
      </c>
      <c r="B57" s="354"/>
      <c r="C57" s="93" t="s">
        <v>474</v>
      </c>
      <c r="D57" s="357"/>
      <c r="E57" s="93">
        <v>0</v>
      </c>
      <c r="F57" s="87">
        <v>0</v>
      </c>
      <c r="G57" s="88">
        <v>0</v>
      </c>
      <c r="H57" s="89">
        <v>0</v>
      </c>
      <c r="I57" s="88">
        <v>0</v>
      </c>
      <c r="J57" s="89">
        <v>0</v>
      </c>
      <c r="K57" s="88">
        <v>0</v>
      </c>
      <c r="L57" s="90">
        <v>0</v>
      </c>
      <c r="M57" s="88">
        <v>0</v>
      </c>
      <c r="N57" s="87">
        <f t="shared" si="3"/>
        <v>0</v>
      </c>
      <c r="O57" s="91">
        <v>0</v>
      </c>
      <c r="P57" s="89">
        <f t="shared" si="1"/>
        <v>0</v>
      </c>
      <c r="Q57" s="93">
        <v>13</v>
      </c>
      <c r="R57" s="89">
        <f t="shared" si="4"/>
        <v>10275.544331496223</v>
      </c>
      <c r="S57" s="88">
        <f t="shared" si="5"/>
        <v>13</v>
      </c>
      <c r="T57" s="92">
        <f t="shared" si="5"/>
        <v>10275.544331496223</v>
      </c>
      <c r="U57" s="116"/>
      <c r="V57" s="289">
        <f t="shared" si="16"/>
        <v>790.42648703817099</v>
      </c>
      <c r="W57" s="291">
        <f t="shared" si="16"/>
        <v>0</v>
      </c>
      <c r="X57" s="290">
        <f t="shared" si="16"/>
        <v>1008.4971894322654</v>
      </c>
      <c r="Y57" s="283"/>
      <c r="Z57" s="288"/>
      <c r="AA57" s="286">
        <f t="shared" si="16"/>
        <v>229.954938172043</v>
      </c>
      <c r="AB57" s="281"/>
      <c r="AC57" s="281"/>
      <c r="AD57" s="276"/>
      <c r="AE57" s="276"/>
      <c r="AF57" s="276"/>
    </row>
    <row r="58" spans="1:32" x14ac:dyDescent="0.3">
      <c r="A58" s="86">
        <f t="shared" si="7"/>
        <v>54</v>
      </c>
      <c r="B58" s="355"/>
      <c r="C58" s="93" t="s">
        <v>475</v>
      </c>
      <c r="D58" s="357"/>
      <c r="E58" s="93">
        <v>0</v>
      </c>
      <c r="F58" s="87">
        <v>0</v>
      </c>
      <c r="G58" s="88">
        <v>0</v>
      </c>
      <c r="H58" s="89">
        <v>0</v>
      </c>
      <c r="I58" s="88">
        <v>0</v>
      </c>
      <c r="J58" s="89">
        <v>0</v>
      </c>
      <c r="K58" s="88">
        <v>0</v>
      </c>
      <c r="L58" s="90">
        <v>0</v>
      </c>
      <c r="M58" s="88">
        <v>0</v>
      </c>
      <c r="N58" s="87">
        <f t="shared" si="3"/>
        <v>0</v>
      </c>
      <c r="O58" s="91">
        <v>0</v>
      </c>
      <c r="P58" s="89">
        <f t="shared" si="1"/>
        <v>0</v>
      </c>
      <c r="Q58" s="93">
        <v>0</v>
      </c>
      <c r="R58" s="89">
        <f t="shared" si="4"/>
        <v>0</v>
      </c>
      <c r="S58" s="88">
        <f t="shared" si="5"/>
        <v>0</v>
      </c>
      <c r="T58" s="92">
        <f t="shared" si="5"/>
        <v>0</v>
      </c>
      <c r="U58" s="116"/>
      <c r="V58" s="289">
        <f t="shared" si="16"/>
        <v>790.42648703817099</v>
      </c>
      <c r="W58" s="291">
        <f t="shared" si="16"/>
        <v>0</v>
      </c>
      <c r="X58" s="290">
        <f t="shared" si="16"/>
        <v>1008.4971894322654</v>
      </c>
      <c r="Y58" s="283"/>
      <c r="Z58" s="288"/>
      <c r="AA58" s="286">
        <f t="shared" si="16"/>
        <v>229.954938172043</v>
      </c>
      <c r="AB58" s="281"/>
      <c r="AC58" s="281"/>
      <c r="AD58" s="276"/>
      <c r="AE58" s="276"/>
      <c r="AF58" s="276"/>
    </row>
    <row r="59" spans="1:32" x14ac:dyDescent="0.3">
      <c r="A59" s="86">
        <f t="shared" si="7"/>
        <v>55</v>
      </c>
      <c r="B59" s="353" t="s">
        <v>476</v>
      </c>
      <c r="C59" s="93" t="s">
        <v>476</v>
      </c>
      <c r="D59" s="357"/>
      <c r="E59" s="93">
        <v>0</v>
      </c>
      <c r="F59" s="87">
        <v>0</v>
      </c>
      <c r="G59" s="88">
        <v>55</v>
      </c>
      <c r="H59" s="89">
        <f>+G59*Y55</f>
        <v>5527.061576983504</v>
      </c>
      <c r="I59" s="88">
        <v>30</v>
      </c>
      <c r="J59" s="89">
        <f t="shared" ref="J59:J107" si="17">+I59*Z59</f>
        <v>4972.7751277683137</v>
      </c>
      <c r="K59" s="88">
        <v>18</v>
      </c>
      <c r="L59" s="90">
        <v>15474.479072642967</v>
      </c>
      <c r="M59" s="88">
        <v>40</v>
      </c>
      <c r="N59" s="87">
        <f t="shared" si="3"/>
        <v>40339.887577290618</v>
      </c>
      <c r="O59" s="91">
        <v>132</v>
      </c>
      <c r="P59" s="89">
        <f t="shared" si="1"/>
        <v>30354.051838709674</v>
      </c>
      <c r="Q59" s="93">
        <v>28</v>
      </c>
      <c r="R59" s="89">
        <f t="shared" si="4"/>
        <v>22131.941637068787</v>
      </c>
      <c r="S59" s="88">
        <f t="shared" si="5"/>
        <v>303</v>
      </c>
      <c r="T59" s="92">
        <f t="shared" si="5"/>
        <v>118800.19683046386</v>
      </c>
      <c r="U59" s="116"/>
      <c r="V59" s="289">
        <f t="shared" si="16"/>
        <v>790.42648703817099</v>
      </c>
      <c r="W59" s="291">
        <f t="shared" si="16"/>
        <v>0</v>
      </c>
      <c r="X59" s="290">
        <f t="shared" si="16"/>
        <v>1008.4971894322654</v>
      </c>
      <c r="Y59" s="283">
        <f>+Y55</f>
        <v>100.49202867242734</v>
      </c>
      <c r="Z59" s="288">
        <f>+Z55</f>
        <v>165.75917092561045</v>
      </c>
      <c r="AA59" s="286">
        <f t="shared" si="16"/>
        <v>229.954938172043</v>
      </c>
      <c r="AB59" s="281"/>
      <c r="AC59" s="281"/>
      <c r="AD59" s="276"/>
      <c r="AE59" s="276"/>
      <c r="AF59" s="276"/>
    </row>
    <row r="60" spans="1:32" x14ac:dyDescent="0.3">
      <c r="A60" s="86">
        <f t="shared" si="7"/>
        <v>56</v>
      </c>
      <c r="B60" s="354"/>
      <c r="C60" s="93" t="s">
        <v>477</v>
      </c>
      <c r="D60" s="357"/>
      <c r="E60" s="93">
        <v>0</v>
      </c>
      <c r="F60" s="87">
        <v>0</v>
      </c>
      <c r="G60" s="88">
        <v>37</v>
      </c>
      <c r="H60" s="89">
        <f>+G60*Y59</f>
        <v>3718.2050608798113</v>
      </c>
      <c r="I60" s="88">
        <v>14</v>
      </c>
      <c r="J60" s="89">
        <f t="shared" si="17"/>
        <v>2320.6283929585461</v>
      </c>
      <c r="K60" s="88">
        <v>5</v>
      </c>
      <c r="L60" s="90">
        <v>4298.4664090674905</v>
      </c>
      <c r="M60" s="88">
        <v>0</v>
      </c>
      <c r="N60" s="87">
        <f t="shared" si="3"/>
        <v>0</v>
      </c>
      <c r="O60" s="91">
        <v>21</v>
      </c>
      <c r="P60" s="89">
        <f t="shared" si="1"/>
        <v>4829.0537016129028</v>
      </c>
      <c r="Q60" s="93">
        <v>12</v>
      </c>
      <c r="R60" s="89">
        <f t="shared" si="4"/>
        <v>9485.117844458051</v>
      </c>
      <c r="S60" s="88">
        <f t="shared" si="5"/>
        <v>89</v>
      </c>
      <c r="T60" s="92">
        <f t="shared" si="5"/>
        <v>24651.471408976802</v>
      </c>
      <c r="U60" s="116"/>
      <c r="V60" s="289">
        <f t="shared" si="16"/>
        <v>790.42648703817099</v>
      </c>
      <c r="W60" s="291">
        <f t="shared" si="16"/>
        <v>0</v>
      </c>
      <c r="X60" s="290">
        <f t="shared" si="16"/>
        <v>1008.4971894322654</v>
      </c>
      <c r="Y60" s="283">
        <f t="shared" si="16"/>
        <v>100.49202867242734</v>
      </c>
      <c r="Z60" s="288">
        <f t="shared" si="16"/>
        <v>165.75917092561045</v>
      </c>
      <c r="AA60" s="286">
        <f t="shared" si="16"/>
        <v>229.954938172043</v>
      </c>
      <c r="AB60" s="281"/>
      <c r="AC60" s="281"/>
      <c r="AD60" s="276"/>
      <c r="AE60" s="276"/>
      <c r="AF60" s="276"/>
    </row>
    <row r="61" spans="1:32" x14ac:dyDescent="0.3">
      <c r="A61" s="86">
        <f t="shared" si="7"/>
        <v>57</v>
      </c>
      <c r="B61" s="354"/>
      <c r="C61" s="93" t="s">
        <v>478</v>
      </c>
      <c r="D61" s="357"/>
      <c r="E61" s="93">
        <v>0</v>
      </c>
      <c r="F61" s="87">
        <v>0</v>
      </c>
      <c r="G61" s="88">
        <v>0</v>
      </c>
      <c r="H61" s="89">
        <v>0</v>
      </c>
      <c r="I61" s="88">
        <v>30</v>
      </c>
      <c r="J61" s="89">
        <f t="shared" si="17"/>
        <v>4972.7751277683137</v>
      </c>
      <c r="K61" s="88">
        <v>9</v>
      </c>
      <c r="L61" s="90">
        <v>7737.2395363214837</v>
      </c>
      <c r="M61" s="88">
        <v>21</v>
      </c>
      <c r="N61" s="87">
        <f t="shared" si="3"/>
        <v>21178.440978077571</v>
      </c>
      <c r="O61" s="91">
        <v>132</v>
      </c>
      <c r="P61" s="89">
        <f t="shared" si="1"/>
        <v>30354.051838709674</v>
      </c>
      <c r="Q61" s="93">
        <v>31</v>
      </c>
      <c r="R61" s="89">
        <f t="shared" si="4"/>
        <v>24503.221098183301</v>
      </c>
      <c r="S61" s="88">
        <f t="shared" si="5"/>
        <v>223</v>
      </c>
      <c r="T61" s="92">
        <f t="shared" si="5"/>
        <v>88745.728579060349</v>
      </c>
      <c r="U61" s="116"/>
      <c r="V61" s="289">
        <f t="shared" si="16"/>
        <v>790.42648703817099</v>
      </c>
      <c r="W61" s="291">
        <f t="shared" si="16"/>
        <v>0</v>
      </c>
      <c r="X61" s="290">
        <f t="shared" si="16"/>
        <v>1008.4971894322654</v>
      </c>
      <c r="Y61" s="283"/>
      <c r="Z61" s="288">
        <f t="shared" si="16"/>
        <v>165.75917092561045</v>
      </c>
      <c r="AA61" s="286">
        <f t="shared" si="16"/>
        <v>229.954938172043</v>
      </c>
      <c r="AB61" s="281"/>
      <c r="AC61" s="281"/>
      <c r="AD61" s="276"/>
      <c r="AE61" s="276"/>
      <c r="AF61" s="276"/>
    </row>
    <row r="62" spans="1:32" x14ac:dyDescent="0.3">
      <c r="A62" s="86">
        <f t="shared" si="7"/>
        <v>58</v>
      </c>
      <c r="B62" s="354"/>
      <c r="C62" s="93" t="s">
        <v>479</v>
      </c>
      <c r="D62" s="357"/>
      <c r="E62" s="93">
        <v>0</v>
      </c>
      <c r="F62" s="87">
        <v>0</v>
      </c>
      <c r="G62" s="88">
        <v>0</v>
      </c>
      <c r="H62" s="89">
        <v>0</v>
      </c>
      <c r="I62" s="88">
        <v>58</v>
      </c>
      <c r="J62" s="89">
        <f t="shared" si="17"/>
        <v>9614.0319136854068</v>
      </c>
      <c r="K62" s="88">
        <v>4</v>
      </c>
      <c r="L62" s="90">
        <v>3438.7731272539927</v>
      </c>
      <c r="M62" s="88">
        <v>5</v>
      </c>
      <c r="N62" s="87">
        <f t="shared" si="3"/>
        <v>5042.4859471613272</v>
      </c>
      <c r="O62" s="91">
        <v>1</v>
      </c>
      <c r="P62" s="89">
        <f t="shared" si="1"/>
        <v>229.954938172043</v>
      </c>
      <c r="Q62" s="93">
        <v>27</v>
      </c>
      <c r="R62" s="89">
        <f t="shared" si="4"/>
        <v>21341.515150030616</v>
      </c>
      <c r="S62" s="88">
        <f t="shared" si="5"/>
        <v>95</v>
      </c>
      <c r="T62" s="92">
        <f t="shared" si="5"/>
        <v>39666.761076303388</v>
      </c>
      <c r="U62" s="116"/>
      <c r="V62" s="289">
        <f t="shared" si="16"/>
        <v>790.42648703817099</v>
      </c>
      <c r="W62" s="291">
        <f t="shared" si="16"/>
        <v>0</v>
      </c>
      <c r="X62" s="290">
        <f t="shared" si="16"/>
        <v>1008.4971894322654</v>
      </c>
      <c r="Y62" s="283"/>
      <c r="Z62" s="288">
        <f t="shared" si="16"/>
        <v>165.75917092561045</v>
      </c>
      <c r="AA62" s="286">
        <f t="shared" si="16"/>
        <v>229.954938172043</v>
      </c>
      <c r="AB62" s="281"/>
      <c r="AC62" s="281"/>
      <c r="AD62" s="276"/>
      <c r="AE62" s="276"/>
      <c r="AF62" s="276"/>
    </row>
    <row r="63" spans="1:32" x14ac:dyDescent="0.3">
      <c r="A63" s="86">
        <f t="shared" si="7"/>
        <v>59</v>
      </c>
      <c r="B63" s="354"/>
      <c r="C63" s="93" t="s">
        <v>480</v>
      </c>
      <c r="D63" s="357"/>
      <c r="E63" s="93">
        <v>0</v>
      </c>
      <c r="F63" s="87">
        <v>0</v>
      </c>
      <c r="G63" s="88">
        <v>0</v>
      </c>
      <c r="H63" s="89">
        <v>0</v>
      </c>
      <c r="I63" s="88">
        <v>31</v>
      </c>
      <c r="J63" s="89">
        <f t="shared" si="17"/>
        <v>5138.534298693924</v>
      </c>
      <c r="K63" s="88">
        <v>9</v>
      </c>
      <c r="L63" s="90">
        <v>7737.2395363214837</v>
      </c>
      <c r="M63" s="88">
        <v>10</v>
      </c>
      <c r="N63" s="87">
        <f t="shared" si="3"/>
        <v>10084.971894322654</v>
      </c>
      <c r="O63" s="91">
        <v>10</v>
      </c>
      <c r="P63" s="89">
        <f t="shared" si="1"/>
        <v>2299.5493817204301</v>
      </c>
      <c r="Q63" s="93">
        <v>44</v>
      </c>
      <c r="R63" s="89">
        <f t="shared" si="4"/>
        <v>34778.765429679523</v>
      </c>
      <c r="S63" s="88">
        <f t="shared" si="5"/>
        <v>104</v>
      </c>
      <c r="T63" s="92">
        <f t="shared" si="5"/>
        <v>60039.060540738014</v>
      </c>
      <c r="U63" s="116"/>
      <c r="V63" s="289">
        <f t="shared" si="16"/>
        <v>790.42648703817099</v>
      </c>
      <c r="W63" s="291">
        <f t="shared" si="16"/>
        <v>0</v>
      </c>
      <c r="X63" s="290">
        <f t="shared" si="16"/>
        <v>1008.4971894322654</v>
      </c>
      <c r="Y63" s="283"/>
      <c r="Z63" s="288">
        <f t="shared" si="16"/>
        <v>165.75917092561045</v>
      </c>
      <c r="AA63" s="286">
        <f t="shared" si="16"/>
        <v>229.954938172043</v>
      </c>
      <c r="AB63" s="281"/>
      <c r="AC63" s="281"/>
      <c r="AD63" s="276"/>
      <c r="AE63" s="276"/>
      <c r="AF63" s="276"/>
    </row>
    <row r="64" spans="1:32" x14ac:dyDescent="0.3">
      <c r="A64" s="86">
        <f t="shared" si="7"/>
        <v>60</v>
      </c>
      <c r="B64" s="354"/>
      <c r="C64" s="93" t="s">
        <v>481</v>
      </c>
      <c r="D64" s="357"/>
      <c r="E64" s="93">
        <v>0</v>
      </c>
      <c r="F64" s="87">
        <v>0</v>
      </c>
      <c r="G64" s="88">
        <v>51</v>
      </c>
      <c r="H64" s="89">
        <f>+G64*Y60</f>
        <v>5125.0934622937939</v>
      </c>
      <c r="I64" s="88">
        <v>31</v>
      </c>
      <c r="J64" s="89">
        <f t="shared" si="17"/>
        <v>5138.534298693924</v>
      </c>
      <c r="K64" s="88">
        <v>9</v>
      </c>
      <c r="L64" s="90">
        <v>7737.2395363214837</v>
      </c>
      <c r="M64" s="88">
        <v>35</v>
      </c>
      <c r="N64" s="87">
        <f t="shared" si="3"/>
        <v>35297.401630129287</v>
      </c>
      <c r="O64" s="91">
        <v>126</v>
      </c>
      <c r="P64" s="89">
        <f t="shared" si="1"/>
        <v>28974.322209677419</v>
      </c>
      <c r="Q64" s="93">
        <v>26</v>
      </c>
      <c r="R64" s="89">
        <f t="shared" si="4"/>
        <v>20551.088662992446</v>
      </c>
      <c r="S64" s="88">
        <f t="shared" si="5"/>
        <v>278</v>
      </c>
      <c r="T64" s="92">
        <f t="shared" si="5"/>
        <v>102823.67980010835</v>
      </c>
      <c r="U64" s="116"/>
      <c r="V64" s="289">
        <f t="shared" si="16"/>
        <v>790.42648703817099</v>
      </c>
      <c r="W64" s="291">
        <f t="shared" si="16"/>
        <v>0</v>
      </c>
      <c r="X64" s="290">
        <f t="shared" si="16"/>
        <v>1008.4971894322654</v>
      </c>
      <c r="Y64" s="283">
        <f>+Y60</f>
        <v>100.49202867242734</v>
      </c>
      <c r="Z64" s="288">
        <f t="shared" si="16"/>
        <v>165.75917092561045</v>
      </c>
      <c r="AA64" s="286">
        <f t="shared" si="16"/>
        <v>229.954938172043</v>
      </c>
      <c r="AB64" s="281"/>
      <c r="AC64" s="281"/>
      <c r="AD64" s="276"/>
      <c r="AE64" s="276"/>
      <c r="AF64" s="276"/>
    </row>
    <row r="65" spans="1:32" x14ac:dyDescent="0.3">
      <c r="A65" s="86">
        <f t="shared" si="7"/>
        <v>61</v>
      </c>
      <c r="B65" s="358" t="s">
        <v>482</v>
      </c>
      <c r="C65" s="93" t="s">
        <v>483</v>
      </c>
      <c r="D65" s="357"/>
      <c r="E65" s="93">
        <v>0</v>
      </c>
      <c r="F65" s="87">
        <v>0</v>
      </c>
      <c r="G65" s="88">
        <v>21</v>
      </c>
      <c r="H65" s="89">
        <f>+G65*Y64</f>
        <v>2110.3326021209741</v>
      </c>
      <c r="I65" s="88">
        <v>5</v>
      </c>
      <c r="J65" s="89">
        <f t="shared" si="17"/>
        <v>828.79585462805221</v>
      </c>
      <c r="K65" s="88">
        <v>1</v>
      </c>
      <c r="L65" s="90">
        <v>859.69328181349817</v>
      </c>
      <c r="M65" s="88">
        <v>23</v>
      </c>
      <c r="N65" s="87">
        <f t="shared" si="3"/>
        <v>23195.435356942104</v>
      </c>
      <c r="O65" s="91">
        <v>5</v>
      </c>
      <c r="P65" s="89">
        <f t="shared" si="1"/>
        <v>1149.7746908602151</v>
      </c>
      <c r="Q65" s="93">
        <v>26</v>
      </c>
      <c r="R65" s="89">
        <f t="shared" si="4"/>
        <v>20551.088662992446</v>
      </c>
      <c r="S65" s="88">
        <f t="shared" si="5"/>
        <v>81</v>
      </c>
      <c r="T65" s="92">
        <f t="shared" si="5"/>
        <v>48695.120449357288</v>
      </c>
      <c r="U65" s="116"/>
      <c r="V65" s="289">
        <f t="shared" si="16"/>
        <v>790.42648703817099</v>
      </c>
      <c r="W65" s="291">
        <f>+W64</f>
        <v>0</v>
      </c>
      <c r="X65" s="290">
        <f>+X64</f>
        <v>1008.4971894322654</v>
      </c>
      <c r="Y65" s="283">
        <f>+Y64</f>
        <v>100.49202867242734</v>
      </c>
      <c r="Z65" s="288">
        <f>+Z64</f>
        <v>165.75917092561045</v>
      </c>
      <c r="AA65" s="286">
        <f>+AA64</f>
        <v>229.954938172043</v>
      </c>
      <c r="AB65" s="281"/>
      <c r="AC65" s="281"/>
      <c r="AD65" s="276"/>
      <c r="AE65" s="276"/>
      <c r="AF65" s="276"/>
    </row>
    <row r="66" spans="1:32" x14ac:dyDescent="0.3">
      <c r="A66" s="86">
        <f t="shared" si="7"/>
        <v>62</v>
      </c>
      <c r="B66" s="358"/>
      <c r="C66" s="93" t="s">
        <v>484</v>
      </c>
      <c r="D66" s="357"/>
      <c r="E66" s="93">
        <v>0</v>
      </c>
      <c r="F66" s="87">
        <v>0</v>
      </c>
      <c r="G66" s="88">
        <v>13</v>
      </c>
      <c r="H66" s="89">
        <f>+G66*Y65</f>
        <v>1306.3963727415553</v>
      </c>
      <c r="I66" s="88">
        <v>18</v>
      </c>
      <c r="J66" s="89">
        <f t="shared" si="17"/>
        <v>2983.6650766609882</v>
      </c>
      <c r="K66" s="88">
        <v>4</v>
      </c>
      <c r="L66" s="90">
        <v>3438.7731272539927</v>
      </c>
      <c r="M66" s="88">
        <v>0</v>
      </c>
      <c r="N66" s="87">
        <f t="shared" si="3"/>
        <v>0</v>
      </c>
      <c r="O66" s="91">
        <v>5</v>
      </c>
      <c r="P66" s="89">
        <f t="shared" si="1"/>
        <v>1149.7746908602151</v>
      </c>
      <c r="Q66" s="93">
        <v>5</v>
      </c>
      <c r="R66" s="89">
        <f t="shared" si="4"/>
        <v>3952.1324351908552</v>
      </c>
      <c r="S66" s="88">
        <f t="shared" si="5"/>
        <v>45</v>
      </c>
      <c r="T66" s="92">
        <f t="shared" si="5"/>
        <v>12830.741702707606</v>
      </c>
      <c r="U66" s="116"/>
      <c r="V66" s="289">
        <f t="shared" si="16"/>
        <v>790.42648703817099</v>
      </c>
      <c r="W66" s="291">
        <f t="shared" si="16"/>
        <v>0</v>
      </c>
      <c r="X66" s="290">
        <f t="shared" si="16"/>
        <v>1008.4971894322654</v>
      </c>
      <c r="Y66" s="283">
        <f t="shared" si="16"/>
        <v>100.49202867242734</v>
      </c>
      <c r="Z66" s="288">
        <f t="shared" si="16"/>
        <v>165.75917092561045</v>
      </c>
      <c r="AA66" s="286">
        <f t="shared" si="16"/>
        <v>229.954938172043</v>
      </c>
      <c r="AB66" s="281"/>
      <c r="AC66" s="281"/>
      <c r="AD66" s="276"/>
      <c r="AE66" s="276"/>
      <c r="AF66" s="276"/>
    </row>
    <row r="67" spans="1:32" x14ac:dyDescent="0.3">
      <c r="A67" s="86">
        <f t="shared" si="7"/>
        <v>63</v>
      </c>
      <c r="B67" s="358"/>
      <c r="C67" s="93" t="s">
        <v>485</v>
      </c>
      <c r="D67" s="357"/>
      <c r="E67" s="93">
        <v>0</v>
      </c>
      <c r="F67" s="87">
        <v>0</v>
      </c>
      <c r="G67" s="88">
        <v>0</v>
      </c>
      <c r="H67" s="89">
        <v>0</v>
      </c>
      <c r="I67" s="88">
        <v>25</v>
      </c>
      <c r="J67" s="89">
        <f t="shared" si="17"/>
        <v>4143.9792731402613</v>
      </c>
      <c r="K67" s="88">
        <v>8</v>
      </c>
      <c r="L67" s="90">
        <v>6877.5462545079854</v>
      </c>
      <c r="M67" s="88">
        <v>1</v>
      </c>
      <c r="N67" s="87">
        <f t="shared" si="3"/>
        <v>1008.4971894322654</v>
      </c>
      <c r="O67" s="91">
        <v>20</v>
      </c>
      <c r="P67" s="89">
        <f t="shared" si="1"/>
        <v>4599.0987634408602</v>
      </c>
      <c r="Q67" s="93">
        <v>36</v>
      </c>
      <c r="R67" s="89">
        <f t="shared" si="4"/>
        <v>28455.353533374157</v>
      </c>
      <c r="S67" s="88">
        <f t="shared" si="5"/>
        <v>90</v>
      </c>
      <c r="T67" s="92">
        <f t="shared" si="5"/>
        <v>45084.475013895528</v>
      </c>
      <c r="U67" s="116"/>
      <c r="V67" s="289">
        <f t="shared" si="16"/>
        <v>790.42648703817099</v>
      </c>
      <c r="W67" s="291">
        <f t="shared" si="16"/>
        <v>0</v>
      </c>
      <c r="X67" s="290">
        <f t="shared" si="16"/>
        <v>1008.4971894322654</v>
      </c>
      <c r="Y67" s="283"/>
      <c r="Z67" s="288">
        <f t="shared" si="16"/>
        <v>165.75917092561045</v>
      </c>
      <c r="AA67" s="286">
        <f t="shared" si="16"/>
        <v>229.954938172043</v>
      </c>
      <c r="AB67" s="281"/>
      <c r="AC67" s="281"/>
      <c r="AD67" s="276"/>
      <c r="AE67" s="276"/>
      <c r="AF67" s="276"/>
    </row>
    <row r="68" spans="1:32" x14ac:dyDescent="0.3">
      <c r="A68" s="86">
        <f t="shared" si="7"/>
        <v>64</v>
      </c>
      <c r="B68" s="358"/>
      <c r="C68" s="93" t="s">
        <v>486</v>
      </c>
      <c r="D68" s="357"/>
      <c r="E68" s="93">
        <v>0</v>
      </c>
      <c r="F68" s="87">
        <v>0</v>
      </c>
      <c r="G68" s="88">
        <v>0</v>
      </c>
      <c r="H68" s="89">
        <v>0</v>
      </c>
      <c r="I68" s="88">
        <v>15</v>
      </c>
      <c r="J68" s="89">
        <f t="shared" si="17"/>
        <v>2486.3875638841569</v>
      </c>
      <c r="K68" s="88">
        <v>5</v>
      </c>
      <c r="L68" s="90">
        <v>4298.4664090674905</v>
      </c>
      <c r="M68" s="88">
        <v>4</v>
      </c>
      <c r="N68" s="87">
        <f t="shared" si="3"/>
        <v>4033.9887577290615</v>
      </c>
      <c r="O68" s="91">
        <v>18</v>
      </c>
      <c r="P68" s="89">
        <f t="shared" si="1"/>
        <v>4139.1888870967741</v>
      </c>
      <c r="Q68" s="93">
        <v>10</v>
      </c>
      <c r="R68" s="89">
        <f t="shared" si="4"/>
        <v>7904.2648703817104</v>
      </c>
      <c r="S68" s="88">
        <f t="shared" ref="S68:T131" si="18">+G68+I68+K68+M68+O68+Q68</f>
        <v>52</v>
      </c>
      <c r="T68" s="92">
        <f t="shared" si="18"/>
        <v>22862.296488159191</v>
      </c>
      <c r="U68" s="116"/>
      <c r="V68" s="289">
        <f t="shared" si="16"/>
        <v>790.42648703817099</v>
      </c>
      <c r="W68" s="291">
        <f t="shared" si="16"/>
        <v>0</v>
      </c>
      <c r="X68" s="290">
        <f t="shared" si="16"/>
        <v>1008.4971894322654</v>
      </c>
      <c r="Y68" s="283"/>
      <c r="Z68" s="288">
        <f t="shared" si="16"/>
        <v>165.75917092561045</v>
      </c>
      <c r="AA68" s="286">
        <f t="shared" si="16"/>
        <v>229.954938172043</v>
      </c>
      <c r="AB68" s="281"/>
      <c r="AC68" s="281"/>
      <c r="AD68" s="276"/>
      <c r="AE68" s="276"/>
      <c r="AF68" s="276"/>
    </row>
    <row r="69" spans="1:32" x14ac:dyDescent="0.3">
      <c r="A69" s="86">
        <f t="shared" si="7"/>
        <v>65</v>
      </c>
      <c r="B69" s="358"/>
      <c r="C69" s="93" t="s">
        <v>487</v>
      </c>
      <c r="D69" s="357"/>
      <c r="E69" s="93">
        <v>0</v>
      </c>
      <c r="F69" s="87">
        <v>0</v>
      </c>
      <c r="G69" s="88">
        <v>0</v>
      </c>
      <c r="H69" s="89">
        <v>0</v>
      </c>
      <c r="I69" s="88">
        <v>16</v>
      </c>
      <c r="J69" s="89">
        <f t="shared" si="17"/>
        <v>2652.1467348097672</v>
      </c>
      <c r="K69" s="88">
        <v>20</v>
      </c>
      <c r="L69" s="90">
        <v>17193.865636269962</v>
      </c>
      <c r="M69" s="88">
        <v>0</v>
      </c>
      <c r="N69" s="87">
        <f t="shared" si="3"/>
        <v>0</v>
      </c>
      <c r="O69" s="91">
        <v>14</v>
      </c>
      <c r="P69" s="89">
        <f t="shared" ref="P69:P131" si="19">+O69*AA69</f>
        <v>3219.3691344086019</v>
      </c>
      <c r="Q69" s="93">
        <v>30</v>
      </c>
      <c r="R69" s="89">
        <f t="shared" si="4"/>
        <v>23712.794611145131</v>
      </c>
      <c r="S69" s="88">
        <f t="shared" si="18"/>
        <v>80</v>
      </c>
      <c r="T69" s="92">
        <f t="shared" si="18"/>
        <v>46778.176116633462</v>
      </c>
      <c r="U69" s="116"/>
      <c r="V69" s="289">
        <f t="shared" si="16"/>
        <v>790.42648703817099</v>
      </c>
      <c r="W69" s="291">
        <f t="shared" si="16"/>
        <v>0</v>
      </c>
      <c r="X69" s="290">
        <f t="shared" si="16"/>
        <v>1008.4971894322654</v>
      </c>
      <c r="Y69" s="283"/>
      <c r="Z69" s="288">
        <f t="shared" si="16"/>
        <v>165.75917092561045</v>
      </c>
      <c r="AA69" s="286">
        <f t="shared" si="16"/>
        <v>229.954938172043</v>
      </c>
      <c r="AB69" s="281"/>
      <c r="AC69" s="281"/>
      <c r="AD69" s="276"/>
      <c r="AE69" s="276"/>
      <c r="AF69" s="276"/>
    </row>
    <row r="70" spans="1:32" x14ac:dyDescent="0.3">
      <c r="A70" s="86">
        <f t="shared" si="7"/>
        <v>66</v>
      </c>
      <c r="B70" s="358"/>
      <c r="C70" s="93" t="s">
        <v>488</v>
      </c>
      <c r="D70" s="357"/>
      <c r="E70" s="93">
        <v>0</v>
      </c>
      <c r="F70" s="87">
        <v>0</v>
      </c>
      <c r="G70" s="88">
        <v>57</v>
      </c>
      <c r="H70" s="89">
        <f>+G70*Y66</f>
        <v>5728.0456343283586</v>
      </c>
      <c r="I70" s="88">
        <v>80</v>
      </c>
      <c r="J70" s="89">
        <f t="shared" si="17"/>
        <v>13260.733674048835</v>
      </c>
      <c r="K70" s="88">
        <v>9</v>
      </c>
      <c r="L70" s="90">
        <v>7737.2395363214837</v>
      </c>
      <c r="M70" s="88">
        <v>26</v>
      </c>
      <c r="N70" s="87">
        <f t="shared" si="3"/>
        <v>26220.926925238899</v>
      </c>
      <c r="O70" s="91">
        <v>133</v>
      </c>
      <c r="P70" s="89">
        <f t="shared" si="19"/>
        <v>30584.006776881721</v>
      </c>
      <c r="Q70" s="93">
        <v>35</v>
      </c>
      <c r="R70" s="89">
        <f t="shared" ref="R70:R132" si="20">+Q70*V70</f>
        <v>27664.927046335986</v>
      </c>
      <c r="S70" s="88">
        <f t="shared" si="18"/>
        <v>340</v>
      </c>
      <c r="T70" s="92">
        <f t="shared" si="18"/>
        <v>111195.87959315529</v>
      </c>
      <c r="U70" s="116"/>
      <c r="V70" s="289">
        <f t="shared" ref="V70:Y85" si="21">+V69</f>
        <v>790.42648703817099</v>
      </c>
      <c r="W70" s="291">
        <f t="shared" si="21"/>
        <v>0</v>
      </c>
      <c r="X70" s="290">
        <f t="shared" si="21"/>
        <v>1008.4971894322654</v>
      </c>
      <c r="Y70" s="283">
        <f>+Y66</f>
        <v>100.49202867242734</v>
      </c>
      <c r="Z70" s="288">
        <f t="shared" ref="Z70:AA85" si="22">+Z69</f>
        <v>165.75917092561045</v>
      </c>
      <c r="AA70" s="286">
        <f t="shared" si="22"/>
        <v>229.954938172043</v>
      </c>
      <c r="AB70" s="281"/>
      <c r="AC70" s="281"/>
      <c r="AD70" s="276"/>
      <c r="AE70" s="276"/>
      <c r="AF70" s="276"/>
    </row>
    <row r="71" spans="1:32" x14ac:dyDescent="0.3">
      <c r="A71" s="86">
        <f t="shared" ref="A71:A132" si="23">+A70+1</f>
        <v>67</v>
      </c>
      <c r="B71" s="358" t="s">
        <v>489</v>
      </c>
      <c r="C71" s="93" t="s">
        <v>490</v>
      </c>
      <c r="D71" s="357"/>
      <c r="E71" s="93">
        <v>0</v>
      </c>
      <c r="F71" s="87">
        <v>0</v>
      </c>
      <c r="G71" s="88">
        <v>102</v>
      </c>
      <c r="H71" s="89">
        <f>+G71*Y70</f>
        <v>10250.186924587588</v>
      </c>
      <c r="I71" s="88">
        <v>274</v>
      </c>
      <c r="J71" s="89">
        <f t="shared" si="17"/>
        <v>45418.012833617264</v>
      </c>
      <c r="K71" s="88">
        <v>15</v>
      </c>
      <c r="L71" s="90">
        <v>12895.399227202473</v>
      </c>
      <c r="M71" s="88">
        <v>76</v>
      </c>
      <c r="N71" s="87">
        <f t="shared" si="3"/>
        <v>76645.786396852171</v>
      </c>
      <c r="O71" s="91">
        <v>261</v>
      </c>
      <c r="P71" s="89">
        <f t="shared" si="19"/>
        <v>60018.238862903221</v>
      </c>
      <c r="Q71" s="93">
        <v>139</v>
      </c>
      <c r="R71" s="89">
        <f t="shared" si="20"/>
        <v>109869.28169830577</v>
      </c>
      <c r="S71" s="88">
        <f t="shared" si="18"/>
        <v>867</v>
      </c>
      <c r="T71" s="92">
        <f t="shared" si="18"/>
        <v>315096.90594346845</v>
      </c>
      <c r="U71" s="116"/>
      <c r="V71" s="289">
        <f t="shared" si="21"/>
        <v>790.42648703817099</v>
      </c>
      <c r="W71" s="291">
        <f t="shared" si="21"/>
        <v>0</v>
      </c>
      <c r="X71" s="290">
        <f t="shared" si="21"/>
        <v>1008.4971894322654</v>
      </c>
      <c r="Y71" s="283">
        <f t="shared" si="21"/>
        <v>100.49202867242734</v>
      </c>
      <c r="Z71" s="288">
        <f t="shared" si="22"/>
        <v>165.75917092561045</v>
      </c>
      <c r="AA71" s="286">
        <f t="shared" si="22"/>
        <v>229.954938172043</v>
      </c>
      <c r="AB71" s="281"/>
      <c r="AC71" s="281"/>
      <c r="AD71" s="276"/>
      <c r="AE71" s="276"/>
      <c r="AF71" s="276"/>
    </row>
    <row r="72" spans="1:32" x14ac:dyDescent="0.3">
      <c r="A72" s="86">
        <f t="shared" si="23"/>
        <v>68</v>
      </c>
      <c r="B72" s="358"/>
      <c r="C72" s="93" t="s">
        <v>491</v>
      </c>
      <c r="D72" s="357"/>
      <c r="E72" s="93">
        <v>0</v>
      </c>
      <c r="F72" s="87">
        <v>0</v>
      </c>
      <c r="G72" s="88">
        <v>50</v>
      </c>
      <c r="H72" s="89">
        <f>+G72*Y71</f>
        <v>5024.6014336213666</v>
      </c>
      <c r="I72" s="88">
        <v>113</v>
      </c>
      <c r="J72" s="89">
        <f t="shared" si="17"/>
        <v>18730.786314593981</v>
      </c>
      <c r="K72" s="88">
        <v>0</v>
      </c>
      <c r="L72" s="90">
        <v>0</v>
      </c>
      <c r="M72" s="88">
        <v>38</v>
      </c>
      <c r="N72" s="87">
        <f t="shared" si="3"/>
        <v>38322.893198426085</v>
      </c>
      <c r="O72" s="91">
        <v>125</v>
      </c>
      <c r="P72" s="89">
        <f t="shared" si="19"/>
        <v>28744.367271505376</v>
      </c>
      <c r="Q72" s="93">
        <v>4</v>
      </c>
      <c r="R72" s="89">
        <f t="shared" si="20"/>
        <v>3161.705948152684</v>
      </c>
      <c r="S72" s="88">
        <f t="shared" si="18"/>
        <v>330</v>
      </c>
      <c r="T72" s="92">
        <f t="shared" si="18"/>
        <v>93984.354166299498</v>
      </c>
      <c r="U72" s="116"/>
      <c r="V72" s="289">
        <f t="shared" si="21"/>
        <v>790.42648703817099</v>
      </c>
      <c r="W72" s="291">
        <f t="shared" si="21"/>
        <v>0</v>
      </c>
      <c r="X72" s="290">
        <f t="shared" si="21"/>
        <v>1008.4971894322654</v>
      </c>
      <c r="Y72" s="283">
        <f t="shared" si="21"/>
        <v>100.49202867242734</v>
      </c>
      <c r="Z72" s="288">
        <f t="shared" si="22"/>
        <v>165.75917092561045</v>
      </c>
      <c r="AA72" s="286">
        <f t="shared" si="22"/>
        <v>229.954938172043</v>
      </c>
      <c r="AB72" s="281"/>
      <c r="AC72" s="281"/>
      <c r="AD72" s="276"/>
      <c r="AE72" s="276"/>
      <c r="AF72" s="276"/>
    </row>
    <row r="73" spans="1:32" x14ac:dyDescent="0.3">
      <c r="A73" s="86">
        <f t="shared" si="23"/>
        <v>69</v>
      </c>
      <c r="B73" s="358"/>
      <c r="C73" s="93" t="s">
        <v>492</v>
      </c>
      <c r="D73" s="357"/>
      <c r="E73" s="93">
        <v>0</v>
      </c>
      <c r="F73" s="87">
        <v>0</v>
      </c>
      <c r="G73" s="88">
        <v>30</v>
      </c>
      <c r="H73" s="89">
        <f>+G73*Y72</f>
        <v>3014.7608601728202</v>
      </c>
      <c r="I73" s="88">
        <v>154</v>
      </c>
      <c r="J73" s="89">
        <f t="shared" si="17"/>
        <v>25526.912322544009</v>
      </c>
      <c r="K73" s="88">
        <v>70</v>
      </c>
      <c r="L73" s="90">
        <v>60178.529726944871</v>
      </c>
      <c r="M73" s="88">
        <v>47</v>
      </c>
      <c r="N73" s="87">
        <f t="shared" si="3"/>
        <v>47399.367903316474</v>
      </c>
      <c r="O73" s="91">
        <v>130</v>
      </c>
      <c r="P73" s="89">
        <f t="shared" si="19"/>
        <v>29894.141962365589</v>
      </c>
      <c r="Q73" s="93">
        <v>127</v>
      </c>
      <c r="R73" s="89">
        <f t="shared" si="20"/>
        <v>100384.16385384771</v>
      </c>
      <c r="S73" s="88">
        <f t="shared" si="18"/>
        <v>558</v>
      </c>
      <c r="T73" s="92">
        <f t="shared" si="18"/>
        <v>266397.87662919145</v>
      </c>
      <c r="U73" s="116"/>
      <c r="V73" s="289">
        <f t="shared" si="21"/>
        <v>790.42648703817099</v>
      </c>
      <c r="W73" s="291">
        <f t="shared" si="21"/>
        <v>0</v>
      </c>
      <c r="X73" s="290">
        <f t="shared" si="21"/>
        <v>1008.4971894322654</v>
      </c>
      <c r="Y73" s="283">
        <f t="shared" si="21"/>
        <v>100.49202867242734</v>
      </c>
      <c r="Z73" s="288">
        <f t="shared" si="22"/>
        <v>165.75917092561045</v>
      </c>
      <c r="AA73" s="286">
        <f t="shared" si="22"/>
        <v>229.954938172043</v>
      </c>
      <c r="AB73" s="281"/>
      <c r="AC73" s="281"/>
      <c r="AD73" s="276"/>
      <c r="AE73" s="276"/>
      <c r="AF73" s="276"/>
    </row>
    <row r="74" spans="1:32" x14ac:dyDescent="0.3">
      <c r="A74" s="86">
        <f t="shared" si="23"/>
        <v>70</v>
      </c>
      <c r="B74" s="358"/>
      <c r="C74" s="93" t="s">
        <v>493</v>
      </c>
      <c r="D74" s="357"/>
      <c r="E74" s="93">
        <v>0</v>
      </c>
      <c r="F74" s="87">
        <v>0</v>
      </c>
      <c r="G74" s="88">
        <v>0</v>
      </c>
      <c r="H74" s="89">
        <v>0</v>
      </c>
      <c r="I74" s="88">
        <v>207</v>
      </c>
      <c r="J74" s="89">
        <f t="shared" si="17"/>
        <v>34312.148381601364</v>
      </c>
      <c r="K74" s="88">
        <v>20</v>
      </c>
      <c r="L74" s="90">
        <v>17193.865636269962</v>
      </c>
      <c r="M74" s="88">
        <v>40</v>
      </c>
      <c r="N74" s="87">
        <f t="shared" si="3"/>
        <v>40339.887577290618</v>
      </c>
      <c r="O74" s="91">
        <v>147</v>
      </c>
      <c r="P74" s="89">
        <f t="shared" si="19"/>
        <v>33803.375911290321</v>
      </c>
      <c r="Q74" s="93">
        <v>157</v>
      </c>
      <c r="R74" s="89">
        <f t="shared" si="20"/>
        <v>124096.95846499284</v>
      </c>
      <c r="S74" s="88">
        <f t="shared" si="18"/>
        <v>571</v>
      </c>
      <c r="T74" s="92">
        <f t="shared" si="18"/>
        <v>249746.2359714451</v>
      </c>
      <c r="U74" s="116"/>
      <c r="V74" s="289">
        <f t="shared" si="21"/>
        <v>790.42648703817099</v>
      </c>
      <c r="W74" s="291">
        <f t="shared" si="21"/>
        <v>0</v>
      </c>
      <c r="X74" s="290">
        <f t="shared" si="21"/>
        <v>1008.4971894322654</v>
      </c>
      <c r="Y74" s="283"/>
      <c r="Z74" s="288">
        <f t="shared" si="22"/>
        <v>165.75917092561045</v>
      </c>
      <c r="AA74" s="286">
        <f t="shared" si="22"/>
        <v>229.954938172043</v>
      </c>
      <c r="AB74" s="281"/>
      <c r="AC74" s="281"/>
      <c r="AD74" s="276"/>
      <c r="AE74" s="276"/>
      <c r="AF74" s="276"/>
    </row>
    <row r="75" spans="1:32" x14ac:dyDescent="0.3">
      <c r="A75" s="86">
        <f t="shared" si="23"/>
        <v>71</v>
      </c>
      <c r="B75" s="358"/>
      <c r="C75" s="93" t="s">
        <v>494</v>
      </c>
      <c r="D75" s="357"/>
      <c r="E75" s="93">
        <v>0</v>
      </c>
      <c r="F75" s="87">
        <v>0</v>
      </c>
      <c r="G75" s="88">
        <v>0</v>
      </c>
      <c r="H75" s="89">
        <v>0</v>
      </c>
      <c r="I75" s="88">
        <v>300</v>
      </c>
      <c r="J75" s="89">
        <f t="shared" si="17"/>
        <v>49727.751277683135</v>
      </c>
      <c r="K75" s="88">
        <v>39</v>
      </c>
      <c r="L75" s="90">
        <v>33528.037990726429</v>
      </c>
      <c r="M75" s="88">
        <v>20</v>
      </c>
      <c r="N75" s="87">
        <f t="shared" si="3"/>
        <v>20169.943788645309</v>
      </c>
      <c r="O75" s="91">
        <v>289</v>
      </c>
      <c r="P75" s="89">
        <f t="shared" si="19"/>
        <v>66456.977131720429</v>
      </c>
      <c r="Q75" s="93">
        <v>256</v>
      </c>
      <c r="R75" s="89">
        <f t="shared" si="20"/>
        <v>202349.18068177177</v>
      </c>
      <c r="S75" s="88">
        <f t="shared" si="18"/>
        <v>904</v>
      </c>
      <c r="T75" s="92">
        <f t="shared" si="18"/>
        <v>372231.8908705471</v>
      </c>
      <c r="U75" s="116"/>
      <c r="V75" s="289">
        <f t="shared" si="21"/>
        <v>790.42648703817099</v>
      </c>
      <c r="W75" s="291">
        <f t="shared" si="21"/>
        <v>0</v>
      </c>
      <c r="X75" s="290">
        <f t="shared" si="21"/>
        <v>1008.4971894322654</v>
      </c>
      <c r="Y75" s="283"/>
      <c r="Z75" s="288">
        <f t="shared" si="22"/>
        <v>165.75917092561045</v>
      </c>
      <c r="AA75" s="286">
        <f t="shared" si="22"/>
        <v>229.954938172043</v>
      </c>
      <c r="AB75" s="281"/>
      <c r="AC75" s="281"/>
      <c r="AD75" s="276"/>
      <c r="AE75" s="276"/>
      <c r="AF75" s="276"/>
    </row>
    <row r="76" spans="1:32" x14ac:dyDescent="0.3">
      <c r="A76" s="86">
        <f t="shared" si="23"/>
        <v>72</v>
      </c>
      <c r="B76" s="358"/>
      <c r="C76" s="93" t="s">
        <v>495</v>
      </c>
      <c r="D76" s="357"/>
      <c r="E76" s="93">
        <v>0</v>
      </c>
      <c r="F76" s="87">
        <v>0</v>
      </c>
      <c r="G76" s="88">
        <v>60</v>
      </c>
      <c r="H76" s="89">
        <f>+G76*Y73</f>
        <v>6029.5217203456405</v>
      </c>
      <c r="I76" s="88">
        <v>120</v>
      </c>
      <c r="J76" s="89">
        <f t="shared" si="17"/>
        <v>19891.100511073255</v>
      </c>
      <c r="K76" s="88">
        <v>0</v>
      </c>
      <c r="L76" s="90">
        <v>0</v>
      </c>
      <c r="M76" s="88">
        <v>0</v>
      </c>
      <c r="N76" s="87">
        <f t="shared" si="3"/>
        <v>0</v>
      </c>
      <c r="O76" s="91">
        <v>157</v>
      </c>
      <c r="P76" s="89">
        <f t="shared" si="19"/>
        <v>36102.925293010754</v>
      </c>
      <c r="Q76" s="93">
        <v>70</v>
      </c>
      <c r="R76" s="89">
        <f t="shared" si="20"/>
        <v>55329.854092671972</v>
      </c>
      <c r="S76" s="88">
        <f t="shared" si="18"/>
        <v>407</v>
      </c>
      <c r="T76" s="92">
        <f t="shared" si="18"/>
        <v>117353.40161710163</v>
      </c>
      <c r="U76" s="116"/>
      <c r="V76" s="289">
        <f t="shared" si="21"/>
        <v>790.42648703817099</v>
      </c>
      <c r="W76" s="291">
        <f t="shared" si="21"/>
        <v>0</v>
      </c>
      <c r="X76" s="290">
        <f t="shared" si="21"/>
        <v>1008.4971894322654</v>
      </c>
      <c r="Y76" s="283">
        <f>+Y73</f>
        <v>100.49202867242734</v>
      </c>
      <c r="Z76" s="288">
        <f t="shared" si="22"/>
        <v>165.75917092561045</v>
      </c>
      <c r="AA76" s="286">
        <f t="shared" si="22"/>
        <v>229.954938172043</v>
      </c>
      <c r="AB76" s="281"/>
      <c r="AC76" s="281"/>
      <c r="AD76" s="276"/>
      <c r="AE76" s="276"/>
      <c r="AF76" s="276"/>
    </row>
    <row r="77" spans="1:32" x14ac:dyDescent="0.3">
      <c r="A77" s="86">
        <f t="shared" si="23"/>
        <v>73</v>
      </c>
      <c r="B77" s="353" t="s">
        <v>496</v>
      </c>
      <c r="C77" s="93" t="s">
        <v>497</v>
      </c>
      <c r="D77" s="357"/>
      <c r="E77" s="93">
        <v>0</v>
      </c>
      <c r="F77" s="87">
        <v>0</v>
      </c>
      <c r="G77" s="88">
        <v>0</v>
      </c>
      <c r="H77" s="89">
        <v>0</v>
      </c>
      <c r="I77" s="88">
        <v>32</v>
      </c>
      <c r="J77" s="89">
        <f t="shared" si="17"/>
        <v>5304.2934696195343</v>
      </c>
      <c r="K77" s="88">
        <v>9</v>
      </c>
      <c r="L77" s="90">
        <v>7737.2395363214837</v>
      </c>
      <c r="M77" s="88">
        <v>2</v>
      </c>
      <c r="N77" s="87">
        <f t="shared" si="3"/>
        <v>2016.9943788645307</v>
      </c>
      <c r="O77" s="91">
        <v>4</v>
      </c>
      <c r="P77" s="89">
        <f t="shared" si="19"/>
        <v>919.819752688172</v>
      </c>
      <c r="Q77" s="93">
        <v>11</v>
      </c>
      <c r="R77" s="89">
        <f t="shared" si="20"/>
        <v>8694.6913574198807</v>
      </c>
      <c r="S77" s="88">
        <f t="shared" si="18"/>
        <v>58</v>
      </c>
      <c r="T77" s="92">
        <f t="shared" si="18"/>
        <v>24673.038494913602</v>
      </c>
      <c r="U77" s="116"/>
      <c r="V77" s="289">
        <f t="shared" si="21"/>
        <v>790.42648703817099</v>
      </c>
      <c r="W77" s="291">
        <f t="shared" si="21"/>
        <v>0</v>
      </c>
      <c r="X77" s="290">
        <f t="shared" si="21"/>
        <v>1008.4971894322654</v>
      </c>
      <c r="Y77" s="283"/>
      <c r="Z77" s="288">
        <f>+Z76</f>
        <v>165.75917092561045</v>
      </c>
      <c r="AA77" s="286">
        <f t="shared" si="22"/>
        <v>229.954938172043</v>
      </c>
      <c r="AB77" s="281"/>
      <c r="AC77" s="281"/>
      <c r="AD77" s="276"/>
      <c r="AE77" s="276"/>
      <c r="AF77" s="276"/>
    </row>
    <row r="78" spans="1:32" x14ac:dyDescent="0.3">
      <c r="A78" s="86">
        <f t="shared" si="23"/>
        <v>74</v>
      </c>
      <c r="B78" s="354"/>
      <c r="C78" s="93" t="s">
        <v>498</v>
      </c>
      <c r="D78" s="357"/>
      <c r="E78" s="93">
        <v>0</v>
      </c>
      <c r="F78" s="87">
        <v>0</v>
      </c>
      <c r="G78" s="88">
        <v>0</v>
      </c>
      <c r="H78" s="89">
        <v>0</v>
      </c>
      <c r="I78" s="88">
        <v>30</v>
      </c>
      <c r="J78" s="89">
        <f t="shared" si="17"/>
        <v>4972.7751277683137</v>
      </c>
      <c r="K78" s="88">
        <v>14</v>
      </c>
      <c r="L78" s="90">
        <v>12035.705945388974</v>
      </c>
      <c r="M78" s="88">
        <v>14</v>
      </c>
      <c r="N78" s="87">
        <f t="shared" ref="N78:N132" si="24">+M78*X78</f>
        <v>14118.960652051715</v>
      </c>
      <c r="O78" s="91">
        <v>3</v>
      </c>
      <c r="P78" s="89">
        <f t="shared" si="19"/>
        <v>689.86481451612894</v>
      </c>
      <c r="Q78" s="93">
        <v>6</v>
      </c>
      <c r="R78" s="89">
        <f t="shared" si="20"/>
        <v>4742.5589222290255</v>
      </c>
      <c r="S78" s="88">
        <f t="shared" si="18"/>
        <v>67</v>
      </c>
      <c r="T78" s="92">
        <f t="shared" si="18"/>
        <v>36559.865461954156</v>
      </c>
      <c r="U78" s="116"/>
      <c r="V78" s="289">
        <f t="shared" si="21"/>
        <v>790.42648703817099</v>
      </c>
      <c r="W78" s="291">
        <f t="shared" si="21"/>
        <v>0</v>
      </c>
      <c r="X78" s="290">
        <f t="shared" si="21"/>
        <v>1008.4971894322654</v>
      </c>
      <c r="Y78" s="283"/>
      <c r="Z78" s="288">
        <f t="shared" si="22"/>
        <v>165.75917092561045</v>
      </c>
      <c r="AA78" s="286">
        <f t="shared" si="22"/>
        <v>229.954938172043</v>
      </c>
      <c r="AB78" s="281"/>
      <c r="AC78" s="281"/>
      <c r="AD78" s="276"/>
      <c r="AE78" s="276"/>
      <c r="AF78" s="276"/>
    </row>
    <row r="79" spans="1:32" x14ac:dyDescent="0.3">
      <c r="A79" s="86">
        <f t="shared" si="23"/>
        <v>75</v>
      </c>
      <c r="B79" s="354"/>
      <c r="C79" s="93" t="s">
        <v>496</v>
      </c>
      <c r="D79" s="357"/>
      <c r="E79" s="93">
        <v>0</v>
      </c>
      <c r="F79" s="87">
        <v>0</v>
      </c>
      <c r="G79" s="88">
        <v>25</v>
      </c>
      <c r="H79" s="89">
        <f>+G79*Y76</f>
        <v>2512.3007168106833</v>
      </c>
      <c r="I79" s="88">
        <v>11</v>
      </c>
      <c r="J79" s="89">
        <f t="shared" si="17"/>
        <v>1823.350880181715</v>
      </c>
      <c r="K79" s="88">
        <v>11</v>
      </c>
      <c r="L79" s="90">
        <v>9456.6260999484803</v>
      </c>
      <c r="M79" s="88">
        <v>9</v>
      </c>
      <c r="N79" s="87">
        <f t="shared" si="24"/>
        <v>9076.4747048903882</v>
      </c>
      <c r="O79" s="91">
        <v>1</v>
      </c>
      <c r="P79" s="89">
        <f t="shared" si="19"/>
        <v>229.954938172043</v>
      </c>
      <c r="Q79" s="93">
        <v>2</v>
      </c>
      <c r="R79" s="89">
        <f t="shared" si="20"/>
        <v>1580.852974076342</v>
      </c>
      <c r="S79" s="88">
        <f t="shared" si="18"/>
        <v>59</v>
      </c>
      <c r="T79" s="92">
        <f t="shared" si="18"/>
        <v>24679.560314079652</v>
      </c>
      <c r="U79" s="116"/>
      <c r="V79" s="289">
        <f t="shared" si="21"/>
        <v>790.42648703817099</v>
      </c>
      <c r="W79" s="291">
        <f t="shared" si="21"/>
        <v>0</v>
      </c>
      <c r="X79" s="290">
        <f t="shared" si="21"/>
        <v>1008.4971894322654</v>
      </c>
      <c r="Y79" s="283">
        <f>+Y76</f>
        <v>100.49202867242734</v>
      </c>
      <c r="Z79" s="288">
        <f t="shared" si="22"/>
        <v>165.75917092561045</v>
      </c>
      <c r="AA79" s="286">
        <f t="shared" si="22"/>
        <v>229.954938172043</v>
      </c>
      <c r="AB79" s="281"/>
      <c r="AC79" s="281"/>
      <c r="AD79" s="276"/>
      <c r="AE79" s="276"/>
      <c r="AF79" s="276"/>
    </row>
    <row r="80" spans="1:32" x14ac:dyDescent="0.3">
      <c r="A80" s="86">
        <f t="shared" si="23"/>
        <v>76</v>
      </c>
      <c r="B80" s="354"/>
      <c r="C80" s="93" t="s">
        <v>499</v>
      </c>
      <c r="D80" s="357"/>
      <c r="E80" s="93">
        <v>0</v>
      </c>
      <c r="F80" s="87">
        <v>0</v>
      </c>
      <c r="G80" s="88">
        <v>0</v>
      </c>
      <c r="H80" s="89">
        <v>0</v>
      </c>
      <c r="I80" s="88">
        <v>0</v>
      </c>
      <c r="J80" s="89">
        <f t="shared" si="17"/>
        <v>0</v>
      </c>
      <c r="K80" s="88">
        <v>0</v>
      </c>
      <c r="L80" s="90">
        <v>0</v>
      </c>
      <c r="M80" s="88">
        <v>0</v>
      </c>
      <c r="N80" s="87">
        <f t="shared" si="24"/>
        <v>0</v>
      </c>
      <c r="O80" s="91">
        <v>5</v>
      </c>
      <c r="P80" s="89">
        <f t="shared" si="19"/>
        <v>1149.7746908602151</v>
      </c>
      <c r="Q80" s="93">
        <v>48</v>
      </c>
      <c r="R80" s="89">
        <f t="shared" si="20"/>
        <v>37940.471377832204</v>
      </c>
      <c r="S80" s="88">
        <f t="shared" si="18"/>
        <v>53</v>
      </c>
      <c r="T80" s="92">
        <f t="shared" si="18"/>
        <v>39090.246068692417</v>
      </c>
      <c r="U80" s="116"/>
      <c r="V80" s="289">
        <f t="shared" si="21"/>
        <v>790.42648703817099</v>
      </c>
      <c r="W80" s="291">
        <f t="shared" si="21"/>
        <v>0</v>
      </c>
      <c r="X80" s="290">
        <f t="shared" si="21"/>
        <v>1008.4971894322654</v>
      </c>
      <c r="Y80" s="283"/>
      <c r="Z80" s="288"/>
      <c r="AA80" s="286">
        <f t="shared" si="22"/>
        <v>229.954938172043</v>
      </c>
      <c r="AB80" s="281"/>
      <c r="AC80" s="281"/>
      <c r="AD80" s="276"/>
      <c r="AE80" s="276"/>
      <c r="AF80" s="276"/>
    </row>
    <row r="81" spans="1:32" x14ac:dyDescent="0.3">
      <c r="A81" s="86">
        <f t="shared" si="23"/>
        <v>77</v>
      </c>
      <c r="B81" s="354"/>
      <c r="C81" s="93" t="s">
        <v>500</v>
      </c>
      <c r="D81" s="357"/>
      <c r="E81" s="93">
        <v>0</v>
      </c>
      <c r="F81" s="87">
        <v>0</v>
      </c>
      <c r="G81" s="88">
        <v>0</v>
      </c>
      <c r="H81" s="89">
        <v>0</v>
      </c>
      <c r="I81" s="88">
        <v>0</v>
      </c>
      <c r="J81" s="89">
        <f t="shared" si="17"/>
        <v>0</v>
      </c>
      <c r="K81" s="88">
        <v>0</v>
      </c>
      <c r="L81" s="90">
        <v>0</v>
      </c>
      <c r="M81" s="88">
        <v>0</v>
      </c>
      <c r="N81" s="87">
        <f t="shared" si="24"/>
        <v>0</v>
      </c>
      <c r="O81" s="91">
        <v>0</v>
      </c>
      <c r="P81" s="89">
        <f t="shared" si="19"/>
        <v>0</v>
      </c>
      <c r="Q81" s="93">
        <v>0</v>
      </c>
      <c r="R81" s="89">
        <f t="shared" si="20"/>
        <v>0</v>
      </c>
      <c r="S81" s="88">
        <f t="shared" si="18"/>
        <v>0</v>
      </c>
      <c r="T81" s="92">
        <f t="shared" si="18"/>
        <v>0</v>
      </c>
      <c r="U81" s="116"/>
      <c r="V81" s="289">
        <f t="shared" si="21"/>
        <v>790.42648703817099</v>
      </c>
      <c r="W81" s="291">
        <f t="shared" si="21"/>
        <v>0</v>
      </c>
      <c r="X81" s="290">
        <f t="shared" si="21"/>
        <v>1008.4971894322654</v>
      </c>
      <c r="Y81" s="283"/>
      <c r="Z81" s="288"/>
      <c r="AA81" s="286">
        <f t="shared" si="22"/>
        <v>229.954938172043</v>
      </c>
      <c r="AB81" s="281"/>
      <c r="AC81" s="281"/>
      <c r="AD81" s="276"/>
      <c r="AE81" s="276"/>
      <c r="AF81" s="276"/>
    </row>
    <row r="82" spans="1:32" x14ac:dyDescent="0.3">
      <c r="A82" s="86">
        <f t="shared" si="23"/>
        <v>78</v>
      </c>
      <c r="B82" s="354"/>
      <c r="C82" s="93" t="s">
        <v>501</v>
      </c>
      <c r="D82" s="357"/>
      <c r="E82" s="93">
        <v>0</v>
      </c>
      <c r="F82" s="87">
        <v>0</v>
      </c>
      <c r="G82" s="88">
        <v>0</v>
      </c>
      <c r="H82" s="89">
        <v>0</v>
      </c>
      <c r="I82" s="88">
        <v>0</v>
      </c>
      <c r="J82" s="89">
        <f t="shared" si="17"/>
        <v>0</v>
      </c>
      <c r="K82" s="88">
        <v>0</v>
      </c>
      <c r="L82" s="90">
        <v>0</v>
      </c>
      <c r="M82" s="88">
        <v>0</v>
      </c>
      <c r="N82" s="87">
        <f t="shared" si="24"/>
        <v>0</v>
      </c>
      <c r="O82" s="91">
        <v>0</v>
      </c>
      <c r="P82" s="89">
        <f t="shared" si="19"/>
        <v>0</v>
      </c>
      <c r="Q82" s="93">
        <v>0</v>
      </c>
      <c r="R82" s="89">
        <f t="shared" si="20"/>
        <v>0</v>
      </c>
      <c r="S82" s="88">
        <f t="shared" si="18"/>
        <v>0</v>
      </c>
      <c r="T82" s="92">
        <f t="shared" si="18"/>
        <v>0</v>
      </c>
      <c r="U82" s="116"/>
      <c r="V82" s="289">
        <f t="shared" si="21"/>
        <v>790.42648703817099</v>
      </c>
      <c r="W82" s="291">
        <f t="shared" si="21"/>
        <v>0</v>
      </c>
      <c r="X82" s="290">
        <f t="shared" si="21"/>
        <v>1008.4971894322654</v>
      </c>
      <c r="Y82" s="283"/>
      <c r="Z82" s="288"/>
      <c r="AA82" s="286">
        <f t="shared" si="22"/>
        <v>229.954938172043</v>
      </c>
      <c r="AB82" s="281"/>
      <c r="AC82" s="281"/>
      <c r="AD82" s="276"/>
      <c r="AE82" s="276"/>
      <c r="AF82" s="276"/>
    </row>
    <row r="83" spans="1:32" x14ac:dyDescent="0.3">
      <c r="A83" s="86">
        <f t="shared" si="23"/>
        <v>79</v>
      </c>
      <c r="B83" s="354"/>
      <c r="C83" s="93" t="s">
        <v>502</v>
      </c>
      <c r="D83" s="357"/>
      <c r="E83" s="93">
        <v>0</v>
      </c>
      <c r="F83" s="87">
        <v>0</v>
      </c>
      <c r="G83" s="88">
        <v>0</v>
      </c>
      <c r="H83" s="89">
        <v>0</v>
      </c>
      <c r="I83" s="88">
        <v>0</v>
      </c>
      <c r="J83" s="89">
        <f t="shared" si="17"/>
        <v>0</v>
      </c>
      <c r="K83" s="88">
        <v>0</v>
      </c>
      <c r="L83" s="90">
        <v>0</v>
      </c>
      <c r="M83" s="88">
        <v>0</v>
      </c>
      <c r="N83" s="87">
        <f t="shared" si="24"/>
        <v>0</v>
      </c>
      <c r="O83" s="91">
        <v>0</v>
      </c>
      <c r="P83" s="89">
        <f t="shared" si="19"/>
        <v>0</v>
      </c>
      <c r="Q83" s="93">
        <v>0</v>
      </c>
      <c r="R83" s="89">
        <f t="shared" si="20"/>
        <v>0</v>
      </c>
      <c r="S83" s="88">
        <f t="shared" si="18"/>
        <v>0</v>
      </c>
      <c r="T83" s="92">
        <f t="shared" si="18"/>
        <v>0</v>
      </c>
      <c r="U83" s="116"/>
      <c r="V83" s="289">
        <f t="shared" si="21"/>
        <v>790.42648703817099</v>
      </c>
      <c r="W83" s="291">
        <f t="shared" si="21"/>
        <v>0</v>
      </c>
      <c r="X83" s="290">
        <f t="shared" si="21"/>
        <v>1008.4971894322654</v>
      </c>
      <c r="Y83" s="283"/>
      <c r="Z83" s="288"/>
      <c r="AA83" s="286">
        <f t="shared" si="22"/>
        <v>229.954938172043</v>
      </c>
      <c r="AB83" s="281"/>
      <c r="AC83" s="281"/>
      <c r="AD83" s="276"/>
      <c r="AE83" s="276"/>
      <c r="AF83" s="276"/>
    </row>
    <row r="84" spans="1:32" x14ac:dyDescent="0.3">
      <c r="A84" s="86">
        <f t="shared" si="23"/>
        <v>80</v>
      </c>
      <c r="B84" s="355"/>
      <c r="C84" s="93" t="s">
        <v>503</v>
      </c>
      <c r="D84" s="357"/>
      <c r="E84" s="93">
        <v>0</v>
      </c>
      <c r="F84" s="87">
        <v>0</v>
      </c>
      <c r="G84" s="88">
        <v>0</v>
      </c>
      <c r="H84" s="89">
        <v>0</v>
      </c>
      <c r="I84" s="88">
        <v>0</v>
      </c>
      <c r="J84" s="89">
        <f t="shared" si="17"/>
        <v>0</v>
      </c>
      <c r="K84" s="88">
        <v>0</v>
      </c>
      <c r="L84" s="90">
        <v>0</v>
      </c>
      <c r="M84" s="88">
        <v>0</v>
      </c>
      <c r="N84" s="87">
        <f t="shared" si="24"/>
        <v>0</v>
      </c>
      <c r="O84" s="91">
        <v>0</v>
      </c>
      <c r="P84" s="89">
        <f t="shared" si="19"/>
        <v>0</v>
      </c>
      <c r="Q84" s="93">
        <v>0</v>
      </c>
      <c r="R84" s="89">
        <f t="shared" si="20"/>
        <v>0</v>
      </c>
      <c r="S84" s="88">
        <f t="shared" si="18"/>
        <v>0</v>
      </c>
      <c r="T84" s="92">
        <f t="shared" si="18"/>
        <v>0</v>
      </c>
      <c r="U84" s="116"/>
      <c r="V84" s="289">
        <f t="shared" si="21"/>
        <v>790.42648703817099</v>
      </c>
      <c r="W84" s="291">
        <f t="shared" si="21"/>
        <v>0</v>
      </c>
      <c r="X84" s="290">
        <f t="shared" si="21"/>
        <v>1008.4971894322654</v>
      </c>
      <c r="Y84" s="283"/>
      <c r="Z84" s="288"/>
      <c r="AA84" s="286">
        <f t="shared" si="22"/>
        <v>229.954938172043</v>
      </c>
      <c r="AB84" s="281"/>
      <c r="AC84" s="281"/>
      <c r="AD84" s="276"/>
      <c r="AE84" s="276"/>
      <c r="AF84" s="276"/>
    </row>
    <row r="85" spans="1:32" x14ac:dyDescent="0.3">
      <c r="A85" s="86">
        <f t="shared" si="23"/>
        <v>81</v>
      </c>
      <c r="B85" s="358" t="s">
        <v>504</v>
      </c>
      <c r="C85" s="93" t="s">
        <v>505</v>
      </c>
      <c r="D85" s="357"/>
      <c r="E85" s="93">
        <v>0</v>
      </c>
      <c r="F85" s="87">
        <v>0</v>
      </c>
      <c r="G85" s="88">
        <v>20</v>
      </c>
      <c r="H85" s="89">
        <f>+G85*Y79</f>
        <v>2009.8405734485468</v>
      </c>
      <c r="I85" s="88">
        <v>66</v>
      </c>
      <c r="J85" s="89">
        <f t="shared" si="17"/>
        <v>10940.105281090289</v>
      </c>
      <c r="K85" s="88">
        <v>58</v>
      </c>
      <c r="L85" s="90">
        <v>49862.210345182895</v>
      </c>
      <c r="M85" s="88">
        <v>36</v>
      </c>
      <c r="N85" s="87">
        <f t="shared" si="24"/>
        <v>36305.898819561553</v>
      </c>
      <c r="O85" s="91">
        <v>186</v>
      </c>
      <c r="P85" s="89">
        <f t="shared" si="19"/>
        <v>42771.618499999997</v>
      </c>
      <c r="Q85" s="93">
        <v>153</v>
      </c>
      <c r="R85" s="89">
        <f t="shared" si="20"/>
        <v>120935.25251684016</v>
      </c>
      <c r="S85" s="88">
        <f t="shared" si="18"/>
        <v>519</v>
      </c>
      <c r="T85" s="92">
        <f t="shared" si="18"/>
        <v>262824.92603612348</v>
      </c>
      <c r="U85" s="116"/>
      <c r="V85" s="289">
        <f t="shared" si="21"/>
        <v>790.42648703817099</v>
      </c>
      <c r="W85" s="291">
        <f t="shared" si="21"/>
        <v>0</v>
      </c>
      <c r="X85" s="290">
        <f t="shared" si="21"/>
        <v>1008.4971894322654</v>
      </c>
      <c r="Y85" s="283">
        <f>+Y79</f>
        <v>100.49202867242734</v>
      </c>
      <c r="Z85" s="288">
        <f>+Z79</f>
        <v>165.75917092561045</v>
      </c>
      <c r="AA85" s="286">
        <f t="shared" si="22"/>
        <v>229.954938172043</v>
      </c>
      <c r="AB85" s="281"/>
      <c r="AC85" s="281"/>
      <c r="AD85" s="276"/>
      <c r="AE85" s="276"/>
      <c r="AF85" s="276"/>
    </row>
    <row r="86" spans="1:32" x14ac:dyDescent="0.3">
      <c r="A86" s="86">
        <f t="shared" si="23"/>
        <v>82</v>
      </c>
      <c r="B86" s="358"/>
      <c r="C86" s="93" t="s">
        <v>506</v>
      </c>
      <c r="D86" s="357"/>
      <c r="E86" s="93">
        <v>0</v>
      </c>
      <c r="F86" s="87">
        <v>0</v>
      </c>
      <c r="G86" s="88">
        <v>21</v>
      </c>
      <c r="H86" s="89">
        <f>+G86*Y85</f>
        <v>2110.3326021209741</v>
      </c>
      <c r="I86" s="88">
        <v>200</v>
      </c>
      <c r="J86" s="89">
        <f t="shared" si="17"/>
        <v>33151.83418512209</v>
      </c>
      <c r="K86" s="88">
        <v>69</v>
      </c>
      <c r="L86" s="90">
        <v>59318.836445131376</v>
      </c>
      <c r="M86" s="88">
        <v>1</v>
      </c>
      <c r="N86" s="87">
        <f t="shared" si="24"/>
        <v>1008.4971894322654</v>
      </c>
      <c r="O86" s="91">
        <v>162</v>
      </c>
      <c r="P86" s="89">
        <f t="shared" si="19"/>
        <v>37252.699983870967</v>
      </c>
      <c r="Q86" s="93">
        <v>125</v>
      </c>
      <c r="R86" s="89">
        <f t="shared" si="20"/>
        <v>98803.310879771379</v>
      </c>
      <c r="S86" s="88">
        <f t="shared" si="18"/>
        <v>578</v>
      </c>
      <c r="T86" s="92">
        <f t="shared" si="18"/>
        <v>231645.51128544903</v>
      </c>
      <c r="U86" s="116"/>
      <c r="V86" s="289">
        <f t="shared" ref="V86:AA101" si="25">+V85</f>
        <v>790.42648703817099</v>
      </c>
      <c r="W86" s="291">
        <f t="shared" si="25"/>
        <v>0</v>
      </c>
      <c r="X86" s="290">
        <f t="shared" si="25"/>
        <v>1008.4971894322654</v>
      </c>
      <c r="Y86" s="283">
        <f t="shared" si="25"/>
        <v>100.49202867242734</v>
      </c>
      <c r="Z86" s="288">
        <f t="shared" si="25"/>
        <v>165.75917092561045</v>
      </c>
      <c r="AA86" s="286">
        <f t="shared" si="25"/>
        <v>229.954938172043</v>
      </c>
      <c r="AB86" s="281"/>
      <c r="AC86" s="281"/>
      <c r="AD86" s="276"/>
      <c r="AE86" s="276"/>
      <c r="AF86" s="276"/>
    </row>
    <row r="87" spans="1:32" x14ac:dyDescent="0.3">
      <c r="A87" s="86">
        <f t="shared" si="23"/>
        <v>83</v>
      </c>
      <c r="B87" s="358"/>
      <c r="C87" s="93" t="s">
        <v>504</v>
      </c>
      <c r="D87" s="357"/>
      <c r="E87" s="93">
        <v>0</v>
      </c>
      <c r="F87" s="87">
        <v>0</v>
      </c>
      <c r="G87" s="88">
        <v>0</v>
      </c>
      <c r="H87" s="89">
        <f>+G87*Y86</f>
        <v>0</v>
      </c>
      <c r="I87" s="88">
        <v>46</v>
      </c>
      <c r="J87" s="89">
        <f t="shared" si="17"/>
        <v>7624.9218625780804</v>
      </c>
      <c r="K87" s="88">
        <v>79</v>
      </c>
      <c r="L87" s="90">
        <v>67915.769263266353</v>
      </c>
      <c r="M87" s="88">
        <v>45</v>
      </c>
      <c r="N87" s="87">
        <f t="shared" si="24"/>
        <v>45382.373524451941</v>
      </c>
      <c r="O87" s="91">
        <v>212</v>
      </c>
      <c r="P87" s="89">
        <f t="shared" si="19"/>
        <v>48750.446892473119</v>
      </c>
      <c r="Q87" s="93">
        <v>203</v>
      </c>
      <c r="R87" s="89">
        <f t="shared" si="20"/>
        <v>160456.5768687487</v>
      </c>
      <c r="S87" s="88">
        <f t="shared" si="18"/>
        <v>585</v>
      </c>
      <c r="T87" s="92">
        <f t="shared" si="18"/>
        <v>330130.0884115182</v>
      </c>
      <c r="U87" s="116"/>
      <c r="V87" s="289">
        <f t="shared" si="25"/>
        <v>790.42648703817099</v>
      </c>
      <c r="W87" s="291">
        <f t="shared" si="25"/>
        <v>0</v>
      </c>
      <c r="X87" s="290">
        <f t="shared" si="25"/>
        <v>1008.4971894322654</v>
      </c>
      <c r="Y87" s="283">
        <f t="shared" si="25"/>
        <v>100.49202867242734</v>
      </c>
      <c r="Z87" s="288">
        <f t="shared" si="25"/>
        <v>165.75917092561045</v>
      </c>
      <c r="AA87" s="286">
        <f t="shared" si="25"/>
        <v>229.954938172043</v>
      </c>
      <c r="AB87" s="281"/>
      <c r="AC87" s="281"/>
      <c r="AD87" s="276"/>
      <c r="AE87" s="276"/>
      <c r="AF87" s="276"/>
    </row>
    <row r="88" spans="1:32" x14ac:dyDescent="0.3">
      <c r="A88" s="86">
        <f t="shared" si="23"/>
        <v>84</v>
      </c>
      <c r="B88" s="358"/>
      <c r="C88" s="93" t="s">
        <v>507</v>
      </c>
      <c r="D88" s="357"/>
      <c r="E88" s="93">
        <v>0</v>
      </c>
      <c r="F88" s="87">
        <v>0</v>
      </c>
      <c r="G88" s="88">
        <v>0</v>
      </c>
      <c r="H88" s="89">
        <v>0</v>
      </c>
      <c r="I88" s="88">
        <v>13</v>
      </c>
      <c r="J88" s="89">
        <f t="shared" si="17"/>
        <v>2154.8692220329358</v>
      </c>
      <c r="K88" s="88">
        <v>10</v>
      </c>
      <c r="L88" s="90">
        <v>8596.9328181349811</v>
      </c>
      <c r="M88" s="88">
        <v>52</v>
      </c>
      <c r="N88" s="87">
        <f t="shared" si="24"/>
        <v>52441.853850477797</v>
      </c>
      <c r="O88" s="91">
        <v>5</v>
      </c>
      <c r="P88" s="89">
        <f t="shared" si="19"/>
        <v>1149.7746908602151</v>
      </c>
      <c r="Q88" s="93">
        <v>148</v>
      </c>
      <c r="R88" s="89">
        <f t="shared" si="20"/>
        <v>116983.12008164931</v>
      </c>
      <c r="S88" s="88">
        <f t="shared" si="18"/>
        <v>228</v>
      </c>
      <c r="T88" s="92">
        <f t="shared" si="18"/>
        <v>181326.55066315524</v>
      </c>
      <c r="U88" s="116"/>
      <c r="V88" s="289">
        <f t="shared" si="25"/>
        <v>790.42648703817099</v>
      </c>
      <c r="W88" s="291">
        <f t="shared" si="25"/>
        <v>0</v>
      </c>
      <c r="X88" s="290">
        <f t="shared" si="25"/>
        <v>1008.4971894322654</v>
      </c>
      <c r="Y88" s="283"/>
      <c r="Z88" s="288">
        <f t="shared" si="25"/>
        <v>165.75917092561045</v>
      </c>
      <c r="AA88" s="286">
        <f t="shared" si="25"/>
        <v>229.954938172043</v>
      </c>
      <c r="AB88" s="281"/>
      <c r="AC88" s="281"/>
      <c r="AD88" s="276"/>
      <c r="AE88" s="276"/>
      <c r="AF88" s="276"/>
    </row>
    <row r="89" spans="1:32" x14ac:dyDescent="0.3">
      <c r="A89" s="86">
        <f t="shared" si="23"/>
        <v>85</v>
      </c>
      <c r="B89" s="358"/>
      <c r="C89" s="93" t="s">
        <v>508</v>
      </c>
      <c r="D89" s="357"/>
      <c r="E89" s="93">
        <v>0</v>
      </c>
      <c r="F89" s="87">
        <v>0</v>
      </c>
      <c r="G89" s="88">
        <v>18</v>
      </c>
      <c r="H89" s="89">
        <f>+G89*Y87</f>
        <v>1808.856516103692</v>
      </c>
      <c r="I89" s="88">
        <v>152</v>
      </c>
      <c r="J89" s="89">
        <f t="shared" si="17"/>
        <v>25195.393980692788</v>
      </c>
      <c r="K89" s="88">
        <v>60</v>
      </c>
      <c r="L89" s="90">
        <v>51581.596908809894</v>
      </c>
      <c r="M89" s="88">
        <v>37</v>
      </c>
      <c r="N89" s="87">
        <f t="shared" si="24"/>
        <v>37314.396008993819</v>
      </c>
      <c r="O89" s="91">
        <v>175</v>
      </c>
      <c r="P89" s="89">
        <f t="shared" si="19"/>
        <v>40242.114180107528</v>
      </c>
      <c r="Q89" s="93">
        <v>133</v>
      </c>
      <c r="R89" s="89">
        <f t="shared" si="20"/>
        <v>105126.72277607674</v>
      </c>
      <c r="S89" s="88">
        <f t="shared" si="18"/>
        <v>575</v>
      </c>
      <c r="T89" s="92">
        <f t="shared" si="18"/>
        <v>261269.08037078445</v>
      </c>
      <c r="U89" s="116"/>
      <c r="V89" s="289">
        <f t="shared" si="25"/>
        <v>790.42648703817099</v>
      </c>
      <c r="W89" s="291">
        <f t="shared" si="25"/>
        <v>0</v>
      </c>
      <c r="X89" s="290">
        <f t="shared" si="25"/>
        <v>1008.4971894322654</v>
      </c>
      <c r="Y89" s="283">
        <f>+Y87</f>
        <v>100.49202867242734</v>
      </c>
      <c r="Z89" s="288">
        <f t="shared" si="25"/>
        <v>165.75917092561045</v>
      </c>
      <c r="AA89" s="286">
        <f t="shared" si="25"/>
        <v>229.954938172043</v>
      </c>
      <c r="AB89" s="281"/>
      <c r="AC89" s="281"/>
      <c r="AD89" s="276"/>
      <c r="AE89" s="276"/>
      <c r="AF89" s="276"/>
    </row>
    <row r="90" spans="1:32" x14ac:dyDescent="0.3">
      <c r="A90" s="86">
        <f t="shared" si="23"/>
        <v>86</v>
      </c>
      <c r="B90" s="358" t="s">
        <v>509</v>
      </c>
      <c r="C90" s="93" t="s">
        <v>510</v>
      </c>
      <c r="D90" s="357"/>
      <c r="E90" s="93">
        <v>0</v>
      </c>
      <c r="F90" s="87">
        <v>0</v>
      </c>
      <c r="G90" s="88">
        <v>18</v>
      </c>
      <c r="H90" s="89">
        <f t="shared" ref="H90:H97" si="26">+G90*Y89</f>
        <v>1808.856516103692</v>
      </c>
      <c r="I90" s="88">
        <v>6</v>
      </c>
      <c r="J90" s="89">
        <f t="shared" si="17"/>
        <v>994.55502555366274</v>
      </c>
      <c r="K90" s="88">
        <v>48</v>
      </c>
      <c r="L90" s="90">
        <v>41265.277527047911</v>
      </c>
      <c r="M90" s="88">
        <v>22</v>
      </c>
      <c r="N90" s="87">
        <f t="shared" si="24"/>
        <v>22186.938167509838</v>
      </c>
      <c r="O90" s="91">
        <v>122</v>
      </c>
      <c r="P90" s="89">
        <f t="shared" si="19"/>
        <v>28054.502456989245</v>
      </c>
      <c r="Q90" s="93">
        <v>102</v>
      </c>
      <c r="R90" s="89">
        <f t="shared" si="20"/>
        <v>80623.501677893437</v>
      </c>
      <c r="S90" s="88">
        <f t="shared" si="18"/>
        <v>318</v>
      </c>
      <c r="T90" s="92">
        <f t="shared" si="18"/>
        <v>174933.63137109778</v>
      </c>
      <c r="U90" s="116"/>
      <c r="V90" s="289">
        <f t="shared" si="25"/>
        <v>790.42648703817099</v>
      </c>
      <c r="W90" s="291">
        <f t="shared" si="25"/>
        <v>0</v>
      </c>
      <c r="X90" s="290">
        <f t="shared" si="25"/>
        <v>1008.4971894322654</v>
      </c>
      <c r="Y90" s="283">
        <f t="shared" si="25"/>
        <v>100.49202867242734</v>
      </c>
      <c r="Z90" s="288">
        <f t="shared" si="25"/>
        <v>165.75917092561045</v>
      </c>
      <c r="AA90" s="286">
        <f t="shared" si="25"/>
        <v>229.954938172043</v>
      </c>
      <c r="AB90" s="281"/>
      <c r="AC90" s="281"/>
      <c r="AD90" s="276"/>
      <c r="AE90" s="276"/>
      <c r="AF90" s="276"/>
    </row>
    <row r="91" spans="1:32" x14ac:dyDescent="0.3">
      <c r="A91" s="86">
        <f t="shared" si="23"/>
        <v>87</v>
      </c>
      <c r="B91" s="358"/>
      <c r="C91" s="93" t="s">
        <v>511</v>
      </c>
      <c r="D91" s="357"/>
      <c r="E91" s="93">
        <v>0</v>
      </c>
      <c r="F91" s="87">
        <v>0</v>
      </c>
      <c r="G91" s="88">
        <v>28</v>
      </c>
      <c r="H91" s="89">
        <f t="shared" si="26"/>
        <v>2813.7768028279656</v>
      </c>
      <c r="I91" s="88">
        <v>142</v>
      </c>
      <c r="J91" s="89">
        <f t="shared" si="17"/>
        <v>23537.802271436685</v>
      </c>
      <c r="K91" s="88">
        <v>18</v>
      </c>
      <c r="L91" s="90">
        <v>15474.479072642967</v>
      </c>
      <c r="M91" s="88">
        <v>10</v>
      </c>
      <c r="N91" s="87">
        <f t="shared" si="24"/>
        <v>10084.971894322654</v>
      </c>
      <c r="O91" s="91">
        <v>120</v>
      </c>
      <c r="P91" s="89">
        <f t="shared" si="19"/>
        <v>27594.59258064516</v>
      </c>
      <c r="Q91" s="93">
        <v>100</v>
      </c>
      <c r="R91" s="89">
        <f t="shared" si="20"/>
        <v>79042.648703817104</v>
      </c>
      <c r="S91" s="88">
        <f t="shared" si="18"/>
        <v>418</v>
      </c>
      <c r="T91" s="92">
        <f t="shared" si="18"/>
        <v>158548.27132569253</v>
      </c>
      <c r="U91" s="116"/>
      <c r="V91" s="289">
        <f t="shared" si="25"/>
        <v>790.42648703817099</v>
      </c>
      <c r="W91" s="291">
        <f t="shared" si="25"/>
        <v>0</v>
      </c>
      <c r="X91" s="290">
        <f t="shared" si="25"/>
        <v>1008.4971894322654</v>
      </c>
      <c r="Y91" s="283">
        <f t="shared" si="25"/>
        <v>100.49202867242734</v>
      </c>
      <c r="Z91" s="288">
        <f t="shared" si="25"/>
        <v>165.75917092561045</v>
      </c>
      <c r="AA91" s="286">
        <f t="shared" si="25"/>
        <v>229.954938172043</v>
      </c>
      <c r="AB91" s="281"/>
      <c r="AC91" s="281"/>
      <c r="AD91" s="276"/>
      <c r="AE91" s="276"/>
      <c r="AF91" s="276"/>
    </row>
    <row r="92" spans="1:32" x14ac:dyDescent="0.3">
      <c r="A92" s="86">
        <f t="shared" si="23"/>
        <v>88</v>
      </c>
      <c r="B92" s="358"/>
      <c r="C92" s="93" t="s">
        <v>512</v>
      </c>
      <c r="D92" s="357"/>
      <c r="E92" s="93">
        <v>0</v>
      </c>
      <c r="F92" s="87">
        <v>0</v>
      </c>
      <c r="G92" s="88">
        <v>46</v>
      </c>
      <c r="H92" s="89">
        <f t="shared" si="26"/>
        <v>4622.6333189316574</v>
      </c>
      <c r="I92" s="88">
        <v>131</v>
      </c>
      <c r="J92" s="89">
        <f t="shared" si="17"/>
        <v>21714.45139125497</v>
      </c>
      <c r="K92" s="88">
        <v>9</v>
      </c>
      <c r="L92" s="90">
        <v>7737.2395363214837</v>
      </c>
      <c r="M92" s="88">
        <v>3</v>
      </c>
      <c r="N92" s="87">
        <f t="shared" si="24"/>
        <v>3025.4915682967962</v>
      </c>
      <c r="O92" s="91">
        <v>120</v>
      </c>
      <c r="P92" s="89">
        <f t="shared" si="19"/>
        <v>27594.59258064516</v>
      </c>
      <c r="Q92" s="93">
        <v>104</v>
      </c>
      <c r="R92" s="89">
        <f t="shared" si="20"/>
        <v>82204.354651969785</v>
      </c>
      <c r="S92" s="88">
        <f t="shared" si="18"/>
        <v>413</v>
      </c>
      <c r="T92" s="92">
        <f t="shared" si="18"/>
        <v>146898.76304741984</v>
      </c>
      <c r="U92" s="116"/>
      <c r="V92" s="289">
        <f t="shared" si="25"/>
        <v>790.42648703817099</v>
      </c>
      <c r="W92" s="291">
        <f t="shared" si="25"/>
        <v>0</v>
      </c>
      <c r="X92" s="290">
        <f t="shared" si="25"/>
        <v>1008.4971894322654</v>
      </c>
      <c r="Y92" s="283">
        <f t="shared" si="25"/>
        <v>100.49202867242734</v>
      </c>
      <c r="Z92" s="288">
        <f t="shared" si="25"/>
        <v>165.75917092561045</v>
      </c>
      <c r="AA92" s="286">
        <f t="shared" si="25"/>
        <v>229.954938172043</v>
      </c>
      <c r="AB92" s="281"/>
      <c r="AC92" s="281"/>
      <c r="AD92" s="276"/>
      <c r="AE92" s="276"/>
      <c r="AF92" s="276"/>
    </row>
    <row r="93" spans="1:32" x14ac:dyDescent="0.3">
      <c r="A93" s="86">
        <f t="shared" si="23"/>
        <v>89</v>
      </c>
      <c r="B93" s="358"/>
      <c r="C93" s="93" t="s">
        <v>513</v>
      </c>
      <c r="D93" s="357"/>
      <c r="E93" s="93">
        <v>0</v>
      </c>
      <c r="F93" s="87">
        <v>0</v>
      </c>
      <c r="G93" s="88">
        <v>32</v>
      </c>
      <c r="H93" s="89">
        <f t="shared" si="26"/>
        <v>3215.7449175176748</v>
      </c>
      <c r="I93" s="88">
        <v>122</v>
      </c>
      <c r="J93" s="89">
        <f t="shared" si="17"/>
        <v>20222.618852924476</v>
      </c>
      <c r="K93" s="88">
        <v>5</v>
      </c>
      <c r="L93" s="90">
        <v>4298.4664090674905</v>
      </c>
      <c r="M93" s="88">
        <v>0</v>
      </c>
      <c r="N93" s="87">
        <f t="shared" si="24"/>
        <v>0</v>
      </c>
      <c r="O93" s="91">
        <v>0</v>
      </c>
      <c r="P93" s="89">
        <f t="shared" si="19"/>
        <v>0</v>
      </c>
      <c r="Q93" s="93">
        <v>102</v>
      </c>
      <c r="R93" s="89">
        <f t="shared" si="20"/>
        <v>80623.501677893437</v>
      </c>
      <c r="S93" s="88">
        <f t="shared" si="18"/>
        <v>261</v>
      </c>
      <c r="T93" s="92">
        <f t="shared" si="18"/>
        <v>108360.33185740307</v>
      </c>
      <c r="U93" s="116"/>
      <c r="V93" s="289">
        <f t="shared" si="25"/>
        <v>790.42648703817099</v>
      </c>
      <c r="W93" s="291">
        <f t="shared" si="25"/>
        <v>0</v>
      </c>
      <c r="X93" s="290">
        <f t="shared" si="25"/>
        <v>1008.4971894322654</v>
      </c>
      <c r="Y93" s="283">
        <f t="shared" si="25"/>
        <v>100.49202867242734</v>
      </c>
      <c r="Z93" s="288">
        <f t="shared" si="25"/>
        <v>165.75917092561045</v>
      </c>
      <c r="AA93" s="286">
        <f t="shared" si="25"/>
        <v>229.954938172043</v>
      </c>
      <c r="AB93" s="281"/>
      <c r="AC93" s="281"/>
      <c r="AD93" s="276"/>
      <c r="AE93" s="276"/>
      <c r="AF93" s="276"/>
    </row>
    <row r="94" spans="1:32" x14ac:dyDescent="0.3">
      <c r="A94" s="86">
        <f t="shared" si="23"/>
        <v>90</v>
      </c>
      <c r="B94" s="358"/>
      <c r="C94" s="93" t="s">
        <v>514</v>
      </c>
      <c r="D94" s="357"/>
      <c r="E94" s="93">
        <v>0</v>
      </c>
      <c r="F94" s="87">
        <v>0</v>
      </c>
      <c r="G94" s="88">
        <v>67</v>
      </c>
      <c r="H94" s="89">
        <f t="shared" si="26"/>
        <v>6732.9659210526315</v>
      </c>
      <c r="I94" s="88">
        <v>118</v>
      </c>
      <c r="J94" s="89">
        <f t="shared" si="17"/>
        <v>19559.582169222034</v>
      </c>
      <c r="K94" s="88">
        <v>13</v>
      </c>
      <c r="L94" s="90">
        <v>11176.012663575477</v>
      </c>
      <c r="M94" s="88">
        <v>9</v>
      </c>
      <c r="N94" s="87">
        <f t="shared" si="24"/>
        <v>9076.4747048903882</v>
      </c>
      <c r="O94" s="91">
        <v>142</v>
      </c>
      <c r="P94" s="89">
        <f t="shared" si="19"/>
        <v>32653.601220430108</v>
      </c>
      <c r="Q94" s="93">
        <v>103</v>
      </c>
      <c r="R94" s="89">
        <f t="shared" si="20"/>
        <v>81413.928164931611</v>
      </c>
      <c r="S94" s="88">
        <f t="shared" si="18"/>
        <v>452</v>
      </c>
      <c r="T94" s="92">
        <f t="shared" si="18"/>
        <v>160612.56484410225</v>
      </c>
      <c r="U94" s="116"/>
      <c r="V94" s="289">
        <f t="shared" si="25"/>
        <v>790.42648703817099</v>
      </c>
      <c r="W94" s="291">
        <f t="shared" si="25"/>
        <v>0</v>
      </c>
      <c r="X94" s="290">
        <f t="shared" si="25"/>
        <v>1008.4971894322654</v>
      </c>
      <c r="Y94" s="283">
        <f t="shared" si="25"/>
        <v>100.49202867242734</v>
      </c>
      <c r="Z94" s="288">
        <f t="shared" si="25"/>
        <v>165.75917092561045</v>
      </c>
      <c r="AA94" s="286">
        <f t="shared" si="25"/>
        <v>229.954938172043</v>
      </c>
      <c r="AB94" s="281"/>
      <c r="AC94" s="281"/>
      <c r="AD94" s="276"/>
      <c r="AE94" s="276"/>
      <c r="AF94" s="276"/>
    </row>
    <row r="95" spans="1:32" x14ac:dyDescent="0.3">
      <c r="A95" s="86">
        <f t="shared" si="23"/>
        <v>91</v>
      </c>
      <c r="B95" s="358" t="s">
        <v>515</v>
      </c>
      <c r="C95" s="93" t="s">
        <v>515</v>
      </c>
      <c r="D95" s="357"/>
      <c r="E95" s="93">
        <v>0</v>
      </c>
      <c r="F95" s="87">
        <v>0</v>
      </c>
      <c r="G95" s="88">
        <v>39</v>
      </c>
      <c r="H95" s="89">
        <f t="shared" si="26"/>
        <v>3919.1891182246663</v>
      </c>
      <c r="I95" s="88">
        <v>183</v>
      </c>
      <c r="J95" s="89">
        <f t="shared" si="17"/>
        <v>30333.928279386713</v>
      </c>
      <c r="K95" s="88">
        <v>48</v>
      </c>
      <c r="L95" s="90">
        <v>41265.277527047911</v>
      </c>
      <c r="M95" s="88">
        <v>16</v>
      </c>
      <c r="N95" s="87">
        <f t="shared" si="24"/>
        <v>16135.955030916246</v>
      </c>
      <c r="O95" s="91">
        <v>251</v>
      </c>
      <c r="P95" s="89">
        <f t="shared" si="19"/>
        <v>57718.689481182795</v>
      </c>
      <c r="Q95" s="93">
        <v>21</v>
      </c>
      <c r="R95" s="89">
        <f t="shared" si="20"/>
        <v>16598.956227801591</v>
      </c>
      <c r="S95" s="88">
        <f t="shared" si="18"/>
        <v>558</v>
      </c>
      <c r="T95" s="92">
        <f t="shared" si="18"/>
        <v>165971.99566455992</v>
      </c>
      <c r="U95" s="116"/>
      <c r="V95" s="289">
        <f t="shared" si="25"/>
        <v>790.42648703817099</v>
      </c>
      <c r="W95" s="291">
        <f t="shared" si="25"/>
        <v>0</v>
      </c>
      <c r="X95" s="290">
        <f t="shared" si="25"/>
        <v>1008.4971894322654</v>
      </c>
      <c r="Y95" s="283">
        <f t="shared" si="25"/>
        <v>100.49202867242734</v>
      </c>
      <c r="Z95" s="288">
        <f t="shared" si="25"/>
        <v>165.75917092561045</v>
      </c>
      <c r="AA95" s="286">
        <f t="shared" si="25"/>
        <v>229.954938172043</v>
      </c>
      <c r="AB95" s="281"/>
      <c r="AC95" s="281"/>
      <c r="AD95" s="276"/>
      <c r="AE95" s="276"/>
      <c r="AF95" s="276"/>
    </row>
    <row r="96" spans="1:32" x14ac:dyDescent="0.3">
      <c r="A96" s="86">
        <f t="shared" si="23"/>
        <v>92</v>
      </c>
      <c r="B96" s="358"/>
      <c r="C96" s="93" t="s">
        <v>516</v>
      </c>
      <c r="D96" s="357"/>
      <c r="E96" s="93">
        <v>0</v>
      </c>
      <c r="F96" s="87">
        <v>0</v>
      </c>
      <c r="G96" s="88">
        <v>56</v>
      </c>
      <c r="H96" s="89">
        <f t="shared" si="26"/>
        <v>5627.5536056559313</v>
      </c>
      <c r="I96" s="88">
        <v>184</v>
      </c>
      <c r="J96" s="89">
        <f t="shared" si="17"/>
        <v>30499.687450312322</v>
      </c>
      <c r="K96" s="88">
        <v>96</v>
      </c>
      <c r="L96" s="90">
        <v>82530.555054095821</v>
      </c>
      <c r="M96" s="88">
        <v>7</v>
      </c>
      <c r="N96" s="87">
        <f t="shared" si="24"/>
        <v>7059.4803260258577</v>
      </c>
      <c r="O96" s="91">
        <v>250</v>
      </c>
      <c r="P96" s="89">
        <f t="shared" si="19"/>
        <v>57488.734543010753</v>
      </c>
      <c r="Q96" s="93">
        <v>14</v>
      </c>
      <c r="R96" s="89">
        <f t="shared" si="20"/>
        <v>11065.970818534393</v>
      </c>
      <c r="S96" s="88">
        <f t="shared" si="18"/>
        <v>607</v>
      </c>
      <c r="T96" s="92">
        <f t="shared" si="18"/>
        <v>194271.98179763512</v>
      </c>
      <c r="U96" s="116"/>
      <c r="V96" s="289">
        <f t="shared" si="25"/>
        <v>790.42648703817099</v>
      </c>
      <c r="W96" s="291">
        <f t="shared" si="25"/>
        <v>0</v>
      </c>
      <c r="X96" s="290">
        <f t="shared" si="25"/>
        <v>1008.4971894322654</v>
      </c>
      <c r="Y96" s="283">
        <f t="shared" si="25"/>
        <v>100.49202867242734</v>
      </c>
      <c r="Z96" s="288">
        <f t="shared" si="25"/>
        <v>165.75917092561045</v>
      </c>
      <c r="AA96" s="286">
        <f t="shared" si="25"/>
        <v>229.954938172043</v>
      </c>
      <c r="AB96" s="281"/>
      <c r="AC96" s="281"/>
      <c r="AD96" s="276"/>
      <c r="AE96" s="276"/>
      <c r="AF96" s="276"/>
    </row>
    <row r="97" spans="1:32" x14ac:dyDescent="0.3">
      <c r="A97" s="86">
        <f t="shared" si="23"/>
        <v>93</v>
      </c>
      <c r="B97" s="358"/>
      <c r="C97" s="93" t="s">
        <v>517</v>
      </c>
      <c r="D97" s="357"/>
      <c r="E97" s="93">
        <v>0</v>
      </c>
      <c r="F97" s="87">
        <v>0</v>
      </c>
      <c r="G97" s="88">
        <v>94</v>
      </c>
      <c r="H97" s="89">
        <f t="shared" si="26"/>
        <v>9446.2506952081694</v>
      </c>
      <c r="I97" s="88">
        <v>103</v>
      </c>
      <c r="J97" s="89">
        <f t="shared" si="17"/>
        <v>17073.194605337878</v>
      </c>
      <c r="K97" s="88">
        <v>2</v>
      </c>
      <c r="L97" s="90">
        <v>1719.3865636269963</v>
      </c>
      <c r="M97" s="88">
        <v>32</v>
      </c>
      <c r="N97" s="87">
        <f t="shared" si="24"/>
        <v>32271.910061832492</v>
      </c>
      <c r="O97" s="91">
        <v>245</v>
      </c>
      <c r="P97" s="89">
        <f t="shared" si="19"/>
        <v>56338.959852150532</v>
      </c>
      <c r="Q97" s="93">
        <v>15</v>
      </c>
      <c r="R97" s="89">
        <f t="shared" si="20"/>
        <v>11856.397305572566</v>
      </c>
      <c r="S97" s="88">
        <f t="shared" si="18"/>
        <v>491</v>
      </c>
      <c r="T97" s="92">
        <f t="shared" si="18"/>
        <v>128706.09908372864</v>
      </c>
      <c r="U97" s="116"/>
      <c r="V97" s="289">
        <f t="shared" si="25"/>
        <v>790.42648703817099</v>
      </c>
      <c r="W97" s="291">
        <f t="shared" si="25"/>
        <v>0</v>
      </c>
      <c r="X97" s="290">
        <f t="shared" si="25"/>
        <v>1008.4971894322654</v>
      </c>
      <c r="Y97" s="283">
        <f t="shared" si="25"/>
        <v>100.49202867242734</v>
      </c>
      <c r="Z97" s="288">
        <f t="shared" si="25"/>
        <v>165.75917092561045</v>
      </c>
      <c r="AA97" s="286">
        <f t="shared" si="25"/>
        <v>229.954938172043</v>
      </c>
      <c r="AB97" s="281"/>
      <c r="AC97" s="281"/>
      <c r="AD97" s="276"/>
      <c r="AE97" s="276"/>
      <c r="AF97" s="276"/>
    </row>
    <row r="98" spans="1:32" x14ac:dyDescent="0.3">
      <c r="A98" s="86">
        <f t="shared" si="23"/>
        <v>94</v>
      </c>
      <c r="B98" s="358"/>
      <c r="C98" s="93" t="s">
        <v>518</v>
      </c>
      <c r="D98" s="357"/>
      <c r="E98" s="93">
        <v>0</v>
      </c>
      <c r="F98" s="87">
        <v>0</v>
      </c>
      <c r="G98" s="88">
        <v>0</v>
      </c>
      <c r="H98" s="89">
        <v>0</v>
      </c>
      <c r="I98" s="88">
        <v>56</v>
      </c>
      <c r="J98" s="89">
        <f t="shared" si="17"/>
        <v>9282.5135718341844</v>
      </c>
      <c r="K98" s="88">
        <v>8</v>
      </c>
      <c r="L98" s="90">
        <v>6877.5462545079854</v>
      </c>
      <c r="M98" s="88">
        <v>88</v>
      </c>
      <c r="N98" s="87">
        <f t="shared" si="24"/>
        <v>88747.75267003935</v>
      </c>
      <c r="O98" s="91">
        <v>194</v>
      </c>
      <c r="P98" s="89">
        <f t="shared" si="19"/>
        <v>44611.258005376345</v>
      </c>
      <c r="Q98" s="93">
        <v>17</v>
      </c>
      <c r="R98" s="89">
        <f t="shared" si="20"/>
        <v>13437.250279648906</v>
      </c>
      <c r="S98" s="88">
        <f t="shared" si="18"/>
        <v>363</v>
      </c>
      <c r="T98" s="92">
        <f t="shared" si="18"/>
        <v>162956.32078140677</v>
      </c>
      <c r="U98" s="116"/>
      <c r="V98" s="289">
        <f t="shared" si="25"/>
        <v>790.42648703817099</v>
      </c>
      <c r="W98" s="291">
        <f t="shared" si="25"/>
        <v>0</v>
      </c>
      <c r="X98" s="290">
        <f t="shared" si="25"/>
        <v>1008.4971894322654</v>
      </c>
      <c r="Y98" s="283"/>
      <c r="Z98" s="288">
        <f t="shared" si="25"/>
        <v>165.75917092561045</v>
      </c>
      <c r="AA98" s="286">
        <f t="shared" si="25"/>
        <v>229.954938172043</v>
      </c>
      <c r="AB98" s="281"/>
      <c r="AC98" s="281"/>
      <c r="AD98" s="276"/>
      <c r="AE98" s="276"/>
      <c r="AF98" s="276"/>
    </row>
    <row r="99" spans="1:32" x14ac:dyDescent="0.3">
      <c r="A99" s="86">
        <f t="shared" si="23"/>
        <v>95</v>
      </c>
      <c r="B99" s="358"/>
      <c r="C99" s="93" t="s">
        <v>519</v>
      </c>
      <c r="D99" s="357"/>
      <c r="E99" s="93">
        <v>0</v>
      </c>
      <c r="F99" s="87">
        <v>0</v>
      </c>
      <c r="G99" s="88">
        <v>0</v>
      </c>
      <c r="H99" s="89">
        <v>0</v>
      </c>
      <c r="I99" s="88">
        <v>50</v>
      </c>
      <c r="J99" s="89">
        <f t="shared" si="17"/>
        <v>8287.9585462805226</v>
      </c>
      <c r="K99" s="88">
        <v>50</v>
      </c>
      <c r="L99" s="90">
        <v>42984.664090674909</v>
      </c>
      <c r="M99" s="88">
        <v>28</v>
      </c>
      <c r="N99" s="87">
        <f t="shared" si="24"/>
        <v>28237.921304103431</v>
      </c>
      <c r="O99" s="91">
        <v>358</v>
      </c>
      <c r="P99" s="89">
        <f t="shared" si="19"/>
        <v>82323.867865591397</v>
      </c>
      <c r="Q99" s="93">
        <v>8</v>
      </c>
      <c r="R99" s="89">
        <f t="shared" si="20"/>
        <v>6323.4118963053679</v>
      </c>
      <c r="S99" s="88">
        <f t="shared" si="18"/>
        <v>494</v>
      </c>
      <c r="T99" s="92">
        <f t="shared" si="18"/>
        <v>168157.82370295562</v>
      </c>
      <c r="U99" s="116"/>
      <c r="V99" s="289">
        <f t="shared" si="25"/>
        <v>790.42648703817099</v>
      </c>
      <c r="W99" s="291">
        <f t="shared" si="25"/>
        <v>0</v>
      </c>
      <c r="X99" s="290">
        <f t="shared" si="25"/>
        <v>1008.4971894322654</v>
      </c>
      <c r="Y99" s="283"/>
      <c r="Z99" s="288">
        <f t="shared" si="25"/>
        <v>165.75917092561045</v>
      </c>
      <c r="AA99" s="286">
        <f t="shared" si="25"/>
        <v>229.954938172043</v>
      </c>
      <c r="AB99" s="281"/>
      <c r="AC99" s="281"/>
      <c r="AD99" s="276"/>
      <c r="AE99" s="276"/>
      <c r="AF99" s="276"/>
    </row>
    <row r="100" spans="1:32" x14ac:dyDescent="0.3">
      <c r="A100" s="86">
        <f t="shared" si="23"/>
        <v>96</v>
      </c>
      <c r="B100" s="358"/>
      <c r="C100" s="93" t="s">
        <v>520</v>
      </c>
      <c r="D100" s="357"/>
      <c r="E100" s="93">
        <v>0</v>
      </c>
      <c r="F100" s="87">
        <v>0</v>
      </c>
      <c r="G100" s="88">
        <v>53</v>
      </c>
      <c r="H100" s="89">
        <f>+G100*Y97</f>
        <v>5326.0775196386485</v>
      </c>
      <c r="I100" s="88">
        <v>134</v>
      </c>
      <c r="J100" s="89">
        <f t="shared" si="17"/>
        <v>22211.728904031799</v>
      </c>
      <c r="K100" s="88">
        <v>8</v>
      </c>
      <c r="L100" s="90">
        <v>6877.5462545079854</v>
      </c>
      <c r="M100" s="88">
        <v>23</v>
      </c>
      <c r="N100" s="87">
        <f t="shared" si="24"/>
        <v>23195.435356942104</v>
      </c>
      <c r="O100" s="91">
        <v>318</v>
      </c>
      <c r="P100" s="89">
        <f t="shared" si="19"/>
        <v>73125.670338709679</v>
      </c>
      <c r="Q100" s="93">
        <v>0</v>
      </c>
      <c r="R100" s="89">
        <f t="shared" si="20"/>
        <v>0</v>
      </c>
      <c r="S100" s="88">
        <f t="shared" si="18"/>
        <v>536</v>
      </c>
      <c r="T100" s="92">
        <f t="shared" si="18"/>
        <v>130736.45837383022</v>
      </c>
      <c r="U100" s="116"/>
      <c r="V100" s="289">
        <f t="shared" si="25"/>
        <v>790.42648703817099</v>
      </c>
      <c r="W100" s="291">
        <f t="shared" si="25"/>
        <v>0</v>
      </c>
      <c r="X100" s="290">
        <f t="shared" si="25"/>
        <v>1008.4971894322654</v>
      </c>
      <c r="Y100" s="283">
        <f>+Y97</f>
        <v>100.49202867242734</v>
      </c>
      <c r="Z100" s="288">
        <f t="shared" si="25"/>
        <v>165.75917092561045</v>
      </c>
      <c r="AA100" s="286">
        <f t="shared" si="25"/>
        <v>229.954938172043</v>
      </c>
      <c r="AB100" s="281"/>
      <c r="AC100" s="281"/>
      <c r="AD100" s="276"/>
      <c r="AE100" s="276"/>
      <c r="AF100" s="276"/>
    </row>
    <row r="101" spans="1:32" x14ac:dyDescent="0.3">
      <c r="A101" s="86">
        <f t="shared" si="23"/>
        <v>97</v>
      </c>
      <c r="B101" s="358" t="s">
        <v>521</v>
      </c>
      <c r="C101" s="93" t="s">
        <v>522</v>
      </c>
      <c r="D101" s="357"/>
      <c r="E101" s="93">
        <v>0</v>
      </c>
      <c r="F101" s="87">
        <v>0</v>
      </c>
      <c r="G101" s="88">
        <v>52</v>
      </c>
      <c r="H101" s="89">
        <f>+G101*Y100</f>
        <v>5225.5854909662212</v>
      </c>
      <c r="I101" s="88">
        <v>55</v>
      </c>
      <c r="J101" s="89">
        <f t="shared" si="17"/>
        <v>9116.7544009085741</v>
      </c>
      <c r="K101" s="88">
        <v>4</v>
      </c>
      <c r="L101" s="90">
        <v>3438.7731272539927</v>
      </c>
      <c r="M101" s="88">
        <v>0</v>
      </c>
      <c r="N101" s="87">
        <f t="shared" si="24"/>
        <v>0</v>
      </c>
      <c r="O101" s="91">
        <v>127</v>
      </c>
      <c r="P101" s="89">
        <f t="shared" si="19"/>
        <v>29204.277147849461</v>
      </c>
      <c r="Q101" s="93">
        <v>5</v>
      </c>
      <c r="R101" s="89">
        <f t="shared" si="20"/>
        <v>3952.1324351908552</v>
      </c>
      <c r="S101" s="88">
        <f t="shared" si="18"/>
        <v>243</v>
      </c>
      <c r="T101" s="92">
        <f t="shared" si="18"/>
        <v>50937.522602169105</v>
      </c>
      <c r="U101" s="116"/>
      <c r="V101" s="289">
        <f t="shared" si="25"/>
        <v>790.42648703817099</v>
      </c>
      <c r="W101" s="291">
        <f t="shared" si="25"/>
        <v>0</v>
      </c>
      <c r="X101" s="290">
        <f t="shared" si="25"/>
        <v>1008.4971894322654</v>
      </c>
      <c r="Y101" s="283">
        <f t="shared" si="25"/>
        <v>100.49202867242734</v>
      </c>
      <c r="Z101" s="288">
        <f t="shared" si="25"/>
        <v>165.75917092561045</v>
      </c>
      <c r="AA101" s="286">
        <f t="shared" si="25"/>
        <v>229.954938172043</v>
      </c>
      <c r="AB101" s="281"/>
      <c r="AC101" s="281"/>
      <c r="AD101" s="276"/>
      <c r="AE101" s="276"/>
      <c r="AF101" s="276"/>
    </row>
    <row r="102" spans="1:32" x14ac:dyDescent="0.3">
      <c r="A102" s="86">
        <f t="shared" si="23"/>
        <v>98</v>
      </c>
      <c r="B102" s="358"/>
      <c r="C102" s="93" t="s">
        <v>523</v>
      </c>
      <c r="D102" s="357"/>
      <c r="E102" s="93">
        <v>0</v>
      </c>
      <c r="F102" s="87">
        <v>0</v>
      </c>
      <c r="G102" s="88">
        <v>0</v>
      </c>
      <c r="H102" s="89">
        <v>0</v>
      </c>
      <c r="I102" s="88">
        <v>38</v>
      </c>
      <c r="J102" s="89">
        <f t="shared" si="17"/>
        <v>6298.8484951731971</v>
      </c>
      <c r="K102" s="88">
        <v>24</v>
      </c>
      <c r="L102" s="90">
        <v>20632.638763523955</v>
      </c>
      <c r="M102" s="88">
        <v>9</v>
      </c>
      <c r="N102" s="87">
        <f t="shared" si="24"/>
        <v>9076.4747048903882</v>
      </c>
      <c r="O102" s="91">
        <v>27</v>
      </c>
      <c r="P102" s="89">
        <f t="shared" si="19"/>
        <v>6208.7833306451612</v>
      </c>
      <c r="Q102" s="93">
        <v>13</v>
      </c>
      <c r="R102" s="89">
        <f t="shared" si="20"/>
        <v>10275.544331496223</v>
      </c>
      <c r="S102" s="88">
        <f t="shared" si="18"/>
        <v>111</v>
      </c>
      <c r="T102" s="92">
        <f t="shared" si="18"/>
        <v>52492.289625728932</v>
      </c>
      <c r="U102" s="116"/>
      <c r="V102" s="289">
        <f t="shared" ref="V102:Y117" si="27">+V101</f>
        <v>790.42648703817099</v>
      </c>
      <c r="W102" s="291">
        <f t="shared" si="27"/>
        <v>0</v>
      </c>
      <c r="X102" s="290">
        <f t="shared" si="27"/>
        <v>1008.4971894322654</v>
      </c>
      <c r="Y102" s="283"/>
      <c r="Z102" s="288">
        <f t="shared" ref="Z102:AA117" si="28">+Z101</f>
        <v>165.75917092561045</v>
      </c>
      <c r="AA102" s="286">
        <f t="shared" si="28"/>
        <v>229.954938172043</v>
      </c>
      <c r="AB102" s="281"/>
      <c r="AC102" s="281"/>
      <c r="AD102" s="276"/>
      <c r="AE102" s="276"/>
      <c r="AF102" s="276"/>
    </row>
    <row r="103" spans="1:32" x14ac:dyDescent="0.3">
      <c r="A103" s="86">
        <f t="shared" si="23"/>
        <v>99</v>
      </c>
      <c r="B103" s="358"/>
      <c r="C103" s="93" t="s">
        <v>524</v>
      </c>
      <c r="D103" s="357"/>
      <c r="E103" s="93">
        <v>0</v>
      </c>
      <c r="F103" s="87">
        <v>0</v>
      </c>
      <c r="G103" s="88">
        <v>28</v>
      </c>
      <c r="H103" s="89">
        <f>+G103*Y101</f>
        <v>2813.7768028279656</v>
      </c>
      <c r="I103" s="88">
        <v>7</v>
      </c>
      <c r="J103" s="89">
        <f t="shared" si="17"/>
        <v>1160.3141964792731</v>
      </c>
      <c r="K103" s="88">
        <v>12</v>
      </c>
      <c r="L103" s="90">
        <v>10316.319381761978</v>
      </c>
      <c r="M103" s="88">
        <v>13</v>
      </c>
      <c r="N103" s="87">
        <f t="shared" si="24"/>
        <v>13110.463462619449</v>
      </c>
      <c r="O103" s="91">
        <v>7</v>
      </c>
      <c r="P103" s="89">
        <f t="shared" si="19"/>
        <v>1609.6845672043009</v>
      </c>
      <c r="Q103" s="93">
        <v>13</v>
      </c>
      <c r="R103" s="89">
        <f t="shared" si="20"/>
        <v>10275.544331496223</v>
      </c>
      <c r="S103" s="88">
        <f t="shared" si="18"/>
        <v>80</v>
      </c>
      <c r="T103" s="92">
        <f t="shared" si="18"/>
        <v>39286.102742389186</v>
      </c>
      <c r="U103" s="116"/>
      <c r="V103" s="289">
        <f t="shared" si="27"/>
        <v>790.42648703817099</v>
      </c>
      <c r="W103" s="291">
        <f t="shared" si="27"/>
        <v>0</v>
      </c>
      <c r="X103" s="290">
        <f t="shared" si="27"/>
        <v>1008.4971894322654</v>
      </c>
      <c r="Y103" s="283">
        <f>+Y101</f>
        <v>100.49202867242734</v>
      </c>
      <c r="Z103" s="288">
        <f t="shared" si="28"/>
        <v>165.75917092561045</v>
      </c>
      <c r="AA103" s="286">
        <f t="shared" si="28"/>
        <v>229.954938172043</v>
      </c>
      <c r="AB103" s="281"/>
      <c r="AC103" s="281"/>
      <c r="AD103" s="276"/>
      <c r="AE103" s="276"/>
      <c r="AF103" s="276"/>
    </row>
    <row r="104" spans="1:32" x14ac:dyDescent="0.3">
      <c r="A104" s="86">
        <f t="shared" si="23"/>
        <v>100</v>
      </c>
      <c r="B104" s="353" t="s">
        <v>525</v>
      </c>
      <c r="C104" s="93" t="s">
        <v>526</v>
      </c>
      <c r="D104" s="357"/>
      <c r="E104" s="93">
        <v>0</v>
      </c>
      <c r="F104" s="87">
        <v>0</v>
      </c>
      <c r="G104" s="88">
        <v>100</v>
      </c>
      <c r="H104" s="89">
        <f>+G104*Y103</f>
        <v>10049.202867242733</v>
      </c>
      <c r="I104" s="88">
        <v>54</v>
      </c>
      <c r="J104" s="89">
        <f t="shared" si="17"/>
        <v>8950.9952299829638</v>
      </c>
      <c r="K104" s="88">
        <v>10</v>
      </c>
      <c r="L104" s="90">
        <v>8596.9328181349811</v>
      </c>
      <c r="M104" s="88">
        <v>32</v>
      </c>
      <c r="N104" s="87">
        <f t="shared" si="24"/>
        <v>32271.910061832492</v>
      </c>
      <c r="O104" s="91">
        <v>128</v>
      </c>
      <c r="P104" s="89">
        <f t="shared" si="19"/>
        <v>29434.232086021504</v>
      </c>
      <c r="Q104" s="93">
        <v>74</v>
      </c>
      <c r="R104" s="89">
        <f t="shared" si="20"/>
        <v>58491.560040824654</v>
      </c>
      <c r="S104" s="88">
        <f t="shared" si="18"/>
        <v>398</v>
      </c>
      <c r="T104" s="92">
        <f t="shared" si="18"/>
        <v>147794.83310403931</v>
      </c>
      <c r="U104" s="116"/>
      <c r="V104" s="289">
        <f t="shared" si="27"/>
        <v>790.42648703817099</v>
      </c>
      <c r="W104" s="291">
        <f t="shared" si="27"/>
        <v>0</v>
      </c>
      <c r="X104" s="290">
        <f t="shared" si="27"/>
        <v>1008.4971894322654</v>
      </c>
      <c r="Y104" s="283">
        <f t="shared" si="27"/>
        <v>100.49202867242734</v>
      </c>
      <c r="Z104" s="288">
        <f t="shared" si="28"/>
        <v>165.75917092561045</v>
      </c>
      <c r="AA104" s="286">
        <f t="shared" si="28"/>
        <v>229.954938172043</v>
      </c>
      <c r="AB104" s="281"/>
      <c r="AC104" s="281"/>
      <c r="AD104" s="276"/>
      <c r="AE104" s="276"/>
      <c r="AF104" s="276"/>
    </row>
    <row r="105" spans="1:32" x14ac:dyDescent="0.3">
      <c r="A105" s="86">
        <f t="shared" si="23"/>
        <v>101</v>
      </c>
      <c r="B105" s="354"/>
      <c r="C105" s="93" t="s">
        <v>527</v>
      </c>
      <c r="D105" s="357"/>
      <c r="E105" s="93">
        <v>0</v>
      </c>
      <c r="F105" s="87">
        <v>0</v>
      </c>
      <c r="G105" s="88">
        <v>0</v>
      </c>
      <c r="H105" s="89">
        <v>0</v>
      </c>
      <c r="I105" s="88">
        <v>23</v>
      </c>
      <c r="J105" s="89">
        <f t="shared" si="17"/>
        <v>3812.4609312890402</v>
      </c>
      <c r="K105" s="88">
        <v>8</v>
      </c>
      <c r="L105" s="90">
        <v>6877.5462545079854</v>
      </c>
      <c r="M105" s="88">
        <v>24</v>
      </c>
      <c r="N105" s="87">
        <f t="shared" si="24"/>
        <v>24203.93254637437</v>
      </c>
      <c r="O105" s="91">
        <v>21</v>
      </c>
      <c r="P105" s="89">
        <f t="shared" si="19"/>
        <v>4829.0537016129028</v>
      </c>
      <c r="Q105" s="93">
        <v>37</v>
      </c>
      <c r="R105" s="89">
        <f t="shared" si="20"/>
        <v>29245.780020412327</v>
      </c>
      <c r="S105" s="88">
        <f t="shared" si="18"/>
        <v>113</v>
      </c>
      <c r="T105" s="92">
        <f t="shared" si="18"/>
        <v>68968.77345419662</v>
      </c>
      <c r="U105" s="116"/>
      <c r="V105" s="289">
        <f t="shared" si="27"/>
        <v>790.42648703817099</v>
      </c>
      <c r="W105" s="291">
        <f t="shared" si="27"/>
        <v>0</v>
      </c>
      <c r="X105" s="290">
        <f t="shared" si="27"/>
        <v>1008.4971894322654</v>
      </c>
      <c r="Y105" s="283"/>
      <c r="Z105" s="288">
        <f t="shared" si="28"/>
        <v>165.75917092561045</v>
      </c>
      <c r="AA105" s="286">
        <f t="shared" si="28"/>
        <v>229.954938172043</v>
      </c>
      <c r="AB105" s="281"/>
      <c r="AC105" s="281"/>
      <c r="AD105" s="276"/>
      <c r="AE105" s="276"/>
      <c r="AF105" s="276"/>
    </row>
    <row r="106" spans="1:32" x14ac:dyDescent="0.3">
      <c r="A106" s="86">
        <f t="shared" si="23"/>
        <v>102</v>
      </c>
      <c r="B106" s="354"/>
      <c r="C106" s="93" t="s">
        <v>528</v>
      </c>
      <c r="D106" s="357"/>
      <c r="E106" s="93">
        <v>0</v>
      </c>
      <c r="F106" s="87">
        <v>0</v>
      </c>
      <c r="G106" s="88">
        <v>0</v>
      </c>
      <c r="H106" s="89">
        <v>0</v>
      </c>
      <c r="I106" s="88">
        <v>36</v>
      </c>
      <c r="J106" s="89">
        <f t="shared" si="17"/>
        <v>5967.3301533219765</v>
      </c>
      <c r="K106" s="88">
        <v>20</v>
      </c>
      <c r="L106" s="90">
        <v>17193.865636269962</v>
      </c>
      <c r="M106" s="88">
        <v>4</v>
      </c>
      <c r="N106" s="87">
        <f t="shared" si="24"/>
        <v>4033.9887577290615</v>
      </c>
      <c r="O106" s="91">
        <v>18</v>
      </c>
      <c r="P106" s="89">
        <f t="shared" si="19"/>
        <v>4139.1888870967741</v>
      </c>
      <c r="Q106" s="93">
        <v>15</v>
      </c>
      <c r="R106" s="89">
        <f t="shared" si="20"/>
        <v>11856.397305572566</v>
      </c>
      <c r="S106" s="88">
        <f t="shared" si="18"/>
        <v>93</v>
      </c>
      <c r="T106" s="92">
        <f t="shared" si="18"/>
        <v>43190.770739990345</v>
      </c>
      <c r="U106" s="116"/>
      <c r="V106" s="289">
        <f t="shared" si="27"/>
        <v>790.42648703817099</v>
      </c>
      <c r="W106" s="291">
        <f t="shared" si="27"/>
        <v>0</v>
      </c>
      <c r="X106" s="290">
        <f t="shared" si="27"/>
        <v>1008.4971894322654</v>
      </c>
      <c r="Y106" s="283"/>
      <c r="Z106" s="288">
        <f t="shared" si="28"/>
        <v>165.75917092561045</v>
      </c>
      <c r="AA106" s="286">
        <f t="shared" si="28"/>
        <v>229.954938172043</v>
      </c>
      <c r="AB106" s="281"/>
      <c r="AC106" s="281"/>
      <c r="AD106" s="276"/>
      <c r="AE106" s="276"/>
      <c r="AF106" s="276"/>
    </row>
    <row r="107" spans="1:32" x14ac:dyDescent="0.3">
      <c r="A107" s="86">
        <f t="shared" si="23"/>
        <v>103</v>
      </c>
      <c r="B107" s="354"/>
      <c r="C107" s="93" t="s">
        <v>529</v>
      </c>
      <c r="D107" s="357"/>
      <c r="E107" s="93">
        <v>0</v>
      </c>
      <c r="F107" s="87">
        <v>0</v>
      </c>
      <c r="G107" s="88">
        <v>0</v>
      </c>
      <c r="H107" s="89">
        <v>0</v>
      </c>
      <c r="I107" s="88">
        <v>59</v>
      </c>
      <c r="J107" s="89">
        <f t="shared" si="17"/>
        <v>9779.7910846110171</v>
      </c>
      <c r="K107" s="88">
        <v>21</v>
      </c>
      <c r="L107" s="90">
        <v>18053.558918083461</v>
      </c>
      <c r="M107" s="88">
        <v>13</v>
      </c>
      <c r="N107" s="87">
        <f t="shared" si="24"/>
        <v>13110.463462619449</v>
      </c>
      <c r="O107" s="91">
        <v>5</v>
      </c>
      <c r="P107" s="89">
        <f t="shared" si="19"/>
        <v>1149.7746908602151</v>
      </c>
      <c r="Q107" s="93">
        <v>38</v>
      </c>
      <c r="R107" s="89">
        <f t="shared" si="20"/>
        <v>30036.206507450497</v>
      </c>
      <c r="S107" s="88">
        <f t="shared" si="18"/>
        <v>136</v>
      </c>
      <c r="T107" s="92">
        <f t="shared" si="18"/>
        <v>72129.794663624634</v>
      </c>
      <c r="U107" s="116"/>
      <c r="V107" s="289">
        <f t="shared" si="27"/>
        <v>790.42648703817099</v>
      </c>
      <c r="W107" s="291">
        <f t="shared" si="27"/>
        <v>0</v>
      </c>
      <c r="X107" s="290">
        <f t="shared" si="27"/>
        <v>1008.4971894322654</v>
      </c>
      <c r="Y107" s="283"/>
      <c r="Z107" s="288">
        <f t="shared" si="28"/>
        <v>165.75917092561045</v>
      </c>
      <c r="AA107" s="286">
        <f t="shared" si="28"/>
        <v>229.954938172043</v>
      </c>
      <c r="AB107" s="281"/>
      <c r="AC107" s="281"/>
      <c r="AD107" s="276"/>
      <c r="AE107" s="276"/>
      <c r="AF107" s="276"/>
    </row>
    <row r="108" spans="1:32" x14ac:dyDescent="0.3">
      <c r="A108" s="86">
        <f t="shared" si="23"/>
        <v>104</v>
      </c>
      <c r="B108" s="355"/>
      <c r="C108" s="93" t="s">
        <v>525</v>
      </c>
      <c r="D108" s="357"/>
      <c r="E108" s="93">
        <v>0</v>
      </c>
      <c r="F108" s="87">
        <v>0</v>
      </c>
      <c r="G108" s="88"/>
      <c r="H108" s="89">
        <v>0</v>
      </c>
      <c r="I108" s="88"/>
      <c r="J108" s="89">
        <v>0</v>
      </c>
      <c r="K108" s="88"/>
      <c r="L108" s="90">
        <v>0</v>
      </c>
      <c r="M108" s="88">
        <v>0</v>
      </c>
      <c r="N108" s="87">
        <f t="shared" si="24"/>
        <v>0</v>
      </c>
      <c r="O108" s="91">
        <v>4</v>
      </c>
      <c r="P108" s="89">
        <f t="shared" si="19"/>
        <v>919.819752688172</v>
      </c>
      <c r="Q108" s="93">
        <v>34</v>
      </c>
      <c r="R108" s="89">
        <f t="shared" si="20"/>
        <v>26874.500559297812</v>
      </c>
      <c r="S108" s="88">
        <f t="shared" si="18"/>
        <v>38</v>
      </c>
      <c r="T108" s="92">
        <f t="shared" si="18"/>
        <v>27794.320311985983</v>
      </c>
      <c r="U108" s="116"/>
      <c r="V108" s="289">
        <f t="shared" si="27"/>
        <v>790.42648703817099</v>
      </c>
      <c r="W108" s="291">
        <f t="shared" si="27"/>
        <v>0</v>
      </c>
      <c r="X108" s="290">
        <f t="shared" si="27"/>
        <v>1008.4971894322654</v>
      </c>
      <c r="Y108" s="283"/>
      <c r="Z108" s="288"/>
      <c r="AA108" s="286">
        <f t="shared" si="28"/>
        <v>229.954938172043</v>
      </c>
      <c r="AB108" s="281"/>
      <c r="AC108" s="281"/>
      <c r="AD108" s="276"/>
      <c r="AE108" s="276"/>
      <c r="AF108" s="276"/>
    </row>
    <row r="109" spans="1:32" x14ac:dyDescent="0.3">
      <c r="A109" s="86">
        <f t="shared" si="23"/>
        <v>105</v>
      </c>
      <c r="B109" s="353" t="s">
        <v>530</v>
      </c>
      <c r="C109" s="93" t="s">
        <v>531</v>
      </c>
      <c r="D109" s="357"/>
      <c r="E109" s="93">
        <v>0</v>
      </c>
      <c r="F109" s="87">
        <v>0</v>
      </c>
      <c r="G109" s="88">
        <v>0</v>
      </c>
      <c r="H109" s="89">
        <v>0</v>
      </c>
      <c r="I109" s="88">
        <v>0</v>
      </c>
      <c r="J109" s="89">
        <f>+I109*Z109</f>
        <v>0</v>
      </c>
      <c r="K109" s="88">
        <v>63</v>
      </c>
      <c r="L109" s="90">
        <v>54160.676754250388</v>
      </c>
      <c r="M109" s="88">
        <v>41</v>
      </c>
      <c r="N109" s="87">
        <f t="shared" si="24"/>
        <v>41348.384766722884</v>
      </c>
      <c r="O109" s="91">
        <v>155</v>
      </c>
      <c r="P109" s="89">
        <f t="shared" si="19"/>
        <v>35643.015416666662</v>
      </c>
      <c r="Q109" s="93">
        <v>49</v>
      </c>
      <c r="R109" s="89">
        <f t="shared" si="20"/>
        <v>38730.897864870378</v>
      </c>
      <c r="S109" s="88">
        <f t="shared" si="18"/>
        <v>308</v>
      </c>
      <c r="T109" s="92">
        <f t="shared" si="18"/>
        <v>169882.97480251032</v>
      </c>
      <c r="U109" s="116"/>
      <c r="V109" s="289">
        <f t="shared" si="27"/>
        <v>790.42648703817099</v>
      </c>
      <c r="W109" s="291">
        <f t="shared" si="27"/>
        <v>0</v>
      </c>
      <c r="X109" s="290">
        <f t="shared" si="27"/>
        <v>1008.4971894322654</v>
      </c>
      <c r="Y109" s="283"/>
      <c r="Z109" s="288">
        <f>+Z107</f>
        <v>165.75917092561045</v>
      </c>
      <c r="AA109" s="286">
        <f t="shared" si="28"/>
        <v>229.954938172043</v>
      </c>
      <c r="AB109" s="281"/>
      <c r="AC109" s="281"/>
      <c r="AD109" s="276"/>
      <c r="AE109" s="276"/>
      <c r="AF109" s="276"/>
    </row>
    <row r="110" spans="1:32" x14ac:dyDescent="0.3">
      <c r="A110" s="86">
        <f t="shared" si="23"/>
        <v>106</v>
      </c>
      <c r="B110" s="354"/>
      <c r="C110" s="93" t="s">
        <v>532</v>
      </c>
      <c r="D110" s="357"/>
      <c r="E110" s="93">
        <v>0</v>
      </c>
      <c r="F110" s="87">
        <v>0</v>
      </c>
      <c r="G110" s="88">
        <v>0</v>
      </c>
      <c r="H110" s="89">
        <v>0</v>
      </c>
      <c r="I110" s="88">
        <v>0</v>
      </c>
      <c r="J110" s="89">
        <f>+I110*Z110</f>
        <v>0</v>
      </c>
      <c r="K110" s="88">
        <v>32</v>
      </c>
      <c r="L110" s="90">
        <v>27510.185018031942</v>
      </c>
      <c r="M110" s="88">
        <v>1</v>
      </c>
      <c r="N110" s="87">
        <f t="shared" si="24"/>
        <v>1008.4971894322654</v>
      </c>
      <c r="O110" s="91">
        <v>5</v>
      </c>
      <c r="P110" s="89">
        <f t="shared" si="19"/>
        <v>1149.7746908602151</v>
      </c>
      <c r="Q110" s="93">
        <v>18</v>
      </c>
      <c r="R110" s="89">
        <f t="shared" si="20"/>
        <v>14227.676766687078</v>
      </c>
      <c r="S110" s="88">
        <f t="shared" si="18"/>
        <v>56</v>
      </c>
      <c r="T110" s="92">
        <f t="shared" si="18"/>
        <v>43896.133665011504</v>
      </c>
      <c r="U110" s="116"/>
      <c r="V110" s="289">
        <f t="shared" si="27"/>
        <v>790.42648703817099</v>
      </c>
      <c r="W110" s="291">
        <f t="shared" si="27"/>
        <v>0</v>
      </c>
      <c r="X110" s="290">
        <f t="shared" si="27"/>
        <v>1008.4971894322654</v>
      </c>
      <c r="Y110" s="283"/>
      <c r="Z110" s="288">
        <f t="shared" si="28"/>
        <v>165.75917092561045</v>
      </c>
      <c r="AA110" s="286">
        <f t="shared" si="28"/>
        <v>229.954938172043</v>
      </c>
      <c r="AB110" s="281"/>
      <c r="AC110" s="281"/>
      <c r="AD110" s="276"/>
      <c r="AE110" s="276"/>
      <c r="AF110" s="276"/>
    </row>
    <row r="111" spans="1:32" x14ac:dyDescent="0.3">
      <c r="A111" s="86">
        <f t="shared" si="23"/>
        <v>107</v>
      </c>
      <c r="B111" s="354"/>
      <c r="C111" s="93" t="s">
        <v>533</v>
      </c>
      <c r="D111" s="357"/>
      <c r="E111" s="93">
        <v>0</v>
      </c>
      <c r="F111" s="87">
        <v>0</v>
      </c>
      <c r="G111" s="88">
        <v>0</v>
      </c>
      <c r="H111" s="89">
        <v>0</v>
      </c>
      <c r="I111" s="88">
        <v>6</v>
      </c>
      <c r="J111" s="89">
        <f>+I111*Z111</f>
        <v>994.55502555366274</v>
      </c>
      <c r="K111" s="88">
        <v>12</v>
      </c>
      <c r="L111" s="90">
        <v>10316.319381761978</v>
      </c>
      <c r="M111" s="88">
        <v>5</v>
      </c>
      <c r="N111" s="87">
        <f t="shared" si="24"/>
        <v>5042.4859471613272</v>
      </c>
      <c r="O111" s="91">
        <v>10</v>
      </c>
      <c r="P111" s="89">
        <f t="shared" si="19"/>
        <v>2299.5493817204301</v>
      </c>
      <c r="Q111" s="93">
        <v>24</v>
      </c>
      <c r="R111" s="89">
        <f t="shared" si="20"/>
        <v>18970.235688916102</v>
      </c>
      <c r="S111" s="88">
        <f t="shared" si="18"/>
        <v>57</v>
      </c>
      <c r="T111" s="92">
        <f t="shared" si="18"/>
        <v>37623.1454251135</v>
      </c>
      <c r="U111" s="116"/>
      <c r="V111" s="289">
        <f t="shared" si="27"/>
        <v>790.42648703817099</v>
      </c>
      <c r="W111" s="291">
        <f t="shared" si="27"/>
        <v>0</v>
      </c>
      <c r="X111" s="290">
        <f t="shared" si="27"/>
        <v>1008.4971894322654</v>
      </c>
      <c r="Y111" s="283"/>
      <c r="Z111" s="288">
        <f t="shared" si="28"/>
        <v>165.75917092561045</v>
      </c>
      <c r="AA111" s="286">
        <f t="shared" si="28"/>
        <v>229.954938172043</v>
      </c>
      <c r="AB111" s="281"/>
      <c r="AC111" s="281"/>
      <c r="AD111" s="276"/>
      <c r="AE111" s="276"/>
      <c r="AF111" s="276"/>
    </row>
    <row r="112" spans="1:32" x14ac:dyDescent="0.3">
      <c r="A112" s="86">
        <f t="shared" si="23"/>
        <v>108</v>
      </c>
      <c r="B112" s="354"/>
      <c r="C112" s="93" t="s">
        <v>534</v>
      </c>
      <c r="D112" s="357"/>
      <c r="E112" s="93">
        <v>0</v>
      </c>
      <c r="F112" s="87">
        <v>0</v>
      </c>
      <c r="G112" s="88">
        <v>0</v>
      </c>
      <c r="H112" s="89">
        <v>0</v>
      </c>
      <c r="I112" s="88">
        <v>0</v>
      </c>
      <c r="J112" s="89">
        <f>+I112*Z112</f>
        <v>0</v>
      </c>
      <c r="K112" s="88">
        <v>25</v>
      </c>
      <c r="L112" s="90">
        <v>21492.332045337454</v>
      </c>
      <c r="M112" s="88">
        <v>19</v>
      </c>
      <c r="N112" s="87">
        <f t="shared" si="24"/>
        <v>19161.446599213043</v>
      </c>
      <c r="O112" s="91">
        <v>80</v>
      </c>
      <c r="P112" s="89">
        <f t="shared" si="19"/>
        <v>18396.395053763441</v>
      </c>
      <c r="Q112" s="93">
        <v>27</v>
      </c>
      <c r="R112" s="89">
        <f t="shared" si="20"/>
        <v>21341.515150030616</v>
      </c>
      <c r="S112" s="88">
        <f t="shared" si="18"/>
        <v>151</v>
      </c>
      <c r="T112" s="92">
        <f t="shared" si="18"/>
        <v>80391.688848344551</v>
      </c>
      <c r="U112" s="116"/>
      <c r="V112" s="289">
        <f t="shared" si="27"/>
        <v>790.42648703817099</v>
      </c>
      <c r="W112" s="291">
        <f t="shared" si="27"/>
        <v>0</v>
      </c>
      <c r="X112" s="290">
        <f t="shared" si="27"/>
        <v>1008.4971894322654</v>
      </c>
      <c r="Y112" s="283"/>
      <c r="Z112" s="288">
        <f t="shared" si="28"/>
        <v>165.75917092561045</v>
      </c>
      <c r="AA112" s="286">
        <f t="shared" si="28"/>
        <v>229.954938172043</v>
      </c>
      <c r="AB112" s="281"/>
      <c r="AC112" s="281"/>
      <c r="AD112" s="276"/>
      <c r="AE112" s="276"/>
      <c r="AF112" s="276"/>
    </row>
    <row r="113" spans="1:32" x14ac:dyDescent="0.3">
      <c r="A113" s="86">
        <f t="shared" si="23"/>
        <v>109</v>
      </c>
      <c r="B113" s="354"/>
      <c r="C113" s="93" t="s">
        <v>535</v>
      </c>
      <c r="D113" s="357"/>
      <c r="E113" s="93">
        <v>0</v>
      </c>
      <c r="F113" s="87">
        <v>0</v>
      </c>
      <c r="G113" s="88">
        <v>50</v>
      </c>
      <c r="H113" s="89">
        <f>+G113*Y104</f>
        <v>5024.6014336213666</v>
      </c>
      <c r="I113" s="88">
        <v>11</v>
      </c>
      <c r="J113" s="89">
        <f>+I113*Z113</f>
        <v>1823.350880181715</v>
      </c>
      <c r="K113" s="88">
        <v>6</v>
      </c>
      <c r="L113" s="90">
        <v>5158.1596908809888</v>
      </c>
      <c r="M113" s="88">
        <v>34</v>
      </c>
      <c r="N113" s="87">
        <f t="shared" si="24"/>
        <v>34288.904440697021</v>
      </c>
      <c r="O113" s="91">
        <v>54</v>
      </c>
      <c r="P113" s="89">
        <f t="shared" si="19"/>
        <v>12417.566661290322</v>
      </c>
      <c r="Q113" s="93">
        <v>20</v>
      </c>
      <c r="R113" s="89">
        <f t="shared" si="20"/>
        <v>15808.529740763421</v>
      </c>
      <c r="S113" s="88">
        <f t="shared" si="18"/>
        <v>175</v>
      </c>
      <c r="T113" s="92">
        <f t="shared" si="18"/>
        <v>74521.112847434822</v>
      </c>
      <c r="U113" s="116"/>
      <c r="V113" s="289">
        <f t="shared" si="27"/>
        <v>790.42648703817099</v>
      </c>
      <c r="W113" s="291">
        <f t="shared" si="27"/>
        <v>0</v>
      </c>
      <c r="X113" s="290">
        <f t="shared" si="27"/>
        <v>1008.4971894322654</v>
      </c>
      <c r="Y113" s="283">
        <f>+Y104</f>
        <v>100.49202867242734</v>
      </c>
      <c r="Z113" s="288">
        <f t="shared" si="28"/>
        <v>165.75917092561045</v>
      </c>
      <c r="AA113" s="286">
        <f t="shared" si="28"/>
        <v>229.954938172043</v>
      </c>
      <c r="AB113" s="281"/>
      <c r="AC113" s="281"/>
      <c r="AD113" s="276"/>
      <c r="AE113" s="276"/>
      <c r="AF113" s="276"/>
    </row>
    <row r="114" spans="1:32" x14ac:dyDescent="0.3">
      <c r="A114" s="86">
        <f t="shared" si="23"/>
        <v>110</v>
      </c>
      <c r="B114" s="355"/>
      <c r="C114" s="93" t="s">
        <v>536</v>
      </c>
      <c r="D114" s="357"/>
      <c r="E114" s="93">
        <v>0</v>
      </c>
      <c r="F114" s="87">
        <v>0</v>
      </c>
      <c r="G114" s="88">
        <v>0</v>
      </c>
      <c r="H114" s="89">
        <v>0</v>
      </c>
      <c r="I114" s="88">
        <v>0</v>
      </c>
      <c r="J114" s="89">
        <v>0</v>
      </c>
      <c r="K114" s="88">
        <v>0</v>
      </c>
      <c r="L114" s="90">
        <v>0</v>
      </c>
      <c r="M114" s="88">
        <v>0</v>
      </c>
      <c r="N114" s="87">
        <f t="shared" si="24"/>
        <v>0</v>
      </c>
      <c r="O114" s="91">
        <v>99</v>
      </c>
      <c r="P114" s="89">
        <f t="shared" si="19"/>
        <v>22765.538879032258</v>
      </c>
      <c r="Q114" s="93">
        <v>46</v>
      </c>
      <c r="R114" s="89">
        <f t="shared" si="20"/>
        <v>36359.618403755863</v>
      </c>
      <c r="S114" s="88">
        <f t="shared" si="18"/>
        <v>145</v>
      </c>
      <c r="T114" s="92">
        <f t="shared" si="18"/>
        <v>59125.157282788117</v>
      </c>
      <c r="U114" s="116"/>
      <c r="V114" s="289">
        <f t="shared" si="27"/>
        <v>790.42648703817099</v>
      </c>
      <c r="W114" s="291">
        <f t="shared" si="27"/>
        <v>0</v>
      </c>
      <c r="X114" s="290">
        <f t="shared" si="27"/>
        <v>1008.4971894322654</v>
      </c>
      <c r="Y114" s="283"/>
      <c r="Z114" s="288"/>
      <c r="AA114" s="286">
        <f t="shared" si="28"/>
        <v>229.954938172043</v>
      </c>
      <c r="AB114" s="281"/>
      <c r="AC114" s="281"/>
      <c r="AD114" s="276"/>
      <c r="AE114" s="276"/>
      <c r="AF114" s="276"/>
    </row>
    <row r="115" spans="1:32" x14ac:dyDescent="0.3">
      <c r="A115" s="86">
        <f t="shared" si="23"/>
        <v>111</v>
      </c>
      <c r="B115" s="353" t="s">
        <v>537</v>
      </c>
      <c r="C115" s="93" t="s">
        <v>672</v>
      </c>
      <c r="D115" s="357"/>
      <c r="E115" s="93">
        <v>0</v>
      </c>
      <c r="F115" s="87">
        <v>0</v>
      </c>
      <c r="G115" s="88">
        <v>0</v>
      </c>
      <c r="H115" s="89">
        <v>0</v>
      </c>
      <c r="I115" s="88">
        <v>0</v>
      </c>
      <c r="J115" s="89">
        <v>0</v>
      </c>
      <c r="K115" s="88">
        <v>0</v>
      </c>
      <c r="L115" s="89">
        <v>0</v>
      </c>
      <c r="M115" s="88">
        <v>0</v>
      </c>
      <c r="N115" s="89">
        <v>0</v>
      </c>
      <c r="O115" s="88">
        <v>0</v>
      </c>
      <c r="P115" s="89">
        <v>0</v>
      </c>
      <c r="Q115" s="93">
        <v>1</v>
      </c>
      <c r="R115" s="89">
        <f t="shared" si="20"/>
        <v>790.42648703817099</v>
      </c>
      <c r="S115" s="88">
        <f t="shared" si="18"/>
        <v>1</v>
      </c>
      <c r="T115" s="92">
        <f t="shared" si="18"/>
        <v>790.42648703817099</v>
      </c>
      <c r="U115" s="116"/>
      <c r="V115" s="289">
        <f t="shared" si="27"/>
        <v>790.42648703817099</v>
      </c>
      <c r="W115" s="291"/>
      <c r="X115" s="290"/>
      <c r="Y115" s="283"/>
      <c r="Z115" s="288"/>
      <c r="AA115" s="286"/>
      <c r="AB115" s="281"/>
      <c r="AC115" s="281"/>
      <c r="AD115" s="276"/>
      <c r="AE115" s="276"/>
      <c r="AF115" s="276"/>
    </row>
    <row r="116" spans="1:32" x14ac:dyDescent="0.3">
      <c r="A116" s="86">
        <f t="shared" si="23"/>
        <v>112</v>
      </c>
      <c r="B116" s="354"/>
      <c r="C116" s="93" t="s">
        <v>537</v>
      </c>
      <c r="D116" s="357"/>
      <c r="E116" s="93">
        <v>0</v>
      </c>
      <c r="F116" s="87">
        <v>0</v>
      </c>
      <c r="G116" s="88">
        <v>44</v>
      </c>
      <c r="H116" s="89">
        <f>+G116*Y113</f>
        <v>4421.6492615868028</v>
      </c>
      <c r="I116" s="88">
        <v>38</v>
      </c>
      <c r="J116" s="89">
        <f>+I116*Z116</f>
        <v>6298.8484951731971</v>
      </c>
      <c r="K116" s="88">
        <v>8</v>
      </c>
      <c r="L116" s="90">
        <v>6877.5462545079854</v>
      </c>
      <c r="M116" s="88">
        <v>4</v>
      </c>
      <c r="N116" s="87">
        <f t="shared" si="24"/>
        <v>4033.9887577290615</v>
      </c>
      <c r="O116" s="91">
        <v>0</v>
      </c>
      <c r="P116" s="89">
        <f t="shared" si="19"/>
        <v>0</v>
      </c>
      <c r="Q116" s="93">
        <v>0</v>
      </c>
      <c r="R116" s="89">
        <f t="shared" si="20"/>
        <v>0</v>
      </c>
      <c r="S116" s="88">
        <f t="shared" si="18"/>
        <v>94</v>
      </c>
      <c r="T116" s="92">
        <f t="shared" si="18"/>
        <v>21632.032768997047</v>
      </c>
      <c r="U116" s="116"/>
      <c r="V116" s="289">
        <f t="shared" si="27"/>
        <v>790.42648703817099</v>
      </c>
      <c r="W116" s="291">
        <f>+W114</f>
        <v>0</v>
      </c>
      <c r="X116" s="290">
        <f>+X114</f>
        <v>1008.4971894322654</v>
      </c>
      <c r="Y116" s="283">
        <f>+Y113</f>
        <v>100.49202867242734</v>
      </c>
      <c r="Z116" s="288">
        <f>+Z113</f>
        <v>165.75917092561045</v>
      </c>
      <c r="AA116" s="286">
        <f>+AA114</f>
        <v>229.954938172043</v>
      </c>
      <c r="AB116" s="281"/>
      <c r="AC116" s="281"/>
      <c r="AD116" s="276"/>
      <c r="AE116" s="276"/>
      <c r="AF116" s="276"/>
    </row>
    <row r="117" spans="1:32" x14ac:dyDescent="0.3">
      <c r="A117" s="86">
        <f t="shared" si="23"/>
        <v>113</v>
      </c>
      <c r="B117" s="354"/>
      <c r="C117" s="93" t="s">
        <v>538</v>
      </c>
      <c r="D117" s="357"/>
      <c r="E117" s="93">
        <v>0</v>
      </c>
      <c r="F117" s="87">
        <v>0</v>
      </c>
      <c r="G117" s="88">
        <v>25</v>
      </c>
      <c r="H117" s="89">
        <f>+G117*Y116</f>
        <v>2512.3007168106833</v>
      </c>
      <c r="I117" s="88">
        <v>45</v>
      </c>
      <c r="J117" s="89">
        <f>+I117*Z117</f>
        <v>7459.1626916524701</v>
      </c>
      <c r="K117" s="88">
        <v>6</v>
      </c>
      <c r="L117" s="90">
        <v>5158.1596908809888</v>
      </c>
      <c r="M117" s="88">
        <v>6</v>
      </c>
      <c r="N117" s="87">
        <f t="shared" si="24"/>
        <v>6050.9831365935925</v>
      </c>
      <c r="O117" s="91">
        <v>125</v>
      </c>
      <c r="P117" s="89">
        <f t="shared" si="19"/>
        <v>28744.367271505376</v>
      </c>
      <c r="Q117" s="93">
        <v>7</v>
      </c>
      <c r="R117" s="89">
        <f t="shared" si="20"/>
        <v>5532.9854092671967</v>
      </c>
      <c r="S117" s="88">
        <f t="shared" si="18"/>
        <v>214</v>
      </c>
      <c r="T117" s="92">
        <f t="shared" si="18"/>
        <v>55457.958916710304</v>
      </c>
      <c r="U117" s="116"/>
      <c r="V117" s="289">
        <f t="shared" si="27"/>
        <v>790.42648703817099</v>
      </c>
      <c r="W117" s="291">
        <f t="shared" si="27"/>
        <v>0</v>
      </c>
      <c r="X117" s="290">
        <f t="shared" si="27"/>
        <v>1008.4971894322654</v>
      </c>
      <c r="Y117" s="283">
        <f t="shared" si="27"/>
        <v>100.49202867242734</v>
      </c>
      <c r="Z117" s="288">
        <f t="shared" si="28"/>
        <v>165.75917092561045</v>
      </c>
      <c r="AA117" s="286">
        <f t="shared" si="28"/>
        <v>229.954938172043</v>
      </c>
      <c r="AB117" s="281"/>
      <c r="AC117" s="281"/>
      <c r="AD117" s="276"/>
      <c r="AE117" s="276"/>
      <c r="AF117" s="276"/>
    </row>
    <row r="118" spans="1:32" x14ac:dyDescent="0.3">
      <c r="A118" s="86">
        <f t="shared" si="23"/>
        <v>114</v>
      </c>
      <c r="B118" s="354"/>
      <c r="C118" s="93" t="s">
        <v>539</v>
      </c>
      <c r="D118" s="357"/>
      <c r="E118" s="93">
        <v>0</v>
      </c>
      <c r="F118" s="87">
        <v>0</v>
      </c>
      <c r="G118" s="88">
        <v>25</v>
      </c>
      <c r="H118" s="89">
        <f>+G118*Y117</f>
        <v>2512.3007168106833</v>
      </c>
      <c r="I118" s="88">
        <v>49</v>
      </c>
      <c r="J118" s="89">
        <f>+I118*Z118</f>
        <v>8122.1993753549123</v>
      </c>
      <c r="K118" s="88">
        <v>4</v>
      </c>
      <c r="L118" s="90">
        <v>3438.7731272539927</v>
      </c>
      <c r="M118" s="88">
        <v>0</v>
      </c>
      <c r="N118" s="87">
        <f t="shared" si="24"/>
        <v>0</v>
      </c>
      <c r="O118" s="91">
        <v>0</v>
      </c>
      <c r="P118" s="89">
        <f t="shared" si="19"/>
        <v>0</v>
      </c>
      <c r="Q118" s="93">
        <v>0</v>
      </c>
      <c r="R118" s="89">
        <f t="shared" si="20"/>
        <v>0</v>
      </c>
      <c r="S118" s="88">
        <f t="shared" si="18"/>
        <v>78</v>
      </c>
      <c r="T118" s="92">
        <f t="shared" si="18"/>
        <v>14073.273219419589</v>
      </c>
      <c r="U118" s="116"/>
      <c r="V118" s="289">
        <f t="shared" ref="V118:AA132" si="29">+V117</f>
        <v>790.42648703817099</v>
      </c>
      <c r="W118" s="291">
        <f t="shared" si="29"/>
        <v>0</v>
      </c>
      <c r="X118" s="290">
        <f t="shared" si="29"/>
        <v>1008.4971894322654</v>
      </c>
      <c r="Y118" s="283">
        <f t="shared" si="29"/>
        <v>100.49202867242734</v>
      </c>
      <c r="Z118" s="288">
        <f t="shared" si="29"/>
        <v>165.75917092561045</v>
      </c>
      <c r="AA118" s="286">
        <f t="shared" si="29"/>
        <v>229.954938172043</v>
      </c>
      <c r="AB118" s="281"/>
      <c r="AC118" s="281"/>
      <c r="AD118" s="276"/>
      <c r="AE118" s="276"/>
      <c r="AF118" s="276"/>
    </row>
    <row r="119" spans="1:32" x14ac:dyDescent="0.3">
      <c r="A119" s="86">
        <f t="shared" si="23"/>
        <v>115</v>
      </c>
      <c r="B119" s="354"/>
      <c r="C119" s="93" t="s">
        <v>540</v>
      </c>
      <c r="D119" s="357"/>
      <c r="E119" s="93">
        <v>0</v>
      </c>
      <c r="F119" s="87">
        <v>0</v>
      </c>
      <c r="G119" s="88">
        <v>34</v>
      </c>
      <c r="H119" s="89">
        <f>+G119*Y118</f>
        <v>3416.7289748625294</v>
      </c>
      <c r="I119" s="88">
        <v>108</v>
      </c>
      <c r="J119" s="89">
        <f>+I119*Z119</f>
        <v>17901.990459965928</v>
      </c>
      <c r="K119" s="88">
        <v>10</v>
      </c>
      <c r="L119" s="90">
        <v>8596.9328181349811</v>
      </c>
      <c r="M119" s="88">
        <v>1</v>
      </c>
      <c r="N119" s="87">
        <f t="shared" si="24"/>
        <v>1008.4971894322654</v>
      </c>
      <c r="O119" s="91">
        <v>125</v>
      </c>
      <c r="P119" s="89">
        <f t="shared" si="19"/>
        <v>28744.367271505376</v>
      </c>
      <c r="Q119" s="93">
        <v>6</v>
      </c>
      <c r="R119" s="89">
        <f t="shared" si="20"/>
        <v>4742.5589222290255</v>
      </c>
      <c r="S119" s="88">
        <f t="shared" si="18"/>
        <v>284</v>
      </c>
      <c r="T119" s="92">
        <f t="shared" si="18"/>
        <v>64411.075636130103</v>
      </c>
      <c r="U119" s="116"/>
      <c r="V119" s="289">
        <f t="shared" si="29"/>
        <v>790.42648703817099</v>
      </c>
      <c r="W119" s="291">
        <f t="shared" si="29"/>
        <v>0</v>
      </c>
      <c r="X119" s="290">
        <f t="shared" si="29"/>
        <v>1008.4971894322654</v>
      </c>
      <c r="Y119" s="283">
        <f t="shared" si="29"/>
        <v>100.49202867242734</v>
      </c>
      <c r="Z119" s="288">
        <f t="shared" si="29"/>
        <v>165.75917092561045</v>
      </c>
      <c r="AA119" s="286">
        <f t="shared" si="29"/>
        <v>229.954938172043</v>
      </c>
      <c r="AB119" s="281"/>
      <c r="AC119" s="281"/>
      <c r="AD119" s="276"/>
      <c r="AE119" s="276"/>
      <c r="AF119" s="276"/>
    </row>
    <row r="120" spans="1:32" x14ac:dyDescent="0.3">
      <c r="A120" s="86">
        <f t="shared" si="23"/>
        <v>116</v>
      </c>
      <c r="B120" s="354"/>
      <c r="C120" s="93" t="s">
        <v>541</v>
      </c>
      <c r="D120" s="357"/>
      <c r="E120" s="93">
        <v>0</v>
      </c>
      <c r="F120" s="87">
        <v>0</v>
      </c>
      <c r="G120" s="88">
        <v>0</v>
      </c>
      <c r="H120" s="89">
        <v>0</v>
      </c>
      <c r="I120" s="88">
        <v>0</v>
      </c>
      <c r="J120" s="89">
        <v>0</v>
      </c>
      <c r="K120" s="88">
        <v>0</v>
      </c>
      <c r="L120" s="90">
        <v>0</v>
      </c>
      <c r="M120" s="88">
        <v>0</v>
      </c>
      <c r="N120" s="87">
        <f t="shared" si="24"/>
        <v>0</v>
      </c>
      <c r="O120" s="91">
        <v>41</v>
      </c>
      <c r="P120" s="89">
        <f t="shared" si="19"/>
        <v>9428.1524650537631</v>
      </c>
      <c r="Q120" s="93">
        <v>6</v>
      </c>
      <c r="R120" s="89">
        <f t="shared" si="20"/>
        <v>4742.5589222290255</v>
      </c>
      <c r="S120" s="88">
        <f t="shared" si="18"/>
        <v>47</v>
      </c>
      <c r="T120" s="92">
        <f t="shared" si="18"/>
        <v>14170.711387282789</v>
      </c>
      <c r="U120" s="116"/>
      <c r="V120" s="289">
        <f t="shared" si="29"/>
        <v>790.42648703817099</v>
      </c>
      <c r="W120" s="291">
        <f t="shared" si="29"/>
        <v>0</v>
      </c>
      <c r="X120" s="290">
        <f t="shared" si="29"/>
        <v>1008.4971894322654</v>
      </c>
      <c r="Y120" s="283"/>
      <c r="Z120" s="288"/>
      <c r="AA120" s="286">
        <f t="shared" si="29"/>
        <v>229.954938172043</v>
      </c>
      <c r="AB120" s="281"/>
      <c r="AC120" s="281"/>
      <c r="AD120" s="276"/>
      <c r="AE120" s="276"/>
      <c r="AF120" s="276"/>
    </row>
    <row r="121" spans="1:32" x14ac:dyDescent="0.3">
      <c r="A121" s="86">
        <f t="shared" si="23"/>
        <v>117</v>
      </c>
      <c r="B121" s="355"/>
      <c r="C121" s="94" t="s">
        <v>542</v>
      </c>
      <c r="D121" s="357"/>
      <c r="E121" s="93">
        <v>0</v>
      </c>
      <c r="F121" s="87">
        <v>0</v>
      </c>
      <c r="G121" s="88">
        <v>0</v>
      </c>
      <c r="H121" s="89">
        <v>0</v>
      </c>
      <c r="I121" s="88">
        <v>0</v>
      </c>
      <c r="J121" s="89">
        <v>0</v>
      </c>
      <c r="K121" s="88">
        <v>0</v>
      </c>
      <c r="L121" s="90">
        <v>0</v>
      </c>
      <c r="M121" s="88">
        <v>0</v>
      </c>
      <c r="N121" s="87">
        <f t="shared" si="24"/>
        <v>0</v>
      </c>
      <c r="O121" s="91">
        <v>0</v>
      </c>
      <c r="P121" s="89">
        <f t="shared" si="19"/>
        <v>0</v>
      </c>
      <c r="Q121" s="93">
        <v>15</v>
      </c>
      <c r="R121" s="89">
        <f t="shared" si="20"/>
        <v>11856.397305572566</v>
      </c>
      <c r="S121" s="88">
        <f t="shared" si="18"/>
        <v>15</v>
      </c>
      <c r="T121" s="92">
        <f t="shared" si="18"/>
        <v>11856.397305572566</v>
      </c>
      <c r="U121" s="116"/>
      <c r="V121" s="289">
        <f t="shared" si="29"/>
        <v>790.42648703817099</v>
      </c>
      <c r="W121" s="291">
        <f t="shared" si="29"/>
        <v>0</v>
      </c>
      <c r="X121" s="290">
        <f t="shared" si="29"/>
        <v>1008.4971894322654</v>
      </c>
      <c r="Y121" s="283"/>
      <c r="Z121" s="288"/>
      <c r="AA121" s="286">
        <f t="shared" si="29"/>
        <v>229.954938172043</v>
      </c>
      <c r="AB121" s="281"/>
      <c r="AC121" s="281"/>
      <c r="AD121" s="276"/>
      <c r="AE121" s="276"/>
      <c r="AF121" s="276"/>
    </row>
    <row r="122" spans="1:32" x14ac:dyDescent="0.3">
      <c r="A122" s="86">
        <f t="shared" si="23"/>
        <v>118</v>
      </c>
      <c r="B122" s="353" t="s">
        <v>543</v>
      </c>
      <c r="C122" s="93" t="s">
        <v>544</v>
      </c>
      <c r="D122" s="357"/>
      <c r="E122" s="93">
        <v>0</v>
      </c>
      <c r="F122" s="87">
        <v>0</v>
      </c>
      <c r="G122" s="88">
        <v>110</v>
      </c>
      <c r="H122" s="89">
        <f>+G122*Y119</f>
        <v>11054.123153967008</v>
      </c>
      <c r="I122" s="88">
        <v>34</v>
      </c>
      <c r="J122" s="89">
        <f>+I122*Z122</f>
        <v>5635.8118114707549</v>
      </c>
      <c r="K122" s="88">
        <v>9</v>
      </c>
      <c r="L122" s="90">
        <v>7737.2395363214837</v>
      </c>
      <c r="M122" s="88">
        <v>3</v>
      </c>
      <c r="N122" s="87">
        <f t="shared" si="24"/>
        <v>3025.4915682967962</v>
      </c>
      <c r="O122" s="91">
        <v>121</v>
      </c>
      <c r="P122" s="89">
        <f t="shared" si="19"/>
        <v>27824.547518817202</v>
      </c>
      <c r="Q122" s="93">
        <v>3</v>
      </c>
      <c r="R122" s="89">
        <f t="shared" si="20"/>
        <v>2371.2794611145127</v>
      </c>
      <c r="S122" s="88">
        <f t="shared" si="18"/>
        <v>280</v>
      </c>
      <c r="T122" s="92">
        <f t="shared" si="18"/>
        <v>57648.493049987759</v>
      </c>
      <c r="U122" s="116"/>
      <c r="V122" s="289">
        <f t="shared" si="29"/>
        <v>790.42648703817099</v>
      </c>
      <c r="W122" s="291">
        <f t="shared" si="29"/>
        <v>0</v>
      </c>
      <c r="X122" s="290">
        <f t="shared" si="29"/>
        <v>1008.4971894322654</v>
      </c>
      <c r="Y122" s="283">
        <f>+Y119</f>
        <v>100.49202867242734</v>
      </c>
      <c r="Z122" s="288">
        <f>+Z119</f>
        <v>165.75917092561045</v>
      </c>
      <c r="AA122" s="286">
        <f t="shared" si="29"/>
        <v>229.954938172043</v>
      </c>
      <c r="AB122" s="281"/>
      <c r="AC122" s="281"/>
      <c r="AD122" s="276"/>
      <c r="AE122" s="276"/>
      <c r="AF122" s="276"/>
    </row>
    <row r="123" spans="1:32" x14ac:dyDescent="0.3">
      <c r="A123" s="86">
        <f t="shared" si="23"/>
        <v>119</v>
      </c>
      <c r="B123" s="354"/>
      <c r="C123" s="93" t="s">
        <v>545</v>
      </c>
      <c r="D123" s="357"/>
      <c r="E123" s="93">
        <v>0</v>
      </c>
      <c r="F123" s="87">
        <v>0</v>
      </c>
      <c r="G123" s="88">
        <v>232</v>
      </c>
      <c r="H123" s="89">
        <f>+G123*Y122</f>
        <v>23314.150652003143</v>
      </c>
      <c r="I123" s="88">
        <v>47</v>
      </c>
      <c r="J123" s="89">
        <f>+I123*Z123</f>
        <v>7790.6810335036907</v>
      </c>
      <c r="K123" s="88">
        <v>5</v>
      </c>
      <c r="L123" s="90">
        <v>4298.4664090674905</v>
      </c>
      <c r="M123" s="88">
        <v>14</v>
      </c>
      <c r="N123" s="87">
        <f t="shared" si="24"/>
        <v>14118.960652051715</v>
      </c>
      <c r="O123" s="91">
        <v>137</v>
      </c>
      <c r="P123" s="89">
        <f t="shared" si="19"/>
        <v>31503.826529569891</v>
      </c>
      <c r="Q123" s="93">
        <v>13</v>
      </c>
      <c r="R123" s="89">
        <f t="shared" si="20"/>
        <v>10275.544331496223</v>
      </c>
      <c r="S123" s="88">
        <f t="shared" si="18"/>
        <v>448</v>
      </c>
      <c r="T123" s="92">
        <f t="shared" si="18"/>
        <v>91301.629607692157</v>
      </c>
      <c r="U123" s="116"/>
      <c r="V123" s="289">
        <f t="shared" si="29"/>
        <v>790.42648703817099</v>
      </c>
      <c r="W123" s="291">
        <f t="shared" si="29"/>
        <v>0</v>
      </c>
      <c r="X123" s="290">
        <f t="shared" si="29"/>
        <v>1008.4971894322654</v>
      </c>
      <c r="Y123" s="283">
        <f t="shared" si="29"/>
        <v>100.49202867242734</v>
      </c>
      <c r="Z123" s="288">
        <f t="shared" si="29"/>
        <v>165.75917092561045</v>
      </c>
      <c r="AA123" s="286">
        <f t="shared" si="29"/>
        <v>229.954938172043</v>
      </c>
      <c r="AB123" s="281"/>
      <c r="AC123" s="281"/>
      <c r="AD123" s="276"/>
      <c r="AE123" s="276"/>
      <c r="AF123" s="276"/>
    </row>
    <row r="124" spans="1:32" x14ac:dyDescent="0.3">
      <c r="A124" s="86">
        <f t="shared" si="23"/>
        <v>120</v>
      </c>
      <c r="B124" s="354"/>
      <c r="C124" s="93" t="s">
        <v>546</v>
      </c>
      <c r="D124" s="357"/>
      <c r="E124" s="93">
        <v>0</v>
      </c>
      <c r="F124" s="87">
        <v>0</v>
      </c>
      <c r="G124" s="88">
        <v>111</v>
      </c>
      <c r="H124" s="89">
        <f>+G124*Y123</f>
        <v>11154.615182639434</v>
      </c>
      <c r="I124" s="88">
        <v>53</v>
      </c>
      <c r="J124" s="89">
        <f>+I124*Z124</f>
        <v>8785.2360590573535</v>
      </c>
      <c r="K124" s="88">
        <v>7</v>
      </c>
      <c r="L124" s="90">
        <v>6017.8529726944871</v>
      </c>
      <c r="M124" s="88">
        <v>25</v>
      </c>
      <c r="N124" s="87">
        <f t="shared" si="24"/>
        <v>25212.429735806636</v>
      </c>
      <c r="O124" s="91">
        <v>126</v>
      </c>
      <c r="P124" s="89">
        <f t="shared" si="19"/>
        <v>28974.322209677419</v>
      </c>
      <c r="Q124" s="93">
        <v>3</v>
      </c>
      <c r="R124" s="89">
        <f t="shared" si="20"/>
        <v>2371.2794611145127</v>
      </c>
      <c r="S124" s="88">
        <f t="shared" si="18"/>
        <v>325</v>
      </c>
      <c r="T124" s="92">
        <f t="shared" si="18"/>
        <v>82515.735620989828</v>
      </c>
      <c r="U124" s="116"/>
      <c r="V124" s="289">
        <f t="shared" si="29"/>
        <v>790.42648703817099</v>
      </c>
      <c r="W124" s="291">
        <f t="shared" si="29"/>
        <v>0</v>
      </c>
      <c r="X124" s="290">
        <f t="shared" si="29"/>
        <v>1008.4971894322654</v>
      </c>
      <c r="Y124" s="283">
        <f t="shared" si="29"/>
        <v>100.49202867242734</v>
      </c>
      <c r="Z124" s="288">
        <f t="shared" si="29"/>
        <v>165.75917092561045</v>
      </c>
      <c r="AA124" s="286">
        <f t="shared" si="29"/>
        <v>229.954938172043</v>
      </c>
      <c r="AB124" s="281"/>
      <c r="AC124" s="281"/>
      <c r="AD124" s="276"/>
      <c r="AE124" s="276"/>
      <c r="AF124" s="276"/>
    </row>
    <row r="125" spans="1:32" x14ac:dyDescent="0.3">
      <c r="A125" s="86">
        <f t="shared" si="23"/>
        <v>121</v>
      </c>
      <c r="B125" s="354"/>
      <c r="C125" s="93" t="s">
        <v>547</v>
      </c>
      <c r="D125" s="357"/>
      <c r="E125" s="93">
        <v>0</v>
      </c>
      <c r="F125" s="87">
        <v>0</v>
      </c>
      <c r="G125" s="88">
        <v>0</v>
      </c>
      <c r="H125" s="90">
        <v>0</v>
      </c>
      <c r="I125" s="88">
        <v>0</v>
      </c>
      <c r="J125" s="90">
        <v>0</v>
      </c>
      <c r="K125" s="88">
        <v>0</v>
      </c>
      <c r="L125" s="90">
        <v>0</v>
      </c>
      <c r="M125" s="88">
        <v>0</v>
      </c>
      <c r="N125" s="87">
        <f t="shared" si="24"/>
        <v>0</v>
      </c>
      <c r="O125" s="91">
        <v>0</v>
      </c>
      <c r="P125" s="89">
        <f t="shared" si="19"/>
        <v>0</v>
      </c>
      <c r="Q125" s="93">
        <v>14</v>
      </c>
      <c r="R125" s="89">
        <f t="shared" si="20"/>
        <v>11065.970818534393</v>
      </c>
      <c r="S125" s="88">
        <f t="shared" si="18"/>
        <v>14</v>
      </c>
      <c r="T125" s="92">
        <f t="shared" si="18"/>
        <v>11065.970818534393</v>
      </c>
      <c r="U125" s="116"/>
      <c r="V125" s="289">
        <f t="shared" si="29"/>
        <v>790.42648703817099</v>
      </c>
      <c r="W125" s="291">
        <f t="shared" si="29"/>
        <v>0</v>
      </c>
      <c r="X125" s="290">
        <f t="shared" si="29"/>
        <v>1008.4971894322654</v>
      </c>
      <c r="Y125" s="283"/>
      <c r="Z125" s="288"/>
      <c r="AA125" s="286">
        <f t="shared" si="29"/>
        <v>229.954938172043</v>
      </c>
      <c r="AB125" s="281"/>
      <c r="AC125" s="281"/>
      <c r="AD125" s="276"/>
      <c r="AE125" s="276"/>
      <c r="AF125" s="276"/>
    </row>
    <row r="126" spans="1:32" x14ac:dyDescent="0.3">
      <c r="A126" s="86">
        <f t="shared" si="23"/>
        <v>122</v>
      </c>
      <c r="B126" s="354"/>
      <c r="C126" s="93" t="s">
        <v>548</v>
      </c>
      <c r="D126" s="357"/>
      <c r="E126" s="93">
        <v>0</v>
      </c>
      <c r="F126" s="87">
        <v>0</v>
      </c>
      <c r="G126" s="88">
        <v>0</v>
      </c>
      <c r="H126" s="90">
        <v>0</v>
      </c>
      <c r="I126" s="88">
        <v>0</v>
      </c>
      <c r="J126" s="90">
        <v>0</v>
      </c>
      <c r="K126" s="88">
        <v>0</v>
      </c>
      <c r="L126" s="90">
        <v>0</v>
      </c>
      <c r="M126" s="88">
        <v>0</v>
      </c>
      <c r="N126" s="87">
        <f t="shared" si="24"/>
        <v>0</v>
      </c>
      <c r="O126" s="91">
        <v>3</v>
      </c>
      <c r="P126" s="89">
        <f t="shared" si="19"/>
        <v>689.86481451612894</v>
      </c>
      <c r="Q126" s="93">
        <v>9</v>
      </c>
      <c r="R126" s="89">
        <f t="shared" si="20"/>
        <v>7113.8383833435391</v>
      </c>
      <c r="S126" s="88">
        <f t="shared" si="18"/>
        <v>12</v>
      </c>
      <c r="T126" s="92">
        <f t="shared" si="18"/>
        <v>7803.7031978596679</v>
      </c>
      <c r="U126" s="116"/>
      <c r="V126" s="289">
        <f t="shared" si="29"/>
        <v>790.42648703817099</v>
      </c>
      <c r="W126" s="291">
        <f t="shared" si="29"/>
        <v>0</v>
      </c>
      <c r="X126" s="290">
        <f t="shared" si="29"/>
        <v>1008.4971894322654</v>
      </c>
      <c r="Y126" s="283"/>
      <c r="Z126" s="288"/>
      <c r="AA126" s="286">
        <f t="shared" si="29"/>
        <v>229.954938172043</v>
      </c>
      <c r="AB126" s="281"/>
      <c r="AC126" s="281"/>
      <c r="AD126" s="276"/>
      <c r="AE126" s="276"/>
      <c r="AF126" s="276"/>
    </row>
    <row r="127" spans="1:32" x14ac:dyDescent="0.3">
      <c r="A127" s="86">
        <f t="shared" si="23"/>
        <v>123</v>
      </c>
      <c r="B127" s="354"/>
      <c r="C127" s="93" t="s">
        <v>549</v>
      </c>
      <c r="D127" s="357"/>
      <c r="E127" s="93">
        <v>0</v>
      </c>
      <c r="F127" s="87">
        <v>0</v>
      </c>
      <c r="G127" s="88">
        <v>0</v>
      </c>
      <c r="H127" s="90">
        <v>0</v>
      </c>
      <c r="I127" s="88">
        <v>0</v>
      </c>
      <c r="J127" s="90">
        <v>0</v>
      </c>
      <c r="K127" s="88">
        <v>0</v>
      </c>
      <c r="L127" s="90">
        <v>0</v>
      </c>
      <c r="M127" s="88">
        <v>0</v>
      </c>
      <c r="N127" s="87">
        <f t="shared" si="24"/>
        <v>0</v>
      </c>
      <c r="O127" s="91">
        <v>17</v>
      </c>
      <c r="P127" s="89">
        <f t="shared" si="19"/>
        <v>3909.2339489247311</v>
      </c>
      <c r="Q127" s="93">
        <v>4</v>
      </c>
      <c r="R127" s="89">
        <f t="shared" si="20"/>
        <v>3161.705948152684</v>
      </c>
      <c r="S127" s="88">
        <f t="shared" si="18"/>
        <v>21</v>
      </c>
      <c r="T127" s="92">
        <f t="shared" si="18"/>
        <v>7070.9398970774146</v>
      </c>
      <c r="U127" s="116"/>
      <c r="V127" s="289">
        <f t="shared" si="29"/>
        <v>790.42648703817099</v>
      </c>
      <c r="W127" s="291">
        <f t="shared" si="29"/>
        <v>0</v>
      </c>
      <c r="X127" s="290">
        <f t="shared" si="29"/>
        <v>1008.4971894322654</v>
      </c>
      <c r="Y127" s="283"/>
      <c r="Z127" s="288"/>
      <c r="AA127" s="286">
        <f t="shared" si="29"/>
        <v>229.954938172043</v>
      </c>
      <c r="AB127" s="281"/>
      <c r="AC127" s="281"/>
      <c r="AD127" s="276"/>
      <c r="AE127" s="276"/>
      <c r="AF127" s="276"/>
    </row>
    <row r="128" spans="1:32" x14ac:dyDescent="0.3">
      <c r="A128" s="86">
        <f t="shared" si="23"/>
        <v>124</v>
      </c>
      <c r="B128" s="355"/>
      <c r="C128" s="93" t="s">
        <v>550</v>
      </c>
      <c r="D128" s="357"/>
      <c r="E128" s="93">
        <v>0</v>
      </c>
      <c r="F128" s="87">
        <v>0</v>
      </c>
      <c r="G128" s="88">
        <v>0</v>
      </c>
      <c r="H128" s="90">
        <v>0</v>
      </c>
      <c r="I128" s="88">
        <v>0</v>
      </c>
      <c r="J128" s="90">
        <v>0</v>
      </c>
      <c r="K128" s="88">
        <v>0</v>
      </c>
      <c r="L128" s="90">
        <v>0</v>
      </c>
      <c r="M128" s="88">
        <v>0</v>
      </c>
      <c r="N128" s="87">
        <f t="shared" si="24"/>
        <v>0</v>
      </c>
      <c r="O128" s="91">
        <v>6</v>
      </c>
      <c r="P128" s="89">
        <f t="shared" si="19"/>
        <v>1379.7296290322579</v>
      </c>
      <c r="Q128" s="93">
        <v>8</v>
      </c>
      <c r="R128" s="89">
        <f t="shared" si="20"/>
        <v>6323.4118963053679</v>
      </c>
      <c r="S128" s="88">
        <f t="shared" si="18"/>
        <v>14</v>
      </c>
      <c r="T128" s="92">
        <f t="shared" si="18"/>
        <v>7703.1415253376254</v>
      </c>
      <c r="U128" s="116"/>
      <c r="V128" s="289">
        <f t="shared" si="29"/>
        <v>790.42648703817099</v>
      </c>
      <c r="W128" s="291">
        <f t="shared" si="29"/>
        <v>0</v>
      </c>
      <c r="X128" s="290">
        <f t="shared" si="29"/>
        <v>1008.4971894322654</v>
      </c>
      <c r="Y128" s="283"/>
      <c r="Z128" s="288"/>
      <c r="AA128" s="286">
        <f t="shared" si="29"/>
        <v>229.954938172043</v>
      </c>
      <c r="AB128" s="281"/>
      <c r="AC128" s="281"/>
      <c r="AD128" s="276"/>
      <c r="AE128" s="276"/>
      <c r="AF128" s="276"/>
    </row>
    <row r="129" spans="1:32" x14ac:dyDescent="0.3">
      <c r="A129" s="86">
        <f t="shared" si="23"/>
        <v>125</v>
      </c>
      <c r="B129" s="359" t="s">
        <v>551</v>
      </c>
      <c r="C129" s="93" t="s">
        <v>552</v>
      </c>
      <c r="D129" s="357"/>
      <c r="E129" s="93">
        <v>0</v>
      </c>
      <c r="F129" s="87">
        <v>0</v>
      </c>
      <c r="G129" s="88">
        <v>50</v>
      </c>
      <c r="H129" s="89">
        <f>+G129*Y124</f>
        <v>5024.6014336213666</v>
      </c>
      <c r="I129" s="88">
        <v>116</v>
      </c>
      <c r="J129" s="89">
        <f>+I129*Z129</f>
        <v>19228.063827370814</v>
      </c>
      <c r="K129" s="88">
        <v>8</v>
      </c>
      <c r="L129" s="90">
        <v>6877.5462545079854</v>
      </c>
      <c r="M129" s="88">
        <v>6</v>
      </c>
      <c r="N129" s="87">
        <f t="shared" si="24"/>
        <v>6050.9831365935925</v>
      </c>
      <c r="O129" s="91">
        <v>126</v>
      </c>
      <c r="P129" s="89">
        <f t="shared" si="19"/>
        <v>28974.322209677419</v>
      </c>
      <c r="Q129" s="93">
        <v>9</v>
      </c>
      <c r="R129" s="89">
        <f t="shared" si="20"/>
        <v>7113.8383833435391</v>
      </c>
      <c r="S129" s="88">
        <f t="shared" si="18"/>
        <v>315</v>
      </c>
      <c r="T129" s="92">
        <f t="shared" si="18"/>
        <v>73269.355245114712</v>
      </c>
      <c r="U129" s="116"/>
      <c r="V129" s="289">
        <f t="shared" si="29"/>
        <v>790.42648703817099</v>
      </c>
      <c r="W129" s="291">
        <f t="shared" si="29"/>
        <v>0</v>
      </c>
      <c r="X129" s="290">
        <f t="shared" si="29"/>
        <v>1008.4971894322654</v>
      </c>
      <c r="Y129" s="283">
        <f>+Y124</f>
        <v>100.49202867242734</v>
      </c>
      <c r="Z129" s="288">
        <f>+Z124</f>
        <v>165.75917092561045</v>
      </c>
      <c r="AA129" s="286">
        <f t="shared" si="29"/>
        <v>229.954938172043</v>
      </c>
      <c r="AB129" s="281"/>
      <c r="AC129" s="281"/>
      <c r="AD129" s="276"/>
      <c r="AE129" s="276"/>
      <c r="AF129" s="276"/>
    </row>
    <row r="130" spans="1:32" x14ac:dyDescent="0.3">
      <c r="A130" s="86">
        <f t="shared" si="23"/>
        <v>126</v>
      </c>
      <c r="B130" s="360"/>
      <c r="C130" s="93" t="s">
        <v>553</v>
      </c>
      <c r="D130" s="357"/>
      <c r="E130" s="93">
        <v>0</v>
      </c>
      <c r="F130" s="87">
        <v>0</v>
      </c>
      <c r="G130" s="88">
        <v>0</v>
      </c>
      <c r="H130" s="89">
        <v>0</v>
      </c>
      <c r="I130" s="88">
        <v>39</v>
      </c>
      <c r="J130" s="89">
        <f>+I130*Z130</f>
        <v>6464.6076660988074</v>
      </c>
      <c r="K130" s="88">
        <v>13</v>
      </c>
      <c r="L130" s="90">
        <v>11176.012663575477</v>
      </c>
      <c r="M130" s="88">
        <v>0</v>
      </c>
      <c r="N130" s="87">
        <f t="shared" si="24"/>
        <v>0</v>
      </c>
      <c r="O130" s="91">
        <v>0</v>
      </c>
      <c r="P130" s="89">
        <f t="shared" si="19"/>
        <v>0</v>
      </c>
      <c r="Q130" s="93">
        <v>0</v>
      </c>
      <c r="R130" s="89">
        <f t="shared" si="20"/>
        <v>0</v>
      </c>
      <c r="S130" s="88">
        <f t="shared" si="18"/>
        <v>52</v>
      </c>
      <c r="T130" s="92">
        <f t="shared" si="18"/>
        <v>17640.620329674282</v>
      </c>
      <c r="U130" s="116"/>
      <c r="V130" s="289">
        <f t="shared" si="29"/>
        <v>790.42648703817099</v>
      </c>
      <c r="W130" s="291">
        <f t="shared" si="29"/>
        <v>0</v>
      </c>
      <c r="X130" s="290">
        <f t="shared" si="29"/>
        <v>1008.4971894322654</v>
      </c>
      <c r="Y130" s="283"/>
      <c r="Z130" s="288">
        <f t="shared" si="29"/>
        <v>165.75917092561045</v>
      </c>
      <c r="AA130" s="286">
        <f t="shared" si="29"/>
        <v>229.954938172043</v>
      </c>
      <c r="AB130" s="281"/>
      <c r="AC130" s="281"/>
      <c r="AD130" s="276"/>
      <c r="AE130" s="276"/>
      <c r="AF130" s="276"/>
    </row>
    <row r="131" spans="1:32" x14ac:dyDescent="0.3">
      <c r="A131" s="86">
        <f t="shared" si="23"/>
        <v>127</v>
      </c>
      <c r="B131" s="360"/>
      <c r="C131" s="95" t="s">
        <v>554</v>
      </c>
      <c r="D131" s="357"/>
      <c r="E131" s="93">
        <v>0</v>
      </c>
      <c r="F131" s="87">
        <v>0</v>
      </c>
      <c r="G131" s="88">
        <v>16</v>
      </c>
      <c r="H131" s="89">
        <f>+G131*Y129</f>
        <v>1607.8724587588374</v>
      </c>
      <c r="I131" s="88">
        <v>21</v>
      </c>
      <c r="J131" s="89">
        <f>+I131*Z131</f>
        <v>3480.9425894378196</v>
      </c>
      <c r="K131" s="88">
        <v>5</v>
      </c>
      <c r="L131" s="90">
        <v>4298.4664090674905</v>
      </c>
      <c r="M131" s="88">
        <v>5</v>
      </c>
      <c r="N131" s="87">
        <f t="shared" si="24"/>
        <v>5042.4859471613272</v>
      </c>
      <c r="O131" s="91">
        <v>7</v>
      </c>
      <c r="P131" s="89">
        <f t="shared" si="19"/>
        <v>1609.6845672043009</v>
      </c>
      <c r="Q131" s="93">
        <v>4</v>
      </c>
      <c r="R131" s="89">
        <f t="shared" si="20"/>
        <v>3161.705948152684</v>
      </c>
      <c r="S131" s="88">
        <f t="shared" si="18"/>
        <v>58</v>
      </c>
      <c r="T131" s="92">
        <f t="shared" si="18"/>
        <v>19201.157919782461</v>
      </c>
      <c r="U131" s="116"/>
      <c r="V131" s="289">
        <f t="shared" si="29"/>
        <v>790.42648703817099</v>
      </c>
      <c r="W131" s="291">
        <f t="shared" si="29"/>
        <v>0</v>
      </c>
      <c r="X131" s="290">
        <f t="shared" si="29"/>
        <v>1008.4971894322654</v>
      </c>
      <c r="Y131" s="283"/>
      <c r="Z131" s="288">
        <f t="shared" si="29"/>
        <v>165.75917092561045</v>
      </c>
      <c r="AA131" s="286">
        <f t="shared" si="29"/>
        <v>229.954938172043</v>
      </c>
      <c r="AB131" s="281"/>
      <c r="AC131" s="281"/>
      <c r="AD131" s="276"/>
      <c r="AE131" s="276"/>
      <c r="AF131" s="276"/>
    </row>
    <row r="132" spans="1:32" ht="15" thickBot="1" x14ac:dyDescent="0.35">
      <c r="A132" s="86">
        <f t="shared" si="23"/>
        <v>128</v>
      </c>
      <c r="B132" s="360"/>
      <c r="C132" s="95" t="s">
        <v>555</v>
      </c>
      <c r="D132" s="357"/>
      <c r="E132" s="95">
        <v>0</v>
      </c>
      <c r="F132" s="261">
        <v>0</v>
      </c>
      <c r="G132" s="262">
        <v>0</v>
      </c>
      <c r="H132" s="263">
        <v>0</v>
      </c>
      <c r="I132" s="262">
        <v>0</v>
      </c>
      <c r="J132" s="263">
        <v>0</v>
      </c>
      <c r="K132" s="262">
        <v>0</v>
      </c>
      <c r="L132" s="264">
        <v>0</v>
      </c>
      <c r="M132" s="262">
        <v>0</v>
      </c>
      <c r="N132" s="261">
        <f t="shared" si="24"/>
        <v>0</v>
      </c>
      <c r="O132" s="265">
        <v>0</v>
      </c>
      <c r="P132" s="263">
        <v>0</v>
      </c>
      <c r="Q132" s="95">
        <v>38</v>
      </c>
      <c r="R132" s="263">
        <f t="shared" si="20"/>
        <v>30036.206507450497</v>
      </c>
      <c r="S132" s="262">
        <f t="shared" ref="S132:T132" si="30">+G132+I132+K132+M132+O132+Q132</f>
        <v>38</v>
      </c>
      <c r="T132" s="266">
        <f t="shared" si="30"/>
        <v>30036.206507450497</v>
      </c>
      <c r="U132" s="116"/>
      <c r="V132" s="289">
        <f t="shared" si="29"/>
        <v>790.42648703817099</v>
      </c>
      <c r="W132" s="291">
        <f t="shared" si="29"/>
        <v>0</v>
      </c>
      <c r="X132" s="290">
        <f t="shared" si="29"/>
        <v>1008.4971894322654</v>
      </c>
      <c r="Y132" s="283"/>
      <c r="Z132" s="288"/>
      <c r="AA132" s="286">
        <f t="shared" si="29"/>
        <v>229.954938172043</v>
      </c>
      <c r="AB132" s="281"/>
      <c r="AC132" s="281"/>
      <c r="AD132" s="276"/>
      <c r="AE132" s="276"/>
      <c r="AF132" s="276"/>
    </row>
    <row r="133" spans="1:32" ht="15" thickBot="1" x14ac:dyDescent="0.35">
      <c r="A133" s="361" t="s">
        <v>556</v>
      </c>
      <c r="B133" s="362"/>
      <c r="C133" s="362"/>
      <c r="D133" s="363"/>
      <c r="E133" s="96" t="s">
        <v>557</v>
      </c>
      <c r="F133" s="96" t="s">
        <v>557</v>
      </c>
      <c r="G133" s="97">
        <f>SUM(G5:G132)</f>
        <v>5092</v>
      </c>
      <c r="H133" s="98">
        <f>SUM(H5:H132)</f>
        <v>511705.40999999992</v>
      </c>
      <c r="I133" s="97">
        <f>SUM(I5:I132)</f>
        <v>8805</v>
      </c>
      <c r="J133" s="98">
        <f>SUM(J5:J131)</f>
        <v>1459509.5</v>
      </c>
      <c r="K133" s="97">
        <f>SUM(K5:K132)</f>
        <v>1941</v>
      </c>
      <c r="L133" s="98">
        <v>1668664.66</v>
      </c>
      <c r="M133" s="97">
        <f t="shared" ref="M133:S133" si="31">SUM(M5:M132)</f>
        <v>1779</v>
      </c>
      <c r="N133" s="99">
        <f t="shared" si="31"/>
        <v>1794116.4999999986</v>
      </c>
      <c r="O133" s="267">
        <f t="shared" si="31"/>
        <v>11160</v>
      </c>
      <c r="P133" s="268">
        <f t="shared" si="31"/>
        <v>2566297.1100000003</v>
      </c>
      <c r="Q133" s="292">
        <f t="shared" si="31"/>
        <v>4779</v>
      </c>
      <c r="R133" s="268">
        <f t="shared" si="31"/>
        <v>3777448.1815554178</v>
      </c>
      <c r="S133" s="293">
        <f t="shared" si="31"/>
        <v>33556</v>
      </c>
      <c r="T133" s="269">
        <f>SUM(T5:T131)</f>
        <v>11747705.155047968</v>
      </c>
      <c r="U133" s="180"/>
      <c r="V133" s="294"/>
      <c r="W133" s="295"/>
      <c r="X133" s="296"/>
      <c r="Y133" s="297"/>
      <c r="Z133" s="298"/>
      <c r="AA133" s="299"/>
      <c r="AB133" s="300"/>
      <c r="AC133" s="300"/>
      <c r="AD133" s="301"/>
      <c r="AE133" s="301"/>
      <c r="AF133" s="301"/>
    </row>
    <row r="134" spans="1:32" ht="15" thickBot="1" x14ac:dyDescent="0.35">
      <c r="A134" s="364" t="s">
        <v>558</v>
      </c>
      <c r="B134" s="365"/>
      <c r="C134" s="365"/>
      <c r="D134" s="365"/>
      <c r="E134" s="100" t="s">
        <v>557</v>
      </c>
      <c r="F134" s="100" t="s">
        <v>557</v>
      </c>
      <c r="G134" s="270" t="s">
        <v>673</v>
      </c>
      <c r="H134" s="101">
        <f>+H5+H6+H7+H8+H9+H10+H12+H13+H14+H15+H16+H18+H22+H24+H27+H28+H29+H30+H31+H32+H33+H34+H35+H42+H43+H44+H45+H46+H47+H48+H50+H51+H52+H53+H54+H55+H59+H60+H64+H65+H66+H70+H71+H72+H73+H76+H79+H85+H86+H87+H89+H90+H91+H92+H93+H94+H95+H96+H97+H100+H101+H103+H104+H113+H116+H117+H118+H119+H122+H123+H124+H129+H131</f>
        <v>511705.40999999992</v>
      </c>
      <c r="I134" s="270" t="s">
        <v>674</v>
      </c>
      <c r="J134" s="101">
        <v>1459509.5</v>
      </c>
      <c r="K134" s="270" t="s">
        <v>675</v>
      </c>
      <c r="L134" s="102">
        <f>+L133</f>
        <v>1668664.66</v>
      </c>
      <c r="M134" s="270" t="s">
        <v>676</v>
      </c>
      <c r="N134" s="101">
        <f>+N133</f>
        <v>1794116.4999999986</v>
      </c>
      <c r="O134" s="270" t="s">
        <v>677</v>
      </c>
      <c r="P134" s="101">
        <f>+P133</f>
        <v>2566297.1100000003</v>
      </c>
      <c r="Q134" s="271" t="s">
        <v>679</v>
      </c>
      <c r="R134" s="101">
        <v>3872299.36</v>
      </c>
      <c r="S134" s="270" t="s">
        <v>678</v>
      </c>
      <c r="T134" s="272">
        <f>+H134+J134+L134+N134+P134+R134</f>
        <v>11872592.539999999</v>
      </c>
      <c r="U134" s="181"/>
      <c r="V134" s="294"/>
      <c r="W134" s="295"/>
      <c r="X134" s="296"/>
      <c r="Y134" s="297"/>
      <c r="Z134" s="288"/>
      <c r="AA134" s="299"/>
      <c r="AB134" s="300"/>
      <c r="AC134" s="300"/>
      <c r="AD134" s="301"/>
      <c r="AE134" s="301"/>
      <c r="AF134" s="301"/>
    </row>
    <row r="135" spans="1:32" ht="15" thickBot="1" x14ac:dyDescent="0.35">
      <c r="A135" s="366" t="s">
        <v>559</v>
      </c>
      <c r="B135" s="367"/>
      <c r="C135" s="367"/>
      <c r="D135" s="367"/>
      <c r="E135" s="103">
        <v>0</v>
      </c>
      <c r="F135" s="104">
        <v>289398.77</v>
      </c>
      <c r="G135" s="105" t="s">
        <v>557</v>
      </c>
      <c r="H135" s="106">
        <v>319242.99</v>
      </c>
      <c r="I135" s="105" t="s">
        <v>557</v>
      </c>
      <c r="J135" s="106">
        <f>1823970.48-J134</f>
        <v>364460.98</v>
      </c>
      <c r="K135" s="105" t="s">
        <v>557</v>
      </c>
      <c r="L135" s="107">
        <v>315030.62</v>
      </c>
      <c r="M135" s="105" t="s">
        <v>557</v>
      </c>
      <c r="N135" s="106">
        <v>311380.27</v>
      </c>
      <c r="O135" s="105" t="s">
        <v>557</v>
      </c>
      <c r="P135" s="106">
        <v>594591.21</v>
      </c>
      <c r="Q135" s="273" t="s">
        <v>557</v>
      </c>
      <c r="R135" s="106">
        <v>364226.27</v>
      </c>
      <c r="S135" s="105" t="s">
        <v>557</v>
      </c>
      <c r="T135" s="272">
        <f>+F135+H135+J135+L135+N135+P135+R135</f>
        <v>2558331.11</v>
      </c>
      <c r="U135" s="181"/>
      <c r="V135" s="294"/>
      <c r="W135" s="295"/>
      <c r="X135" s="296"/>
      <c r="Y135" s="297"/>
      <c r="Z135" s="302"/>
      <c r="AA135" s="299"/>
      <c r="AB135" s="300"/>
      <c r="AC135" s="300"/>
      <c r="AD135" s="301"/>
      <c r="AE135" s="301"/>
      <c r="AF135" s="301"/>
    </row>
    <row r="136" spans="1:32" ht="15" thickBot="1" x14ac:dyDescent="0.35">
      <c r="A136" s="368" t="s">
        <v>560</v>
      </c>
      <c r="B136" s="369"/>
      <c r="C136" s="369"/>
      <c r="D136" s="274"/>
      <c r="E136" s="103"/>
      <c r="F136" s="104" t="e">
        <f>+#REF!</f>
        <v>#REF!</v>
      </c>
      <c r="G136" s="108">
        <f>SUM(G5:G131)</f>
        <v>5092</v>
      </c>
      <c r="H136" s="106"/>
      <c r="I136" s="108">
        <f>SUM(I5:I135)</f>
        <v>17610</v>
      </c>
      <c r="J136" s="106"/>
      <c r="K136" s="108">
        <f>SUM(K5:K135)</f>
        <v>3882</v>
      </c>
      <c r="L136" s="107">
        <f>SUM(L5:L131)</f>
        <v>1668664.66</v>
      </c>
      <c r="M136" s="108">
        <f>SUM(M5:M135)</f>
        <v>3558</v>
      </c>
      <c r="N136" s="106"/>
      <c r="O136" s="108">
        <f>SUM(O5:O135)</f>
        <v>22320</v>
      </c>
      <c r="P136" s="106"/>
      <c r="Q136" s="275"/>
      <c r="R136" s="106"/>
      <c r="S136" s="108"/>
      <c r="T136" s="272">
        <f t="shared" ref="T136" si="32">+H136+J136+L136+N136+P136+R136</f>
        <v>1668664.66</v>
      </c>
      <c r="U136" s="116"/>
      <c r="V136" s="294"/>
      <c r="W136" s="295"/>
      <c r="X136" s="296"/>
      <c r="Y136" s="297"/>
      <c r="Z136" s="302"/>
      <c r="AA136" s="299"/>
      <c r="AB136" s="300"/>
      <c r="AC136" s="300"/>
      <c r="AD136" s="301"/>
      <c r="AE136" s="301"/>
      <c r="AF136" s="301"/>
    </row>
    <row r="137" spans="1:32" ht="18.600000000000001" thickBot="1" x14ac:dyDescent="0.35">
      <c r="A137" s="370" t="s">
        <v>556</v>
      </c>
      <c r="B137" s="371"/>
      <c r="C137" s="371"/>
      <c r="D137" s="371"/>
      <c r="E137" s="109">
        <v>0</v>
      </c>
      <c r="F137" s="110">
        <f>+F135</f>
        <v>289398.77</v>
      </c>
      <c r="G137" s="111">
        <f>SUM(G5:G131)</f>
        <v>5092</v>
      </c>
      <c r="H137" s="112">
        <f>+H134+H135</f>
        <v>830948.39999999991</v>
      </c>
      <c r="I137" s="111">
        <f>+I133</f>
        <v>8805</v>
      </c>
      <c r="J137" s="112">
        <f>+J135+J134</f>
        <v>1823970.48</v>
      </c>
      <c r="K137" s="111">
        <f>+K133</f>
        <v>1941</v>
      </c>
      <c r="L137" s="113">
        <f>+L135+L134</f>
        <v>1983695.2799999998</v>
      </c>
      <c r="M137" s="111">
        <f>+M133</f>
        <v>1779</v>
      </c>
      <c r="N137" s="112">
        <f>+N135+N134</f>
        <v>2105496.7699999986</v>
      </c>
      <c r="O137" s="111">
        <f>+O133</f>
        <v>11160</v>
      </c>
      <c r="P137" s="112">
        <f>+P135+P134</f>
        <v>3160888.3200000003</v>
      </c>
      <c r="Q137" s="109">
        <v>4899</v>
      </c>
      <c r="R137" s="112">
        <f>+R135+R134</f>
        <v>4236525.63</v>
      </c>
      <c r="S137" s="111">
        <f>+S133</f>
        <v>33556</v>
      </c>
      <c r="T137" s="272">
        <f>+F137+H137+J137+L137+N137+P137+R137</f>
        <v>14430923.649999999</v>
      </c>
      <c r="U137" s="181"/>
      <c r="V137" s="294"/>
      <c r="W137" s="295"/>
      <c r="X137" s="296"/>
      <c r="Y137" s="296"/>
      <c r="Z137" s="302"/>
      <c r="AA137" s="299"/>
      <c r="AB137" s="300"/>
      <c r="AC137" s="300"/>
      <c r="AD137" s="301"/>
      <c r="AE137" s="301"/>
      <c r="AF137" s="301"/>
    </row>
    <row r="138" spans="1:32" x14ac:dyDescent="0.3">
      <c r="A138" s="85"/>
      <c r="B138" s="85"/>
      <c r="C138" s="85"/>
      <c r="D138" s="85"/>
      <c r="E138" s="114"/>
      <c r="F138" s="85"/>
      <c r="G138" s="94"/>
      <c r="H138" s="115"/>
      <c r="I138" s="94"/>
      <c r="J138" s="115"/>
      <c r="K138" s="94"/>
      <c r="L138" s="115"/>
      <c r="M138" s="94"/>
      <c r="N138" s="115"/>
      <c r="O138" s="115"/>
      <c r="P138" s="115"/>
      <c r="Q138" s="249"/>
      <c r="R138" s="115"/>
      <c r="S138" s="94"/>
      <c r="T138" s="85"/>
      <c r="U138" s="85"/>
      <c r="V138" s="289"/>
      <c r="W138" s="277"/>
      <c r="X138" s="278"/>
      <c r="Y138" s="278"/>
      <c r="Z138" s="277"/>
      <c r="AA138" s="280"/>
      <c r="AB138" s="281"/>
      <c r="AC138" s="281"/>
      <c r="AD138" s="276"/>
      <c r="AE138" s="276"/>
      <c r="AF138" s="276"/>
    </row>
    <row r="139" spans="1:32" x14ac:dyDescent="0.3">
      <c r="A139" s="85"/>
      <c r="B139" s="85"/>
      <c r="C139" s="85"/>
      <c r="D139" s="85"/>
      <c r="E139" s="114"/>
      <c r="F139" s="85"/>
      <c r="G139" s="94"/>
      <c r="H139" s="115"/>
      <c r="I139" s="94"/>
      <c r="J139" s="115"/>
      <c r="K139" s="94"/>
      <c r="L139" s="115"/>
      <c r="M139" s="94"/>
      <c r="N139" s="115"/>
      <c r="O139" s="115"/>
      <c r="P139" s="115"/>
      <c r="Q139" s="249"/>
      <c r="R139" s="115"/>
      <c r="S139" s="94"/>
      <c r="T139" s="116"/>
      <c r="U139" s="116"/>
      <c r="V139" s="276"/>
      <c r="W139" s="277"/>
      <c r="X139" s="278"/>
      <c r="Y139" s="278"/>
      <c r="Z139" s="277"/>
      <c r="AA139" s="280"/>
      <c r="AB139" s="281"/>
      <c r="AC139" s="281"/>
      <c r="AD139" s="276"/>
      <c r="AE139" s="276"/>
      <c r="AF139" s="276"/>
    </row>
    <row r="140" spans="1:32" x14ac:dyDescent="0.3">
      <c r="A140" s="85"/>
      <c r="B140" s="85"/>
      <c r="C140" s="85"/>
      <c r="D140" s="85"/>
      <c r="E140" s="114"/>
      <c r="F140" s="303">
        <v>289398.77</v>
      </c>
      <c r="G140" s="94"/>
      <c r="H140" s="115">
        <v>830948.4</v>
      </c>
      <c r="I140" s="94"/>
      <c r="J140" s="115">
        <v>1823970.48</v>
      </c>
      <c r="K140" s="94"/>
      <c r="L140" s="115">
        <v>1983695.28</v>
      </c>
      <c r="M140" s="94"/>
      <c r="N140" s="303">
        <v>2105496.77</v>
      </c>
      <c r="O140" s="115"/>
      <c r="P140" s="303">
        <v>3160888.32</v>
      </c>
      <c r="Q140" s="304"/>
      <c r="R140" s="303">
        <v>4236525.63</v>
      </c>
      <c r="S140" s="94"/>
      <c r="T140" s="305">
        <f>SUM(F140:R140)</f>
        <v>14430923.649999999</v>
      </c>
      <c r="U140" s="115"/>
      <c r="V140" s="276"/>
      <c r="W140" s="306"/>
      <c r="X140" s="307"/>
      <c r="Y140" s="307"/>
      <c r="Z140" s="306"/>
      <c r="AA140" s="281"/>
      <c r="AB140" s="281"/>
      <c r="AC140" s="281"/>
      <c r="AD140" s="276"/>
      <c r="AE140" s="276"/>
      <c r="AF140" s="276"/>
    </row>
    <row r="141" spans="1:32" x14ac:dyDescent="0.3">
      <c r="A141" s="85"/>
      <c r="B141" s="85"/>
      <c r="C141" s="85"/>
      <c r="D141" s="85"/>
      <c r="E141" s="114"/>
      <c r="F141" s="85"/>
      <c r="G141" s="94"/>
      <c r="H141" s="115"/>
      <c r="I141" s="94"/>
      <c r="J141" s="115"/>
      <c r="K141" s="94"/>
      <c r="L141" s="115"/>
      <c r="M141" s="94"/>
      <c r="N141" s="115"/>
      <c r="O141" s="115"/>
      <c r="P141" s="115"/>
      <c r="Q141" s="249"/>
      <c r="R141" s="115"/>
      <c r="S141" s="94"/>
      <c r="T141" s="303"/>
      <c r="U141" s="85"/>
      <c r="V141" s="276"/>
      <c r="W141" s="277"/>
      <c r="X141" s="278"/>
      <c r="Y141" s="278"/>
      <c r="Z141" s="277"/>
      <c r="AA141" s="280"/>
      <c r="AB141" s="281"/>
      <c r="AC141" s="281"/>
      <c r="AD141" s="276"/>
      <c r="AE141" s="276"/>
      <c r="AF141" s="276"/>
    </row>
    <row r="142" spans="1:32" x14ac:dyDescent="0.3">
      <c r="A142" s="85"/>
      <c r="B142" s="85"/>
      <c r="C142" s="85"/>
      <c r="D142" s="85"/>
      <c r="E142" s="114"/>
      <c r="F142" s="85"/>
      <c r="G142" s="94"/>
      <c r="H142" s="115"/>
      <c r="I142" s="94"/>
      <c r="J142" s="115"/>
      <c r="K142" s="94"/>
      <c r="L142" s="115"/>
      <c r="M142" s="94"/>
      <c r="N142" s="115"/>
      <c r="O142" s="115"/>
      <c r="P142" s="115"/>
      <c r="Q142" s="249"/>
      <c r="R142" s="115"/>
      <c r="S142" s="94"/>
      <c r="T142" s="85"/>
      <c r="U142" s="85"/>
      <c r="V142" s="276"/>
      <c r="W142" s="277"/>
      <c r="X142" s="278"/>
      <c r="Y142" s="278"/>
      <c r="Z142" s="279"/>
      <c r="AA142" s="280"/>
      <c r="AB142" s="281"/>
      <c r="AC142" s="281"/>
      <c r="AD142" s="276"/>
      <c r="AE142" s="276"/>
      <c r="AF142" s="276"/>
    </row>
    <row r="143" spans="1:32" x14ac:dyDescent="0.3">
      <c r="A143" s="85"/>
      <c r="B143" s="85"/>
      <c r="C143" s="85"/>
      <c r="D143" s="85"/>
      <c r="E143" s="114"/>
      <c r="F143" s="284"/>
      <c r="G143" s="94"/>
      <c r="H143" s="115"/>
      <c r="I143" s="94"/>
      <c r="J143" s="115"/>
      <c r="K143" s="94"/>
      <c r="L143" s="115"/>
      <c r="M143" s="94"/>
      <c r="N143" s="308"/>
      <c r="O143" s="115"/>
      <c r="P143" s="115">
        <f>+S134-33556</f>
        <v>0</v>
      </c>
      <c r="Q143" s="249"/>
      <c r="R143" s="115"/>
      <c r="S143" s="94"/>
      <c r="T143" s="115"/>
      <c r="U143" s="85"/>
      <c r="V143" s="276"/>
      <c r="W143" s="277"/>
      <c r="X143" s="278"/>
      <c r="Y143" s="278"/>
      <c r="Z143" s="279"/>
      <c r="AA143" s="280"/>
      <c r="AB143" s="281"/>
      <c r="AC143" s="281"/>
      <c r="AD143" s="276"/>
      <c r="AE143" s="276"/>
      <c r="AF143" s="276"/>
    </row>
    <row r="144" spans="1:32" x14ac:dyDescent="0.3">
      <c r="A144" s="85"/>
      <c r="B144" s="85"/>
      <c r="C144" s="85"/>
      <c r="D144" s="85"/>
      <c r="E144" s="114"/>
      <c r="F144" s="85"/>
      <c r="G144" s="94"/>
      <c r="H144" s="115"/>
      <c r="I144" s="94"/>
      <c r="J144" s="115"/>
      <c r="K144" s="94"/>
      <c r="L144" s="115"/>
      <c r="M144" s="94"/>
      <c r="N144" s="115"/>
      <c r="O144" s="115"/>
      <c r="P144" s="115"/>
      <c r="Q144" s="249"/>
      <c r="R144" s="115"/>
      <c r="S144" s="94"/>
      <c r="T144" s="115"/>
      <c r="U144" s="85"/>
      <c r="V144" s="276"/>
      <c r="W144" s="277"/>
      <c r="X144" s="278"/>
      <c r="Y144" s="278"/>
      <c r="Z144" s="279"/>
      <c r="AA144" s="280"/>
      <c r="AB144" s="281"/>
      <c r="AC144" s="281"/>
      <c r="AD144" s="276"/>
      <c r="AE144" s="276"/>
      <c r="AF144" s="276"/>
    </row>
    <row r="145" spans="1:32" x14ac:dyDescent="0.3">
      <c r="A145" s="85"/>
      <c r="B145" s="85"/>
      <c r="C145" s="85"/>
      <c r="D145" s="85"/>
      <c r="F145" s="309"/>
      <c r="G145" s="310"/>
      <c r="H145" s="115"/>
      <c r="I145" s="94"/>
      <c r="J145" s="115"/>
      <c r="K145" s="94"/>
      <c r="L145" s="115"/>
      <c r="M145" s="94"/>
      <c r="N145" s="115"/>
      <c r="O145" s="115"/>
      <c r="P145" s="308"/>
      <c r="Q145" s="311"/>
      <c r="R145" s="308"/>
      <c r="S145" s="94"/>
      <c r="T145" s="85"/>
      <c r="U145" s="85"/>
      <c r="V145" s="276"/>
      <c r="W145" s="277"/>
      <c r="X145" s="278"/>
      <c r="Y145" s="278"/>
      <c r="Z145" s="279"/>
      <c r="AA145" s="280"/>
      <c r="AB145" s="281"/>
      <c r="AC145" s="281"/>
      <c r="AD145" s="276"/>
      <c r="AE145" s="276"/>
      <c r="AF145" s="276"/>
    </row>
    <row r="146" spans="1:32" x14ac:dyDescent="0.3">
      <c r="A146" s="85"/>
      <c r="B146" s="85"/>
      <c r="C146" s="85"/>
      <c r="D146" s="85"/>
      <c r="F146" s="372"/>
      <c r="G146" s="372"/>
      <c r="H146" s="352"/>
      <c r="I146" s="352"/>
      <c r="J146" s="115"/>
      <c r="K146" s="94"/>
      <c r="L146" s="115"/>
      <c r="M146" s="94"/>
      <c r="N146" s="115"/>
      <c r="O146" s="115"/>
      <c r="P146" s="308"/>
      <c r="Q146" s="311"/>
      <c r="R146" s="308"/>
      <c r="S146" s="94"/>
      <c r="T146" s="85"/>
      <c r="U146" s="85"/>
      <c r="V146" s="276"/>
      <c r="W146" s="277"/>
      <c r="X146" s="278"/>
      <c r="Y146" s="278"/>
      <c r="Z146" s="279"/>
      <c r="AA146" s="280"/>
      <c r="AB146" s="281"/>
      <c r="AC146" s="281"/>
      <c r="AD146" s="276"/>
      <c r="AE146" s="276"/>
      <c r="AF146" s="276"/>
    </row>
  </sheetData>
  <mergeCells count="44">
    <mergeCell ref="B85:B89"/>
    <mergeCell ref="B90:B94"/>
    <mergeCell ref="B95:B100"/>
    <mergeCell ref="H146:I146"/>
    <mergeCell ref="B104:B108"/>
    <mergeCell ref="B109:B114"/>
    <mergeCell ref="B115:B121"/>
    <mergeCell ref="B122:B128"/>
    <mergeCell ref="B129:B132"/>
    <mergeCell ref="A133:D133"/>
    <mergeCell ref="A134:D134"/>
    <mergeCell ref="A135:D135"/>
    <mergeCell ref="A136:C136"/>
    <mergeCell ref="A137:D137"/>
    <mergeCell ref="F146:G146"/>
    <mergeCell ref="V3:W3"/>
    <mergeCell ref="B5:B11"/>
    <mergeCell ref="D5:D132"/>
    <mergeCell ref="B12:B15"/>
    <mergeCell ref="B16:B21"/>
    <mergeCell ref="B22:B26"/>
    <mergeCell ref="B27:B31"/>
    <mergeCell ref="B101:B103"/>
    <mergeCell ref="B32:B41"/>
    <mergeCell ref="B42:B49"/>
    <mergeCell ref="B50:B52"/>
    <mergeCell ref="B53:B58"/>
    <mergeCell ref="B59:B64"/>
    <mergeCell ref="B65:B70"/>
    <mergeCell ref="B71:B76"/>
    <mergeCell ref="B77:B84"/>
    <mergeCell ref="A2:T2"/>
    <mergeCell ref="A3:A4"/>
    <mergeCell ref="B3:B4"/>
    <mergeCell ref="C3:C4"/>
    <mergeCell ref="D3:D4"/>
    <mergeCell ref="E3:F3"/>
    <mergeCell ref="G3:H3"/>
    <mergeCell ref="I3:J3"/>
    <mergeCell ref="K3:L3"/>
    <mergeCell ref="M3:N3"/>
    <mergeCell ref="O3:P3"/>
    <mergeCell ref="Q3:R3"/>
    <mergeCell ref="S3:T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5286D-E3A6-F240-B01B-52B133F0A22F}">
  <dimension ref="A1:Y35"/>
  <sheetViews>
    <sheetView topLeftCell="G1" workbookViewId="0">
      <selection activeCell="X26" sqref="X26"/>
    </sheetView>
  </sheetViews>
  <sheetFormatPr baseColWidth="10" defaultRowHeight="14.4" x14ac:dyDescent="0.3"/>
  <cols>
    <col min="17" max="17" width="13.109375" bestFit="1" customWidth="1"/>
    <col min="24" max="24" width="13.44140625" bestFit="1" customWidth="1"/>
  </cols>
  <sheetData>
    <row r="1" spans="1:25" x14ac:dyDescent="0.3"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76"/>
    </row>
    <row r="2" spans="1:25" x14ac:dyDescent="0.3">
      <c r="C2" s="376" t="s">
        <v>561</v>
      </c>
      <c r="D2" s="376"/>
      <c r="E2" s="376"/>
      <c r="F2" s="376"/>
      <c r="G2" s="376"/>
      <c r="H2" s="376"/>
      <c r="I2" s="376"/>
      <c r="J2" s="376"/>
      <c r="K2" s="376"/>
      <c r="L2" s="376"/>
      <c r="M2" s="376"/>
      <c r="N2" s="376"/>
      <c r="O2" s="376"/>
      <c r="P2" s="376"/>
      <c r="Q2" s="376"/>
      <c r="R2" s="376"/>
      <c r="S2" s="376"/>
      <c r="T2" s="376"/>
      <c r="U2" s="376"/>
      <c r="V2" s="376"/>
      <c r="W2" s="376"/>
      <c r="X2" s="376"/>
    </row>
    <row r="3" spans="1:25" x14ac:dyDescent="0.3">
      <c r="C3" s="376" t="s">
        <v>562</v>
      </c>
      <c r="D3" s="376"/>
      <c r="E3" s="376"/>
      <c r="F3" s="376"/>
      <c r="G3" s="376"/>
      <c r="H3" s="376"/>
      <c r="I3" s="376"/>
      <c r="J3" s="376"/>
      <c r="K3" s="376"/>
      <c r="L3" s="376"/>
      <c r="M3" s="376"/>
      <c r="N3" s="376"/>
      <c r="O3" s="376"/>
      <c r="P3" s="376"/>
      <c r="Q3" s="376"/>
      <c r="R3" s="376"/>
      <c r="S3" s="376"/>
      <c r="T3" s="376"/>
      <c r="U3" s="376"/>
      <c r="V3" s="376"/>
      <c r="W3" s="376"/>
      <c r="X3" s="376"/>
    </row>
    <row r="4" spans="1:25" x14ac:dyDescent="0.3">
      <c r="C4" s="376" t="s">
        <v>563</v>
      </c>
      <c r="D4" s="376"/>
      <c r="E4" s="376"/>
      <c r="F4" s="376"/>
      <c r="G4" s="376"/>
      <c r="H4" s="376"/>
      <c r="I4" s="376"/>
      <c r="J4" s="376"/>
      <c r="K4" s="376"/>
      <c r="L4" s="376"/>
      <c r="M4" s="376"/>
      <c r="N4" s="376"/>
      <c r="O4" s="376"/>
      <c r="P4" s="376"/>
      <c r="Q4" s="376"/>
      <c r="R4" s="376"/>
      <c r="S4" s="376"/>
      <c r="T4" s="376"/>
      <c r="U4" s="376"/>
      <c r="V4" s="376"/>
      <c r="W4" s="376"/>
      <c r="X4" s="376"/>
    </row>
    <row r="5" spans="1:25" x14ac:dyDescent="0.3">
      <c r="C5" s="376" t="s">
        <v>564</v>
      </c>
      <c r="D5" s="376"/>
      <c r="E5" s="376"/>
      <c r="F5" s="376"/>
      <c r="G5" s="376"/>
      <c r="H5" s="376"/>
      <c r="I5" s="376"/>
      <c r="J5" s="376"/>
      <c r="K5" s="376"/>
      <c r="L5" s="376"/>
      <c r="M5" s="376"/>
      <c r="N5" s="376"/>
      <c r="O5" s="376"/>
      <c r="P5" s="376"/>
      <c r="Q5" s="376"/>
      <c r="R5" s="376"/>
      <c r="S5" s="376"/>
      <c r="T5" s="376"/>
      <c r="U5" s="376"/>
      <c r="V5" s="376"/>
      <c r="W5" s="376"/>
      <c r="X5" s="376"/>
    </row>
    <row r="6" spans="1:25" ht="15" thickBot="1" x14ac:dyDescent="0.35"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</row>
    <row r="7" spans="1:25" ht="15" thickBot="1" x14ac:dyDescent="0.35">
      <c r="G7" s="119" t="s">
        <v>565</v>
      </c>
      <c r="H7" s="120" t="s">
        <v>566</v>
      </c>
      <c r="I7" s="377" t="s">
        <v>567</v>
      </c>
      <c r="J7" s="378"/>
      <c r="K7" s="379" t="s">
        <v>568</v>
      </c>
      <c r="L7" s="380"/>
      <c r="M7" s="381"/>
      <c r="N7" s="382" t="s">
        <v>569</v>
      </c>
      <c r="O7" s="383"/>
      <c r="P7" s="235" t="s">
        <v>570</v>
      </c>
      <c r="Q7" s="236" t="s">
        <v>661</v>
      </c>
      <c r="R7" s="237"/>
      <c r="S7" s="121"/>
      <c r="T7" s="121"/>
      <c r="U7" s="121"/>
      <c r="V7" s="122"/>
    </row>
    <row r="8" spans="1:25" ht="58.2" thickBot="1" x14ac:dyDescent="0.35">
      <c r="A8" s="133"/>
      <c r="B8" s="133"/>
      <c r="C8" s="123" t="s">
        <v>571</v>
      </c>
      <c r="D8" s="124" t="s">
        <v>572</v>
      </c>
      <c r="E8" s="124" t="s">
        <v>573</v>
      </c>
      <c r="F8" s="125" t="s">
        <v>574</v>
      </c>
      <c r="G8" s="126"/>
      <c r="H8" s="127"/>
      <c r="I8" s="128" t="s">
        <v>575</v>
      </c>
      <c r="J8" s="129" t="s">
        <v>576</v>
      </c>
      <c r="K8" s="128" t="s">
        <v>577</v>
      </c>
      <c r="L8" s="126" t="s">
        <v>578</v>
      </c>
      <c r="M8" s="129" t="s">
        <v>579</v>
      </c>
      <c r="N8" s="128" t="s">
        <v>580</v>
      </c>
      <c r="O8" s="130" t="s">
        <v>581</v>
      </c>
      <c r="P8" s="238" t="s">
        <v>582</v>
      </c>
      <c r="Q8" s="239" t="s">
        <v>662</v>
      </c>
      <c r="R8" s="238" t="s">
        <v>583</v>
      </c>
      <c r="S8" s="127" t="s">
        <v>584</v>
      </c>
      <c r="T8" s="127" t="s">
        <v>585</v>
      </c>
      <c r="U8" s="127" t="s">
        <v>586</v>
      </c>
      <c r="V8" s="126" t="s">
        <v>587</v>
      </c>
      <c r="W8" s="131" t="s">
        <v>588</v>
      </c>
      <c r="X8" s="132" t="s">
        <v>589</v>
      </c>
      <c r="Y8" s="133"/>
    </row>
    <row r="9" spans="1:25" x14ac:dyDescent="0.3">
      <c r="C9" s="134">
        <v>1</v>
      </c>
      <c r="D9" s="373" t="s">
        <v>100</v>
      </c>
      <c r="E9" s="135" t="s">
        <v>100</v>
      </c>
      <c r="F9" s="136" t="s">
        <v>590</v>
      </c>
      <c r="G9" s="137">
        <v>0</v>
      </c>
      <c r="H9" s="138">
        <v>0</v>
      </c>
      <c r="I9" s="139">
        <v>4327</v>
      </c>
      <c r="J9" s="140">
        <v>4327</v>
      </c>
      <c r="K9" s="139">
        <v>7792</v>
      </c>
      <c r="L9" s="137">
        <v>7792</v>
      </c>
      <c r="M9" s="140"/>
      <c r="N9" s="139">
        <v>7782</v>
      </c>
      <c r="O9" s="141">
        <v>7770</v>
      </c>
      <c r="P9" s="240">
        <v>8530</v>
      </c>
      <c r="Q9" s="241">
        <v>10208</v>
      </c>
      <c r="R9" s="240"/>
      <c r="S9" s="143"/>
      <c r="T9" s="143"/>
      <c r="U9" s="143"/>
      <c r="V9" s="144"/>
      <c r="W9" s="142">
        <f t="shared" ref="W9:W25" si="0">SUM(H9:V9)</f>
        <v>58528</v>
      </c>
      <c r="X9" s="145">
        <f>+W9*325</f>
        <v>19021600</v>
      </c>
    </row>
    <row r="10" spans="1:25" x14ac:dyDescent="0.3">
      <c r="C10" s="146">
        <v>2</v>
      </c>
      <c r="D10" s="373"/>
      <c r="E10" s="24" t="s">
        <v>114</v>
      </c>
      <c r="F10" s="19" t="s">
        <v>591</v>
      </c>
      <c r="G10" s="137">
        <v>0</v>
      </c>
      <c r="H10" s="138">
        <v>0</v>
      </c>
      <c r="I10" s="139">
        <v>577</v>
      </c>
      <c r="J10" s="140">
        <v>577</v>
      </c>
      <c r="K10" s="139">
        <v>595</v>
      </c>
      <c r="L10" s="137">
        <v>595</v>
      </c>
      <c r="M10" s="140"/>
      <c r="N10" s="139">
        <v>603</v>
      </c>
      <c r="O10" s="141">
        <v>599</v>
      </c>
      <c r="P10" s="242">
        <v>609</v>
      </c>
      <c r="Q10" s="243">
        <v>597</v>
      </c>
      <c r="R10" s="240"/>
      <c r="S10" s="143"/>
      <c r="T10" s="143"/>
      <c r="U10" s="143"/>
      <c r="V10" s="147"/>
      <c r="W10" s="142">
        <f t="shared" si="0"/>
        <v>4752</v>
      </c>
      <c r="X10" s="145">
        <f t="shared" ref="X10:X25" si="1">+W10*325</f>
        <v>1544400</v>
      </c>
    </row>
    <row r="11" spans="1:25" x14ac:dyDescent="0.3">
      <c r="C11" s="146">
        <v>3</v>
      </c>
      <c r="D11" s="373"/>
      <c r="E11" s="24" t="s">
        <v>108</v>
      </c>
      <c r="F11" s="19" t="s">
        <v>592</v>
      </c>
      <c r="G11" s="137">
        <v>0</v>
      </c>
      <c r="H11" s="138">
        <v>0</v>
      </c>
      <c r="I11" s="139">
        <v>758</v>
      </c>
      <c r="J11" s="140">
        <v>758</v>
      </c>
      <c r="K11" s="139">
        <v>769</v>
      </c>
      <c r="L11" s="137">
        <v>769</v>
      </c>
      <c r="M11" s="140"/>
      <c r="N11" s="139">
        <v>774</v>
      </c>
      <c r="O11" s="141">
        <v>767</v>
      </c>
      <c r="P11" s="242">
        <v>781</v>
      </c>
      <c r="Q11" s="243">
        <v>760</v>
      </c>
      <c r="R11" s="240"/>
      <c r="S11" s="143"/>
      <c r="T11" s="143"/>
      <c r="U11" s="143"/>
      <c r="V11" s="147"/>
      <c r="W11" s="142">
        <f t="shared" si="0"/>
        <v>6136</v>
      </c>
      <c r="X11" s="145">
        <f t="shared" si="1"/>
        <v>1994200</v>
      </c>
    </row>
    <row r="12" spans="1:25" x14ac:dyDescent="0.3">
      <c r="C12" s="146">
        <v>4</v>
      </c>
      <c r="D12" s="373"/>
      <c r="E12" s="24" t="s">
        <v>107</v>
      </c>
      <c r="F12" s="19" t="s">
        <v>593</v>
      </c>
      <c r="G12" s="137">
        <v>0</v>
      </c>
      <c r="H12" s="138">
        <v>0</v>
      </c>
      <c r="I12" s="139">
        <v>222</v>
      </c>
      <c r="J12" s="140">
        <v>222</v>
      </c>
      <c r="K12" s="139">
        <v>226</v>
      </c>
      <c r="L12" s="137">
        <v>226</v>
      </c>
      <c r="M12" s="140">
        <v>226</v>
      </c>
      <c r="N12" s="139">
        <v>0</v>
      </c>
      <c r="O12" s="141">
        <v>223</v>
      </c>
      <c r="P12" s="242">
        <v>228</v>
      </c>
      <c r="Q12" s="243">
        <v>226</v>
      </c>
      <c r="R12" s="240"/>
      <c r="S12" s="143"/>
      <c r="T12" s="143"/>
      <c r="U12" s="143"/>
      <c r="V12" s="147"/>
      <c r="W12" s="142">
        <f t="shared" si="0"/>
        <v>1799</v>
      </c>
      <c r="X12" s="145">
        <f t="shared" si="1"/>
        <v>584675</v>
      </c>
    </row>
    <row r="13" spans="1:25" x14ac:dyDescent="0.3">
      <c r="C13" s="146">
        <v>5</v>
      </c>
      <c r="D13" s="373"/>
      <c r="E13" s="24" t="s">
        <v>106</v>
      </c>
      <c r="F13" s="19" t="s">
        <v>594</v>
      </c>
      <c r="G13" s="137">
        <v>0</v>
      </c>
      <c r="H13" s="138">
        <v>0</v>
      </c>
      <c r="I13" s="139">
        <v>3028</v>
      </c>
      <c r="J13" s="140">
        <v>3028</v>
      </c>
      <c r="K13" s="139">
        <v>3067</v>
      </c>
      <c r="L13" s="137">
        <v>3067</v>
      </c>
      <c r="M13" s="140"/>
      <c r="N13" s="139">
        <v>3077</v>
      </c>
      <c r="O13" s="141">
        <v>3063</v>
      </c>
      <c r="P13" s="242">
        <v>3083</v>
      </c>
      <c r="Q13" s="243">
        <v>3050</v>
      </c>
      <c r="R13" s="240"/>
      <c r="S13" s="143"/>
      <c r="T13" s="143"/>
      <c r="U13" s="143"/>
      <c r="V13" s="147"/>
      <c r="W13" s="142">
        <f t="shared" si="0"/>
        <v>24463</v>
      </c>
      <c r="X13" s="145">
        <f t="shared" si="1"/>
        <v>7950475</v>
      </c>
    </row>
    <row r="14" spans="1:25" x14ac:dyDescent="0.3">
      <c r="C14" s="146">
        <v>6</v>
      </c>
      <c r="D14" s="373"/>
      <c r="E14" s="24" t="s">
        <v>102</v>
      </c>
      <c r="F14" s="19" t="s">
        <v>595</v>
      </c>
      <c r="G14" s="137">
        <v>0</v>
      </c>
      <c r="H14" s="138">
        <v>0</v>
      </c>
      <c r="I14" s="139">
        <v>2694</v>
      </c>
      <c r="J14" s="140">
        <v>2694</v>
      </c>
      <c r="K14" s="139">
        <v>2726</v>
      </c>
      <c r="L14" s="137">
        <v>2726</v>
      </c>
      <c r="M14" s="140"/>
      <c r="N14" s="139">
        <v>2741</v>
      </c>
      <c r="O14" s="141">
        <v>2731</v>
      </c>
      <c r="P14" s="242">
        <v>2743</v>
      </c>
      <c r="Q14" s="243">
        <v>2702</v>
      </c>
      <c r="R14" s="240"/>
      <c r="S14" s="143"/>
      <c r="T14" s="143"/>
      <c r="U14" s="143"/>
      <c r="V14" s="147"/>
      <c r="W14" s="142">
        <f t="shared" si="0"/>
        <v>21757</v>
      </c>
      <c r="X14" s="145">
        <f t="shared" si="1"/>
        <v>7071025</v>
      </c>
    </row>
    <row r="15" spans="1:25" x14ac:dyDescent="0.3">
      <c r="C15" s="146">
        <v>7</v>
      </c>
      <c r="D15" s="373"/>
      <c r="E15" s="24" t="s">
        <v>111</v>
      </c>
      <c r="F15" s="19" t="s">
        <v>596</v>
      </c>
      <c r="G15" s="137">
        <v>0</v>
      </c>
      <c r="H15" s="138">
        <v>0</v>
      </c>
      <c r="I15" s="139">
        <v>2893</v>
      </c>
      <c r="J15" s="140">
        <v>2893</v>
      </c>
      <c r="K15" s="139">
        <v>2924</v>
      </c>
      <c r="L15" s="137">
        <v>2924</v>
      </c>
      <c r="M15" s="140"/>
      <c r="N15" s="139">
        <v>2926</v>
      </c>
      <c r="O15" s="141">
        <v>2921</v>
      </c>
      <c r="P15" s="242">
        <v>2933</v>
      </c>
      <c r="Q15" s="243">
        <v>2867</v>
      </c>
      <c r="R15" s="240"/>
      <c r="S15" s="143"/>
      <c r="T15" s="143"/>
      <c r="U15" s="143"/>
      <c r="V15" s="147"/>
      <c r="W15" s="142">
        <f t="shared" si="0"/>
        <v>23281</v>
      </c>
      <c r="X15" s="145">
        <f t="shared" si="1"/>
        <v>7566325</v>
      </c>
    </row>
    <row r="16" spans="1:25" x14ac:dyDescent="0.3">
      <c r="C16" s="146">
        <v>8</v>
      </c>
      <c r="D16" s="373"/>
      <c r="E16" s="24" t="s">
        <v>105</v>
      </c>
      <c r="F16" s="19" t="s">
        <v>597</v>
      </c>
      <c r="G16" s="137">
        <v>0</v>
      </c>
      <c r="H16" s="138">
        <v>0</v>
      </c>
      <c r="I16" s="139">
        <v>3942</v>
      </c>
      <c r="J16" s="140">
        <v>3942</v>
      </c>
      <c r="K16" s="139">
        <v>3996</v>
      </c>
      <c r="L16" s="137">
        <v>3996</v>
      </c>
      <c r="M16" s="140"/>
      <c r="N16" s="139">
        <v>4004</v>
      </c>
      <c r="O16" s="141">
        <v>3993</v>
      </c>
      <c r="P16" s="242">
        <v>4005</v>
      </c>
      <c r="Q16" s="243">
        <v>3933</v>
      </c>
      <c r="R16" s="240"/>
      <c r="S16" s="143"/>
      <c r="T16" s="143"/>
      <c r="U16" s="143"/>
      <c r="V16" s="147"/>
      <c r="W16" s="142">
        <f t="shared" si="0"/>
        <v>31811</v>
      </c>
      <c r="X16" s="145">
        <f t="shared" si="1"/>
        <v>10338575</v>
      </c>
    </row>
    <row r="17" spans="3:24" x14ac:dyDescent="0.3">
      <c r="C17" s="146">
        <v>9</v>
      </c>
      <c r="D17" s="373"/>
      <c r="E17" s="24" t="s">
        <v>112</v>
      </c>
      <c r="F17" s="19" t="s">
        <v>598</v>
      </c>
      <c r="G17" s="137">
        <v>0</v>
      </c>
      <c r="H17" s="138">
        <v>0</v>
      </c>
      <c r="I17" s="139">
        <v>2567</v>
      </c>
      <c r="J17" s="140">
        <v>2567</v>
      </c>
      <c r="K17" s="139">
        <v>2583</v>
      </c>
      <c r="L17" s="137">
        <v>2583</v>
      </c>
      <c r="M17" s="140"/>
      <c r="N17" s="139">
        <v>2582</v>
      </c>
      <c r="O17" s="141">
        <v>2571</v>
      </c>
      <c r="P17" s="242">
        <v>2589</v>
      </c>
      <c r="Q17" s="243">
        <v>3532</v>
      </c>
      <c r="R17" s="240"/>
      <c r="S17" s="143"/>
      <c r="T17" s="143"/>
      <c r="U17" s="143"/>
      <c r="V17" s="147"/>
      <c r="W17" s="142">
        <f t="shared" si="0"/>
        <v>21574</v>
      </c>
      <c r="X17" s="145">
        <f t="shared" si="1"/>
        <v>7011550</v>
      </c>
    </row>
    <row r="18" spans="3:24" x14ac:dyDescent="0.3">
      <c r="C18" s="146">
        <v>10</v>
      </c>
      <c r="D18" s="373"/>
      <c r="E18" s="24" t="s">
        <v>109</v>
      </c>
      <c r="F18" s="19" t="s">
        <v>599</v>
      </c>
      <c r="G18" s="137">
        <v>0</v>
      </c>
      <c r="H18" s="138">
        <v>0</v>
      </c>
      <c r="I18" s="139">
        <v>4923</v>
      </c>
      <c r="J18" s="140">
        <v>4923</v>
      </c>
      <c r="K18" s="139">
        <v>4991</v>
      </c>
      <c r="L18" s="137">
        <v>4991</v>
      </c>
      <c r="M18" s="140"/>
      <c r="N18" s="139">
        <v>5032</v>
      </c>
      <c r="O18" s="141">
        <v>5020</v>
      </c>
      <c r="P18" s="242">
        <v>5048</v>
      </c>
      <c r="Q18" s="243">
        <v>5003</v>
      </c>
      <c r="R18" s="240"/>
      <c r="S18" s="143"/>
      <c r="T18" s="143"/>
      <c r="U18" s="143"/>
      <c r="V18" s="147"/>
      <c r="W18" s="142">
        <f t="shared" si="0"/>
        <v>39931</v>
      </c>
      <c r="X18" s="145">
        <f t="shared" si="1"/>
        <v>12977575</v>
      </c>
    </row>
    <row r="19" spans="3:24" x14ac:dyDescent="0.3">
      <c r="C19" s="146">
        <v>11</v>
      </c>
      <c r="D19" s="373"/>
      <c r="E19" s="24" t="s">
        <v>113</v>
      </c>
      <c r="F19" s="19" t="s">
        <v>600</v>
      </c>
      <c r="G19" s="137">
        <v>0</v>
      </c>
      <c r="H19" s="138">
        <v>0</v>
      </c>
      <c r="I19" s="139">
        <v>2386</v>
      </c>
      <c r="J19" s="140">
        <v>2386</v>
      </c>
      <c r="K19" s="139">
        <v>2398</v>
      </c>
      <c r="L19" s="137">
        <v>2398</v>
      </c>
      <c r="M19" s="140"/>
      <c r="N19" s="139">
        <v>2403</v>
      </c>
      <c r="O19" s="141">
        <v>2396</v>
      </c>
      <c r="P19" s="242">
        <v>2410</v>
      </c>
      <c r="Q19" s="243">
        <v>2391</v>
      </c>
      <c r="R19" s="240"/>
      <c r="S19" s="143"/>
      <c r="T19" s="143"/>
      <c r="U19" s="143"/>
      <c r="V19" s="147"/>
      <c r="W19" s="142">
        <f t="shared" si="0"/>
        <v>19168</v>
      </c>
      <c r="X19" s="145">
        <f t="shared" si="1"/>
        <v>6229600</v>
      </c>
    </row>
    <row r="20" spans="3:24" x14ac:dyDescent="0.3">
      <c r="C20" s="146">
        <v>12</v>
      </c>
      <c r="D20" s="373"/>
      <c r="E20" s="24" t="s">
        <v>103</v>
      </c>
      <c r="F20" s="19" t="s">
        <v>601</v>
      </c>
      <c r="G20" s="137">
        <v>0</v>
      </c>
      <c r="H20" s="138">
        <v>0</v>
      </c>
      <c r="I20" s="139">
        <v>767</v>
      </c>
      <c r="J20" s="140">
        <v>767</v>
      </c>
      <c r="K20" s="139">
        <v>773</v>
      </c>
      <c r="L20" s="137">
        <v>773</v>
      </c>
      <c r="M20" s="140"/>
      <c r="N20" s="139">
        <v>773</v>
      </c>
      <c r="O20" s="141">
        <v>770</v>
      </c>
      <c r="P20" s="242">
        <v>780</v>
      </c>
      <c r="Q20" s="243">
        <v>762</v>
      </c>
      <c r="R20" s="240"/>
      <c r="S20" s="143"/>
      <c r="T20" s="143"/>
      <c r="U20" s="143"/>
      <c r="V20" s="147"/>
      <c r="W20" s="142">
        <f t="shared" si="0"/>
        <v>6165</v>
      </c>
      <c r="X20" s="145">
        <f t="shared" si="1"/>
        <v>2003625</v>
      </c>
    </row>
    <row r="21" spans="3:24" x14ac:dyDescent="0.3">
      <c r="C21" s="146">
        <v>13</v>
      </c>
      <c r="D21" s="373"/>
      <c r="E21" s="24" t="s">
        <v>104</v>
      </c>
      <c r="F21" s="19" t="s">
        <v>602</v>
      </c>
      <c r="G21" s="137">
        <v>0</v>
      </c>
      <c r="H21" s="138">
        <v>0</v>
      </c>
      <c r="I21" s="139">
        <v>774</v>
      </c>
      <c r="J21" s="140">
        <v>774</v>
      </c>
      <c r="K21" s="139">
        <v>797</v>
      </c>
      <c r="L21" s="137">
        <v>797</v>
      </c>
      <c r="M21" s="140">
        <v>797</v>
      </c>
      <c r="N21" s="139">
        <v>0</v>
      </c>
      <c r="O21" s="141">
        <v>785</v>
      </c>
      <c r="P21" s="242">
        <v>803</v>
      </c>
      <c r="Q21" s="243">
        <v>798</v>
      </c>
      <c r="R21" s="240"/>
      <c r="S21" s="143"/>
      <c r="T21" s="143"/>
      <c r="U21" s="143"/>
      <c r="V21" s="147"/>
      <c r="W21" s="142">
        <f t="shared" si="0"/>
        <v>6325</v>
      </c>
      <c r="X21" s="145">
        <f t="shared" si="1"/>
        <v>2055625</v>
      </c>
    </row>
    <row r="22" spans="3:24" x14ac:dyDescent="0.3">
      <c r="C22" s="146">
        <v>14</v>
      </c>
      <c r="D22" s="373"/>
      <c r="E22" s="24" t="s">
        <v>101</v>
      </c>
      <c r="F22" s="19" t="s">
        <v>603</v>
      </c>
      <c r="G22" s="137">
        <v>0</v>
      </c>
      <c r="H22" s="138">
        <v>0</v>
      </c>
      <c r="I22" s="139">
        <v>1982</v>
      </c>
      <c r="J22" s="140">
        <v>1982</v>
      </c>
      <c r="K22" s="139">
        <v>2010</v>
      </c>
      <c r="L22" s="137">
        <v>2010</v>
      </c>
      <c r="M22" s="140"/>
      <c r="N22" s="139">
        <v>2005</v>
      </c>
      <c r="O22" s="141">
        <v>2003</v>
      </c>
      <c r="P22" s="242">
        <v>2013</v>
      </c>
      <c r="Q22" s="243">
        <v>2003</v>
      </c>
      <c r="R22" s="240"/>
      <c r="S22" s="143"/>
      <c r="T22" s="143"/>
      <c r="U22" s="143"/>
      <c r="V22" s="147"/>
      <c r="W22" s="142">
        <f t="shared" si="0"/>
        <v>16008</v>
      </c>
      <c r="X22" s="145">
        <f t="shared" si="1"/>
        <v>5202600</v>
      </c>
    </row>
    <row r="23" spans="3:24" x14ac:dyDescent="0.3">
      <c r="C23" s="146">
        <v>15</v>
      </c>
      <c r="D23" s="373"/>
      <c r="E23" s="24" t="s">
        <v>116</v>
      </c>
      <c r="F23" s="19" t="s">
        <v>604</v>
      </c>
      <c r="G23" s="137">
        <v>0</v>
      </c>
      <c r="H23" s="138">
        <v>0</v>
      </c>
      <c r="I23" s="139">
        <v>9420</v>
      </c>
      <c r="J23" s="140">
        <v>9420</v>
      </c>
      <c r="K23" s="139">
        <v>9605</v>
      </c>
      <c r="L23" s="137">
        <v>9605</v>
      </c>
      <c r="M23" s="140"/>
      <c r="N23" s="139">
        <v>9590</v>
      </c>
      <c r="O23" s="141">
        <v>9576</v>
      </c>
      <c r="P23" s="242">
        <v>9629</v>
      </c>
      <c r="Q23" s="243">
        <v>9495</v>
      </c>
      <c r="R23" s="240"/>
      <c r="S23" s="143"/>
      <c r="T23" s="143"/>
      <c r="U23" s="143"/>
      <c r="V23" s="147"/>
      <c r="W23" s="142">
        <f t="shared" si="0"/>
        <v>76340</v>
      </c>
      <c r="X23" s="145">
        <f t="shared" si="1"/>
        <v>24810500</v>
      </c>
    </row>
    <row r="24" spans="3:24" x14ac:dyDescent="0.3">
      <c r="C24" s="146">
        <v>16</v>
      </c>
      <c r="D24" s="373"/>
      <c r="E24" s="24" t="s">
        <v>115</v>
      </c>
      <c r="F24" s="19" t="s">
        <v>605</v>
      </c>
      <c r="G24" s="137">
        <v>0</v>
      </c>
      <c r="H24" s="138">
        <v>0</v>
      </c>
      <c r="I24" s="139">
        <v>4826</v>
      </c>
      <c r="J24" s="140">
        <v>4826</v>
      </c>
      <c r="K24" s="139">
        <v>4860</v>
      </c>
      <c r="L24" s="137">
        <v>4860</v>
      </c>
      <c r="M24" s="140"/>
      <c r="N24" s="139">
        <v>4853</v>
      </c>
      <c r="O24" s="141">
        <v>4848</v>
      </c>
      <c r="P24" s="242">
        <v>4855</v>
      </c>
      <c r="Q24" s="243">
        <v>4810</v>
      </c>
      <c r="R24" s="240"/>
      <c r="S24" s="143"/>
      <c r="T24" s="143"/>
      <c r="U24" s="143"/>
      <c r="V24" s="147"/>
      <c r="W24" s="142">
        <f t="shared" si="0"/>
        <v>38738</v>
      </c>
      <c r="X24" s="145">
        <f t="shared" si="1"/>
        <v>12589850</v>
      </c>
    </row>
    <row r="25" spans="3:24" ht="15" thickBot="1" x14ac:dyDescent="0.35">
      <c r="C25" s="148">
        <v>17</v>
      </c>
      <c r="D25" s="373"/>
      <c r="E25" s="149" t="s">
        <v>110</v>
      </c>
      <c r="F25" s="150" t="s">
        <v>606</v>
      </c>
      <c r="G25" s="137">
        <v>0</v>
      </c>
      <c r="H25" s="138">
        <v>0</v>
      </c>
      <c r="I25" s="139">
        <v>1848</v>
      </c>
      <c r="J25" s="151">
        <v>1848</v>
      </c>
      <c r="K25" s="152">
        <v>1873</v>
      </c>
      <c r="L25" s="153">
        <v>1873</v>
      </c>
      <c r="M25" s="151">
        <v>1873</v>
      </c>
      <c r="N25" s="139">
        <v>0</v>
      </c>
      <c r="O25" s="141">
        <v>1829</v>
      </c>
      <c r="P25" s="244">
        <v>1891</v>
      </c>
      <c r="Q25" s="245">
        <v>1863</v>
      </c>
      <c r="R25" s="246"/>
      <c r="S25" s="154"/>
      <c r="T25" s="154"/>
      <c r="U25" s="154"/>
      <c r="V25" s="155"/>
      <c r="W25" s="142">
        <f t="shared" si="0"/>
        <v>14898</v>
      </c>
      <c r="X25" s="156">
        <f t="shared" si="1"/>
        <v>4841850</v>
      </c>
    </row>
    <row r="26" spans="3:24" ht="15" thickBot="1" x14ac:dyDescent="0.35">
      <c r="C26" s="374" t="s">
        <v>607</v>
      </c>
      <c r="D26" s="375"/>
      <c r="E26" s="375"/>
      <c r="F26" s="375"/>
      <c r="G26" s="157"/>
      <c r="H26" s="158">
        <f t="shared" ref="H26:X26" si="2">SUM(H9:H25)</f>
        <v>0</v>
      </c>
      <c r="I26" s="159">
        <f t="shared" si="2"/>
        <v>47934</v>
      </c>
      <c r="J26" s="160">
        <f>SUM(J9:J25)</f>
        <v>47934</v>
      </c>
      <c r="K26" s="159">
        <f t="shared" si="2"/>
        <v>51985</v>
      </c>
      <c r="L26" s="161">
        <f>SUM(L9:L25)</f>
        <v>51985</v>
      </c>
      <c r="M26" s="160">
        <f t="shared" si="2"/>
        <v>2896</v>
      </c>
      <c r="N26" s="159">
        <f t="shared" si="2"/>
        <v>49145</v>
      </c>
      <c r="O26" s="159">
        <f t="shared" si="2"/>
        <v>51865</v>
      </c>
      <c r="P26" s="247">
        <f t="shared" si="2"/>
        <v>52930</v>
      </c>
      <c r="Q26" s="248">
        <f t="shared" si="2"/>
        <v>55000</v>
      </c>
      <c r="R26" s="247">
        <f t="shared" si="2"/>
        <v>0</v>
      </c>
      <c r="S26" s="162">
        <f t="shared" si="2"/>
        <v>0</v>
      </c>
      <c r="T26" s="160">
        <f t="shared" si="2"/>
        <v>0</v>
      </c>
      <c r="U26" s="158">
        <f t="shared" si="2"/>
        <v>0</v>
      </c>
      <c r="V26" s="161">
        <f t="shared" si="2"/>
        <v>0</v>
      </c>
      <c r="W26" s="162">
        <f t="shared" si="2"/>
        <v>411674</v>
      </c>
      <c r="X26" s="163">
        <f t="shared" si="2"/>
        <v>133794050</v>
      </c>
    </row>
    <row r="27" spans="3:24" x14ac:dyDescent="0.3">
      <c r="C27" s="118"/>
      <c r="D27" s="118"/>
      <c r="E27" s="118"/>
      <c r="F27" s="118"/>
      <c r="G27" s="164">
        <f>+G26*2325</f>
        <v>0</v>
      </c>
      <c r="H27" s="164">
        <f t="shared" ref="H27" si="3">+H26*2325</f>
        <v>0</v>
      </c>
      <c r="I27" s="164">
        <f t="shared" ref="I27:W27" si="4">+I26*325</f>
        <v>15578550</v>
      </c>
      <c r="J27" s="164">
        <f t="shared" si="4"/>
        <v>15578550</v>
      </c>
      <c r="K27" s="164">
        <f t="shared" si="4"/>
        <v>16895125</v>
      </c>
      <c r="L27" s="164">
        <f t="shared" si="4"/>
        <v>16895125</v>
      </c>
      <c r="M27" s="164">
        <f t="shared" si="4"/>
        <v>941200</v>
      </c>
      <c r="N27" s="164">
        <f t="shared" si="4"/>
        <v>15972125</v>
      </c>
      <c r="O27" s="164">
        <f t="shared" si="4"/>
        <v>16856125</v>
      </c>
      <c r="P27" s="164">
        <f t="shared" si="4"/>
        <v>17202250</v>
      </c>
      <c r="Q27" s="164">
        <f>+Q26*325</f>
        <v>17875000</v>
      </c>
      <c r="R27" s="164">
        <f t="shared" si="4"/>
        <v>0</v>
      </c>
      <c r="S27" s="164">
        <f t="shared" si="4"/>
        <v>0</v>
      </c>
      <c r="T27" s="164">
        <f t="shared" si="4"/>
        <v>0</v>
      </c>
      <c r="U27" s="164">
        <f t="shared" si="4"/>
        <v>0</v>
      </c>
      <c r="V27" s="164">
        <f t="shared" si="4"/>
        <v>0</v>
      </c>
      <c r="W27" s="164">
        <f t="shared" si="4"/>
        <v>133794050</v>
      </c>
      <c r="X27" s="165"/>
    </row>
    <row r="28" spans="3:24" x14ac:dyDescent="0.3">
      <c r="C28" s="118"/>
      <c r="D28" s="118"/>
      <c r="E28" s="118"/>
      <c r="F28" s="118"/>
      <c r="G28" s="118"/>
      <c r="H28" s="166"/>
      <c r="I28" s="166"/>
      <c r="J28" s="166"/>
      <c r="K28" s="166"/>
      <c r="L28" s="166"/>
      <c r="M28" s="166"/>
      <c r="N28" s="166"/>
      <c r="O28" s="166"/>
      <c r="P28" s="166"/>
      <c r="Q28" s="166"/>
      <c r="R28" s="166"/>
      <c r="S28" s="166"/>
      <c r="T28" s="166"/>
      <c r="U28" s="166"/>
      <c r="V28" s="166"/>
      <c r="W28" s="166"/>
      <c r="X28" s="167"/>
    </row>
    <row r="29" spans="3:24" x14ac:dyDescent="0.3">
      <c r="C29" s="118"/>
      <c r="D29" s="118"/>
      <c r="E29" s="118"/>
      <c r="F29" s="118"/>
      <c r="G29" s="118"/>
      <c r="H29" s="166"/>
      <c r="I29" s="166"/>
      <c r="J29" s="166"/>
      <c r="K29" s="166"/>
      <c r="L29" s="166"/>
      <c r="M29" s="166"/>
      <c r="N29" s="166"/>
      <c r="O29" s="166"/>
      <c r="P29" s="166"/>
      <c r="Q29" s="166"/>
      <c r="R29" s="166"/>
      <c r="S29" s="166"/>
      <c r="T29" s="166"/>
      <c r="U29" s="166"/>
      <c r="V29" s="166"/>
      <c r="W29" s="166"/>
      <c r="X29" s="167"/>
    </row>
    <row r="30" spans="3:24" ht="43.2" x14ac:dyDescent="0.3">
      <c r="E30" s="133"/>
      <c r="F30" s="168"/>
      <c r="G30" s="168"/>
      <c r="H30" s="168"/>
      <c r="I30" s="168"/>
      <c r="J30" s="168"/>
      <c r="K30" s="168"/>
      <c r="L30" s="168"/>
      <c r="M30" s="168"/>
      <c r="N30" s="168"/>
      <c r="O30" s="168"/>
      <c r="P30" s="168"/>
      <c r="Q30" s="168"/>
      <c r="R30" s="168"/>
      <c r="S30" s="169"/>
      <c r="T30" s="169"/>
      <c r="U30" s="168"/>
      <c r="V30" s="168"/>
      <c r="W30" s="170" t="s">
        <v>608</v>
      </c>
      <c r="X30" s="171">
        <v>214000000</v>
      </c>
    </row>
    <row r="31" spans="3:24" ht="28.8" x14ac:dyDescent="0.3">
      <c r="E31" s="133"/>
      <c r="F31" s="168"/>
      <c r="G31" s="168"/>
      <c r="H31" s="168"/>
      <c r="I31" s="168"/>
      <c r="J31" s="168"/>
      <c r="K31" s="168"/>
      <c r="L31" s="168"/>
      <c r="M31" s="168"/>
      <c r="N31" s="168"/>
      <c r="O31" s="168"/>
      <c r="P31" s="172"/>
      <c r="Q31" s="173"/>
      <c r="R31" s="168"/>
      <c r="S31" s="169"/>
      <c r="T31" s="169"/>
      <c r="U31" s="168"/>
      <c r="V31" s="168"/>
      <c r="W31" s="174" t="s">
        <v>609</v>
      </c>
      <c r="X31" s="175">
        <f>+X30-X26</f>
        <v>80205950</v>
      </c>
    </row>
    <row r="32" spans="3:24" x14ac:dyDescent="0.3">
      <c r="E32" s="133"/>
      <c r="F32" s="168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68"/>
      <c r="R32" s="168"/>
      <c r="S32" s="168"/>
      <c r="T32" s="168"/>
      <c r="U32" s="168"/>
      <c r="V32" s="168"/>
      <c r="W32" s="168"/>
      <c r="X32" s="176"/>
    </row>
    <row r="33" spans="5:24" x14ac:dyDescent="0.3">
      <c r="E33" s="133"/>
      <c r="F33" s="168"/>
      <c r="G33" s="168"/>
      <c r="H33" s="168"/>
      <c r="I33" s="168"/>
      <c r="J33" s="168"/>
      <c r="K33" s="168"/>
      <c r="L33" s="168"/>
      <c r="M33" s="168"/>
      <c r="N33" s="168"/>
      <c r="O33" s="168"/>
      <c r="P33" s="168"/>
      <c r="Q33" s="168"/>
      <c r="R33" s="168"/>
      <c r="S33" s="168"/>
      <c r="T33" s="168"/>
      <c r="U33" s="168"/>
      <c r="V33" s="168"/>
      <c r="W33" s="168"/>
      <c r="X33" s="176"/>
    </row>
    <row r="34" spans="5:24" x14ac:dyDescent="0.3">
      <c r="E34" s="133"/>
      <c r="F34" s="168"/>
      <c r="G34" s="168"/>
      <c r="H34" s="168"/>
      <c r="I34" s="168"/>
      <c r="J34" s="168"/>
      <c r="K34" s="168"/>
      <c r="L34" s="168"/>
      <c r="M34" s="168"/>
      <c r="N34" s="168"/>
      <c r="O34" s="168"/>
      <c r="P34" s="168"/>
      <c r="Q34" s="168"/>
      <c r="R34" s="168"/>
      <c r="S34" s="177"/>
      <c r="T34" s="168"/>
      <c r="U34" s="173"/>
      <c r="V34" s="173"/>
      <c r="W34" s="168"/>
      <c r="X34" s="176"/>
    </row>
    <row r="35" spans="5:24" x14ac:dyDescent="0.3">
      <c r="E35" s="133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77"/>
      <c r="T35" s="168"/>
      <c r="U35" s="173"/>
      <c r="V35" s="173"/>
      <c r="W35" s="168"/>
      <c r="X35" s="176"/>
    </row>
  </sheetData>
  <mergeCells count="9">
    <mergeCell ref="D9:D25"/>
    <mergeCell ref="C26:F26"/>
    <mergeCell ref="C2:X2"/>
    <mergeCell ref="C3:X3"/>
    <mergeCell ref="C4:X4"/>
    <mergeCell ref="C5:X5"/>
    <mergeCell ref="I7:J7"/>
    <mergeCell ref="K7:M7"/>
    <mergeCell ref="N7:O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A7982-3191-4541-9F18-B9E2D3367207}">
  <dimension ref="A1:AD364"/>
  <sheetViews>
    <sheetView topLeftCell="Q323" workbookViewId="0">
      <selection activeCell="AD359" sqref="AD359"/>
    </sheetView>
  </sheetViews>
  <sheetFormatPr baseColWidth="10" defaultRowHeight="14.4" x14ac:dyDescent="0.3"/>
  <cols>
    <col min="17" max="17" width="8" bestFit="1" customWidth="1"/>
    <col min="18" max="18" width="13.33203125" bestFit="1" customWidth="1"/>
    <col min="30" max="30" width="14.109375" bestFit="1" customWidth="1"/>
  </cols>
  <sheetData>
    <row r="1" spans="1:30" ht="18" x14ac:dyDescent="0.3">
      <c r="A1" s="343" t="s">
        <v>369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3"/>
      <c r="W1" s="343"/>
      <c r="X1" s="343"/>
      <c r="Y1" s="343"/>
      <c r="Z1" s="343"/>
      <c r="AA1" s="343"/>
      <c r="AB1" s="343"/>
      <c r="AC1" s="343"/>
      <c r="AD1" s="343"/>
    </row>
    <row r="2" spans="1:30" ht="18.600000000000001" thickBot="1" x14ac:dyDescent="0.35">
      <c r="A2" s="343" t="s">
        <v>370</v>
      </c>
      <c r="B2" s="343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3"/>
      <c r="O2" s="343"/>
      <c r="P2" s="343"/>
      <c r="Q2" s="343"/>
      <c r="R2" s="343"/>
      <c r="S2" s="343"/>
      <c r="T2" s="343"/>
      <c r="U2" s="343"/>
      <c r="V2" s="343"/>
      <c r="W2" s="343"/>
      <c r="X2" s="343"/>
      <c r="Y2" s="343"/>
      <c r="Z2" s="343"/>
      <c r="AA2" s="343"/>
      <c r="AB2" s="343"/>
      <c r="AC2" s="343"/>
      <c r="AD2" s="343"/>
    </row>
    <row r="3" spans="1:30" ht="15.6" x14ac:dyDescent="0.3">
      <c r="A3" s="337" t="s">
        <v>1</v>
      </c>
      <c r="B3" s="338" t="s">
        <v>2</v>
      </c>
      <c r="C3" s="338" t="s">
        <v>3</v>
      </c>
      <c r="D3" s="394" t="s">
        <v>4</v>
      </c>
      <c r="E3" s="337" t="s">
        <v>371</v>
      </c>
      <c r="F3" s="339"/>
      <c r="G3" s="338" t="s">
        <v>372</v>
      </c>
      <c r="H3" s="339"/>
      <c r="I3" s="338" t="s">
        <v>8</v>
      </c>
      <c r="J3" s="339"/>
      <c r="K3" s="338" t="s">
        <v>9</v>
      </c>
      <c r="L3" s="339"/>
      <c r="M3" s="338" t="s">
        <v>10</v>
      </c>
      <c r="N3" s="339"/>
      <c r="O3" s="338" t="s">
        <v>11</v>
      </c>
      <c r="P3" s="339"/>
      <c r="Q3" s="338" t="s">
        <v>12</v>
      </c>
      <c r="R3" s="339"/>
      <c r="S3" s="338" t="s">
        <v>13</v>
      </c>
      <c r="T3" s="339"/>
      <c r="U3" s="338" t="s">
        <v>14</v>
      </c>
      <c r="V3" s="339"/>
      <c r="W3" s="338" t="s">
        <v>15</v>
      </c>
      <c r="X3" s="339"/>
      <c r="Y3" s="338" t="s">
        <v>16</v>
      </c>
      <c r="Z3" s="339"/>
      <c r="AA3" s="338" t="s">
        <v>17</v>
      </c>
      <c r="AB3" s="339"/>
      <c r="AC3" s="396" t="s">
        <v>18</v>
      </c>
      <c r="AD3" s="350"/>
    </row>
    <row r="4" spans="1:30" ht="16.2" thickBot="1" x14ac:dyDescent="0.35">
      <c r="A4" s="344"/>
      <c r="B4" s="345"/>
      <c r="C4" s="345"/>
      <c r="D4" s="395"/>
      <c r="E4" s="63" t="s">
        <v>19</v>
      </c>
      <c r="F4" s="13" t="s">
        <v>20</v>
      </c>
      <c r="G4" s="64" t="s">
        <v>19</v>
      </c>
      <c r="H4" s="13" t="s">
        <v>20</v>
      </c>
      <c r="I4" s="65" t="s">
        <v>19</v>
      </c>
      <c r="J4" s="66" t="s">
        <v>20</v>
      </c>
      <c r="K4" s="64" t="s">
        <v>19</v>
      </c>
      <c r="L4" s="13" t="s">
        <v>20</v>
      </c>
      <c r="M4" s="3" t="s">
        <v>19</v>
      </c>
      <c r="N4" s="13" t="s">
        <v>20</v>
      </c>
      <c r="O4" s="3" t="s">
        <v>19</v>
      </c>
      <c r="P4" s="13" t="s">
        <v>20</v>
      </c>
      <c r="Q4" s="64" t="s">
        <v>19</v>
      </c>
      <c r="R4" s="13" t="s">
        <v>20</v>
      </c>
      <c r="S4" s="3" t="s">
        <v>19</v>
      </c>
      <c r="T4" s="13" t="s">
        <v>20</v>
      </c>
      <c r="U4" s="3" t="s">
        <v>19</v>
      </c>
      <c r="V4" s="13" t="s">
        <v>20</v>
      </c>
      <c r="W4" s="3" t="s">
        <v>19</v>
      </c>
      <c r="X4" s="13" t="s">
        <v>20</v>
      </c>
      <c r="Y4" s="3" t="s">
        <v>19</v>
      </c>
      <c r="Z4" s="13" t="s">
        <v>20</v>
      </c>
      <c r="AA4" s="3" t="s">
        <v>19</v>
      </c>
      <c r="AB4" s="13" t="s">
        <v>20</v>
      </c>
      <c r="AC4" s="64" t="s">
        <v>19</v>
      </c>
      <c r="AD4" s="13" t="s">
        <v>20</v>
      </c>
    </row>
    <row r="5" spans="1:30" ht="15.6" x14ac:dyDescent="0.3">
      <c r="A5" s="387">
        <v>1</v>
      </c>
      <c r="B5" s="230" t="s">
        <v>23</v>
      </c>
      <c r="C5" s="67" t="s">
        <v>24</v>
      </c>
      <c r="D5" s="68" t="s">
        <v>373</v>
      </c>
      <c r="E5" s="69">
        <v>2080</v>
      </c>
      <c r="F5" s="384">
        <v>0</v>
      </c>
      <c r="G5" s="69">
        <v>2600</v>
      </c>
      <c r="H5" s="384">
        <f>80000+74000</f>
        <v>154000</v>
      </c>
      <c r="I5" s="69">
        <v>2860</v>
      </c>
      <c r="J5" s="384">
        <v>185000</v>
      </c>
      <c r="K5" s="69">
        <v>2423</v>
      </c>
      <c r="L5" s="384">
        <v>241012.19999999995</v>
      </c>
      <c r="M5" s="70">
        <v>2600</v>
      </c>
      <c r="N5" s="392">
        <v>206677.21</v>
      </c>
      <c r="O5" s="67">
        <v>2730</v>
      </c>
      <c r="P5" s="392">
        <v>219102</v>
      </c>
      <c r="Q5" s="71">
        <v>2730</v>
      </c>
      <c r="R5" s="384">
        <v>223167.10000000009</v>
      </c>
      <c r="S5" s="67"/>
      <c r="T5" s="384"/>
      <c r="U5" s="67"/>
      <c r="V5" s="384"/>
      <c r="W5" s="67"/>
      <c r="X5" s="384"/>
      <c r="Y5" s="67"/>
      <c r="Z5" s="384"/>
      <c r="AA5" s="67"/>
      <c r="AB5" s="384"/>
      <c r="AC5" s="71">
        <f>AA5+Y5+W5+U5+S5+Q5+O5+K5+M5+I5+G5+E5</f>
        <v>18023</v>
      </c>
      <c r="AD5" s="393">
        <f>AB5+Z5+X5+V5+T5+R5+P5+L5+N5+J5+H5+F5</f>
        <v>1228958.51</v>
      </c>
    </row>
    <row r="6" spans="1:30" ht="16.2" thickBot="1" x14ac:dyDescent="0.35">
      <c r="A6" s="387"/>
      <c r="B6" s="231" t="s">
        <v>23</v>
      </c>
      <c r="C6" s="67" t="s">
        <v>24</v>
      </c>
      <c r="D6" s="68" t="s">
        <v>374</v>
      </c>
      <c r="E6" s="69">
        <v>3400</v>
      </c>
      <c r="F6" s="384"/>
      <c r="G6" s="69">
        <v>4000</v>
      </c>
      <c r="H6" s="384"/>
      <c r="I6" s="69">
        <v>4400</v>
      </c>
      <c r="J6" s="384"/>
      <c r="K6" s="69">
        <v>3800</v>
      </c>
      <c r="L6" s="384"/>
      <c r="M6" s="72">
        <v>4000</v>
      </c>
      <c r="N6" s="386"/>
      <c r="O6" s="67">
        <v>4000</v>
      </c>
      <c r="P6" s="386"/>
      <c r="Q6" s="71">
        <v>4200</v>
      </c>
      <c r="R6" s="384"/>
      <c r="S6" s="67"/>
      <c r="T6" s="384"/>
      <c r="U6" s="67"/>
      <c r="V6" s="384"/>
      <c r="W6" s="67"/>
      <c r="X6" s="384"/>
      <c r="Y6" s="67"/>
      <c r="Z6" s="384"/>
      <c r="AA6" s="67"/>
      <c r="AB6" s="384"/>
      <c r="AC6" s="71">
        <f t="shared" ref="AC6:AD95" si="0">AA6+Y6+W6+U6+S6+Q6+O6+K6+M6+I6+G6+E6</f>
        <v>27800</v>
      </c>
      <c r="AD6" s="385">
        <f>AB6+Z6+X6+V6+T6+R6+P6+L6+N6+J6+H6+F6</f>
        <v>0</v>
      </c>
    </row>
    <row r="7" spans="1:30" ht="15.6" x14ac:dyDescent="0.3">
      <c r="A7" s="387">
        <v>2</v>
      </c>
      <c r="B7" s="230" t="s">
        <v>23</v>
      </c>
      <c r="C7" s="67" t="s">
        <v>26</v>
      </c>
      <c r="D7" s="68" t="s">
        <v>373</v>
      </c>
      <c r="E7" s="69">
        <v>2400</v>
      </c>
      <c r="F7" s="384">
        <v>0</v>
      </c>
      <c r="G7" s="71">
        <v>3000</v>
      </c>
      <c r="H7" s="384">
        <f>88912.5+81600</f>
        <v>170512.5</v>
      </c>
      <c r="I7" s="69">
        <v>3300</v>
      </c>
      <c r="J7" s="384">
        <v>183600</v>
      </c>
      <c r="K7" s="70">
        <v>2850</v>
      </c>
      <c r="L7" s="385">
        <v>286367.25</v>
      </c>
      <c r="M7" s="70">
        <v>3000</v>
      </c>
      <c r="N7" s="385">
        <v>235359.75</v>
      </c>
      <c r="O7" s="67">
        <v>3150</v>
      </c>
      <c r="P7" s="385">
        <v>252280</v>
      </c>
      <c r="Q7" s="71">
        <v>3450</v>
      </c>
      <c r="R7" s="384">
        <v>260725.55000000005</v>
      </c>
      <c r="S7" s="67"/>
      <c r="T7" s="384"/>
      <c r="U7" s="67"/>
      <c r="V7" s="384"/>
      <c r="W7" s="67"/>
      <c r="X7" s="384"/>
      <c r="Y7" s="67"/>
      <c r="Z7" s="384"/>
      <c r="AA7" s="67"/>
      <c r="AB7" s="384"/>
      <c r="AC7" s="71">
        <f t="shared" si="0"/>
        <v>21150</v>
      </c>
      <c r="AD7" s="393">
        <f>AB7+Z7+X7+V7+T7+R7+P7+L7+N7+J7+H7+F7</f>
        <v>1388845.05</v>
      </c>
    </row>
    <row r="8" spans="1:30" ht="15.6" x14ac:dyDescent="0.3">
      <c r="A8" s="387"/>
      <c r="B8" s="231" t="s">
        <v>23</v>
      </c>
      <c r="C8" s="67" t="s">
        <v>26</v>
      </c>
      <c r="D8" s="68" t="s">
        <v>374</v>
      </c>
      <c r="E8" s="69">
        <v>3825</v>
      </c>
      <c r="F8" s="384"/>
      <c r="G8" s="71">
        <v>4500</v>
      </c>
      <c r="H8" s="384"/>
      <c r="I8" s="69">
        <v>4950</v>
      </c>
      <c r="J8" s="384"/>
      <c r="K8" s="70">
        <v>4245</v>
      </c>
      <c r="L8" s="386"/>
      <c r="M8" s="70">
        <v>4500</v>
      </c>
      <c r="N8" s="386"/>
      <c r="O8" s="67">
        <v>4709</v>
      </c>
      <c r="P8" s="386"/>
      <c r="Q8" s="71">
        <v>5175</v>
      </c>
      <c r="R8" s="384"/>
      <c r="S8" s="67"/>
      <c r="T8" s="384"/>
      <c r="U8" s="67"/>
      <c r="V8" s="384"/>
      <c r="W8" s="67"/>
      <c r="X8" s="384"/>
      <c r="Y8" s="67"/>
      <c r="Z8" s="384"/>
      <c r="AA8" s="67"/>
      <c r="AB8" s="384"/>
      <c r="AC8" s="71">
        <f t="shared" si="0"/>
        <v>31904</v>
      </c>
      <c r="AD8" s="385">
        <f>AB8+Z8+X8+V8+T8+R8+P8+L8+N8+J8+H8+F8</f>
        <v>0</v>
      </c>
    </row>
    <row r="9" spans="1:30" ht="15.6" x14ac:dyDescent="0.3">
      <c r="A9" s="387">
        <v>3</v>
      </c>
      <c r="B9" s="230" t="s">
        <v>23</v>
      </c>
      <c r="C9" s="67" t="s">
        <v>27</v>
      </c>
      <c r="D9" s="68" t="s">
        <v>373</v>
      </c>
      <c r="E9" s="69">
        <v>0</v>
      </c>
      <c r="F9" s="384">
        <v>0</v>
      </c>
      <c r="G9" s="71">
        <v>0</v>
      </c>
      <c r="H9" s="384">
        <v>0</v>
      </c>
      <c r="I9" s="69">
        <v>0</v>
      </c>
      <c r="J9" s="384">
        <v>0</v>
      </c>
      <c r="K9" s="70">
        <v>1780</v>
      </c>
      <c r="L9" s="385">
        <v>0</v>
      </c>
      <c r="M9" s="70">
        <v>2000</v>
      </c>
      <c r="N9" s="385">
        <v>153843.1</v>
      </c>
      <c r="O9" s="67">
        <v>2000</v>
      </c>
      <c r="P9" s="385">
        <v>165304.35</v>
      </c>
      <c r="Q9" s="71">
        <v>2300</v>
      </c>
      <c r="R9" s="384">
        <v>171057.5</v>
      </c>
      <c r="S9" s="67"/>
      <c r="T9" s="384"/>
      <c r="U9" s="67"/>
      <c r="V9" s="384"/>
      <c r="W9" s="67"/>
      <c r="X9" s="384"/>
      <c r="Y9" s="67"/>
      <c r="Z9" s="384"/>
      <c r="AA9" s="67"/>
      <c r="AB9" s="384"/>
      <c r="AC9" s="71">
        <f t="shared" si="0"/>
        <v>8080</v>
      </c>
      <c r="AD9" s="384">
        <f t="shared" si="0"/>
        <v>490204.94999999995</v>
      </c>
    </row>
    <row r="10" spans="1:30" ht="15.6" x14ac:dyDescent="0.3">
      <c r="A10" s="387"/>
      <c r="B10" s="231" t="s">
        <v>23</v>
      </c>
      <c r="C10" s="67" t="s">
        <v>27</v>
      </c>
      <c r="D10" s="68" t="s">
        <v>374</v>
      </c>
      <c r="E10" s="69">
        <v>0</v>
      </c>
      <c r="F10" s="384"/>
      <c r="G10" s="71">
        <v>0</v>
      </c>
      <c r="H10" s="384"/>
      <c r="I10" s="69">
        <v>0</v>
      </c>
      <c r="J10" s="384"/>
      <c r="K10" s="70">
        <v>2850</v>
      </c>
      <c r="L10" s="386"/>
      <c r="M10" s="70">
        <v>3000</v>
      </c>
      <c r="N10" s="386"/>
      <c r="O10" s="67">
        <v>3150</v>
      </c>
      <c r="P10" s="386"/>
      <c r="Q10" s="71">
        <v>3450</v>
      </c>
      <c r="R10" s="384"/>
      <c r="S10" s="67"/>
      <c r="T10" s="384"/>
      <c r="U10" s="67"/>
      <c r="V10" s="384"/>
      <c r="W10" s="67"/>
      <c r="X10" s="384"/>
      <c r="Y10" s="67"/>
      <c r="Z10" s="384"/>
      <c r="AA10" s="67"/>
      <c r="AB10" s="384"/>
      <c r="AC10" s="71">
        <f t="shared" si="0"/>
        <v>12450</v>
      </c>
      <c r="AD10" s="384">
        <f t="shared" si="0"/>
        <v>0</v>
      </c>
    </row>
    <row r="11" spans="1:30" ht="15.6" x14ac:dyDescent="0.3">
      <c r="A11" s="387">
        <v>4</v>
      </c>
      <c r="B11" s="230" t="s">
        <v>23</v>
      </c>
      <c r="C11" s="67" t="s">
        <v>28</v>
      </c>
      <c r="D11" s="68" t="s">
        <v>373</v>
      </c>
      <c r="E11" s="69">
        <v>2400</v>
      </c>
      <c r="F11" s="384">
        <v>0</v>
      </c>
      <c r="G11" s="71">
        <v>3000</v>
      </c>
      <c r="H11" s="384">
        <f>89100+82912</f>
        <v>172012</v>
      </c>
      <c r="I11" s="69">
        <v>3300</v>
      </c>
      <c r="J11" s="384">
        <v>155460</v>
      </c>
      <c r="K11" s="70">
        <v>2850</v>
      </c>
      <c r="L11" s="385">
        <v>237546</v>
      </c>
      <c r="M11" s="70">
        <v>3000</v>
      </c>
      <c r="N11" s="385">
        <v>0</v>
      </c>
      <c r="O11" s="67">
        <v>3150</v>
      </c>
      <c r="P11" s="385">
        <v>345150</v>
      </c>
      <c r="Q11" s="71">
        <v>3450</v>
      </c>
      <c r="R11" s="384">
        <v>185850</v>
      </c>
      <c r="S11" s="67"/>
      <c r="T11" s="384"/>
      <c r="U11" s="67"/>
      <c r="V11" s="384"/>
      <c r="W11" s="67"/>
      <c r="X11" s="384"/>
      <c r="Y11" s="67"/>
      <c r="Z11" s="384"/>
      <c r="AA11" s="67"/>
      <c r="AB11" s="384"/>
      <c r="AC11" s="71">
        <f t="shared" si="0"/>
        <v>21150</v>
      </c>
      <c r="AD11" s="384">
        <f t="shared" si="0"/>
        <v>1096018</v>
      </c>
    </row>
    <row r="12" spans="1:30" ht="15.6" x14ac:dyDescent="0.3">
      <c r="A12" s="387"/>
      <c r="B12" s="231" t="s">
        <v>23</v>
      </c>
      <c r="C12" s="67" t="s">
        <v>28</v>
      </c>
      <c r="D12" s="68" t="s">
        <v>374</v>
      </c>
      <c r="E12" s="69">
        <v>3400</v>
      </c>
      <c r="F12" s="384"/>
      <c r="G12" s="71">
        <v>4000</v>
      </c>
      <c r="H12" s="384"/>
      <c r="I12" s="69">
        <v>4400</v>
      </c>
      <c r="J12" s="384"/>
      <c r="K12" s="70">
        <v>3800</v>
      </c>
      <c r="L12" s="386"/>
      <c r="M12" s="70">
        <v>4000</v>
      </c>
      <c r="N12" s="386"/>
      <c r="O12" s="67">
        <v>4200</v>
      </c>
      <c r="P12" s="386"/>
      <c r="Q12" s="71">
        <v>4600</v>
      </c>
      <c r="R12" s="384"/>
      <c r="S12" s="67"/>
      <c r="T12" s="384"/>
      <c r="U12" s="67"/>
      <c r="V12" s="384"/>
      <c r="W12" s="67"/>
      <c r="X12" s="384"/>
      <c r="Y12" s="67"/>
      <c r="Z12" s="384"/>
      <c r="AA12" s="67"/>
      <c r="AB12" s="384"/>
      <c r="AC12" s="71">
        <f t="shared" si="0"/>
        <v>28400</v>
      </c>
      <c r="AD12" s="384">
        <f t="shared" si="0"/>
        <v>0</v>
      </c>
    </row>
    <row r="13" spans="1:30" ht="15.6" x14ac:dyDescent="0.3">
      <c r="A13" s="387">
        <v>5</v>
      </c>
      <c r="B13" s="230" t="s">
        <v>23</v>
      </c>
      <c r="C13" s="67" t="s">
        <v>29</v>
      </c>
      <c r="D13" s="68" t="s">
        <v>373</v>
      </c>
      <c r="E13" s="69">
        <v>2400</v>
      </c>
      <c r="F13" s="384">
        <v>0</v>
      </c>
      <c r="G13" s="71">
        <v>3000</v>
      </c>
      <c r="H13" s="384">
        <f>88550+83200</f>
        <v>171750</v>
      </c>
      <c r="I13" s="69">
        <v>3300</v>
      </c>
      <c r="J13" s="384">
        <v>156000</v>
      </c>
      <c r="K13" s="70">
        <v>2850</v>
      </c>
      <c r="L13" s="385">
        <v>286172</v>
      </c>
      <c r="M13" s="70">
        <v>3000</v>
      </c>
      <c r="N13" s="385">
        <v>200980</v>
      </c>
      <c r="O13" s="67">
        <v>3150</v>
      </c>
      <c r="P13" s="385">
        <v>211328</v>
      </c>
      <c r="Q13" s="71">
        <v>4300</v>
      </c>
      <c r="R13" s="384">
        <v>222600</v>
      </c>
      <c r="S13" s="67"/>
      <c r="T13" s="384"/>
      <c r="U13" s="67"/>
      <c r="V13" s="384"/>
      <c r="W13" s="67"/>
      <c r="X13" s="384"/>
      <c r="Y13" s="67"/>
      <c r="Z13" s="384"/>
      <c r="AA13" s="67"/>
      <c r="AB13" s="384"/>
      <c r="AC13" s="71">
        <f t="shared" si="0"/>
        <v>22000</v>
      </c>
      <c r="AD13" s="384">
        <f t="shared" si="0"/>
        <v>1248830</v>
      </c>
    </row>
    <row r="14" spans="1:30" ht="15.6" x14ac:dyDescent="0.3">
      <c r="A14" s="387"/>
      <c r="B14" s="231" t="s">
        <v>23</v>
      </c>
      <c r="C14" s="67" t="s">
        <v>29</v>
      </c>
      <c r="D14" s="68" t="s">
        <v>374</v>
      </c>
      <c r="E14" s="69">
        <v>4200</v>
      </c>
      <c r="F14" s="384"/>
      <c r="G14" s="71">
        <v>5000</v>
      </c>
      <c r="H14" s="384"/>
      <c r="I14" s="69">
        <v>5500</v>
      </c>
      <c r="J14" s="384"/>
      <c r="K14" s="70">
        <v>4735</v>
      </c>
      <c r="L14" s="386"/>
      <c r="M14" s="70">
        <v>4976</v>
      </c>
      <c r="N14" s="386"/>
      <c r="O14" s="67">
        <v>5250</v>
      </c>
      <c r="P14" s="386"/>
      <c r="Q14" s="71">
        <v>6158</v>
      </c>
      <c r="R14" s="384"/>
      <c r="S14" s="67"/>
      <c r="T14" s="384"/>
      <c r="U14" s="67"/>
      <c r="V14" s="384"/>
      <c r="W14" s="67"/>
      <c r="X14" s="384"/>
      <c r="Y14" s="67"/>
      <c r="Z14" s="384"/>
      <c r="AA14" s="67"/>
      <c r="AB14" s="384"/>
      <c r="AC14" s="71">
        <f t="shared" si="0"/>
        <v>35819</v>
      </c>
      <c r="AD14" s="384">
        <f t="shared" si="0"/>
        <v>0</v>
      </c>
    </row>
    <row r="15" spans="1:30" ht="15.6" x14ac:dyDescent="0.3">
      <c r="A15" s="387">
        <v>6</v>
      </c>
      <c r="B15" s="230" t="s">
        <v>23</v>
      </c>
      <c r="C15" s="67" t="s">
        <v>31</v>
      </c>
      <c r="D15" s="68" t="s">
        <v>373</v>
      </c>
      <c r="E15" s="69">
        <v>2400</v>
      </c>
      <c r="F15" s="384">
        <v>0</v>
      </c>
      <c r="G15" s="71">
        <v>3000</v>
      </c>
      <c r="H15" s="384">
        <f>89550+82800</f>
        <v>172350</v>
      </c>
      <c r="I15" s="69">
        <v>3300</v>
      </c>
      <c r="J15" s="384">
        <v>153954</v>
      </c>
      <c r="K15" s="70">
        <v>2850</v>
      </c>
      <c r="L15" s="385">
        <v>268758</v>
      </c>
      <c r="M15" s="70">
        <v>3000</v>
      </c>
      <c r="N15" s="385">
        <v>0</v>
      </c>
      <c r="O15" s="67">
        <v>3150</v>
      </c>
      <c r="P15" s="385">
        <v>395019</v>
      </c>
      <c r="Q15" s="71">
        <v>3450</v>
      </c>
      <c r="R15" s="384">
        <v>213228</v>
      </c>
      <c r="S15" s="67"/>
      <c r="T15" s="384"/>
      <c r="U15" s="67"/>
      <c r="V15" s="384"/>
      <c r="W15" s="67"/>
      <c r="X15" s="384"/>
      <c r="Y15" s="67"/>
      <c r="Z15" s="384"/>
      <c r="AA15" s="67"/>
      <c r="AB15" s="384"/>
      <c r="AC15" s="71">
        <f t="shared" si="0"/>
        <v>21150</v>
      </c>
      <c r="AD15" s="384">
        <f t="shared" si="0"/>
        <v>1203309</v>
      </c>
    </row>
    <row r="16" spans="1:30" ht="15.6" x14ac:dyDescent="0.3">
      <c r="A16" s="387"/>
      <c r="B16" s="231" t="s">
        <v>23</v>
      </c>
      <c r="C16" s="67" t="s">
        <v>31</v>
      </c>
      <c r="D16" s="68" t="s">
        <v>374</v>
      </c>
      <c r="E16" s="69">
        <v>4250</v>
      </c>
      <c r="F16" s="384"/>
      <c r="G16" s="71">
        <v>5000</v>
      </c>
      <c r="H16" s="384"/>
      <c r="I16" s="69">
        <v>5500</v>
      </c>
      <c r="J16" s="384"/>
      <c r="K16" s="70">
        <v>4692</v>
      </c>
      <c r="L16" s="386"/>
      <c r="M16" s="70">
        <v>4955</v>
      </c>
      <c r="N16" s="386"/>
      <c r="O16" s="67">
        <v>5214</v>
      </c>
      <c r="P16" s="386"/>
      <c r="Q16" s="71">
        <v>5750</v>
      </c>
      <c r="R16" s="384"/>
      <c r="S16" s="67"/>
      <c r="T16" s="384"/>
      <c r="U16" s="67"/>
      <c r="V16" s="384"/>
      <c r="W16" s="67"/>
      <c r="X16" s="384"/>
      <c r="Y16" s="67"/>
      <c r="Z16" s="384"/>
      <c r="AA16" s="67"/>
      <c r="AB16" s="384"/>
      <c r="AC16" s="71">
        <f t="shared" si="0"/>
        <v>35361</v>
      </c>
      <c r="AD16" s="384">
        <f t="shared" si="0"/>
        <v>0</v>
      </c>
    </row>
    <row r="17" spans="1:30" ht="15.6" x14ac:dyDescent="0.3">
      <c r="A17" s="387">
        <v>7</v>
      </c>
      <c r="B17" s="230" t="s">
        <v>23</v>
      </c>
      <c r="C17" s="67" t="s">
        <v>32</v>
      </c>
      <c r="D17" s="68" t="s">
        <v>373</v>
      </c>
      <c r="E17" s="69">
        <v>0</v>
      </c>
      <c r="F17" s="385">
        <v>0</v>
      </c>
      <c r="G17" s="70">
        <v>0</v>
      </c>
      <c r="H17" s="385">
        <v>0</v>
      </c>
      <c r="I17" s="70">
        <v>0</v>
      </c>
      <c r="J17" s="385">
        <v>0</v>
      </c>
      <c r="K17" s="70">
        <v>0</v>
      </c>
      <c r="L17" s="385">
        <v>0</v>
      </c>
      <c r="M17" s="70">
        <v>200</v>
      </c>
      <c r="N17" s="385">
        <v>0</v>
      </c>
      <c r="O17" s="67">
        <v>2300</v>
      </c>
      <c r="P17" s="385">
        <v>0</v>
      </c>
      <c r="Q17" s="71">
        <v>2300</v>
      </c>
      <c r="R17" s="384">
        <v>195941</v>
      </c>
      <c r="S17" s="67"/>
      <c r="T17" s="384"/>
      <c r="U17" s="67"/>
      <c r="V17" s="384"/>
      <c r="W17" s="67"/>
      <c r="X17" s="384"/>
      <c r="Y17" s="67"/>
      <c r="Z17" s="384"/>
      <c r="AA17" s="67"/>
      <c r="AB17" s="384"/>
      <c r="AC17" s="71">
        <f t="shared" si="0"/>
        <v>4800</v>
      </c>
      <c r="AD17" s="384">
        <f t="shared" si="0"/>
        <v>195941</v>
      </c>
    </row>
    <row r="18" spans="1:30" ht="15.6" x14ac:dyDescent="0.3">
      <c r="A18" s="387"/>
      <c r="B18" s="231" t="s">
        <v>23</v>
      </c>
      <c r="C18" s="67" t="s">
        <v>32</v>
      </c>
      <c r="D18" s="68" t="s">
        <v>374</v>
      </c>
      <c r="E18" s="69">
        <v>0</v>
      </c>
      <c r="F18" s="386"/>
      <c r="G18" s="70">
        <v>0</v>
      </c>
      <c r="H18" s="386"/>
      <c r="I18" s="70">
        <v>0</v>
      </c>
      <c r="J18" s="386"/>
      <c r="K18" s="70">
        <v>0</v>
      </c>
      <c r="L18" s="386"/>
      <c r="M18" s="70">
        <v>450</v>
      </c>
      <c r="N18" s="386"/>
      <c r="O18" s="67">
        <v>3600</v>
      </c>
      <c r="P18" s="386"/>
      <c r="Q18" s="71">
        <v>3300</v>
      </c>
      <c r="R18" s="384"/>
      <c r="S18" s="67"/>
      <c r="T18" s="384"/>
      <c r="U18" s="67"/>
      <c r="V18" s="384"/>
      <c r="W18" s="67"/>
      <c r="X18" s="384"/>
      <c r="Y18" s="67"/>
      <c r="Z18" s="384"/>
      <c r="AA18" s="67"/>
      <c r="AB18" s="384"/>
      <c r="AC18" s="71">
        <f t="shared" si="0"/>
        <v>7350</v>
      </c>
      <c r="AD18" s="384">
        <f t="shared" si="0"/>
        <v>0</v>
      </c>
    </row>
    <row r="19" spans="1:30" ht="15.6" x14ac:dyDescent="0.3">
      <c r="A19" s="387">
        <v>8</v>
      </c>
      <c r="B19" s="230" t="s">
        <v>23</v>
      </c>
      <c r="C19" s="67" t="s">
        <v>375</v>
      </c>
      <c r="D19" s="68" t="s">
        <v>373</v>
      </c>
      <c r="E19" s="69">
        <v>2400</v>
      </c>
      <c r="F19" s="384">
        <v>0</v>
      </c>
      <c r="G19" s="71">
        <v>3000</v>
      </c>
      <c r="H19" s="384">
        <f>89550+82800</f>
        <v>172350</v>
      </c>
      <c r="I19" s="69">
        <v>3300</v>
      </c>
      <c r="J19" s="384">
        <v>186300</v>
      </c>
      <c r="K19" s="70">
        <v>2820</v>
      </c>
      <c r="L19" s="385">
        <v>313366</v>
      </c>
      <c r="M19" s="70">
        <v>3000</v>
      </c>
      <c r="N19" s="385">
        <v>251818.9</v>
      </c>
      <c r="O19" s="67">
        <v>3075</v>
      </c>
      <c r="P19" s="385">
        <v>266059.99999999988</v>
      </c>
      <c r="Q19" s="71">
        <v>3400</v>
      </c>
      <c r="R19" s="384">
        <v>273400.5</v>
      </c>
      <c r="S19" s="67"/>
      <c r="T19" s="384"/>
      <c r="U19" s="67"/>
      <c r="V19" s="384"/>
      <c r="W19" s="67"/>
      <c r="X19" s="384"/>
      <c r="Y19" s="67"/>
      <c r="Z19" s="384"/>
      <c r="AA19" s="67"/>
      <c r="AB19" s="384"/>
      <c r="AC19" s="71">
        <f t="shared" si="0"/>
        <v>20995</v>
      </c>
      <c r="AD19" s="384">
        <f t="shared" si="0"/>
        <v>1463295.4</v>
      </c>
    </row>
    <row r="20" spans="1:30" ht="15.6" x14ac:dyDescent="0.3">
      <c r="A20" s="387"/>
      <c r="B20" s="231" t="s">
        <v>23</v>
      </c>
      <c r="C20" s="67" t="s">
        <v>375</v>
      </c>
      <c r="D20" s="68" t="s">
        <v>374</v>
      </c>
      <c r="E20" s="69">
        <v>4250</v>
      </c>
      <c r="F20" s="384"/>
      <c r="G20" s="71">
        <v>5000</v>
      </c>
      <c r="H20" s="384"/>
      <c r="I20" s="69">
        <v>5500</v>
      </c>
      <c r="J20" s="384"/>
      <c r="K20" s="70">
        <v>4750</v>
      </c>
      <c r="L20" s="386"/>
      <c r="M20" s="70">
        <v>5000</v>
      </c>
      <c r="N20" s="386"/>
      <c r="O20" s="67">
        <v>5145</v>
      </c>
      <c r="P20" s="386"/>
      <c r="Q20" s="71">
        <v>5575</v>
      </c>
      <c r="R20" s="384"/>
      <c r="S20" s="67"/>
      <c r="T20" s="384"/>
      <c r="U20" s="67"/>
      <c r="V20" s="384"/>
      <c r="W20" s="67"/>
      <c r="X20" s="384"/>
      <c r="Y20" s="67"/>
      <c r="Z20" s="384"/>
      <c r="AA20" s="67"/>
      <c r="AB20" s="384"/>
      <c r="AC20" s="71">
        <f t="shared" si="0"/>
        <v>35220</v>
      </c>
      <c r="AD20" s="384">
        <f t="shared" si="0"/>
        <v>0</v>
      </c>
    </row>
    <row r="21" spans="1:30" ht="15.6" x14ac:dyDescent="0.3">
      <c r="A21" s="387">
        <v>9</v>
      </c>
      <c r="B21" s="230" t="s">
        <v>23</v>
      </c>
      <c r="C21" s="67" t="s">
        <v>33</v>
      </c>
      <c r="D21" s="68" t="s">
        <v>373</v>
      </c>
      <c r="E21" s="69">
        <v>2392</v>
      </c>
      <c r="F21" s="384">
        <v>0</v>
      </c>
      <c r="G21" s="71">
        <v>2000</v>
      </c>
      <c r="H21" s="384">
        <f>89750+84150</f>
        <v>173900</v>
      </c>
      <c r="I21" s="69">
        <v>2200</v>
      </c>
      <c r="J21" s="384">
        <v>122774</v>
      </c>
      <c r="K21" s="70">
        <v>1863</v>
      </c>
      <c r="L21" s="385">
        <v>182479</v>
      </c>
      <c r="M21" s="70">
        <v>2000</v>
      </c>
      <c r="N21" s="385">
        <v>154509.31</v>
      </c>
      <c r="O21" s="67">
        <v>2100</v>
      </c>
      <c r="P21" s="385">
        <v>165890</v>
      </c>
      <c r="Q21" s="71">
        <v>2300</v>
      </c>
      <c r="R21" s="384">
        <v>174184.5</v>
      </c>
      <c r="S21" s="67"/>
      <c r="T21" s="384"/>
      <c r="U21" s="67"/>
      <c r="V21" s="384"/>
      <c r="W21" s="67"/>
      <c r="X21" s="384"/>
      <c r="Y21" s="67"/>
      <c r="Z21" s="384"/>
      <c r="AA21" s="67"/>
      <c r="AB21" s="384"/>
      <c r="AC21" s="71">
        <f t="shared" si="0"/>
        <v>14855</v>
      </c>
      <c r="AD21" s="384">
        <f t="shared" si="0"/>
        <v>973736.81</v>
      </c>
    </row>
    <row r="22" spans="1:30" ht="15.6" x14ac:dyDescent="0.3">
      <c r="A22" s="387"/>
      <c r="B22" s="231" t="s">
        <v>23</v>
      </c>
      <c r="C22" s="67" t="s">
        <v>33</v>
      </c>
      <c r="D22" s="68" t="s">
        <v>374</v>
      </c>
      <c r="E22" s="69">
        <v>3400</v>
      </c>
      <c r="F22" s="384"/>
      <c r="G22" s="71">
        <v>3132</v>
      </c>
      <c r="H22" s="384"/>
      <c r="I22" s="69">
        <v>3300</v>
      </c>
      <c r="J22" s="384"/>
      <c r="K22" s="70">
        <v>2794</v>
      </c>
      <c r="L22" s="386"/>
      <c r="M22" s="70">
        <v>3000</v>
      </c>
      <c r="N22" s="386"/>
      <c r="O22" s="67">
        <v>3150</v>
      </c>
      <c r="P22" s="386"/>
      <c r="Q22" s="71">
        <v>3450</v>
      </c>
      <c r="R22" s="384"/>
      <c r="S22" s="67"/>
      <c r="T22" s="384"/>
      <c r="U22" s="67"/>
      <c r="V22" s="384"/>
      <c r="W22" s="67"/>
      <c r="X22" s="384"/>
      <c r="Y22" s="67"/>
      <c r="Z22" s="384"/>
      <c r="AA22" s="67"/>
      <c r="AB22" s="384"/>
      <c r="AC22" s="71">
        <f t="shared" si="0"/>
        <v>22226</v>
      </c>
      <c r="AD22" s="384">
        <f t="shared" si="0"/>
        <v>0</v>
      </c>
    </row>
    <row r="23" spans="1:30" ht="15.6" x14ac:dyDescent="0.3">
      <c r="A23" s="387">
        <v>10</v>
      </c>
      <c r="B23" s="230" t="s">
        <v>23</v>
      </c>
      <c r="C23" s="67" t="s">
        <v>34</v>
      </c>
      <c r="D23" s="68" t="s">
        <v>373</v>
      </c>
      <c r="E23" s="69">
        <v>1600</v>
      </c>
      <c r="F23" s="384">
        <v>0</v>
      </c>
      <c r="G23" s="71">
        <v>2000</v>
      </c>
      <c r="H23" s="384">
        <v>89475</v>
      </c>
      <c r="I23" s="69">
        <v>2200</v>
      </c>
      <c r="J23" s="384">
        <v>118125</v>
      </c>
      <c r="K23" s="70">
        <v>1900</v>
      </c>
      <c r="L23" s="385">
        <v>171450</v>
      </c>
      <c r="M23" s="70">
        <v>2000</v>
      </c>
      <c r="N23" s="385">
        <v>120650</v>
      </c>
      <c r="O23" s="67">
        <v>2089</v>
      </c>
      <c r="P23" s="385">
        <v>127000</v>
      </c>
      <c r="Q23" s="71">
        <v>2300</v>
      </c>
      <c r="R23" s="384">
        <v>133097</v>
      </c>
      <c r="S23" s="67"/>
      <c r="T23" s="384"/>
      <c r="U23" s="67"/>
      <c r="V23" s="384"/>
      <c r="W23" s="67"/>
      <c r="X23" s="384"/>
      <c r="Y23" s="67"/>
      <c r="Z23" s="384"/>
      <c r="AA23" s="67"/>
      <c r="AB23" s="384"/>
      <c r="AC23" s="71">
        <f t="shared" si="0"/>
        <v>14089</v>
      </c>
      <c r="AD23" s="384">
        <f t="shared" si="0"/>
        <v>759797</v>
      </c>
    </row>
    <row r="24" spans="1:30" ht="15.6" x14ac:dyDescent="0.3">
      <c r="A24" s="387"/>
      <c r="B24" s="231" t="s">
        <v>23</v>
      </c>
      <c r="C24" s="67" t="s">
        <v>34</v>
      </c>
      <c r="D24" s="68" t="s">
        <v>374</v>
      </c>
      <c r="E24" s="69">
        <v>2550</v>
      </c>
      <c r="F24" s="384"/>
      <c r="G24" s="71">
        <v>3000</v>
      </c>
      <c r="H24" s="384"/>
      <c r="I24" s="69">
        <v>3300</v>
      </c>
      <c r="J24" s="384"/>
      <c r="K24" s="70">
        <v>2850</v>
      </c>
      <c r="L24" s="386"/>
      <c r="M24" s="70">
        <v>3000</v>
      </c>
      <c r="N24" s="386"/>
      <c r="O24" s="67">
        <v>3150</v>
      </c>
      <c r="P24" s="386"/>
      <c r="Q24" s="71">
        <v>3450</v>
      </c>
      <c r="R24" s="384"/>
      <c r="S24" s="67"/>
      <c r="T24" s="384"/>
      <c r="U24" s="67"/>
      <c r="V24" s="384"/>
      <c r="W24" s="67"/>
      <c r="X24" s="384"/>
      <c r="Y24" s="67"/>
      <c r="Z24" s="384"/>
      <c r="AA24" s="67"/>
      <c r="AB24" s="384"/>
      <c r="AC24" s="71">
        <f t="shared" si="0"/>
        <v>21300</v>
      </c>
      <c r="AD24" s="384">
        <f t="shared" si="0"/>
        <v>0</v>
      </c>
    </row>
    <row r="25" spans="1:30" ht="15.6" x14ac:dyDescent="0.3">
      <c r="A25" s="387">
        <v>11</v>
      </c>
      <c r="B25" s="230" t="s">
        <v>23</v>
      </c>
      <c r="C25" s="67" t="s">
        <v>36</v>
      </c>
      <c r="D25" s="68" t="s">
        <v>373</v>
      </c>
      <c r="E25" s="69">
        <v>2400</v>
      </c>
      <c r="F25" s="384">
        <v>0</v>
      </c>
      <c r="G25" s="71">
        <v>3000</v>
      </c>
      <c r="H25" s="384">
        <f>89850+83100</f>
        <v>172950</v>
      </c>
      <c r="I25" s="69">
        <v>3300</v>
      </c>
      <c r="J25" s="384">
        <v>186975</v>
      </c>
      <c r="K25" s="70">
        <v>2810</v>
      </c>
      <c r="L25" s="385">
        <v>308750.5</v>
      </c>
      <c r="M25" s="70">
        <v>2902</v>
      </c>
      <c r="N25" s="385">
        <v>247062.15</v>
      </c>
      <c r="O25" s="67">
        <v>3042</v>
      </c>
      <c r="P25" s="385">
        <v>260687.39</v>
      </c>
      <c r="Q25" s="71">
        <v>3450</v>
      </c>
      <c r="R25" s="384">
        <v>257796.24</v>
      </c>
      <c r="S25" s="67"/>
      <c r="T25" s="384"/>
      <c r="U25" s="67"/>
      <c r="V25" s="384"/>
      <c r="W25" s="67"/>
      <c r="X25" s="384"/>
      <c r="Y25" s="67"/>
      <c r="Z25" s="384"/>
      <c r="AA25" s="67"/>
      <c r="AB25" s="384"/>
      <c r="AC25" s="71">
        <f t="shared" si="0"/>
        <v>20904</v>
      </c>
      <c r="AD25" s="384">
        <f t="shared" si="0"/>
        <v>1434221.28</v>
      </c>
    </row>
    <row r="26" spans="1:30" ht="15.6" x14ac:dyDescent="0.3">
      <c r="A26" s="387"/>
      <c r="B26" s="231" t="s">
        <v>23</v>
      </c>
      <c r="C26" s="67" t="s">
        <v>36</v>
      </c>
      <c r="D26" s="68" t="s">
        <v>374</v>
      </c>
      <c r="E26" s="69">
        <v>4192</v>
      </c>
      <c r="F26" s="384"/>
      <c r="G26" s="71">
        <v>5000</v>
      </c>
      <c r="H26" s="384"/>
      <c r="I26" s="69">
        <v>5500</v>
      </c>
      <c r="J26" s="384"/>
      <c r="K26" s="70">
        <v>4621</v>
      </c>
      <c r="L26" s="386"/>
      <c r="M26" s="70">
        <v>5000</v>
      </c>
      <c r="N26" s="386"/>
      <c r="O26" s="67">
        <v>4722</v>
      </c>
      <c r="P26" s="386"/>
      <c r="Q26" s="71">
        <v>5750</v>
      </c>
      <c r="R26" s="384"/>
      <c r="S26" s="67"/>
      <c r="T26" s="384"/>
      <c r="U26" s="67"/>
      <c r="V26" s="384"/>
      <c r="W26" s="67"/>
      <c r="X26" s="384"/>
      <c r="Y26" s="67"/>
      <c r="Z26" s="384"/>
      <c r="AA26" s="67"/>
      <c r="AB26" s="384"/>
      <c r="AC26" s="71">
        <f t="shared" si="0"/>
        <v>34785</v>
      </c>
      <c r="AD26" s="384">
        <f t="shared" si="0"/>
        <v>0</v>
      </c>
    </row>
    <row r="27" spans="1:30" ht="15.6" x14ac:dyDescent="0.3">
      <c r="A27" s="387">
        <v>12</v>
      </c>
      <c r="B27" s="230" t="s">
        <v>23</v>
      </c>
      <c r="C27" s="67" t="s">
        <v>376</v>
      </c>
      <c r="D27" s="68" t="s">
        <v>373</v>
      </c>
      <c r="E27" s="69">
        <v>2400</v>
      </c>
      <c r="F27" s="384">
        <v>0</v>
      </c>
      <c r="G27" s="71">
        <v>3000</v>
      </c>
      <c r="H27" s="384">
        <f>89250+83700</f>
        <v>172950</v>
      </c>
      <c r="I27" s="69">
        <v>3300</v>
      </c>
      <c r="J27" s="384">
        <v>120900</v>
      </c>
      <c r="K27" s="70">
        <v>2850</v>
      </c>
      <c r="L27" s="385">
        <v>232200</v>
      </c>
      <c r="M27" s="70">
        <v>3000</v>
      </c>
      <c r="N27" s="385">
        <v>0</v>
      </c>
      <c r="O27" s="67">
        <v>3150</v>
      </c>
      <c r="P27" s="385">
        <v>344340</v>
      </c>
      <c r="Q27" s="71">
        <v>3425</v>
      </c>
      <c r="R27" s="384">
        <v>185850</v>
      </c>
      <c r="S27" s="67"/>
      <c r="T27" s="384"/>
      <c r="U27" s="67"/>
      <c r="V27" s="384"/>
      <c r="W27" s="67"/>
      <c r="X27" s="384"/>
      <c r="Y27" s="67"/>
      <c r="Z27" s="384"/>
      <c r="AA27" s="67"/>
      <c r="AB27" s="384"/>
      <c r="AC27" s="71">
        <f t="shared" si="0"/>
        <v>21125</v>
      </c>
      <c r="AD27" s="384">
        <f t="shared" si="0"/>
        <v>1056240</v>
      </c>
    </row>
    <row r="28" spans="1:30" ht="15.6" x14ac:dyDescent="0.3">
      <c r="A28" s="387"/>
      <c r="B28" s="231" t="s">
        <v>23</v>
      </c>
      <c r="C28" s="67" t="s">
        <v>376</v>
      </c>
      <c r="D28" s="68" t="s">
        <v>374</v>
      </c>
      <c r="E28" s="69">
        <v>3400</v>
      </c>
      <c r="F28" s="384"/>
      <c r="G28" s="71">
        <v>3900</v>
      </c>
      <c r="H28" s="384"/>
      <c r="I28" s="69">
        <v>4400</v>
      </c>
      <c r="J28" s="384"/>
      <c r="K28" s="70">
        <v>3800</v>
      </c>
      <c r="L28" s="386"/>
      <c r="M28" s="70">
        <v>3970</v>
      </c>
      <c r="N28" s="386"/>
      <c r="O28" s="67">
        <v>4200</v>
      </c>
      <c r="P28" s="386"/>
      <c r="Q28" s="71">
        <v>4600</v>
      </c>
      <c r="R28" s="384"/>
      <c r="S28" s="67"/>
      <c r="T28" s="384"/>
      <c r="U28" s="67"/>
      <c r="V28" s="384"/>
      <c r="W28" s="67"/>
      <c r="X28" s="384"/>
      <c r="Y28" s="67"/>
      <c r="Z28" s="384"/>
      <c r="AA28" s="67"/>
      <c r="AB28" s="384"/>
      <c r="AC28" s="71">
        <f t="shared" si="0"/>
        <v>28270</v>
      </c>
      <c r="AD28" s="384">
        <f t="shared" si="0"/>
        <v>0</v>
      </c>
    </row>
    <row r="29" spans="1:30" ht="15.6" x14ac:dyDescent="0.3">
      <c r="A29" s="387">
        <v>13</v>
      </c>
      <c r="B29" s="230" t="s">
        <v>23</v>
      </c>
      <c r="C29" s="67" t="s">
        <v>377</v>
      </c>
      <c r="D29" s="68" t="s">
        <v>373</v>
      </c>
      <c r="E29" s="69">
        <v>1064</v>
      </c>
      <c r="F29" s="384">
        <v>0</v>
      </c>
      <c r="G29" s="71">
        <v>2000</v>
      </c>
      <c r="H29" s="384">
        <v>88950</v>
      </c>
      <c r="I29" s="69">
        <v>2200</v>
      </c>
      <c r="J29" s="384">
        <v>150075</v>
      </c>
      <c r="K29" s="70">
        <v>1850</v>
      </c>
      <c r="L29" s="385">
        <v>182479</v>
      </c>
      <c r="M29" s="70">
        <v>2000</v>
      </c>
      <c r="N29" s="385">
        <v>156032</v>
      </c>
      <c r="O29" s="67">
        <v>2100</v>
      </c>
      <c r="P29" s="385">
        <v>158862.19999999995</v>
      </c>
      <c r="Q29" s="71">
        <v>1725</v>
      </c>
      <c r="R29" s="384">
        <v>174184.5</v>
      </c>
      <c r="S29" s="67"/>
      <c r="T29" s="384"/>
      <c r="U29" s="67"/>
      <c r="V29" s="384"/>
      <c r="W29" s="67"/>
      <c r="X29" s="384"/>
      <c r="Y29" s="67"/>
      <c r="Z29" s="384"/>
      <c r="AA29" s="67"/>
      <c r="AB29" s="384"/>
      <c r="AC29" s="71">
        <f t="shared" si="0"/>
        <v>12939</v>
      </c>
      <c r="AD29" s="384">
        <f t="shared" si="0"/>
        <v>910582.7</v>
      </c>
    </row>
    <row r="30" spans="1:30" ht="15.6" x14ac:dyDescent="0.3">
      <c r="A30" s="387"/>
      <c r="B30" s="231" t="s">
        <v>23</v>
      </c>
      <c r="C30" s="67" t="s">
        <v>377</v>
      </c>
      <c r="D30" s="68" t="s">
        <v>374</v>
      </c>
      <c r="E30" s="69">
        <v>2017</v>
      </c>
      <c r="F30" s="384"/>
      <c r="G30" s="71">
        <v>3000</v>
      </c>
      <c r="H30" s="384"/>
      <c r="I30" s="69">
        <v>3300</v>
      </c>
      <c r="J30" s="384"/>
      <c r="K30" s="70">
        <v>2850</v>
      </c>
      <c r="L30" s="386"/>
      <c r="M30" s="70">
        <v>2796</v>
      </c>
      <c r="N30" s="386"/>
      <c r="O30" s="67">
        <v>3150</v>
      </c>
      <c r="P30" s="386"/>
      <c r="Q30" s="71">
        <v>2875</v>
      </c>
      <c r="R30" s="384"/>
      <c r="S30" s="67"/>
      <c r="T30" s="384"/>
      <c r="U30" s="67"/>
      <c r="V30" s="384"/>
      <c r="W30" s="67"/>
      <c r="X30" s="384"/>
      <c r="Y30" s="67"/>
      <c r="Z30" s="384"/>
      <c r="AA30" s="67"/>
      <c r="AB30" s="384"/>
      <c r="AC30" s="71">
        <f t="shared" si="0"/>
        <v>19988</v>
      </c>
      <c r="AD30" s="384">
        <f t="shared" si="0"/>
        <v>0</v>
      </c>
    </row>
    <row r="31" spans="1:30" ht="15.6" x14ac:dyDescent="0.3">
      <c r="A31" s="391">
        <v>14</v>
      </c>
      <c r="B31" s="232" t="s">
        <v>23</v>
      </c>
      <c r="C31" s="73" t="s">
        <v>638</v>
      </c>
      <c r="D31" s="74" t="s">
        <v>373</v>
      </c>
      <c r="E31" s="75">
        <v>0</v>
      </c>
      <c r="F31" s="389">
        <v>0</v>
      </c>
      <c r="G31" s="233">
        <v>0</v>
      </c>
      <c r="H31" s="389">
        <v>0</v>
      </c>
      <c r="I31" s="233">
        <v>0</v>
      </c>
      <c r="J31" s="389">
        <v>0</v>
      </c>
      <c r="K31" s="233">
        <v>0</v>
      </c>
      <c r="L31" s="389">
        <v>0</v>
      </c>
      <c r="M31" s="233">
        <v>0</v>
      </c>
      <c r="N31" s="389">
        <v>0</v>
      </c>
      <c r="O31" s="73">
        <v>0</v>
      </c>
      <c r="P31" s="389">
        <v>0</v>
      </c>
      <c r="Q31" s="76">
        <v>3000</v>
      </c>
      <c r="R31" s="388">
        <v>0</v>
      </c>
      <c r="S31" s="73"/>
      <c r="T31" s="388"/>
      <c r="U31" s="73"/>
      <c r="V31" s="388"/>
      <c r="W31" s="73"/>
      <c r="X31" s="388"/>
      <c r="Y31" s="73"/>
      <c r="Z31" s="388"/>
      <c r="AA31" s="73"/>
      <c r="AB31" s="388"/>
      <c r="AC31" s="76">
        <f t="shared" si="0"/>
        <v>3000</v>
      </c>
      <c r="AD31" s="388">
        <f t="shared" si="0"/>
        <v>0</v>
      </c>
    </row>
    <row r="32" spans="1:30" ht="15.6" x14ac:dyDescent="0.3">
      <c r="A32" s="391"/>
      <c r="B32" s="234" t="s">
        <v>23</v>
      </c>
      <c r="C32" s="73" t="s">
        <v>638</v>
      </c>
      <c r="D32" s="74" t="s">
        <v>374</v>
      </c>
      <c r="E32" s="75">
        <v>0</v>
      </c>
      <c r="F32" s="390"/>
      <c r="G32" s="233">
        <v>0</v>
      </c>
      <c r="H32" s="390"/>
      <c r="I32" s="233">
        <v>0</v>
      </c>
      <c r="J32" s="390"/>
      <c r="K32" s="233">
        <v>0</v>
      </c>
      <c r="L32" s="390"/>
      <c r="M32" s="233">
        <v>0</v>
      </c>
      <c r="N32" s="390"/>
      <c r="O32" s="73">
        <v>0</v>
      </c>
      <c r="P32" s="390"/>
      <c r="Q32" s="76">
        <v>4000</v>
      </c>
      <c r="R32" s="388"/>
      <c r="S32" s="73"/>
      <c r="T32" s="388"/>
      <c r="U32" s="73"/>
      <c r="V32" s="388"/>
      <c r="W32" s="73"/>
      <c r="X32" s="388"/>
      <c r="Y32" s="73"/>
      <c r="Z32" s="388"/>
      <c r="AA32" s="73"/>
      <c r="AB32" s="388"/>
      <c r="AC32" s="76">
        <f t="shared" si="0"/>
        <v>4000</v>
      </c>
      <c r="AD32" s="388">
        <f t="shared" si="0"/>
        <v>0</v>
      </c>
    </row>
    <row r="33" spans="1:30" ht="15.6" x14ac:dyDescent="0.3">
      <c r="A33" s="391">
        <v>15</v>
      </c>
      <c r="B33" s="232" t="s">
        <v>42</v>
      </c>
      <c r="C33" s="73" t="s">
        <v>43</v>
      </c>
      <c r="D33" s="74" t="s">
        <v>373</v>
      </c>
      <c r="E33" s="75">
        <v>0</v>
      </c>
      <c r="F33" s="389">
        <v>0</v>
      </c>
      <c r="G33" s="233">
        <v>0</v>
      </c>
      <c r="H33" s="389">
        <v>0</v>
      </c>
      <c r="I33" s="233">
        <v>0</v>
      </c>
      <c r="J33" s="389">
        <v>0</v>
      </c>
      <c r="K33" s="233">
        <v>0</v>
      </c>
      <c r="L33" s="389">
        <v>0</v>
      </c>
      <c r="M33" s="233">
        <v>0</v>
      </c>
      <c r="N33" s="389">
        <v>0</v>
      </c>
      <c r="O33" s="73">
        <v>0</v>
      </c>
      <c r="P33" s="389">
        <v>0</v>
      </c>
      <c r="Q33" s="76">
        <v>300</v>
      </c>
      <c r="R33" s="388">
        <v>0</v>
      </c>
      <c r="S33" s="73"/>
      <c r="T33" s="388"/>
      <c r="U33" s="73"/>
      <c r="V33" s="388"/>
      <c r="W33" s="73"/>
      <c r="X33" s="388"/>
      <c r="Y33" s="73"/>
      <c r="Z33" s="388"/>
      <c r="AA33" s="73"/>
      <c r="AB33" s="388"/>
      <c r="AC33" s="76">
        <f t="shared" si="0"/>
        <v>300</v>
      </c>
      <c r="AD33" s="388">
        <f t="shared" si="0"/>
        <v>0</v>
      </c>
    </row>
    <row r="34" spans="1:30" ht="15.6" x14ac:dyDescent="0.3">
      <c r="A34" s="391"/>
      <c r="B34" s="234" t="s">
        <v>42</v>
      </c>
      <c r="C34" s="73" t="s">
        <v>43</v>
      </c>
      <c r="D34" s="74" t="s">
        <v>374</v>
      </c>
      <c r="E34" s="75">
        <v>0</v>
      </c>
      <c r="F34" s="390"/>
      <c r="G34" s="233">
        <v>0</v>
      </c>
      <c r="H34" s="390"/>
      <c r="I34" s="233">
        <v>0</v>
      </c>
      <c r="J34" s="390"/>
      <c r="K34" s="233">
        <v>0</v>
      </c>
      <c r="L34" s="390"/>
      <c r="M34" s="233">
        <v>0</v>
      </c>
      <c r="N34" s="390"/>
      <c r="O34" s="73">
        <v>0</v>
      </c>
      <c r="P34" s="390"/>
      <c r="Q34" s="76">
        <v>300</v>
      </c>
      <c r="R34" s="388"/>
      <c r="S34" s="73"/>
      <c r="T34" s="388"/>
      <c r="U34" s="73"/>
      <c r="V34" s="388"/>
      <c r="W34" s="73"/>
      <c r="X34" s="388"/>
      <c r="Y34" s="73"/>
      <c r="Z34" s="388"/>
      <c r="AA34" s="73"/>
      <c r="AB34" s="388"/>
      <c r="AC34" s="76">
        <f t="shared" si="0"/>
        <v>300</v>
      </c>
      <c r="AD34" s="388">
        <f t="shared" si="0"/>
        <v>0</v>
      </c>
    </row>
    <row r="35" spans="1:30" ht="15.6" x14ac:dyDescent="0.3">
      <c r="A35" s="391">
        <v>16</v>
      </c>
      <c r="B35" s="232" t="s">
        <v>42</v>
      </c>
      <c r="C35" s="73" t="s">
        <v>639</v>
      </c>
      <c r="D35" s="74" t="s">
        <v>373</v>
      </c>
      <c r="E35" s="75">
        <v>0</v>
      </c>
      <c r="F35" s="389">
        <v>0</v>
      </c>
      <c r="G35" s="233">
        <v>0</v>
      </c>
      <c r="H35" s="389">
        <v>0</v>
      </c>
      <c r="I35" s="233">
        <v>0</v>
      </c>
      <c r="J35" s="389">
        <v>0</v>
      </c>
      <c r="K35" s="233">
        <v>0</v>
      </c>
      <c r="L35" s="389">
        <v>0</v>
      </c>
      <c r="M35" s="233">
        <v>0</v>
      </c>
      <c r="N35" s="389">
        <v>0</v>
      </c>
      <c r="O35" s="73">
        <v>0</v>
      </c>
      <c r="P35" s="389">
        <v>0</v>
      </c>
      <c r="Q35" s="76">
        <v>450</v>
      </c>
      <c r="R35" s="388">
        <v>0</v>
      </c>
      <c r="S35" s="73"/>
      <c r="T35" s="388"/>
      <c r="U35" s="73"/>
      <c r="V35" s="388"/>
      <c r="W35" s="73"/>
      <c r="X35" s="388"/>
      <c r="Y35" s="73"/>
      <c r="Z35" s="388"/>
      <c r="AA35" s="73"/>
      <c r="AB35" s="388"/>
      <c r="AC35" s="76">
        <f t="shared" si="0"/>
        <v>450</v>
      </c>
      <c r="AD35" s="388">
        <f t="shared" si="0"/>
        <v>0</v>
      </c>
    </row>
    <row r="36" spans="1:30" ht="15.6" x14ac:dyDescent="0.3">
      <c r="A36" s="391"/>
      <c r="B36" s="234" t="s">
        <v>42</v>
      </c>
      <c r="C36" s="73" t="s">
        <v>639</v>
      </c>
      <c r="D36" s="74" t="s">
        <v>374</v>
      </c>
      <c r="E36" s="75">
        <v>0</v>
      </c>
      <c r="F36" s="390"/>
      <c r="G36" s="233">
        <v>0</v>
      </c>
      <c r="H36" s="390"/>
      <c r="I36" s="233">
        <v>0</v>
      </c>
      <c r="J36" s="390"/>
      <c r="K36" s="233">
        <v>0</v>
      </c>
      <c r="L36" s="390"/>
      <c r="M36" s="233">
        <v>0</v>
      </c>
      <c r="N36" s="390"/>
      <c r="O36" s="73">
        <v>0</v>
      </c>
      <c r="P36" s="390"/>
      <c r="Q36" s="76">
        <v>400</v>
      </c>
      <c r="R36" s="388"/>
      <c r="S36" s="73"/>
      <c r="T36" s="388"/>
      <c r="U36" s="73"/>
      <c r="V36" s="388"/>
      <c r="W36" s="73"/>
      <c r="X36" s="388"/>
      <c r="Y36" s="73"/>
      <c r="Z36" s="388"/>
      <c r="AA36" s="73"/>
      <c r="AB36" s="388"/>
      <c r="AC36" s="76">
        <f t="shared" si="0"/>
        <v>400</v>
      </c>
      <c r="AD36" s="388">
        <f t="shared" si="0"/>
        <v>0</v>
      </c>
    </row>
    <row r="37" spans="1:30" ht="15.6" x14ac:dyDescent="0.3">
      <c r="A37" s="391">
        <v>17</v>
      </c>
      <c r="B37" s="232" t="s">
        <v>42</v>
      </c>
      <c r="C37" s="73" t="s">
        <v>640</v>
      </c>
      <c r="D37" s="74" t="s">
        <v>373</v>
      </c>
      <c r="E37" s="75">
        <v>0</v>
      </c>
      <c r="F37" s="389">
        <v>0</v>
      </c>
      <c r="G37" s="233">
        <v>0</v>
      </c>
      <c r="H37" s="389">
        <v>0</v>
      </c>
      <c r="I37" s="233">
        <v>0</v>
      </c>
      <c r="J37" s="389">
        <v>0</v>
      </c>
      <c r="K37" s="233">
        <v>0</v>
      </c>
      <c r="L37" s="389">
        <v>0</v>
      </c>
      <c r="M37" s="233">
        <v>0</v>
      </c>
      <c r="N37" s="389">
        <v>0</v>
      </c>
      <c r="O37" s="73">
        <v>0</v>
      </c>
      <c r="P37" s="389">
        <v>0</v>
      </c>
      <c r="Q37" s="76">
        <v>450</v>
      </c>
      <c r="R37" s="388">
        <v>0</v>
      </c>
      <c r="S37" s="73"/>
      <c r="T37" s="388"/>
      <c r="U37" s="73"/>
      <c r="V37" s="388"/>
      <c r="W37" s="73"/>
      <c r="X37" s="388"/>
      <c r="Y37" s="73"/>
      <c r="Z37" s="388"/>
      <c r="AA37" s="73"/>
      <c r="AB37" s="388"/>
      <c r="AC37" s="76">
        <f t="shared" si="0"/>
        <v>450</v>
      </c>
      <c r="AD37" s="388">
        <f t="shared" si="0"/>
        <v>0</v>
      </c>
    </row>
    <row r="38" spans="1:30" ht="15.6" x14ac:dyDescent="0.3">
      <c r="A38" s="391"/>
      <c r="B38" s="234" t="s">
        <v>42</v>
      </c>
      <c r="C38" s="73" t="s">
        <v>640</v>
      </c>
      <c r="D38" s="74" t="s">
        <v>374</v>
      </c>
      <c r="E38" s="75">
        <v>0</v>
      </c>
      <c r="F38" s="390"/>
      <c r="G38" s="233">
        <v>0</v>
      </c>
      <c r="H38" s="390"/>
      <c r="I38" s="233">
        <v>0</v>
      </c>
      <c r="J38" s="390"/>
      <c r="K38" s="233">
        <v>0</v>
      </c>
      <c r="L38" s="390"/>
      <c r="M38" s="233">
        <v>0</v>
      </c>
      <c r="N38" s="390"/>
      <c r="O38" s="73">
        <v>0</v>
      </c>
      <c r="P38" s="390"/>
      <c r="Q38" s="76">
        <v>450</v>
      </c>
      <c r="R38" s="388"/>
      <c r="S38" s="73"/>
      <c r="T38" s="388"/>
      <c r="U38" s="73"/>
      <c r="V38" s="388"/>
      <c r="W38" s="73"/>
      <c r="X38" s="388"/>
      <c r="Y38" s="73"/>
      <c r="Z38" s="388"/>
      <c r="AA38" s="73"/>
      <c r="AB38" s="388"/>
      <c r="AC38" s="76">
        <f t="shared" si="0"/>
        <v>450</v>
      </c>
      <c r="AD38" s="388">
        <f t="shared" si="0"/>
        <v>0</v>
      </c>
    </row>
    <row r="39" spans="1:30" ht="15.6" x14ac:dyDescent="0.3">
      <c r="A39" s="387">
        <v>18</v>
      </c>
      <c r="B39" s="230" t="s">
        <v>42</v>
      </c>
      <c r="C39" s="67" t="s">
        <v>378</v>
      </c>
      <c r="D39" s="68" t="s">
        <v>373</v>
      </c>
      <c r="E39" s="69">
        <v>0</v>
      </c>
      <c r="F39" s="384">
        <v>0</v>
      </c>
      <c r="G39" s="71">
        <v>0</v>
      </c>
      <c r="H39" s="384">
        <v>0</v>
      </c>
      <c r="I39" s="69">
        <v>1200</v>
      </c>
      <c r="J39" s="384">
        <v>0</v>
      </c>
      <c r="K39" s="70">
        <v>2350</v>
      </c>
      <c r="L39" s="385">
        <v>63500</v>
      </c>
      <c r="M39" s="70">
        <v>3000</v>
      </c>
      <c r="N39" s="385">
        <v>0</v>
      </c>
      <c r="O39" s="67">
        <v>3150</v>
      </c>
      <c r="P39" s="385">
        <v>366955.4</v>
      </c>
      <c r="Q39" s="71">
        <v>3300</v>
      </c>
      <c r="R39" s="384">
        <v>190927.19999999995</v>
      </c>
      <c r="S39" s="67"/>
      <c r="T39" s="384"/>
      <c r="U39" s="67"/>
      <c r="V39" s="384"/>
      <c r="W39" s="67"/>
      <c r="X39" s="384"/>
      <c r="Y39" s="67"/>
      <c r="Z39" s="384"/>
      <c r="AA39" s="67"/>
      <c r="AB39" s="384"/>
      <c r="AC39" s="71">
        <f t="shared" si="0"/>
        <v>13000</v>
      </c>
      <c r="AD39" s="384">
        <f t="shared" si="0"/>
        <v>621382.6</v>
      </c>
    </row>
    <row r="40" spans="1:30" ht="15.6" x14ac:dyDescent="0.3">
      <c r="A40" s="387"/>
      <c r="B40" s="231" t="s">
        <v>42</v>
      </c>
      <c r="C40" s="67" t="s">
        <v>378</v>
      </c>
      <c r="D40" s="68" t="s">
        <v>374</v>
      </c>
      <c r="E40" s="69">
        <v>0</v>
      </c>
      <c r="F40" s="384"/>
      <c r="G40" s="71">
        <v>0</v>
      </c>
      <c r="H40" s="384"/>
      <c r="I40" s="69">
        <v>1800</v>
      </c>
      <c r="J40" s="384"/>
      <c r="K40" s="70">
        <v>3500</v>
      </c>
      <c r="L40" s="386"/>
      <c r="M40" s="70">
        <v>4858</v>
      </c>
      <c r="N40" s="386"/>
      <c r="O40" s="67">
        <v>5191</v>
      </c>
      <c r="P40" s="386"/>
      <c r="Q40" s="71">
        <v>5500</v>
      </c>
      <c r="R40" s="384"/>
      <c r="S40" s="67"/>
      <c r="T40" s="384"/>
      <c r="U40" s="67"/>
      <c r="V40" s="384"/>
      <c r="W40" s="67"/>
      <c r="X40" s="384"/>
      <c r="Y40" s="67"/>
      <c r="Z40" s="384"/>
      <c r="AA40" s="67"/>
      <c r="AB40" s="384"/>
      <c r="AC40" s="71">
        <f t="shared" si="0"/>
        <v>20849</v>
      </c>
      <c r="AD40" s="384">
        <f t="shared" si="0"/>
        <v>0</v>
      </c>
    </row>
    <row r="41" spans="1:30" ht="15.6" x14ac:dyDescent="0.3">
      <c r="A41" s="387">
        <v>19</v>
      </c>
      <c r="B41" s="230" t="s">
        <v>42</v>
      </c>
      <c r="C41" s="67" t="s">
        <v>379</v>
      </c>
      <c r="D41" s="68" t="s">
        <v>373</v>
      </c>
      <c r="E41" s="69">
        <v>0</v>
      </c>
      <c r="F41" s="384">
        <v>0</v>
      </c>
      <c r="G41" s="71">
        <v>0</v>
      </c>
      <c r="H41" s="384">
        <v>0</v>
      </c>
      <c r="I41" s="69">
        <v>0</v>
      </c>
      <c r="J41" s="384">
        <v>0</v>
      </c>
      <c r="K41" s="70">
        <v>1885</v>
      </c>
      <c r="L41" s="385">
        <v>96407</v>
      </c>
      <c r="M41" s="70">
        <v>1900</v>
      </c>
      <c r="N41" s="385">
        <v>160399.20000000001</v>
      </c>
      <c r="O41" s="67">
        <v>2100</v>
      </c>
      <c r="P41" s="385">
        <v>155409.79999999999</v>
      </c>
      <c r="Q41" s="71">
        <v>2300</v>
      </c>
      <c r="R41" s="384">
        <v>212607</v>
      </c>
      <c r="S41" s="67"/>
      <c r="T41" s="384"/>
      <c r="U41" s="67"/>
      <c r="V41" s="384"/>
      <c r="W41" s="67"/>
      <c r="X41" s="384"/>
      <c r="Y41" s="67"/>
      <c r="Z41" s="384"/>
      <c r="AA41" s="67"/>
      <c r="AB41" s="384"/>
      <c r="AC41" s="71">
        <f t="shared" si="0"/>
        <v>8185</v>
      </c>
      <c r="AD41" s="384">
        <f t="shared" si="0"/>
        <v>624823</v>
      </c>
    </row>
    <row r="42" spans="1:30" ht="15.6" x14ac:dyDescent="0.3">
      <c r="A42" s="387"/>
      <c r="B42" s="231" t="s">
        <v>42</v>
      </c>
      <c r="C42" s="67" t="s">
        <v>379</v>
      </c>
      <c r="D42" s="68" t="s">
        <v>374</v>
      </c>
      <c r="E42" s="69">
        <v>0</v>
      </c>
      <c r="F42" s="384"/>
      <c r="G42" s="71">
        <v>0</v>
      </c>
      <c r="H42" s="384"/>
      <c r="I42" s="69">
        <v>0</v>
      </c>
      <c r="J42" s="384"/>
      <c r="K42" s="70">
        <v>2945</v>
      </c>
      <c r="L42" s="386"/>
      <c r="M42" s="70">
        <v>3316</v>
      </c>
      <c r="N42" s="386"/>
      <c r="O42" s="67">
        <v>3636</v>
      </c>
      <c r="P42" s="386"/>
      <c r="Q42" s="71">
        <v>3838</v>
      </c>
      <c r="R42" s="384"/>
      <c r="S42" s="67"/>
      <c r="T42" s="384"/>
      <c r="U42" s="67"/>
      <c r="V42" s="384"/>
      <c r="W42" s="67"/>
      <c r="X42" s="384"/>
      <c r="Y42" s="67"/>
      <c r="Z42" s="384"/>
      <c r="AA42" s="67"/>
      <c r="AB42" s="384"/>
      <c r="AC42" s="71">
        <f t="shared" si="0"/>
        <v>13735</v>
      </c>
      <c r="AD42" s="384">
        <f t="shared" si="0"/>
        <v>0</v>
      </c>
    </row>
    <row r="43" spans="1:30" ht="15.6" x14ac:dyDescent="0.3">
      <c r="A43" s="391">
        <v>20</v>
      </c>
      <c r="B43" s="232" t="s">
        <v>42</v>
      </c>
      <c r="C43" s="73" t="s">
        <v>641</v>
      </c>
      <c r="D43" s="74" t="s">
        <v>373</v>
      </c>
      <c r="E43" s="75">
        <v>0</v>
      </c>
      <c r="F43" s="389">
        <v>0</v>
      </c>
      <c r="G43" s="233">
        <v>0</v>
      </c>
      <c r="H43" s="389">
        <v>0</v>
      </c>
      <c r="I43" s="233">
        <v>0</v>
      </c>
      <c r="J43" s="389">
        <v>0</v>
      </c>
      <c r="K43" s="233">
        <v>0</v>
      </c>
      <c r="L43" s="389">
        <v>0</v>
      </c>
      <c r="M43" s="233">
        <v>0</v>
      </c>
      <c r="N43" s="389">
        <v>0</v>
      </c>
      <c r="O43" s="73">
        <v>0</v>
      </c>
      <c r="P43" s="389">
        <v>0</v>
      </c>
      <c r="Q43" s="76">
        <v>1825</v>
      </c>
      <c r="R43" s="388">
        <v>0</v>
      </c>
      <c r="S43" s="73"/>
      <c r="T43" s="388"/>
      <c r="U43" s="73"/>
      <c r="V43" s="388"/>
      <c r="W43" s="73"/>
      <c r="X43" s="388"/>
      <c r="Y43" s="73"/>
      <c r="Z43" s="388"/>
      <c r="AA43" s="73"/>
      <c r="AB43" s="388"/>
      <c r="AC43" s="76">
        <f t="shared" si="0"/>
        <v>1825</v>
      </c>
      <c r="AD43" s="388">
        <f t="shared" si="0"/>
        <v>0</v>
      </c>
    </row>
    <row r="44" spans="1:30" ht="15.6" x14ac:dyDescent="0.3">
      <c r="A44" s="391"/>
      <c r="B44" s="234" t="s">
        <v>42</v>
      </c>
      <c r="C44" s="73" t="s">
        <v>641</v>
      </c>
      <c r="D44" s="74" t="s">
        <v>374</v>
      </c>
      <c r="E44" s="75">
        <v>0</v>
      </c>
      <c r="F44" s="390"/>
      <c r="G44" s="233">
        <v>0</v>
      </c>
      <c r="H44" s="390"/>
      <c r="I44" s="233">
        <v>0</v>
      </c>
      <c r="J44" s="390"/>
      <c r="K44" s="233">
        <v>0</v>
      </c>
      <c r="L44" s="390"/>
      <c r="M44" s="233">
        <v>0</v>
      </c>
      <c r="N44" s="390"/>
      <c r="O44" s="73">
        <v>0</v>
      </c>
      <c r="P44" s="390"/>
      <c r="Q44" s="76">
        <v>2225</v>
      </c>
      <c r="R44" s="388"/>
      <c r="S44" s="73"/>
      <c r="T44" s="388"/>
      <c r="U44" s="73"/>
      <c r="V44" s="388"/>
      <c r="W44" s="73"/>
      <c r="X44" s="388"/>
      <c r="Y44" s="73"/>
      <c r="Z44" s="388"/>
      <c r="AA44" s="73"/>
      <c r="AB44" s="388"/>
      <c r="AC44" s="76">
        <f t="shared" si="0"/>
        <v>2225</v>
      </c>
      <c r="AD44" s="388">
        <f t="shared" si="0"/>
        <v>0</v>
      </c>
    </row>
    <row r="45" spans="1:30" ht="15.6" x14ac:dyDescent="0.3">
      <c r="A45" s="391">
        <v>21</v>
      </c>
      <c r="B45" s="232" t="s">
        <v>42</v>
      </c>
      <c r="C45" s="73" t="s">
        <v>642</v>
      </c>
      <c r="D45" s="74" t="s">
        <v>373</v>
      </c>
      <c r="E45" s="75">
        <v>0</v>
      </c>
      <c r="F45" s="389">
        <v>0</v>
      </c>
      <c r="G45" s="233">
        <v>0</v>
      </c>
      <c r="H45" s="389">
        <v>0</v>
      </c>
      <c r="I45" s="233">
        <v>0</v>
      </c>
      <c r="J45" s="389">
        <v>0</v>
      </c>
      <c r="K45" s="233">
        <v>0</v>
      </c>
      <c r="L45" s="389">
        <v>0</v>
      </c>
      <c r="M45" s="233">
        <v>0</v>
      </c>
      <c r="N45" s="389">
        <v>0</v>
      </c>
      <c r="O45" s="73">
        <v>0</v>
      </c>
      <c r="P45" s="389">
        <v>0</v>
      </c>
      <c r="Q45" s="76">
        <v>1850</v>
      </c>
      <c r="R45" s="388">
        <v>0</v>
      </c>
      <c r="S45" s="73"/>
      <c r="T45" s="388"/>
      <c r="U45" s="73"/>
      <c r="V45" s="388"/>
      <c r="W45" s="73"/>
      <c r="X45" s="388"/>
      <c r="Y45" s="73"/>
      <c r="Z45" s="388"/>
      <c r="AA45" s="73"/>
      <c r="AB45" s="388"/>
      <c r="AC45" s="76">
        <f t="shared" si="0"/>
        <v>1850</v>
      </c>
      <c r="AD45" s="388">
        <f t="shared" si="0"/>
        <v>0</v>
      </c>
    </row>
    <row r="46" spans="1:30" ht="15.6" x14ac:dyDescent="0.3">
      <c r="A46" s="391"/>
      <c r="B46" s="234" t="s">
        <v>42</v>
      </c>
      <c r="C46" s="73" t="s">
        <v>642</v>
      </c>
      <c r="D46" s="74" t="s">
        <v>374</v>
      </c>
      <c r="E46" s="75">
        <v>0</v>
      </c>
      <c r="F46" s="390"/>
      <c r="G46" s="233">
        <v>0</v>
      </c>
      <c r="H46" s="390"/>
      <c r="I46" s="233">
        <v>0</v>
      </c>
      <c r="J46" s="390"/>
      <c r="K46" s="233">
        <v>0</v>
      </c>
      <c r="L46" s="390"/>
      <c r="M46" s="233">
        <v>0</v>
      </c>
      <c r="N46" s="390"/>
      <c r="O46" s="73">
        <v>0</v>
      </c>
      <c r="P46" s="390"/>
      <c r="Q46" s="76">
        <v>2700</v>
      </c>
      <c r="R46" s="388"/>
      <c r="S46" s="73"/>
      <c r="T46" s="388"/>
      <c r="U46" s="73"/>
      <c r="V46" s="388"/>
      <c r="W46" s="73"/>
      <c r="X46" s="388"/>
      <c r="Y46" s="73"/>
      <c r="Z46" s="388"/>
      <c r="AA46" s="73"/>
      <c r="AB46" s="388"/>
      <c r="AC46" s="76">
        <f t="shared" si="0"/>
        <v>2700</v>
      </c>
      <c r="AD46" s="388">
        <f t="shared" si="0"/>
        <v>0</v>
      </c>
    </row>
    <row r="47" spans="1:30" ht="15.6" x14ac:dyDescent="0.3">
      <c r="A47" s="387">
        <v>22</v>
      </c>
      <c r="B47" s="230" t="s">
        <v>42</v>
      </c>
      <c r="C47" s="67" t="s">
        <v>380</v>
      </c>
      <c r="D47" s="68" t="s">
        <v>373</v>
      </c>
      <c r="E47" s="69">
        <v>1200</v>
      </c>
      <c r="F47" s="384">
        <v>0</v>
      </c>
      <c r="G47" s="71">
        <v>1500</v>
      </c>
      <c r="H47" s="384">
        <v>89250</v>
      </c>
      <c r="I47" s="69">
        <v>1650</v>
      </c>
      <c r="J47" s="384">
        <v>95570.5</v>
      </c>
      <c r="K47" s="70">
        <v>1900</v>
      </c>
      <c r="L47" s="385">
        <v>155925</v>
      </c>
      <c r="M47" s="70">
        <v>1979</v>
      </c>
      <c r="N47" s="385">
        <v>0</v>
      </c>
      <c r="O47" s="67">
        <v>2100</v>
      </c>
      <c r="P47" s="385">
        <v>133475</v>
      </c>
      <c r="Q47" s="71">
        <v>2290</v>
      </c>
      <c r="R47" s="384">
        <v>285004</v>
      </c>
      <c r="S47" s="67"/>
      <c r="T47" s="384"/>
      <c r="U47" s="67"/>
      <c r="V47" s="384"/>
      <c r="W47" s="67"/>
      <c r="X47" s="384"/>
      <c r="Y47" s="67"/>
      <c r="Z47" s="384"/>
      <c r="AA47" s="67"/>
      <c r="AB47" s="384"/>
      <c r="AC47" s="71">
        <f t="shared" si="0"/>
        <v>12619</v>
      </c>
      <c r="AD47" s="384">
        <f t="shared" si="0"/>
        <v>759224.5</v>
      </c>
    </row>
    <row r="48" spans="1:30" ht="15.6" x14ac:dyDescent="0.3">
      <c r="A48" s="387"/>
      <c r="B48" s="231" t="s">
        <v>42</v>
      </c>
      <c r="C48" s="67" t="s">
        <v>380</v>
      </c>
      <c r="D48" s="68" t="s">
        <v>374</v>
      </c>
      <c r="E48" s="69">
        <v>2537</v>
      </c>
      <c r="F48" s="384"/>
      <c r="G48" s="71">
        <v>3000</v>
      </c>
      <c r="H48" s="384"/>
      <c r="I48" s="69">
        <v>3300</v>
      </c>
      <c r="J48" s="384"/>
      <c r="K48" s="70">
        <v>3325</v>
      </c>
      <c r="L48" s="386"/>
      <c r="M48" s="70">
        <v>3406</v>
      </c>
      <c r="N48" s="386"/>
      <c r="O48" s="67">
        <v>3675</v>
      </c>
      <c r="P48" s="386"/>
      <c r="Q48" s="71">
        <v>4309</v>
      </c>
      <c r="R48" s="384"/>
      <c r="S48" s="67"/>
      <c r="T48" s="384"/>
      <c r="U48" s="67"/>
      <c r="V48" s="384"/>
      <c r="W48" s="67"/>
      <c r="X48" s="384"/>
      <c r="Y48" s="67"/>
      <c r="Z48" s="384"/>
      <c r="AA48" s="67"/>
      <c r="AB48" s="384"/>
      <c r="AC48" s="71">
        <f t="shared" si="0"/>
        <v>23552</v>
      </c>
      <c r="AD48" s="384">
        <f t="shared" si="0"/>
        <v>0</v>
      </c>
    </row>
    <row r="49" spans="1:30" ht="15.6" x14ac:dyDescent="0.3">
      <c r="A49" s="387">
        <v>23</v>
      </c>
      <c r="B49" s="230" t="s">
        <v>42</v>
      </c>
      <c r="C49" s="67" t="s">
        <v>50</v>
      </c>
      <c r="D49" s="68" t="s">
        <v>373</v>
      </c>
      <c r="E49" s="69">
        <v>2400</v>
      </c>
      <c r="F49" s="384">
        <v>0</v>
      </c>
      <c r="G49" s="71">
        <v>3000</v>
      </c>
      <c r="H49" s="384">
        <f>89850+83100</f>
        <v>172950</v>
      </c>
      <c r="I49" s="69">
        <v>3300</v>
      </c>
      <c r="J49" s="384">
        <v>207750</v>
      </c>
      <c r="K49" s="70">
        <v>2700</v>
      </c>
      <c r="L49" s="385">
        <v>292666</v>
      </c>
      <c r="M49" s="70">
        <v>2965</v>
      </c>
      <c r="N49" s="385">
        <v>239454</v>
      </c>
      <c r="O49" s="67">
        <v>3150</v>
      </c>
      <c r="P49" s="385">
        <v>264655.5</v>
      </c>
      <c r="Q49" s="71">
        <v>3450</v>
      </c>
      <c r="R49" s="384">
        <v>279363</v>
      </c>
      <c r="S49" s="67"/>
      <c r="T49" s="384"/>
      <c r="U49" s="67"/>
      <c r="V49" s="384"/>
      <c r="W49" s="67"/>
      <c r="X49" s="384"/>
      <c r="Y49" s="67"/>
      <c r="Z49" s="384"/>
      <c r="AA49" s="67"/>
      <c r="AB49" s="384"/>
      <c r="AC49" s="71">
        <f t="shared" si="0"/>
        <v>20965</v>
      </c>
      <c r="AD49" s="384">
        <f t="shared" si="0"/>
        <v>1456838.5</v>
      </c>
    </row>
    <row r="50" spans="1:30" ht="15.6" x14ac:dyDescent="0.3">
      <c r="A50" s="387"/>
      <c r="B50" s="231" t="s">
        <v>42</v>
      </c>
      <c r="C50" s="67" t="s">
        <v>50</v>
      </c>
      <c r="D50" s="68" t="s">
        <v>374</v>
      </c>
      <c r="E50" s="69">
        <v>4250</v>
      </c>
      <c r="F50" s="384"/>
      <c r="G50" s="71">
        <v>5000</v>
      </c>
      <c r="H50" s="384"/>
      <c r="I50" s="69">
        <v>5500</v>
      </c>
      <c r="J50" s="384"/>
      <c r="K50" s="70">
        <v>4500</v>
      </c>
      <c r="L50" s="386"/>
      <c r="M50" s="70">
        <v>4991</v>
      </c>
      <c r="N50" s="386"/>
      <c r="O50" s="67">
        <v>5250</v>
      </c>
      <c r="P50" s="386"/>
      <c r="Q50" s="71">
        <v>5455</v>
      </c>
      <c r="R50" s="384"/>
      <c r="S50" s="67"/>
      <c r="T50" s="384"/>
      <c r="U50" s="67"/>
      <c r="V50" s="384"/>
      <c r="W50" s="67"/>
      <c r="X50" s="384"/>
      <c r="Y50" s="67"/>
      <c r="Z50" s="384"/>
      <c r="AA50" s="67"/>
      <c r="AB50" s="384"/>
      <c r="AC50" s="71">
        <f t="shared" si="0"/>
        <v>34946</v>
      </c>
      <c r="AD50" s="384">
        <f t="shared" si="0"/>
        <v>0</v>
      </c>
    </row>
    <row r="51" spans="1:30" ht="15.6" x14ac:dyDescent="0.3">
      <c r="A51" s="387">
        <v>24</v>
      </c>
      <c r="B51" s="230" t="s">
        <v>51</v>
      </c>
      <c r="C51" s="67" t="s">
        <v>643</v>
      </c>
      <c r="D51" s="68" t="s">
        <v>373</v>
      </c>
      <c r="E51" s="69">
        <v>2700</v>
      </c>
      <c r="F51" s="384">
        <v>0</v>
      </c>
      <c r="G51" s="71">
        <v>3000</v>
      </c>
      <c r="H51" s="384">
        <f>8621.5+74082+68972</f>
        <v>151675.5</v>
      </c>
      <c r="I51" s="69">
        <v>3300</v>
      </c>
      <c r="J51" s="384">
        <v>137944</v>
      </c>
      <c r="K51" s="70">
        <v>1500</v>
      </c>
      <c r="L51" s="385">
        <v>253800</v>
      </c>
      <c r="M51" s="70">
        <v>0</v>
      </c>
      <c r="N51" s="385">
        <v>0</v>
      </c>
      <c r="O51" s="67">
        <v>0</v>
      </c>
      <c r="P51" s="385">
        <v>69361.5</v>
      </c>
      <c r="Q51" s="71">
        <v>0</v>
      </c>
      <c r="R51" s="384">
        <v>0</v>
      </c>
      <c r="S51" s="67"/>
      <c r="T51" s="384"/>
      <c r="U51" s="67"/>
      <c r="V51" s="384"/>
      <c r="W51" s="67"/>
      <c r="X51" s="384"/>
      <c r="Y51" s="67"/>
      <c r="Z51" s="384"/>
      <c r="AA51" s="67"/>
      <c r="AB51" s="384"/>
      <c r="AC51" s="71">
        <f t="shared" si="0"/>
        <v>10500</v>
      </c>
      <c r="AD51" s="384">
        <f t="shared" si="0"/>
        <v>612781</v>
      </c>
    </row>
    <row r="52" spans="1:30" ht="15.6" x14ac:dyDescent="0.3">
      <c r="A52" s="387"/>
      <c r="B52" s="231" t="s">
        <v>51</v>
      </c>
      <c r="C52" s="67" t="s">
        <v>643</v>
      </c>
      <c r="D52" s="68" t="s">
        <v>374</v>
      </c>
      <c r="E52" s="69">
        <v>3800</v>
      </c>
      <c r="F52" s="384"/>
      <c r="G52" s="71">
        <v>4000</v>
      </c>
      <c r="H52" s="384"/>
      <c r="I52" s="69">
        <v>4400</v>
      </c>
      <c r="J52" s="384"/>
      <c r="K52" s="70">
        <v>2000</v>
      </c>
      <c r="L52" s="386"/>
      <c r="M52" s="70">
        <v>0</v>
      </c>
      <c r="N52" s="386"/>
      <c r="O52" s="67">
        <v>0</v>
      </c>
      <c r="P52" s="386"/>
      <c r="Q52" s="71">
        <v>0</v>
      </c>
      <c r="R52" s="384"/>
      <c r="S52" s="67"/>
      <c r="T52" s="384"/>
      <c r="U52" s="67"/>
      <c r="V52" s="384"/>
      <c r="W52" s="67"/>
      <c r="X52" s="384"/>
      <c r="Y52" s="67"/>
      <c r="Z52" s="384"/>
      <c r="AA52" s="67"/>
      <c r="AB52" s="384"/>
      <c r="AC52" s="71">
        <f t="shared" si="0"/>
        <v>14200</v>
      </c>
      <c r="AD52" s="384">
        <f t="shared" si="0"/>
        <v>0</v>
      </c>
    </row>
    <row r="53" spans="1:30" ht="15.6" x14ac:dyDescent="0.3">
      <c r="A53" s="387">
        <v>25</v>
      </c>
      <c r="B53" s="230" t="s">
        <v>51</v>
      </c>
      <c r="C53" s="67" t="s">
        <v>381</v>
      </c>
      <c r="D53" s="68" t="s">
        <v>373</v>
      </c>
      <c r="E53" s="69">
        <v>0</v>
      </c>
      <c r="F53" s="384">
        <v>0</v>
      </c>
      <c r="G53" s="71">
        <v>0</v>
      </c>
      <c r="H53" s="384">
        <v>0</v>
      </c>
      <c r="I53" s="69">
        <v>0</v>
      </c>
      <c r="J53" s="384">
        <v>0</v>
      </c>
      <c r="K53" s="70">
        <v>1350</v>
      </c>
      <c r="L53" s="385">
        <v>0</v>
      </c>
      <c r="M53" s="70">
        <v>3000</v>
      </c>
      <c r="N53" s="385">
        <v>194291.5</v>
      </c>
      <c r="O53" s="67">
        <v>3000</v>
      </c>
      <c r="P53" s="385">
        <v>153508.5</v>
      </c>
      <c r="Q53" s="71">
        <v>3450</v>
      </c>
      <c r="R53" s="384">
        <v>222870</v>
      </c>
      <c r="S53" s="67"/>
      <c r="T53" s="384"/>
      <c r="U53" s="67"/>
      <c r="V53" s="384"/>
      <c r="W53" s="67"/>
      <c r="X53" s="384"/>
      <c r="Y53" s="67"/>
      <c r="Z53" s="384"/>
      <c r="AA53" s="67"/>
      <c r="AB53" s="384"/>
      <c r="AC53" s="71">
        <f t="shared" si="0"/>
        <v>10800</v>
      </c>
      <c r="AD53" s="384">
        <f t="shared" si="0"/>
        <v>570670</v>
      </c>
    </row>
    <row r="54" spans="1:30" ht="15.6" x14ac:dyDescent="0.3">
      <c r="A54" s="387"/>
      <c r="B54" s="231" t="s">
        <v>51</v>
      </c>
      <c r="C54" s="67" t="s">
        <v>382</v>
      </c>
      <c r="D54" s="68" t="s">
        <v>374</v>
      </c>
      <c r="E54" s="69">
        <v>0</v>
      </c>
      <c r="F54" s="384"/>
      <c r="G54" s="71">
        <v>0</v>
      </c>
      <c r="H54" s="384"/>
      <c r="I54" s="69">
        <v>0</v>
      </c>
      <c r="J54" s="384"/>
      <c r="K54" s="70">
        <v>1800</v>
      </c>
      <c r="L54" s="386"/>
      <c r="M54" s="70">
        <v>4000</v>
      </c>
      <c r="N54" s="386"/>
      <c r="O54" s="67">
        <v>4000</v>
      </c>
      <c r="P54" s="386"/>
      <c r="Q54" s="71">
        <v>4600</v>
      </c>
      <c r="R54" s="384"/>
      <c r="S54" s="67"/>
      <c r="T54" s="384"/>
      <c r="U54" s="67"/>
      <c r="V54" s="384"/>
      <c r="W54" s="67"/>
      <c r="X54" s="384"/>
      <c r="Y54" s="67"/>
      <c r="Z54" s="384"/>
      <c r="AA54" s="67"/>
      <c r="AB54" s="384"/>
      <c r="AC54" s="71">
        <f t="shared" si="0"/>
        <v>14400</v>
      </c>
      <c r="AD54" s="384">
        <f t="shared" si="0"/>
        <v>0</v>
      </c>
    </row>
    <row r="55" spans="1:30" ht="15.6" x14ac:dyDescent="0.3">
      <c r="A55" s="387">
        <v>26</v>
      </c>
      <c r="B55" s="230" t="s">
        <v>51</v>
      </c>
      <c r="C55" s="67" t="s">
        <v>57</v>
      </c>
      <c r="D55" s="68" t="s">
        <v>373</v>
      </c>
      <c r="E55" s="69">
        <v>1800</v>
      </c>
      <c r="F55" s="384">
        <v>0</v>
      </c>
      <c r="G55" s="71">
        <v>2000</v>
      </c>
      <c r="H55" s="384">
        <f>6812.25+79406</f>
        <v>86218.25</v>
      </c>
      <c r="I55" s="69">
        <v>2200</v>
      </c>
      <c r="J55" s="384">
        <v>74934.75</v>
      </c>
      <c r="K55" s="70">
        <v>1900</v>
      </c>
      <c r="L55" s="385">
        <v>268260</v>
      </c>
      <c r="M55" s="70">
        <v>1700</v>
      </c>
      <c r="N55" s="385">
        <v>140837.5</v>
      </c>
      <c r="O55" s="67">
        <v>2100</v>
      </c>
      <c r="P55" s="385">
        <v>126012.5</v>
      </c>
      <c r="Q55" s="71">
        <v>2300</v>
      </c>
      <c r="R55" s="384">
        <v>155662.5</v>
      </c>
      <c r="S55" s="67"/>
      <c r="T55" s="384"/>
      <c r="U55" s="67"/>
      <c r="V55" s="384"/>
      <c r="W55" s="67"/>
      <c r="X55" s="384"/>
      <c r="Y55" s="67"/>
      <c r="Z55" s="384"/>
      <c r="AA55" s="67"/>
      <c r="AB55" s="384"/>
      <c r="AC55" s="71">
        <f t="shared" si="0"/>
        <v>14000</v>
      </c>
      <c r="AD55" s="384">
        <f t="shared" si="0"/>
        <v>851925.5</v>
      </c>
    </row>
    <row r="56" spans="1:30" ht="15.6" x14ac:dyDescent="0.3">
      <c r="A56" s="387"/>
      <c r="B56" s="231" t="s">
        <v>51</v>
      </c>
      <c r="C56" s="67" t="s">
        <v>57</v>
      </c>
      <c r="D56" s="68" t="s">
        <v>374</v>
      </c>
      <c r="E56" s="69">
        <v>3325</v>
      </c>
      <c r="F56" s="384"/>
      <c r="G56" s="71">
        <v>3500</v>
      </c>
      <c r="H56" s="384"/>
      <c r="I56" s="69">
        <v>3850</v>
      </c>
      <c r="J56" s="384"/>
      <c r="K56" s="70">
        <v>3325</v>
      </c>
      <c r="L56" s="386"/>
      <c r="M56" s="70">
        <v>2975</v>
      </c>
      <c r="N56" s="386"/>
      <c r="O56" s="67">
        <v>3675</v>
      </c>
      <c r="P56" s="386"/>
      <c r="Q56" s="71">
        <v>4025</v>
      </c>
      <c r="R56" s="384"/>
      <c r="S56" s="67"/>
      <c r="T56" s="384"/>
      <c r="U56" s="67"/>
      <c r="V56" s="384"/>
      <c r="W56" s="67"/>
      <c r="X56" s="384"/>
      <c r="Y56" s="67"/>
      <c r="Z56" s="384"/>
      <c r="AA56" s="67"/>
      <c r="AB56" s="384"/>
      <c r="AC56" s="71">
        <f t="shared" si="0"/>
        <v>24675</v>
      </c>
      <c r="AD56" s="384">
        <f t="shared" si="0"/>
        <v>0</v>
      </c>
    </row>
    <row r="57" spans="1:30" ht="15.6" x14ac:dyDescent="0.3">
      <c r="A57" s="387">
        <v>27</v>
      </c>
      <c r="B57" s="230" t="s">
        <v>51</v>
      </c>
      <c r="C57" s="67" t="s">
        <v>383</v>
      </c>
      <c r="D57" s="68" t="s">
        <v>373</v>
      </c>
      <c r="E57" s="69">
        <v>1800</v>
      </c>
      <c r="F57" s="384">
        <v>0</v>
      </c>
      <c r="G57" s="71">
        <v>2000</v>
      </c>
      <c r="H57" s="384">
        <f>84944+78556.5</f>
        <v>163500.5</v>
      </c>
      <c r="I57" s="69">
        <v>2200</v>
      </c>
      <c r="J57" s="384">
        <v>130927.5</v>
      </c>
      <c r="K57" s="70">
        <v>1900</v>
      </c>
      <c r="L57" s="385">
        <v>218700</v>
      </c>
      <c r="M57" s="70">
        <v>2000</v>
      </c>
      <c r="N57" s="385">
        <v>153900</v>
      </c>
      <c r="O57" s="67">
        <v>2100</v>
      </c>
      <c r="P57" s="385">
        <v>162000</v>
      </c>
      <c r="Q57" s="71">
        <v>2300</v>
      </c>
      <c r="R57" s="384">
        <v>170100</v>
      </c>
      <c r="S57" s="67"/>
      <c r="T57" s="384"/>
      <c r="U57" s="67"/>
      <c r="V57" s="384"/>
      <c r="W57" s="67"/>
      <c r="X57" s="384"/>
      <c r="Y57" s="67"/>
      <c r="Z57" s="384"/>
      <c r="AA57" s="67"/>
      <c r="AB57" s="384"/>
      <c r="AC57" s="71">
        <f t="shared" si="0"/>
        <v>14300</v>
      </c>
      <c r="AD57" s="384">
        <f t="shared" si="0"/>
        <v>999128</v>
      </c>
    </row>
    <row r="58" spans="1:30" ht="15.6" x14ac:dyDescent="0.3">
      <c r="A58" s="387"/>
      <c r="B58" s="231" t="s">
        <v>51</v>
      </c>
      <c r="C58" s="67" t="s">
        <v>383</v>
      </c>
      <c r="D58" s="68" t="s">
        <v>374</v>
      </c>
      <c r="E58" s="69">
        <v>4750</v>
      </c>
      <c r="F58" s="384"/>
      <c r="G58" s="71">
        <v>4850</v>
      </c>
      <c r="H58" s="384"/>
      <c r="I58" s="69">
        <v>4400</v>
      </c>
      <c r="J58" s="384"/>
      <c r="K58" s="70">
        <v>3800</v>
      </c>
      <c r="L58" s="386"/>
      <c r="M58" s="70">
        <v>4000</v>
      </c>
      <c r="N58" s="386"/>
      <c r="O58" s="67">
        <v>4200</v>
      </c>
      <c r="P58" s="386"/>
      <c r="Q58" s="71">
        <v>4600</v>
      </c>
      <c r="R58" s="384"/>
      <c r="S58" s="67"/>
      <c r="T58" s="384"/>
      <c r="U58" s="67"/>
      <c r="V58" s="384"/>
      <c r="W58" s="67"/>
      <c r="X58" s="384"/>
      <c r="Y58" s="67"/>
      <c r="Z58" s="384"/>
      <c r="AA58" s="67"/>
      <c r="AB58" s="384"/>
      <c r="AC58" s="71">
        <f t="shared" si="0"/>
        <v>30600</v>
      </c>
      <c r="AD58" s="384">
        <f t="shared" si="0"/>
        <v>0</v>
      </c>
    </row>
    <row r="59" spans="1:30" ht="15.6" x14ac:dyDescent="0.3">
      <c r="A59" s="387">
        <v>28</v>
      </c>
      <c r="B59" s="230" t="s">
        <v>51</v>
      </c>
      <c r="C59" s="67" t="s">
        <v>384</v>
      </c>
      <c r="D59" s="68" t="s">
        <v>373</v>
      </c>
      <c r="E59" s="69">
        <v>2160</v>
      </c>
      <c r="F59" s="384">
        <v>0</v>
      </c>
      <c r="G59" s="71">
        <v>3000</v>
      </c>
      <c r="H59" s="384">
        <f>89157.8+82770.3</f>
        <v>171928.1</v>
      </c>
      <c r="I59" s="69">
        <v>3300</v>
      </c>
      <c r="J59" s="384">
        <v>91966.999999999971</v>
      </c>
      <c r="K59" s="70">
        <v>2850</v>
      </c>
      <c r="L59" s="385">
        <v>253799.99999999997</v>
      </c>
      <c r="M59" s="70">
        <v>3000</v>
      </c>
      <c r="N59" s="385">
        <v>178600</v>
      </c>
      <c r="O59" s="67">
        <v>3000</v>
      </c>
      <c r="P59" s="385">
        <v>188000</v>
      </c>
      <c r="Q59" s="71">
        <v>3450</v>
      </c>
      <c r="R59" s="384">
        <v>188000.00000000012</v>
      </c>
      <c r="S59" s="67"/>
      <c r="T59" s="384"/>
      <c r="U59" s="67"/>
      <c r="V59" s="384"/>
      <c r="W59" s="67"/>
      <c r="X59" s="384"/>
      <c r="Y59" s="67"/>
      <c r="Z59" s="384"/>
      <c r="AA59" s="67"/>
      <c r="AB59" s="384"/>
      <c r="AC59" s="71">
        <f t="shared" si="0"/>
        <v>20760</v>
      </c>
      <c r="AD59" s="384">
        <f t="shared" si="0"/>
        <v>1072295.1000000001</v>
      </c>
    </row>
    <row r="60" spans="1:30" ht="15.6" x14ac:dyDescent="0.3">
      <c r="A60" s="387"/>
      <c r="B60" s="231" t="s">
        <v>51</v>
      </c>
      <c r="C60" s="67" t="s">
        <v>384</v>
      </c>
      <c r="D60" s="68" t="s">
        <v>374</v>
      </c>
      <c r="E60" s="69">
        <v>4750</v>
      </c>
      <c r="F60" s="384"/>
      <c r="G60" s="71">
        <v>4750</v>
      </c>
      <c r="H60" s="384"/>
      <c r="I60" s="69">
        <v>4400</v>
      </c>
      <c r="J60" s="384"/>
      <c r="K60" s="70">
        <v>3800</v>
      </c>
      <c r="L60" s="386"/>
      <c r="M60" s="70">
        <v>4000</v>
      </c>
      <c r="N60" s="386"/>
      <c r="O60" s="67">
        <v>4000</v>
      </c>
      <c r="P60" s="386"/>
      <c r="Q60" s="71">
        <v>4600</v>
      </c>
      <c r="R60" s="384"/>
      <c r="S60" s="67"/>
      <c r="T60" s="384"/>
      <c r="U60" s="67"/>
      <c r="V60" s="384"/>
      <c r="W60" s="67"/>
      <c r="X60" s="384"/>
      <c r="Y60" s="67"/>
      <c r="Z60" s="384"/>
      <c r="AA60" s="67"/>
      <c r="AB60" s="384"/>
      <c r="AC60" s="71">
        <f t="shared" si="0"/>
        <v>30300</v>
      </c>
      <c r="AD60" s="384">
        <f t="shared" si="0"/>
        <v>0</v>
      </c>
    </row>
    <row r="61" spans="1:30" ht="15.6" x14ac:dyDescent="0.3">
      <c r="A61" s="387">
        <v>29</v>
      </c>
      <c r="B61" s="230" t="s">
        <v>51</v>
      </c>
      <c r="C61" s="67" t="s">
        <v>54</v>
      </c>
      <c r="D61" s="68" t="s">
        <v>373</v>
      </c>
      <c r="E61" s="69">
        <v>0</v>
      </c>
      <c r="F61" s="384">
        <v>0</v>
      </c>
      <c r="G61" s="71">
        <v>0</v>
      </c>
      <c r="H61" s="384">
        <v>0</v>
      </c>
      <c r="I61" s="69">
        <v>0</v>
      </c>
      <c r="J61" s="384">
        <v>0</v>
      </c>
      <c r="K61" s="70">
        <v>600</v>
      </c>
      <c r="L61" s="385">
        <v>0</v>
      </c>
      <c r="M61" s="70">
        <v>3000</v>
      </c>
      <c r="N61" s="385">
        <v>44574</v>
      </c>
      <c r="O61" s="67">
        <v>3150</v>
      </c>
      <c r="P61" s="385">
        <v>222870</v>
      </c>
      <c r="Q61" s="71">
        <v>3450</v>
      </c>
      <c r="R61" s="384">
        <v>234013.5</v>
      </c>
      <c r="S61" s="67"/>
      <c r="T61" s="384"/>
      <c r="U61" s="67"/>
      <c r="V61" s="384"/>
      <c r="W61" s="67"/>
      <c r="X61" s="384"/>
      <c r="Y61" s="67"/>
      <c r="Z61" s="384"/>
      <c r="AA61" s="67"/>
      <c r="AB61" s="384"/>
      <c r="AC61" s="71">
        <f t="shared" si="0"/>
        <v>10200</v>
      </c>
      <c r="AD61" s="384">
        <f t="shared" si="0"/>
        <v>501457.5</v>
      </c>
    </row>
    <row r="62" spans="1:30" ht="15.6" x14ac:dyDescent="0.3">
      <c r="A62" s="387"/>
      <c r="B62" s="231" t="s">
        <v>51</v>
      </c>
      <c r="C62" s="67" t="s">
        <v>54</v>
      </c>
      <c r="D62" s="68" t="s">
        <v>374</v>
      </c>
      <c r="E62" s="69">
        <v>0</v>
      </c>
      <c r="F62" s="384"/>
      <c r="G62" s="71">
        <v>0</v>
      </c>
      <c r="H62" s="384"/>
      <c r="I62" s="69">
        <v>0</v>
      </c>
      <c r="J62" s="384"/>
      <c r="K62" s="70">
        <v>800</v>
      </c>
      <c r="L62" s="386"/>
      <c r="M62" s="70">
        <v>4000</v>
      </c>
      <c r="N62" s="386"/>
      <c r="O62" s="67">
        <v>4200</v>
      </c>
      <c r="P62" s="386"/>
      <c r="Q62" s="71">
        <v>4600</v>
      </c>
      <c r="R62" s="384"/>
      <c r="S62" s="67"/>
      <c r="T62" s="384"/>
      <c r="U62" s="67"/>
      <c r="V62" s="384"/>
      <c r="W62" s="67"/>
      <c r="X62" s="384"/>
      <c r="Y62" s="67"/>
      <c r="Z62" s="384"/>
      <c r="AA62" s="67"/>
      <c r="AB62" s="384"/>
      <c r="AC62" s="71">
        <f t="shared" si="0"/>
        <v>13600</v>
      </c>
      <c r="AD62" s="384">
        <f t="shared" si="0"/>
        <v>0</v>
      </c>
    </row>
    <row r="63" spans="1:30" ht="15.6" x14ac:dyDescent="0.3">
      <c r="A63" s="387">
        <v>30</v>
      </c>
      <c r="B63" s="230" t="s">
        <v>67</v>
      </c>
      <c r="C63" s="67" t="s">
        <v>68</v>
      </c>
      <c r="D63" s="68" t="s">
        <v>373</v>
      </c>
      <c r="E63" s="69">
        <v>1800</v>
      </c>
      <c r="F63" s="384">
        <v>0</v>
      </c>
      <c r="G63" s="71">
        <v>2000</v>
      </c>
      <c r="H63" s="384">
        <v>0</v>
      </c>
      <c r="I63" s="69">
        <v>2200</v>
      </c>
      <c r="J63" s="384">
        <v>275613.25</v>
      </c>
      <c r="K63" s="70">
        <v>1894</v>
      </c>
      <c r="L63" s="385">
        <v>171436</v>
      </c>
      <c r="M63" s="70">
        <v>2000</v>
      </c>
      <c r="N63" s="385">
        <v>0</v>
      </c>
      <c r="O63" s="67">
        <v>2100</v>
      </c>
      <c r="P63" s="385">
        <v>261150</v>
      </c>
      <c r="Q63" s="71">
        <v>2300</v>
      </c>
      <c r="R63" s="384">
        <v>140336</v>
      </c>
      <c r="S63" s="67"/>
      <c r="T63" s="384"/>
      <c r="U63" s="67"/>
      <c r="V63" s="384"/>
      <c r="W63" s="67"/>
      <c r="X63" s="384"/>
      <c r="Y63" s="67"/>
      <c r="Z63" s="384"/>
      <c r="AA63" s="67"/>
      <c r="AB63" s="384"/>
      <c r="AC63" s="71">
        <f t="shared" si="0"/>
        <v>14294</v>
      </c>
      <c r="AD63" s="384">
        <f t="shared" si="0"/>
        <v>848535.25</v>
      </c>
    </row>
    <row r="64" spans="1:30" ht="15.6" x14ac:dyDescent="0.3">
      <c r="A64" s="387"/>
      <c r="B64" s="231" t="s">
        <v>67</v>
      </c>
      <c r="C64" s="67" t="s">
        <v>68</v>
      </c>
      <c r="D64" s="68" t="s">
        <v>374</v>
      </c>
      <c r="E64" s="69">
        <v>2797</v>
      </c>
      <c r="F64" s="384"/>
      <c r="G64" s="71">
        <v>2778</v>
      </c>
      <c r="H64" s="384"/>
      <c r="I64" s="69">
        <v>3300</v>
      </c>
      <c r="J64" s="384"/>
      <c r="K64" s="70">
        <v>2850</v>
      </c>
      <c r="L64" s="386"/>
      <c r="M64" s="70">
        <v>3000</v>
      </c>
      <c r="N64" s="386"/>
      <c r="O64" s="67">
        <v>3137</v>
      </c>
      <c r="P64" s="386"/>
      <c r="Q64" s="71">
        <v>3450</v>
      </c>
      <c r="R64" s="384"/>
      <c r="S64" s="67"/>
      <c r="T64" s="384"/>
      <c r="U64" s="67"/>
      <c r="V64" s="384"/>
      <c r="W64" s="67"/>
      <c r="X64" s="384"/>
      <c r="Y64" s="67"/>
      <c r="Z64" s="384"/>
      <c r="AA64" s="67"/>
      <c r="AB64" s="384"/>
      <c r="AC64" s="71">
        <f t="shared" si="0"/>
        <v>21312</v>
      </c>
      <c r="AD64" s="384">
        <f t="shared" si="0"/>
        <v>0</v>
      </c>
    </row>
    <row r="65" spans="1:30" ht="15.6" x14ac:dyDescent="0.3">
      <c r="A65" s="391">
        <v>31</v>
      </c>
      <c r="B65" s="232" t="s">
        <v>67</v>
      </c>
      <c r="C65" s="73" t="s">
        <v>67</v>
      </c>
      <c r="D65" s="74" t="s">
        <v>373</v>
      </c>
      <c r="E65" s="75">
        <v>0</v>
      </c>
      <c r="F65" s="389">
        <v>0</v>
      </c>
      <c r="G65" s="233">
        <v>0</v>
      </c>
      <c r="H65" s="389">
        <v>0</v>
      </c>
      <c r="I65" s="233">
        <v>0</v>
      </c>
      <c r="J65" s="389">
        <v>0</v>
      </c>
      <c r="K65" s="233">
        <v>0</v>
      </c>
      <c r="L65" s="389">
        <v>0</v>
      </c>
      <c r="M65" s="233">
        <v>0</v>
      </c>
      <c r="N65" s="389">
        <v>0</v>
      </c>
      <c r="O65" s="73">
        <v>0</v>
      </c>
      <c r="P65" s="389">
        <v>0</v>
      </c>
      <c r="Q65" s="76">
        <v>2547</v>
      </c>
      <c r="R65" s="388">
        <v>0</v>
      </c>
      <c r="S65" s="73"/>
      <c r="T65" s="388"/>
      <c r="U65" s="73"/>
      <c r="V65" s="388"/>
      <c r="W65" s="73"/>
      <c r="X65" s="388"/>
      <c r="Y65" s="73"/>
      <c r="Z65" s="388"/>
      <c r="AA65" s="73"/>
      <c r="AB65" s="388"/>
      <c r="AC65" s="76">
        <f>AA65+Y65+W65+U65+S65+Q65+O65+K65+M65+I65+G65+E65</f>
        <v>2547</v>
      </c>
      <c r="AD65" s="388">
        <f>AB65+Z65+X65+V65+T65+R65+P65+L65+N65+J65+H65+F65</f>
        <v>0</v>
      </c>
    </row>
    <row r="66" spans="1:30" ht="15.6" x14ac:dyDescent="0.3">
      <c r="A66" s="391"/>
      <c r="B66" s="234" t="s">
        <v>67</v>
      </c>
      <c r="C66" s="73" t="s">
        <v>67</v>
      </c>
      <c r="D66" s="74" t="s">
        <v>374</v>
      </c>
      <c r="E66" s="75">
        <v>0</v>
      </c>
      <c r="F66" s="390"/>
      <c r="G66" s="233">
        <v>0</v>
      </c>
      <c r="H66" s="390"/>
      <c r="I66" s="233">
        <v>0</v>
      </c>
      <c r="J66" s="390"/>
      <c r="K66" s="233">
        <v>0</v>
      </c>
      <c r="L66" s="390"/>
      <c r="M66" s="233">
        <v>0</v>
      </c>
      <c r="N66" s="390"/>
      <c r="O66" s="73">
        <v>0</v>
      </c>
      <c r="P66" s="390"/>
      <c r="Q66" s="76">
        <v>3400</v>
      </c>
      <c r="R66" s="388"/>
      <c r="S66" s="73"/>
      <c r="T66" s="388"/>
      <c r="U66" s="73"/>
      <c r="V66" s="388"/>
      <c r="W66" s="73"/>
      <c r="X66" s="388"/>
      <c r="Y66" s="73"/>
      <c r="Z66" s="388"/>
      <c r="AA66" s="73"/>
      <c r="AB66" s="388"/>
      <c r="AC66" s="76">
        <f>AA66+Y66+W66+U66+S66+Q66+O66+K66+M66+I66+G66+E66</f>
        <v>3400</v>
      </c>
      <c r="AD66" s="388">
        <f>AB66+Z66+X66+V66+T66+R66+P66+L66+N66+J66+H66+F66</f>
        <v>0</v>
      </c>
    </row>
    <row r="67" spans="1:30" ht="15.6" x14ac:dyDescent="0.3">
      <c r="A67" s="387">
        <v>32</v>
      </c>
      <c r="B67" s="230" t="s">
        <v>67</v>
      </c>
      <c r="C67" s="67" t="s">
        <v>71</v>
      </c>
      <c r="D67" s="68" t="s">
        <v>373</v>
      </c>
      <c r="E67" s="69">
        <v>0</v>
      </c>
      <c r="F67" s="384">
        <v>0</v>
      </c>
      <c r="G67" s="69">
        <v>0</v>
      </c>
      <c r="H67" s="384">
        <v>0</v>
      </c>
      <c r="I67" s="69">
        <v>0</v>
      </c>
      <c r="J67" s="384">
        <v>0</v>
      </c>
      <c r="K67" s="69">
        <v>0</v>
      </c>
      <c r="L67" s="384">
        <v>0</v>
      </c>
      <c r="M67" s="69">
        <v>0</v>
      </c>
      <c r="N67" s="384">
        <v>0</v>
      </c>
      <c r="O67" s="67">
        <v>1400</v>
      </c>
      <c r="P67" s="385">
        <v>0</v>
      </c>
      <c r="Q67" s="71">
        <v>2300</v>
      </c>
      <c r="R67" s="384">
        <v>115812.95</v>
      </c>
      <c r="S67" s="67"/>
      <c r="T67" s="384"/>
      <c r="U67" s="67"/>
      <c r="V67" s="384"/>
      <c r="W67" s="67"/>
      <c r="X67" s="384"/>
      <c r="Y67" s="67"/>
      <c r="Z67" s="384"/>
      <c r="AA67" s="67"/>
      <c r="AB67" s="384"/>
      <c r="AC67" s="71">
        <f t="shared" ref="AC67:AD68" si="1">AA67+Y67+W67+U67+S67+Q67+O67+K67+M67+I67+G67+E67</f>
        <v>3700</v>
      </c>
      <c r="AD67" s="384">
        <f t="shared" si="1"/>
        <v>115812.95</v>
      </c>
    </row>
    <row r="68" spans="1:30" ht="15.6" x14ac:dyDescent="0.3">
      <c r="A68" s="387"/>
      <c r="B68" s="231" t="s">
        <v>67</v>
      </c>
      <c r="C68" s="67" t="s">
        <v>71</v>
      </c>
      <c r="D68" s="68" t="s">
        <v>374</v>
      </c>
      <c r="E68" s="69">
        <v>0</v>
      </c>
      <c r="F68" s="384"/>
      <c r="G68" s="69">
        <v>0</v>
      </c>
      <c r="H68" s="384"/>
      <c r="I68" s="69">
        <v>0</v>
      </c>
      <c r="J68" s="384"/>
      <c r="K68" s="69">
        <v>0</v>
      </c>
      <c r="L68" s="384"/>
      <c r="M68" s="69">
        <v>0</v>
      </c>
      <c r="N68" s="384"/>
      <c r="O68" s="67">
        <v>2091</v>
      </c>
      <c r="P68" s="386"/>
      <c r="Q68" s="71">
        <v>3407</v>
      </c>
      <c r="R68" s="384"/>
      <c r="S68" s="67"/>
      <c r="T68" s="384"/>
      <c r="U68" s="67"/>
      <c r="V68" s="384"/>
      <c r="W68" s="67"/>
      <c r="X68" s="384"/>
      <c r="Y68" s="67"/>
      <c r="Z68" s="384"/>
      <c r="AA68" s="67"/>
      <c r="AB68" s="384"/>
      <c r="AC68" s="71">
        <f t="shared" si="1"/>
        <v>5498</v>
      </c>
      <c r="AD68" s="384">
        <f t="shared" si="1"/>
        <v>0</v>
      </c>
    </row>
    <row r="69" spans="1:30" ht="15.6" x14ac:dyDescent="0.3">
      <c r="A69" s="387">
        <v>33</v>
      </c>
      <c r="B69" s="230" t="s">
        <v>67</v>
      </c>
      <c r="C69" s="67" t="s">
        <v>72</v>
      </c>
      <c r="D69" s="68" t="s">
        <v>373</v>
      </c>
      <c r="E69" s="69">
        <v>2700</v>
      </c>
      <c r="F69" s="384">
        <v>0</v>
      </c>
      <c r="G69" s="71">
        <v>2875</v>
      </c>
      <c r="H69" s="384">
        <v>0</v>
      </c>
      <c r="I69" s="69">
        <v>2750</v>
      </c>
      <c r="J69" s="384">
        <v>389046.5</v>
      </c>
      <c r="K69" s="70">
        <v>2375</v>
      </c>
      <c r="L69" s="385">
        <v>234315</v>
      </c>
      <c r="M69" s="70">
        <v>2499</v>
      </c>
      <c r="N69" s="385">
        <v>0</v>
      </c>
      <c r="O69" s="67">
        <v>2625</v>
      </c>
      <c r="P69" s="385">
        <v>340000</v>
      </c>
      <c r="Q69" s="71">
        <v>2875</v>
      </c>
      <c r="R69" s="384">
        <v>183085</v>
      </c>
      <c r="S69" s="67"/>
      <c r="T69" s="384"/>
      <c r="U69" s="67"/>
      <c r="V69" s="384"/>
      <c r="W69" s="67"/>
      <c r="X69" s="384"/>
      <c r="Y69" s="67"/>
      <c r="Z69" s="384"/>
      <c r="AA69" s="67"/>
      <c r="AB69" s="384"/>
      <c r="AC69" s="71">
        <f t="shared" si="0"/>
        <v>18699</v>
      </c>
      <c r="AD69" s="384">
        <f t="shared" si="0"/>
        <v>1146446.5</v>
      </c>
    </row>
    <row r="70" spans="1:30" ht="15.6" x14ac:dyDescent="0.3">
      <c r="A70" s="387"/>
      <c r="B70" s="231" t="s">
        <v>67</v>
      </c>
      <c r="C70" s="67" t="s">
        <v>72</v>
      </c>
      <c r="D70" s="68" t="s">
        <v>374</v>
      </c>
      <c r="E70" s="69">
        <v>3800</v>
      </c>
      <c r="F70" s="384"/>
      <c r="G70" s="71">
        <v>4000</v>
      </c>
      <c r="H70" s="384"/>
      <c r="I70" s="69">
        <v>4400</v>
      </c>
      <c r="J70" s="384"/>
      <c r="K70" s="70">
        <v>3800</v>
      </c>
      <c r="L70" s="386"/>
      <c r="M70" s="70">
        <v>4000</v>
      </c>
      <c r="N70" s="386"/>
      <c r="O70" s="67">
        <v>4195</v>
      </c>
      <c r="P70" s="386"/>
      <c r="Q70" s="71">
        <v>4600</v>
      </c>
      <c r="R70" s="384"/>
      <c r="S70" s="67"/>
      <c r="T70" s="384"/>
      <c r="U70" s="67"/>
      <c r="V70" s="384"/>
      <c r="W70" s="67"/>
      <c r="X70" s="384"/>
      <c r="Y70" s="67"/>
      <c r="Z70" s="384"/>
      <c r="AA70" s="67"/>
      <c r="AB70" s="384"/>
      <c r="AC70" s="71">
        <f t="shared" si="0"/>
        <v>28795</v>
      </c>
      <c r="AD70" s="384">
        <f t="shared" si="0"/>
        <v>0</v>
      </c>
    </row>
    <row r="71" spans="1:30" ht="15.6" x14ac:dyDescent="0.3">
      <c r="A71" s="387">
        <v>34</v>
      </c>
      <c r="B71" s="230" t="s">
        <v>67</v>
      </c>
      <c r="C71" s="67" t="s">
        <v>73</v>
      </c>
      <c r="D71" s="68" t="s">
        <v>373</v>
      </c>
      <c r="E71" s="69">
        <v>1350</v>
      </c>
      <c r="F71" s="384">
        <v>0</v>
      </c>
      <c r="G71" s="71">
        <v>1500</v>
      </c>
      <c r="H71" s="384">
        <v>0</v>
      </c>
      <c r="I71" s="69">
        <v>1650</v>
      </c>
      <c r="J71" s="384">
        <v>245679.91</v>
      </c>
      <c r="K71" s="70">
        <v>1386</v>
      </c>
      <c r="L71" s="385">
        <v>140743.99999999997</v>
      </c>
      <c r="M71" s="70">
        <v>1493</v>
      </c>
      <c r="N71" s="385">
        <v>0</v>
      </c>
      <c r="O71" s="67">
        <v>1565</v>
      </c>
      <c r="P71" s="385">
        <v>202091.00000000006</v>
      </c>
      <c r="Q71" s="71">
        <v>1725</v>
      </c>
      <c r="R71" s="384">
        <v>110861</v>
      </c>
      <c r="S71" s="67"/>
      <c r="T71" s="384"/>
      <c r="U71" s="67"/>
      <c r="V71" s="384"/>
      <c r="W71" s="67"/>
      <c r="X71" s="384"/>
      <c r="Y71" s="67"/>
      <c r="Z71" s="384"/>
      <c r="AA71" s="67"/>
      <c r="AB71" s="384"/>
      <c r="AC71" s="71">
        <f t="shared" si="0"/>
        <v>10669</v>
      </c>
      <c r="AD71" s="384">
        <f t="shared" si="0"/>
        <v>699375.91</v>
      </c>
    </row>
    <row r="72" spans="1:30" ht="15.6" x14ac:dyDescent="0.3">
      <c r="A72" s="387"/>
      <c r="B72" s="231" t="s">
        <v>67</v>
      </c>
      <c r="C72" s="67" t="s">
        <v>73</v>
      </c>
      <c r="D72" s="68" t="s">
        <v>374</v>
      </c>
      <c r="E72" s="69">
        <v>2830</v>
      </c>
      <c r="F72" s="384"/>
      <c r="G72" s="71">
        <v>2709</v>
      </c>
      <c r="H72" s="384"/>
      <c r="I72" s="69">
        <v>2750</v>
      </c>
      <c r="J72" s="384"/>
      <c r="K72" s="70">
        <v>2237</v>
      </c>
      <c r="L72" s="386"/>
      <c r="M72" s="70">
        <v>2410</v>
      </c>
      <c r="N72" s="386"/>
      <c r="O72" s="67">
        <v>2562</v>
      </c>
      <c r="P72" s="386"/>
      <c r="Q72" s="71">
        <v>2847</v>
      </c>
      <c r="R72" s="384"/>
      <c r="S72" s="67"/>
      <c r="T72" s="384"/>
      <c r="U72" s="67"/>
      <c r="V72" s="384"/>
      <c r="W72" s="67"/>
      <c r="X72" s="384"/>
      <c r="Y72" s="67"/>
      <c r="Z72" s="384"/>
      <c r="AA72" s="67"/>
      <c r="AB72" s="384"/>
      <c r="AC72" s="71">
        <f t="shared" si="0"/>
        <v>18345</v>
      </c>
      <c r="AD72" s="384">
        <f t="shared" si="0"/>
        <v>0</v>
      </c>
    </row>
    <row r="73" spans="1:30" ht="15.6" x14ac:dyDescent="0.3">
      <c r="A73" s="391">
        <v>35</v>
      </c>
      <c r="B73" s="232" t="s">
        <v>67</v>
      </c>
      <c r="C73" s="73" t="s">
        <v>76</v>
      </c>
      <c r="D73" s="74" t="s">
        <v>373</v>
      </c>
      <c r="E73" s="75">
        <v>0</v>
      </c>
      <c r="F73" s="389">
        <v>0</v>
      </c>
      <c r="G73" s="233">
        <v>0</v>
      </c>
      <c r="H73" s="389">
        <v>0</v>
      </c>
      <c r="I73" s="233">
        <v>0</v>
      </c>
      <c r="J73" s="389">
        <v>0</v>
      </c>
      <c r="K73" s="233">
        <v>0</v>
      </c>
      <c r="L73" s="389">
        <v>0</v>
      </c>
      <c r="M73" s="233">
        <v>0</v>
      </c>
      <c r="N73" s="389">
        <v>0</v>
      </c>
      <c r="O73" s="73">
        <v>0</v>
      </c>
      <c r="P73" s="389">
        <v>0</v>
      </c>
      <c r="Q73" s="76">
        <v>2195</v>
      </c>
      <c r="R73" s="388">
        <v>0</v>
      </c>
      <c r="S73" s="73"/>
      <c r="T73" s="388"/>
      <c r="U73" s="73"/>
      <c r="V73" s="388"/>
      <c r="W73" s="73"/>
      <c r="X73" s="388"/>
      <c r="Y73" s="73"/>
      <c r="Z73" s="388"/>
      <c r="AA73" s="73"/>
      <c r="AB73" s="388"/>
      <c r="AC73" s="76">
        <f>AA73+Y73+W73+U73+S73+Q73+O73+K73+M73+I73+G73+E73</f>
        <v>2195</v>
      </c>
      <c r="AD73" s="388">
        <f>AB73+Z73+X73+V73+T73+R73+P73+L73+N73+J73+H73+F73</f>
        <v>0</v>
      </c>
    </row>
    <row r="74" spans="1:30" ht="15.6" x14ac:dyDescent="0.3">
      <c r="A74" s="391"/>
      <c r="B74" s="234" t="s">
        <v>67</v>
      </c>
      <c r="C74" s="73" t="s">
        <v>76</v>
      </c>
      <c r="D74" s="74" t="s">
        <v>374</v>
      </c>
      <c r="E74" s="75">
        <v>0</v>
      </c>
      <c r="F74" s="390"/>
      <c r="G74" s="233">
        <v>0</v>
      </c>
      <c r="H74" s="390"/>
      <c r="I74" s="233">
        <v>0</v>
      </c>
      <c r="J74" s="390"/>
      <c r="K74" s="233">
        <v>0</v>
      </c>
      <c r="L74" s="390"/>
      <c r="M74" s="233">
        <v>0</v>
      </c>
      <c r="N74" s="390"/>
      <c r="O74" s="73">
        <v>0</v>
      </c>
      <c r="P74" s="390"/>
      <c r="Q74" s="76">
        <v>3060</v>
      </c>
      <c r="R74" s="388"/>
      <c r="S74" s="73"/>
      <c r="T74" s="388"/>
      <c r="U74" s="73"/>
      <c r="V74" s="388"/>
      <c r="W74" s="73"/>
      <c r="X74" s="388"/>
      <c r="Y74" s="73"/>
      <c r="Z74" s="388"/>
      <c r="AA74" s="73"/>
      <c r="AB74" s="388"/>
      <c r="AC74" s="76">
        <f>AA74+Y74+W74+U74+S74+Q74+O74+K74+M74+I74+G74+E74</f>
        <v>3060</v>
      </c>
      <c r="AD74" s="388">
        <f>AB74+Z74+X74+V74+T74+R74+P74+L74+N74+J74+H74+F74</f>
        <v>0</v>
      </c>
    </row>
    <row r="75" spans="1:30" ht="15.6" x14ac:dyDescent="0.3">
      <c r="A75" s="387">
        <v>36</v>
      </c>
      <c r="B75" s="230" t="s">
        <v>77</v>
      </c>
      <c r="C75" s="67" t="s">
        <v>78</v>
      </c>
      <c r="D75" s="68" t="s">
        <v>373</v>
      </c>
      <c r="E75" s="69">
        <v>1795</v>
      </c>
      <c r="F75" s="384">
        <v>0</v>
      </c>
      <c r="G75" s="71">
        <v>2000</v>
      </c>
      <c r="H75" s="384">
        <v>84770</v>
      </c>
      <c r="I75" s="69">
        <v>2200</v>
      </c>
      <c r="J75" s="384">
        <v>140490</v>
      </c>
      <c r="K75" s="70">
        <v>1900</v>
      </c>
      <c r="L75" s="385">
        <v>218700</v>
      </c>
      <c r="M75" s="70">
        <v>2000</v>
      </c>
      <c r="N75" s="385">
        <v>153900</v>
      </c>
      <c r="O75" s="67">
        <v>2100</v>
      </c>
      <c r="P75" s="385">
        <v>162000</v>
      </c>
      <c r="Q75" s="71">
        <v>2300</v>
      </c>
      <c r="R75" s="384">
        <v>170100</v>
      </c>
      <c r="S75" s="67"/>
      <c r="T75" s="384"/>
      <c r="U75" s="67"/>
      <c r="V75" s="384"/>
      <c r="W75" s="67"/>
      <c r="X75" s="384"/>
      <c r="Y75" s="67"/>
      <c r="Z75" s="384"/>
      <c r="AA75" s="67"/>
      <c r="AB75" s="384"/>
      <c r="AC75" s="71">
        <f t="shared" si="0"/>
        <v>14295</v>
      </c>
      <c r="AD75" s="384">
        <f t="shared" si="0"/>
        <v>929960</v>
      </c>
    </row>
    <row r="76" spans="1:30" ht="15.6" x14ac:dyDescent="0.3">
      <c r="A76" s="387"/>
      <c r="B76" s="231" t="s">
        <v>77</v>
      </c>
      <c r="C76" s="67" t="s">
        <v>78</v>
      </c>
      <c r="D76" s="68" t="s">
        <v>374</v>
      </c>
      <c r="E76" s="69">
        <v>3783</v>
      </c>
      <c r="F76" s="384"/>
      <c r="G76" s="71">
        <v>4000</v>
      </c>
      <c r="H76" s="384"/>
      <c r="I76" s="69">
        <v>4400</v>
      </c>
      <c r="J76" s="384"/>
      <c r="K76" s="70">
        <v>3800</v>
      </c>
      <c r="L76" s="386"/>
      <c r="M76" s="70">
        <v>4000</v>
      </c>
      <c r="N76" s="386"/>
      <c r="O76" s="67">
        <v>4200</v>
      </c>
      <c r="P76" s="386"/>
      <c r="Q76" s="71">
        <v>4600</v>
      </c>
      <c r="R76" s="384"/>
      <c r="S76" s="67"/>
      <c r="T76" s="384"/>
      <c r="U76" s="67"/>
      <c r="V76" s="384"/>
      <c r="W76" s="67"/>
      <c r="X76" s="384"/>
      <c r="Y76" s="67"/>
      <c r="Z76" s="384"/>
      <c r="AA76" s="67"/>
      <c r="AB76" s="384"/>
      <c r="AC76" s="71">
        <f t="shared" si="0"/>
        <v>28783</v>
      </c>
      <c r="AD76" s="384">
        <f t="shared" si="0"/>
        <v>0</v>
      </c>
    </row>
    <row r="77" spans="1:30" ht="15.6" x14ac:dyDescent="0.3">
      <c r="A77" s="387">
        <v>37</v>
      </c>
      <c r="B77" s="230" t="s">
        <v>77</v>
      </c>
      <c r="C77" s="67" t="s">
        <v>80</v>
      </c>
      <c r="D77" s="68" t="s">
        <v>373</v>
      </c>
      <c r="E77" s="69">
        <v>2700</v>
      </c>
      <c r="F77" s="384">
        <v>0</v>
      </c>
      <c r="G77" s="71">
        <v>3000</v>
      </c>
      <c r="H77" s="384">
        <f>82390+77900</f>
        <v>160290</v>
      </c>
      <c r="I77" s="69">
        <v>3300</v>
      </c>
      <c r="J77" s="384">
        <v>101270</v>
      </c>
      <c r="K77" s="70">
        <v>2850</v>
      </c>
      <c r="L77" s="385">
        <v>253800</v>
      </c>
      <c r="M77" s="70">
        <v>3000</v>
      </c>
      <c r="N77" s="385">
        <v>178600</v>
      </c>
      <c r="O77" s="67">
        <v>3150</v>
      </c>
      <c r="P77" s="385">
        <v>188000</v>
      </c>
      <c r="Q77" s="71">
        <v>3450</v>
      </c>
      <c r="R77" s="384">
        <v>197400</v>
      </c>
      <c r="S77" s="67"/>
      <c r="T77" s="384"/>
      <c r="U77" s="67"/>
      <c r="V77" s="384"/>
      <c r="W77" s="67"/>
      <c r="X77" s="384"/>
      <c r="Y77" s="67"/>
      <c r="Z77" s="384"/>
      <c r="AA77" s="67"/>
      <c r="AB77" s="384"/>
      <c r="AC77" s="71">
        <f t="shared" si="0"/>
        <v>21450</v>
      </c>
      <c r="AD77" s="384">
        <f t="shared" si="0"/>
        <v>1079360</v>
      </c>
    </row>
    <row r="78" spans="1:30" ht="15.6" x14ac:dyDescent="0.3">
      <c r="A78" s="387"/>
      <c r="B78" s="231" t="s">
        <v>77</v>
      </c>
      <c r="C78" s="67" t="s">
        <v>80</v>
      </c>
      <c r="D78" s="68" t="s">
        <v>374</v>
      </c>
      <c r="E78" s="69">
        <v>3800</v>
      </c>
      <c r="F78" s="384"/>
      <c r="G78" s="71">
        <v>4000</v>
      </c>
      <c r="H78" s="384"/>
      <c r="I78" s="69">
        <v>4400</v>
      </c>
      <c r="J78" s="384"/>
      <c r="K78" s="70">
        <v>3800</v>
      </c>
      <c r="L78" s="386"/>
      <c r="M78" s="70">
        <v>4000</v>
      </c>
      <c r="N78" s="386"/>
      <c r="O78" s="67">
        <v>4200</v>
      </c>
      <c r="P78" s="386"/>
      <c r="Q78" s="71">
        <v>4600</v>
      </c>
      <c r="R78" s="384"/>
      <c r="S78" s="67"/>
      <c r="T78" s="384"/>
      <c r="U78" s="67"/>
      <c r="V78" s="384"/>
      <c r="W78" s="67"/>
      <c r="X78" s="384"/>
      <c r="Y78" s="67"/>
      <c r="Z78" s="384"/>
      <c r="AA78" s="67"/>
      <c r="AB78" s="384"/>
      <c r="AC78" s="71">
        <f t="shared" si="0"/>
        <v>28800</v>
      </c>
      <c r="AD78" s="384">
        <f t="shared" si="0"/>
        <v>0</v>
      </c>
    </row>
    <row r="79" spans="1:30" ht="15.6" x14ac:dyDescent="0.3">
      <c r="A79" s="391">
        <v>38</v>
      </c>
      <c r="B79" s="232" t="s">
        <v>77</v>
      </c>
      <c r="C79" s="73" t="s">
        <v>644</v>
      </c>
      <c r="D79" s="74" t="s">
        <v>373</v>
      </c>
      <c r="E79" s="75">
        <v>0</v>
      </c>
      <c r="F79" s="389">
        <v>0</v>
      </c>
      <c r="G79" s="233">
        <v>0</v>
      </c>
      <c r="H79" s="389">
        <v>0</v>
      </c>
      <c r="I79" s="233">
        <v>0</v>
      </c>
      <c r="J79" s="389">
        <v>0</v>
      </c>
      <c r="K79" s="233">
        <v>0</v>
      </c>
      <c r="L79" s="389">
        <v>0</v>
      </c>
      <c r="M79" s="233">
        <v>0</v>
      </c>
      <c r="N79" s="389">
        <v>0</v>
      </c>
      <c r="O79" s="73">
        <v>0</v>
      </c>
      <c r="P79" s="389">
        <v>0</v>
      </c>
      <c r="Q79" s="76">
        <v>600</v>
      </c>
      <c r="R79" s="388">
        <v>0</v>
      </c>
      <c r="S79" s="73"/>
      <c r="T79" s="388"/>
      <c r="U79" s="73"/>
      <c r="V79" s="388"/>
      <c r="W79" s="73"/>
      <c r="X79" s="388"/>
      <c r="Y79" s="73"/>
      <c r="Z79" s="388"/>
      <c r="AA79" s="73"/>
      <c r="AB79" s="388"/>
      <c r="AC79" s="76">
        <f t="shared" si="0"/>
        <v>600</v>
      </c>
      <c r="AD79" s="388">
        <f t="shared" si="0"/>
        <v>0</v>
      </c>
    </row>
    <row r="80" spans="1:30" ht="15.6" x14ac:dyDescent="0.3">
      <c r="A80" s="391"/>
      <c r="B80" s="234" t="s">
        <v>77</v>
      </c>
      <c r="C80" s="73" t="s">
        <v>644</v>
      </c>
      <c r="D80" s="74" t="s">
        <v>374</v>
      </c>
      <c r="E80" s="75">
        <v>0</v>
      </c>
      <c r="F80" s="390"/>
      <c r="G80" s="233">
        <v>0</v>
      </c>
      <c r="H80" s="390"/>
      <c r="I80" s="233">
        <v>0</v>
      </c>
      <c r="J80" s="390"/>
      <c r="K80" s="233">
        <v>0</v>
      </c>
      <c r="L80" s="390"/>
      <c r="M80" s="233">
        <v>0</v>
      </c>
      <c r="N80" s="390"/>
      <c r="O80" s="73">
        <v>0</v>
      </c>
      <c r="P80" s="390"/>
      <c r="Q80" s="76">
        <v>900</v>
      </c>
      <c r="R80" s="388"/>
      <c r="S80" s="73"/>
      <c r="T80" s="388"/>
      <c r="U80" s="73"/>
      <c r="V80" s="388"/>
      <c r="W80" s="73"/>
      <c r="X80" s="388"/>
      <c r="Y80" s="73"/>
      <c r="Z80" s="388"/>
      <c r="AA80" s="73"/>
      <c r="AB80" s="388"/>
      <c r="AC80" s="76">
        <f t="shared" si="0"/>
        <v>900</v>
      </c>
      <c r="AD80" s="388">
        <f t="shared" si="0"/>
        <v>0</v>
      </c>
    </row>
    <row r="81" spans="1:30" ht="15.6" x14ac:dyDescent="0.3">
      <c r="A81" s="391">
        <v>39</v>
      </c>
      <c r="B81" s="232" t="s">
        <v>77</v>
      </c>
      <c r="C81" s="73" t="s">
        <v>645</v>
      </c>
      <c r="D81" s="74" t="s">
        <v>373</v>
      </c>
      <c r="E81" s="75">
        <v>0</v>
      </c>
      <c r="F81" s="389">
        <v>0</v>
      </c>
      <c r="G81" s="233">
        <v>0</v>
      </c>
      <c r="H81" s="389">
        <v>0</v>
      </c>
      <c r="I81" s="233">
        <v>0</v>
      </c>
      <c r="J81" s="389">
        <v>0</v>
      </c>
      <c r="K81" s="233">
        <v>0</v>
      </c>
      <c r="L81" s="389">
        <v>0</v>
      </c>
      <c r="M81" s="233">
        <v>0</v>
      </c>
      <c r="N81" s="389">
        <v>0</v>
      </c>
      <c r="O81" s="73">
        <v>0</v>
      </c>
      <c r="P81" s="389">
        <v>0</v>
      </c>
      <c r="Q81" s="76">
        <v>1700</v>
      </c>
      <c r="R81" s="388">
        <v>0</v>
      </c>
      <c r="S81" s="73"/>
      <c r="T81" s="388"/>
      <c r="U81" s="73"/>
      <c r="V81" s="388"/>
      <c r="W81" s="73"/>
      <c r="X81" s="388"/>
      <c r="Y81" s="73"/>
      <c r="Z81" s="388"/>
      <c r="AA81" s="73"/>
      <c r="AB81" s="388"/>
      <c r="AC81" s="76">
        <f t="shared" si="0"/>
        <v>1700</v>
      </c>
      <c r="AD81" s="388">
        <f t="shared" si="0"/>
        <v>0</v>
      </c>
    </row>
    <row r="82" spans="1:30" ht="15.6" x14ac:dyDescent="0.3">
      <c r="A82" s="391"/>
      <c r="B82" s="234" t="s">
        <v>77</v>
      </c>
      <c r="C82" s="73" t="s">
        <v>645</v>
      </c>
      <c r="D82" s="74" t="s">
        <v>374</v>
      </c>
      <c r="E82" s="75">
        <v>0</v>
      </c>
      <c r="F82" s="390"/>
      <c r="G82" s="233">
        <v>0</v>
      </c>
      <c r="H82" s="390"/>
      <c r="I82" s="233">
        <v>0</v>
      </c>
      <c r="J82" s="390"/>
      <c r="K82" s="233">
        <v>0</v>
      </c>
      <c r="L82" s="390"/>
      <c r="M82" s="233">
        <v>0</v>
      </c>
      <c r="N82" s="390"/>
      <c r="O82" s="73">
        <v>0</v>
      </c>
      <c r="P82" s="390"/>
      <c r="Q82" s="76">
        <v>2550</v>
      </c>
      <c r="R82" s="388"/>
      <c r="S82" s="73"/>
      <c r="T82" s="388"/>
      <c r="U82" s="73"/>
      <c r="V82" s="388"/>
      <c r="W82" s="73"/>
      <c r="X82" s="388"/>
      <c r="Y82" s="73"/>
      <c r="Z82" s="388"/>
      <c r="AA82" s="73"/>
      <c r="AB82" s="388"/>
      <c r="AC82" s="76">
        <f t="shared" si="0"/>
        <v>2550</v>
      </c>
      <c r="AD82" s="388">
        <f t="shared" si="0"/>
        <v>0</v>
      </c>
    </row>
    <row r="83" spans="1:30" ht="15.6" x14ac:dyDescent="0.3">
      <c r="A83" s="391">
        <v>40</v>
      </c>
      <c r="B83" s="232" t="s">
        <v>77</v>
      </c>
      <c r="C83" s="73" t="s">
        <v>646</v>
      </c>
      <c r="D83" s="74" t="s">
        <v>373</v>
      </c>
      <c r="E83" s="75">
        <v>0</v>
      </c>
      <c r="F83" s="389">
        <v>0</v>
      </c>
      <c r="G83" s="233">
        <v>0</v>
      </c>
      <c r="H83" s="389">
        <v>0</v>
      </c>
      <c r="I83" s="233">
        <v>0</v>
      </c>
      <c r="J83" s="389">
        <v>0</v>
      </c>
      <c r="K83" s="233">
        <v>0</v>
      </c>
      <c r="L83" s="389">
        <v>0</v>
      </c>
      <c r="M83" s="233">
        <v>0</v>
      </c>
      <c r="N83" s="389">
        <v>0</v>
      </c>
      <c r="O83" s="73">
        <v>0</v>
      </c>
      <c r="P83" s="389">
        <v>0</v>
      </c>
      <c r="Q83" s="76">
        <v>1700</v>
      </c>
      <c r="R83" s="388">
        <v>0</v>
      </c>
      <c r="S83" s="73"/>
      <c r="T83" s="388"/>
      <c r="U83" s="73"/>
      <c r="V83" s="388"/>
      <c r="W83" s="73"/>
      <c r="X83" s="388"/>
      <c r="Y83" s="73"/>
      <c r="Z83" s="388"/>
      <c r="AA83" s="73"/>
      <c r="AB83" s="388"/>
      <c r="AC83" s="76">
        <f t="shared" si="0"/>
        <v>1700</v>
      </c>
      <c r="AD83" s="388">
        <f t="shared" si="0"/>
        <v>0</v>
      </c>
    </row>
    <row r="84" spans="1:30" ht="15.6" x14ac:dyDescent="0.3">
      <c r="A84" s="391"/>
      <c r="B84" s="234" t="s">
        <v>77</v>
      </c>
      <c r="C84" s="73" t="s">
        <v>646</v>
      </c>
      <c r="D84" s="74" t="s">
        <v>374</v>
      </c>
      <c r="E84" s="75">
        <v>0</v>
      </c>
      <c r="F84" s="390"/>
      <c r="G84" s="233">
        <v>0</v>
      </c>
      <c r="H84" s="390"/>
      <c r="I84" s="233">
        <v>0</v>
      </c>
      <c r="J84" s="390"/>
      <c r="K84" s="233">
        <v>0</v>
      </c>
      <c r="L84" s="390"/>
      <c r="M84" s="233">
        <v>0</v>
      </c>
      <c r="N84" s="390"/>
      <c r="O84" s="73">
        <v>0</v>
      </c>
      <c r="P84" s="390"/>
      <c r="Q84" s="76">
        <v>2550</v>
      </c>
      <c r="R84" s="388"/>
      <c r="S84" s="73"/>
      <c r="T84" s="388"/>
      <c r="U84" s="73"/>
      <c r="V84" s="388"/>
      <c r="W84" s="73"/>
      <c r="X84" s="388"/>
      <c r="Y84" s="73"/>
      <c r="Z84" s="388"/>
      <c r="AA84" s="73"/>
      <c r="AB84" s="388"/>
      <c r="AC84" s="76">
        <f t="shared" si="0"/>
        <v>2550</v>
      </c>
      <c r="AD84" s="388">
        <f t="shared" si="0"/>
        <v>0</v>
      </c>
    </row>
    <row r="85" spans="1:30" ht="15.6" x14ac:dyDescent="0.3">
      <c r="A85" s="387">
        <v>41</v>
      </c>
      <c r="B85" s="230" t="s">
        <v>77</v>
      </c>
      <c r="C85" s="67" t="s">
        <v>82</v>
      </c>
      <c r="D85" s="68" t="s">
        <v>373</v>
      </c>
      <c r="E85" s="69">
        <v>1800</v>
      </c>
      <c r="F85" s="384">
        <v>0</v>
      </c>
      <c r="G85" s="71">
        <v>2000</v>
      </c>
      <c r="H85" s="384">
        <v>84770</v>
      </c>
      <c r="I85" s="69">
        <v>2200</v>
      </c>
      <c r="J85" s="384">
        <v>140490</v>
      </c>
      <c r="K85" s="70">
        <v>1900</v>
      </c>
      <c r="L85" s="385">
        <v>218700</v>
      </c>
      <c r="M85" s="70">
        <v>2000</v>
      </c>
      <c r="N85" s="385">
        <v>153900</v>
      </c>
      <c r="O85" s="67">
        <v>2100</v>
      </c>
      <c r="P85" s="385">
        <v>162000</v>
      </c>
      <c r="Q85" s="71">
        <v>2300</v>
      </c>
      <c r="R85" s="384">
        <v>170100</v>
      </c>
      <c r="S85" s="67"/>
      <c r="T85" s="384"/>
      <c r="U85" s="67"/>
      <c r="V85" s="384"/>
      <c r="W85" s="67"/>
      <c r="X85" s="384"/>
      <c r="Y85" s="67"/>
      <c r="Z85" s="384"/>
      <c r="AA85" s="67"/>
      <c r="AB85" s="384"/>
      <c r="AC85" s="71">
        <f t="shared" si="0"/>
        <v>14300</v>
      </c>
      <c r="AD85" s="384">
        <f t="shared" si="0"/>
        <v>929960</v>
      </c>
    </row>
    <row r="86" spans="1:30" ht="15.6" x14ac:dyDescent="0.3">
      <c r="A86" s="387"/>
      <c r="B86" s="231" t="s">
        <v>77</v>
      </c>
      <c r="C86" s="67" t="s">
        <v>82</v>
      </c>
      <c r="D86" s="68" t="s">
        <v>374</v>
      </c>
      <c r="E86" s="69">
        <v>3800</v>
      </c>
      <c r="F86" s="384"/>
      <c r="G86" s="71">
        <v>4000</v>
      </c>
      <c r="H86" s="384"/>
      <c r="I86" s="69">
        <v>4400</v>
      </c>
      <c r="J86" s="384"/>
      <c r="K86" s="70">
        <v>3800</v>
      </c>
      <c r="L86" s="386"/>
      <c r="M86" s="70">
        <v>4000</v>
      </c>
      <c r="N86" s="386"/>
      <c r="O86" s="67">
        <v>4200</v>
      </c>
      <c r="P86" s="386"/>
      <c r="Q86" s="71">
        <v>4600</v>
      </c>
      <c r="R86" s="384"/>
      <c r="S86" s="67"/>
      <c r="T86" s="384"/>
      <c r="U86" s="67"/>
      <c r="V86" s="384"/>
      <c r="W86" s="67"/>
      <c r="X86" s="384"/>
      <c r="Y86" s="67"/>
      <c r="Z86" s="384"/>
      <c r="AA86" s="67"/>
      <c r="AB86" s="384"/>
      <c r="AC86" s="71">
        <f t="shared" si="0"/>
        <v>28800</v>
      </c>
      <c r="AD86" s="384">
        <f t="shared" si="0"/>
        <v>0</v>
      </c>
    </row>
    <row r="87" spans="1:30" ht="15.6" x14ac:dyDescent="0.3">
      <c r="A87" s="387">
        <v>42</v>
      </c>
      <c r="B87" s="230" t="s">
        <v>77</v>
      </c>
      <c r="C87" s="67" t="s">
        <v>85</v>
      </c>
      <c r="D87" s="68" t="s">
        <v>373</v>
      </c>
      <c r="E87" s="69">
        <v>0</v>
      </c>
      <c r="F87" s="384">
        <v>0</v>
      </c>
      <c r="G87" s="69">
        <v>0</v>
      </c>
      <c r="H87" s="384">
        <v>0</v>
      </c>
      <c r="I87" s="69">
        <v>0</v>
      </c>
      <c r="J87" s="384">
        <v>0</v>
      </c>
      <c r="K87" s="69">
        <v>0</v>
      </c>
      <c r="L87" s="384">
        <v>0</v>
      </c>
      <c r="M87" s="69">
        <v>300</v>
      </c>
      <c r="N87" s="384">
        <v>0</v>
      </c>
      <c r="O87" s="67">
        <v>2400</v>
      </c>
      <c r="P87" s="385">
        <v>0</v>
      </c>
      <c r="Q87" s="71">
        <v>2300</v>
      </c>
      <c r="R87" s="384">
        <v>199068</v>
      </c>
      <c r="S87" s="67"/>
      <c r="T87" s="384"/>
      <c r="U87" s="67"/>
      <c r="V87" s="384"/>
      <c r="W87" s="67"/>
      <c r="X87" s="384"/>
      <c r="Y87" s="67"/>
      <c r="Z87" s="384"/>
      <c r="AA87" s="67"/>
      <c r="AB87" s="384"/>
      <c r="AC87" s="71">
        <f t="shared" si="0"/>
        <v>5000</v>
      </c>
      <c r="AD87" s="384">
        <f t="shared" si="0"/>
        <v>199068</v>
      </c>
    </row>
    <row r="88" spans="1:30" ht="15.6" x14ac:dyDescent="0.3">
      <c r="A88" s="387"/>
      <c r="B88" s="231" t="s">
        <v>77</v>
      </c>
      <c r="C88" s="67" t="s">
        <v>85</v>
      </c>
      <c r="D88" s="68" t="s">
        <v>374</v>
      </c>
      <c r="E88" s="69">
        <v>0</v>
      </c>
      <c r="F88" s="384"/>
      <c r="G88" s="69">
        <v>0</v>
      </c>
      <c r="H88" s="384"/>
      <c r="I88" s="69">
        <v>0</v>
      </c>
      <c r="J88" s="384"/>
      <c r="K88" s="69">
        <v>0</v>
      </c>
      <c r="L88" s="384"/>
      <c r="M88" s="69">
        <v>450</v>
      </c>
      <c r="N88" s="384"/>
      <c r="O88" s="67">
        <v>3600</v>
      </c>
      <c r="P88" s="386"/>
      <c r="Q88" s="71">
        <v>3450</v>
      </c>
      <c r="R88" s="384"/>
      <c r="S88" s="67"/>
      <c r="T88" s="384"/>
      <c r="U88" s="67"/>
      <c r="V88" s="384"/>
      <c r="W88" s="67"/>
      <c r="X88" s="384"/>
      <c r="Y88" s="67"/>
      <c r="Z88" s="384"/>
      <c r="AA88" s="67"/>
      <c r="AB88" s="384"/>
      <c r="AC88" s="71">
        <f t="shared" si="0"/>
        <v>7500</v>
      </c>
      <c r="AD88" s="384">
        <f t="shared" si="0"/>
        <v>0</v>
      </c>
    </row>
    <row r="89" spans="1:30" ht="15.6" x14ac:dyDescent="0.3">
      <c r="A89" s="387">
        <v>43</v>
      </c>
      <c r="B89" s="230" t="s">
        <v>86</v>
      </c>
      <c r="C89" s="67" t="s">
        <v>87</v>
      </c>
      <c r="D89" s="68" t="s">
        <v>373</v>
      </c>
      <c r="E89" s="69">
        <v>1700</v>
      </c>
      <c r="F89" s="384">
        <v>0</v>
      </c>
      <c r="G89" s="71">
        <v>2000</v>
      </c>
      <c r="H89" s="384">
        <v>0</v>
      </c>
      <c r="I89" s="69">
        <v>2200</v>
      </c>
      <c r="J89" s="384">
        <v>331389.33</v>
      </c>
      <c r="K89" s="70">
        <v>1900</v>
      </c>
      <c r="L89" s="385">
        <v>191836.5</v>
      </c>
      <c r="M89" s="70">
        <v>2000</v>
      </c>
      <c r="N89" s="385">
        <v>167394.75</v>
      </c>
      <c r="O89" s="67">
        <v>2100</v>
      </c>
      <c r="P89" s="385">
        <v>159630</v>
      </c>
      <c r="Q89" s="71">
        <v>2276</v>
      </c>
      <c r="R89" s="384">
        <v>167611.49999999988</v>
      </c>
      <c r="S89" s="67"/>
      <c r="T89" s="384"/>
      <c r="U89" s="67"/>
      <c r="V89" s="384"/>
      <c r="W89" s="67"/>
      <c r="X89" s="384"/>
      <c r="Y89" s="67"/>
      <c r="Z89" s="384"/>
      <c r="AA89" s="67"/>
      <c r="AB89" s="384"/>
      <c r="AC89" s="71">
        <f t="shared" si="0"/>
        <v>14176</v>
      </c>
      <c r="AD89" s="384">
        <f t="shared" si="0"/>
        <v>1017862.0799999998</v>
      </c>
    </row>
    <row r="90" spans="1:30" ht="15.6" x14ac:dyDescent="0.3">
      <c r="A90" s="387"/>
      <c r="B90" s="231" t="s">
        <v>86</v>
      </c>
      <c r="C90" s="67" t="s">
        <v>87</v>
      </c>
      <c r="D90" s="68" t="s">
        <v>374</v>
      </c>
      <c r="E90" s="69">
        <v>3150</v>
      </c>
      <c r="F90" s="384"/>
      <c r="G90" s="71">
        <v>3500</v>
      </c>
      <c r="H90" s="384"/>
      <c r="I90" s="69">
        <v>3850</v>
      </c>
      <c r="J90" s="384"/>
      <c r="K90" s="70">
        <v>3325</v>
      </c>
      <c r="L90" s="386"/>
      <c r="M90" s="70">
        <v>3000</v>
      </c>
      <c r="N90" s="386"/>
      <c r="O90" s="67">
        <v>3150</v>
      </c>
      <c r="P90" s="386"/>
      <c r="Q90" s="71">
        <v>3300</v>
      </c>
      <c r="R90" s="384"/>
      <c r="S90" s="67"/>
      <c r="T90" s="384"/>
      <c r="U90" s="67"/>
      <c r="V90" s="384"/>
      <c r="W90" s="67"/>
      <c r="X90" s="384"/>
      <c r="Y90" s="67"/>
      <c r="Z90" s="384"/>
      <c r="AA90" s="67"/>
      <c r="AB90" s="384"/>
      <c r="AC90" s="71">
        <f t="shared" si="0"/>
        <v>23275</v>
      </c>
      <c r="AD90" s="384">
        <f t="shared" si="0"/>
        <v>0</v>
      </c>
    </row>
    <row r="91" spans="1:30" ht="15.6" x14ac:dyDescent="0.3">
      <c r="A91" s="387">
        <v>44</v>
      </c>
      <c r="B91" s="230" t="s">
        <v>86</v>
      </c>
      <c r="C91" s="67" t="s">
        <v>88</v>
      </c>
      <c r="D91" s="68" t="s">
        <v>373</v>
      </c>
      <c r="E91" s="69">
        <v>0</v>
      </c>
      <c r="F91" s="384">
        <v>0</v>
      </c>
      <c r="G91" s="69">
        <v>0</v>
      </c>
      <c r="H91" s="384">
        <v>0</v>
      </c>
      <c r="I91" s="69">
        <v>0</v>
      </c>
      <c r="J91" s="384">
        <v>0</v>
      </c>
      <c r="K91" s="69">
        <v>0</v>
      </c>
      <c r="L91" s="384">
        <v>0</v>
      </c>
      <c r="M91" s="69">
        <v>0</v>
      </c>
      <c r="N91" s="384">
        <v>0</v>
      </c>
      <c r="O91" s="67">
        <v>891</v>
      </c>
      <c r="P91" s="385">
        <v>0</v>
      </c>
      <c r="Q91" s="71">
        <v>2300</v>
      </c>
      <c r="R91" s="384">
        <v>71297.490000000005</v>
      </c>
      <c r="S91" s="67"/>
      <c r="T91" s="384"/>
      <c r="U91" s="67"/>
      <c r="V91" s="384"/>
      <c r="W91" s="67"/>
      <c r="X91" s="384"/>
      <c r="Y91" s="67"/>
      <c r="Z91" s="384"/>
      <c r="AA91" s="67"/>
      <c r="AB91" s="384"/>
      <c r="AC91" s="71">
        <f t="shared" si="0"/>
        <v>3191</v>
      </c>
      <c r="AD91" s="384">
        <f t="shared" si="0"/>
        <v>71297.490000000005</v>
      </c>
    </row>
    <row r="92" spans="1:30" ht="15.6" x14ac:dyDescent="0.3">
      <c r="A92" s="387"/>
      <c r="B92" s="231" t="s">
        <v>86</v>
      </c>
      <c r="C92" s="67" t="s">
        <v>88</v>
      </c>
      <c r="D92" s="68" t="s">
        <v>374</v>
      </c>
      <c r="E92" s="69">
        <v>0</v>
      </c>
      <c r="F92" s="384"/>
      <c r="G92" s="69">
        <v>0</v>
      </c>
      <c r="H92" s="384"/>
      <c r="I92" s="69">
        <v>0</v>
      </c>
      <c r="J92" s="384"/>
      <c r="K92" s="69">
        <v>0</v>
      </c>
      <c r="L92" s="384"/>
      <c r="M92" s="69">
        <v>0</v>
      </c>
      <c r="N92" s="384"/>
      <c r="O92" s="67">
        <v>1342</v>
      </c>
      <c r="P92" s="386"/>
      <c r="Q92" s="71">
        <v>3300</v>
      </c>
      <c r="R92" s="384"/>
      <c r="S92" s="67"/>
      <c r="T92" s="384"/>
      <c r="U92" s="67"/>
      <c r="V92" s="384"/>
      <c r="W92" s="67"/>
      <c r="X92" s="384"/>
      <c r="Y92" s="67"/>
      <c r="Z92" s="384"/>
      <c r="AA92" s="67"/>
      <c r="AB92" s="384"/>
      <c r="AC92" s="71">
        <f t="shared" si="0"/>
        <v>4642</v>
      </c>
      <c r="AD92" s="384">
        <f t="shared" si="0"/>
        <v>0</v>
      </c>
    </row>
    <row r="93" spans="1:30" ht="15.6" x14ac:dyDescent="0.3">
      <c r="A93" s="387">
        <v>45</v>
      </c>
      <c r="B93" s="230" t="s">
        <v>86</v>
      </c>
      <c r="C93" s="67" t="s">
        <v>89</v>
      </c>
      <c r="D93" s="68" t="s">
        <v>373</v>
      </c>
      <c r="E93" s="69">
        <v>1700</v>
      </c>
      <c r="F93" s="384">
        <v>0</v>
      </c>
      <c r="G93" s="71">
        <v>2000</v>
      </c>
      <c r="H93" s="384">
        <v>0</v>
      </c>
      <c r="I93" s="69">
        <v>2200</v>
      </c>
      <c r="J93" s="384">
        <v>300288</v>
      </c>
      <c r="K93" s="70">
        <v>1896</v>
      </c>
      <c r="L93" s="385">
        <v>175593</v>
      </c>
      <c r="M93" s="70">
        <v>2000</v>
      </c>
      <c r="N93" s="385">
        <v>151528.14000000001</v>
      </c>
      <c r="O93" s="67">
        <v>2100</v>
      </c>
      <c r="P93" s="385">
        <v>159630</v>
      </c>
      <c r="Q93" s="71">
        <v>2300</v>
      </c>
      <c r="R93" s="384">
        <v>167611.5</v>
      </c>
      <c r="S93" s="67"/>
      <c r="T93" s="384"/>
      <c r="U93" s="67"/>
      <c r="V93" s="384"/>
      <c r="W93" s="67"/>
      <c r="X93" s="384"/>
      <c r="Y93" s="67"/>
      <c r="Z93" s="384"/>
      <c r="AA93" s="67"/>
      <c r="AB93" s="384"/>
      <c r="AC93" s="71">
        <f t="shared" si="0"/>
        <v>14196</v>
      </c>
      <c r="AD93" s="384">
        <f t="shared" si="0"/>
        <v>954650.64</v>
      </c>
    </row>
    <row r="94" spans="1:30" ht="15.6" x14ac:dyDescent="0.3">
      <c r="A94" s="387"/>
      <c r="B94" s="231" t="s">
        <v>86</v>
      </c>
      <c r="C94" s="67" t="s">
        <v>89</v>
      </c>
      <c r="D94" s="68" t="s">
        <v>374</v>
      </c>
      <c r="E94" s="69">
        <v>2626</v>
      </c>
      <c r="F94" s="384"/>
      <c r="G94" s="71">
        <v>3000</v>
      </c>
      <c r="H94" s="384"/>
      <c r="I94" s="69">
        <v>3300</v>
      </c>
      <c r="J94" s="384"/>
      <c r="K94" s="70">
        <v>2850</v>
      </c>
      <c r="L94" s="386"/>
      <c r="M94" s="70">
        <v>3000</v>
      </c>
      <c r="N94" s="386"/>
      <c r="O94" s="67">
        <v>3150</v>
      </c>
      <c r="P94" s="386"/>
      <c r="Q94" s="71">
        <v>3450</v>
      </c>
      <c r="R94" s="384"/>
      <c r="S94" s="67"/>
      <c r="T94" s="384"/>
      <c r="U94" s="67"/>
      <c r="V94" s="384"/>
      <c r="W94" s="67"/>
      <c r="X94" s="384"/>
      <c r="Y94" s="67"/>
      <c r="Z94" s="384"/>
      <c r="AA94" s="67"/>
      <c r="AB94" s="384"/>
      <c r="AC94" s="71">
        <f t="shared" si="0"/>
        <v>21376</v>
      </c>
      <c r="AD94" s="384">
        <f t="shared" si="0"/>
        <v>0</v>
      </c>
    </row>
    <row r="95" spans="1:30" ht="15.6" x14ac:dyDescent="0.3">
      <c r="A95" s="387">
        <v>46</v>
      </c>
      <c r="B95" s="230" t="s">
        <v>86</v>
      </c>
      <c r="C95" s="67" t="s">
        <v>90</v>
      </c>
      <c r="D95" s="68" t="s">
        <v>373</v>
      </c>
      <c r="E95" s="69">
        <v>3400</v>
      </c>
      <c r="F95" s="384">
        <v>0</v>
      </c>
      <c r="G95" s="71">
        <v>4000</v>
      </c>
      <c r="H95" s="384">
        <v>0</v>
      </c>
      <c r="I95" s="69">
        <v>4400</v>
      </c>
      <c r="J95" s="384">
        <v>599316.30000000005</v>
      </c>
      <c r="K95" s="70">
        <v>3800</v>
      </c>
      <c r="L95" s="385">
        <v>351186</v>
      </c>
      <c r="M95" s="70">
        <v>3000</v>
      </c>
      <c r="N95" s="385">
        <v>303297</v>
      </c>
      <c r="O95" s="67">
        <v>3150</v>
      </c>
      <c r="P95" s="385">
        <v>256020</v>
      </c>
      <c r="Q95" s="71">
        <v>3450</v>
      </c>
      <c r="R95" s="384">
        <v>268821</v>
      </c>
      <c r="S95" s="67"/>
      <c r="T95" s="384"/>
      <c r="U95" s="67"/>
      <c r="V95" s="384"/>
      <c r="W95" s="67"/>
      <c r="X95" s="384"/>
      <c r="Y95" s="67"/>
      <c r="Z95" s="384"/>
      <c r="AA95" s="67"/>
      <c r="AB95" s="384"/>
      <c r="AC95" s="71">
        <f t="shared" si="0"/>
        <v>25200</v>
      </c>
      <c r="AD95" s="384">
        <f t="shared" si="0"/>
        <v>1778640.3</v>
      </c>
    </row>
    <row r="96" spans="1:30" ht="15.6" x14ac:dyDescent="0.3">
      <c r="A96" s="387"/>
      <c r="B96" s="231" t="s">
        <v>86</v>
      </c>
      <c r="C96" s="67" t="s">
        <v>90</v>
      </c>
      <c r="D96" s="68" t="s">
        <v>374</v>
      </c>
      <c r="E96" s="69">
        <v>5362</v>
      </c>
      <c r="F96" s="384"/>
      <c r="G96" s="71">
        <v>6000</v>
      </c>
      <c r="H96" s="384"/>
      <c r="I96" s="69">
        <v>6600</v>
      </c>
      <c r="J96" s="384"/>
      <c r="K96" s="70">
        <v>5700</v>
      </c>
      <c r="L96" s="386"/>
      <c r="M96" s="70">
        <v>5000</v>
      </c>
      <c r="N96" s="386"/>
      <c r="O96" s="67">
        <v>5250</v>
      </c>
      <c r="P96" s="386"/>
      <c r="Q96" s="71">
        <v>5700</v>
      </c>
      <c r="R96" s="384"/>
      <c r="S96" s="67"/>
      <c r="T96" s="384"/>
      <c r="U96" s="67"/>
      <c r="V96" s="384"/>
      <c r="W96" s="67"/>
      <c r="X96" s="384"/>
      <c r="Y96" s="67"/>
      <c r="Z96" s="384"/>
      <c r="AA96" s="67"/>
      <c r="AB96" s="384"/>
      <c r="AC96" s="71">
        <f t="shared" ref="AC96:AD171" si="2">AA96+Y96+W96+U96+S96+Q96+O96+K96+M96+I96+G96+E96</f>
        <v>39612</v>
      </c>
      <c r="AD96" s="384">
        <f t="shared" si="2"/>
        <v>0</v>
      </c>
    </row>
    <row r="97" spans="1:30" ht="15.6" x14ac:dyDescent="0.3">
      <c r="A97" s="387">
        <v>47</v>
      </c>
      <c r="B97" s="230" t="s">
        <v>86</v>
      </c>
      <c r="C97" s="67" t="s">
        <v>91</v>
      </c>
      <c r="D97" s="68" t="s">
        <v>373</v>
      </c>
      <c r="E97" s="69">
        <v>3400</v>
      </c>
      <c r="F97" s="384">
        <v>0</v>
      </c>
      <c r="G97" s="71">
        <v>3727</v>
      </c>
      <c r="H97" s="384">
        <v>0</v>
      </c>
      <c r="I97" s="69">
        <v>3300</v>
      </c>
      <c r="J97" s="384">
        <v>529376.43000000005</v>
      </c>
      <c r="K97" s="70">
        <v>2850</v>
      </c>
      <c r="L97" s="385">
        <v>281622</v>
      </c>
      <c r="M97" s="70">
        <v>2850</v>
      </c>
      <c r="N97" s="385">
        <v>243219</v>
      </c>
      <c r="O97" s="67">
        <v>3150</v>
      </c>
      <c r="P97" s="385">
        <v>243219</v>
      </c>
      <c r="Q97" s="71">
        <v>3450</v>
      </c>
      <c r="R97" s="384">
        <v>268820.99999999977</v>
      </c>
      <c r="S97" s="67"/>
      <c r="T97" s="384"/>
      <c r="U97" s="67"/>
      <c r="V97" s="384"/>
      <c r="W97" s="67"/>
      <c r="X97" s="384"/>
      <c r="Y97" s="67"/>
      <c r="Z97" s="384"/>
      <c r="AA97" s="67"/>
      <c r="AB97" s="384"/>
      <c r="AC97" s="71">
        <f t="shared" si="2"/>
        <v>22727</v>
      </c>
      <c r="AD97" s="384">
        <f t="shared" si="2"/>
        <v>1566257.4299999997</v>
      </c>
    </row>
    <row r="98" spans="1:30" ht="15.6" x14ac:dyDescent="0.3">
      <c r="A98" s="387"/>
      <c r="B98" s="231" t="s">
        <v>86</v>
      </c>
      <c r="C98" s="67" t="s">
        <v>91</v>
      </c>
      <c r="D98" s="68" t="s">
        <v>374</v>
      </c>
      <c r="E98" s="69">
        <v>4500</v>
      </c>
      <c r="F98" s="384"/>
      <c r="G98" s="71">
        <v>5000</v>
      </c>
      <c r="H98" s="384"/>
      <c r="I98" s="69">
        <v>5500</v>
      </c>
      <c r="J98" s="384"/>
      <c r="K98" s="70">
        <v>4750</v>
      </c>
      <c r="L98" s="386"/>
      <c r="M98" s="70">
        <v>4750</v>
      </c>
      <c r="N98" s="386"/>
      <c r="O98" s="67">
        <v>5250</v>
      </c>
      <c r="P98" s="386"/>
      <c r="Q98" s="71">
        <v>5670</v>
      </c>
      <c r="R98" s="384"/>
      <c r="S98" s="67"/>
      <c r="T98" s="384"/>
      <c r="U98" s="67"/>
      <c r="V98" s="384"/>
      <c r="W98" s="67"/>
      <c r="X98" s="384"/>
      <c r="Y98" s="67"/>
      <c r="Z98" s="384"/>
      <c r="AA98" s="67"/>
      <c r="AB98" s="384"/>
      <c r="AC98" s="71">
        <f t="shared" si="2"/>
        <v>35420</v>
      </c>
      <c r="AD98" s="384">
        <f t="shared" si="2"/>
        <v>0</v>
      </c>
    </row>
    <row r="99" spans="1:30" ht="15.6" x14ac:dyDescent="0.3">
      <c r="A99" s="387">
        <v>48</v>
      </c>
      <c r="B99" s="230" t="s">
        <v>86</v>
      </c>
      <c r="C99" s="67" t="s">
        <v>92</v>
      </c>
      <c r="D99" s="68" t="s">
        <v>373</v>
      </c>
      <c r="E99" s="69">
        <v>2550</v>
      </c>
      <c r="F99" s="384">
        <v>0</v>
      </c>
      <c r="G99" s="71">
        <v>2750</v>
      </c>
      <c r="H99" s="384">
        <v>0</v>
      </c>
      <c r="I99" s="69">
        <v>2200</v>
      </c>
      <c r="J99" s="384">
        <v>457827</v>
      </c>
      <c r="K99" s="70">
        <v>1900</v>
      </c>
      <c r="L99" s="385">
        <v>212058</v>
      </c>
      <c r="M99" s="70">
        <v>2000</v>
      </c>
      <c r="N99" s="385">
        <v>183141</v>
      </c>
      <c r="O99" s="67">
        <v>2100</v>
      </c>
      <c r="P99" s="385">
        <v>191884.94999999995</v>
      </c>
      <c r="Q99" s="71">
        <v>2300</v>
      </c>
      <c r="R99" s="384">
        <v>202419</v>
      </c>
      <c r="S99" s="67"/>
      <c r="T99" s="384"/>
      <c r="U99" s="67"/>
      <c r="V99" s="384"/>
      <c r="W99" s="67"/>
      <c r="X99" s="384"/>
      <c r="Y99" s="67"/>
      <c r="Z99" s="384"/>
      <c r="AA99" s="67"/>
      <c r="AB99" s="384"/>
      <c r="AC99" s="71">
        <f t="shared" si="2"/>
        <v>15800</v>
      </c>
      <c r="AD99" s="384">
        <f t="shared" si="2"/>
        <v>1247329.95</v>
      </c>
    </row>
    <row r="100" spans="1:30" ht="15.6" x14ac:dyDescent="0.3">
      <c r="A100" s="387"/>
      <c r="B100" s="231" t="s">
        <v>86</v>
      </c>
      <c r="C100" s="67" t="s">
        <v>92</v>
      </c>
      <c r="D100" s="68" t="s">
        <v>374</v>
      </c>
      <c r="E100" s="69">
        <v>4500</v>
      </c>
      <c r="F100" s="384"/>
      <c r="G100" s="71">
        <v>4500</v>
      </c>
      <c r="H100" s="384"/>
      <c r="I100" s="69">
        <v>4400</v>
      </c>
      <c r="J100" s="384"/>
      <c r="K100" s="70">
        <v>3800</v>
      </c>
      <c r="L100" s="386"/>
      <c r="M100" s="70">
        <v>3973</v>
      </c>
      <c r="N100" s="386"/>
      <c r="O100" s="67">
        <v>4200</v>
      </c>
      <c r="P100" s="386"/>
      <c r="Q100" s="71">
        <v>4600</v>
      </c>
      <c r="R100" s="384"/>
      <c r="S100" s="67"/>
      <c r="T100" s="384"/>
      <c r="U100" s="67"/>
      <c r="V100" s="384"/>
      <c r="W100" s="67"/>
      <c r="X100" s="384"/>
      <c r="Y100" s="67"/>
      <c r="Z100" s="384"/>
      <c r="AA100" s="67"/>
      <c r="AB100" s="384"/>
      <c r="AC100" s="71">
        <f t="shared" si="2"/>
        <v>29973</v>
      </c>
      <c r="AD100" s="384">
        <f t="shared" si="2"/>
        <v>0</v>
      </c>
    </row>
    <row r="101" spans="1:30" ht="15.6" x14ac:dyDescent="0.3">
      <c r="A101" s="387">
        <v>49</v>
      </c>
      <c r="B101" s="230" t="s">
        <v>86</v>
      </c>
      <c r="C101" s="67" t="s">
        <v>93</v>
      </c>
      <c r="D101" s="68" t="s">
        <v>373</v>
      </c>
      <c r="E101" s="69">
        <v>2550</v>
      </c>
      <c r="F101" s="384">
        <v>0</v>
      </c>
      <c r="G101" s="71">
        <v>2750</v>
      </c>
      <c r="H101" s="384">
        <v>0</v>
      </c>
      <c r="I101" s="69">
        <v>2200</v>
      </c>
      <c r="J101" s="384">
        <v>403129.5</v>
      </c>
      <c r="K101" s="70">
        <v>0</v>
      </c>
      <c r="L101" s="385">
        <v>103759.5</v>
      </c>
      <c r="M101" s="70">
        <v>0</v>
      </c>
      <c r="N101" s="385">
        <v>0</v>
      </c>
      <c r="O101" s="67">
        <v>0</v>
      </c>
      <c r="P101" s="385">
        <v>0</v>
      </c>
      <c r="Q101" s="71">
        <v>0</v>
      </c>
      <c r="R101" s="384">
        <v>0</v>
      </c>
      <c r="S101" s="67"/>
      <c r="T101" s="384"/>
      <c r="U101" s="67"/>
      <c r="V101" s="384"/>
      <c r="W101" s="67"/>
      <c r="X101" s="384"/>
      <c r="Y101" s="67"/>
      <c r="Z101" s="384"/>
      <c r="AA101" s="67"/>
      <c r="AB101" s="384"/>
      <c r="AC101" s="71">
        <f t="shared" si="2"/>
        <v>7500</v>
      </c>
      <c r="AD101" s="384">
        <f t="shared" si="2"/>
        <v>506889</v>
      </c>
    </row>
    <row r="102" spans="1:30" ht="15.6" x14ac:dyDescent="0.3">
      <c r="A102" s="387"/>
      <c r="B102" s="231" t="s">
        <v>86</v>
      </c>
      <c r="C102" s="67" t="s">
        <v>93</v>
      </c>
      <c r="D102" s="68" t="s">
        <v>374</v>
      </c>
      <c r="E102" s="69">
        <v>3600</v>
      </c>
      <c r="F102" s="384"/>
      <c r="G102" s="71">
        <v>3750</v>
      </c>
      <c r="H102" s="384"/>
      <c r="I102" s="69">
        <v>3300</v>
      </c>
      <c r="J102" s="384"/>
      <c r="K102" s="70">
        <v>0</v>
      </c>
      <c r="L102" s="386"/>
      <c r="M102" s="70">
        <v>0</v>
      </c>
      <c r="N102" s="386"/>
      <c r="O102" s="67">
        <v>0</v>
      </c>
      <c r="P102" s="386"/>
      <c r="Q102" s="71">
        <v>0</v>
      </c>
      <c r="R102" s="384"/>
      <c r="S102" s="67"/>
      <c r="T102" s="384"/>
      <c r="U102" s="67"/>
      <c r="V102" s="384"/>
      <c r="W102" s="67"/>
      <c r="X102" s="384"/>
      <c r="Y102" s="67"/>
      <c r="Z102" s="384"/>
      <c r="AA102" s="67"/>
      <c r="AB102" s="384"/>
      <c r="AC102" s="71">
        <f t="shared" si="2"/>
        <v>10650</v>
      </c>
      <c r="AD102" s="384">
        <f t="shared" si="2"/>
        <v>0</v>
      </c>
    </row>
    <row r="103" spans="1:30" ht="15.6" x14ac:dyDescent="0.3">
      <c r="A103" s="387">
        <v>50</v>
      </c>
      <c r="B103" s="230" t="s">
        <v>86</v>
      </c>
      <c r="C103" s="67" t="s">
        <v>95</v>
      </c>
      <c r="D103" s="68" t="s">
        <v>373</v>
      </c>
      <c r="E103" s="69">
        <v>2125</v>
      </c>
      <c r="F103" s="384">
        <v>0</v>
      </c>
      <c r="G103" s="71">
        <v>2375</v>
      </c>
      <c r="H103" s="384">
        <v>0</v>
      </c>
      <c r="I103" s="69">
        <v>2200</v>
      </c>
      <c r="J103" s="384">
        <v>351708.75</v>
      </c>
      <c r="K103" s="70">
        <v>1900</v>
      </c>
      <c r="L103" s="385">
        <v>175593</v>
      </c>
      <c r="M103" s="70">
        <v>1900</v>
      </c>
      <c r="N103" s="385">
        <v>151648.5</v>
      </c>
      <c r="O103" s="67">
        <v>2100</v>
      </c>
      <c r="P103" s="385">
        <v>151648.5</v>
      </c>
      <c r="Q103" s="71">
        <v>2300</v>
      </c>
      <c r="R103" s="384">
        <v>167611.5</v>
      </c>
      <c r="S103" s="67"/>
      <c r="T103" s="384"/>
      <c r="U103" s="67"/>
      <c r="V103" s="384"/>
      <c r="W103" s="67"/>
      <c r="X103" s="384"/>
      <c r="Y103" s="67"/>
      <c r="Z103" s="384"/>
      <c r="AA103" s="67"/>
      <c r="AB103" s="384"/>
      <c r="AC103" s="71">
        <f t="shared" si="2"/>
        <v>14900</v>
      </c>
      <c r="AD103" s="384">
        <f t="shared" si="2"/>
        <v>998210.25</v>
      </c>
    </row>
    <row r="104" spans="1:30" ht="15.6" x14ac:dyDescent="0.3">
      <c r="A104" s="387"/>
      <c r="B104" s="231" t="s">
        <v>86</v>
      </c>
      <c r="C104" s="67" t="s">
        <v>95</v>
      </c>
      <c r="D104" s="68" t="s">
        <v>374</v>
      </c>
      <c r="E104" s="69">
        <v>3150</v>
      </c>
      <c r="F104" s="384"/>
      <c r="G104" s="71">
        <v>3375</v>
      </c>
      <c r="H104" s="384"/>
      <c r="I104" s="69">
        <v>3300</v>
      </c>
      <c r="J104" s="384"/>
      <c r="K104" s="70">
        <v>2850</v>
      </c>
      <c r="L104" s="386"/>
      <c r="M104" s="70">
        <v>2850</v>
      </c>
      <c r="N104" s="386"/>
      <c r="O104" s="67">
        <v>3150</v>
      </c>
      <c r="P104" s="386"/>
      <c r="Q104" s="71">
        <v>3400</v>
      </c>
      <c r="R104" s="384"/>
      <c r="S104" s="67"/>
      <c r="T104" s="384"/>
      <c r="U104" s="67"/>
      <c r="V104" s="384"/>
      <c r="W104" s="67"/>
      <c r="X104" s="384"/>
      <c r="Y104" s="67"/>
      <c r="Z104" s="384"/>
      <c r="AA104" s="67"/>
      <c r="AB104" s="384"/>
      <c r="AC104" s="71">
        <f t="shared" si="2"/>
        <v>22075</v>
      </c>
      <c r="AD104" s="384">
        <f t="shared" si="2"/>
        <v>0</v>
      </c>
    </row>
    <row r="105" spans="1:30" ht="15.6" x14ac:dyDescent="0.3">
      <c r="A105" s="387">
        <v>51</v>
      </c>
      <c r="B105" s="230" t="s">
        <v>86</v>
      </c>
      <c r="C105" s="67" t="s">
        <v>385</v>
      </c>
      <c r="D105" s="68" t="s">
        <v>373</v>
      </c>
      <c r="E105" s="69">
        <v>3400</v>
      </c>
      <c r="F105" s="384">
        <v>0</v>
      </c>
      <c r="G105" s="71">
        <v>3875</v>
      </c>
      <c r="H105" s="384">
        <v>0</v>
      </c>
      <c r="I105" s="69">
        <v>3850</v>
      </c>
      <c r="J105" s="384">
        <v>529686</v>
      </c>
      <c r="K105" s="70">
        <v>3325</v>
      </c>
      <c r="L105" s="385">
        <v>279939</v>
      </c>
      <c r="M105" s="70">
        <v>3500</v>
      </c>
      <c r="N105" s="385">
        <v>241765.5</v>
      </c>
      <c r="O105" s="67">
        <v>3675</v>
      </c>
      <c r="P105" s="385">
        <v>254490</v>
      </c>
      <c r="Q105" s="71">
        <v>4025</v>
      </c>
      <c r="R105" s="384">
        <v>267214.5</v>
      </c>
      <c r="S105" s="67"/>
      <c r="T105" s="384"/>
      <c r="U105" s="67"/>
      <c r="V105" s="384"/>
      <c r="W105" s="67"/>
      <c r="X105" s="384"/>
      <c r="Y105" s="67"/>
      <c r="Z105" s="384"/>
      <c r="AA105" s="67"/>
      <c r="AB105" s="384"/>
      <c r="AC105" s="71">
        <f t="shared" si="2"/>
        <v>25650</v>
      </c>
      <c r="AD105" s="384">
        <f t="shared" si="2"/>
        <v>1573095</v>
      </c>
    </row>
    <row r="106" spans="1:30" ht="15.6" x14ac:dyDescent="0.3">
      <c r="A106" s="387"/>
      <c r="B106" s="231" t="s">
        <v>86</v>
      </c>
      <c r="C106" s="67" t="s">
        <v>385</v>
      </c>
      <c r="D106" s="68" t="s">
        <v>374</v>
      </c>
      <c r="E106" s="69">
        <v>4500</v>
      </c>
      <c r="F106" s="384"/>
      <c r="G106" s="71">
        <v>4875</v>
      </c>
      <c r="H106" s="384"/>
      <c r="I106" s="69">
        <v>4950</v>
      </c>
      <c r="J106" s="384"/>
      <c r="K106" s="70">
        <v>4275</v>
      </c>
      <c r="L106" s="386"/>
      <c r="M106" s="70">
        <v>4500</v>
      </c>
      <c r="N106" s="386"/>
      <c r="O106" s="67">
        <v>4725</v>
      </c>
      <c r="P106" s="386"/>
      <c r="Q106" s="71">
        <v>5175</v>
      </c>
      <c r="R106" s="384"/>
      <c r="S106" s="67"/>
      <c r="T106" s="384"/>
      <c r="U106" s="67"/>
      <c r="V106" s="384"/>
      <c r="W106" s="67"/>
      <c r="X106" s="384"/>
      <c r="Y106" s="67"/>
      <c r="Z106" s="384"/>
      <c r="AA106" s="67"/>
      <c r="AB106" s="384"/>
      <c r="AC106" s="71">
        <f t="shared" si="2"/>
        <v>33000</v>
      </c>
      <c r="AD106" s="384">
        <f t="shared" si="2"/>
        <v>0</v>
      </c>
    </row>
    <row r="107" spans="1:30" ht="15.6" x14ac:dyDescent="0.3">
      <c r="A107" s="387">
        <v>52</v>
      </c>
      <c r="B107" s="230" t="s">
        <v>86</v>
      </c>
      <c r="C107" s="67" t="s">
        <v>386</v>
      </c>
      <c r="D107" s="68" t="s">
        <v>373</v>
      </c>
      <c r="E107" s="69">
        <v>3400</v>
      </c>
      <c r="F107" s="384">
        <v>0</v>
      </c>
      <c r="G107" s="71">
        <v>4000</v>
      </c>
      <c r="H107" s="384">
        <v>0</v>
      </c>
      <c r="I107" s="69">
        <v>4400</v>
      </c>
      <c r="J107" s="384">
        <v>599372.4</v>
      </c>
      <c r="K107" s="70">
        <v>3800</v>
      </c>
      <c r="L107" s="385">
        <v>351095.73</v>
      </c>
      <c r="M107" s="70">
        <v>2500</v>
      </c>
      <c r="N107" s="385">
        <v>302335.65000000002</v>
      </c>
      <c r="O107" s="67">
        <v>2625</v>
      </c>
      <c r="P107" s="385">
        <v>232687.5</v>
      </c>
      <c r="Q107" s="71">
        <v>2875</v>
      </c>
      <c r="R107" s="384">
        <v>253023.75</v>
      </c>
      <c r="S107" s="67"/>
      <c r="T107" s="384"/>
      <c r="U107" s="67"/>
      <c r="V107" s="384"/>
      <c r="W107" s="67"/>
      <c r="X107" s="384"/>
      <c r="Y107" s="67"/>
      <c r="Z107" s="384"/>
      <c r="AA107" s="67"/>
      <c r="AB107" s="384"/>
      <c r="AC107" s="71">
        <f t="shared" si="2"/>
        <v>23600</v>
      </c>
      <c r="AD107" s="384">
        <f t="shared" si="2"/>
        <v>1738515.0299999998</v>
      </c>
    </row>
    <row r="108" spans="1:30" ht="15.6" x14ac:dyDescent="0.3">
      <c r="A108" s="387"/>
      <c r="B108" s="231" t="s">
        <v>86</v>
      </c>
      <c r="C108" s="67" t="s">
        <v>386</v>
      </c>
      <c r="D108" s="68" t="s">
        <v>374</v>
      </c>
      <c r="E108" s="69">
        <v>5304</v>
      </c>
      <c r="F108" s="384"/>
      <c r="G108" s="71">
        <v>6000</v>
      </c>
      <c r="H108" s="384"/>
      <c r="I108" s="69">
        <v>6600</v>
      </c>
      <c r="J108" s="384"/>
      <c r="K108" s="70">
        <v>5671</v>
      </c>
      <c r="L108" s="386"/>
      <c r="M108" s="70">
        <v>4750</v>
      </c>
      <c r="N108" s="386"/>
      <c r="O108" s="67">
        <v>5250</v>
      </c>
      <c r="P108" s="386"/>
      <c r="Q108" s="71">
        <v>5750</v>
      </c>
      <c r="R108" s="384"/>
      <c r="S108" s="67"/>
      <c r="T108" s="384"/>
      <c r="U108" s="67"/>
      <c r="V108" s="384"/>
      <c r="W108" s="67"/>
      <c r="X108" s="384"/>
      <c r="Y108" s="67"/>
      <c r="Z108" s="384"/>
      <c r="AA108" s="67"/>
      <c r="AB108" s="384"/>
      <c r="AC108" s="71">
        <f t="shared" si="2"/>
        <v>39325</v>
      </c>
      <c r="AD108" s="384">
        <f t="shared" si="2"/>
        <v>0</v>
      </c>
    </row>
    <row r="109" spans="1:30" ht="15.6" x14ac:dyDescent="0.3">
      <c r="A109" s="387">
        <v>53</v>
      </c>
      <c r="B109" s="230" t="s">
        <v>86</v>
      </c>
      <c r="C109" s="67" t="s">
        <v>98</v>
      </c>
      <c r="D109" s="68" t="s">
        <v>373</v>
      </c>
      <c r="E109" s="69">
        <v>2550</v>
      </c>
      <c r="F109" s="384">
        <v>0</v>
      </c>
      <c r="G109" s="71">
        <v>3000</v>
      </c>
      <c r="H109" s="384">
        <v>0</v>
      </c>
      <c r="I109" s="69">
        <v>3300</v>
      </c>
      <c r="J109" s="384">
        <v>481924.5</v>
      </c>
      <c r="K109" s="70">
        <v>2850</v>
      </c>
      <c r="L109" s="385">
        <v>281622</v>
      </c>
      <c r="M109" s="70">
        <v>3000</v>
      </c>
      <c r="N109" s="385">
        <v>243219</v>
      </c>
      <c r="O109" s="67">
        <v>2875</v>
      </c>
      <c r="P109" s="385">
        <v>253865.25</v>
      </c>
      <c r="Q109" s="71">
        <v>2875</v>
      </c>
      <c r="R109" s="384">
        <v>251430</v>
      </c>
      <c r="S109" s="67"/>
      <c r="T109" s="384"/>
      <c r="U109" s="67"/>
      <c r="V109" s="384"/>
      <c r="W109" s="67"/>
      <c r="X109" s="384"/>
      <c r="Y109" s="67"/>
      <c r="Z109" s="384"/>
      <c r="AA109" s="67"/>
      <c r="AB109" s="384"/>
      <c r="AC109" s="71">
        <f t="shared" si="2"/>
        <v>20450</v>
      </c>
      <c r="AD109" s="384">
        <f t="shared" si="2"/>
        <v>1512060.75</v>
      </c>
    </row>
    <row r="110" spans="1:30" ht="15.6" x14ac:dyDescent="0.3">
      <c r="A110" s="387"/>
      <c r="B110" s="231" t="s">
        <v>86</v>
      </c>
      <c r="C110" s="67" t="s">
        <v>98</v>
      </c>
      <c r="D110" s="68" t="s">
        <v>374</v>
      </c>
      <c r="E110" s="69">
        <v>4500</v>
      </c>
      <c r="F110" s="384"/>
      <c r="G110" s="71">
        <v>5000</v>
      </c>
      <c r="H110" s="384"/>
      <c r="I110" s="69">
        <v>5500</v>
      </c>
      <c r="J110" s="384"/>
      <c r="K110" s="70">
        <v>4750</v>
      </c>
      <c r="L110" s="386"/>
      <c r="M110" s="70">
        <v>4935</v>
      </c>
      <c r="N110" s="386"/>
      <c r="O110" s="67">
        <v>4975</v>
      </c>
      <c r="P110" s="386"/>
      <c r="Q110" s="71">
        <v>5175</v>
      </c>
      <c r="R110" s="384"/>
      <c r="S110" s="67"/>
      <c r="T110" s="384"/>
      <c r="U110" s="67"/>
      <c r="V110" s="384"/>
      <c r="W110" s="67"/>
      <c r="X110" s="384"/>
      <c r="Y110" s="67"/>
      <c r="Z110" s="384"/>
      <c r="AA110" s="67"/>
      <c r="AB110" s="384"/>
      <c r="AC110" s="71">
        <f t="shared" si="2"/>
        <v>34835</v>
      </c>
      <c r="AD110" s="384">
        <f t="shared" si="2"/>
        <v>0</v>
      </c>
    </row>
    <row r="111" spans="1:30" ht="15.6" x14ac:dyDescent="0.3">
      <c r="A111" s="387">
        <v>54</v>
      </c>
      <c r="B111" s="230" t="s">
        <v>86</v>
      </c>
      <c r="C111" s="67" t="s">
        <v>99</v>
      </c>
      <c r="D111" s="68" t="s">
        <v>373</v>
      </c>
      <c r="E111" s="69">
        <v>1700</v>
      </c>
      <c r="F111" s="384">
        <v>0</v>
      </c>
      <c r="G111" s="71">
        <v>2000</v>
      </c>
      <c r="H111" s="384">
        <v>0</v>
      </c>
      <c r="I111" s="69">
        <v>2200</v>
      </c>
      <c r="J111" s="384">
        <v>409683</v>
      </c>
      <c r="K111" s="70">
        <v>1900</v>
      </c>
      <c r="L111" s="385">
        <v>212058</v>
      </c>
      <c r="M111" s="70">
        <v>1900</v>
      </c>
      <c r="N111" s="385">
        <v>183141</v>
      </c>
      <c r="O111" s="67">
        <v>2100</v>
      </c>
      <c r="P111" s="385">
        <v>189771</v>
      </c>
      <c r="Q111" s="71">
        <v>2287</v>
      </c>
      <c r="R111" s="384">
        <v>202419</v>
      </c>
      <c r="S111" s="67"/>
      <c r="T111" s="384"/>
      <c r="U111" s="67"/>
      <c r="V111" s="384"/>
      <c r="W111" s="67"/>
      <c r="X111" s="384"/>
      <c r="Y111" s="67"/>
      <c r="Z111" s="384"/>
      <c r="AA111" s="67"/>
      <c r="AB111" s="384"/>
      <c r="AC111" s="71">
        <f t="shared" si="2"/>
        <v>14087</v>
      </c>
      <c r="AD111" s="384">
        <f t="shared" si="2"/>
        <v>1197072</v>
      </c>
    </row>
    <row r="112" spans="1:30" ht="15.6" x14ac:dyDescent="0.3">
      <c r="A112" s="387"/>
      <c r="B112" s="231" t="s">
        <v>86</v>
      </c>
      <c r="C112" s="67" t="s">
        <v>99</v>
      </c>
      <c r="D112" s="68" t="s">
        <v>374</v>
      </c>
      <c r="E112" s="69">
        <v>4500</v>
      </c>
      <c r="F112" s="384"/>
      <c r="G112" s="71">
        <v>4500</v>
      </c>
      <c r="H112" s="384"/>
      <c r="I112" s="69">
        <v>4400</v>
      </c>
      <c r="J112" s="384"/>
      <c r="K112" s="70">
        <v>3800</v>
      </c>
      <c r="L112" s="386"/>
      <c r="M112" s="70">
        <v>4000</v>
      </c>
      <c r="N112" s="386"/>
      <c r="O112" s="67">
        <v>4200</v>
      </c>
      <c r="P112" s="386"/>
      <c r="Q112" s="71">
        <v>4600</v>
      </c>
      <c r="R112" s="384"/>
      <c r="S112" s="67"/>
      <c r="T112" s="384"/>
      <c r="U112" s="67"/>
      <c r="V112" s="384"/>
      <c r="W112" s="67"/>
      <c r="X112" s="384"/>
      <c r="Y112" s="67"/>
      <c r="Z112" s="384"/>
      <c r="AA112" s="67"/>
      <c r="AB112" s="384"/>
      <c r="AC112" s="71">
        <f t="shared" si="2"/>
        <v>30000</v>
      </c>
      <c r="AD112" s="384">
        <f t="shared" si="2"/>
        <v>0</v>
      </c>
    </row>
    <row r="113" spans="1:30" ht="15.6" x14ac:dyDescent="0.3">
      <c r="A113" s="391">
        <v>55</v>
      </c>
      <c r="B113" s="232" t="s">
        <v>100</v>
      </c>
      <c r="C113" s="73" t="s">
        <v>647</v>
      </c>
      <c r="D113" s="74" t="s">
        <v>373</v>
      </c>
      <c r="E113" s="75">
        <v>0</v>
      </c>
      <c r="F113" s="389">
        <v>0</v>
      </c>
      <c r="G113" s="233">
        <v>0</v>
      </c>
      <c r="H113" s="389">
        <v>0</v>
      </c>
      <c r="I113" s="233">
        <v>0</v>
      </c>
      <c r="J113" s="389">
        <v>0</v>
      </c>
      <c r="K113" s="233">
        <v>0</v>
      </c>
      <c r="L113" s="389">
        <v>0</v>
      </c>
      <c r="M113" s="233">
        <v>0</v>
      </c>
      <c r="N113" s="389">
        <v>0</v>
      </c>
      <c r="O113" s="73">
        <v>0</v>
      </c>
      <c r="P113" s="389">
        <v>0</v>
      </c>
      <c r="Q113" s="76">
        <v>600</v>
      </c>
      <c r="R113" s="388">
        <v>0</v>
      </c>
      <c r="S113" s="73"/>
      <c r="T113" s="388"/>
      <c r="U113" s="73"/>
      <c r="V113" s="388"/>
      <c r="W113" s="73"/>
      <c r="X113" s="388"/>
      <c r="Y113" s="73"/>
      <c r="Z113" s="388"/>
      <c r="AA113" s="73"/>
      <c r="AB113" s="388"/>
      <c r="AC113" s="76">
        <f t="shared" si="2"/>
        <v>600</v>
      </c>
      <c r="AD113" s="388">
        <f t="shared" si="2"/>
        <v>0</v>
      </c>
    </row>
    <row r="114" spans="1:30" ht="15.6" x14ac:dyDescent="0.3">
      <c r="A114" s="391"/>
      <c r="B114" s="234" t="s">
        <v>100</v>
      </c>
      <c r="C114" s="73" t="s">
        <v>647</v>
      </c>
      <c r="D114" s="74" t="s">
        <v>374</v>
      </c>
      <c r="E114" s="75">
        <v>0</v>
      </c>
      <c r="F114" s="390"/>
      <c r="G114" s="233">
        <v>0</v>
      </c>
      <c r="H114" s="390"/>
      <c r="I114" s="233">
        <v>0</v>
      </c>
      <c r="J114" s="390"/>
      <c r="K114" s="233">
        <v>0</v>
      </c>
      <c r="L114" s="390"/>
      <c r="M114" s="233">
        <v>0</v>
      </c>
      <c r="N114" s="390"/>
      <c r="O114" s="73">
        <v>0</v>
      </c>
      <c r="P114" s="390"/>
      <c r="Q114" s="76">
        <v>900</v>
      </c>
      <c r="R114" s="388"/>
      <c r="S114" s="73"/>
      <c r="T114" s="388"/>
      <c r="U114" s="73"/>
      <c r="V114" s="388"/>
      <c r="W114" s="73"/>
      <c r="X114" s="388"/>
      <c r="Y114" s="73"/>
      <c r="Z114" s="388"/>
      <c r="AA114" s="73"/>
      <c r="AB114" s="388"/>
      <c r="AC114" s="76">
        <f t="shared" si="2"/>
        <v>900</v>
      </c>
      <c r="AD114" s="388">
        <f t="shared" si="2"/>
        <v>0</v>
      </c>
    </row>
    <row r="115" spans="1:30" ht="15.6" x14ac:dyDescent="0.3">
      <c r="A115" s="387">
        <v>56</v>
      </c>
      <c r="B115" s="230" t="s">
        <v>100</v>
      </c>
      <c r="C115" s="67" t="s">
        <v>387</v>
      </c>
      <c r="D115" s="68" t="s">
        <v>373</v>
      </c>
      <c r="E115" s="69">
        <v>3420</v>
      </c>
      <c r="F115" s="384">
        <v>0</v>
      </c>
      <c r="G115" s="71">
        <v>3725</v>
      </c>
      <c r="H115" s="384">
        <f>75344.85+82357.5+75589.5</f>
        <v>233291.85</v>
      </c>
      <c r="I115" s="69">
        <v>3850</v>
      </c>
      <c r="J115" s="384">
        <v>145519.94999999998</v>
      </c>
      <c r="K115" s="70">
        <v>3500</v>
      </c>
      <c r="L115" s="385">
        <v>407380.00000000012</v>
      </c>
      <c r="M115" s="70">
        <v>3500</v>
      </c>
      <c r="N115" s="385">
        <v>314822.5</v>
      </c>
      <c r="O115" s="67">
        <v>3675</v>
      </c>
      <c r="P115" s="385">
        <v>314987.5</v>
      </c>
      <c r="Q115" s="71">
        <v>4025</v>
      </c>
      <c r="R115" s="384">
        <v>319042.49999999977</v>
      </c>
      <c r="S115" s="67"/>
      <c r="T115" s="385"/>
      <c r="U115" s="67"/>
      <c r="V115" s="384"/>
      <c r="W115" s="67"/>
      <c r="X115" s="384"/>
      <c r="Y115" s="67"/>
      <c r="Z115" s="384"/>
      <c r="AA115" s="67"/>
      <c r="AB115" s="384"/>
      <c r="AC115" s="71">
        <f t="shared" si="2"/>
        <v>25695</v>
      </c>
      <c r="AD115" s="384">
        <f t="shared" si="2"/>
        <v>1735044.3</v>
      </c>
    </row>
    <row r="116" spans="1:30" ht="15.6" x14ac:dyDescent="0.3">
      <c r="A116" s="387"/>
      <c r="B116" s="231" t="s">
        <v>100</v>
      </c>
      <c r="C116" s="67" t="s">
        <v>387</v>
      </c>
      <c r="D116" s="68" t="s">
        <v>374</v>
      </c>
      <c r="E116" s="69">
        <v>6770</v>
      </c>
      <c r="F116" s="384"/>
      <c r="G116" s="71">
        <v>5615</v>
      </c>
      <c r="H116" s="384"/>
      <c r="I116" s="69">
        <v>8800</v>
      </c>
      <c r="J116" s="384"/>
      <c r="K116" s="70">
        <v>8139</v>
      </c>
      <c r="L116" s="386"/>
      <c r="M116" s="70">
        <v>8160</v>
      </c>
      <c r="N116" s="386"/>
      <c r="O116" s="67">
        <v>8127</v>
      </c>
      <c r="P116" s="386"/>
      <c r="Q116" s="71">
        <v>9496</v>
      </c>
      <c r="R116" s="384"/>
      <c r="S116" s="67"/>
      <c r="T116" s="386"/>
      <c r="U116" s="67"/>
      <c r="V116" s="384"/>
      <c r="W116" s="67"/>
      <c r="X116" s="384"/>
      <c r="Y116" s="67"/>
      <c r="Z116" s="384"/>
      <c r="AA116" s="67"/>
      <c r="AB116" s="384"/>
      <c r="AC116" s="71">
        <f t="shared" si="2"/>
        <v>55107</v>
      </c>
      <c r="AD116" s="384">
        <f t="shared" si="2"/>
        <v>0</v>
      </c>
    </row>
    <row r="117" spans="1:30" ht="15.6" x14ac:dyDescent="0.3">
      <c r="A117" s="387">
        <v>57</v>
      </c>
      <c r="B117" s="230" t="s">
        <v>100</v>
      </c>
      <c r="C117" s="67" t="s">
        <v>388</v>
      </c>
      <c r="D117" s="68" t="s">
        <v>373</v>
      </c>
      <c r="E117" s="69">
        <v>255</v>
      </c>
      <c r="F117" s="384">
        <v>0</v>
      </c>
      <c r="G117" s="71">
        <v>300</v>
      </c>
      <c r="H117" s="384">
        <v>14188.5</v>
      </c>
      <c r="I117" s="69">
        <v>330</v>
      </c>
      <c r="J117" s="384">
        <v>9418.5</v>
      </c>
      <c r="K117" s="70">
        <v>285</v>
      </c>
      <c r="L117" s="385">
        <v>25380</v>
      </c>
      <c r="M117" s="70">
        <v>300</v>
      </c>
      <c r="N117" s="385">
        <v>17860</v>
      </c>
      <c r="O117" s="67">
        <v>300</v>
      </c>
      <c r="P117" s="385">
        <v>18800</v>
      </c>
      <c r="Q117" s="71">
        <v>345</v>
      </c>
      <c r="R117" s="384">
        <v>18800</v>
      </c>
      <c r="S117" s="67"/>
      <c r="T117" s="384"/>
      <c r="U117" s="67"/>
      <c r="V117" s="384"/>
      <c r="W117" s="67"/>
      <c r="X117" s="384"/>
      <c r="Y117" s="67"/>
      <c r="Z117" s="384"/>
      <c r="AA117" s="67"/>
      <c r="AB117" s="384"/>
      <c r="AC117" s="71">
        <f t="shared" si="2"/>
        <v>2115</v>
      </c>
      <c r="AD117" s="384">
        <f t="shared" si="2"/>
        <v>104447</v>
      </c>
    </row>
    <row r="118" spans="1:30" ht="15.6" x14ac:dyDescent="0.3">
      <c r="A118" s="387"/>
      <c r="B118" s="231" t="s">
        <v>100</v>
      </c>
      <c r="C118" s="67" t="s">
        <v>388</v>
      </c>
      <c r="D118" s="68" t="s">
        <v>374</v>
      </c>
      <c r="E118" s="69">
        <v>360</v>
      </c>
      <c r="F118" s="384"/>
      <c r="G118" s="71">
        <v>400</v>
      </c>
      <c r="H118" s="384"/>
      <c r="I118" s="69">
        <v>440</v>
      </c>
      <c r="J118" s="384"/>
      <c r="K118" s="70">
        <v>380</v>
      </c>
      <c r="L118" s="386"/>
      <c r="M118" s="70">
        <v>400</v>
      </c>
      <c r="N118" s="386"/>
      <c r="O118" s="67">
        <v>400</v>
      </c>
      <c r="P118" s="386"/>
      <c r="Q118" s="71">
        <v>460</v>
      </c>
      <c r="R118" s="384"/>
      <c r="S118" s="67"/>
      <c r="T118" s="384"/>
      <c r="U118" s="67"/>
      <c r="V118" s="384"/>
      <c r="W118" s="67"/>
      <c r="X118" s="384"/>
      <c r="Y118" s="67"/>
      <c r="Z118" s="384"/>
      <c r="AA118" s="67"/>
      <c r="AB118" s="384"/>
      <c r="AC118" s="71">
        <f t="shared" si="2"/>
        <v>2840</v>
      </c>
      <c r="AD118" s="384">
        <f t="shared" si="2"/>
        <v>0</v>
      </c>
    </row>
    <row r="119" spans="1:30" ht="15.6" x14ac:dyDescent="0.3">
      <c r="A119" s="387">
        <v>58</v>
      </c>
      <c r="B119" s="230" t="s">
        <v>100</v>
      </c>
      <c r="C119" s="67" t="s">
        <v>389</v>
      </c>
      <c r="D119" s="68" t="s">
        <v>373</v>
      </c>
      <c r="E119" s="69">
        <v>510</v>
      </c>
      <c r="F119" s="384">
        <v>0</v>
      </c>
      <c r="G119" s="71">
        <v>600</v>
      </c>
      <c r="H119" s="384">
        <v>24147</v>
      </c>
      <c r="I119" s="69">
        <v>660</v>
      </c>
      <c r="J119" s="384">
        <v>16087.5</v>
      </c>
      <c r="K119" s="70">
        <v>570</v>
      </c>
      <c r="L119" s="385">
        <v>43335</v>
      </c>
      <c r="M119" s="70">
        <v>600</v>
      </c>
      <c r="N119" s="385">
        <v>30495</v>
      </c>
      <c r="O119" s="67">
        <v>600</v>
      </c>
      <c r="P119" s="385">
        <v>32100</v>
      </c>
      <c r="Q119" s="71">
        <v>690</v>
      </c>
      <c r="R119" s="384">
        <v>32100</v>
      </c>
      <c r="S119" s="67"/>
      <c r="T119" s="384"/>
      <c r="U119" s="67"/>
      <c r="V119" s="384"/>
      <c r="W119" s="67"/>
      <c r="X119" s="384"/>
      <c r="Y119" s="67"/>
      <c r="Z119" s="384"/>
      <c r="AA119" s="67"/>
      <c r="AB119" s="384"/>
      <c r="AC119" s="71">
        <f t="shared" si="2"/>
        <v>4230</v>
      </c>
      <c r="AD119" s="384">
        <f t="shared" si="2"/>
        <v>178264.5</v>
      </c>
    </row>
    <row r="120" spans="1:30" ht="15.6" x14ac:dyDescent="0.3">
      <c r="A120" s="387"/>
      <c r="B120" s="231" t="s">
        <v>100</v>
      </c>
      <c r="C120" s="67" t="s">
        <v>389</v>
      </c>
      <c r="D120" s="68" t="s">
        <v>374</v>
      </c>
      <c r="E120" s="69">
        <v>540</v>
      </c>
      <c r="F120" s="384"/>
      <c r="G120" s="71">
        <v>600</v>
      </c>
      <c r="H120" s="384"/>
      <c r="I120" s="69">
        <v>660</v>
      </c>
      <c r="J120" s="384"/>
      <c r="K120" s="70">
        <v>570</v>
      </c>
      <c r="L120" s="386"/>
      <c r="M120" s="70">
        <v>600</v>
      </c>
      <c r="N120" s="386"/>
      <c r="O120" s="67">
        <v>600</v>
      </c>
      <c r="P120" s="386"/>
      <c r="Q120" s="71">
        <v>690</v>
      </c>
      <c r="R120" s="384"/>
      <c r="S120" s="67"/>
      <c r="T120" s="384"/>
      <c r="U120" s="67"/>
      <c r="V120" s="384"/>
      <c r="W120" s="67"/>
      <c r="X120" s="384"/>
      <c r="Y120" s="67"/>
      <c r="Z120" s="384"/>
      <c r="AA120" s="67"/>
      <c r="AB120" s="384"/>
      <c r="AC120" s="71">
        <f t="shared" si="2"/>
        <v>4260</v>
      </c>
      <c r="AD120" s="384">
        <f t="shared" si="2"/>
        <v>0</v>
      </c>
    </row>
    <row r="121" spans="1:30" ht="15.6" x14ac:dyDescent="0.3">
      <c r="A121" s="387">
        <v>59</v>
      </c>
      <c r="B121" s="230" t="s">
        <v>100</v>
      </c>
      <c r="C121" s="67" t="s">
        <v>390</v>
      </c>
      <c r="D121" s="68" t="s">
        <v>373</v>
      </c>
      <c r="E121" s="69">
        <v>2000</v>
      </c>
      <c r="F121" s="384">
        <v>0</v>
      </c>
      <c r="G121" s="71">
        <v>2500</v>
      </c>
      <c r="H121" s="384">
        <v>78397.5</v>
      </c>
      <c r="I121" s="69">
        <v>2750</v>
      </c>
      <c r="J121" s="384">
        <v>141592.5</v>
      </c>
      <c r="K121" s="70">
        <v>3600</v>
      </c>
      <c r="L121" s="385">
        <v>236250</v>
      </c>
      <c r="M121" s="70">
        <v>2500</v>
      </c>
      <c r="N121" s="385">
        <v>242100</v>
      </c>
      <c r="O121" s="67">
        <v>2625</v>
      </c>
      <c r="P121" s="385">
        <v>175000</v>
      </c>
      <c r="Q121" s="71">
        <v>2875</v>
      </c>
      <c r="R121" s="384">
        <v>183750</v>
      </c>
      <c r="S121" s="67"/>
      <c r="T121" s="384"/>
      <c r="U121" s="67"/>
      <c r="V121" s="384"/>
      <c r="W121" s="67"/>
      <c r="X121" s="384"/>
      <c r="Y121" s="67"/>
      <c r="Z121" s="384"/>
      <c r="AA121" s="67"/>
      <c r="AB121" s="384"/>
      <c r="AC121" s="71">
        <f t="shared" si="2"/>
        <v>18850</v>
      </c>
      <c r="AD121" s="384">
        <f t="shared" si="2"/>
        <v>1057090</v>
      </c>
    </row>
    <row r="122" spans="1:30" ht="15.6" x14ac:dyDescent="0.3">
      <c r="A122" s="387"/>
      <c r="B122" s="231" t="s">
        <v>100</v>
      </c>
      <c r="C122" s="67" t="s">
        <v>390</v>
      </c>
      <c r="D122" s="68" t="s">
        <v>374</v>
      </c>
      <c r="E122" s="69">
        <v>3400</v>
      </c>
      <c r="F122" s="384"/>
      <c r="G122" s="71">
        <v>4000</v>
      </c>
      <c r="H122" s="384"/>
      <c r="I122" s="69">
        <v>4400</v>
      </c>
      <c r="J122" s="384"/>
      <c r="K122" s="70">
        <v>5400</v>
      </c>
      <c r="L122" s="386"/>
      <c r="M122" s="70">
        <v>4000</v>
      </c>
      <c r="N122" s="386"/>
      <c r="O122" s="67">
        <v>4200</v>
      </c>
      <c r="P122" s="386"/>
      <c r="Q122" s="71">
        <v>4600</v>
      </c>
      <c r="R122" s="384"/>
      <c r="S122" s="67"/>
      <c r="T122" s="384"/>
      <c r="U122" s="67"/>
      <c r="V122" s="384"/>
      <c r="W122" s="67"/>
      <c r="X122" s="384"/>
      <c r="Y122" s="67"/>
      <c r="Z122" s="384"/>
      <c r="AA122" s="67"/>
      <c r="AB122" s="384"/>
      <c r="AC122" s="71">
        <f t="shared" si="2"/>
        <v>30000</v>
      </c>
      <c r="AD122" s="384">
        <f t="shared" si="2"/>
        <v>0</v>
      </c>
    </row>
    <row r="123" spans="1:30" ht="15.6" x14ac:dyDescent="0.3">
      <c r="A123" s="387">
        <v>60</v>
      </c>
      <c r="B123" s="230" t="s">
        <v>100</v>
      </c>
      <c r="C123" s="67" t="s">
        <v>105</v>
      </c>
      <c r="D123" s="68" t="s">
        <v>373</v>
      </c>
      <c r="E123" s="69">
        <v>0</v>
      </c>
      <c r="F123" s="384">
        <v>0</v>
      </c>
      <c r="G123" s="69">
        <v>0</v>
      </c>
      <c r="H123" s="384">
        <v>0</v>
      </c>
      <c r="I123" s="69">
        <v>0</v>
      </c>
      <c r="J123" s="384">
        <v>0</v>
      </c>
      <c r="K123" s="69">
        <v>0</v>
      </c>
      <c r="L123" s="384">
        <v>0</v>
      </c>
      <c r="M123" s="69">
        <v>0</v>
      </c>
      <c r="N123" s="384">
        <v>0</v>
      </c>
      <c r="O123" s="67">
        <v>750</v>
      </c>
      <c r="P123" s="385">
        <v>0</v>
      </c>
      <c r="Q123" s="71">
        <v>4200</v>
      </c>
      <c r="R123" s="384">
        <v>0</v>
      </c>
      <c r="S123" s="67"/>
      <c r="T123" s="385"/>
      <c r="U123" s="67"/>
      <c r="V123" s="384"/>
      <c r="W123" s="67"/>
      <c r="X123" s="384"/>
      <c r="Y123" s="67"/>
      <c r="Z123" s="384"/>
      <c r="AA123" s="67"/>
      <c r="AB123" s="384"/>
      <c r="AC123" s="71">
        <f t="shared" si="2"/>
        <v>4950</v>
      </c>
      <c r="AD123" s="384">
        <f t="shared" si="2"/>
        <v>0</v>
      </c>
    </row>
    <row r="124" spans="1:30" ht="15.6" x14ac:dyDescent="0.3">
      <c r="A124" s="387"/>
      <c r="B124" s="231" t="s">
        <v>100</v>
      </c>
      <c r="C124" s="67" t="s">
        <v>105</v>
      </c>
      <c r="D124" s="68" t="s">
        <v>374</v>
      </c>
      <c r="E124" s="69">
        <v>0</v>
      </c>
      <c r="F124" s="384"/>
      <c r="G124" s="69">
        <v>0</v>
      </c>
      <c r="H124" s="384"/>
      <c r="I124" s="69">
        <v>0</v>
      </c>
      <c r="J124" s="384"/>
      <c r="K124" s="69">
        <v>0</v>
      </c>
      <c r="L124" s="384"/>
      <c r="M124" s="69">
        <v>0</v>
      </c>
      <c r="N124" s="384"/>
      <c r="O124" s="67">
        <v>1000</v>
      </c>
      <c r="P124" s="386"/>
      <c r="Q124" s="71">
        <v>5600</v>
      </c>
      <c r="R124" s="384"/>
      <c r="S124" s="67"/>
      <c r="T124" s="386"/>
      <c r="U124" s="67"/>
      <c r="V124" s="384"/>
      <c r="W124" s="67"/>
      <c r="X124" s="384"/>
      <c r="Y124" s="67"/>
      <c r="Z124" s="384"/>
      <c r="AA124" s="67"/>
      <c r="AB124" s="384"/>
      <c r="AC124" s="71">
        <f t="shared" si="2"/>
        <v>6600</v>
      </c>
      <c r="AD124" s="384">
        <f t="shared" si="2"/>
        <v>0</v>
      </c>
    </row>
    <row r="125" spans="1:30" ht="15.6" x14ac:dyDescent="0.3">
      <c r="A125" s="387">
        <v>61</v>
      </c>
      <c r="B125" s="230" t="s">
        <v>100</v>
      </c>
      <c r="C125" s="67" t="s">
        <v>391</v>
      </c>
      <c r="D125" s="68" t="s">
        <v>373</v>
      </c>
      <c r="E125" s="69">
        <v>3292</v>
      </c>
      <c r="F125" s="384">
        <v>0</v>
      </c>
      <c r="G125" s="71">
        <v>3917</v>
      </c>
      <c r="H125" s="384">
        <f>87246+81958.5</f>
        <v>169204.5</v>
      </c>
      <c r="I125" s="69">
        <v>5500</v>
      </c>
      <c r="J125" s="384">
        <v>136597.5</v>
      </c>
      <c r="K125" s="70">
        <v>4750</v>
      </c>
      <c r="L125" s="385">
        <v>435375</v>
      </c>
      <c r="M125" s="70">
        <v>5000</v>
      </c>
      <c r="N125" s="385">
        <v>306375</v>
      </c>
      <c r="O125" s="67">
        <v>5250</v>
      </c>
      <c r="P125" s="385">
        <v>322500</v>
      </c>
      <c r="Q125" s="71">
        <v>5750</v>
      </c>
      <c r="R125" s="384">
        <v>342750</v>
      </c>
      <c r="S125" s="67"/>
      <c r="T125" s="385"/>
      <c r="U125" s="67"/>
      <c r="V125" s="384"/>
      <c r="W125" s="67"/>
      <c r="X125" s="384"/>
      <c r="Y125" s="67"/>
      <c r="Z125" s="384"/>
      <c r="AA125" s="67"/>
      <c r="AB125" s="384"/>
      <c r="AC125" s="71">
        <f t="shared" si="2"/>
        <v>33459</v>
      </c>
      <c r="AD125" s="384">
        <f t="shared" si="2"/>
        <v>1712802</v>
      </c>
    </row>
    <row r="126" spans="1:30" ht="15.6" x14ac:dyDescent="0.3">
      <c r="A126" s="387"/>
      <c r="B126" s="231" t="s">
        <v>100</v>
      </c>
      <c r="C126" s="67" t="s">
        <v>391</v>
      </c>
      <c r="D126" s="68" t="s">
        <v>374</v>
      </c>
      <c r="E126" s="69">
        <v>4587</v>
      </c>
      <c r="F126" s="384"/>
      <c r="G126" s="71">
        <v>5302</v>
      </c>
      <c r="H126" s="384"/>
      <c r="I126" s="69">
        <v>7700</v>
      </c>
      <c r="J126" s="384"/>
      <c r="K126" s="70">
        <v>6650</v>
      </c>
      <c r="L126" s="386"/>
      <c r="M126" s="70">
        <v>7000</v>
      </c>
      <c r="N126" s="386"/>
      <c r="O126" s="67">
        <v>7500</v>
      </c>
      <c r="P126" s="386"/>
      <c r="Q126" s="71">
        <v>8625</v>
      </c>
      <c r="R126" s="384"/>
      <c r="S126" s="67"/>
      <c r="T126" s="386"/>
      <c r="U126" s="67"/>
      <c r="V126" s="384"/>
      <c r="W126" s="67"/>
      <c r="X126" s="384"/>
      <c r="Y126" s="67"/>
      <c r="Z126" s="384"/>
      <c r="AA126" s="67"/>
      <c r="AB126" s="384"/>
      <c r="AC126" s="71">
        <f t="shared" si="2"/>
        <v>47364</v>
      </c>
      <c r="AD126" s="384">
        <f t="shared" si="2"/>
        <v>0</v>
      </c>
    </row>
    <row r="127" spans="1:30" ht="15.6" x14ac:dyDescent="0.3">
      <c r="A127" s="387">
        <v>62</v>
      </c>
      <c r="B127" s="230" t="s">
        <v>100</v>
      </c>
      <c r="C127" s="67" t="s">
        <v>392</v>
      </c>
      <c r="D127" s="68" t="s">
        <v>373</v>
      </c>
      <c r="E127" s="69">
        <v>1620</v>
      </c>
      <c r="F127" s="384">
        <v>0</v>
      </c>
      <c r="G127" s="69">
        <v>1800</v>
      </c>
      <c r="H127" s="384">
        <v>80595</v>
      </c>
      <c r="I127" s="69">
        <v>1980</v>
      </c>
      <c r="J127" s="384">
        <v>51012</v>
      </c>
      <c r="K127" s="69">
        <v>1710</v>
      </c>
      <c r="L127" s="385">
        <v>137430</v>
      </c>
      <c r="M127" s="70">
        <v>1800</v>
      </c>
      <c r="N127" s="385">
        <v>93960</v>
      </c>
      <c r="O127" s="67">
        <v>1890</v>
      </c>
      <c r="P127" s="385">
        <v>101800</v>
      </c>
      <c r="Q127" s="71">
        <v>2070</v>
      </c>
      <c r="R127" s="384">
        <v>106890</v>
      </c>
      <c r="S127" s="67"/>
      <c r="T127" s="384"/>
      <c r="U127" s="67"/>
      <c r="V127" s="384"/>
      <c r="W127" s="67"/>
      <c r="X127" s="384"/>
      <c r="Y127" s="67"/>
      <c r="Z127" s="384"/>
      <c r="AA127" s="67"/>
      <c r="AB127" s="384"/>
      <c r="AC127" s="71">
        <f t="shared" si="2"/>
        <v>12870</v>
      </c>
      <c r="AD127" s="384">
        <f t="shared" si="2"/>
        <v>571687</v>
      </c>
    </row>
    <row r="128" spans="1:30" ht="15.6" x14ac:dyDescent="0.3">
      <c r="A128" s="387"/>
      <c r="B128" s="231" t="s">
        <v>100</v>
      </c>
      <c r="C128" s="67" t="s">
        <v>392</v>
      </c>
      <c r="D128" s="68" t="s">
        <v>374</v>
      </c>
      <c r="E128" s="69">
        <v>1900</v>
      </c>
      <c r="F128" s="384"/>
      <c r="G128" s="69">
        <v>2000</v>
      </c>
      <c r="H128" s="384"/>
      <c r="I128" s="69">
        <v>2200</v>
      </c>
      <c r="J128" s="384"/>
      <c r="K128" s="69">
        <v>1800</v>
      </c>
      <c r="L128" s="386"/>
      <c r="M128" s="70">
        <v>2000</v>
      </c>
      <c r="N128" s="386"/>
      <c r="O128" s="67">
        <v>2100</v>
      </c>
      <c r="P128" s="386"/>
      <c r="Q128" s="71">
        <v>2300</v>
      </c>
      <c r="R128" s="384"/>
      <c r="S128" s="67"/>
      <c r="T128" s="384"/>
      <c r="U128" s="67"/>
      <c r="V128" s="384"/>
      <c r="W128" s="67"/>
      <c r="X128" s="384"/>
      <c r="Y128" s="67"/>
      <c r="Z128" s="384"/>
      <c r="AA128" s="67"/>
      <c r="AB128" s="384"/>
      <c r="AC128" s="71">
        <f t="shared" si="2"/>
        <v>14300</v>
      </c>
      <c r="AD128" s="384">
        <f t="shared" si="2"/>
        <v>0</v>
      </c>
    </row>
    <row r="129" spans="1:30" ht="15.6" x14ac:dyDescent="0.3">
      <c r="A129" s="387">
        <v>63</v>
      </c>
      <c r="B129" s="230" t="s">
        <v>100</v>
      </c>
      <c r="C129" s="67" t="s">
        <v>106</v>
      </c>
      <c r="D129" s="68" t="s">
        <v>373</v>
      </c>
      <c r="E129" s="69">
        <v>1800</v>
      </c>
      <c r="F129" s="384">
        <v>0</v>
      </c>
      <c r="G129" s="71">
        <v>2000</v>
      </c>
      <c r="H129" s="384">
        <v>86092.5</v>
      </c>
      <c r="I129" s="69">
        <v>2200</v>
      </c>
      <c r="J129" s="384">
        <v>82920</v>
      </c>
      <c r="K129" s="70">
        <v>1900</v>
      </c>
      <c r="L129" s="385">
        <v>186757.5</v>
      </c>
      <c r="M129" s="70">
        <v>1900</v>
      </c>
      <c r="N129" s="385">
        <v>127775</v>
      </c>
      <c r="O129" s="67">
        <v>2100</v>
      </c>
      <c r="P129" s="385">
        <v>127775</v>
      </c>
      <c r="Q129" s="71">
        <v>2300</v>
      </c>
      <c r="R129" s="384">
        <v>141225</v>
      </c>
      <c r="S129" s="67"/>
      <c r="T129" s="385"/>
      <c r="U129" s="67"/>
      <c r="V129" s="384"/>
      <c r="W129" s="67"/>
      <c r="X129" s="384"/>
      <c r="Y129" s="67"/>
      <c r="Z129" s="384"/>
      <c r="AA129" s="67"/>
      <c r="AB129" s="384"/>
      <c r="AC129" s="71">
        <f t="shared" si="2"/>
        <v>14200</v>
      </c>
      <c r="AD129" s="384">
        <f t="shared" si="2"/>
        <v>752545</v>
      </c>
    </row>
    <row r="130" spans="1:30" ht="15.6" x14ac:dyDescent="0.3">
      <c r="A130" s="387"/>
      <c r="B130" s="231" t="s">
        <v>100</v>
      </c>
      <c r="C130" s="67" t="s">
        <v>106</v>
      </c>
      <c r="D130" s="68" t="s">
        <v>374</v>
      </c>
      <c r="E130" s="69">
        <v>2850</v>
      </c>
      <c r="F130" s="384"/>
      <c r="G130" s="71">
        <v>3000</v>
      </c>
      <c r="H130" s="384"/>
      <c r="I130" s="69">
        <v>3300</v>
      </c>
      <c r="J130" s="384"/>
      <c r="K130" s="70">
        <v>2850</v>
      </c>
      <c r="L130" s="386"/>
      <c r="M130" s="70">
        <v>2850</v>
      </c>
      <c r="N130" s="386"/>
      <c r="O130" s="67">
        <v>3150</v>
      </c>
      <c r="P130" s="386"/>
      <c r="Q130" s="71">
        <v>3450</v>
      </c>
      <c r="R130" s="384"/>
      <c r="S130" s="67"/>
      <c r="T130" s="386"/>
      <c r="U130" s="67"/>
      <c r="V130" s="384"/>
      <c r="W130" s="67"/>
      <c r="X130" s="384"/>
      <c r="Y130" s="67"/>
      <c r="Z130" s="384"/>
      <c r="AA130" s="67"/>
      <c r="AB130" s="384"/>
      <c r="AC130" s="71">
        <f t="shared" si="2"/>
        <v>21450</v>
      </c>
      <c r="AD130" s="384">
        <f t="shared" si="2"/>
        <v>0</v>
      </c>
    </row>
    <row r="131" spans="1:30" ht="15.6" x14ac:dyDescent="0.3">
      <c r="A131" s="387">
        <v>64</v>
      </c>
      <c r="B131" s="230" t="s">
        <v>100</v>
      </c>
      <c r="C131" s="67" t="s">
        <v>109</v>
      </c>
      <c r="D131" s="68" t="s">
        <v>373</v>
      </c>
      <c r="E131" s="69">
        <v>3060</v>
      </c>
      <c r="F131" s="384">
        <v>0</v>
      </c>
      <c r="G131" s="71">
        <v>3425</v>
      </c>
      <c r="H131" s="384">
        <f>87858+82147.5</f>
        <v>170005.5</v>
      </c>
      <c r="I131" s="69">
        <v>3850</v>
      </c>
      <c r="J131" s="384">
        <v>136912.5</v>
      </c>
      <c r="K131" s="70">
        <v>3325</v>
      </c>
      <c r="L131" s="385">
        <v>419850</v>
      </c>
      <c r="M131" s="70">
        <v>3500</v>
      </c>
      <c r="N131" s="385">
        <v>295450</v>
      </c>
      <c r="O131" s="67">
        <v>3675</v>
      </c>
      <c r="P131" s="385">
        <v>311000</v>
      </c>
      <c r="Q131" s="71">
        <v>4025</v>
      </c>
      <c r="R131" s="384">
        <v>326550</v>
      </c>
      <c r="S131" s="67"/>
      <c r="T131" s="385"/>
      <c r="U131" s="67"/>
      <c r="V131" s="384"/>
      <c r="W131" s="67"/>
      <c r="X131" s="384"/>
      <c r="Y131" s="67"/>
      <c r="Z131" s="384"/>
      <c r="AA131" s="67"/>
      <c r="AB131" s="384"/>
      <c r="AC131" s="71">
        <f t="shared" si="2"/>
        <v>24860</v>
      </c>
      <c r="AD131" s="384">
        <f t="shared" si="2"/>
        <v>1659768</v>
      </c>
    </row>
    <row r="132" spans="1:30" ht="15.6" x14ac:dyDescent="0.3">
      <c r="A132" s="387"/>
      <c r="B132" s="231" t="s">
        <v>100</v>
      </c>
      <c r="C132" s="67" t="s">
        <v>109</v>
      </c>
      <c r="D132" s="68" t="s">
        <v>374</v>
      </c>
      <c r="E132" s="69">
        <v>5130</v>
      </c>
      <c r="F132" s="384"/>
      <c r="G132" s="71">
        <v>6050</v>
      </c>
      <c r="H132" s="384"/>
      <c r="I132" s="69">
        <v>8800</v>
      </c>
      <c r="J132" s="384"/>
      <c r="K132" s="70">
        <v>7600</v>
      </c>
      <c r="L132" s="386"/>
      <c r="M132" s="70">
        <v>8000</v>
      </c>
      <c r="N132" s="386"/>
      <c r="O132" s="67">
        <v>8400</v>
      </c>
      <c r="P132" s="386"/>
      <c r="Q132" s="71">
        <v>9200</v>
      </c>
      <c r="R132" s="384"/>
      <c r="S132" s="67"/>
      <c r="T132" s="386"/>
      <c r="U132" s="67"/>
      <c r="V132" s="384"/>
      <c r="W132" s="67"/>
      <c r="X132" s="384"/>
      <c r="Y132" s="67"/>
      <c r="Z132" s="384"/>
      <c r="AA132" s="67"/>
      <c r="AB132" s="384"/>
      <c r="AC132" s="71">
        <f t="shared" si="2"/>
        <v>53180</v>
      </c>
      <c r="AD132" s="384">
        <f t="shared" si="2"/>
        <v>0</v>
      </c>
    </row>
    <row r="133" spans="1:30" ht="15.6" x14ac:dyDescent="0.3">
      <c r="A133" s="387">
        <v>65</v>
      </c>
      <c r="B133" s="230" t="s">
        <v>100</v>
      </c>
      <c r="C133" s="67" t="s">
        <v>393</v>
      </c>
      <c r="D133" s="68" t="s">
        <v>373</v>
      </c>
      <c r="E133" s="69">
        <v>3060</v>
      </c>
      <c r="F133" s="384">
        <v>0</v>
      </c>
      <c r="G133" s="71">
        <v>4000</v>
      </c>
      <c r="H133" s="384">
        <f>87858+82147.5</f>
        <v>170005.5</v>
      </c>
      <c r="I133" s="69">
        <v>4400</v>
      </c>
      <c r="J133" s="384">
        <v>136912.5</v>
      </c>
      <c r="K133" s="70">
        <v>3800</v>
      </c>
      <c r="L133" s="385">
        <v>363150</v>
      </c>
      <c r="M133" s="70">
        <v>4000</v>
      </c>
      <c r="N133" s="385">
        <v>255550</v>
      </c>
      <c r="O133" s="67">
        <v>4200</v>
      </c>
      <c r="P133" s="385">
        <v>269000</v>
      </c>
      <c r="Q133" s="71">
        <v>4600</v>
      </c>
      <c r="R133" s="384">
        <v>282450</v>
      </c>
      <c r="S133" s="67"/>
      <c r="T133" s="385"/>
      <c r="U133" s="67"/>
      <c r="V133" s="384"/>
      <c r="W133" s="67"/>
      <c r="X133" s="384"/>
      <c r="Y133" s="67"/>
      <c r="Z133" s="384"/>
      <c r="AA133" s="67"/>
      <c r="AB133" s="384"/>
      <c r="AC133" s="71">
        <f t="shared" si="2"/>
        <v>28060</v>
      </c>
      <c r="AD133" s="384">
        <f t="shared" si="2"/>
        <v>1477068</v>
      </c>
    </row>
    <row r="134" spans="1:30" ht="15.6" x14ac:dyDescent="0.3">
      <c r="A134" s="387"/>
      <c r="B134" s="231" t="s">
        <v>100</v>
      </c>
      <c r="C134" s="67" t="s">
        <v>393</v>
      </c>
      <c r="D134" s="68" t="s">
        <v>374</v>
      </c>
      <c r="E134" s="69">
        <v>5130</v>
      </c>
      <c r="F134" s="384"/>
      <c r="G134" s="71">
        <v>5550</v>
      </c>
      <c r="H134" s="384"/>
      <c r="I134" s="69">
        <v>6600</v>
      </c>
      <c r="J134" s="384"/>
      <c r="K134" s="70">
        <v>5700</v>
      </c>
      <c r="L134" s="386"/>
      <c r="M134" s="70">
        <v>6000</v>
      </c>
      <c r="N134" s="386"/>
      <c r="O134" s="67">
        <v>6300</v>
      </c>
      <c r="P134" s="386"/>
      <c r="Q134" s="71">
        <v>6900</v>
      </c>
      <c r="R134" s="384"/>
      <c r="S134" s="67"/>
      <c r="T134" s="386"/>
      <c r="U134" s="67"/>
      <c r="V134" s="384"/>
      <c r="W134" s="67"/>
      <c r="X134" s="384"/>
      <c r="Y134" s="67"/>
      <c r="Z134" s="384"/>
      <c r="AA134" s="67"/>
      <c r="AB134" s="384"/>
      <c r="AC134" s="71">
        <f t="shared" si="2"/>
        <v>42180</v>
      </c>
      <c r="AD134" s="384">
        <f t="shared" si="2"/>
        <v>0</v>
      </c>
    </row>
    <row r="135" spans="1:30" ht="15.6" x14ac:dyDescent="0.3">
      <c r="A135" s="387">
        <v>66</v>
      </c>
      <c r="B135" s="230" t="s">
        <v>100</v>
      </c>
      <c r="C135" s="67" t="s">
        <v>116</v>
      </c>
      <c r="D135" s="68" t="s">
        <v>373</v>
      </c>
      <c r="E135" s="69">
        <v>0</v>
      </c>
      <c r="F135" s="384">
        <v>0</v>
      </c>
      <c r="G135" s="69">
        <v>0</v>
      </c>
      <c r="H135" s="384">
        <v>0</v>
      </c>
      <c r="I135" s="69">
        <v>0</v>
      </c>
      <c r="J135" s="384">
        <v>0</v>
      </c>
      <c r="K135" s="69">
        <v>0</v>
      </c>
      <c r="L135" s="384">
        <v>0</v>
      </c>
      <c r="M135" s="69">
        <v>0</v>
      </c>
      <c r="N135" s="384">
        <v>0</v>
      </c>
      <c r="O135" s="67">
        <v>750</v>
      </c>
      <c r="P135" s="385">
        <v>0</v>
      </c>
      <c r="Q135" s="71">
        <v>4200</v>
      </c>
      <c r="R135" s="384">
        <v>0</v>
      </c>
      <c r="S135" s="67"/>
      <c r="T135" s="385"/>
      <c r="U135" s="67"/>
      <c r="V135" s="384"/>
      <c r="W135" s="67"/>
      <c r="X135" s="384"/>
      <c r="Y135" s="67"/>
      <c r="Z135" s="384"/>
      <c r="AA135" s="67"/>
      <c r="AB135" s="384"/>
      <c r="AC135" s="71">
        <f t="shared" si="2"/>
        <v>4950</v>
      </c>
      <c r="AD135" s="384">
        <f t="shared" si="2"/>
        <v>0</v>
      </c>
    </row>
    <row r="136" spans="1:30" ht="15.6" x14ac:dyDescent="0.3">
      <c r="A136" s="387"/>
      <c r="B136" s="231" t="s">
        <v>100</v>
      </c>
      <c r="C136" s="67" t="s">
        <v>116</v>
      </c>
      <c r="D136" s="68" t="s">
        <v>374</v>
      </c>
      <c r="E136" s="69">
        <v>0</v>
      </c>
      <c r="F136" s="384"/>
      <c r="G136" s="69">
        <v>0</v>
      </c>
      <c r="H136" s="384"/>
      <c r="I136" s="69">
        <v>0</v>
      </c>
      <c r="J136" s="384"/>
      <c r="K136" s="69">
        <v>0</v>
      </c>
      <c r="L136" s="384"/>
      <c r="M136" s="69">
        <v>0</v>
      </c>
      <c r="N136" s="384"/>
      <c r="O136" s="67">
        <v>1000</v>
      </c>
      <c r="P136" s="386"/>
      <c r="Q136" s="71">
        <v>5593</v>
      </c>
      <c r="R136" s="384"/>
      <c r="S136" s="67"/>
      <c r="T136" s="386"/>
      <c r="U136" s="67"/>
      <c r="V136" s="384"/>
      <c r="W136" s="67"/>
      <c r="X136" s="384"/>
      <c r="Y136" s="67"/>
      <c r="Z136" s="384"/>
      <c r="AA136" s="67"/>
      <c r="AB136" s="384"/>
      <c r="AC136" s="71">
        <f t="shared" si="2"/>
        <v>6593</v>
      </c>
      <c r="AD136" s="384">
        <f t="shared" si="2"/>
        <v>0</v>
      </c>
    </row>
    <row r="137" spans="1:30" ht="15.6" x14ac:dyDescent="0.3">
      <c r="A137" s="387">
        <v>67</v>
      </c>
      <c r="B137" s="230" t="s">
        <v>117</v>
      </c>
      <c r="C137" s="67" t="s">
        <v>118</v>
      </c>
      <c r="D137" s="68" t="s">
        <v>373</v>
      </c>
      <c r="E137" s="69">
        <v>1800</v>
      </c>
      <c r="F137" s="384">
        <v>0</v>
      </c>
      <c r="G137" s="71">
        <v>2000</v>
      </c>
      <c r="H137" s="384">
        <v>0</v>
      </c>
      <c r="I137" s="69">
        <v>2200</v>
      </c>
      <c r="J137" s="384">
        <v>344536.5</v>
      </c>
      <c r="K137" s="70">
        <v>1900</v>
      </c>
      <c r="L137" s="385">
        <v>196251</v>
      </c>
      <c r="M137" s="70">
        <v>1989</v>
      </c>
      <c r="N137" s="385">
        <v>169489.5</v>
      </c>
      <c r="O137" s="67">
        <v>2000</v>
      </c>
      <c r="P137" s="385">
        <v>178040.06999999995</v>
      </c>
      <c r="Q137" s="71">
        <v>1725</v>
      </c>
      <c r="R137" s="384">
        <v>178410.00000000012</v>
      </c>
      <c r="S137" s="67"/>
      <c r="T137" s="384"/>
      <c r="U137" s="67"/>
      <c r="V137" s="384"/>
      <c r="W137" s="67"/>
      <c r="X137" s="384"/>
      <c r="Y137" s="67"/>
      <c r="Z137" s="384"/>
      <c r="AA137" s="67"/>
      <c r="AB137" s="384"/>
      <c r="AC137" s="71">
        <f t="shared" si="2"/>
        <v>13614</v>
      </c>
      <c r="AD137" s="384">
        <f t="shared" si="2"/>
        <v>1066727.07</v>
      </c>
    </row>
    <row r="138" spans="1:30" ht="15.6" x14ac:dyDescent="0.3">
      <c r="A138" s="387"/>
      <c r="B138" s="231" t="s">
        <v>117</v>
      </c>
      <c r="C138" s="67" t="s">
        <v>118</v>
      </c>
      <c r="D138" s="68" t="s">
        <v>374</v>
      </c>
      <c r="E138" s="69">
        <v>2850</v>
      </c>
      <c r="F138" s="384"/>
      <c r="G138" s="71">
        <v>3000</v>
      </c>
      <c r="H138" s="384"/>
      <c r="I138" s="69">
        <v>3300</v>
      </c>
      <c r="J138" s="384"/>
      <c r="K138" s="70">
        <v>2850</v>
      </c>
      <c r="L138" s="386"/>
      <c r="M138" s="70">
        <v>3000</v>
      </c>
      <c r="N138" s="386"/>
      <c r="O138" s="67">
        <v>3000</v>
      </c>
      <c r="P138" s="386"/>
      <c r="Q138" s="71">
        <v>3450</v>
      </c>
      <c r="R138" s="384"/>
      <c r="S138" s="67"/>
      <c r="T138" s="384"/>
      <c r="U138" s="67"/>
      <c r="V138" s="384"/>
      <c r="W138" s="67"/>
      <c r="X138" s="384"/>
      <c r="Y138" s="67"/>
      <c r="Z138" s="384"/>
      <c r="AA138" s="67"/>
      <c r="AB138" s="384"/>
      <c r="AC138" s="71">
        <f t="shared" si="2"/>
        <v>21450</v>
      </c>
      <c r="AD138" s="384">
        <f t="shared" si="2"/>
        <v>0</v>
      </c>
    </row>
    <row r="139" spans="1:30" ht="15.6" x14ac:dyDescent="0.3">
      <c r="A139" s="387">
        <v>68</v>
      </c>
      <c r="B139" s="230" t="s">
        <v>117</v>
      </c>
      <c r="C139" s="67" t="s">
        <v>117</v>
      </c>
      <c r="D139" s="68" t="s">
        <v>373</v>
      </c>
      <c r="E139" s="69">
        <v>1800</v>
      </c>
      <c r="F139" s="384">
        <v>0</v>
      </c>
      <c r="G139" s="71">
        <v>2000</v>
      </c>
      <c r="H139" s="384">
        <v>0</v>
      </c>
      <c r="I139" s="69">
        <v>2200</v>
      </c>
      <c r="J139" s="384">
        <v>331426.5</v>
      </c>
      <c r="K139" s="70">
        <v>1900</v>
      </c>
      <c r="L139" s="385">
        <v>191052</v>
      </c>
      <c r="M139" s="70">
        <v>2000</v>
      </c>
      <c r="N139" s="385">
        <v>0</v>
      </c>
      <c r="O139" s="67">
        <v>2100</v>
      </c>
      <c r="P139" s="385">
        <v>275445</v>
      </c>
      <c r="Q139" s="71">
        <v>2263</v>
      </c>
      <c r="R139" s="384">
        <v>149625</v>
      </c>
      <c r="S139" s="67"/>
      <c r="T139" s="384"/>
      <c r="U139" s="67"/>
      <c r="V139" s="384"/>
      <c r="W139" s="67"/>
      <c r="X139" s="384"/>
      <c r="Y139" s="67"/>
      <c r="Z139" s="384"/>
      <c r="AA139" s="67"/>
      <c r="AB139" s="384"/>
      <c r="AC139" s="71">
        <f t="shared" si="2"/>
        <v>14263</v>
      </c>
      <c r="AD139" s="384">
        <f t="shared" si="2"/>
        <v>947548.5</v>
      </c>
    </row>
    <row r="140" spans="1:30" ht="15.6" x14ac:dyDescent="0.3">
      <c r="A140" s="387"/>
      <c r="B140" s="231" t="s">
        <v>117</v>
      </c>
      <c r="C140" s="67" t="s">
        <v>117</v>
      </c>
      <c r="D140" s="68" t="s">
        <v>374</v>
      </c>
      <c r="E140" s="69">
        <v>3325</v>
      </c>
      <c r="F140" s="384"/>
      <c r="G140" s="71">
        <v>3500</v>
      </c>
      <c r="H140" s="384"/>
      <c r="I140" s="69">
        <v>3850</v>
      </c>
      <c r="J140" s="384"/>
      <c r="K140" s="70">
        <v>3325</v>
      </c>
      <c r="L140" s="386"/>
      <c r="M140" s="70">
        <v>3410</v>
      </c>
      <c r="N140" s="386"/>
      <c r="O140" s="67">
        <v>3675</v>
      </c>
      <c r="P140" s="386"/>
      <c r="Q140" s="71">
        <v>4025</v>
      </c>
      <c r="R140" s="384"/>
      <c r="S140" s="67"/>
      <c r="T140" s="384"/>
      <c r="U140" s="67"/>
      <c r="V140" s="384"/>
      <c r="W140" s="67"/>
      <c r="X140" s="384"/>
      <c r="Y140" s="67"/>
      <c r="Z140" s="384"/>
      <c r="AA140" s="67"/>
      <c r="AB140" s="384"/>
      <c r="AC140" s="71">
        <f t="shared" si="2"/>
        <v>25110</v>
      </c>
      <c r="AD140" s="384">
        <f t="shared" si="2"/>
        <v>0</v>
      </c>
    </row>
    <row r="141" spans="1:30" ht="15.6" x14ac:dyDescent="0.3">
      <c r="A141" s="387">
        <v>69</v>
      </c>
      <c r="B141" s="230" t="s">
        <v>117</v>
      </c>
      <c r="C141" s="67" t="s">
        <v>126</v>
      </c>
      <c r="D141" s="68" t="s">
        <v>373</v>
      </c>
      <c r="E141" s="69">
        <v>1800</v>
      </c>
      <c r="F141" s="384">
        <v>0</v>
      </c>
      <c r="G141" s="71">
        <v>1700</v>
      </c>
      <c r="H141" s="384">
        <v>0</v>
      </c>
      <c r="I141" s="69">
        <v>2200</v>
      </c>
      <c r="J141" s="384">
        <v>344536.5</v>
      </c>
      <c r="K141" s="70">
        <v>1900</v>
      </c>
      <c r="L141" s="385">
        <v>196251</v>
      </c>
      <c r="M141" s="70">
        <v>0</v>
      </c>
      <c r="N141" s="385">
        <v>169489.5</v>
      </c>
      <c r="O141" s="67">
        <v>0</v>
      </c>
      <c r="P141" s="385">
        <v>0</v>
      </c>
      <c r="Q141" s="71">
        <v>0</v>
      </c>
      <c r="R141" s="384">
        <v>0</v>
      </c>
      <c r="S141" s="67"/>
      <c r="T141" s="384"/>
      <c r="U141" s="67"/>
      <c r="V141" s="384"/>
      <c r="W141" s="67"/>
      <c r="X141" s="384"/>
      <c r="Y141" s="67"/>
      <c r="Z141" s="384"/>
      <c r="AA141" s="67"/>
      <c r="AB141" s="384"/>
      <c r="AC141" s="71">
        <f t="shared" si="2"/>
        <v>7600</v>
      </c>
      <c r="AD141" s="384">
        <f t="shared" si="2"/>
        <v>710277</v>
      </c>
    </row>
    <row r="142" spans="1:30" ht="15.6" x14ac:dyDescent="0.3">
      <c r="A142" s="387"/>
      <c r="B142" s="231" t="s">
        <v>117</v>
      </c>
      <c r="C142" s="67" t="s">
        <v>126</v>
      </c>
      <c r="D142" s="68" t="s">
        <v>374</v>
      </c>
      <c r="E142" s="69">
        <v>2850</v>
      </c>
      <c r="F142" s="384"/>
      <c r="G142" s="71">
        <v>2550</v>
      </c>
      <c r="H142" s="384"/>
      <c r="I142" s="69">
        <v>3300</v>
      </c>
      <c r="J142" s="384"/>
      <c r="K142" s="70">
        <v>2850</v>
      </c>
      <c r="L142" s="386"/>
      <c r="M142" s="70">
        <v>0</v>
      </c>
      <c r="N142" s="386"/>
      <c r="O142" s="67">
        <v>0</v>
      </c>
      <c r="P142" s="386"/>
      <c r="Q142" s="71">
        <v>0</v>
      </c>
      <c r="R142" s="384"/>
      <c r="S142" s="67"/>
      <c r="T142" s="384"/>
      <c r="U142" s="67"/>
      <c r="V142" s="384"/>
      <c r="W142" s="67"/>
      <c r="X142" s="384"/>
      <c r="Y142" s="67"/>
      <c r="Z142" s="384"/>
      <c r="AA142" s="67"/>
      <c r="AB142" s="384"/>
      <c r="AC142" s="71">
        <f t="shared" si="2"/>
        <v>11550</v>
      </c>
      <c r="AD142" s="384">
        <f t="shared" si="2"/>
        <v>0</v>
      </c>
    </row>
    <row r="143" spans="1:30" ht="15.6" x14ac:dyDescent="0.3">
      <c r="A143" s="391">
        <v>70</v>
      </c>
      <c r="B143" s="232" t="s">
        <v>117</v>
      </c>
      <c r="C143" s="73" t="s">
        <v>648</v>
      </c>
      <c r="D143" s="74" t="s">
        <v>373</v>
      </c>
      <c r="E143" s="75">
        <v>0</v>
      </c>
      <c r="F143" s="389">
        <v>0</v>
      </c>
      <c r="G143" s="233">
        <v>0</v>
      </c>
      <c r="H143" s="389">
        <v>0</v>
      </c>
      <c r="I143" s="233">
        <v>0</v>
      </c>
      <c r="J143" s="389">
        <v>0</v>
      </c>
      <c r="K143" s="233">
        <v>0</v>
      </c>
      <c r="L143" s="389">
        <v>0</v>
      </c>
      <c r="M143" s="233">
        <v>0</v>
      </c>
      <c r="N143" s="389">
        <v>0</v>
      </c>
      <c r="O143" s="73">
        <v>0</v>
      </c>
      <c r="P143" s="389">
        <v>0</v>
      </c>
      <c r="Q143" s="76">
        <v>1172</v>
      </c>
      <c r="R143" s="388">
        <v>0</v>
      </c>
      <c r="S143" s="73"/>
      <c r="T143" s="388"/>
      <c r="U143" s="73"/>
      <c r="V143" s="388"/>
      <c r="W143" s="73"/>
      <c r="X143" s="388"/>
      <c r="Y143" s="73"/>
      <c r="Z143" s="388"/>
      <c r="AA143" s="73"/>
      <c r="AB143" s="388"/>
      <c r="AC143" s="76">
        <f t="shared" si="2"/>
        <v>1172</v>
      </c>
      <c r="AD143" s="388">
        <f t="shared" si="2"/>
        <v>0</v>
      </c>
    </row>
    <row r="144" spans="1:30" ht="15.6" x14ac:dyDescent="0.3">
      <c r="A144" s="391"/>
      <c r="B144" s="234" t="s">
        <v>117</v>
      </c>
      <c r="C144" s="73" t="s">
        <v>648</v>
      </c>
      <c r="D144" s="74" t="s">
        <v>374</v>
      </c>
      <c r="E144" s="75">
        <v>0</v>
      </c>
      <c r="F144" s="390"/>
      <c r="G144" s="233">
        <v>0</v>
      </c>
      <c r="H144" s="390"/>
      <c r="I144" s="233">
        <v>0</v>
      </c>
      <c r="J144" s="390"/>
      <c r="K144" s="233">
        <v>0</v>
      </c>
      <c r="L144" s="390"/>
      <c r="M144" s="233">
        <v>0</v>
      </c>
      <c r="N144" s="390"/>
      <c r="O144" s="73">
        <v>0</v>
      </c>
      <c r="P144" s="390"/>
      <c r="Q144" s="76">
        <v>1498</v>
      </c>
      <c r="R144" s="388"/>
      <c r="S144" s="73"/>
      <c r="T144" s="388"/>
      <c r="U144" s="73"/>
      <c r="V144" s="388"/>
      <c r="W144" s="73"/>
      <c r="X144" s="388"/>
      <c r="Y144" s="73"/>
      <c r="Z144" s="388"/>
      <c r="AA144" s="73"/>
      <c r="AB144" s="388"/>
      <c r="AC144" s="76">
        <f t="shared" si="2"/>
        <v>1498</v>
      </c>
      <c r="AD144" s="388">
        <f t="shared" si="2"/>
        <v>0</v>
      </c>
    </row>
    <row r="145" spans="1:30" ht="15.6" x14ac:dyDescent="0.3">
      <c r="A145" s="391">
        <v>71</v>
      </c>
      <c r="B145" s="232" t="s">
        <v>117</v>
      </c>
      <c r="C145" s="73" t="s">
        <v>129</v>
      </c>
      <c r="D145" s="74" t="s">
        <v>373</v>
      </c>
      <c r="E145" s="75">
        <v>0</v>
      </c>
      <c r="F145" s="389">
        <v>0</v>
      </c>
      <c r="G145" s="233">
        <v>0</v>
      </c>
      <c r="H145" s="389">
        <v>0</v>
      </c>
      <c r="I145" s="233">
        <v>0</v>
      </c>
      <c r="J145" s="389">
        <v>0</v>
      </c>
      <c r="K145" s="233">
        <v>0</v>
      </c>
      <c r="L145" s="389">
        <v>0</v>
      </c>
      <c r="M145" s="233">
        <v>0</v>
      </c>
      <c r="N145" s="389">
        <v>0</v>
      </c>
      <c r="O145" s="73">
        <v>0</v>
      </c>
      <c r="P145" s="389">
        <v>0</v>
      </c>
      <c r="Q145" s="76">
        <v>1492</v>
      </c>
      <c r="R145" s="388">
        <v>0</v>
      </c>
      <c r="S145" s="73"/>
      <c r="T145" s="388"/>
      <c r="U145" s="73"/>
      <c r="V145" s="388"/>
      <c r="W145" s="73"/>
      <c r="X145" s="388"/>
      <c r="Y145" s="73"/>
      <c r="Z145" s="388"/>
      <c r="AA145" s="73"/>
      <c r="AB145" s="388"/>
      <c r="AC145" s="76">
        <f t="shared" si="2"/>
        <v>1492</v>
      </c>
      <c r="AD145" s="388">
        <f t="shared" si="2"/>
        <v>0</v>
      </c>
    </row>
    <row r="146" spans="1:30" ht="15.6" x14ac:dyDescent="0.3">
      <c r="A146" s="391"/>
      <c r="B146" s="234" t="s">
        <v>117</v>
      </c>
      <c r="C146" s="73" t="s">
        <v>129</v>
      </c>
      <c r="D146" s="74" t="s">
        <v>374</v>
      </c>
      <c r="E146" s="75">
        <v>0</v>
      </c>
      <c r="F146" s="390"/>
      <c r="G146" s="233">
        <v>0</v>
      </c>
      <c r="H146" s="390"/>
      <c r="I146" s="233">
        <v>0</v>
      </c>
      <c r="J146" s="390"/>
      <c r="K146" s="233">
        <v>0</v>
      </c>
      <c r="L146" s="390"/>
      <c r="M146" s="233">
        <v>0</v>
      </c>
      <c r="N146" s="390"/>
      <c r="O146" s="73">
        <v>0</v>
      </c>
      <c r="P146" s="390"/>
      <c r="Q146" s="76">
        <v>1500</v>
      </c>
      <c r="R146" s="388"/>
      <c r="S146" s="73"/>
      <c r="T146" s="388"/>
      <c r="U146" s="73"/>
      <c r="V146" s="388"/>
      <c r="W146" s="73"/>
      <c r="X146" s="388"/>
      <c r="Y146" s="73"/>
      <c r="Z146" s="388"/>
      <c r="AA146" s="73"/>
      <c r="AB146" s="388"/>
      <c r="AC146" s="76">
        <f t="shared" si="2"/>
        <v>1500</v>
      </c>
      <c r="AD146" s="388">
        <f t="shared" si="2"/>
        <v>0</v>
      </c>
    </row>
    <row r="147" spans="1:30" ht="15.6" x14ac:dyDescent="0.3">
      <c r="A147" s="387">
        <v>72</v>
      </c>
      <c r="B147" s="230" t="s">
        <v>117</v>
      </c>
      <c r="C147" s="67" t="s">
        <v>132</v>
      </c>
      <c r="D147" s="68" t="s">
        <v>373</v>
      </c>
      <c r="E147" s="69">
        <v>2700</v>
      </c>
      <c r="F147" s="384">
        <v>0</v>
      </c>
      <c r="G147" s="71">
        <v>3000</v>
      </c>
      <c r="H147" s="384">
        <v>0</v>
      </c>
      <c r="I147" s="69">
        <v>3300</v>
      </c>
      <c r="J147" s="384">
        <v>480681</v>
      </c>
      <c r="K147" s="70">
        <v>3300</v>
      </c>
      <c r="L147" s="385">
        <v>273999</v>
      </c>
      <c r="M147" s="70">
        <v>3000</v>
      </c>
      <c r="N147" s="385">
        <v>236635.5</v>
      </c>
      <c r="O147" s="67">
        <v>3150</v>
      </c>
      <c r="P147" s="385">
        <v>249090</v>
      </c>
      <c r="Q147" s="71">
        <v>3450</v>
      </c>
      <c r="R147" s="384">
        <v>261544.5</v>
      </c>
      <c r="S147" s="67"/>
      <c r="T147" s="384"/>
      <c r="U147" s="67"/>
      <c r="V147" s="384"/>
      <c r="W147" s="67"/>
      <c r="X147" s="384"/>
      <c r="Y147" s="67"/>
      <c r="Z147" s="384"/>
      <c r="AA147" s="67"/>
      <c r="AB147" s="384"/>
      <c r="AC147" s="71">
        <f t="shared" si="2"/>
        <v>21900</v>
      </c>
      <c r="AD147" s="384">
        <f t="shared" si="2"/>
        <v>1501950</v>
      </c>
    </row>
    <row r="148" spans="1:30" ht="15.6" x14ac:dyDescent="0.3">
      <c r="A148" s="387"/>
      <c r="B148" s="231" t="s">
        <v>117</v>
      </c>
      <c r="C148" s="67" t="s">
        <v>132</v>
      </c>
      <c r="D148" s="68" t="s">
        <v>374</v>
      </c>
      <c r="E148" s="69">
        <v>3750</v>
      </c>
      <c r="F148" s="384"/>
      <c r="G148" s="71">
        <v>4000</v>
      </c>
      <c r="H148" s="384"/>
      <c r="I148" s="69">
        <v>4400</v>
      </c>
      <c r="J148" s="384"/>
      <c r="K148" s="70">
        <v>4400</v>
      </c>
      <c r="L148" s="386"/>
      <c r="M148" s="70">
        <v>4000</v>
      </c>
      <c r="N148" s="386"/>
      <c r="O148" s="67">
        <v>4200</v>
      </c>
      <c r="P148" s="386"/>
      <c r="Q148" s="71">
        <v>4600</v>
      </c>
      <c r="R148" s="384"/>
      <c r="S148" s="67"/>
      <c r="T148" s="384"/>
      <c r="U148" s="67"/>
      <c r="V148" s="384"/>
      <c r="W148" s="67"/>
      <c r="X148" s="384"/>
      <c r="Y148" s="67"/>
      <c r="Z148" s="384"/>
      <c r="AA148" s="67"/>
      <c r="AB148" s="384"/>
      <c r="AC148" s="71">
        <f t="shared" si="2"/>
        <v>29350</v>
      </c>
      <c r="AD148" s="384">
        <f t="shared" si="2"/>
        <v>0</v>
      </c>
    </row>
    <row r="149" spans="1:30" ht="15.6" x14ac:dyDescent="0.3">
      <c r="A149" s="391">
        <v>73</v>
      </c>
      <c r="B149" s="232" t="s">
        <v>117</v>
      </c>
      <c r="C149" s="73" t="s">
        <v>649</v>
      </c>
      <c r="D149" s="74" t="s">
        <v>373</v>
      </c>
      <c r="E149" s="75">
        <v>0</v>
      </c>
      <c r="F149" s="389">
        <v>0</v>
      </c>
      <c r="G149" s="233">
        <v>0</v>
      </c>
      <c r="H149" s="389">
        <v>0</v>
      </c>
      <c r="I149" s="233">
        <v>0</v>
      </c>
      <c r="J149" s="389">
        <v>0</v>
      </c>
      <c r="K149" s="233">
        <v>0</v>
      </c>
      <c r="L149" s="389">
        <v>0</v>
      </c>
      <c r="M149" s="233">
        <v>0</v>
      </c>
      <c r="N149" s="389">
        <v>0</v>
      </c>
      <c r="O149" s="73">
        <v>0</v>
      </c>
      <c r="P149" s="389">
        <v>0</v>
      </c>
      <c r="Q149" s="76">
        <v>2950</v>
      </c>
      <c r="R149" s="388">
        <v>0</v>
      </c>
      <c r="S149" s="73"/>
      <c r="T149" s="388"/>
      <c r="U149" s="73"/>
      <c r="V149" s="388"/>
      <c r="W149" s="73"/>
      <c r="X149" s="388"/>
      <c r="Y149" s="73"/>
      <c r="Z149" s="388"/>
      <c r="AA149" s="73"/>
      <c r="AB149" s="388"/>
      <c r="AC149" s="76">
        <f t="shared" si="2"/>
        <v>2950</v>
      </c>
      <c r="AD149" s="388">
        <f t="shared" si="2"/>
        <v>0</v>
      </c>
    </row>
    <row r="150" spans="1:30" ht="15.6" x14ac:dyDescent="0.3">
      <c r="A150" s="391"/>
      <c r="B150" s="234" t="s">
        <v>117</v>
      </c>
      <c r="C150" s="73" t="s">
        <v>649</v>
      </c>
      <c r="D150" s="74" t="s">
        <v>374</v>
      </c>
      <c r="E150" s="75">
        <v>0</v>
      </c>
      <c r="F150" s="390"/>
      <c r="G150" s="233">
        <v>0</v>
      </c>
      <c r="H150" s="390"/>
      <c r="I150" s="233">
        <v>0</v>
      </c>
      <c r="J150" s="390"/>
      <c r="K150" s="233">
        <v>0</v>
      </c>
      <c r="L150" s="390"/>
      <c r="M150" s="233">
        <v>0</v>
      </c>
      <c r="N150" s="390"/>
      <c r="O150" s="73">
        <v>0</v>
      </c>
      <c r="P150" s="390"/>
      <c r="Q150" s="76">
        <v>4000</v>
      </c>
      <c r="R150" s="388"/>
      <c r="S150" s="73"/>
      <c r="T150" s="388"/>
      <c r="U150" s="73"/>
      <c r="V150" s="388"/>
      <c r="W150" s="73"/>
      <c r="X150" s="388"/>
      <c r="Y150" s="73"/>
      <c r="Z150" s="388"/>
      <c r="AA150" s="73"/>
      <c r="AB150" s="388"/>
      <c r="AC150" s="76">
        <f t="shared" si="2"/>
        <v>4000</v>
      </c>
      <c r="AD150" s="388">
        <f t="shared" si="2"/>
        <v>0</v>
      </c>
    </row>
    <row r="151" spans="1:30" ht="15.6" x14ac:dyDescent="0.3">
      <c r="A151" s="387">
        <v>74</v>
      </c>
      <c r="B151" s="230" t="s">
        <v>117</v>
      </c>
      <c r="C151" s="67" t="s">
        <v>136</v>
      </c>
      <c r="D151" s="68" t="s">
        <v>373</v>
      </c>
      <c r="E151" s="69">
        <v>1999</v>
      </c>
      <c r="F151" s="384">
        <v>0</v>
      </c>
      <c r="G151" s="71">
        <v>2000</v>
      </c>
      <c r="H151" s="384">
        <v>0</v>
      </c>
      <c r="I151" s="69">
        <v>2200</v>
      </c>
      <c r="J151" s="384">
        <v>398501.25</v>
      </c>
      <c r="K151" s="70">
        <v>1900</v>
      </c>
      <c r="L151" s="385">
        <v>216628.5</v>
      </c>
      <c r="M151" s="70">
        <v>2000</v>
      </c>
      <c r="N151" s="385">
        <v>187088.25</v>
      </c>
      <c r="O151" s="67">
        <v>2100</v>
      </c>
      <c r="P151" s="385">
        <v>196935</v>
      </c>
      <c r="Q151" s="71">
        <v>2300</v>
      </c>
      <c r="R151" s="384">
        <v>206781.75</v>
      </c>
      <c r="S151" s="67"/>
      <c r="T151" s="385"/>
      <c r="U151" s="67"/>
      <c r="V151" s="385"/>
      <c r="W151" s="67"/>
      <c r="X151" s="384"/>
      <c r="Y151" s="67"/>
      <c r="Z151" s="384"/>
      <c r="AA151" s="67"/>
      <c r="AB151" s="384"/>
      <c r="AC151" s="71">
        <f t="shared" si="2"/>
        <v>14499</v>
      </c>
      <c r="AD151" s="384">
        <f t="shared" si="2"/>
        <v>1205934.75</v>
      </c>
    </row>
    <row r="152" spans="1:30" ht="15.6" x14ac:dyDescent="0.3">
      <c r="A152" s="387"/>
      <c r="B152" s="231" t="s">
        <v>117</v>
      </c>
      <c r="C152" s="67" t="s">
        <v>136</v>
      </c>
      <c r="D152" s="68" t="s">
        <v>374</v>
      </c>
      <c r="E152" s="69">
        <v>3625</v>
      </c>
      <c r="F152" s="384"/>
      <c r="G152" s="71">
        <v>3500</v>
      </c>
      <c r="H152" s="384"/>
      <c r="I152" s="69">
        <v>3850</v>
      </c>
      <c r="J152" s="384"/>
      <c r="K152" s="70">
        <v>3325</v>
      </c>
      <c r="L152" s="386"/>
      <c r="M152" s="70">
        <v>3500</v>
      </c>
      <c r="N152" s="386"/>
      <c r="O152" s="67">
        <v>3675</v>
      </c>
      <c r="P152" s="386"/>
      <c r="Q152" s="71">
        <v>4025</v>
      </c>
      <c r="R152" s="384"/>
      <c r="S152" s="67"/>
      <c r="T152" s="386"/>
      <c r="U152" s="67"/>
      <c r="V152" s="386"/>
      <c r="W152" s="67"/>
      <c r="X152" s="384"/>
      <c r="Y152" s="67"/>
      <c r="Z152" s="384"/>
      <c r="AA152" s="67"/>
      <c r="AB152" s="384"/>
      <c r="AC152" s="71">
        <f t="shared" si="2"/>
        <v>25500</v>
      </c>
      <c r="AD152" s="384">
        <f t="shared" si="2"/>
        <v>0</v>
      </c>
    </row>
    <row r="153" spans="1:30" ht="15.6" x14ac:dyDescent="0.3">
      <c r="A153" s="387">
        <v>75</v>
      </c>
      <c r="B153" s="230" t="s">
        <v>117</v>
      </c>
      <c r="C153" s="67" t="s">
        <v>394</v>
      </c>
      <c r="D153" s="68" t="s">
        <v>373</v>
      </c>
      <c r="E153" s="69">
        <v>2700</v>
      </c>
      <c r="F153" s="384">
        <v>0</v>
      </c>
      <c r="G153" s="69">
        <v>3000</v>
      </c>
      <c r="H153" s="384">
        <v>0</v>
      </c>
      <c r="I153" s="69">
        <v>3300</v>
      </c>
      <c r="J153" s="384">
        <v>480681</v>
      </c>
      <c r="K153" s="69">
        <v>2850</v>
      </c>
      <c r="L153" s="385">
        <v>273999</v>
      </c>
      <c r="M153" s="69">
        <v>3000</v>
      </c>
      <c r="N153" s="384">
        <v>236635.5</v>
      </c>
      <c r="O153" s="69">
        <v>1500</v>
      </c>
      <c r="P153" s="384">
        <v>249090</v>
      </c>
      <c r="Q153" s="69">
        <v>0</v>
      </c>
      <c r="R153" s="384">
        <v>124545</v>
      </c>
      <c r="S153" s="69"/>
      <c r="T153" s="384"/>
      <c r="U153" s="67"/>
      <c r="V153" s="385"/>
      <c r="W153" s="67"/>
      <c r="X153" s="384"/>
      <c r="Y153" s="67"/>
      <c r="Z153" s="384"/>
      <c r="AA153" s="67"/>
      <c r="AB153" s="384"/>
      <c r="AC153" s="71">
        <f t="shared" si="2"/>
        <v>16350</v>
      </c>
      <c r="AD153" s="384">
        <f t="shared" si="2"/>
        <v>1364950.5</v>
      </c>
    </row>
    <row r="154" spans="1:30" ht="15.6" x14ac:dyDescent="0.3">
      <c r="A154" s="387"/>
      <c r="B154" s="231" t="s">
        <v>117</v>
      </c>
      <c r="C154" s="67" t="s">
        <v>394</v>
      </c>
      <c r="D154" s="68" t="s">
        <v>374</v>
      </c>
      <c r="E154" s="69">
        <v>3800</v>
      </c>
      <c r="F154" s="384"/>
      <c r="G154" s="69">
        <v>4000</v>
      </c>
      <c r="H154" s="384"/>
      <c r="I154" s="69">
        <v>4400</v>
      </c>
      <c r="J154" s="384"/>
      <c r="K154" s="69">
        <v>3800</v>
      </c>
      <c r="L154" s="386"/>
      <c r="M154" s="69">
        <v>4000</v>
      </c>
      <c r="N154" s="384"/>
      <c r="O154" s="69">
        <v>2000</v>
      </c>
      <c r="P154" s="384"/>
      <c r="Q154" s="69">
        <v>0</v>
      </c>
      <c r="R154" s="384"/>
      <c r="S154" s="69"/>
      <c r="T154" s="384"/>
      <c r="U154" s="67"/>
      <c r="V154" s="386"/>
      <c r="W154" s="67"/>
      <c r="X154" s="384"/>
      <c r="Y154" s="67"/>
      <c r="Z154" s="384"/>
      <c r="AA154" s="67"/>
      <c r="AB154" s="384"/>
      <c r="AC154" s="71">
        <f t="shared" si="2"/>
        <v>22000</v>
      </c>
      <c r="AD154" s="384">
        <f t="shared" si="2"/>
        <v>0</v>
      </c>
    </row>
    <row r="155" spans="1:30" ht="15.6" x14ac:dyDescent="0.3">
      <c r="A155" s="387">
        <v>76</v>
      </c>
      <c r="B155" s="230" t="s">
        <v>117</v>
      </c>
      <c r="C155" s="67" t="s">
        <v>138</v>
      </c>
      <c r="D155" s="68" t="s">
        <v>373</v>
      </c>
      <c r="E155" s="69">
        <v>1800</v>
      </c>
      <c r="F155" s="384">
        <v>0</v>
      </c>
      <c r="G155" s="69">
        <v>2000</v>
      </c>
      <c r="H155" s="384">
        <v>0</v>
      </c>
      <c r="I155" s="69">
        <v>2200</v>
      </c>
      <c r="J155" s="384">
        <v>343721.4</v>
      </c>
      <c r="K155" s="69">
        <v>1900</v>
      </c>
      <c r="L155" s="385">
        <v>196251</v>
      </c>
      <c r="M155" s="69">
        <v>2000</v>
      </c>
      <c r="N155" s="384">
        <v>169489.5</v>
      </c>
      <c r="O155" s="69">
        <v>1950</v>
      </c>
      <c r="P155" s="384">
        <v>178410</v>
      </c>
      <c r="Q155" s="69">
        <v>2225</v>
      </c>
      <c r="R155" s="384">
        <v>176728.49999999988</v>
      </c>
      <c r="S155" s="69"/>
      <c r="T155" s="384"/>
      <c r="U155" s="67"/>
      <c r="V155" s="385"/>
      <c r="W155" s="67"/>
      <c r="X155" s="384"/>
      <c r="Y155" s="67"/>
      <c r="Z155" s="384"/>
      <c r="AA155" s="67"/>
      <c r="AB155" s="384"/>
      <c r="AC155" s="71">
        <f t="shared" si="2"/>
        <v>14075</v>
      </c>
      <c r="AD155" s="384">
        <f t="shared" si="2"/>
        <v>1064600.3999999999</v>
      </c>
    </row>
    <row r="156" spans="1:30" ht="15.6" x14ac:dyDescent="0.3">
      <c r="A156" s="387"/>
      <c r="B156" s="231" t="s">
        <v>117</v>
      </c>
      <c r="C156" s="67" t="s">
        <v>138</v>
      </c>
      <c r="D156" s="68" t="s">
        <v>374</v>
      </c>
      <c r="E156" s="69">
        <v>2850</v>
      </c>
      <c r="F156" s="384"/>
      <c r="G156" s="69">
        <v>3000</v>
      </c>
      <c r="H156" s="384"/>
      <c r="I156" s="69">
        <v>3300</v>
      </c>
      <c r="J156" s="384"/>
      <c r="K156" s="69">
        <v>2850</v>
      </c>
      <c r="L156" s="386"/>
      <c r="M156" s="69">
        <v>3000</v>
      </c>
      <c r="N156" s="384"/>
      <c r="O156" s="69">
        <v>3000</v>
      </c>
      <c r="P156" s="384"/>
      <c r="Q156" s="69">
        <v>3375</v>
      </c>
      <c r="R156" s="384"/>
      <c r="S156" s="69"/>
      <c r="T156" s="384"/>
      <c r="U156" s="67"/>
      <c r="V156" s="386"/>
      <c r="W156" s="67"/>
      <c r="X156" s="384"/>
      <c r="Y156" s="67"/>
      <c r="Z156" s="384"/>
      <c r="AA156" s="67"/>
      <c r="AB156" s="384"/>
      <c r="AC156" s="71">
        <f t="shared" si="2"/>
        <v>21375</v>
      </c>
      <c r="AD156" s="384">
        <f t="shared" si="2"/>
        <v>0</v>
      </c>
    </row>
    <row r="157" spans="1:30" ht="15.6" x14ac:dyDescent="0.3">
      <c r="A157" s="387">
        <v>77</v>
      </c>
      <c r="B157" s="230" t="s">
        <v>117</v>
      </c>
      <c r="C157" s="67" t="s">
        <v>395</v>
      </c>
      <c r="D157" s="68" t="s">
        <v>373</v>
      </c>
      <c r="E157" s="69">
        <v>0</v>
      </c>
      <c r="F157" s="384">
        <v>0</v>
      </c>
      <c r="G157" s="71">
        <v>0</v>
      </c>
      <c r="H157" s="384">
        <v>0</v>
      </c>
      <c r="I157" s="69">
        <v>0</v>
      </c>
      <c r="J157" s="384">
        <v>0</v>
      </c>
      <c r="K157" s="70">
        <v>900</v>
      </c>
      <c r="L157" s="385">
        <v>0</v>
      </c>
      <c r="M157" s="70">
        <v>2000</v>
      </c>
      <c r="N157" s="385">
        <v>79765.8</v>
      </c>
      <c r="O157" s="67">
        <v>2100</v>
      </c>
      <c r="P157" s="385">
        <v>178410</v>
      </c>
      <c r="Q157" s="71">
        <v>1725</v>
      </c>
      <c r="R157" s="384">
        <v>187330.5</v>
      </c>
      <c r="S157" s="67"/>
      <c r="T157" s="384"/>
      <c r="U157" s="67"/>
      <c r="V157" s="384"/>
      <c r="W157" s="67"/>
      <c r="X157" s="384"/>
      <c r="Y157" s="67"/>
      <c r="Z157" s="384"/>
      <c r="AA157" s="67"/>
      <c r="AB157" s="384"/>
      <c r="AC157" s="71">
        <f t="shared" si="2"/>
        <v>6725</v>
      </c>
      <c r="AD157" s="384">
        <f t="shared" si="2"/>
        <v>445506.3</v>
      </c>
    </row>
    <row r="158" spans="1:30" ht="15.6" x14ac:dyDescent="0.3">
      <c r="A158" s="387"/>
      <c r="B158" s="231" t="s">
        <v>117</v>
      </c>
      <c r="C158" s="67" t="s">
        <v>395</v>
      </c>
      <c r="D158" s="68" t="s">
        <v>374</v>
      </c>
      <c r="E158" s="69">
        <v>0</v>
      </c>
      <c r="F158" s="384"/>
      <c r="G158" s="71">
        <v>0</v>
      </c>
      <c r="H158" s="384"/>
      <c r="I158" s="69">
        <v>0</v>
      </c>
      <c r="J158" s="384"/>
      <c r="K158" s="70">
        <v>1350</v>
      </c>
      <c r="L158" s="386"/>
      <c r="M158" s="70">
        <v>3000</v>
      </c>
      <c r="N158" s="386"/>
      <c r="O158" s="67">
        <v>3150</v>
      </c>
      <c r="P158" s="386"/>
      <c r="Q158" s="71">
        <v>2875</v>
      </c>
      <c r="R158" s="384"/>
      <c r="S158" s="67"/>
      <c r="T158" s="384"/>
      <c r="U158" s="67"/>
      <c r="V158" s="384"/>
      <c r="W158" s="67"/>
      <c r="X158" s="384"/>
      <c r="Y158" s="67"/>
      <c r="Z158" s="384"/>
      <c r="AA158" s="67"/>
      <c r="AB158" s="384"/>
      <c r="AC158" s="71">
        <f t="shared" si="2"/>
        <v>10375</v>
      </c>
      <c r="AD158" s="384">
        <f t="shared" si="2"/>
        <v>0</v>
      </c>
    </row>
    <row r="159" spans="1:30" ht="15.6" x14ac:dyDescent="0.3">
      <c r="A159" s="387">
        <v>78</v>
      </c>
      <c r="B159" s="230" t="s">
        <v>117</v>
      </c>
      <c r="C159" s="67" t="s">
        <v>144</v>
      </c>
      <c r="D159" s="68" t="s">
        <v>373</v>
      </c>
      <c r="E159" s="69">
        <v>1500</v>
      </c>
      <c r="F159" s="384">
        <v>0</v>
      </c>
      <c r="G159" s="69">
        <v>2000</v>
      </c>
      <c r="H159" s="384">
        <v>0</v>
      </c>
      <c r="I159" s="69">
        <v>2200</v>
      </c>
      <c r="J159" s="384">
        <v>351120</v>
      </c>
      <c r="K159" s="69">
        <v>1800</v>
      </c>
      <c r="L159" s="385">
        <v>216628.5</v>
      </c>
      <c r="M159" s="70">
        <v>2000</v>
      </c>
      <c r="N159" s="385">
        <v>183725.25</v>
      </c>
      <c r="O159" s="67">
        <v>2100</v>
      </c>
      <c r="P159" s="385">
        <v>196935</v>
      </c>
      <c r="Q159" s="71">
        <v>2100</v>
      </c>
      <c r="R159" s="384">
        <v>206781.75</v>
      </c>
      <c r="S159" s="67"/>
      <c r="T159" s="384"/>
      <c r="U159" s="67"/>
      <c r="V159" s="384"/>
      <c r="W159" s="67"/>
      <c r="X159" s="384"/>
      <c r="Y159" s="67"/>
      <c r="Z159" s="384"/>
      <c r="AA159" s="67"/>
      <c r="AB159" s="384"/>
      <c r="AC159" s="71">
        <f t="shared" si="2"/>
        <v>13700</v>
      </c>
      <c r="AD159" s="384">
        <f t="shared" si="2"/>
        <v>1155190.5</v>
      </c>
    </row>
    <row r="160" spans="1:30" ht="15.6" x14ac:dyDescent="0.3">
      <c r="A160" s="387"/>
      <c r="B160" s="231" t="s">
        <v>117</v>
      </c>
      <c r="C160" s="67" t="s">
        <v>144</v>
      </c>
      <c r="D160" s="68" t="s">
        <v>374</v>
      </c>
      <c r="E160" s="69">
        <v>2800</v>
      </c>
      <c r="F160" s="384"/>
      <c r="G160" s="69">
        <v>3500</v>
      </c>
      <c r="H160" s="384"/>
      <c r="I160" s="69">
        <v>3850</v>
      </c>
      <c r="J160" s="384"/>
      <c r="K160" s="69">
        <v>3325</v>
      </c>
      <c r="L160" s="386"/>
      <c r="M160" s="70">
        <v>3500</v>
      </c>
      <c r="N160" s="386"/>
      <c r="O160" s="67">
        <v>3675</v>
      </c>
      <c r="P160" s="386"/>
      <c r="Q160" s="71">
        <v>3675</v>
      </c>
      <c r="R160" s="384"/>
      <c r="S160" s="67"/>
      <c r="T160" s="384"/>
      <c r="U160" s="67"/>
      <c r="V160" s="384"/>
      <c r="W160" s="67"/>
      <c r="X160" s="384"/>
      <c r="Y160" s="67"/>
      <c r="Z160" s="384"/>
      <c r="AA160" s="67"/>
      <c r="AB160" s="384"/>
      <c r="AC160" s="71">
        <f t="shared" si="2"/>
        <v>24325</v>
      </c>
      <c r="AD160" s="384">
        <f t="shared" si="2"/>
        <v>0</v>
      </c>
    </row>
    <row r="161" spans="1:30" ht="15.6" x14ac:dyDescent="0.3">
      <c r="A161" s="387">
        <v>79</v>
      </c>
      <c r="B161" s="230" t="s">
        <v>149</v>
      </c>
      <c r="C161" s="67" t="s">
        <v>150</v>
      </c>
      <c r="D161" s="68" t="s">
        <v>373</v>
      </c>
      <c r="E161" s="69">
        <v>2210</v>
      </c>
      <c r="F161" s="384">
        <v>0</v>
      </c>
      <c r="G161" s="69">
        <v>2600</v>
      </c>
      <c r="H161" s="384">
        <v>0</v>
      </c>
      <c r="I161" s="69">
        <v>2860</v>
      </c>
      <c r="J161" s="384">
        <v>392247.7</v>
      </c>
      <c r="K161" s="70">
        <v>2375</v>
      </c>
      <c r="L161" s="385">
        <v>215588.10000000003</v>
      </c>
      <c r="M161" s="70">
        <v>2530</v>
      </c>
      <c r="N161" s="385">
        <v>195055.9</v>
      </c>
      <c r="O161" s="67">
        <v>2730</v>
      </c>
      <c r="P161" s="385">
        <v>203133.10000000009</v>
      </c>
      <c r="Q161" s="71">
        <v>2790</v>
      </c>
      <c r="R161" s="384">
        <v>215588.09999999986</v>
      </c>
      <c r="S161" s="67"/>
      <c r="T161" s="384"/>
      <c r="U161" s="67"/>
      <c r="V161" s="384"/>
      <c r="W161" s="67"/>
      <c r="X161" s="384"/>
      <c r="Y161" s="67"/>
      <c r="Z161" s="384"/>
      <c r="AA161" s="67"/>
      <c r="AB161" s="384"/>
      <c r="AC161" s="71">
        <f t="shared" si="2"/>
        <v>18095</v>
      </c>
      <c r="AD161" s="384">
        <f t="shared" si="2"/>
        <v>1221612.9000000001</v>
      </c>
    </row>
    <row r="162" spans="1:30" ht="15.6" x14ac:dyDescent="0.3">
      <c r="A162" s="387"/>
      <c r="B162" s="231" t="s">
        <v>149</v>
      </c>
      <c r="C162" s="67" t="s">
        <v>150</v>
      </c>
      <c r="D162" s="68" t="s">
        <v>374</v>
      </c>
      <c r="E162" s="69">
        <v>3420</v>
      </c>
      <c r="F162" s="384"/>
      <c r="G162" s="69">
        <v>3600</v>
      </c>
      <c r="H162" s="384"/>
      <c r="I162" s="69">
        <v>3960</v>
      </c>
      <c r="J162" s="384"/>
      <c r="K162" s="70">
        <v>2850</v>
      </c>
      <c r="L162" s="386"/>
      <c r="M162" s="70">
        <v>3600</v>
      </c>
      <c r="N162" s="386"/>
      <c r="O162" s="67">
        <v>3780</v>
      </c>
      <c r="P162" s="386"/>
      <c r="Q162" s="71">
        <v>4140</v>
      </c>
      <c r="R162" s="384"/>
      <c r="S162" s="67"/>
      <c r="T162" s="384"/>
      <c r="U162" s="67"/>
      <c r="V162" s="384"/>
      <c r="W162" s="67"/>
      <c r="X162" s="384"/>
      <c r="Y162" s="67"/>
      <c r="Z162" s="384"/>
      <c r="AA162" s="67"/>
      <c r="AB162" s="384"/>
      <c r="AC162" s="71">
        <f t="shared" si="2"/>
        <v>25350</v>
      </c>
      <c r="AD162" s="384">
        <f t="shared" si="2"/>
        <v>0</v>
      </c>
    </row>
    <row r="163" spans="1:30" ht="15.6" x14ac:dyDescent="0.3">
      <c r="A163" s="387">
        <v>80</v>
      </c>
      <c r="B163" s="230" t="s">
        <v>149</v>
      </c>
      <c r="C163" s="67" t="s">
        <v>396</v>
      </c>
      <c r="D163" s="68" t="s">
        <v>373</v>
      </c>
      <c r="E163" s="69">
        <v>2250</v>
      </c>
      <c r="F163" s="384">
        <v>0</v>
      </c>
      <c r="G163" s="69">
        <v>2500</v>
      </c>
      <c r="H163" s="384">
        <v>0</v>
      </c>
      <c r="I163" s="69">
        <v>2750</v>
      </c>
      <c r="J163" s="384">
        <v>350065</v>
      </c>
      <c r="K163" s="70">
        <v>2470</v>
      </c>
      <c r="L163" s="385">
        <v>190601.25</v>
      </c>
      <c r="M163" s="70">
        <v>2500</v>
      </c>
      <c r="N163" s="385">
        <v>172448.75</v>
      </c>
      <c r="O163" s="67">
        <v>2625</v>
      </c>
      <c r="P163" s="385">
        <v>181525</v>
      </c>
      <c r="Q163" s="71">
        <v>2875</v>
      </c>
      <c r="R163" s="384">
        <v>190601.25</v>
      </c>
      <c r="S163" s="67"/>
      <c r="T163" s="384"/>
      <c r="U163" s="67"/>
      <c r="V163" s="384"/>
      <c r="W163" s="67"/>
      <c r="X163" s="384"/>
      <c r="Y163" s="67"/>
      <c r="Z163" s="384"/>
      <c r="AA163" s="67"/>
      <c r="AB163" s="384"/>
      <c r="AC163" s="71">
        <f t="shared" si="2"/>
        <v>17970</v>
      </c>
      <c r="AD163" s="384">
        <f t="shared" si="2"/>
        <v>1085241.25</v>
      </c>
    </row>
    <row r="164" spans="1:30" ht="15.6" x14ac:dyDescent="0.3">
      <c r="A164" s="387"/>
      <c r="B164" s="231" t="s">
        <v>149</v>
      </c>
      <c r="C164" s="67" t="s">
        <v>396</v>
      </c>
      <c r="D164" s="68" t="s">
        <v>374</v>
      </c>
      <c r="E164" s="69">
        <v>2850</v>
      </c>
      <c r="F164" s="384"/>
      <c r="G164" s="69">
        <v>3000</v>
      </c>
      <c r="H164" s="384"/>
      <c r="I164" s="69">
        <v>3300</v>
      </c>
      <c r="J164" s="384"/>
      <c r="K164" s="70">
        <v>3420</v>
      </c>
      <c r="L164" s="386"/>
      <c r="M164" s="70">
        <v>3000</v>
      </c>
      <c r="N164" s="386"/>
      <c r="O164" s="67">
        <v>3150</v>
      </c>
      <c r="P164" s="386"/>
      <c r="Q164" s="71">
        <v>3450</v>
      </c>
      <c r="R164" s="384"/>
      <c r="S164" s="67"/>
      <c r="T164" s="384"/>
      <c r="U164" s="67"/>
      <c r="V164" s="384"/>
      <c r="W164" s="67"/>
      <c r="X164" s="384"/>
      <c r="Y164" s="67"/>
      <c r="Z164" s="384"/>
      <c r="AA164" s="67"/>
      <c r="AB164" s="384"/>
      <c r="AC164" s="71">
        <f t="shared" si="2"/>
        <v>22170</v>
      </c>
      <c r="AD164" s="384">
        <f t="shared" si="2"/>
        <v>0</v>
      </c>
    </row>
    <row r="165" spans="1:30" ht="15.6" x14ac:dyDescent="0.3">
      <c r="A165" s="387">
        <v>81</v>
      </c>
      <c r="B165" s="230" t="s">
        <v>149</v>
      </c>
      <c r="C165" s="67" t="s">
        <v>397</v>
      </c>
      <c r="D165" s="68" t="s">
        <v>373</v>
      </c>
      <c r="E165" s="69">
        <v>1360</v>
      </c>
      <c r="F165" s="384">
        <v>0</v>
      </c>
      <c r="G165" s="69">
        <v>1600</v>
      </c>
      <c r="H165" s="384">
        <v>0</v>
      </c>
      <c r="I165" s="69">
        <v>1760</v>
      </c>
      <c r="J165" s="384">
        <v>266014.95</v>
      </c>
      <c r="K165" s="70">
        <v>1520</v>
      </c>
      <c r="L165" s="385">
        <v>146582.09999999998</v>
      </c>
      <c r="M165" s="70">
        <v>1600</v>
      </c>
      <c r="N165" s="385">
        <v>132621.9</v>
      </c>
      <c r="O165" s="67">
        <v>1680</v>
      </c>
      <c r="P165" s="385">
        <v>139602</v>
      </c>
      <c r="Q165" s="71">
        <v>1840</v>
      </c>
      <c r="R165" s="384">
        <v>146582.10000000009</v>
      </c>
      <c r="S165" s="67"/>
      <c r="T165" s="384"/>
      <c r="U165" s="67"/>
      <c r="V165" s="384"/>
      <c r="W165" s="67"/>
      <c r="X165" s="384"/>
      <c r="Y165" s="67"/>
      <c r="Z165" s="384"/>
      <c r="AA165" s="67"/>
      <c r="AB165" s="384"/>
      <c r="AC165" s="71">
        <f t="shared" si="2"/>
        <v>11360</v>
      </c>
      <c r="AD165" s="384">
        <f t="shared" si="2"/>
        <v>831403.05</v>
      </c>
    </row>
    <row r="166" spans="1:30" ht="15.6" x14ac:dyDescent="0.3">
      <c r="A166" s="387"/>
      <c r="B166" s="231" t="s">
        <v>149</v>
      </c>
      <c r="C166" s="67" t="s">
        <v>397</v>
      </c>
      <c r="D166" s="68" t="s">
        <v>374</v>
      </c>
      <c r="E166" s="69">
        <v>2435</v>
      </c>
      <c r="F166" s="384"/>
      <c r="G166" s="69">
        <v>2600</v>
      </c>
      <c r="H166" s="384"/>
      <c r="I166" s="69">
        <v>2860</v>
      </c>
      <c r="J166" s="384"/>
      <c r="K166" s="70">
        <v>2470</v>
      </c>
      <c r="L166" s="386"/>
      <c r="M166" s="70">
        <v>2600</v>
      </c>
      <c r="N166" s="386"/>
      <c r="O166" s="67">
        <v>2730</v>
      </c>
      <c r="P166" s="386"/>
      <c r="Q166" s="71">
        <v>2990</v>
      </c>
      <c r="R166" s="384"/>
      <c r="S166" s="67"/>
      <c r="T166" s="384"/>
      <c r="U166" s="67"/>
      <c r="V166" s="384"/>
      <c r="W166" s="67"/>
      <c r="X166" s="384"/>
      <c r="Y166" s="67"/>
      <c r="Z166" s="384"/>
      <c r="AA166" s="67"/>
      <c r="AB166" s="384"/>
      <c r="AC166" s="71">
        <f t="shared" si="2"/>
        <v>18685</v>
      </c>
      <c r="AD166" s="384">
        <f t="shared" si="2"/>
        <v>0</v>
      </c>
    </row>
    <row r="167" spans="1:30" ht="15.6" x14ac:dyDescent="0.3">
      <c r="A167" s="387">
        <v>82</v>
      </c>
      <c r="B167" s="230" t="s">
        <v>149</v>
      </c>
      <c r="C167" s="67" t="s">
        <v>152</v>
      </c>
      <c r="D167" s="68" t="s">
        <v>373</v>
      </c>
      <c r="E167" s="69">
        <v>1800</v>
      </c>
      <c r="F167" s="384">
        <v>0</v>
      </c>
      <c r="G167" s="71">
        <v>2000</v>
      </c>
      <c r="H167" s="384">
        <v>0</v>
      </c>
      <c r="I167" s="71">
        <v>2200</v>
      </c>
      <c r="J167" s="384">
        <v>317531</v>
      </c>
      <c r="K167" s="71">
        <v>1900</v>
      </c>
      <c r="L167" s="385">
        <v>173885</v>
      </c>
      <c r="M167" s="71">
        <v>2000</v>
      </c>
      <c r="N167" s="384">
        <v>157595.5</v>
      </c>
      <c r="O167" s="71">
        <v>2100</v>
      </c>
      <c r="P167" s="384">
        <v>165890</v>
      </c>
      <c r="Q167" s="71">
        <v>2300</v>
      </c>
      <c r="R167" s="384">
        <v>174184.5</v>
      </c>
      <c r="S167" s="71"/>
      <c r="T167" s="384"/>
      <c r="U167" s="71"/>
      <c r="V167" s="384"/>
      <c r="W167" s="67"/>
      <c r="X167" s="384"/>
      <c r="Y167" s="67"/>
      <c r="Z167" s="384"/>
      <c r="AA167" s="67"/>
      <c r="AB167" s="384"/>
      <c r="AC167" s="71">
        <f t="shared" si="2"/>
        <v>14300</v>
      </c>
      <c r="AD167" s="384">
        <f t="shared" si="2"/>
        <v>989086</v>
      </c>
    </row>
    <row r="168" spans="1:30" ht="15.6" x14ac:dyDescent="0.3">
      <c r="A168" s="387"/>
      <c r="B168" s="231" t="s">
        <v>149</v>
      </c>
      <c r="C168" s="67" t="s">
        <v>152</v>
      </c>
      <c r="D168" s="68" t="s">
        <v>374</v>
      </c>
      <c r="E168" s="69">
        <v>2850</v>
      </c>
      <c r="F168" s="384"/>
      <c r="G168" s="71">
        <v>3000</v>
      </c>
      <c r="H168" s="384"/>
      <c r="I168" s="71">
        <v>3300</v>
      </c>
      <c r="J168" s="384"/>
      <c r="K168" s="71">
        <v>2850</v>
      </c>
      <c r="L168" s="386"/>
      <c r="M168" s="71">
        <v>3000</v>
      </c>
      <c r="N168" s="384"/>
      <c r="O168" s="71">
        <v>3150</v>
      </c>
      <c r="P168" s="384"/>
      <c r="Q168" s="71">
        <v>3450</v>
      </c>
      <c r="R168" s="384"/>
      <c r="S168" s="71"/>
      <c r="T168" s="384"/>
      <c r="U168" s="71"/>
      <c r="V168" s="384"/>
      <c r="W168" s="67"/>
      <c r="X168" s="384"/>
      <c r="Y168" s="67"/>
      <c r="Z168" s="384"/>
      <c r="AA168" s="67"/>
      <c r="AB168" s="384"/>
      <c r="AC168" s="71">
        <f t="shared" si="2"/>
        <v>21600</v>
      </c>
      <c r="AD168" s="384">
        <f t="shared" si="2"/>
        <v>0</v>
      </c>
    </row>
    <row r="169" spans="1:30" ht="15.6" x14ac:dyDescent="0.3">
      <c r="A169" s="387">
        <v>83</v>
      </c>
      <c r="B169" s="230" t="s">
        <v>149</v>
      </c>
      <c r="C169" s="67" t="s">
        <v>153</v>
      </c>
      <c r="D169" s="68" t="s">
        <v>373</v>
      </c>
      <c r="E169" s="69">
        <v>2070</v>
      </c>
      <c r="F169" s="384">
        <v>0</v>
      </c>
      <c r="G169" s="69">
        <v>2225</v>
      </c>
      <c r="H169" s="384">
        <v>0</v>
      </c>
      <c r="I169" s="69">
        <v>2200</v>
      </c>
      <c r="J169" s="384">
        <v>311934.15000000002</v>
      </c>
      <c r="K169" s="70">
        <v>1900</v>
      </c>
      <c r="L169" s="385">
        <v>175500</v>
      </c>
      <c r="M169" s="70">
        <v>2000</v>
      </c>
      <c r="N169" s="385">
        <v>123500</v>
      </c>
      <c r="O169" s="67">
        <v>2100</v>
      </c>
      <c r="P169" s="385">
        <v>130000</v>
      </c>
      <c r="Q169" s="71">
        <v>2300</v>
      </c>
      <c r="R169" s="384">
        <v>136500</v>
      </c>
      <c r="S169" s="67"/>
      <c r="T169" s="384"/>
      <c r="U169" s="67"/>
      <c r="V169" s="384"/>
      <c r="W169" s="67"/>
      <c r="X169" s="384"/>
      <c r="Y169" s="67"/>
      <c r="Z169" s="384"/>
      <c r="AA169" s="67"/>
      <c r="AB169" s="384"/>
      <c r="AC169" s="71">
        <f t="shared" si="2"/>
        <v>14795</v>
      </c>
      <c r="AD169" s="384">
        <f t="shared" si="2"/>
        <v>877434.15</v>
      </c>
    </row>
    <row r="170" spans="1:30" ht="15.6" x14ac:dyDescent="0.3">
      <c r="A170" s="387"/>
      <c r="B170" s="231" t="s">
        <v>149</v>
      </c>
      <c r="C170" s="67" t="s">
        <v>153</v>
      </c>
      <c r="D170" s="68" t="s">
        <v>374</v>
      </c>
      <c r="E170" s="69">
        <v>3135</v>
      </c>
      <c r="F170" s="384"/>
      <c r="G170" s="69">
        <v>3225</v>
      </c>
      <c r="H170" s="384"/>
      <c r="I170" s="69">
        <v>3300</v>
      </c>
      <c r="J170" s="384"/>
      <c r="K170" s="70">
        <v>2850</v>
      </c>
      <c r="L170" s="386"/>
      <c r="M170" s="70">
        <v>3000</v>
      </c>
      <c r="N170" s="386"/>
      <c r="O170" s="67">
        <v>3150</v>
      </c>
      <c r="P170" s="386"/>
      <c r="Q170" s="71">
        <v>3450</v>
      </c>
      <c r="R170" s="384"/>
      <c r="S170" s="67"/>
      <c r="T170" s="384"/>
      <c r="U170" s="67"/>
      <c r="V170" s="384"/>
      <c r="W170" s="67"/>
      <c r="X170" s="384"/>
      <c r="Y170" s="67"/>
      <c r="Z170" s="384"/>
      <c r="AA170" s="67"/>
      <c r="AB170" s="384"/>
      <c r="AC170" s="71">
        <f t="shared" si="2"/>
        <v>22110</v>
      </c>
      <c r="AD170" s="384">
        <f t="shared" si="2"/>
        <v>0</v>
      </c>
    </row>
    <row r="171" spans="1:30" ht="15.6" x14ac:dyDescent="0.3">
      <c r="A171" s="387">
        <v>84</v>
      </c>
      <c r="B171" s="230" t="s">
        <v>149</v>
      </c>
      <c r="C171" s="67" t="s">
        <v>398</v>
      </c>
      <c r="D171" s="68" t="s">
        <v>373</v>
      </c>
      <c r="E171" s="69">
        <v>1800</v>
      </c>
      <c r="F171" s="384">
        <v>0</v>
      </c>
      <c r="G171" s="69">
        <v>2000</v>
      </c>
      <c r="H171" s="384">
        <v>0</v>
      </c>
      <c r="I171" s="69">
        <v>2200</v>
      </c>
      <c r="J171" s="384">
        <v>286769.75</v>
      </c>
      <c r="K171" s="70">
        <v>1900</v>
      </c>
      <c r="L171" s="385">
        <v>156098.25</v>
      </c>
      <c r="M171" s="70">
        <v>1863</v>
      </c>
      <c r="N171" s="385">
        <v>141231.75</v>
      </c>
      <c r="O171" s="67">
        <v>2100</v>
      </c>
      <c r="P171" s="385">
        <v>144381.01</v>
      </c>
      <c r="Q171" s="71">
        <v>2300</v>
      </c>
      <c r="R171" s="384">
        <v>156098.25</v>
      </c>
      <c r="S171" s="67"/>
      <c r="T171" s="384"/>
      <c r="U171" s="67"/>
      <c r="V171" s="384"/>
      <c r="W171" s="67"/>
      <c r="X171" s="384"/>
      <c r="Y171" s="67"/>
      <c r="Z171" s="384"/>
      <c r="AA171" s="67"/>
      <c r="AB171" s="384"/>
      <c r="AC171" s="71">
        <f t="shared" si="2"/>
        <v>14163</v>
      </c>
      <c r="AD171" s="384">
        <f t="shared" si="2"/>
        <v>884579.01</v>
      </c>
    </row>
    <row r="172" spans="1:30" ht="15.6" x14ac:dyDescent="0.3">
      <c r="A172" s="387"/>
      <c r="B172" s="231" t="s">
        <v>149</v>
      </c>
      <c r="C172" s="67" t="s">
        <v>398</v>
      </c>
      <c r="D172" s="68" t="s">
        <v>374</v>
      </c>
      <c r="E172" s="69">
        <v>2375</v>
      </c>
      <c r="F172" s="384"/>
      <c r="G172" s="69">
        <v>2500</v>
      </c>
      <c r="H172" s="384"/>
      <c r="I172" s="69">
        <v>2750</v>
      </c>
      <c r="J172" s="384"/>
      <c r="K172" s="70">
        <v>2375</v>
      </c>
      <c r="L172" s="386"/>
      <c r="M172" s="70">
        <v>2500</v>
      </c>
      <c r="N172" s="386"/>
      <c r="O172" s="67">
        <v>2625</v>
      </c>
      <c r="P172" s="386"/>
      <c r="Q172" s="71">
        <v>2875</v>
      </c>
      <c r="R172" s="384"/>
      <c r="S172" s="67"/>
      <c r="T172" s="384"/>
      <c r="U172" s="67"/>
      <c r="V172" s="384"/>
      <c r="W172" s="67"/>
      <c r="X172" s="384"/>
      <c r="Y172" s="67"/>
      <c r="Z172" s="384"/>
      <c r="AA172" s="67"/>
      <c r="AB172" s="384"/>
      <c r="AC172" s="71">
        <f t="shared" ref="AC172:AD267" si="3">AA172+Y172+W172+U172+S172+Q172+O172+K172+M172+I172+G172+E172</f>
        <v>18000</v>
      </c>
      <c r="AD172" s="384">
        <f t="shared" si="3"/>
        <v>0</v>
      </c>
    </row>
    <row r="173" spans="1:30" ht="15.6" x14ac:dyDescent="0.3">
      <c r="A173" s="391">
        <v>85</v>
      </c>
      <c r="B173" s="232" t="s">
        <v>155</v>
      </c>
      <c r="C173" s="73" t="s">
        <v>155</v>
      </c>
      <c r="D173" s="74" t="s">
        <v>373</v>
      </c>
      <c r="E173" s="75">
        <v>0</v>
      </c>
      <c r="F173" s="389">
        <v>0</v>
      </c>
      <c r="G173" s="233">
        <v>0</v>
      </c>
      <c r="H173" s="389">
        <v>0</v>
      </c>
      <c r="I173" s="233">
        <v>0</v>
      </c>
      <c r="J173" s="389">
        <v>0</v>
      </c>
      <c r="K173" s="233">
        <v>0</v>
      </c>
      <c r="L173" s="389">
        <v>0</v>
      </c>
      <c r="M173" s="233">
        <v>0</v>
      </c>
      <c r="N173" s="389">
        <v>0</v>
      </c>
      <c r="O173" s="73">
        <v>0</v>
      </c>
      <c r="P173" s="389">
        <v>0</v>
      </c>
      <c r="Q173" s="76">
        <v>5550</v>
      </c>
      <c r="R173" s="388">
        <v>0</v>
      </c>
      <c r="S173" s="73"/>
      <c r="T173" s="388"/>
      <c r="U173" s="73"/>
      <c r="V173" s="388"/>
      <c r="W173" s="73"/>
      <c r="X173" s="388"/>
      <c r="Y173" s="73"/>
      <c r="Z173" s="388"/>
      <c r="AA173" s="73"/>
      <c r="AB173" s="388"/>
      <c r="AC173" s="76">
        <f t="shared" si="3"/>
        <v>5550</v>
      </c>
      <c r="AD173" s="388">
        <f t="shared" si="3"/>
        <v>0</v>
      </c>
    </row>
    <row r="174" spans="1:30" ht="15.6" x14ac:dyDescent="0.3">
      <c r="A174" s="391"/>
      <c r="B174" s="234" t="s">
        <v>155</v>
      </c>
      <c r="C174" s="73" t="s">
        <v>155</v>
      </c>
      <c r="D174" s="74" t="s">
        <v>374</v>
      </c>
      <c r="E174" s="75">
        <v>0</v>
      </c>
      <c r="F174" s="390"/>
      <c r="G174" s="233">
        <v>0</v>
      </c>
      <c r="H174" s="390"/>
      <c r="I174" s="233">
        <v>0</v>
      </c>
      <c r="J174" s="390"/>
      <c r="K174" s="233">
        <v>0</v>
      </c>
      <c r="L174" s="390"/>
      <c r="M174" s="233">
        <v>0</v>
      </c>
      <c r="N174" s="390"/>
      <c r="O174" s="73">
        <v>0</v>
      </c>
      <c r="P174" s="390"/>
      <c r="Q174" s="76">
        <v>6400</v>
      </c>
      <c r="R174" s="388"/>
      <c r="S174" s="73"/>
      <c r="T174" s="388"/>
      <c r="U174" s="73"/>
      <c r="V174" s="388"/>
      <c r="W174" s="73"/>
      <c r="X174" s="388"/>
      <c r="Y174" s="73"/>
      <c r="Z174" s="388"/>
      <c r="AA174" s="73"/>
      <c r="AB174" s="388"/>
      <c r="AC174" s="76">
        <f t="shared" si="3"/>
        <v>6400</v>
      </c>
      <c r="AD174" s="388">
        <f t="shared" si="3"/>
        <v>0</v>
      </c>
    </row>
    <row r="175" spans="1:30" ht="15.6" x14ac:dyDescent="0.3">
      <c r="A175" s="391">
        <v>86</v>
      </c>
      <c r="B175" s="232" t="s">
        <v>155</v>
      </c>
      <c r="C175" s="73" t="s">
        <v>157</v>
      </c>
      <c r="D175" s="74" t="s">
        <v>373</v>
      </c>
      <c r="E175" s="75">
        <v>0</v>
      </c>
      <c r="F175" s="389">
        <v>0</v>
      </c>
      <c r="G175" s="233">
        <v>0</v>
      </c>
      <c r="H175" s="389">
        <v>0</v>
      </c>
      <c r="I175" s="233">
        <v>0</v>
      </c>
      <c r="J175" s="389">
        <v>0</v>
      </c>
      <c r="K175" s="233">
        <v>0</v>
      </c>
      <c r="L175" s="389">
        <v>0</v>
      </c>
      <c r="M175" s="233">
        <v>0</v>
      </c>
      <c r="N175" s="389">
        <v>0</v>
      </c>
      <c r="O175" s="73">
        <v>0</v>
      </c>
      <c r="P175" s="389">
        <v>0</v>
      </c>
      <c r="Q175" s="76">
        <v>2550</v>
      </c>
      <c r="R175" s="388">
        <v>0</v>
      </c>
      <c r="S175" s="73"/>
      <c r="T175" s="388"/>
      <c r="U175" s="73"/>
      <c r="V175" s="388"/>
      <c r="W175" s="73"/>
      <c r="X175" s="388"/>
      <c r="Y175" s="73"/>
      <c r="Z175" s="388"/>
      <c r="AA175" s="73"/>
      <c r="AB175" s="388"/>
      <c r="AC175" s="76">
        <f t="shared" si="3"/>
        <v>2550</v>
      </c>
      <c r="AD175" s="388">
        <f t="shared" si="3"/>
        <v>0</v>
      </c>
    </row>
    <row r="176" spans="1:30" ht="15.6" x14ac:dyDescent="0.3">
      <c r="A176" s="391"/>
      <c r="B176" s="234" t="s">
        <v>155</v>
      </c>
      <c r="C176" s="73" t="s">
        <v>157</v>
      </c>
      <c r="D176" s="74" t="s">
        <v>374</v>
      </c>
      <c r="E176" s="75">
        <v>0</v>
      </c>
      <c r="F176" s="390"/>
      <c r="G176" s="233">
        <v>0</v>
      </c>
      <c r="H176" s="390"/>
      <c r="I176" s="233">
        <v>0</v>
      </c>
      <c r="J176" s="390"/>
      <c r="K176" s="233">
        <v>0</v>
      </c>
      <c r="L176" s="390"/>
      <c r="M176" s="233">
        <v>0</v>
      </c>
      <c r="N176" s="390"/>
      <c r="O176" s="73">
        <v>0</v>
      </c>
      <c r="P176" s="390"/>
      <c r="Q176" s="76">
        <v>3400</v>
      </c>
      <c r="R176" s="388"/>
      <c r="S176" s="73"/>
      <c r="T176" s="388"/>
      <c r="U176" s="73"/>
      <c r="V176" s="388"/>
      <c r="W176" s="73"/>
      <c r="X176" s="388"/>
      <c r="Y176" s="73"/>
      <c r="Z176" s="388"/>
      <c r="AA176" s="73"/>
      <c r="AB176" s="388"/>
      <c r="AC176" s="76">
        <f t="shared" si="3"/>
        <v>3400</v>
      </c>
      <c r="AD176" s="388">
        <f t="shared" si="3"/>
        <v>0</v>
      </c>
    </row>
    <row r="177" spans="1:30" ht="15.6" x14ac:dyDescent="0.3">
      <c r="A177" s="387">
        <v>87</v>
      </c>
      <c r="B177" s="230" t="s">
        <v>155</v>
      </c>
      <c r="C177" s="67" t="s">
        <v>156</v>
      </c>
      <c r="D177" s="68" t="s">
        <v>373</v>
      </c>
      <c r="E177" s="69">
        <v>1600</v>
      </c>
      <c r="F177" s="384">
        <v>0</v>
      </c>
      <c r="G177" s="69">
        <v>1550</v>
      </c>
      <c r="H177" s="384">
        <v>89700</v>
      </c>
      <c r="I177" s="69">
        <v>2200</v>
      </c>
      <c r="J177" s="384">
        <v>81487.5</v>
      </c>
      <c r="K177" s="69">
        <v>1425</v>
      </c>
      <c r="L177" s="385">
        <v>237118.5</v>
      </c>
      <c r="M177" s="70">
        <v>1500</v>
      </c>
      <c r="N177" s="385">
        <v>137355.75</v>
      </c>
      <c r="O177" s="67">
        <v>1575</v>
      </c>
      <c r="P177" s="385">
        <v>144585</v>
      </c>
      <c r="Q177" s="71">
        <v>1725</v>
      </c>
      <c r="R177" s="384">
        <v>151814.25</v>
      </c>
      <c r="S177" s="67"/>
      <c r="T177" s="384"/>
      <c r="U177" s="67"/>
      <c r="V177" s="384"/>
      <c r="W177" s="67"/>
      <c r="X177" s="384"/>
      <c r="Y177" s="67"/>
      <c r="Z177" s="384"/>
      <c r="AA177" s="67"/>
      <c r="AB177" s="384"/>
      <c r="AC177" s="71">
        <f t="shared" si="3"/>
        <v>11575</v>
      </c>
      <c r="AD177" s="384">
        <f t="shared" si="3"/>
        <v>842061</v>
      </c>
    </row>
    <row r="178" spans="1:30" ht="15.6" x14ac:dyDescent="0.3">
      <c r="A178" s="387"/>
      <c r="B178" s="231" t="s">
        <v>155</v>
      </c>
      <c r="C178" s="67" t="s">
        <v>156</v>
      </c>
      <c r="D178" s="68" t="s">
        <v>374</v>
      </c>
      <c r="E178" s="69">
        <v>2550</v>
      </c>
      <c r="F178" s="384"/>
      <c r="G178" s="69">
        <v>3000</v>
      </c>
      <c r="H178" s="384"/>
      <c r="I178" s="69">
        <v>3300</v>
      </c>
      <c r="J178" s="384"/>
      <c r="K178" s="69">
        <v>2850</v>
      </c>
      <c r="L178" s="386"/>
      <c r="M178" s="70">
        <v>3000</v>
      </c>
      <c r="N178" s="386"/>
      <c r="O178" s="67">
        <v>3150</v>
      </c>
      <c r="P178" s="386"/>
      <c r="Q178" s="71">
        <v>3450</v>
      </c>
      <c r="R178" s="384"/>
      <c r="S178" s="67"/>
      <c r="T178" s="384"/>
      <c r="U178" s="67"/>
      <c r="V178" s="384"/>
      <c r="W178" s="67"/>
      <c r="X178" s="384"/>
      <c r="Y178" s="67"/>
      <c r="Z178" s="384"/>
      <c r="AA178" s="67"/>
      <c r="AB178" s="384"/>
      <c r="AC178" s="71">
        <f t="shared" si="3"/>
        <v>21300</v>
      </c>
      <c r="AD178" s="384">
        <f t="shared" si="3"/>
        <v>0</v>
      </c>
    </row>
    <row r="179" spans="1:30" ht="15.6" x14ac:dyDescent="0.3">
      <c r="A179" s="387">
        <v>88</v>
      </c>
      <c r="B179" s="230" t="s">
        <v>155</v>
      </c>
      <c r="C179" s="67" t="s">
        <v>158</v>
      </c>
      <c r="D179" s="68" t="s">
        <v>373</v>
      </c>
      <c r="E179" s="69">
        <v>0</v>
      </c>
      <c r="F179" s="384">
        <v>0</v>
      </c>
      <c r="G179" s="71">
        <v>0</v>
      </c>
      <c r="H179" s="384">
        <v>0</v>
      </c>
      <c r="I179" s="69">
        <v>0</v>
      </c>
      <c r="J179" s="384">
        <v>0</v>
      </c>
      <c r="K179" s="70">
        <v>900</v>
      </c>
      <c r="L179" s="385">
        <v>0</v>
      </c>
      <c r="M179" s="70">
        <v>2000</v>
      </c>
      <c r="N179" s="385">
        <v>71137.350000000006</v>
      </c>
      <c r="O179" s="67">
        <v>2100</v>
      </c>
      <c r="P179" s="385">
        <v>159630</v>
      </c>
      <c r="Q179" s="71">
        <v>2300</v>
      </c>
      <c r="R179" s="384">
        <v>166782.74999999997</v>
      </c>
      <c r="S179" s="67"/>
      <c r="T179" s="384"/>
      <c r="U179" s="67"/>
      <c r="V179" s="384"/>
      <c r="W179" s="67"/>
      <c r="X179" s="384"/>
      <c r="Y179" s="67"/>
      <c r="Z179" s="384"/>
      <c r="AA179" s="67"/>
      <c r="AB179" s="384"/>
      <c r="AC179" s="71">
        <f t="shared" si="3"/>
        <v>7300</v>
      </c>
      <c r="AD179" s="384">
        <f t="shared" si="3"/>
        <v>397550.1</v>
      </c>
    </row>
    <row r="180" spans="1:30" ht="15.6" x14ac:dyDescent="0.3">
      <c r="A180" s="387"/>
      <c r="B180" s="231" t="s">
        <v>155</v>
      </c>
      <c r="C180" s="67" t="s">
        <v>158</v>
      </c>
      <c r="D180" s="68" t="s">
        <v>374</v>
      </c>
      <c r="E180" s="69">
        <v>0</v>
      </c>
      <c r="F180" s="384"/>
      <c r="G180" s="71">
        <v>0</v>
      </c>
      <c r="H180" s="384"/>
      <c r="I180" s="69">
        <v>0</v>
      </c>
      <c r="J180" s="384"/>
      <c r="K180" s="70">
        <v>1329</v>
      </c>
      <c r="L180" s="386"/>
      <c r="M180" s="70">
        <v>3000</v>
      </c>
      <c r="N180" s="386"/>
      <c r="O180" s="67">
        <v>3125</v>
      </c>
      <c r="P180" s="386"/>
      <c r="Q180" s="71">
        <v>3450</v>
      </c>
      <c r="R180" s="384"/>
      <c r="S180" s="67"/>
      <c r="T180" s="384"/>
      <c r="U180" s="67"/>
      <c r="V180" s="384"/>
      <c r="W180" s="67"/>
      <c r="X180" s="384"/>
      <c r="Y180" s="67"/>
      <c r="Z180" s="384"/>
      <c r="AA180" s="67"/>
      <c r="AB180" s="384"/>
      <c r="AC180" s="71">
        <f t="shared" si="3"/>
        <v>10904</v>
      </c>
      <c r="AD180" s="384">
        <f t="shared" si="3"/>
        <v>0</v>
      </c>
    </row>
    <row r="181" spans="1:30" ht="15.6" x14ac:dyDescent="0.3">
      <c r="A181" s="387">
        <v>89</v>
      </c>
      <c r="B181" s="230" t="s">
        <v>155</v>
      </c>
      <c r="C181" s="67" t="s">
        <v>159</v>
      </c>
      <c r="D181" s="68" t="s">
        <v>373</v>
      </c>
      <c r="E181" s="69">
        <v>2000</v>
      </c>
      <c r="F181" s="384">
        <v>0</v>
      </c>
      <c r="G181" s="71">
        <v>2000</v>
      </c>
      <c r="H181" s="384">
        <v>84490</v>
      </c>
      <c r="I181" s="69">
        <v>2200</v>
      </c>
      <c r="J181" s="384">
        <v>65040</v>
      </c>
      <c r="K181" s="70">
        <v>1900</v>
      </c>
      <c r="L181" s="385">
        <v>267463</v>
      </c>
      <c r="M181" s="70">
        <v>2000</v>
      </c>
      <c r="N181" s="385">
        <v>151648.5</v>
      </c>
      <c r="O181" s="67">
        <v>2100</v>
      </c>
      <c r="P181" s="385">
        <v>157442.09999999998</v>
      </c>
      <c r="Q181" s="71">
        <v>2300</v>
      </c>
      <c r="R181" s="384">
        <v>167611.5</v>
      </c>
      <c r="S181" s="67"/>
      <c r="T181" s="384"/>
      <c r="U181" s="67"/>
      <c r="V181" s="384"/>
      <c r="W181" s="67"/>
      <c r="X181" s="384"/>
      <c r="Y181" s="67"/>
      <c r="Z181" s="384"/>
      <c r="AA181" s="67"/>
      <c r="AB181" s="384"/>
      <c r="AC181" s="71">
        <f t="shared" si="3"/>
        <v>14500</v>
      </c>
      <c r="AD181" s="384">
        <f t="shared" si="3"/>
        <v>893695.1</v>
      </c>
    </row>
    <row r="182" spans="1:30" ht="15.6" x14ac:dyDescent="0.3">
      <c r="A182" s="387"/>
      <c r="B182" s="231" t="s">
        <v>155</v>
      </c>
      <c r="C182" s="67" t="s">
        <v>159</v>
      </c>
      <c r="D182" s="68" t="s">
        <v>374</v>
      </c>
      <c r="E182" s="69">
        <v>3000</v>
      </c>
      <c r="F182" s="384"/>
      <c r="G182" s="71">
        <v>3000</v>
      </c>
      <c r="H182" s="384"/>
      <c r="I182" s="69">
        <v>3300</v>
      </c>
      <c r="J182" s="384"/>
      <c r="K182" s="70">
        <v>2850</v>
      </c>
      <c r="L182" s="386"/>
      <c r="M182" s="70">
        <v>2934</v>
      </c>
      <c r="N182" s="386"/>
      <c r="O182" s="67">
        <v>3150</v>
      </c>
      <c r="P182" s="386"/>
      <c r="Q182" s="71">
        <v>3450</v>
      </c>
      <c r="R182" s="384"/>
      <c r="S182" s="67"/>
      <c r="T182" s="384"/>
      <c r="U182" s="67"/>
      <c r="V182" s="384"/>
      <c r="W182" s="67"/>
      <c r="X182" s="384"/>
      <c r="Y182" s="67"/>
      <c r="Z182" s="384"/>
      <c r="AA182" s="67"/>
      <c r="AB182" s="384"/>
      <c r="AC182" s="71">
        <f t="shared" si="3"/>
        <v>21684</v>
      </c>
      <c r="AD182" s="384">
        <f t="shared" si="3"/>
        <v>0</v>
      </c>
    </row>
    <row r="183" spans="1:30" ht="15.6" x14ac:dyDescent="0.3">
      <c r="A183" s="387">
        <v>90</v>
      </c>
      <c r="B183" s="230" t="s">
        <v>155</v>
      </c>
      <c r="C183" s="67" t="s">
        <v>399</v>
      </c>
      <c r="D183" s="68" t="s">
        <v>373</v>
      </c>
      <c r="E183" s="69">
        <v>0</v>
      </c>
      <c r="F183" s="384">
        <v>0</v>
      </c>
      <c r="G183" s="69">
        <v>0</v>
      </c>
      <c r="H183" s="384">
        <v>0</v>
      </c>
      <c r="I183" s="69">
        <v>0</v>
      </c>
      <c r="J183" s="384">
        <v>0</v>
      </c>
      <c r="K183" s="69">
        <v>0</v>
      </c>
      <c r="L183" s="384">
        <v>0</v>
      </c>
      <c r="M183" s="69">
        <v>0</v>
      </c>
      <c r="N183" s="384">
        <v>0</v>
      </c>
      <c r="O183" s="67">
        <v>1300</v>
      </c>
      <c r="P183" s="385">
        <v>0</v>
      </c>
      <c r="Q183" s="71">
        <v>2300</v>
      </c>
      <c r="R183" s="384">
        <v>103759.5</v>
      </c>
      <c r="S183" s="67"/>
      <c r="T183" s="384"/>
      <c r="U183" s="67"/>
      <c r="V183" s="384"/>
      <c r="W183" s="67"/>
      <c r="X183" s="384"/>
      <c r="Y183" s="67"/>
      <c r="Z183" s="384"/>
      <c r="AA183" s="67"/>
      <c r="AB183" s="384"/>
      <c r="AC183" s="71">
        <f t="shared" si="3"/>
        <v>3600</v>
      </c>
      <c r="AD183" s="384">
        <f t="shared" si="3"/>
        <v>103759.5</v>
      </c>
    </row>
    <row r="184" spans="1:30" ht="15.6" x14ac:dyDescent="0.3">
      <c r="A184" s="387"/>
      <c r="B184" s="231" t="s">
        <v>155</v>
      </c>
      <c r="C184" s="67" t="s">
        <v>399</v>
      </c>
      <c r="D184" s="68" t="s">
        <v>374</v>
      </c>
      <c r="E184" s="69">
        <v>0</v>
      </c>
      <c r="F184" s="384"/>
      <c r="G184" s="69">
        <v>0</v>
      </c>
      <c r="H184" s="384"/>
      <c r="I184" s="69">
        <v>0</v>
      </c>
      <c r="J184" s="384"/>
      <c r="K184" s="69">
        <v>0</v>
      </c>
      <c r="L184" s="384"/>
      <c r="M184" s="69">
        <v>0</v>
      </c>
      <c r="N184" s="384"/>
      <c r="O184" s="67">
        <v>1950</v>
      </c>
      <c r="P184" s="386"/>
      <c r="Q184" s="71">
        <v>3450</v>
      </c>
      <c r="R184" s="384"/>
      <c r="S184" s="67"/>
      <c r="T184" s="384"/>
      <c r="U184" s="67"/>
      <c r="V184" s="384"/>
      <c r="W184" s="67"/>
      <c r="X184" s="384"/>
      <c r="Y184" s="67"/>
      <c r="Z184" s="384"/>
      <c r="AA184" s="67"/>
      <c r="AB184" s="384"/>
      <c r="AC184" s="71">
        <f t="shared" si="3"/>
        <v>5400</v>
      </c>
      <c r="AD184" s="384">
        <f t="shared" si="3"/>
        <v>0</v>
      </c>
    </row>
    <row r="185" spans="1:30" ht="15.6" x14ac:dyDescent="0.3">
      <c r="A185" s="387">
        <v>91</v>
      </c>
      <c r="B185" s="230" t="s">
        <v>155</v>
      </c>
      <c r="C185" s="67" t="s">
        <v>161</v>
      </c>
      <c r="D185" s="68" t="s">
        <v>373</v>
      </c>
      <c r="E185" s="69">
        <v>2560</v>
      </c>
      <c r="F185" s="384">
        <v>0</v>
      </c>
      <c r="G185" s="71">
        <v>3200</v>
      </c>
      <c r="H185" s="384">
        <f>89700+83610</f>
        <v>173310</v>
      </c>
      <c r="I185" s="69">
        <v>3520</v>
      </c>
      <c r="J185" s="384">
        <v>167220</v>
      </c>
      <c r="K185" s="70">
        <v>3040</v>
      </c>
      <c r="L185" s="385">
        <v>259069.80000000005</v>
      </c>
      <c r="M185" s="70">
        <v>3200</v>
      </c>
      <c r="N185" s="385">
        <v>223742.1</v>
      </c>
      <c r="O185" s="67">
        <v>3360</v>
      </c>
      <c r="P185" s="385">
        <v>228092.40000000002</v>
      </c>
      <c r="Q185" s="71">
        <v>3680</v>
      </c>
      <c r="R185" s="384">
        <v>247293.89999999991</v>
      </c>
      <c r="S185" s="67"/>
      <c r="T185" s="384"/>
      <c r="U185" s="67"/>
      <c r="V185" s="384"/>
      <c r="W185" s="67"/>
      <c r="X185" s="384"/>
      <c r="Y185" s="67"/>
      <c r="Z185" s="384"/>
      <c r="AA185" s="67"/>
      <c r="AB185" s="384"/>
      <c r="AC185" s="71">
        <f t="shared" si="3"/>
        <v>22560</v>
      </c>
      <c r="AD185" s="384">
        <f t="shared" si="3"/>
        <v>1298728.2</v>
      </c>
    </row>
    <row r="186" spans="1:30" ht="15.6" x14ac:dyDescent="0.3">
      <c r="A186" s="387"/>
      <c r="B186" s="231" t="s">
        <v>155</v>
      </c>
      <c r="C186" s="67" t="s">
        <v>161</v>
      </c>
      <c r="D186" s="68" t="s">
        <v>374</v>
      </c>
      <c r="E186" s="69">
        <v>3570</v>
      </c>
      <c r="F186" s="384"/>
      <c r="G186" s="71">
        <v>4200</v>
      </c>
      <c r="H186" s="384"/>
      <c r="I186" s="69">
        <v>4620</v>
      </c>
      <c r="J186" s="384"/>
      <c r="K186" s="70">
        <v>3990</v>
      </c>
      <c r="L186" s="386"/>
      <c r="M186" s="70">
        <v>3976</v>
      </c>
      <c r="N186" s="386"/>
      <c r="O186" s="67">
        <v>4410</v>
      </c>
      <c r="P186" s="386"/>
      <c r="Q186" s="71">
        <v>4830</v>
      </c>
      <c r="R186" s="384"/>
      <c r="S186" s="67"/>
      <c r="T186" s="384"/>
      <c r="U186" s="67"/>
      <c r="V186" s="384"/>
      <c r="W186" s="67"/>
      <c r="X186" s="384"/>
      <c r="Y186" s="67"/>
      <c r="Z186" s="384"/>
      <c r="AA186" s="67"/>
      <c r="AB186" s="384"/>
      <c r="AC186" s="71">
        <f t="shared" si="3"/>
        <v>29596</v>
      </c>
      <c r="AD186" s="384">
        <f t="shared" si="3"/>
        <v>0</v>
      </c>
    </row>
    <row r="187" spans="1:30" ht="15.6" x14ac:dyDescent="0.3">
      <c r="A187" s="387">
        <v>92</v>
      </c>
      <c r="B187" s="230" t="s">
        <v>162</v>
      </c>
      <c r="C187" s="67" t="s">
        <v>166</v>
      </c>
      <c r="D187" s="68" t="s">
        <v>373</v>
      </c>
      <c r="E187" s="69">
        <v>1200</v>
      </c>
      <c r="F187" s="384">
        <v>0</v>
      </c>
      <c r="G187" s="71">
        <v>1500</v>
      </c>
      <c r="H187" s="384">
        <v>89025</v>
      </c>
      <c r="I187" s="69">
        <v>1650</v>
      </c>
      <c r="J187" s="384">
        <v>106500</v>
      </c>
      <c r="K187" s="70">
        <v>1425</v>
      </c>
      <c r="L187" s="385">
        <v>159043.5</v>
      </c>
      <c r="M187" s="70">
        <v>1500</v>
      </c>
      <c r="N187" s="385">
        <v>137355.75</v>
      </c>
      <c r="O187" s="67">
        <v>1575</v>
      </c>
      <c r="P187" s="385">
        <v>144585</v>
      </c>
      <c r="Q187" s="71">
        <v>1725</v>
      </c>
      <c r="R187" s="384">
        <v>151814.25</v>
      </c>
      <c r="S187" s="67"/>
      <c r="T187" s="384"/>
      <c r="U187" s="67"/>
      <c r="V187" s="384"/>
      <c r="W187" s="67"/>
      <c r="X187" s="384"/>
      <c r="Y187" s="67"/>
      <c r="Z187" s="384"/>
      <c r="AA187" s="67"/>
      <c r="AB187" s="384"/>
      <c r="AC187" s="71">
        <f t="shared" si="3"/>
        <v>10575</v>
      </c>
      <c r="AD187" s="384">
        <f t="shared" si="3"/>
        <v>788323.5</v>
      </c>
    </row>
    <row r="188" spans="1:30" ht="15.6" x14ac:dyDescent="0.3">
      <c r="A188" s="387"/>
      <c r="B188" s="231" t="s">
        <v>162</v>
      </c>
      <c r="C188" s="67" t="s">
        <v>166</v>
      </c>
      <c r="D188" s="68" t="s">
        <v>374</v>
      </c>
      <c r="E188" s="69">
        <v>2550</v>
      </c>
      <c r="F188" s="384"/>
      <c r="G188" s="71">
        <v>3000</v>
      </c>
      <c r="H188" s="384"/>
      <c r="I188" s="69">
        <v>3300</v>
      </c>
      <c r="J188" s="384"/>
      <c r="K188" s="70">
        <v>2850</v>
      </c>
      <c r="L188" s="386"/>
      <c r="M188" s="70">
        <v>3000</v>
      </c>
      <c r="N188" s="386"/>
      <c r="O188" s="67">
        <v>3150</v>
      </c>
      <c r="P188" s="386"/>
      <c r="Q188" s="71">
        <v>3450</v>
      </c>
      <c r="R188" s="384"/>
      <c r="S188" s="67"/>
      <c r="T188" s="384"/>
      <c r="U188" s="67"/>
      <c r="V188" s="384"/>
      <c r="W188" s="67"/>
      <c r="X188" s="384"/>
      <c r="Y188" s="67"/>
      <c r="Z188" s="384"/>
      <c r="AA188" s="67"/>
      <c r="AB188" s="384"/>
      <c r="AC188" s="71">
        <f t="shared" si="3"/>
        <v>21300</v>
      </c>
      <c r="AD188" s="384">
        <f t="shared" si="3"/>
        <v>0</v>
      </c>
    </row>
    <row r="189" spans="1:30" ht="15.6" x14ac:dyDescent="0.3">
      <c r="A189" s="387">
        <v>93</v>
      </c>
      <c r="B189" s="230" t="s">
        <v>162</v>
      </c>
      <c r="C189" s="67" t="s">
        <v>167</v>
      </c>
      <c r="D189" s="68" t="s">
        <v>373</v>
      </c>
      <c r="E189" s="69">
        <v>1600</v>
      </c>
      <c r="F189" s="384">
        <v>0</v>
      </c>
      <c r="G189" s="69">
        <v>2000</v>
      </c>
      <c r="H189" s="384">
        <v>89650</v>
      </c>
      <c r="I189" s="69">
        <v>2200</v>
      </c>
      <c r="J189" s="384">
        <v>191250</v>
      </c>
      <c r="K189" s="69">
        <v>1900</v>
      </c>
      <c r="L189" s="385">
        <v>212058</v>
      </c>
      <c r="M189" s="69">
        <v>2000</v>
      </c>
      <c r="N189" s="384">
        <v>183141</v>
      </c>
      <c r="O189" s="69">
        <v>2100</v>
      </c>
      <c r="P189" s="384">
        <v>192780</v>
      </c>
      <c r="Q189" s="69">
        <v>1100</v>
      </c>
      <c r="R189" s="384">
        <v>202419</v>
      </c>
      <c r="S189" s="69"/>
      <c r="T189" s="384"/>
      <c r="U189" s="67"/>
      <c r="V189" s="384"/>
      <c r="W189" s="67"/>
      <c r="X189" s="384"/>
      <c r="Y189" s="67"/>
      <c r="Z189" s="384"/>
      <c r="AA189" s="67"/>
      <c r="AB189" s="384"/>
      <c r="AC189" s="71">
        <f t="shared" si="3"/>
        <v>12900</v>
      </c>
      <c r="AD189" s="384">
        <f t="shared" si="3"/>
        <v>1071298</v>
      </c>
    </row>
    <row r="190" spans="1:30" ht="15.6" x14ac:dyDescent="0.3">
      <c r="A190" s="387"/>
      <c r="B190" s="231" t="s">
        <v>162</v>
      </c>
      <c r="C190" s="67" t="s">
        <v>167</v>
      </c>
      <c r="D190" s="68" t="s">
        <v>374</v>
      </c>
      <c r="E190" s="69">
        <v>3400</v>
      </c>
      <c r="F190" s="384"/>
      <c r="G190" s="69">
        <v>4000</v>
      </c>
      <c r="H190" s="384"/>
      <c r="I190" s="69">
        <v>4400</v>
      </c>
      <c r="J190" s="384"/>
      <c r="K190" s="69">
        <v>3800</v>
      </c>
      <c r="L190" s="386"/>
      <c r="M190" s="69">
        <v>4000</v>
      </c>
      <c r="N190" s="384"/>
      <c r="O190" s="69">
        <v>4200</v>
      </c>
      <c r="P190" s="384"/>
      <c r="Q190" s="69">
        <v>2200</v>
      </c>
      <c r="R190" s="384"/>
      <c r="S190" s="69"/>
      <c r="T190" s="384"/>
      <c r="U190" s="67"/>
      <c r="V190" s="384"/>
      <c r="W190" s="67"/>
      <c r="X190" s="384"/>
      <c r="Y190" s="67"/>
      <c r="Z190" s="384"/>
      <c r="AA190" s="67"/>
      <c r="AB190" s="384"/>
      <c r="AC190" s="71">
        <f t="shared" si="3"/>
        <v>26000</v>
      </c>
      <c r="AD190" s="384">
        <f t="shared" si="3"/>
        <v>0</v>
      </c>
    </row>
    <row r="191" spans="1:30" ht="15.6" x14ac:dyDescent="0.3">
      <c r="A191" s="387">
        <v>94</v>
      </c>
      <c r="B191" s="230" t="s">
        <v>162</v>
      </c>
      <c r="C191" s="67" t="s">
        <v>168</v>
      </c>
      <c r="D191" s="68" t="s">
        <v>373</v>
      </c>
      <c r="E191" s="69">
        <v>2400</v>
      </c>
      <c r="F191" s="384">
        <v>0</v>
      </c>
      <c r="G191" s="71">
        <v>2950</v>
      </c>
      <c r="H191" s="384">
        <v>89925</v>
      </c>
      <c r="I191" s="69">
        <v>2200</v>
      </c>
      <c r="J191" s="384">
        <v>183750</v>
      </c>
      <c r="K191" s="70">
        <v>1900</v>
      </c>
      <c r="L191" s="385">
        <v>175593</v>
      </c>
      <c r="M191" s="70">
        <v>2000</v>
      </c>
      <c r="N191" s="385">
        <v>151648.5</v>
      </c>
      <c r="O191" s="67">
        <v>2100</v>
      </c>
      <c r="P191" s="385">
        <v>159630</v>
      </c>
      <c r="Q191" s="71">
        <v>2300</v>
      </c>
      <c r="R191" s="384">
        <v>167611.5</v>
      </c>
      <c r="S191" s="67"/>
      <c r="T191" s="384"/>
      <c r="U191" s="67"/>
      <c r="V191" s="384"/>
      <c r="W191" s="67"/>
      <c r="X191" s="384"/>
      <c r="Y191" s="67"/>
      <c r="Z191" s="384"/>
      <c r="AA191" s="67"/>
      <c r="AB191" s="384"/>
      <c r="AC191" s="71">
        <f t="shared" si="3"/>
        <v>15850</v>
      </c>
      <c r="AD191" s="384">
        <f t="shared" si="3"/>
        <v>928158</v>
      </c>
    </row>
    <row r="192" spans="1:30" ht="15.6" x14ac:dyDescent="0.3">
      <c r="A192" s="387"/>
      <c r="B192" s="231" t="s">
        <v>162</v>
      </c>
      <c r="C192" s="67" t="s">
        <v>168</v>
      </c>
      <c r="D192" s="68" t="s">
        <v>374</v>
      </c>
      <c r="E192" s="69">
        <v>2550</v>
      </c>
      <c r="F192" s="384"/>
      <c r="G192" s="71">
        <v>3000</v>
      </c>
      <c r="H192" s="384"/>
      <c r="I192" s="69">
        <v>3300</v>
      </c>
      <c r="J192" s="384"/>
      <c r="K192" s="70">
        <v>2850</v>
      </c>
      <c r="L192" s="386"/>
      <c r="M192" s="70">
        <v>3000</v>
      </c>
      <c r="N192" s="386"/>
      <c r="O192" s="67">
        <v>3150</v>
      </c>
      <c r="P192" s="386"/>
      <c r="Q192" s="71">
        <v>3450</v>
      </c>
      <c r="R192" s="384"/>
      <c r="S192" s="67"/>
      <c r="T192" s="384"/>
      <c r="U192" s="67"/>
      <c r="V192" s="384"/>
      <c r="W192" s="67"/>
      <c r="X192" s="384"/>
      <c r="Y192" s="67"/>
      <c r="Z192" s="384"/>
      <c r="AA192" s="67"/>
      <c r="AB192" s="384"/>
      <c r="AC192" s="71">
        <f t="shared" si="3"/>
        <v>21300</v>
      </c>
      <c r="AD192" s="384">
        <f t="shared" si="3"/>
        <v>0</v>
      </c>
    </row>
    <row r="193" spans="1:30" ht="15.6" x14ac:dyDescent="0.3">
      <c r="A193" s="387">
        <v>95</v>
      </c>
      <c r="B193" s="230" t="s">
        <v>162</v>
      </c>
      <c r="C193" s="67" t="s">
        <v>169</v>
      </c>
      <c r="D193" s="68" t="s">
        <v>373</v>
      </c>
      <c r="E193" s="69">
        <v>0</v>
      </c>
      <c r="F193" s="384">
        <v>0</v>
      </c>
      <c r="G193" s="71">
        <v>0</v>
      </c>
      <c r="H193" s="384">
        <v>0</v>
      </c>
      <c r="I193" s="69">
        <v>1700</v>
      </c>
      <c r="J193" s="384">
        <v>0</v>
      </c>
      <c r="K193" s="70">
        <v>1900</v>
      </c>
      <c r="L193" s="385">
        <v>132676.5</v>
      </c>
      <c r="M193" s="70">
        <v>2000</v>
      </c>
      <c r="N193" s="385">
        <v>151648.5</v>
      </c>
      <c r="O193" s="67">
        <v>2100</v>
      </c>
      <c r="P193" s="385">
        <v>159630</v>
      </c>
      <c r="Q193" s="71">
        <v>2300</v>
      </c>
      <c r="R193" s="384">
        <v>167611.5</v>
      </c>
      <c r="S193" s="67"/>
      <c r="T193" s="384"/>
      <c r="U193" s="67"/>
      <c r="V193" s="384"/>
      <c r="W193" s="67"/>
      <c r="X193" s="384"/>
      <c r="Y193" s="67"/>
      <c r="Z193" s="384"/>
      <c r="AA193" s="67"/>
      <c r="AB193" s="384"/>
      <c r="AC193" s="71">
        <f t="shared" si="3"/>
        <v>10000</v>
      </c>
      <c r="AD193" s="384">
        <f t="shared" si="3"/>
        <v>611566.5</v>
      </c>
    </row>
    <row r="194" spans="1:30" ht="15.6" x14ac:dyDescent="0.3">
      <c r="A194" s="387"/>
      <c r="B194" s="231" t="s">
        <v>162</v>
      </c>
      <c r="C194" s="67" t="s">
        <v>169</v>
      </c>
      <c r="D194" s="68" t="s">
        <v>374</v>
      </c>
      <c r="E194" s="69">
        <v>0</v>
      </c>
      <c r="F194" s="384"/>
      <c r="G194" s="71">
        <v>0</v>
      </c>
      <c r="H194" s="384"/>
      <c r="I194" s="69">
        <v>2550</v>
      </c>
      <c r="J194" s="384"/>
      <c r="K194" s="70">
        <v>2850</v>
      </c>
      <c r="L194" s="386"/>
      <c r="M194" s="70">
        <v>3000</v>
      </c>
      <c r="N194" s="386"/>
      <c r="O194" s="67">
        <v>3150</v>
      </c>
      <c r="P194" s="386"/>
      <c r="Q194" s="71">
        <v>3300</v>
      </c>
      <c r="R194" s="384"/>
      <c r="S194" s="67"/>
      <c r="T194" s="384"/>
      <c r="U194" s="67"/>
      <c r="V194" s="384"/>
      <c r="W194" s="67"/>
      <c r="X194" s="384"/>
      <c r="Y194" s="67"/>
      <c r="Z194" s="384"/>
      <c r="AA194" s="67"/>
      <c r="AB194" s="384"/>
      <c r="AC194" s="71">
        <f t="shared" si="3"/>
        <v>14850</v>
      </c>
      <c r="AD194" s="384">
        <f t="shared" si="3"/>
        <v>0</v>
      </c>
    </row>
    <row r="195" spans="1:30" ht="15.6" x14ac:dyDescent="0.3">
      <c r="A195" s="391">
        <v>96</v>
      </c>
      <c r="B195" s="232" t="s">
        <v>162</v>
      </c>
      <c r="C195" s="73" t="s">
        <v>650</v>
      </c>
      <c r="D195" s="74" t="s">
        <v>373</v>
      </c>
      <c r="E195" s="75">
        <v>0</v>
      </c>
      <c r="F195" s="389">
        <v>0</v>
      </c>
      <c r="G195" s="233">
        <v>0</v>
      </c>
      <c r="H195" s="389">
        <v>0</v>
      </c>
      <c r="I195" s="233">
        <v>0</v>
      </c>
      <c r="J195" s="389">
        <v>0</v>
      </c>
      <c r="K195" s="233">
        <v>0</v>
      </c>
      <c r="L195" s="389">
        <v>0</v>
      </c>
      <c r="M195" s="233">
        <v>0</v>
      </c>
      <c r="N195" s="389">
        <v>0</v>
      </c>
      <c r="O195" s="73">
        <v>0</v>
      </c>
      <c r="P195" s="389">
        <v>0</v>
      </c>
      <c r="Q195" s="76">
        <v>800</v>
      </c>
      <c r="R195" s="388">
        <v>0</v>
      </c>
      <c r="S195" s="73"/>
      <c r="T195" s="388"/>
      <c r="U195" s="73"/>
      <c r="V195" s="388"/>
      <c r="W195" s="73"/>
      <c r="X195" s="388"/>
      <c r="Y195" s="73"/>
      <c r="Z195" s="388"/>
      <c r="AA195" s="73"/>
      <c r="AB195" s="388"/>
      <c r="AC195" s="76">
        <f t="shared" si="3"/>
        <v>800</v>
      </c>
      <c r="AD195" s="388">
        <f t="shared" si="3"/>
        <v>0</v>
      </c>
    </row>
    <row r="196" spans="1:30" ht="15.6" x14ac:dyDescent="0.3">
      <c r="A196" s="391"/>
      <c r="B196" s="234" t="s">
        <v>162</v>
      </c>
      <c r="C196" s="73" t="s">
        <v>650</v>
      </c>
      <c r="D196" s="74" t="s">
        <v>374</v>
      </c>
      <c r="E196" s="75">
        <v>0</v>
      </c>
      <c r="F196" s="390"/>
      <c r="G196" s="233">
        <v>0</v>
      </c>
      <c r="H196" s="390"/>
      <c r="I196" s="233">
        <v>0</v>
      </c>
      <c r="J196" s="390"/>
      <c r="K196" s="233">
        <v>0</v>
      </c>
      <c r="L196" s="390"/>
      <c r="M196" s="233">
        <v>0</v>
      </c>
      <c r="N196" s="390"/>
      <c r="O196" s="73">
        <v>0</v>
      </c>
      <c r="P196" s="390"/>
      <c r="Q196" s="76">
        <v>1200</v>
      </c>
      <c r="R196" s="388"/>
      <c r="S196" s="73"/>
      <c r="T196" s="388"/>
      <c r="U196" s="73"/>
      <c r="V196" s="388"/>
      <c r="W196" s="73"/>
      <c r="X196" s="388"/>
      <c r="Y196" s="73"/>
      <c r="Z196" s="388"/>
      <c r="AA196" s="73"/>
      <c r="AB196" s="388"/>
      <c r="AC196" s="76">
        <f t="shared" si="3"/>
        <v>1200</v>
      </c>
      <c r="AD196" s="388">
        <f t="shared" si="3"/>
        <v>0</v>
      </c>
    </row>
    <row r="197" spans="1:30" ht="15.6" x14ac:dyDescent="0.3">
      <c r="A197" s="391">
        <v>97</v>
      </c>
      <c r="B197" s="232" t="s">
        <v>162</v>
      </c>
      <c r="C197" s="73" t="s">
        <v>171</v>
      </c>
      <c r="D197" s="74" t="s">
        <v>373</v>
      </c>
      <c r="E197" s="75">
        <v>0</v>
      </c>
      <c r="F197" s="389">
        <v>0</v>
      </c>
      <c r="G197" s="233">
        <v>0</v>
      </c>
      <c r="H197" s="389">
        <v>0</v>
      </c>
      <c r="I197" s="233">
        <v>0</v>
      </c>
      <c r="J197" s="389">
        <v>0</v>
      </c>
      <c r="K197" s="233">
        <v>0</v>
      </c>
      <c r="L197" s="389">
        <v>0</v>
      </c>
      <c r="M197" s="233">
        <v>0</v>
      </c>
      <c r="N197" s="389">
        <v>0</v>
      </c>
      <c r="O197" s="73">
        <v>0</v>
      </c>
      <c r="P197" s="389">
        <v>0</v>
      </c>
      <c r="Q197" s="76">
        <v>2600</v>
      </c>
      <c r="R197" s="388">
        <v>0</v>
      </c>
      <c r="S197" s="73"/>
      <c r="T197" s="388"/>
      <c r="U197" s="73"/>
      <c r="V197" s="388"/>
      <c r="W197" s="73"/>
      <c r="X197" s="388"/>
      <c r="Y197" s="73"/>
      <c r="Z197" s="388"/>
      <c r="AA197" s="73"/>
      <c r="AB197" s="388"/>
      <c r="AC197" s="76">
        <f t="shared" si="3"/>
        <v>2600</v>
      </c>
      <c r="AD197" s="388">
        <f t="shared" si="3"/>
        <v>0</v>
      </c>
    </row>
    <row r="198" spans="1:30" ht="15.6" x14ac:dyDescent="0.3">
      <c r="A198" s="391"/>
      <c r="B198" s="234" t="s">
        <v>162</v>
      </c>
      <c r="C198" s="73" t="s">
        <v>171</v>
      </c>
      <c r="D198" s="74" t="s">
        <v>374</v>
      </c>
      <c r="E198" s="75">
        <v>0</v>
      </c>
      <c r="F198" s="390"/>
      <c r="G198" s="233">
        <v>0</v>
      </c>
      <c r="H198" s="390"/>
      <c r="I198" s="233">
        <v>0</v>
      </c>
      <c r="J198" s="390"/>
      <c r="K198" s="233">
        <v>0</v>
      </c>
      <c r="L198" s="390"/>
      <c r="M198" s="233">
        <v>0</v>
      </c>
      <c r="N198" s="390"/>
      <c r="O198" s="73">
        <v>0</v>
      </c>
      <c r="P198" s="390"/>
      <c r="Q198" s="76">
        <v>3250</v>
      </c>
      <c r="R198" s="388"/>
      <c r="S198" s="73"/>
      <c r="T198" s="388"/>
      <c r="U198" s="73"/>
      <c r="V198" s="388"/>
      <c r="W198" s="73"/>
      <c r="X198" s="388"/>
      <c r="Y198" s="73"/>
      <c r="Z198" s="388"/>
      <c r="AA198" s="73"/>
      <c r="AB198" s="388"/>
      <c r="AC198" s="76">
        <f t="shared" si="3"/>
        <v>3250</v>
      </c>
      <c r="AD198" s="388">
        <f t="shared" si="3"/>
        <v>0</v>
      </c>
    </row>
    <row r="199" spans="1:30" ht="15.6" x14ac:dyDescent="0.3">
      <c r="A199" s="391">
        <v>98</v>
      </c>
      <c r="B199" s="232" t="s">
        <v>162</v>
      </c>
      <c r="C199" s="73" t="s">
        <v>651</v>
      </c>
      <c r="D199" s="74" t="s">
        <v>373</v>
      </c>
      <c r="E199" s="75">
        <v>0</v>
      </c>
      <c r="F199" s="389">
        <v>0</v>
      </c>
      <c r="G199" s="233">
        <v>0</v>
      </c>
      <c r="H199" s="389">
        <v>0</v>
      </c>
      <c r="I199" s="233">
        <v>0</v>
      </c>
      <c r="J199" s="389">
        <v>0</v>
      </c>
      <c r="K199" s="233">
        <v>0</v>
      </c>
      <c r="L199" s="389">
        <v>0</v>
      </c>
      <c r="M199" s="233">
        <v>0</v>
      </c>
      <c r="N199" s="389">
        <v>0</v>
      </c>
      <c r="O199" s="73">
        <v>0</v>
      </c>
      <c r="P199" s="389">
        <v>0</v>
      </c>
      <c r="Q199" s="76">
        <v>1950</v>
      </c>
      <c r="R199" s="388">
        <v>0</v>
      </c>
      <c r="S199" s="73"/>
      <c r="T199" s="388"/>
      <c r="U199" s="73"/>
      <c r="V199" s="388"/>
      <c r="W199" s="73"/>
      <c r="X199" s="388"/>
      <c r="Y199" s="73"/>
      <c r="Z199" s="388"/>
      <c r="AA199" s="73"/>
      <c r="AB199" s="388"/>
      <c r="AC199" s="76">
        <f t="shared" si="3"/>
        <v>1950</v>
      </c>
      <c r="AD199" s="388">
        <f t="shared" si="3"/>
        <v>0</v>
      </c>
    </row>
    <row r="200" spans="1:30" ht="15.6" x14ac:dyDescent="0.3">
      <c r="A200" s="391"/>
      <c r="B200" s="234" t="s">
        <v>162</v>
      </c>
      <c r="C200" s="73" t="s">
        <v>651</v>
      </c>
      <c r="D200" s="74" t="s">
        <v>374</v>
      </c>
      <c r="E200" s="75">
        <v>0</v>
      </c>
      <c r="F200" s="390"/>
      <c r="G200" s="233">
        <v>0</v>
      </c>
      <c r="H200" s="390"/>
      <c r="I200" s="233">
        <v>0</v>
      </c>
      <c r="J200" s="390"/>
      <c r="K200" s="233">
        <v>0</v>
      </c>
      <c r="L200" s="390"/>
      <c r="M200" s="233">
        <v>0</v>
      </c>
      <c r="N200" s="390"/>
      <c r="O200" s="73">
        <v>0</v>
      </c>
      <c r="P200" s="390"/>
      <c r="Q200" s="76">
        <v>2600</v>
      </c>
      <c r="R200" s="388"/>
      <c r="S200" s="73"/>
      <c r="T200" s="388"/>
      <c r="U200" s="73"/>
      <c r="V200" s="388"/>
      <c r="W200" s="73"/>
      <c r="X200" s="388"/>
      <c r="Y200" s="73"/>
      <c r="Z200" s="388"/>
      <c r="AA200" s="73"/>
      <c r="AB200" s="388"/>
      <c r="AC200" s="76">
        <f t="shared" si="3"/>
        <v>2600</v>
      </c>
      <c r="AD200" s="388">
        <f t="shared" si="3"/>
        <v>0</v>
      </c>
    </row>
    <row r="201" spans="1:30" ht="15.6" x14ac:dyDescent="0.3">
      <c r="A201" s="387">
        <v>99</v>
      </c>
      <c r="B201" s="230" t="s">
        <v>162</v>
      </c>
      <c r="C201" s="67" t="s">
        <v>400</v>
      </c>
      <c r="D201" s="68" t="s">
        <v>373</v>
      </c>
      <c r="E201" s="69">
        <v>2560</v>
      </c>
      <c r="F201" s="384">
        <v>0</v>
      </c>
      <c r="G201" s="71">
        <v>3200</v>
      </c>
      <c r="H201" s="384">
        <f>89745+84060</f>
        <v>173805</v>
      </c>
      <c r="I201" s="69">
        <v>3520</v>
      </c>
      <c r="J201" s="384">
        <v>168120</v>
      </c>
      <c r="K201" s="70">
        <v>3040</v>
      </c>
      <c r="L201" s="385">
        <v>251776.80000000005</v>
      </c>
      <c r="M201" s="70">
        <v>3200</v>
      </c>
      <c r="N201" s="385">
        <v>216382.8</v>
      </c>
      <c r="O201" s="67">
        <v>3360</v>
      </c>
      <c r="P201" s="385">
        <v>222258</v>
      </c>
      <c r="Q201" s="71">
        <v>3680</v>
      </c>
      <c r="R201" s="384">
        <v>240332.39999999991</v>
      </c>
      <c r="S201" s="67"/>
      <c r="T201" s="384"/>
      <c r="U201" s="67"/>
      <c r="V201" s="384"/>
      <c r="W201" s="67"/>
      <c r="X201" s="384"/>
      <c r="Y201" s="67"/>
      <c r="Z201" s="384"/>
      <c r="AA201" s="67"/>
      <c r="AB201" s="384"/>
      <c r="AC201" s="71">
        <f t="shared" si="3"/>
        <v>22560</v>
      </c>
      <c r="AD201" s="384">
        <f t="shared" si="3"/>
        <v>1272675</v>
      </c>
    </row>
    <row r="202" spans="1:30" ht="15.6" x14ac:dyDescent="0.3">
      <c r="A202" s="387"/>
      <c r="B202" s="231" t="s">
        <v>162</v>
      </c>
      <c r="C202" s="67" t="s">
        <v>400</v>
      </c>
      <c r="D202" s="68" t="s">
        <v>374</v>
      </c>
      <c r="E202" s="69">
        <v>3400</v>
      </c>
      <c r="F202" s="384"/>
      <c r="G202" s="71">
        <v>4000</v>
      </c>
      <c r="H202" s="384"/>
      <c r="I202" s="69">
        <v>4400</v>
      </c>
      <c r="J202" s="384"/>
      <c r="K202" s="70">
        <v>3768</v>
      </c>
      <c r="L202" s="386"/>
      <c r="M202" s="70">
        <v>3800</v>
      </c>
      <c r="N202" s="386"/>
      <c r="O202" s="67">
        <v>4200</v>
      </c>
      <c r="P202" s="386"/>
      <c r="Q202" s="71">
        <v>4600</v>
      </c>
      <c r="R202" s="384"/>
      <c r="S202" s="67"/>
      <c r="T202" s="384"/>
      <c r="U202" s="67"/>
      <c r="V202" s="384"/>
      <c r="W202" s="67"/>
      <c r="X202" s="384"/>
      <c r="Y202" s="67"/>
      <c r="Z202" s="384"/>
      <c r="AA202" s="67"/>
      <c r="AB202" s="384"/>
      <c r="AC202" s="71">
        <f t="shared" si="3"/>
        <v>28168</v>
      </c>
      <c r="AD202" s="384">
        <f t="shared" si="3"/>
        <v>0</v>
      </c>
    </row>
    <row r="203" spans="1:30" ht="15.6" x14ac:dyDescent="0.3">
      <c r="A203" s="387">
        <v>100</v>
      </c>
      <c r="B203" s="230" t="s">
        <v>162</v>
      </c>
      <c r="C203" s="67" t="s">
        <v>175</v>
      </c>
      <c r="D203" s="68" t="s">
        <v>373</v>
      </c>
      <c r="E203" s="69">
        <v>0</v>
      </c>
      <c r="F203" s="384">
        <v>0</v>
      </c>
      <c r="G203" s="71">
        <v>0</v>
      </c>
      <c r="H203" s="384">
        <v>0</v>
      </c>
      <c r="I203" s="69">
        <v>0</v>
      </c>
      <c r="J203" s="384">
        <v>0</v>
      </c>
      <c r="K203" s="70">
        <v>0</v>
      </c>
      <c r="L203" s="385">
        <v>0</v>
      </c>
      <c r="M203" s="70">
        <v>800</v>
      </c>
      <c r="N203" s="385">
        <v>0</v>
      </c>
      <c r="O203" s="67">
        <v>2100</v>
      </c>
      <c r="P203" s="385">
        <v>60080.55</v>
      </c>
      <c r="Q203" s="71">
        <v>2300</v>
      </c>
      <c r="R203" s="384">
        <v>167611.5</v>
      </c>
      <c r="S203" s="67"/>
      <c r="T203" s="384"/>
      <c r="U203" s="67"/>
      <c r="V203" s="384"/>
      <c r="W203" s="67"/>
      <c r="X203" s="384"/>
      <c r="Y203" s="67"/>
      <c r="Z203" s="384"/>
      <c r="AA203" s="67"/>
      <c r="AB203" s="384"/>
      <c r="AC203" s="71">
        <f>AA203+Y203+W203+U203+S203+Q203+O203+K203+M203+I203+G203+E203</f>
        <v>5200</v>
      </c>
      <c r="AD203" s="384">
        <f>AB203+Z203+X203+V203+T203+R203+P203+L203+N203+J203+H203+F203</f>
        <v>227692.05</v>
      </c>
    </row>
    <row r="204" spans="1:30" ht="15.6" x14ac:dyDescent="0.3">
      <c r="A204" s="387"/>
      <c r="B204" s="231" t="s">
        <v>162</v>
      </c>
      <c r="C204" s="67" t="s">
        <v>175</v>
      </c>
      <c r="D204" s="68" t="s">
        <v>374</v>
      </c>
      <c r="E204" s="69">
        <v>0</v>
      </c>
      <c r="F204" s="384"/>
      <c r="G204" s="71">
        <v>0</v>
      </c>
      <c r="H204" s="384"/>
      <c r="I204" s="69">
        <v>0</v>
      </c>
      <c r="J204" s="384"/>
      <c r="K204" s="70">
        <v>0</v>
      </c>
      <c r="L204" s="386"/>
      <c r="M204" s="70">
        <v>1177</v>
      </c>
      <c r="N204" s="386"/>
      <c r="O204" s="67">
        <v>3150</v>
      </c>
      <c r="P204" s="386"/>
      <c r="Q204" s="71">
        <v>3450</v>
      </c>
      <c r="R204" s="384"/>
      <c r="S204" s="67"/>
      <c r="T204" s="384"/>
      <c r="U204" s="67"/>
      <c r="V204" s="384"/>
      <c r="W204" s="67"/>
      <c r="X204" s="384"/>
      <c r="Y204" s="67"/>
      <c r="Z204" s="384"/>
      <c r="AA204" s="67"/>
      <c r="AB204" s="384"/>
      <c r="AC204" s="71">
        <f>AA204+Y204+W204+U204+S204+Q204+O204+K204+M204+I204+G204+E204</f>
        <v>7777</v>
      </c>
      <c r="AD204" s="384">
        <f>AB204+Z204+X204+V204+T204+R204+P204+L204+N204+J204+H204+F204</f>
        <v>0</v>
      </c>
    </row>
    <row r="205" spans="1:30" ht="15.6" x14ac:dyDescent="0.3">
      <c r="A205" s="387">
        <v>101</v>
      </c>
      <c r="B205" s="230" t="s">
        <v>162</v>
      </c>
      <c r="C205" s="67" t="s">
        <v>176</v>
      </c>
      <c r="D205" s="68" t="s">
        <v>373</v>
      </c>
      <c r="E205" s="69">
        <v>0</v>
      </c>
      <c r="F205" s="384">
        <v>0</v>
      </c>
      <c r="G205" s="71">
        <v>0</v>
      </c>
      <c r="H205" s="384">
        <v>0</v>
      </c>
      <c r="I205" s="69">
        <v>0</v>
      </c>
      <c r="J205" s="384">
        <v>0</v>
      </c>
      <c r="K205" s="70">
        <v>2175</v>
      </c>
      <c r="L205" s="385">
        <v>0</v>
      </c>
      <c r="M205" s="70">
        <v>2500</v>
      </c>
      <c r="N205" s="385">
        <v>184785.75</v>
      </c>
      <c r="O205" s="67">
        <v>2625</v>
      </c>
      <c r="P205" s="385">
        <v>207825</v>
      </c>
      <c r="Q205" s="71">
        <v>2875</v>
      </c>
      <c r="R205" s="384">
        <v>218216.25</v>
      </c>
      <c r="S205" s="67"/>
      <c r="T205" s="384"/>
      <c r="U205" s="67"/>
      <c r="V205" s="384"/>
      <c r="W205" s="67"/>
      <c r="X205" s="384"/>
      <c r="Y205" s="67"/>
      <c r="Z205" s="384"/>
      <c r="AA205" s="67"/>
      <c r="AB205" s="384"/>
      <c r="AC205" s="71">
        <f t="shared" si="3"/>
        <v>10175</v>
      </c>
      <c r="AD205" s="384">
        <f t="shared" si="3"/>
        <v>610827</v>
      </c>
    </row>
    <row r="206" spans="1:30" ht="15.6" x14ac:dyDescent="0.3">
      <c r="A206" s="387"/>
      <c r="B206" s="231" t="s">
        <v>162</v>
      </c>
      <c r="C206" s="67" t="s">
        <v>176</v>
      </c>
      <c r="D206" s="68" t="s">
        <v>374</v>
      </c>
      <c r="E206" s="69">
        <v>0</v>
      </c>
      <c r="F206" s="384"/>
      <c r="G206" s="71">
        <v>0</v>
      </c>
      <c r="H206" s="384"/>
      <c r="I206" s="69">
        <v>0</v>
      </c>
      <c r="J206" s="384"/>
      <c r="K206" s="70">
        <v>3600</v>
      </c>
      <c r="L206" s="386"/>
      <c r="M206" s="70">
        <v>4000</v>
      </c>
      <c r="N206" s="386"/>
      <c r="O206" s="67">
        <v>4200</v>
      </c>
      <c r="P206" s="386"/>
      <c r="Q206" s="71">
        <v>4600</v>
      </c>
      <c r="R206" s="384"/>
      <c r="S206" s="67"/>
      <c r="T206" s="384"/>
      <c r="U206" s="67"/>
      <c r="V206" s="384"/>
      <c r="W206" s="67"/>
      <c r="X206" s="384"/>
      <c r="Y206" s="67"/>
      <c r="Z206" s="384"/>
      <c r="AA206" s="67"/>
      <c r="AB206" s="384"/>
      <c r="AC206" s="71">
        <f t="shared" si="3"/>
        <v>16400</v>
      </c>
      <c r="AD206" s="384">
        <f t="shared" si="3"/>
        <v>0</v>
      </c>
    </row>
    <row r="207" spans="1:30" ht="15.6" x14ac:dyDescent="0.3">
      <c r="A207" s="387">
        <v>102</v>
      </c>
      <c r="B207" s="230" t="s">
        <v>162</v>
      </c>
      <c r="C207" s="67" t="s">
        <v>401</v>
      </c>
      <c r="D207" s="68" t="s">
        <v>373</v>
      </c>
      <c r="E207" s="69">
        <v>0</v>
      </c>
      <c r="F207" s="384">
        <v>0</v>
      </c>
      <c r="G207" s="69">
        <v>0</v>
      </c>
      <c r="H207" s="384">
        <v>0</v>
      </c>
      <c r="I207" s="69">
        <v>0</v>
      </c>
      <c r="J207" s="384">
        <v>0</v>
      </c>
      <c r="K207" s="69">
        <v>0</v>
      </c>
      <c r="L207" s="384">
        <v>0</v>
      </c>
      <c r="M207" s="69">
        <v>0</v>
      </c>
      <c r="N207" s="384">
        <v>0</v>
      </c>
      <c r="O207" s="67">
        <v>1700</v>
      </c>
      <c r="P207" s="385">
        <v>0</v>
      </c>
      <c r="Q207" s="71">
        <v>2300</v>
      </c>
      <c r="R207" s="384">
        <v>135685.5</v>
      </c>
      <c r="S207" s="67"/>
      <c r="T207" s="384"/>
      <c r="U207" s="67"/>
      <c r="V207" s="384"/>
      <c r="W207" s="67"/>
      <c r="X207" s="384"/>
      <c r="Y207" s="67"/>
      <c r="Z207" s="384"/>
      <c r="AA207" s="67"/>
      <c r="AB207" s="384"/>
      <c r="AC207" s="71">
        <f t="shared" si="3"/>
        <v>4000</v>
      </c>
      <c r="AD207" s="384">
        <f t="shared" si="3"/>
        <v>135685.5</v>
      </c>
    </row>
    <row r="208" spans="1:30" ht="15.6" x14ac:dyDescent="0.3">
      <c r="A208" s="387"/>
      <c r="B208" s="231" t="s">
        <v>162</v>
      </c>
      <c r="C208" s="67" t="s">
        <v>401</v>
      </c>
      <c r="D208" s="68" t="s">
        <v>374</v>
      </c>
      <c r="E208" s="69">
        <v>0</v>
      </c>
      <c r="F208" s="384"/>
      <c r="G208" s="69">
        <v>0</v>
      </c>
      <c r="H208" s="384"/>
      <c r="I208" s="69">
        <v>0</v>
      </c>
      <c r="J208" s="384"/>
      <c r="K208" s="69">
        <v>0</v>
      </c>
      <c r="L208" s="384"/>
      <c r="M208" s="69">
        <v>0</v>
      </c>
      <c r="N208" s="384"/>
      <c r="O208" s="67">
        <v>2550</v>
      </c>
      <c r="P208" s="386"/>
      <c r="Q208" s="71">
        <v>3450</v>
      </c>
      <c r="R208" s="384"/>
      <c r="S208" s="67"/>
      <c r="T208" s="384"/>
      <c r="U208" s="67"/>
      <c r="V208" s="384"/>
      <c r="W208" s="67"/>
      <c r="X208" s="384"/>
      <c r="Y208" s="67"/>
      <c r="Z208" s="384"/>
      <c r="AA208" s="67"/>
      <c r="AB208" s="384"/>
      <c r="AC208" s="71">
        <f t="shared" si="3"/>
        <v>6000</v>
      </c>
      <c r="AD208" s="384">
        <f t="shared" si="3"/>
        <v>0</v>
      </c>
    </row>
    <row r="209" spans="1:30" ht="15.6" x14ac:dyDescent="0.3">
      <c r="A209" s="387">
        <v>103</v>
      </c>
      <c r="B209" s="230" t="s">
        <v>402</v>
      </c>
      <c r="C209" s="67" t="s">
        <v>125</v>
      </c>
      <c r="D209" s="68" t="s">
        <v>373</v>
      </c>
      <c r="E209" s="69">
        <v>1600</v>
      </c>
      <c r="F209" s="384">
        <v>0</v>
      </c>
      <c r="G209" s="71">
        <v>2000</v>
      </c>
      <c r="H209" s="384">
        <v>89700</v>
      </c>
      <c r="I209" s="69">
        <v>2200</v>
      </c>
      <c r="J209" s="384">
        <v>169800</v>
      </c>
      <c r="K209" s="70">
        <v>1900</v>
      </c>
      <c r="L209" s="385">
        <v>196251</v>
      </c>
      <c r="M209" s="70">
        <v>2000</v>
      </c>
      <c r="N209" s="385">
        <v>169489.5</v>
      </c>
      <c r="O209" s="67">
        <v>2100</v>
      </c>
      <c r="P209" s="385">
        <v>178410</v>
      </c>
      <c r="Q209" s="71">
        <v>2300</v>
      </c>
      <c r="R209" s="384">
        <v>187330.5</v>
      </c>
      <c r="S209" s="67"/>
      <c r="T209" s="384"/>
      <c r="U209" s="67"/>
      <c r="V209" s="384"/>
      <c r="W209" s="67"/>
      <c r="X209" s="384"/>
      <c r="Y209" s="67"/>
      <c r="Z209" s="384"/>
      <c r="AA209" s="67"/>
      <c r="AB209" s="384"/>
      <c r="AC209" s="71">
        <f t="shared" si="3"/>
        <v>14100</v>
      </c>
      <c r="AD209" s="384">
        <f t="shared" si="3"/>
        <v>990981</v>
      </c>
    </row>
    <row r="210" spans="1:30" ht="15.6" x14ac:dyDescent="0.3">
      <c r="A210" s="387"/>
      <c r="B210" s="231" t="s">
        <v>402</v>
      </c>
      <c r="C210" s="67" t="s">
        <v>125</v>
      </c>
      <c r="D210" s="68" t="s">
        <v>374</v>
      </c>
      <c r="E210" s="69">
        <v>2550</v>
      </c>
      <c r="F210" s="384"/>
      <c r="G210" s="71">
        <v>3000</v>
      </c>
      <c r="H210" s="384"/>
      <c r="I210" s="69">
        <v>3300</v>
      </c>
      <c r="J210" s="384"/>
      <c r="K210" s="70">
        <v>2850</v>
      </c>
      <c r="L210" s="386"/>
      <c r="M210" s="70">
        <v>3000</v>
      </c>
      <c r="N210" s="386"/>
      <c r="O210" s="67">
        <v>3150</v>
      </c>
      <c r="P210" s="386"/>
      <c r="Q210" s="71">
        <v>3450</v>
      </c>
      <c r="R210" s="384"/>
      <c r="S210" s="67"/>
      <c r="T210" s="384"/>
      <c r="U210" s="67"/>
      <c r="V210" s="384"/>
      <c r="W210" s="67"/>
      <c r="X210" s="384"/>
      <c r="Y210" s="67"/>
      <c r="Z210" s="384"/>
      <c r="AA210" s="67"/>
      <c r="AB210" s="384"/>
      <c r="AC210" s="71">
        <f t="shared" si="3"/>
        <v>21300</v>
      </c>
      <c r="AD210" s="384">
        <f t="shared" si="3"/>
        <v>0</v>
      </c>
    </row>
    <row r="211" spans="1:30" ht="15.6" x14ac:dyDescent="0.3">
      <c r="A211" s="387">
        <v>104</v>
      </c>
      <c r="B211" s="230" t="s">
        <v>402</v>
      </c>
      <c r="C211" s="67" t="s">
        <v>183</v>
      </c>
      <c r="D211" s="68" t="s">
        <v>373</v>
      </c>
      <c r="E211" s="69">
        <v>2400</v>
      </c>
      <c r="F211" s="384">
        <v>0</v>
      </c>
      <c r="G211" s="71">
        <v>3000</v>
      </c>
      <c r="H211" s="384">
        <f>89525+83475</f>
        <v>173000</v>
      </c>
      <c r="I211" s="69">
        <v>3300</v>
      </c>
      <c r="J211" s="384">
        <v>166950</v>
      </c>
      <c r="K211" s="70">
        <v>2850</v>
      </c>
      <c r="L211" s="385">
        <v>273999</v>
      </c>
      <c r="M211" s="70">
        <v>3000</v>
      </c>
      <c r="N211" s="385">
        <v>236635.5</v>
      </c>
      <c r="O211" s="67">
        <v>3150</v>
      </c>
      <c r="P211" s="385">
        <v>249090</v>
      </c>
      <c r="Q211" s="71">
        <v>3450</v>
      </c>
      <c r="R211" s="384">
        <v>261544.5</v>
      </c>
      <c r="S211" s="67"/>
      <c r="T211" s="384"/>
      <c r="U211" s="67"/>
      <c r="V211" s="384"/>
      <c r="W211" s="67"/>
      <c r="X211" s="384"/>
      <c r="Y211" s="67"/>
      <c r="Z211" s="384"/>
      <c r="AA211" s="67"/>
      <c r="AB211" s="384"/>
      <c r="AC211" s="71">
        <f t="shared" si="3"/>
        <v>21150</v>
      </c>
      <c r="AD211" s="384">
        <f t="shared" si="3"/>
        <v>1361219</v>
      </c>
    </row>
    <row r="212" spans="1:30" ht="15.6" x14ac:dyDescent="0.3">
      <c r="A212" s="387"/>
      <c r="B212" s="231" t="s">
        <v>402</v>
      </c>
      <c r="C212" s="67" t="s">
        <v>183</v>
      </c>
      <c r="D212" s="68" t="s">
        <v>374</v>
      </c>
      <c r="E212" s="69">
        <v>3400</v>
      </c>
      <c r="F212" s="384"/>
      <c r="G212" s="71">
        <v>4000</v>
      </c>
      <c r="H212" s="384"/>
      <c r="I212" s="69">
        <v>4400</v>
      </c>
      <c r="J212" s="384"/>
      <c r="K212" s="70">
        <v>3800</v>
      </c>
      <c r="L212" s="386"/>
      <c r="M212" s="70">
        <v>4000</v>
      </c>
      <c r="N212" s="386"/>
      <c r="O212" s="67">
        <v>4200</v>
      </c>
      <c r="P212" s="386"/>
      <c r="Q212" s="71">
        <v>4573</v>
      </c>
      <c r="R212" s="384"/>
      <c r="S212" s="67"/>
      <c r="T212" s="384"/>
      <c r="U212" s="67"/>
      <c r="V212" s="384"/>
      <c r="W212" s="67"/>
      <c r="X212" s="384"/>
      <c r="Y212" s="67"/>
      <c r="Z212" s="384"/>
      <c r="AA212" s="67"/>
      <c r="AB212" s="384"/>
      <c r="AC212" s="71">
        <f t="shared" si="3"/>
        <v>28373</v>
      </c>
      <c r="AD212" s="384">
        <f t="shared" si="3"/>
        <v>0</v>
      </c>
    </row>
    <row r="213" spans="1:30" ht="15.6" x14ac:dyDescent="0.3">
      <c r="A213" s="387">
        <v>105</v>
      </c>
      <c r="B213" s="230" t="s">
        <v>402</v>
      </c>
      <c r="C213" s="67" t="s">
        <v>184</v>
      </c>
      <c r="D213" s="68" t="s">
        <v>373</v>
      </c>
      <c r="E213" s="69">
        <v>2400</v>
      </c>
      <c r="F213" s="384">
        <v>0</v>
      </c>
      <c r="G213" s="71">
        <v>3000</v>
      </c>
      <c r="H213" s="384">
        <f>89525+83475</f>
        <v>173000</v>
      </c>
      <c r="I213" s="69">
        <v>3300</v>
      </c>
      <c r="J213" s="384">
        <v>166950</v>
      </c>
      <c r="K213" s="70">
        <v>2850</v>
      </c>
      <c r="L213" s="385">
        <v>273999</v>
      </c>
      <c r="M213" s="70">
        <v>3000</v>
      </c>
      <c r="N213" s="385">
        <v>236635.5</v>
      </c>
      <c r="O213" s="67">
        <v>3150</v>
      </c>
      <c r="P213" s="385">
        <v>249090</v>
      </c>
      <c r="Q213" s="71">
        <v>3450</v>
      </c>
      <c r="R213" s="384">
        <v>261544.5</v>
      </c>
      <c r="S213" s="67"/>
      <c r="T213" s="384"/>
      <c r="U213" s="67"/>
      <c r="V213" s="384"/>
      <c r="W213" s="67"/>
      <c r="X213" s="384"/>
      <c r="Y213" s="67"/>
      <c r="Z213" s="384"/>
      <c r="AA213" s="67"/>
      <c r="AB213" s="384"/>
      <c r="AC213" s="71">
        <f t="shared" si="3"/>
        <v>21150</v>
      </c>
      <c r="AD213" s="384">
        <f t="shared" si="3"/>
        <v>1361219</v>
      </c>
    </row>
    <row r="214" spans="1:30" ht="15.6" x14ac:dyDescent="0.3">
      <c r="A214" s="387"/>
      <c r="B214" s="231" t="s">
        <v>402</v>
      </c>
      <c r="C214" s="67" t="s">
        <v>184</v>
      </c>
      <c r="D214" s="68" t="s">
        <v>374</v>
      </c>
      <c r="E214" s="69">
        <v>3400</v>
      </c>
      <c r="F214" s="384"/>
      <c r="G214" s="71">
        <v>4000</v>
      </c>
      <c r="H214" s="384"/>
      <c r="I214" s="69">
        <v>4400</v>
      </c>
      <c r="J214" s="384"/>
      <c r="K214" s="70">
        <v>3800</v>
      </c>
      <c r="L214" s="386"/>
      <c r="M214" s="70">
        <v>4000</v>
      </c>
      <c r="N214" s="386"/>
      <c r="O214" s="67">
        <v>4200</v>
      </c>
      <c r="P214" s="386"/>
      <c r="Q214" s="71">
        <v>4600</v>
      </c>
      <c r="R214" s="384"/>
      <c r="S214" s="67"/>
      <c r="T214" s="384"/>
      <c r="U214" s="67"/>
      <c r="V214" s="384"/>
      <c r="W214" s="67"/>
      <c r="X214" s="384"/>
      <c r="Y214" s="67"/>
      <c r="Z214" s="384"/>
      <c r="AA214" s="67"/>
      <c r="AB214" s="384"/>
      <c r="AC214" s="71">
        <f t="shared" si="3"/>
        <v>28400</v>
      </c>
      <c r="AD214" s="384">
        <f t="shared" si="3"/>
        <v>0</v>
      </c>
    </row>
    <row r="215" spans="1:30" ht="15.6" x14ac:dyDescent="0.3">
      <c r="A215" s="387">
        <v>106</v>
      </c>
      <c r="B215" s="230" t="s">
        <v>402</v>
      </c>
      <c r="C215" s="67" t="s">
        <v>186</v>
      </c>
      <c r="D215" s="68" t="s">
        <v>373</v>
      </c>
      <c r="E215" s="69">
        <v>1600</v>
      </c>
      <c r="F215" s="384">
        <v>0</v>
      </c>
      <c r="G215" s="67">
        <v>2000</v>
      </c>
      <c r="H215" s="384">
        <f>75000+63675</f>
        <v>138675</v>
      </c>
      <c r="I215" s="67">
        <v>2200</v>
      </c>
      <c r="J215" s="384">
        <v>127350</v>
      </c>
      <c r="K215" s="67">
        <v>2250</v>
      </c>
      <c r="L215" s="385">
        <v>196251</v>
      </c>
      <c r="M215" s="67">
        <v>2500</v>
      </c>
      <c r="N215" s="384">
        <v>194227.5</v>
      </c>
      <c r="O215" s="67">
        <v>2625</v>
      </c>
      <c r="P215" s="384">
        <v>213750</v>
      </c>
      <c r="Q215" s="71">
        <v>2875</v>
      </c>
      <c r="R215" s="384">
        <v>224437.5</v>
      </c>
      <c r="S215" s="67"/>
      <c r="T215" s="384"/>
      <c r="U215" s="67"/>
      <c r="V215" s="384"/>
      <c r="W215" s="67"/>
      <c r="X215" s="384"/>
      <c r="Y215" s="67"/>
      <c r="Z215" s="384"/>
      <c r="AA215" s="67"/>
      <c r="AB215" s="384"/>
      <c r="AC215" s="71">
        <f t="shared" si="3"/>
        <v>16050</v>
      </c>
      <c r="AD215" s="384">
        <f t="shared" si="3"/>
        <v>1094691</v>
      </c>
    </row>
    <row r="216" spans="1:30" ht="15.6" x14ac:dyDescent="0.3">
      <c r="A216" s="387"/>
      <c r="B216" s="231" t="s">
        <v>402</v>
      </c>
      <c r="C216" s="67" t="s">
        <v>186</v>
      </c>
      <c r="D216" s="68" t="s">
        <v>374</v>
      </c>
      <c r="E216" s="69">
        <v>2550</v>
      </c>
      <c r="F216" s="384"/>
      <c r="G216" s="67">
        <v>3000</v>
      </c>
      <c r="H216" s="384"/>
      <c r="I216" s="67">
        <v>3300</v>
      </c>
      <c r="J216" s="384"/>
      <c r="K216" s="67">
        <v>3200</v>
      </c>
      <c r="L216" s="386"/>
      <c r="M216" s="67">
        <v>3500</v>
      </c>
      <c r="N216" s="384"/>
      <c r="O216" s="67">
        <v>3675</v>
      </c>
      <c r="P216" s="384"/>
      <c r="Q216" s="71">
        <v>4025</v>
      </c>
      <c r="R216" s="384"/>
      <c r="S216" s="67"/>
      <c r="T216" s="384"/>
      <c r="U216" s="67"/>
      <c r="V216" s="384"/>
      <c r="W216" s="67"/>
      <c r="X216" s="384"/>
      <c r="Y216" s="67"/>
      <c r="Z216" s="384"/>
      <c r="AA216" s="67"/>
      <c r="AB216" s="384"/>
      <c r="AC216" s="71">
        <f t="shared" si="3"/>
        <v>23250</v>
      </c>
      <c r="AD216" s="384">
        <f t="shared" si="3"/>
        <v>0</v>
      </c>
    </row>
    <row r="217" spans="1:30" ht="15.6" x14ac:dyDescent="0.3">
      <c r="A217" s="387">
        <v>107</v>
      </c>
      <c r="B217" s="230" t="s">
        <v>402</v>
      </c>
      <c r="C217" s="67" t="s">
        <v>188</v>
      </c>
      <c r="D217" s="68" t="s">
        <v>373</v>
      </c>
      <c r="E217" s="69">
        <v>0</v>
      </c>
      <c r="F217" s="384">
        <v>0</v>
      </c>
      <c r="G217" s="67">
        <v>0</v>
      </c>
      <c r="H217" s="384">
        <v>0</v>
      </c>
      <c r="I217" s="67">
        <v>1600</v>
      </c>
      <c r="J217" s="384">
        <v>0</v>
      </c>
      <c r="K217" s="67">
        <v>1900</v>
      </c>
      <c r="L217" s="385">
        <v>139365</v>
      </c>
      <c r="M217" s="67">
        <v>2000</v>
      </c>
      <c r="N217" s="384">
        <v>169489.5</v>
      </c>
      <c r="O217" s="67">
        <v>2100</v>
      </c>
      <c r="P217" s="384">
        <v>178410</v>
      </c>
      <c r="Q217" s="71">
        <v>2273</v>
      </c>
      <c r="R217" s="384">
        <v>187330.5</v>
      </c>
      <c r="S217" s="67"/>
      <c r="T217" s="384"/>
      <c r="U217" s="67"/>
      <c r="V217" s="384"/>
      <c r="W217" s="67"/>
      <c r="X217" s="384"/>
      <c r="Y217" s="67"/>
      <c r="Z217" s="384"/>
      <c r="AA217" s="67"/>
      <c r="AB217" s="384"/>
      <c r="AC217" s="71">
        <f t="shared" si="3"/>
        <v>9873</v>
      </c>
      <c r="AD217" s="384">
        <f t="shared" si="3"/>
        <v>674595</v>
      </c>
    </row>
    <row r="218" spans="1:30" ht="15.6" x14ac:dyDescent="0.3">
      <c r="A218" s="387"/>
      <c r="B218" s="231" t="s">
        <v>402</v>
      </c>
      <c r="C218" s="67" t="s">
        <v>188</v>
      </c>
      <c r="D218" s="68" t="s">
        <v>374</v>
      </c>
      <c r="E218" s="69">
        <v>0</v>
      </c>
      <c r="F218" s="384"/>
      <c r="G218" s="67">
        <v>0</v>
      </c>
      <c r="H218" s="384"/>
      <c r="I218" s="67">
        <v>2400</v>
      </c>
      <c r="J218" s="384"/>
      <c r="K218" s="67">
        <v>2850</v>
      </c>
      <c r="L218" s="386"/>
      <c r="M218" s="67">
        <v>3000</v>
      </c>
      <c r="N218" s="384"/>
      <c r="O218" s="67">
        <v>3150</v>
      </c>
      <c r="P218" s="384"/>
      <c r="Q218" s="71">
        <v>3450</v>
      </c>
      <c r="R218" s="384"/>
      <c r="S218" s="67"/>
      <c r="T218" s="384"/>
      <c r="U218" s="67"/>
      <c r="V218" s="384"/>
      <c r="W218" s="67"/>
      <c r="X218" s="384"/>
      <c r="Y218" s="67"/>
      <c r="Z218" s="384"/>
      <c r="AA218" s="67"/>
      <c r="AB218" s="384"/>
      <c r="AC218" s="71">
        <f t="shared" si="3"/>
        <v>14850</v>
      </c>
      <c r="AD218" s="384">
        <f t="shared" si="3"/>
        <v>0</v>
      </c>
    </row>
    <row r="219" spans="1:30" ht="15.6" x14ac:dyDescent="0.3">
      <c r="A219" s="387">
        <v>108</v>
      </c>
      <c r="B219" s="230" t="s">
        <v>402</v>
      </c>
      <c r="C219" s="67" t="s">
        <v>189</v>
      </c>
      <c r="D219" s="68" t="s">
        <v>373</v>
      </c>
      <c r="E219" s="69">
        <v>0</v>
      </c>
      <c r="F219" s="384">
        <v>0</v>
      </c>
      <c r="G219" s="67">
        <v>0</v>
      </c>
      <c r="H219" s="384">
        <v>0</v>
      </c>
      <c r="I219" s="67">
        <v>0</v>
      </c>
      <c r="J219" s="384">
        <v>0</v>
      </c>
      <c r="K219" s="67">
        <v>0</v>
      </c>
      <c r="L219" s="384">
        <v>0</v>
      </c>
      <c r="M219" s="67">
        <v>1800</v>
      </c>
      <c r="N219" s="384">
        <v>0</v>
      </c>
      <c r="O219" s="67">
        <v>2100</v>
      </c>
      <c r="P219" s="384">
        <v>160569</v>
      </c>
      <c r="Q219" s="71">
        <v>2300</v>
      </c>
      <c r="R219" s="384">
        <v>187330.5</v>
      </c>
      <c r="S219" s="67"/>
      <c r="T219" s="384"/>
      <c r="U219" s="67"/>
      <c r="V219" s="384"/>
      <c r="W219" s="67"/>
      <c r="X219" s="384"/>
      <c r="Y219" s="67"/>
      <c r="Z219" s="384"/>
      <c r="AA219" s="67"/>
      <c r="AB219" s="384"/>
      <c r="AC219" s="71">
        <f t="shared" si="3"/>
        <v>6200</v>
      </c>
      <c r="AD219" s="384">
        <f t="shared" si="3"/>
        <v>347899.5</v>
      </c>
    </row>
    <row r="220" spans="1:30" ht="15.6" x14ac:dyDescent="0.3">
      <c r="A220" s="387"/>
      <c r="B220" s="231" t="s">
        <v>402</v>
      </c>
      <c r="C220" s="67" t="s">
        <v>189</v>
      </c>
      <c r="D220" s="68" t="s">
        <v>374</v>
      </c>
      <c r="E220" s="69">
        <v>0</v>
      </c>
      <c r="F220" s="384"/>
      <c r="G220" s="67">
        <v>0</v>
      </c>
      <c r="H220" s="384"/>
      <c r="I220" s="67">
        <v>0</v>
      </c>
      <c r="J220" s="384"/>
      <c r="K220" s="67">
        <v>0</v>
      </c>
      <c r="L220" s="384"/>
      <c r="M220" s="67">
        <v>2700</v>
      </c>
      <c r="N220" s="384"/>
      <c r="O220" s="67">
        <v>3150</v>
      </c>
      <c r="P220" s="384"/>
      <c r="Q220" s="71">
        <v>3450</v>
      </c>
      <c r="R220" s="384"/>
      <c r="S220" s="67"/>
      <c r="T220" s="384"/>
      <c r="U220" s="67"/>
      <c r="V220" s="384"/>
      <c r="W220" s="67"/>
      <c r="X220" s="384"/>
      <c r="Y220" s="67"/>
      <c r="Z220" s="384"/>
      <c r="AA220" s="67"/>
      <c r="AB220" s="384"/>
      <c r="AC220" s="71">
        <f t="shared" si="3"/>
        <v>9300</v>
      </c>
      <c r="AD220" s="384">
        <f t="shared" si="3"/>
        <v>0</v>
      </c>
    </row>
    <row r="221" spans="1:30" ht="15.6" x14ac:dyDescent="0.3">
      <c r="A221" s="387">
        <v>109</v>
      </c>
      <c r="B221" s="230" t="s">
        <v>402</v>
      </c>
      <c r="C221" s="67" t="s">
        <v>185</v>
      </c>
      <c r="D221" s="68" t="s">
        <v>373</v>
      </c>
      <c r="E221" s="69">
        <v>0</v>
      </c>
      <c r="F221" s="384">
        <v>0</v>
      </c>
      <c r="G221" s="67">
        <v>0</v>
      </c>
      <c r="H221" s="384">
        <v>0</v>
      </c>
      <c r="I221" s="67">
        <v>0</v>
      </c>
      <c r="J221" s="384">
        <v>0</v>
      </c>
      <c r="K221" s="67">
        <v>0</v>
      </c>
      <c r="L221" s="384">
        <v>0</v>
      </c>
      <c r="M221" s="67">
        <v>300</v>
      </c>
      <c r="N221" s="384">
        <v>0</v>
      </c>
      <c r="O221" s="67">
        <v>2400</v>
      </c>
      <c r="P221" s="384">
        <v>0</v>
      </c>
      <c r="Q221" s="71">
        <v>2300</v>
      </c>
      <c r="R221" s="384">
        <v>214092</v>
      </c>
      <c r="S221" s="67"/>
      <c r="T221" s="384"/>
      <c r="U221" s="67"/>
      <c r="V221" s="384"/>
      <c r="W221" s="67"/>
      <c r="X221" s="384"/>
      <c r="Y221" s="67"/>
      <c r="Z221" s="384"/>
      <c r="AA221" s="67"/>
      <c r="AB221" s="384"/>
      <c r="AC221" s="71">
        <f t="shared" si="3"/>
        <v>5000</v>
      </c>
      <c r="AD221" s="384">
        <f t="shared" si="3"/>
        <v>214092</v>
      </c>
    </row>
    <row r="222" spans="1:30" ht="15.6" x14ac:dyDescent="0.3">
      <c r="A222" s="387"/>
      <c r="B222" s="231" t="s">
        <v>402</v>
      </c>
      <c r="C222" s="67" t="s">
        <v>185</v>
      </c>
      <c r="D222" s="68" t="s">
        <v>374</v>
      </c>
      <c r="E222" s="69">
        <v>0</v>
      </c>
      <c r="F222" s="384"/>
      <c r="G222" s="67">
        <v>0</v>
      </c>
      <c r="H222" s="384"/>
      <c r="I222" s="67">
        <v>0</v>
      </c>
      <c r="J222" s="384"/>
      <c r="K222" s="67">
        <v>0</v>
      </c>
      <c r="L222" s="384"/>
      <c r="M222" s="67">
        <v>450</v>
      </c>
      <c r="N222" s="384"/>
      <c r="O222" s="67">
        <v>3600</v>
      </c>
      <c r="P222" s="384"/>
      <c r="Q222" s="71">
        <v>3450</v>
      </c>
      <c r="R222" s="384"/>
      <c r="S222" s="67"/>
      <c r="T222" s="384"/>
      <c r="U222" s="67"/>
      <c r="V222" s="384"/>
      <c r="W222" s="67"/>
      <c r="X222" s="384"/>
      <c r="Y222" s="67"/>
      <c r="Z222" s="384"/>
      <c r="AA222" s="67"/>
      <c r="AB222" s="384"/>
      <c r="AC222" s="71">
        <f t="shared" si="3"/>
        <v>7500</v>
      </c>
      <c r="AD222" s="384">
        <f t="shared" si="3"/>
        <v>0</v>
      </c>
    </row>
    <row r="223" spans="1:30" ht="15.6" x14ac:dyDescent="0.3">
      <c r="A223" s="387">
        <v>110</v>
      </c>
      <c r="B223" s="230" t="s">
        <v>402</v>
      </c>
      <c r="C223" s="67" t="s">
        <v>187</v>
      </c>
      <c r="D223" s="68" t="s">
        <v>373</v>
      </c>
      <c r="E223" s="69">
        <v>0</v>
      </c>
      <c r="F223" s="384">
        <v>0</v>
      </c>
      <c r="G223" s="67">
        <v>0</v>
      </c>
      <c r="H223" s="384">
        <v>0</v>
      </c>
      <c r="I223" s="67">
        <v>0</v>
      </c>
      <c r="J223" s="384">
        <v>0</v>
      </c>
      <c r="K223" s="67">
        <v>0</v>
      </c>
      <c r="L223" s="384">
        <v>0</v>
      </c>
      <c r="M223" s="67">
        <v>800</v>
      </c>
      <c r="N223" s="384">
        <v>0</v>
      </c>
      <c r="O223" s="67">
        <v>2100</v>
      </c>
      <c r="P223" s="384">
        <v>71364</v>
      </c>
      <c r="Q223" s="71">
        <v>2300</v>
      </c>
      <c r="R223" s="384">
        <v>187330.5</v>
      </c>
      <c r="S223" s="67"/>
      <c r="T223" s="384"/>
      <c r="U223" s="67"/>
      <c r="V223" s="384"/>
      <c r="W223" s="67"/>
      <c r="X223" s="384"/>
      <c r="Y223" s="67"/>
      <c r="Z223" s="384"/>
      <c r="AA223" s="67"/>
      <c r="AB223" s="384"/>
      <c r="AC223" s="71">
        <f t="shared" si="3"/>
        <v>5200</v>
      </c>
      <c r="AD223" s="384">
        <f t="shared" si="3"/>
        <v>258694.5</v>
      </c>
    </row>
    <row r="224" spans="1:30" ht="15.6" x14ac:dyDescent="0.3">
      <c r="A224" s="387"/>
      <c r="B224" s="231" t="s">
        <v>402</v>
      </c>
      <c r="C224" s="67" t="s">
        <v>187</v>
      </c>
      <c r="D224" s="68" t="s">
        <v>374</v>
      </c>
      <c r="E224" s="69">
        <v>0</v>
      </c>
      <c r="F224" s="384"/>
      <c r="G224" s="67">
        <v>0</v>
      </c>
      <c r="H224" s="384"/>
      <c r="I224" s="67">
        <v>0</v>
      </c>
      <c r="J224" s="384"/>
      <c r="K224" s="67">
        <v>0</v>
      </c>
      <c r="L224" s="384"/>
      <c r="M224" s="67">
        <v>1200</v>
      </c>
      <c r="N224" s="384"/>
      <c r="O224" s="67">
        <v>3150</v>
      </c>
      <c r="P224" s="384"/>
      <c r="Q224" s="71">
        <v>3450</v>
      </c>
      <c r="R224" s="384"/>
      <c r="S224" s="67"/>
      <c r="T224" s="384"/>
      <c r="U224" s="67"/>
      <c r="V224" s="384"/>
      <c r="W224" s="67"/>
      <c r="X224" s="384"/>
      <c r="Y224" s="67"/>
      <c r="Z224" s="384"/>
      <c r="AA224" s="67"/>
      <c r="AB224" s="384"/>
      <c r="AC224" s="71">
        <f t="shared" si="3"/>
        <v>7800</v>
      </c>
      <c r="AD224" s="384">
        <f t="shared" si="3"/>
        <v>0</v>
      </c>
    </row>
    <row r="225" spans="1:30" ht="15.6" x14ac:dyDescent="0.3">
      <c r="A225" s="387">
        <v>111</v>
      </c>
      <c r="B225" s="230" t="s">
        <v>191</v>
      </c>
      <c r="C225" s="67" t="s">
        <v>194</v>
      </c>
      <c r="D225" s="68" t="s">
        <v>373</v>
      </c>
      <c r="E225" s="69">
        <v>2700</v>
      </c>
      <c r="F225" s="384">
        <v>0</v>
      </c>
      <c r="G225" s="71">
        <v>2750</v>
      </c>
      <c r="H225" s="384">
        <v>0</v>
      </c>
      <c r="I225" s="69">
        <v>2200</v>
      </c>
      <c r="J225" s="384">
        <v>472948</v>
      </c>
      <c r="K225" s="70">
        <v>1900</v>
      </c>
      <c r="L225" s="385">
        <v>171450</v>
      </c>
      <c r="M225" s="70">
        <v>2000</v>
      </c>
      <c r="N225" s="385">
        <v>120650</v>
      </c>
      <c r="O225" s="67">
        <v>2100</v>
      </c>
      <c r="P225" s="385">
        <v>127000</v>
      </c>
      <c r="Q225" s="71">
        <v>2300</v>
      </c>
      <c r="R225" s="384">
        <v>133350</v>
      </c>
      <c r="S225" s="67"/>
      <c r="T225" s="384"/>
      <c r="U225" s="67"/>
      <c r="V225" s="384"/>
      <c r="W225" s="67"/>
      <c r="X225" s="384"/>
      <c r="Y225" s="67"/>
      <c r="Z225" s="384"/>
      <c r="AA225" s="67"/>
      <c r="AB225" s="384"/>
      <c r="AC225" s="71">
        <f t="shared" si="3"/>
        <v>15950</v>
      </c>
      <c r="AD225" s="384">
        <f t="shared" si="3"/>
        <v>1025398</v>
      </c>
    </row>
    <row r="226" spans="1:30" ht="15.6" x14ac:dyDescent="0.3">
      <c r="A226" s="387"/>
      <c r="B226" s="231" t="s">
        <v>191</v>
      </c>
      <c r="C226" s="67" t="s">
        <v>194</v>
      </c>
      <c r="D226" s="68" t="s">
        <v>374</v>
      </c>
      <c r="E226" s="69">
        <v>4750</v>
      </c>
      <c r="F226" s="384"/>
      <c r="G226" s="71">
        <v>4500</v>
      </c>
      <c r="H226" s="384"/>
      <c r="I226" s="69">
        <v>3300</v>
      </c>
      <c r="J226" s="384"/>
      <c r="K226" s="70">
        <v>2850</v>
      </c>
      <c r="L226" s="386"/>
      <c r="M226" s="70">
        <v>3000</v>
      </c>
      <c r="N226" s="386"/>
      <c r="O226" s="67">
        <v>3150</v>
      </c>
      <c r="P226" s="386"/>
      <c r="Q226" s="71">
        <v>3450</v>
      </c>
      <c r="R226" s="384"/>
      <c r="S226" s="67"/>
      <c r="T226" s="384"/>
      <c r="U226" s="67"/>
      <c r="V226" s="384"/>
      <c r="W226" s="67"/>
      <c r="X226" s="384"/>
      <c r="Y226" s="67"/>
      <c r="Z226" s="384"/>
      <c r="AA226" s="67"/>
      <c r="AB226" s="384"/>
      <c r="AC226" s="71">
        <f t="shared" si="3"/>
        <v>25000</v>
      </c>
      <c r="AD226" s="384">
        <f t="shared" si="3"/>
        <v>0</v>
      </c>
    </row>
    <row r="227" spans="1:30" ht="15.6" x14ac:dyDescent="0.3">
      <c r="A227" s="391">
        <v>112</v>
      </c>
      <c r="B227" s="232" t="s">
        <v>191</v>
      </c>
      <c r="C227" s="73" t="s">
        <v>652</v>
      </c>
      <c r="D227" s="74" t="s">
        <v>373</v>
      </c>
      <c r="E227" s="75">
        <v>0</v>
      </c>
      <c r="F227" s="389">
        <v>0</v>
      </c>
      <c r="G227" s="233">
        <v>0</v>
      </c>
      <c r="H227" s="389">
        <v>0</v>
      </c>
      <c r="I227" s="233">
        <v>0</v>
      </c>
      <c r="J227" s="389">
        <v>0</v>
      </c>
      <c r="K227" s="233">
        <v>0</v>
      </c>
      <c r="L227" s="389">
        <v>0</v>
      </c>
      <c r="M227" s="233">
        <v>0</v>
      </c>
      <c r="N227" s="389">
        <v>0</v>
      </c>
      <c r="O227" s="73">
        <v>0</v>
      </c>
      <c r="P227" s="389">
        <v>0</v>
      </c>
      <c r="Q227" s="76">
        <v>2366</v>
      </c>
      <c r="R227" s="388">
        <v>0</v>
      </c>
      <c r="S227" s="73"/>
      <c r="T227" s="388"/>
      <c r="U227" s="73"/>
      <c r="V227" s="388"/>
      <c r="W227" s="73"/>
      <c r="X227" s="388"/>
      <c r="Y227" s="73"/>
      <c r="Z227" s="388"/>
      <c r="AA227" s="73"/>
      <c r="AB227" s="388"/>
      <c r="AC227" s="76">
        <f t="shared" si="3"/>
        <v>2366</v>
      </c>
      <c r="AD227" s="388">
        <f t="shared" si="3"/>
        <v>0</v>
      </c>
    </row>
    <row r="228" spans="1:30" ht="15.6" x14ac:dyDescent="0.3">
      <c r="A228" s="391"/>
      <c r="B228" s="234" t="s">
        <v>191</v>
      </c>
      <c r="C228" s="73" t="s">
        <v>652</v>
      </c>
      <c r="D228" s="74" t="s">
        <v>374</v>
      </c>
      <c r="E228" s="75">
        <v>0</v>
      </c>
      <c r="F228" s="390"/>
      <c r="G228" s="233">
        <v>0</v>
      </c>
      <c r="H228" s="390"/>
      <c r="I228" s="233">
        <v>0</v>
      </c>
      <c r="J228" s="390"/>
      <c r="K228" s="233">
        <v>0</v>
      </c>
      <c r="L228" s="390"/>
      <c r="M228" s="233">
        <v>0</v>
      </c>
      <c r="N228" s="390"/>
      <c r="O228" s="73">
        <v>0</v>
      </c>
      <c r="P228" s="390"/>
      <c r="Q228" s="76">
        <v>2850</v>
      </c>
      <c r="R228" s="388"/>
      <c r="S228" s="73"/>
      <c r="T228" s="388"/>
      <c r="U228" s="73"/>
      <c r="V228" s="388"/>
      <c r="W228" s="73"/>
      <c r="X228" s="388"/>
      <c r="Y228" s="73"/>
      <c r="Z228" s="388"/>
      <c r="AA228" s="73"/>
      <c r="AB228" s="388"/>
      <c r="AC228" s="76">
        <f t="shared" si="3"/>
        <v>2850</v>
      </c>
      <c r="AD228" s="388">
        <f t="shared" si="3"/>
        <v>0</v>
      </c>
    </row>
    <row r="229" spans="1:30" ht="15.6" x14ac:dyDescent="0.3">
      <c r="A229" s="391">
        <v>113</v>
      </c>
      <c r="B229" s="232" t="s">
        <v>191</v>
      </c>
      <c r="C229" s="73" t="s">
        <v>653</v>
      </c>
      <c r="D229" s="74" t="s">
        <v>373</v>
      </c>
      <c r="E229" s="75">
        <v>0</v>
      </c>
      <c r="F229" s="389">
        <v>0</v>
      </c>
      <c r="G229" s="233">
        <v>0</v>
      </c>
      <c r="H229" s="389">
        <v>0</v>
      </c>
      <c r="I229" s="233">
        <v>0</v>
      </c>
      <c r="J229" s="389">
        <v>0</v>
      </c>
      <c r="K229" s="233">
        <v>0</v>
      </c>
      <c r="L229" s="389">
        <v>0</v>
      </c>
      <c r="M229" s="233">
        <v>0</v>
      </c>
      <c r="N229" s="389">
        <v>0</v>
      </c>
      <c r="O229" s="73">
        <v>0</v>
      </c>
      <c r="P229" s="389">
        <v>0</v>
      </c>
      <c r="Q229" s="76">
        <v>2387</v>
      </c>
      <c r="R229" s="388">
        <v>0</v>
      </c>
      <c r="S229" s="73"/>
      <c r="T229" s="388"/>
      <c r="U229" s="73"/>
      <c r="V229" s="388"/>
      <c r="W229" s="73"/>
      <c r="X229" s="388"/>
      <c r="Y229" s="73"/>
      <c r="Z229" s="388"/>
      <c r="AA229" s="73"/>
      <c r="AB229" s="388"/>
      <c r="AC229" s="76">
        <f t="shared" si="3"/>
        <v>2387</v>
      </c>
      <c r="AD229" s="388">
        <f t="shared" si="3"/>
        <v>0</v>
      </c>
    </row>
    <row r="230" spans="1:30" ht="15.6" x14ac:dyDescent="0.3">
      <c r="A230" s="391"/>
      <c r="B230" s="234" t="s">
        <v>191</v>
      </c>
      <c r="C230" s="73" t="s">
        <v>653</v>
      </c>
      <c r="D230" s="74" t="s">
        <v>374</v>
      </c>
      <c r="E230" s="75">
        <v>0</v>
      </c>
      <c r="F230" s="390"/>
      <c r="G230" s="233">
        <v>0</v>
      </c>
      <c r="H230" s="390"/>
      <c r="I230" s="233">
        <v>0</v>
      </c>
      <c r="J230" s="390"/>
      <c r="K230" s="233">
        <v>0</v>
      </c>
      <c r="L230" s="390"/>
      <c r="M230" s="233">
        <v>0</v>
      </c>
      <c r="N230" s="390"/>
      <c r="O230" s="73">
        <v>0</v>
      </c>
      <c r="P230" s="390"/>
      <c r="Q230" s="76">
        <v>3200</v>
      </c>
      <c r="R230" s="388"/>
      <c r="S230" s="73"/>
      <c r="T230" s="388"/>
      <c r="U230" s="73"/>
      <c r="V230" s="388"/>
      <c r="W230" s="73"/>
      <c r="X230" s="388"/>
      <c r="Y230" s="73"/>
      <c r="Z230" s="388"/>
      <c r="AA230" s="73"/>
      <c r="AB230" s="388"/>
      <c r="AC230" s="76">
        <f t="shared" si="3"/>
        <v>3200</v>
      </c>
      <c r="AD230" s="388">
        <f t="shared" si="3"/>
        <v>0</v>
      </c>
    </row>
    <row r="231" spans="1:30" ht="15.6" x14ac:dyDescent="0.3">
      <c r="A231" s="391">
        <v>114</v>
      </c>
      <c r="B231" s="232" t="s">
        <v>215</v>
      </c>
      <c r="C231" s="73" t="s">
        <v>654</v>
      </c>
      <c r="D231" s="74" t="s">
        <v>373</v>
      </c>
      <c r="E231" s="75">
        <v>0</v>
      </c>
      <c r="F231" s="389">
        <v>0</v>
      </c>
      <c r="G231" s="233">
        <v>0</v>
      </c>
      <c r="H231" s="389">
        <v>0</v>
      </c>
      <c r="I231" s="233">
        <v>0</v>
      </c>
      <c r="J231" s="389">
        <v>0</v>
      </c>
      <c r="K231" s="233">
        <v>0</v>
      </c>
      <c r="L231" s="389">
        <v>0</v>
      </c>
      <c r="M231" s="233">
        <v>0</v>
      </c>
      <c r="N231" s="389">
        <v>0</v>
      </c>
      <c r="O231" s="73">
        <v>0</v>
      </c>
      <c r="P231" s="389">
        <v>0</v>
      </c>
      <c r="Q231" s="75">
        <v>1488</v>
      </c>
      <c r="R231" s="388">
        <v>0</v>
      </c>
      <c r="S231" s="75"/>
      <c r="T231" s="388"/>
      <c r="U231" s="73"/>
      <c r="V231" s="388"/>
      <c r="W231" s="73"/>
      <c r="X231" s="388"/>
      <c r="Y231" s="73"/>
      <c r="Z231" s="388"/>
      <c r="AA231" s="73"/>
      <c r="AB231" s="388"/>
      <c r="AC231" s="76">
        <f t="shared" si="3"/>
        <v>1488</v>
      </c>
      <c r="AD231" s="388">
        <f t="shared" si="3"/>
        <v>0</v>
      </c>
    </row>
    <row r="232" spans="1:30" ht="15.6" x14ac:dyDescent="0.3">
      <c r="A232" s="391"/>
      <c r="B232" s="234" t="s">
        <v>215</v>
      </c>
      <c r="C232" s="73" t="s">
        <v>654</v>
      </c>
      <c r="D232" s="74" t="s">
        <v>374</v>
      </c>
      <c r="E232" s="75">
        <v>0</v>
      </c>
      <c r="F232" s="390"/>
      <c r="G232" s="233">
        <v>0</v>
      </c>
      <c r="H232" s="390"/>
      <c r="I232" s="233">
        <v>0</v>
      </c>
      <c r="J232" s="390"/>
      <c r="K232" s="233">
        <v>0</v>
      </c>
      <c r="L232" s="390"/>
      <c r="M232" s="233">
        <v>0</v>
      </c>
      <c r="N232" s="390"/>
      <c r="O232" s="73">
        <v>0</v>
      </c>
      <c r="P232" s="390"/>
      <c r="Q232" s="75">
        <v>1976</v>
      </c>
      <c r="R232" s="388"/>
      <c r="S232" s="75"/>
      <c r="T232" s="388"/>
      <c r="U232" s="73"/>
      <c r="V232" s="388"/>
      <c r="W232" s="73"/>
      <c r="X232" s="388"/>
      <c r="Y232" s="73"/>
      <c r="Z232" s="388"/>
      <c r="AA232" s="73"/>
      <c r="AB232" s="388"/>
      <c r="AC232" s="76">
        <f t="shared" si="3"/>
        <v>1976</v>
      </c>
      <c r="AD232" s="388">
        <f t="shared" si="3"/>
        <v>0</v>
      </c>
    </row>
    <row r="233" spans="1:30" ht="15.6" x14ac:dyDescent="0.3">
      <c r="A233" s="387">
        <v>115</v>
      </c>
      <c r="B233" s="230" t="s">
        <v>215</v>
      </c>
      <c r="C233" s="67" t="s">
        <v>403</v>
      </c>
      <c r="D233" s="68" t="s">
        <v>373</v>
      </c>
      <c r="E233" s="69">
        <v>0</v>
      </c>
      <c r="F233" s="384">
        <v>0</v>
      </c>
      <c r="G233" s="69">
        <v>0</v>
      </c>
      <c r="H233" s="384">
        <v>0</v>
      </c>
      <c r="I233" s="69">
        <v>2400</v>
      </c>
      <c r="J233" s="384">
        <v>0</v>
      </c>
      <c r="K233" s="69">
        <v>2850</v>
      </c>
      <c r="L233" s="385">
        <v>192617.82</v>
      </c>
      <c r="M233" s="69">
        <v>2462</v>
      </c>
      <c r="N233" s="384">
        <v>235968.6</v>
      </c>
      <c r="O233" s="69">
        <v>2625</v>
      </c>
      <c r="P233" s="384">
        <v>230997.06</v>
      </c>
      <c r="Q233" s="69">
        <v>2475</v>
      </c>
      <c r="R233" s="384">
        <v>234626.25</v>
      </c>
      <c r="S233" s="69"/>
      <c r="T233" s="384"/>
      <c r="U233" s="67"/>
      <c r="V233" s="384"/>
      <c r="W233" s="67"/>
      <c r="X233" s="384"/>
      <c r="Y233" s="67"/>
      <c r="Z233" s="384"/>
      <c r="AA233" s="67"/>
      <c r="AB233" s="384"/>
      <c r="AC233" s="71">
        <f t="shared" si="3"/>
        <v>12812</v>
      </c>
      <c r="AD233" s="384">
        <f t="shared" si="3"/>
        <v>894209.73</v>
      </c>
    </row>
    <row r="234" spans="1:30" ht="15.6" x14ac:dyDescent="0.3">
      <c r="A234" s="387"/>
      <c r="B234" s="231" t="s">
        <v>215</v>
      </c>
      <c r="C234" s="67" t="s">
        <v>403</v>
      </c>
      <c r="D234" s="68" t="s">
        <v>374</v>
      </c>
      <c r="E234" s="69">
        <v>0</v>
      </c>
      <c r="F234" s="384"/>
      <c r="G234" s="69">
        <v>0</v>
      </c>
      <c r="H234" s="384"/>
      <c r="I234" s="69">
        <v>3200</v>
      </c>
      <c r="J234" s="384"/>
      <c r="K234" s="69">
        <v>3782</v>
      </c>
      <c r="L234" s="386"/>
      <c r="M234" s="69">
        <v>4000</v>
      </c>
      <c r="N234" s="384"/>
      <c r="O234" s="69">
        <v>3950</v>
      </c>
      <c r="P234" s="384"/>
      <c r="Q234" s="69">
        <v>3425</v>
      </c>
      <c r="R234" s="384"/>
      <c r="S234" s="69"/>
      <c r="T234" s="384"/>
      <c r="U234" s="67"/>
      <c r="V234" s="384"/>
      <c r="W234" s="67"/>
      <c r="X234" s="384"/>
      <c r="Y234" s="67"/>
      <c r="Z234" s="384"/>
      <c r="AA234" s="67"/>
      <c r="AB234" s="384"/>
      <c r="AC234" s="71">
        <f t="shared" si="3"/>
        <v>18357</v>
      </c>
      <c r="AD234" s="384">
        <f t="shared" si="3"/>
        <v>0</v>
      </c>
    </row>
    <row r="235" spans="1:30" ht="15.6" x14ac:dyDescent="0.3">
      <c r="A235" s="391">
        <v>116</v>
      </c>
      <c r="B235" s="232" t="s">
        <v>215</v>
      </c>
      <c r="C235" s="73" t="s">
        <v>228</v>
      </c>
      <c r="D235" s="74" t="s">
        <v>373</v>
      </c>
      <c r="E235" s="75">
        <v>0</v>
      </c>
      <c r="F235" s="389">
        <v>0</v>
      </c>
      <c r="G235" s="233">
        <v>0</v>
      </c>
      <c r="H235" s="389">
        <v>0</v>
      </c>
      <c r="I235" s="233">
        <v>0</v>
      </c>
      <c r="J235" s="389">
        <v>0</v>
      </c>
      <c r="K235" s="233">
        <v>0</v>
      </c>
      <c r="L235" s="389">
        <v>0</v>
      </c>
      <c r="M235" s="233">
        <v>0</v>
      </c>
      <c r="N235" s="389">
        <v>0</v>
      </c>
      <c r="O235" s="73">
        <v>0</v>
      </c>
      <c r="P235" s="389">
        <v>0</v>
      </c>
      <c r="Q235" s="75">
        <v>3000</v>
      </c>
      <c r="R235" s="388">
        <v>0</v>
      </c>
      <c r="S235" s="75"/>
      <c r="T235" s="388"/>
      <c r="U235" s="73"/>
      <c r="V235" s="388"/>
      <c r="W235" s="73"/>
      <c r="X235" s="388"/>
      <c r="Y235" s="73"/>
      <c r="Z235" s="388"/>
      <c r="AA235" s="73"/>
      <c r="AB235" s="388"/>
      <c r="AC235" s="76">
        <f t="shared" si="3"/>
        <v>3000</v>
      </c>
      <c r="AD235" s="388">
        <f t="shared" si="3"/>
        <v>0</v>
      </c>
    </row>
    <row r="236" spans="1:30" ht="15.6" x14ac:dyDescent="0.3">
      <c r="A236" s="391"/>
      <c r="B236" s="234" t="s">
        <v>215</v>
      </c>
      <c r="C236" s="73" t="s">
        <v>228</v>
      </c>
      <c r="D236" s="74" t="s">
        <v>374</v>
      </c>
      <c r="E236" s="75">
        <v>0</v>
      </c>
      <c r="F236" s="390"/>
      <c r="G236" s="233">
        <v>0</v>
      </c>
      <c r="H236" s="390"/>
      <c r="I236" s="233">
        <v>0</v>
      </c>
      <c r="J236" s="390"/>
      <c r="K236" s="233">
        <v>0</v>
      </c>
      <c r="L236" s="390"/>
      <c r="M236" s="233">
        <v>0</v>
      </c>
      <c r="N236" s="390"/>
      <c r="O236" s="73">
        <v>0</v>
      </c>
      <c r="P236" s="390"/>
      <c r="Q236" s="75">
        <v>4000</v>
      </c>
      <c r="R236" s="388"/>
      <c r="S236" s="75"/>
      <c r="T236" s="388"/>
      <c r="U236" s="73"/>
      <c r="V236" s="388"/>
      <c r="W236" s="73"/>
      <c r="X236" s="388"/>
      <c r="Y236" s="73"/>
      <c r="Z236" s="388"/>
      <c r="AA236" s="73"/>
      <c r="AB236" s="388"/>
      <c r="AC236" s="76">
        <f t="shared" si="3"/>
        <v>4000</v>
      </c>
      <c r="AD236" s="388">
        <f t="shared" si="3"/>
        <v>0</v>
      </c>
    </row>
    <row r="237" spans="1:30" ht="15.6" x14ac:dyDescent="0.3">
      <c r="A237" s="387">
        <v>117</v>
      </c>
      <c r="B237" s="230" t="s">
        <v>215</v>
      </c>
      <c r="C237" s="67" t="s">
        <v>404</v>
      </c>
      <c r="D237" s="68" t="s">
        <v>373</v>
      </c>
      <c r="E237" s="69">
        <v>2250</v>
      </c>
      <c r="F237" s="384">
        <v>0</v>
      </c>
      <c r="G237" s="69">
        <v>2500</v>
      </c>
      <c r="H237" s="384">
        <v>0</v>
      </c>
      <c r="I237" s="69">
        <v>2750</v>
      </c>
      <c r="J237" s="384">
        <v>412608.75</v>
      </c>
      <c r="K237" s="69">
        <v>2125</v>
      </c>
      <c r="L237" s="385">
        <v>232976.09999999998</v>
      </c>
      <c r="M237" s="69">
        <v>2000</v>
      </c>
      <c r="N237" s="384">
        <v>185392.5</v>
      </c>
      <c r="O237" s="69">
        <v>2100</v>
      </c>
      <c r="P237" s="384">
        <v>178410</v>
      </c>
      <c r="Q237" s="69">
        <v>2300</v>
      </c>
      <c r="R237" s="384">
        <v>187330.50000000012</v>
      </c>
      <c r="S237" s="69"/>
      <c r="T237" s="384"/>
      <c r="U237" s="67"/>
      <c r="V237" s="384"/>
      <c r="W237" s="67"/>
      <c r="X237" s="384"/>
      <c r="Y237" s="67"/>
      <c r="Z237" s="384"/>
      <c r="AA237" s="67"/>
      <c r="AB237" s="384"/>
      <c r="AC237" s="71">
        <f t="shared" si="3"/>
        <v>16025</v>
      </c>
      <c r="AD237" s="384">
        <f t="shared" si="3"/>
        <v>1196717.8500000001</v>
      </c>
    </row>
    <row r="238" spans="1:30" ht="15.6" x14ac:dyDescent="0.3">
      <c r="A238" s="387"/>
      <c r="B238" s="231" t="s">
        <v>215</v>
      </c>
      <c r="C238" s="67" t="s">
        <v>404</v>
      </c>
      <c r="D238" s="68" t="s">
        <v>374</v>
      </c>
      <c r="E238" s="69">
        <v>3325</v>
      </c>
      <c r="F238" s="384"/>
      <c r="G238" s="69">
        <v>3500</v>
      </c>
      <c r="H238" s="384"/>
      <c r="I238" s="69">
        <v>3850</v>
      </c>
      <c r="J238" s="384"/>
      <c r="K238" s="69">
        <v>3075</v>
      </c>
      <c r="L238" s="386"/>
      <c r="M238" s="69">
        <v>3000</v>
      </c>
      <c r="N238" s="384"/>
      <c r="O238" s="69">
        <v>3750</v>
      </c>
      <c r="P238" s="384"/>
      <c r="Q238" s="69">
        <v>3200</v>
      </c>
      <c r="R238" s="384"/>
      <c r="S238" s="69"/>
      <c r="T238" s="384"/>
      <c r="U238" s="67"/>
      <c r="V238" s="384"/>
      <c r="W238" s="67"/>
      <c r="X238" s="384"/>
      <c r="Y238" s="67"/>
      <c r="Z238" s="384"/>
      <c r="AA238" s="67"/>
      <c r="AB238" s="384"/>
      <c r="AC238" s="71">
        <f t="shared" si="3"/>
        <v>23700</v>
      </c>
      <c r="AD238" s="384">
        <f t="shared" si="3"/>
        <v>0</v>
      </c>
    </row>
    <row r="239" spans="1:30" ht="15.6" x14ac:dyDescent="0.3">
      <c r="A239" s="391">
        <v>118</v>
      </c>
      <c r="B239" s="232" t="s">
        <v>215</v>
      </c>
      <c r="C239" s="73" t="s">
        <v>655</v>
      </c>
      <c r="D239" s="74" t="s">
        <v>373</v>
      </c>
      <c r="E239" s="75">
        <v>0</v>
      </c>
      <c r="F239" s="389">
        <v>0</v>
      </c>
      <c r="G239" s="233">
        <v>0</v>
      </c>
      <c r="H239" s="389">
        <v>0</v>
      </c>
      <c r="I239" s="233">
        <v>0</v>
      </c>
      <c r="J239" s="389">
        <v>0</v>
      </c>
      <c r="K239" s="233">
        <v>0</v>
      </c>
      <c r="L239" s="389">
        <v>0</v>
      </c>
      <c r="M239" s="233">
        <v>0</v>
      </c>
      <c r="N239" s="389">
        <v>0</v>
      </c>
      <c r="O239" s="73">
        <v>0</v>
      </c>
      <c r="P239" s="389">
        <v>0</v>
      </c>
      <c r="Q239" s="75">
        <v>1500</v>
      </c>
      <c r="R239" s="388">
        <v>0</v>
      </c>
      <c r="S239" s="75"/>
      <c r="T239" s="388"/>
      <c r="U239" s="73"/>
      <c r="V239" s="388"/>
      <c r="W239" s="73"/>
      <c r="X239" s="388"/>
      <c r="Y239" s="73"/>
      <c r="Z239" s="388"/>
      <c r="AA239" s="73"/>
      <c r="AB239" s="388"/>
      <c r="AC239" s="76">
        <f t="shared" si="3"/>
        <v>1500</v>
      </c>
      <c r="AD239" s="388">
        <f t="shared" si="3"/>
        <v>0</v>
      </c>
    </row>
    <row r="240" spans="1:30" ht="15.6" x14ac:dyDescent="0.3">
      <c r="A240" s="391"/>
      <c r="B240" s="234" t="s">
        <v>215</v>
      </c>
      <c r="C240" s="73" t="s">
        <v>655</v>
      </c>
      <c r="D240" s="74" t="s">
        <v>374</v>
      </c>
      <c r="E240" s="75">
        <v>0</v>
      </c>
      <c r="F240" s="390"/>
      <c r="G240" s="233">
        <v>0</v>
      </c>
      <c r="H240" s="390"/>
      <c r="I240" s="233">
        <v>0</v>
      </c>
      <c r="J240" s="390"/>
      <c r="K240" s="233">
        <v>0</v>
      </c>
      <c r="L240" s="390"/>
      <c r="M240" s="233">
        <v>0</v>
      </c>
      <c r="N240" s="390"/>
      <c r="O240" s="73">
        <v>0</v>
      </c>
      <c r="P240" s="390"/>
      <c r="Q240" s="75">
        <v>2000</v>
      </c>
      <c r="R240" s="388"/>
      <c r="S240" s="75"/>
      <c r="T240" s="388"/>
      <c r="U240" s="73"/>
      <c r="V240" s="388"/>
      <c r="W240" s="73"/>
      <c r="X240" s="388"/>
      <c r="Y240" s="73"/>
      <c r="Z240" s="388"/>
      <c r="AA240" s="73"/>
      <c r="AB240" s="388"/>
      <c r="AC240" s="76">
        <f t="shared" si="3"/>
        <v>2000</v>
      </c>
      <c r="AD240" s="388">
        <f t="shared" si="3"/>
        <v>0</v>
      </c>
    </row>
    <row r="241" spans="1:30" ht="15.6" x14ac:dyDescent="0.3">
      <c r="A241" s="387">
        <v>119</v>
      </c>
      <c r="B241" s="230" t="s">
        <v>215</v>
      </c>
      <c r="C241" s="67" t="s">
        <v>405</v>
      </c>
      <c r="D241" s="68" t="s">
        <v>373</v>
      </c>
      <c r="E241" s="69">
        <v>2608</v>
      </c>
      <c r="F241" s="384">
        <v>0</v>
      </c>
      <c r="G241" s="69">
        <v>3000</v>
      </c>
      <c r="H241" s="384">
        <v>0</v>
      </c>
      <c r="I241" s="69">
        <v>3300</v>
      </c>
      <c r="J241" s="384">
        <v>477587.04</v>
      </c>
      <c r="K241" s="69">
        <v>2350</v>
      </c>
      <c r="L241" s="385">
        <v>273999.00000000006</v>
      </c>
      <c r="M241" s="69">
        <v>2000</v>
      </c>
      <c r="N241" s="384">
        <v>201295.5</v>
      </c>
      <c r="O241" s="69">
        <v>2000</v>
      </c>
      <c r="P241" s="384">
        <v>178410</v>
      </c>
      <c r="Q241" s="69">
        <v>2200</v>
      </c>
      <c r="R241" s="384">
        <v>183967.5</v>
      </c>
      <c r="S241" s="69"/>
      <c r="T241" s="384"/>
      <c r="U241" s="67"/>
      <c r="V241" s="384"/>
      <c r="W241" s="67"/>
      <c r="X241" s="384"/>
      <c r="Y241" s="67"/>
      <c r="Z241" s="384"/>
      <c r="AA241" s="67"/>
      <c r="AB241" s="384"/>
      <c r="AC241" s="71">
        <f t="shared" si="3"/>
        <v>17458</v>
      </c>
      <c r="AD241" s="384">
        <f t="shared" si="3"/>
        <v>1315259.04</v>
      </c>
    </row>
    <row r="242" spans="1:30" ht="15.6" x14ac:dyDescent="0.3">
      <c r="A242" s="387"/>
      <c r="B242" s="231" t="s">
        <v>215</v>
      </c>
      <c r="C242" s="67" t="s">
        <v>405</v>
      </c>
      <c r="D242" s="68" t="s">
        <v>374</v>
      </c>
      <c r="E242" s="69">
        <v>3726</v>
      </c>
      <c r="F242" s="384"/>
      <c r="G242" s="69">
        <v>4050</v>
      </c>
      <c r="H242" s="384"/>
      <c r="I242" s="69">
        <v>4400</v>
      </c>
      <c r="J242" s="384"/>
      <c r="K242" s="69">
        <v>3300</v>
      </c>
      <c r="L242" s="386"/>
      <c r="M242" s="69">
        <v>3000</v>
      </c>
      <c r="N242" s="384"/>
      <c r="O242" s="69">
        <v>3150</v>
      </c>
      <c r="P242" s="384"/>
      <c r="Q242" s="69">
        <v>3450</v>
      </c>
      <c r="R242" s="384"/>
      <c r="S242" s="69"/>
      <c r="T242" s="384"/>
      <c r="U242" s="67"/>
      <c r="V242" s="384"/>
      <c r="W242" s="67"/>
      <c r="X242" s="384"/>
      <c r="Y242" s="67"/>
      <c r="Z242" s="384"/>
      <c r="AA242" s="67"/>
      <c r="AB242" s="384"/>
      <c r="AC242" s="71">
        <f t="shared" si="3"/>
        <v>25076</v>
      </c>
      <c r="AD242" s="384">
        <f t="shared" si="3"/>
        <v>0</v>
      </c>
    </row>
    <row r="243" spans="1:30" ht="15.6" x14ac:dyDescent="0.3">
      <c r="A243" s="387">
        <v>120</v>
      </c>
      <c r="B243" s="230" t="s">
        <v>215</v>
      </c>
      <c r="C243" s="67" t="s">
        <v>406</v>
      </c>
      <c r="D243" s="68" t="s">
        <v>373</v>
      </c>
      <c r="E243" s="69">
        <v>2240</v>
      </c>
      <c r="F243" s="384">
        <v>0</v>
      </c>
      <c r="G243" s="69">
        <v>2500</v>
      </c>
      <c r="H243" s="384">
        <v>0</v>
      </c>
      <c r="I243" s="69">
        <v>2750</v>
      </c>
      <c r="J243" s="384">
        <v>358834.95</v>
      </c>
      <c r="K243" s="70">
        <v>2375</v>
      </c>
      <c r="L243" s="385">
        <v>203309.99999999994</v>
      </c>
      <c r="M243" s="70">
        <v>2500</v>
      </c>
      <c r="N243" s="385">
        <v>144184</v>
      </c>
      <c r="O243" s="67">
        <v>2625</v>
      </c>
      <c r="P243" s="385">
        <v>152000</v>
      </c>
      <c r="Q243" s="71">
        <v>2875</v>
      </c>
      <c r="R243" s="384">
        <v>159600</v>
      </c>
      <c r="S243" s="67"/>
      <c r="T243" s="384"/>
      <c r="U243" s="67"/>
      <c r="V243" s="384"/>
      <c r="W243" s="67"/>
      <c r="X243" s="384"/>
      <c r="Y243" s="67"/>
      <c r="Z243" s="384"/>
      <c r="AA243" s="67"/>
      <c r="AB243" s="384"/>
      <c r="AC243" s="71">
        <f t="shared" si="3"/>
        <v>17865</v>
      </c>
      <c r="AD243" s="384">
        <f t="shared" si="3"/>
        <v>1017928.95</v>
      </c>
    </row>
    <row r="244" spans="1:30" ht="15.6" x14ac:dyDescent="0.3">
      <c r="A244" s="387"/>
      <c r="B244" s="231" t="s">
        <v>215</v>
      </c>
      <c r="C244" s="67" t="s">
        <v>406</v>
      </c>
      <c r="D244" s="68" t="s">
        <v>374</v>
      </c>
      <c r="E244" s="69">
        <v>3325</v>
      </c>
      <c r="F244" s="384"/>
      <c r="G244" s="69">
        <v>3500</v>
      </c>
      <c r="H244" s="384"/>
      <c r="I244" s="69">
        <v>3850</v>
      </c>
      <c r="J244" s="384"/>
      <c r="K244" s="70">
        <v>3317</v>
      </c>
      <c r="L244" s="386"/>
      <c r="M244" s="70">
        <v>3500</v>
      </c>
      <c r="N244" s="386"/>
      <c r="O244" s="67">
        <v>3675</v>
      </c>
      <c r="P244" s="386"/>
      <c r="Q244" s="71">
        <v>4025</v>
      </c>
      <c r="R244" s="384"/>
      <c r="S244" s="67"/>
      <c r="T244" s="384"/>
      <c r="U244" s="67"/>
      <c r="V244" s="384"/>
      <c r="W244" s="67"/>
      <c r="X244" s="384"/>
      <c r="Y244" s="67"/>
      <c r="Z244" s="384"/>
      <c r="AA244" s="67"/>
      <c r="AB244" s="384"/>
      <c r="AC244" s="71">
        <f t="shared" si="3"/>
        <v>25192</v>
      </c>
      <c r="AD244" s="384">
        <f t="shared" si="3"/>
        <v>0</v>
      </c>
    </row>
    <row r="245" spans="1:30" ht="15.6" x14ac:dyDescent="0.3">
      <c r="A245" s="387">
        <v>121</v>
      </c>
      <c r="B245" s="230" t="s">
        <v>237</v>
      </c>
      <c r="C245" s="67" t="s">
        <v>238</v>
      </c>
      <c r="D245" s="68" t="s">
        <v>373</v>
      </c>
      <c r="E245" s="69">
        <v>0</v>
      </c>
      <c r="F245" s="384">
        <v>0</v>
      </c>
      <c r="G245" s="69">
        <v>0</v>
      </c>
      <c r="H245" s="384">
        <v>0</v>
      </c>
      <c r="I245" s="69">
        <v>0</v>
      </c>
      <c r="J245" s="384">
        <v>0</v>
      </c>
      <c r="K245" s="69">
        <v>0</v>
      </c>
      <c r="L245" s="384">
        <v>0</v>
      </c>
      <c r="M245" s="69">
        <v>1800</v>
      </c>
      <c r="N245" s="384">
        <v>0</v>
      </c>
      <c r="O245" s="69">
        <v>2081</v>
      </c>
      <c r="P245" s="384">
        <v>146291.4</v>
      </c>
      <c r="Q245" s="69">
        <v>2300</v>
      </c>
      <c r="R245" s="384">
        <v>175461.66</v>
      </c>
      <c r="S245" s="69"/>
      <c r="T245" s="384"/>
      <c r="U245" s="67"/>
      <c r="V245" s="384"/>
      <c r="W245" s="67"/>
      <c r="X245" s="384"/>
      <c r="Y245" s="67"/>
      <c r="Z245" s="384"/>
      <c r="AA245" s="67"/>
      <c r="AB245" s="384"/>
      <c r="AC245" s="71">
        <f t="shared" si="3"/>
        <v>6181</v>
      </c>
      <c r="AD245" s="384">
        <f t="shared" si="3"/>
        <v>321753.06</v>
      </c>
    </row>
    <row r="246" spans="1:30" ht="15.6" x14ac:dyDescent="0.3">
      <c r="A246" s="387"/>
      <c r="B246" s="231" t="s">
        <v>237</v>
      </c>
      <c r="C246" s="67" t="s">
        <v>238</v>
      </c>
      <c r="D246" s="68" t="s">
        <v>374</v>
      </c>
      <c r="E246" s="69">
        <v>0</v>
      </c>
      <c r="F246" s="384"/>
      <c r="G246" s="69">
        <v>0</v>
      </c>
      <c r="H246" s="384"/>
      <c r="I246" s="69">
        <v>0</v>
      </c>
      <c r="J246" s="384"/>
      <c r="K246" s="69">
        <v>0</v>
      </c>
      <c r="L246" s="384"/>
      <c r="M246" s="69">
        <v>2534</v>
      </c>
      <c r="N246" s="384"/>
      <c r="O246" s="69">
        <v>3110</v>
      </c>
      <c r="P246" s="384"/>
      <c r="Q246" s="69">
        <v>3377</v>
      </c>
      <c r="R246" s="384"/>
      <c r="S246" s="69"/>
      <c r="T246" s="384"/>
      <c r="U246" s="67"/>
      <c r="V246" s="384"/>
      <c r="W246" s="67"/>
      <c r="X246" s="384"/>
      <c r="Y246" s="67"/>
      <c r="Z246" s="384"/>
      <c r="AA246" s="67"/>
      <c r="AB246" s="384"/>
      <c r="AC246" s="71">
        <f t="shared" si="3"/>
        <v>9021</v>
      </c>
      <c r="AD246" s="384">
        <f t="shared" si="3"/>
        <v>0</v>
      </c>
    </row>
    <row r="247" spans="1:30" ht="15.6" x14ac:dyDescent="0.3">
      <c r="A247" s="387">
        <v>122</v>
      </c>
      <c r="B247" s="230" t="s">
        <v>237</v>
      </c>
      <c r="C247" s="67" t="s">
        <v>407</v>
      </c>
      <c r="D247" s="68" t="s">
        <v>373</v>
      </c>
      <c r="E247" s="69">
        <v>0</v>
      </c>
      <c r="F247" s="384">
        <v>0</v>
      </c>
      <c r="G247" s="69">
        <v>0</v>
      </c>
      <c r="H247" s="384">
        <v>0</v>
      </c>
      <c r="I247" s="69">
        <v>0</v>
      </c>
      <c r="J247" s="384">
        <v>0</v>
      </c>
      <c r="K247" s="69">
        <v>0</v>
      </c>
      <c r="L247" s="384">
        <v>0</v>
      </c>
      <c r="M247" s="69">
        <v>0</v>
      </c>
      <c r="N247" s="384">
        <v>0</v>
      </c>
      <c r="O247" s="69">
        <v>853</v>
      </c>
      <c r="P247" s="384">
        <v>0</v>
      </c>
      <c r="Q247" s="69">
        <v>2230</v>
      </c>
      <c r="R247" s="384">
        <v>74561.58</v>
      </c>
      <c r="S247" s="69"/>
      <c r="T247" s="384"/>
      <c r="U247" s="67"/>
      <c r="V247" s="384"/>
      <c r="W247" s="67"/>
      <c r="X247" s="384"/>
      <c r="Y247" s="67"/>
      <c r="Z247" s="384"/>
      <c r="AA247" s="67"/>
      <c r="AB247" s="384"/>
      <c r="AC247" s="71">
        <f t="shared" si="3"/>
        <v>3083</v>
      </c>
      <c r="AD247" s="384">
        <f t="shared" si="3"/>
        <v>74561.58</v>
      </c>
    </row>
    <row r="248" spans="1:30" ht="15.6" x14ac:dyDescent="0.3">
      <c r="A248" s="387"/>
      <c r="B248" s="231" t="s">
        <v>237</v>
      </c>
      <c r="C248" s="67" t="s">
        <v>407</v>
      </c>
      <c r="D248" s="68" t="s">
        <v>374</v>
      </c>
      <c r="E248" s="69">
        <v>0</v>
      </c>
      <c r="F248" s="384"/>
      <c r="G248" s="69">
        <v>0</v>
      </c>
      <c r="H248" s="384"/>
      <c r="I248" s="69">
        <v>0</v>
      </c>
      <c r="J248" s="384"/>
      <c r="K248" s="69">
        <v>0</v>
      </c>
      <c r="L248" s="384"/>
      <c r="M248" s="69">
        <v>0</v>
      </c>
      <c r="N248" s="384"/>
      <c r="O248" s="69">
        <v>1350</v>
      </c>
      <c r="P248" s="384"/>
      <c r="Q248" s="69">
        <v>3436</v>
      </c>
      <c r="R248" s="384"/>
      <c r="S248" s="69"/>
      <c r="T248" s="384"/>
      <c r="U248" s="67"/>
      <c r="V248" s="384"/>
      <c r="W248" s="67"/>
      <c r="X248" s="384"/>
      <c r="Y248" s="67"/>
      <c r="Z248" s="384"/>
      <c r="AA248" s="67"/>
      <c r="AB248" s="384"/>
      <c r="AC248" s="71">
        <f t="shared" si="3"/>
        <v>4786</v>
      </c>
      <c r="AD248" s="384">
        <f t="shared" si="3"/>
        <v>0</v>
      </c>
    </row>
    <row r="249" spans="1:30" ht="15.6" x14ac:dyDescent="0.3">
      <c r="A249" s="387">
        <v>123</v>
      </c>
      <c r="B249" s="230" t="s">
        <v>237</v>
      </c>
      <c r="C249" s="67" t="s">
        <v>240</v>
      </c>
      <c r="D249" s="68" t="s">
        <v>373</v>
      </c>
      <c r="E249" s="69">
        <v>0</v>
      </c>
      <c r="F249" s="384">
        <v>0</v>
      </c>
      <c r="G249" s="69">
        <v>0</v>
      </c>
      <c r="H249" s="384">
        <v>0</v>
      </c>
      <c r="I249" s="69">
        <v>0</v>
      </c>
      <c r="J249" s="384">
        <v>0</v>
      </c>
      <c r="K249" s="69">
        <v>0</v>
      </c>
      <c r="L249" s="384">
        <v>0</v>
      </c>
      <c r="M249" s="69">
        <v>680</v>
      </c>
      <c r="N249" s="384">
        <v>0</v>
      </c>
      <c r="O249" s="69">
        <v>2100</v>
      </c>
      <c r="P249" s="384">
        <v>63784.800000000003</v>
      </c>
      <c r="Q249" s="69">
        <v>2298</v>
      </c>
      <c r="R249" s="384">
        <v>174285</v>
      </c>
      <c r="S249" s="69"/>
      <c r="T249" s="384"/>
      <c r="U249" s="67"/>
      <c r="V249" s="384"/>
      <c r="W249" s="67"/>
      <c r="X249" s="384"/>
      <c r="Y249" s="67"/>
      <c r="Z249" s="384"/>
      <c r="AA249" s="67"/>
      <c r="AB249" s="384"/>
      <c r="AC249" s="71">
        <f t="shared" si="3"/>
        <v>5078</v>
      </c>
      <c r="AD249" s="384">
        <f t="shared" si="3"/>
        <v>238069.8</v>
      </c>
    </row>
    <row r="250" spans="1:30" ht="15.6" x14ac:dyDescent="0.3">
      <c r="A250" s="387"/>
      <c r="B250" s="231" t="s">
        <v>237</v>
      </c>
      <c r="C250" s="67" t="s">
        <v>240</v>
      </c>
      <c r="D250" s="68" t="s">
        <v>374</v>
      </c>
      <c r="E250" s="69">
        <v>0</v>
      </c>
      <c r="F250" s="384"/>
      <c r="G250" s="69">
        <v>0</v>
      </c>
      <c r="H250" s="384"/>
      <c r="I250" s="69">
        <v>0</v>
      </c>
      <c r="J250" s="384"/>
      <c r="K250" s="69">
        <v>0</v>
      </c>
      <c r="L250" s="384"/>
      <c r="M250" s="69">
        <v>1200</v>
      </c>
      <c r="N250" s="384"/>
      <c r="O250" s="69">
        <v>3150</v>
      </c>
      <c r="P250" s="384"/>
      <c r="Q250" s="69">
        <v>3415</v>
      </c>
      <c r="R250" s="384"/>
      <c r="S250" s="69"/>
      <c r="T250" s="384"/>
      <c r="U250" s="67"/>
      <c r="V250" s="384"/>
      <c r="W250" s="67"/>
      <c r="X250" s="384"/>
      <c r="Y250" s="67"/>
      <c r="Z250" s="384"/>
      <c r="AA250" s="67"/>
      <c r="AB250" s="384"/>
      <c r="AC250" s="71">
        <f t="shared" si="3"/>
        <v>7765</v>
      </c>
      <c r="AD250" s="384">
        <f t="shared" si="3"/>
        <v>0</v>
      </c>
    </row>
    <row r="251" spans="1:30" ht="15.6" x14ac:dyDescent="0.3">
      <c r="A251" s="391">
        <v>124</v>
      </c>
      <c r="B251" s="232" t="s">
        <v>237</v>
      </c>
      <c r="C251" s="73" t="s">
        <v>656</v>
      </c>
      <c r="D251" s="74" t="s">
        <v>373</v>
      </c>
      <c r="E251" s="75">
        <v>0</v>
      </c>
      <c r="F251" s="389">
        <v>0</v>
      </c>
      <c r="G251" s="233">
        <v>0</v>
      </c>
      <c r="H251" s="389">
        <v>0</v>
      </c>
      <c r="I251" s="233">
        <v>0</v>
      </c>
      <c r="J251" s="389">
        <v>0</v>
      </c>
      <c r="K251" s="233">
        <v>0</v>
      </c>
      <c r="L251" s="389">
        <v>0</v>
      </c>
      <c r="M251" s="233">
        <v>0</v>
      </c>
      <c r="N251" s="389">
        <v>0</v>
      </c>
      <c r="O251" s="73">
        <v>0</v>
      </c>
      <c r="P251" s="389">
        <v>0</v>
      </c>
      <c r="Q251" s="75">
        <v>3000</v>
      </c>
      <c r="R251" s="388">
        <v>0</v>
      </c>
      <c r="S251" s="75"/>
      <c r="T251" s="388"/>
      <c r="U251" s="73"/>
      <c r="V251" s="388"/>
      <c r="W251" s="73"/>
      <c r="X251" s="388"/>
      <c r="Y251" s="73"/>
      <c r="Z251" s="388"/>
      <c r="AA251" s="73"/>
      <c r="AB251" s="388"/>
      <c r="AC251" s="76">
        <f t="shared" si="3"/>
        <v>3000</v>
      </c>
      <c r="AD251" s="388">
        <f t="shared" si="3"/>
        <v>0</v>
      </c>
    </row>
    <row r="252" spans="1:30" ht="15.6" x14ac:dyDescent="0.3">
      <c r="A252" s="391"/>
      <c r="B252" s="234" t="s">
        <v>237</v>
      </c>
      <c r="C252" s="73" t="s">
        <v>656</v>
      </c>
      <c r="D252" s="74" t="s">
        <v>374</v>
      </c>
      <c r="E252" s="75">
        <v>0</v>
      </c>
      <c r="F252" s="390"/>
      <c r="G252" s="233">
        <v>0</v>
      </c>
      <c r="H252" s="390"/>
      <c r="I252" s="233">
        <v>0</v>
      </c>
      <c r="J252" s="390"/>
      <c r="K252" s="233">
        <v>0</v>
      </c>
      <c r="L252" s="390"/>
      <c r="M252" s="233">
        <v>0</v>
      </c>
      <c r="N252" s="390"/>
      <c r="O252" s="73">
        <v>0</v>
      </c>
      <c r="P252" s="390"/>
      <c r="Q252" s="75">
        <v>3800</v>
      </c>
      <c r="R252" s="388"/>
      <c r="S252" s="75"/>
      <c r="T252" s="388"/>
      <c r="U252" s="73"/>
      <c r="V252" s="388"/>
      <c r="W252" s="73"/>
      <c r="X252" s="388"/>
      <c r="Y252" s="73"/>
      <c r="Z252" s="388"/>
      <c r="AA252" s="73"/>
      <c r="AB252" s="388"/>
      <c r="AC252" s="76">
        <f t="shared" si="3"/>
        <v>3800</v>
      </c>
      <c r="AD252" s="388">
        <f t="shared" si="3"/>
        <v>0</v>
      </c>
    </row>
    <row r="253" spans="1:30" ht="15.6" x14ac:dyDescent="0.3">
      <c r="A253" s="391">
        <v>125</v>
      </c>
      <c r="B253" s="232" t="s">
        <v>237</v>
      </c>
      <c r="C253" s="73" t="s">
        <v>657</v>
      </c>
      <c r="D253" s="74" t="s">
        <v>373</v>
      </c>
      <c r="E253" s="75">
        <v>0</v>
      </c>
      <c r="F253" s="389">
        <v>0</v>
      </c>
      <c r="G253" s="233">
        <v>0</v>
      </c>
      <c r="H253" s="389">
        <v>0</v>
      </c>
      <c r="I253" s="233">
        <v>0</v>
      </c>
      <c r="J253" s="389">
        <v>0</v>
      </c>
      <c r="K253" s="233">
        <v>0</v>
      </c>
      <c r="L253" s="389">
        <v>0</v>
      </c>
      <c r="M253" s="233">
        <v>0</v>
      </c>
      <c r="N253" s="389">
        <v>0</v>
      </c>
      <c r="O253" s="73">
        <v>0</v>
      </c>
      <c r="P253" s="389">
        <v>0</v>
      </c>
      <c r="Q253" s="75">
        <v>2960</v>
      </c>
      <c r="R253" s="388">
        <v>0</v>
      </c>
      <c r="S253" s="75"/>
      <c r="T253" s="388"/>
      <c r="U253" s="73"/>
      <c r="V253" s="388"/>
      <c r="W253" s="73"/>
      <c r="X253" s="388"/>
      <c r="Y253" s="73"/>
      <c r="Z253" s="388"/>
      <c r="AA253" s="73"/>
      <c r="AB253" s="388"/>
      <c r="AC253" s="76">
        <f t="shared" si="3"/>
        <v>2960</v>
      </c>
      <c r="AD253" s="388">
        <f t="shared" si="3"/>
        <v>0</v>
      </c>
    </row>
    <row r="254" spans="1:30" ht="15.6" x14ac:dyDescent="0.3">
      <c r="A254" s="391"/>
      <c r="B254" s="234" t="s">
        <v>237</v>
      </c>
      <c r="C254" s="73" t="s">
        <v>657</v>
      </c>
      <c r="D254" s="74" t="s">
        <v>374</v>
      </c>
      <c r="E254" s="75">
        <v>0</v>
      </c>
      <c r="F254" s="390"/>
      <c r="G254" s="233">
        <v>0</v>
      </c>
      <c r="H254" s="390"/>
      <c r="I254" s="233">
        <v>0</v>
      </c>
      <c r="J254" s="390"/>
      <c r="K254" s="233">
        <v>0</v>
      </c>
      <c r="L254" s="390"/>
      <c r="M254" s="233">
        <v>0</v>
      </c>
      <c r="N254" s="390"/>
      <c r="O254" s="73">
        <v>0</v>
      </c>
      <c r="P254" s="390"/>
      <c r="Q254" s="75">
        <v>4000</v>
      </c>
      <c r="R254" s="388"/>
      <c r="S254" s="75"/>
      <c r="T254" s="388"/>
      <c r="U254" s="73"/>
      <c r="V254" s="388"/>
      <c r="W254" s="73"/>
      <c r="X254" s="388"/>
      <c r="Y254" s="73"/>
      <c r="Z254" s="388"/>
      <c r="AA254" s="73"/>
      <c r="AB254" s="388"/>
      <c r="AC254" s="76">
        <f t="shared" si="3"/>
        <v>4000</v>
      </c>
      <c r="AD254" s="388">
        <f t="shared" si="3"/>
        <v>0</v>
      </c>
    </row>
    <row r="255" spans="1:30" ht="15.6" x14ac:dyDescent="0.3">
      <c r="A255" s="387">
        <v>126</v>
      </c>
      <c r="B255" s="230" t="s">
        <v>237</v>
      </c>
      <c r="C255" s="67" t="s">
        <v>243</v>
      </c>
      <c r="D255" s="68" t="s">
        <v>373</v>
      </c>
      <c r="E255" s="69">
        <v>0</v>
      </c>
      <c r="F255" s="384">
        <v>0</v>
      </c>
      <c r="G255" s="69">
        <v>0</v>
      </c>
      <c r="H255" s="384">
        <v>0</v>
      </c>
      <c r="I255" s="69">
        <v>0</v>
      </c>
      <c r="J255" s="384">
        <v>0</v>
      </c>
      <c r="K255" s="69">
        <v>0</v>
      </c>
      <c r="L255" s="384">
        <v>0</v>
      </c>
      <c r="M255" s="69">
        <v>100</v>
      </c>
      <c r="N255" s="384">
        <v>0</v>
      </c>
      <c r="O255" s="69">
        <v>2200</v>
      </c>
      <c r="P255" s="384">
        <v>0</v>
      </c>
      <c r="Q255" s="69">
        <v>2300</v>
      </c>
      <c r="R255" s="384">
        <v>176418</v>
      </c>
      <c r="S255" s="69"/>
      <c r="T255" s="384"/>
      <c r="U255" s="67"/>
      <c r="V255" s="384"/>
      <c r="W255" s="67"/>
      <c r="X255" s="384"/>
      <c r="Y255" s="67"/>
      <c r="Z255" s="384"/>
      <c r="AA255" s="67"/>
      <c r="AB255" s="384"/>
      <c r="AC255" s="71">
        <f t="shared" si="3"/>
        <v>4600</v>
      </c>
      <c r="AD255" s="384">
        <f t="shared" si="3"/>
        <v>176418</v>
      </c>
    </row>
    <row r="256" spans="1:30" ht="15.6" x14ac:dyDescent="0.3">
      <c r="A256" s="387"/>
      <c r="B256" s="231" t="s">
        <v>237</v>
      </c>
      <c r="C256" s="67" t="s">
        <v>243</v>
      </c>
      <c r="D256" s="68" t="s">
        <v>374</v>
      </c>
      <c r="E256" s="69">
        <v>0</v>
      </c>
      <c r="F256" s="384"/>
      <c r="G256" s="69">
        <v>0</v>
      </c>
      <c r="H256" s="384"/>
      <c r="I256" s="69">
        <v>0</v>
      </c>
      <c r="J256" s="384"/>
      <c r="K256" s="69">
        <v>0</v>
      </c>
      <c r="L256" s="384"/>
      <c r="M256" s="69">
        <v>150</v>
      </c>
      <c r="N256" s="384"/>
      <c r="O256" s="69">
        <v>3270</v>
      </c>
      <c r="P256" s="384"/>
      <c r="Q256" s="69">
        <v>3420</v>
      </c>
      <c r="R256" s="384"/>
      <c r="S256" s="69"/>
      <c r="T256" s="384"/>
      <c r="U256" s="67"/>
      <c r="V256" s="384"/>
      <c r="W256" s="67"/>
      <c r="X256" s="384"/>
      <c r="Y256" s="67"/>
      <c r="Z256" s="384"/>
      <c r="AA256" s="67"/>
      <c r="AB256" s="384"/>
      <c r="AC256" s="71">
        <f t="shared" si="3"/>
        <v>6840</v>
      </c>
      <c r="AD256" s="384">
        <f t="shared" si="3"/>
        <v>0</v>
      </c>
    </row>
    <row r="257" spans="1:30" ht="15.6" x14ac:dyDescent="0.3">
      <c r="A257" s="391">
        <v>127</v>
      </c>
      <c r="B257" s="232" t="s">
        <v>246</v>
      </c>
      <c r="C257" s="73" t="s">
        <v>658</v>
      </c>
      <c r="D257" s="74" t="s">
        <v>373</v>
      </c>
      <c r="E257" s="75">
        <v>0</v>
      </c>
      <c r="F257" s="389">
        <v>0</v>
      </c>
      <c r="G257" s="233">
        <v>0</v>
      </c>
      <c r="H257" s="389">
        <v>0</v>
      </c>
      <c r="I257" s="233">
        <v>0</v>
      </c>
      <c r="J257" s="389">
        <v>0</v>
      </c>
      <c r="K257" s="233">
        <v>0</v>
      </c>
      <c r="L257" s="389">
        <v>0</v>
      </c>
      <c r="M257" s="233">
        <v>0</v>
      </c>
      <c r="N257" s="389">
        <v>0</v>
      </c>
      <c r="O257" s="73">
        <v>0</v>
      </c>
      <c r="P257" s="389">
        <v>0</v>
      </c>
      <c r="Q257" s="76">
        <v>2000</v>
      </c>
      <c r="R257" s="388">
        <v>0</v>
      </c>
      <c r="S257" s="73"/>
      <c r="T257" s="388"/>
      <c r="U257" s="73"/>
      <c r="V257" s="388"/>
      <c r="W257" s="73"/>
      <c r="X257" s="388"/>
      <c r="Y257" s="73"/>
      <c r="Z257" s="388"/>
      <c r="AA257" s="73"/>
      <c r="AB257" s="388"/>
      <c r="AC257" s="76">
        <f t="shared" si="3"/>
        <v>2000</v>
      </c>
      <c r="AD257" s="388">
        <f t="shared" si="3"/>
        <v>0</v>
      </c>
    </row>
    <row r="258" spans="1:30" ht="15.6" x14ac:dyDescent="0.3">
      <c r="A258" s="391"/>
      <c r="B258" s="234" t="s">
        <v>246</v>
      </c>
      <c r="C258" s="73" t="s">
        <v>658</v>
      </c>
      <c r="D258" s="74" t="s">
        <v>374</v>
      </c>
      <c r="E258" s="75">
        <v>0</v>
      </c>
      <c r="F258" s="390"/>
      <c r="G258" s="233">
        <v>0</v>
      </c>
      <c r="H258" s="390"/>
      <c r="I258" s="233">
        <v>0</v>
      </c>
      <c r="J258" s="390"/>
      <c r="K258" s="233">
        <v>0</v>
      </c>
      <c r="L258" s="390"/>
      <c r="M258" s="233">
        <v>0</v>
      </c>
      <c r="N258" s="390"/>
      <c r="O258" s="73">
        <v>0</v>
      </c>
      <c r="P258" s="390"/>
      <c r="Q258" s="76">
        <v>3000</v>
      </c>
      <c r="R258" s="388"/>
      <c r="S258" s="73"/>
      <c r="T258" s="388"/>
      <c r="U258" s="73"/>
      <c r="V258" s="388"/>
      <c r="W258" s="73"/>
      <c r="X258" s="388"/>
      <c r="Y258" s="73"/>
      <c r="Z258" s="388"/>
      <c r="AA258" s="73"/>
      <c r="AB258" s="388"/>
      <c r="AC258" s="76">
        <f t="shared" si="3"/>
        <v>3000</v>
      </c>
      <c r="AD258" s="388">
        <f t="shared" si="3"/>
        <v>0</v>
      </c>
    </row>
    <row r="259" spans="1:30" ht="15.6" x14ac:dyDescent="0.3">
      <c r="A259" s="387">
        <v>128</v>
      </c>
      <c r="B259" s="230" t="s">
        <v>246</v>
      </c>
      <c r="C259" s="67" t="s">
        <v>408</v>
      </c>
      <c r="D259" s="68" t="s">
        <v>373</v>
      </c>
      <c r="E259" s="69">
        <v>2629</v>
      </c>
      <c r="F259" s="384">
        <v>0</v>
      </c>
      <c r="G259" s="69">
        <v>3000</v>
      </c>
      <c r="H259" s="384">
        <v>0</v>
      </c>
      <c r="I259" s="69">
        <v>3300</v>
      </c>
      <c r="J259" s="384">
        <v>427946.61</v>
      </c>
      <c r="K259" s="69">
        <v>2850</v>
      </c>
      <c r="L259" s="385">
        <v>244726.05000000005</v>
      </c>
      <c r="M259" s="69">
        <v>3000</v>
      </c>
      <c r="N259" s="384">
        <v>211726.5</v>
      </c>
      <c r="O259" s="69">
        <v>3150</v>
      </c>
      <c r="P259" s="384">
        <v>222869.99999999988</v>
      </c>
      <c r="Q259" s="69">
        <v>3450</v>
      </c>
      <c r="R259" s="384">
        <v>234013.5</v>
      </c>
      <c r="S259" s="69"/>
      <c r="T259" s="384"/>
      <c r="U259" s="67"/>
      <c r="V259" s="384"/>
      <c r="W259" s="67"/>
      <c r="X259" s="384"/>
      <c r="Y259" s="67"/>
      <c r="Z259" s="384"/>
      <c r="AA259" s="67"/>
      <c r="AB259" s="384"/>
      <c r="AC259" s="71">
        <f t="shared" si="3"/>
        <v>21379</v>
      </c>
      <c r="AD259" s="384">
        <f t="shared" si="3"/>
        <v>1341282.6599999999</v>
      </c>
    </row>
    <row r="260" spans="1:30" ht="15.6" x14ac:dyDescent="0.3">
      <c r="A260" s="387"/>
      <c r="B260" s="231" t="s">
        <v>246</v>
      </c>
      <c r="C260" s="67" t="s">
        <v>408</v>
      </c>
      <c r="D260" s="68" t="s">
        <v>374</v>
      </c>
      <c r="E260" s="69">
        <v>3800</v>
      </c>
      <c r="F260" s="384"/>
      <c r="G260" s="69">
        <v>4000</v>
      </c>
      <c r="H260" s="384"/>
      <c r="I260" s="69">
        <v>4400</v>
      </c>
      <c r="J260" s="384"/>
      <c r="K260" s="69">
        <v>3800</v>
      </c>
      <c r="L260" s="386"/>
      <c r="M260" s="69">
        <v>4000</v>
      </c>
      <c r="N260" s="384"/>
      <c r="O260" s="69">
        <v>4200</v>
      </c>
      <c r="P260" s="384"/>
      <c r="Q260" s="69">
        <v>4600</v>
      </c>
      <c r="R260" s="384"/>
      <c r="S260" s="69"/>
      <c r="T260" s="384"/>
      <c r="U260" s="67"/>
      <c r="V260" s="384"/>
      <c r="W260" s="67"/>
      <c r="X260" s="384"/>
      <c r="Y260" s="67"/>
      <c r="Z260" s="384"/>
      <c r="AA260" s="67"/>
      <c r="AB260" s="384"/>
      <c r="AC260" s="71">
        <f t="shared" si="3"/>
        <v>28800</v>
      </c>
      <c r="AD260" s="384">
        <f t="shared" si="3"/>
        <v>0</v>
      </c>
    </row>
    <row r="261" spans="1:30" ht="15.6" x14ac:dyDescent="0.3">
      <c r="A261" s="387">
        <v>129</v>
      </c>
      <c r="B261" s="230" t="s">
        <v>263</v>
      </c>
      <c r="C261" s="67" t="s">
        <v>267</v>
      </c>
      <c r="D261" s="68" t="s">
        <v>373</v>
      </c>
      <c r="E261" s="69">
        <v>1080</v>
      </c>
      <c r="F261" s="384">
        <v>0</v>
      </c>
      <c r="G261" s="71">
        <v>1200</v>
      </c>
      <c r="H261" s="384">
        <v>0</v>
      </c>
      <c r="I261" s="69">
        <v>1320</v>
      </c>
      <c r="J261" s="384">
        <v>252781.2</v>
      </c>
      <c r="K261" s="70">
        <v>1140</v>
      </c>
      <c r="L261" s="385">
        <v>143712.79999999999</v>
      </c>
      <c r="M261" s="70">
        <v>1200</v>
      </c>
      <c r="N261" s="385">
        <v>124115.6</v>
      </c>
      <c r="O261" s="67">
        <v>1260</v>
      </c>
      <c r="P261" s="385">
        <v>130648</v>
      </c>
      <c r="Q261" s="71">
        <v>1380</v>
      </c>
      <c r="R261" s="384">
        <v>137180.39999999991</v>
      </c>
      <c r="S261" s="67"/>
      <c r="T261" s="384"/>
      <c r="U261" s="67"/>
      <c r="V261" s="384"/>
      <c r="W261" s="67"/>
      <c r="X261" s="384"/>
      <c r="Y261" s="67"/>
      <c r="Z261" s="384"/>
      <c r="AA261" s="67"/>
      <c r="AB261" s="384"/>
      <c r="AC261" s="71">
        <f t="shared" si="3"/>
        <v>8580</v>
      </c>
      <c r="AD261" s="384">
        <f t="shared" si="3"/>
        <v>788438</v>
      </c>
    </row>
    <row r="262" spans="1:30" ht="15.6" x14ac:dyDescent="0.3">
      <c r="A262" s="387"/>
      <c r="B262" s="231" t="s">
        <v>263</v>
      </c>
      <c r="C262" s="67" t="s">
        <v>267</v>
      </c>
      <c r="D262" s="68" t="s">
        <v>374</v>
      </c>
      <c r="E262" s="69">
        <v>2375</v>
      </c>
      <c r="F262" s="384"/>
      <c r="G262" s="71">
        <v>2500</v>
      </c>
      <c r="H262" s="384"/>
      <c r="I262" s="69">
        <v>2750</v>
      </c>
      <c r="J262" s="384"/>
      <c r="K262" s="70">
        <v>2375</v>
      </c>
      <c r="L262" s="386"/>
      <c r="M262" s="70">
        <v>2500</v>
      </c>
      <c r="N262" s="386"/>
      <c r="O262" s="67">
        <v>2625</v>
      </c>
      <c r="P262" s="386"/>
      <c r="Q262" s="71">
        <v>2875</v>
      </c>
      <c r="R262" s="384"/>
      <c r="S262" s="67"/>
      <c r="T262" s="384"/>
      <c r="U262" s="67"/>
      <c r="V262" s="384"/>
      <c r="W262" s="67"/>
      <c r="X262" s="384"/>
      <c r="Y262" s="67"/>
      <c r="Z262" s="384"/>
      <c r="AA262" s="67"/>
      <c r="AB262" s="384"/>
      <c r="AC262" s="71">
        <f t="shared" si="3"/>
        <v>18000</v>
      </c>
      <c r="AD262" s="384">
        <f t="shared" si="3"/>
        <v>0</v>
      </c>
    </row>
    <row r="263" spans="1:30" ht="15.6" x14ac:dyDescent="0.3">
      <c r="A263" s="387">
        <v>130</v>
      </c>
      <c r="B263" s="230" t="s">
        <v>263</v>
      </c>
      <c r="C263" s="67" t="s">
        <v>271</v>
      </c>
      <c r="D263" s="68" t="s">
        <v>373</v>
      </c>
      <c r="E263" s="69">
        <v>0</v>
      </c>
      <c r="F263" s="384">
        <v>0</v>
      </c>
      <c r="G263" s="71">
        <v>0</v>
      </c>
      <c r="H263" s="384">
        <v>0</v>
      </c>
      <c r="I263" s="69">
        <v>0</v>
      </c>
      <c r="J263" s="384">
        <v>0</v>
      </c>
      <c r="K263" s="70">
        <v>900</v>
      </c>
      <c r="L263" s="385">
        <v>0</v>
      </c>
      <c r="M263" s="70">
        <v>2000</v>
      </c>
      <c r="N263" s="385">
        <v>78876</v>
      </c>
      <c r="O263" s="67">
        <v>2100</v>
      </c>
      <c r="P263" s="385">
        <v>175280</v>
      </c>
      <c r="Q263" s="71">
        <v>2300</v>
      </c>
      <c r="R263" s="384">
        <v>184044</v>
      </c>
      <c r="S263" s="67"/>
      <c r="T263" s="384"/>
      <c r="U263" s="67"/>
      <c r="V263" s="384"/>
      <c r="W263" s="67"/>
      <c r="X263" s="384"/>
      <c r="Y263" s="67"/>
      <c r="Z263" s="384"/>
      <c r="AA263" s="67"/>
      <c r="AB263" s="384"/>
      <c r="AC263" s="71">
        <f t="shared" si="3"/>
        <v>7300</v>
      </c>
      <c r="AD263" s="384">
        <f t="shared" si="3"/>
        <v>438200</v>
      </c>
    </row>
    <row r="264" spans="1:30" ht="15.6" x14ac:dyDescent="0.3">
      <c r="A264" s="387"/>
      <c r="B264" s="231" t="s">
        <v>263</v>
      </c>
      <c r="C264" s="67" t="s">
        <v>271</v>
      </c>
      <c r="D264" s="68" t="s">
        <v>374</v>
      </c>
      <c r="E264" s="69">
        <v>0</v>
      </c>
      <c r="F264" s="384"/>
      <c r="G264" s="71">
        <v>0</v>
      </c>
      <c r="H264" s="384"/>
      <c r="I264" s="69">
        <v>0</v>
      </c>
      <c r="J264" s="384"/>
      <c r="K264" s="70">
        <v>1350</v>
      </c>
      <c r="L264" s="386"/>
      <c r="M264" s="70">
        <v>3000</v>
      </c>
      <c r="N264" s="386"/>
      <c r="O264" s="67">
        <v>3150</v>
      </c>
      <c r="P264" s="386"/>
      <c r="Q264" s="71">
        <v>3436</v>
      </c>
      <c r="R264" s="384"/>
      <c r="S264" s="67"/>
      <c r="T264" s="384"/>
      <c r="U264" s="67"/>
      <c r="V264" s="384"/>
      <c r="W264" s="67"/>
      <c r="X264" s="384"/>
      <c r="Y264" s="67"/>
      <c r="Z264" s="384"/>
      <c r="AA264" s="67"/>
      <c r="AB264" s="384"/>
      <c r="AC264" s="71">
        <f t="shared" si="3"/>
        <v>10936</v>
      </c>
      <c r="AD264" s="384">
        <f t="shared" si="3"/>
        <v>0</v>
      </c>
    </row>
    <row r="265" spans="1:30" ht="15.6" x14ac:dyDescent="0.3">
      <c r="A265" s="387">
        <v>131</v>
      </c>
      <c r="B265" s="230" t="s">
        <v>263</v>
      </c>
      <c r="C265" s="67" t="s">
        <v>273</v>
      </c>
      <c r="D265" s="68" t="s">
        <v>373</v>
      </c>
      <c r="E265" s="69">
        <v>1800</v>
      </c>
      <c r="F265" s="384">
        <v>0</v>
      </c>
      <c r="G265" s="71">
        <v>2000</v>
      </c>
      <c r="H265" s="384">
        <v>0</v>
      </c>
      <c r="I265" s="71">
        <v>2200</v>
      </c>
      <c r="J265" s="384">
        <v>338492</v>
      </c>
      <c r="K265" s="71">
        <v>1000</v>
      </c>
      <c r="L265" s="385">
        <v>187348</v>
      </c>
      <c r="M265" s="71">
        <v>0</v>
      </c>
      <c r="N265" s="384">
        <v>82180</v>
      </c>
      <c r="O265" s="71">
        <v>0</v>
      </c>
      <c r="P265" s="384">
        <v>0</v>
      </c>
      <c r="Q265" s="71">
        <v>0</v>
      </c>
      <c r="R265" s="384">
        <v>0</v>
      </c>
      <c r="S265" s="71"/>
      <c r="T265" s="384"/>
      <c r="U265" s="71"/>
      <c r="V265" s="384"/>
      <c r="W265" s="67"/>
      <c r="X265" s="384"/>
      <c r="Y265" s="67"/>
      <c r="Z265" s="384"/>
      <c r="AA265" s="67"/>
      <c r="AB265" s="384"/>
      <c r="AC265" s="71">
        <f t="shared" si="3"/>
        <v>7000</v>
      </c>
      <c r="AD265" s="384">
        <f t="shared" si="3"/>
        <v>608020</v>
      </c>
    </row>
    <row r="266" spans="1:30" ht="15.6" x14ac:dyDescent="0.3">
      <c r="A266" s="387"/>
      <c r="B266" s="231" t="s">
        <v>263</v>
      </c>
      <c r="C266" s="67" t="s">
        <v>273</v>
      </c>
      <c r="D266" s="68" t="s">
        <v>374</v>
      </c>
      <c r="E266" s="69">
        <v>2850</v>
      </c>
      <c r="F266" s="384"/>
      <c r="G266" s="71">
        <v>3000</v>
      </c>
      <c r="H266" s="384"/>
      <c r="I266" s="71">
        <v>3300</v>
      </c>
      <c r="J266" s="384"/>
      <c r="K266" s="71">
        <v>1350</v>
      </c>
      <c r="L266" s="386"/>
      <c r="M266" s="71">
        <v>0</v>
      </c>
      <c r="N266" s="384"/>
      <c r="O266" s="71">
        <v>0</v>
      </c>
      <c r="P266" s="384"/>
      <c r="Q266" s="71">
        <v>0</v>
      </c>
      <c r="R266" s="384"/>
      <c r="S266" s="71"/>
      <c r="T266" s="384"/>
      <c r="U266" s="71"/>
      <c r="V266" s="384"/>
      <c r="W266" s="67"/>
      <c r="X266" s="384"/>
      <c r="Y266" s="67"/>
      <c r="Z266" s="384"/>
      <c r="AA266" s="67"/>
      <c r="AB266" s="384"/>
      <c r="AC266" s="71">
        <f t="shared" si="3"/>
        <v>10500</v>
      </c>
      <c r="AD266" s="384">
        <f t="shared" si="3"/>
        <v>0</v>
      </c>
    </row>
    <row r="267" spans="1:30" ht="15.6" x14ac:dyDescent="0.3">
      <c r="A267" s="387">
        <v>132</v>
      </c>
      <c r="B267" s="230" t="s">
        <v>263</v>
      </c>
      <c r="C267" s="67" t="s">
        <v>274</v>
      </c>
      <c r="D267" s="68" t="s">
        <v>373</v>
      </c>
      <c r="E267" s="69">
        <v>3600</v>
      </c>
      <c r="F267" s="384">
        <v>0</v>
      </c>
      <c r="G267" s="71">
        <v>4000</v>
      </c>
      <c r="H267" s="384">
        <v>0</v>
      </c>
      <c r="I267" s="69">
        <v>4400</v>
      </c>
      <c r="J267" s="384">
        <v>596904</v>
      </c>
      <c r="K267" s="70">
        <v>3800</v>
      </c>
      <c r="L267" s="385">
        <v>329868</v>
      </c>
      <c r="M267" s="70">
        <v>3800</v>
      </c>
      <c r="N267" s="385">
        <v>294994</v>
      </c>
      <c r="O267" s="67">
        <v>4185</v>
      </c>
      <c r="P267" s="385">
        <v>307552</v>
      </c>
      <c r="Q267" s="71">
        <v>4600</v>
      </c>
      <c r="R267" s="384">
        <v>329372.39999999991</v>
      </c>
      <c r="S267" s="67"/>
      <c r="T267" s="384"/>
      <c r="U267" s="67"/>
      <c r="V267" s="384"/>
      <c r="W267" s="67"/>
      <c r="X267" s="384"/>
      <c r="Y267" s="67"/>
      <c r="Z267" s="384"/>
      <c r="AA267" s="67"/>
      <c r="AB267" s="384"/>
      <c r="AC267" s="71">
        <f t="shared" si="3"/>
        <v>28385</v>
      </c>
      <c r="AD267" s="384">
        <f t="shared" si="3"/>
        <v>1858690.4</v>
      </c>
    </row>
    <row r="268" spans="1:30" ht="15.6" x14ac:dyDescent="0.3">
      <c r="A268" s="387"/>
      <c r="B268" s="231" t="s">
        <v>263</v>
      </c>
      <c r="C268" s="67" t="s">
        <v>274</v>
      </c>
      <c r="D268" s="68" t="s">
        <v>374</v>
      </c>
      <c r="E268" s="69">
        <v>4500</v>
      </c>
      <c r="F268" s="384"/>
      <c r="G268" s="71">
        <v>5000</v>
      </c>
      <c r="H268" s="384"/>
      <c r="I268" s="69">
        <v>5500</v>
      </c>
      <c r="J268" s="384"/>
      <c r="K268" s="70">
        <v>4655</v>
      </c>
      <c r="L268" s="386"/>
      <c r="M268" s="70">
        <v>5000</v>
      </c>
      <c r="N268" s="386"/>
      <c r="O268" s="67">
        <v>5250</v>
      </c>
      <c r="P268" s="386"/>
      <c r="Q268" s="71">
        <v>5750</v>
      </c>
      <c r="R268" s="384"/>
      <c r="S268" s="67"/>
      <c r="T268" s="384"/>
      <c r="U268" s="67"/>
      <c r="V268" s="384"/>
      <c r="W268" s="67"/>
      <c r="X268" s="384"/>
      <c r="Y268" s="67"/>
      <c r="Z268" s="384"/>
      <c r="AA268" s="67"/>
      <c r="AB268" s="384"/>
      <c r="AC268" s="71">
        <f t="shared" ref="AC268:AD345" si="4">AA268+Y268+W268+U268+S268+Q268+O268+K268+M268+I268+G268+E268</f>
        <v>35655</v>
      </c>
      <c r="AD268" s="384">
        <f t="shared" si="4"/>
        <v>0</v>
      </c>
    </row>
    <row r="269" spans="1:30" ht="15.6" x14ac:dyDescent="0.3">
      <c r="A269" s="387">
        <v>133</v>
      </c>
      <c r="B269" s="230" t="s">
        <v>263</v>
      </c>
      <c r="C269" s="67" t="s">
        <v>409</v>
      </c>
      <c r="D269" s="68" t="s">
        <v>373</v>
      </c>
      <c r="E269" s="69">
        <v>1800</v>
      </c>
      <c r="F269" s="384">
        <v>0</v>
      </c>
      <c r="G269" s="71">
        <v>2000</v>
      </c>
      <c r="H269" s="384">
        <v>0</v>
      </c>
      <c r="I269" s="71">
        <v>2200</v>
      </c>
      <c r="J269" s="384">
        <v>336417.2</v>
      </c>
      <c r="K269" s="71">
        <v>1800</v>
      </c>
      <c r="L269" s="385">
        <v>190077.99999999994</v>
      </c>
      <c r="M269" s="71">
        <v>2000</v>
      </c>
      <c r="N269" s="384">
        <v>157242.4</v>
      </c>
      <c r="O269" s="71">
        <v>2100</v>
      </c>
      <c r="P269" s="384">
        <v>167672.40000000002</v>
      </c>
      <c r="Q269" s="71">
        <v>1100</v>
      </c>
      <c r="R269" s="384">
        <v>172250.40000000002</v>
      </c>
      <c r="S269" s="71"/>
      <c r="T269" s="384"/>
      <c r="U269" s="71"/>
      <c r="V269" s="384"/>
      <c r="W269" s="67"/>
      <c r="X269" s="384"/>
      <c r="Y269" s="67"/>
      <c r="Z269" s="384"/>
      <c r="AA269" s="67"/>
      <c r="AB269" s="384"/>
      <c r="AC269" s="71">
        <f t="shared" si="4"/>
        <v>13000</v>
      </c>
      <c r="AD269" s="384">
        <f t="shared" si="4"/>
        <v>1023660.4000000001</v>
      </c>
    </row>
    <row r="270" spans="1:30" ht="15.6" x14ac:dyDescent="0.3">
      <c r="A270" s="387"/>
      <c r="B270" s="231" t="s">
        <v>263</v>
      </c>
      <c r="C270" s="67" t="s">
        <v>409</v>
      </c>
      <c r="D270" s="68" t="s">
        <v>374</v>
      </c>
      <c r="E270" s="69">
        <v>2850</v>
      </c>
      <c r="F270" s="384"/>
      <c r="G270" s="71">
        <v>3000</v>
      </c>
      <c r="H270" s="384"/>
      <c r="I270" s="71">
        <v>3300</v>
      </c>
      <c r="J270" s="384"/>
      <c r="K270" s="71">
        <v>2686</v>
      </c>
      <c r="L270" s="386"/>
      <c r="M270" s="71">
        <v>2791</v>
      </c>
      <c r="N270" s="384"/>
      <c r="O270" s="71">
        <v>2826</v>
      </c>
      <c r="P270" s="384"/>
      <c r="Q270" s="71">
        <v>1650</v>
      </c>
      <c r="R270" s="384"/>
      <c r="S270" s="71"/>
      <c r="T270" s="384"/>
      <c r="U270" s="71"/>
      <c r="V270" s="384"/>
      <c r="W270" s="67"/>
      <c r="X270" s="384"/>
      <c r="Y270" s="67"/>
      <c r="Z270" s="384"/>
      <c r="AA270" s="67"/>
      <c r="AB270" s="384"/>
      <c r="AC270" s="71">
        <f t="shared" si="4"/>
        <v>19103</v>
      </c>
      <c r="AD270" s="384">
        <f t="shared" si="4"/>
        <v>0</v>
      </c>
    </row>
    <row r="271" spans="1:30" ht="15.6" x14ac:dyDescent="0.3">
      <c r="A271" s="391">
        <v>134</v>
      </c>
      <c r="B271" s="232" t="s">
        <v>263</v>
      </c>
      <c r="C271" s="73" t="s">
        <v>659</v>
      </c>
      <c r="D271" s="74" t="s">
        <v>373</v>
      </c>
      <c r="E271" s="75">
        <v>0</v>
      </c>
      <c r="F271" s="389">
        <v>0</v>
      </c>
      <c r="G271" s="233">
        <v>0</v>
      </c>
      <c r="H271" s="389">
        <v>0</v>
      </c>
      <c r="I271" s="233">
        <v>0</v>
      </c>
      <c r="J271" s="389">
        <v>0</v>
      </c>
      <c r="K271" s="233">
        <v>0</v>
      </c>
      <c r="L271" s="389">
        <v>0</v>
      </c>
      <c r="M271" s="233">
        <v>0</v>
      </c>
      <c r="N271" s="389">
        <v>0</v>
      </c>
      <c r="O271" s="73">
        <v>0</v>
      </c>
      <c r="P271" s="389">
        <v>0</v>
      </c>
      <c r="Q271" s="76">
        <v>1500</v>
      </c>
      <c r="R271" s="388">
        <v>0</v>
      </c>
      <c r="S271" s="73"/>
      <c r="T271" s="388"/>
      <c r="U271" s="73"/>
      <c r="V271" s="388"/>
      <c r="W271" s="73"/>
      <c r="X271" s="388"/>
      <c r="Y271" s="73"/>
      <c r="Z271" s="388"/>
      <c r="AA271" s="73"/>
      <c r="AB271" s="388"/>
      <c r="AC271" s="76">
        <f t="shared" si="4"/>
        <v>1500</v>
      </c>
      <c r="AD271" s="388">
        <f t="shared" si="4"/>
        <v>0</v>
      </c>
    </row>
    <row r="272" spans="1:30" ht="15.6" x14ac:dyDescent="0.3">
      <c r="A272" s="391"/>
      <c r="B272" s="234" t="s">
        <v>263</v>
      </c>
      <c r="C272" s="73" t="s">
        <v>659</v>
      </c>
      <c r="D272" s="74" t="s">
        <v>374</v>
      </c>
      <c r="E272" s="75">
        <v>0</v>
      </c>
      <c r="F272" s="390"/>
      <c r="G272" s="233">
        <v>0</v>
      </c>
      <c r="H272" s="390"/>
      <c r="I272" s="233">
        <v>0</v>
      </c>
      <c r="J272" s="390"/>
      <c r="K272" s="233">
        <v>0</v>
      </c>
      <c r="L272" s="390"/>
      <c r="M272" s="233">
        <v>0</v>
      </c>
      <c r="N272" s="390"/>
      <c r="O272" s="73">
        <v>0</v>
      </c>
      <c r="P272" s="390"/>
      <c r="Q272" s="76">
        <v>2000</v>
      </c>
      <c r="R272" s="388"/>
      <c r="S272" s="73"/>
      <c r="T272" s="388"/>
      <c r="U272" s="73"/>
      <c r="V272" s="388"/>
      <c r="W272" s="73"/>
      <c r="X272" s="388"/>
      <c r="Y272" s="73"/>
      <c r="Z272" s="388"/>
      <c r="AA272" s="73"/>
      <c r="AB272" s="388"/>
      <c r="AC272" s="76">
        <f t="shared" si="4"/>
        <v>2000</v>
      </c>
      <c r="AD272" s="388">
        <f t="shared" si="4"/>
        <v>0</v>
      </c>
    </row>
    <row r="273" spans="1:30" ht="15.6" x14ac:dyDescent="0.3">
      <c r="A273" s="391">
        <v>135</v>
      </c>
      <c r="B273" s="232" t="s">
        <v>263</v>
      </c>
      <c r="C273" s="73" t="s">
        <v>660</v>
      </c>
      <c r="D273" s="74" t="s">
        <v>373</v>
      </c>
      <c r="E273" s="75">
        <v>0</v>
      </c>
      <c r="F273" s="389">
        <v>0</v>
      </c>
      <c r="G273" s="233">
        <v>0</v>
      </c>
      <c r="H273" s="389">
        <v>0</v>
      </c>
      <c r="I273" s="233">
        <v>0</v>
      </c>
      <c r="J273" s="389">
        <v>0</v>
      </c>
      <c r="K273" s="233">
        <v>0</v>
      </c>
      <c r="L273" s="389">
        <v>0</v>
      </c>
      <c r="M273" s="233">
        <v>0</v>
      </c>
      <c r="N273" s="389">
        <v>0</v>
      </c>
      <c r="O273" s="73">
        <v>0</v>
      </c>
      <c r="P273" s="389">
        <v>0</v>
      </c>
      <c r="Q273" s="76">
        <v>1500</v>
      </c>
      <c r="R273" s="388">
        <v>0</v>
      </c>
      <c r="S273" s="73"/>
      <c r="T273" s="388"/>
      <c r="U273" s="73"/>
      <c r="V273" s="388"/>
      <c r="W273" s="73"/>
      <c r="X273" s="388"/>
      <c r="Y273" s="73"/>
      <c r="Z273" s="388"/>
      <c r="AA273" s="73"/>
      <c r="AB273" s="388"/>
      <c r="AC273" s="76">
        <f t="shared" si="4"/>
        <v>1500</v>
      </c>
      <c r="AD273" s="388">
        <f t="shared" si="4"/>
        <v>0</v>
      </c>
    </row>
    <row r="274" spans="1:30" ht="15.6" x14ac:dyDescent="0.3">
      <c r="A274" s="391"/>
      <c r="B274" s="234" t="s">
        <v>263</v>
      </c>
      <c r="C274" s="73" t="s">
        <v>660</v>
      </c>
      <c r="D274" s="74" t="s">
        <v>374</v>
      </c>
      <c r="E274" s="75">
        <v>0</v>
      </c>
      <c r="F274" s="390"/>
      <c r="G274" s="233">
        <v>0</v>
      </c>
      <c r="H274" s="390"/>
      <c r="I274" s="233">
        <v>0</v>
      </c>
      <c r="J274" s="390"/>
      <c r="K274" s="233">
        <v>0</v>
      </c>
      <c r="L274" s="390"/>
      <c r="M274" s="233">
        <v>0</v>
      </c>
      <c r="N274" s="390"/>
      <c r="O274" s="73">
        <v>0</v>
      </c>
      <c r="P274" s="390"/>
      <c r="Q274" s="76">
        <v>2000</v>
      </c>
      <c r="R274" s="388"/>
      <c r="S274" s="73"/>
      <c r="T274" s="388"/>
      <c r="U274" s="73"/>
      <c r="V274" s="388"/>
      <c r="W274" s="73"/>
      <c r="X274" s="388"/>
      <c r="Y274" s="73"/>
      <c r="Z274" s="388"/>
      <c r="AA274" s="73"/>
      <c r="AB274" s="388"/>
      <c r="AC274" s="76">
        <f t="shared" si="4"/>
        <v>2000</v>
      </c>
      <c r="AD274" s="388">
        <f t="shared" si="4"/>
        <v>0</v>
      </c>
    </row>
    <row r="275" spans="1:30" ht="15.6" x14ac:dyDescent="0.3">
      <c r="A275" s="387">
        <v>136</v>
      </c>
      <c r="B275" s="230" t="s">
        <v>263</v>
      </c>
      <c r="C275" s="67" t="s">
        <v>410</v>
      </c>
      <c r="D275" s="68" t="s">
        <v>373</v>
      </c>
      <c r="E275" s="69">
        <v>0</v>
      </c>
      <c r="F275" s="384">
        <v>0</v>
      </c>
      <c r="G275" s="71">
        <v>0</v>
      </c>
      <c r="H275" s="384">
        <v>0</v>
      </c>
      <c r="I275" s="69">
        <v>0</v>
      </c>
      <c r="J275" s="384">
        <v>0</v>
      </c>
      <c r="K275" s="70">
        <v>873</v>
      </c>
      <c r="L275" s="385">
        <v>0</v>
      </c>
      <c r="M275" s="70">
        <v>2000</v>
      </c>
      <c r="N275" s="385">
        <v>77983.92</v>
      </c>
      <c r="O275" s="67">
        <v>2100</v>
      </c>
      <c r="P275" s="385">
        <v>175280</v>
      </c>
      <c r="Q275" s="71">
        <v>2300</v>
      </c>
      <c r="R275" s="384">
        <v>184044</v>
      </c>
      <c r="S275" s="67"/>
      <c r="T275" s="384"/>
      <c r="U275" s="67"/>
      <c r="V275" s="384"/>
      <c r="W275" s="67"/>
      <c r="X275" s="384"/>
      <c r="Y275" s="67"/>
      <c r="Z275" s="384"/>
      <c r="AA275" s="67"/>
      <c r="AB275" s="384"/>
      <c r="AC275" s="71">
        <f t="shared" si="4"/>
        <v>7273</v>
      </c>
      <c r="AD275" s="384">
        <f t="shared" si="4"/>
        <v>437307.92</v>
      </c>
    </row>
    <row r="276" spans="1:30" ht="15.6" x14ac:dyDescent="0.3">
      <c r="A276" s="387"/>
      <c r="B276" s="231" t="s">
        <v>263</v>
      </c>
      <c r="C276" s="67" t="s">
        <v>410</v>
      </c>
      <c r="D276" s="68" t="s">
        <v>374</v>
      </c>
      <c r="E276" s="69">
        <v>0</v>
      </c>
      <c r="F276" s="384"/>
      <c r="G276" s="71">
        <v>0</v>
      </c>
      <c r="H276" s="384"/>
      <c r="I276" s="69">
        <v>0</v>
      </c>
      <c r="J276" s="384"/>
      <c r="K276" s="70">
        <v>1350</v>
      </c>
      <c r="L276" s="386"/>
      <c r="M276" s="70">
        <v>3000</v>
      </c>
      <c r="N276" s="386"/>
      <c r="O276" s="67">
        <v>3150</v>
      </c>
      <c r="P276" s="386"/>
      <c r="Q276" s="71">
        <v>3436</v>
      </c>
      <c r="R276" s="384"/>
      <c r="S276" s="67"/>
      <c r="T276" s="384"/>
      <c r="U276" s="67"/>
      <c r="V276" s="384"/>
      <c r="W276" s="67"/>
      <c r="X276" s="384"/>
      <c r="Y276" s="67"/>
      <c r="Z276" s="384"/>
      <c r="AA276" s="67"/>
      <c r="AB276" s="384"/>
      <c r="AC276" s="71">
        <f t="shared" si="4"/>
        <v>10936</v>
      </c>
      <c r="AD276" s="384">
        <f t="shared" si="4"/>
        <v>0</v>
      </c>
    </row>
    <row r="277" spans="1:30" ht="15.6" x14ac:dyDescent="0.3">
      <c r="A277" s="387">
        <v>137</v>
      </c>
      <c r="B277" s="230" t="s">
        <v>263</v>
      </c>
      <c r="C277" s="67" t="s">
        <v>283</v>
      </c>
      <c r="D277" s="68" t="s">
        <v>373</v>
      </c>
      <c r="E277" s="69">
        <v>1350</v>
      </c>
      <c r="F277" s="384">
        <v>0</v>
      </c>
      <c r="G277" s="71">
        <v>1500</v>
      </c>
      <c r="H277" s="384">
        <v>0</v>
      </c>
      <c r="I277" s="69">
        <v>1650</v>
      </c>
      <c r="J277" s="384">
        <v>271614</v>
      </c>
      <c r="K277" s="70">
        <v>1425</v>
      </c>
      <c r="L277" s="385">
        <v>147588</v>
      </c>
      <c r="M277" s="70">
        <v>1500</v>
      </c>
      <c r="N277" s="385">
        <v>124432</v>
      </c>
      <c r="O277" s="67">
        <v>1575</v>
      </c>
      <c r="P277" s="385">
        <v>122360</v>
      </c>
      <c r="Q277" s="71">
        <v>1725</v>
      </c>
      <c r="R277" s="384">
        <v>128478</v>
      </c>
      <c r="S277" s="67"/>
      <c r="T277" s="384"/>
      <c r="U277" s="67"/>
      <c r="V277" s="384"/>
      <c r="W277" s="67"/>
      <c r="X277" s="384"/>
      <c r="Y277" s="67"/>
      <c r="Z277" s="384"/>
      <c r="AA277" s="67"/>
      <c r="AB277" s="384"/>
      <c r="AC277" s="71">
        <f t="shared" si="4"/>
        <v>10725</v>
      </c>
      <c r="AD277" s="384">
        <f t="shared" si="4"/>
        <v>794472</v>
      </c>
    </row>
    <row r="278" spans="1:30" ht="15.6" x14ac:dyDescent="0.3">
      <c r="A278" s="387"/>
      <c r="B278" s="231" t="s">
        <v>263</v>
      </c>
      <c r="C278" s="67" t="s">
        <v>283</v>
      </c>
      <c r="D278" s="68" t="s">
        <v>374</v>
      </c>
      <c r="E278" s="69">
        <v>2375</v>
      </c>
      <c r="F278" s="384"/>
      <c r="G278" s="71">
        <v>2500</v>
      </c>
      <c r="H278" s="384"/>
      <c r="I278" s="69">
        <v>2750</v>
      </c>
      <c r="J278" s="384"/>
      <c r="K278" s="70">
        <v>2125</v>
      </c>
      <c r="L278" s="386"/>
      <c r="M278" s="70">
        <v>2000</v>
      </c>
      <c r="N278" s="386"/>
      <c r="O278" s="67">
        <v>2100</v>
      </c>
      <c r="P278" s="386"/>
      <c r="Q278" s="71">
        <v>2300</v>
      </c>
      <c r="R278" s="384"/>
      <c r="S278" s="67"/>
      <c r="T278" s="384"/>
      <c r="U278" s="67"/>
      <c r="V278" s="384"/>
      <c r="W278" s="67"/>
      <c r="X278" s="384"/>
      <c r="Y278" s="67"/>
      <c r="Z278" s="384"/>
      <c r="AA278" s="67"/>
      <c r="AB278" s="384"/>
      <c r="AC278" s="71">
        <f t="shared" si="4"/>
        <v>16150</v>
      </c>
      <c r="AD278" s="384">
        <f t="shared" si="4"/>
        <v>0</v>
      </c>
    </row>
    <row r="279" spans="1:30" ht="15.6" x14ac:dyDescent="0.3">
      <c r="A279" s="387">
        <v>138</v>
      </c>
      <c r="B279" s="230" t="s">
        <v>263</v>
      </c>
      <c r="C279" s="67" t="s">
        <v>263</v>
      </c>
      <c r="D279" s="68" t="s">
        <v>373</v>
      </c>
      <c r="E279" s="69">
        <v>2700</v>
      </c>
      <c r="F279" s="384">
        <v>0</v>
      </c>
      <c r="G279" s="71">
        <v>3000</v>
      </c>
      <c r="H279" s="384">
        <v>0</v>
      </c>
      <c r="I279" s="69">
        <v>3300</v>
      </c>
      <c r="J279" s="384">
        <v>472248</v>
      </c>
      <c r="K279" s="70">
        <v>2850</v>
      </c>
      <c r="L279" s="385">
        <v>256956</v>
      </c>
      <c r="M279" s="70">
        <v>3000</v>
      </c>
      <c r="N279" s="385">
        <v>232484</v>
      </c>
      <c r="O279" s="67">
        <v>3150</v>
      </c>
      <c r="P279" s="385">
        <v>244720</v>
      </c>
      <c r="Q279" s="71">
        <v>3450</v>
      </c>
      <c r="R279" s="384">
        <v>256956</v>
      </c>
      <c r="S279" s="67"/>
      <c r="T279" s="384"/>
      <c r="U279" s="67"/>
      <c r="V279" s="384"/>
      <c r="W279" s="67"/>
      <c r="X279" s="384"/>
      <c r="Y279" s="67"/>
      <c r="Z279" s="384"/>
      <c r="AA279" s="67"/>
      <c r="AB279" s="384"/>
      <c r="AC279" s="71">
        <f t="shared" si="4"/>
        <v>21450</v>
      </c>
      <c r="AD279" s="384">
        <f t="shared" si="4"/>
        <v>1463364</v>
      </c>
    </row>
    <row r="280" spans="1:30" ht="15.6" x14ac:dyDescent="0.3">
      <c r="A280" s="387"/>
      <c r="B280" s="231" t="s">
        <v>263</v>
      </c>
      <c r="C280" s="67" t="s">
        <v>263</v>
      </c>
      <c r="D280" s="68" t="s">
        <v>374</v>
      </c>
      <c r="E280" s="69">
        <v>3800</v>
      </c>
      <c r="F280" s="384"/>
      <c r="G280" s="71">
        <v>4000</v>
      </c>
      <c r="H280" s="384"/>
      <c r="I280" s="69">
        <v>4400</v>
      </c>
      <c r="J280" s="384"/>
      <c r="K280" s="70">
        <v>3800</v>
      </c>
      <c r="L280" s="386"/>
      <c r="M280" s="70">
        <v>4000</v>
      </c>
      <c r="N280" s="386"/>
      <c r="O280" s="67">
        <v>4200</v>
      </c>
      <c r="P280" s="386"/>
      <c r="Q280" s="71">
        <v>4600</v>
      </c>
      <c r="R280" s="384"/>
      <c r="S280" s="67"/>
      <c r="T280" s="384"/>
      <c r="U280" s="67"/>
      <c r="V280" s="384"/>
      <c r="W280" s="67"/>
      <c r="X280" s="384"/>
      <c r="Y280" s="67"/>
      <c r="Z280" s="384"/>
      <c r="AA280" s="67"/>
      <c r="AB280" s="384"/>
      <c r="AC280" s="71">
        <f t="shared" si="4"/>
        <v>28800</v>
      </c>
      <c r="AD280" s="384">
        <f t="shared" si="4"/>
        <v>0</v>
      </c>
    </row>
    <row r="281" spans="1:30" ht="15.6" x14ac:dyDescent="0.3">
      <c r="A281" s="387">
        <v>139</v>
      </c>
      <c r="B281" s="230" t="s">
        <v>263</v>
      </c>
      <c r="C281" s="67" t="s">
        <v>411</v>
      </c>
      <c r="D281" s="68" t="s">
        <v>373</v>
      </c>
      <c r="E281" s="69">
        <v>0</v>
      </c>
      <c r="F281" s="384">
        <v>0</v>
      </c>
      <c r="G281" s="71">
        <v>0</v>
      </c>
      <c r="H281" s="384">
        <v>0</v>
      </c>
      <c r="I281" s="69">
        <v>0</v>
      </c>
      <c r="J281" s="384">
        <v>0</v>
      </c>
      <c r="K281" s="70">
        <v>996</v>
      </c>
      <c r="L281" s="385">
        <v>0</v>
      </c>
      <c r="M281" s="70">
        <v>1863</v>
      </c>
      <c r="N281" s="385">
        <v>86525.04</v>
      </c>
      <c r="O281" s="67">
        <v>2100</v>
      </c>
      <c r="P281" s="385">
        <v>158195.52000000002</v>
      </c>
      <c r="Q281" s="71">
        <v>1100</v>
      </c>
      <c r="R281" s="384">
        <v>178584</v>
      </c>
      <c r="S281" s="67"/>
      <c r="T281" s="384"/>
      <c r="U281" s="67"/>
      <c r="V281" s="384"/>
      <c r="W281" s="67"/>
      <c r="X281" s="384"/>
      <c r="Y281" s="67"/>
      <c r="Z281" s="384"/>
      <c r="AA281" s="67"/>
      <c r="AB281" s="384"/>
      <c r="AC281" s="71">
        <f t="shared" si="4"/>
        <v>6059</v>
      </c>
      <c r="AD281" s="384">
        <f t="shared" si="4"/>
        <v>423304.56</v>
      </c>
    </row>
    <row r="282" spans="1:30" ht="15.6" x14ac:dyDescent="0.3">
      <c r="A282" s="387"/>
      <c r="B282" s="231" t="s">
        <v>263</v>
      </c>
      <c r="C282" s="67" t="s">
        <v>285</v>
      </c>
      <c r="D282" s="68" t="s">
        <v>374</v>
      </c>
      <c r="E282" s="69">
        <v>0</v>
      </c>
      <c r="F282" s="384"/>
      <c r="G282" s="71">
        <v>0</v>
      </c>
      <c r="H282" s="384"/>
      <c r="I282" s="69">
        <v>0</v>
      </c>
      <c r="J282" s="384"/>
      <c r="K282" s="70">
        <v>1473</v>
      </c>
      <c r="L282" s="386"/>
      <c r="M282" s="70">
        <v>2655</v>
      </c>
      <c r="N282" s="386"/>
      <c r="O282" s="67">
        <v>3000</v>
      </c>
      <c r="P282" s="386"/>
      <c r="Q282" s="71">
        <v>1650</v>
      </c>
      <c r="R282" s="384"/>
      <c r="S282" s="67"/>
      <c r="T282" s="384"/>
      <c r="U282" s="67"/>
      <c r="V282" s="384"/>
      <c r="W282" s="67"/>
      <c r="X282" s="384"/>
      <c r="Y282" s="67"/>
      <c r="Z282" s="384"/>
      <c r="AA282" s="67"/>
      <c r="AB282" s="384"/>
      <c r="AC282" s="71">
        <f t="shared" si="4"/>
        <v>8778</v>
      </c>
      <c r="AD282" s="384">
        <f t="shared" si="4"/>
        <v>0</v>
      </c>
    </row>
    <row r="283" spans="1:30" ht="15.6" x14ac:dyDescent="0.3">
      <c r="A283" s="387">
        <v>140</v>
      </c>
      <c r="B283" s="230" t="s">
        <v>263</v>
      </c>
      <c r="C283" s="67" t="s">
        <v>412</v>
      </c>
      <c r="D283" s="68" t="s">
        <v>373</v>
      </c>
      <c r="E283" s="69">
        <v>1800</v>
      </c>
      <c r="F283" s="384">
        <v>0</v>
      </c>
      <c r="G283" s="71">
        <v>2000</v>
      </c>
      <c r="H283" s="384">
        <v>0</v>
      </c>
      <c r="I283" s="69">
        <v>2200</v>
      </c>
      <c r="J283" s="384">
        <v>338492</v>
      </c>
      <c r="K283" s="70">
        <v>1425</v>
      </c>
      <c r="L283" s="385">
        <v>188678</v>
      </c>
      <c r="M283" s="70">
        <v>1500</v>
      </c>
      <c r="N283" s="385">
        <v>150822</v>
      </c>
      <c r="O283" s="67">
        <v>1575</v>
      </c>
      <c r="P283" s="385">
        <v>158760</v>
      </c>
      <c r="Q283" s="71">
        <v>1725</v>
      </c>
      <c r="R283" s="384">
        <v>166698</v>
      </c>
      <c r="S283" s="67"/>
      <c r="T283" s="384"/>
      <c r="U283" s="67"/>
      <c r="V283" s="384"/>
      <c r="W283" s="67"/>
      <c r="X283" s="384"/>
      <c r="Y283" s="67"/>
      <c r="Z283" s="384"/>
      <c r="AA283" s="67"/>
      <c r="AB283" s="384"/>
      <c r="AC283" s="71">
        <f t="shared" si="4"/>
        <v>12225</v>
      </c>
      <c r="AD283" s="384">
        <f t="shared" si="4"/>
        <v>1003450</v>
      </c>
    </row>
    <row r="284" spans="1:30" ht="15.6" x14ac:dyDescent="0.3">
      <c r="A284" s="387"/>
      <c r="B284" s="231" t="s">
        <v>263</v>
      </c>
      <c r="C284" s="67" t="s">
        <v>412</v>
      </c>
      <c r="D284" s="68" t="s">
        <v>374</v>
      </c>
      <c r="E284" s="69">
        <v>2834</v>
      </c>
      <c r="F284" s="384"/>
      <c r="G284" s="71">
        <v>3000</v>
      </c>
      <c r="H284" s="384"/>
      <c r="I284" s="69">
        <v>3300</v>
      </c>
      <c r="J284" s="384"/>
      <c r="K284" s="70">
        <v>2850</v>
      </c>
      <c r="L284" s="386"/>
      <c r="M284" s="70">
        <v>3000</v>
      </c>
      <c r="N284" s="386"/>
      <c r="O284" s="67">
        <v>3150</v>
      </c>
      <c r="P284" s="386"/>
      <c r="Q284" s="71">
        <v>3450</v>
      </c>
      <c r="R284" s="384"/>
      <c r="S284" s="67"/>
      <c r="T284" s="384"/>
      <c r="U284" s="67"/>
      <c r="V284" s="384"/>
      <c r="W284" s="67"/>
      <c r="X284" s="384"/>
      <c r="Y284" s="67"/>
      <c r="Z284" s="384"/>
      <c r="AA284" s="67"/>
      <c r="AB284" s="384"/>
      <c r="AC284" s="71">
        <f t="shared" si="4"/>
        <v>21584</v>
      </c>
      <c r="AD284" s="384">
        <f t="shared" si="4"/>
        <v>0</v>
      </c>
    </row>
    <row r="285" spans="1:30" ht="15.6" x14ac:dyDescent="0.3">
      <c r="A285" s="387">
        <v>141</v>
      </c>
      <c r="B285" s="230" t="s">
        <v>263</v>
      </c>
      <c r="C285" s="67" t="s">
        <v>286</v>
      </c>
      <c r="D285" s="68" t="s">
        <v>373</v>
      </c>
      <c r="E285" s="69">
        <v>0</v>
      </c>
      <c r="F285" s="384">
        <v>0</v>
      </c>
      <c r="G285" s="69">
        <v>0</v>
      </c>
      <c r="H285" s="384">
        <v>0</v>
      </c>
      <c r="I285" s="69">
        <v>0</v>
      </c>
      <c r="J285" s="384">
        <v>0</v>
      </c>
      <c r="K285" s="69">
        <v>0</v>
      </c>
      <c r="L285" s="384">
        <v>0</v>
      </c>
      <c r="M285" s="69">
        <v>0</v>
      </c>
      <c r="N285" s="384">
        <v>0</v>
      </c>
      <c r="O285" s="67">
        <v>1300</v>
      </c>
      <c r="P285" s="385">
        <v>0</v>
      </c>
      <c r="Q285" s="71">
        <v>2300</v>
      </c>
      <c r="R285" s="384">
        <v>113932</v>
      </c>
      <c r="S285" s="67"/>
      <c r="T285" s="384"/>
      <c r="U285" s="67"/>
      <c r="V285" s="384"/>
      <c r="W285" s="67"/>
      <c r="X285" s="384"/>
      <c r="Y285" s="67"/>
      <c r="Z285" s="384"/>
      <c r="AA285" s="67"/>
      <c r="AB285" s="384"/>
      <c r="AC285" s="71">
        <f t="shared" si="4"/>
        <v>3600</v>
      </c>
      <c r="AD285" s="384">
        <f t="shared" si="4"/>
        <v>113932</v>
      </c>
    </row>
    <row r="286" spans="1:30" ht="15.6" x14ac:dyDescent="0.3">
      <c r="A286" s="387"/>
      <c r="B286" s="231" t="s">
        <v>263</v>
      </c>
      <c r="C286" s="67" t="s">
        <v>286</v>
      </c>
      <c r="D286" s="68" t="s">
        <v>374</v>
      </c>
      <c r="E286" s="69">
        <v>0</v>
      </c>
      <c r="F286" s="384"/>
      <c r="G286" s="69">
        <v>0</v>
      </c>
      <c r="H286" s="384"/>
      <c r="I286" s="69">
        <v>0</v>
      </c>
      <c r="J286" s="384"/>
      <c r="K286" s="69">
        <v>0</v>
      </c>
      <c r="L286" s="384"/>
      <c r="M286" s="69">
        <v>0</v>
      </c>
      <c r="N286" s="384"/>
      <c r="O286" s="67">
        <v>1950</v>
      </c>
      <c r="P286" s="386"/>
      <c r="Q286" s="71">
        <v>3450</v>
      </c>
      <c r="R286" s="384"/>
      <c r="S286" s="67"/>
      <c r="T286" s="384"/>
      <c r="U286" s="67"/>
      <c r="V286" s="384"/>
      <c r="W286" s="67"/>
      <c r="X286" s="384"/>
      <c r="Y286" s="67"/>
      <c r="Z286" s="384"/>
      <c r="AA286" s="67"/>
      <c r="AB286" s="384"/>
      <c r="AC286" s="71">
        <f t="shared" si="4"/>
        <v>5400</v>
      </c>
      <c r="AD286" s="384">
        <f t="shared" si="4"/>
        <v>0</v>
      </c>
    </row>
    <row r="287" spans="1:30" ht="15.6" x14ac:dyDescent="0.3">
      <c r="A287" s="387">
        <v>142</v>
      </c>
      <c r="B287" s="230" t="s">
        <v>292</v>
      </c>
      <c r="C287" s="67" t="s">
        <v>293</v>
      </c>
      <c r="D287" s="68" t="s">
        <v>373</v>
      </c>
      <c r="E287" s="69">
        <v>2521</v>
      </c>
      <c r="F287" s="384">
        <v>0</v>
      </c>
      <c r="G287" s="71">
        <v>2724</v>
      </c>
      <c r="H287" s="384">
        <f>66375+70887.6</f>
        <v>137262.6</v>
      </c>
      <c r="I287" s="69">
        <v>2750</v>
      </c>
      <c r="J287" s="384">
        <v>118146</v>
      </c>
      <c r="K287" s="70">
        <v>2375</v>
      </c>
      <c r="L287" s="385">
        <v>236249.99999999997</v>
      </c>
      <c r="M287" s="70">
        <v>2500</v>
      </c>
      <c r="N287" s="385">
        <v>166250</v>
      </c>
      <c r="O287" s="67">
        <v>2625</v>
      </c>
      <c r="P287" s="385">
        <v>182562.5</v>
      </c>
      <c r="Q287" s="71">
        <v>2875</v>
      </c>
      <c r="R287" s="384">
        <v>198187.5</v>
      </c>
      <c r="S287" s="67"/>
      <c r="T287" s="384"/>
      <c r="U287" s="67"/>
      <c r="V287" s="384"/>
      <c r="W287" s="67"/>
      <c r="X287" s="384"/>
      <c r="Y287" s="67"/>
      <c r="Z287" s="384"/>
      <c r="AA287" s="67"/>
      <c r="AB287" s="384"/>
      <c r="AC287" s="71">
        <f t="shared" si="4"/>
        <v>18370</v>
      </c>
      <c r="AD287" s="384">
        <f t="shared" si="4"/>
        <v>1038658.6</v>
      </c>
    </row>
    <row r="288" spans="1:30" ht="15.6" x14ac:dyDescent="0.3">
      <c r="A288" s="387"/>
      <c r="B288" s="231" t="s">
        <v>292</v>
      </c>
      <c r="C288" s="67" t="s">
        <v>293</v>
      </c>
      <c r="D288" s="68" t="s">
        <v>374</v>
      </c>
      <c r="E288" s="69">
        <v>3420</v>
      </c>
      <c r="F288" s="384"/>
      <c r="G288" s="71">
        <v>3700</v>
      </c>
      <c r="H288" s="384"/>
      <c r="I288" s="69">
        <v>4400</v>
      </c>
      <c r="J288" s="384"/>
      <c r="K288" s="70">
        <v>3800</v>
      </c>
      <c r="L288" s="386"/>
      <c r="M288" s="70">
        <v>4275</v>
      </c>
      <c r="N288" s="386"/>
      <c r="O288" s="67">
        <v>4725</v>
      </c>
      <c r="P288" s="386"/>
      <c r="Q288" s="71">
        <v>5175</v>
      </c>
      <c r="R288" s="384"/>
      <c r="S288" s="67"/>
      <c r="T288" s="384"/>
      <c r="U288" s="67"/>
      <c r="V288" s="384"/>
      <c r="W288" s="67"/>
      <c r="X288" s="384"/>
      <c r="Y288" s="67"/>
      <c r="Z288" s="384"/>
      <c r="AA288" s="67"/>
      <c r="AB288" s="384"/>
      <c r="AC288" s="71">
        <f t="shared" si="4"/>
        <v>29495</v>
      </c>
      <c r="AD288" s="384">
        <f t="shared" si="4"/>
        <v>0</v>
      </c>
    </row>
    <row r="289" spans="1:30" ht="15.6" x14ac:dyDescent="0.3">
      <c r="A289" s="387">
        <v>143</v>
      </c>
      <c r="B289" s="230" t="s">
        <v>292</v>
      </c>
      <c r="C289" s="67" t="s">
        <v>294</v>
      </c>
      <c r="D289" s="68" t="s">
        <v>373</v>
      </c>
      <c r="E289" s="69">
        <v>1350</v>
      </c>
      <c r="F289" s="384">
        <v>0</v>
      </c>
      <c r="G289" s="71">
        <v>1500</v>
      </c>
      <c r="H289" s="384">
        <v>86493.75</v>
      </c>
      <c r="I289" s="69">
        <v>1650</v>
      </c>
      <c r="J289" s="384">
        <v>83193.75</v>
      </c>
      <c r="K289" s="70">
        <v>1425</v>
      </c>
      <c r="L289" s="385">
        <v>157950</v>
      </c>
      <c r="M289" s="70">
        <v>1500</v>
      </c>
      <c r="N289" s="385">
        <v>115425</v>
      </c>
      <c r="O289" s="67">
        <v>1575</v>
      </c>
      <c r="P289" s="385">
        <v>121500</v>
      </c>
      <c r="Q289" s="71">
        <v>1725</v>
      </c>
      <c r="R289" s="384">
        <v>127575</v>
      </c>
      <c r="S289" s="67"/>
      <c r="T289" s="384"/>
      <c r="U289" s="67"/>
      <c r="V289" s="384"/>
      <c r="W289" s="67"/>
      <c r="X289" s="384"/>
      <c r="Y289" s="67"/>
      <c r="Z289" s="384"/>
      <c r="AA289" s="67"/>
      <c r="AB289" s="384"/>
      <c r="AC289" s="71">
        <f t="shared" si="4"/>
        <v>10725</v>
      </c>
      <c r="AD289" s="384">
        <f t="shared" si="4"/>
        <v>692137.5</v>
      </c>
    </row>
    <row r="290" spans="1:30" ht="15.6" x14ac:dyDescent="0.3">
      <c r="A290" s="387"/>
      <c r="B290" s="231" t="s">
        <v>292</v>
      </c>
      <c r="C290" s="67" t="s">
        <v>294</v>
      </c>
      <c r="D290" s="68" t="s">
        <v>374</v>
      </c>
      <c r="E290" s="69">
        <v>2850</v>
      </c>
      <c r="F290" s="384"/>
      <c r="G290" s="71">
        <v>3000</v>
      </c>
      <c r="H290" s="384"/>
      <c r="I290" s="69">
        <v>3300</v>
      </c>
      <c r="J290" s="384"/>
      <c r="K290" s="70">
        <v>2850</v>
      </c>
      <c r="L290" s="386"/>
      <c r="M290" s="70">
        <v>3000</v>
      </c>
      <c r="N290" s="386"/>
      <c r="O290" s="67">
        <v>3150</v>
      </c>
      <c r="P290" s="386"/>
      <c r="Q290" s="71">
        <v>3450</v>
      </c>
      <c r="R290" s="384"/>
      <c r="S290" s="67"/>
      <c r="T290" s="384"/>
      <c r="U290" s="67"/>
      <c r="V290" s="384"/>
      <c r="W290" s="67"/>
      <c r="X290" s="384"/>
      <c r="Y290" s="67"/>
      <c r="Z290" s="384"/>
      <c r="AA290" s="67"/>
      <c r="AB290" s="384"/>
      <c r="AC290" s="71">
        <f t="shared" si="4"/>
        <v>21600</v>
      </c>
      <c r="AD290" s="384">
        <f t="shared" si="4"/>
        <v>0</v>
      </c>
    </row>
    <row r="291" spans="1:30" ht="15.6" x14ac:dyDescent="0.3">
      <c r="A291" s="387">
        <v>144</v>
      </c>
      <c r="B291" s="230" t="s">
        <v>292</v>
      </c>
      <c r="C291" s="67" t="s">
        <v>295</v>
      </c>
      <c r="D291" s="68" t="s">
        <v>373</v>
      </c>
      <c r="E291" s="69">
        <v>2075</v>
      </c>
      <c r="F291" s="384">
        <v>0</v>
      </c>
      <c r="G291" s="71">
        <v>2000</v>
      </c>
      <c r="H291" s="384">
        <v>74962.5</v>
      </c>
      <c r="I291" s="69">
        <v>2200</v>
      </c>
      <c r="J291" s="384">
        <v>146206.25</v>
      </c>
      <c r="K291" s="70">
        <v>1900</v>
      </c>
      <c r="L291" s="385">
        <v>218700</v>
      </c>
      <c r="M291" s="70">
        <v>2000</v>
      </c>
      <c r="N291" s="385">
        <v>153900</v>
      </c>
      <c r="O291" s="67">
        <v>2100</v>
      </c>
      <c r="P291" s="385">
        <v>162000</v>
      </c>
      <c r="Q291" s="71">
        <v>2300</v>
      </c>
      <c r="R291" s="384">
        <v>170100</v>
      </c>
      <c r="S291" s="67"/>
      <c r="T291" s="384"/>
      <c r="U291" s="67"/>
      <c r="V291" s="384"/>
      <c r="W291" s="67"/>
      <c r="X291" s="384"/>
      <c r="Y291" s="67"/>
      <c r="Z291" s="384"/>
      <c r="AA291" s="67"/>
      <c r="AB291" s="384"/>
      <c r="AC291" s="71">
        <f t="shared" si="4"/>
        <v>14575</v>
      </c>
      <c r="AD291" s="384">
        <f t="shared" si="4"/>
        <v>925868.75</v>
      </c>
    </row>
    <row r="292" spans="1:30" ht="15.6" x14ac:dyDescent="0.3">
      <c r="A292" s="387"/>
      <c r="B292" s="231" t="s">
        <v>292</v>
      </c>
      <c r="C292" s="67" t="s">
        <v>295</v>
      </c>
      <c r="D292" s="68" t="s">
        <v>374</v>
      </c>
      <c r="E292" s="69">
        <v>3600</v>
      </c>
      <c r="F292" s="384"/>
      <c r="G292" s="71">
        <v>4000</v>
      </c>
      <c r="H292" s="384"/>
      <c r="I292" s="69">
        <v>4400</v>
      </c>
      <c r="J292" s="384"/>
      <c r="K292" s="70">
        <v>3800</v>
      </c>
      <c r="L292" s="386"/>
      <c r="M292" s="70">
        <v>4000</v>
      </c>
      <c r="N292" s="386"/>
      <c r="O292" s="67">
        <v>4200</v>
      </c>
      <c r="P292" s="386"/>
      <c r="Q292" s="71">
        <v>4600</v>
      </c>
      <c r="R292" s="384"/>
      <c r="S292" s="67"/>
      <c r="T292" s="384"/>
      <c r="U292" s="67"/>
      <c r="V292" s="384"/>
      <c r="W292" s="67"/>
      <c r="X292" s="384"/>
      <c r="Y292" s="67"/>
      <c r="Z292" s="384"/>
      <c r="AA292" s="67"/>
      <c r="AB292" s="384"/>
      <c r="AC292" s="71">
        <f t="shared" si="4"/>
        <v>28600</v>
      </c>
      <c r="AD292" s="384">
        <f t="shared" si="4"/>
        <v>0</v>
      </c>
    </row>
    <row r="293" spans="1:30" ht="15.6" x14ac:dyDescent="0.3">
      <c r="A293" s="387">
        <v>145</v>
      </c>
      <c r="B293" s="230" t="s">
        <v>292</v>
      </c>
      <c r="C293" s="67" t="s">
        <v>296</v>
      </c>
      <c r="D293" s="68" t="s">
        <v>373</v>
      </c>
      <c r="E293" s="69">
        <v>2125</v>
      </c>
      <c r="F293" s="384">
        <v>0</v>
      </c>
      <c r="G293" s="71">
        <v>2375</v>
      </c>
      <c r="H293" s="384">
        <v>74962.5</v>
      </c>
      <c r="I293" s="69">
        <v>2200</v>
      </c>
      <c r="J293" s="384">
        <v>155237.5</v>
      </c>
      <c r="K293" s="70">
        <v>1900</v>
      </c>
      <c r="L293" s="385">
        <v>218700</v>
      </c>
      <c r="M293" s="70">
        <v>2000</v>
      </c>
      <c r="N293" s="385">
        <v>153900</v>
      </c>
      <c r="O293" s="67">
        <v>2500</v>
      </c>
      <c r="P293" s="385">
        <v>162000</v>
      </c>
      <c r="Q293" s="71">
        <v>2300</v>
      </c>
      <c r="R293" s="384">
        <v>210650</v>
      </c>
      <c r="S293" s="67"/>
      <c r="T293" s="384"/>
      <c r="U293" s="67"/>
      <c r="V293" s="384"/>
      <c r="W293" s="67"/>
      <c r="X293" s="384"/>
      <c r="Y293" s="67"/>
      <c r="Z293" s="384"/>
      <c r="AA293" s="67"/>
      <c r="AB293" s="384"/>
      <c r="AC293" s="71">
        <f t="shared" si="4"/>
        <v>15400</v>
      </c>
      <c r="AD293" s="384">
        <f t="shared" si="4"/>
        <v>975450</v>
      </c>
    </row>
    <row r="294" spans="1:30" ht="15.6" x14ac:dyDescent="0.3">
      <c r="A294" s="387"/>
      <c r="B294" s="231" t="s">
        <v>292</v>
      </c>
      <c r="C294" s="67" t="s">
        <v>296</v>
      </c>
      <c r="D294" s="68" t="s">
        <v>374</v>
      </c>
      <c r="E294" s="69">
        <v>3600</v>
      </c>
      <c r="F294" s="384"/>
      <c r="G294" s="71">
        <v>4000</v>
      </c>
      <c r="H294" s="384"/>
      <c r="I294" s="69">
        <v>4400</v>
      </c>
      <c r="J294" s="384"/>
      <c r="K294" s="70">
        <v>3800</v>
      </c>
      <c r="L294" s="386"/>
      <c r="M294" s="70">
        <v>4000</v>
      </c>
      <c r="N294" s="386"/>
      <c r="O294" s="67">
        <v>4800</v>
      </c>
      <c r="P294" s="386"/>
      <c r="Q294" s="71">
        <v>4600</v>
      </c>
      <c r="R294" s="384"/>
      <c r="S294" s="67"/>
      <c r="T294" s="384"/>
      <c r="U294" s="67"/>
      <c r="V294" s="384"/>
      <c r="W294" s="67"/>
      <c r="X294" s="384"/>
      <c r="Y294" s="67"/>
      <c r="Z294" s="384"/>
      <c r="AA294" s="67"/>
      <c r="AB294" s="384"/>
      <c r="AC294" s="71">
        <f t="shared" si="4"/>
        <v>29200</v>
      </c>
      <c r="AD294" s="384">
        <f t="shared" si="4"/>
        <v>0</v>
      </c>
    </row>
    <row r="295" spans="1:30" ht="15.6" x14ac:dyDescent="0.3">
      <c r="A295" s="387">
        <v>146</v>
      </c>
      <c r="B295" s="230" t="s">
        <v>292</v>
      </c>
      <c r="C295" s="67" t="s">
        <v>298</v>
      </c>
      <c r="D295" s="68" t="s">
        <v>373</v>
      </c>
      <c r="E295" s="69">
        <v>2700</v>
      </c>
      <c r="F295" s="384">
        <v>0</v>
      </c>
      <c r="G295" s="69">
        <v>2950</v>
      </c>
      <c r="H295" s="384">
        <v>87862.5</v>
      </c>
      <c r="I295" s="69">
        <v>2200</v>
      </c>
      <c r="J295" s="384">
        <v>166925</v>
      </c>
      <c r="K295" s="69">
        <v>1900</v>
      </c>
      <c r="L295" s="385">
        <v>230249</v>
      </c>
      <c r="M295" s="70">
        <v>2000</v>
      </c>
      <c r="N295" s="385">
        <v>183141</v>
      </c>
      <c r="O295" s="67">
        <v>2100</v>
      </c>
      <c r="P295" s="385">
        <v>192780</v>
      </c>
      <c r="Q295" s="71">
        <v>2200</v>
      </c>
      <c r="R295" s="384">
        <v>202419</v>
      </c>
      <c r="S295" s="67"/>
      <c r="T295" s="384"/>
      <c r="U295" s="67"/>
      <c r="V295" s="384"/>
      <c r="W295" s="67"/>
      <c r="X295" s="384"/>
      <c r="Y295" s="67"/>
      <c r="Z295" s="384"/>
      <c r="AA295" s="67"/>
      <c r="AB295" s="384"/>
      <c r="AC295" s="71">
        <f t="shared" si="4"/>
        <v>16050</v>
      </c>
      <c r="AD295" s="384">
        <f t="shared" si="4"/>
        <v>1063376.5</v>
      </c>
    </row>
    <row r="296" spans="1:30" ht="15.6" x14ac:dyDescent="0.3">
      <c r="A296" s="387"/>
      <c r="B296" s="231" t="s">
        <v>292</v>
      </c>
      <c r="C296" s="67" t="s">
        <v>298</v>
      </c>
      <c r="D296" s="68" t="s">
        <v>374</v>
      </c>
      <c r="E296" s="69">
        <v>3800</v>
      </c>
      <c r="F296" s="384"/>
      <c r="G296" s="69">
        <v>4000</v>
      </c>
      <c r="H296" s="384"/>
      <c r="I296" s="69">
        <v>4400</v>
      </c>
      <c r="J296" s="384"/>
      <c r="K296" s="69">
        <v>3800</v>
      </c>
      <c r="L296" s="386"/>
      <c r="M296" s="70">
        <v>4000</v>
      </c>
      <c r="N296" s="386"/>
      <c r="O296" s="67">
        <v>4200</v>
      </c>
      <c r="P296" s="386"/>
      <c r="Q296" s="71">
        <v>4499</v>
      </c>
      <c r="R296" s="384"/>
      <c r="S296" s="67"/>
      <c r="T296" s="384"/>
      <c r="U296" s="67"/>
      <c r="V296" s="384"/>
      <c r="W296" s="67"/>
      <c r="X296" s="384"/>
      <c r="Y296" s="67"/>
      <c r="Z296" s="384"/>
      <c r="AA296" s="67"/>
      <c r="AB296" s="384"/>
      <c r="AC296" s="71">
        <f t="shared" si="4"/>
        <v>28699</v>
      </c>
      <c r="AD296" s="384">
        <f t="shared" si="4"/>
        <v>0</v>
      </c>
    </row>
    <row r="297" spans="1:30" ht="15.6" x14ac:dyDescent="0.3">
      <c r="A297" s="387">
        <v>147</v>
      </c>
      <c r="B297" s="230" t="s">
        <v>292</v>
      </c>
      <c r="C297" s="67" t="s">
        <v>300</v>
      </c>
      <c r="D297" s="68" t="s">
        <v>373</v>
      </c>
      <c r="E297" s="69">
        <v>2700</v>
      </c>
      <c r="F297" s="384">
        <v>0</v>
      </c>
      <c r="G297" s="71">
        <v>3000</v>
      </c>
      <c r="H297" s="384">
        <v>87862.5</v>
      </c>
      <c r="I297" s="69">
        <v>3300</v>
      </c>
      <c r="J297" s="384">
        <v>166925</v>
      </c>
      <c r="K297" s="70">
        <v>2850</v>
      </c>
      <c r="L297" s="385">
        <v>253800</v>
      </c>
      <c r="M297" s="70">
        <v>3000</v>
      </c>
      <c r="N297" s="385">
        <v>178600</v>
      </c>
      <c r="O297" s="67">
        <v>3150</v>
      </c>
      <c r="P297" s="385">
        <v>201750</v>
      </c>
      <c r="Q297" s="71">
        <v>3450</v>
      </c>
      <c r="R297" s="384">
        <v>211837.5</v>
      </c>
      <c r="S297" s="67"/>
      <c r="T297" s="384"/>
      <c r="U297" s="67"/>
      <c r="V297" s="384"/>
      <c r="W297" s="67"/>
      <c r="X297" s="384"/>
      <c r="Y297" s="67"/>
      <c r="Z297" s="384"/>
      <c r="AA297" s="67"/>
      <c r="AB297" s="384"/>
      <c r="AC297" s="71">
        <f t="shared" si="4"/>
        <v>21450</v>
      </c>
      <c r="AD297" s="384">
        <f t="shared" si="4"/>
        <v>1100775</v>
      </c>
    </row>
    <row r="298" spans="1:30" ht="15.6" x14ac:dyDescent="0.3">
      <c r="A298" s="387"/>
      <c r="B298" s="231" t="s">
        <v>292</v>
      </c>
      <c r="C298" s="67" t="s">
        <v>300</v>
      </c>
      <c r="D298" s="68" t="s">
        <v>374</v>
      </c>
      <c r="E298" s="69">
        <v>3800</v>
      </c>
      <c r="F298" s="384"/>
      <c r="G298" s="71">
        <v>4000</v>
      </c>
      <c r="H298" s="384"/>
      <c r="I298" s="69">
        <v>4400</v>
      </c>
      <c r="J298" s="384"/>
      <c r="K298" s="70">
        <v>3800</v>
      </c>
      <c r="L298" s="386"/>
      <c r="M298" s="70">
        <v>4500</v>
      </c>
      <c r="N298" s="386"/>
      <c r="O298" s="67">
        <v>4725</v>
      </c>
      <c r="P298" s="386"/>
      <c r="Q298" s="71">
        <v>5175</v>
      </c>
      <c r="R298" s="384"/>
      <c r="S298" s="67"/>
      <c r="T298" s="384"/>
      <c r="U298" s="67"/>
      <c r="V298" s="384"/>
      <c r="W298" s="67"/>
      <c r="X298" s="384"/>
      <c r="Y298" s="67"/>
      <c r="Z298" s="384"/>
      <c r="AA298" s="67"/>
      <c r="AB298" s="384"/>
      <c r="AC298" s="71">
        <f t="shared" si="4"/>
        <v>30400</v>
      </c>
      <c r="AD298" s="384">
        <f t="shared" si="4"/>
        <v>0</v>
      </c>
    </row>
    <row r="299" spans="1:30" ht="15.6" x14ac:dyDescent="0.3">
      <c r="A299" s="387">
        <v>148</v>
      </c>
      <c r="B299" s="230" t="s">
        <v>292</v>
      </c>
      <c r="C299" s="67" t="s">
        <v>302</v>
      </c>
      <c r="D299" s="68" t="s">
        <v>373</v>
      </c>
      <c r="E299" s="69">
        <v>0</v>
      </c>
      <c r="F299" s="384">
        <v>0</v>
      </c>
      <c r="G299" s="69">
        <v>0</v>
      </c>
      <c r="H299" s="384">
        <v>0</v>
      </c>
      <c r="I299" s="69">
        <v>2125</v>
      </c>
      <c r="J299" s="384">
        <v>0</v>
      </c>
      <c r="K299" s="69">
        <v>2375</v>
      </c>
      <c r="L299" s="385">
        <v>162562.5</v>
      </c>
      <c r="M299" s="70">
        <v>2500</v>
      </c>
      <c r="N299" s="385">
        <v>181687.5</v>
      </c>
      <c r="O299" s="67">
        <v>2625</v>
      </c>
      <c r="P299" s="385">
        <v>191250</v>
      </c>
      <c r="Q299" s="71">
        <v>2875</v>
      </c>
      <c r="R299" s="384">
        <v>200812.5</v>
      </c>
      <c r="S299" s="67"/>
      <c r="T299" s="384"/>
      <c r="U299" s="67"/>
      <c r="V299" s="384"/>
      <c r="W299" s="67"/>
      <c r="X299" s="384"/>
      <c r="Y299" s="67"/>
      <c r="Z299" s="384"/>
      <c r="AA299" s="67"/>
      <c r="AB299" s="384"/>
      <c r="AC299" s="71">
        <f t="shared" si="4"/>
        <v>12500</v>
      </c>
      <c r="AD299" s="384">
        <f t="shared" si="4"/>
        <v>736312.5</v>
      </c>
    </row>
    <row r="300" spans="1:30" ht="15.6" x14ac:dyDescent="0.3">
      <c r="A300" s="387"/>
      <c r="B300" s="231" t="s">
        <v>292</v>
      </c>
      <c r="C300" s="67" t="s">
        <v>302</v>
      </c>
      <c r="D300" s="68" t="s">
        <v>374</v>
      </c>
      <c r="E300" s="69">
        <v>0</v>
      </c>
      <c r="F300" s="384"/>
      <c r="G300" s="69">
        <v>0</v>
      </c>
      <c r="H300" s="384"/>
      <c r="I300" s="69">
        <v>2975</v>
      </c>
      <c r="J300" s="384"/>
      <c r="K300" s="69">
        <v>3325</v>
      </c>
      <c r="L300" s="386"/>
      <c r="M300" s="70">
        <v>3500</v>
      </c>
      <c r="N300" s="386"/>
      <c r="O300" s="67">
        <v>3675</v>
      </c>
      <c r="P300" s="386"/>
      <c r="Q300" s="71">
        <v>4001</v>
      </c>
      <c r="R300" s="384"/>
      <c r="S300" s="67"/>
      <c r="T300" s="384"/>
      <c r="U300" s="67"/>
      <c r="V300" s="384"/>
      <c r="W300" s="67"/>
      <c r="X300" s="384"/>
      <c r="Y300" s="67"/>
      <c r="Z300" s="384"/>
      <c r="AA300" s="67"/>
      <c r="AB300" s="384"/>
      <c r="AC300" s="71">
        <f t="shared" si="4"/>
        <v>17476</v>
      </c>
      <c r="AD300" s="384">
        <f t="shared" si="4"/>
        <v>0</v>
      </c>
    </row>
    <row r="301" spans="1:30" ht="15.6" x14ac:dyDescent="0.3">
      <c r="A301" s="387">
        <v>149</v>
      </c>
      <c r="B301" s="230" t="s">
        <v>292</v>
      </c>
      <c r="C301" s="67" t="s">
        <v>303</v>
      </c>
      <c r="D301" s="68" t="s">
        <v>373</v>
      </c>
      <c r="E301" s="69">
        <v>2880</v>
      </c>
      <c r="F301" s="384">
        <v>0</v>
      </c>
      <c r="G301" s="69">
        <v>3200</v>
      </c>
      <c r="H301" s="384">
        <f>87365.4+81999.9</f>
        <v>169365.3</v>
      </c>
      <c r="I301" s="69">
        <v>3520</v>
      </c>
      <c r="J301" s="384">
        <v>136666.5</v>
      </c>
      <c r="K301" s="69">
        <v>3040</v>
      </c>
      <c r="L301" s="385">
        <v>268245.00000000006</v>
      </c>
      <c r="M301" s="70">
        <v>3200</v>
      </c>
      <c r="N301" s="385">
        <v>188765</v>
      </c>
      <c r="O301" s="67">
        <v>3360</v>
      </c>
      <c r="P301" s="385">
        <v>198700</v>
      </c>
      <c r="Q301" s="71">
        <v>3680</v>
      </c>
      <c r="R301" s="384">
        <v>208635</v>
      </c>
      <c r="S301" s="67"/>
      <c r="T301" s="384"/>
      <c r="U301" s="67"/>
      <c r="V301" s="384"/>
      <c r="W301" s="67"/>
      <c r="X301" s="384"/>
      <c r="Y301" s="67"/>
      <c r="Z301" s="384"/>
      <c r="AA301" s="67"/>
      <c r="AB301" s="384"/>
      <c r="AC301" s="71">
        <f t="shared" si="4"/>
        <v>22880</v>
      </c>
      <c r="AD301" s="384">
        <f t="shared" si="4"/>
        <v>1170376.8</v>
      </c>
    </row>
    <row r="302" spans="1:30" ht="15.6" x14ac:dyDescent="0.3">
      <c r="A302" s="387"/>
      <c r="B302" s="231" t="s">
        <v>292</v>
      </c>
      <c r="C302" s="67" t="s">
        <v>303</v>
      </c>
      <c r="D302" s="68" t="s">
        <v>374</v>
      </c>
      <c r="E302" s="69">
        <v>3990</v>
      </c>
      <c r="F302" s="384"/>
      <c r="G302" s="69">
        <v>4200</v>
      </c>
      <c r="H302" s="384"/>
      <c r="I302" s="69">
        <v>4620</v>
      </c>
      <c r="J302" s="384"/>
      <c r="K302" s="69">
        <v>3990</v>
      </c>
      <c r="L302" s="386"/>
      <c r="M302" s="70">
        <v>4200</v>
      </c>
      <c r="N302" s="386"/>
      <c r="O302" s="67">
        <v>4410</v>
      </c>
      <c r="P302" s="386"/>
      <c r="Q302" s="71">
        <v>4830</v>
      </c>
      <c r="R302" s="384"/>
      <c r="S302" s="67"/>
      <c r="T302" s="384"/>
      <c r="U302" s="67"/>
      <c r="V302" s="384"/>
      <c r="W302" s="67"/>
      <c r="X302" s="384"/>
      <c r="Y302" s="67"/>
      <c r="Z302" s="384"/>
      <c r="AA302" s="67"/>
      <c r="AB302" s="384"/>
      <c r="AC302" s="71">
        <f t="shared" si="4"/>
        <v>30240</v>
      </c>
      <c r="AD302" s="384">
        <f t="shared" si="4"/>
        <v>0</v>
      </c>
    </row>
    <row r="303" spans="1:30" ht="15.6" x14ac:dyDescent="0.3">
      <c r="A303" s="387">
        <v>150</v>
      </c>
      <c r="B303" s="230" t="s">
        <v>292</v>
      </c>
      <c r="C303" s="67" t="s">
        <v>305</v>
      </c>
      <c r="D303" s="68" t="s">
        <v>373</v>
      </c>
      <c r="E303" s="69">
        <v>0</v>
      </c>
      <c r="F303" s="384">
        <v>0</v>
      </c>
      <c r="G303" s="69">
        <v>0</v>
      </c>
      <c r="H303" s="384">
        <v>0</v>
      </c>
      <c r="I303" s="69">
        <v>0</v>
      </c>
      <c r="J303" s="384">
        <v>0</v>
      </c>
      <c r="K303" s="69">
        <v>0</v>
      </c>
      <c r="L303" s="384">
        <v>0</v>
      </c>
      <c r="M303" s="69">
        <v>0</v>
      </c>
      <c r="N303" s="384">
        <v>0</v>
      </c>
      <c r="O303" s="67">
        <v>1500</v>
      </c>
      <c r="P303" s="385">
        <v>0</v>
      </c>
      <c r="Q303" s="71">
        <v>2300</v>
      </c>
      <c r="R303" s="384">
        <v>119722.5</v>
      </c>
      <c r="S303" s="67"/>
      <c r="T303" s="384"/>
      <c r="U303" s="67"/>
      <c r="V303" s="384"/>
      <c r="W303" s="67"/>
      <c r="X303" s="384"/>
      <c r="Y303" s="67"/>
      <c r="Z303" s="384"/>
      <c r="AA303" s="67"/>
      <c r="AB303" s="384"/>
      <c r="AC303" s="71">
        <f t="shared" si="4"/>
        <v>3800</v>
      </c>
      <c r="AD303" s="384">
        <f t="shared" si="4"/>
        <v>119722.5</v>
      </c>
    </row>
    <row r="304" spans="1:30" ht="15.6" x14ac:dyDescent="0.3">
      <c r="A304" s="387"/>
      <c r="B304" s="231" t="s">
        <v>292</v>
      </c>
      <c r="C304" s="67" t="s">
        <v>305</v>
      </c>
      <c r="D304" s="68" t="s">
        <v>374</v>
      </c>
      <c r="E304" s="69">
        <v>0</v>
      </c>
      <c r="F304" s="384"/>
      <c r="G304" s="69">
        <v>0</v>
      </c>
      <c r="H304" s="384"/>
      <c r="I304" s="69">
        <v>0</v>
      </c>
      <c r="J304" s="384"/>
      <c r="K304" s="69">
        <v>0</v>
      </c>
      <c r="L304" s="384"/>
      <c r="M304" s="69">
        <v>0</v>
      </c>
      <c r="N304" s="384"/>
      <c r="O304" s="67">
        <v>2250</v>
      </c>
      <c r="P304" s="386"/>
      <c r="Q304" s="71">
        <v>3440</v>
      </c>
      <c r="R304" s="384"/>
      <c r="S304" s="67"/>
      <c r="T304" s="384"/>
      <c r="U304" s="67"/>
      <c r="V304" s="384"/>
      <c r="W304" s="67"/>
      <c r="X304" s="384"/>
      <c r="Y304" s="67"/>
      <c r="Z304" s="384"/>
      <c r="AA304" s="67"/>
      <c r="AB304" s="384"/>
      <c r="AC304" s="71">
        <f t="shared" si="4"/>
        <v>5690</v>
      </c>
      <c r="AD304" s="384">
        <f t="shared" si="4"/>
        <v>0</v>
      </c>
    </row>
    <row r="305" spans="1:30" ht="15.6" x14ac:dyDescent="0.3">
      <c r="A305" s="387">
        <v>151</v>
      </c>
      <c r="B305" s="230" t="s">
        <v>292</v>
      </c>
      <c r="C305" s="67" t="s">
        <v>306</v>
      </c>
      <c r="D305" s="68" t="s">
        <v>373</v>
      </c>
      <c r="E305" s="69">
        <v>0</v>
      </c>
      <c r="F305" s="384">
        <v>0</v>
      </c>
      <c r="G305" s="69">
        <v>0</v>
      </c>
      <c r="H305" s="384">
        <v>0</v>
      </c>
      <c r="I305" s="69">
        <v>1700</v>
      </c>
      <c r="J305" s="384">
        <v>0</v>
      </c>
      <c r="K305" s="69">
        <v>1900</v>
      </c>
      <c r="L305" s="385">
        <v>132676.5</v>
      </c>
      <c r="M305" s="70">
        <v>2000</v>
      </c>
      <c r="N305" s="385">
        <v>151648.5</v>
      </c>
      <c r="O305" s="67">
        <v>2100</v>
      </c>
      <c r="P305" s="385">
        <v>159630</v>
      </c>
      <c r="Q305" s="71">
        <v>2300</v>
      </c>
      <c r="R305" s="384">
        <v>185844</v>
      </c>
      <c r="S305" s="67"/>
      <c r="T305" s="384"/>
      <c r="U305" s="67"/>
      <c r="V305" s="384"/>
      <c r="W305" s="67"/>
      <c r="X305" s="384"/>
      <c r="Y305" s="67"/>
      <c r="Z305" s="384"/>
      <c r="AA305" s="67"/>
      <c r="AB305" s="384"/>
      <c r="AC305" s="71">
        <f t="shared" si="4"/>
        <v>10000</v>
      </c>
      <c r="AD305" s="384">
        <f t="shared" si="4"/>
        <v>629799</v>
      </c>
    </row>
    <row r="306" spans="1:30" ht="15.6" x14ac:dyDescent="0.3">
      <c r="A306" s="387"/>
      <c r="B306" s="231" t="s">
        <v>292</v>
      </c>
      <c r="C306" s="67" t="s">
        <v>306</v>
      </c>
      <c r="D306" s="68" t="s">
        <v>374</v>
      </c>
      <c r="E306" s="69">
        <v>0</v>
      </c>
      <c r="F306" s="384"/>
      <c r="G306" s="69">
        <v>0</v>
      </c>
      <c r="H306" s="384"/>
      <c r="I306" s="69">
        <v>2550</v>
      </c>
      <c r="J306" s="384"/>
      <c r="K306" s="69">
        <v>2850</v>
      </c>
      <c r="L306" s="386"/>
      <c r="M306" s="70">
        <v>3000</v>
      </c>
      <c r="N306" s="386"/>
      <c r="O306" s="67">
        <v>3700</v>
      </c>
      <c r="P306" s="386"/>
      <c r="Q306" s="71">
        <v>4570</v>
      </c>
      <c r="R306" s="384"/>
      <c r="S306" s="67"/>
      <c r="T306" s="384"/>
      <c r="U306" s="67"/>
      <c r="V306" s="384"/>
      <c r="W306" s="67"/>
      <c r="X306" s="384"/>
      <c r="Y306" s="67"/>
      <c r="Z306" s="384"/>
      <c r="AA306" s="67"/>
      <c r="AB306" s="384"/>
      <c r="AC306" s="71">
        <f t="shared" si="4"/>
        <v>16670</v>
      </c>
      <c r="AD306" s="384">
        <f t="shared" si="4"/>
        <v>0</v>
      </c>
    </row>
    <row r="307" spans="1:30" ht="15.6" x14ac:dyDescent="0.3">
      <c r="A307" s="391">
        <v>152</v>
      </c>
      <c r="B307" s="232" t="s">
        <v>307</v>
      </c>
      <c r="C307" s="73" t="s">
        <v>307</v>
      </c>
      <c r="D307" s="74" t="s">
        <v>373</v>
      </c>
      <c r="E307" s="75">
        <v>0</v>
      </c>
      <c r="F307" s="389">
        <v>0</v>
      </c>
      <c r="G307" s="233">
        <v>0</v>
      </c>
      <c r="H307" s="389">
        <v>0</v>
      </c>
      <c r="I307" s="233">
        <v>0</v>
      </c>
      <c r="J307" s="389">
        <v>0</v>
      </c>
      <c r="K307" s="233">
        <v>0</v>
      </c>
      <c r="L307" s="389">
        <v>0</v>
      </c>
      <c r="M307" s="233">
        <v>0</v>
      </c>
      <c r="N307" s="389">
        <v>0</v>
      </c>
      <c r="O307" s="73">
        <v>0</v>
      </c>
      <c r="P307" s="389">
        <v>0</v>
      </c>
      <c r="Q307" s="76">
        <v>2382</v>
      </c>
      <c r="R307" s="388">
        <v>0</v>
      </c>
      <c r="S307" s="76"/>
      <c r="T307" s="388"/>
      <c r="U307" s="76"/>
      <c r="V307" s="388"/>
      <c r="W307" s="73"/>
      <c r="X307" s="388"/>
      <c r="Y307" s="73"/>
      <c r="Z307" s="388"/>
      <c r="AA307" s="73"/>
      <c r="AB307" s="388"/>
      <c r="AC307" s="76">
        <f t="shared" si="4"/>
        <v>2382</v>
      </c>
      <c r="AD307" s="388">
        <f t="shared" si="4"/>
        <v>0</v>
      </c>
    </row>
    <row r="308" spans="1:30" ht="15.6" x14ac:dyDescent="0.3">
      <c r="A308" s="391"/>
      <c r="B308" s="234" t="s">
        <v>307</v>
      </c>
      <c r="C308" s="73" t="s">
        <v>307</v>
      </c>
      <c r="D308" s="74" t="s">
        <v>374</v>
      </c>
      <c r="E308" s="75">
        <v>0</v>
      </c>
      <c r="F308" s="390"/>
      <c r="G308" s="233">
        <v>0</v>
      </c>
      <c r="H308" s="390"/>
      <c r="I308" s="233">
        <v>0</v>
      </c>
      <c r="J308" s="390"/>
      <c r="K308" s="233">
        <v>0</v>
      </c>
      <c r="L308" s="390"/>
      <c r="M308" s="233">
        <v>0</v>
      </c>
      <c r="N308" s="390"/>
      <c r="O308" s="73">
        <v>0</v>
      </c>
      <c r="P308" s="390"/>
      <c r="Q308" s="76">
        <v>3200</v>
      </c>
      <c r="R308" s="388"/>
      <c r="S308" s="76"/>
      <c r="T308" s="388"/>
      <c r="U308" s="76"/>
      <c r="V308" s="388"/>
      <c r="W308" s="73"/>
      <c r="X308" s="388"/>
      <c r="Y308" s="73"/>
      <c r="Z308" s="388"/>
      <c r="AA308" s="73"/>
      <c r="AB308" s="388"/>
      <c r="AC308" s="76">
        <f t="shared" si="4"/>
        <v>3200</v>
      </c>
      <c r="AD308" s="388">
        <f t="shared" si="4"/>
        <v>0</v>
      </c>
    </row>
    <row r="309" spans="1:30" ht="15.6" x14ac:dyDescent="0.3">
      <c r="A309" s="387">
        <v>153</v>
      </c>
      <c r="B309" s="230" t="s">
        <v>307</v>
      </c>
      <c r="C309" s="67" t="s">
        <v>322</v>
      </c>
      <c r="D309" s="68" t="s">
        <v>373</v>
      </c>
      <c r="E309" s="69">
        <v>1800</v>
      </c>
      <c r="F309" s="384">
        <v>0</v>
      </c>
      <c r="G309" s="71">
        <v>2000</v>
      </c>
      <c r="H309" s="384">
        <v>0</v>
      </c>
      <c r="I309" s="71">
        <v>2200</v>
      </c>
      <c r="J309" s="384">
        <v>338492</v>
      </c>
      <c r="K309" s="71">
        <v>1900</v>
      </c>
      <c r="L309" s="385">
        <v>191170</v>
      </c>
      <c r="M309" s="71">
        <v>1400</v>
      </c>
      <c r="N309" s="384">
        <v>166516</v>
      </c>
      <c r="O309" s="71">
        <v>1470</v>
      </c>
      <c r="P309" s="384">
        <v>107590</v>
      </c>
      <c r="Q309" s="71">
        <v>1540</v>
      </c>
      <c r="R309" s="384">
        <v>113542.80000000005</v>
      </c>
      <c r="S309" s="71"/>
      <c r="T309" s="384"/>
      <c r="U309" s="71"/>
      <c r="V309" s="384"/>
      <c r="W309" s="67"/>
      <c r="X309" s="384"/>
      <c r="Y309" s="67"/>
      <c r="Z309" s="384"/>
      <c r="AA309" s="67"/>
      <c r="AB309" s="384"/>
      <c r="AC309" s="71">
        <f t="shared" si="4"/>
        <v>12310</v>
      </c>
      <c r="AD309" s="384">
        <f t="shared" si="4"/>
        <v>917310.8</v>
      </c>
    </row>
    <row r="310" spans="1:30" ht="15.6" x14ac:dyDescent="0.3">
      <c r="A310" s="387"/>
      <c r="B310" s="231" t="s">
        <v>307</v>
      </c>
      <c r="C310" s="67" t="s">
        <v>322</v>
      </c>
      <c r="D310" s="68" t="s">
        <v>374</v>
      </c>
      <c r="E310" s="69">
        <v>2850</v>
      </c>
      <c r="F310" s="384"/>
      <c r="G310" s="71">
        <v>3000</v>
      </c>
      <c r="H310" s="384"/>
      <c r="I310" s="71">
        <v>3300</v>
      </c>
      <c r="J310" s="384"/>
      <c r="K310" s="71">
        <v>2850</v>
      </c>
      <c r="L310" s="386"/>
      <c r="M310" s="71">
        <v>1685</v>
      </c>
      <c r="N310" s="384"/>
      <c r="O310" s="71">
        <v>1785</v>
      </c>
      <c r="P310" s="384"/>
      <c r="Q310" s="71">
        <v>1955</v>
      </c>
      <c r="R310" s="384"/>
      <c r="S310" s="71"/>
      <c r="T310" s="384"/>
      <c r="U310" s="71"/>
      <c r="V310" s="384"/>
      <c r="W310" s="67"/>
      <c r="X310" s="384"/>
      <c r="Y310" s="67"/>
      <c r="Z310" s="384"/>
      <c r="AA310" s="67"/>
      <c r="AB310" s="384"/>
      <c r="AC310" s="71">
        <f t="shared" si="4"/>
        <v>17425</v>
      </c>
      <c r="AD310" s="384">
        <f t="shared" si="4"/>
        <v>0</v>
      </c>
    </row>
    <row r="311" spans="1:30" ht="15.6" x14ac:dyDescent="0.3">
      <c r="A311" s="387">
        <v>154</v>
      </c>
      <c r="B311" s="230" t="s">
        <v>413</v>
      </c>
      <c r="C311" s="67" t="s">
        <v>328</v>
      </c>
      <c r="D311" s="68" t="s">
        <v>373</v>
      </c>
      <c r="E311" s="69">
        <v>3600</v>
      </c>
      <c r="F311" s="385">
        <v>0</v>
      </c>
      <c r="G311" s="71">
        <v>4000</v>
      </c>
      <c r="H311" s="385">
        <v>0</v>
      </c>
      <c r="I311" s="69">
        <v>4400</v>
      </c>
      <c r="J311" s="385">
        <v>584361</v>
      </c>
      <c r="K311" s="70">
        <v>3800</v>
      </c>
      <c r="L311" s="385">
        <v>333234</v>
      </c>
      <c r="M311" s="70">
        <v>4000</v>
      </c>
      <c r="N311" s="385">
        <v>287055.90000000002</v>
      </c>
      <c r="O311" s="67">
        <v>4200</v>
      </c>
      <c r="P311" s="385">
        <v>302940</v>
      </c>
      <c r="Q311" s="71">
        <v>4600</v>
      </c>
      <c r="R311" s="384">
        <v>318087</v>
      </c>
      <c r="S311" s="67"/>
      <c r="T311" s="385"/>
      <c r="U311" s="67"/>
      <c r="V311" s="385"/>
      <c r="W311" s="67"/>
      <c r="X311" s="384"/>
      <c r="Y311" s="67"/>
      <c r="Z311" s="384"/>
      <c r="AA311" s="67"/>
      <c r="AB311" s="384"/>
      <c r="AC311" s="71">
        <f t="shared" si="4"/>
        <v>28600</v>
      </c>
      <c r="AD311" s="384">
        <f t="shared" si="4"/>
        <v>1825677.9</v>
      </c>
    </row>
    <row r="312" spans="1:30" ht="15.6" x14ac:dyDescent="0.3">
      <c r="A312" s="387"/>
      <c r="B312" s="231" t="s">
        <v>413</v>
      </c>
      <c r="C312" s="67" t="s">
        <v>328</v>
      </c>
      <c r="D312" s="68" t="s">
        <v>374</v>
      </c>
      <c r="E312" s="69">
        <v>4750</v>
      </c>
      <c r="F312" s="386"/>
      <c r="G312" s="71">
        <v>5000</v>
      </c>
      <c r="H312" s="386"/>
      <c r="I312" s="69">
        <v>5500</v>
      </c>
      <c r="J312" s="386"/>
      <c r="K312" s="70">
        <v>4729</v>
      </c>
      <c r="L312" s="386"/>
      <c r="M312" s="70">
        <v>5000</v>
      </c>
      <c r="N312" s="386"/>
      <c r="O312" s="67">
        <v>5250</v>
      </c>
      <c r="P312" s="386"/>
      <c r="Q312" s="71">
        <v>5750</v>
      </c>
      <c r="R312" s="384"/>
      <c r="S312" s="67"/>
      <c r="T312" s="386"/>
      <c r="U312" s="67"/>
      <c r="V312" s="386"/>
      <c r="W312" s="67"/>
      <c r="X312" s="384"/>
      <c r="Y312" s="67"/>
      <c r="Z312" s="384"/>
      <c r="AA312" s="67"/>
      <c r="AB312" s="384"/>
      <c r="AC312" s="71">
        <f t="shared" si="4"/>
        <v>35979</v>
      </c>
      <c r="AD312" s="384">
        <f t="shared" si="4"/>
        <v>0</v>
      </c>
    </row>
    <row r="313" spans="1:30" ht="15.6" x14ac:dyDescent="0.3">
      <c r="A313" s="387">
        <v>155</v>
      </c>
      <c r="B313" s="230" t="s">
        <v>413</v>
      </c>
      <c r="C313" s="67" t="s">
        <v>331</v>
      </c>
      <c r="D313" s="68" t="s">
        <v>373</v>
      </c>
      <c r="E313" s="69">
        <v>2700</v>
      </c>
      <c r="F313" s="384">
        <v>0</v>
      </c>
      <c r="G313" s="71">
        <v>3000</v>
      </c>
      <c r="H313" s="384">
        <v>0</v>
      </c>
      <c r="I313" s="69">
        <v>3300</v>
      </c>
      <c r="J313" s="384">
        <v>511124.04</v>
      </c>
      <c r="K313" s="70">
        <v>2850</v>
      </c>
      <c r="L313" s="385">
        <v>298188.00000000006</v>
      </c>
      <c r="M313" s="70">
        <v>3000</v>
      </c>
      <c r="N313" s="385">
        <v>250786.8</v>
      </c>
      <c r="O313" s="67">
        <v>3150</v>
      </c>
      <c r="P313" s="385">
        <v>271080</v>
      </c>
      <c r="Q313" s="71">
        <v>3394</v>
      </c>
      <c r="R313" s="384">
        <v>284634</v>
      </c>
      <c r="S313" s="67"/>
      <c r="T313" s="384"/>
      <c r="U313" s="67"/>
      <c r="V313" s="384"/>
      <c r="W313" s="67"/>
      <c r="X313" s="384"/>
      <c r="Y313" s="67"/>
      <c r="Z313" s="384"/>
      <c r="AA313" s="67"/>
      <c r="AB313" s="384"/>
      <c r="AC313" s="71">
        <f t="shared" si="4"/>
        <v>21394</v>
      </c>
      <c r="AD313" s="384">
        <f t="shared" si="4"/>
        <v>1615812.84</v>
      </c>
    </row>
    <row r="314" spans="1:30" ht="15.6" x14ac:dyDescent="0.3">
      <c r="A314" s="387"/>
      <c r="B314" s="231" t="s">
        <v>413</v>
      </c>
      <c r="C314" s="67" t="s">
        <v>331</v>
      </c>
      <c r="D314" s="68" t="s">
        <v>374</v>
      </c>
      <c r="E314" s="69">
        <v>4500</v>
      </c>
      <c r="F314" s="384"/>
      <c r="G314" s="71">
        <v>5000</v>
      </c>
      <c r="H314" s="384"/>
      <c r="I314" s="69">
        <v>5500</v>
      </c>
      <c r="J314" s="384"/>
      <c r="K314" s="70">
        <v>4558</v>
      </c>
      <c r="L314" s="386"/>
      <c r="M314" s="70">
        <v>5000</v>
      </c>
      <c r="N314" s="386"/>
      <c r="O314" s="67">
        <v>5250</v>
      </c>
      <c r="P314" s="386"/>
      <c r="Q314" s="71">
        <v>5300</v>
      </c>
      <c r="R314" s="384"/>
      <c r="S314" s="67"/>
      <c r="T314" s="384"/>
      <c r="U314" s="67"/>
      <c r="V314" s="384"/>
      <c r="W314" s="67"/>
      <c r="X314" s="384"/>
      <c r="Y314" s="67"/>
      <c r="Z314" s="384"/>
      <c r="AA314" s="67"/>
      <c r="AB314" s="384"/>
      <c r="AC314" s="71">
        <f t="shared" si="4"/>
        <v>35108</v>
      </c>
      <c r="AD314" s="384">
        <f t="shared" si="4"/>
        <v>0</v>
      </c>
    </row>
    <row r="315" spans="1:30" ht="15.6" x14ac:dyDescent="0.3">
      <c r="A315" s="387">
        <v>156</v>
      </c>
      <c r="B315" s="230" t="s">
        <v>414</v>
      </c>
      <c r="C315" s="67" t="s">
        <v>333</v>
      </c>
      <c r="D315" s="68" t="s">
        <v>373</v>
      </c>
      <c r="E315" s="69">
        <v>2250</v>
      </c>
      <c r="F315" s="384">
        <v>0</v>
      </c>
      <c r="G315" s="71">
        <v>2500</v>
      </c>
      <c r="H315" s="384">
        <v>0</v>
      </c>
      <c r="I315" s="69">
        <v>2750</v>
      </c>
      <c r="J315" s="384">
        <v>423360</v>
      </c>
      <c r="K315" s="70">
        <v>2375</v>
      </c>
      <c r="L315" s="385">
        <v>240686.09999999998</v>
      </c>
      <c r="M315" s="70">
        <v>2375</v>
      </c>
      <c r="N315" s="385">
        <v>206906.4</v>
      </c>
      <c r="O315" s="67">
        <v>2625</v>
      </c>
      <c r="P315" s="385">
        <v>209047.5</v>
      </c>
      <c r="Q315" s="71">
        <v>2800</v>
      </c>
      <c r="R315" s="384">
        <v>231052.5</v>
      </c>
      <c r="S315" s="67"/>
      <c r="T315" s="384"/>
      <c r="U315" s="67"/>
      <c r="V315" s="384"/>
      <c r="W315" s="67"/>
      <c r="X315" s="384"/>
      <c r="Y315" s="67"/>
      <c r="Z315" s="384"/>
      <c r="AA315" s="67"/>
      <c r="AB315" s="384"/>
      <c r="AC315" s="71">
        <f>AA315+Y315+W315+U315+S315+Q315+O315+K315+M315+I315+G315+E315</f>
        <v>17675</v>
      </c>
      <c r="AD315" s="384">
        <f>AB315+Z315+X315+V315+T315+R315+P315+L315+N315+J315+H315+F315</f>
        <v>1311052.5</v>
      </c>
    </row>
    <row r="316" spans="1:30" ht="15.6" x14ac:dyDescent="0.3">
      <c r="A316" s="387"/>
      <c r="B316" s="231" t="s">
        <v>414</v>
      </c>
      <c r="C316" s="67" t="s">
        <v>333</v>
      </c>
      <c r="D316" s="68" t="s">
        <v>374</v>
      </c>
      <c r="E316" s="69">
        <v>3750</v>
      </c>
      <c r="F316" s="384"/>
      <c r="G316" s="71">
        <v>4000</v>
      </c>
      <c r="H316" s="384"/>
      <c r="I316" s="69">
        <v>4400</v>
      </c>
      <c r="J316" s="384"/>
      <c r="K316" s="70">
        <v>3739</v>
      </c>
      <c r="L316" s="386"/>
      <c r="M316" s="70">
        <v>3800</v>
      </c>
      <c r="N316" s="386"/>
      <c r="O316" s="67">
        <v>4200</v>
      </c>
      <c r="P316" s="386"/>
      <c r="Q316" s="71">
        <v>4600</v>
      </c>
      <c r="R316" s="384"/>
      <c r="S316" s="67"/>
      <c r="T316" s="384"/>
      <c r="U316" s="67"/>
      <c r="V316" s="384"/>
      <c r="W316" s="67"/>
      <c r="X316" s="384"/>
      <c r="Y316" s="67"/>
      <c r="Z316" s="384"/>
      <c r="AA316" s="67"/>
      <c r="AB316" s="384"/>
      <c r="AC316" s="71">
        <f>AA316+Y316+W316+U316+S316+Q316+O316+K316+M316+I316+G316+E316</f>
        <v>28489</v>
      </c>
      <c r="AD316" s="384">
        <f>AB316+Z316+X316+V316+T316+R316+P316+L316+N316+J316+H316+F316</f>
        <v>0</v>
      </c>
    </row>
    <row r="317" spans="1:30" ht="15.6" x14ac:dyDescent="0.3">
      <c r="A317" s="387">
        <v>157</v>
      </c>
      <c r="B317" s="230" t="s">
        <v>413</v>
      </c>
      <c r="C317" s="67" t="s">
        <v>334</v>
      </c>
      <c r="D317" s="68" t="s">
        <v>373</v>
      </c>
      <c r="E317" s="69">
        <v>2100</v>
      </c>
      <c r="F317" s="384">
        <v>0</v>
      </c>
      <c r="G317" s="71">
        <v>1500</v>
      </c>
      <c r="H317" s="384">
        <v>0</v>
      </c>
      <c r="I317" s="69">
        <v>1650</v>
      </c>
      <c r="J317" s="384">
        <v>290196</v>
      </c>
      <c r="K317" s="70">
        <v>1425</v>
      </c>
      <c r="L317" s="385">
        <v>129789</v>
      </c>
      <c r="M317" s="70">
        <v>1500</v>
      </c>
      <c r="N317" s="385">
        <v>112090.5</v>
      </c>
      <c r="O317" s="67">
        <v>1575</v>
      </c>
      <c r="P317" s="385">
        <v>117990</v>
      </c>
      <c r="Q317" s="71">
        <v>1725</v>
      </c>
      <c r="R317" s="384">
        <v>123889.5</v>
      </c>
      <c r="S317" s="67"/>
      <c r="T317" s="384"/>
      <c r="U317" s="67"/>
      <c r="V317" s="384"/>
      <c r="W317" s="67"/>
      <c r="X317" s="384"/>
      <c r="Y317" s="67"/>
      <c r="Z317" s="384"/>
      <c r="AA317" s="67"/>
      <c r="AB317" s="384"/>
      <c r="AC317" s="71">
        <f t="shared" si="4"/>
        <v>11475</v>
      </c>
      <c r="AD317" s="384">
        <f t="shared" si="4"/>
        <v>773955</v>
      </c>
    </row>
    <row r="318" spans="1:30" ht="15.6" x14ac:dyDescent="0.3">
      <c r="A318" s="387"/>
      <c r="B318" s="231" t="s">
        <v>413</v>
      </c>
      <c r="C318" s="67" t="s">
        <v>334</v>
      </c>
      <c r="D318" s="68" t="s">
        <v>374</v>
      </c>
      <c r="E318" s="69">
        <v>3000</v>
      </c>
      <c r="F318" s="384"/>
      <c r="G318" s="71">
        <v>2000</v>
      </c>
      <c r="H318" s="384"/>
      <c r="I318" s="69">
        <v>2200</v>
      </c>
      <c r="J318" s="384"/>
      <c r="K318" s="70">
        <v>1900</v>
      </c>
      <c r="L318" s="386"/>
      <c r="M318" s="70">
        <v>2000</v>
      </c>
      <c r="N318" s="386"/>
      <c r="O318" s="67">
        <v>2100</v>
      </c>
      <c r="P318" s="386"/>
      <c r="Q318" s="71">
        <v>2300</v>
      </c>
      <c r="R318" s="384"/>
      <c r="S318" s="67"/>
      <c r="T318" s="384"/>
      <c r="U318" s="67"/>
      <c r="V318" s="384"/>
      <c r="W318" s="67"/>
      <c r="X318" s="384"/>
      <c r="Y318" s="67"/>
      <c r="Z318" s="384"/>
      <c r="AA318" s="67"/>
      <c r="AB318" s="384"/>
      <c r="AC318" s="71">
        <f t="shared" si="4"/>
        <v>15500</v>
      </c>
      <c r="AD318" s="384">
        <f t="shared" si="4"/>
        <v>0</v>
      </c>
    </row>
    <row r="319" spans="1:30" ht="15.6" x14ac:dyDescent="0.3">
      <c r="A319" s="387">
        <v>158</v>
      </c>
      <c r="B319" s="230" t="s">
        <v>413</v>
      </c>
      <c r="C319" s="67" t="s">
        <v>335</v>
      </c>
      <c r="D319" s="68" t="s">
        <v>373</v>
      </c>
      <c r="E319" s="69">
        <v>3600</v>
      </c>
      <c r="F319" s="384">
        <v>0</v>
      </c>
      <c r="G319" s="71">
        <v>4000</v>
      </c>
      <c r="H319" s="384">
        <v>0</v>
      </c>
      <c r="I319" s="69">
        <v>4400</v>
      </c>
      <c r="J319" s="384">
        <v>584361</v>
      </c>
      <c r="K319" s="70">
        <v>3800</v>
      </c>
      <c r="L319" s="385">
        <v>333234</v>
      </c>
      <c r="M319" s="70">
        <v>4000</v>
      </c>
      <c r="N319" s="385">
        <v>287793</v>
      </c>
      <c r="O319" s="67">
        <v>4200</v>
      </c>
      <c r="P319" s="385">
        <v>302940</v>
      </c>
      <c r="Q319" s="71">
        <v>4600</v>
      </c>
      <c r="R319" s="384">
        <v>318087</v>
      </c>
      <c r="S319" s="67"/>
      <c r="T319" s="384"/>
      <c r="U319" s="67"/>
      <c r="V319" s="384"/>
      <c r="W319" s="67"/>
      <c r="X319" s="384"/>
      <c r="Y319" s="67"/>
      <c r="Z319" s="384"/>
      <c r="AA319" s="67"/>
      <c r="AB319" s="384"/>
      <c r="AC319" s="71">
        <f t="shared" si="4"/>
        <v>28600</v>
      </c>
      <c r="AD319" s="384">
        <f t="shared" si="4"/>
        <v>1826415</v>
      </c>
    </row>
    <row r="320" spans="1:30" ht="15.6" x14ac:dyDescent="0.3">
      <c r="A320" s="387"/>
      <c r="B320" s="231" t="s">
        <v>413</v>
      </c>
      <c r="C320" s="67" t="s">
        <v>335</v>
      </c>
      <c r="D320" s="68" t="s">
        <v>374</v>
      </c>
      <c r="E320" s="69">
        <v>4750</v>
      </c>
      <c r="F320" s="384"/>
      <c r="G320" s="71">
        <v>5000</v>
      </c>
      <c r="H320" s="384"/>
      <c r="I320" s="69">
        <v>5500</v>
      </c>
      <c r="J320" s="384"/>
      <c r="K320" s="70">
        <v>4750</v>
      </c>
      <c r="L320" s="386"/>
      <c r="M320" s="70">
        <v>5000</v>
      </c>
      <c r="N320" s="386"/>
      <c r="O320" s="67">
        <v>5250</v>
      </c>
      <c r="P320" s="386"/>
      <c r="Q320" s="71">
        <v>5750</v>
      </c>
      <c r="R320" s="384"/>
      <c r="S320" s="67"/>
      <c r="T320" s="384"/>
      <c r="U320" s="67"/>
      <c r="V320" s="384"/>
      <c r="W320" s="67"/>
      <c r="X320" s="384"/>
      <c r="Y320" s="67"/>
      <c r="Z320" s="384"/>
      <c r="AA320" s="67"/>
      <c r="AB320" s="384"/>
      <c r="AC320" s="71">
        <f t="shared" si="4"/>
        <v>36000</v>
      </c>
      <c r="AD320" s="384">
        <f t="shared" si="4"/>
        <v>0</v>
      </c>
    </row>
    <row r="321" spans="1:30" ht="15.6" x14ac:dyDescent="0.3">
      <c r="A321" s="387">
        <v>159</v>
      </c>
      <c r="B321" s="230" t="s">
        <v>413</v>
      </c>
      <c r="C321" s="67" t="s">
        <v>336</v>
      </c>
      <c r="D321" s="68" t="s">
        <v>373</v>
      </c>
      <c r="E321" s="69">
        <v>2300</v>
      </c>
      <c r="F321" s="384">
        <v>0</v>
      </c>
      <c r="G321" s="71">
        <v>2000</v>
      </c>
      <c r="H321" s="384">
        <v>0</v>
      </c>
      <c r="I321" s="69">
        <v>2200</v>
      </c>
      <c r="J321" s="384">
        <v>361638</v>
      </c>
      <c r="K321" s="70">
        <v>1900</v>
      </c>
      <c r="L321" s="385">
        <v>185922</v>
      </c>
      <c r="M321" s="70">
        <v>2000</v>
      </c>
      <c r="N321" s="385">
        <v>160569</v>
      </c>
      <c r="O321" s="67">
        <v>2100</v>
      </c>
      <c r="P321" s="385">
        <v>169020</v>
      </c>
      <c r="Q321" s="71">
        <v>2300</v>
      </c>
      <c r="R321" s="384">
        <v>177471</v>
      </c>
      <c r="S321" s="67"/>
      <c r="T321" s="384"/>
      <c r="U321" s="67"/>
      <c r="V321" s="384"/>
      <c r="W321" s="67"/>
      <c r="X321" s="384"/>
      <c r="Y321" s="67"/>
      <c r="Z321" s="384"/>
      <c r="AA321" s="67"/>
      <c r="AB321" s="384"/>
      <c r="AC321" s="71">
        <f t="shared" si="4"/>
        <v>14800</v>
      </c>
      <c r="AD321" s="384">
        <f t="shared" si="4"/>
        <v>1054620</v>
      </c>
    </row>
    <row r="322" spans="1:30" ht="15.6" x14ac:dyDescent="0.3">
      <c r="A322" s="387"/>
      <c r="B322" s="231" t="s">
        <v>413</v>
      </c>
      <c r="C322" s="67" t="s">
        <v>336</v>
      </c>
      <c r="D322" s="68" t="s">
        <v>374</v>
      </c>
      <c r="E322" s="69">
        <v>3400</v>
      </c>
      <c r="F322" s="384"/>
      <c r="G322" s="71">
        <v>3000</v>
      </c>
      <c r="H322" s="384"/>
      <c r="I322" s="69">
        <v>3300</v>
      </c>
      <c r="J322" s="384"/>
      <c r="K322" s="70">
        <v>2850</v>
      </c>
      <c r="L322" s="386"/>
      <c r="M322" s="70">
        <v>3000</v>
      </c>
      <c r="N322" s="386"/>
      <c r="O322" s="67">
        <v>3150</v>
      </c>
      <c r="P322" s="386"/>
      <c r="Q322" s="71">
        <v>3450</v>
      </c>
      <c r="R322" s="384"/>
      <c r="S322" s="67"/>
      <c r="T322" s="384"/>
      <c r="U322" s="67"/>
      <c r="V322" s="384"/>
      <c r="W322" s="67"/>
      <c r="X322" s="384"/>
      <c r="Y322" s="67"/>
      <c r="Z322" s="384"/>
      <c r="AA322" s="67"/>
      <c r="AB322" s="384"/>
      <c r="AC322" s="71">
        <f t="shared" si="4"/>
        <v>22150</v>
      </c>
      <c r="AD322" s="384">
        <f t="shared" si="4"/>
        <v>0</v>
      </c>
    </row>
    <row r="323" spans="1:30" ht="15.6" x14ac:dyDescent="0.3">
      <c r="A323" s="387">
        <v>160</v>
      </c>
      <c r="B323" s="230" t="s">
        <v>414</v>
      </c>
      <c r="C323" s="67" t="s">
        <v>415</v>
      </c>
      <c r="D323" s="68" t="s">
        <v>373</v>
      </c>
      <c r="E323" s="69">
        <v>0</v>
      </c>
      <c r="F323" s="385">
        <v>0</v>
      </c>
      <c r="G323" s="70">
        <v>0</v>
      </c>
      <c r="H323" s="385">
        <v>0</v>
      </c>
      <c r="I323" s="70">
        <v>0</v>
      </c>
      <c r="J323" s="385">
        <v>0</v>
      </c>
      <c r="K323" s="70">
        <v>0</v>
      </c>
      <c r="L323" s="385">
        <v>0</v>
      </c>
      <c r="M323" s="70">
        <v>1800</v>
      </c>
      <c r="N323" s="385">
        <v>0</v>
      </c>
      <c r="O323" s="67">
        <v>2100</v>
      </c>
      <c r="P323" s="385">
        <v>120603</v>
      </c>
      <c r="Q323" s="71">
        <v>2400</v>
      </c>
      <c r="R323" s="384">
        <v>133350</v>
      </c>
      <c r="S323" s="67"/>
      <c r="T323" s="384"/>
      <c r="U323" s="67"/>
      <c r="V323" s="384"/>
      <c r="W323" s="67"/>
      <c r="X323" s="384"/>
      <c r="Y323" s="67"/>
      <c r="Z323" s="384"/>
      <c r="AA323" s="67"/>
      <c r="AB323" s="384"/>
      <c r="AC323" s="71">
        <f>AA323+Y323+W323+U323+S323+Q323+O323+K323+M323+I323+G323+E323</f>
        <v>6300</v>
      </c>
      <c r="AD323" s="384">
        <f>AB323+Z323+X323+V323+T323+R323+P323+L323+N323+J323+H323+F323</f>
        <v>253953</v>
      </c>
    </row>
    <row r="324" spans="1:30" ht="15.6" x14ac:dyDescent="0.3">
      <c r="A324" s="387"/>
      <c r="B324" s="231" t="s">
        <v>414</v>
      </c>
      <c r="C324" s="67" t="s">
        <v>415</v>
      </c>
      <c r="D324" s="68" t="s">
        <v>374</v>
      </c>
      <c r="E324" s="69">
        <v>0</v>
      </c>
      <c r="F324" s="386"/>
      <c r="G324" s="70">
        <v>0</v>
      </c>
      <c r="H324" s="386"/>
      <c r="I324" s="70">
        <v>0</v>
      </c>
      <c r="J324" s="386"/>
      <c r="K324" s="70">
        <v>0</v>
      </c>
      <c r="L324" s="386"/>
      <c r="M324" s="70">
        <v>2700</v>
      </c>
      <c r="N324" s="386"/>
      <c r="O324" s="67">
        <v>3150</v>
      </c>
      <c r="P324" s="386"/>
      <c r="Q324" s="71">
        <v>3600</v>
      </c>
      <c r="R324" s="384"/>
      <c r="S324" s="67"/>
      <c r="T324" s="384"/>
      <c r="U324" s="67"/>
      <c r="V324" s="384"/>
      <c r="W324" s="67"/>
      <c r="X324" s="384"/>
      <c r="Y324" s="67"/>
      <c r="Z324" s="384"/>
      <c r="AA324" s="67"/>
      <c r="AB324" s="384"/>
      <c r="AC324" s="71">
        <f>AA324+Y324+W324+U324+S324+Q324+O324+K324+M324+I324+G324+E324</f>
        <v>9450</v>
      </c>
      <c r="AD324" s="384">
        <f>AB324+Z324+X324+V324+T324+R324+P324+L324+N324+J324+H324+F324</f>
        <v>0</v>
      </c>
    </row>
    <row r="325" spans="1:30" ht="15.6" x14ac:dyDescent="0.3">
      <c r="A325" s="387">
        <v>161</v>
      </c>
      <c r="B325" s="230" t="s">
        <v>413</v>
      </c>
      <c r="C325" s="67" t="s">
        <v>283</v>
      </c>
      <c r="D325" s="68" t="s">
        <v>373</v>
      </c>
      <c r="E325" s="69">
        <v>1800</v>
      </c>
      <c r="F325" s="384">
        <v>0</v>
      </c>
      <c r="G325" s="71">
        <v>2000</v>
      </c>
      <c r="H325" s="384">
        <v>0</v>
      </c>
      <c r="I325" s="69">
        <v>2200</v>
      </c>
      <c r="J325" s="384">
        <v>257958</v>
      </c>
      <c r="K325" s="70">
        <v>1900</v>
      </c>
      <c r="L325" s="385">
        <v>147312</v>
      </c>
      <c r="M325" s="70">
        <v>2000</v>
      </c>
      <c r="N325" s="385">
        <v>127224</v>
      </c>
      <c r="O325" s="67">
        <v>2100</v>
      </c>
      <c r="P325" s="385">
        <v>133920</v>
      </c>
      <c r="Q325" s="71">
        <v>2300</v>
      </c>
      <c r="R325" s="384">
        <v>140616</v>
      </c>
      <c r="S325" s="67"/>
      <c r="T325" s="384"/>
      <c r="U325" s="67"/>
      <c r="V325" s="384"/>
      <c r="W325" s="67"/>
      <c r="X325" s="384"/>
      <c r="Y325" s="67"/>
      <c r="Z325" s="384"/>
      <c r="AA325" s="67"/>
      <c r="AB325" s="384"/>
      <c r="AC325" s="71">
        <f t="shared" si="4"/>
        <v>14300</v>
      </c>
      <c r="AD325" s="384">
        <f t="shared" si="4"/>
        <v>807030</v>
      </c>
    </row>
    <row r="326" spans="1:30" ht="15.6" x14ac:dyDescent="0.3">
      <c r="A326" s="387"/>
      <c r="B326" s="231" t="s">
        <v>413</v>
      </c>
      <c r="C326" s="67" t="s">
        <v>283</v>
      </c>
      <c r="D326" s="68" t="s">
        <v>374</v>
      </c>
      <c r="E326" s="69">
        <v>1900</v>
      </c>
      <c r="F326" s="384"/>
      <c r="G326" s="71">
        <v>2000</v>
      </c>
      <c r="H326" s="384"/>
      <c r="I326" s="69">
        <v>2200</v>
      </c>
      <c r="J326" s="384"/>
      <c r="K326" s="70">
        <v>1900</v>
      </c>
      <c r="L326" s="386"/>
      <c r="M326" s="70">
        <v>2000</v>
      </c>
      <c r="N326" s="386"/>
      <c r="O326" s="67">
        <v>2100</v>
      </c>
      <c r="P326" s="386"/>
      <c r="Q326" s="71">
        <v>2300</v>
      </c>
      <c r="R326" s="384"/>
      <c r="S326" s="67"/>
      <c r="T326" s="384"/>
      <c r="U326" s="67"/>
      <c r="V326" s="384"/>
      <c r="W326" s="67"/>
      <c r="X326" s="384"/>
      <c r="Y326" s="67"/>
      <c r="Z326" s="384"/>
      <c r="AA326" s="67"/>
      <c r="AB326" s="384"/>
      <c r="AC326" s="71">
        <f t="shared" si="4"/>
        <v>14400</v>
      </c>
      <c r="AD326" s="384">
        <f t="shared" si="4"/>
        <v>0</v>
      </c>
    </row>
    <row r="327" spans="1:30" ht="15.6" x14ac:dyDescent="0.3">
      <c r="A327" s="387">
        <v>162</v>
      </c>
      <c r="B327" s="230" t="s">
        <v>413</v>
      </c>
      <c r="C327" s="67" t="s">
        <v>343</v>
      </c>
      <c r="D327" s="68" t="s">
        <v>373</v>
      </c>
      <c r="E327" s="69">
        <v>1350</v>
      </c>
      <c r="F327" s="384">
        <v>0</v>
      </c>
      <c r="G327" s="71">
        <v>1500</v>
      </c>
      <c r="H327" s="384">
        <v>0</v>
      </c>
      <c r="I327" s="69">
        <v>1650</v>
      </c>
      <c r="J327" s="384">
        <v>227691</v>
      </c>
      <c r="K327" s="70">
        <v>1425</v>
      </c>
      <c r="L327" s="385">
        <v>129789</v>
      </c>
      <c r="M327" s="70">
        <v>1500</v>
      </c>
      <c r="N327" s="385">
        <v>111879.9</v>
      </c>
      <c r="O327" s="67">
        <v>1575</v>
      </c>
      <c r="P327" s="385">
        <v>117990</v>
      </c>
      <c r="Q327" s="71">
        <v>1725</v>
      </c>
      <c r="R327" s="384">
        <v>123889.5</v>
      </c>
      <c r="S327" s="67"/>
      <c r="T327" s="384"/>
      <c r="U327" s="67"/>
      <c r="V327" s="384"/>
      <c r="W327" s="67"/>
      <c r="X327" s="384"/>
      <c r="Y327" s="67"/>
      <c r="Z327" s="384"/>
      <c r="AA327" s="67"/>
      <c r="AB327" s="384"/>
      <c r="AC327" s="71">
        <f t="shared" si="4"/>
        <v>10725</v>
      </c>
      <c r="AD327" s="384">
        <f t="shared" si="4"/>
        <v>711239.4</v>
      </c>
    </row>
    <row r="328" spans="1:30" ht="15.6" x14ac:dyDescent="0.3">
      <c r="A328" s="387"/>
      <c r="B328" s="231" t="s">
        <v>413</v>
      </c>
      <c r="C328" s="67" t="s">
        <v>343</v>
      </c>
      <c r="D328" s="68" t="s">
        <v>374</v>
      </c>
      <c r="E328" s="69">
        <v>1900</v>
      </c>
      <c r="F328" s="384"/>
      <c r="G328" s="71">
        <v>2000</v>
      </c>
      <c r="H328" s="384"/>
      <c r="I328" s="69">
        <v>2200</v>
      </c>
      <c r="J328" s="384"/>
      <c r="K328" s="70">
        <v>1894</v>
      </c>
      <c r="L328" s="386"/>
      <c r="M328" s="70">
        <v>2000</v>
      </c>
      <c r="N328" s="386"/>
      <c r="O328" s="67">
        <v>2100</v>
      </c>
      <c r="P328" s="386"/>
      <c r="Q328" s="71">
        <v>2300</v>
      </c>
      <c r="R328" s="384"/>
      <c r="S328" s="67"/>
      <c r="T328" s="384"/>
      <c r="U328" s="67"/>
      <c r="V328" s="384"/>
      <c r="W328" s="67"/>
      <c r="X328" s="384"/>
      <c r="Y328" s="67"/>
      <c r="Z328" s="384"/>
      <c r="AA328" s="67"/>
      <c r="AB328" s="384"/>
      <c r="AC328" s="71">
        <f t="shared" si="4"/>
        <v>14394</v>
      </c>
      <c r="AD328" s="384">
        <f t="shared" si="4"/>
        <v>0</v>
      </c>
    </row>
    <row r="329" spans="1:30" ht="15.6" x14ac:dyDescent="0.3">
      <c r="A329" s="387">
        <v>163</v>
      </c>
      <c r="B329" s="230" t="s">
        <v>413</v>
      </c>
      <c r="C329" s="67" t="s">
        <v>142</v>
      </c>
      <c r="D329" s="68" t="s">
        <v>373</v>
      </c>
      <c r="E329" s="69">
        <v>3150</v>
      </c>
      <c r="F329" s="384">
        <v>0</v>
      </c>
      <c r="G329" s="71">
        <v>3000</v>
      </c>
      <c r="H329" s="384">
        <v>0</v>
      </c>
      <c r="I329" s="69">
        <v>3300</v>
      </c>
      <c r="J329" s="384">
        <v>537972.84</v>
      </c>
      <c r="K329" s="70">
        <v>2850</v>
      </c>
      <c r="L329" s="385">
        <v>293905.80000000005</v>
      </c>
      <c r="M329" s="70">
        <v>2990</v>
      </c>
      <c r="N329" s="385">
        <v>252155.7</v>
      </c>
      <c r="O329" s="67">
        <v>3150</v>
      </c>
      <c r="P329" s="385">
        <v>272972.69999999995</v>
      </c>
      <c r="Q329" s="71">
        <v>3418</v>
      </c>
      <c r="R329" s="384">
        <v>284634</v>
      </c>
      <c r="S329" s="67"/>
      <c r="T329" s="384"/>
      <c r="U329" s="67"/>
      <c r="V329" s="384"/>
      <c r="W329" s="67"/>
      <c r="X329" s="384"/>
      <c r="Y329" s="67"/>
      <c r="Z329" s="384"/>
      <c r="AA329" s="67"/>
      <c r="AB329" s="384"/>
      <c r="AC329" s="71">
        <f t="shared" si="4"/>
        <v>21858</v>
      </c>
      <c r="AD329" s="384">
        <f t="shared" si="4"/>
        <v>1641641.04</v>
      </c>
    </row>
    <row r="330" spans="1:30" ht="15.6" x14ac:dyDescent="0.3">
      <c r="A330" s="387"/>
      <c r="B330" s="231" t="s">
        <v>413</v>
      </c>
      <c r="C330" s="67" t="s">
        <v>142</v>
      </c>
      <c r="D330" s="68" t="s">
        <v>374</v>
      </c>
      <c r="E330" s="69">
        <v>4750</v>
      </c>
      <c r="F330" s="384"/>
      <c r="G330" s="71">
        <v>5000</v>
      </c>
      <c r="H330" s="384"/>
      <c r="I330" s="69">
        <v>5500</v>
      </c>
      <c r="J330" s="384"/>
      <c r="K330" s="70">
        <v>4597</v>
      </c>
      <c r="L330" s="386"/>
      <c r="M330" s="70">
        <v>5063</v>
      </c>
      <c r="N330" s="386"/>
      <c r="O330" s="67">
        <v>5250</v>
      </c>
      <c r="P330" s="386"/>
      <c r="Q330" s="71">
        <v>5550</v>
      </c>
      <c r="R330" s="384"/>
      <c r="S330" s="67"/>
      <c r="T330" s="384"/>
      <c r="U330" s="67"/>
      <c r="V330" s="384"/>
      <c r="W330" s="67"/>
      <c r="X330" s="384"/>
      <c r="Y330" s="67"/>
      <c r="Z330" s="384"/>
      <c r="AA330" s="67"/>
      <c r="AB330" s="384"/>
      <c r="AC330" s="71">
        <f t="shared" si="4"/>
        <v>35710</v>
      </c>
      <c r="AD330" s="384">
        <f t="shared" si="4"/>
        <v>0</v>
      </c>
    </row>
    <row r="331" spans="1:30" ht="15.6" x14ac:dyDescent="0.3">
      <c r="A331" s="387">
        <v>164</v>
      </c>
      <c r="B331" s="230" t="s">
        <v>413</v>
      </c>
      <c r="C331" s="67" t="s">
        <v>345</v>
      </c>
      <c r="D331" s="68" t="s">
        <v>373</v>
      </c>
      <c r="E331" s="69">
        <v>1800</v>
      </c>
      <c r="F331" s="384">
        <v>0</v>
      </c>
      <c r="G331" s="71">
        <v>2000</v>
      </c>
      <c r="H331" s="384">
        <v>0</v>
      </c>
      <c r="I331" s="69">
        <v>2200</v>
      </c>
      <c r="J331" s="384">
        <v>292180.5</v>
      </c>
      <c r="K331" s="70">
        <v>1900</v>
      </c>
      <c r="L331" s="385">
        <v>166617</v>
      </c>
      <c r="M331" s="70">
        <v>2000</v>
      </c>
      <c r="N331" s="385">
        <v>143896.5</v>
      </c>
      <c r="O331" s="67">
        <v>1950</v>
      </c>
      <c r="P331" s="385">
        <v>151470</v>
      </c>
      <c r="Q331" s="71">
        <v>2300</v>
      </c>
      <c r="R331" s="384">
        <v>159043.5</v>
      </c>
      <c r="S331" s="67"/>
      <c r="T331" s="384"/>
      <c r="U331" s="67"/>
      <c r="V331" s="384"/>
      <c r="W331" s="67"/>
      <c r="X331" s="384"/>
      <c r="Y331" s="67"/>
      <c r="Z331" s="384"/>
      <c r="AA331" s="67"/>
      <c r="AB331" s="384"/>
      <c r="AC331" s="71">
        <f t="shared" si="4"/>
        <v>14150</v>
      </c>
      <c r="AD331" s="384">
        <f t="shared" si="4"/>
        <v>913207.5</v>
      </c>
    </row>
    <row r="332" spans="1:30" ht="15.6" x14ac:dyDescent="0.3">
      <c r="A332" s="387"/>
      <c r="B332" s="231" t="s">
        <v>413</v>
      </c>
      <c r="C332" s="67" t="s">
        <v>345</v>
      </c>
      <c r="D332" s="68" t="s">
        <v>374</v>
      </c>
      <c r="E332" s="69">
        <v>2375</v>
      </c>
      <c r="F332" s="384"/>
      <c r="G332" s="71">
        <v>2500</v>
      </c>
      <c r="H332" s="384"/>
      <c r="I332" s="69">
        <v>2750</v>
      </c>
      <c r="J332" s="384"/>
      <c r="K332" s="70">
        <v>2375</v>
      </c>
      <c r="L332" s="386"/>
      <c r="M332" s="70">
        <v>2500</v>
      </c>
      <c r="N332" s="386"/>
      <c r="O332" s="67">
        <v>2475</v>
      </c>
      <c r="P332" s="386"/>
      <c r="Q332" s="71">
        <v>2875</v>
      </c>
      <c r="R332" s="384"/>
      <c r="S332" s="67"/>
      <c r="T332" s="384"/>
      <c r="U332" s="67"/>
      <c r="V332" s="384"/>
      <c r="W332" s="67"/>
      <c r="X332" s="384"/>
      <c r="Y332" s="67"/>
      <c r="Z332" s="384"/>
      <c r="AA332" s="67"/>
      <c r="AB332" s="384"/>
      <c r="AC332" s="71">
        <f t="shared" si="4"/>
        <v>17850</v>
      </c>
      <c r="AD332" s="384">
        <f t="shared" si="4"/>
        <v>0</v>
      </c>
    </row>
    <row r="333" spans="1:30" ht="15.6" x14ac:dyDescent="0.3">
      <c r="A333" s="391">
        <v>165</v>
      </c>
      <c r="B333" s="232" t="s">
        <v>355</v>
      </c>
      <c r="C333" s="73" t="s">
        <v>348</v>
      </c>
      <c r="D333" s="74" t="s">
        <v>373</v>
      </c>
      <c r="E333" s="75">
        <v>0</v>
      </c>
      <c r="F333" s="389">
        <v>0</v>
      </c>
      <c r="G333" s="233">
        <v>0</v>
      </c>
      <c r="H333" s="389">
        <v>0</v>
      </c>
      <c r="I333" s="233">
        <v>0</v>
      </c>
      <c r="J333" s="389">
        <v>0</v>
      </c>
      <c r="K333" s="233">
        <v>0</v>
      </c>
      <c r="L333" s="389">
        <v>0</v>
      </c>
      <c r="M333" s="233">
        <v>0</v>
      </c>
      <c r="N333" s="389">
        <v>0</v>
      </c>
      <c r="O333" s="73">
        <v>0</v>
      </c>
      <c r="P333" s="389">
        <v>0</v>
      </c>
      <c r="Q333" s="76">
        <v>2382</v>
      </c>
      <c r="R333" s="388">
        <v>0</v>
      </c>
      <c r="S333" s="73"/>
      <c r="T333" s="388"/>
      <c r="U333" s="73"/>
      <c r="V333" s="388"/>
      <c r="W333" s="73"/>
      <c r="X333" s="388"/>
      <c r="Y333" s="73"/>
      <c r="Z333" s="388"/>
      <c r="AA333" s="73"/>
      <c r="AB333" s="388"/>
      <c r="AC333" s="76">
        <f t="shared" si="4"/>
        <v>2382</v>
      </c>
      <c r="AD333" s="388">
        <f t="shared" si="4"/>
        <v>0</v>
      </c>
    </row>
    <row r="334" spans="1:30" ht="15.6" x14ac:dyDescent="0.3">
      <c r="A334" s="391"/>
      <c r="B334" s="234" t="s">
        <v>355</v>
      </c>
      <c r="C334" s="73" t="s">
        <v>348</v>
      </c>
      <c r="D334" s="74" t="s">
        <v>374</v>
      </c>
      <c r="E334" s="75">
        <v>0</v>
      </c>
      <c r="F334" s="390"/>
      <c r="G334" s="233">
        <v>0</v>
      </c>
      <c r="H334" s="390"/>
      <c r="I334" s="233">
        <v>0</v>
      </c>
      <c r="J334" s="390"/>
      <c r="K334" s="233">
        <v>0</v>
      </c>
      <c r="L334" s="390"/>
      <c r="M334" s="233">
        <v>0</v>
      </c>
      <c r="N334" s="390"/>
      <c r="O334" s="73">
        <v>0</v>
      </c>
      <c r="P334" s="390"/>
      <c r="Q334" s="76">
        <v>3200</v>
      </c>
      <c r="R334" s="388"/>
      <c r="S334" s="73"/>
      <c r="T334" s="388"/>
      <c r="U334" s="73"/>
      <c r="V334" s="388"/>
      <c r="W334" s="73"/>
      <c r="X334" s="388"/>
      <c r="Y334" s="73"/>
      <c r="Z334" s="388"/>
      <c r="AA334" s="73"/>
      <c r="AB334" s="388"/>
      <c r="AC334" s="76">
        <f t="shared" si="4"/>
        <v>3200</v>
      </c>
      <c r="AD334" s="388">
        <f t="shared" si="4"/>
        <v>0</v>
      </c>
    </row>
    <row r="335" spans="1:30" ht="15.6" x14ac:dyDescent="0.3">
      <c r="A335" s="391">
        <v>166</v>
      </c>
      <c r="B335" s="232" t="s">
        <v>355</v>
      </c>
      <c r="C335" s="73" t="s">
        <v>352</v>
      </c>
      <c r="D335" s="74" t="s">
        <v>373</v>
      </c>
      <c r="E335" s="75">
        <v>0</v>
      </c>
      <c r="F335" s="389">
        <v>0</v>
      </c>
      <c r="G335" s="233">
        <v>0</v>
      </c>
      <c r="H335" s="389">
        <v>0</v>
      </c>
      <c r="I335" s="233">
        <v>0</v>
      </c>
      <c r="J335" s="389">
        <v>0</v>
      </c>
      <c r="K335" s="233">
        <v>0</v>
      </c>
      <c r="L335" s="389">
        <v>0</v>
      </c>
      <c r="M335" s="233">
        <v>0</v>
      </c>
      <c r="N335" s="389">
        <v>0</v>
      </c>
      <c r="O335" s="73">
        <v>0</v>
      </c>
      <c r="P335" s="389">
        <v>0</v>
      </c>
      <c r="Q335" s="76">
        <v>2400</v>
      </c>
      <c r="R335" s="388">
        <v>0</v>
      </c>
      <c r="S335" s="73"/>
      <c r="T335" s="388"/>
      <c r="U335" s="73"/>
      <c r="V335" s="388"/>
      <c r="W335" s="73"/>
      <c r="X335" s="388"/>
      <c r="Y335" s="73"/>
      <c r="Z335" s="388"/>
      <c r="AA335" s="73"/>
      <c r="AB335" s="388"/>
      <c r="AC335" s="76">
        <f t="shared" si="4"/>
        <v>2400</v>
      </c>
      <c r="AD335" s="388">
        <f t="shared" si="4"/>
        <v>0</v>
      </c>
    </row>
    <row r="336" spans="1:30" ht="15.6" x14ac:dyDescent="0.3">
      <c r="A336" s="391"/>
      <c r="B336" s="234" t="s">
        <v>355</v>
      </c>
      <c r="C336" s="73" t="s">
        <v>352</v>
      </c>
      <c r="D336" s="74" t="s">
        <v>374</v>
      </c>
      <c r="E336" s="75">
        <v>0</v>
      </c>
      <c r="F336" s="390"/>
      <c r="G336" s="233">
        <v>0</v>
      </c>
      <c r="H336" s="390"/>
      <c r="I336" s="233">
        <v>0</v>
      </c>
      <c r="J336" s="390"/>
      <c r="K336" s="233">
        <v>0</v>
      </c>
      <c r="L336" s="390"/>
      <c r="M336" s="233">
        <v>0</v>
      </c>
      <c r="N336" s="390"/>
      <c r="O336" s="73">
        <v>0</v>
      </c>
      <c r="P336" s="390"/>
      <c r="Q336" s="76">
        <v>3200</v>
      </c>
      <c r="R336" s="388"/>
      <c r="S336" s="73"/>
      <c r="T336" s="388"/>
      <c r="U336" s="73"/>
      <c r="V336" s="388"/>
      <c r="W336" s="73"/>
      <c r="X336" s="388"/>
      <c r="Y336" s="73"/>
      <c r="Z336" s="388"/>
      <c r="AA336" s="73"/>
      <c r="AB336" s="388"/>
      <c r="AC336" s="76">
        <f t="shared" si="4"/>
        <v>3200</v>
      </c>
      <c r="AD336" s="388">
        <f t="shared" si="4"/>
        <v>0</v>
      </c>
    </row>
    <row r="337" spans="1:30" ht="15.6" x14ac:dyDescent="0.3">
      <c r="A337" s="387">
        <v>167</v>
      </c>
      <c r="B337" s="230" t="s">
        <v>355</v>
      </c>
      <c r="C337" s="67" t="s">
        <v>416</v>
      </c>
      <c r="D337" s="68" t="s">
        <v>373</v>
      </c>
      <c r="E337" s="69">
        <v>2700</v>
      </c>
      <c r="F337" s="384">
        <v>0</v>
      </c>
      <c r="G337" s="71">
        <v>2750</v>
      </c>
      <c r="H337" s="384">
        <v>0</v>
      </c>
      <c r="I337" s="69">
        <v>2200</v>
      </c>
      <c r="J337" s="384">
        <v>411068</v>
      </c>
      <c r="K337" s="70">
        <v>1900</v>
      </c>
      <c r="L337" s="385">
        <v>210600</v>
      </c>
      <c r="M337" s="70">
        <v>2000</v>
      </c>
      <c r="N337" s="385">
        <v>148200</v>
      </c>
      <c r="O337" s="67">
        <v>2100</v>
      </c>
      <c r="P337" s="385">
        <v>156000</v>
      </c>
      <c r="Q337" s="71">
        <v>2300</v>
      </c>
      <c r="R337" s="384">
        <v>163800</v>
      </c>
      <c r="S337" s="67"/>
      <c r="T337" s="384"/>
      <c r="U337" s="67"/>
      <c r="V337" s="384"/>
      <c r="W337" s="67"/>
      <c r="X337" s="384"/>
      <c r="Y337" s="67"/>
      <c r="Z337" s="384"/>
      <c r="AA337" s="67"/>
      <c r="AB337" s="384"/>
      <c r="AC337" s="71">
        <f t="shared" si="4"/>
        <v>15950</v>
      </c>
      <c r="AD337" s="384">
        <f t="shared" si="4"/>
        <v>1089668</v>
      </c>
    </row>
    <row r="338" spans="1:30" ht="15.6" x14ac:dyDescent="0.3">
      <c r="A338" s="387"/>
      <c r="B338" s="231" t="s">
        <v>355</v>
      </c>
      <c r="C338" s="67" t="s">
        <v>416</v>
      </c>
      <c r="D338" s="68" t="s">
        <v>374</v>
      </c>
      <c r="E338" s="69">
        <v>3800</v>
      </c>
      <c r="F338" s="384"/>
      <c r="G338" s="71">
        <v>4000</v>
      </c>
      <c r="H338" s="384"/>
      <c r="I338" s="69">
        <v>4400</v>
      </c>
      <c r="J338" s="384"/>
      <c r="K338" s="70">
        <v>3800</v>
      </c>
      <c r="L338" s="386"/>
      <c r="M338" s="70">
        <v>4000</v>
      </c>
      <c r="N338" s="386"/>
      <c r="O338" s="67">
        <v>4200</v>
      </c>
      <c r="P338" s="386"/>
      <c r="Q338" s="71">
        <v>4600</v>
      </c>
      <c r="R338" s="384"/>
      <c r="S338" s="67"/>
      <c r="T338" s="384"/>
      <c r="U338" s="67"/>
      <c r="V338" s="384"/>
      <c r="W338" s="67"/>
      <c r="X338" s="384"/>
      <c r="Y338" s="67"/>
      <c r="Z338" s="384"/>
      <c r="AA338" s="67"/>
      <c r="AB338" s="384"/>
      <c r="AC338" s="71">
        <f t="shared" si="4"/>
        <v>28800</v>
      </c>
      <c r="AD338" s="384">
        <f t="shared" si="4"/>
        <v>0</v>
      </c>
    </row>
    <row r="339" spans="1:30" ht="15.6" x14ac:dyDescent="0.3">
      <c r="A339" s="387">
        <v>168</v>
      </c>
      <c r="B339" s="230" t="s">
        <v>355</v>
      </c>
      <c r="C339" s="67" t="s">
        <v>354</v>
      </c>
      <c r="D339" s="68" t="s">
        <v>373</v>
      </c>
      <c r="E339" s="69">
        <v>3600</v>
      </c>
      <c r="F339" s="384">
        <v>0</v>
      </c>
      <c r="G339" s="71">
        <v>3500</v>
      </c>
      <c r="H339" s="384">
        <v>0</v>
      </c>
      <c r="I339" s="69">
        <v>2200</v>
      </c>
      <c r="J339" s="384">
        <v>527464</v>
      </c>
      <c r="K339" s="70">
        <v>1900</v>
      </c>
      <c r="L339" s="385">
        <v>192037.5</v>
      </c>
      <c r="M339" s="70">
        <v>2000</v>
      </c>
      <c r="N339" s="385">
        <v>135137.5</v>
      </c>
      <c r="O339" s="67">
        <v>2100</v>
      </c>
      <c r="P339" s="385">
        <v>142250</v>
      </c>
      <c r="Q339" s="71">
        <v>2300</v>
      </c>
      <c r="R339" s="384">
        <v>149362.5</v>
      </c>
      <c r="S339" s="67"/>
      <c r="T339" s="384"/>
      <c r="U339" s="67"/>
      <c r="V339" s="384"/>
      <c r="W339" s="67"/>
      <c r="X339" s="384"/>
      <c r="Y339" s="67"/>
      <c r="Z339" s="384"/>
      <c r="AA339" s="67"/>
      <c r="AB339" s="384"/>
      <c r="AC339" s="71">
        <f t="shared" si="4"/>
        <v>17600</v>
      </c>
      <c r="AD339" s="384">
        <f t="shared" si="4"/>
        <v>1146251.5</v>
      </c>
    </row>
    <row r="340" spans="1:30" ht="15.6" x14ac:dyDescent="0.3">
      <c r="A340" s="387"/>
      <c r="B340" s="231" t="s">
        <v>355</v>
      </c>
      <c r="C340" s="67" t="s">
        <v>354</v>
      </c>
      <c r="D340" s="68" t="s">
        <v>374</v>
      </c>
      <c r="E340" s="69">
        <v>4750</v>
      </c>
      <c r="F340" s="384"/>
      <c r="G340" s="71">
        <v>4625</v>
      </c>
      <c r="H340" s="384"/>
      <c r="I340" s="69">
        <v>3850</v>
      </c>
      <c r="J340" s="384"/>
      <c r="K340" s="70">
        <v>3325</v>
      </c>
      <c r="L340" s="386"/>
      <c r="M340" s="70">
        <v>3500</v>
      </c>
      <c r="N340" s="386"/>
      <c r="O340" s="67">
        <v>3675</v>
      </c>
      <c r="P340" s="386"/>
      <c r="Q340" s="71">
        <v>4025</v>
      </c>
      <c r="R340" s="384"/>
      <c r="S340" s="67"/>
      <c r="T340" s="384"/>
      <c r="U340" s="67"/>
      <c r="V340" s="384"/>
      <c r="W340" s="67"/>
      <c r="X340" s="384"/>
      <c r="Y340" s="67"/>
      <c r="Z340" s="384"/>
      <c r="AA340" s="67"/>
      <c r="AB340" s="384"/>
      <c r="AC340" s="71">
        <f t="shared" si="4"/>
        <v>27750</v>
      </c>
      <c r="AD340" s="384">
        <f t="shared" si="4"/>
        <v>0</v>
      </c>
    </row>
    <row r="341" spans="1:30" ht="15.6" x14ac:dyDescent="0.3">
      <c r="A341" s="387">
        <v>169</v>
      </c>
      <c r="B341" s="230" t="s">
        <v>355</v>
      </c>
      <c r="C341" s="67" t="s">
        <v>347</v>
      </c>
      <c r="D341" s="68" t="s">
        <v>373</v>
      </c>
      <c r="E341" s="69">
        <v>2700</v>
      </c>
      <c r="F341" s="384">
        <v>0</v>
      </c>
      <c r="G341" s="71">
        <v>2750</v>
      </c>
      <c r="H341" s="384">
        <v>0</v>
      </c>
      <c r="I341" s="69">
        <v>2200</v>
      </c>
      <c r="J341" s="384">
        <v>472948</v>
      </c>
      <c r="K341" s="70">
        <v>1900</v>
      </c>
      <c r="L341" s="385">
        <v>205200</v>
      </c>
      <c r="M341" s="70">
        <v>2000</v>
      </c>
      <c r="N341" s="385">
        <v>144400</v>
      </c>
      <c r="O341" s="67">
        <v>2100</v>
      </c>
      <c r="P341" s="385">
        <v>152000</v>
      </c>
      <c r="Q341" s="71">
        <v>2300</v>
      </c>
      <c r="R341" s="384">
        <v>159600</v>
      </c>
      <c r="S341" s="67"/>
      <c r="T341" s="384"/>
      <c r="U341" s="67"/>
      <c r="V341" s="384"/>
      <c r="W341" s="67"/>
      <c r="X341" s="384"/>
      <c r="Y341" s="67"/>
      <c r="Z341" s="384"/>
      <c r="AA341" s="67"/>
      <c r="AB341" s="384"/>
      <c r="AC341" s="71">
        <f t="shared" si="4"/>
        <v>15950</v>
      </c>
      <c r="AD341" s="384">
        <f t="shared" si="4"/>
        <v>1134148</v>
      </c>
    </row>
    <row r="342" spans="1:30" ht="15.6" x14ac:dyDescent="0.3">
      <c r="A342" s="387"/>
      <c r="B342" s="231" t="s">
        <v>355</v>
      </c>
      <c r="C342" s="67" t="s">
        <v>347</v>
      </c>
      <c r="D342" s="68" t="s">
        <v>374</v>
      </c>
      <c r="E342" s="69">
        <v>4750</v>
      </c>
      <c r="F342" s="384"/>
      <c r="G342" s="71">
        <v>4750</v>
      </c>
      <c r="H342" s="384"/>
      <c r="I342" s="69">
        <v>4400</v>
      </c>
      <c r="J342" s="384"/>
      <c r="K342" s="70">
        <v>3800</v>
      </c>
      <c r="L342" s="386"/>
      <c r="M342" s="70">
        <v>4000</v>
      </c>
      <c r="N342" s="386"/>
      <c r="O342" s="67">
        <v>4200</v>
      </c>
      <c r="P342" s="386"/>
      <c r="Q342" s="71">
        <v>4600</v>
      </c>
      <c r="R342" s="384"/>
      <c r="S342" s="67"/>
      <c r="T342" s="384"/>
      <c r="U342" s="67"/>
      <c r="V342" s="384"/>
      <c r="W342" s="67"/>
      <c r="X342" s="384"/>
      <c r="Y342" s="67"/>
      <c r="Z342" s="384"/>
      <c r="AA342" s="67"/>
      <c r="AB342" s="384"/>
      <c r="AC342" s="71">
        <f t="shared" si="4"/>
        <v>30500</v>
      </c>
      <c r="AD342" s="384">
        <f t="shared" si="4"/>
        <v>0</v>
      </c>
    </row>
    <row r="343" spans="1:30" ht="15.6" x14ac:dyDescent="0.3">
      <c r="A343" s="387">
        <v>170</v>
      </c>
      <c r="B343" s="230" t="s">
        <v>356</v>
      </c>
      <c r="C343" s="67" t="s">
        <v>357</v>
      </c>
      <c r="D343" s="68" t="s">
        <v>373</v>
      </c>
      <c r="E343" s="69">
        <v>1800</v>
      </c>
      <c r="F343" s="384">
        <v>0</v>
      </c>
      <c r="G343" s="69">
        <v>1785</v>
      </c>
      <c r="H343" s="384">
        <v>0</v>
      </c>
      <c r="I343" s="69">
        <v>1650</v>
      </c>
      <c r="J343" s="384">
        <v>356491.25</v>
      </c>
      <c r="K343" s="70">
        <v>1410</v>
      </c>
      <c r="L343" s="385">
        <v>176593.34999999998</v>
      </c>
      <c r="M343" s="70">
        <v>1465</v>
      </c>
      <c r="N343" s="385">
        <v>143168.9</v>
      </c>
      <c r="O343" s="67">
        <v>1568</v>
      </c>
      <c r="P343" s="385">
        <v>154155.80000000005</v>
      </c>
      <c r="Q343" s="71">
        <v>1708</v>
      </c>
      <c r="R343" s="384">
        <v>167436.01</v>
      </c>
      <c r="S343" s="67"/>
      <c r="T343" s="384"/>
      <c r="U343" s="67"/>
      <c r="V343" s="384"/>
      <c r="W343" s="67"/>
      <c r="X343" s="384"/>
      <c r="Y343" s="67"/>
      <c r="Z343" s="384"/>
      <c r="AA343" s="67"/>
      <c r="AB343" s="384"/>
      <c r="AC343" s="71">
        <f t="shared" si="4"/>
        <v>11386</v>
      </c>
      <c r="AD343" s="384">
        <f t="shared" si="4"/>
        <v>997845.31</v>
      </c>
    </row>
    <row r="344" spans="1:30" ht="15.6" x14ac:dyDescent="0.3">
      <c r="A344" s="387"/>
      <c r="B344" s="231" t="s">
        <v>356</v>
      </c>
      <c r="C344" s="67" t="s">
        <v>357</v>
      </c>
      <c r="D344" s="68" t="s">
        <v>374</v>
      </c>
      <c r="E344" s="69">
        <v>3555</v>
      </c>
      <c r="F344" s="384"/>
      <c r="G344" s="69">
        <v>3539</v>
      </c>
      <c r="H344" s="384"/>
      <c r="I344" s="69">
        <v>3850</v>
      </c>
      <c r="J344" s="384"/>
      <c r="K344" s="70">
        <v>2876</v>
      </c>
      <c r="L344" s="386"/>
      <c r="M344" s="70">
        <v>3145</v>
      </c>
      <c r="N344" s="386"/>
      <c r="O344" s="67">
        <v>3437</v>
      </c>
      <c r="P344" s="386"/>
      <c r="Q344" s="71">
        <v>3657</v>
      </c>
      <c r="R344" s="384"/>
      <c r="S344" s="67"/>
      <c r="T344" s="384"/>
      <c r="U344" s="67"/>
      <c r="V344" s="384"/>
      <c r="W344" s="67"/>
      <c r="X344" s="384"/>
      <c r="Y344" s="67"/>
      <c r="Z344" s="384"/>
      <c r="AA344" s="67"/>
      <c r="AB344" s="384"/>
      <c r="AC344" s="71">
        <f t="shared" si="4"/>
        <v>24059</v>
      </c>
      <c r="AD344" s="384">
        <f t="shared" si="4"/>
        <v>0</v>
      </c>
    </row>
    <row r="345" spans="1:30" ht="15.6" x14ac:dyDescent="0.3">
      <c r="A345" s="387">
        <v>171</v>
      </c>
      <c r="B345" s="230" t="s">
        <v>356</v>
      </c>
      <c r="C345" s="67" t="s">
        <v>359</v>
      </c>
      <c r="D345" s="68" t="s">
        <v>373</v>
      </c>
      <c r="E345" s="69">
        <v>1800</v>
      </c>
      <c r="F345" s="384">
        <v>0</v>
      </c>
      <c r="G345" s="69">
        <v>1900</v>
      </c>
      <c r="H345" s="384">
        <v>0</v>
      </c>
      <c r="I345" s="69">
        <v>1980</v>
      </c>
      <c r="J345" s="384">
        <v>359191.6</v>
      </c>
      <c r="K345" s="70">
        <v>1677</v>
      </c>
      <c r="L345" s="385">
        <v>155763.29000000004</v>
      </c>
      <c r="M345" s="70">
        <v>1708</v>
      </c>
      <c r="N345" s="385">
        <v>138805.94</v>
      </c>
      <c r="O345" s="67">
        <v>1759</v>
      </c>
      <c r="P345" s="385">
        <v>148560.06000000006</v>
      </c>
      <c r="Q345" s="71">
        <v>2010</v>
      </c>
      <c r="R345" s="384">
        <v>155115.62999999989</v>
      </c>
      <c r="S345" s="67"/>
      <c r="T345" s="384"/>
      <c r="U345" s="67"/>
      <c r="V345" s="384"/>
      <c r="W345" s="67"/>
      <c r="X345" s="384"/>
      <c r="Y345" s="67"/>
      <c r="Z345" s="384"/>
      <c r="AA345" s="67"/>
      <c r="AB345" s="384"/>
      <c r="AC345" s="71">
        <f t="shared" si="4"/>
        <v>12834</v>
      </c>
      <c r="AD345" s="384">
        <f t="shared" si="4"/>
        <v>957436.5199999999</v>
      </c>
    </row>
    <row r="346" spans="1:30" ht="15.6" x14ac:dyDescent="0.3">
      <c r="A346" s="387"/>
      <c r="B346" s="231" t="s">
        <v>356</v>
      </c>
      <c r="C346" s="67" t="s">
        <v>359</v>
      </c>
      <c r="D346" s="68" t="s">
        <v>374</v>
      </c>
      <c r="E346" s="69">
        <v>3605</v>
      </c>
      <c r="F346" s="384"/>
      <c r="G346" s="69">
        <v>3500</v>
      </c>
      <c r="H346" s="384"/>
      <c r="I346" s="69">
        <v>3300</v>
      </c>
      <c r="J346" s="384"/>
      <c r="K346" s="70">
        <v>2573</v>
      </c>
      <c r="L346" s="386"/>
      <c r="M346" s="70">
        <v>2762</v>
      </c>
      <c r="N346" s="386"/>
      <c r="O346" s="67">
        <v>2906</v>
      </c>
      <c r="P346" s="386"/>
      <c r="Q346" s="71">
        <v>3146</v>
      </c>
      <c r="R346" s="384"/>
      <c r="S346" s="67"/>
      <c r="T346" s="384"/>
      <c r="U346" s="67"/>
      <c r="V346" s="384"/>
      <c r="W346" s="67"/>
      <c r="X346" s="384"/>
      <c r="Y346" s="67"/>
      <c r="Z346" s="384"/>
      <c r="AA346" s="67"/>
      <c r="AB346" s="384"/>
      <c r="AC346" s="71">
        <f t="shared" ref="AC346:AD358" si="5">AA346+Y346+W346+U346+S346+Q346+O346+K346+M346+I346+G346+E346</f>
        <v>21792</v>
      </c>
      <c r="AD346" s="384">
        <f t="shared" si="5"/>
        <v>0</v>
      </c>
    </row>
    <row r="347" spans="1:30" ht="15.6" x14ac:dyDescent="0.3">
      <c r="A347" s="387">
        <v>172</v>
      </c>
      <c r="B347" s="230" t="s">
        <v>356</v>
      </c>
      <c r="C347" s="67" t="s">
        <v>360</v>
      </c>
      <c r="D347" s="68" t="s">
        <v>373</v>
      </c>
      <c r="E347" s="69">
        <v>1800</v>
      </c>
      <c r="F347" s="384">
        <v>0</v>
      </c>
      <c r="G347" s="69">
        <v>1560</v>
      </c>
      <c r="H347" s="384">
        <v>0</v>
      </c>
      <c r="I347" s="69">
        <v>1760</v>
      </c>
      <c r="J347" s="384">
        <v>298946.5</v>
      </c>
      <c r="K347" s="70">
        <v>1500</v>
      </c>
      <c r="L347" s="385">
        <v>147875.83000000002</v>
      </c>
      <c r="M347" s="70">
        <v>1568</v>
      </c>
      <c r="N347" s="385">
        <v>122832.8</v>
      </c>
      <c r="O347" s="67">
        <v>1659</v>
      </c>
      <c r="P347" s="385">
        <v>133606.10999999999</v>
      </c>
      <c r="Q347" s="71">
        <v>1835</v>
      </c>
      <c r="R347" s="384">
        <v>142618.22999999998</v>
      </c>
      <c r="S347" s="67"/>
      <c r="T347" s="384"/>
      <c r="U347" s="67"/>
      <c r="V347" s="384"/>
      <c r="W347" s="67"/>
      <c r="X347" s="384"/>
      <c r="Y347" s="67"/>
      <c r="Z347" s="384"/>
      <c r="AA347" s="67"/>
      <c r="AB347" s="384"/>
      <c r="AC347" s="71">
        <f t="shared" si="5"/>
        <v>11682</v>
      </c>
      <c r="AD347" s="384">
        <f t="shared" si="5"/>
        <v>845879.47</v>
      </c>
    </row>
    <row r="348" spans="1:30" ht="15.6" x14ac:dyDescent="0.3">
      <c r="A348" s="387"/>
      <c r="B348" s="231" t="s">
        <v>356</v>
      </c>
      <c r="C348" s="67" t="s">
        <v>360</v>
      </c>
      <c r="D348" s="68" t="s">
        <v>374</v>
      </c>
      <c r="E348" s="69">
        <v>2786</v>
      </c>
      <c r="F348" s="384"/>
      <c r="G348" s="69">
        <v>2600</v>
      </c>
      <c r="H348" s="384"/>
      <c r="I348" s="69">
        <v>2860</v>
      </c>
      <c r="J348" s="384"/>
      <c r="K348" s="70">
        <v>2204</v>
      </c>
      <c r="L348" s="386"/>
      <c r="M348" s="70">
        <v>2455</v>
      </c>
      <c r="N348" s="386"/>
      <c r="O348" s="67">
        <v>2634</v>
      </c>
      <c r="P348" s="386"/>
      <c r="Q348" s="71">
        <v>2752</v>
      </c>
      <c r="R348" s="384"/>
      <c r="S348" s="67"/>
      <c r="T348" s="384"/>
      <c r="U348" s="67"/>
      <c r="V348" s="384"/>
      <c r="W348" s="67"/>
      <c r="X348" s="384"/>
      <c r="Y348" s="67"/>
      <c r="Z348" s="384"/>
      <c r="AA348" s="67"/>
      <c r="AB348" s="384"/>
      <c r="AC348" s="71">
        <f t="shared" si="5"/>
        <v>18291</v>
      </c>
      <c r="AD348" s="384">
        <f t="shared" si="5"/>
        <v>0</v>
      </c>
    </row>
    <row r="349" spans="1:30" ht="15.6" x14ac:dyDescent="0.3">
      <c r="A349" s="387">
        <v>173</v>
      </c>
      <c r="B349" s="230" t="s">
        <v>356</v>
      </c>
      <c r="C349" s="67" t="s">
        <v>361</v>
      </c>
      <c r="D349" s="68" t="s">
        <v>373</v>
      </c>
      <c r="E349" s="69">
        <v>1800</v>
      </c>
      <c r="F349" s="384">
        <v>0</v>
      </c>
      <c r="G349" s="69">
        <v>1750</v>
      </c>
      <c r="H349" s="384">
        <v>0</v>
      </c>
      <c r="I349" s="69">
        <v>1650</v>
      </c>
      <c r="J349" s="384">
        <v>302343.8</v>
      </c>
      <c r="K349" s="70">
        <v>1316</v>
      </c>
      <c r="L349" s="385">
        <v>123831.32</v>
      </c>
      <c r="M349" s="70">
        <v>1388</v>
      </c>
      <c r="N349" s="385">
        <v>110740.32</v>
      </c>
      <c r="O349" s="67">
        <v>1543</v>
      </c>
      <c r="P349" s="385">
        <v>112321.84000000008</v>
      </c>
      <c r="Q349" s="71">
        <v>1688</v>
      </c>
      <c r="R349" s="384">
        <v>133926.76</v>
      </c>
      <c r="S349" s="67"/>
      <c r="T349" s="384"/>
      <c r="U349" s="67"/>
      <c r="V349" s="384"/>
      <c r="W349" s="67"/>
      <c r="X349" s="384"/>
      <c r="Y349" s="67"/>
      <c r="Z349" s="384"/>
      <c r="AA349" s="67"/>
      <c r="AB349" s="384"/>
      <c r="AC349" s="71">
        <f t="shared" si="5"/>
        <v>11135</v>
      </c>
      <c r="AD349" s="384">
        <f t="shared" si="5"/>
        <v>783164.04</v>
      </c>
    </row>
    <row r="350" spans="1:30" ht="15.6" x14ac:dyDescent="0.3">
      <c r="A350" s="387"/>
      <c r="B350" s="231" t="s">
        <v>356</v>
      </c>
      <c r="C350" s="67" t="s">
        <v>361</v>
      </c>
      <c r="D350" s="68" t="s">
        <v>374</v>
      </c>
      <c r="E350" s="69">
        <v>2804</v>
      </c>
      <c r="F350" s="384"/>
      <c r="G350" s="69">
        <v>2750</v>
      </c>
      <c r="H350" s="384"/>
      <c r="I350" s="69">
        <v>2750</v>
      </c>
      <c r="J350" s="384"/>
      <c r="K350" s="70">
        <v>2020</v>
      </c>
      <c r="L350" s="386"/>
      <c r="M350" s="70">
        <v>2006</v>
      </c>
      <c r="N350" s="386"/>
      <c r="O350" s="67">
        <v>2487</v>
      </c>
      <c r="P350" s="386"/>
      <c r="Q350" s="71">
        <v>2572</v>
      </c>
      <c r="R350" s="384"/>
      <c r="S350" s="67"/>
      <c r="T350" s="384"/>
      <c r="U350" s="67"/>
      <c r="V350" s="384"/>
      <c r="W350" s="67"/>
      <c r="X350" s="384"/>
      <c r="Y350" s="67"/>
      <c r="Z350" s="384"/>
      <c r="AA350" s="67"/>
      <c r="AB350" s="384"/>
      <c r="AC350" s="71">
        <f t="shared" si="5"/>
        <v>17389</v>
      </c>
      <c r="AD350" s="384">
        <f t="shared" si="5"/>
        <v>0</v>
      </c>
    </row>
    <row r="351" spans="1:30" ht="15.6" x14ac:dyDescent="0.3">
      <c r="A351" s="391">
        <v>174</v>
      </c>
      <c r="B351" s="232" t="s">
        <v>356</v>
      </c>
      <c r="C351" s="73" t="s">
        <v>363</v>
      </c>
      <c r="D351" s="74" t="s">
        <v>373</v>
      </c>
      <c r="E351" s="75">
        <v>0</v>
      </c>
      <c r="F351" s="389">
        <v>0</v>
      </c>
      <c r="G351" s="233">
        <v>0</v>
      </c>
      <c r="H351" s="389">
        <v>0</v>
      </c>
      <c r="I351" s="233">
        <v>0</v>
      </c>
      <c r="J351" s="389">
        <v>0</v>
      </c>
      <c r="K351" s="233">
        <v>0</v>
      </c>
      <c r="L351" s="389">
        <v>0</v>
      </c>
      <c r="M351" s="233">
        <v>0</v>
      </c>
      <c r="N351" s="389">
        <v>0</v>
      </c>
      <c r="O351" s="73">
        <v>0</v>
      </c>
      <c r="P351" s="389">
        <v>0</v>
      </c>
      <c r="Q351" s="76">
        <v>800</v>
      </c>
      <c r="R351" s="388">
        <v>0</v>
      </c>
      <c r="S351" s="73"/>
      <c r="T351" s="388"/>
      <c r="U351" s="73"/>
      <c r="V351" s="388"/>
      <c r="W351" s="73"/>
      <c r="X351" s="388"/>
      <c r="Y351" s="73"/>
      <c r="Z351" s="388"/>
      <c r="AA351" s="73"/>
      <c r="AB351" s="388"/>
      <c r="AC351" s="76">
        <f t="shared" si="5"/>
        <v>800</v>
      </c>
      <c r="AD351" s="388">
        <f t="shared" si="5"/>
        <v>0</v>
      </c>
    </row>
    <row r="352" spans="1:30" ht="15.6" x14ac:dyDescent="0.3">
      <c r="A352" s="391"/>
      <c r="B352" s="234" t="s">
        <v>356</v>
      </c>
      <c r="C352" s="73" t="s">
        <v>363</v>
      </c>
      <c r="D352" s="74" t="s">
        <v>374</v>
      </c>
      <c r="E352" s="75">
        <v>0</v>
      </c>
      <c r="F352" s="390"/>
      <c r="G352" s="233">
        <v>0</v>
      </c>
      <c r="H352" s="390"/>
      <c r="I352" s="233">
        <v>0</v>
      </c>
      <c r="J352" s="390"/>
      <c r="K352" s="233">
        <v>0</v>
      </c>
      <c r="L352" s="390"/>
      <c r="M352" s="233">
        <v>0</v>
      </c>
      <c r="N352" s="390"/>
      <c r="O352" s="73">
        <v>0</v>
      </c>
      <c r="P352" s="390"/>
      <c r="Q352" s="76">
        <v>1187</v>
      </c>
      <c r="R352" s="388"/>
      <c r="S352" s="73"/>
      <c r="T352" s="388"/>
      <c r="U352" s="73"/>
      <c r="V352" s="388"/>
      <c r="W352" s="73"/>
      <c r="X352" s="388"/>
      <c r="Y352" s="73"/>
      <c r="Z352" s="388"/>
      <c r="AA352" s="73"/>
      <c r="AB352" s="388"/>
      <c r="AC352" s="76">
        <f t="shared" si="5"/>
        <v>1187</v>
      </c>
      <c r="AD352" s="388">
        <f t="shared" si="5"/>
        <v>0</v>
      </c>
    </row>
    <row r="353" spans="1:30" ht="15.6" x14ac:dyDescent="0.3">
      <c r="A353" s="387">
        <v>175</v>
      </c>
      <c r="B353" s="230" t="s">
        <v>356</v>
      </c>
      <c r="C353" s="67" t="s">
        <v>364</v>
      </c>
      <c r="D353" s="68" t="s">
        <v>373</v>
      </c>
      <c r="E353" s="69">
        <v>1350</v>
      </c>
      <c r="F353" s="384">
        <v>0</v>
      </c>
      <c r="G353" s="69">
        <v>1500</v>
      </c>
      <c r="H353" s="384">
        <v>0</v>
      </c>
      <c r="I353" s="69">
        <v>1650</v>
      </c>
      <c r="J353" s="384">
        <v>251585.7</v>
      </c>
      <c r="K353" s="70">
        <v>1405</v>
      </c>
      <c r="L353" s="385">
        <v>137777.74</v>
      </c>
      <c r="M353" s="70">
        <v>1480</v>
      </c>
      <c r="N353" s="385">
        <v>116313.8</v>
      </c>
      <c r="O353" s="67">
        <v>1566</v>
      </c>
      <c r="P353" s="385">
        <v>128615.09999999998</v>
      </c>
      <c r="Q353" s="71">
        <v>1692</v>
      </c>
      <c r="R353" s="384">
        <v>136334.02000000002</v>
      </c>
      <c r="S353" s="67"/>
      <c r="T353" s="384"/>
      <c r="U353" s="67"/>
      <c r="V353" s="384"/>
      <c r="W353" s="67"/>
      <c r="X353" s="384"/>
      <c r="Y353" s="67"/>
      <c r="Z353" s="385"/>
      <c r="AA353" s="67"/>
      <c r="AB353" s="384"/>
      <c r="AC353" s="71">
        <f t="shared" si="5"/>
        <v>10643</v>
      </c>
      <c r="AD353" s="384">
        <f t="shared" si="5"/>
        <v>770626.36</v>
      </c>
    </row>
    <row r="354" spans="1:30" ht="15.6" x14ac:dyDescent="0.3">
      <c r="A354" s="387"/>
      <c r="B354" s="231" t="s">
        <v>356</v>
      </c>
      <c r="C354" s="67" t="s">
        <v>364</v>
      </c>
      <c r="D354" s="68" t="s">
        <v>374</v>
      </c>
      <c r="E354" s="69">
        <v>2334</v>
      </c>
      <c r="F354" s="384"/>
      <c r="G354" s="69">
        <v>2382</v>
      </c>
      <c r="H354" s="384"/>
      <c r="I354" s="69">
        <v>2750</v>
      </c>
      <c r="J354" s="384"/>
      <c r="K354" s="70">
        <v>2226</v>
      </c>
      <c r="L354" s="386"/>
      <c r="M354" s="70">
        <v>2390</v>
      </c>
      <c r="N354" s="386"/>
      <c r="O354" s="67">
        <v>2536</v>
      </c>
      <c r="P354" s="386"/>
      <c r="Q354" s="71">
        <v>2681</v>
      </c>
      <c r="R354" s="384"/>
      <c r="S354" s="67"/>
      <c r="T354" s="384"/>
      <c r="U354" s="67"/>
      <c r="V354" s="384"/>
      <c r="W354" s="67"/>
      <c r="X354" s="384"/>
      <c r="Y354" s="67"/>
      <c r="Z354" s="386"/>
      <c r="AA354" s="67"/>
      <c r="AB354" s="384"/>
      <c r="AC354" s="71">
        <f t="shared" si="5"/>
        <v>17299</v>
      </c>
      <c r="AD354" s="384">
        <f t="shared" si="5"/>
        <v>0</v>
      </c>
    </row>
    <row r="355" spans="1:30" ht="15.6" x14ac:dyDescent="0.3">
      <c r="A355" s="387">
        <v>176</v>
      </c>
      <c r="B355" s="230" t="s">
        <v>356</v>
      </c>
      <c r="C355" s="67" t="s">
        <v>417</v>
      </c>
      <c r="D355" s="68" t="s">
        <v>373</v>
      </c>
      <c r="E355" s="69">
        <v>0</v>
      </c>
      <c r="F355" s="384">
        <v>0</v>
      </c>
      <c r="G355" s="69">
        <v>0</v>
      </c>
      <c r="H355" s="384">
        <v>0</v>
      </c>
      <c r="I355" s="69">
        <v>0</v>
      </c>
      <c r="J355" s="384">
        <v>0</v>
      </c>
      <c r="K355" s="69">
        <v>0</v>
      </c>
      <c r="L355" s="384">
        <v>0</v>
      </c>
      <c r="M355" s="69">
        <v>0</v>
      </c>
      <c r="N355" s="384">
        <v>0</v>
      </c>
      <c r="O355" s="67">
        <v>900</v>
      </c>
      <c r="P355" s="385">
        <v>0</v>
      </c>
      <c r="Q355" s="71">
        <v>2300</v>
      </c>
      <c r="R355" s="384">
        <v>72686.850000000006</v>
      </c>
      <c r="S355" s="67"/>
      <c r="T355" s="384"/>
      <c r="U355" s="67"/>
      <c r="V355" s="384"/>
      <c r="W355" s="67"/>
      <c r="X355" s="384"/>
      <c r="Y355" s="67"/>
      <c r="Z355" s="384"/>
      <c r="AA355" s="67"/>
      <c r="AB355" s="384"/>
      <c r="AC355" s="71">
        <f t="shared" si="5"/>
        <v>3200</v>
      </c>
      <c r="AD355" s="384">
        <f t="shared" si="5"/>
        <v>72686.850000000006</v>
      </c>
    </row>
    <row r="356" spans="1:30" ht="15.6" x14ac:dyDescent="0.3">
      <c r="A356" s="387"/>
      <c r="B356" s="231" t="s">
        <v>356</v>
      </c>
      <c r="C356" s="67" t="s">
        <v>417</v>
      </c>
      <c r="D356" s="68" t="s">
        <v>374</v>
      </c>
      <c r="E356" s="69">
        <v>0</v>
      </c>
      <c r="F356" s="384"/>
      <c r="G356" s="69">
        <v>0</v>
      </c>
      <c r="H356" s="384"/>
      <c r="I356" s="69">
        <v>0</v>
      </c>
      <c r="J356" s="384"/>
      <c r="K356" s="69">
        <v>0</v>
      </c>
      <c r="L356" s="384"/>
      <c r="M356" s="69">
        <v>0</v>
      </c>
      <c r="N356" s="384"/>
      <c r="O356" s="67">
        <v>1293</v>
      </c>
      <c r="P356" s="386"/>
      <c r="Q356" s="71">
        <v>3401</v>
      </c>
      <c r="R356" s="384"/>
      <c r="S356" s="67"/>
      <c r="T356" s="384"/>
      <c r="U356" s="67"/>
      <c r="V356" s="384"/>
      <c r="W356" s="67"/>
      <c r="X356" s="384"/>
      <c r="Y356" s="67"/>
      <c r="Z356" s="384"/>
      <c r="AA356" s="67"/>
      <c r="AB356" s="384"/>
      <c r="AC356" s="71">
        <f t="shared" si="5"/>
        <v>4694</v>
      </c>
      <c r="AD356" s="384">
        <f t="shared" si="5"/>
        <v>0</v>
      </c>
    </row>
    <row r="357" spans="1:30" ht="15.6" x14ac:dyDescent="0.3">
      <c r="A357" s="387">
        <v>177</v>
      </c>
      <c r="B357" s="230" t="s">
        <v>356</v>
      </c>
      <c r="C357" s="67" t="s">
        <v>366</v>
      </c>
      <c r="D357" s="68" t="s">
        <v>373</v>
      </c>
      <c r="E357" s="69">
        <v>1800</v>
      </c>
      <c r="F357" s="384">
        <v>0</v>
      </c>
      <c r="G357" s="69">
        <v>1750</v>
      </c>
      <c r="H357" s="384">
        <v>0</v>
      </c>
      <c r="I357" s="69">
        <v>1650</v>
      </c>
      <c r="J357" s="384">
        <v>367488.75</v>
      </c>
      <c r="K357" s="70">
        <v>1412</v>
      </c>
      <c r="L357" s="385">
        <v>178268.15000000002</v>
      </c>
      <c r="M357" s="70">
        <v>1500</v>
      </c>
      <c r="N357" s="385">
        <v>153325.29</v>
      </c>
      <c r="O357" s="67">
        <v>1125</v>
      </c>
      <c r="P357" s="385">
        <v>165550.80000000005</v>
      </c>
      <c r="Q357" s="71">
        <v>1684</v>
      </c>
      <c r="R357" s="384">
        <v>123060.69999999984</v>
      </c>
      <c r="S357" s="67"/>
      <c r="T357" s="384"/>
      <c r="U357" s="67"/>
      <c r="V357" s="384"/>
      <c r="W357" s="67"/>
      <c r="X357" s="384"/>
      <c r="Y357" s="67"/>
      <c r="Z357" s="384"/>
      <c r="AA357" s="67"/>
      <c r="AB357" s="384"/>
      <c r="AC357" s="71">
        <f t="shared" si="5"/>
        <v>10921</v>
      </c>
      <c r="AD357" s="384">
        <f t="shared" si="5"/>
        <v>987693.69</v>
      </c>
    </row>
    <row r="358" spans="1:30" ht="15.6" x14ac:dyDescent="0.3">
      <c r="A358" s="387"/>
      <c r="B358" s="231" t="s">
        <v>356</v>
      </c>
      <c r="C358" s="67" t="s">
        <v>366</v>
      </c>
      <c r="D358" s="68" t="s">
        <v>374</v>
      </c>
      <c r="E358" s="69">
        <v>3790</v>
      </c>
      <c r="F358" s="384"/>
      <c r="G358" s="69">
        <v>3655</v>
      </c>
      <c r="H358" s="384"/>
      <c r="I358" s="69">
        <v>3850</v>
      </c>
      <c r="J358" s="384"/>
      <c r="K358" s="70">
        <v>3189</v>
      </c>
      <c r="L358" s="386"/>
      <c r="M358" s="70">
        <v>3444</v>
      </c>
      <c r="N358" s="386"/>
      <c r="O358" s="67">
        <v>2551</v>
      </c>
      <c r="P358" s="386"/>
      <c r="Q358" s="71">
        <v>3861</v>
      </c>
      <c r="R358" s="384"/>
      <c r="S358" s="67"/>
      <c r="T358" s="384"/>
      <c r="U358" s="67"/>
      <c r="V358" s="384"/>
      <c r="W358" s="67"/>
      <c r="X358" s="384"/>
      <c r="Y358" s="67"/>
      <c r="Z358" s="384"/>
      <c r="AA358" s="67"/>
      <c r="AB358" s="384"/>
      <c r="AC358" s="71">
        <f t="shared" si="5"/>
        <v>24340</v>
      </c>
      <c r="AD358" s="384">
        <f t="shared" si="5"/>
        <v>0</v>
      </c>
    </row>
    <row r="359" spans="1:30" ht="15.6" x14ac:dyDescent="0.3">
      <c r="A359" s="77"/>
      <c r="B359" s="77"/>
      <c r="C359" s="77"/>
      <c r="D359" s="77"/>
      <c r="E359" s="78">
        <f t="shared" ref="E359:O359" si="6">SUM(E5:E358)</f>
        <v>604819</v>
      </c>
      <c r="F359" s="79">
        <f t="shared" si="6"/>
        <v>0</v>
      </c>
      <c r="G359" s="78">
        <f t="shared" si="6"/>
        <v>660250</v>
      </c>
      <c r="H359" s="79">
        <f t="shared" si="6"/>
        <v>5985531.3499999996</v>
      </c>
      <c r="I359" s="78">
        <f t="shared" si="6"/>
        <v>741090</v>
      </c>
      <c r="J359" s="79">
        <f t="shared" si="6"/>
        <v>29682740.499999996</v>
      </c>
      <c r="K359" s="78">
        <f t="shared" si="6"/>
        <v>670300</v>
      </c>
      <c r="L359" s="79">
        <f t="shared" si="6"/>
        <v>24636816.830000002</v>
      </c>
      <c r="M359" s="78">
        <f t="shared" si="6"/>
        <v>725572</v>
      </c>
      <c r="N359" s="79">
        <f t="shared" si="6"/>
        <v>19452549.069999997</v>
      </c>
      <c r="O359" s="78">
        <f t="shared" si="6"/>
        <v>820652</v>
      </c>
      <c r="P359" s="79">
        <v>23721454.66</v>
      </c>
      <c r="Q359" s="78">
        <f t="shared" ref="Q359:AD359" si="7">SUM(Q5:Q358)</f>
        <v>1066904</v>
      </c>
      <c r="R359" s="79">
        <f t="shared" si="7"/>
        <v>25682208.969999999</v>
      </c>
      <c r="S359" s="78">
        <f t="shared" si="7"/>
        <v>0</v>
      </c>
      <c r="T359" s="79">
        <f t="shared" si="7"/>
        <v>0</v>
      </c>
      <c r="U359" s="78">
        <f t="shared" si="7"/>
        <v>0</v>
      </c>
      <c r="V359" s="79">
        <f t="shared" si="7"/>
        <v>0</v>
      </c>
      <c r="W359" s="77">
        <f t="shared" si="7"/>
        <v>0</v>
      </c>
      <c r="X359" s="79">
        <f t="shared" si="7"/>
        <v>0</v>
      </c>
      <c r="Y359" s="77">
        <f t="shared" si="7"/>
        <v>0</v>
      </c>
      <c r="Z359" s="79">
        <f t="shared" si="7"/>
        <v>0</v>
      </c>
      <c r="AA359" s="80">
        <f t="shared" si="7"/>
        <v>0</v>
      </c>
      <c r="AB359" s="79">
        <f t="shared" si="7"/>
        <v>0</v>
      </c>
      <c r="AC359" s="80">
        <f t="shared" si="7"/>
        <v>5289587</v>
      </c>
      <c r="AD359" s="79">
        <f t="shared" si="7"/>
        <v>129161301.38</v>
      </c>
    </row>
    <row r="360" spans="1:30" ht="15.6" x14ac:dyDescent="0.3">
      <c r="A360" s="62"/>
      <c r="B360" s="62"/>
      <c r="C360" s="62"/>
      <c r="D360" s="62"/>
      <c r="E360" s="81"/>
      <c r="F360" s="82"/>
      <c r="G360" s="81"/>
      <c r="H360" s="82"/>
      <c r="I360" s="81"/>
      <c r="J360" s="82"/>
      <c r="K360" s="81"/>
      <c r="L360" s="82"/>
      <c r="M360" s="81"/>
      <c r="N360" s="82"/>
      <c r="O360" s="81"/>
      <c r="P360" s="82"/>
      <c r="Q360" s="81">
        <v>1065704</v>
      </c>
      <c r="R360" s="82"/>
      <c r="S360" s="62"/>
      <c r="T360" s="82"/>
      <c r="U360" s="83"/>
      <c r="V360" s="82"/>
      <c r="W360" s="62"/>
      <c r="X360" s="82"/>
      <c r="Y360" s="62"/>
      <c r="Z360" s="82"/>
      <c r="AA360" s="62"/>
      <c r="AB360" s="82"/>
      <c r="AC360" s="78"/>
      <c r="AD360" s="82">
        <v>129161301.38</v>
      </c>
    </row>
    <row r="361" spans="1:30" ht="15.6" x14ac:dyDescent="0.3">
      <c r="A361" s="62"/>
      <c r="B361" s="62"/>
      <c r="C361" s="62"/>
      <c r="D361" s="62"/>
      <c r="E361" s="81"/>
      <c r="F361" s="82"/>
      <c r="G361" s="81"/>
      <c r="H361" s="81"/>
      <c r="I361" s="81"/>
      <c r="J361" s="81"/>
      <c r="K361" s="81"/>
      <c r="L361" s="84"/>
      <c r="M361" s="81"/>
      <c r="N361" s="82"/>
      <c r="O361" s="81"/>
      <c r="P361" s="82"/>
      <c r="Q361" s="81"/>
      <c r="R361" s="82"/>
      <c r="S361" s="62"/>
      <c r="T361" s="82"/>
      <c r="U361" s="83"/>
      <c r="V361" s="82"/>
      <c r="W361" s="62"/>
      <c r="X361" s="82"/>
      <c r="Y361" s="62"/>
      <c r="Z361" s="82"/>
      <c r="AA361" s="62"/>
      <c r="AB361" s="82"/>
      <c r="AC361" s="81"/>
      <c r="AD361" s="82">
        <f>AD359-AD360</f>
        <v>0</v>
      </c>
    </row>
    <row r="362" spans="1:30" ht="15.6" x14ac:dyDescent="0.3">
      <c r="A362" s="62"/>
      <c r="B362" s="62"/>
      <c r="C362" s="62"/>
      <c r="D362" s="62"/>
      <c r="E362" s="81"/>
      <c r="F362" s="82"/>
      <c r="G362" s="81"/>
      <c r="H362" s="82"/>
      <c r="I362" s="81"/>
      <c r="J362" s="82"/>
      <c r="K362" s="81"/>
      <c r="L362" s="82"/>
      <c r="M362" s="62"/>
      <c r="N362" s="82"/>
      <c r="O362" s="62"/>
      <c r="P362" s="82"/>
      <c r="Q362" s="81"/>
      <c r="R362" s="82"/>
      <c r="S362" s="62"/>
      <c r="T362" s="82"/>
      <c r="U362" s="62"/>
      <c r="V362" s="82"/>
      <c r="W362" s="62"/>
      <c r="X362" s="82"/>
      <c r="Y362" s="62"/>
      <c r="Z362" s="82"/>
      <c r="AA362" s="62"/>
      <c r="AB362" s="82"/>
      <c r="AC362" s="81"/>
      <c r="AD362" s="82"/>
    </row>
    <row r="363" spans="1:30" ht="15.6" x14ac:dyDescent="0.3">
      <c r="A363" s="62"/>
      <c r="B363" s="62"/>
      <c r="C363" s="62"/>
      <c r="D363" s="62"/>
      <c r="E363" s="81"/>
      <c r="F363" s="82"/>
      <c r="G363" s="81"/>
      <c r="H363" s="82"/>
      <c r="I363" s="81"/>
      <c r="J363" s="82"/>
      <c r="K363" s="81"/>
      <c r="L363" s="82"/>
      <c r="M363" s="62"/>
      <c r="N363" s="82"/>
      <c r="O363" s="62"/>
      <c r="P363" s="82"/>
      <c r="Q363" s="81"/>
      <c r="R363" s="82"/>
      <c r="S363" s="62"/>
      <c r="T363" s="82"/>
      <c r="U363" s="62"/>
      <c r="V363" s="82"/>
      <c r="W363" s="62"/>
      <c r="X363" s="82"/>
      <c r="Y363" s="62"/>
      <c r="Z363" s="82"/>
      <c r="AA363" s="62"/>
      <c r="AB363" s="82"/>
      <c r="AC363" s="81"/>
      <c r="AD363" s="82"/>
    </row>
    <row r="364" spans="1:30" ht="15.6" x14ac:dyDescent="0.3">
      <c r="A364" s="62"/>
      <c r="B364" s="62"/>
      <c r="C364" s="62"/>
      <c r="D364" s="62"/>
      <c r="E364" s="81"/>
      <c r="F364" s="82"/>
      <c r="G364" s="81"/>
      <c r="H364" s="82"/>
      <c r="I364" s="81"/>
      <c r="J364" s="82"/>
      <c r="K364" s="81"/>
      <c r="L364" s="82"/>
      <c r="M364" s="62"/>
      <c r="N364" s="82"/>
      <c r="O364" s="62"/>
      <c r="P364" s="82"/>
      <c r="Q364" s="81"/>
      <c r="R364" s="82"/>
      <c r="S364" s="62"/>
      <c r="T364" s="82"/>
      <c r="U364" s="62"/>
      <c r="V364" s="82"/>
      <c r="W364" s="62"/>
      <c r="X364" s="82"/>
      <c r="Y364" s="62"/>
      <c r="Z364" s="82"/>
      <c r="AA364" s="62"/>
      <c r="AB364" s="82"/>
      <c r="AC364" s="81"/>
      <c r="AD364" s="82"/>
    </row>
  </sheetData>
  <mergeCells count="2497">
    <mergeCell ref="A1:AD1"/>
    <mergeCell ref="A2:AD2"/>
    <mergeCell ref="A3:A4"/>
    <mergeCell ref="B3:B4"/>
    <mergeCell ref="C3:C4"/>
    <mergeCell ref="D3:D4"/>
    <mergeCell ref="E3:F3"/>
    <mergeCell ref="G3:H3"/>
    <mergeCell ref="I3:J3"/>
    <mergeCell ref="K3:L3"/>
    <mergeCell ref="AD5:AD6"/>
    <mergeCell ref="A7:A8"/>
    <mergeCell ref="F7:F8"/>
    <mergeCell ref="H7:H8"/>
    <mergeCell ref="J7:J8"/>
    <mergeCell ref="L7:L8"/>
    <mergeCell ref="N7:N8"/>
    <mergeCell ref="P7:P8"/>
    <mergeCell ref="R7:R8"/>
    <mergeCell ref="T7:T8"/>
    <mergeCell ref="R5:R6"/>
    <mergeCell ref="T5:T6"/>
    <mergeCell ref="V5:V6"/>
    <mergeCell ref="X5:X6"/>
    <mergeCell ref="Z5:Z6"/>
    <mergeCell ref="AB5:AB6"/>
    <mergeCell ref="Y3:Z3"/>
    <mergeCell ref="AA3:AB3"/>
    <mergeCell ref="AC3:AD3"/>
    <mergeCell ref="A5:A6"/>
    <mergeCell ref="F5:F6"/>
    <mergeCell ref="H5:H6"/>
    <mergeCell ref="J5:J6"/>
    <mergeCell ref="L5:L6"/>
    <mergeCell ref="N5:N6"/>
    <mergeCell ref="P5:P6"/>
    <mergeCell ref="M3:N3"/>
    <mergeCell ref="O3:P3"/>
    <mergeCell ref="Q3:R3"/>
    <mergeCell ref="S3:T3"/>
    <mergeCell ref="U3:V3"/>
    <mergeCell ref="W3:X3"/>
    <mergeCell ref="Z9:Z10"/>
    <mergeCell ref="AB9:AB10"/>
    <mergeCell ref="AD9:AD10"/>
    <mergeCell ref="A11:A12"/>
    <mergeCell ref="F11:F12"/>
    <mergeCell ref="H11:H12"/>
    <mergeCell ref="J11:J12"/>
    <mergeCell ref="L11:L12"/>
    <mergeCell ref="N11:N12"/>
    <mergeCell ref="P11:P12"/>
    <mergeCell ref="N9:N10"/>
    <mergeCell ref="P9:P10"/>
    <mergeCell ref="R9:R10"/>
    <mergeCell ref="T9:T10"/>
    <mergeCell ref="V9:V10"/>
    <mergeCell ref="X9:X10"/>
    <mergeCell ref="V7:V8"/>
    <mergeCell ref="X7:X8"/>
    <mergeCell ref="Z7:Z8"/>
    <mergeCell ref="AB7:AB8"/>
    <mergeCell ref="AD7:AD8"/>
    <mergeCell ref="A9:A10"/>
    <mergeCell ref="F9:F10"/>
    <mergeCell ref="H9:H10"/>
    <mergeCell ref="J9:J10"/>
    <mergeCell ref="L9:L10"/>
    <mergeCell ref="V13:V14"/>
    <mergeCell ref="X13:X14"/>
    <mergeCell ref="Z13:Z14"/>
    <mergeCell ref="AB13:AB14"/>
    <mergeCell ref="AD13:AD14"/>
    <mergeCell ref="A15:A16"/>
    <mergeCell ref="F15:F16"/>
    <mergeCell ref="H15:H16"/>
    <mergeCell ref="J15:J16"/>
    <mergeCell ref="L15:L16"/>
    <mergeCell ref="AD11:AD12"/>
    <mergeCell ref="A13:A14"/>
    <mergeCell ref="F13:F14"/>
    <mergeCell ref="H13:H14"/>
    <mergeCell ref="J13:J14"/>
    <mergeCell ref="L13:L14"/>
    <mergeCell ref="N13:N14"/>
    <mergeCell ref="P13:P14"/>
    <mergeCell ref="R13:R14"/>
    <mergeCell ref="T13:T14"/>
    <mergeCell ref="R11:R12"/>
    <mergeCell ref="T11:T12"/>
    <mergeCell ref="V11:V12"/>
    <mergeCell ref="X11:X12"/>
    <mergeCell ref="Z11:Z12"/>
    <mergeCell ref="AB11:AB12"/>
    <mergeCell ref="AD17:AD18"/>
    <mergeCell ref="A19:A20"/>
    <mergeCell ref="F19:F20"/>
    <mergeCell ref="H19:H20"/>
    <mergeCell ref="J19:J20"/>
    <mergeCell ref="L19:L20"/>
    <mergeCell ref="N19:N20"/>
    <mergeCell ref="P19:P20"/>
    <mergeCell ref="R19:R20"/>
    <mergeCell ref="T19:T20"/>
    <mergeCell ref="R17:R18"/>
    <mergeCell ref="T17:T18"/>
    <mergeCell ref="V17:V18"/>
    <mergeCell ref="X17:X18"/>
    <mergeCell ref="Z17:Z18"/>
    <mergeCell ref="AB17:AB18"/>
    <mergeCell ref="Z15:Z16"/>
    <mergeCell ref="AB15:AB16"/>
    <mergeCell ref="AD15:AD16"/>
    <mergeCell ref="A17:A18"/>
    <mergeCell ref="F17:F18"/>
    <mergeCell ref="H17:H18"/>
    <mergeCell ref="J17:J18"/>
    <mergeCell ref="L17:L18"/>
    <mergeCell ref="N17:N18"/>
    <mergeCell ref="P17:P18"/>
    <mergeCell ref="N15:N16"/>
    <mergeCell ref="P15:P16"/>
    <mergeCell ref="R15:R16"/>
    <mergeCell ref="T15:T16"/>
    <mergeCell ref="V15:V16"/>
    <mergeCell ref="X15:X16"/>
    <mergeCell ref="Z21:Z22"/>
    <mergeCell ref="AB21:AB22"/>
    <mergeCell ref="AD21:AD22"/>
    <mergeCell ref="A23:A24"/>
    <mergeCell ref="F23:F24"/>
    <mergeCell ref="H23:H24"/>
    <mergeCell ref="J23:J24"/>
    <mergeCell ref="L23:L24"/>
    <mergeCell ref="N23:N24"/>
    <mergeCell ref="P23:P24"/>
    <mergeCell ref="N21:N22"/>
    <mergeCell ref="P21:P22"/>
    <mergeCell ref="R21:R22"/>
    <mergeCell ref="T21:T22"/>
    <mergeCell ref="V21:V22"/>
    <mergeCell ref="X21:X22"/>
    <mergeCell ref="V19:V20"/>
    <mergeCell ref="X19:X20"/>
    <mergeCell ref="Z19:Z20"/>
    <mergeCell ref="AB19:AB20"/>
    <mergeCell ref="AD19:AD20"/>
    <mergeCell ref="A21:A22"/>
    <mergeCell ref="F21:F22"/>
    <mergeCell ref="H21:H22"/>
    <mergeCell ref="J21:J22"/>
    <mergeCell ref="L21:L22"/>
    <mergeCell ref="V25:V26"/>
    <mergeCell ref="X25:X26"/>
    <mergeCell ref="Z25:Z26"/>
    <mergeCell ref="AB25:AB26"/>
    <mergeCell ref="AD25:AD26"/>
    <mergeCell ref="A27:A28"/>
    <mergeCell ref="F27:F28"/>
    <mergeCell ref="H27:H28"/>
    <mergeCell ref="J27:J28"/>
    <mergeCell ref="L27:L28"/>
    <mergeCell ref="AD23:AD24"/>
    <mergeCell ref="A25:A26"/>
    <mergeCell ref="F25:F26"/>
    <mergeCell ref="H25:H26"/>
    <mergeCell ref="J25:J26"/>
    <mergeCell ref="L25:L26"/>
    <mergeCell ref="N25:N26"/>
    <mergeCell ref="P25:P26"/>
    <mergeCell ref="R25:R26"/>
    <mergeCell ref="T25:T26"/>
    <mergeCell ref="R23:R24"/>
    <mergeCell ref="T23:T24"/>
    <mergeCell ref="V23:V24"/>
    <mergeCell ref="X23:X24"/>
    <mergeCell ref="Z23:Z24"/>
    <mergeCell ref="AB23:AB24"/>
    <mergeCell ref="AD29:AD30"/>
    <mergeCell ref="A31:A32"/>
    <mergeCell ref="F31:F32"/>
    <mergeCell ref="H31:H32"/>
    <mergeCell ref="J31:J32"/>
    <mergeCell ref="L31:L32"/>
    <mergeCell ref="N31:N32"/>
    <mergeCell ref="P31:P32"/>
    <mergeCell ref="R31:R32"/>
    <mergeCell ref="T31:T32"/>
    <mergeCell ref="R29:R30"/>
    <mergeCell ref="T29:T30"/>
    <mergeCell ref="V29:V30"/>
    <mergeCell ref="X29:X30"/>
    <mergeCell ref="Z29:Z30"/>
    <mergeCell ref="AB29:AB30"/>
    <mergeCell ref="Z27:Z28"/>
    <mergeCell ref="AB27:AB28"/>
    <mergeCell ref="AD27:AD28"/>
    <mergeCell ref="A29:A30"/>
    <mergeCell ref="F29:F30"/>
    <mergeCell ref="H29:H30"/>
    <mergeCell ref="J29:J30"/>
    <mergeCell ref="L29:L30"/>
    <mergeCell ref="N29:N30"/>
    <mergeCell ref="P29:P30"/>
    <mergeCell ref="N27:N28"/>
    <mergeCell ref="P27:P28"/>
    <mergeCell ref="R27:R28"/>
    <mergeCell ref="T27:T28"/>
    <mergeCell ref="V27:V28"/>
    <mergeCell ref="X27:X28"/>
    <mergeCell ref="Z33:Z34"/>
    <mergeCell ref="AB33:AB34"/>
    <mergeCell ref="AD33:AD34"/>
    <mergeCell ref="A35:A36"/>
    <mergeCell ref="F35:F36"/>
    <mergeCell ref="H35:H36"/>
    <mergeCell ref="J35:J36"/>
    <mergeCell ref="L35:L36"/>
    <mergeCell ref="N35:N36"/>
    <mergeCell ref="P35:P36"/>
    <mergeCell ref="N33:N34"/>
    <mergeCell ref="P33:P34"/>
    <mergeCell ref="R33:R34"/>
    <mergeCell ref="T33:T34"/>
    <mergeCell ref="V33:V34"/>
    <mergeCell ref="X33:X34"/>
    <mergeCell ref="V31:V32"/>
    <mergeCell ref="X31:X32"/>
    <mergeCell ref="Z31:Z32"/>
    <mergeCell ref="AB31:AB32"/>
    <mergeCell ref="AD31:AD32"/>
    <mergeCell ref="A33:A34"/>
    <mergeCell ref="F33:F34"/>
    <mergeCell ref="H33:H34"/>
    <mergeCell ref="J33:J34"/>
    <mergeCell ref="L33:L34"/>
    <mergeCell ref="V37:V38"/>
    <mergeCell ref="X37:X38"/>
    <mergeCell ref="Z37:Z38"/>
    <mergeCell ref="AB37:AB38"/>
    <mergeCell ref="AD37:AD38"/>
    <mergeCell ref="A39:A40"/>
    <mergeCell ref="F39:F40"/>
    <mergeCell ref="H39:H40"/>
    <mergeCell ref="J39:J40"/>
    <mergeCell ref="L39:L40"/>
    <mergeCell ref="AD35:AD36"/>
    <mergeCell ref="A37:A38"/>
    <mergeCell ref="F37:F38"/>
    <mergeCell ref="H37:H38"/>
    <mergeCell ref="J37:J38"/>
    <mergeCell ref="L37:L38"/>
    <mergeCell ref="N37:N38"/>
    <mergeCell ref="P37:P38"/>
    <mergeCell ref="R37:R38"/>
    <mergeCell ref="T37:T38"/>
    <mergeCell ref="R35:R36"/>
    <mergeCell ref="T35:T36"/>
    <mergeCell ref="V35:V36"/>
    <mergeCell ref="X35:X36"/>
    <mergeCell ref="Z35:Z36"/>
    <mergeCell ref="AB35:AB36"/>
    <mergeCell ref="AD41:AD42"/>
    <mergeCell ref="A43:A44"/>
    <mergeCell ref="F43:F44"/>
    <mergeCell ref="H43:H44"/>
    <mergeCell ref="J43:J44"/>
    <mergeCell ref="L43:L44"/>
    <mergeCell ref="N43:N44"/>
    <mergeCell ref="P43:P44"/>
    <mergeCell ref="R43:R44"/>
    <mergeCell ref="T43:T44"/>
    <mergeCell ref="R41:R42"/>
    <mergeCell ref="T41:T42"/>
    <mergeCell ref="V41:V42"/>
    <mergeCell ref="X41:X42"/>
    <mergeCell ref="Z41:Z42"/>
    <mergeCell ref="AB41:AB42"/>
    <mergeCell ref="Z39:Z40"/>
    <mergeCell ref="AB39:AB40"/>
    <mergeCell ref="AD39:AD40"/>
    <mergeCell ref="A41:A42"/>
    <mergeCell ref="F41:F42"/>
    <mergeCell ref="H41:H42"/>
    <mergeCell ref="J41:J42"/>
    <mergeCell ref="L41:L42"/>
    <mergeCell ref="N41:N42"/>
    <mergeCell ref="P41:P42"/>
    <mergeCell ref="N39:N40"/>
    <mergeCell ref="P39:P40"/>
    <mergeCell ref="R39:R40"/>
    <mergeCell ref="T39:T40"/>
    <mergeCell ref="V39:V40"/>
    <mergeCell ref="X39:X40"/>
    <mergeCell ref="Z45:Z46"/>
    <mergeCell ref="AB45:AB46"/>
    <mergeCell ref="AD45:AD46"/>
    <mergeCell ref="A47:A48"/>
    <mergeCell ref="F47:F48"/>
    <mergeCell ref="H47:H48"/>
    <mergeCell ref="J47:J48"/>
    <mergeCell ref="L47:L48"/>
    <mergeCell ref="N47:N48"/>
    <mergeCell ref="P47:P48"/>
    <mergeCell ref="N45:N46"/>
    <mergeCell ref="P45:P46"/>
    <mergeCell ref="R45:R46"/>
    <mergeCell ref="T45:T46"/>
    <mergeCell ref="V45:V46"/>
    <mergeCell ref="X45:X46"/>
    <mergeCell ref="V43:V44"/>
    <mergeCell ref="X43:X44"/>
    <mergeCell ref="Z43:Z44"/>
    <mergeCell ref="AB43:AB44"/>
    <mergeCell ref="AD43:AD44"/>
    <mergeCell ref="A45:A46"/>
    <mergeCell ref="F45:F46"/>
    <mergeCell ref="H45:H46"/>
    <mergeCell ref="J45:J46"/>
    <mergeCell ref="L45:L46"/>
    <mergeCell ref="V49:V50"/>
    <mergeCell ref="X49:X50"/>
    <mergeCell ref="Z49:Z50"/>
    <mergeCell ref="AB49:AB50"/>
    <mergeCell ref="AD49:AD50"/>
    <mergeCell ref="A51:A52"/>
    <mergeCell ref="F51:F52"/>
    <mergeCell ref="H51:H52"/>
    <mergeCell ref="J51:J52"/>
    <mergeCell ref="L51:L52"/>
    <mergeCell ref="AD47:AD48"/>
    <mergeCell ref="A49:A50"/>
    <mergeCell ref="F49:F50"/>
    <mergeCell ref="H49:H50"/>
    <mergeCell ref="J49:J50"/>
    <mergeCell ref="L49:L50"/>
    <mergeCell ref="N49:N50"/>
    <mergeCell ref="P49:P50"/>
    <mergeCell ref="R49:R50"/>
    <mergeCell ref="T49:T50"/>
    <mergeCell ref="R47:R48"/>
    <mergeCell ref="T47:T48"/>
    <mergeCell ref="V47:V48"/>
    <mergeCell ref="X47:X48"/>
    <mergeCell ref="Z47:Z48"/>
    <mergeCell ref="AB47:AB48"/>
    <mergeCell ref="AD53:AD54"/>
    <mergeCell ref="A55:A56"/>
    <mergeCell ref="F55:F56"/>
    <mergeCell ref="H55:H56"/>
    <mergeCell ref="J55:J56"/>
    <mergeCell ref="L55:L56"/>
    <mergeCell ref="N55:N56"/>
    <mergeCell ref="P55:P56"/>
    <mergeCell ref="R55:R56"/>
    <mergeCell ref="T55:T56"/>
    <mergeCell ref="R53:R54"/>
    <mergeCell ref="T53:T54"/>
    <mergeCell ref="V53:V54"/>
    <mergeCell ref="X53:X54"/>
    <mergeCell ref="Z53:Z54"/>
    <mergeCell ref="AB53:AB54"/>
    <mergeCell ref="Z51:Z52"/>
    <mergeCell ref="AB51:AB52"/>
    <mergeCell ref="AD51:AD52"/>
    <mergeCell ref="A53:A54"/>
    <mergeCell ref="F53:F54"/>
    <mergeCell ref="H53:H54"/>
    <mergeCell ref="J53:J54"/>
    <mergeCell ref="L53:L54"/>
    <mergeCell ref="N53:N54"/>
    <mergeCell ref="P53:P54"/>
    <mergeCell ref="N51:N52"/>
    <mergeCell ref="P51:P52"/>
    <mergeCell ref="R51:R52"/>
    <mergeCell ref="T51:T52"/>
    <mergeCell ref="V51:V52"/>
    <mergeCell ref="X51:X52"/>
    <mergeCell ref="Z57:Z58"/>
    <mergeCell ref="AB57:AB58"/>
    <mergeCell ref="AD57:AD58"/>
    <mergeCell ref="A59:A60"/>
    <mergeCell ref="F59:F60"/>
    <mergeCell ref="H59:H60"/>
    <mergeCell ref="J59:J60"/>
    <mergeCell ref="L59:L60"/>
    <mergeCell ref="N59:N60"/>
    <mergeCell ref="P59:P60"/>
    <mergeCell ref="N57:N58"/>
    <mergeCell ref="P57:P58"/>
    <mergeCell ref="R57:R58"/>
    <mergeCell ref="T57:T58"/>
    <mergeCell ref="V57:V58"/>
    <mergeCell ref="X57:X58"/>
    <mergeCell ref="V55:V56"/>
    <mergeCell ref="X55:X56"/>
    <mergeCell ref="Z55:Z56"/>
    <mergeCell ref="AB55:AB56"/>
    <mergeCell ref="AD55:AD56"/>
    <mergeCell ref="A57:A58"/>
    <mergeCell ref="F57:F58"/>
    <mergeCell ref="H57:H58"/>
    <mergeCell ref="J57:J58"/>
    <mergeCell ref="L57:L58"/>
    <mergeCell ref="V61:V62"/>
    <mergeCell ref="X61:X62"/>
    <mergeCell ref="Z61:Z62"/>
    <mergeCell ref="AB61:AB62"/>
    <mergeCell ref="AD61:AD62"/>
    <mergeCell ref="A63:A64"/>
    <mergeCell ref="F63:F64"/>
    <mergeCell ref="H63:H64"/>
    <mergeCell ref="J63:J64"/>
    <mergeCell ref="L63:L64"/>
    <mergeCell ref="AD59:AD60"/>
    <mergeCell ref="A61:A62"/>
    <mergeCell ref="F61:F62"/>
    <mergeCell ref="H61:H62"/>
    <mergeCell ref="J61:J62"/>
    <mergeCell ref="L61:L62"/>
    <mergeCell ref="N61:N62"/>
    <mergeCell ref="P61:P62"/>
    <mergeCell ref="R61:R62"/>
    <mergeCell ref="T61:T62"/>
    <mergeCell ref="R59:R60"/>
    <mergeCell ref="T59:T60"/>
    <mergeCell ref="V59:V60"/>
    <mergeCell ref="X59:X60"/>
    <mergeCell ref="Z59:Z60"/>
    <mergeCell ref="AB59:AB60"/>
    <mergeCell ref="AD65:AD66"/>
    <mergeCell ref="A67:A68"/>
    <mergeCell ref="F67:F68"/>
    <mergeCell ref="H67:H68"/>
    <mergeCell ref="J67:J68"/>
    <mergeCell ref="L67:L68"/>
    <mergeCell ref="N67:N68"/>
    <mergeCell ref="P67:P68"/>
    <mergeCell ref="R67:R68"/>
    <mergeCell ref="T67:T68"/>
    <mergeCell ref="R65:R66"/>
    <mergeCell ref="T65:T66"/>
    <mergeCell ref="V65:V66"/>
    <mergeCell ref="X65:X66"/>
    <mergeCell ref="Z65:Z66"/>
    <mergeCell ref="AB65:AB66"/>
    <mergeCell ref="Z63:Z64"/>
    <mergeCell ref="AB63:AB64"/>
    <mergeCell ref="AD63:AD64"/>
    <mergeCell ref="A65:A66"/>
    <mergeCell ref="F65:F66"/>
    <mergeCell ref="H65:H66"/>
    <mergeCell ref="J65:J66"/>
    <mergeCell ref="L65:L66"/>
    <mergeCell ref="N65:N66"/>
    <mergeCell ref="P65:P66"/>
    <mergeCell ref="N63:N64"/>
    <mergeCell ref="P63:P64"/>
    <mergeCell ref="R63:R64"/>
    <mergeCell ref="T63:T64"/>
    <mergeCell ref="V63:V64"/>
    <mergeCell ref="X63:X64"/>
    <mergeCell ref="Z69:Z70"/>
    <mergeCell ref="AB69:AB70"/>
    <mergeCell ref="AD69:AD70"/>
    <mergeCell ref="A71:A72"/>
    <mergeCell ref="F71:F72"/>
    <mergeCell ref="H71:H72"/>
    <mergeCell ref="J71:J72"/>
    <mergeCell ref="L71:L72"/>
    <mergeCell ref="N71:N72"/>
    <mergeCell ref="P71:P72"/>
    <mergeCell ref="N69:N70"/>
    <mergeCell ref="P69:P70"/>
    <mergeCell ref="R69:R70"/>
    <mergeCell ref="T69:T70"/>
    <mergeCell ref="V69:V70"/>
    <mergeCell ref="X69:X70"/>
    <mergeCell ref="V67:V68"/>
    <mergeCell ref="X67:X68"/>
    <mergeCell ref="Z67:Z68"/>
    <mergeCell ref="AB67:AB68"/>
    <mergeCell ref="AD67:AD68"/>
    <mergeCell ref="A69:A70"/>
    <mergeCell ref="F69:F70"/>
    <mergeCell ref="H69:H70"/>
    <mergeCell ref="J69:J70"/>
    <mergeCell ref="L69:L70"/>
    <mergeCell ref="V73:V74"/>
    <mergeCell ref="X73:X74"/>
    <mergeCell ref="Z73:Z74"/>
    <mergeCell ref="AB73:AB74"/>
    <mergeCell ref="AD73:AD74"/>
    <mergeCell ref="A75:A76"/>
    <mergeCell ref="F75:F76"/>
    <mergeCell ref="H75:H76"/>
    <mergeCell ref="J75:J76"/>
    <mergeCell ref="L75:L76"/>
    <mergeCell ref="AD71:AD72"/>
    <mergeCell ref="A73:A74"/>
    <mergeCell ref="F73:F74"/>
    <mergeCell ref="H73:H74"/>
    <mergeCell ref="J73:J74"/>
    <mergeCell ref="L73:L74"/>
    <mergeCell ref="N73:N74"/>
    <mergeCell ref="P73:P74"/>
    <mergeCell ref="R73:R74"/>
    <mergeCell ref="T73:T74"/>
    <mergeCell ref="R71:R72"/>
    <mergeCell ref="T71:T72"/>
    <mergeCell ref="V71:V72"/>
    <mergeCell ref="X71:X72"/>
    <mergeCell ref="Z71:Z72"/>
    <mergeCell ref="AB71:AB72"/>
    <mergeCell ref="AD77:AD78"/>
    <mergeCell ref="A79:A80"/>
    <mergeCell ref="F79:F80"/>
    <mergeCell ref="H79:H80"/>
    <mergeCell ref="J79:J80"/>
    <mergeCell ref="L79:L80"/>
    <mergeCell ref="N79:N80"/>
    <mergeCell ref="P79:P80"/>
    <mergeCell ref="R79:R80"/>
    <mergeCell ref="T79:T80"/>
    <mergeCell ref="R77:R78"/>
    <mergeCell ref="T77:T78"/>
    <mergeCell ref="V77:V78"/>
    <mergeCell ref="X77:X78"/>
    <mergeCell ref="Z77:Z78"/>
    <mergeCell ref="AB77:AB78"/>
    <mergeCell ref="Z75:Z76"/>
    <mergeCell ref="AB75:AB76"/>
    <mergeCell ref="AD75:AD76"/>
    <mergeCell ref="A77:A78"/>
    <mergeCell ref="F77:F78"/>
    <mergeCell ref="H77:H78"/>
    <mergeCell ref="J77:J78"/>
    <mergeCell ref="L77:L78"/>
    <mergeCell ref="N77:N78"/>
    <mergeCell ref="P77:P78"/>
    <mergeCell ref="N75:N76"/>
    <mergeCell ref="P75:P76"/>
    <mergeCell ref="R75:R76"/>
    <mergeCell ref="T75:T76"/>
    <mergeCell ref="V75:V76"/>
    <mergeCell ref="X75:X76"/>
    <mergeCell ref="Z81:Z82"/>
    <mergeCell ref="AB81:AB82"/>
    <mergeCell ref="AD81:AD82"/>
    <mergeCell ref="A83:A84"/>
    <mergeCell ref="F83:F84"/>
    <mergeCell ref="H83:H84"/>
    <mergeCell ref="J83:J84"/>
    <mergeCell ref="L83:L84"/>
    <mergeCell ref="N83:N84"/>
    <mergeCell ref="P83:P84"/>
    <mergeCell ref="N81:N82"/>
    <mergeCell ref="P81:P82"/>
    <mergeCell ref="R81:R82"/>
    <mergeCell ref="T81:T82"/>
    <mergeCell ref="V81:V82"/>
    <mergeCell ref="X81:X82"/>
    <mergeCell ref="V79:V80"/>
    <mergeCell ref="X79:X80"/>
    <mergeCell ref="Z79:Z80"/>
    <mergeCell ref="AB79:AB80"/>
    <mergeCell ref="AD79:AD80"/>
    <mergeCell ref="A81:A82"/>
    <mergeCell ref="F81:F82"/>
    <mergeCell ref="H81:H82"/>
    <mergeCell ref="J81:J82"/>
    <mergeCell ref="L81:L82"/>
    <mergeCell ref="V85:V86"/>
    <mergeCell ref="X85:X86"/>
    <mergeCell ref="Z85:Z86"/>
    <mergeCell ref="AB85:AB86"/>
    <mergeCell ref="AD85:AD86"/>
    <mergeCell ref="A87:A88"/>
    <mergeCell ref="F87:F88"/>
    <mergeCell ref="H87:H88"/>
    <mergeCell ref="J87:J88"/>
    <mergeCell ref="L87:L88"/>
    <mergeCell ref="AD83:AD84"/>
    <mergeCell ref="A85:A86"/>
    <mergeCell ref="F85:F86"/>
    <mergeCell ref="H85:H86"/>
    <mergeCell ref="J85:J86"/>
    <mergeCell ref="L85:L86"/>
    <mergeCell ref="N85:N86"/>
    <mergeCell ref="P85:P86"/>
    <mergeCell ref="R85:R86"/>
    <mergeCell ref="T85:T86"/>
    <mergeCell ref="R83:R84"/>
    <mergeCell ref="T83:T84"/>
    <mergeCell ref="V83:V84"/>
    <mergeCell ref="X83:X84"/>
    <mergeCell ref="Z83:Z84"/>
    <mergeCell ref="AB83:AB84"/>
    <mergeCell ref="AD89:AD90"/>
    <mergeCell ref="A91:A92"/>
    <mergeCell ref="F91:F92"/>
    <mergeCell ref="H91:H92"/>
    <mergeCell ref="J91:J92"/>
    <mergeCell ref="L91:L92"/>
    <mergeCell ref="N91:N92"/>
    <mergeCell ref="P91:P92"/>
    <mergeCell ref="R91:R92"/>
    <mergeCell ref="T91:T92"/>
    <mergeCell ref="R89:R90"/>
    <mergeCell ref="T89:T90"/>
    <mergeCell ref="V89:V90"/>
    <mergeCell ref="X89:X90"/>
    <mergeCell ref="Z89:Z90"/>
    <mergeCell ref="AB89:AB90"/>
    <mergeCell ref="Z87:Z88"/>
    <mergeCell ref="AB87:AB88"/>
    <mergeCell ref="AD87:AD88"/>
    <mergeCell ref="A89:A90"/>
    <mergeCell ref="F89:F90"/>
    <mergeCell ref="H89:H90"/>
    <mergeCell ref="J89:J90"/>
    <mergeCell ref="L89:L90"/>
    <mergeCell ref="N89:N90"/>
    <mergeCell ref="P89:P90"/>
    <mergeCell ref="N87:N88"/>
    <mergeCell ref="P87:P88"/>
    <mergeCell ref="R87:R88"/>
    <mergeCell ref="T87:T88"/>
    <mergeCell ref="V87:V88"/>
    <mergeCell ref="X87:X88"/>
    <mergeCell ref="Z93:Z94"/>
    <mergeCell ref="AB93:AB94"/>
    <mergeCell ref="AD93:AD94"/>
    <mergeCell ref="A95:A96"/>
    <mergeCell ref="F95:F96"/>
    <mergeCell ref="H95:H96"/>
    <mergeCell ref="J95:J96"/>
    <mergeCell ref="L95:L96"/>
    <mergeCell ref="N95:N96"/>
    <mergeCell ref="P95:P96"/>
    <mergeCell ref="N93:N94"/>
    <mergeCell ref="P93:P94"/>
    <mergeCell ref="R93:R94"/>
    <mergeCell ref="T93:T94"/>
    <mergeCell ref="V93:V94"/>
    <mergeCell ref="X93:X94"/>
    <mergeCell ref="V91:V92"/>
    <mergeCell ref="X91:X92"/>
    <mergeCell ref="Z91:Z92"/>
    <mergeCell ref="AB91:AB92"/>
    <mergeCell ref="AD91:AD92"/>
    <mergeCell ref="A93:A94"/>
    <mergeCell ref="F93:F94"/>
    <mergeCell ref="H93:H94"/>
    <mergeCell ref="J93:J94"/>
    <mergeCell ref="L93:L94"/>
    <mergeCell ref="V97:V98"/>
    <mergeCell ref="X97:X98"/>
    <mergeCell ref="Z97:Z98"/>
    <mergeCell ref="AB97:AB98"/>
    <mergeCell ref="AD97:AD98"/>
    <mergeCell ref="A99:A100"/>
    <mergeCell ref="F99:F100"/>
    <mergeCell ref="H99:H100"/>
    <mergeCell ref="J99:J100"/>
    <mergeCell ref="L99:L100"/>
    <mergeCell ref="AD95:AD96"/>
    <mergeCell ref="A97:A98"/>
    <mergeCell ref="F97:F98"/>
    <mergeCell ref="H97:H98"/>
    <mergeCell ref="J97:J98"/>
    <mergeCell ref="L97:L98"/>
    <mergeCell ref="N97:N98"/>
    <mergeCell ref="P97:P98"/>
    <mergeCell ref="R97:R98"/>
    <mergeCell ref="T97:T98"/>
    <mergeCell ref="R95:R96"/>
    <mergeCell ref="T95:T96"/>
    <mergeCell ref="V95:V96"/>
    <mergeCell ref="X95:X96"/>
    <mergeCell ref="Z95:Z96"/>
    <mergeCell ref="AB95:AB96"/>
    <mergeCell ref="AD101:AD102"/>
    <mergeCell ref="A103:A104"/>
    <mergeCell ref="F103:F104"/>
    <mergeCell ref="H103:H104"/>
    <mergeCell ref="J103:J104"/>
    <mergeCell ref="L103:L104"/>
    <mergeCell ref="N103:N104"/>
    <mergeCell ref="P103:P104"/>
    <mergeCell ref="R103:R104"/>
    <mergeCell ref="T103:T104"/>
    <mergeCell ref="R101:R102"/>
    <mergeCell ref="T101:T102"/>
    <mergeCell ref="V101:V102"/>
    <mergeCell ref="X101:X102"/>
    <mergeCell ref="Z101:Z102"/>
    <mergeCell ref="AB101:AB102"/>
    <mergeCell ref="Z99:Z100"/>
    <mergeCell ref="AB99:AB100"/>
    <mergeCell ref="AD99:AD100"/>
    <mergeCell ref="A101:A102"/>
    <mergeCell ref="F101:F102"/>
    <mergeCell ref="H101:H102"/>
    <mergeCell ref="J101:J102"/>
    <mergeCell ref="L101:L102"/>
    <mergeCell ref="N101:N102"/>
    <mergeCell ref="P101:P102"/>
    <mergeCell ref="N99:N100"/>
    <mergeCell ref="P99:P100"/>
    <mergeCell ref="R99:R100"/>
    <mergeCell ref="T99:T100"/>
    <mergeCell ref="V99:V100"/>
    <mergeCell ref="X99:X100"/>
    <mergeCell ref="Z105:Z106"/>
    <mergeCell ref="AB105:AB106"/>
    <mergeCell ref="AD105:AD106"/>
    <mergeCell ref="A107:A108"/>
    <mergeCell ref="F107:F108"/>
    <mergeCell ref="H107:H108"/>
    <mergeCell ref="J107:J108"/>
    <mergeCell ref="L107:L108"/>
    <mergeCell ref="N107:N108"/>
    <mergeCell ref="P107:P108"/>
    <mergeCell ref="N105:N106"/>
    <mergeCell ref="P105:P106"/>
    <mergeCell ref="R105:R106"/>
    <mergeCell ref="T105:T106"/>
    <mergeCell ref="V105:V106"/>
    <mergeCell ref="X105:X106"/>
    <mergeCell ref="V103:V104"/>
    <mergeCell ref="X103:X104"/>
    <mergeCell ref="Z103:Z104"/>
    <mergeCell ref="AB103:AB104"/>
    <mergeCell ref="AD103:AD104"/>
    <mergeCell ref="A105:A106"/>
    <mergeCell ref="F105:F106"/>
    <mergeCell ref="H105:H106"/>
    <mergeCell ref="J105:J106"/>
    <mergeCell ref="L105:L106"/>
    <mergeCell ref="V109:V110"/>
    <mergeCell ref="X109:X110"/>
    <mergeCell ref="Z109:Z110"/>
    <mergeCell ref="AB109:AB110"/>
    <mergeCell ref="AD109:AD110"/>
    <mergeCell ref="A111:A112"/>
    <mergeCell ref="F111:F112"/>
    <mergeCell ref="H111:H112"/>
    <mergeCell ref="J111:J112"/>
    <mergeCell ref="L111:L112"/>
    <mergeCell ref="AD107:AD108"/>
    <mergeCell ref="A109:A110"/>
    <mergeCell ref="F109:F110"/>
    <mergeCell ref="H109:H110"/>
    <mergeCell ref="J109:J110"/>
    <mergeCell ref="L109:L110"/>
    <mergeCell ref="N109:N110"/>
    <mergeCell ref="P109:P110"/>
    <mergeCell ref="R109:R110"/>
    <mergeCell ref="T109:T110"/>
    <mergeCell ref="R107:R108"/>
    <mergeCell ref="T107:T108"/>
    <mergeCell ref="V107:V108"/>
    <mergeCell ref="X107:X108"/>
    <mergeCell ref="Z107:Z108"/>
    <mergeCell ref="AB107:AB108"/>
    <mergeCell ref="AD113:AD114"/>
    <mergeCell ref="A115:A116"/>
    <mergeCell ref="F115:F116"/>
    <mergeCell ref="H115:H116"/>
    <mergeCell ref="J115:J116"/>
    <mergeCell ref="L115:L116"/>
    <mergeCell ref="N115:N116"/>
    <mergeCell ref="P115:P116"/>
    <mergeCell ref="R115:R116"/>
    <mergeCell ref="T115:T116"/>
    <mergeCell ref="R113:R114"/>
    <mergeCell ref="T113:T114"/>
    <mergeCell ref="V113:V114"/>
    <mergeCell ref="X113:X114"/>
    <mergeCell ref="Z113:Z114"/>
    <mergeCell ref="AB113:AB114"/>
    <mergeCell ref="Z111:Z112"/>
    <mergeCell ref="AB111:AB112"/>
    <mergeCell ref="AD111:AD112"/>
    <mergeCell ref="A113:A114"/>
    <mergeCell ref="F113:F114"/>
    <mergeCell ref="H113:H114"/>
    <mergeCell ref="J113:J114"/>
    <mergeCell ref="L113:L114"/>
    <mergeCell ref="N113:N114"/>
    <mergeCell ref="P113:P114"/>
    <mergeCell ref="N111:N112"/>
    <mergeCell ref="P111:P112"/>
    <mergeCell ref="R111:R112"/>
    <mergeCell ref="T111:T112"/>
    <mergeCell ref="V111:V112"/>
    <mergeCell ref="X111:X112"/>
    <mergeCell ref="Z117:Z118"/>
    <mergeCell ref="AB117:AB118"/>
    <mergeCell ref="AD117:AD118"/>
    <mergeCell ref="A119:A120"/>
    <mergeCell ref="F119:F120"/>
    <mergeCell ref="H119:H120"/>
    <mergeCell ref="J119:J120"/>
    <mergeCell ref="L119:L120"/>
    <mergeCell ref="N119:N120"/>
    <mergeCell ref="P119:P120"/>
    <mergeCell ref="N117:N118"/>
    <mergeCell ref="P117:P118"/>
    <mergeCell ref="R117:R118"/>
    <mergeCell ref="T117:T118"/>
    <mergeCell ref="V117:V118"/>
    <mergeCell ref="X117:X118"/>
    <mergeCell ref="V115:V116"/>
    <mergeCell ref="X115:X116"/>
    <mergeCell ref="Z115:Z116"/>
    <mergeCell ref="AB115:AB116"/>
    <mergeCell ref="AD115:AD116"/>
    <mergeCell ref="A117:A118"/>
    <mergeCell ref="F117:F118"/>
    <mergeCell ref="H117:H118"/>
    <mergeCell ref="J117:J118"/>
    <mergeCell ref="L117:L118"/>
    <mergeCell ref="V121:V122"/>
    <mergeCell ref="X121:X122"/>
    <mergeCell ref="Z121:Z122"/>
    <mergeCell ref="AB121:AB122"/>
    <mergeCell ref="AD121:AD122"/>
    <mergeCell ref="A123:A124"/>
    <mergeCell ref="F123:F124"/>
    <mergeCell ref="H123:H124"/>
    <mergeCell ref="J123:J124"/>
    <mergeCell ref="L123:L124"/>
    <mergeCell ref="AD119:AD120"/>
    <mergeCell ref="A121:A122"/>
    <mergeCell ref="F121:F122"/>
    <mergeCell ref="H121:H122"/>
    <mergeCell ref="J121:J122"/>
    <mergeCell ref="L121:L122"/>
    <mergeCell ref="N121:N122"/>
    <mergeCell ref="P121:P122"/>
    <mergeCell ref="R121:R122"/>
    <mergeCell ref="T121:T122"/>
    <mergeCell ref="R119:R120"/>
    <mergeCell ref="T119:T120"/>
    <mergeCell ref="V119:V120"/>
    <mergeCell ref="X119:X120"/>
    <mergeCell ref="Z119:Z120"/>
    <mergeCell ref="AB119:AB120"/>
    <mergeCell ref="AD125:AD126"/>
    <mergeCell ref="A127:A128"/>
    <mergeCell ref="F127:F128"/>
    <mergeCell ref="H127:H128"/>
    <mergeCell ref="J127:J128"/>
    <mergeCell ref="L127:L128"/>
    <mergeCell ref="N127:N128"/>
    <mergeCell ref="P127:P128"/>
    <mergeCell ref="R127:R128"/>
    <mergeCell ref="T127:T128"/>
    <mergeCell ref="R125:R126"/>
    <mergeCell ref="T125:T126"/>
    <mergeCell ref="V125:V126"/>
    <mergeCell ref="X125:X126"/>
    <mergeCell ref="Z125:Z126"/>
    <mergeCell ref="AB125:AB126"/>
    <mergeCell ref="Z123:Z124"/>
    <mergeCell ref="AB123:AB124"/>
    <mergeCell ref="AD123:AD124"/>
    <mergeCell ref="A125:A126"/>
    <mergeCell ref="F125:F126"/>
    <mergeCell ref="H125:H126"/>
    <mergeCell ref="J125:J126"/>
    <mergeCell ref="L125:L126"/>
    <mergeCell ref="N125:N126"/>
    <mergeCell ref="P125:P126"/>
    <mergeCell ref="N123:N124"/>
    <mergeCell ref="P123:P124"/>
    <mergeCell ref="R123:R124"/>
    <mergeCell ref="T123:T124"/>
    <mergeCell ref="V123:V124"/>
    <mergeCell ref="X123:X124"/>
    <mergeCell ref="Z129:Z130"/>
    <mergeCell ref="AB129:AB130"/>
    <mergeCell ref="AD129:AD130"/>
    <mergeCell ref="A131:A132"/>
    <mergeCell ref="F131:F132"/>
    <mergeCell ref="H131:H132"/>
    <mergeCell ref="J131:J132"/>
    <mergeCell ref="L131:L132"/>
    <mergeCell ref="N131:N132"/>
    <mergeCell ref="P131:P132"/>
    <mergeCell ref="N129:N130"/>
    <mergeCell ref="P129:P130"/>
    <mergeCell ref="R129:R130"/>
    <mergeCell ref="T129:T130"/>
    <mergeCell ref="V129:V130"/>
    <mergeCell ref="X129:X130"/>
    <mergeCell ref="V127:V128"/>
    <mergeCell ref="X127:X128"/>
    <mergeCell ref="Z127:Z128"/>
    <mergeCell ref="AB127:AB128"/>
    <mergeCell ref="AD127:AD128"/>
    <mergeCell ref="A129:A130"/>
    <mergeCell ref="F129:F130"/>
    <mergeCell ref="H129:H130"/>
    <mergeCell ref="J129:J130"/>
    <mergeCell ref="L129:L130"/>
    <mergeCell ref="V133:V134"/>
    <mergeCell ref="X133:X134"/>
    <mergeCell ref="Z133:Z134"/>
    <mergeCell ref="AB133:AB134"/>
    <mergeCell ref="AD133:AD134"/>
    <mergeCell ref="A135:A136"/>
    <mergeCell ref="F135:F136"/>
    <mergeCell ref="H135:H136"/>
    <mergeCell ref="J135:J136"/>
    <mergeCell ref="L135:L136"/>
    <mergeCell ref="AD131:AD132"/>
    <mergeCell ref="A133:A134"/>
    <mergeCell ref="F133:F134"/>
    <mergeCell ref="H133:H134"/>
    <mergeCell ref="J133:J134"/>
    <mergeCell ref="L133:L134"/>
    <mergeCell ref="N133:N134"/>
    <mergeCell ref="P133:P134"/>
    <mergeCell ref="R133:R134"/>
    <mergeCell ref="T133:T134"/>
    <mergeCell ref="R131:R132"/>
    <mergeCell ref="T131:T132"/>
    <mergeCell ref="V131:V132"/>
    <mergeCell ref="X131:X132"/>
    <mergeCell ref="Z131:Z132"/>
    <mergeCell ref="AB131:AB132"/>
    <mergeCell ref="AD137:AD138"/>
    <mergeCell ref="A139:A140"/>
    <mergeCell ref="F139:F140"/>
    <mergeCell ref="H139:H140"/>
    <mergeCell ref="J139:J140"/>
    <mergeCell ref="L139:L140"/>
    <mergeCell ref="N139:N140"/>
    <mergeCell ref="P139:P140"/>
    <mergeCell ref="R139:R140"/>
    <mergeCell ref="T139:T140"/>
    <mergeCell ref="R137:R138"/>
    <mergeCell ref="T137:T138"/>
    <mergeCell ref="V137:V138"/>
    <mergeCell ref="X137:X138"/>
    <mergeCell ref="Z137:Z138"/>
    <mergeCell ref="AB137:AB138"/>
    <mergeCell ref="Z135:Z136"/>
    <mergeCell ref="AB135:AB136"/>
    <mergeCell ref="AD135:AD136"/>
    <mergeCell ref="A137:A138"/>
    <mergeCell ref="F137:F138"/>
    <mergeCell ref="H137:H138"/>
    <mergeCell ref="J137:J138"/>
    <mergeCell ref="L137:L138"/>
    <mergeCell ref="N137:N138"/>
    <mergeCell ref="P137:P138"/>
    <mergeCell ref="N135:N136"/>
    <mergeCell ref="P135:P136"/>
    <mergeCell ref="R135:R136"/>
    <mergeCell ref="T135:T136"/>
    <mergeCell ref="V135:V136"/>
    <mergeCell ref="X135:X136"/>
    <mergeCell ref="Z141:Z142"/>
    <mergeCell ref="AB141:AB142"/>
    <mergeCell ref="AD141:AD142"/>
    <mergeCell ref="A143:A144"/>
    <mergeCell ref="F143:F144"/>
    <mergeCell ref="H143:H144"/>
    <mergeCell ref="J143:J144"/>
    <mergeCell ref="L143:L144"/>
    <mergeCell ref="N143:N144"/>
    <mergeCell ref="P143:P144"/>
    <mergeCell ref="N141:N142"/>
    <mergeCell ref="P141:P142"/>
    <mergeCell ref="R141:R142"/>
    <mergeCell ref="T141:T142"/>
    <mergeCell ref="V141:V142"/>
    <mergeCell ref="X141:X142"/>
    <mergeCell ref="V139:V140"/>
    <mergeCell ref="X139:X140"/>
    <mergeCell ref="Z139:Z140"/>
    <mergeCell ref="AB139:AB140"/>
    <mergeCell ref="AD139:AD140"/>
    <mergeCell ref="A141:A142"/>
    <mergeCell ref="F141:F142"/>
    <mergeCell ref="H141:H142"/>
    <mergeCell ref="J141:J142"/>
    <mergeCell ref="L141:L142"/>
    <mergeCell ref="V145:V146"/>
    <mergeCell ref="X145:X146"/>
    <mergeCell ref="Z145:Z146"/>
    <mergeCell ref="AB145:AB146"/>
    <mergeCell ref="AD145:AD146"/>
    <mergeCell ref="A147:A148"/>
    <mergeCell ref="F147:F148"/>
    <mergeCell ref="H147:H148"/>
    <mergeCell ref="J147:J148"/>
    <mergeCell ref="L147:L148"/>
    <mergeCell ref="AD143:AD144"/>
    <mergeCell ref="A145:A146"/>
    <mergeCell ref="F145:F146"/>
    <mergeCell ref="H145:H146"/>
    <mergeCell ref="J145:J146"/>
    <mergeCell ref="L145:L146"/>
    <mergeCell ref="N145:N146"/>
    <mergeCell ref="P145:P146"/>
    <mergeCell ref="R145:R146"/>
    <mergeCell ref="T145:T146"/>
    <mergeCell ref="R143:R144"/>
    <mergeCell ref="T143:T144"/>
    <mergeCell ref="V143:V144"/>
    <mergeCell ref="X143:X144"/>
    <mergeCell ref="Z143:Z144"/>
    <mergeCell ref="AB143:AB144"/>
    <mergeCell ref="AD149:AD150"/>
    <mergeCell ref="A151:A152"/>
    <mergeCell ref="F151:F152"/>
    <mergeCell ref="H151:H152"/>
    <mergeCell ref="J151:J152"/>
    <mergeCell ref="L151:L152"/>
    <mergeCell ref="N151:N152"/>
    <mergeCell ref="P151:P152"/>
    <mergeCell ref="R151:R152"/>
    <mergeCell ref="T151:T152"/>
    <mergeCell ref="R149:R150"/>
    <mergeCell ref="T149:T150"/>
    <mergeCell ref="V149:V150"/>
    <mergeCell ref="X149:X150"/>
    <mergeCell ref="Z149:Z150"/>
    <mergeCell ref="AB149:AB150"/>
    <mergeCell ref="Z147:Z148"/>
    <mergeCell ref="AB147:AB148"/>
    <mergeCell ref="AD147:AD148"/>
    <mergeCell ref="A149:A150"/>
    <mergeCell ref="F149:F150"/>
    <mergeCell ref="H149:H150"/>
    <mergeCell ref="J149:J150"/>
    <mergeCell ref="L149:L150"/>
    <mergeCell ref="N149:N150"/>
    <mergeCell ref="P149:P150"/>
    <mergeCell ref="N147:N148"/>
    <mergeCell ref="P147:P148"/>
    <mergeCell ref="R147:R148"/>
    <mergeCell ref="T147:T148"/>
    <mergeCell ref="V147:V148"/>
    <mergeCell ref="X147:X148"/>
    <mergeCell ref="Z153:Z154"/>
    <mergeCell ref="AB153:AB154"/>
    <mergeCell ref="AD153:AD154"/>
    <mergeCell ref="A155:A156"/>
    <mergeCell ref="F155:F156"/>
    <mergeCell ref="H155:H156"/>
    <mergeCell ref="J155:J156"/>
    <mergeCell ref="L155:L156"/>
    <mergeCell ref="N155:N156"/>
    <mergeCell ref="P155:P156"/>
    <mergeCell ref="N153:N154"/>
    <mergeCell ref="P153:P154"/>
    <mergeCell ref="R153:R154"/>
    <mergeCell ref="T153:T154"/>
    <mergeCell ref="V153:V154"/>
    <mergeCell ref="X153:X154"/>
    <mergeCell ref="V151:V152"/>
    <mergeCell ref="X151:X152"/>
    <mergeCell ref="Z151:Z152"/>
    <mergeCell ref="AB151:AB152"/>
    <mergeCell ref="AD151:AD152"/>
    <mergeCell ref="A153:A154"/>
    <mergeCell ref="F153:F154"/>
    <mergeCell ref="H153:H154"/>
    <mergeCell ref="J153:J154"/>
    <mergeCell ref="L153:L154"/>
    <mergeCell ref="V157:V158"/>
    <mergeCell ref="X157:X158"/>
    <mergeCell ref="Z157:Z158"/>
    <mergeCell ref="AB157:AB158"/>
    <mergeCell ref="AD157:AD158"/>
    <mergeCell ref="A159:A160"/>
    <mergeCell ref="F159:F160"/>
    <mergeCell ref="H159:H160"/>
    <mergeCell ref="J159:J160"/>
    <mergeCell ref="L159:L160"/>
    <mergeCell ref="AD155:AD156"/>
    <mergeCell ref="A157:A158"/>
    <mergeCell ref="F157:F158"/>
    <mergeCell ref="H157:H158"/>
    <mergeCell ref="J157:J158"/>
    <mergeCell ref="L157:L158"/>
    <mergeCell ref="N157:N158"/>
    <mergeCell ref="P157:P158"/>
    <mergeCell ref="R157:R158"/>
    <mergeCell ref="T157:T158"/>
    <mergeCell ref="R155:R156"/>
    <mergeCell ref="T155:T156"/>
    <mergeCell ref="V155:V156"/>
    <mergeCell ref="X155:X156"/>
    <mergeCell ref="Z155:Z156"/>
    <mergeCell ref="AB155:AB156"/>
    <mergeCell ref="AD161:AD162"/>
    <mergeCell ref="A163:A164"/>
    <mergeCell ref="F163:F164"/>
    <mergeCell ref="H163:H164"/>
    <mergeCell ref="J163:J164"/>
    <mergeCell ref="L163:L164"/>
    <mergeCell ref="N163:N164"/>
    <mergeCell ref="P163:P164"/>
    <mergeCell ref="R163:R164"/>
    <mergeCell ref="T163:T164"/>
    <mergeCell ref="R161:R162"/>
    <mergeCell ref="T161:T162"/>
    <mergeCell ref="V161:V162"/>
    <mergeCell ref="X161:X162"/>
    <mergeCell ref="Z161:Z162"/>
    <mergeCell ref="AB161:AB162"/>
    <mergeCell ref="Z159:Z160"/>
    <mergeCell ref="AB159:AB160"/>
    <mergeCell ref="AD159:AD160"/>
    <mergeCell ref="A161:A162"/>
    <mergeCell ref="F161:F162"/>
    <mergeCell ref="H161:H162"/>
    <mergeCell ref="J161:J162"/>
    <mergeCell ref="L161:L162"/>
    <mergeCell ref="N161:N162"/>
    <mergeCell ref="P161:P162"/>
    <mergeCell ref="N159:N160"/>
    <mergeCell ref="P159:P160"/>
    <mergeCell ref="R159:R160"/>
    <mergeCell ref="T159:T160"/>
    <mergeCell ref="V159:V160"/>
    <mergeCell ref="X159:X160"/>
    <mergeCell ref="Z165:Z166"/>
    <mergeCell ref="AB165:AB166"/>
    <mergeCell ref="AD165:AD166"/>
    <mergeCell ref="A167:A168"/>
    <mergeCell ref="F167:F168"/>
    <mergeCell ref="H167:H168"/>
    <mergeCell ref="J167:J168"/>
    <mergeCell ref="L167:L168"/>
    <mergeCell ref="N167:N168"/>
    <mergeCell ref="P167:P168"/>
    <mergeCell ref="N165:N166"/>
    <mergeCell ref="P165:P166"/>
    <mergeCell ref="R165:R166"/>
    <mergeCell ref="T165:T166"/>
    <mergeCell ref="V165:V166"/>
    <mergeCell ref="X165:X166"/>
    <mergeCell ref="V163:V164"/>
    <mergeCell ref="X163:X164"/>
    <mergeCell ref="Z163:Z164"/>
    <mergeCell ref="AB163:AB164"/>
    <mergeCell ref="AD163:AD164"/>
    <mergeCell ref="A165:A166"/>
    <mergeCell ref="F165:F166"/>
    <mergeCell ref="H165:H166"/>
    <mergeCell ref="J165:J166"/>
    <mergeCell ref="L165:L166"/>
    <mergeCell ref="V169:V170"/>
    <mergeCell ref="X169:X170"/>
    <mergeCell ref="Z169:Z170"/>
    <mergeCell ref="AB169:AB170"/>
    <mergeCell ref="AD169:AD170"/>
    <mergeCell ref="A171:A172"/>
    <mergeCell ref="F171:F172"/>
    <mergeCell ref="H171:H172"/>
    <mergeCell ref="J171:J172"/>
    <mergeCell ref="L171:L172"/>
    <mergeCell ref="AD167:AD168"/>
    <mergeCell ref="A169:A170"/>
    <mergeCell ref="F169:F170"/>
    <mergeCell ref="H169:H170"/>
    <mergeCell ref="J169:J170"/>
    <mergeCell ref="L169:L170"/>
    <mergeCell ref="N169:N170"/>
    <mergeCell ref="P169:P170"/>
    <mergeCell ref="R169:R170"/>
    <mergeCell ref="T169:T170"/>
    <mergeCell ref="R167:R168"/>
    <mergeCell ref="T167:T168"/>
    <mergeCell ref="V167:V168"/>
    <mergeCell ref="X167:X168"/>
    <mergeCell ref="Z167:Z168"/>
    <mergeCell ref="AB167:AB168"/>
    <mergeCell ref="AD173:AD174"/>
    <mergeCell ref="A175:A176"/>
    <mergeCell ref="F175:F176"/>
    <mergeCell ref="H175:H176"/>
    <mergeCell ref="J175:J176"/>
    <mergeCell ref="L175:L176"/>
    <mergeCell ref="N175:N176"/>
    <mergeCell ref="P175:P176"/>
    <mergeCell ref="R175:R176"/>
    <mergeCell ref="T175:T176"/>
    <mergeCell ref="R173:R174"/>
    <mergeCell ref="T173:T174"/>
    <mergeCell ref="V173:V174"/>
    <mergeCell ref="X173:X174"/>
    <mergeCell ref="Z173:Z174"/>
    <mergeCell ref="AB173:AB174"/>
    <mergeCell ref="Z171:Z172"/>
    <mergeCell ref="AB171:AB172"/>
    <mergeCell ref="AD171:AD172"/>
    <mergeCell ref="A173:A174"/>
    <mergeCell ref="F173:F174"/>
    <mergeCell ref="H173:H174"/>
    <mergeCell ref="J173:J174"/>
    <mergeCell ref="L173:L174"/>
    <mergeCell ref="N173:N174"/>
    <mergeCell ref="P173:P174"/>
    <mergeCell ref="N171:N172"/>
    <mergeCell ref="P171:P172"/>
    <mergeCell ref="R171:R172"/>
    <mergeCell ref="T171:T172"/>
    <mergeCell ref="V171:V172"/>
    <mergeCell ref="X171:X172"/>
    <mergeCell ref="Z177:Z178"/>
    <mergeCell ref="AB177:AB178"/>
    <mergeCell ref="AD177:AD178"/>
    <mergeCell ref="A179:A180"/>
    <mergeCell ref="F179:F180"/>
    <mergeCell ref="H179:H180"/>
    <mergeCell ref="J179:J180"/>
    <mergeCell ref="L179:L180"/>
    <mergeCell ref="N179:N180"/>
    <mergeCell ref="P179:P180"/>
    <mergeCell ref="N177:N178"/>
    <mergeCell ref="P177:P178"/>
    <mergeCell ref="R177:R178"/>
    <mergeCell ref="T177:T178"/>
    <mergeCell ref="V177:V178"/>
    <mergeCell ref="X177:X178"/>
    <mergeCell ref="V175:V176"/>
    <mergeCell ref="X175:X176"/>
    <mergeCell ref="Z175:Z176"/>
    <mergeCell ref="AB175:AB176"/>
    <mergeCell ref="AD175:AD176"/>
    <mergeCell ref="A177:A178"/>
    <mergeCell ref="F177:F178"/>
    <mergeCell ref="H177:H178"/>
    <mergeCell ref="J177:J178"/>
    <mergeCell ref="L177:L178"/>
    <mergeCell ref="V181:V182"/>
    <mergeCell ref="X181:X182"/>
    <mergeCell ref="Z181:Z182"/>
    <mergeCell ref="AB181:AB182"/>
    <mergeCell ref="AD181:AD182"/>
    <mergeCell ref="A183:A184"/>
    <mergeCell ref="F183:F184"/>
    <mergeCell ref="H183:H184"/>
    <mergeCell ref="J183:J184"/>
    <mergeCell ref="L183:L184"/>
    <mergeCell ref="AD179:AD180"/>
    <mergeCell ref="A181:A182"/>
    <mergeCell ref="F181:F182"/>
    <mergeCell ref="H181:H182"/>
    <mergeCell ref="J181:J182"/>
    <mergeCell ref="L181:L182"/>
    <mergeCell ref="N181:N182"/>
    <mergeCell ref="P181:P182"/>
    <mergeCell ref="R181:R182"/>
    <mergeCell ref="T181:T182"/>
    <mergeCell ref="R179:R180"/>
    <mergeCell ref="T179:T180"/>
    <mergeCell ref="V179:V180"/>
    <mergeCell ref="X179:X180"/>
    <mergeCell ref="Z179:Z180"/>
    <mergeCell ref="AB179:AB180"/>
    <mergeCell ref="AD185:AD186"/>
    <mergeCell ref="A187:A188"/>
    <mergeCell ref="F187:F188"/>
    <mergeCell ref="H187:H188"/>
    <mergeCell ref="J187:J188"/>
    <mergeCell ref="L187:L188"/>
    <mergeCell ref="N187:N188"/>
    <mergeCell ref="P187:P188"/>
    <mergeCell ref="R187:R188"/>
    <mergeCell ref="T187:T188"/>
    <mergeCell ref="R185:R186"/>
    <mergeCell ref="T185:T186"/>
    <mergeCell ref="V185:V186"/>
    <mergeCell ref="X185:X186"/>
    <mergeCell ref="Z185:Z186"/>
    <mergeCell ref="AB185:AB186"/>
    <mergeCell ref="Z183:Z184"/>
    <mergeCell ref="AB183:AB184"/>
    <mergeCell ref="AD183:AD184"/>
    <mergeCell ref="A185:A186"/>
    <mergeCell ref="F185:F186"/>
    <mergeCell ref="H185:H186"/>
    <mergeCell ref="J185:J186"/>
    <mergeCell ref="L185:L186"/>
    <mergeCell ref="N185:N186"/>
    <mergeCell ref="P185:P186"/>
    <mergeCell ref="N183:N184"/>
    <mergeCell ref="P183:P184"/>
    <mergeCell ref="R183:R184"/>
    <mergeCell ref="T183:T184"/>
    <mergeCell ref="V183:V184"/>
    <mergeCell ref="X183:X184"/>
    <mergeCell ref="Z189:Z190"/>
    <mergeCell ref="AB189:AB190"/>
    <mergeCell ref="AD189:AD190"/>
    <mergeCell ref="A191:A192"/>
    <mergeCell ref="F191:F192"/>
    <mergeCell ref="H191:H192"/>
    <mergeCell ref="J191:J192"/>
    <mergeCell ref="L191:L192"/>
    <mergeCell ref="N191:N192"/>
    <mergeCell ref="P191:P192"/>
    <mergeCell ref="N189:N190"/>
    <mergeCell ref="P189:P190"/>
    <mergeCell ref="R189:R190"/>
    <mergeCell ref="T189:T190"/>
    <mergeCell ref="V189:V190"/>
    <mergeCell ref="X189:X190"/>
    <mergeCell ref="V187:V188"/>
    <mergeCell ref="X187:X188"/>
    <mergeCell ref="Z187:Z188"/>
    <mergeCell ref="AB187:AB188"/>
    <mergeCell ref="AD187:AD188"/>
    <mergeCell ref="A189:A190"/>
    <mergeCell ref="F189:F190"/>
    <mergeCell ref="H189:H190"/>
    <mergeCell ref="J189:J190"/>
    <mergeCell ref="L189:L190"/>
    <mergeCell ref="V193:V194"/>
    <mergeCell ref="X193:X194"/>
    <mergeCell ref="Z193:Z194"/>
    <mergeCell ref="AB193:AB194"/>
    <mergeCell ref="AD193:AD194"/>
    <mergeCell ref="A195:A196"/>
    <mergeCell ref="F195:F196"/>
    <mergeCell ref="H195:H196"/>
    <mergeCell ref="J195:J196"/>
    <mergeCell ref="L195:L196"/>
    <mergeCell ref="AD191:AD192"/>
    <mergeCell ref="A193:A194"/>
    <mergeCell ref="F193:F194"/>
    <mergeCell ref="H193:H194"/>
    <mergeCell ref="J193:J194"/>
    <mergeCell ref="L193:L194"/>
    <mergeCell ref="N193:N194"/>
    <mergeCell ref="P193:P194"/>
    <mergeCell ref="R193:R194"/>
    <mergeCell ref="T193:T194"/>
    <mergeCell ref="R191:R192"/>
    <mergeCell ref="T191:T192"/>
    <mergeCell ref="V191:V192"/>
    <mergeCell ref="X191:X192"/>
    <mergeCell ref="Z191:Z192"/>
    <mergeCell ref="AB191:AB192"/>
    <mergeCell ref="AD197:AD198"/>
    <mergeCell ref="A199:A200"/>
    <mergeCell ref="F199:F200"/>
    <mergeCell ref="H199:H200"/>
    <mergeCell ref="J199:J200"/>
    <mergeCell ref="L199:L200"/>
    <mergeCell ref="N199:N200"/>
    <mergeCell ref="P199:P200"/>
    <mergeCell ref="R199:R200"/>
    <mergeCell ref="T199:T200"/>
    <mergeCell ref="R197:R198"/>
    <mergeCell ref="T197:T198"/>
    <mergeCell ref="V197:V198"/>
    <mergeCell ref="X197:X198"/>
    <mergeCell ref="Z197:Z198"/>
    <mergeCell ref="AB197:AB198"/>
    <mergeCell ref="Z195:Z196"/>
    <mergeCell ref="AB195:AB196"/>
    <mergeCell ref="AD195:AD196"/>
    <mergeCell ref="A197:A198"/>
    <mergeCell ref="F197:F198"/>
    <mergeCell ref="H197:H198"/>
    <mergeCell ref="J197:J198"/>
    <mergeCell ref="L197:L198"/>
    <mergeCell ref="N197:N198"/>
    <mergeCell ref="P197:P198"/>
    <mergeCell ref="N195:N196"/>
    <mergeCell ref="P195:P196"/>
    <mergeCell ref="R195:R196"/>
    <mergeCell ref="T195:T196"/>
    <mergeCell ref="V195:V196"/>
    <mergeCell ref="X195:X196"/>
    <mergeCell ref="Z201:Z202"/>
    <mergeCell ref="AB201:AB202"/>
    <mergeCell ref="AD201:AD202"/>
    <mergeCell ref="A203:A204"/>
    <mergeCell ref="F203:F204"/>
    <mergeCell ref="H203:H204"/>
    <mergeCell ref="J203:J204"/>
    <mergeCell ref="L203:L204"/>
    <mergeCell ref="N203:N204"/>
    <mergeCell ref="P203:P204"/>
    <mergeCell ref="N201:N202"/>
    <mergeCell ref="P201:P202"/>
    <mergeCell ref="R201:R202"/>
    <mergeCell ref="T201:T202"/>
    <mergeCell ref="V201:V202"/>
    <mergeCell ref="X201:X202"/>
    <mergeCell ref="V199:V200"/>
    <mergeCell ref="X199:X200"/>
    <mergeCell ref="Z199:Z200"/>
    <mergeCell ref="AB199:AB200"/>
    <mergeCell ref="AD199:AD200"/>
    <mergeCell ref="A201:A202"/>
    <mergeCell ref="F201:F202"/>
    <mergeCell ref="H201:H202"/>
    <mergeCell ref="J201:J202"/>
    <mergeCell ref="L201:L202"/>
    <mergeCell ref="V205:V206"/>
    <mergeCell ref="X205:X206"/>
    <mergeCell ref="Z205:Z206"/>
    <mergeCell ref="AB205:AB206"/>
    <mergeCell ref="AD205:AD206"/>
    <mergeCell ref="A207:A208"/>
    <mergeCell ref="F207:F208"/>
    <mergeCell ref="H207:H208"/>
    <mergeCell ref="J207:J208"/>
    <mergeCell ref="L207:L208"/>
    <mergeCell ref="AD203:AD204"/>
    <mergeCell ref="A205:A206"/>
    <mergeCell ref="F205:F206"/>
    <mergeCell ref="H205:H206"/>
    <mergeCell ref="J205:J206"/>
    <mergeCell ref="L205:L206"/>
    <mergeCell ref="N205:N206"/>
    <mergeCell ref="P205:P206"/>
    <mergeCell ref="R205:R206"/>
    <mergeCell ref="T205:T206"/>
    <mergeCell ref="R203:R204"/>
    <mergeCell ref="T203:T204"/>
    <mergeCell ref="V203:V204"/>
    <mergeCell ref="X203:X204"/>
    <mergeCell ref="Z203:Z204"/>
    <mergeCell ref="AB203:AB204"/>
    <mergeCell ref="AD209:AD210"/>
    <mergeCell ref="A211:A212"/>
    <mergeCell ref="F211:F212"/>
    <mergeCell ref="H211:H212"/>
    <mergeCell ref="J211:J212"/>
    <mergeCell ref="L211:L212"/>
    <mergeCell ref="N211:N212"/>
    <mergeCell ref="P211:P212"/>
    <mergeCell ref="R211:R212"/>
    <mergeCell ref="T211:T212"/>
    <mergeCell ref="R209:R210"/>
    <mergeCell ref="T209:T210"/>
    <mergeCell ref="V209:V210"/>
    <mergeCell ref="X209:X210"/>
    <mergeCell ref="Z209:Z210"/>
    <mergeCell ref="AB209:AB210"/>
    <mergeCell ref="Z207:Z208"/>
    <mergeCell ref="AB207:AB208"/>
    <mergeCell ref="AD207:AD208"/>
    <mergeCell ref="A209:A210"/>
    <mergeCell ref="F209:F210"/>
    <mergeCell ref="H209:H210"/>
    <mergeCell ref="J209:J210"/>
    <mergeCell ref="L209:L210"/>
    <mergeCell ref="N209:N210"/>
    <mergeCell ref="P209:P210"/>
    <mergeCell ref="N207:N208"/>
    <mergeCell ref="P207:P208"/>
    <mergeCell ref="R207:R208"/>
    <mergeCell ref="T207:T208"/>
    <mergeCell ref="V207:V208"/>
    <mergeCell ref="X207:X208"/>
    <mergeCell ref="Z213:Z214"/>
    <mergeCell ref="AB213:AB214"/>
    <mergeCell ref="AD213:AD214"/>
    <mergeCell ref="A215:A216"/>
    <mergeCell ref="F215:F216"/>
    <mergeCell ref="H215:H216"/>
    <mergeCell ref="J215:J216"/>
    <mergeCell ref="L215:L216"/>
    <mergeCell ref="N215:N216"/>
    <mergeCell ref="P215:P216"/>
    <mergeCell ref="N213:N214"/>
    <mergeCell ref="P213:P214"/>
    <mergeCell ref="R213:R214"/>
    <mergeCell ref="T213:T214"/>
    <mergeCell ref="V213:V214"/>
    <mergeCell ref="X213:X214"/>
    <mergeCell ref="V211:V212"/>
    <mergeCell ref="X211:X212"/>
    <mergeCell ref="Z211:Z212"/>
    <mergeCell ref="AB211:AB212"/>
    <mergeCell ref="AD211:AD212"/>
    <mergeCell ref="A213:A214"/>
    <mergeCell ref="F213:F214"/>
    <mergeCell ref="H213:H214"/>
    <mergeCell ref="J213:J214"/>
    <mergeCell ref="L213:L214"/>
    <mergeCell ref="V217:V218"/>
    <mergeCell ref="X217:X218"/>
    <mergeCell ref="Z217:Z218"/>
    <mergeCell ref="AB217:AB218"/>
    <mergeCell ref="AD217:AD218"/>
    <mergeCell ref="A219:A220"/>
    <mergeCell ref="F219:F220"/>
    <mergeCell ref="H219:H220"/>
    <mergeCell ref="J219:J220"/>
    <mergeCell ref="L219:L220"/>
    <mergeCell ref="AD215:AD216"/>
    <mergeCell ref="A217:A218"/>
    <mergeCell ref="F217:F218"/>
    <mergeCell ref="H217:H218"/>
    <mergeCell ref="J217:J218"/>
    <mergeCell ref="L217:L218"/>
    <mergeCell ref="N217:N218"/>
    <mergeCell ref="P217:P218"/>
    <mergeCell ref="R217:R218"/>
    <mergeCell ref="T217:T218"/>
    <mergeCell ref="R215:R216"/>
    <mergeCell ref="T215:T216"/>
    <mergeCell ref="V215:V216"/>
    <mergeCell ref="X215:X216"/>
    <mergeCell ref="Z215:Z216"/>
    <mergeCell ref="AB215:AB216"/>
    <mergeCell ref="AD221:AD222"/>
    <mergeCell ref="A223:A224"/>
    <mergeCell ref="F223:F224"/>
    <mergeCell ref="H223:H224"/>
    <mergeCell ref="J223:J224"/>
    <mergeCell ref="L223:L224"/>
    <mergeCell ref="N223:N224"/>
    <mergeCell ref="P223:P224"/>
    <mergeCell ref="R223:R224"/>
    <mergeCell ref="T223:T224"/>
    <mergeCell ref="R221:R222"/>
    <mergeCell ref="T221:T222"/>
    <mergeCell ref="V221:V222"/>
    <mergeCell ref="X221:X222"/>
    <mergeCell ref="Z221:Z222"/>
    <mergeCell ref="AB221:AB222"/>
    <mergeCell ref="Z219:Z220"/>
    <mergeCell ref="AB219:AB220"/>
    <mergeCell ref="AD219:AD220"/>
    <mergeCell ref="A221:A222"/>
    <mergeCell ref="F221:F222"/>
    <mergeCell ref="H221:H222"/>
    <mergeCell ref="J221:J222"/>
    <mergeCell ref="L221:L222"/>
    <mergeCell ref="N221:N222"/>
    <mergeCell ref="P221:P222"/>
    <mergeCell ref="N219:N220"/>
    <mergeCell ref="P219:P220"/>
    <mergeCell ref="R219:R220"/>
    <mergeCell ref="T219:T220"/>
    <mergeCell ref="V219:V220"/>
    <mergeCell ref="X219:X220"/>
    <mergeCell ref="Z225:Z226"/>
    <mergeCell ref="AB225:AB226"/>
    <mergeCell ref="AD225:AD226"/>
    <mergeCell ref="A227:A228"/>
    <mergeCell ref="F227:F228"/>
    <mergeCell ref="H227:H228"/>
    <mergeCell ref="J227:J228"/>
    <mergeCell ref="L227:L228"/>
    <mergeCell ref="N227:N228"/>
    <mergeCell ref="P227:P228"/>
    <mergeCell ref="N225:N226"/>
    <mergeCell ref="P225:P226"/>
    <mergeCell ref="R225:R226"/>
    <mergeCell ref="T225:T226"/>
    <mergeCell ref="V225:V226"/>
    <mergeCell ref="X225:X226"/>
    <mergeCell ref="V223:V224"/>
    <mergeCell ref="X223:X224"/>
    <mergeCell ref="Z223:Z224"/>
    <mergeCell ref="AB223:AB224"/>
    <mergeCell ref="AD223:AD224"/>
    <mergeCell ref="A225:A226"/>
    <mergeCell ref="F225:F226"/>
    <mergeCell ref="H225:H226"/>
    <mergeCell ref="J225:J226"/>
    <mergeCell ref="L225:L226"/>
    <mergeCell ref="V229:V230"/>
    <mergeCell ref="X229:X230"/>
    <mergeCell ref="Z229:Z230"/>
    <mergeCell ref="AB229:AB230"/>
    <mergeCell ref="AD229:AD230"/>
    <mergeCell ref="A231:A232"/>
    <mergeCell ref="F231:F232"/>
    <mergeCell ref="H231:H232"/>
    <mergeCell ref="J231:J232"/>
    <mergeCell ref="L231:L232"/>
    <mergeCell ref="AD227:AD228"/>
    <mergeCell ref="A229:A230"/>
    <mergeCell ref="F229:F230"/>
    <mergeCell ref="H229:H230"/>
    <mergeCell ref="J229:J230"/>
    <mergeCell ref="L229:L230"/>
    <mergeCell ref="N229:N230"/>
    <mergeCell ref="P229:P230"/>
    <mergeCell ref="R229:R230"/>
    <mergeCell ref="T229:T230"/>
    <mergeCell ref="R227:R228"/>
    <mergeCell ref="T227:T228"/>
    <mergeCell ref="V227:V228"/>
    <mergeCell ref="X227:X228"/>
    <mergeCell ref="Z227:Z228"/>
    <mergeCell ref="AB227:AB228"/>
    <mergeCell ref="AD233:AD234"/>
    <mergeCell ref="A235:A236"/>
    <mergeCell ref="F235:F236"/>
    <mergeCell ref="H235:H236"/>
    <mergeCell ref="J235:J236"/>
    <mergeCell ref="L235:L236"/>
    <mergeCell ref="N235:N236"/>
    <mergeCell ref="P235:P236"/>
    <mergeCell ref="R235:R236"/>
    <mergeCell ref="T235:T236"/>
    <mergeCell ref="R233:R234"/>
    <mergeCell ref="T233:T234"/>
    <mergeCell ref="V233:V234"/>
    <mergeCell ref="X233:X234"/>
    <mergeCell ref="Z233:Z234"/>
    <mergeCell ref="AB233:AB234"/>
    <mergeCell ref="Z231:Z232"/>
    <mergeCell ref="AB231:AB232"/>
    <mergeCell ref="AD231:AD232"/>
    <mergeCell ref="A233:A234"/>
    <mergeCell ref="F233:F234"/>
    <mergeCell ref="H233:H234"/>
    <mergeCell ref="J233:J234"/>
    <mergeCell ref="L233:L234"/>
    <mergeCell ref="N233:N234"/>
    <mergeCell ref="P233:P234"/>
    <mergeCell ref="N231:N232"/>
    <mergeCell ref="P231:P232"/>
    <mergeCell ref="R231:R232"/>
    <mergeCell ref="T231:T232"/>
    <mergeCell ref="V231:V232"/>
    <mergeCell ref="X231:X232"/>
    <mergeCell ref="Z237:Z238"/>
    <mergeCell ref="AB237:AB238"/>
    <mergeCell ref="AD237:AD238"/>
    <mergeCell ref="A239:A240"/>
    <mergeCell ref="F239:F240"/>
    <mergeCell ref="H239:H240"/>
    <mergeCell ref="J239:J240"/>
    <mergeCell ref="L239:L240"/>
    <mergeCell ref="N239:N240"/>
    <mergeCell ref="P239:P240"/>
    <mergeCell ref="N237:N238"/>
    <mergeCell ref="P237:P238"/>
    <mergeCell ref="R237:R238"/>
    <mergeCell ref="T237:T238"/>
    <mergeCell ref="V237:V238"/>
    <mergeCell ref="X237:X238"/>
    <mergeCell ref="V235:V236"/>
    <mergeCell ref="X235:X236"/>
    <mergeCell ref="Z235:Z236"/>
    <mergeCell ref="AB235:AB236"/>
    <mergeCell ref="AD235:AD236"/>
    <mergeCell ref="A237:A238"/>
    <mergeCell ref="F237:F238"/>
    <mergeCell ref="H237:H238"/>
    <mergeCell ref="J237:J238"/>
    <mergeCell ref="L237:L238"/>
    <mergeCell ref="V241:V242"/>
    <mergeCell ref="X241:X242"/>
    <mergeCell ref="Z241:Z242"/>
    <mergeCell ref="AB241:AB242"/>
    <mergeCell ref="AD241:AD242"/>
    <mergeCell ref="A243:A244"/>
    <mergeCell ref="F243:F244"/>
    <mergeCell ref="H243:H244"/>
    <mergeCell ref="J243:J244"/>
    <mergeCell ref="L243:L244"/>
    <mergeCell ref="AD239:AD240"/>
    <mergeCell ref="A241:A242"/>
    <mergeCell ref="F241:F242"/>
    <mergeCell ref="H241:H242"/>
    <mergeCell ref="J241:J242"/>
    <mergeCell ref="L241:L242"/>
    <mergeCell ref="N241:N242"/>
    <mergeCell ref="P241:P242"/>
    <mergeCell ref="R241:R242"/>
    <mergeCell ref="T241:T242"/>
    <mergeCell ref="R239:R240"/>
    <mergeCell ref="T239:T240"/>
    <mergeCell ref="V239:V240"/>
    <mergeCell ref="X239:X240"/>
    <mergeCell ref="Z239:Z240"/>
    <mergeCell ref="AB239:AB240"/>
    <mergeCell ref="AD245:AD246"/>
    <mergeCell ref="A247:A248"/>
    <mergeCell ref="F247:F248"/>
    <mergeCell ref="H247:H248"/>
    <mergeCell ref="J247:J248"/>
    <mergeCell ref="L247:L248"/>
    <mergeCell ref="N247:N248"/>
    <mergeCell ref="P247:P248"/>
    <mergeCell ref="R247:R248"/>
    <mergeCell ref="T247:T248"/>
    <mergeCell ref="R245:R246"/>
    <mergeCell ref="T245:T246"/>
    <mergeCell ref="V245:V246"/>
    <mergeCell ref="X245:X246"/>
    <mergeCell ref="Z245:Z246"/>
    <mergeCell ref="AB245:AB246"/>
    <mergeCell ref="Z243:Z244"/>
    <mergeCell ref="AB243:AB244"/>
    <mergeCell ref="AD243:AD244"/>
    <mergeCell ref="A245:A246"/>
    <mergeCell ref="F245:F246"/>
    <mergeCell ref="H245:H246"/>
    <mergeCell ref="J245:J246"/>
    <mergeCell ref="L245:L246"/>
    <mergeCell ref="N245:N246"/>
    <mergeCell ref="P245:P246"/>
    <mergeCell ref="N243:N244"/>
    <mergeCell ref="P243:P244"/>
    <mergeCell ref="R243:R244"/>
    <mergeCell ref="T243:T244"/>
    <mergeCell ref="V243:V244"/>
    <mergeCell ref="X243:X244"/>
    <mergeCell ref="Z249:Z250"/>
    <mergeCell ref="AB249:AB250"/>
    <mergeCell ref="AD249:AD250"/>
    <mergeCell ref="A251:A252"/>
    <mergeCell ref="F251:F252"/>
    <mergeCell ref="H251:H252"/>
    <mergeCell ref="J251:J252"/>
    <mergeCell ref="L251:L252"/>
    <mergeCell ref="N251:N252"/>
    <mergeCell ref="P251:P252"/>
    <mergeCell ref="N249:N250"/>
    <mergeCell ref="P249:P250"/>
    <mergeCell ref="R249:R250"/>
    <mergeCell ref="T249:T250"/>
    <mergeCell ref="V249:V250"/>
    <mergeCell ref="X249:X250"/>
    <mergeCell ref="V247:V248"/>
    <mergeCell ref="X247:X248"/>
    <mergeCell ref="Z247:Z248"/>
    <mergeCell ref="AB247:AB248"/>
    <mergeCell ref="AD247:AD248"/>
    <mergeCell ref="A249:A250"/>
    <mergeCell ref="F249:F250"/>
    <mergeCell ref="H249:H250"/>
    <mergeCell ref="J249:J250"/>
    <mergeCell ref="L249:L250"/>
    <mergeCell ref="V253:V254"/>
    <mergeCell ref="X253:X254"/>
    <mergeCell ref="Z253:Z254"/>
    <mergeCell ref="AB253:AB254"/>
    <mergeCell ref="AD253:AD254"/>
    <mergeCell ref="A255:A256"/>
    <mergeCell ref="F255:F256"/>
    <mergeCell ref="H255:H256"/>
    <mergeCell ref="J255:J256"/>
    <mergeCell ref="L255:L256"/>
    <mergeCell ref="AD251:AD252"/>
    <mergeCell ref="A253:A254"/>
    <mergeCell ref="F253:F254"/>
    <mergeCell ref="H253:H254"/>
    <mergeCell ref="J253:J254"/>
    <mergeCell ref="L253:L254"/>
    <mergeCell ref="N253:N254"/>
    <mergeCell ref="P253:P254"/>
    <mergeCell ref="R253:R254"/>
    <mergeCell ref="T253:T254"/>
    <mergeCell ref="R251:R252"/>
    <mergeCell ref="T251:T252"/>
    <mergeCell ref="V251:V252"/>
    <mergeCell ref="X251:X252"/>
    <mergeCell ref="Z251:Z252"/>
    <mergeCell ref="AB251:AB252"/>
    <mergeCell ref="AD257:AD258"/>
    <mergeCell ref="A259:A260"/>
    <mergeCell ref="F259:F260"/>
    <mergeCell ref="H259:H260"/>
    <mergeCell ref="J259:J260"/>
    <mergeCell ref="L259:L260"/>
    <mergeCell ref="N259:N260"/>
    <mergeCell ref="P259:P260"/>
    <mergeCell ref="R259:R260"/>
    <mergeCell ref="T259:T260"/>
    <mergeCell ref="R257:R258"/>
    <mergeCell ref="T257:T258"/>
    <mergeCell ref="V257:V258"/>
    <mergeCell ref="X257:X258"/>
    <mergeCell ref="Z257:Z258"/>
    <mergeCell ref="AB257:AB258"/>
    <mergeCell ref="Z255:Z256"/>
    <mergeCell ref="AB255:AB256"/>
    <mergeCell ref="AD255:AD256"/>
    <mergeCell ref="A257:A258"/>
    <mergeCell ref="F257:F258"/>
    <mergeCell ref="H257:H258"/>
    <mergeCell ref="J257:J258"/>
    <mergeCell ref="L257:L258"/>
    <mergeCell ref="N257:N258"/>
    <mergeCell ref="P257:P258"/>
    <mergeCell ref="N255:N256"/>
    <mergeCell ref="P255:P256"/>
    <mergeCell ref="R255:R256"/>
    <mergeCell ref="T255:T256"/>
    <mergeCell ref="V255:V256"/>
    <mergeCell ref="X255:X256"/>
    <mergeCell ref="Z261:Z262"/>
    <mergeCell ref="AB261:AB262"/>
    <mergeCell ref="AD261:AD262"/>
    <mergeCell ref="A263:A264"/>
    <mergeCell ref="F263:F264"/>
    <mergeCell ref="H263:H264"/>
    <mergeCell ref="J263:J264"/>
    <mergeCell ref="L263:L264"/>
    <mergeCell ref="N263:N264"/>
    <mergeCell ref="P263:P264"/>
    <mergeCell ref="N261:N262"/>
    <mergeCell ref="P261:P262"/>
    <mergeCell ref="R261:R262"/>
    <mergeCell ref="T261:T262"/>
    <mergeCell ref="V261:V262"/>
    <mergeCell ref="X261:X262"/>
    <mergeCell ref="V259:V260"/>
    <mergeCell ref="X259:X260"/>
    <mergeCell ref="Z259:Z260"/>
    <mergeCell ref="AB259:AB260"/>
    <mergeCell ref="AD259:AD260"/>
    <mergeCell ref="A261:A262"/>
    <mergeCell ref="F261:F262"/>
    <mergeCell ref="H261:H262"/>
    <mergeCell ref="J261:J262"/>
    <mergeCell ref="L261:L262"/>
    <mergeCell ref="V265:V266"/>
    <mergeCell ref="X265:X266"/>
    <mergeCell ref="Z265:Z266"/>
    <mergeCell ref="AB265:AB266"/>
    <mergeCell ref="AD265:AD266"/>
    <mergeCell ref="A267:A268"/>
    <mergeCell ref="F267:F268"/>
    <mergeCell ref="H267:H268"/>
    <mergeCell ref="J267:J268"/>
    <mergeCell ref="L267:L268"/>
    <mergeCell ref="AD263:AD264"/>
    <mergeCell ref="A265:A266"/>
    <mergeCell ref="F265:F266"/>
    <mergeCell ref="H265:H266"/>
    <mergeCell ref="J265:J266"/>
    <mergeCell ref="L265:L266"/>
    <mergeCell ref="N265:N266"/>
    <mergeCell ref="P265:P266"/>
    <mergeCell ref="R265:R266"/>
    <mergeCell ref="T265:T266"/>
    <mergeCell ref="R263:R264"/>
    <mergeCell ref="T263:T264"/>
    <mergeCell ref="V263:V264"/>
    <mergeCell ref="X263:X264"/>
    <mergeCell ref="Z263:Z264"/>
    <mergeCell ref="AB263:AB264"/>
    <mergeCell ref="AD269:AD270"/>
    <mergeCell ref="A271:A272"/>
    <mergeCell ref="F271:F272"/>
    <mergeCell ref="H271:H272"/>
    <mergeCell ref="J271:J272"/>
    <mergeCell ref="L271:L272"/>
    <mergeCell ref="N271:N272"/>
    <mergeCell ref="P271:P272"/>
    <mergeCell ref="R271:R272"/>
    <mergeCell ref="T271:T272"/>
    <mergeCell ref="R269:R270"/>
    <mergeCell ref="T269:T270"/>
    <mergeCell ref="V269:V270"/>
    <mergeCell ref="X269:X270"/>
    <mergeCell ref="Z269:Z270"/>
    <mergeCell ref="AB269:AB270"/>
    <mergeCell ref="Z267:Z268"/>
    <mergeCell ref="AB267:AB268"/>
    <mergeCell ref="AD267:AD268"/>
    <mergeCell ref="A269:A270"/>
    <mergeCell ref="F269:F270"/>
    <mergeCell ref="H269:H270"/>
    <mergeCell ref="J269:J270"/>
    <mergeCell ref="L269:L270"/>
    <mergeCell ref="N269:N270"/>
    <mergeCell ref="P269:P270"/>
    <mergeCell ref="N267:N268"/>
    <mergeCell ref="P267:P268"/>
    <mergeCell ref="R267:R268"/>
    <mergeCell ref="T267:T268"/>
    <mergeCell ref="V267:V268"/>
    <mergeCell ref="X267:X268"/>
    <mergeCell ref="Z273:Z274"/>
    <mergeCell ref="AB273:AB274"/>
    <mergeCell ref="AD273:AD274"/>
    <mergeCell ref="A275:A276"/>
    <mergeCell ref="F275:F276"/>
    <mergeCell ref="H275:H276"/>
    <mergeCell ref="J275:J276"/>
    <mergeCell ref="L275:L276"/>
    <mergeCell ref="N275:N276"/>
    <mergeCell ref="P275:P276"/>
    <mergeCell ref="N273:N274"/>
    <mergeCell ref="P273:P274"/>
    <mergeCell ref="R273:R274"/>
    <mergeCell ref="T273:T274"/>
    <mergeCell ref="V273:V274"/>
    <mergeCell ref="X273:X274"/>
    <mergeCell ref="V271:V272"/>
    <mergeCell ref="X271:X272"/>
    <mergeCell ref="Z271:Z272"/>
    <mergeCell ref="AB271:AB272"/>
    <mergeCell ref="AD271:AD272"/>
    <mergeCell ref="A273:A274"/>
    <mergeCell ref="F273:F274"/>
    <mergeCell ref="H273:H274"/>
    <mergeCell ref="J273:J274"/>
    <mergeCell ref="L273:L274"/>
    <mergeCell ref="V277:V278"/>
    <mergeCell ref="X277:X278"/>
    <mergeCell ref="Z277:Z278"/>
    <mergeCell ref="AB277:AB278"/>
    <mergeCell ref="AD277:AD278"/>
    <mergeCell ref="A279:A280"/>
    <mergeCell ref="F279:F280"/>
    <mergeCell ref="H279:H280"/>
    <mergeCell ref="J279:J280"/>
    <mergeCell ref="L279:L280"/>
    <mergeCell ref="AD275:AD276"/>
    <mergeCell ref="A277:A278"/>
    <mergeCell ref="F277:F278"/>
    <mergeCell ref="H277:H278"/>
    <mergeCell ref="J277:J278"/>
    <mergeCell ref="L277:L278"/>
    <mergeCell ref="N277:N278"/>
    <mergeCell ref="P277:P278"/>
    <mergeCell ref="R277:R278"/>
    <mergeCell ref="T277:T278"/>
    <mergeCell ref="R275:R276"/>
    <mergeCell ref="T275:T276"/>
    <mergeCell ref="V275:V276"/>
    <mergeCell ref="X275:X276"/>
    <mergeCell ref="Z275:Z276"/>
    <mergeCell ref="AB275:AB276"/>
    <mergeCell ref="AD281:AD282"/>
    <mergeCell ref="A283:A284"/>
    <mergeCell ref="F283:F284"/>
    <mergeCell ref="H283:H284"/>
    <mergeCell ref="J283:J284"/>
    <mergeCell ref="L283:L284"/>
    <mergeCell ref="N283:N284"/>
    <mergeCell ref="P283:P284"/>
    <mergeCell ref="R283:R284"/>
    <mergeCell ref="T283:T284"/>
    <mergeCell ref="R281:R282"/>
    <mergeCell ref="T281:T282"/>
    <mergeCell ref="V281:V282"/>
    <mergeCell ref="X281:X282"/>
    <mergeCell ref="Z281:Z282"/>
    <mergeCell ref="AB281:AB282"/>
    <mergeCell ref="Z279:Z280"/>
    <mergeCell ref="AB279:AB280"/>
    <mergeCell ref="AD279:AD280"/>
    <mergeCell ref="A281:A282"/>
    <mergeCell ref="F281:F282"/>
    <mergeCell ref="H281:H282"/>
    <mergeCell ref="J281:J282"/>
    <mergeCell ref="L281:L282"/>
    <mergeCell ref="N281:N282"/>
    <mergeCell ref="P281:P282"/>
    <mergeCell ref="N279:N280"/>
    <mergeCell ref="P279:P280"/>
    <mergeCell ref="R279:R280"/>
    <mergeCell ref="T279:T280"/>
    <mergeCell ref="V279:V280"/>
    <mergeCell ref="X279:X280"/>
    <mergeCell ref="Z285:Z286"/>
    <mergeCell ref="AB285:AB286"/>
    <mergeCell ref="AD285:AD286"/>
    <mergeCell ref="A287:A288"/>
    <mergeCell ref="F287:F288"/>
    <mergeCell ref="H287:H288"/>
    <mergeCell ref="J287:J288"/>
    <mergeCell ref="L287:L288"/>
    <mergeCell ref="N287:N288"/>
    <mergeCell ref="P287:P288"/>
    <mergeCell ref="N285:N286"/>
    <mergeCell ref="P285:P286"/>
    <mergeCell ref="R285:R286"/>
    <mergeCell ref="T285:T286"/>
    <mergeCell ref="V285:V286"/>
    <mergeCell ref="X285:X286"/>
    <mergeCell ref="V283:V284"/>
    <mergeCell ref="X283:X284"/>
    <mergeCell ref="Z283:Z284"/>
    <mergeCell ref="AB283:AB284"/>
    <mergeCell ref="AD283:AD284"/>
    <mergeCell ref="A285:A286"/>
    <mergeCell ref="F285:F286"/>
    <mergeCell ref="H285:H286"/>
    <mergeCell ref="J285:J286"/>
    <mergeCell ref="L285:L286"/>
    <mergeCell ref="V289:V290"/>
    <mergeCell ref="X289:X290"/>
    <mergeCell ref="Z289:Z290"/>
    <mergeCell ref="AB289:AB290"/>
    <mergeCell ref="AD289:AD290"/>
    <mergeCell ref="A291:A292"/>
    <mergeCell ref="F291:F292"/>
    <mergeCell ref="H291:H292"/>
    <mergeCell ref="J291:J292"/>
    <mergeCell ref="L291:L292"/>
    <mergeCell ref="AD287:AD288"/>
    <mergeCell ref="A289:A290"/>
    <mergeCell ref="F289:F290"/>
    <mergeCell ref="H289:H290"/>
    <mergeCell ref="J289:J290"/>
    <mergeCell ref="L289:L290"/>
    <mergeCell ref="N289:N290"/>
    <mergeCell ref="P289:P290"/>
    <mergeCell ref="R289:R290"/>
    <mergeCell ref="T289:T290"/>
    <mergeCell ref="R287:R288"/>
    <mergeCell ref="T287:T288"/>
    <mergeCell ref="V287:V288"/>
    <mergeCell ref="X287:X288"/>
    <mergeCell ref="Z287:Z288"/>
    <mergeCell ref="AB287:AB288"/>
    <mergeCell ref="AD293:AD294"/>
    <mergeCell ref="A295:A296"/>
    <mergeCell ref="F295:F296"/>
    <mergeCell ref="H295:H296"/>
    <mergeCell ref="J295:J296"/>
    <mergeCell ref="L295:L296"/>
    <mergeCell ref="N295:N296"/>
    <mergeCell ref="P295:P296"/>
    <mergeCell ref="R295:R296"/>
    <mergeCell ref="T295:T296"/>
    <mergeCell ref="R293:R294"/>
    <mergeCell ref="T293:T294"/>
    <mergeCell ref="V293:V294"/>
    <mergeCell ref="X293:X294"/>
    <mergeCell ref="Z293:Z294"/>
    <mergeCell ref="AB293:AB294"/>
    <mergeCell ref="Z291:Z292"/>
    <mergeCell ref="AB291:AB292"/>
    <mergeCell ref="AD291:AD292"/>
    <mergeCell ref="A293:A294"/>
    <mergeCell ref="F293:F294"/>
    <mergeCell ref="H293:H294"/>
    <mergeCell ref="J293:J294"/>
    <mergeCell ref="L293:L294"/>
    <mergeCell ref="N293:N294"/>
    <mergeCell ref="P293:P294"/>
    <mergeCell ref="N291:N292"/>
    <mergeCell ref="P291:P292"/>
    <mergeCell ref="R291:R292"/>
    <mergeCell ref="T291:T292"/>
    <mergeCell ref="V291:V292"/>
    <mergeCell ref="X291:X292"/>
    <mergeCell ref="Z297:Z298"/>
    <mergeCell ref="AB297:AB298"/>
    <mergeCell ref="AD297:AD298"/>
    <mergeCell ref="A299:A300"/>
    <mergeCell ref="F299:F300"/>
    <mergeCell ref="H299:H300"/>
    <mergeCell ref="J299:J300"/>
    <mergeCell ref="L299:L300"/>
    <mergeCell ref="N299:N300"/>
    <mergeCell ref="P299:P300"/>
    <mergeCell ref="N297:N298"/>
    <mergeCell ref="P297:P298"/>
    <mergeCell ref="R297:R298"/>
    <mergeCell ref="T297:T298"/>
    <mergeCell ref="V297:V298"/>
    <mergeCell ref="X297:X298"/>
    <mergeCell ref="V295:V296"/>
    <mergeCell ref="X295:X296"/>
    <mergeCell ref="Z295:Z296"/>
    <mergeCell ref="AB295:AB296"/>
    <mergeCell ref="AD295:AD296"/>
    <mergeCell ref="A297:A298"/>
    <mergeCell ref="F297:F298"/>
    <mergeCell ref="H297:H298"/>
    <mergeCell ref="J297:J298"/>
    <mergeCell ref="L297:L298"/>
    <mergeCell ref="V301:V302"/>
    <mergeCell ref="X301:X302"/>
    <mergeCell ref="Z301:Z302"/>
    <mergeCell ref="AB301:AB302"/>
    <mergeCell ref="AD301:AD302"/>
    <mergeCell ref="A303:A304"/>
    <mergeCell ref="F303:F304"/>
    <mergeCell ref="H303:H304"/>
    <mergeCell ref="J303:J304"/>
    <mergeCell ref="L303:L304"/>
    <mergeCell ref="AD299:AD300"/>
    <mergeCell ref="A301:A302"/>
    <mergeCell ref="F301:F302"/>
    <mergeCell ref="H301:H302"/>
    <mergeCell ref="J301:J302"/>
    <mergeCell ref="L301:L302"/>
    <mergeCell ref="N301:N302"/>
    <mergeCell ref="P301:P302"/>
    <mergeCell ref="R301:R302"/>
    <mergeCell ref="T301:T302"/>
    <mergeCell ref="R299:R300"/>
    <mergeCell ref="T299:T300"/>
    <mergeCell ref="V299:V300"/>
    <mergeCell ref="X299:X300"/>
    <mergeCell ref="Z299:Z300"/>
    <mergeCell ref="AB299:AB300"/>
    <mergeCell ref="AD305:AD306"/>
    <mergeCell ref="A307:A308"/>
    <mergeCell ref="F307:F308"/>
    <mergeCell ref="H307:H308"/>
    <mergeCell ref="J307:J308"/>
    <mergeCell ref="L307:L308"/>
    <mergeCell ref="N307:N308"/>
    <mergeCell ref="P307:P308"/>
    <mergeCell ref="R307:R308"/>
    <mergeCell ref="T307:T308"/>
    <mergeCell ref="R305:R306"/>
    <mergeCell ref="T305:T306"/>
    <mergeCell ref="V305:V306"/>
    <mergeCell ref="X305:X306"/>
    <mergeCell ref="Z305:Z306"/>
    <mergeCell ref="AB305:AB306"/>
    <mergeCell ref="Z303:Z304"/>
    <mergeCell ref="AB303:AB304"/>
    <mergeCell ref="AD303:AD304"/>
    <mergeCell ref="A305:A306"/>
    <mergeCell ref="F305:F306"/>
    <mergeCell ref="H305:H306"/>
    <mergeCell ref="J305:J306"/>
    <mergeCell ref="L305:L306"/>
    <mergeCell ref="N305:N306"/>
    <mergeCell ref="P305:P306"/>
    <mergeCell ref="N303:N304"/>
    <mergeCell ref="P303:P304"/>
    <mergeCell ref="R303:R304"/>
    <mergeCell ref="T303:T304"/>
    <mergeCell ref="V303:V304"/>
    <mergeCell ref="X303:X304"/>
    <mergeCell ref="Z309:Z310"/>
    <mergeCell ref="AB309:AB310"/>
    <mergeCell ref="AD309:AD310"/>
    <mergeCell ref="A311:A312"/>
    <mergeCell ref="F311:F312"/>
    <mergeCell ref="H311:H312"/>
    <mergeCell ref="J311:J312"/>
    <mergeCell ref="L311:L312"/>
    <mergeCell ref="N311:N312"/>
    <mergeCell ref="P311:P312"/>
    <mergeCell ref="N309:N310"/>
    <mergeCell ref="P309:P310"/>
    <mergeCell ref="R309:R310"/>
    <mergeCell ref="T309:T310"/>
    <mergeCell ref="V309:V310"/>
    <mergeCell ref="X309:X310"/>
    <mergeCell ref="V307:V308"/>
    <mergeCell ref="X307:X308"/>
    <mergeCell ref="Z307:Z308"/>
    <mergeCell ref="AB307:AB308"/>
    <mergeCell ref="AD307:AD308"/>
    <mergeCell ref="A309:A310"/>
    <mergeCell ref="F309:F310"/>
    <mergeCell ref="H309:H310"/>
    <mergeCell ref="J309:J310"/>
    <mergeCell ref="L309:L310"/>
    <mergeCell ref="V313:V314"/>
    <mergeCell ref="X313:X314"/>
    <mergeCell ref="Z313:Z314"/>
    <mergeCell ref="AB313:AB314"/>
    <mergeCell ref="AD313:AD314"/>
    <mergeCell ref="A315:A316"/>
    <mergeCell ref="F315:F316"/>
    <mergeCell ref="H315:H316"/>
    <mergeCell ref="J315:J316"/>
    <mergeCell ref="L315:L316"/>
    <mergeCell ref="AD311:AD312"/>
    <mergeCell ref="A313:A314"/>
    <mergeCell ref="F313:F314"/>
    <mergeCell ref="H313:H314"/>
    <mergeCell ref="J313:J314"/>
    <mergeCell ref="L313:L314"/>
    <mergeCell ref="N313:N314"/>
    <mergeCell ref="P313:P314"/>
    <mergeCell ref="R313:R314"/>
    <mergeCell ref="T313:T314"/>
    <mergeCell ref="R311:R312"/>
    <mergeCell ref="T311:T312"/>
    <mergeCell ref="V311:V312"/>
    <mergeCell ref="X311:X312"/>
    <mergeCell ref="Z311:Z312"/>
    <mergeCell ref="AB311:AB312"/>
    <mergeCell ref="AD317:AD318"/>
    <mergeCell ref="A319:A320"/>
    <mergeCell ref="F319:F320"/>
    <mergeCell ref="H319:H320"/>
    <mergeCell ref="J319:J320"/>
    <mergeCell ref="L319:L320"/>
    <mergeCell ref="N319:N320"/>
    <mergeCell ref="P319:P320"/>
    <mergeCell ref="R319:R320"/>
    <mergeCell ref="T319:T320"/>
    <mergeCell ref="R317:R318"/>
    <mergeCell ref="T317:T318"/>
    <mergeCell ref="V317:V318"/>
    <mergeCell ref="X317:X318"/>
    <mergeCell ref="Z317:Z318"/>
    <mergeCell ref="AB317:AB318"/>
    <mergeCell ref="Z315:Z316"/>
    <mergeCell ref="AB315:AB316"/>
    <mergeCell ref="AD315:AD316"/>
    <mergeCell ref="A317:A318"/>
    <mergeCell ref="F317:F318"/>
    <mergeCell ref="H317:H318"/>
    <mergeCell ref="J317:J318"/>
    <mergeCell ref="L317:L318"/>
    <mergeCell ref="N317:N318"/>
    <mergeCell ref="P317:P318"/>
    <mergeCell ref="N315:N316"/>
    <mergeCell ref="P315:P316"/>
    <mergeCell ref="R315:R316"/>
    <mergeCell ref="T315:T316"/>
    <mergeCell ref="V315:V316"/>
    <mergeCell ref="X315:X316"/>
    <mergeCell ref="Z321:Z322"/>
    <mergeCell ref="AB321:AB322"/>
    <mergeCell ref="AD321:AD322"/>
    <mergeCell ref="A323:A324"/>
    <mergeCell ref="F323:F324"/>
    <mergeCell ref="H323:H324"/>
    <mergeCell ref="J323:J324"/>
    <mergeCell ref="L323:L324"/>
    <mergeCell ref="N323:N324"/>
    <mergeCell ref="P323:P324"/>
    <mergeCell ref="N321:N322"/>
    <mergeCell ref="P321:P322"/>
    <mergeCell ref="R321:R322"/>
    <mergeCell ref="T321:T322"/>
    <mergeCell ref="V321:V322"/>
    <mergeCell ref="X321:X322"/>
    <mergeCell ref="V319:V320"/>
    <mergeCell ref="X319:X320"/>
    <mergeCell ref="Z319:Z320"/>
    <mergeCell ref="AB319:AB320"/>
    <mergeCell ref="AD319:AD320"/>
    <mergeCell ref="A321:A322"/>
    <mergeCell ref="F321:F322"/>
    <mergeCell ref="H321:H322"/>
    <mergeCell ref="J321:J322"/>
    <mergeCell ref="L321:L322"/>
    <mergeCell ref="V325:V326"/>
    <mergeCell ref="X325:X326"/>
    <mergeCell ref="Z325:Z326"/>
    <mergeCell ref="AB325:AB326"/>
    <mergeCell ref="AD325:AD326"/>
    <mergeCell ref="A327:A328"/>
    <mergeCell ref="F327:F328"/>
    <mergeCell ref="H327:H328"/>
    <mergeCell ref="J327:J328"/>
    <mergeCell ref="L327:L328"/>
    <mergeCell ref="AD323:AD324"/>
    <mergeCell ref="A325:A326"/>
    <mergeCell ref="F325:F326"/>
    <mergeCell ref="H325:H326"/>
    <mergeCell ref="J325:J326"/>
    <mergeCell ref="L325:L326"/>
    <mergeCell ref="N325:N326"/>
    <mergeCell ref="P325:P326"/>
    <mergeCell ref="R325:R326"/>
    <mergeCell ref="T325:T326"/>
    <mergeCell ref="R323:R324"/>
    <mergeCell ref="T323:T324"/>
    <mergeCell ref="V323:V324"/>
    <mergeCell ref="X323:X324"/>
    <mergeCell ref="Z323:Z324"/>
    <mergeCell ref="AB323:AB324"/>
    <mergeCell ref="AD329:AD330"/>
    <mergeCell ref="A331:A332"/>
    <mergeCell ref="F331:F332"/>
    <mergeCell ref="H331:H332"/>
    <mergeCell ref="J331:J332"/>
    <mergeCell ref="L331:L332"/>
    <mergeCell ref="N331:N332"/>
    <mergeCell ref="P331:P332"/>
    <mergeCell ref="R331:R332"/>
    <mergeCell ref="T331:T332"/>
    <mergeCell ref="R329:R330"/>
    <mergeCell ref="T329:T330"/>
    <mergeCell ref="V329:V330"/>
    <mergeCell ref="X329:X330"/>
    <mergeCell ref="Z329:Z330"/>
    <mergeCell ref="AB329:AB330"/>
    <mergeCell ref="Z327:Z328"/>
    <mergeCell ref="AB327:AB328"/>
    <mergeCell ref="AD327:AD328"/>
    <mergeCell ref="A329:A330"/>
    <mergeCell ref="F329:F330"/>
    <mergeCell ref="H329:H330"/>
    <mergeCell ref="J329:J330"/>
    <mergeCell ref="L329:L330"/>
    <mergeCell ref="N329:N330"/>
    <mergeCell ref="P329:P330"/>
    <mergeCell ref="N327:N328"/>
    <mergeCell ref="P327:P328"/>
    <mergeCell ref="R327:R328"/>
    <mergeCell ref="T327:T328"/>
    <mergeCell ref="V327:V328"/>
    <mergeCell ref="X327:X328"/>
    <mergeCell ref="Z333:Z334"/>
    <mergeCell ref="AB333:AB334"/>
    <mergeCell ref="AD333:AD334"/>
    <mergeCell ref="A335:A336"/>
    <mergeCell ref="F335:F336"/>
    <mergeCell ref="H335:H336"/>
    <mergeCell ref="J335:J336"/>
    <mergeCell ref="L335:L336"/>
    <mergeCell ref="N335:N336"/>
    <mergeCell ref="P335:P336"/>
    <mergeCell ref="N333:N334"/>
    <mergeCell ref="P333:P334"/>
    <mergeCell ref="R333:R334"/>
    <mergeCell ref="T333:T334"/>
    <mergeCell ref="V333:V334"/>
    <mergeCell ref="X333:X334"/>
    <mergeCell ref="V331:V332"/>
    <mergeCell ref="X331:X332"/>
    <mergeCell ref="Z331:Z332"/>
    <mergeCell ref="AB331:AB332"/>
    <mergeCell ref="AD331:AD332"/>
    <mergeCell ref="A333:A334"/>
    <mergeCell ref="F333:F334"/>
    <mergeCell ref="H333:H334"/>
    <mergeCell ref="J333:J334"/>
    <mergeCell ref="L333:L334"/>
    <mergeCell ref="V337:V338"/>
    <mergeCell ref="X337:X338"/>
    <mergeCell ref="Z337:Z338"/>
    <mergeCell ref="AB337:AB338"/>
    <mergeCell ref="AD337:AD338"/>
    <mergeCell ref="A339:A340"/>
    <mergeCell ref="F339:F340"/>
    <mergeCell ref="H339:H340"/>
    <mergeCell ref="J339:J340"/>
    <mergeCell ref="L339:L340"/>
    <mergeCell ref="AD335:AD336"/>
    <mergeCell ref="A337:A338"/>
    <mergeCell ref="F337:F338"/>
    <mergeCell ref="H337:H338"/>
    <mergeCell ref="J337:J338"/>
    <mergeCell ref="L337:L338"/>
    <mergeCell ref="N337:N338"/>
    <mergeCell ref="P337:P338"/>
    <mergeCell ref="R337:R338"/>
    <mergeCell ref="T337:T338"/>
    <mergeCell ref="R335:R336"/>
    <mergeCell ref="T335:T336"/>
    <mergeCell ref="V335:V336"/>
    <mergeCell ref="X335:X336"/>
    <mergeCell ref="Z335:Z336"/>
    <mergeCell ref="AB335:AB336"/>
    <mergeCell ref="AD341:AD342"/>
    <mergeCell ref="A343:A344"/>
    <mergeCell ref="F343:F344"/>
    <mergeCell ref="H343:H344"/>
    <mergeCell ref="J343:J344"/>
    <mergeCell ref="L343:L344"/>
    <mergeCell ref="N343:N344"/>
    <mergeCell ref="P343:P344"/>
    <mergeCell ref="R343:R344"/>
    <mergeCell ref="T343:T344"/>
    <mergeCell ref="R341:R342"/>
    <mergeCell ref="T341:T342"/>
    <mergeCell ref="V341:V342"/>
    <mergeCell ref="X341:X342"/>
    <mergeCell ref="Z341:Z342"/>
    <mergeCell ref="AB341:AB342"/>
    <mergeCell ref="Z339:Z340"/>
    <mergeCell ref="AB339:AB340"/>
    <mergeCell ref="AD339:AD340"/>
    <mergeCell ref="A341:A342"/>
    <mergeCell ref="F341:F342"/>
    <mergeCell ref="H341:H342"/>
    <mergeCell ref="J341:J342"/>
    <mergeCell ref="L341:L342"/>
    <mergeCell ref="N341:N342"/>
    <mergeCell ref="P341:P342"/>
    <mergeCell ref="N339:N340"/>
    <mergeCell ref="P339:P340"/>
    <mergeCell ref="R339:R340"/>
    <mergeCell ref="T339:T340"/>
    <mergeCell ref="V339:V340"/>
    <mergeCell ref="X339:X340"/>
    <mergeCell ref="Z345:Z346"/>
    <mergeCell ref="AB345:AB346"/>
    <mergeCell ref="AD345:AD346"/>
    <mergeCell ref="A347:A348"/>
    <mergeCell ref="F347:F348"/>
    <mergeCell ref="H347:H348"/>
    <mergeCell ref="J347:J348"/>
    <mergeCell ref="L347:L348"/>
    <mergeCell ref="N347:N348"/>
    <mergeCell ref="P347:P348"/>
    <mergeCell ref="N345:N346"/>
    <mergeCell ref="P345:P346"/>
    <mergeCell ref="R345:R346"/>
    <mergeCell ref="T345:T346"/>
    <mergeCell ref="V345:V346"/>
    <mergeCell ref="X345:X346"/>
    <mergeCell ref="V343:V344"/>
    <mergeCell ref="X343:X344"/>
    <mergeCell ref="Z343:Z344"/>
    <mergeCell ref="AB343:AB344"/>
    <mergeCell ref="AD343:AD344"/>
    <mergeCell ref="A345:A346"/>
    <mergeCell ref="F345:F346"/>
    <mergeCell ref="H345:H346"/>
    <mergeCell ref="J345:J346"/>
    <mergeCell ref="L345:L346"/>
    <mergeCell ref="V349:V350"/>
    <mergeCell ref="X349:X350"/>
    <mergeCell ref="Z349:Z350"/>
    <mergeCell ref="AB349:AB350"/>
    <mergeCell ref="AD349:AD350"/>
    <mergeCell ref="A351:A352"/>
    <mergeCell ref="F351:F352"/>
    <mergeCell ref="H351:H352"/>
    <mergeCell ref="J351:J352"/>
    <mergeCell ref="L351:L352"/>
    <mergeCell ref="AD347:AD348"/>
    <mergeCell ref="A349:A350"/>
    <mergeCell ref="F349:F350"/>
    <mergeCell ref="H349:H350"/>
    <mergeCell ref="J349:J350"/>
    <mergeCell ref="L349:L350"/>
    <mergeCell ref="N349:N350"/>
    <mergeCell ref="P349:P350"/>
    <mergeCell ref="R349:R350"/>
    <mergeCell ref="T349:T350"/>
    <mergeCell ref="R347:R348"/>
    <mergeCell ref="T347:T348"/>
    <mergeCell ref="V347:V348"/>
    <mergeCell ref="X347:X348"/>
    <mergeCell ref="Z347:Z348"/>
    <mergeCell ref="AB347:AB348"/>
    <mergeCell ref="AD353:AD354"/>
    <mergeCell ref="A355:A356"/>
    <mergeCell ref="F355:F356"/>
    <mergeCell ref="H355:H356"/>
    <mergeCell ref="J355:J356"/>
    <mergeCell ref="L355:L356"/>
    <mergeCell ref="N355:N356"/>
    <mergeCell ref="P355:P356"/>
    <mergeCell ref="R355:R356"/>
    <mergeCell ref="T355:T356"/>
    <mergeCell ref="R353:R354"/>
    <mergeCell ref="T353:T354"/>
    <mergeCell ref="V353:V354"/>
    <mergeCell ref="X353:X354"/>
    <mergeCell ref="Z353:Z354"/>
    <mergeCell ref="AB353:AB354"/>
    <mergeCell ref="Z351:Z352"/>
    <mergeCell ref="AB351:AB352"/>
    <mergeCell ref="AD351:AD352"/>
    <mergeCell ref="A353:A354"/>
    <mergeCell ref="F353:F354"/>
    <mergeCell ref="H353:H354"/>
    <mergeCell ref="J353:J354"/>
    <mergeCell ref="L353:L354"/>
    <mergeCell ref="N353:N354"/>
    <mergeCell ref="P353:P354"/>
    <mergeCell ref="N351:N352"/>
    <mergeCell ref="P351:P352"/>
    <mergeCell ref="R351:R352"/>
    <mergeCell ref="T351:T352"/>
    <mergeCell ref="V351:V352"/>
    <mergeCell ref="X351:X352"/>
    <mergeCell ref="Z357:Z358"/>
    <mergeCell ref="AB357:AB358"/>
    <mergeCell ref="AD357:AD358"/>
    <mergeCell ref="N357:N358"/>
    <mergeCell ref="P357:P358"/>
    <mergeCell ref="R357:R358"/>
    <mergeCell ref="T357:T358"/>
    <mergeCell ref="V357:V358"/>
    <mergeCell ref="X357:X358"/>
    <mergeCell ref="V355:V356"/>
    <mergeCell ref="X355:X356"/>
    <mergeCell ref="Z355:Z356"/>
    <mergeCell ref="AB355:AB356"/>
    <mergeCell ref="AD355:AD356"/>
    <mergeCell ref="A357:A358"/>
    <mergeCell ref="F357:F358"/>
    <mergeCell ref="H357:H358"/>
    <mergeCell ref="J357:J358"/>
    <mergeCell ref="L357:L358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5BBF9-0944-4422-B6D1-111EFB0291BC}">
  <dimension ref="A1:H8145"/>
  <sheetViews>
    <sheetView workbookViewId="0">
      <selection activeCell="O6" sqref="O6"/>
    </sheetView>
  </sheetViews>
  <sheetFormatPr baseColWidth="10" defaultRowHeight="14.4" x14ac:dyDescent="0.3"/>
  <cols>
    <col min="1" max="1" width="21.21875" bestFit="1" customWidth="1"/>
    <col min="2" max="2" width="17" bestFit="1" customWidth="1"/>
    <col min="3" max="3" width="40.109375" bestFit="1" customWidth="1"/>
    <col min="4" max="4" width="18.88671875" bestFit="1" customWidth="1"/>
    <col min="5" max="5" width="14.5546875" bestFit="1" customWidth="1"/>
    <col min="6" max="6" width="10.21875" bestFit="1" customWidth="1"/>
    <col min="7" max="7" width="7.6640625" bestFit="1" customWidth="1"/>
    <col min="8" max="8" width="11.77734375" bestFit="1" customWidth="1"/>
  </cols>
  <sheetData>
    <row r="1" spans="1:8" x14ac:dyDescent="0.3">
      <c r="A1" s="133" t="s">
        <v>680</v>
      </c>
      <c r="B1" s="133" t="s">
        <v>681</v>
      </c>
      <c r="C1" s="133" t="s">
        <v>682</v>
      </c>
      <c r="D1" s="133" t="s">
        <v>683</v>
      </c>
      <c r="E1" s="133" t="s">
        <v>684</v>
      </c>
      <c r="F1" s="133" t="s">
        <v>685</v>
      </c>
      <c r="G1" s="133" t="s">
        <v>686</v>
      </c>
      <c r="H1" s="133" t="s">
        <v>687</v>
      </c>
    </row>
    <row r="2" spans="1:8" x14ac:dyDescent="0.3">
      <c r="A2" t="s">
        <v>688</v>
      </c>
      <c r="B2" t="s">
        <v>23</v>
      </c>
      <c r="C2" t="s">
        <v>24</v>
      </c>
      <c r="D2" t="s">
        <v>689</v>
      </c>
      <c r="E2" t="s">
        <v>766</v>
      </c>
      <c r="F2">
        <v>1</v>
      </c>
      <c r="G2" s="308">
        <f>'BECA MEDIA'!G4</f>
        <v>0</v>
      </c>
      <c r="H2" s="308">
        <f>'BECA MEDIA'!H4</f>
        <v>0</v>
      </c>
    </row>
    <row r="3" spans="1:8" x14ac:dyDescent="0.3">
      <c r="A3" t="s">
        <v>688</v>
      </c>
      <c r="B3" t="s">
        <v>23</v>
      </c>
      <c r="C3" t="s">
        <v>24</v>
      </c>
      <c r="D3" t="s">
        <v>689</v>
      </c>
      <c r="E3" t="s">
        <v>767</v>
      </c>
      <c r="F3">
        <v>2</v>
      </c>
      <c r="G3" s="308">
        <f>'BECA MEDIA'!J4</f>
        <v>0</v>
      </c>
      <c r="H3" s="308">
        <f>'BECA MEDIA'!K4</f>
        <v>0</v>
      </c>
    </row>
    <row r="4" spans="1:8" x14ac:dyDescent="0.3">
      <c r="A4" t="s">
        <v>688</v>
      </c>
      <c r="B4" t="s">
        <v>23</v>
      </c>
      <c r="C4" t="s">
        <v>24</v>
      </c>
      <c r="D4" t="s">
        <v>689</v>
      </c>
      <c r="E4" t="s">
        <v>768</v>
      </c>
      <c r="F4">
        <v>3</v>
      </c>
      <c r="G4" s="308">
        <f>'BECA MEDIA'!M4</f>
        <v>5.6</v>
      </c>
      <c r="H4" s="308">
        <f>'BECA MEDIA'!N4</f>
        <v>14000</v>
      </c>
    </row>
    <row r="5" spans="1:8" x14ac:dyDescent="0.3">
      <c r="A5" t="s">
        <v>688</v>
      </c>
      <c r="B5" t="s">
        <v>23</v>
      </c>
      <c r="C5" t="s">
        <v>24</v>
      </c>
      <c r="D5" t="s">
        <v>689</v>
      </c>
      <c r="E5" t="s">
        <v>769</v>
      </c>
      <c r="F5">
        <v>4</v>
      </c>
      <c r="G5" s="308">
        <f>'BECA MEDIA'!P4</f>
        <v>4.8</v>
      </c>
      <c r="H5" s="308">
        <f>'BECA MEDIA'!Q4</f>
        <v>12000</v>
      </c>
    </row>
    <row r="6" spans="1:8" x14ac:dyDescent="0.3">
      <c r="A6" t="s">
        <v>688</v>
      </c>
      <c r="B6" t="s">
        <v>23</v>
      </c>
      <c r="C6" t="s">
        <v>24</v>
      </c>
      <c r="D6" t="s">
        <v>689</v>
      </c>
      <c r="E6" t="s">
        <v>770</v>
      </c>
      <c r="F6">
        <v>5</v>
      </c>
      <c r="G6" s="308">
        <f>'BECA MEDIA'!S4</f>
        <v>0</v>
      </c>
      <c r="H6" s="308">
        <f>'BECA MEDIA'!T4</f>
        <v>0</v>
      </c>
    </row>
    <row r="7" spans="1:8" x14ac:dyDescent="0.3">
      <c r="A7" t="s">
        <v>688</v>
      </c>
      <c r="B7" t="s">
        <v>23</v>
      </c>
      <c r="C7" t="s">
        <v>24</v>
      </c>
      <c r="D7" t="s">
        <v>689</v>
      </c>
      <c r="E7" t="s">
        <v>771</v>
      </c>
      <c r="F7">
        <v>6</v>
      </c>
      <c r="G7" s="308">
        <f>'BECA MEDIA'!V4</f>
        <v>10.4</v>
      </c>
      <c r="H7" s="308">
        <f>'BECA MEDIA'!W4</f>
        <v>26000</v>
      </c>
    </row>
    <row r="8" spans="1:8" x14ac:dyDescent="0.3">
      <c r="A8" t="s">
        <v>688</v>
      </c>
      <c r="B8" t="s">
        <v>23</v>
      </c>
      <c r="C8" t="s">
        <v>24</v>
      </c>
      <c r="D8" t="s">
        <v>689</v>
      </c>
      <c r="E8" t="s">
        <v>772</v>
      </c>
      <c r="F8">
        <v>7</v>
      </c>
      <c r="G8" s="308">
        <f>'BECA MEDIA'!Y4</f>
        <v>0</v>
      </c>
      <c r="H8" s="308">
        <f>'BECA MEDIA'!Z4</f>
        <v>0</v>
      </c>
    </row>
    <row r="9" spans="1:8" x14ac:dyDescent="0.3">
      <c r="A9" t="s">
        <v>688</v>
      </c>
      <c r="B9" t="s">
        <v>23</v>
      </c>
      <c r="C9" t="s">
        <v>26</v>
      </c>
      <c r="D9" t="s">
        <v>689</v>
      </c>
      <c r="E9" t="s">
        <v>766</v>
      </c>
      <c r="F9">
        <v>1</v>
      </c>
      <c r="G9" s="308">
        <f>'BECA MEDIA'!G5</f>
        <v>0</v>
      </c>
      <c r="H9" s="308">
        <f>'BECA MEDIA'!H5</f>
        <v>0</v>
      </c>
    </row>
    <row r="10" spans="1:8" x14ac:dyDescent="0.3">
      <c r="A10" t="s">
        <v>688</v>
      </c>
      <c r="B10" t="s">
        <v>23</v>
      </c>
      <c r="C10" t="s">
        <v>26</v>
      </c>
      <c r="D10" t="s">
        <v>689</v>
      </c>
      <c r="E10" t="s">
        <v>767</v>
      </c>
      <c r="F10">
        <v>2</v>
      </c>
      <c r="G10" s="308">
        <f>'BECA MEDIA'!J5</f>
        <v>0</v>
      </c>
      <c r="H10" s="308">
        <f>'BECA MEDIA'!K5</f>
        <v>0</v>
      </c>
    </row>
    <row r="11" spans="1:8" x14ac:dyDescent="0.3">
      <c r="A11" t="s">
        <v>688</v>
      </c>
      <c r="B11" t="s">
        <v>23</v>
      </c>
      <c r="C11" t="s">
        <v>26</v>
      </c>
      <c r="D11" t="s">
        <v>689</v>
      </c>
      <c r="E11" t="s">
        <v>768</v>
      </c>
      <c r="F11">
        <v>3</v>
      </c>
      <c r="G11" s="308">
        <f>'BECA MEDIA'!M5</f>
        <v>6</v>
      </c>
      <c r="H11" s="308">
        <f>'BECA MEDIA'!N5</f>
        <v>15000</v>
      </c>
    </row>
    <row r="12" spans="1:8" x14ac:dyDescent="0.3">
      <c r="A12" t="s">
        <v>688</v>
      </c>
      <c r="B12" t="s">
        <v>23</v>
      </c>
      <c r="C12" t="s">
        <v>26</v>
      </c>
      <c r="D12" t="s">
        <v>689</v>
      </c>
      <c r="E12" t="s">
        <v>769</v>
      </c>
      <c r="F12">
        <v>4</v>
      </c>
      <c r="G12" s="308">
        <f>'BECA MEDIA'!P5</f>
        <v>6.8</v>
      </c>
      <c r="H12" s="308">
        <f>'BECA MEDIA'!Q5</f>
        <v>17000</v>
      </c>
    </row>
    <row r="13" spans="1:8" x14ac:dyDescent="0.3">
      <c r="A13" t="s">
        <v>688</v>
      </c>
      <c r="B13" t="s">
        <v>23</v>
      </c>
      <c r="C13" t="s">
        <v>26</v>
      </c>
      <c r="D13" t="s">
        <v>689</v>
      </c>
      <c r="E13" t="s">
        <v>770</v>
      </c>
      <c r="F13">
        <v>5</v>
      </c>
      <c r="G13" s="308">
        <f>'BECA MEDIA'!S5</f>
        <v>0</v>
      </c>
      <c r="H13" s="308">
        <f>'BECA MEDIA'!T5</f>
        <v>0</v>
      </c>
    </row>
    <row r="14" spans="1:8" x14ac:dyDescent="0.3">
      <c r="A14" t="s">
        <v>688</v>
      </c>
      <c r="B14" t="s">
        <v>23</v>
      </c>
      <c r="C14" t="s">
        <v>26</v>
      </c>
      <c r="D14" t="s">
        <v>689</v>
      </c>
      <c r="E14" t="s">
        <v>771</v>
      </c>
      <c r="F14">
        <v>6</v>
      </c>
      <c r="G14" s="308">
        <f>'BECA MEDIA'!V5</f>
        <v>12.8</v>
      </c>
      <c r="H14" s="308">
        <f>'BECA MEDIA'!W5</f>
        <v>32000</v>
      </c>
    </row>
    <row r="15" spans="1:8" x14ac:dyDescent="0.3">
      <c r="A15" t="s">
        <v>688</v>
      </c>
      <c r="B15" t="s">
        <v>23</v>
      </c>
      <c r="C15" t="s">
        <v>26</v>
      </c>
      <c r="D15" t="s">
        <v>689</v>
      </c>
      <c r="E15" t="s">
        <v>772</v>
      </c>
      <c r="F15">
        <v>7</v>
      </c>
      <c r="G15" s="308">
        <f>'BECA MEDIA'!Y5</f>
        <v>0</v>
      </c>
      <c r="H15" s="308">
        <f>'BECA MEDIA'!Z5</f>
        <v>0</v>
      </c>
    </row>
    <row r="16" spans="1:8" x14ac:dyDescent="0.3">
      <c r="A16" t="s">
        <v>688</v>
      </c>
      <c r="B16" t="s">
        <v>23</v>
      </c>
      <c r="C16" t="s">
        <v>27</v>
      </c>
      <c r="D16" t="s">
        <v>689</v>
      </c>
      <c r="E16" t="s">
        <v>766</v>
      </c>
      <c r="F16">
        <v>1</v>
      </c>
      <c r="G16" s="308">
        <f>'BECA MEDIA'!G6</f>
        <v>0</v>
      </c>
      <c r="H16" s="308">
        <f>'BECA MEDIA'!H6</f>
        <v>0</v>
      </c>
    </row>
    <row r="17" spans="1:8" x14ac:dyDescent="0.3">
      <c r="A17" t="s">
        <v>688</v>
      </c>
      <c r="B17" t="s">
        <v>23</v>
      </c>
      <c r="C17" t="s">
        <v>27</v>
      </c>
      <c r="D17" t="s">
        <v>689</v>
      </c>
      <c r="E17" t="s">
        <v>767</v>
      </c>
      <c r="F17">
        <v>2</v>
      </c>
      <c r="G17" s="308">
        <f>'BECA MEDIA'!J6</f>
        <v>0</v>
      </c>
      <c r="H17" s="308">
        <f>'BECA MEDIA'!K6</f>
        <v>0</v>
      </c>
    </row>
    <row r="18" spans="1:8" x14ac:dyDescent="0.3">
      <c r="A18" t="s">
        <v>688</v>
      </c>
      <c r="B18" t="s">
        <v>23</v>
      </c>
      <c r="C18" t="s">
        <v>27</v>
      </c>
      <c r="D18" t="s">
        <v>689</v>
      </c>
      <c r="E18" t="s">
        <v>768</v>
      </c>
      <c r="F18">
        <v>3</v>
      </c>
      <c r="G18" s="308">
        <f>'BECA MEDIA'!M6</f>
        <v>6.8</v>
      </c>
      <c r="H18" s="308">
        <f>'BECA MEDIA'!N6</f>
        <v>17000</v>
      </c>
    </row>
    <row r="19" spans="1:8" x14ac:dyDescent="0.3">
      <c r="A19" t="s">
        <v>688</v>
      </c>
      <c r="B19" t="s">
        <v>23</v>
      </c>
      <c r="C19" t="s">
        <v>27</v>
      </c>
      <c r="D19" t="s">
        <v>689</v>
      </c>
      <c r="E19" t="s">
        <v>769</v>
      </c>
      <c r="F19">
        <v>4</v>
      </c>
      <c r="G19" s="308">
        <f>'BECA MEDIA'!P6</f>
        <v>2.8</v>
      </c>
      <c r="H19" s="308">
        <f>'BECA MEDIA'!Q6</f>
        <v>7000</v>
      </c>
    </row>
    <row r="20" spans="1:8" x14ac:dyDescent="0.3">
      <c r="A20" t="s">
        <v>688</v>
      </c>
      <c r="B20" t="s">
        <v>23</v>
      </c>
      <c r="C20" t="s">
        <v>27</v>
      </c>
      <c r="D20" t="s">
        <v>689</v>
      </c>
      <c r="E20" t="s">
        <v>770</v>
      </c>
      <c r="F20">
        <v>5</v>
      </c>
      <c r="G20" s="308">
        <f>'BECA MEDIA'!S6</f>
        <v>0</v>
      </c>
      <c r="H20" s="308">
        <f>'BECA MEDIA'!T6</f>
        <v>0</v>
      </c>
    </row>
    <row r="21" spans="1:8" x14ac:dyDescent="0.3">
      <c r="A21" t="s">
        <v>688</v>
      </c>
      <c r="B21" t="s">
        <v>23</v>
      </c>
      <c r="C21" t="s">
        <v>27</v>
      </c>
      <c r="D21" t="s">
        <v>689</v>
      </c>
      <c r="E21" t="s">
        <v>771</v>
      </c>
      <c r="F21">
        <v>6</v>
      </c>
      <c r="G21" s="308">
        <f>'BECA MEDIA'!V6</f>
        <v>9.1999999999999993</v>
      </c>
      <c r="H21" s="308">
        <f>'BECA MEDIA'!W6</f>
        <v>23000</v>
      </c>
    </row>
    <row r="22" spans="1:8" x14ac:dyDescent="0.3">
      <c r="A22" t="s">
        <v>688</v>
      </c>
      <c r="B22" t="s">
        <v>23</v>
      </c>
      <c r="C22" t="s">
        <v>27</v>
      </c>
      <c r="D22" t="s">
        <v>689</v>
      </c>
      <c r="E22" t="s">
        <v>772</v>
      </c>
      <c r="F22">
        <v>7</v>
      </c>
      <c r="G22" s="308">
        <f>'BECA MEDIA'!Y6</f>
        <v>0</v>
      </c>
      <c r="H22" s="308">
        <f>'BECA MEDIA'!Z6</f>
        <v>0</v>
      </c>
    </row>
    <row r="23" spans="1:8" x14ac:dyDescent="0.3">
      <c r="A23" t="s">
        <v>688</v>
      </c>
      <c r="B23" t="s">
        <v>23</v>
      </c>
      <c r="C23" t="s">
        <v>28</v>
      </c>
      <c r="D23" t="s">
        <v>689</v>
      </c>
      <c r="E23" t="s">
        <v>766</v>
      </c>
      <c r="F23">
        <v>1</v>
      </c>
      <c r="G23" s="308">
        <f>'BECA MEDIA'!G7</f>
        <v>0</v>
      </c>
      <c r="H23" s="308">
        <f>'BECA MEDIA'!H7</f>
        <v>0</v>
      </c>
    </row>
    <row r="24" spans="1:8" x14ac:dyDescent="0.3">
      <c r="A24" t="s">
        <v>688</v>
      </c>
      <c r="B24" t="s">
        <v>23</v>
      </c>
      <c r="C24" t="s">
        <v>28</v>
      </c>
      <c r="D24" t="s">
        <v>689</v>
      </c>
      <c r="E24" t="s">
        <v>767</v>
      </c>
      <c r="F24">
        <v>2</v>
      </c>
      <c r="G24" s="308">
        <f>'BECA MEDIA'!J7</f>
        <v>0</v>
      </c>
      <c r="H24" s="308">
        <f>'BECA MEDIA'!K7</f>
        <v>0</v>
      </c>
    </row>
    <row r="25" spans="1:8" x14ac:dyDescent="0.3">
      <c r="A25" t="s">
        <v>688</v>
      </c>
      <c r="B25" t="s">
        <v>23</v>
      </c>
      <c r="C25" t="s">
        <v>28</v>
      </c>
      <c r="D25" t="s">
        <v>689</v>
      </c>
      <c r="E25" t="s">
        <v>768</v>
      </c>
      <c r="F25">
        <v>3</v>
      </c>
      <c r="G25" s="308">
        <f>'BECA MEDIA'!M7</f>
        <v>6</v>
      </c>
      <c r="H25" s="308">
        <f>'BECA MEDIA'!N7</f>
        <v>15000</v>
      </c>
    </row>
    <row r="26" spans="1:8" x14ac:dyDescent="0.3">
      <c r="A26" t="s">
        <v>688</v>
      </c>
      <c r="B26" t="s">
        <v>23</v>
      </c>
      <c r="C26" t="s">
        <v>28</v>
      </c>
      <c r="D26" t="s">
        <v>689</v>
      </c>
      <c r="E26" t="s">
        <v>769</v>
      </c>
      <c r="F26">
        <v>4</v>
      </c>
      <c r="G26" s="308">
        <f>'BECA MEDIA'!P7</f>
        <v>3.2</v>
      </c>
      <c r="H26" s="308">
        <f>'BECA MEDIA'!Q7</f>
        <v>8000</v>
      </c>
    </row>
    <row r="27" spans="1:8" x14ac:dyDescent="0.3">
      <c r="A27" t="s">
        <v>688</v>
      </c>
      <c r="B27" t="s">
        <v>23</v>
      </c>
      <c r="C27" t="s">
        <v>28</v>
      </c>
      <c r="D27" t="s">
        <v>689</v>
      </c>
      <c r="E27" t="s">
        <v>770</v>
      </c>
      <c r="F27">
        <v>5</v>
      </c>
      <c r="G27" s="308">
        <f>'BECA MEDIA'!S7</f>
        <v>0</v>
      </c>
      <c r="H27" s="308">
        <f>'BECA MEDIA'!T7</f>
        <v>0</v>
      </c>
    </row>
    <row r="28" spans="1:8" x14ac:dyDescent="0.3">
      <c r="A28" t="s">
        <v>688</v>
      </c>
      <c r="B28" t="s">
        <v>23</v>
      </c>
      <c r="C28" t="s">
        <v>28</v>
      </c>
      <c r="D28" t="s">
        <v>689</v>
      </c>
      <c r="E28" t="s">
        <v>771</v>
      </c>
      <c r="F28">
        <v>6</v>
      </c>
      <c r="G28" s="308">
        <f>'BECA MEDIA'!V7</f>
        <v>8.8000000000000007</v>
      </c>
      <c r="H28" s="308">
        <f>'BECA MEDIA'!W7</f>
        <v>22000</v>
      </c>
    </row>
    <row r="29" spans="1:8" x14ac:dyDescent="0.3">
      <c r="A29" t="s">
        <v>688</v>
      </c>
      <c r="B29" t="s">
        <v>23</v>
      </c>
      <c r="C29" t="s">
        <v>28</v>
      </c>
      <c r="D29" t="s">
        <v>689</v>
      </c>
      <c r="E29" t="s">
        <v>772</v>
      </c>
      <c r="F29">
        <v>7</v>
      </c>
      <c r="G29" s="308">
        <f>'BECA MEDIA'!Y7</f>
        <v>0</v>
      </c>
      <c r="H29" s="308">
        <f>'BECA MEDIA'!Z7</f>
        <v>0</v>
      </c>
    </row>
    <row r="30" spans="1:8" x14ac:dyDescent="0.3">
      <c r="A30" t="s">
        <v>688</v>
      </c>
      <c r="B30" t="s">
        <v>23</v>
      </c>
      <c r="C30" t="s">
        <v>29</v>
      </c>
      <c r="D30" t="s">
        <v>689</v>
      </c>
      <c r="E30" t="s">
        <v>766</v>
      </c>
      <c r="F30">
        <v>1</v>
      </c>
      <c r="G30" s="308">
        <f>'BECA MEDIA'!G8</f>
        <v>0</v>
      </c>
      <c r="H30" s="308">
        <f>'BECA MEDIA'!H8</f>
        <v>0</v>
      </c>
    </row>
    <row r="31" spans="1:8" x14ac:dyDescent="0.3">
      <c r="A31" t="s">
        <v>688</v>
      </c>
      <c r="B31" t="s">
        <v>23</v>
      </c>
      <c r="C31" t="s">
        <v>29</v>
      </c>
      <c r="D31" t="s">
        <v>689</v>
      </c>
      <c r="E31" t="s">
        <v>767</v>
      </c>
      <c r="F31">
        <v>2</v>
      </c>
      <c r="G31" s="308">
        <f>'BECA MEDIA'!J8</f>
        <v>0</v>
      </c>
      <c r="H31" s="308">
        <f>'BECA MEDIA'!K8</f>
        <v>0</v>
      </c>
    </row>
    <row r="32" spans="1:8" x14ac:dyDescent="0.3">
      <c r="A32" t="s">
        <v>688</v>
      </c>
      <c r="B32" t="s">
        <v>23</v>
      </c>
      <c r="C32" t="s">
        <v>29</v>
      </c>
      <c r="D32" t="s">
        <v>689</v>
      </c>
      <c r="E32" t="s">
        <v>768</v>
      </c>
      <c r="F32">
        <v>3</v>
      </c>
      <c r="G32" s="308">
        <f>'BECA MEDIA'!M8</f>
        <v>1.6</v>
      </c>
      <c r="H32" s="308">
        <f>'BECA MEDIA'!N8</f>
        <v>4000</v>
      </c>
    </row>
    <row r="33" spans="1:8" x14ac:dyDescent="0.3">
      <c r="A33" t="s">
        <v>688</v>
      </c>
      <c r="B33" t="s">
        <v>23</v>
      </c>
      <c r="C33" t="s">
        <v>29</v>
      </c>
      <c r="D33" t="s">
        <v>689</v>
      </c>
      <c r="E33" t="s">
        <v>769</v>
      </c>
      <c r="F33">
        <v>4</v>
      </c>
      <c r="G33" s="308">
        <f>'BECA MEDIA'!P8</f>
        <v>2.4</v>
      </c>
      <c r="H33" s="308">
        <f>'BECA MEDIA'!Q8</f>
        <v>6000</v>
      </c>
    </row>
    <row r="34" spans="1:8" x14ac:dyDescent="0.3">
      <c r="A34" t="s">
        <v>688</v>
      </c>
      <c r="B34" t="s">
        <v>23</v>
      </c>
      <c r="C34" t="s">
        <v>29</v>
      </c>
      <c r="D34" t="s">
        <v>689</v>
      </c>
      <c r="E34" t="s">
        <v>770</v>
      </c>
      <c r="F34">
        <v>5</v>
      </c>
      <c r="G34" s="308">
        <f>'BECA MEDIA'!S8</f>
        <v>0</v>
      </c>
      <c r="H34" s="308">
        <f>'BECA MEDIA'!T8</f>
        <v>0</v>
      </c>
    </row>
    <row r="35" spans="1:8" x14ac:dyDescent="0.3">
      <c r="A35" t="s">
        <v>688</v>
      </c>
      <c r="B35" t="s">
        <v>23</v>
      </c>
      <c r="C35" t="s">
        <v>29</v>
      </c>
      <c r="D35" t="s">
        <v>689</v>
      </c>
      <c r="E35" t="s">
        <v>771</v>
      </c>
      <c r="F35">
        <v>6</v>
      </c>
      <c r="G35" s="308">
        <f>'BECA MEDIA'!V8</f>
        <v>4</v>
      </c>
      <c r="H35" s="308">
        <f>'BECA MEDIA'!W8</f>
        <v>10000</v>
      </c>
    </row>
    <row r="36" spans="1:8" x14ac:dyDescent="0.3">
      <c r="A36" t="s">
        <v>688</v>
      </c>
      <c r="B36" t="s">
        <v>23</v>
      </c>
      <c r="C36" t="s">
        <v>29</v>
      </c>
      <c r="D36" t="s">
        <v>689</v>
      </c>
      <c r="E36" t="s">
        <v>772</v>
      </c>
      <c r="F36">
        <v>7</v>
      </c>
      <c r="G36" s="308">
        <f>'BECA MEDIA'!Y8</f>
        <v>0</v>
      </c>
      <c r="H36" s="308">
        <f>'BECA MEDIA'!Z8</f>
        <v>0</v>
      </c>
    </row>
    <row r="37" spans="1:8" x14ac:dyDescent="0.3">
      <c r="A37" t="s">
        <v>688</v>
      </c>
      <c r="B37" t="s">
        <v>23</v>
      </c>
      <c r="C37" t="s">
        <v>30</v>
      </c>
      <c r="D37" t="s">
        <v>689</v>
      </c>
      <c r="E37" t="s">
        <v>766</v>
      </c>
      <c r="F37">
        <v>1</v>
      </c>
      <c r="G37" s="308">
        <f>'BECA MEDIA'!G9</f>
        <v>0</v>
      </c>
      <c r="H37" s="308">
        <f>'BECA MEDIA'!H9</f>
        <v>0</v>
      </c>
    </row>
    <row r="38" spans="1:8" x14ac:dyDescent="0.3">
      <c r="A38" t="s">
        <v>688</v>
      </c>
      <c r="B38" t="s">
        <v>23</v>
      </c>
      <c r="C38" t="s">
        <v>30</v>
      </c>
      <c r="D38" t="s">
        <v>689</v>
      </c>
      <c r="E38" t="s">
        <v>767</v>
      </c>
      <c r="F38">
        <v>2</v>
      </c>
      <c r="G38" s="308">
        <f>'BECA MEDIA'!J9</f>
        <v>0</v>
      </c>
      <c r="H38" s="308">
        <f>'BECA MEDIA'!K9</f>
        <v>0</v>
      </c>
    </row>
    <row r="39" spans="1:8" x14ac:dyDescent="0.3">
      <c r="A39" t="s">
        <v>688</v>
      </c>
      <c r="B39" t="s">
        <v>23</v>
      </c>
      <c r="C39" t="s">
        <v>30</v>
      </c>
      <c r="D39" t="s">
        <v>689</v>
      </c>
      <c r="E39" t="s">
        <v>768</v>
      </c>
      <c r="F39">
        <v>3</v>
      </c>
      <c r="G39" s="308">
        <f>'BECA MEDIA'!M9</f>
        <v>2.4</v>
      </c>
      <c r="H39" s="308">
        <f>'BECA MEDIA'!N9</f>
        <v>6000</v>
      </c>
    </row>
    <row r="40" spans="1:8" x14ac:dyDescent="0.3">
      <c r="A40" t="s">
        <v>688</v>
      </c>
      <c r="B40" t="s">
        <v>23</v>
      </c>
      <c r="C40" t="s">
        <v>30</v>
      </c>
      <c r="D40" t="s">
        <v>689</v>
      </c>
      <c r="E40" t="s">
        <v>769</v>
      </c>
      <c r="F40">
        <v>4</v>
      </c>
      <c r="G40" s="308">
        <f>'BECA MEDIA'!P9</f>
        <v>7.6</v>
      </c>
      <c r="H40" s="308">
        <f>'BECA MEDIA'!Q9</f>
        <v>19000</v>
      </c>
    </row>
    <row r="41" spans="1:8" x14ac:dyDescent="0.3">
      <c r="A41" t="s">
        <v>688</v>
      </c>
      <c r="B41" t="s">
        <v>23</v>
      </c>
      <c r="C41" t="s">
        <v>30</v>
      </c>
      <c r="D41" t="s">
        <v>689</v>
      </c>
      <c r="E41" t="s">
        <v>770</v>
      </c>
      <c r="F41">
        <v>5</v>
      </c>
      <c r="G41" s="308">
        <f>'BECA MEDIA'!S9</f>
        <v>0</v>
      </c>
      <c r="H41" s="308">
        <f>'BECA MEDIA'!T9</f>
        <v>0</v>
      </c>
    </row>
    <row r="42" spans="1:8" x14ac:dyDescent="0.3">
      <c r="A42" t="s">
        <v>688</v>
      </c>
      <c r="B42" t="s">
        <v>23</v>
      </c>
      <c r="C42" t="s">
        <v>30</v>
      </c>
      <c r="D42" t="s">
        <v>689</v>
      </c>
      <c r="E42" t="s">
        <v>771</v>
      </c>
      <c r="F42">
        <v>6</v>
      </c>
      <c r="G42" s="308">
        <f>'BECA MEDIA'!V9</f>
        <v>9.6</v>
      </c>
      <c r="H42" s="308">
        <f>'BECA MEDIA'!W9</f>
        <v>24000</v>
      </c>
    </row>
    <row r="43" spans="1:8" x14ac:dyDescent="0.3">
      <c r="A43" t="s">
        <v>688</v>
      </c>
      <c r="B43" t="s">
        <v>23</v>
      </c>
      <c r="C43" t="s">
        <v>30</v>
      </c>
      <c r="D43" t="s">
        <v>689</v>
      </c>
      <c r="E43" t="s">
        <v>772</v>
      </c>
      <c r="F43">
        <v>7</v>
      </c>
      <c r="G43" s="308">
        <f>'BECA MEDIA'!Y9</f>
        <v>0</v>
      </c>
      <c r="H43" s="308">
        <f>'BECA MEDIA'!Z9</f>
        <v>0</v>
      </c>
    </row>
    <row r="44" spans="1:8" x14ac:dyDescent="0.3">
      <c r="A44" t="s">
        <v>688</v>
      </c>
      <c r="B44" t="s">
        <v>23</v>
      </c>
      <c r="C44" t="s">
        <v>31</v>
      </c>
      <c r="D44" t="s">
        <v>689</v>
      </c>
      <c r="E44" t="s">
        <v>766</v>
      </c>
      <c r="F44">
        <v>1</v>
      </c>
      <c r="G44" s="308">
        <f>'BECA MEDIA'!G10</f>
        <v>0</v>
      </c>
      <c r="H44" s="308">
        <f>'BECA MEDIA'!H10</f>
        <v>0</v>
      </c>
    </row>
    <row r="45" spans="1:8" x14ac:dyDescent="0.3">
      <c r="A45" t="s">
        <v>688</v>
      </c>
      <c r="B45" t="s">
        <v>23</v>
      </c>
      <c r="C45" t="s">
        <v>31</v>
      </c>
      <c r="D45" t="s">
        <v>689</v>
      </c>
      <c r="E45" t="s">
        <v>767</v>
      </c>
      <c r="F45">
        <v>2</v>
      </c>
      <c r="G45" s="308">
        <f>'BECA MEDIA'!J10</f>
        <v>0</v>
      </c>
      <c r="H45" s="308">
        <f>'BECA MEDIA'!K10</f>
        <v>0</v>
      </c>
    </row>
    <row r="46" spans="1:8" x14ac:dyDescent="0.3">
      <c r="A46" t="s">
        <v>688</v>
      </c>
      <c r="B46" t="s">
        <v>23</v>
      </c>
      <c r="C46" t="s">
        <v>31</v>
      </c>
      <c r="D46" t="s">
        <v>689</v>
      </c>
      <c r="E46" t="s">
        <v>768</v>
      </c>
      <c r="F46">
        <v>3</v>
      </c>
      <c r="G46" s="308">
        <f>'BECA MEDIA'!M10</f>
        <v>6</v>
      </c>
      <c r="H46" s="308">
        <f>'BECA MEDIA'!N10</f>
        <v>15000</v>
      </c>
    </row>
    <row r="47" spans="1:8" x14ac:dyDescent="0.3">
      <c r="A47" t="s">
        <v>688</v>
      </c>
      <c r="B47" t="s">
        <v>23</v>
      </c>
      <c r="C47" t="s">
        <v>31</v>
      </c>
      <c r="D47" t="s">
        <v>689</v>
      </c>
      <c r="E47" t="s">
        <v>769</v>
      </c>
      <c r="F47">
        <v>4</v>
      </c>
      <c r="G47" s="308">
        <f>'BECA MEDIA'!P10</f>
        <v>4.8</v>
      </c>
      <c r="H47" s="308">
        <f>'BECA MEDIA'!Q10</f>
        <v>12000</v>
      </c>
    </row>
    <row r="48" spans="1:8" x14ac:dyDescent="0.3">
      <c r="A48" t="s">
        <v>688</v>
      </c>
      <c r="B48" t="s">
        <v>23</v>
      </c>
      <c r="C48" t="s">
        <v>31</v>
      </c>
      <c r="D48" t="s">
        <v>689</v>
      </c>
      <c r="E48" t="s">
        <v>770</v>
      </c>
      <c r="F48">
        <v>5</v>
      </c>
      <c r="G48" s="308">
        <f>'BECA MEDIA'!S10</f>
        <v>0</v>
      </c>
      <c r="H48" s="308">
        <f>'BECA MEDIA'!T10</f>
        <v>0</v>
      </c>
    </row>
    <row r="49" spans="1:8" x14ac:dyDescent="0.3">
      <c r="A49" t="s">
        <v>688</v>
      </c>
      <c r="B49" t="s">
        <v>23</v>
      </c>
      <c r="C49" t="s">
        <v>31</v>
      </c>
      <c r="D49" t="s">
        <v>689</v>
      </c>
      <c r="E49" t="s">
        <v>771</v>
      </c>
      <c r="F49">
        <v>6</v>
      </c>
      <c r="G49" s="308">
        <f>'BECA MEDIA'!V10</f>
        <v>10.4</v>
      </c>
      <c r="H49" s="308">
        <f>'BECA MEDIA'!W10</f>
        <v>26000</v>
      </c>
    </row>
    <row r="50" spans="1:8" x14ac:dyDescent="0.3">
      <c r="A50" t="s">
        <v>688</v>
      </c>
      <c r="B50" t="s">
        <v>23</v>
      </c>
      <c r="C50" t="s">
        <v>31</v>
      </c>
      <c r="D50" t="s">
        <v>689</v>
      </c>
      <c r="E50" t="s">
        <v>772</v>
      </c>
      <c r="F50">
        <v>7</v>
      </c>
      <c r="G50" s="308">
        <f>'BECA MEDIA'!Y10</f>
        <v>0</v>
      </c>
      <c r="H50" s="308">
        <f>'BECA MEDIA'!Z10</f>
        <v>0</v>
      </c>
    </row>
    <row r="51" spans="1:8" x14ac:dyDescent="0.3">
      <c r="A51" t="s">
        <v>688</v>
      </c>
      <c r="B51" t="s">
        <v>23</v>
      </c>
      <c r="C51" t="s">
        <v>32</v>
      </c>
      <c r="D51" t="s">
        <v>689</v>
      </c>
      <c r="E51" t="s">
        <v>766</v>
      </c>
      <c r="F51">
        <v>1</v>
      </c>
      <c r="G51" s="308">
        <f>'BECA MEDIA'!G11</f>
        <v>0</v>
      </c>
      <c r="H51" s="308">
        <f>'BECA MEDIA'!H11</f>
        <v>0</v>
      </c>
    </row>
    <row r="52" spans="1:8" x14ac:dyDescent="0.3">
      <c r="A52" t="s">
        <v>688</v>
      </c>
      <c r="B52" t="s">
        <v>23</v>
      </c>
      <c r="C52" t="s">
        <v>32</v>
      </c>
      <c r="D52" t="s">
        <v>689</v>
      </c>
      <c r="E52" t="s">
        <v>767</v>
      </c>
      <c r="F52">
        <v>2</v>
      </c>
      <c r="G52" s="308">
        <f>'BECA MEDIA'!J11</f>
        <v>0</v>
      </c>
      <c r="H52" s="308">
        <f>'BECA MEDIA'!K11</f>
        <v>0</v>
      </c>
    </row>
    <row r="53" spans="1:8" x14ac:dyDescent="0.3">
      <c r="A53" t="s">
        <v>688</v>
      </c>
      <c r="B53" t="s">
        <v>23</v>
      </c>
      <c r="C53" t="s">
        <v>32</v>
      </c>
      <c r="D53" t="s">
        <v>689</v>
      </c>
      <c r="E53" t="s">
        <v>768</v>
      </c>
      <c r="F53">
        <v>3</v>
      </c>
      <c r="G53" s="308">
        <f>'BECA MEDIA'!M11</f>
        <v>4.4000000000000004</v>
      </c>
      <c r="H53" s="308">
        <f>'BECA MEDIA'!N11</f>
        <v>11000</v>
      </c>
    </row>
    <row r="54" spans="1:8" x14ac:dyDescent="0.3">
      <c r="A54" t="s">
        <v>688</v>
      </c>
      <c r="B54" t="s">
        <v>23</v>
      </c>
      <c r="C54" t="s">
        <v>32</v>
      </c>
      <c r="D54" t="s">
        <v>689</v>
      </c>
      <c r="E54" t="s">
        <v>769</v>
      </c>
      <c r="F54">
        <v>4</v>
      </c>
      <c r="G54" s="308">
        <f>'BECA MEDIA'!P11</f>
        <v>0</v>
      </c>
      <c r="H54" s="308">
        <f>'BECA MEDIA'!Q11</f>
        <v>0</v>
      </c>
    </row>
    <row r="55" spans="1:8" x14ac:dyDescent="0.3">
      <c r="A55" t="s">
        <v>688</v>
      </c>
      <c r="B55" t="s">
        <v>23</v>
      </c>
      <c r="C55" t="s">
        <v>32</v>
      </c>
      <c r="D55" t="s">
        <v>689</v>
      </c>
      <c r="E55" t="s">
        <v>770</v>
      </c>
      <c r="F55">
        <v>5</v>
      </c>
      <c r="G55" s="308">
        <f>'BECA MEDIA'!S11</f>
        <v>0</v>
      </c>
      <c r="H55" s="308">
        <f>'BECA MEDIA'!T11</f>
        <v>0</v>
      </c>
    </row>
    <row r="56" spans="1:8" x14ac:dyDescent="0.3">
      <c r="A56" t="s">
        <v>688</v>
      </c>
      <c r="B56" t="s">
        <v>23</v>
      </c>
      <c r="C56" t="s">
        <v>32</v>
      </c>
      <c r="D56" t="s">
        <v>689</v>
      </c>
      <c r="E56" t="s">
        <v>771</v>
      </c>
      <c r="F56">
        <v>6</v>
      </c>
      <c r="G56" s="308">
        <f>'BECA MEDIA'!V11</f>
        <v>3.6</v>
      </c>
      <c r="H56" s="308">
        <f>'BECA MEDIA'!W11</f>
        <v>9000</v>
      </c>
    </row>
    <row r="57" spans="1:8" x14ac:dyDescent="0.3">
      <c r="A57" t="s">
        <v>688</v>
      </c>
      <c r="B57" t="s">
        <v>23</v>
      </c>
      <c r="C57" t="s">
        <v>32</v>
      </c>
      <c r="D57" t="s">
        <v>689</v>
      </c>
      <c r="E57" t="s">
        <v>772</v>
      </c>
      <c r="F57">
        <v>7</v>
      </c>
      <c r="G57" s="308">
        <f>'BECA MEDIA'!Y11</f>
        <v>0</v>
      </c>
      <c r="H57" s="308">
        <f>'BECA MEDIA'!Z11</f>
        <v>0</v>
      </c>
    </row>
    <row r="58" spans="1:8" x14ac:dyDescent="0.3">
      <c r="A58" t="s">
        <v>688</v>
      </c>
      <c r="B58" t="s">
        <v>23</v>
      </c>
      <c r="C58" t="s">
        <v>33</v>
      </c>
      <c r="D58" t="s">
        <v>689</v>
      </c>
      <c r="E58" t="s">
        <v>766</v>
      </c>
      <c r="F58">
        <v>1</v>
      </c>
      <c r="G58" s="308">
        <f>'BECA MEDIA'!G12</f>
        <v>0</v>
      </c>
      <c r="H58" s="308">
        <f>'BECA MEDIA'!H12</f>
        <v>0</v>
      </c>
    </row>
    <row r="59" spans="1:8" x14ac:dyDescent="0.3">
      <c r="A59" t="s">
        <v>688</v>
      </c>
      <c r="B59" t="s">
        <v>23</v>
      </c>
      <c r="C59" t="s">
        <v>33</v>
      </c>
      <c r="D59" t="s">
        <v>689</v>
      </c>
      <c r="E59" t="s">
        <v>767</v>
      </c>
      <c r="F59">
        <v>2</v>
      </c>
      <c r="G59" s="308">
        <f>'BECA MEDIA'!J12</f>
        <v>0</v>
      </c>
      <c r="H59" s="308">
        <f>'BECA MEDIA'!K12</f>
        <v>0</v>
      </c>
    </row>
    <row r="60" spans="1:8" x14ac:dyDescent="0.3">
      <c r="A60" t="s">
        <v>688</v>
      </c>
      <c r="B60" t="s">
        <v>23</v>
      </c>
      <c r="C60" t="s">
        <v>33</v>
      </c>
      <c r="D60" t="s">
        <v>689</v>
      </c>
      <c r="E60" t="s">
        <v>768</v>
      </c>
      <c r="F60">
        <v>3</v>
      </c>
      <c r="G60" s="308">
        <f>'BECA MEDIA'!M12</f>
        <v>8.8000000000000007</v>
      </c>
      <c r="H60" s="308">
        <f>'BECA MEDIA'!N12</f>
        <v>22000</v>
      </c>
    </row>
    <row r="61" spans="1:8" x14ac:dyDescent="0.3">
      <c r="A61" t="s">
        <v>688</v>
      </c>
      <c r="B61" t="s">
        <v>23</v>
      </c>
      <c r="C61" t="s">
        <v>33</v>
      </c>
      <c r="D61" t="s">
        <v>689</v>
      </c>
      <c r="E61" t="s">
        <v>769</v>
      </c>
      <c r="F61">
        <v>4</v>
      </c>
      <c r="G61" s="308">
        <f>'BECA MEDIA'!P12</f>
        <v>2.8</v>
      </c>
      <c r="H61" s="308">
        <f>'BECA MEDIA'!Q12</f>
        <v>7000</v>
      </c>
    </row>
    <row r="62" spans="1:8" x14ac:dyDescent="0.3">
      <c r="A62" t="s">
        <v>688</v>
      </c>
      <c r="B62" t="s">
        <v>23</v>
      </c>
      <c r="C62" t="s">
        <v>33</v>
      </c>
      <c r="D62" t="s">
        <v>689</v>
      </c>
      <c r="E62" t="s">
        <v>770</v>
      </c>
      <c r="F62">
        <v>5</v>
      </c>
      <c r="G62" s="308">
        <f>'BECA MEDIA'!S12</f>
        <v>0</v>
      </c>
      <c r="H62" s="308">
        <f>'BECA MEDIA'!T12</f>
        <v>0</v>
      </c>
    </row>
    <row r="63" spans="1:8" x14ac:dyDescent="0.3">
      <c r="A63" t="s">
        <v>688</v>
      </c>
      <c r="B63" t="s">
        <v>23</v>
      </c>
      <c r="C63" t="s">
        <v>33</v>
      </c>
      <c r="D63" t="s">
        <v>689</v>
      </c>
      <c r="E63" t="s">
        <v>771</v>
      </c>
      <c r="F63">
        <v>6</v>
      </c>
      <c r="G63" s="308">
        <f>'BECA MEDIA'!V12</f>
        <v>11.2</v>
      </c>
      <c r="H63" s="308">
        <f>'BECA MEDIA'!W12</f>
        <v>28000</v>
      </c>
    </row>
    <row r="64" spans="1:8" x14ac:dyDescent="0.3">
      <c r="A64" t="s">
        <v>688</v>
      </c>
      <c r="B64" t="s">
        <v>23</v>
      </c>
      <c r="C64" t="s">
        <v>33</v>
      </c>
      <c r="D64" t="s">
        <v>689</v>
      </c>
      <c r="E64" t="s">
        <v>772</v>
      </c>
      <c r="F64">
        <v>7</v>
      </c>
      <c r="G64" s="308">
        <f>'BECA MEDIA'!Y12</f>
        <v>0</v>
      </c>
      <c r="H64" s="308">
        <f>'BECA MEDIA'!Z12</f>
        <v>0</v>
      </c>
    </row>
    <row r="65" spans="1:8" x14ac:dyDescent="0.3">
      <c r="A65" t="s">
        <v>688</v>
      </c>
      <c r="B65" t="s">
        <v>23</v>
      </c>
      <c r="C65" t="s">
        <v>34</v>
      </c>
      <c r="D65" t="s">
        <v>689</v>
      </c>
      <c r="E65" t="s">
        <v>766</v>
      </c>
      <c r="F65">
        <v>1</v>
      </c>
      <c r="G65" s="308">
        <f>'BECA MEDIA'!G13</f>
        <v>0</v>
      </c>
      <c r="H65" s="308">
        <f>'BECA MEDIA'!H13</f>
        <v>0</v>
      </c>
    </row>
    <row r="66" spans="1:8" x14ac:dyDescent="0.3">
      <c r="A66" t="s">
        <v>688</v>
      </c>
      <c r="B66" t="s">
        <v>23</v>
      </c>
      <c r="C66" t="s">
        <v>34</v>
      </c>
      <c r="D66" t="s">
        <v>689</v>
      </c>
      <c r="E66" t="s">
        <v>767</v>
      </c>
      <c r="F66">
        <v>2</v>
      </c>
      <c r="G66" s="308">
        <f>'BECA MEDIA'!J13</f>
        <v>0</v>
      </c>
      <c r="H66" s="308">
        <f>'BECA MEDIA'!K13</f>
        <v>0</v>
      </c>
    </row>
    <row r="67" spans="1:8" x14ac:dyDescent="0.3">
      <c r="A67" t="s">
        <v>688</v>
      </c>
      <c r="B67" t="s">
        <v>23</v>
      </c>
      <c r="C67" t="s">
        <v>34</v>
      </c>
      <c r="D67" t="s">
        <v>689</v>
      </c>
      <c r="E67" t="s">
        <v>768</v>
      </c>
      <c r="F67">
        <v>3</v>
      </c>
      <c r="G67" s="308">
        <f>'BECA MEDIA'!M13</f>
        <v>1.6</v>
      </c>
      <c r="H67" s="308">
        <f>'BECA MEDIA'!N13</f>
        <v>4000</v>
      </c>
    </row>
    <row r="68" spans="1:8" x14ac:dyDescent="0.3">
      <c r="A68" t="s">
        <v>688</v>
      </c>
      <c r="B68" t="s">
        <v>23</v>
      </c>
      <c r="C68" t="s">
        <v>34</v>
      </c>
      <c r="D68" t="s">
        <v>689</v>
      </c>
      <c r="E68" t="s">
        <v>769</v>
      </c>
      <c r="F68">
        <v>4</v>
      </c>
      <c r="G68" s="308">
        <f>'BECA MEDIA'!P13</f>
        <v>1.2</v>
      </c>
      <c r="H68" s="308">
        <f>'BECA MEDIA'!Q13</f>
        <v>3000</v>
      </c>
    </row>
    <row r="69" spans="1:8" x14ac:dyDescent="0.3">
      <c r="A69" t="s">
        <v>688</v>
      </c>
      <c r="B69" t="s">
        <v>23</v>
      </c>
      <c r="C69" t="s">
        <v>34</v>
      </c>
      <c r="D69" t="s">
        <v>689</v>
      </c>
      <c r="E69" t="s">
        <v>770</v>
      </c>
      <c r="F69">
        <v>5</v>
      </c>
      <c r="G69" s="308">
        <f>'BECA MEDIA'!S13</f>
        <v>0</v>
      </c>
      <c r="H69" s="308">
        <f>'BECA MEDIA'!T13</f>
        <v>0</v>
      </c>
    </row>
    <row r="70" spans="1:8" x14ac:dyDescent="0.3">
      <c r="A70" t="s">
        <v>688</v>
      </c>
      <c r="B70" t="s">
        <v>23</v>
      </c>
      <c r="C70" t="s">
        <v>34</v>
      </c>
      <c r="D70" t="s">
        <v>689</v>
      </c>
      <c r="E70" t="s">
        <v>771</v>
      </c>
      <c r="F70">
        <v>6</v>
      </c>
      <c r="G70" s="308">
        <f>'BECA MEDIA'!V13</f>
        <v>2.4</v>
      </c>
      <c r="H70" s="308">
        <f>'BECA MEDIA'!W13</f>
        <v>6000</v>
      </c>
    </row>
    <row r="71" spans="1:8" x14ac:dyDescent="0.3">
      <c r="A71" t="s">
        <v>688</v>
      </c>
      <c r="B71" t="s">
        <v>23</v>
      </c>
      <c r="C71" t="s">
        <v>34</v>
      </c>
      <c r="D71" t="s">
        <v>689</v>
      </c>
      <c r="E71" t="s">
        <v>772</v>
      </c>
      <c r="F71">
        <v>7</v>
      </c>
      <c r="G71" s="308">
        <f>'BECA MEDIA'!Y13</f>
        <v>0</v>
      </c>
      <c r="H71" s="308">
        <f>'BECA MEDIA'!Z13</f>
        <v>0</v>
      </c>
    </row>
    <row r="72" spans="1:8" x14ac:dyDescent="0.3">
      <c r="A72" t="s">
        <v>688</v>
      </c>
      <c r="B72" t="s">
        <v>23</v>
      </c>
      <c r="C72" t="s">
        <v>35</v>
      </c>
      <c r="D72" t="s">
        <v>689</v>
      </c>
      <c r="E72" t="s">
        <v>766</v>
      </c>
      <c r="F72">
        <v>1</v>
      </c>
      <c r="G72" s="308">
        <f>'BECA MEDIA'!G14</f>
        <v>0</v>
      </c>
      <c r="H72" s="308">
        <f>'BECA MEDIA'!H14</f>
        <v>0</v>
      </c>
    </row>
    <row r="73" spans="1:8" x14ac:dyDescent="0.3">
      <c r="A73" t="s">
        <v>688</v>
      </c>
      <c r="B73" t="s">
        <v>23</v>
      </c>
      <c r="C73" t="s">
        <v>35</v>
      </c>
      <c r="D73" t="s">
        <v>689</v>
      </c>
      <c r="E73" t="s">
        <v>767</v>
      </c>
      <c r="F73">
        <v>2</v>
      </c>
      <c r="G73" s="308">
        <f>'BECA MEDIA'!J14</f>
        <v>0</v>
      </c>
      <c r="H73" s="308">
        <f>'BECA MEDIA'!K14</f>
        <v>0</v>
      </c>
    </row>
    <row r="74" spans="1:8" x14ac:dyDescent="0.3">
      <c r="A74" t="s">
        <v>688</v>
      </c>
      <c r="B74" t="s">
        <v>23</v>
      </c>
      <c r="C74" t="s">
        <v>35</v>
      </c>
      <c r="D74" t="s">
        <v>689</v>
      </c>
      <c r="E74" t="s">
        <v>768</v>
      </c>
      <c r="F74">
        <v>3</v>
      </c>
      <c r="G74" s="308">
        <f>'BECA MEDIA'!M14</f>
        <v>1.6</v>
      </c>
      <c r="H74" s="308">
        <f>'BECA MEDIA'!N14</f>
        <v>4000</v>
      </c>
    </row>
    <row r="75" spans="1:8" x14ac:dyDescent="0.3">
      <c r="A75" t="s">
        <v>688</v>
      </c>
      <c r="B75" t="s">
        <v>23</v>
      </c>
      <c r="C75" t="s">
        <v>35</v>
      </c>
      <c r="D75" t="s">
        <v>689</v>
      </c>
      <c r="E75" t="s">
        <v>769</v>
      </c>
      <c r="F75">
        <v>4</v>
      </c>
      <c r="G75" s="308">
        <f>'BECA MEDIA'!P14</f>
        <v>4</v>
      </c>
      <c r="H75" s="308">
        <f>'BECA MEDIA'!Q14</f>
        <v>10000</v>
      </c>
    </row>
    <row r="76" spans="1:8" x14ac:dyDescent="0.3">
      <c r="A76" t="s">
        <v>688</v>
      </c>
      <c r="B76" t="s">
        <v>23</v>
      </c>
      <c r="C76" t="s">
        <v>35</v>
      </c>
      <c r="D76" t="s">
        <v>689</v>
      </c>
      <c r="E76" t="s">
        <v>770</v>
      </c>
      <c r="F76">
        <v>5</v>
      </c>
      <c r="G76" s="308">
        <f>'BECA MEDIA'!S14</f>
        <v>0</v>
      </c>
      <c r="H76" s="308">
        <f>'BECA MEDIA'!T14</f>
        <v>0</v>
      </c>
    </row>
    <row r="77" spans="1:8" x14ac:dyDescent="0.3">
      <c r="A77" t="s">
        <v>688</v>
      </c>
      <c r="B77" t="s">
        <v>23</v>
      </c>
      <c r="C77" t="s">
        <v>35</v>
      </c>
      <c r="D77" t="s">
        <v>689</v>
      </c>
      <c r="E77" t="s">
        <v>771</v>
      </c>
      <c r="F77">
        <v>6</v>
      </c>
      <c r="G77" s="308">
        <f>'BECA MEDIA'!V14</f>
        <v>5.6</v>
      </c>
      <c r="H77" s="308">
        <f>'BECA MEDIA'!W14</f>
        <v>14000</v>
      </c>
    </row>
    <row r="78" spans="1:8" x14ac:dyDescent="0.3">
      <c r="A78" t="s">
        <v>688</v>
      </c>
      <c r="B78" t="s">
        <v>23</v>
      </c>
      <c r="C78" t="s">
        <v>35</v>
      </c>
      <c r="D78" t="s">
        <v>689</v>
      </c>
      <c r="E78" t="s">
        <v>772</v>
      </c>
      <c r="F78">
        <v>7</v>
      </c>
      <c r="G78" s="308">
        <f>'BECA MEDIA'!Y14</f>
        <v>0</v>
      </c>
      <c r="H78" s="308">
        <f>'BECA MEDIA'!Z14</f>
        <v>0</v>
      </c>
    </row>
    <row r="79" spans="1:8" x14ac:dyDescent="0.3">
      <c r="A79" t="s">
        <v>688</v>
      </c>
      <c r="B79" t="s">
        <v>23</v>
      </c>
      <c r="C79" t="s">
        <v>36</v>
      </c>
      <c r="D79" t="s">
        <v>689</v>
      </c>
      <c r="E79" t="s">
        <v>766</v>
      </c>
      <c r="F79">
        <v>1</v>
      </c>
      <c r="G79" s="308">
        <f>'BECA MEDIA'!G15</f>
        <v>0</v>
      </c>
      <c r="H79" s="308">
        <f>'BECA MEDIA'!H15</f>
        <v>0</v>
      </c>
    </row>
    <row r="80" spans="1:8" x14ac:dyDescent="0.3">
      <c r="A80" t="s">
        <v>688</v>
      </c>
      <c r="B80" t="s">
        <v>23</v>
      </c>
      <c r="C80" t="s">
        <v>36</v>
      </c>
      <c r="D80" t="s">
        <v>689</v>
      </c>
      <c r="E80" t="s">
        <v>767</v>
      </c>
      <c r="F80">
        <v>2</v>
      </c>
      <c r="G80" s="308">
        <f>'BECA MEDIA'!J15</f>
        <v>0</v>
      </c>
      <c r="H80" s="308">
        <f>'BECA MEDIA'!K15</f>
        <v>0</v>
      </c>
    </row>
    <row r="81" spans="1:8" x14ac:dyDescent="0.3">
      <c r="A81" t="s">
        <v>688</v>
      </c>
      <c r="B81" t="s">
        <v>23</v>
      </c>
      <c r="C81" t="s">
        <v>36</v>
      </c>
      <c r="D81" t="s">
        <v>689</v>
      </c>
      <c r="E81" t="s">
        <v>768</v>
      </c>
      <c r="F81">
        <v>3</v>
      </c>
      <c r="G81" s="308">
        <f>'BECA MEDIA'!M15</f>
        <v>2</v>
      </c>
      <c r="H81" s="308">
        <f>'BECA MEDIA'!N15</f>
        <v>5000</v>
      </c>
    </row>
    <row r="82" spans="1:8" x14ac:dyDescent="0.3">
      <c r="A82" t="s">
        <v>688</v>
      </c>
      <c r="B82" t="s">
        <v>23</v>
      </c>
      <c r="C82" t="s">
        <v>36</v>
      </c>
      <c r="D82" t="s">
        <v>689</v>
      </c>
      <c r="E82" t="s">
        <v>769</v>
      </c>
      <c r="F82">
        <v>4</v>
      </c>
      <c r="G82" s="308">
        <f>'BECA MEDIA'!P15</f>
        <v>1.2</v>
      </c>
      <c r="H82" s="308">
        <f>'BECA MEDIA'!Q15</f>
        <v>3000</v>
      </c>
    </row>
    <row r="83" spans="1:8" x14ac:dyDescent="0.3">
      <c r="A83" t="s">
        <v>688</v>
      </c>
      <c r="B83" t="s">
        <v>23</v>
      </c>
      <c r="C83" t="s">
        <v>36</v>
      </c>
      <c r="D83" t="s">
        <v>689</v>
      </c>
      <c r="E83" t="s">
        <v>770</v>
      </c>
      <c r="F83">
        <v>5</v>
      </c>
      <c r="G83" s="308">
        <f>'BECA MEDIA'!S15</f>
        <v>0</v>
      </c>
      <c r="H83" s="308">
        <f>'BECA MEDIA'!T15</f>
        <v>0</v>
      </c>
    </row>
    <row r="84" spans="1:8" x14ac:dyDescent="0.3">
      <c r="A84" t="s">
        <v>688</v>
      </c>
      <c r="B84" t="s">
        <v>23</v>
      </c>
      <c r="C84" t="s">
        <v>36</v>
      </c>
      <c r="D84" t="s">
        <v>689</v>
      </c>
      <c r="E84" t="s">
        <v>771</v>
      </c>
      <c r="F84">
        <v>6</v>
      </c>
      <c r="G84" s="308">
        <f>'BECA MEDIA'!V15</f>
        <v>2.8</v>
      </c>
      <c r="H84" s="308">
        <f>'BECA MEDIA'!W15</f>
        <v>7000</v>
      </c>
    </row>
    <row r="85" spans="1:8" x14ac:dyDescent="0.3">
      <c r="A85" t="s">
        <v>688</v>
      </c>
      <c r="B85" t="s">
        <v>23</v>
      </c>
      <c r="C85" t="s">
        <v>36</v>
      </c>
      <c r="D85" t="s">
        <v>689</v>
      </c>
      <c r="E85" t="s">
        <v>772</v>
      </c>
      <c r="F85">
        <v>7</v>
      </c>
      <c r="G85" s="308">
        <f>'BECA MEDIA'!Y15</f>
        <v>0</v>
      </c>
      <c r="H85" s="308">
        <f>'BECA MEDIA'!Z15</f>
        <v>0</v>
      </c>
    </row>
    <row r="86" spans="1:8" x14ac:dyDescent="0.3">
      <c r="A86" t="s">
        <v>688</v>
      </c>
      <c r="B86" t="s">
        <v>23</v>
      </c>
      <c r="C86" t="s">
        <v>37</v>
      </c>
      <c r="D86" t="s">
        <v>689</v>
      </c>
      <c r="E86" t="s">
        <v>766</v>
      </c>
      <c r="F86">
        <v>1</v>
      </c>
      <c r="G86" s="308">
        <f>'BECA MEDIA'!G16</f>
        <v>0</v>
      </c>
      <c r="H86" s="308">
        <f>'BECA MEDIA'!H16</f>
        <v>0</v>
      </c>
    </row>
    <row r="87" spans="1:8" x14ac:dyDescent="0.3">
      <c r="A87" t="s">
        <v>688</v>
      </c>
      <c r="B87" t="s">
        <v>23</v>
      </c>
      <c r="C87" t="s">
        <v>37</v>
      </c>
      <c r="D87" t="s">
        <v>689</v>
      </c>
      <c r="E87" t="s">
        <v>767</v>
      </c>
      <c r="F87">
        <v>2</v>
      </c>
      <c r="G87" s="308">
        <f>'BECA MEDIA'!J16</f>
        <v>0</v>
      </c>
      <c r="H87" s="308">
        <f>'BECA MEDIA'!K16</f>
        <v>0</v>
      </c>
    </row>
    <row r="88" spans="1:8" x14ac:dyDescent="0.3">
      <c r="A88" t="s">
        <v>688</v>
      </c>
      <c r="B88" t="s">
        <v>23</v>
      </c>
      <c r="C88" t="s">
        <v>37</v>
      </c>
      <c r="D88" t="s">
        <v>689</v>
      </c>
      <c r="E88" t="s">
        <v>768</v>
      </c>
      <c r="F88">
        <v>3</v>
      </c>
      <c r="G88" s="308">
        <f>'BECA MEDIA'!M16</f>
        <v>8</v>
      </c>
      <c r="H88" s="308">
        <f>'BECA MEDIA'!N16</f>
        <v>20000</v>
      </c>
    </row>
    <row r="89" spans="1:8" x14ac:dyDescent="0.3">
      <c r="A89" t="s">
        <v>688</v>
      </c>
      <c r="B89" t="s">
        <v>23</v>
      </c>
      <c r="C89" t="s">
        <v>37</v>
      </c>
      <c r="D89" t="s">
        <v>689</v>
      </c>
      <c r="E89" t="s">
        <v>769</v>
      </c>
      <c r="F89">
        <v>4</v>
      </c>
      <c r="G89" s="308">
        <f>'BECA MEDIA'!P16</f>
        <v>6</v>
      </c>
      <c r="H89" s="308">
        <f>'BECA MEDIA'!Q16</f>
        <v>15000</v>
      </c>
    </row>
    <row r="90" spans="1:8" x14ac:dyDescent="0.3">
      <c r="A90" t="s">
        <v>688</v>
      </c>
      <c r="B90" t="s">
        <v>23</v>
      </c>
      <c r="C90" t="s">
        <v>37</v>
      </c>
      <c r="D90" t="s">
        <v>689</v>
      </c>
      <c r="E90" t="s">
        <v>770</v>
      </c>
      <c r="F90">
        <v>5</v>
      </c>
      <c r="G90" s="308">
        <f>'BECA MEDIA'!S16</f>
        <v>0</v>
      </c>
      <c r="H90" s="308">
        <f>'BECA MEDIA'!T16</f>
        <v>0</v>
      </c>
    </row>
    <row r="91" spans="1:8" x14ac:dyDescent="0.3">
      <c r="A91" t="s">
        <v>688</v>
      </c>
      <c r="B91" t="s">
        <v>23</v>
      </c>
      <c r="C91" t="s">
        <v>37</v>
      </c>
      <c r="D91" t="s">
        <v>689</v>
      </c>
      <c r="E91" t="s">
        <v>771</v>
      </c>
      <c r="F91">
        <v>6</v>
      </c>
      <c r="G91" s="308">
        <f>'BECA MEDIA'!V16</f>
        <v>14</v>
      </c>
      <c r="H91" s="308">
        <f>'BECA MEDIA'!W16</f>
        <v>35000</v>
      </c>
    </row>
    <row r="92" spans="1:8" x14ac:dyDescent="0.3">
      <c r="A92" t="s">
        <v>688</v>
      </c>
      <c r="B92" t="s">
        <v>23</v>
      </c>
      <c r="C92" t="s">
        <v>37</v>
      </c>
      <c r="D92" t="s">
        <v>689</v>
      </c>
      <c r="E92" t="s">
        <v>772</v>
      </c>
      <c r="F92">
        <v>7</v>
      </c>
      <c r="G92" s="308">
        <f>'BECA MEDIA'!Y16</f>
        <v>0</v>
      </c>
      <c r="H92" s="308">
        <f>'BECA MEDIA'!Z16</f>
        <v>0</v>
      </c>
    </row>
    <row r="93" spans="1:8" x14ac:dyDescent="0.3">
      <c r="A93" t="s">
        <v>688</v>
      </c>
      <c r="B93" t="s">
        <v>23</v>
      </c>
      <c r="C93" t="s">
        <v>38</v>
      </c>
      <c r="D93" t="s">
        <v>689</v>
      </c>
      <c r="E93" t="s">
        <v>766</v>
      </c>
      <c r="F93">
        <v>1</v>
      </c>
      <c r="G93" s="308">
        <f>'BECA MEDIA'!G17</f>
        <v>0</v>
      </c>
      <c r="H93" s="308">
        <f>'BECA MEDIA'!H17</f>
        <v>0</v>
      </c>
    </row>
    <row r="94" spans="1:8" x14ac:dyDescent="0.3">
      <c r="A94" t="s">
        <v>688</v>
      </c>
      <c r="B94" t="s">
        <v>23</v>
      </c>
      <c r="C94" t="s">
        <v>38</v>
      </c>
      <c r="D94" t="s">
        <v>689</v>
      </c>
      <c r="E94" t="s">
        <v>767</v>
      </c>
      <c r="F94">
        <v>2</v>
      </c>
      <c r="G94" s="308">
        <f>'BECA MEDIA'!J17</f>
        <v>0</v>
      </c>
      <c r="H94" s="308">
        <f>'BECA MEDIA'!K17</f>
        <v>0</v>
      </c>
    </row>
    <row r="95" spans="1:8" x14ac:dyDescent="0.3">
      <c r="A95" t="s">
        <v>688</v>
      </c>
      <c r="B95" t="s">
        <v>23</v>
      </c>
      <c r="C95" t="s">
        <v>38</v>
      </c>
      <c r="D95" t="s">
        <v>689</v>
      </c>
      <c r="E95" t="s">
        <v>768</v>
      </c>
      <c r="F95">
        <v>3</v>
      </c>
      <c r="G95" s="308">
        <f>'BECA MEDIA'!M17</f>
        <v>7.6</v>
      </c>
      <c r="H95" s="308">
        <f>'BECA MEDIA'!N17</f>
        <v>19000</v>
      </c>
    </row>
    <row r="96" spans="1:8" x14ac:dyDescent="0.3">
      <c r="A96" t="s">
        <v>688</v>
      </c>
      <c r="B96" t="s">
        <v>23</v>
      </c>
      <c r="C96" t="s">
        <v>38</v>
      </c>
      <c r="D96" t="s">
        <v>689</v>
      </c>
      <c r="E96" t="s">
        <v>769</v>
      </c>
      <c r="F96">
        <v>4</v>
      </c>
      <c r="G96" s="308">
        <f>'BECA MEDIA'!P17</f>
        <v>3.6</v>
      </c>
      <c r="H96" s="308">
        <f>'BECA MEDIA'!Q17</f>
        <v>9000</v>
      </c>
    </row>
    <row r="97" spans="1:8" x14ac:dyDescent="0.3">
      <c r="A97" t="s">
        <v>688</v>
      </c>
      <c r="B97" t="s">
        <v>23</v>
      </c>
      <c r="C97" t="s">
        <v>38</v>
      </c>
      <c r="D97" t="s">
        <v>689</v>
      </c>
      <c r="E97" t="s">
        <v>770</v>
      </c>
      <c r="F97">
        <v>5</v>
      </c>
      <c r="G97" s="308">
        <f>'BECA MEDIA'!S17</f>
        <v>0</v>
      </c>
      <c r="H97" s="308">
        <f>'BECA MEDIA'!T17</f>
        <v>0</v>
      </c>
    </row>
    <row r="98" spans="1:8" x14ac:dyDescent="0.3">
      <c r="A98" t="s">
        <v>688</v>
      </c>
      <c r="B98" t="s">
        <v>23</v>
      </c>
      <c r="C98" t="s">
        <v>38</v>
      </c>
      <c r="D98" t="s">
        <v>689</v>
      </c>
      <c r="E98" t="s">
        <v>771</v>
      </c>
      <c r="F98">
        <v>6</v>
      </c>
      <c r="G98" s="308">
        <f>'BECA MEDIA'!V17</f>
        <v>11.2</v>
      </c>
      <c r="H98" s="308">
        <f>'BECA MEDIA'!W17</f>
        <v>28000</v>
      </c>
    </row>
    <row r="99" spans="1:8" x14ac:dyDescent="0.3">
      <c r="A99" t="s">
        <v>688</v>
      </c>
      <c r="B99" t="s">
        <v>23</v>
      </c>
      <c r="C99" t="s">
        <v>38</v>
      </c>
      <c r="D99" t="s">
        <v>689</v>
      </c>
      <c r="E99" t="s">
        <v>772</v>
      </c>
      <c r="F99">
        <v>7</v>
      </c>
      <c r="G99" s="308">
        <f>'BECA MEDIA'!Y17</f>
        <v>0</v>
      </c>
      <c r="H99" s="308">
        <f>'BECA MEDIA'!Z17</f>
        <v>0</v>
      </c>
    </row>
    <row r="100" spans="1:8" x14ac:dyDescent="0.3">
      <c r="A100" t="s">
        <v>688</v>
      </c>
      <c r="B100" t="s">
        <v>23</v>
      </c>
      <c r="C100" t="s">
        <v>39</v>
      </c>
      <c r="D100" t="s">
        <v>689</v>
      </c>
      <c r="E100" t="s">
        <v>766</v>
      </c>
      <c r="F100">
        <v>1</v>
      </c>
      <c r="G100" s="308">
        <f>'BECA MEDIA'!G18</f>
        <v>0</v>
      </c>
      <c r="H100" s="308">
        <f>'BECA MEDIA'!H18</f>
        <v>0</v>
      </c>
    </row>
    <row r="101" spans="1:8" x14ac:dyDescent="0.3">
      <c r="A101" t="s">
        <v>688</v>
      </c>
      <c r="B101" t="s">
        <v>23</v>
      </c>
      <c r="C101" t="s">
        <v>39</v>
      </c>
      <c r="D101" t="s">
        <v>689</v>
      </c>
      <c r="E101" t="s">
        <v>767</v>
      </c>
      <c r="F101">
        <v>2</v>
      </c>
      <c r="G101" s="308">
        <f>'BECA MEDIA'!J18</f>
        <v>0</v>
      </c>
      <c r="H101" s="308">
        <f>'BECA MEDIA'!K18</f>
        <v>0</v>
      </c>
    </row>
    <row r="102" spans="1:8" x14ac:dyDescent="0.3">
      <c r="A102" t="s">
        <v>688</v>
      </c>
      <c r="B102" t="s">
        <v>23</v>
      </c>
      <c r="C102" t="s">
        <v>39</v>
      </c>
      <c r="D102" t="s">
        <v>689</v>
      </c>
      <c r="E102" t="s">
        <v>768</v>
      </c>
      <c r="F102">
        <v>3</v>
      </c>
      <c r="G102" s="308">
        <f>'BECA MEDIA'!M18</f>
        <v>1</v>
      </c>
      <c r="H102" s="308">
        <f>'BECA MEDIA'!N18</f>
        <v>1000</v>
      </c>
    </row>
    <row r="103" spans="1:8" x14ac:dyDescent="0.3">
      <c r="A103" t="s">
        <v>688</v>
      </c>
      <c r="B103" t="s">
        <v>23</v>
      </c>
      <c r="C103" t="s">
        <v>39</v>
      </c>
      <c r="D103" t="s">
        <v>689</v>
      </c>
      <c r="E103" t="s">
        <v>769</v>
      </c>
      <c r="F103">
        <v>4</v>
      </c>
      <c r="G103" s="308">
        <f>'BECA MEDIA'!P18</f>
        <v>0.8</v>
      </c>
      <c r="H103" s="308">
        <f>'BECA MEDIA'!Q18</f>
        <v>2000</v>
      </c>
    </row>
    <row r="104" spans="1:8" x14ac:dyDescent="0.3">
      <c r="A104" t="s">
        <v>688</v>
      </c>
      <c r="B104" t="s">
        <v>23</v>
      </c>
      <c r="C104" t="s">
        <v>39</v>
      </c>
      <c r="D104" t="s">
        <v>689</v>
      </c>
      <c r="E104" t="s">
        <v>770</v>
      </c>
      <c r="F104">
        <v>5</v>
      </c>
      <c r="G104" s="308">
        <f>'BECA MEDIA'!S18</f>
        <v>0</v>
      </c>
      <c r="H104" s="308">
        <f>'BECA MEDIA'!T18</f>
        <v>0</v>
      </c>
    </row>
    <row r="105" spans="1:8" x14ac:dyDescent="0.3">
      <c r="A105" t="s">
        <v>688</v>
      </c>
      <c r="B105" t="s">
        <v>23</v>
      </c>
      <c r="C105" t="s">
        <v>39</v>
      </c>
      <c r="D105" t="s">
        <v>689</v>
      </c>
      <c r="E105" t="s">
        <v>771</v>
      </c>
      <c r="F105">
        <v>6</v>
      </c>
      <c r="G105" s="308">
        <f>'BECA MEDIA'!V18</f>
        <v>1.2</v>
      </c>
      <c r="H105" s="308">
        <f>'BECA MEDIA'!W18</f>
        <v>3000</v>
      </c>
    </row>
    <row r="106" spans="1:8" x14ac:dyDescent="0.3">
      <c r="A106" t="s">
        <v>688</v>
      </c>
      <c r="B106" t="s">
        <v>23</v>
      </c>
      <c r="C106" t="s">
        <v>39</v>
      </c>
      <c r="D106" t="s">
        <v>689</v>
      </c>
      <c r="E106" t="s">
        <v>772</v>
      </c>
      <c r="F106">
        <v>7</v>
      </c>
      <c r="G106" s="308">
        <f>'BECA MEDIA'!Y18</f>
        <v>0</v>
      </c>
      <c r="H106" s="308">
        <f>'BECA MEDIA'!Z18</f>
        <v>0</v>
      </c>
    </row>
    <row r="107" spans="1:8" x14ac:dyDescent="0.3">
      <c r="A107" t="s">
        <v>688</v>
      </c>
      <c r="B107" t="s">
        <v>23</v>
      </c>
      <c r="C107" t="s">
        <v>40</v>
      </c>
      <c r="D107" t="s">
        <v>689</v>
      </c>
      <c r="E107" t="s">
        <v>766</v>
      </c>
      <c r="F107">
        <v>1</v>
      </c>
      <c r="G107" s="308">
        <f>'BECA MEDIA'!G19</f>
        <v>0</v>
      </c>
      <c r="H107" s="308">
        <f>'BECA MEDIA'!H19</f>
        <v>0</v>
      </c>
    </row>
    <row r="108" spans="1:8" x14ac:dyDescent="0.3">
      <c r="A108" t="s">
        <v>688</v>
      </c>
      <c r="B108" t="s">
        <v>23</v>
      </c>
      <c r="C108" t="s">
        <v>40</v>
      </c>
      <c r="D108" t="s">
        <v>689</v>
      </c>
      <c r="E108" t="s">
        <v>767</v>
      </c>
      <c r="F108">
        <v>2</v>
      </c>
      <c r="G108" s="308">
        <f>'BECA MEDIA'!J19</f>
        <v>0</v>
      </c>
      <c r="H108" s="308">
        <f>'BECA MEDIA'!K19</f>
        <v>0</v>
      </c>
    </row>
    <row r="109" spans="1:8" x14ac:dyDescent="0.3">
      <c r="A109" t="s">
        <v>688</v>
      </c>
      <c r="B109" t="s">
        <v>23</v>
      </c>
      <c r="C109" t="s">
        <v>40</v>
      </c>
      <c r="D109" t="s">
        <v>689</v>
      </c>
      <c r="E109" t="s">
        <v>768</v>
      </c>
      <c r="F109">
        <v>3</v>
      </c>
      <c r="G109" s="308">
        <f>'BECA MEDIA'!M19</f>
        <v>0.8</v>
      </c>
      <c r="H109" s="308">
        <f>'BECA MEDIA'!N19</f>
        <v>2000</v>
      </c>
    </row>
    <row r="110" spans="1:8" x14ac:dyDescent="0.3">
      <c r="A110" t="s">
        <v>688</v>
      </c>
      <c r="B110" t="s">
        <v>23</v>
      </c>
      <c r="C110" t="s">
        <v>40</v>
      </c>
      <c r="D110" t="s">
        <v>689</v>
      </c>
      <c r="E110" t="s">
        <v>769</v>
      </c>
      <c r="F110">
        <v>4</v>
      </c>
      <c r="G110" s="308">
        <f>'BECA MEDIA'!P19</f>
        <v>0.8</v>
      </c>
      <c r="H110" s="308">
        <f>'BECA MEDIA'!Q19</f>
        <v>2000</v>
      </c>
    </row>
    <row r="111" spans="1:8" x14ac:dyDescent="0.3">
      <c r="A111" t="s">
        <v>688</v>
      </c>
      <c r="B111" t="s">
        <v>23</v>
      </c>
      <c r="C111" t="s">
        <v>40</v>
      </c>
      <c r="D111" t="s">
        <v>689</v>
      </c>
      <c r="E111" t="s">
        <v>770</v>
      </c>
      <c r="F111">
        <v>5</v>
      </c>
      <c r="G111" s="308">
        <f>'BECA MEDIA'!S19</f>
        <v>0</v>
      </c>
      <c r="H111" s="308">
        <f>'BECA MEDIA'!T19</f>
        <v>0</v>
      </c>
    </row>
    <row r="112" spans="1:8" x14ac:dyDescent="0.3">
      <c r="A112" t="s">
        <v>688</v>
      </c>
      <c r="B112" t="s">
        <v>23</v>
      </c>
      <c r="C112" t="s">
        <v>40</v>
      </c>
      <c r="D112" t="s">
        <v>689</v>
      </c>
      <c r="E112" t="s">
        <v>771</v>
      </c>
      <c r="F112">
        <v>6</v>
      </c>
      <c r="G112" s="308">
        <f>'BECA MEDIA'!V19</f>
        <v>1.6</v>
      </c>
      <c r="H112" s="308">
        <f>'BECA MEDIA'!W19</f>
        <v>4000</v>
      </c>
    </row>
    <row r="113" spans="1:8" x14ac:dyDescent="0.3">
      <c r="A113" t="s">
        <v>688</v>
      </c>
      <c r="B113" t="s">
        <v>23</v>
      </c>
      <c r="C113" t="s">
        <v>40</v>
      </c>
      <c r="D113" t="s">
        <v>689</v>
      </c>
      <c r="E113" t="s">
        <v>772</v>
      </c>
      <c r="F113">
        <v>7</v>
      </c>
      <c r="G113" s="308">
        <f>'BECA MEDIA'!Y19</f>
        <v>0</v>
      </c>
      <c r="H113" s="308">
        <f>'BECA MEDIA'!Z19</f>
        <v>0</v>
      </c>
    </row>
    <row r="114" spans="1:8" x14ac:dyDescent="0.3">
      <c r="A114" t="s">
        <v>688</v>
      </c>
      <c r="B114" t="s">
        <v>23</v>
      </c>
      <c r="C114" t="s">
        <v>41</v>
      </c>
      <c r="D114" t="s">
        <v>689</v>
      </c>
      <c r="E114" t="s">
        <v>766</v>
      </c>
      <c r="F114">
        <v>1</v>
      </c>
      <c r="G114" s="308">
        <f>'BECA MEDIA'!G20</f>
        <v>0</v>
      </c>
      <c r="H114" s="308">
        <f>'BECA MEDIA'!H20</f>
        <v>0</v>
      </c>
    </row>
    <row r="115" spans="1:8" x14ac:dyDescent="0.3">
      <c r="A115" t="s">
        <v>688</v>
      </c>
      <c r="B115" t="s">
        <v>23</v>
      </c>
      <c r="C115" t="s">
        <v>41</v>
      </c>
      <c r="D115" t="s">
        <v>689</v>
      </c>
      <c r="E115" t="s">
        <v>767</v>
      </c>
      <c r="F115">
        <v>2</v>
      </c>
      <c r="G115" s="308">
        <f>'BECA MEDIA'!J20</f>
        <v>0</v>
      </c>
      <c r="H115" s="308">
        <f>'BECA MEDIA'!K20</f>
        <v>0</v>
      </c>
    </row>
    <row r="116" spans="1:8" x14ac:dyDescent="0.3">
      <c r="A116" t="s">
        <v>688</v>
      </c>
      <c r="B116" t="s">
        <v>23</v>
      </c>
      <c r="C116" t="s">
        <v>41</v>
      </c>
      <c r="D116" t="s">
        <v>689</v>
      </c>
      <c r="E116" t="s">
        <v>768</v>
      </c>
      <c r="F116">
        <v>3</v>
      </c>
      <c r="G116" s="308">
        <f>'BECA MEDIA'!M20</f>
        <v>3.6</v>
      </c>
      <c r="H116" s="308">
        <f>'BECA MEDIA'!N20</f>
        <v>9000</v>
      </c>
    </row>
    <row r="117" spans="1:8" x14ac:dyDescent="0.3">
      <c r="A117" t="s">
        <v>688</v>
      </c>
      <c r="B117" t="s">
        <v>23</v>
      </c>
      <c r="C117" t="s">
        <v>41</v>
      </c>
      <c r="D117" t="s">
        <v>689</v>
      </c>
      <c r="E117" t="s">
        <v>769</v>
      </c>
      <c r="F117">
        <v>4</v>
      </c>
      <c r="G117" s="308">
        <f>'BECA MEDIA'!P20</f>
        <v>2</v>
      </c>
      <c r="H117" s="308">
        <f>'BECA MEDIA'!Q20</f>
        <v>5000</v>
      </c>
    </row>
    <row r="118" spans="1:8" x14ac:dyDescent="0.3">
      <c r="A118" t="s">
        <v>688</v>
      </c>
      <c r="B118" t="s">
        <v>23</v>
      </c>
      <c r="C118" t="s">
        <v>41</v>
      </c>
      <c r="D118" t="s">
        <v>689</v>
      </c>
      <c r="E118" t="s">
        <v>770</v>
      </c>
      <c r="F118">
        <v>5</v>
      </c>
      <c r="G118" s="308">
        <f>'BECA MEDIA'!S20</f>
        <v>0</v>
      </c>
      <c r="H118" s="308">
        <f>'BECA MEDIA'!T20</f>
        <v>0</v>
      </c>
    </row>
    <row r="119" spans="1:8" x14ac:dyDescent="0.3">
      <c r="A119" t="s">
        <v>688</v>
      </c>
      <c r="B119" t="s">
        <v>23</v>
      </c>
      <c r="C119" t="s">
        <v>41</v>
      </c>
      <c r="D119" t="s">
        <v>689</v>
      </c>
      <c r="E119" t="s">
        <v>771</v>
      </c>
      <c r="F119">
        <v>6</v>
      </c>
      <c r="G119" s="308">
        <f>'BECA MEDIA'!V20</f>
        <v>5.6</v>
      </c>
      <c r="H119" s="308">
        <f>'BECA MEDIA'!W20</f>
        <v>14000</v>
      </c>
    </row>
    <row r="120" spans="1:8" x14ac:dyDescent="0.3">
      <c r="A120" t="s">
        <v>688</v>
      </c>
      <c r="B120" t="s">
        <v>23</v>
      </c>
      <c r="C120" t="s">
        <v>41</v>
      </c>
      <c r="D120" t="s">
        <v>689</v>
      </c>
      <c r="E120" t="s">
        <v>772</v>
      </c>
      <c r="F120">
        <v>7</v>
      </c>
      <c r="G120" s="308">
        <f>'BECA MEDIA'!Y20</f>
        <v>0</v>
      </c>
      <c r="H120" s="308">
        <f>'BECA MEDIA'!Z20</f>
        <v>0</v>
      </c>
    </row>
    <row r="121" spans="1:8" x14ac:dyDescent="0.3">
      <c r="A121" t="s">
        <v>688</v>
      </c>
      <c r="B121" t="s">
        <v>42</v>
      </c>
      <c r="C121" t="s">
        <v>43</v>
      </c>
      <c r="D121" t="s">
        <v>689</v>
      </c>
      <c r="E121" t="s">
        <v>766</v>
      </c>
      <c r="F121">
        <v>1</v>
      </c>
      <c r="G121" s="308">
        <f>'BECA MEDIA'!G21</f>
        <v>0</v>
      </c>
      <c r="H121" s="308">
        <f>'BECA MEDIA'!H21</f>
        <v>0</v>
      </c>
    </row>
    <row r="122" spans="1:8" x14ac:dyDescent="0.3">
      <c r="A122" t="s">
        <v>688</v>
      </c>
      <c r="B122" t="s">
        <v>42</v>
      </c>
      <c r="C122" t="s">
        <v>43</v>
      </c>
      <c r="D122" t="s">
        <v>689</v>
      </c>
      <c r="E122" t="s">
        <v>767</v>
      </c>
      <c r="F122">
        <v>2</v>
      </c>
      <c r="G122" s="308">
        <f>'BECA MEDIA'!J21</f>
        <v>0</v>
      </c>
      <c r="H122" s="308">
        <f>'BECA MEDIA'!K21</f>
        <v>0</v>
      </c>
    </row>
    <row r="123" spans="1:8" x14ac:dyDescent="0.3">
      <c r="A123" t="s">
        <v>688</v>
      </c>
      <c r="B123" t="s">
        <v>42</v>
      </c>
      <c r="C123" t="s">
        <v>43</v>
      </c>
      <c r="D123" t="s">
        <v>689</v>
      </c>
      <c r="E123" t="s">
        <v>768</v>
      </c>
      <c r="F123">
        <v>3</v>
      </c>
      <c r="G123" s="308">
        <f>'BECA MEDIA'!M21</f>
        <v>4.8</v>
      </c>
      <c r="H123" s="308">
        <f>'BECA MEDIA'!N21</f>
        <v>12000</v>
      </c>
    </row>
    <row r="124" spans="1:8" x14ac:dyDescent="0.3">
      <c r="A124" t="s">
        <v>688</v>
      </c>
      <c r="B124" t="s">
        <v>42</v>
      </c>
      <c r="C124" t="s">
        <v>43</v>
      </c>
      <c r="D124" t="s">
        <v>689</v>
      </c>
      <c r="E124" t="s">
        <v>769</v>
      </c>
      <c r="F124">
        <v>4</v>
      </c>
      <c r="G124" s="308">
        <f>'BECA MEDIA'!P21</f>
        <v>1.2</v>
      </c>
      <c r="H124" s="308">
        <f>'BECA MEDIA'!Q21</f>
        <v>3000</v>
      </c>
    </row>
    <row r="125" spans="1:8" x14ac:dyDescent="0.3">
      <c r="A125" t="s">
        <v>688</v>
      </c>
      <c r="B125" t="s">
        <v>42</v>
      </c>
      <c r="C125" t="s">
        <v>43</v>
      </c>
      <c r="D125" t="s">
        <v>689</v>
      </c>
      <c r="E125" t="s">
        <v>770</v>
      </c>
      <c r="F125">
        <v>5</v>
      </c>
      <c r="G125" s="308">
        <f>'BECA MEDIA'!S21</f>
        <v>0</v>
      </c>
      <c r="H125" s="308">
        <f>'BECA MEDIA'!T21</f>
        <v>0</v>
      </c>
    </row>
    <row r="126" spans="1:8" x14ac:dyDescent="0.3">
      <c r="A126" t="s">
        <v>688</v>
      </c>
      <c r="B126" t="s">
        <v>42</v>
      </c>
      <c r="C126" t="s">
        <v>43</v>
      </c>
      <c r="D126" t="s">
        <v>689</v>
      </c>
      <c r="E126" t="s">
        <v>771</v>
      </c>
      <c r="F126">
        <v>6</v>
      </c>
      <c r="G126" s="308">
        <f>'BECA MEDIA'!V21</f>
        <v>6</v>
      </c>
      <c r="H126" s="308">
        <f>'BECA MEDIA'!W21</f>
        <v>15000</v>
      </c>
    </row>
    <row r="127" spans="1:8" x14ac:dyDescent="0.3">
      <c r="A127" t="s">
        <v>688</v>
      </c>
      <c r="B127" t="s">
        <v>42</v>
      </c>
      <c r="C127" t="s">
        <v>43</v>
      </c>
      <c r="D127" t="s">
        <v>689</v>
      </c>
      <c r="E127" t="s">
        <v>772</v>
      </c>
      <c r="F127">
        <v>7</v>
      </c>
      <c r="G127" s="308">
        <f>'BECA MEDIA'!Y21</f>
        <v>0</v>
      </c>
      <c r="H127" s="308">
        <f>'BECA MEDIA'!Z21</f>
        <v>0</v>
      </c>
    </row>
    <row r="128" spans="1:8" x14ac:dyDescent="0.3">
      <c r="A128" t="s">
        <v>688</v>
      </c>
      <c r="B128" t="s">
        <v>42</v>
      </c>
      <c r="C128" t="s">
        <v>44</v>
      </c>
      <c r="D128" t="s">
        <v>689</v>
      </c>
      <c r="E128" t="s">
        <v>766</v>
      </c>
      <c r="F128">
        <v>1</v>
      </c>
      <c r="G128" s="308">
        <f>'BECA MEDIA'!G22</f>
        <v>0</v>
      </c>
      <c r="H128" s="308">
        <f>'BECA MEDIA'!H22</f>
        <v>0</v>
      </c>
    </row>
    <row r="129" spans="1:8" x14ac:dyDescent="0.3">
      <c r="A129" t="s">
        <v>688</v>
      </c>
      <c r="B129" t="s">
        <v>42</v>
      </c>
      <c r="C129" t="s">
        <v>44</v>
      </c>
      <c r="D129" t="s">
        <v>689</v>
      </c>
      <c r="E129" t="s">
        <v>767</v>
      </c>
      <c r="F129">
        <v>2</v>
      </c>
      <c r="G129" s="308">
        <f>'BECA MEDIA'!J22</f>
        <v>0</v>
      </c>
      <c r="H129" s="308">
        <f>'BECA MEDIA'!K22</f>
        <v>0</v>
      </c>
    </row>
    <row r="130" spans="1:8" x14ac:dyDescent="0.3">
      <c r="A130" t="s">
        <v>688</v>
      </c>
      <c r="B130" t="s">
        <v>42</v>
      </c>
      <c r="C130" t="s">
        <v>44</v>
      </c>
      <c r="D130" t="s">
        <v>689</v>
      </c>
      <c r="E130" t="s">
        <v>768</v>
      </c>
      <c r="F130">
        <v>3</v>
      </c>
      <c r="G130" s="308">
        <f>'BECA MEDIA'!M22</f>
        <v>8.4</v>
      </c>
      <c r="H130" s="308">
        <f>'BECA MEDIA'!N22</f>
        <v>21000</v>
      </c>
    </row>
    <row r="131" spans="1:8" x14ac:dyDescent="0.3">
      <c r="A131" t="s">
        <v>688</v>
      </c>
      <c r="B131" t="s">
        <v>42</v>
      </c>
      <c r="C131" t="s">
        <v>44</v>
      </c>
      <c r="D131" t="s">
        <v>689</v>
      </c>
      <c r="E131" t="s">
        <v>769</v>
      </c>
      <c r="F131">
        <v>4</v>
      </c>
      <c r="G131" s="308">
        <f>'BECA MEDIA'!P22</f>
        <v>3.6</v>
      </c>
      <c r="H131" s="308">
        <f>'BECA MEDIA'!Q22</f>
        <v>9000</v>
      </c>
    </row>
    <row r="132" spans="1:8" x14ac:dyDescent="0.3">
      <c r="A132" t="s">
        <v>688</v>
      </c>
      <c r="B132" t="s">
        <v>42</v>
      </c>
      <c r="C132" t="s">
        <v>44</v>
      </c>
      <c r="D132" t="s">
        <v>689</v>
      </c>
      <c r="E132" t="s">
        <v>770</v>
      </c>
      <c r="F132">
        <v>5</v>
      </c>
      <c r="G132" s="308">
        <f>'BECA MEDIA'!S22</f>
        <v>0</v>
      </c>
      <c r="H132" s="308">
        <f>'BECA MEDIA'!T22</f>
        <v>0</v>
      </c>
    </row>
    <row r="133" spans="1:8" x14ac:dyDescent="0.3">
      <c r="A133" t="s">
        <v>688</v>
      </c>
      <c r="B133" t="s">
        <v>42</v>
      </c>
      <c r="C133" t="s">
        <v>44</v>
      </c>
      <c r="D133" t="s">
        <v>689</v>
      </c>
      <c r="E133" t="s">
        <v>771</v>
      </c>
      <c r="F133">
        <v>6</v>
      </c>
      <c r="G133" s="308">
        <f>'BECA MEDIA'!V22</f>
        <v>11.6</v>
      </c>
      <c r="H133" s="308">
        <f>'BECA MEDIA'!W22</f>
        <v>29000</v>
      </c>
    </row>
    <row r="134" spans="1:8" x14ac:dyDescent="0.3">
      <c r="A134" t="s">
        <v>688</v>
      </c>
      <c r="B134" t="s">
        <v>42</v>
      </c>
      <c r="C134" t="s">
        <v>44</v>
      </c>
      <c r="D134" t="s">
        <v>689</v>
      </c>
      <c r="E134" t="s">
        <v>772</v>
      </c>
      <c r="F134">
        <v>7</v>
      </c>
      <c r="G134" s="308">
        <f>'BECA MEDIA'!Y22</f>
        <v>0</v>
      </c>
      <c r="H134" s="308">
        <f>'BECA MEDIA'!Z22</f>
        <v>0</v>
      </c>
    </row>
    <row r="135" spans="1:8" x14ac:dyDescent="0.3">
      <c r="A135" t="s">
        <v>688</v>
      </c>
      <c r="B135" t="s">
        <v>42</v>
      </c>
      <c r="C135" t="s">
        <v>45</v>
      </c>
      <c r="D135" t="s">
        <v>689</v>
      </c>
      <c r="E135" t="s">
        <v>766</v>
      </c>
      <c r="F135">
        <v>1</v>
      </c>
      <c r="G135" s="308">
        <f>'BECA MEDIA'!G23</f>
        <v>0</v>
      </c>
      <c r="H135" s="308">
        <f>'BECA MEDIA'!H23</f>
        <v>0</v>
      </c>
    </row>
    <row r="136" spans="1:8" x14ac:dyDescent="0.3">
      <c r="A136" t="s">
        <v>688</v>
      </c>
      <c r="B136" t="s">
        <v>42</v>
      </c>
      <c r="C136" t="s">
        <v>45</v>
      </c>
      <c r="D136" t="s">
        <v>689</v>
      </c>
      <c r="E136" t="s">
        <v>767</v>
      </c>
      <c r="F136">
        <v>2</v>
      </c>
      <c r="G136" s="308">
        <f>'BECA MEDIA'!J23</f>
        <v>0</v>
      </c>
      <c r="H136" s="308">
        <f>'BECA MEDIA'!K23</f>
        <v>0</v>
      </c>
    </row>
    <row r="137" spans="1:8" x14ac:dyDescent="0.3">
      <c r="A137" t="s">
        <v>688</v>
      </c>
      <c r="B137" t="s">
        <v>42</v>
      </c>
      <c r="C137" t="s">
        <v>45</v>
      </c>
      <c r="D137" t="s">
        <v>689</v>
      </c>
      <c r="E137" t="s">
        <v>768</v>
      </c>
      <c r="F137">
        <v>3</v>
      </c>
      <c r="G137" s="308">
        <f>'BECA MEDIA'!M23</f>
        <v>3.2</v>
      </c>
      <c r="H137" s="308">
        <f>'BECA MEDIA'!N23</f>
        <v>8000</v>
      </c>
    </row>
    <row r="138" spans="1:8" x14ac:dyDescent="0.3">
      <c r="A138" t="s">
        <v>688</v>
      </c>
      <c r="B138" t="s">
        <v>42</v>
      </c>
      <c r="C138" t="s">
        <v>45</v>
      </c>
      <c r="D138" t="s">
        <v>689</v>
      </c>
      <c r="E138" t="s">
        <v>769</v>
      </c>
      <c r="F138">
        <v>4</v>
      </c>
      <c r="G138" s="308">
        <f>'BECA MEDIA'!P23</f>
        <v>2</v>
      </c>
      <c r="H138" s="308">
        <f>'BECA MEDIA'!Q23</f>
        <v>5000</v>
      </c>
    </row>
    <row r="139" spans="1:8" x14ac:dyDescent="0.3">
      <c r="A139" t="s">
        <v>688</v>
      </c>
      <c r="B139" t="s">
        <v>42</v>
      </c>
      <c r="C139" t="s">
        <v>45</v>
      </c>
      <c r="D139" t="s">
        <v>689</v>
      </c>
      <c r="E139" t="s">
        <v>770</v>
      </c>
      <c r="F139">
        <v>5</v>
      </c>
      <c r="G139" s="308">
        <f>'BECA MEDIA'!S23</f>
        <v>0</v>
      </c>
      <c r="H139" s="308">
        <f>'BECA MEDIA'!T23</f>
        <v>0</v>
      </c>
    </row>
    <row r="140" spans="1:8" x14ac:dyDescent="0.3">
      <c r="A140" t="s">
        <v>688</v>
      </c>
      <c r="B140" t="s">
        <v>42</v>
      </c>
      <c r="C140" t="s">
        <v>45</v>
      </c>
      <c r="D140" t="s">
        <v>689</v>
      </c>
      <c r="E140" t="s">
        <v>771</v>
      </c>
      <c r="F140">
        <v>6</v>
      </c>
      <c r="G140" s="308">
        <f>'BECA MEDIA'!V23</f>
        <v>5.2</v>
      </c>
      <c r="H140" s="308">
        <f>'BECA MEDIA'!W23</f>
        <v>13000</v>
      </c>
    </row>
    <row r="141" spans="1:8" x14ac:dyDescent="0.3">
      <c r="A141" t="s">
        <v>688</v>
      </c>
      <c r="B141" t="s">
        <v>42</v>
      </c>
      <c r="C141" t="s">
        <v>45</v>
      </c>
      <c r="D141" t="s">
        <v>689</v>
      </c>
      <c r="E141" t="s">
        <v>772</v>
      </c>
      <c r="F141">
        <v>7</v>
      </c>
      <c r="G141" s="308">
        <f>'BECA MEDIA'!Y23</f>
        <v>0</v>
      </c>
      <c r="H141" s="308">
        <f>'BECA MEDIA'!Z23</f>
        <v>0</v>
      </c>
    </row>
    <row r="142" spans="1:8" x14ac:dyDescent="0.3">
      <c r="A142" t="s">
        <v>688</v>
      </c>
      <c r="B142" t="s">
        <v>42</v>
      </c>
      <c r="C142" t="s">
        <v>46</v>
      </c>
      <c r="D142" t="s">
        <v>689</v>
      </c>
      <c r="E142" t="s">
        <v>766</v>
      </c>
      <c r="F142">
        <v>1</v>
      </c>
      <c r="G142" s="308">
        <f>'BECA MEDIA'!G24</f>
        <v>0</v>
      </c>
      <c r="H142" s="308">
        <f>'BECA MEDIA'!H24</f>
        <v>0</v>
      </c>
    </row>
    <row r="143" spans="1:8" x14ac:dyDescent="0.3">
      <c r="A143" t="s">
        <v>688</v>
      </c>
      <c r="B143" t="s">
        <v>42</v>
      </c>
      <c r="C143" t="s">
        <v>46</v>
      </c>
      <c r="D143" t="s">
        <v>689</v>
      </c>
      <c r="E143" t="s">
        <v>767</v>
      </c>
      <c r="F143">
        <v>2</v>
      </c>
      <c r="G143" s="308">
        <f>'BECA MEDIA'!J24</f>
        <v>0</v>
      </c>
      <c r="H143" s="308">
        <f>'BECA MEDIA'!K24</f>
        <v>0</v>
      </c>
    </row>
    <row r="144" spans="1:8" x14ac:dyDescent="0.3">
      <c r="A144" t="s">
        <v>688</v>
      </c>
      <c r="B144" t="s">
        <v>42</v>
      </c>
      <c r="C144" t="s">
        <v>46</v>
      </c>
      <c r="D144" t="s">
        <v>689</v>
      </c>
      <c r="E144" t="s">
        <v>768</v>
      </c>
      <c r="F144">
        <v>3</v>
      </c>
      <c r="G144" s="308">
        <f>'BECA MEDIA'!M24</f>
        <v>8</v>
      </c>
      <c r="H144" s="308">
        <f>'BECA MEDIA'!N24</f>
        <v>20000</v>
      </c>
    </row>
    <row r="145" spans="1:8" x14ac:dyDescent="0.3">
      <c r="A145" t="s">
        <v>688</v>
      </c>
      <c r="B145" t="s">
        <v>42</v>
      </c>
      <c r="C145" t="s">
        <v>46</v>
      </c>
      <c r="D145" t="s">
        <v>689</v>
      </c>
      <c r="E145" t="s">
        <v>769</v>
      </c>
      <c r="F145">
        <v>4</v>
      </c>
      <c r="G145" s="308">
        <f>'BECA MEDIA'!P24</f>
        <v>2.8</v>
      </c>
      <c r="H145" s="308">
        <f>'BECA MEDIA'!Q24</f>
        <v>7000</v>
      </c>
    </row>
    <row r="146" spans="1:8" x14ac:dyDescent="0.3">
      <c r="A146" t="s">
        <v>688</v>
      </c>
      <c r="B146" t="s">
        <v>42</v>
      </c>
      <c r="C146" t="s">
        <v>46</v>
      </c>
      <c r="D146" t="s">
        <v>689</v>
      </c>
      <c r="E146" t="s">
        <v>770</v>
      </c>
      <c r="F146">
        <v>5</v>
      </c>
      <c r="G146" s="308">
        <f>'BECA MEDIA'!S24</f>
        <v>0</v>
      </c>
      <c r="H146" s="308">
        <f>'BECA MEDIA'!T24</f>
        <v>0</v>
      </c>
    </row>
    <row r="147" spans="1:8" x14ac:dyDescent="0.3">
      <c r="A147" t="s">
        <v>688</v>
      </c>
      <c r="B147" t="s">
        <v>42</v>
      </c>
      <c r="C147" t="s">
        <v>46</v>
      </c>
      <c r="D147" t="s">
        <v>689</v>
      </c>
      <c r="E147" t="s">
        <v>771</v>
      </c>
      <c r="F147">
        <v>6</v>
      </c>
      <c r="G147" s="308">
        <f>'BECA MEDIA'!V24</f>
        <v>10.4</v>
      </c>
      <c r="H147" s="308">
        <f>'BECA MEDIA'!W24</f>
        <v>26000</v>
      </c>
    </row>
    <row r="148" spans="1:8" x14ac:dyDescent="0.3">
      <c r="A148" t="s">
        <v>688</v>
      </c>
      <c r="B148" t="s">
        <v>42</v>
      </c>
      <c r="C148" t="s">
        <v>46</v>
      </c>
      <c r="D148" t="s">
        <v>689</v>
      </c>
      <c r="E148" t="s">
        <v>772</v>
      </c>
      <c r="F148">
        <v>7</v>
      </c>
      <c r="G148" s="308">
        <f>'BECA MEDIA'!Y24</f>
        <v>0</v>
      </c>
      <c r="H148" s="308">
        <f>'BECA MEDIA'!Z24</f>
        <v>0</v>
      </c>
    </row>
    <row r="149" spans="1:8" x14ac:dyDescent="0.3">
      <c r="A149" t="s">
        <v>688</v>
      </c>
      <c r="B149" t="s">
        <v>42</v>
      </c>
      <c r="C149" t="s">
        <v>47</v>
      </c>
      <c r="D149" t="s">
        <v>689</v>
      </c>
      <c r="E149" t="s">
        <v>766</v>
      </c>
      <c r="F149">
        <v>1</v>
      </c>
      <c r="G149" s="308">
        <f>'BECA MEDIA'!G25</f>
        <v>0</v>
      </c>
      <c r="H149" s="308">
        <f>'BECA MEDIA'!H25</f>
        <v>0</v>
      </c>
    </row>
    <row r="150" spans="1:8" x14ac:dyDescent="0.3">
      <c r="A150" t="s">
        <v>688</v>
      </c>
      <c r="B150" t="s">
        <v>42</v>
      </c>
      <c r="C150" t="s">
        <v>47</v>
      </c>
      <c r="D150" t="s">
        <v>689</v>
      </c>
      <c r="E150" t="s">
        <v>767</v>
      </c>
      <c r="F150">
        <v>2</v>
      </c>
      <c r="G150" s="308">
        <f>'BECA MEDIA'!J25</f>
        <v>0</v>
      </c>
      <c r="H150" s="308">
        <f>'BECA MEDIA'!K25</f>
        <v>0</v>
      </c>
    </row>
    <row r="151" spans="1:8" x14ac:dyDescent="0.3">
      <c r="A151" t="s">
        <v>688</v>
      </c>
      <c r="B151" t="s">
        <v>42</v>
      </c>
      <c r="C151" t="s">
        <v>47</v>
      </c>
      <c r="D151" t="s">
        <v>689</v>
      </c>
      <c r="E151" t="s">
        <v>768</v>
      </c>
      <c r="F151">
        <v>3</v>
      </c>
      <c r="G151" s="308">
        <f>'BECA MEDIA'!M25</f>
        <v>1.6</v>
      </c>
      <c r="H151" s="308">
        <f>'BECA MEDIA'!N25</f>
        <v>4000</v>
      </c>
    </row>
    <row r="152" spans="1:8" x14ac:dyDescent="0.3">
      <c r="A152" t="s">
        <v>688</v>
      </c>
      <c r="B152" t="s">
        <v>42</v>
      </c>
      <c r="C152" t="s">
        <v>47</v>
      </c>
      <c r="D152" t="s">
        <v>689</v>
      </c>
      <c r="E152" t="s">
        <v>769</v>
      </c>
      <c r="F152">
        <v>4</v>
      </c>
      <c r="G152" s="308">
        <f>'BECA MEDIA'!P25</f>
        <v>1.2</v>
      </c>
      <c r="H152" s="308">
        <f>'BECA MEDIA'!Q25</f>
        <v>3000</v>
      </c>
    </row>
    <row r="153" spans="1:8" x14ac:dyDescent="0.3">
      <c r="A153" t="s">
        <v>688</v>
      </c>
      <c r="B153" t="s">
        <v>42</v>
      </c>
      <c r="C153" t="s">
        <v>47</v>
      </c>
      <c r="D153" t="s">
        <v>689</v>
      </c>
      <c r="E153" t="s">
        <v>770</v>
      </c>
      <c r="F153">
        <v>5</v>
      </c>
      <c r="G153" s="308">
        <f>'BECA MEDIA'!S25</f>
        <v>0</v>
      </c>
      <c r="H153" s="308">
        <f>'BECA MEDIA'!T25</f>
        <v>0</v>
      </c>
    </row>
    <row r="154" spans="1:8" x14ac:dyDescent="0.3">
      <c r="A154" t="s">
        <v>688</v>
      </c>
      <c r="B154" t="s">
        <v>42</v>
      </c>
      <c r="C154" t="s">
        <v>47</v>
      </c>
      <c r="D154" t="s">
        <v>689</v>
      </c>
      <c r="E154" t="s">
        <v>771</v>
      </c>
      <c r="F154">
        <v>6</v>
      </c>
      <c r="G154" s="308">
        <f>'BECA MEDIA'!V25</f>
        <v>2.8</v>
      </c>
      <c r="H154" s="308">
        <f>'BECA MEDIA'!W25</f>
        <v>7000</v>
      </c>
    </row>
    <row r="155" spans="1:8" x14ac:dyDescent="0.3">
      <c r="A155" t="s">
        <v>688</v>
      </c>
      <c r="B155" t="s">
        <v>42</v>
      </c>
      <c r="C155" t="s">
        <v>47</v>
      </c>
      <c r="D155" t="s">
        <v>689</v>
      </c>
      <c r="E155" t="s">
        <v>772</v>
      </c>
      <c r="F155">
        <v>7</v>
      </c>
      <c r="G155" s="308">
        <f>'BECA MEDIA'!Y25</f>
        <v>0</v>
      </c>
      <c r="H155" s="308">
        <f>'BECA MEDIA'!Z25</f>
        <v>0</v>
      </c>
    </row>
    <row r="156" spans="1:8" x14ac:dyDescent="0.3">
      <c r="A156" t="s">
        <v>688</v>
      </c>
      <c r="B156" t="s">
        <v>42</v>
      </c>
      <c r="C156" t="s">
        <v>48</v>
      </c>
      <c r="D156" t="s">
        <v>689</v>
      </c>
      <c r="E156" t="s">
        <v>766</v>
      </c>
      <c r="F156">
        <v>1</v>
      </c>
      <c r="G156" s="308">
        <f>'BECA MEDIA'!G26</f>
        <v>0</v>
      </c>
      <c r="H156" s="308">
        <f>'BECA MEDIA'!H26</f>
        <v>0</v>
      </c>
    </row>
    <row r="157" spans="1:8" x14ac:dyDescent="0.3">
      <c r="A157" t="s">
        <v>688</v>
      </c>
      <c r="B157" t="s">
        <v>42</v>
      </c>
      <c r="C157" t="s">
        <v>48</v>
      </c>
      <c r="D157" t="s">
        <v>689</v>
      </c>
      <c r="E157" t="s">
        <v>767</v>
      </c>
      <c r="F157">
        <v>2</v>
      </c>
      <c r="G157" s="308">
        <f>'BECA MEDIA'!J26</f>
        <v>0</v>
      </c>
      <c r="H157" s="308">
        <f>'BECA MEDIA'!K26</f>
        <v>0</v>
      </c>
    </row>
    <row r="158" spans="1:8" x14ac:dyDescent="0.3">
      <c r="A158" t="s">
        <v>688</v>
      </c>
      <c r="B158" t="s">
        <v>42</v>
      </c>
      <c r="C158" t="s">
        <v>48</v>
      </c>
      <c r="D158" t="s">
        <v>689</v>
      </c>
      <c r="E158" t="s">
        <v>768</v>
      </c>
      <c r="F158">
        <v>3</v>
      </c>
      <c r="G158" s="308">
        <f>'BECA MEDIA'!M26</f>
        <v>3.6</v>
      </c>
      <c r="H158" s="308">
        <f>'BECA MEDIA'!N26</f>
        <v>9000</v>
      </c>
    </row>
    <row r="159" spans="1:8" x14ac:dyDescent="0.3">
      <c r="A159" t="s">
        <v>688</v>
      </c>
      <c r="B159" t="s">
        <v>42</v>
      </c>
      <c r="C159" t="s">
        <v>48</v>
      </c>
      <c r="D159" t="s">
        <v>689</v>
      </c>
      <c r="E159" t="s">
        <v>769</v>
      </c>
      <c r="F159">
        <v>4</v>
      </c>
      <c r="G159" s="308">
        <f>'BECA MEDIA'!P26</f>
        <v>0.8</v>
      </c>
      <c r="H159" s="308">
        <f>'BECA MEDIA'!Q26</f>
        <v>2000</v>
      </c>
    </row>
    <row r="160" spans="1:8" x14ac:dyDescent="0.3">
      <c r="A160" t="s">
        <v>688</v>
      </c>
      <c r="B160" t="s">
        <v>42</v>
      </c>
      <c r="C160" t="s">
        <v>48</v>
      </c>
      <c r="D160" t="s">
        <v>689</v>
      </c>
      <c r="E160" t="s">
        <v>770</v>
      </c>
      <c r="F160">
        <v>5</v>
      </c>
      <c r="G160" s="308">
        <f>'BECA MEDIA'!S26</f>
        <v>0</v>
      </c>
      <c r="H160" s="308">
        <f>'BECA MEDIA'!T26</f>
        <v>0</v>
      </c>
    </row>
    <row r="161" spans="1:8" x14ac:dyDescent="0.3">
      <c r="A161" t="s">
        <v>688</v>
      </c>
      <c r="B161" t="s">
        <v>42</v>
      </c>
      <c r="C161" t="s">
        <v>48</v>
      </c>
      <c r="D161" t="s">
        <v>689</v>
      </c>
      <c r="E161" t="s">
        <v>771</v>
      </c>
      <c r="F161">
        <v>6</v>
      </c>
      <c r="G161" s="308">
        <f>'BECA MEDIA'!V26</f>
        <v>4.4000000000000004</v>
      </c>
      <c r="H161" s="308">
        <f>'BECA MEDIA'!W26</f>
        <v>11000</v>
      </c>
    </row>
    <row r="162" spans="1:8" x14ac:dyDescent="0.3">
      <c r="A162" t="s">
        <v>688</v>
      </c>
      <c r="B162" t="s">
        <v>42</v>
      </c>
      <c r="C162" t="s">
        <v>48</v>
      </c>
      <c r="D162" t="s">
        <v>689</v>
      </c>
      <c r="E162" t="s">
        <v>772</v>
      </c>
      <c r="F162">
        <v>7</v>
      </c>
      <c r="G162" s="308">
        <f>'BECA MEDIA'!Y26</f>
        <v>0</v>
      </c>
      <c r="H162" s="308">
        <f>'BECA MEDIA'!Z26</f>
        <v>0</v>
      </c>
    </row>
    <row r="163" spans="1:8" x14ac:dyDescent="0.3">
      <c r="A163" t="s">
        <v>688</v>
      </c>
      <c r="B163" t="s">
        <v>42</v>
      </c>
      <c r="C163" t="s">
        <v>49</v>
      </c>
      <c r="D163" t="s">
        <v>689</v>
      </c>
      <c r="E163" t="s">
        <v>766</v>
      </c>
      <c r="F163">
        <v>1</v>
      </c>
      <c r="G163" s="308">
        <f>'BECA MEDIA'!G27</f>
        <v>0</v>
      </c>
      <c r="H163" s="308">
        <f>'BECA MEDIA'!H27</f>
        <v>0</v>
      </c>
    </row>
    <row r="164" spans="1:8" x14ac:dyDescent="0.3">
      <c r="A164" t="s">
        <v>688</v>
      </c>
      <c r="B164" t="s">
        <v>42</v>
      </c>
      <c r="C164" t="s">
        <v>49</v>
      </c>
      <c r="D164" t="s">
        <v>689</v>
      </c>
      <c r="E164" t="s">
        <v>767</v>
      </c>
      <c r="F164">
        <v>2</v>
      </c>
      <c r="G164" s="308">
        <f>'BECA MEDIA'!J27</f>
        <v>0</v>
      </c>
      <c r="H164" s="308">
        <f>'BECA MEDIA'!K27</f>
        <v>0</v>
      </c>
    </row>
    <row r="165" spans="1:8" x14ac:dyDescent="0.3">
      <c r="A165" t="s">
        <v>688</v>
      </c>
      <c r="B165" t="s">
        <v>42</v>
      </c>
      <c r="C165" t="s">
        <v>49</v>
      </c>
      <c r="D165" t="s">
        <v>689</v>
      </c>
      <c r="E165" t="s">
        <v>768</v>
      </c>
      <c r="F165">
        <v>3</v>
      </c>
      <c r="G165" s="308">
        <f>'BECA MEDIA'!M27</f>
        <v>6.8</v>
      </c>
      <c r="H165" s="308">
        <f>'BECA MEDIA'!N27</f>
        <v>17000</v>
      </c>
    </row>
    <row r="166" spans="1:8" x14ac:dyDescent="0.3">
      <c r="A166" t="s">
        <v>688</v>
      </c>
      <c r="B166" t="s">
        <v>42</v>
      </c>
      <c r="C166" t="s">
        <v>49</v>
      </c>
      <c r="D166" t="s">
        <v>689</v>
      </c>
      <c r="E166" t="s">
        <v>769</v>
      </c>
      <c r="F166">
        <v>4</v>
      </c>
      <c r="G166" s="308">
        <f>'BECA MEDIA'!P27</f>
        <v>1.6</v>
      </c>
      <c r="H166" s="308">
        <f>'BECA MEDIA'!Q27</f>
        <v>4000</v>
      </c>
    </row>
    <row r="167" spans="1:8" x14ac:dyDescent="0.3">
      <c r="A167" t="s">
        <v>688</v>
      </c>
      <c r="B167" t="s">
        <v>42</v>
      </c>
      <c r="C167" t="s">
        <v>49</v>
      </c>
      <c r="D167" t="s">
        <v>689</v>
      </c>
      <c r="E167" t="s">
        <v>770</v>
      </c>
      <c r="F167">
        <v>5</v>
      </c>
      <c r="G167" s="308">
        <f>'BECA MEDIA'!S27</f>
        <v>0</v>
      </c>
      <c r="H167" s="308">
        <f>'BECA MEDIA'!T27</f>
        <v>0</v>
      </c>
    </row>
    <row r="168" spans="1:8" x14ac:dyDescent="0.3">
      <c r="A168" t="s">
        <v>688</v>
      </c>
      <c r="B168" t="s">
        <v>42</v>
      </c>
      <c r="C168" t="s">
        <v>49</v>
      </c>
      <c r="D168" t="s">
        <v>689</v>
      </c>
      <c r="E168" t="s">
        <v>771</v>
      </c>
      <c r="F168">
        <v>6</v>
      </c>
      <c r="G168" s="308">
        <f>'BECA MEDIA'!V27</f>
        <v>8.4</v>
      </c>
      <c r="H168" s="308">
        <f>'BECA MEDIA'!W27</f>
        <v>21000</v>
      </c>
    </row>
    <row r="169" spans="1:8" x14ac:dyDescent="0.3">
      <c r="A169" t="s">
        <v>688</v>
      </c>
      <c r="B169" t="s">
        <v>42</v>
      </c>
      <c r="C169" t="s">
        <v>49</v>
      </c>
      <c r="D169" t="s">
        <v>689</v>
      </c>
      <c r="E169" t="s">
        <v>772</v>
      </c>
      <c r="F169">
        <v>7</v>
      </c>
      <c r="G169" s="308">
        <f>'BECA MEDIA'!Y27</f>
        <v>0</v>
      </c>
      <c r="H169" s="308">
        <f>'BECA MEDIA'!Z27</f>
        <v>0</v>
      </c>
    </row>
    <row r="170" spans="1:8" x14ac:dyDescent="0.3">
      <c r="A170" t="s">
        <v>688</v>
      </c>
      <c r="B170" t="s">
        <v>42</v>
      </c>
      <c r="C170" t="s">
        <v>50</v>
      </c>
      <c r="D170" t="s">
        <v>689</v>
      </c>
      <c r="E170" t="s">
        <v>766</v>
      </c>
      <c r="F170">
        <v>1</v>
      </c>
      <c r="G170" s="308">
        <f>'BECA MEDIA'!G28</f>
        <v>0</v>
      </c>
      <c r="H170" s="308">
        <f>'BECA MEDIA'!H28</f>
        <v>0</v>
      </c>
    </row>
    <row r="171" spans="1:8" x14ac:dyDescent="0.3">
      <c r="A171" t="s">
        <v>688</v>
      </c>
      <c r="B171" t="s">
        <v>42</v>
      </c>
      <c r="C171" t="s">
        <v>50</v>
      </c>
      <c r="D171" t="s">
        <v>689</v>
      </c>
      <c r="E171" t="s">
        <v>767</v>
      </c>
      <c r="F171">
        <v>2</v>
      </c>
      <c r="G171" s="308">
        <f>'BECA MEDIA'!J28</f>
        <v>0</v>
      </c>
      <c r="H171" s="308">
        <f>'BECA MEDIA'!K28</f>
        <v>0</v>
      </c>
    </row>
    <row r="172" spans="1:8" x14ac:dyDescent="0.3">
      <c r="A172" t="s">
        <v>688</v>
      </c>
      <c r="B172" t="s">
        <v>42</v>
      </c>
      <c r="C172" t="s">
        <v>50</v>
      </c>
      <c r="D172" t="s">
        <v>689</v>
      </c>
      <c r="E172" t="s">
        <v>768</v>
      </c>
      <c r="F172">
        <v>3</v>
      </c>
      <c r="G172" s="308">
        <f>'BECA MEDIA'!M28</f>
        <v>6</v>
      </c>
      <c r="H172" s="308">
        <f>'BECA MEDIA'!N28</f>
        <v>15000</v>
      </c>
    </row>
    <row r="173" spans="1:8" x14ac:dyDescent="0.3">
      <c r="A173" t="s">
        <v>688</v>
      </c>
      <c r="B173" t="s">
        <v>42</v>
      </c>
      <c r="C173" t="s">
        <v>50</v>
      </c>
      <c r="D173" t="s">
        <v>689</v>
      </c>
      <c r="E173" t="s">
        <v>769</v>
      </c>
      <c r="F173">
        <v>4</v>
      </c>
      <c r="G173" s="308">
        <f>'BECA MEDIA'!P28</f>
        <v>2.4</v>
      </c>
      <c r="H173" s="308">
        <f>'BECA MEDIA'!Q28</f>
        <v>6000</v>
      </c>
    </row>
    <row r="174" spans="1:8" x14ac:dyDescent="0.3">
      <c r="A174" t="s">
        <v>688</v>
      </c>
      <c r="B174" t="s">
        <v>42</v>
      </c>
      <c r="C174" t="s">
        <v>50</v>
      </c>
      <c r="D174" t="s">
        <v>689</v>
      </c>
      <c r="E174" t="s">
        <v>770</v>
      </c>
      <c r="F174">
        <v>5</v>
      </c>
      <c r="G174" s="308">
        <f>'BECA MEDIA'!S28</f>
        <v>0</v>
      </c>
      <c r="H174" s="308">
        <f>'BECA MEDIA'!T28</f>
        <v>0</v>
      </c>
    </row>
    <row r="175" spans="1:8" x14ac:dyDescent="0.3">
      <c r="A175" t="s">
        <v>688</v>
      </c>
      <c r="B175" t="s">
        <v>42</v>
      </c>
      <c r="C175" t="s">
        <v>50</v>
      </c>
      <c r="D175" t="s">
        <v>689</v>
      </c>
      <c r="E175" t="s">
        <v>771</v>
      </c>
      <c r="F175">
        <v>6</v>
      </c>
      <c r="G175" s="308">
        <f>'BECA MEDIA'!V28</f>
        <v>8.4</v>
      </c>
      <c r="H175" s="308">
        <f>'BECA MEDIA'!W28</f>
        <v>21000</v>
      </c>
    </row>
    <row r="176" spans="1:8" x14ac:dyDescent="0.3">
      <c r="A176" t="s">
        <v>688</v>
      </c>
      <c r="B176" t="s">
        <v>42</v>
      </c>
      <c r="C176" t="s">
        <v>50</v>
      </c>
      <c r="D176" t="s">
        <v>689</v>
      </c>
      <c r="E176" t="s">
        <v>772</v>
      </c>
      <c r="F176">
        <v>7</v>
      </c>
      <c r="G176" s="308">
        <f>'BECA MEDIA'!Y28</f>
        <v>0</v>
      </c>
      <c r="H176" s="308">
        <f>'BECA MEDIA'!Z28</f>
        <v>0</v>
      </c>
    </row>
    <row r="177" spans="1:8" x14ac:dyDescent="0.3">
      <c r="A177" t="s">
        <v>688</v>
      </c>
      <c r="B177" t="s">
        <v>51</v>
      </c>
      <c r="C177" t="s">
        <v>52</v>
      </c>
      <c r="D177" t="s">
        <v>689</v>
      </c>
      <c r="E177" t="s">
        <v>766</v>
      </c>
      <c r="F177">
        <v>1</v>
      </c>
      <c r="G177" s="308">
        <f>'BECA MEDIA'!G29</f>
        <v>0</v>
      </c>
      <c r="H177" s="308">
        <f>'BECA MEDIA'!H29</f>
        <v>0</v>
      </c>
    </row>
    <row r="178" spans="1:8" x14ac:dyDescent="0.3">
      <c r="A178" t="s">
        <v>688</v>
      </c>
      <c r="B178" t="s">
        <v>51</v>
      </c>
      <c r="C178" t="s">
        <v>52</v>
      </c>
      <c r="D178" t="s">
        <v>689</v>
      </c>
      <c r="E178" t="s">
        <v>767</v>
      </c>
      <c r="F178">
        <v>2</v>
      </c>
      <c r="G178" s="308">
        <f>'BECA MEDIA'!J29</f>
        <v>0</v>
      </c>
      <c r="H178" s="308">
        <f>'BECA MEDIA'!K29</f>
        <v>0</v>
      </c>
    </row>
    <row r="179" spans="1:8" x14ac:dyDescent="0.3">
      <c r="A179" t="s">
        <v>688</v>
      </c>
      <c r="B179" t="s">
        <v>51</v>
      </c>
      <c r="C179" t="s">
        <v>52</v>
      </c>
      <c r="D179" t="s">
        <v>689</v>
      </c>
      <c r="E179" t="s">
        <v>768</v>
      </c>
      <c r="F179">
        <v>3</v>
      </c>
      <c r="G179" s="308">
        <f>'BECA MEDIA'!M29</f>
        <v>2.4</v>
      </c>
      <c r="H179" s="308">
        <f>'BECA MEDIA'!N29</f>
        <v>6000</v>
      </c>
    </row>
    <row r="180" spans="1:8" x14ac:dyDescent="0.3">
      <c r="A180" t="s">
        <v>688</v>
      </c>
      <c r="B180" t="s">
        <v>51</v>
      </c>
      <c r="C180" t="s">
        <v>52</v>
      </c>
      <c r="D180" t="s">
        <v>689</v>
      </c>
      <c r="E180" t="s">
        <v>769</v>
      </c>
      <c r="F180">
        <v>4</v>
      </c>
      <c r="G180" s="308">
        <f>'BECA MEDIA'!P29</f>
        <v>0.8</v>
      </c>
      <c r="H180" s="308">
        <f>'BECA MEDIA'!Q29</f>
        <v>2000</v>
      </c>
    </row>
    <row r="181" spans="1:8" x14ac:dyDescent="0.3">
      <c r="A181" t="s">
        <v>688</v>
      </c>
      <c r="B181" t="s">
        <v>51</v>
      </c>
      <c r="C181" t="s">
        <v>52</v>
      </c>
      <c r="D181" t="s">
        <v>689</v>
      </c>
      <c r="E181" t="s">
        <v>770</v>
      </c>
      <c r="F181">
        <v>5</v>
      </c>
      <c r="G181" s="308">
        <f>'BECA MEDIA'!S29</f>
        <v>0</v>
      </c>
      <c r="H181" s="308">
        <f>'BECA MEDIA'!T29</f>
        <v>0</v>
      </c>
    </row>
    <row r="182" spans="1:8" x14ac:dyDescent="0.3">
      <c r="A182" t="s">
        <v>688</v>
      </c>
      <c r="B182" t="s">
        <v>51</v>
      </c>
      <c r="C182" t="s">
        <v>52</v>
      </c>
      <c r="D182" t="s">
        <v>689</v>
      </c>
      <c r="E182" t="s">
        <v>771</v>
      </c>
      <c r="F182">
        <v>6</v>
      </c>
      <c r="G182" s="308">
        <f>'BECA MEDIA'!V29</f>
        <v>3.2</v>
      </c>
      <c r="H182" s="308">
        <f>'BECA MEDIA'!W29</f>
        <v>8000</v>
      </c>
    </row>
    <row r="183" spans="1:8" x14ac:dyDescent="0.3">
      <c r="A183" t="s">
        <v>688</v>
      </c>
      <c r="B183" t="s">
        <v>51</v>
      </c>
      <c r="C183" t="s">
        <v>52</v>
      </c>
      <c r="D183" t="s">
        <v>689</v>
      </c>
      <c r="E183" t="s">
        <v>772</v>
      </c>
      <c r="F183">
        <v>7</v>
      </c>
      <c r="G183" s="308">
        <f>'BECA MEDIA'!Y29</f>
        <v>0</v>
      </c>
      <c r="H183" s="308">
        <f>'BECA MEDIA'!Z29</f>
        <v>0</v>
      </c>
    </row>
    <row r="184" spans="1:8" x14ac:dyDescent="0.3">
      <c r="A184" t="s">
        <v>688</v>
      </c>
      <c r="B184" t="s">
        <v>51</v>
      </c>
      <c r="C184" t="s">
        <v>51</v>
      </c>
      <c r="D184" t="s">
        <v>689</v>
      </c>
      <c r="E184" t="s">
        <v>766</v>
      </c>
      <c r="F184">
        <v>1</v>
      </c>
      <c r="G184" s="308">
        <f>'BECA MEDIA'!G30</f>
        <v>0</v>
      </c>
      <c r="H184" s="308">
        <f>'BECA MEDIA'!H30</f>
        <v>0</v>
      </c>
    </row>
    <row r="185" spans="1:8" x14ac:dyDescent="0.3">
      <c r="A185" t="s">
        <v>688</v>
      </c>
      <c r="B185" t="s">
        <v>51</v>
      </c>
      <c r="C185" t="s">
        <v>51</v>
      </c>
      <c r="D185" t="s">
        <v>689</v>
      </c>
      <c r="E185" t="s">
        <v>767</v>
      </c>
      <c r="F185">
        <v>2</v>
      </c>
      <c r="G185" s="308">
        <f>'BECA MEDIA'!J30</f>
        <v>0</v>
      </c>
      <c r="H185" s="308">
        <f>'BECA MEDIA'!K30</f>
        <v>0</v>
      </c>
    </row>
    <row r="186" spans="1:8" x14ac:dyDescent="0.3">
      <c r="A186" t="s">
        <v>688</v>
      </c>
      <c r="B186" t="s">
        <v>51</v>
      </c>
      <c r="C186" t="s">
        <v>51</v>
      </c>
      <c r="D186" t="s">
        <v>689</v>
      </c>
      <c r="E186" t="s">
        <v>768</v>
      </c>
      <c r="F186">
        <v>3</v>
      </c>
      <c r="G186" s="308">
        <f>'BECA MEDIA'!M30</f>
        <v>5.6</v>
      </c>
      <c r="H186" s="308">
        <f>'BECA MEDIA'!N30</f>
        <v>14000</v>
      </c>
    </row>
    <row r="187" spans="1:8" x14ac:dyDescent="0.3">
      <c r="A187" t="s">
        <v>688</v>
      </c>
      <c r="B187" t="s">
        <v>51</v>
      </c>
      <c r="C187" t="s">
        <v>51</v>
      </c>
      <c r="D187" t="s">
        <v>689</v>
      </c>
      <c r="E187" t="s">
        <v>769</v>
      </c>
      <c r="F187">
        <v>4</v>
      </c>
      <c r="G187" s="308">
        <f>'BECA MEDIA'!P30</f>
        <v>3.2</v>
      </c>
      <c r="H187" s="308">
        <f>'BECA MEDIA'!Q30</f>
        <v>8000</v>
      </c>
    </row>
    <row r="188" spans="1:8" x14ac:dyDescent="0.3">
      <c r="A188" t="s">
        <v>688</v>
      </c>
      <c r="B188" t="s">
        <v>51</v>
      </c>
      <c r="C188" t="s">
        <v>51</v>
      </c>
      <c r="D188" t="s">
        <v>689</v>
      </c>
      <c r="E188" t="s">
        <v>770</v>
      </c>
      <c r="F188">
        <v>5</v>
      </c>
      <c r="G188" s="308">
        <f>'BECA MEDIA'!S30</f>
        <v>0</v>
      </c>
      <c r="H188" s="308">
        <f>'BECA MEDIA'!T30</f>
        <v>0</v>
      </c>
    </row>
    <row r="189" spans="1:8" x14ac:dyDescent="0.3">
      <c r="A189" t="s">
        <v>688</v>
      </c>
      <c r="B189" t="s">
        <v>51</v>
      </c>
      <c r="C189" t="s">
        <v>51</v>
      </c>
      <c r="D189" t="s">
        <v>689</v>
      </c>
      <c r="E189" t="s">
        <v>771</v>
      </c>
      <c r="F189">
        <v>6</v>
      </c>
      <c r="G189" s="308">
        <f>'BECA MEDIA'!V30</f>
        <v>8.8000000000000007</v>
      </c>
      <c r="H189" s="308">
        <f>'BECA MEDIA'!W30</f>
        <v>22000</v>
      </c>
    </row>
    <row r="190" spans="1:8" x14ac:dyDescent="0.3">
      <c r="A190" t="s">
        <v>688</v>
      </c>
      <c r="B190" t="s">
        <v>51</v>
      </c>
      <c r="C190" t="s">
        <v>51</v>
      </c>
      <c r="D190" t="s">
        <v>689</v>
      </c>
      <c r="E190" t="s">
        <v>772</v>
      </c>
      <c r="F190">
        <v>7</v>
      </c>
      <c r="G190" s="308">
        <f>'BECA MEDIA'!Y30</f>
        <v>0</v>
      </c>
      <c r="H190" s="308">
        <f>'BECA MEDIA'!Z30</f>
        <v>0</v>
      </c>
    </row>
    <row r="191" spans="1:8" x14ac:dyDescent="0.3">
      <c r="A191" t="s">
        <v>688</v>
      </c>
      <c r="B191" t="s">
        <v>51</v>
      </c>
      <c r="C191" t="s">
        <v>53</v>
      </c>
      <c r="D191" t="s">
        <v>689</v>
      </c>
      <c r="E191" t="s">
        <v>766</v>
      </c>
      <c r="F191">
        <v>1</v>
      </c>
      <c r="G191" s="308">
        <f>'BECA MEDIA'!G31</f>
        <v>0</v>
      </c>
      <c r="H191" s="308">
        <f>'BECA MEDIA'!H31</f>
        <v>0</v>
      </c>
    </row>
    <row r="192" spans="1:8" x14ac:dyDescent="0.3">
      <c r="A192" t="s">
        <v>688</v>
      </c>
      <c r="B192" t="s">
        <v>51</v>
      </c>
      <c r="C192" t="s">
        <v>53</v>
      </c>
      <c r="D192" t="s">
        <v>689</v>
      </c>
      <c r="E192" t="s">
        <v>767</v>
      </c>
      <c r="F192">
        <v>2</v>
      </c>
      <c r="G192" s="308">
        <f>'BECA MEDIA'!J31</f>
        <v>0</v>
      </c>
      <c r="H192" s="308">
        <f>'BECA MEDIA'!K31</f>
        <v>0</v>
      </c>
    </row>
    <row r="193" spans="1:8" x14ac:dyDescent="0.3">
      <c r="A193" t="s">
        <v>688</v>
      </c>
      <c r="B193" t="s">
        <v>51</v>
      </c>
      <c r="C193" t="s">
        <v>53</v>
      </c>
      <c r="D193" t="s">
        <v>689</v>
      </c>
      <c r="E193" t="s">
        <v>768</v>
      </c>
      <c r="F193">
        <v>3</v>
      </c>
      <c r="G193" s="308">
        <f>'BECA MEDIA'!M31</f>
        <v>3.2</v>
      </c>
      <c r="H193" s="308">
        <f>'BECA MEDIA'!N31</f>
        <v>8000</v>
      </c>
    </row>
    <row r="194" spans="1:8" x14ac:dyDescent="0.3">
      <c r="A194" t="s">
        <v>688</v>
      </c>
      <c r="B194" t="s">
        <v>51</v>
      </c>
      <c r="C194" t="s">
        <v>53</v>
      </c>
      <c r="D194" t="s">
        <v>689</v>
      </c>
      <c r="E194" t="s">
        <v>769</v>
      </c>
      <c r="F194">
        <v>4</v>
      </c>
      <c r="G194" s="308">
        <f>'BECA MEDIA'!P31</f>
        <v>3.2</v>
      </c>
      <c r="H194" s="308">
        <f>'BECA MEDIA'!Q31</f>
        <v>8000</v>
      </c>
    </row>
    <row r="195" spans="1:8" x14ac:dyDescent="0.3">
      <c r="A195" t="s">
        <v>688</v>
      </c>
      <c r="B195" t="s">
        <v>51</v>
      </c>
      <c r="C195" t="s">
        <v>53</v>
      </c>
      <c r="D195" t="s">
        <v>689</v>
      </c>
      <c r="E195" t="s">
        <v>770</v>
      </c>
      <c r="F195">
        <v>5</v>
      </c>
      <c r="G195" s="308">
        <f>'BECA MEDIA'!S31</f>
        <v>0</v>
      </c>
      <c r="H195" s="308">
        <f>'BECA MEDIA'!T31</f>
        <v>0</v>
      </c>
    </row>
    <row r="196" spans="1:8" x14ac:dyDescent="0.3">
      <c r="A196" t="s">
        <v>688</v>
      </c>
      <c r="B196" t="s">
        <v>51</v>
      </c>
      <c r="C196" t="s">
        <v>53</v>
      </c>
      <c r="D196" t="s">
        <v>689</v>
      </c>
      <c r="E196" t="s">
        <v>771</v>
      </c>
      <c r="F196">
        <v>6</v>
      </c>
      <c r="G196" s="308">
        <f>'BECA MEDIA'!V31</f>
        <v>6.4</v>
      </c>
      <c r="H196" s="308">
        <f>'BECA MEDIA'!W31</f>
        <v>16000</v>
      </c>
    </row>
    <row r="197" spans="1:8" x14ac:dyDescent="0.3">
      <c r="A197" t="s">
        <v>688</v>
      </c>
      <c r="B197" t="s">
        <v>51</v>
      </c>
      <c r="C197" t="s">
        <v>53</v>
      </c>
      <c r="D197" t="s">
        <v>689</v>
      </c>
      <c r="E197" t="s">
        <v>772</v>
      </c>
      <c r="F197">
        <v>7</v>
      </c>
      <c r="G197" s="308">
        <f>'BECA MEDIA'!Y31</f>
        <v>0</v>
      </c>
      <c r="H197" s="308">
        <f>'BECA MEDIA'!Z31</f>
        <v>0</v>
      </c>
    </row>
    <row r="198" spans="1:8" x14ac:dyDescent="0.3">
      <c r="A198" t="s">
        <v>688</v>
      </c>
      <c r="B198" t="s">
        <v>51</v>
      </c>
      <c r="C198" t="s">
        <v>54</v>
      </c>
      <c r="D198" t="s">
        <v>689</v>
      </c>
      <c r="E198" t="s">
        <v>766</v>
      </c>
      <c r="F198">
        <v>1</v>
      </c>
      <c r="G198" s="308">
        <f>'BECA MEDIA'!G32</f>
        <v>0</v>
      </c>
      <c r="H198" s="308">
        <f>'BECA MEDIA'!H32</f>
        <v>0</v>
      </c>
    </row>
    <row r="199" spans="1:8" x14ac:dyDescent="0.3">
      <c r="A199" t="s">
        <v>688</v>
      </c>
      <c r="B199" t="s">
        <v>51</v>
      </c>
      <c r="C199" t="s">
        <v>54</v>
      </c>
      <c r="D199" t="s">
        <v>689</v>
      </c>
      <c r="E199" t="s">
        <v>767</v>
      </c>
      <c r="F199">
        <v>2</v>
      </c>
      <c r="G199" s="308">
        <f>'BECA MEDIA'!J32</f>
        <v>0</v>
      </c>
      <c r="H199" s="308">
        <f>'BECA MEDIA'!K32</f>
        <v>0</v>
      </c>
    </row>
    <row r="200" spans="1:8" x14ac:dyDescent="0.3">
      <c r="A200" t="s">
        <v>688</v>
      </c>
      <c r="B200" t="s">
        <v>51</v>
      </c>
      <c r="C200" t="s">
        <v>54</v>
      </c>
      <c r="D200" t="s">
        <v>689</v>
      </c>
      <c r="E200" t="s">
        <v>768</v>
      </c>
      <c r="F200">
        <v>3</v>
      </c>
      <c r="G200" s="308">
        <f>'BECA MEDIA'!M32</f>
        <v>5.2</v>
      </c>
      <c r="H200" s="308">
        <f>'BECA MEDIA'!N32</f>
        <v>13000</v>
      </c>
    </row>
    <row r="201" spans="1:8" x14ac:dyDescent="0.3">
      <c r="A201" t="s">
        <v>688</v>
      </c>
      <c r="B201" t="s">
        <v>51</v>
      </c>
      <c r="C201" t="s">
        <v>54</v>
      </c>
      <c r="D201" t="s">
        <v>689</v>
      </c>
      <c r="E201" t="s">
        <v>769</v>
      </c>
      <c r="F201">
        <v>4</v>
      </c>
      <c r="G201" s="308">
        <f>'BECA MEDIA'!P32</f>
        <v>1.2</v>
      </c>
      <c r="H201" s="308">
        <f>'BECA MEDIA'!Q32</f>
        <v>3000</v>
      </c>
    </row>
    <row r="202" spans="1:8" x14ac:dyDescent="0.3">
      <c r="A202" t="s">
        <v>688</v>
      </c>
      <c r="B202" t="s">
        <v>51</v>
      </c>
      <c r="C202" t="s">
        <v>54</v>
      </c>
      <c r="D202" t="s">
        <v>689</v>
      </c>
      <c r="E202" t="s">
        <v>770</v>
      </c>
      <c r="F202">
        <v>5</v>
      </c>
      <c r="G202" s="308">
        <f>'BECA MEDIA'!S32</f>
        <v>0</v>
      </c>
      <c r="H202" s="308">
        <f>'BECA MEDIA'!T32</f>
        <v>0</v>
      </c>
    </row>
    <row r="203" spans="1:8" x14ac:dyDescent="0.3">
      <c r="A203" t="s">
        <v>688</v>
      </c>
      <c r="B203" t="s">
        <v>51</v>
      </c>
      <c r="C203" t="s">
        <v>54</v>
      </c>
      <c r="D203" t="s">
        <v>689</v>
      </c>
      <c r="E203" t="s">
        <v>771</v>
      </c>
      <c r="F203">
        <v>6</v>
      </c>
      <c r="G203" s="308">
        <f>'BECA MEDIA'!V32</f>
        <v>5.6</v>
      </c>
      <c r="H203" s="308">
        <f>'BECA MEDIA'!W32</f>
        <v>14000</v>
      </c>
    </row>
    <row r="204" spans="1:8" x14ac:dyDescent="0.3">
      <c r="A204" t="s">
        <v>688</v>
      </c>
      <c r="B204" t="s">
        <v>51</v>
      </c>
      <c r="C204" t="s">
        <v>54</v>
      </c>
      <c r="D204" t="s">
        <v>689</v>
      </c>
      <c r="E204" t="s">
        <v>772</v>
      </c>
      <c r="F204">
        <v>7</v>
      </c>
      <c r="G204" s="308">
        <f>'BECA MEDIA'!Y32</f>
        <v>0</v>
      </c>
      <c r="H204" s="308">
        <f>'BECA MEDIA'!Z32</f>
        <v>0</v>
      </c>
    </row>
    <row r="205" spans="1:8" x14ac:dyDescent="0.3">
      <c r="A205" t="s">
        <v>688</v>
      </c>
      <c r="B205" t="s">
        <v>51</v>
      </c>
      <c r="C205" t="s">
        <v>55</v>
      </c>
      <c r="D205" t="s">
        <v>689</v>
      </c>
      <c r="E205" t="s">
        <v>766</v>
      </c>
      <c r="F205">
        <v>1</v>
      </c>
      <c r="G205" s="308">
        <f>'BECA MEDIA'!G33</f>
        <v>0</v>
      </c>
      <c r="H205" s="308">
        <f>'BECA MEDIA'!H33</f>
        <v>0</v>
      </c>
    </row>
    <row r="206" spans="1:8" x14ac:dyDescent="0.3">
      <c r="A206" t="s">
        <v>688</v>
      </c>
      <c r="B206" t="s">
        <v>51</v>
      </c>
      <c r="C206" t="s">
        <v>55</v>
      </c>
      <c r="D206" t="s">
        <v>689</v>
      </c>
      <c r="E206" t="s">
        <v>767</v>
      </c>
      <c r="F206">
        <v>2</v>
      </c>
      <c r="G206" s="308">
        <f>'BECA MEDIA'!J33</f>
        <v>0</v>
      </c>
      <c r="H206" s="308">
        <f>'BECA MEDIA'!K33</f>
        <v>0</v>
      </c>
    </row>
    <row r="207" spans="1:8" x14ac:dyDescent="0.3">
      <c r="A207" t="s">
        <v>688</v>
      </c>
      <c r="B207" t="s">
        <v>51</v>
      </c>
      <c r="C207" t="s">
        <v>55</v>
      </c>
      <c r="D207" t="s">
        <v>689</v>
      </c>
      <c r="E207" t="s">
        <v>768</v>
      </c>
      <c r="F207">
        <v>3</v>
      </c>
      <c r="G207" s="308">
        <f>'BECA MEDIA'!M33</f>
        <v>4</v>
      </c>
      <c r="H207" s="308">
        <f>'BECA MEDIA'!N33</f>
        <v>10000</v>
      </c>
    </row>
    <row r="208" spans="1:8" x14ac:dyDescent="0.3">
      <c r="A208" t="s">
        <v>688</v>
      </c>
      <c r="B208" t="s">
        <v>51</v>
      </c>
      <c r="C208" t="s">
        <v>55</v>
      </c>
      <c r="D208" t="s">
        <v>689</v>
      </c>
      <c r="E208" t="s">
        <v>769</v>
      </c>
      <c r="F208">
        <v>4</v>
      </c>
      <c r="G208" s="308">
        <f>'BECA MEDIA'!P33</f>
        <v>4</v>
      </c>
      <c r="H208" s="308">
        <f>'BECA MEDIA'!Q33</f>
        <v>10000</v>
      </c>
    </row>
    <row r="209" spans="1:8" x14ac:dyDescent="0.3">
      <c r="A209" t="s">
        <v>688</v>
      </c>
      <c r="B209" t="s">
        <v>51</v>
      </c>
      <c r="C209" t="s">
        <v>55</v>
      </c>
      <c r="D209" t="s">
        <v>689</v>
      </c>
      <c r="E209" t="s">
        <v>770</v>
      </c>
      <c r="F209">
        <v>5</v>
      </c>
      <c r="G209" s="308">
        <f>'BECA MEDIA'!S33</f>
        <v>0</v>
      </c>
      <c r="H209" s="308">
        <f>'BECA MEDIA'!T33</f>
        <v>0</v>
      </c>
    </row>
    <row r="210" spans="1:8" x14ac:dyDescent="0.3">
      <c r="A210" t="s">
        <v>688</v>
      </c>
      <c r="B210" t="s">
        <v>51</v>
      </c>
      <c r="C210" t="s">
        <v>55</v>
      </c>
      <c r="D210" t="s">
        <v>689</v>
      </c>
      <c r="E210" t="s">
        <v>771</v>
      </c>
      <c r="F210">
        <v>6</v>
      </c>
      <c r="G210" s="308">
        <f>'BECA MEDIA'!V33</f>
        <v>8</v>
      </c>
      <c r="H210" s="308">
        <f>'BECA MEDIA'!W33</f>
        <v>20000</v>
      </c>
    </row>
    <row r="211" spans="1:8" x14ac:dyDescent="0.3">
      <c r="A211" t="s">
        <v>688</v>
      </c>
      <c r="B211" t="s">
        <v>51</v>
      </c>
      <c r="C211" t="s">
        <v>55</v>
      </c>
      <c r="D211" t="s">
        <v>689</v>
      </c>
      <c r="E211" t="s">
        <v>772</v>
      </c>
      <c r="F211">
        <v>7</v>
      </c>
      <c r="G211" s="308">
        <f>'BECA MEDIA'!Y33</f>
        <v>0</v>
      </c>
      <c r="H211" s="308">
        <f>'BECA MEDIA'!Z33</f>
        <v>0</v>
      </c>
    </row>
    <row r="212" spans="1:8" x14ac:dyDescent="0.3">
      <c r="A212" t="s">
        <v>688</v>
      </c>
      <c r="B212" t="s">
        <v>51</v>
      </c>
      <c r="C212" t="s">
        <v>56</v>
      </c>
      <c r="D212" t="s">
        <v>689</v>
      </c>
      <c r="E212" t="s">
        <v>766</v>
      </c>
      <c r="F212">
        <v>1</v>
      </c>
      <c r="G212" s="308">
        <f>'BECA MEDIA'!G34</f>
        <v>0</v>
      </c>
      <c r="H212" s="308">
        <f>'BECA MEDIA'!H34</f>
        <v>0</v>
      </c>
    </row>
    <row r="213" spans="1:8" x14ac:dyDescent="0.3">
      <c r="A213" t="s">
        <v>688</v>
      </c>
      <c r="B213" t="s">
        <v>51</v>
      </c>
      <c r="C213" t="s">
        <v>56</v>
      </c>
      <c r="D213" t="s">
        <v>689</v>
      </c>
      <c r="E213" t="s">
        <v>767</v>
      </c>
      <c r="F213">
        <v>2</v>
      </c>
      <c r="G213" s="308">
        <f>'BECA MEDIA'!J34</f>
        <v>0</v>
      </c>
      <c r="H213" s="308">
        <f>'BECA MEDIA'!K34</f>
        <v>0</v>
      </c>
    </row>
    <row r="214" spans="1:8" x14ac:dyDescent="0.3">
      <c r="A214" t="s">
        <v>688</v>
      </c>
      <c r="B214" t="s">
        <v>51</v>
      </c>
      <c r="C214" t="s">
        <v>56</v>
      </c>
      <c r="D214" t="s">
        <v>689</v>
      </c>
      <c r="E214" t="s">
        <v>768</v>
      </c>
      <c r="F214">
        <v>3</v>
      </c>
      <c r="G214" s="308">
        <f>'BECA MEDIA'!M34</f>
        <v>3.2</v>
      </c>
      <c r="H214" s="308">
        <f>'BECA MEDIA'!N34</f>
        <v>8000</v>
      </c>
    </row>
    <row r="215" spans="1:8" x14ac:dyDescent="0.3">
      <c r="A215" t="s">
        <v>688</v>
      </c>
      <c r="B215" t="s">
        <v>51</v>
      </c>
      <c r="C215" t="s">
        <v>56</v>
      </c>
      <c r="D215" t="s">
        <v>689</v>
      </c>
      <c r="E215" t="s">
        <v>769</v>
      </c>
      <c r="F215">
        <v>4</v>
      </c>
      <c r="G215" s="308">
        <f>'BECA MEDIA'!P34</f>
        <v>1.6</v>
      </c>
      <c r="H215" s="308">
        <f>'BECA MEDIA'!Q34</f>
        <v>4000</v>
      </c>
    </row>
    <row r="216" spans="1:8" x14ac:dyDescent="0.3">
      <c r="A216" t="s">
        <v>688</v>
      </c>
      <c r="B216" t="s">
        <v>51</v>
      </c>
      <c r="C216" t="s">
        <v>56</v>
      </c>
      <c r="D216" t="s">
        <v>689</v>
      </c>
      <c r="E216" t="s">
        <v>770</v>
      </c>
      <c r="F216">
        <v>5</v>
      </c>
      <c r="G216" s="308">
        <f>'BECA MEDIA'!S34</f>
        <v>0</v>
      </c>
      <c r="H216" s="308">
        <f>'BECA MEDIA'!T34</f>
        <v>0</v>
      </c>
    </row>
    <row r="217" spans="1:8" x14ac:dyDescent="0.3">
      <c r="A217" t="s">
        <v>688</v>
      </c>
      <c r="B217" t="s">
        <v>51</v>
      </c>
      <c r="C217" t="s">
        <v>56</v>
      </c>
      <c r="D217" t="s">
        <v>689</v>
      </c>
      <c r="E217" t="s">
        <v>771</v>
      </c>
      <c r="F217">
        <v>6</v>
      </c>
      <c r="G217" s="308">
        <f>'BECA MEDIA'!V34</f>
        <v>4.8</v>
      </c>
      <c r="H217" s="308">
        <f>'BECA MEDIA'!W34</f>
        <v>12000</v>
      </c>
    </row>
    <row r="218" spans="1:8" x14ac:dyDescent="0.3">
      <c r="A218" t="s">
        <v>688</v>
      </c>
      <c r="B218" t="s">
        <v>51</v>
      </c>
      <c r="C218" t="s">
        <v>56</v>
      </c>
      <c r="D218" t="s">
        <v>689</v>
      </c>
      <c r="E218" t="s">
        <v>772</v>
      </c>
      <c r="F218">
        <v>7</v>
      </c>
      <c r="G218" s="308">
        <f>'BECA MEDIA'!Y34</f>
        <v>0</v>
      </c>
      <c r="H218" s="308">
        <f>'BECA MEDIA'!Z34</f>
        <v>0</v>
      </c>
    </row>
    <row r="219" spans="1:8" x14ac:dyDescent="0.3">
      <c r="A219" t="s">
        <v>688</v>
      </c>
      <c r="B219" t="s">
        <v>51</v>
      </c>
      <c r="C219" t="s">
        <v>57</v>
      </c>
      <c r="D219" t="s">
        <v>689</v>
      </c>
      <c r="E219" t="s">
        <v>766</v>
      </c>
      <c r="F219">
        <v>1</v>
      </c>
      <c r="G219" s="308">
        <f>'BECA MEDIA'!G35</f>
        <v>0</v>
      </c>
      <c r="H219" s="308">
        <f>'BECA MEDIA'!H35</f>
        <v>0</v>
      </c>
    </row>
    <row r="220" spans="1:8" x14ac:dyDescent="0.3">
      <c r="A220" t="s">
        <v>688</v>
      </c>
      <c r="B220" t="s">
        <v>51</v>
      </c>
      <c r="C220" t="s">
        <v>57</v>
      </c>
      <c r="D220" t="s">
        <v>689</v>
      </c>
      <c r="E220" t="s">
        <v>767</v>
      </c>
      <c r="F220">
        <v>2</v>
      </c>
      <c r="G220" s="308">
        <f>'BECA MEDIA'!J35</f>
        <v>0</v>
      </c>
      <c r="H220" s="308">
        <f>'BECA MEDIA'!K35</f>
        <v>0</v>
      </c>
    </row>
    <row r="221" spans="1:8" x14ac:dyDescent="0.3">
      <c r="A221" t="s">
        <v>688</v>
      </c>
      <c r="B221" t="s">
        <v>51</v>
      </c>
      <c r="C221" t="s">
        <v>57</v>
      </c>
      <c r="D221" t="s">
        <v>689</v>
      </c>
      <c r="E221" t="s">
        <v>768</v>
      </c>
      <c r="F221">
        <v>3</v>
      </c>
      <c r="G221" s="308">
        <f>'BECA MEDIA'!M35</f>
        <v>4</v>
      </c>
      <c r="H221" s="308">
        <f>'BECA MEDIA'!N35</f>
        <v>10000</v>
      </c>
    </row>
    <row r="222" spans="1:8" x14ac:dyDescent="0.3">
      <c r="A222" t="s">
        <v>688</v>
      </c>
      <c r="B222" t="s">
        <v>51</v>
      </c>
      <c r="C222" t="s">
        <v>57</v>
      </c>
      <c r="D222" t="s">
        <v>689</v>
      </c>
      <c r="E222" t="s">
        <v>769</v>
      </c>
      <c r="F222">
        <v>4</v>
      </c>
      <c r="G222" s="308">
        <f>'BECA MEDIA'!P35</f>
        <v>4</v>
      </c>
      <c r="H222" s="308">
        <f>'BECA MEDIA'!Q35</f>
        <v>10000</v>
      </c>
    </row>
    <row r="223" spans="1:8" x14ac:dyDescent="0.3">
      <c r="A223" t="s">
        <v>688</v>
      </c>
      <c r="B223" t="s">
        <v>51</v>
      </c>
      <c r="C223" t="s">
        <v>57</v>
      </c>
      <c r="D223" t="s">
        <v>689</v>
      </c>
      <c r="E223" t="s">
        <v>770</v>
      </c>
      <c r="F223">
        <v>5</v>
      </c>
      <c r="G223" s="308">
        <f>'BECA MEDIA'!S35</f>
        <v>0</v>
      </c>
      <c r="H223" s="308">
        <f>'BECA MEDIA'!T35</f>
        <v>0</v>
      </c>
    </row>
    <row r="224" spans="1:8" x14ac:dyDescent="0.3">
      <c r="A224" t="s">
        <v>688</v>
      </c>
      <c r="B224" t="s">
        <v>51</v>
      </c>
      <c r="C224" t="s">
        <v>57</v>
      </c>
      <c r="D224" t="s">
        <v>689</v>
      </c>
      <c r="E224" t="s">
        <v>771</v>
      </c>
      <c r="F224">
        <v>6</v>
      </c>
      <c r="G224" s="308">
        <f>'BECA MEDIA'!V35</f>
        <v>7.2</v>
      </c>
      <c r="H224" s="308">
        <f>'BECA MEDIA'!W35</f>
        <v>18000</v>
      </c>
    </row>
    <row r="225" spans="1:8" x14ac:dyDescent="0.3">
      <c r="A225" t="s">
        <v>688</v>
      </c>
      <c r="B225" t="s">
        <v>51</v>
      </c>
      <c r="C225" t="s">
        <v>57</v>
      </c>
      <c r="D225" t="s">
        <v>689</v>
      </c>
      <c r="E225" t="s">
        <v>772</v>
      </c>
      <c r="F225">
        <v>7</v>
      </c>
      <c r="G225" s="308">
        <f>'BECA MEDIA'!Y35</f>
        <v>0</v>
      </c>
      <c r="H225" s="308">
        <f>'BECA MEDIA'!Z35</f>
        <v>0</v>
      </c>
    </row>
    <row r="226" spans="1:8" x14ac:dyDescent="0.3">
      <c r="A226" t="s">
        <v>688</v>
      </c>
      <c r="B226" t="s">
        <v>51</v>
      </c>
      <c r="C226" t="s">
        <v>58</v>
      </c>
      <c r="D226" t="s">
        <v>689</v>
      </c>
      <c r="E226" t="s">
        <v>766</v>
      </c>
      <c r="F226">
        <v>1</v>
      </c>
      <c r="G226" s="308">
        <f>'BECA MEDIA'!G36</f>
        <v>0</v>
      </c>
      <c r="H226" s="308">
        <f>'BECA MEDIA'!H36</f>
        <v>0</v>
      </c>
    </row>
    <row r="227" spans="1:8" x14ac:dyDescent="0.3">
      <c r="A227" t="s">
        <v>688</v>
      </c>
      <c r="B227" t="s">
        <v>51</v>
      </c>
      <c r="C227" t="s">
        <v>58</v>
      </c>
      <c r="D227" t="s">
        <v>689</v>
      </c>
      <c r="E227" t="s">
        <v>767</v>
      </c>
      <c r="F227">
        <v>2</v>
      </c>
      <c r="G227" s="308">
        <f>'BECA MEDIA'!J36</f>
        <v>0</v>
      </c>
      <c r="H227" s="308">
        <f>'BECA MEDIA'!K36</f>
        <v>0</v>
      </c>
    </row>
    <row r="228" spans="1:8" x14ac:dyDescent="0.3">
      <c r="A228" t="s">
        <v>688</v>
      </c>
      <c r="B228" t="s">
        <v>51</v>
      </c>
      <c r="C228" t="s">
        <v>58</v>
      </c>
      <c r="D228" t="s">
        <v>689</v>
      </c>
      <c r="E228" t="s">
        <v>768</v>
      </c>
      <c r="F228">
        <v>3</v>
      </c>
      <c r="G228" s="308">
        <f>'BECA MEDIA'!M36</f>
        <v>4.8</v>
      </c>
      <c r="H228" s="308">
        <f>'BECA MEDIA'!N36</f>
        <v>12000</v>
      </c>
    </row>
    <row r="229" spans="1:8" x14ac:dyDescent="0.3">
      <c r="A229" t="s">
        <v>688</v>
      </c>
      <c r="B229" t="s">
        <v>51</v>
      </c>
      <c r="C229" t="s">
        <v>58</v>
      </c>
      <c r="D229" t="s">
        <v>689</v>
      </c>
      <c r="E229" t="s">
        <v>769</v>
      </c>
      <c r="F229">
        <v>4</v>
      </c>
      <c r="G229" s="308">
        <f>'BECA MEDIA'!P36</f>
        <v>6.4</v>
      </c>
      <c r="H229" s="308">
        <f>'BECA MEDIA'!Q36</f>
        <v>16000</v>
      </c>
    </row>
    <row r="230" spans="1:8" x14ac:dyDescent="0.3">
      <c r="A230" t="s">
        <v>688</v>
      </c>
      <c r="B230" t="s">
        <v>51</v>
      </c>
      <c r="C230" t="s">
        <v>58</v>
      </c>
      <c r="D230" t="s">
        <v>689</v>
      </c>
      <c r="E230" t="s">
        <v>770</v>
      </c>
      <c r="F230">
        <v>5</v>
      </c>
      <c r="G230" s="308">
        <f>'BECA MEDIA'!S36</f>
        <v>0</v>
      </c>
      <c r="H230" s="308">
        <f>'BECA MEDIA'!T36</f>
        <v>0</v>
      </c>
    </row>
    <row r="231" spans="1:8" x14ac:dyDescent="0.3">
      <c r="A231" t="s">
        <v>688</v>
      </c>
      <c r="B231" t="s">
        <v>51</v>
      </c>
      <c r="C231" t="s">
        <v>58</v>
      </c>
      <c r="D231" t="s">
        <v>689</v>
      </c>
      <c r="E231" t="s">
        <v>771</v>
      </c>
      <c r="F231">
        <v>6</v>
      </c>
      <c r="G231" s="308">
        <f>'BECA MEDIA'!V36</f>
        <v>9.6</v>
      </c>
      <c r="H231" s="308">
        <f>'BECA MEDIA'!W36</f>
        <v>24000</v>
      </c>
    </row>
    <row r="232" spans="1:8" x14ac:dyDescent="0.3">
      <c r="A232" t="s">
        <v>688</v>
      </c>
      <c r="B232" t="s">
        <v>51</v>
      </c>
      <c r="C232" t="s">
        <v>58</v>
      </c>
      <c r="D232" t="s">
        <v>689</v>
      </c>
      <c r="E232" t="s">
        <v>772</v>
      </c>
      <c r="F232">
        <v>7</v>
      </c>
      <c r="G232" s="308">
        <f>'BECA MEDIA'!Y36</f>
        <v>0</v>
      </c>
      <c r="H232" s="308">
        <f>'BECA MEDIA'!Z36</f>
        <v>0</v>
      </c>
    </row>
    <row r="233" spans="1:8" x14ac:dyDescent="0.3">
      <c r="A233" t="s">
        <v>688</v>
      </c>
      <c r="B233" t="s">
        <v>51</v>
      </c>
      <c r="C233" t="s">
        <v>59</v>
      </c>
      <c r="D233" t="s">
        <v>689</v>
      </c>
      <c r="E233" t="s">
        <v>766</v>
      </c>
      <c r="F233">
        <v>1</v>
      </c>
      <c r="G233" s="308">
        <f>'BECA MEDIA'!G37</f>
        <v>0</v>
      </c>
      <c r="H233" s="308">
        <f>'BECA MEDIA'!H37</f>
        <v>0</v>
      </c>
    </row>
    <row r="234" spans="1:8" x14ac:dyDescent="0.3">
      <c r="A234" t="s">
        <v>688</v>
      </c>
      <c r="B234" t="s">
        <v>51</v>
      </c>
      <c r="C234" t="s">
        <v>59</v>
      </c>
      <c r="D234" t="s">
        <v>689</v>
      </c>
      <c r="E234" t="s">
        <v>767</v>
      </c>
      <c r="F234">
        <v>2</v>
      </c>
      <c r="G234" s="308">
        <f>'BECA MEDIA'!J37</f>
        <v>0</v>
      </c>
      <c r="H234" s="308">
        <f>'BECA MEDIA'!K37</f>
        <v>0</v>
      </c>
    </row>
    <row r="235" spans="1:8" x14ac:dyDescent="0.3">
      <c r="A235" t="s">
        <v>688</v>
      </c>
      <c r="B235" t="s">
        <v>51</v>
      </c>
      <c r="C235" t="s">
        <v>59</v>
      </c>
      <c r="D235" t="s">
        <v>689</v>
      </c>
      <c r="E235" t="s">
        <v>768</v>
      </c>
      <c r="F235">
        <v>3</v>
      </c>
      <c r="G235" s="308">
        <f>'BECA MEDIA'!M37</f>
        <v>3.6</v>
      </c>
      <c r="H235" s="308">
        <f>'BECA MEDIA'!N37</f>
        <v>9000</v>
      </c>
    </row>
    <row r="236" spans="1:8" x14ac:dyDescent="0.3">
      <c r="A236" t="s">
        <v>688</v>
      </c>
      <c r="B236" t="s">
        <v>51</v>
      </c>
      <c r="C236" t="s">
        <v>59</v>
      </c>
      <c r="D236" t="s">
        <v>689</v>
      </c>
      <c r="E236" t="s">
        <v>769</v>
      </c>
      <c r="F236">
        <v>4</v>
      </c>
      <c r="G236" s="308">
        <f>'BECA MEDIA'!P37</f>
        <v>4.4000000000000004</v>
      </c>
      <c r="H236" s="308">
        <f>'BECA MEDIA'!Q37</f>
        <v>11000</v>
      </c>
    </row>
    <row r="237" spans="1:8" x14ac:dyDescent="0.3">
      <c r="A237" t="s">
        <v>688</v>
      </c>
      <c r="B237" t="s">
        <v>51</v>
      </c>
      <c r="C237" t="s">
        <v>59</v>
      </c>
      <c r="D237" t="s">
        <v>689</v>
      </c>
      <c r="E237" t="s">
        <v>770</v>
      </c>
      <c r="F237">
        <v>5</v>
      </c>
      <c r="G237" s="308">
        <f>'BECA MEDIA'!S37</f>
        <v>0</v>
      </c>
      <c r="H237" s="308">
        <f>'BECA MEDIA'!T37</f>
        <v>0</v>
      </c>
    </row>
    <row r="238" spans="1:8" x14ac:dyDescent="0.3">
      <c r="A238" t="s">
        <v>688</v>
      </c>
      <c r="B238" t="s">
        <v>51</v>
      </c>
      <c r="C238" t="s">
        <v>59</v>
      </c>
      <c r="D238" t="s">
        <v>689</v>
      </c>
      <c r="E238" t="s">
        <v>771</v>
      </c>
      <c r="F238">
        <v>6</v>
      </c>
      <c r="G238" s="308">
        <f>'BECA MEDIA'!V37</f>
        <v>7.6</v>
      </c>
      <c r="H238" s="308">
        <f>'BECA MEDIA'!W37</f>
        <v>19000</v>
      </c>
    </row>
    <row r="239" spans="1:8" x14ac:dyDescent="0.3">
      <c r="A239" t="s">
        <v>688</v>
      </c>
      <c r="B239" t="s">
        <v>51</v>
      </c>
      <c r="C239" t="s">
        <v>59</v>
      </c>
      <c r="D239" t="s">
        <v>689</v>
      </c>
      <c r="E239" t="s">
        <v>772</v>
      </c>
      <c r="F239">
        <v>7</v>
      </c>
      <c r="G239" s="308">
        <f>'BECA MEDIA'!Y37</f>
        <v>0</v>
      </c>
      <c r="H239" s="308">
        <f>'BECA MEDIA'!Z37</f>
        <v>0</v>
      </c>
    </row>
    <row r="240" spans="1:8" x14ac:dyDescent="0.3">
      <c r="A240" t="s">
        <v>688</v>
      </c>
      <c r="B240" t="s">
        <v>51</v>
      </c>
      <c r="C240" t="s">
        <v>60</v>
      </c>
      <c r="D240" t="s">
        <v>689</v>
      </c>
      <c r="E240" t="s">
        <v>766</v>
      </c>
      <c r="F240">
        <v>1</v>
      </c>
      <c r="G240" s="308">
        <f>'BECA MEDIA'!G38</f>
        <v>0</v>
      </c>
      <c r="H240" s="308">
        <f>'BECA MEDIA'!H38</f>
        <v>0</v>
      </c>
    </row>
    <row r="241" spans="1:8" x14ac:dyDescent="0.3">
      <c r="A241" t="s">
        <v>688</v>
      </c>
      <c r="B241" t="s">
        <v>51</v>
      </c>
      <c r="C241" t="s">
        <v>60</v>
      </c>
      <c r="D241" t="s">
        <v>689</v>
      </c>
      <c r="E241" t="s">
        <v>767</v>
      </c>
      <c r="F241">
        <v>2</v>
      </c>
      <c r="G241" s="308">
        <f>'BECA MEDIA'!J38</f>
        <v>0</v>
      </c>
      <c r="H241" s="308">
        <f>'BECA MEDIA'!K38</f>
        <v>0</v>
      </c>
    </row>
    <row r="242" spans="1:8" x14ac:dyDescent="0.3">
      <c r="A242" t="s">
        <v>688</v>
      </c>
      <c r="B242" t="s">
        <v>51</v>
      </c>
      <c r="C242" t="s">
        <v>60</v>
      </c>
      <c r="D242" t="s">
        <v>689</v>
      </c>
      <c r="E242" t="s">
        <v>768</v>
      </c>
      <c r="F242">
        <v>3</v>
      </c>
      <c r="G242" s="308">
        <f>'BECA MEDIA'!M38</f>
        <v>2.8</v>
      </c>
      <c r="H242" s="308">
        <f>'BECA MEDIA'!N38</f>
        <v>7000</v>
      </c>
    </row>
    <row r="243" spans="1:8" x14ac:dyDescent="0.3">
      <c r="A243" t="s">
        <v>688</v>
      </c>
      <c r="B243" t="s">
        <v>51</v>
      </c>
      <c r="C243" t="s">
        <v>60</v>
      </c>
      <c r="D243" t="s">
        <v>689</v>
      </c>
      <c r="E243" t="s">
        <v>769</v>
      </c>
      <c r="F243">
        <v>4</v>
      </c>
      <c r="G243" s="308">
        <f>'BECA MEDIA'!P38</f>
        <v>4.8</v>
      </c>
      <c r="H243" s="308">
        <f>'BECA MEDIA'!Q38</f>
        <v>12000</v>
      </c>
    </row>
    <row r="244" spans="1:8" x14ac:dyDescent="0.3">
      <c r="A244" t="s">
        <v>688</v>
      </c>
      <c r="B244" t="s">
        <v>51</v>
      </c>
      <c r="C244" t="s">
        <v>60</v>
      </c>
      <c r="D244" t="s">
        <v>689</v>
      </c>
      <c r="E244" t="s">
        <v>770</v>
      </c>
      <c r="F244">
        <v>5</v>
      </c>
      <c r="G244" s="308">
        <f>'BECA MEDIA'!S38</f>
        <v>0</v>
      </c>
      <c r="H244" s="308">
        <f>'BECA MEDIA'!T38</f>
        <v>0</v>
      </c>
    </row>
    <row r="245" spans="1:8" x14ac:dyDescent="0.3">
      <c r="A245" t="s">
        <v>688</v>
      </c>
      <c r="B245" t="s">
        <v>51</v>
      </c>
      <c r="C245" t="s">
        <v>60</v>
      </c>
      <c r="D245" t="s">
        <v>689</v>
      </c>
      <c r="E245" t="s">
        <v>771</v>
      </c>
      <c r="F245">
        <v>6</v>
      </c>
      <c r="G245" s="308">
        <f>'BECA MEDIA'!V38</f>
        <v>7.6</v>
      </c>
      <c r="H245" s="308">
        <f>'BECA MEDIA'!W38</f>
        <v>19000</v>
      </c>
    </row>
    <row r="246" spans="1:8" x14ac:dyDescent="0.3">
      <c r="A246" t="s">
        <v>688</v>
      </c>
      <c r="B246" t="s">
        <v>51</v>
      </c>
      <c r="C246" t="s">
        <v>60</v>
      </c>
      <c r="D246" t="s">
        <v>689</v>
      </c>
      <c r="E246" t="s">
        <v>772</v>
      </c>
      <c r="F246">
        <v>7</v>
      </c>
      <c r="G246" s="308">
        <f>'BECA MEDIA'!Y38</f>
        <v>0</v>
      </c>
      <c r="H246" s="308">
        <f>'BECA MEDIA'!Z38</f>
        <v>0</v>
      </c>
    </row>
    <row r="247" spans="1:8" x14ac:dyDescent="0.3">
      <c r="A247" t="s">
        <v>688</v>
      </c>
      <c r="B247" t="s">
        <v>51</v>
      </c>
      <c r="C247" t="s">
        <v>61</v>
      </c>
      <c r="D247" t="s">
        <v>689</v>
      </c>
      <c r="E247" t="s">
        <v>766</v>
      </c>
      <c r="F247">
        <v>1</v>
      </c>
      <c r="G247" s="308">
        <f>'BECA MEDIA'!G39</f>
        <v>0</v>
      </c>
      <c r="H247" s="308">
        <f>'BECA MEDIA'!H39</f>
        <v>0</v>
      </c>
    </row>
    <row r="248" spans="1:8" x14ac:dyDescent="0.3">
      <c r="A248" t="s">
        <v>688</v>
      </c>
      <c r="B248" t="s">
        <v>51</v>
      </c>
      <c r="C248" t="s">
        <v>61</v>
      </c>
      <c r="D248" t="s">
        <v>689</v>
      </c>
      <c r="E248" t="s">
        <v>767</v>
      </c>
      <c r="F248">
        <v>2</v>
      </c>
      <c r="G248" s="308">
        <f>'BECA MEDIA'!J39</f>
        <v>0</v>
      </c>
      <c r="H248" s="308">
        <f>'BECA MEDIA'!K39</f>
        <v>0</v>
      </c>
    </row>
    <row r="249" spans="1:8" x14ac:dyDescent="0.3">
      <c r="A249" t="s">
        <v>688</v>
      </c>
      <c r="B249" t="s">
        <v>51</v>
      </c>
      <c r="C249" t="s">
        <v>61</v>
      </c>
      <c r="D249" t="s">
        <v>689</v>
      </c>
      <c r="E249" t="s">
        <v>768</v>
      </c>
      <c r="F249">
        <v>3</v>
      </c>
      <c r="G249" s="308">
        <f>'BECA MEDIA'!M39</f>
        <v>2.4</v>
      </c>
      <c r="H249" s="308">
        <f>'BECA MEDIA'!N39</f>
        <v>6000</v>
      </c>
    </row>
    <row r="250" spans="1:8" x14ac:dyDescent="0.3">
      <c r="A250" t="s">
        <v>688</v>
      </c>
      <c r="B250" t="s">
        <v>51</v>
      </c>
      <c r="C250" t="s">
        <v>61</v>
      </c>
      <c r="D250" t="s">
        <v>689</v>
      </c>
      <c r="E250" t="s">
        <v>769</v>
      </c>
      <c r="F250">
        <v>4</v>
      </c>
      <c r="G250" s="308">
        <f>'BECA MEDIA'!P39</f>
        <v>0</v>
      </c>
      <c r="H250" s="308">
        <f>'BECA MEDIA'!Q39</f>
        <v>0</v>
      </c>
    </row>
    <row r="251" spans="1:8" x14ac:dyDescent="0.3">
      <c r="A251" t="s">
        <v>688</v>
      </c>
      <c r="B251" t="s">
        <v>51</v>
      </c>
      <c r="C251" t="s">
        <v>61</v>
      </c>
      <c r="D251" t="s">
        <v>689</v>
      </c>
      <c r="E251" t="s">
        <v>770</v>
      </c>
      <c r="F251">
        <v>5</v>
      </c>
      <c r="G251" s="308">
        <f>'BECA MEDIA'!S39</f>
        <v>0</v>
      </c>
      <c r="H251" s="308">
        <f>'BECA MEDIA'!T39</f>
        <v>0</v>
      </c>
    </row>
    <row r="252" spans="1:8" x14ac:dyDescent="0.3">
      <c r="A252" t="s">
        <v>688</v>
      </c>
      <c r="B252" t="s">
        <v>51</v>
      </c>
      <c r="C252" t="s">
        <v>61</v>
      </c>
      <c r="D252" t="s">
        <v>689</v>
      </c>
      <c r="E252" t="s">
        <v>771</v>
      </c>
      <c r="F252">
        <v>6</v>
      </c>
      <c r="G252" s="308">
        <f>'BECA MEDIA'!V39</f>
        <v>2.4</v>
      </c>
      <c r="H252" s="308">
        <f>'BECA MEDIA'!W39</f>
        <v>6000</v>
      </c>
    </row>
    <row r="253" spans="1:8" x14ac:dyDescent="0.3">
      <c r="A253" t="s">
        <v>688</v>
      </c>
      <c r="B253" t="s">
        <v>51</v>
      </c>
      <c r="C253" t="s">
        <v>61</v>
      </c>
      <c r="D253" t="s">
        <v>689</v>
      </c>
      <c r="E253" t="s">
        <v>772</v>
      </c>
      <c r="F253">
        <v>7</v>
      </c>
      <c r="G253" s="308">
        <f>'BECA MEDIA'!Y39</f>
        <v>0</v>
      </c>
      <c r="H253" s="308">
        <f>'BECA MEDIA'!Z39</f>
        <v>0</v>
      </c>
    </row>
    <row r="254" spans="1:8" x14ac:dyDescent="0.3">
      <c r="A254" t="s">
        <v>688</v>
      </c>
      <c r="B254" t="s">
        <v>51</v>
      </c>
      <c r="C254" t="s">
        <v>62</v>
      </c>
      <c r="D254" t="s">
        <v>689</v>
      </c>
      <c r="E254" t="s">
        <v>766</v>
      </c>
      <c r="F254">
        <v>1</v>
      </c>
      <c r="G254" s="308">
        <f>'BECA MEDIA'!G40</f>
        <v>0</v>
      </c>
      <c r="H254" s="308">
        <f>'BECA MEDIA'!H40</f>
        <v>0</v>
      </c>
    </row>
    <row r="255" spans="1:8" x14ac:dyDescent="0.3">
      <c r="A255" t="s">
        <v>688</v>
      </c>
      <c r="B255" t="s">
        <v>51</v>
      </c>
      <c r="C255" t="s">
        <v>62</v>
      </c>
      <c r="D255" t="s">
        <v>689</v>
      </c>
      <c r="E255" t="s">
        <v>767</v>
      </c>
      <c r="F255">
        <v>2</v>
      </c>
      <c r="G255" s="308">
        <f>'BECA MEDIA'!J40</f>
        <v>0</v>
      </c>
      <c r="H255" s="308">
        <f>'BECA MEDIA'!K40</f>
        <v>0</v>
      </c>
    </row>
    <row r="256" spans="1:8" x14ac:dyDescent="0.3">
      <c r="A256" t="s">
        <v>688</v>
      </c>
      <c r="B256" t="s">
        <v>51</v>
      </c>
      <c r="C256" t="s">
        <v>62</v>
      </c>
      <c r="D256" t="s">
        <v>689</v>
      </c>
      <c r="E256" t="s">
        <v>768</v>
      </c>
      <c r="F256">
        <v>3</v>
      </c>
      <c r="G256" s="308">
        <f>'BECA MEDIA'!M40</f>
        <v>5.2</v>
      </c>
      <c r="H256" s="308">
        <f>'BECA MEDIA'!N40</f>
        <v>13000</v>
      </c>
    </row>
    <row r="257" spans="1:8" x14ac:dyDescent="0.3">
      <c r="A257" t="s">
        <v>688</v>
      </c>
      <c r="B257" t="s">
        <v>51</v>
      </c>
      <c r="C257" t="s">
        <v>62</v>
      </c>
      <c r="D257" t="s">
        <v>689</v>
      </c>
      <c r="E257" t="s">
        <v>769</v>
      </c>
      <c r="F257">
        <v>4</v>
      </c>
      <c r="G257" s="308">
        <f>'BECA MEDIA'!P40</f>
        <v>0</v>
      </c>
      <c r="H257" s="308">
        <f>'BECA MEDIA'!Q40</f>
        <v>0</v>
      </c>
    </row>
    <row r="258" spans="1:8" x14ac:dyDescent="0.3">
      <c r="A258" t="s">
        <v>688</v>
      </c>
      <c r="B258" t="s">
        <v>51</v>
      </c>
      <c r="C258" t="s">
        <v>62</v>
      </c>
      <c r="D258" t="s">
        <v>689</v>
      </c>
      <c r="E258" t="s">
        <v>770</v>
      </c>
      <c r="F258">
        <v>5</v>
      </c>
      <c r="G258" s="308">
        <f>'BECA MEDIA'!S40</f>
        <v>0</v>
      </c>
      <c r="H258" s="308">
        <f>'BECA MEDIA'!T40</f>
        <v>0</v>
      </c>
    </row>
    <row r="259" spans="1:8" x14ac:dyDescent="0.3">
      <c r="A259" t="s">
        <v>688</v>
      </c>
      <c r="B259" t="s">
        <v>51</v>
      </c>
      <c r="C259" t="s">
        <v>62</v>
      </c>
      <c r="D259" t="s">
        <v>689</v>
      </c>
      <c r="E259" t="s">
        <v>771</v>
      </c>
      <c r="F259">
        <v>6</v>
      </c>
      <c r="G259" s="308">
        <f>'BECA MEDIA'!V40</f>
        <v>5.2</v>
      </c>
      <c r="H259" s="308">
        <f>'BECA MEDIA'!W40</f>
        <v>13000</v>
      </c>
    </row>
    <row r="260" spans="1:8" x14ac:dyDescent="0.3">
      <c r="A260" t="s">
        <v>688</v>
      </c>
      <c r="B260" t="s">
        <v>51</v>
      </c>
      <c r="C260" t="s">
        <v>62</v>
      </c>
      <c r="D260" t="s">
        <v>689</v>
      </c>
      <c r="E260" t="s">
        <v>772</v>
      </c>
      <c r="F260">
        <v>7</v>
      </c>
      <c r="G260" s="308">
        <f>'BECA MEDIA'!Y40</f>
        <v>0</v>
      </c>
      <c r="H260" s="308">
        <f>'BECA MEDIA'!Z40</f>
        <v>0</v>
      </c>
    </row>
    <row r="261" spans="1:8" x14ac:dyDescent="0.3">
      <c r="A261" t="s">
        <v>688</v>
      </c>
      <c r="B261" t="s">
        <v>51</v>
      </c>
      <c r="C261" t="s">
        <v>63</v>
      </c>
      <c r="D261" t="s">
        <v>689</v>
      </c>
      <c r="E261" t="s">
        <v>766</v>
      </c>
      <c r="F261">
        <v>1</v>
      </c>
      <c r="G261" s="308">
        <f>'BECA MEDIA'!G41</f>
        <v>0</v>
      </c>
      <c r="H261" s="308">
        <f>'BECA MEDIA'!H41</f>
        <v>0</v>
      </c>
    </row>
    <row r="262" spans="1:8" x14ac:dyDescent="0.3">
      <c r="A262" t="s">
        <v>688</v>
      </c>
      <c r="B262" t="s">
        <v>51</v>
      </c>
      <c r="C262" t="s">
        <v>63</v>
      </c>
      <c r="D262" t="s">
        <v>689</v>
      </c>
      <c r="E262" t="s">
        <v>767</v>
      </c>
      <c r="F262">
        <v>2</v>
      </c>
      <c r="G262" s="308">
        <f>'BECA MEDIA'!J41</f>
        <v>0</v>
      </c>
      <c r="H262" s="308">
        <f>'BECA MEDIA'!K41</f>
        <v>0</v>
      </c>
    </row>
    <row r="263" spans="1:8" x14ac:dyDescent="0.3">
      <c r="A263" t="s">
        <v>688</v>
      </c>
      <c r="B263" t="s">
        <v>51</v>
      </c>
      <c r="C263" t="s">
        <v>63</v>
      </c>
      <c r="D263" t="s">
        <v>689</v>
      </c>
      <c r="E263" t="s">
        <v>768</v>
      </c>
      <c r="F263">
        <v>3</v>
      </c>
      <c r="G263" s="308">
        <f>'BECA MEDIA'!M41</f>
        <v>4.4000000000000004</v>
      </c>
      <c r="H263" s="308">
        <f>'BECA MEDIA'!N41</f>
        <v>11000</v>
      </c>
    </row>
    <row r="264" spans="1:8" x14ac:dyDescent="0.3">
      <c r="A264" t="s">
        <v>688</v>
      </c>
      <c r="B264" t="s">
        <v>51</v>
      </c>
      <c r="C264" t="s">
        <v>63</v>
      </c>
      <c r="D264" t="s">
        <v>689</v>
      </c>
      <c r="E264" t="s">
        <v>769</v>
      </c>
      <c r="F264">
        <v>4</v>
      </c>
      <c r="G264" s="308">
        <f>'BECA MEDIA'!P41</f>
        <v>1.6</v>
      </c>
      <c r="H264" s="308">
        <f>'BECA MEDIA'!Q41</f>
        <v>4000</v>
      </c>
    </row>
    <row r="265" spans="1:8" x14ac:dyDescent="0.3">
      <c r="A265" t="s">
        <v>688</v>
      </c>
      <c r="B265" t="s">
        <v>51</v>
      </c>
      <c r="C265" t="s">
        <v>63</v>
      </c>
      <c r="D265" t="s">
        <v>689</v>
      </c>
      <c r="E265" t="s">
        <v>770</v>
      </c>
      <c r="F265">
        <v>5</v>
      </c>
      <c r="G265" s="308">
        <f>'BECA MEDIA'!S41</f>
        <v>0</v>
      </c>
      <c r="H265" s="308">
        <f>'BECA MEDIA'!T41</f>
        <v>0</v>
      </c>
    </row>
    <row r="266" spans="1:8" x14ac:dyDescent="0.3">
      <c r="A266" t="s">
        <v>688</v>
      </c>
      <c r="B266" t="s">
        <v>51</v>
      </c>
      <c r="C266" t="s">
        <v>63</v>
      </c>
      <c r="D266" t="s">
        <v>689</v>
      </c>
      <c r="E266" t="s">
        <v>771</v>
      </c>
      <c r="F266">
        <v>6</v>
      </c>
      <c r="G266" s="308">
        <f>'BECA MEDIA'!V41</f>
        <v>6</v>
      </c>
      <c r="H266" s="308">
        <f>'BECA MEDIA'!W41</f>
        <v>15000</v>
      </c>
    </row>
    <row r="267" spans="1:8" x14ac:dyDescent="0.3">
      <c r="A267" t="s">
        <v>688</v>
      </c>
      <c r="B267" t="s">
        <v>51</v>
      </c>
      <c r="C267" t="s">
        <v>63</v>
      </c>
      <c r="D267" t="s">
        <v>689</v>
      </c>
      <c r="E267" t="s">
        <v>772</v>
      </c>
      <c r="F267">
        <v>7</v>
      </c>
      <c r="G267" s="308">
        <f>'BECA MEDIA'!Y41</f>
        <v>0</v>
      </c>
      <c r="H267" s="308">
        <f>'BECA MEDIA'!Z41</f>
        <v>0</v>
      </c>
    </row>
    <row r="268" spans="1:8" x14ac:dyDescent="0.3">
      <c r="A268" t="s">
        <v>688</v>
      </c>
      <c r="B268" t="s">
        <v>51</v>
      </c>
      <c r="C268" t="s">
        <v>64</v>
      </c>
      <c r="D268" t="s">
        <v>689</v>
      </c>
      <c r="E268" t="s">
        <v>766</v>
      </c>
      <c r="F268">
        <v>1</v>
      </c>
      <c r="G268" s="308">
        <f>'BECA MEDIA'!G42</f>
        <v>0</v>
      </c>
      <c r="H268" s="308">
        <f>'BECA MEDIA'!H42</f>
        <v>0</v>
      </c>
    </row>
    <row r="269" spans="1:8" x14ac:dyDescent="0.3">
      <c r="A269" t="s">
        <v>688</v>
      </c>
      <c r="B269" t="s">
        <v>51</v>
      </c>
      <c r="C269" t="s">
        <v>64</v>
      </c>
      <c r="D269" t="s">
        <v>689</v>
      </c>
      <c r="E269" t="s">
        <v>767</v>
      </c>
      <c r="F269">
        <v>2</v>
      </c>
      <c r="G269" s="308">
        <f>'BECA MEDIA'!J42</f>
        <v>0</v>
      </c>
      <c r="H269" s="308">
        <f>'BECA MEDIA'!K42</f>
        <v>0</v>
      </c>
    </row>
    <row r="270" spans="1:8" x14ac:dyDescent="0.3">
      <c r="A270" t="s">
        <v>688</v>
      </c>
      <c r="B270" t="s">
        <v>51</v>
      </c>
      <c r="C270" t="s">
        <v>64</v>
      </c>
      <c r="D270" t="s">
        <v>689</v>
      </c>
      <c r="E270" t="s">
        <v>768</v>
      </c>
      <c r="F270">
        <v>3</v>
      </c>
      <c r="G270" s="308">
        <f>'BECA MEDIA'!M42</f>
        <v>3.2</v>
      </c>
      <c r="H270" s="308">
        <f>'BECA MEDIA'!N42</f>
        <v>8000</v>
      </c>
    </row>
    <row r="271" spans="1:8" x14ac:dyDescent="0.3">
      <c r="A271" t="s">
        <v>688</v>
      </c>
      <c r="B271" t="s">
        <v>51</v>
      </c>
      <c r="C271" t="s">
        <v>64</v>
      </c>
      <c r="D271" t="s">
        <v>689</v>
      </c>
      <c r="E271" t="s">
        <v>769</v>
      </c>
      <c r="F271">
        <v>4</v>
      </c>
      <c r="G271" s="308">
        <f>'BECA MEDIA'!P42</f>
        <v>1.6</v>
      </c>
      <c r="H271" s="308">
        <f>'BECA MEDIA'!Q42</f>
        <v>4000</v>
      </c>
    </row>
    <row r="272" spans="1:8" x14ac:dyDescent="0.3">
      <c r="A272" t="s">
        <v>688</v>
      </c>
      <c r="B272" t="s">
        <v>51</v>
      </c>
      <c r="C272" t="s">
        <v>64</v>
      </c>
      <c r="D272" t="s">
        <v>689</v>
      </c>
      <c r="E272" t="s">
        <v>770</v>
      </c>
      <c r="F272">
        <v>5</v>
      </c>
      <c r="G272" s="308">
        <f>'BECA MEDIA'!S42</f>
        <v>0</v>
      </c>
      <c r="H272" s="308">
        <f>'BECA MEDIA'!T42</f>
        <v>0</v>
      </c>
    </row>
    <row r="273" spans="1:8" x14ac:dyDescent="0.3">
      <c r="A273" t="s">
        <v>688</v>
      </c>
      <c r="B273" t="s">
        <v>51</v>
      </c>
      <c r="C273" t="s">
        <v>64</v>
      </c>
      <c r="D273" t="s">
        <v>689</v>
      </c>
      <c r="E273" t="s">
        <v>771</v>
      </c>
      <c r="F273">
        <v>6</v>
      </c>
      <c r="G273" s="308">
        <f>'BECA MEDIA'!V42</f>
        <v>4.4000000000000004</v>
      </c>
      <c r="H273" s="308">
        <f>'BECA MEDIA'!W42</f>
        <v>11000</v>
      </c>
    </row>
    <row r="274" spans="1:8" x14ac:dyDescent="0.3">
      <c r="A274" t="s">
        <v>688</v>
      </c>
      <c r="B274" t="s">
        <v>51</v>
      </c>
      <c r="C274" t="s">
        <v>64</v>
      </c>
      <c r="D274" t="s">
        <v>689</v>
      </c>
      <c r="E274" t="s">
        <v>772</v>
      </c>
      <c r="F274">
        <v>7</v>
      </c>
      <c r="G274" s="308">
        <f>'BECA MEDIA'!Y42</f>
        <v>0</v>
      </c>
      <c r="H274" s="308">
        <f>'BECA MEDIA'!Z42</f>
        <v>0</v>
      </c>
    </row>
    <row r="275" spans="1:8" x14ac:dyDescent="0.3">
      <c r="A275" t="s">
        <v>688</v>
      </c>
      <c r="B275" t="s">
        <v>51</v>
      </c>
      <c r="C275" t="s">
        <v>65</v>
      </c>
      <c r="D275" t="s">
        <v>689</v>
      </c>
      <c r="E275" t="s">
        <v>766</v>
      </c>
      <c r="F275">
        <v>1</v>
      </c>
      <c r="G275" s="308">
        <f>'BECA MEDIA'!G43</f>
        <v>0</v>
      </c>
      <c r="H275" s="308">
        <f>'BECA MEDIA'!H43</f>
        <v>0</v>
      </c>
    </row>
    <row r="276" spans="1:8" x14ac:dyDescent="0.3">
      <c r="A276" t="s">
        <v>688</v>
      </c>
      <c r="B276" t="s">
        <v>51</v>
      </c>
      <c r="C276" t="s">
        <v>65</v>
      </c>
      <c r="D276" t="s">
        <v>689</v>
      </c>
      <c r="E276" t="s">
        <v>767</v>
      </c>
      <c r="F276">
        <v>2</v>
      </c>
      <c r="G276" s="308">
        <f>'BECA MEDIA'!J43</f>
        <v>0</v>
      </c>
      <c r="H276" s="308">
        <f>'BECA MEDIA'!K43</f>
        <v>0</v>
      </c>
    </row>
    <row r="277" spans="1:8" x14ac:dyDescent="0.3">
      <c r="A277" t="s">
        <v>688</v>
      </c>
      <c r="B277" t="s">
        <v>51</v>
      </c>
      <c r="C277" t="s">
        <v>65</v>
      </c>
      <c r="D277" t="s">
        <v>689</v>
      </c>
      <c r="E277" t="s">
        <v>768</v>
      </c>
      <c r="F277">
        <v>3</v>
      </c>
      <c r="G277" s="308">
        <f>'BECA MEDIA'!M43</f>
        <v>5.2</v>
      </c>
      <c r="H277" s="308">
        <f>'BECA MEDIA'!N43</f>
        <v>13000</v>
      </c>
    </row>
    <row r="278" spans="1:8" x14ac:dyDescent="0.3">
      <c r="A278" t="s">
        <v>688</v>
      </c>
      <c r="B278" t="s">
        <v>51</v>
      </c>
      <c r="C278" t="s">
        <v>65</v>
      </c>
      <c r="D278" t="s">
        <v>689</v>
      </c>
      <c r="E278" t="s">
        <v>769</v>
      </c>
      <c r="F278">
        <v>4</v>
      </c>
      <c r="G278" s="308">
        <f>'BECA MEDIA'!P43</f>
        <v>1.6</v>
      </c>
      <c r="H278" s="308">
        <f>'BECA MEDIA'!Q43</f>
        <v>4000</v>
      </c>
    </row>
    <row r="279" spans="1:8" x14ac:dyDescent="0.3">
      <c r="A279" t="s">
        <v>688</v>
      </c>
      <c r="B279" t="s">
        <v>51</v>
      </c>
      <c r="C279" t="s">
        <v>65</v>
      </c>
      <c r="D279" t="s">
        <v>689</v>
      </c>
      <c r="E279" t="s">
        <v>770</v>
      </c>
      <c r="F279">
        <v>5</v>
      </c>
      <c r="G279" s="308">
        <f>'BECA MEDIA'!S43</f>
        <v>0</v>
      </c>
      <c r="H279" s="308">
        <f>'BECA MEDIA'!T43</f>
        <v>0</v>
      </c>
    </row>
    <row r="280" spans="1:8" x14ac:dyDescent="0.3">
      <c r="A280" t="s">
        <v>688</v>
      </c>
      <c r="B280" t="s">
        <v>51</v>
      </c>
      <c r="C280" t="s">
        <v>65</v>
      </c>
      <c r="D280" t="s">
        <v>689</v>
      </c>
      <c r="E280" t="s">
        <v>771</v>
      </c>
      <c r="F280">
        <v>6</v>
      </c>
      <c r="G280" s="308">
        <f>'BECA MEDIA'!V43</f>
        <v>6.8</v>
      </c>
      <c r="H280" s="308">
        <f>'BECA MEDIA'!W43</f>
        <v>17000</v>
      </c>
    </row>
    <row r="281" spans="1:8" x14ac:dyDescent="0.3">
      <c r="A281" t="s">
        <v>688</v>
      </c>
      <c r="B281" t="s">
        <v>51</v>
      </c>
      <c r="C281" t="s">
        <v>65</v>
      </c>
      <c r="D281" t="s">
        <v>689</v>
      </c>
      <c r="E281" t="s">
        <v>772</v>
      </c>
      <c r="F281">
        <v>7</v>
      </c>
      <c r="G281" s="308">
        <f>'BECA MEDIA'!Y43</f>
        <v>0</v>
      </c>
      <c r="H281" s="308">
        <f>'BECA MEDIA'!Z43</f>
        <v>0</v>
      </c>
    </row>
    <row r="282" spans="1:8" x14ac:dyDescent="0.3">
      <c r="A282" t="s">
        <v>688</v>
      </c>
      <c r="B282" t="s">
        <v>51</v>
      </c>
      <c r="C282" t="s">
        <v>66</v>
      </c>
      <c r="D282" t="s">
        <v>689</v>
      </c>
      <c r="E282" t="s">
        <v>766</v>
      </c>
      <c r="F282">
        <v>1</v>
      </c>
      <c r="G282" s="308">
        <f>'BECA MEDIA'!G44</f>
        <v>0</v>
      </c>
      <c r="H282" s="308">
        <f>'BECA MEDIA'!H44</f>
        <v>0</v>
      </c>
    </row>
    <row r="283" spans="1:8" x14ac:dyDescent="0.3">
      <c r="A283" t="s">
        <v>688</v>
      </c>
      <c r="B283" t="s">
        <v>51</v>
      </c>
      <c r="C283" t="s">
        <v>66</v>
      </c>
      <c r="D283" t="s">
        <v>689</v>
      </c>
      <c r="E283" t="s">
        <v>767</v>
      </c>
      <c r="F283">
        <v>2</v>
      </c>
      <c r="G283" s="308">
        <f>'BECA MEDIA'!J44</f>
        <v>0</v>
      </c>
      <c r="H283" s="308">
        <f>'BECA MEDIA'!K44</f>
        <v>0</v>
      </c>
    </row>
    <row r="284" spans="1:8" x14ac:dyDescent="0.3">
      <c r="A284" t="s">
        <v>688</v>
      </c>
      <c r="B284" t="s">
        <v>51</v>
      </c>
      <c r="C284" t="s">
        <v>66</v>
      </c>
      <c r="D284" t="s">
        <v>689</v>
      </c>
      <c r="E284" t="s">
        <v>768</v>
      </c>
      <c r="F284">
        <v>3</v>
      </c>
      <c r="G284" s="308">
        <f>'BECA MEDIA'!M44</f>
        <v>2.4</v>
      </c>
      <c r="H284" s="308">
        <f>'BECA MEDIA'!N44</f>
        <v>6000</v>
      </c>
    </row>
    <row r="285" spans="1:8" x14ac:dyDescent="0.3">
      <c r="A285" t="s">
        <v>688</v>
      </c>
      <c r="B285" t="s">
        <v>51</v>
      </c>
      <c r="C285" t="s">
        <v>66</v>
      </c>
      <c r="D285" t="s">
        <v>689</v>
      </c>
      <c r="E285" t="s">
        <v>769</v>
      </c>
      <c r="F285">
        <v>4</v>
      </c>
      <c r="G285" s="308">
        <f>'BECA MEDIA'!P44</f>
        <v>1.6</v>
      </c>
      <c r="H285" s="308">
        <f>'BECA MEDIA'!Q44</f>
        <v>4000</v>
      </c>
    </row>
    <row r="286" spans="1:8" x14ac:dyDescent="0.3">
      <c r="A286" t="s">
        <v>688</v>
      </c>
      <c r="B286" t="s">
        <v>51</v>
      </c>
      <c r="C286" t="s">
        <v>66</v>
      </c>
      <c r="D286" t="s">
        <v>689</v>
      </c>
      <c r="E286" t="s">
        <v>770</v>
      </c>
      <c r="F286">
        <v>5</v>
      </c>
      <c r="G286" s="308">
        <f>'BECA MEDIA'!S44</f>
        <v>0</v>
      </c>
      <c r="H286" s="308">
        <f>'BECA MEDIA'!T44</f>
        <v>0</v>
      </c>
    </row>
    <row r="287" spans="1:8" x14ac:dyDescent="0.3">
      <c r="A287" t="s">
        <v>688</v>
      </c>
      <c r="B287" t="s">
        <v>51</v>
      </c>
      <c r="C287" t="s">
        <v>66</v>
      </c>
      <c r="D287" t="s">
        <v>689</v>
      </c>
      <c r="E287" t="s">
        <v>771</v>
      </c>
      <c r="F287">
        <v>6</v>
      </c>
      <c r="G287" s="308">
        <f>'BECA MEDIA'!V44</f>
        <v>4</v>
      </c>
      <c r="H287" s="308">
        <f>'BECA MEDIA'!W44</f>
        <v>10000</v>
      </c>
    </row>
    <row r="288" spans="1:8" x14ac:dyDescent="0.3">
      <c r="A288" t="s">
        <v>688</v>
      </c>
      <c r="B288" t="s">
        <v>51</v>
      </c>
      <c r="C288" t="s">
        <v>66</v>
      </c>
      <c r="D288" t="s">
        <v>689</v>
      </c>
      <c r="E288" t="s">
        <v>772</v>
      </c>
      <c r="F288">
        <v>7</v>
      </c>
      <c r="G288" s="308">
        <f>'BECA MEDIA'!Y44</f>
        <v>0</v>
      </c>
      <c r="H288" s="308">
        <f>'BECA MEDIA'!Z44</f>
        <v>0</v>
      </c>
    </row>
    <row r="289" spans="1:8" x14ac:dyDescent="0.3">
      <c r="A289" t="s">
        <v>688</v>
      </c>
      <c r="B289" t="s">
        <v>67</v>
      </c>
      <c r="C289" t="s">
        <v>68</v>
      </c>
      <c r="D289" t="s">
        <v>689</v>
      </c>
      <c r="E289" t="s">
        <v>766</v>
      </c>
      <c r="F289">
        <v>1</v>
      </c>
      <c r="G289" s="308">
        <f>'BECA MEDIA'!G45</f>
        <v>0</v>
      </c>
      <c r="H289" s="308">
        <f>'BECA MEDIA'!H45</f>
        <v>0</v>
      </c>
    </row>
    <row r="290" spans="1:8" x14ac:dyDescent="0.3">
      <c r="A290" t="s">
        <v>688</v>
      </c>
      <c r="B290" t="s">
        <v>67</v>
      </c>
      <c r="C290" t="s">
        <v>68</v>
      </c>
      <c r="D290" t="s">
        <v>689</v>
      </c>
      <c r="E290" t="s">
        <v>767</v>
      </c>
      <c r="F290">
        <v>2</v>
      </c>
      <c r="G290" s="308">
        <f>'BECA MEDIA'!J45</f>
        <v>0</v>
      </c>
      <c r="H290" s="308">
        <f>'BECA MEDIA'!K45</f>
        <v>0</v>
      </c>
    </row>
    <row r="291" spans="1:8" x14ac:dyDescent="0.3">
      <c r="A291" t="s">
        <v>688</v>
      </c>
      <c r="B291" t="s">
        <v>67</v>
      </c>
      <c r="C291" t="s">
        <v>68</v>
      </c>
      <c r="D291" t="s">
        <v>689</v>
      </c>
      <c r="E291" t="s">
        <v>768</v>
      </c>
      <c r="F291">
        <v>3</v>
      </c>
      <c r="G291" s="308">
        <f>'BECA MEDIA'!M45</f>
        <v>15.2</v>
      </c>
      <c r="H291" s="308">
        <f>'BECA MEDIA'!N45</f>
        <v>38000</v>
      </c>
    </row>
    <row r="292" spans="1:8" x14ac:dyDescent="0.3">
      <c r="A292" t="s">
        <v>688</v>
      </c>
      <c r="B292" t="s">
        <v>67</v>
      </c>
      <c r="C292" t="s">
        <v>68</v>
      </c>
      <c r="D292" t="s">
        <v>689</v>
      </c>
      <c r="E292" t="s">
        <v>769</v>
      </c>
      <c r="F292">
        <v>4</v>
      </c>
      <c r="G292" s="308">
        <f>'BECA MEDIA'!P45</f>
        <v>2</v>
      </c>
      <c r="H292" s="308">
        <f>'BECA MEDIA'!Q45</f>
        <v>5000</v>
      </c>
    </row>
    <row r="293" spans="1:8" x14ac:dyDescent="0.3">
      <c r="A293" t="s">
        <v>688</v>
      </c>
      <c r="B293" t="s">
        <v>67</v>
      </c>
      <c r="C293" t="s">
        <v>68</v>
      </c>
      <c r="D293" t="s">
        <v>689</v>
      </c>
      <c r="E293" t="s">
        <v>770</v>
      </c>
      <c r="F293">
        <v>5</v>
      </c>
      <c r="G293" s="308">
        <f>'BECA MEDIA'!S45</f>
        <v>0</v>
      </c>
      <c r="H293" s="308">
        <f>'BECA MEDIA'!T45</f>
        <v>0</v>
      </c>
    </row>
    <row r="294" spans="1:8" x14ac:dyDescent="0.3">
      <c r="A294" t="s">
        <v>688</v>
      </c>
      <c r="B294" t="s">
        <v>67</v>
      </c>
      <c r="C294" t="s">
        <v>68</v>
      </c>
      <c r="D294" t="s">
        <v>689</v>
      </c>
      <c r="E294" t="s">
        <v>771</v>
      </c>
      <c r="F294">
        <v>6</v>
      </c>
      <c r="G294" s="308">
        <f>'BECA MEDIA'!V45</f>
        <v>16.8</v>
      </c>
      <c r="H294" s="308">
        <f>'BECA MEDIA'!W45</f>
        <v>42000</v>
      </c>
    </row>
    <row r="295" spans="1:8" x14ac:dyDescent="0.3">
      <c r="A295" t="s">
        <v>688</v>
      </c>
      <c r="B295" t="s">
        <v>67</v>
      </c>
      <c r="C295" t="s">
        <v>68</v>
      </c>
      <c r="D295" t="s">
        <v>689</v>
      </c>
      <c r="E295" t="s">
        <v>772</v>
      </c>
      <c r="F295">
        <v>7</v>
      </c>
      <c r="G295" s="308">
        <f>'BECA MEDIA'!Y45</f>
        <v>0</v>
      </c>
      <c r="H295" s="308">
        <f>'BECA MEDIA'!Z45</f>
        <v>0</v>
      </c>
    </row>
    <row r="296" spans="1:8" x14ac:dyDescent="0.3">
      <c r="A296" t="s">
        <v>688</v>
      </c>
      <c r="B296" t="s">
        <v>67</v>
      </c>
      <c r="C296" t="s">
        <v>67</v>
      </c>
      <c r="D296" t="s">
        <v>689</v>
      </c>
      <c r="E296" t="s">
        <v>766</v>
      </c>
      <c r="F296">
        <v>1</v>
      </c>
      <c r="G296" s="308">
        <f>'BECA MEDIA'!G46</f>
        <v>0</v>
      </c>
      <c r="H296" s="308">
        <f>'BECA MEDIA'!H46</f>
        <v>0</v>
      </c>
    </row>
    <row r="297" spans="1:8" x14ac:dyDescent="0.3">
      <c r="A297" t="s">
        <v>688</v>
      </c>
      <c r="B297" t="s">
        <v>67</v>
      </c>
      <c r="C297" t="s">
        <v>67</v>
      </c>
      <c r="D297" t="s">
        <v>689</v>
      </c>
      <c r="E297" t="s">
        <v>767</v>
      </c>
      <c r="F297">
        <v>2</v>
      </c>
      <c r="G297" s="308">
        <f>'BECA MEDIA'!J46</f>
        <v>0</v>
      </c>
      <c r="H297" s="308">
        <f>'BECA MEDIA'!K46</f>
        <v>0</v>
      </c>
    </row>
    <row r="298" spans="1:8" x14ac:dyDescent="0.3">
      <c r="A298" t="s">
        <v>688</v>
      </c>
      <c r="B298" t="s">
        <v>67</v>
      </c>
      <c r="C298" t="s">
        <v>67</v>
      </c>
      <c r="D298" t="s">
        <v>689</v>
      </c>
      <c r="E298" t="s">
        <v>768</v>
      </c>
      <c r="F298">
        <v>3</v>
      </c>
      <c r="G298" s="308">
        <f>'BECA MEDIA'!M46</f>
        <v>11.6</v>
      </c>
      <c r="H298" s="308">
        <f>'BECA MEDIA'!N46</f>
        <v>29000</v>
      </c>
    </row>
    <row r="299" spans="1:8" x14ac:dyDescent="0.3">
      <c r="A299" t="s">
        <v>688</v>
      </c>
      <c r="B299" t="s">
        <v>67</v>
      </c>
      <c r="C299" t="s">
        <v>67</v>
      </c>
      <c r="D299" t="s">
        <v>689</v>
      </c>
      <c r="E299" t="s">
        <v>769</v>
      </c>
      <c r="F299">
        <v>4</v>
      </c>
      <c r="G299" s="308">
        <f>'BECA MEDIA'!P46</f>
        <v>6.8</v>
      </c>
      <c r="H299" s="308">
        <f>'BECA MEDIA'!Q46</f>
        <v>17000</v>
      </c>
    </row>
    <row r="300" spans="1:8" x14ac:dyDescent="0.3">
      <c r="A300" t="s">
        <v>688</v>
      </c>
      <c r="B300" t="s">
        <v>67</v>
      </c>
      <c r="C300" t="s">
        <v>67</v>
      </c>
      <c r="D300" t="s">
        <v>689</v>
      </c>
      <c r="E300" t="s">
        <v>770</v>
      </c>
      <c r="F300">
        <v>5</v>
      </c>
      <c r="G300" s="308">
        <f>'BECA MEDIA'!S46</f>
        <v>0</v>
      </c>
      <c r="H300" s="308">
        <f>'BECA MEDIA'!T46</f>
        <v>0</v>
      </c>
    </row>
    <row r="301" spans="1:8" x14ac:dyDescent="0.3">
      <c r="A301" t="s">
        <v>688</v>
      </c>
      <c r="B301" t="s">
        <v>67</v>
      </c>
      <c r="C301" t="s">
        <v>67</v>
      </c>
      <c r="D301" t="s">
        <v>689</v>
      </c>
      <c r="E301" t="s">
        <v>771</v>
      </c>
      <c r="F301">
        <v>6</v>
      </c>
      <c r="G301" s="308">
        <f>'BECA MEDIA'!V46</f>
        <v>18.8</v>
      </c>
      <c r="H301" s="308">
        <f>'BECA MEDIA'!W46</f>
        <v>47000</v>
      </c>
    </row>
    <row r="302" spans="1:8" x14ac:dyDescent="0.3">
      <c r="A302" t="s">
        <v>688</v>
      </c>
      <c r="B302" t="s">
        <v>67</v>
      </c>
      <c r="C302" t="s">
        <v>67</v>
      </c>
      <c r="D302" t="s">
        <v>689</v>
      </c>
      <c r="E302" t="s">
        <v>772</v>
      </c>
      <c r="F302">
        <v>7</v>
      </c>
      <c r="G302" s="308">
        <f>'BECA MEDIA'!Y46</f>
        <v>0</v>
      </c>
      <c r="H302" s="308">
        <f>'BECA MEDIA'!Z46</f>
        <v>0</v>
      </c>
    </row>
    <row r="303" spans="1:8" x14ac:dyDescent="0.3">
      <c r="A303" t="s">
        <v>688</v>
      </c>
      <c r="B303" t="s">
        <v>67</v>
      </c>
      <c r="C303" t="s">
        <v>69</v>
      </c>
      <c r="D303" t="s">
        <v>689</v>
      </c>
      <c r="E303" t="s">
        <v>766</v>
      </c>
      <c r="F303">
        <v>1</v>
      </c>
      <c r="G303" s="308">
        <f>'BECA MEDIA'!G47</f>
        <v>0</v>
      </c>
      <c r="H303" s="308">
        <f>'BECA MEDIA'!H47</f>
        <v>0</v>
      </c>
    </row>
    <row r="304" spans="1:8" x14ac:dyDescent="0.3">
      <c r="A304" t="s">
        <v>688</v>
      </c>
      <c r="B304" t="s">
        <v>67</v>
      </c>
      <c r="C304" t="s">
        <v>69</v>
      </c>
      <c r="D304" t="s">
        <v>689</v>
      </c>
      <c r="E304" t="s">
        <v>767</v>
      </c>
      <c r="F304">
        <v>2</v>
      </c>
      <c r="G304" s="308">
        <f>'BECA MEDIA'!J47</f>
        <v>0</v>
      </c>
      <c r="H304" s="308">
        <f>'BECA MEDIA'!K47</f>
        <v>0</v>
      </c>
    </row>
    <row r="305" spans="1:8" x14ac:dyDescent="0.3">
      <c r="A305" t="s">
        <v>688</v>
      </c>
      <c r="B305" t="s">
        <v>67</v>
      </c>
      <c r="C305" t="s">
        <v>69</v>
      </c>
      <c r="D305" t="s">
        <v>689</v>
      </c>
      <c r="E305" t="s">
        <v>768</v>
      </c>
      <c r="F305">
        <v>3</v>
      </c>
      <c r="G305" s="308">
        <f>'BECA MEDIA'!M47</f>
        <v>3.6</v>
      </c>
      <c r="H305" s="308">
        <f>'BECA MEDIA'!N47</f>
        <v>9000</v>
      </c>
    </row>
    <row r="306" spans="1:8" x14ac:dyDescent="0.3">
      <c r="A306" t="s">
        <v>688</v>
      </c>
      <c r="B306" t="s">
        <v>67</v>
      </c>
      <c r="C306" t="s">
        <v>69</v>
      </c>
      <c r="D306" t="s">
        <v>689</v>
      </c>
      <c r="E306" t="s">
        <v>769</v>
      </c>
      <c r="F306">
        <v>4</v>
      </c>
      <c r="G306" s="308">
        <f>'BECA MEDIA'!P47</f>
        <v>1.2</v>
      </c>
      <c r="H306" s="308">
        <f>'BECA MEDIA'!Q47</f>
        <v>3000</v>
      </c>
    </row>
    <row r="307" spans="1:8" x14ac:dyDescent="0.3">
      <c r="A307" t="s">
        <v>688</v>
      </c>
      <c r="B307" t="s">
        <v>67</v>
      </c>
      <c r="C307" t="s">
        <v>69</v>
      </c>
      <c r="D307" t="s">
        <v>689</v>
      </c>
      <c r="E307" t="s">
        <v>770</v>
      </c>
      <c r="F307">
        <v>5</v>
      </c>
      <c r="G307" s="308">
        <f>'BECA MEDIA'!S47</f>
        <v>0</v>
      </c>
      <c r="H307" s="308">
        <f>'BECA MEDIA'!T47</f>
        <v>0</v>
      </c>
    </row>
    <row r="308" spans="1:8" x14ac:dyDescent="0.3">
      <c r="A308" t="s">
        <v>688</v>
      </c>
      <c r="B308" t="s">
        <v>67</v>
      </c>
      <c r="C308" t="s">
        <v>69</v>
      </c>
      <c r="D308" t="s">
        <v>689</v>
      </c>
      <c r="E308" t="s">
        <v>771</v>
      </c>
      <c r="F308">
        <v>6</v>
      </c>
      <c r="G308" s="308">
        <f>'BECA MEDIA'!V47</f>
        <v>5.6</v>
      </c>
      <c r="H308" s="308">
        <f>'BECA MEDIA'!W47</f>
        <v>14000</v>
      </c>
    </row>
    <row r="309" spans="1:8" x14ac:dyDescent="0.3">
      <c r="A309" t="s">
        <v>688</v>
      </c>
      <c r="B309" t="s">
        <v>67</v>
      </c>
      <c r="C309" t="s">
        <v>69</v>
      </c>
      <c r="D309" t="s">
        <v>689</v>
      </c>
      <c r="E309" t="s">
        <v>772</v>
      </c>
      <c r="F309">
        <v>7</v>
      </c>
      <c r="G309" s="308">
        <f>'BECA MEDIA'!Y47</f>
        <v>0</v>
      </c>
      <c r="H309" s="308">
        <f>'BECA MEDIA'!Z47</f>
        <v>0</v>
      </c>
    </row>
    <row r="310" spans="1:8" x14ac:dyDescent="0.3">
      <c r="A310" t="s">
        <v>688</v>
      </c>
      <c r="B310" t="s">
        <v>67</v>
      </c>
      <c r="C310" t="s">
        <v>70</v>
      </c>
      <c r="D310" t="s">
        <v>689</v>
      </c>
      <c r="E310" t="s">
        <v>766</v>
      </c>
      <c r="F310">
        <v>1</v>
      </c>
      <c r="G310" s="308">
        <f>'BECA MEDIA'!G48</f>
        <v>0</v>
      </c>
      <c r="H310" s="308">
        <f>'BECA MEDIA'!H48</f>
        <v>0</v>
      </c>
    </row>
    <row r="311" spans="1:8" x14ac:dyDescent="0.3">
      <c r="A311" t="s">
        <v>688</v>
      </c>
      <c r="B311" t="s">
        <v>67</v>
      </c>
      <c r="C311" t="s">
        <v>70</v>
      </c>
      <c r="D311" t="s">
        <v>689</v>
      </c>
      <c r="E311" t="s">
        <v>767</v>
      </c>
      <c r="F311">
        <v>2</v>
      </c>
      <c r="G311" s="308">
        <f>'BECA MEDIA'!J48</f>
        <v>0</v>
      </c>
      <c r="H311" s="308">
        <f>'BECA MEDIA'!K48</f>
        <v>0</v>
      </c>
    </row>
    <row r="312" spans="1:8" x14ac:dyDescent="0.3">
      <c r="A312" t="s">
        <v>688</v>
      </c>
      <c r="B312" t="s">
        <v>67</v>
      </c>
      <c r="C312" t="s">
        <v>70</v>
      </c>
      <c r="D312" t="s">
        <v>689</v>
      </c>
      <c r="E312" t="s">
        <v>768</v>
      </c>
      <c r="F312">
        <v>3</v>
      </c>
      <c r="G312" s="308">
        <f>'BECA MEDIA'!M48</f>
        <v>5.6</v>
      </c>
      <c r="H312" s="308">
        <f>'BECA MEDIA'!N48</f>
        <v>14000</v>
      </c>
    </row>
    <row r="313" spans="1:8" x14ac:dyDescent="0.3">
      <c r="A313" t="s">
        <v>688</v>
      </c>
      <c r="B313" t="s">
        <v>67</v>
      </c>
      <c r="C313" t="s">
        <v>70</v>
      </c>
      <c r="D313" t="s">
        <v>689</v>
      </c>
      <c r="E313" t="s">
        <v>769</v>
      </c>
      <c r="F313">
        <v>4</v>
      </c>
      <c r="G313" s="308">
        <f>'BECA MEDIA'!P48</f>
        <v>0.4</v>
      </c>
      <c r="H313" s="308">
        <f>'BECA MEDIA'!Q48</f>
        <v>1000</v>
      </c>
    </row>
    <row r="314" spans="1:8" x14ac:dyDescent="0.3">
      <c r="A314" t="s">
        <v>688</v>
      </c>
      <c r="B314" t="s">
        <v>67</v>
      </c>
      <c r="C314" t="s">
        <v>70</v>
      </c>
      <c r="D314" t="s">
        <v>689</v>
      </c>
      <c r="E314" t="s">
        <v>770</v>
      </c>
      <c r="F314">
        <v>5</v>
      </c>
      <c r="G314" s="308">
        <f>'BECA MEDIA'!S48</f>
        <v>0</v>
      </c>
      <c r="H314" s="308">
        <f>'BECA MEDIA'!T48</f>
        <v>0</v>
      </c>
    </row>
    <row r="315" spans="1:8" x14ac:dyDescent="0.3">
      <c r="A315" t="s">
        <v>688</v>
      </c>
      <c r="B315" t="s">
        <v>67</v>
      </c>
      <c r="C315" t="s">
        <v>70</v>
      </c>
      <c r="D315" t="s">
        <v>689</v>
      </c>
      <c r="E315" t="s">
        <v>771</v>
      </c>
      <c r="F315">
        <v>6</v>
      </c>
      <c r="G315" s="308">
        <f>'BECA MEDIA'!V48</f>
        <v>6</v>
      </c>
      <c r="H315" s="308">
        <f>'BECA MEDIA'!W48</f>
        <v>15000</v>
      </c>
    </row>
    <row r="316" spans="1:8" x14ac:dyDescent="0.3">
      <c r="A316" t="s">
        <v>688</v>
      </c>
      <c r="B316" t="s">
        <v>67</v>
      </c>
      <c r="C316" t="s">
        <v>70</v>
      </c>
      <c r="D316" t="s">
        <v>689</v>
      </c>
      <c r="E316" t="s">
        <v>772</v>
      </c>
      <c r="F316">
        <v>7</v>
      </c>
      <c r="G316" s="308">
        <f>'BECA MEDIA'!Y48</f>
        <v>0</v>
      </c>
      <c r="H316" s="308">
        <f>'BECA MEDIA'!Z48</f>
        <v>0</v>
      </c>
    </row>
    <row r="317" spans="1:8" x14ac:dyDescent="0.3">
      <c r="A317" t="s">
        <v>688</v>
      </c>
      <c r="B317" t="s">
        <v>67</v>
      </c>
      <c r="C317" t="s">
        <v>71</v>
      </c>
      <c r="D317" t="s">
        <v>689</v>
      </c>
      <c r="E317" t="s">
        <v>766</v>
      </c>
      <c r="F317">
        <v>1</v>
      </c>
      <c r="G317" s="308">
        <f>'BECA MEDIA'!G49</f>
        <v>0</v>
      </c>
      <c r="H317" s="308">
        <f>'BECA MEDIA'!H49</f>
        <v>0</v>
      </c>
    </row>
    <row r="318" spans="1:8" x14ac:dyDescent="0.3">
      <c r="A318" t="s">
        <v>688</v>
      </c>
      <c r="B318" t="s">
        <v>67</v>
      </c>
      <c r="C318" t="s">
        <v>71</v>
      </c>
      <c r="D318" t="s">
        <v>689</v>
      </c>
      <c r="E318" t="s">
        <v>767</v>
      </c>
      <c r="F318">
        <v>2</v>
      </c>
      <c r="G318" s="308">
        <f>'BECA MEDIA'!J49</f>
        <v>0</v>
      </c>
      <c r="H318" s="308">
        <f>'BECA MEDIA'!K49</f>
        <v>0</v>
      </c>
    </row>
    <row r="319" spans="1:8" x14ac:dyDescent="0.3">
      <c r="A319" t="s">
        <v>688</v>
      </c>
      <c r="B319" t="s">
        <v>67</v>
      </c>
      <c r="C319" t="s">
        <v>71</v>
      </c>
      <c r="D319" t="s">
        <v>689</v>
      </c>
      <c r="E319" t="s">
        <v>768</v>
      </c>
      <c r="F319">
        <v>3</v>
      </c>
      <c r="G319" s="308">
        <f>'BECA MEDIA'!M49</f>
        <v>0.8</v>
      </c>
      <c r="H319" s="308">
        <f>'BECA MEDIA'!N49</f>
        <v>2000</v>
      </c>
    </row>
    <row r="320" spans="1:8" x14ac:dyDescent="0.3">
      <c r="A320" t="s">
        <v>688</v>
      </c>
      <c r="B320" t="s">
        <v>67</v>
      </c>
      <c r="C320" t="s">
        <v>71</v>
      </c>
      <c r="D320" t="s">
        <v>689</v>
      </c>
      <c r="E320" t="s">
        <v>769</v>
      </c>
      <c r="F320">
        <v>4</v>
      </c>
      <c r="G320" s="308">
        <f>'BECA MEDIA'!P49</f>
        <v>0</v>
      </c>
      <c r="H320" s="308">
        <f>'BECA MEDIA'!Q49</f>
        <v>0</v>
      </c>
    </row>
    <row r="321" spans="1:8" x14ac:dyDescent="0.3">
      <c r="A321" t="s">
        <v>688</v>
      </c>
      <c r="B321" t="s">
        <v>67</v>
      </c>
      <c r="C321" t="s">
        <v>71</v>
      </c>
      <c r="D321" t="s">
        <v>689</v>
      </c>
      <c r="E321" t="s">
        <v>770</v>
      </c>
      <c r="F321">
        <v>5</v>
      </c>
      <c r="G321" s="308">
        <f>'BECA MEDIA'!S49</f>
        <v>0</v>
      </c>
      <c r="H321" s="308">
        <f>'BECA MEDIA'!T49</f>
        <v>0</v>
      </c>
    </row>
    <row r="322" spans="1:8" x14ac:dyDescent="0.3">
      <c r="A322" t="s">
        <v>688</v>
      </c>
      <c r="B322" t="s">
        <v>67</v>
      </c>
      <c r="C322" t="s">
        <v>71</v>
      </c>
      <c r="D322" t="s">
        <v>689</v>
      </c>
      <c r="E322" t="s">
        <v>771</v>
      </c>
      <c r="F322">
        <v>6</v>
      </c>
      <c r="G322" s="308">
        <f>'BECA MEDIA'!V49</f>
        <v>0.8</v>
      </c>
      <c r="H322" s="308">
        <f>'BECA MEDIA'!W49</f>
        <v>2000</v>
      </c>
    </row>
    <row r="323" spans="1:8" x14ac:dyDescent="0.3">
      <c r="A323" t="s">
        <v>688</v>
      </c>
      <c r="B323" t="s">
        <v>67</v>
      </c>
      <c r="C323" t="s">
        <v>71</v>
      </c>
      <c r="D323" t="s">
        <v>689</v>
      </c>
      <c r="E323" t="s">
        <v>772</v>
      </c>
      <c r="F323">
        <v>7</v>
      </c>
      <c r="G323" s="308">
        <f>'BECA MEDIA'!Y49</f>
        <v>0</v>
      </c>
      <c r="H323" s="308">
        <f>'BECA MEDIA'!Z49</f>
        <v>0</v>
      </c>
    </row>
    <row r="324" spans="1:8" x14ac:dyDescent="0.3">
      <c r="A324" t="s">
        <v>688</v>
      </c>
      <c r="B324" t="s">
        <v>67</v>
      </c>
      <c r="C324" t="s">
        <v>72</v>
      </c>
      <c r="D324" t="s">
        <v>689</v>
      </c>
      <c r="E324" t="s">
        <v>766</v>
      </c>
      <c r="F324">
        <v>1</v>
      </c>
      <c r="G324" s="308">
        <f>'BECA MEDIA'!G50</f>
        <v>0</v>
      </c>
      <c r="H324" s="308">
        <f>'BECA MEDIA'!H50</f>
        <v>0</v>
      </c>
    </row>
    <row r="325" spans="1:8" x14ac:dyDescent="0.3">
      <c r="A325" t="s">
        <v>688</v>
      </c>
      <c r="B325" t="s">
        <v>67</v>
      </c>
      <c r="C325" t="s">
        <v>72</v>
      </c>
      <c r="D325" t="s">
        <v>689</v>
      </c>
      <c r="E325" t="s">
        <v>767</v>
      </c>
      <c r="F325">
        <v>2</v>
      </c>
      <c r="G325" s="308">
        <f>'BECA MEDIA'!J50</f>
        <v>0</v>
      </c>
      <c r="H325" s="308">
        <f>'BECA MEDIA'!K50</f>
        <v>0</v>
      </c>
    </row>
    <row r="326" spans="1:8" x14ac:dyDescent="0.3">
      <c r="A326" t="s">
        <v>688</v>
      </c>
      <c r="B326" t="s">
        <v>67</v>
      </c>
      <c r="C326" t="s">
        <v>72</v>
      </c>
      <c r="D326" t="s">
        <v>689</v>
      </c>
      <c r="E326" t="s">
        <v>768</v>
      </c>
      <c r="F326">
        <v>3</v>
      </c>
      <c r="G326" s="308">
        <f>'BECA MEDIA'!M50</f>
        <v>4</v>
      </c>
      <c r="H326" s="308">
        <f>'BECA MEDIA'!N50</f>
        <v>10000</v>
      </c>
    </row>
    <row r="327" spans="1:8" x14ac:dyDescent="0.3">
      <c r="A327" t="s">
        <v>688</v>
      </c>
      <c r="B327" t="s">
        <v>67</v>
      </c>
      <c r="C327" t="s">
        <v>72</v>
      </c>
      <c r="D327" t="s">
        <v>689</v>
      </c>
      <c r="E327" t="s">
        <v>769</v>
      </c>
      <c r="F327">
        <v>4</v>
      </c>
      <c r="G327" s="308">
        <f>'BECA MEDIA'!P50</f>
        <v>2.8</v>
      </c>
      <c r="H327" s="308">
        <f>'BECA MEDIA'!Q50</f>
        <v>7000</v>
      </c>
    </row>
    <row r="328" spans="1:8" x14ac:dyDescent="0.3">
      <c r="A328" t="s">
        <v>688</v>
      </c>
      <c r="B328" t="s">
        <v>67</v>
      </c>
      <c r="C328" t="s">
        <v>72</v>
      </c>
      <c r="D328" t="s">
        <v>689</v>
      </c>
      <c r="E328" t="s">
        <v>770</v>
      </c>
      <c r="F328">
        <v>5</v>
      </c>
      <c r="G328" s="308">
        <f>'BECA MEDIA'!S50</f>
        <v>0</v>
      </c>
      <c r="H328" s="308">
        <f>'BECA MEDIA'!T50</f>
        <v>0</v>
      </c>
    </row>
    <row r="329" spans="1:8" x14ac:dyDescent="0.3">
      <c r="A329" t="s">
        <v>688</v>
      </c>
      <c r="B329" t="s">
        <v>67</v>
      </c>
      <c r="C329" t="s">
        <v>72</v>
      </c>
      <c r="D329" t="s">
        <v>689</v>
      </c>
      <c r="E329" t="s">
        <v>771</v>
      </c>
      <c r="F329">
        <v>6</v>
      </c>
      <c r="G329" s="308">
        <f>'BECA MEDIA'!V50</f>
        <v>6</v>
      </c>
      <c r="H329" s="308">
        <f>'BECA MEDIA'!W50</f>
        <v>15000</v>
      </c>
    </row>
    <row r="330" spans="1:8" x14ac:dyDescent="0.3">
      <c r="A330" t="s">
        <v>688</v>
      </c>
      <c r="B330" t="s">
        <v>67</v>
      </c>
      <c r="C330" t="s">
        <v>72</v>
      </c>
      <c r="D330" t="s">
        <v>689</v>
      </c>
      <c r="E330" t="s">
        <v>772</v>
      </c>
      <c r="F330">
        <v>7</v>
      </c>
      <c r="G330" s="308">
        <f>'BECA MEDIA'!Y50</f>
        <v>0</v>
      </c>
      <c r="H330" s="308">
        <f>'BECA MEDIA'!Z50</f>
        <v>0</v>
      </c>
    </row>
    <row r="331" spans="1:8" x14ac:dyDescent="0.3">
      <c r="A331" t="s">
        <v>688</v>
      </c>
      <c r="B331" t="s">
        <v>67</v>
      </c>
      <c r="C331" t="s">
        <v>73</v>
      </c>
      <c r="D331" t="s">
        <v>689</v>
      </c>
      <c r="E331" t="s">
        <v>766</v>
      </c>
      <c r="F331">
        <v>1</v>
      </c>
      <c r="G331" s="308">
        <f>'BECA MEDIA'!G51</f>
        <v>0</v>
      </c>
      <c r="H331" s="308">
        <f>'BECA MEDIA'!H51</f>
        <v>0</v>
      </c>
    </row>
    <row r="332" spans="1:8" x14ac:dyDescent="0.3">
      <c r="A332" t="s">
        <v>688</v>
      </c>
      <c r="B332" t="s">
        <v>67</v>
      </c>
      <c r="C332" t="s">
        <v>73</v>
      </c>
      <c r="D332" t="s">
        <v>689</v>
      </c>
      <c r="E332" t="s">
        <v>767</v>
      </c>
      <c r="F332">
        <v>2</v>
      </c>
      <c r="G332" s="308">
        <f>'BECA MEDIA'!J51</f>
        <v>0</v>
      </c>
      <c r="H332" s="308">
        <f>'BECA MEDIA'!K51</f>
        <v>0</v>
      </c>
    </row>
    <row r="333" spans="1:8" x14ac:dyDescent="0.3">
      <c r="A333" t="s">
        <v>688</v>
      </c>
      <c r="B333" t="s">
        <v>67</v>
      </c>
      <c r="C333" t="s">
        <v>73</v>
      </c>
      <c r="D333" t="s">
        <v>689</v>
      </c>
      <c r="E333" t="s">
        <v>768</v>
      </c>
      <c r="F333">
        <v>3</v>
      </c>
      <c r="G333" s="308">
        <f>'BECA MEDIA'!M51</f>
        <v>4</v>
      </c>
      <c r="H333" s="308">
        <f>'BECA MEDIA'!N51</f>
        <v>10000</v>
      </c>
    </row>
    <row r="334" spans="1:8" x14ac:dyDescent="0.3">
      <c r="A334" t="s">
        <v>688</v>
      </c>
      <c r="B334" t="s">
        <v>67</v>
      </c>
      <c r="C334" t="s">
        <v>73</v>
      </c>
      <c r="D334" t="s">
        <v>689</v>
      </c>
      <c r="E334" t="s">
        <v>769</v>
      </c>
      <c r="F334">
        <v>4</v>
      </c>
      <c r="G334" s="308">
        <f>'BECA MEDIA'!P51</f>
        <v>2.4</v>
      </c>
      <c r="H334" s="308">
        <f>'BECA MEDIA'!Q51</f>
        <v>6000</v>
      </c>
    </row>
    <row r="335" spans="1:8" x14ac:dyDescent="0.3">
      <c r="A335" t="s">
        <v>688</v>
      </c>
      <c r="B335" t="s">
        <v>67</v>
      </c>
      <c r="C335" t="s">
        <v>73</v>
      </c>
      <c r="D335" t="s">
        <v>689</v>
      </c>
      <c r="E335" t="s">
        <v>770</v>
      </c>
      <c r="F335">
        <v>5</v>
      </c>
      <c r="G335" s="308">
        <f>'BECA MEDIA'!S51</f>
        <v>0</v>
      </c>
      <c r="H335" s="308">
        <f>'BECA MEDIA'!T51</f>
        <v>0</v>
      </c>
    </row>
    <row r="336" spans="1:8" x14ac:dyDescent="0.3">
      <c r="A336" t="s">
        <v>688</v>
      </c>
      <c r="B336" t="s">
        <v>67</v>
      </c>
      <c r="C336" t="s">
        <v>73</v>
      </c>
      <c r="D336" t="s">
        <v>689</v>
      </c>
      <c r="E336" t="s">
        <v>771</v>
      </c>
      <c r="F336">
        <v>6</v>
      </c>
      <c r="G336" s="308">
        <f>'BECA MEDIA'!V51</f>
        <v>5.6</v>
      </c>
      <c r="H336" s="308">
        <f>'BECA MEDIA'!W51</f>
        <v>14000</v>
      </c>
    </row>
    <row r="337" spans="1:8" x14ac:dyDescent="0.3">
      <c r="A337" t="s">
        <v>688</v>
      </c>
      <c r="B337" t="s">
        <v>67</v>
      </c>
      <c r="C337" t="s">
        <v>73</v>
      </c>
      <c r="D337" t="s">
        <v>689</v>
      </c>
      <c r="E337" t="s">
        <v>772</v>
      </c>
      <c r="F337">
        <v>7</v>
      </c>
      <c r="G337" s="308">
        <f>'BECA MEDIA'!Y51</f>
        <v>0</v>
      </c>
      <c r="H337" s="308">
        <f>'BECA MEDIA'!Z51</f>
        <v>0</v>
      </c>
    </row>
    <row r="338" spans="1:8" x14ac:dyDescent="0.3">
      <c r="A338" t="s">
        <v>688</v>
      </c>
      <c r="B338" t="s">
        <v>67</v>
      </c>
      <c r="C338" t="s">
        <v>74</v>
      </c>
      <c r="D338" t="s">
        <v>689</v>
      </c>
      <c r="E338" t="s">
        <v>766</v>
      </c>
      <c r="F338">
        <v>1</v>
      </c>
      <c r="G338" s="308">
        <f>'BECA MEDIA'!G52</f>
        <v>0</v>
      </c>
      <c r="H338" s="308">
        <f>'BECA MEDIA'!H52</f>
        <v>0</v>
      </c>
    </row>
    <row r="339" spans="1:8" x14ac:dyDescent="0.3">
      <c r="A339" t="s">
        <v>688</v>
      </c>
      <c r="B339" t="s">
        <v>67</v>
      </c>
      <c r="C339" t="s">
        <v>74</v>
      </c>
      <c r="D339" t="s">
        <v>689</v>
      </c>
      <c r="E339" t="s">
        <v>767</v>
      </c>
      <c r="F339">
        <v>2</v>
      </c>
      <c r="G339" s="308">
        <f>'BECA MEDIA'!J52</f>
        <v>0</v>
      </c>
      <c r="H339" s="308">
        <f>'BECA MEDIA'!K52</f>
        <v>0</v>
      </c>
    </row>
    <row r="340" spans="1:8" x14ac:dyDescent="0.3">
      <c r="A340" t="s">
        <v>688</v>
      </c>
      <c r="B340" t="s">
        <v>67</v>
      </c>
      <c r="C340" t="s">
        <v>74</v>
      </c>
      <c r="D340" t="s">
        <v>689</v>
      </c>
      <c r="E340" t="s">
        <v>768</v>
      </c>
      <c r="F340">
        <v>3</v>
      </c>
      <c r="G340" s="308">
        <f>'BECA MEDIA'!M52</f>
        <v>1.2</v>
      </c>
      <c r="H340" s="308">
        <f>'BECA MEDIA'!N52</f>
        <v>3000</v>
      </c>
    </row>
    <row r="341" spans="1:8" x14ac:dyDescent="0.3">
      <c r="A341" t="s">
        <v>688</v>
      </c>
      <c r="B341" t="s">
        <v>67</v>
      </c>
      <c r="C341" t="s">
        <v>74</v>
      </c>
      <c r="D341" t="s">
        <v>689</v>
      </c>
      <c r="E341" t="s">
        <v>769</v>
      </c>
      <c r="F341">
        <v>4</v>
      </c>
      <c r="G341" s="308">
        <f>'BECA MEDIA'!P52</f>
        <v>2</v>
      </c>
      <c r="H341" s="308">
        <f>'BECA MEDIA'!Q52</f>
        <v>5000</v>
      </c>
    </row>
    <row r="342" spans="1:8" x14ac:dyDescent="0.3">
      <c r="A342" t="s">
        <v>688</v>
      </c>
      <c r="B342" t="s">
        <v>67</v>
      </c>
      <c r="C342" t="s">
        <v>74</v>
      </c>
      <c r="D342" t="s">
        <v>689</v>
      </c>
      <c r="E342" t="s">
        <v>770</v>
      </c>
      <c r="F342">
        <v>5</v>
      </c>
      <c r="G342" s="308">
        <f>'BECA MEDIA'!S52</f>
        <v>0</v>
      </c>
      <c r="H342" s="308">
        <f>'BECA MEDIA'!T52</f>
        <v>0</v>
      </c>
    </row>
    <row r="343" spans="1:8" x14ac:dyDescent="0.3">
      <c r="A343" t="s">
        <v>688</v>
      </c>
      <c r="B343" t="s">
        <v>67</v>
      </c>
      <c r="C343" t="s">
        <v>74</v>
      </c>
      <c r="D343" t="s">
        <v>689</v>
      </c>
      <c r="E343" t="s">
        <v>771</v>
      </c>
      <c r="F343">
        <v>6</v>
      </c>
      <c r="G343" s="308">
        <f>'BECA MEDIA'!V52</f>
        <v>3.2</v>
      </c>
      <c r="H343" s="308">
        <f>'BECA MEDIA'!W52</f>
        <v>8000</v>
      </c>
    </row>
    <row r="344" spans="1:8" x14ac:dyDescent="0.3">
      <c r="A344" t="s">
        <v>688</v>
      </c>
      <c r="B344" t="s">
        <v>67</v>
      </c>
      <c r="C344" t="s">
        <v>74</v>
      </c>
      <c r="D344" t="s">
        <v>689</v>
      </c>
      <c r="E344" t="s">
        <v>772</v>
      </c>
      <c r="F344">
        <v>7</v>
      </c>
      <c r="G344" s="308">
        <f>'BECA MEDIA'!Y52</f>
        <v>0</v>
      </c>
      <c r="H344" s="308">
        <f>'BECA MEDIA'!Z52</f>
        <v>0</v>
      </c>
    </row>
    <row r="345" spans="1:8" x14ac:dyDescent="0.3">
      <c r="A345" t="s">
        <v>688</v>
      </c>
      <c r="B345" t="s">
        <v>67</v>
      </c>
      <c r="C345" t="s">
        <v>75</v>
      </c>
      <c r="D345" t="s">
        <v>689</v>
      </c>
      <c r="E345" t="s">
        <v>766</v>
      </c>
      <c r="F345">
        <v>1</v>
      </c>
      <c r="G345" s="308">
        <f>'BECA MEDIA'!G53</f>
        <v>0</v>
      </c>
      <c r="H345" s="308">
        <f>'BECA MEDIA'!H53</f>
        <v>0</v>
      </c>
    </row>
    <row r="346" spans="1:8" x14ac:dyDescent="0.3">
      <c r="A346" t="s">
        <v>688</v>
      </c>
      <c r="B346" t="s">
        <v>67</v>
      </c>
      <c r="C346" t="s">
        <v>75</v>
      </c>
      <c r="D346" t="s">
        <v>689</v>
      </c>
      <c r="E346" t="s">
        <v>767</v>
      </c>
      <c r="F346">
        <v>2</v>
      </c>
      <c r="G346" s="308">
        <f>'BECA MEDIA'!J53</f>
        <v>0</v>
      </c>
      <c r="H346" s="308">
        <f>'BECA MEDIA'!K53</f>
        <v>0</v>
      </c>
    </row>
    <row r="347" spans="1:8" x14ac:dyDescent="0.3">
      <c r="A347" t="s">
        <v>688</v>
      </c>
      <c r="B347" t="s">
        <v>67</v>
      </c>
      <c r="C347" t="s">
        <v>75</v>
      </c>
      <c r="D347" t="s">
        <v>689</v>
      </c>
      <c r="E347" t="s">
        <v>768</v>
      </c>
      <c r="F347">
        <v>3</v>
      </c>
      <c r="G347" s="308">
        <f>'BECA MEDIA'!M53</f>
        <v>3.2</v>
      </c>
      <c r="H347" s="308">
        <f>'BECA MEDIA'!N53</f>
        <v>8000</v>
      </c>
    </row>
    <row r="348" spans="1:8" x14ac:dyDescent="0.3">
      <c r="A348" t="s">
        <v>688</v>
      </c>
      <c r="B348" t="s">
        <v>67</v>
      </c>
      <c r="C348" t="s">
        <v>75</v>
      </c>
      <c r="D348" t="s">
        <v>689</v>
      </c>
      <c r="E348" t="s">
        <v>769</v>
      </c>
      <c r="F348">
        <v>4</v>
      </c>
      <c r="G348" s="308">
        <f>'BECA MEDIA'!P53</f>
        <v>2.4</v>
      </c>
      <c r="H348" s="308">
        <f>'BECA MEDIA'!Q53</f>
        <v>6000</v>
      </c>
    </row>
    <row r="349" spans="1:8" x14ac:dyDescent="0.3">
      <c r="A349" t="s">
        <v>688</v>
      </c>
      <c r="B349" t="s">
        <v>67</v>
      </c>
      <c r="C349" t="s">
        <v>75</v>
      </c>
      <c r="D349" t="s">
        <v>689</v>
      </c>
      <c r="E349" t="s">
        <v>770</v>
      </c>
      <c r="F349">
        <v>5</v>
      </c>
      <c r="G349" s="308">
        <f>'BECA MEDIA'!S53</f>
        <v>0</v>
      </c>
      <c r="H349" s="308">
        <f>'BECA MEDIA'!T53</f>
        <v>0</v>
      </c>
    </row>
    <row r="350" spans="1:8" x14ac:dyDescent="0.3">
      <c r="A350" t="s">
        <v>688</v>
      </c>
      <c r="B350" t="s">
        <v>67</v>
      </c>
      <c r="C350" t="s">
        <v>75</v>
      </c>
      <c r="D350" t="s">
        <v>689</v>
      </c>
      <c r="E350" t="s">
        <v>771</v>
      </c>
      <c r="F350">
        <v>6</v>
      </c>
      <c r="G350" s="308">
        <f>'BECA MEDIA'!V53</f>
        <v>5.6</v>
      </c>
      <c r="H350" s="308">
        <f>'BECA MEDIA'!W53</f>
        <v>14000</v>
      </c>
    </row>
    <row r="351" spans="1:8" x14ac:dyDescent="0.3">
      <c r="A351" t="s">
        <v>688</v>
      </c>
      <c r="B351" t="s">
        <v>67</v>
      </c>
      <c r="C351" t="s">
        <v>75</v>
      </c>
      <c r="D351" t="s">
        <v>689</v>
      </c>
      <c r="E351" t="s">
        <v>772</v>
      </c>
      <c r="F351">
        <v>7</v>
      </c>
      <c r="G351" s="308">
        <f>'BECA MEDIA'!Y53</f>
        <v>0</v>
      </c>
      <c r="H351" s="308">
        <f>'BECA MEDIA'!Z53</f>
        <v>0</v>
      </c>
    </row>
    <row r="352" spans="1:8" x14ac:dyDescent="0.3">
      <c r="A352" t="s">
        <v>688</v>
      </c>
      <c r="B352" t="s">
        <v>67</v>
      </c>
      <c r="C352" t="s">
        <v>76</v>
      </c>
      <c r="D352" t="s">
        <v>689</v>
      </c>
      <c r="E352" t="s">
        <v>766</v>
      </c>
      <c r="F352">
        <v>1</v>
      </c>
      <c r="G352" s="308">
        <f>'BECA MEDIA'!G54</f>
        <v>0</v>
      </c>
      <c r="H352" s="308">
        <f>'BECA MEDIA'!H54</f>
        <v>0</v>
      </c>
    </row>
    <row r="353" spans="1:8" x14ac:dyDescent="0.3">
      <c r="A353" t="s">
        <v>688</v>
      </c>
      <c r="B353" t="s">
        <v>67</v>
      </c>
      <c r="C353" t="s">
        <v>76</v>
      </c>
      <c r="D353" t="s">
        <v>689</v>
      </c>
      <c r="E353" t="s">
        <v>767</v>
      </c>
      <c r="F353">
        <v>2</v>
      </c>
      <c r="G353" s="308">
        <f>'BECA MEDIA'!J54</f>
        <v>0</v>
      </c>
      <c r="H353" s="308">
        <f>'BECA MEDIA'!K54</f>
        <v>0</v>
      </c>
    </row>
    <row r="354" spans="1:8" x14ac:dyDescent="0.3">
      <c r="A354" t="s">
        <v>688</v>
      </c>
      <c r="B354" t="s">
        <v>67</v>
      </c>
      <c r="C354" t="s">
        <v>76</v>
      </c>
      <c r="D354" t="s">
        <v>689</v>
      </c>
      <c r="E354" t="s">
        <v>768</v>
      </c>
      <c r="F354">
        <v>3</v>
      </c>
      <c r="G354" s="308">
        <f>'BECA MEDIA'!M54</f>
        <v>3.2</v>
      </c>
      <c r="H354" s="308">
        <f>'BECA MEDIA'!N54</f>
        <v>8000</v>
      </c>
    </row>
    <row r="355" spans="1:8" x14ac:dyDescent="0.3">
      <c r="A355" t="s">
        <v>688</v>
      </c>
      <c r="B355" t="s">
        <v>67</v>
      </c>
      <c r="C355" t="s">
        <v>76</v>
      </c>
      <c r="D355" t="s">
        <v>689</v>
      </c>
      <c r="E355" t="s">
        <v>769</v>
      </c>
      <c r="F355">
        <v>4</v>
      </c>
      <c r="G355" s="308">
        <f>'BECA MEDIA'!P54</f>
        <v>1.6</v>
      </c>
      <c r="H355" s="308">
        <f>'BECA MEDIA'!Q54</f>
        <v>4000</v>
      </c>
    </row>
    <row r="356" spans="1:8" x14ac:dyDescent="0.3">
      <c r="A356" t="s">
        <v>688</v>
      </c>
      <c r="B356" t="s">
        <v>67</v>
      </c>
      <c r="C356" t="s">
        <v>76</v>
      </c>
      <c r="D356" t="s">
        <v>689</v>
      </c>
      <c r="E356" t="s">
        <v>770</v>
      </c>
      <c r="F356">
        <v>5</v>
      </c>
      <c r="G356" s="308">
        <f>'BECA MEDIA'!S54</f>
        <v>0</v>
      </c>
      <c r="H356" s="308">
        <f>'BECA MEDIA'!T54</f>
        <v>0</v>
      </c>
    </row>
    <row r="357" spans="1:8" x14ac:dyDescent="0.3">
      <c r="A357" t="s">
        <v>688</v>
      </c>
      <c r="B357" t="s">
        <v>67</v>
      </c>
      <c r="C357" t="s">
        <v>76</v>
      </c>
      <c r="D357" t="s">
        <v>689</v>
      </c>
      <c r="E357" t="s">
        <v>771</v>
      </c>
      <c r="F357">
        <v>6</v>
      </c>
      <c r="G357" s="308">
        <f>'BECA MEDIA'!V54</f>
        <v>4.8</v>
      </c>
      <c r="H357" s="308">
        <f>'BECA MEDIA'!W54</f>
        <v>12000</v>
      </c>
    </row>
    <row r="358" spans="1:8" x14ac:dyDescent="0.3">
      <c r="A358" t="s">
        <v>688</v>
      </c>
      <c r="B358" t="s">
        <v>67</v>
      </c>
      <c r="C358" t="s">
        <v>76</v>
      </c>
      <c r="D358" t="s">
        <v>689</v>
      </c>
      <c r="E358" t="s">
        <v>772</v>
      </c>
      <c r="F358">
        <v>7</v>
      </c>
      <c r="G358" s="308">
        <f>'BECA MEDIA'!Y54</f>
        <v>0</v>
      </c>
      <c r="H358" s="308">
        <f>'BECA MEDIA'!Z54</f>
        <v>0</v>
      </c>
    </row>
    <row r="359" spans="1:8" x14ac:dyDescent="0.3">
      <c r="A359" t="s">
        <v>688</v>
      </c>
      <c r="B359" t="s">
        <v>77</v>
      </c>
      <c r="C359" t="s">
        <v>78</v>
      </c>
      <c r="D359" t="s">
        <v>689</v>
      </c>
      <c r="E359" t="s">
        <v>766</v>
      </c>
      <c r="F359">
        <v>1</v>
      </c>
      <c r="G359" s="308">
        <f>'BECA MEDIA'!G55</f>
        <v>0</v>
      </c>
      <c r="H359" s="308">
        <f>'BECA MEDIA'!H55</f>
        <v>0</v>
      </c>
    </row>
    <row r="360" spans="1:8" x14ac:dyDescent="0.3">
      <c r="A360" t="s">
        <v>688</v>
      </c>
      <c r="B360" t="s">
        <v>77</v>
      </c>
      <c r="C360" t="s">
        <v>78</v>
      </c>
      <c r="D360" t="s">
        <v>689</v>
      </c>
      <c r="E360" t="s">
        <v>767</v>
      </c>
      <c r="F360">
        <v>2</v>
      </c>
      <c r="G360" s="308">
        <f>'BECA MEDIA'!J55</f>
        <v>0</v>
      </c>
      <c r="H360" s="308">
        <f>'BECA MEDIA'!K55</f>
        <v>0</v>
      </c>
    </row>
    <row r="361" spans="1:8" x14ac:dyDescent="0.3">
      <c r="A361" t="s">
        <v>688</v>
      </c>
      <c r="B361" t="s">
        <v>77</v>
      </c>
      <c r="C361" t="s">
        <v>78</v>
      </c>
      <c r="D361" t="s">
        <v>689</v>
      </c>
      <c r="E361" t="s">
        <v>768</v>
      </c>
      <c r="F361">
        <v>3</v>
      </c>
      <c r="G361" s="308">
        <f>'BECA MEDIA'!M55</f>
        <v>2.4</v>
      </c>
      <c r="H361" s="308">
        <f>'BECA MEDIA'!N55</f>
        <v>6000</v>
      </c>
    </row>
    <row r="362" spans="1:8" x14ac:dyDescent="0.3">
      <c r="A362" t="s">
        <v>688</v>
      </c>
      <c r="B362" t="s">
        <v>77</v>
      </c>
      <c r="C362" t="s">
        <v>78</v>
      </c>
      <c r="D362" t="s">
        <v>689</v>
      </c>
      <c r="E362" t="s">
        <v>769</v>
      </c>
      <c r="F362">
        <v>4</v>
      </c>
      <c r="G362" s="308">
        <f>'BECA MEDIA'!P55</f>
        <v>2.4</v>
      </c>
      <c r="H362" s="308">
        <f>'BECA MEDIA'!Q55</f>
        <v>6000</v>
      </c>
    </row>
    <row r="363" spans="1:8" x14ac:dyDescent="0.3">
      <c r="A363" t="s">
        <v>688</v>
      </c>
      <c r="B363" t="s">
        <v>77</v>
      </c>
      <c r="C363" t="s">
        <v>78</v>
      </c>
      <c r="D363" t="s">
        <v>689</v>
      </c>
      <c r="E363" t="s">
        <v>770</v>
      </c>
      <c r="F363">
        <v>5</v>
      </c>
      <c r="G363" s="308">
        <f>'BECA MEDIA'!S55</f>
        <v>0</v>
      </c>
      <c r="H363" s="308">
        <f>'BECA MEDIA'!T55</f>
        <v>0</v>
      </c>
    </row>
    <row r="364" spans="1:8" x14ac:dyDescent="0.3">
      <c r="A364" t="s">
        <v>688</v>
      </c>
      <c r="B364" t="s">
        <v>77</v>
      </c>
      <c r="C364" t="s">
        <v>78</v>
      </c>
      <c r="D364" t="s">
        <v>689</v>
      </c>
      <c r="E364" t="s">
        <v>771</v>
      </c>
      <c r="F364">
        <v>6</v>
      </c>
      <c r="G364" s="308">
        <f>'BECA MEDIA'!V55</f>
        <v>4.8</v>
      </c>
      <c r="H364" s="308">
        <f>'BECA MEDIA'!W55</f>
        <v>12000</v>
      </c>
    </row>
    <row r="365" spans="1:8" x14ac:dyDescent="0.3">
      <c r="A365" t="s">
        <v>688</v>
      </c>
      <c r="B365" t="s">
        <v>77</v>
      </c>
      <c r="C365" t="s">
        <v>78</v>
      </c>
      <c r="D365" t="s">
        <v>689</v>
      </c>
      <c r="E365" t="s">
        <v>772</v>
      </c>
      <c r="F365">
        <v>7</v>
      </c>
      <c r="G365" s="308">
        <f>'BECA MEDIA'!Y55</f>
        <v>0</v>
      </c>
      <c r="H365" s="308">
        <f>'BECA MEDIA'!Z55</f>
        <v>0</v>
      </c>
    </row>
    <row r="366" spans="1:8" x14ac:dyDescent="0.3">
      <c r="A366" t="s">
        <v>688</v>
      </c>
      <c r="B366" t="s">
        <v>77</v>
      </c>
      <c r="C366" t="s">
        <v>79</v>
      </c>
      <c r="D366" t="s">
        <v>689</v>
      </c>
      <c r="E366" t="s">
        <v>766</v>
      </c>
      <c r="F366">
        <v>1</v>
      </c>
      <c r="G366" s="308">
        <f>'BECA MEDIA'!G56</f>
        <v>0</v>
      </c>
      <c r="H366" s="308">
        <f>'BECA MEDIA'!H56</f>
        <v>0</v>
      </c>
    </row>
    <row r="367" spans="1:8" x14ac:dyDescent="0.3">
      <c r="A367" t="s">
        <v>688</v>
      </c>
      <c r="B367" t="s">
        <v>77</v>
      </c>
      <c r="C367" t="s">
        <v>79</v>
      </c>
      <c r="D367" t="s">
        <v>689</v>
      </c>
      <c r="E367" t="s">
        <v>767</v>
      </c>
      <c r="F367">
        <v>2</v>
      </c>
      <c r="G367" s="308">
        <f>'BECA MEDIA'!J56</f>
        <v>0</v>
      </c>
      <c r="H367" s="308">
        <f>'BECA MEDIA'!K56</f>
        <v>0</v>
      </c>
    </row>
    <row r="368" spans="1:8" x14ac:dyDescent="0.3">
      <c r="A368" t="s">
        <v>688</v>
      </c>
      <c r="B368" t="s">
        <v>77</v>
      </c>
      <c r="C368" t="s">
        <v>79</v>
      </c>
      <c r="D368" t="s">
        <v>689</v>
      </c>
      <c r="E368" t="s">
        <v>768</v>
      </c>
      <c r="F368">
        <v>3</v>
      </c>
      <c r="G368" s="308">
        <f>'BECA MEDIA'!M56</f>
        <v>1.6</v>
      </c>
      <c r="H368" s="308">
        <f>'BECA MEDIA'!N56</f>
        <v>4000</v>
      </c>
    </row>
    <row r="369" spans="1:8" x14ac:dyDescent="0.3">
      <c r="A369" t="s">
        <v>688</v>
      </c>
      <c r="B369" t="s">
        <v>77</v>
      </c>
      <c r="C369" t="s">
        <v>79</v>
      </c>
      <c r="D369" t="s">
        <v>689</v>
      </c>
      <c r="E369" t="s">
        <v>769</v>
      </c>
      <c r="F369">
        <v>4</v>
      </c>
      <c r="G369" s="308">
        <f>'BECA MEDIA'!P56</f>
        <v>0.8</v>
      </c>
      <c r="H369" s="308">
        <f>'BECA MEDIA'!Q56</f>
        <v>2000</v>
      </c>
    </row>
    <row r="370" spans="1:8" x14ac:dyDescent="0.3">
      <c r="A370" t="s">
        <v>688</v>
      </c>
      <c r="B370" t="s">
        <v>77</v>
      </c>
      <c r="C370" t="s">
        <v>79</v>
      </c>
      <c r="D370" t="s">
        <v>689</v>
      </c>
      <c r="E370" t="s">
        <v>770</v>
      </c>
      <c r="F370">
        <v>5</v>
      </c>
      <c r="G370" s="308">
        <f>'BECA MEDIA'!S56</f>
        <v>0</v>
      </c>
      <c r="H370" s="308">
        <f>'BECA MEDIA'!T56</f>
        <v>0</v>
      </c>
    </row>
    <row r="371" spans="1:8" x14ac:dyDescent="0.3">
      <c r="A371" t="s">
        <v>688</v>
      </c>
      <c r="B371" t="s">
        <v>77</v>
      </c>
      <c r="C371" t="s">
        <v>79</v>
      </c>
      <c r="D371" t="s">
        <v>689</v>
      </c>
      <c r="E371" t="s">
        <v>771</v>
      </c>
      <c r="F371">
        <v>6</v>
      </c>
      <c r="G371" s="308">
        <f>'BECA MEDIA'!V56</f>
        <v>2.4</v>
      </c>
      <c r="H371" s="308">
        <f>'BECA MEDIA'!W56</f>
        <v>6000</v>
      </c>
    </row>
    <row r="372" spans="1:8" x14ac:dyDescent="0.3">
      <c r="A372" t="s">
        <v>688</v>
      </c>
      <c r="B372" t="s">
        <v>77</v>
      </c>
      <c r="C372" t="s">
        <v>79</v>
      </c>
      <c r="D372" t="s">
        <v>689</v>
      </c>
      <c r="E372" t="s">
        <v>772</v>
      </c>
      <c r="F372">
        <v>7</v>
      </c>
      <c r="G372" s="308">
        <f>'BECA MEDIA'!Y56</f>
        <v>0</v>
      </c>
      <c r="H372" s="308">
        <f>'BECA MEDIA'!Z56</f>
        <v>0</v>
      </c>
    </row>
    <row r="373" spans="1:8" x14ac:dyDescent="0.3">
      <c r="A373" t="s">
        <v>688</v>
      </c>
      <c r="B373" t="s">
        <v>77</v>
      </c>
      <c r="C373" t="s">
        <v>80</v>
      </c>
      <c r="D373" t="s">
        <v>689</v>
      </c>
      <c r="E373" t="s">
        <v>766</v>
      </c>
      <c r="F373">
        <v>1</v>
      </c>
      <c r="G373" s="308">
        <f>'BECA MEDIA'!G57</f>
        <v>0</v>
      </c>
      <c r="H373" s="308">
        <f>'BECA MEDIA'!H57</f>
        <v>0</v>
      </c>
    </row>
    <row r="374" spans="1:8" x14ac:dyDescent="0.3">
      <c r="A374" t="s">
        <v>688</v>
      </c>
      <c r="B374" t="s">
        <v>77</v>
      </c>
      <c r="C374" t="s">
        <v>80</v>
      </c>
      <c r="D374" t="s">
        <v>689</v>
      </c>
      <c r="E374" t="s">
        <v>767</v>
      </c>
      <c r="F374">
        <v>2</v>
      </c>
      <c r="G374" s="308">
        <f>'BECA MEDIA'!J57</f>
        <v>0</v>
      </c>
      <c r="H374" s="308">
        <f>'BECA MEDIA'!K57</f>
        <v>0</v>
      </c>
    </row>
    <row r="375" spans="1:8" x14ac:dyDescent="0.3">
      <c r="A375" t="s">
        <v>688</v>
      </c>
      <c r="B375" t="s">
        <v>77</v>
      </c>
      <c r="C375" t="s">
        <v>80</v>
      </c>
      <c r="D375" t="s">
        <v>689</v>
      </c>
      <c r="E375" t="s">
        <v>768</v>
      </c>
      <c r="F375">
        <v>3</v>
      </c>
      <c r="G375" s="308">
        <f>'BECA MEDIA'!M57</f>
        <v>0.8</v>
      </c>
      <c r="H375" s="308">
        <f>'BECA MEDIA'!N57</f>
        <v>2000</v>
      </c>
    </row>
    <row r="376" spans="1:8" x14ac:dyDescent="0.3">
      <c r="A376" t="s">
        <v>688</v>
      </c>
      <c r="B376" t="s">
        <v>77</v>
      </c>
      <c r="C376" t="s">
        <v>80</v>
      </c>
      <c r="D376" t="s">
        <v>689</v>
      </c>
      <c r="E376" t="s">
        <v>769</v>
      </c>
      <c r="F376">
        <v>4</v>
      </c>
      <c r="G376" s="308">
        <f>'BECA MEDIA'!P57</f>
        <v>2</v>
      </c>
      <c r="H376" s="308">
        <f>'BECA MEDIA'!Q57</f>
        <v>5000</v>
      </c>
    </row>
    <row r="377" spans="1:8" x14ac:dyDescent="0.3">
      <c r="A377" t="s">
        <v>688</v>
      </c>
      <c r="B377" t="s">
        <v>77</v>
      </c>
      <c r="C377" t="s">
        <v>80</v>
      </c>
      <c r="D377" t="s">
        <v>689</v>
      </c>
      <c r="E377" t="s">
        <v>770</v>
      </c>
      <c r="F377">
        <v>5</v>
      </c>
      <c r="G377" s="308">
        <f>'BECA MEDIA'!S57</f>
        <v>0</v>
      </c>
      <c r="H377" s="308">
        <f>'BECA MEDIA'!T57</f>
        <v>0</v>
      </c>
    </row>
    <row r="378" spans="1:8" x14ac:dyDescent="0.3">
      <c r="A378" t="s">
        <v>688</v>
      </c>
      <c r="B378" t="s">
        <v>77</v>
      </c>
      <c r="C378" t="s">
        <v>80</v>
      </c>
      <c r="D378" t="s">
        <v>689</v>
      </c>
      <c r="E378" t="s">
        <v>771</v>
      </c>
      <c r="F378">
        <v>6</v>
      </c>
      <c r="G378" s="308">
        <f>'BECA MEDIA'!V57</f>
        <v>2.8</v>
      </c>
      <c r="H378" s="308">
        <f>'BECA MEDIA'!W57</f>
        <v>7000</v>
      </c>
    </row>
    <row r="379" spans="1:8" x14ac:dyDescent="0.3">
      <c r="A379" t="s">
        <v>688</v>
      </c>
      <c r="B379" t="s">
        <v>77</v>
      </c>
      <c r="C379" t="s">
        <v>80</v>
      </c>
      <c r="D379" t="s">
        <v>689</v>
      </c>
      <c r="E379" t="s">
        <v>772</v>
      </c>
      <c r="F379">
        <v>7</v>
      </c>
      <c r="G379" s="308">
        <f>'BECA MEDIA'!Y57</f>
        <v>0</v>
      </c>
      <c r="H379" s="308">
        <f>'BECA MEDIA'!Z57</f>
        <v>0</v>
      </c>
    </row>
    <row r="380" spans="1:8" x14ac:dyDescent="0.3">
      <c r="A380" t="s">
        <v>688</v>
      </c>
      <c r="B380" t="s">
        <v>77</v>
      </c>
      <c r="C380" t="s">
        <v>81</v>
      </c>
      <c r="D380" t="s">
        <v>689</v>
      </c>
      <c r="E380" t="s">
        <v>766</v>
      </c>
      <c r="F380">
        <v>1</v>
      </c>
      <c r="G380" s="308">
        <f>'BECA MEDIA'!G58</f>
        <v>0</v>
      </c>
      <c r="H380" s="308">
        <f>'BECA MEDIA'!H58</f>
        <v>0</v>
      </c>
    </row>
    <row r="381" spans="1:8" x14ac:dyDescent="0.3">
      <c r="A381" t="s">
        <v>688</v>
      </c>
      <c r="B381" t="s">
        <v>77</v>
      </c>
      <c r="C381" t="s">
        <v>81</v>
      </c>
      <c r="D381" t="s">
        <v>689</v>
      </c>
      <c r="E381" t="s">
        <v>767</v>
      </c>
      <c r="F381">
        <v>2</v>
      </c>
      <c r="G381" s="308">
        <f>'BECA MEDIA'!J58</f>
        <v>0</v>
      </c>
      <c r="H381" s="308">
        <f>'BECA MEDIA'!K58</f>
        <v>0</v>
      </c>
    </row>
    <row r="382" spans="1:8" x14ac:dyDescent="0.3">
      <c r="A382" t="s">
        <v>688</v>
      </c>
      <c r="B382" t="s">
        <v>77</v>
      </c>
      <c r="C382" t="s">
        <v>81</v>
      </c>
      <c r="D382" t="s">
        <v>689</v>
      </c>
      <c r="E382" t="s">
        <v>768</v>
      </c>
      <c r="F382">
        <v>3</v>
      </c>
      <c r="G382" s="308">
        <f>'BECA MEDIA'!M58</f>
        <v>4.8</v>
      </c>
      <c r="H382" s="308">
        <f>'BECA MEDIA'!N58</f>
        <v>12000</v>
      </c>
    </row>
    <row r="383" spans="1:8" x14ac:dyDescent="0.3">
      <c r="A383" t="s">
        <v>688</v>
      </c>
      <c r="B383" t="s">
        <v>77</v>
      </c>
      <c r="C383" t="s">
        <v>81</v>
      </c>
      <c r="D383" t="s">
        <v>689</v>
      </c>
      <c r="E383" t="s">
        <v>769</v>
      </c>
      <c r="F383">
        <v>4</v>
      </c>
      <c r="G383" s="308">
        <f>'BECA MEDIA'!P58</f>
        <v>2.4</v>
      </c>
      <c r="H383" s="308">
        <f>'BECA MEDIA'!Q58</f>
        <v>6000</v>
      </c>
    </row>
    <row r="384" spans="1:8" x14ac:dyDescent="0.3">
      <c r="A384" t="s">
        <v>688</v>
      </c>
      <c r="B384" t="s">
        <v>77</v>
      </c>
      <c r="C384" t="s">
        <v>81</v>
      </c>
      <c r="D384" t="s">
        <v>689</v>
      </c>
      <c r="E384" t="s">
        <v>770</v>
      </c>
      <c r="F384">
        <v>5</v>
      </c>
      <c r="G384" s="308">
        <f>'BECA MEDIA'!S58</f>
        <v>0</v>
      </c>
      <c r="H384" s="308">
        <f>'BECA MEDIA'!T58</f>
        <v>0</v>
      </c>
    </row>
    <row r="385" spans="1:8" x14ac:dyDescent="0.3">
      <c r="A385" t="s">
        <v>688</v>
      </c>
      <c r="B385" t="s">
        <v>77</v>
      </c>
      <c r="C385" t="s">
        <v>81</v>
      </c>
      <c r="D385" t="s">
        <v>689</v>
      </c>
      <c r="E385" t="s">
        <v>771</v>
      </c>
      <c r="F385">
        <v>6</v>
      </c>
      <c r="G385" s="308">
        <f>'BECA MEDIA'!V58</f>
        <v>6.8</v>
      </c>
      <c r="H385" s="308">
        <f>'BECA MEDIA'!W58</f>
        <v>17000</v>
      </c>
    </row>
    <row r="386" spans="1:8" x14ac:dyDescent="0.3">
      <c r="A386" t="s">
        <v>688</v>
      </c>
      <c r="B386" t="s">
        <v>77</v>
      </c>
      <c r="C386" t="s">
        <v>81</v>
      </c>
      <c r="D386" t="s">
        <v>689</v>
      </c>
      <c r="E386" t="s">
        <v>772</v>
      </c>
      <c r="F386">
        <v>7</v>
      </c>
      <c r="G386" s="308">
        <f>'BECA MEDIA'!Y58</f>
        <v>0</v>
      </c>
      <c r="H386" s="308">
        <f>'BECA MEDIA'!Z58</f>
        <v>0</v>
      </c>
    </row>
    <row r="387" spans="1:8" x14ac:dyDescent="0.3">
      <c r="A387" t="s">
        <v>688</v>
      </c>
      <c r="B387" t="s">
        <v>77</v>
      </c>
      <c r="C387" t="s">
        <v>82</v>
      </c>
      <c r="D387" t="s">
        <v>689</v>
      </c>
      <c r="E387" t="s">
        <v>766</v>
      </c>
      <c r="F387">
        <v>1</v>
      </c>
      <c r="G387" s="308">
        <f>'BECA MEDIA'!G59</f>
        <v>0</v>
      </c>
      <c r="H387" s="308">
        <f>'BECA MEDIA'!H59</f>
        <v>0</v>
      </c>
    </row>
    <row r="388" spans="1:8" x14ac:dyDescent="0.3">
      <c r="A388" t="s">
        <v>688</v>
      </c>
      <c r="B388" t="s">
        <v>77</v>
      </c>
      <c r="C388" t="s">
        <v>82</v>
      </c>
      <c r="D388" t="s">
        <v>689</v>
      </c>
      <c r="E388" t="s">
        <v>767</v>
      </c>
      <c r="F388">
        <v>2</v>
      </c>
      <c r="G388" s="308">
        <f>'BECA MEDIA'!J59</f>
        <v>0</v>
      </c>
      <c r="H388" s="308">
        <f>'BECA MEDIA'!K59</f>
        <v>0</v>
      </c>
    </row>
    <row r="389" spans="1:8" x14ac:dyDescent="0.3">
      <c r="A389" t="s">
        <v>688</v>
      </c>
      <c r="B389" t="s">
        <v>77</v>
      </c>
      <c r="C389" t="s">
        <v>82</v>
      </c>
      <c r="D389" t="s">
        <v>689</v>
      </c>
      <c r="E389" t="s">
        <v>768</v>
      </c>
      <c r="F389">
        <v>3</v>
      </c>
      <c r="G389" s="308">
        <f>'BECA MEDIA'!M59</f>
        <v>2.4</v>
      </c>
      <c r="H389" s="308">
        <f>'BECA MEDIA'!N59</f>
        <v>6000</v>
      </c>
    </row>
    <row r="390" spans="1:8" x14ac:dyDescent="0.3">
      <c r="A390" t="s">
        <v>688</v>
      </c>
      <c r="B390" t="s">
        <v>77</v>
      </c>
      <c r="C390" t="s">
        <v>82</v>
      </c>
      <c r="D390" t="s">
        <v>689</v>
      </c>
      <c r="E390" t="s">
        <v>769</v>
      </c>
      <c r="F390">
        <v>4</v>
      </c>
      <c r="G390" s="308">
        <f>'BECA MEDIA'!P59</f>
        <v>2</v>
      </c>
      <c r="H390" s="308">
        <f>'BECA MEDIA'!Q59</f>
        <v>5000</v>
      </c>
    </row>
    <row r="391" spans="1:8" x14ac:dyDescent="0.3">
      <c r="A391" t="s">
        <v>688</v>
      </c>
      <c r="B391" t="s">
        <v>77</v>
      </c>
      <c r="C391" t="s">
        <v>82</v>
      </c>
      <c r="D391" t="s">
        <v>689</v>
      </c>
      <c r="E391" t="s">
        <v>770</v>
      </c>
      <c r="F391">
        <v>5</v>
      </c>
      <c r="G391" s="308">
        <f>'BECA MEDIA'!S59</f>
        <v>0</v>
      </c>
      <c r="H391" s="308">
        <f>'BECA MEDIA'!T59</f>
        <v>0</v>
      </c>
    </row>
    <row r="392" spans="1:8" x14ac:dyDescent="0.3">
      <c r="A392" t="s">
        <v>688</v>
      </c>
      <c r="B392" t="s">
        <v>77</v>
      </c>
      <c r="C392" t="s">
        <v>82</v>
      </c>
      <c r="D392" t="s">
        <v>689</v>
      </c>
      <c r="E392" t="s">
        <v>771</v>
      </c>
      <c r="F392">
        <v>6</v>
      </c>
      <c r="G392" s="308">
        <f>'BECA MEDIA'!V59</f>
        <v>4</v>
      </c>
      <c r="H392" s="308">
        <f>'BECA MEDIA'!W59</f>
        <v>10000</v>
      </c>
    </row>
    <row r="393" spans="1:8" x14ac:dyDescent="0.3">
      <c r="A393" t="s">
        <v>688</v>
      </c>
      <c r="B393" t="s">
        <v>77</v>
      </c>
      <c r="C393" t="s">
        <v>82</v>
      </c>
      <c r="D393" t="s">
        <v>689</v>
      </c>
      <c r="E393" t="s">
        <v>772</v>
      </c>
      <c r="F393">
        <v>7</v>
      </c>
      <c r="G393" s="308">
        <f>'BECA MEDIA'!Y59</f>
        <v>0</v>
      </c>
      <c r="H393" s="308">
        <f>'BECA MEDIA'!Z59</f>
        <v>0</v>
      </c>
    </row>
    <row r="394" spans="1:8" x14ac:dyDescent="0.3">
      <c r="A394" t="s">
        <v>688</v>
      </c>
      <c r="B394" t="s">
        <v>77</v>
      </c>
      <c r="C394" t="s">
        <v>83</v>
      </c>
      <c r="D394" t="s">
        <v>689</v>
      </c>
      <c r="E394" t="s">
        <v>766</v>
      </c>
      <c r="F394">
        <v>1</v>
      </c>
      <c r="G394" s="308">
        <f>'BECA MEDIA'!G60</f>
        <v>0</v>
      </c>
      <c r="H394" s="308">
        <f>'BECA MEDIA'!H60</f>
        <v>0</v>
      </c>
    </row>
    <row r="395" spans="1:8" x14ac:dyDescent="0.3">
      <c r="A395" t="s">
        <v>688</v>
      </c>
      <c r="B395" t="s">
        <v>77</v>
      </c>
      <c r="C395" t="s">
        <v>83</v>
      </c>
      <c r="D395" t="s">
        <v>689</v>
      </c>
      <c r="E395" t="s">
        <v>767</v>
      </c>
      <c r="F395">
        <v>2</v>
      </c>
      <c r="G395" s="308">
        <f>'BECA MEDIA'!J60</f>
        <v>0</v>
      </c>
      <c r="H395" s="308">
        <f>'BECA MEDIA'!K60</f>
        <v>0</v>
      </c>
    </row>
    <row r="396" spans="1:8" x14ac:dyDescent="0.3">
      <c r="A396" t="s">
        <v>688</v>
      </c>
      <c r="B396" t="s">
        <v>77</v>
      </c>
      <c r="C396" t="s">
        <v>83</v>
      </c>
      <c r="D396" t="s">
        <v>689</v>
      </c>
      <c r="E396" t="s">
        <v>768</v>
      </c>
      <c r="F396">
        <v>3</v>
      </c>
      <c r="G396" s="308">
        <f>'BECA MEDIA'!M60</f>
        <v>4.4000000000000004</v>
      </c>
      <c r="H396" s="308">
        <f>'BECA MEDIA'!N60</f>
        <v>11000</v>
      </c>
    </row>
    <row r="397" spans="1:8" x14ac:dyDescent="0.3">
      <c r="A397" t="s">
        <v>688</v>
      </c>
      <c r="B397" t="s">
        <v>77</v>
      </c>
      <c r="C397" t="s">
        <v>83</v>
      </c>
      <c r="D397" t="s">
        <v>689</v>
      </c>
      <c r="E397" t="s">
        <v>769</v>
      </c>
      <c r="F397">
        <v>4</v>
      </c>
      <c r="G397" s="308">
        <f>'BECA MEDIA'!P60</f>
        <v>2.8</v>
      </c>
      <c r="H397" s="308">
        <f>'BECA MEDIA'!Q60</f>
        <v>7000</v>
      </c>
    </row>
    <row r="398" spans="1:8" x14ac:dyDescent="0.3">
      <c r="A398" t="s">
        <v>688</v>
      </c>
      <c r="B398" t="s">
        <v>77</v>
      </c>
      <c r="C398" t="s">
        <v>83</v>
      </c>
      <c r="D398" t="s">
        <v>689</v>
      </c>
      <c r="E398" t="s">
        <v>770</v>
      </c>
      <c r="F398">
        <v>5</v>
      </c>
      <c r="G398" s="308">
        <f>'BECA MEDIA'!S60</f>
        <v>0</v>
      </c>
      <c r="H398" s="308">
        <f>'BECA MEDIA'!T60</f>
        <v>0</v>
      </c>
    </row>
    <row r="399" spans="1:8" x14ac:dyDescent="0.3">
      <c r="A399" t="s">
        <v>688</v>
      </c>
      <c r="B399" t="s">
        <v>77</v>
      </c>
      <c r="C399" t="s">
        <v>83</v>
      </c>
      <c r="D399" t="s">
        <v>689</v>
      </c>
      <c r="E399" t="s">
        <v>771</v>
      </c>
      <c r="F399">
        <v>6</v>
      </c>
      <c r="G399" s="308">
        <f>'BECA MEDIA'!V60</f>
        <v>7.2</v>
      </c>
      <c r="H399" s="308">
        <f>'BECA MEDIA'!W60</f>
        <v>18000</v>
      </c>
    </row>
    <row r="400" spans="1:8" x14ac:dyDescent="0.3">
      <c r="A400" t="s">
        <v>688</v>
      </c>
      <c r="B400" t="s">
        <v>77</v>
      </c>
      <c r="C400" t="s">
        <v>83</v>
      </c>
      <c r="D400" t="s">
        <v>689</v>
      </c>
      <c r="E400" t="s">
        <v>772</v>
      </c>
      <c r="F400">
        <v>7</v>
      </c>
      <c r="G400" s="308">
        <f>'BECA MEDIA'!Y60</f>
        <v>0</v>
      </c>
      <c r="H400" s="308">
        <f>'BECA MEDIA'!Z60</f>
        <v>0</v>
      </c>
    </row>
    <row r="401" spans="1:8" x14ac:dyDescent="0.3">
      <c r="A401" t="s">
        <v>688</v>
      </c>
      <c r="B401" t="s">
        <v>77</v>
      </c>
      <c r="C401" t="s">
        <v>84</v>
      </c>
      <c r="D401" t="s">
        <v>689</v>
      </c>
      <c r="E401" t="s">
        <v>766</v>
      </c>
      <c r="F401">
        <v>1</v>
      </c>
      <c r="G401" s="308">
        <f>'BECA MEDIA'!G61</f>
        <v>0</v>
      </c>
      <c r="H401" s="308">
        <f>'BECA MEDIA'!H61</f>
        <v>0</v>
      </c>
    </row>
    <row r="402" spans="1:8" x14ac:dyDescent="0.3">
      <c r="A402" t="s">
        <v>688</v>
      </c>
      <c r="B402" t="s">
        <v>77</v>
      </c>
      <c r="C402" t="s">
        <v>84</v>
      </c>
      <c r="D402" t="s">
        <v>689</v>
      </c>
      <c r="E402" t="s">
        <v>767</v>
      </c>
      <c r="F402">
        <v>2</v>
      </c>
      <c r="G402" s="308">
        <f>'BECA MEDIA'!J61</f>
        <v>0</v>
      </c>
      <c r="H402" s="308">
        <f>'BECA MEDIA'!K61</f>
        <v>0</v>
      </c>
    </row>
    <row r="403" spans="1:8" x14ac:dyDescent="0.3">
      <c r="A403" t="s">
        <v>688</v>
      </c>
      <c r="B403" t="s">
        <v>77</v>
      </c>
      <c r="C403" t="s">
        <v>84</v>
      </c>
      <c r="D403" t="s">
        <v>689</v>
      </c>
      <c r="E403" t="s">
        <v>768</v>
      </c>
      <c r="F403">
        <v>3</v>
      </c>
      <c r="G403" s="308">
        <f>'BECA MEDIA'!M61</f>
        <v>4</v>
      </c>
      <c r="H403" s="308">
        <f>'BECA MEDIA'!N61</f>
        <v>10000</v>
      </c>
    </row>
    <row r="404" spans="1:8" x14ac:dyDescent="0.3">
      <c r="A404" t="s">
        <v>688</v>
      </c>
      <c r="B404" t="s">
        <v>77</v>
      </c>
      <c r="C404" t="s">
        <v>84</v>
      </c>
      <c r="D404" t="s">
        <v>689</v>
      </c>
      <c r="E404" t="s">
        <v>769</v>
      </c>
      <c r="F404">
        <v>4</v>
      </c>
      <c r="G404" s="308">
        <f>'BECA MEDIA'!P61</f>
        <v>1.6</v>
      </c>
      <c r="H404" s="308">
        <f>'BECA MEDIA'!Q61</f>
        <v>4000</v>
      </c>
    </row>
    <row r="405" spans="1:8" x14ac:dyDescent="0.3">
      <c r="A405" t="s">
        <v>688</v>
      </c>
      <c r="B405" t="s">
        <v>77</v>
      </c>
      <c r="C405" t="s">
        <v>84</v>
      </c>
      <c r="D405" t="s">
        <v>689</v>
      </c>
      <c r="E405" t="s">
        <v>770</v>
      </c>
      <c r="F405">
        <v>5</v>
      </c>
      <c r="G405" s="308">
        <f>'BECA MEDIA'!S61</f>
        <v>0</v>
      </c>
      <c r="H405" s="308">
        <f>'BECA MEDIA'!T61</f>
        <v>0</v>
      </c>
    </row>
    <row r="406" spans="1:8" x14ac:dyDescent="0.3">
      <c r="A406" t="s">
        <v>688</v>
      </c>
      <c r="B406" t="s">
        <v>77</v>
      </c>
      <c r="C406" t="s">
        <v>84</v>
      </c>
      <c r="D406" t="s">
        <v>689</v>
      </c>
      <c r="E406" t="s">
        <v>771</v>
      </c>
      <c r="F406">
        <v>6</v>
      </c>
      <c r="G406" s="308">
        <f>'BECA MEDIA'!V61</f>
        <v>5.6</v>
      </c>
      <c r="H406" s="308">
        <f>'BECA MEDIA'!W61</f>
        <v>14000</v>
      </c>
    </row>
    <row r="407" spans="1:8" x14ac:dyDescent="0.3">
      <c r="A407" t="s">
        <v>688</v>
      </c>
      <c r="B407" t="s">
        <v>77</v>
      </c>
      <c r="C407" t="s">
        <v>84</v>
      </c>
      <c r="D407" t="s">
        <v>689</v>
      </c>
      <c r="E407" t="s">
        <v>772</v>
      </c>
      <c r="F407">
        <v>7</v>
      </c>
      <c r="G407" s="308">
        <f>'BECA MEDIA'!Y61</f>
        <v>0</v>
      </c>
      <c r="H407" s="308">
        <f>'BECA MEDIA'!Z61</f>
        <v>0</v>
      </c>
    </row>
    <row r="408" spans="1:8" x14ac:dyDescent="0.3">
      <c r="A408" t="s">
        <v>688</v>
      </c>
      <c r="B408" t="s">
        <v>77</v>
      </c>
      <c r="C408" t="s">
        <v>85</v>
      </c>
      <c r="D408" t="s">
        <v>689</v>
      </c>
      <c r="E408" t="s">
        <v>766</v>
      </c>
      <c r="F408">
        <v>1</v>
      </c>
      <c r="G408" s="308">
        <f>'BECA MEDIA'!G62</f>
        <v>0</v>
      </c>
      <c r="H408" s="308">
        <f>'BECA MEDIA'!H62</f>
        <v>0</v>
      </c>
    </row>
    <row r="409" spans="1:8" x14ac:dyDescent="0.3">
      <c r="A409" t="s">
        <v>688</v>
      </c>
      <c r="B409" t="s">
        <v>77</v>
      </c>
      <c r="C409" t="s">
        <v>85</v>
      </c>
      <c r="D409" t="s">
        <v>689</v>
      </c>
      <c r="E409" t="s">
        <v>767</v>
      </c>
      <c r="F409">
        <v>2</v>
      </c>
      <c r="G409" s="308">
        <f>'BECA MEDIA'!J62</f>
        <v>0</v>
      </c>
      <c r="H409" s="308">
        <f>'BECA MEDIA'!K62</f>
        <v>0</v>
      </c>
    </row>
    <row r="410" spans="1:8" x14ac:dyDescent="0.3">
      <c r="A410" t="s">
        <v>688</v>
      </c>
      <c r="B410" t="s">
        <v>77</v>
      </c>
      <c r="C410" t="s">
        <v>85</v>
      </c>
      <c r="D410" t="s">
        <v>689</v>
      </c>
      <c r="E410" t="s">
        <v>768</v>
      </c>
      <c r="F410">
        <v>3</v>
      </c>
      <c r="G410" s="308">
        <f>'BECA MEDIA'!M62</f>
        <v>4.4000000000000004</v>
      </c>
      <c r="H410" s="308">
        <f>'BECA MEDIA'!N62</f>
        <v>11000</v>
      </c>
    </row>
    <row r="411" spans="1:8" x14ac:dyDescent="0.3">
      <c r="A411" t="s">
        <v>688</v>
      </c>
      <c r="B411" t="s">
        <v>77</v>
      </c>
      <c r="C411" t="s">
        <v>85</v>
      </c>
      <c r="D411" t="s">
        <v>689</v>
      </c>
      <c r="E411" t="s">
        <v>769</v>
      </c>
      <c r="F411">
        <v>4</v>
      </c>
      <c r="G411" s="308">
        <f>'BECA MEDIA'!P62</f>
        <v>2.4</v>
      </c>
      <c r="H411" s="308">
        <f>'BECA MEDIA'!Q62</f>
        <v>6000</v>
      </c>
    </row>
    <row r="412" spans="1:8" x14ac:dyDescent="0.3">
      <c r="A412" t="s">
        <v>688</v>
      </c>
      <c r="B412" t="s">
        <v>77</v>
      </c>
      <c r="C412" t="s">
        <v>85</v>
      </c>
      <c r="D412" t="s">
        <v>689</v>
      </c>
      <c r="E412" t="s">
        <v>770</v>
      </c>
      <c r="F412">
        <v>5</v>
      </c>
      <c r="G412" s="308">
        <f>'BECA MEDIA'!S62</f>
        <v>0</v>
      </c>
      <c r="H412" s="308">
        <f>'BECA MEDIA'!T62</f>
        <v>0</v>
      </c>
    </row>
    <row r="413" spans="1:8" x14ac:dyDescent="0.3">
      <c r="A413" t="s">
        <v>688</v>
      </c>
      <c r="B413" t="s">
        <v>77</v>
      </c>
      <c r="C413" t="s">
        <v>85</v>
      </c>
      <c r="D413" t="s">
        <v>689</v>
      </c>
      <c r="E413" t="s">
        <v>771</v>
      </c>
      <c r="F413">
        <v>6</v>
      </c>
      <c r="G413" s="308">
        <f>'BECA MEDIA'!V62</f>
        <v>6.8</v>
      </c>
      <c r="H413" s="308">
        <f>'BECA MEDIA'!W62</f>
        <v>17000</v>
      </c>
    </row>
    <row r="414" spans="1:8" x14ac:dyDescent="0.3">
      <c r="A414" t="s">
        <v>688</v>
      </c>
      <c r="B414" t="s">
        <v>77</v>
      </c>
      <c r="C414" t="s">
        <v>85</v>
      </c>
      <c r="D414" t="s">
        <v>689</v>
      </c>
      <c r="E414" t="s">
        <v>772</v>
      </c>
      <c r="F414">
        <v>7</v>
      </c>
      <c r="G414" s="308">
        <f>'BECA MEDIA'!Y62</f>
        <v>0</v>
      </c>
      <c r="H414" s="308">
        <f>'BECA MEDIA'!Z62</f>
        <v>0</v>
      </c>
    </row>
    <row r="415" spans="1:8" x14ac:dyDescent="0.3">
      <c r="A415" t="s">
        <v>688</v>
      </c>
      <c r="B415" t="s">
        <v>86</v>
      </c>
      <c r="C415" t="s">
        <v>86</v>
      </c>
      <c r="D415" t="s">
        <v>689</v>
      </c>
      <c r="E415" t="s">
        <v>766</v>
      </c>
      <c r="F415">
        <v>1</v>
      </c>
      <c r="G415" s="308">
        <f>'BECA MEDIA'!G63</f>
        <v>0</v>
      </c>
      <c r="H415" s="308">
        <f>'BECA MEDIA'!H63</f>
        <v>0</v>
      </c>
    </row>
    <row r="416" spans="1:8" x14ac:dyDescent="0.3">
      <c r="A416" t="s">
        <v>688</v>
      </c>
      <c r="B416" t="s">
        <v>86</v>
      </c>
      <c r="C416" t="s">
        <v>86</v>
      </c>
      <c r="D416" t="s">
        <v>689</v>
      </c>
      <c r="E416" t="s">
        <v>767</v>
      </c>
      <c r="F416">
        <v>2</v>
      </c>
      <c r="G416" s="308">
        <f>'BECA MEDIA'!J63</f>
        <v>0</v>
      </c>
      <c r="H416" s="308">
        <f>'BECA MEDIA'!K63</f>
        <v>0</v>
      </c>
    </row>
    <row r="417" spans="1:8" x14ac:dyDescent="0.3">
      <c r="A417" t="s">
        <v>688</v>
      </c>
      <c r="B417" t="s">
        <v>86</v>
      </c>
      <c r="C417" t="s">
        <v>86</v>
      </c>
      <c r="D417" t="s">
        <v>689</v>
      </c>
      <c r="E417" t="s">
        <v>768</v>
      </c>
      <c r="F417">
        <v>3</v>
      </c>
      <c r="G417" s="308">
        <f>'BECA MEDIA'!M63</f>
        <v>4.4000000000000004</v>
      </c>
      <c r="H417" s="308">
        <f>'BECA MEDIA'!N63</f>
        <v>11000</v>
      </c>
    </row>
    <row r="418" spans="1:8" x14ac:dyDescent="0.3">
      <c r="A418" t="s">
        <v>688</v>
      </c>
      <c r="B418" t="s">
        <v>86</v>
      </c>
      <c r="C418" t="s">
        <v>86</v>
      </c>
      <c r="D418" t="s">
        <v>689</v>
      </c>
      <c r="E418" t="s">
        <v>769</v>
      </c>
      <c r="F418">
        <v>4</v>
      </c>
      <c r="G418" s="308">
        <f>'BECA MEDIA'!P63</f>
        <v>3.2</v>
      </c>
      <c r="H418" s="308">
        <f>'BECA MEDIA'!Q63</f>
        <v>8000</v>
      </c>
    </row>
    <row r="419" spans="1:8" x14ac:dyDescent="0.3">
      <c r="A419" t="s">
        <v>688</v>
      </c>
      <c r="B419" t="s">
        <v>86</v>
      </c>
      <c r="C419" t="s">
        <v>86</v>
      </c>
      <c r="D419" t="s">
        <v>689</v>
      </c>
      <c r="E419" t="s">
        <v>770</v>
      </c>
      <c r="F419">
        <v>5</v>
      </c>
      <c r="G419" s="308">
        <f>'BECA MEDIA'!S63</f>
        <v>0</v>
      </c>
      <c r="H419" s="308">
        <f>'BECA MEDIA'!T63</f>
        <v>0</v>
      </c>
    </row>
    <row r="420" spans="1:8" x14ac:dyDescent="0.3">
      <c r="A420" t="s">
        <v>688</v>
      </c>
      <c r="B420" t="s">
        <v>86</v>
      </c>
      <c r="C420" t="s">
        <v>86</v>
      </c>
      <c r="D420" t="s">
        <v>689</v>
      </c>
      <c r="E420" t="s">
        <v>771</v>
      </c>
      <c r="F420">
        <v>6</v>
      </c>
      <c r="G420" s="308">
        <f>'BECA MEDIA'!V63</f>
        <v>8</v>
      </c>
      <c r="H420" s="308">
        <f>'BECA MEDIA'!W63</f>
        <v>20000</v>
      </c>
    </row>
    <row r="421" spans="1:8" x14ac:dyDescent="0.3">
      <c r="A421" t="s">
        <v>688</v>
      </c>
      <c r="B421" t="s">
        <v>86</v>
      </c>
      <c r="C421" t="s">
        <v>86</v>
      </c>
      <c r="D421" t="s">
        <v>689</v>
      </c>
      <c r="E421" t="s">
        <v>772</v>
      </c>
      <c r="F421">
        <v>7</v>
      </c>
      <c r="G421" s="308">
        <f>'BECA MEDIA'!Y63</f>
        <v>0</v>
      </c>
      <c r="H421" s="308">
        <f>'BECA MEDIA'!Z63</f>
        <v>0</v>
      </c>
    </row>
    <row r="422" spans="1:8" x14ac:dyDescent="0.3">
      <c r="A422" t="s">
        <v>688</v>
      </c>
      <c r="B422" t="s">
        <v>86</v>
      </c>
      <c r="C422" t="s">
        <v>87</v>
      </c>
      <c r="D422" t="s">
        <v>689</v>
      </c>
      <c r="E422" t="s">
        <v>766</v>
      </c>
      <c r="F422">
        <v>1</v>
      </c>
      <c r="G422" s="308">
        <f>'BECA MEDIA'!G64</f>
        <v>0</v>
      </c>
      <c r="H422" s="308">
        <f>'BECA MEDIA'!H64</f>
        <v>0</v>
      </c>
    </row>
    <row r="423" spans="1:8" x14ac:dyDescent="0.3">
      <c r="A423" t="s">
        <v>688</v>
      </c>
      <c r="B423" t="s">
        <v>86</v>
      </c>
      <c r="C423" t="s">
        <v>87</v>
      </c>
      <c r="D423" t="s">
        <v>689</v>
      </c>
      <c r="E423" t="s">
        <v>767</v>
      </c>
      <c r="F423">
        <v>2</v>
      </c>
      <c r="G423" s="308">
        <f>'BECA MEDIA'!J64</f>
        <v>0</v>
      </c>
      <c r="H423" s="308">
        <f>'BECA MEDIA'!K64</f>
        <v>0</v>
      </c>
    </row>
    <row r="424" spans="1:8" x14ac:dyDescent="0.3">
      <c r="A424" t="s">
        <v>688</v>
      </c>
      <c r="B424" t="s">
        <v>86</v>
      </c>
      <c r="C424" t="s">
        <v>87</v>
      </c>
      <c r="D424" t="s">
        <v>689</v>
      </c>
      <c r="E424" t="s">
        <v>768</v>
      </c>
      <c r="F424">
        <v>3</v>
      </c>
      <c r="G424" s="308">
        <f>'BECA MEDIA'!M64</f>
        <v>10</v>
      </c>
      <c r="H424" s="308">
        <f>'BECA MEDIA'!N64</f>
        <v>25000</v>
      </c>
    </row>
    <row r="425" spans="1:8" x14ac:dyDescent="0.3">
      <c r="A425" t="s">
        <v>688</v>
      </c>
      <c r="B425" t="s">
        <v>86</v>
      </c>
      <c r="C425" t="s">
        <v>87</v>
      </c>
      <c r="D425" t="s">
        <v>689</v>
      </c>
      <c r="E425" t="s">
        <v>769</v>
      </c>
      <c r="F425">
        <v>4</v>
      </c>
      <c r="G425" s="308">
        <f>'BECA MEDIA'!P64</f>
        <v>5.6</v>
      </c>
      <c r="H425" s="308">
        <f>'BECA MEDIA'!Q64</f>
        <v>14000</v>
      </c>
    </row>
    <row r="426" spans="1:8" x14ac:dyDescent="0.3">
      <c r="A426" t="s">
        <v>688</v>
      </c>
      <c r="B426" t="s">
        <v>86</v>
      </c>
      <c r="C426" t="s">
        <v>87</v>
      </c>
      <c r="D426" t="s">
        <v>689</v>
      </c>
      <c r="E426" t="s">
        <v>770</v>
      </c>
      <c r="F426">
        <v>5</v>
      </c>
      <c r="G426" s="308">
        <f>'BECA MEDIA'!S64</f>
        <v>0</v>
      </c>
      <c r="H426" s="308">
        <f>'BECA MEDIA'!T64</f>
        <v>0</v>
      </c>
    </row>
    <row r="427" spans="1:8" x14ac:dyDescent="0.3">
      <c r="A427" t="s">
        <v>688</v>
      </c>
      <c r="B427" t="s">
        <v>86</v>
      </c>
      <c r="C427" t="s">
        <v>87</v>
      </c>
      <c r="D427" t="s">
        <v>689</v>
      </c>
      <c r="E427" t="s">
        <v>771</v>
      </c>
      <c r="F427">
        <v>6</v>
      </c>
      <c r="G427" s="308">
        <f>'BECA MEDIA'!V64</f>
        <v>16.399999999999999</v>
      </c>
      <c r="H427" s="308">
        <f>'BECA MEDIA'!W64</f>
        <v>41000</v>
      </c>
    </row>
    <row r="428" spans="1:8" x14ac:dyDescent="0.3">
      <c r="A428" t="s">
        <v>688</v>
      </c>
      <c r="B428" t="s">
        <v>86</v>
      </c>
      <c r="C428" t="s">
        <v>87</v>
      </c>
      <c r="D428" t="s">
        <v>689</v>
      </c>
      <c r="E428" t="s">
        <v>772</v>
      </c>
      <c r="F428">
        <v>7</v>
      </c>
      <c r="G428" s="308">
        <f>'BECA MEDIA'!Y64</f>
        <v>0</v>
      </c>
      <c r="H428" s="308">
        <f>'BECA MEDIA'!Z64</f>
        <v>0</v>
      </c>
    </row>
    <row r="429" spans="1:8" x14ac:dyDescent="0.3">
      <c r="A429" t="s">
        <v>688</v>
      </c>
      <c r="B429" t="s">
        <v>86</v>
      </c>
      <c r="C429" t="s">
        <v>88</v>
      </c>
      <c r="D429" t="s">
        <v>689</v>
      </c>
      <c r="E429" t="s">
        <v>766</v>
      </c>
      <c r="F429">
        <v>1</v>
      </c>
      <c r="G429" s="308">
        <f>'BECA MEDIA'!G65</f>
        <v>0</v>
      </c>
      <c r="H429" s="308">
        <f>'BECA MEDIA'!H65</f>
        <v>0</v>
      </c>
    </row>
    <row r="430" spans="1:8" x14ac:dyDescent="0.3">
      <c r="A430" t="s">
        <v>688</v>
      </c>
      <c r="B430" t="s">
        <v>86</v>
      </c>
      <c r="C430" t="s">
        <v>88</v>
      </c>
      <c r="D430" t="s">
        <v>689</v>
      </c>
      <c r="E430" t="s">
        <v>767</v>
      </c>
      <c r="F430">
        <v>2</v>
      </c>
      <c r="G430" s="308">
        <f>'BECA MEDIA'!J65</f>
        <v>0</v>
      </c>
      <c r="H430" s="308">
        <f>'BECA MEDIA'!K65</f>
        <v>0</v>
      </c>
    </row>
    <row r="431" spans="1:8" x14ac:dyDescent="0.3">
      <c r="A431" t="s">
        <v>688</v>
      </c>
      <c r="B431" t="s">
        <v>86</v>
      </c>
      <c r="C431" t="s">
        <v>88</v>
      </c>
      <c r="D431" t="s">
        <v>689</v>
      </c>
      <c r="E431" t="s">
        <v>768</v>
      </c>
      <c r="F431">
        <v>3</v>
      </c>
      <c r="G431" s="308">
        <f>'BECA MEDIA'!M65</f>
        <v>4.4000000000000004</v>
      </c>
      <c r="H431" s="308">
        <f>'BECA MEDIA'!N65</f>
        <v>11000</v>
      </c>
    </row>
    <row r="432" spans="1:8" x14ac:dyDescent="0.3">
      <c r="A432" t="s">
        <v>688</v>
      </c>
      <c r="B432" t="s">
        <v>86</v>
      </c>
      <c r="C432" t="s">
        <v>88</v>
      </c>
      <c r="D432" t="s">
        <v>689</v>
      </c>
      <c r="E432" t="s">
        <v>769</v>
      </c>
      <c r="F432">
        <v>4</v>
      </c>
      <c r="G432" s="308">
        <f>'BECA MEDIA'!P65</f>
        <v>1.2</v>
      </c>
      <c r="H432" s="308">
        <f>'BECA MEDIA'!Q65</f>
        <v>3000</v>
      </c>
    </row>
    <row r="433" spans="1:8" x14ac:dyDescent="0.3">
      <c r="A433" t="s">
        <v>688</v>
      </c>
      <c r="B433" t="s">
        <v>86</v>
      </c>
      <c r="C433" t="s">
        <v>88</v>
      </c>
      <c r="D433" t="s">
        <v>689</v>
      </c>
      <c r="E433" t="s">
        <v>770</v>
      </c>
      <c r="F433">
        <v>5</v>
      </c>
      <c r="G433" s="308">
        <f>'BECA MEDIA'!S65</f>
        <v>0</v>
      </c>
      <c r="H433" s="308">
        <f>'BECA MEDIA'!T65</f>
        <v>0</v>
      </c>
    </row>
    <row r="434" spans="1:8" x14ac:dyDescent="0.3">
      <c r="A434" t="s">
        <v>688</v>
      </c>
      <c r="B434" t="s">
        <v>86</v>
      </c>
      <c r="C434" t="s">
        <v>88</v>
      </c>
      <c r="D434" t="s">
        <v>689</v>
      </c>
      <c r="E434" t="s">
        <v>771</v>
      </c>
      <c r="F434">
        <v>6</v>
      </c>
      <c r="G434" s="308">
        <f>'BECA MEDIA'!V65</f>
        <v>5.2</v>
      </c>
      <c r="H434" s="308">
        <f>'BECA MEDIA'!W65</f>
        <v>13000</v>
      </c>
    </row>
    <row r="435" spans="1:8" x14ac:dyDescent="0.3">
      <c r="A435" t="s">
        <v>688</v>
      </c>
      <c r="B435" t="s">
        <v>86</v>
      </c>
      <c r="C435" t="s">
        <v>88</v>
      </c>
      <c r="D435" t="s">
        <v>689</v>
      </c>
      <c r="E435" t="s">
        <v>772</v>
      </c>
      <c r="F435">
        <v>7</v>
      </c>
      <c r="G435" s="308">
        <f>'BECA MEDIA'!Y65</f>
        <v>0</v>
      </c>
      <c r="H435" s="308">
        <f>'BECA MEDIA'!Z65</f>
        <v>0</v>
      </c>
    </row>
    <row r="436" spans="1:8" x14ac:dyDescent="0.3">
      <c r="A436" t="s">
        <v>688</v>
      </c>
      <c r="B436" t="s">
        <v>86</v>
      </c>
      <c r="C436" t="s">
        <v>89</v>
      </c>
      <c r="D436" t="s">
        <v>689</v>
      </c>
      <c r="E436" t="s">
        <v>766</v>
      </c>
      <c r="F436">
        <v>1</v>
      </c>
      <c r="G436" s="308">
        <f>'BECA MEDIA'!G66</f>
        <v>0</v>
      </c>
      <c r="H436" s="308">
        <f>'BECA MEDIA'!H66</f>
        <v>0</v>
      </c>
    </row>
    <row r="437" spans="1:8" x14ac:dyDescent="0.3">
      <c r="A437" t="s">
        <v>688</v>
      </c>
      <c r="B437" t="s">
        <v>86</v>
      </c>
      <c r="C437" t="s">
        <v>89</v>
      </c>
      <c r="D437" t="s">
        <v>689</v>
      </c>
      <c r="E437" t="s">
        <v>767</v>
      </c>
      <c r="F437">
        <v>2</v>
      </c>
      <c r="G437" s="308">
        <f>'BECA MEDIA'!J66</f>
        <v>0</v>
      </c>
      <c r="H437" s="308">
        <f>'BECA MEDIA'!K66</f>
        <v>0</v>
      </c>
    </row>
    <row r="438" spans="1:8" x14ac:dyDescent="0.3">
      <c r="A438" t="s">
        <v>688</v>
      </c>
      <c r="B438" t="s">
        <v>86</v>
      </c>
      <c r="C438" t="s">
        <v>89</v>
      </c>
      <c r="D438" t="s">
        <v>689</v>
      </c>
      <c r="E438" t="s">
        <v>768</v>
      </c>
      <c r="F438">
        <v>3</v>
      </c>
      <c r="G438" s="308">
        <f>'BECA MEDIA'!M66</f>
        <v>4.8</v>
      </c>
      <c r="H438" s="308">
        <f>'BECA MEDIA'!N66</f>
        <v>12000</v>
      </c>
    </row>
    <row r="439" spans="1:8" x14ac:dyDescent="0.3">
      <c r="A439" t="s">
        <v>688</v>
      </c>
      <c r="B439" t="s">
        <v>86</v>
      </c>
      <c r="C439" t="s">
        <v>89</v>
      </c>
      <c r="D439" t="s">
        <v>689</v>
      </c>
      <c r="E439" t="s">
        <v>769</v>
      </c>
      <c r="F439">
        <v>4</v>
      </c>
      <c r="G439" s="308">
        <f>'BECA MEDIA'!P66</f>
        <v>2.8</v>
      </c>
      <c r="H439" s="308">
        <f>'BECA MEDIA'!Q66</f>
        <v>7000</v>
      </c>
    </row>
    <row r="440" spans="1:8" x14ac:dyDescent="0.3">
      <c r="A440" t="s">
        <v>688</v>
      </c>
      <c r="B440" t="s">
        <v>86</v>
      </c>
      <c r="C440" t="s">
        <v>89</v>
      </c>
      <c r="D440" t="s">
        <v>689</v>
      </c>
      <c r="E440" t="s">
        <v>770</v>
      </c>
      <c r="F440">
        <v>5</v>
      </c>
      <c r="G440" s="308">
        <f>'BECA MEDIA'!S66</f>
        <v>0</v>
      </c>
      <c r="H440" s="308">
        <f>'BECA MEDIA'!T66</f>
        <v>0</v>
      </c>
    </row>
    <row r="441" spans="1:8" x14ac:dyDescent="0.3">
      <c r="A441" t="s">
        <v>688</v>
      </c>
      <c r="B441" t="s">
        <v>86</v>
      </c>
      <c r="C441" t="s">
        <v>89</v>
      </c>
      <c r="D441" t="s">
        <v>689</v>
      </c>
      <c r="E441" t="s">
        <v>771</v>
      </c>
      <c r="F441">
        <v>6</v>
      </c>
      <c r="G441" s="308">
        <f>'BECA MEDIA'!V66</f>
        <v>7.2</v>
      </c>
      <c r="H441" s="308">
        <f>'BECA MEDIA'!W66</f>
        <v>18000</v>
      </c>
    </row>
    <row r="442" spans="1:8" x14ac:dyDescent="0.3">
      <c r="A442" t="s">
        <v>688</v>
      </c>
      <c r="B442" t="s">
        <v>86</v>
      </c>
      <c r="C442" t="s">
        <v>89</v>
      </c>
      <c r="D442" t="s">
        <v>689</v>
      </c>
      <c r="E442" t="s">
        <v>772</v>
      </c>
      <c r="F442">
        <v>7</v>
      </c>
      <c r="G442" s="308">
        <f>'BECA MEDIA'!Y66</f>
        <v>0</v>
      </c>
      <c r="H442" s="308">
        <f>'BECA MEDIA'!Z66</f>
        <v>0</v>
      </c>
    </row>
    <row r="443" spans="1:8" x14ac:dyDescent="0.3">
      <c r="A443" t="s">
        <v>688</v>
      </c>
      <c r="B443" t="s">
        <v>86</v>
      </c>
      <c r="C443" t="s">
        <v>90</v>
      </c>
      <c r="D443" t="s">
        <v>689</v>
      </c>
      <c r="E443" t="s">
        <v>766</v>
      </c>
      <c r="F443">
        <v>1</v>
      </c>
      <c r="G443" s="308">
        <f>'BECA MEDIA'!G67</f>
        <v>0</v>
      </c>
      <c r="H443" s="308">
        <f>'BECA MEDIA'!H67</f>
        <v>0</v>
      </c>
    </row>
    <row r="444" spans="1:8" x14ac:dyDescent="0.3">
      <c r="A444" t="s">
        <v>688</v>
      </c>
      <c r="B444" t="s">
        <v>86</v>
      </c>
      <c r="C444" t="s">
        <v>90</v>
      </c>
      <c r="D444" t="s">
        <v>689</v>
      </c>
      <c r="E444" t="s">
        <v>767</v>
      </c>
      <c r="F444">
        <v>2</v>
      </c>
      <c r="G444" s="308">
        <f>'BECA MEDIA'!J67</f>
        <v>0</v>
      </c>
      <c r="H444" s="308">
        <f>'BECA MEDIA'!K67</f>
        <v>0</v>
      </c>
    </row>
    <row r="445" spans="1:8" x14ac:dyDescent="0.3">
      <c r="A445" t="s">
        <v>688</v>
      </c>
      <c r="B445" t="s">
        <v>86</v>
      </c>
      <c r="C445" t="s">
        <v>90</v>
      </c>
      <c r="D445" t="s">
        <v>689</v>
      </c>
      <c r="E445" t="s">
        <v>768</v>
      </c>
      <c r="F445">
        <v>3</v>
      </c>
      <c r="G445" s="308">
        <f>'BECA MEDIA'!M67</f>
        <v>8.4</v>
      </c>
      <c r="H445" s="308">
        <f>'BECA MEDIA'!N67</f>
        <v>21000</v>
      </c>
    </row>
    <row r="446" spans="1:8" x14ac:dyDescent="0.3">
      <c r="A446" t="s">
        <v>688</v>
      </c>
      <c r="B446" t="s">
        <v>86</v>
      </c>
      <c r="C446" t="s">
        <v>90</v>
      </c>
      <c r="D446" t="s">
        <v>689</v>
      </c>
      <c r="E446" t="s">
        <v>769</v>
      </c>
      <c r="F446">
        <v>4</v>
      </c>
      <c r="G446" s="308">
        <f>'BECA MEDIA'!P67</f>
        <v>2</v>
      </c>
      <c r="H446" s="308">
        <f>'BECA MEDIA'!Q67</f>
        <v>5000</v>
      </c>
    </row>
    <row r="447" spans="1:8" x14ac:dyDescent="0.3">
      <c r="A447" t="s">
        <v>688</v>
      </c>
      <c r="B447" t="s">
        <v>86</v>
      </c>
      <c r="C447" t="s">
        <v>90</v>
      </c>
      <c r="D447" t="s">
        <v>689</v>
      </c>
      <c r="E447" t="s">
        <v>770</v>
      </c>
      <c r="F447">
        <v>5</v>
      </c>
      <c r="G447" s="308">
        <f>'BECA MEDIA'!S67</f>
        <v>0</v>
      </c>
      <c r="H447" s="308">
        <f>'BECA MEDIA'!T67</f>
        <v>0</v>
      </c>
    </row>
    <row r="448" spans="1:8" x14ac:dyDescent="0.3">
      <c r="A448" t="s">
        <v>688</v>
      </c>
      <c r="B448" t="s">
        <v>86</v>
      </c>
      <c r="C448" t="s">
        <v>90</v>
      </c>
      <c r="D448" t="s">
        <v>689</v>
      </c>
      <c r="E448" t="s">
        <v>771</v>
      </c>
      <c r="F448">
        <v>6</v>
      </c>
      <c r="G448" s="308">
        <f>'BECA MEDIA'!V67</f>
        <v>10.4</v>
      </c>
      <c r="H448" s="308">
        <f>'BECA MEDIA'!W67</f>
        <v>26000</v>
      </c>
    </row>
    <row r="449" spans="1:8" x14ac:dyDescent="0.3">
      <c r="A449" t="s">
        <v>688</v>
      </c>
      <c r="B449" t="s">
        <v>86</v>
      </c>
      <c r="C449" t="s">
        <v>90</v>
      </c>
      <c r="D449" t="s">
        <v>689</v>
      </c>
      <c r="E449" t="s">
        <v>772</v>
      </c>
      <c r="F449">
        <v>7</v>
      </c>
      <c r="G449" s="308">
        <f>'BECA MEDIA'!Y67</f>
        <v>0</v>
      </c>
      <c r="H449" s="308">
        <f>'BECA MEDIA'!Z67</f>
        <v>0</v>
      </c>
    </row>
    <row r="450" spans="1:8" x14ac:dyDescent="0.3">
      <c r="A450" t="s">
        <v>688</v>
      </c>
      <c r="B450" t="s">
        <v>86</v>
      </c>
      <c r="C450" t="s">
        <v>91</v>
      </c>
      <c r="D450" t="s">
        <v>689</v>
      </c>
      <c r="E450" t="s">
        <v>766</v>
      </c>
      <c r="F450">
        <v>1</v>
      </c>
      <c r="G450" s="308">
        <f>'BECA MEDIA'!G68</f>
        <v>0</v>
      </c>
      <c r="H450" s="308">
        <f>'BECA MEDIA'!H68</f>
        <v>0</v>
      </c>
    </row>
    <row r="451" spans="1:8" x14ac:dyDescent="0.3">
      <c r="A451" t="s">
        <v>688</v>
      </c>
      <c r="B451" t="s">
        <v>86</v>
      </c>
      <c r="C451" t="s">
        <v>91</v>
      </c>
      <c r="D451" t="s">
        <v>689</v>
      </c>
      <c r="E451" t="s">
        <v>767</v>
      </c>
      <c r="F451">
        <v>2</v>
      </c>
      <c r="G451" s="308">
        <f>'BECA MEDIA'!J68</f>
        <v>0</v>
      </c>
      <c r="H451" s="308">
        <f>'BECA MEDIA'!K68</f>
        <v>0</v>
      </c>
    </row>
    <row r="452" spans="1:8" x14ac:dyDescent="0.3">
      <c r="A452" t="s">
        <v>688</v>
      </c>
      <c r="B452" t="s">
        <v>86</v>
      </c>
      <c r="C452" t="s">
        <v>91</v>
      </c>
      <c r="D452" t="s">
        <v>689</v>
      </c>
      <c r="E452" t="s">
        <v>768</v>
      </c>
      <c r="F452">
        <v>3</v>
      </c>
      <c r="G452" s="308">
        <f>'BECA MEDIA'!M68</f>
        <v>7.2</v>
      </c>
      <c r="H452" s="308">
        <f>'BECA MEDIA'!N68</f>
        <v>18000</v>
      </c>
    </row>
    <row r="453" spans="1:8" x14ac:dyDescent="0.3">
      <c r="A453" t="s">
        <v>688</v>
      </c>
      <c r="B453" t="s">
        <v>86</v>
      </c>
      <c r="C453" t="s">
        <v>91</v>
      </c>
      <c r="D453" t="s">
        <v>689</v>
      </c>
      <c r="E453" t="s">
        <v>769</v>
      </c>
      <c r="F453">
        <v>4</v>
      </c>
      <c r="G453" s="308">
        <f>'BECA MEDIA'!P68</f>
        <v>5.6</v>
      </c>
      <c r="H453" s="308">
        <f>'BECA MEDIA'!Q68</f>
        <v>14000</v>
      </c>
    </row>
    <row r="454" spans="1:8" x14ac:dyDescent="0.3">
      <c r="A454" t="s">
        <v>688</v>
      </c>
      <c r="B454" t="s">
        <v>86</v>
      </c>
      <c r="C454" t="s">
        <v>91</v>
      </c>
      <c r="D454" t="s">
        <v>689</v>
      </c>
      <c r="E454" t="s">
        <v>770</v>
      </c>
      <c r="F454">
        <v>5</v>
      </c>
      <c r="G454" s="308">
        <f>'BECA MEDIA'!S68</f>
        <v>0</v>
      </c>
      <c r="H454" s="308">
        <f>'BECA MEDIA'!T68</f>
        <v>0</v>
      </c>
    </row>
    <row r="455" spans="1:8" x14ac:dyDescent="0.3">
      <c r="A455" t="s">
        <v>688</v>
      </c>
      <c r="B455" t="s">
        <v>86</v>
      </c>
      <c r="C455" t="s">
        <v>91</v>
      </c>
      <c r="D455" t="s">
        <v>689</v>
      </c>
      <c r="E455" t="s">
        <v>771</v>
      </c>
      <c r="F455">
        <v>6</v>
      </c>
      <c r="G455" s="308">
        <f>'BECA MEDIA'!V68</f>
        <v>12.4</v>
      </c>
      <c r="H455" s="308">
        <f>'BECA MEDIA'!W68</f>
        <v>31000</v>
      </c>
    </row>
    <row r="456" spans="1:8" x14ac:dyDescent="0.3">
      <c r="A456" t="s">
        <v>688</v>
      </c>
      <c r="B456" t="s">
        <v>86</v>
      </c>
      <c r="C456" t="s">
        <v>91</v>
      </c>
      <c r="D456" t="s">
        <v>689</v>
      </c>
      <c r="E456" t="s">
        <v>772</v>
      </c>
      <c r="F456">
        <v>7</v>
      </c>
      <c r="G456" s="308">
        <f>'BECA MEDIA'!Y68</f>
        <v>0</v>
      </c>
      <c r="H456" s="308">
        <f>'BECA MEDIA'!Z68</f>
        <v>0</v>
      </c>
    </row>
    <row r="457" spans="1:8" x14ac:dyDescent="0.3">
      <c r="A457" t="s">
        <v>688</v>
      </c>
      <c r="B457" t="s">
        <v>86</v>
      </c>
      <c r="C457" t="s">
        <v>92</v>
      </c>
      <c r="D457" t="s">
        <v>689</v>
      </c>
      <c r="E457" t="s">
        <v>766</v>
      </c>
      <c r="F457">
        <v>1</v>
      </c>
      <c r="G457" s="308">
        <f>'BECA MEDIA'!G69</f>
        <v>0</v>
      </c>
      <c r="H457" s="308">
        <f>'BECA MEDIA'!H69</f>
        <v>0</v>
      </c>
    </row>
    <row r="458" spans="1:8" x14ac:dyDescent="0.3">
      <c r="A458" t="s">
        <v>688</v>
      </c>
      <c r="B458" t="s">
        <v>86</v>
      </c>
      <c r="C458" t="s">
        <v>92</v>
      </c>
      <c r="D458" t="s">
        <v>689</v>
      </c>
      <c r="E458" t="s">
        <v>767</v>
      </c>
      <c r="F458">
        <v>2</v>
      </c>
      <c r="G458" s="308">
        <f>'BECA MEDIA'!J69</f>
        <v>0</v>
      </c>
      <c r="H458" s="308">
        <f>'BECA MEDIA'!K69</f>
        <v>0</v>
      </c>
    </row>
    <row r="459" spans="1:8" x14ac:dyDescent="0.3">
      <c r="A459" t="s">
        <v>688</v>
      </c>
      <c r="B459" t="s">
        <v>86</v>
      </c>
      <c r="C459" t="s">
        <v>92</v>
      </c>
      <c r="D459" t="s">
        <v>689</v>
      </c>
      <c r="E459" t="s">
        <v>768</v>
      </c>
      <c r="F459">
        <v>3</v>
      </c>
      <c r="G459" s="308">
        <f>'BECA MEDIA'!M69</f>
        <v>7.6</v>
      </c>
      <c r="H459" s="308">
        <f>'BECA MEDIA'!N69</f>
        <v>19000</v>
      </c>
    </row>
    <row r="460" spans="1:8" x14ac:dyDescent="0.3">
      <c r="A460" t="s">
        <v>688</v>
      </c>
      <c r="B460" t="s">
        <v>86</v>
      </c>
      <c r="C460" t="s">
        <v>92</v>
      </c>
      <c r="D460" t="s">
        <v>689</v>
      </c>
      <c r="E460" t="s">
        <v>769</v>
      </c>
      <c r="F460">
        <v>4</v>
      </c>
      <c r="G460" s="308">
        <f>'BECA MEDIA'!P69</f>
        <v>1.6</v>
      </c>
      <c r="H460" s="308">
        <f>'BECA MEDIA'!Q69</f>
        <v>4000</v>
      </c>
    </row>
    <row r="461" spans="1:8" x14ac:dyDescent="0.3">
      <c r="A461" t="s">
        <v>688</v>
      </c>
      <c r="B461" t="s">
        <v>86</v>
      </c>
      <c r="C461" t="s">
        <v>92</v>
      </c>
      <c r="D461" t="s">
        <v>689</v>
      </c>
      <c r="E461" t="s">
        <v>770</v>
      </c>
      <c r="F461">
        <v>5</v>
      </c>
      <c r="G461" s="308">
        <f>'BECA MEDIA'!S69</f>
        <v>0</v>
      </c>
      <c r="H461" s="308">
        <f>'BECA MEDIA'!T69</f>
        <v>0</v>
      </c>
    </row>
    <row r="462" spans="1:8" x14ac:dyDescent="0.3">
      <c r="A462" t="s">
        <v>688</v>
      </c>
      <c r="B462" t="s">
        <v>86</v>
      </c>
      <c r="C462" t="s">
        <v>92</v>
      </c>
      <c r="D462" t="s">
        <v>689</v>
      </c>
      <c r="E462" t="s">
        <v>771</v>
      </c>
      <c r="F462">
        <v>6</v>
      </c>
      <c r="G462" s="308">
        <f>'BECA MEDIA'!V69</f>
        <v>8.8000000000000007</v>
      </c>
      <c r="H462" s="308">
        <f>'BECA MEDIA'!W69</f>
        <v>22000</v>
      </c>
    </row>
    <row r="463" spans="1:8" x14ac:dyDescent="0.3">
      <c r="A463" t="s">
        <v>688</v>
      </c>
      <c r="B463" t="s">
        <v>86</v>
      </c>
      <c r="C463" t="s">
        <v>92</v>
      </c>
      <c r="D463" t="s">
        <v>689</v>
      </c>
      <c r="E463" t="s">
        <v>772</v>
      </c>
      <c r="F463">
        <v>7</v>
      </c>
      <c r="G463" s="308">
        <f>'BECA MEDIA'!Y69</f>
        <v>0</v>
      </c>
      <c r="H463" s="308">
        <f>'BECA MEDIA'!Z69</f>
        <v>0</v>
      </c>
    </row>
    <row r="464" spans="1:8" x14ac:dyDescent="0.3">
      <c r="A464" t="s">
        <v>688</v>
      </c>
      <c r="B464" t="s">
        <v>86</v>
      </c>
      <c r="C464" t="s">
        <v>93</v>
      </c>
      <c r="D464" t="s">
        <v>689</v>
      </c>
      <c r="E464" t="s">
        <v>766</v>
      </c>
      <c r="F464">
        <v>1</v>
      </c>
      <c r="G464" s="308">
        <f>'BECA MEDIA'!G70</f>
        <v>0</v>
      </c>
      <c r="H464" s="308">
        <f>'BECA MEDIA'!H70</f>
        <v>0</v>
      </c>
    </row>
    <row r="465" spans="1:8" x14ac:dyDescent="0.3">
      <c r="A465" t="s">
        <v>688</v>
      </c>
      <c r="B465" t="s">
        <v>86</v>
      </c>
      <c r="C465" t="s">
        <v>93</v>
      </c>
      <c r="D465" t="s">
        <v>689</v>
      </c>
      <c r="E465" t="s">
        <v>767</v>
      </c>
      <c r="F465">
        <v>2</v>
      </c>
      <c r="G465" s="308">
        <f>'BECA MEDIA'!J70</f>
        <v>0</v>
      </c>
      <c r="H465" s="308">
        <f>'BECA MEDIA'!K70</f>
        <v>0</v>
      </c>
    </row>
    <row r="466" spans="1:8" x14ac:dyDescent="0.3">
      <c r="A466" t="s">
        <v>688</v>
      </c>
      <c r="B466" t="s">
        <v>86</v>
      </c>
      <c r="C466" t="s">
        <v>93</v>
      </c>
      <c r="D466" t="s">
        <v>689</v>
      </c>
      <c r="E466" t="s">
        <v>768</v>
      </c>
      <c r="F466">
        <v>3</v>
      </c>
      <c r="G466" s="308">
        <f>'BECA MEDIA'!M70</f>
        <v>4.8</v>
      </c>
      <c r="H466" s="308">
        <f>'BECA MEDIA'!N70</f>
        <v>12000</v>
      </c>
    </row>
    <row r="467" spans="1:8" x14ac:dyDescent="0.3">
      <c r="A467" t="s">
        <v>688</v>
      </c>
      <c r="B467" t="s">
        <v>86</v>
      </c>
      <c r="C467" t="s">
        <v>93</v>
      </c>
      <c r="D467" t="s">
        <v>689</v>
      </c>
      <c r="E467" t="s">
        <v>769</v>
      </c>
      <c r="F467">
        <v>4</v>
      </c>
      <c r="G467" s="308">
        <f>'BECA MEDIA'!P70</f>
        <v>1.6</v>
      </c>
      <c r="H467" s="308">
        <f>'BECA MEDIA'!Q70</f>
        <v>4000</v>
      </c>
    </row>
    <row r="468" spans="1:8" x14ac:dyDescent="0.3">
      <c r="A468" t="s">
        <v>688</v>
      </c>
      <c r="B468" t="s">
        <v>86</v>
      </c>
      <c r="C468" t="s">
        <v>93</v>
      </c>
      <c r="D468" t="s">
        <v>689</v>
      </c>
      <c r="E468" t="s">
        <v>770</v>
      </c>
      <c r="F468">
        <v>5</v>
      </c>
      <c r="G468" s="308">
        <f>'BECA MEDIA'!S70</f>
        <v>0</v>
      </c>
      <c r="H468" s="308">
        <f>'BECA MEDIA'!T70</f>
        <v>0</v>
      </c>
    </row>
    <row r="469" spans="1:8" x14ac:dyDescent="0.3">
      <c r="A469" t="s">
        <v>688</v>
      </c>
      <c r="B469" t="s">
        <v>86</v>
      </c>
      <c r="C469" t="s">
        <v>93</v>
      </c>
      <c r="D469" t="s">
        <v>689</v>
      </c>
      <c r="E469" t="s">
        <v>771</v>
      </c>
      <c r="F469">
        <v>6</v>
      </c>
      <c r="G469" s="308">
        <f>'BECA MEDIA'!V70</f>
        <v>6</v>
      </c>
      <c r="H469" s="308">
        <f>'BECA MEDIA'!W70</f>
        <v>15000</v>
      </c>
    </row>
    <row r="470" spans="1:8" x14ac:dyDescent="0.3">
      <c r="A470" t="s">
        <v>688</v>
      </c>
      <c r="B470" t="s">
        <v>86</v>
      </c>
      <c r="C470" t="s">
        <v>93</v>
      </c>
      <c r="D470" t="s">
        <v>689</v>
      </c>
      <c r="E470" t="s">
        <v>772</v>
      </c>
      <c r="F470">
        <v>7</v>
      </c>
      <c r="G470" s="308">
        <f>'BECA MEDIA'!Y70</f>
        <v>0</v>
      </c>
      <c r="H470" s="308">
        <f>'BECA MEDIA'!Z70</f>
        <v>0</v>
      </c>
    </row>
    <row r="471" spans="1:8" x14ac:dyDescent="0.3">
      <c r="A471" t="s">
        <v>688</v>
      </c>
      <c r="B471" t="s">
        <v>86</v>
      </c>
      <c r="C471" t="s">
        <v>94</v>
      </c>
      <c r="D471" t="s">
        <v>689</v>
      </c>
      <c r="E471" t="s">
        <v>766</v>
      </c>
      <c r="F471">
        <v>1</v>
      </c>
      <c r="G471" s="308">
        <f>'BECA MEDIA'!G71</f>
        <v>0</v>
      </c>
      <c r="H471" s="308">
        <f>'BECA MEDIA'!H71</f>
        <v>0</v>
      </c>
    </row>
    <row r="472" spans="1:8" x14ac:dyDescent="0.3">
      <c r="A472" t="s">
        <v>688</v>
      </c>
      <c r="B472" t="s">
        <v>86</v>
      </c>
      <c r="C472" t="s">
        <v>94</v>
      </c>
      <c r="D472" t="s">
        <v>689</v>
      </c>
      <c r="E472" t="s">
        <v>767</v>
      </c>
      <c r="F472">
        <v>2</v>
      </c>
      <c r="G472" s="308">
        <f>'BECA MEDIA'!J71</f>
        <v>0</v>
      </c>
      <c r="H472" s="308">
        <f>'BECA MEDIA'!K71</f>
        <v>0</v>
      </c>
    </row>
    <row r="473" spans="1:8" x14ac:dyDescent="0.3">
      <c r="A473" t="s">
        <v>688</v>
      </c>
      <c r="B473" t="s">
        <v>86</v>
      </c>
      <c r="C473" t="s">
        <v>94</v>
      </c>
      <c r="D473" t="s">
        <v>689</v>
      </c>
      <c r="E473" t="s">
        <v>768</v>
      </c>
      <c r="F473">
        <v>3</v>
      </c>
      <c r="G473" s="308">
        <f>'BECA MEDIA'!M71</f>
        <v>5.6</v>
      </c>
      <c r="H473" s="308">
        <f>'BECA MEDIA'!N71</f>
        <v>14000</v>
      </c>
    </row>
    <row r="474" spans="1:8" x14ac:dyDescent="0.3">
      <c r="A474" t="s">
        <v>688</v>
      </c>
      <c r="B474" t="s">
        <v>86</v>
      </c>
      <c r="C474" t="s">
        <v>94</v>
      </c>
      <c r="D474" t="s">
        <v>689</v>
      </c>
      <c r="E474" t="s">
        <v>769</v>
      </c>
      <c r="F474">
        <v>4</v>
      </c>
      <c r="G474" s="308">
        <f>'BECA MEDIA'!P71</f>
        <v>1.2</v>
      </c>
      <c r="H474" s="308">
        <f>'BECA MEDIA'!Q71</f>
        <v>3000</v>
      </c>
    </row>
    <row r="475" spans="1:8" x14ac:dyDescent="0.3">
      <c r="A475" t="s">
        <v>688</v>
      </c>
      <c r="B475" t="s">
        <v>86</v>
      </c>
      <c r="C475" t="s">
        <v>94</v>
      </c>
      <c r="D475" t="s">
        <v>689</v>
      </c>
      <c r="E475" t="s">
        <v>770</v>
      </c>
      <c r="F475">
        <v>5</v>
      </c>
      <c r="G475" s="308">
        <f>'BECA MEDIA'!S71</f>
        <v>0</v>
      </c>
      <c r="H475" s="308">
        <f>'BECA MEDIA'!T71</f>
        <v>0</v>
      </c>
    </row>
    <row r="476" spans="1:8" x14ac:dyDescent="0.3">
      <c r="A476" t="s">
        <v>688</v>
      </c>
      <c r="B476" t="s">
        <v>86</v>
      </c>
      <c r="C476" t="s">
        <v>94</v>
      </c>
      <c r="D476" t="s">
        <v>689</v>
      </c>
      <c r="E476" t="s">
        <v>771</v>
      </c>
      <c r="F476">
        <v>6</v>
      </c>
      <c r="G476" s="308">
        <f>'BECA MEDIA'!V71</f>
        <v>6.4</v>
      </c>
      <c r="H476" s="308">
        <f>'BECA MEDIA'!W71</f>
        <v>16000</v>
      </c>
    </row>
    <row r="477" spans="1:8" x14ac:dyDescent="0.3">
      <c r="A477" t="s">
        <v>688</v>
      </c>
      <c r="B477" t="s">
        <v>86</v>
      </c>
      <c r="C477" t="s">
        <v>94</v>
      </c>
      <c r="D477" t="s">
        <v>689</v>
      </c>
      <c r="E477" t="s">
        <v>772</v>
      </c>
      <c r="F477">
        <v>7</v>
      </c>
      <c r="G477" s="308">
        <f>'BECA MEDIA'!Y71</f>
        <v>0</v>
      </c>
      <c r="H477" s="308">
        <f>'BECA MEDIA'!Z71</f>
        <v>0</v>
      </c>
    </row>
    <row r="478" spans="1:8" x14ac:dyDescent="0.3">
      <c r="A478" t="s">
        <v>688</v>
      </c>
      <c r="B478" t="s">
        <v>86</v>
      </c>
      <c r="C478" t="s">
        <v>95</v>
      </c>
      <c r="D478" t="s">
        <v>689</v>
      </c>
      <c r="E478" t="s">
        <v>766</v>
      </c>
      <c r="F478">
        <v>1</v>
      </c>
      <c r="G478" s="308">
        <f>'BECA MEDIA'!G72</f>
        <v>0</v>
      </c>
      <c r="H478" s="308">
        <f>'BECA MEDIA'!H72</f>
        <v>0</v>
      </c>
    </row>
    <row r="479" spans="1:8" x14ac:dyDescent="0.3">
      <c r="A479" t="s">
        <v>688</v>
      </c>
      <c r="B479" t="s">
        <v>86</v>
      </c>
      <c r="C479" t="s">
        <v>95</v>
      </c>
      <c r="D479" t="s">
        <v>689</v>
      </c>
      <c r="E479" t="s">
        <v>767</v>
      </c>
      <c r="F479">
        <v>2</v>
      </c>
      <c r="G479" s="308">
        <f>'BECA MEDIA'!J72</f>
        <v>0</v>
      </c>
      <c r="H479" s="308">
        <f>'BECA MEDIA'!K72</f>
        <v>0</v>
      </c>
    </row>
    <row r="480" spans="1:8" x14ac:dyDescent="0.3">
      <c r="A480" t="s">
        <v>688</v>
      </c>
      <c r="B480" t="s">
        <v>86</v>
      </c>
      <c r="C480" t="s">
        <v>95</v>
      </c>
      <c r="D480" t="s">
        <v>689</v>
      </c>
      <c r="E480" t="s">
        <v>768</v>
      </c>
      <c r="F480">
        <v>3</v>
      </c>
      <c r="G480" s="308">
        <f>'BECA MEDIA'!M72</f>
        <v>3.2</v>
      </c>
      <c r="H480" s="308">
        <f>'BECA MEDIA'!N72</f>
        <v>8000</v>
      </c>
    </row>
    <row r="481" spans="1:8" x14ac:dyDescent="0.3">
      <c r="A481" t="s">
        <v>688</v>
      </c>
      <c r="B481" t="s">
        <v>86</v>
      </c>
      <c r="C481" t="s">
        <v>95</v>
      </c>
      <c r="D481" t="s">
        <v>689</v>
      </c>
      <c r="E481" t="s">
        <v>769</v>
      </c>
      <c r="F481">
        <v>4</v>
      </c>
      <c r="G481" s="308">
        <f>'BECA MEDIA'!P72</f>
        <v>2</v>
      </c>
      <c r="H481" s="308">
        <f>'BECA MEDIA'!Q72</f>
        <v>5000</v>
      </c>
    </row>
    <row r="482" spans="1:8" x14ac:dyDescent="0.3">
      <c r="A482" t="s">
        <v>688</v>
      </c>
      <c r="B482" t="s">
        <v>86</v>
      </c>
      <c r="C482" t="s">
        <v>95</v>
      </c>
      <c r="D482" t="s">
        <v>689</v>
      </c>
      <c r="E482" t="s">
        <v>770</v>
      </c>
      <c r="F482">
        <v>5</v>
      </c>
      <c r="G482" s="308">
        <f>'BECA MEDIA'!S72</f>
        <v>0</v>
      </c>
      <c r="H482" s="308">
        <f>'BECA MEDIA'!T72</f>
        <v>0</v>
      </c>
    </row>
    <row r="483" spans="1:8" x14ac:dyDescent="0.3">
      <c r="A483" t="s">
        <v>688</v>
      </c>
      <c r="B483" t="s">
        <v>86</v>
      </c>
      <c r="C483" t="s">
        <v>95</v>
      </c>
      <c r="D483" t="s">
        <v>689</v>
      </c>
      <c r="E483" t="s">
        <v>771</v>
      </c>
      <c r="F483">
        <v>6</v>
      </c>
      <c r="G483" s="308">
        <f>'BECA MEDIA'!V72</f>
        <v>5.6</v>
      </c>
      <c r="H483" s="308">
        <f>'BECA MEDIA'!W72</f>
        <v>14000</v>
      </c>
    </row>
    <row r="484" spans="1:8" x14ac:dyDescent="0.3">
      <c r="A484" t="s">
        <v>688</v>
      </c>
      <c r="B484" t="s">
        <v>86</v>
      </c>
      <c r="C484" t="s">
        <v>95</v>
      </c>
      <c r="D484" t="s">
        <v>689</v>
      </c>
      <c r="E484" t="s">
        <v>772</v>
      </c>
      <c r="F484">
        <v>7</v>
      </c>
      <c r="G484" s="308">
        <f>'BECA MEDIA'!Y72</f>
        <v>0</v>
      </c>
      <c r="H484" s="308">
        <f>'BECA MEDIA'!Z72</f>
        <v>0</v>
      </c>
    </row>
    <row r="485" spans="1:8" x14ac:dyDescent="0.3">
      <c r="A485" t="s">
        <v>688</v>
      </c>
      <c r="B485" t="s">
        <v>86</v>
      </c>
      <c r="C485" t="s">
        <v>96</v>
      </c>
      <c r="D485" t="s">
        <v>689</v>
      </c>
      <c r="E485" t="s">
        <v>766</v>
      </c>
      <c r="F485">
        <v>1</v>
      </c>
      <c r="G485" s="308">
        <f>'BECA MEDIA'!G73</f>
        <v>0</v>
      </c>
      <c r="H485" s="308">
        <f>'BECA MEDIA'!H73</f>
        <v>0</v>
      </c>
    </row>
    <row r="486" spans="1:8" x14ac:dyDescent="0.3">
      <c r="A486" t="s">
        <v>688</v>
      </c>
      <c r="B486" t="s">
        <v>86</v>
      </c>
      <c r="C486" t="s">
        <v>96</v>
      </c>
      <c r="D486" t="s">
        <v>689</v>
      </c>
      <c r="E486" t="s">
        <v>767</v>
      </c>
      <c r="F486">
        <v>2</v>
      </c>
      <c r="G486" s="308">
        <f>'BECA MEDIA'!J73</f>
        <v>0</v>
      </c>
      <c r="H486" s="308">
        <f>'BECA MEDIA'!K73</f>
        <v>0</v>
      </c>
    </row>
    <row r="487" spans="1:8" x14ac:dyDescent="0.3">
      <c r="A487" t="s">
        <v>688</v>
      </c>
      <c r="B487" t="s">
        <v>86</v>
      </c>
      <c r="C487" t="s">
        <v>96</v>
      </c>
      <c r="D487" t="s">
        <v>689</v>
      </c>
      <c r="E487" t="s">
        <v>768</v>
      </c>
      <c r="F487">
        <v>3</v>
      </c>
      <c r="G487" s="308">
        <f>'BECA MEDIA'!M73</f>
        <v>3.2</v>
      </c>
      <c r="H487" s="308">
        <f>'BECA MEDIA'!N73</f>
        <v>8000</v>
      </c>
    </row>
    <row r="488" spans="1:8" x14ac:dyDescent="0.3">
      <c r="A488" t="s">
        <v>688</v>
      </c>
      <c r="B488" t="s">
        <v>86</v>
      </c>
      <c r="C488" t="s">
        <v>96</v>
      </c>
      <c r="D488" t="s">
        <v>689</v>
      </c>
      <c r="E488" t="s">
        <v>769</v>
      </c>
      <c r="F488">
        <v>4</v>
      </c>
      <c r="G488" s="308">
        <f>'BECA MEDIA'!P73</f>
        <v>2.4</v>
      </c>
      <c r="H488" s="308">
        <f>'BECA MEDIA'!Q73</f>
        <v>6000</v>
      </c>
    </row>
    <row r="489" spans="1:8" x14ac:dyDescent="0.3">
      <c r="A489" t="s">
        <v>688</v>
      </c>
      <c r="B489" t="s">
        <v>86</v>
      </c>
      <c r="C489" t="s">
        <v>96</v>
      </c>
      <c r="D489" t="s">
        <v>689</v>
      </c>
      <c r="E489" t="s">
        <v>770</v>
      </c>
      <c r="F489">
        <v>5</v>
      </c>
      <c r="G489" s="308">
        <f>'BECA MEDIA'!S73</f>
        <v>0</v>
      </c>
      <c r="H489" s="308">
        <f>'BECA MEDIA'!T73</f>
        <v>0</v>
      </c>
    </row>
    <row r="490" spans="1:8" x14ac:dyDescent="0.3">
      <c r="A490" t="s">
        <v>688</v>
      </c>
      <c r="B490" t="s">
        <v>86</v>
      </c>
      <c r="C490" t="s">
        <v>96</v>
      </c>
      <c r="D490" t="s">
        <v>689</v>
      </c>
      <c r="E490" t="s">
        <v>771</v>
      </c>
      <c r="F490">
        <v>6</v>
      </c>
      <c r="G490" s="308">
        <f>'BECA MEDIA'!V73</f>
        <v>5.2</v>
      </c>
      <c r="H490" s="308">
        <f>'BECA MEDIA'!W73</f>
        <v>13000</v>
      </c>
    </row>
    <row r="491" spans="1:8" x14ac:dyDescent="0.3">
      <c r="A491" t="s">
        <v>688</v>
      </c>
      <c r="B491" t="s">
        <v>86</v>
      </c>
      <c r="C491" t="s">
        <v>96</v>
      </c>
      <c r="D491" t="s">
        <v>689</v>
      </c>
      <c r="E491" t="s">
        <v>772</v>
      </c>
      <c r="F491">
        <v>7</v>
      </c>
      <c r="G491" s="308">
        <f>'BECA MEDIA'!Y73</f>
        <v>0</v>
      </c>
      <c r="H491" s="308">
        <f>'BECA MEDIA'!Z73</f>
        <v>0</v>
      </c>
    </row>
    <row r="492" spans="1:8" x14ac:dyDescent="0.3">
      <c r="A492" t="s">
        <v>688</v>
      </c>
      <c r="B492" t="s">
        <v>86</v>
      </c>
      <c r="C492" t="s">
        <v>386</v>
      </c>
      <c r="D492" t="s">
        <v>689</v>
      </c>
      <c r="E492" t="s">
        <v>766</v>
      </c>
      <c r="F492">
        <v>1</v>
      </c>
      <c r="G492" s="308">
        <f>'BECA MEDIA'!G74</f>
        <v>0</v>
      </c>
      <c r="H492" s="308">
        <f>'BECA MEDIA'!H74</f>
        <v>0</v>
      </c>
    </row>
    <row r="493" spans="1:8" x14ac:dyDescent="0.3">
      <c r="A493" t="s">
        <v>688</v>
      </c>
      <c r="B493" t="s">
        <v>86</v>
      </c>
      <c r="C493" t="s">
        <v>386</v>
      </c>
      <c r="D493" t="s">
        <v>689</v>
      </c>
      <c r="E493" t="s">
        <v>767</v>
      </c>
      <c r="F493">
        <v>2</v>
      </c>
      <c r="G493" s="308">
        <f>'BECA MEDIA'!J74</f>
        <v>0</v>
      </c>
      <c r="H493" s="308">
        <f>'BECA MEDIA'!K74</f>
        <v>0</v>
      </c>
    </row>
    <row r="494" spans="1:8" x14ac:dyDescent="0.3">
      <c r="A494" t="s">
        <v>688</v>
      </c>
      <c r="B494" t="s">
        <v>86</v>
      </c>
      <c r="C494" t="s">
        <v>386</v>
      </c>
      <c r="D494" t="s">
        <v>689</v>
      </c>
      <c r="E494" t="s">
        <v>768</v>
      </c>
      <c r="F494">
        <v>3</v>
      </c>
      <c r="G494" s="308">
        <f>'BECA MEDIA'!M74</f>
        <v>6.8</v>
      </c>
      <c r="H494" s="308">
        <f>'BECA MEDIA'!N74</f>
        <v>17000</v>
      </c>
    </row>
    <row r="495" spans="1:8" x14ac:dyDescent="0.3">
      <c r="A495" t="s">
        <v>688</v>
      </c>
      <c r="B495" t="s">
        <v>86</v>
      </c>
      <c r="C495" t="s">
        <v>386</v>
      </c>
      <c r="D495" t="s">
        <v>689</v>
      </c>
      <c r="E495" t="s">
        <v>769</v>
      </c>
      <c r="F495">
        <v>4</v>
      </c>
      <c r="G495" s="308">
        <f>'BECA MEDIA'!P74</f>
        <v>3.2</v>
      </c>
      <c r="H495" s="308">
        <f>'BECA MEDIA'!Q74</f>
        <v>8000</v>
      </c>
    </row>
    <row r="496" spans="1:8" x14ac:dyDescent="0.3">
      <c r="A496" t="s">
        <v>688</v>
      </c>
      <c r="B496" t="s">
        <v>86</v>
      </c>
      <c r="C496" t="s">
        <v>386</v>
      </c>
      <c r="D496" t="s">
        <v>689</v>
      </c>
      <c r="E496" t="s">
        <v>770</v>
      </c>
      <c r="F496">
        <v>5</v>
      </c>
      <c r="G496" s="308">
        <f>'BECA MEDIA'!S74</f>
        <v>0</v>
      </c>
      <c r="H496" s="308">
        <f>'BECA MEDIA'!T74</f>
        <v>0</v>
      </c>
    </row>
    <row r="497" spans="1:8" x14ac:dyDescent="0.3">
      <c r="A497" t="s">
        <v>688</v>
      </c>
      <c r="B497" t="s">
        <v>86</v>
      </c>
      <c r="C497" t="s">
        <v>386</v>
      </c>
      <c r="D497" t="s">
        <v>689</v>
      </c>
      <c r="E497" t="s">
        <v>771</v>
      </c>
      <c r="F497">
        <v>6</v>
      </c>
      <c r="G497" s="308">
        <f>'BECA MEDIA'!V74</f>
        <v>10</v>
      </c>
      <c r="H497" s="308">
        <f>'BECA MEDIA'!W74</f>
        <v>25000</v>
      </c>
    </row>
    <row r="498" spans="1:8" x14ac:dyDescent="0.3">
      <c r="A498" t="s">
        <v>688</v>
      </c>
      <c r="B498" t="s">
        <v>86</v>
      </c>
      <c r="C498" t="s">
        <v>386</v>
      </c>
      <c r="D498" t="s">
        <v>689</v>
      </c>
      <c r="E498" t="s">
        <v>772</v>
      </c>
      <c r="F498">
        <v>7</v>
      </c>
      <c r="G498" s="308">
        <f>'BECA MEDIA'!Y74</f>
        <v>0</v>
      </c>
      <c r="H498" s="308">
        <f>'BECA MEDIA'!Z74</f>
        <v>0</v>
      </c>
    </row>
    <row r="499" spans="1:8" x14ac:dyDescent="0.3">
      <c r="A499" t="s">
        <v>688</v>
      </c>
      <c r="B499" t="s">
        <v>86</v>
      </c>
      <c r="C499" t="s">
        <v>98</v>
      </c>
      <c r="D499" t="s">
        <v>689</v>
      </c>
      <c r="E499" t="s">
        <v>766</v>
      </c>
      <c r="F499">
        <v>1</v>
      </c>
      <c r="G499" s="308">
        <f>'BECA MEDIA'!G75</f>
        <v>0</v>
      </c>
      <c r="H499" s="308">
        <f>'BECA MEDIA'!H75</f>
        <v>0</v>
      </c>
    </row>
    <row r="500" spans="1:8" x14ac:dyDescent="0.3">
      <c r="A500" t="s">
        <v>688</v>
      </c>
      <c r="B500" t="s">
        <v>86</v>
      </c>
      <c r="C500" t="s">
        <v>98</v>
      </c>
      <c r="D500" t="s">
        <v>689</v>
      </c>
      <c r="E500" t="s">
        <v>767</v>
      </c>
      <c r="F500">
        <v>2</v>
      </c>
      <c r="G500" s="308">
        <f>'BECA MEDIA'!J75</f>
        <v>0</v>
      </c>
      <c r="H500" s="308">
        <f>'BECA MEDIA'!K75</f>
        <v>0</v>
      </c>
    </row>
    <row r="501" spans="1:8" x14ac:dyDescent="0.3">
      <c r="A501" t="s">
        <v>688</v>
      </c>
      <c r="B501" t="s">
        <v>86</v>
      </c>
      <c r="C501" t="s">
        <v>98</v>
      </c>
      <c r="D501" t="s">
        <v>689</v>
      </c>
      <c r="E501" t="s">
        <v>768</v>
      </c>
      <c r="F501">
        <v>3</v>
      </c>
      <c r="G501" s="308">
        <f>'BECA MEDIA'!M75</f>
        <v>6.8</v>
      </c>
      <c r="H501" s="308">
        <f>'BECA MEDIA'!N75</f>
        <v>17000</v>
      </c>
    </row>
    <row r="502" spans="1:8" x14ac:dyDescent="0.3">
      <c r="A502" t="s">
        <v>688</v>
      </c>
      <c r="B502" t="s">
        <v>86</v>
      </c>
      <c r="C502" t="s">
        <v>98</v>
      </c>
      <c r="D502" t="s">
        <v>689</v>
      </c>
      <c r="E502" t="s">
        <v>769</v>
      </c>
      <c r="F502">
        <v>4</v>
      </c>
      <c r="G502" s="308">
        <f>'BECA MEDIA'!P75</f>
        <v>1.2</v>
      </c>
      <c r="H502" s="308">
        <f>'BECA MEDIA'!Q75</f>
        <v>3000</v>
      </c>
    </row>
    <row r="503" spans="1:8" x14ac:dyDescent="0.3">
      <c r="A503" t="s">
        <v>688</v>
      </c>
      <c r="B503" t="s">
        <v>86</v>
      </c>
      <c r="C503" t="s">
        <v>98</v>
      </c>
      <c r="D503" t="s">
        <v>689</v>
      </c>
      <c r="E503" t="s">
        <v>770</v>
      </c>
      <c r="F503">
        <v>5</v>
      </c>
      <c r="G503" s="308">
        <f>'BECA MEDIA'!S75</f>
        <v>0</v>
      </c>
      <c r="H503" s="308">
        <f>'BECA MEDIA'!T75</f>
        <v>0</v>
      </c>
    </row>
    <row r="504" spans="1:8" x14ac:dyDescent="0.3">
      <c r="A504" t="s">
        <v>688</v>
      </c>
      <c r="B504" t="s">
        <v>86</v>
      </c>
      <c r="C504" t="s">
        <v>98</v>
      </c>
      <c r="D504" t="s">
        <v>689</v>
      </c>
      <c r="E504" t="s">
        <v>771</v>
      </c>
      <c r="F504">
        <v>6</v>
      </c>
      <c r="G504" s="308">
        <f>'BECA MEDIA'!V75</f>
        <v>7.2</v>
      </c>
      <c r="H504" s="308">
        <f>'BECA MEDIA'!W75</f>
        <v>18000</v>
      </c>
    </row>
    <row r="505" spans="1:8" x14ac:dyDescent="0.3">
      <c r="A505" t="s">
        <v>688</v>
      </c>
      <c r="B505" t="s">
        <v>86</v>
      </c>
      <c r="C505" t="s">
        <v>98</v>
      </c>
      <c r="D505" t="s">
        <v>689</v>
      </c>
      <c r="E505" t="s">
        <v>772</v>
      </c>
      <c r="F505">
        <v>7</v>
      </c>
      <c r="G505" s="308">
        <f>'BECA MEDIA'!Y75</f>
        <v>0</v>
      </c>
      <c r="H505" s="308">
        <f>'BECA MEDIA'!Z75</f>
        <v>0</v>
      </c>
    </row>
    <row r="506" spans="1:8" x14ac:dyDescent="0.3">
      <c r="A506" t="s">
        <v>688</v>
      </c>
      <c r="B506" t="s">
        <v>86</v>
      </c>
      <c r="C506" t="s">
        <v>99</v>
      </c>
      <c r="D506" t="s">
        <v>689</v>
      </c>
      <c r="E506" t="s">
        <v>766</v>
      </c>
      <c r="F506">
        <v>1</v>
      </c>
      <c r="G506" s="308">
        <f>'BECA MEDIA'!G76</f>
        <v>0</v>
      </c>
      <c r="H506" s="308">
        <f>'BECA MEDIA'!H76</f>
        <v>0</v>
      </c>
    </row>
    <row r="507" spans="1:8" x14ac:dyDescent="0.3">
      <c r="A507" t="s">
        <v>688</v>
      </c>
      <c r="B507" t="s">
        <v>86</v>
      </c>
      <c r="C507" t="s">
        <v>99</v>
      </c>
      <c r="D507" t="s">
        <v>689</v>
      </c>
      <c r="E507" t="s">
        <v>767</v>
      </c>
      <c r="F507">
        <v>2</v>
      </c>
      <c r="G507" s="308">
        <f>'BECA MEDIA'!J76</f>
        <v>0</v>
      </c>
      <c r="H507" s="308">
        <f>'BECA MEDIA'!K76</f>
        <v>0</v>
      </c>
    </row>
    <row r="508" spans="1:8" x14ac:dyDescent="0.3">
      <c r="A508" t="s">
        <v>688</v>
      </c>
      <c r="B508" t="s">
        <v>86</v>
      </c>
      <c r="C508" t="s">
        <v>99</v>
      </c>
      <c r="D508" t="s">
        <v>689</v>
      </c>
      <c r="E508" t="s">
        <v>768</v>
      </c>
      <c r="F508">
        <v>3</v>
      </c>
      <c r="G508" s="308">
        <f>'BECA MEDIA'!M76</f>
        <v>6.8</v>
      </c>
      <c r="H508" s="308">
        <f>'BECA MEDIA'!N76</f>
        <v>17000</v>
      </c>
    </row>
    <row r="509" spans="1:8" x14ac:dyDescent="0.3">
      <c r="A509" t="s">
        <v>688</v>
      </c>
      <c r="B509" t="s">
        <v>86</v>
      </c>
      <c r="C509" t="s">
        <v>99</v>
      </c>
      <c r="D509" t="s">
        <v>689</v>
      </c>
      <c r="E509" t="s">
        <v>769</v>
      </c>
      <c r="F509">
        <v>4</v>
      </c>
      <c r="G509" s="308">
        <f>'BECA MEDIA'!P76</f>
        <v>0.4</v>
      </c>
      <c r="H509" s="308">
        <f>'BECA MEDIA'!Q76</f>
        <v>1000</v>
      </c>
    </row>
    <row r="510" spans="1:8" x14ac:dyDescent="0.3">
      <c r="A510" t="s">
        <v>688</v>
      </c>
      <c r="B510" t="s">
        <v>86</v>
      </c>
      <c r="C510" t="s">
        <v>99</v>
      </c>
      <c r="D510" t="s">
        <v>689</v>
      </c>
      <c r="E510" t="s">
        <v>770</v>
      </c>
      <c r="F510">
        <v>5</v>
      </c>
      <c r="G510" s="308">
        <f>'BECA MEDIA'!S76</f>
        <v>0</v>
      </c>
      <c r="H510" s="308">
        <f>'BECA MEDIA'!T76</f>
        <v>0</v>
      </c>
    </row>
    <row r="511" spans="1:8" x14ac:dyDescent="0.3">
      <c r="A511" t="s">
        <v>688</v>
      </c>
      <c r="B511" t="s">
        <v>86</v>
      </c>
      <c r="C511" t="s">
        <v>99</v>
      </c>
      <c r="D511" t="s">
        <v>689</v>
      </c>
      <c r="E511" t="s">
        <v>771</v>
      </c>
      <c r="F511">
        <v>6</v>
      </c>
      <c r="G511" s="308">
        <f>'BECA MEDIA'!V76</f>
        <v>6.8</v>
      </c>
      <c r="H511" s="308">
        <f>'BECA MEDIA'!W76</f>
        <v>17000</v>
      </c>
    </row>
    <row r="512" spans="1:8" x14ac:dyDescent="0.3">
      <c r="A512" t="s">
        <v>688</v>
      </c>
      <c r="B512" t="s">
        <v>86</v>
      </c>
      <c r="C512" t="s">
        <v>99</v>
      </c>
      <c r="D512" t="s">
        <v>689</v>
      </c>
      <c r="E512" t="s">
        <v>772</v>
      </c>
      <c r="F512">
        <v>7</v>
      </c>
      <c r="G512" s="308">
        <f>'BECA MEDIA'!Y76</f>
        <v>0</v>
      </c>
      <c r="H512" s="308">
        <f>'BECA MEDIA'!Z76</f>
        <v>0</v>
      </c>
    </row>
    <row r="513" spans="1:8" x14ac:dyDescent="0.3">
      <c r="A513" t="s">
        <v>688</v>
      </c>
      <c r="B513" t="s">
        <v>100</v>
      </c>
      <c r="C513" t="s">
        <v>101</v>
      </c>
      <c r="D513" t="s">
        <v>689</v>
      </c>
      <c r="E513" t="s">
        <v>766</v>
      </c>
      <c r="F513">
        <v>1</v>
      </c>
      <c r="G513" s="308">
        <f>'BECA MEDIA'!G77</f>
        <v>0</v>
      </c>
      <c r="H513" s="308">
        <f>'BECA MEDIA'!H77</f>
        <v>0</v>
      </c>
    </row>
    <row r="514" spans="1:8" x14ac:dyDescent="0.3">
      <c r="A514" t="s">
        <v>688</v>
      </c>
      <c r="B514" t="s">
        <v>100</v>
      </c>
      <c r="C514" t="s">
        <v>101</v>
      </c>
      <c r="D514" t="s">
        <v>689</v>
      </c>
      <c r="E514" t="s">
        <v>767</v>
      </c>
      <c r="F514">
        <v>2</v>
      </c>
      <c r="G514" s="308">
        <f>'BECA MEDIA'!J77</f>
        <v>0</v>
      </c>
      <c r="H514" s="308">
        <f>'BECA MEDIA'!K77</f>
        <v>0</v>
      </c>
    </row>
    <row r="515" spans="1:8" x14ac:dyDescent="0.3">
      <c r="A515" t="s">
        <v>688</v>
      </c>
      <c r="B515" t="s">
        <v>100</v>
      </c>
      <c r="C515" t="s">
        <v>101</v>
      </c>
      <c r="D515" t="s">
        <v>689</v>
      </c>
      <c r="E515" t="s">
        <v>768</v>
      </c>
      <c r="F515">
        <v>3</v>
      </c>
      <c r="G515" s="308">
        <f>'BECA MEDIA'!M77</f>
        <v>2</v>
      </c>
      <c r="H515" s="308">
        <f>'BECA MEDIA'!N77</f>
        <v>5000</v>
      </c>
    </row>
    <row r="516" spans="1:8" x14ac:dyDescent="0.3">
      <c r="A516" t="s">
        <v>688</v>
      </c>
      <c r="B516" t="s">
        <v>100</v>
      </c>
      <c r="C516" t="s">
        <v>101</v>
      </c>
      <c r="D516" t="s">
        <v>689</v>
      </c>
      <c r="E516" t="s">
        <v>769</v>
      </c>
      <c r="F516">
        <v>4</v>
      </c>
      <c r="G516" s="308">
        <f>'BECA MEDIA'!P77</f>
        <v>1.6</v>
      </c>
      <c r="H516" s="308">
        <f>'BECA MEDIA'!Q77</f>
        <v>4000</v>
      </c>
    </row>
    <row r="517" spans="1:8" x14ac:dyDescent="0.3">
      <c r="A517" t="s">
        <v>688</v>
      </c>
      <c r="B517" t="s">
        <v>100</v>
      </c>
      <c r="C517" t="s">
        <v>101</v>
      </c>
      <c r="D517" t="s">
        <v>689</v>
      </c>
      <c r="E517" t="s">
        <v>770</v>
      </c>
      <c r="F517">
        <v>5</v>
      </c>
      <c r="G517" s="308">
        <f>'BECA MEDIA'!S77</f>
        <v>0</v>
      </c>
      <c r="H517" s="308">
        <f>'BECA MEDIA'!T77</f>
        <v>0</v>
      </c>
    </row>
    <row r="518" spans="1:8" x14ac:dyDescent="0.3">
      <c r="A518" t="s">
        <v>688</v>
      </c>
      <c r="B518" t="s">
        <v>100</v>
      </c>
      <c r="C518" t="s">
        <v>101</v>
      </c>
      <c r="D518" t="s">
        <v>689</v>
      </c>
      <c r="E518" t="s">
        <v>771</v>
      </c>
      <c r="F518">
        <v>6</v>
      </c>
      <c r="G518" s="308">
        <f>'BECA MEDIA'!V77</f>
        <v>3.6</v>
      </c>
      <c r="H518" s="308">
        <f>'BECA MEDIA'!W77</f>
        <v>9000</v>
      </c>
    </row>
    <row r="519" spans="1:8" x14ac:dyDescent="0.3">
      <c r="A519" t="s">
        <v>688</v>
      </c>
      <c r="B519" t="s">
        <v>100</v>
      </c>
      <c r="C519" t="s">
        <v>101</v>
      </c>
      <c r="D519" t="s">
        <v>689</v>
      </c>
      <c r="E519" t="s">
        <v>772</v>
      </c>
      <c r="F519">
        <v>7</v>
      </c>
      <c r="G519" s="308">
        <f>'BECA MEDIA'!Y77</f>
        <v>0</v>
      </c>
      <c r="H519" s="308">
        <f>'BECA MEDIA'!Z77</f>
        <v>0</v>
      </c>
    </row>
    <row r="520" spans="1:8" x14ac:dyDescent="0.3">
      <c r="A520" t="s">
        <v>688</v>
      </c>
      <c r="B520" t="s">
        <v>100</v>
      </c>
      <c r="C520" t="s">
        <v>102</v>
      </c>
      <c r="D520" t="s">
        <v>689</v>
      </c>
      <c r="E520" t="s">
        <v>766</v>
      </c>
      <c r="F520">
        <v>1</v>
      </c>
      <c r="G520" s="308">
        <f>'BECA MEDIA'!G78</f>
        <v>0</v>
      </c>
      <c r="H520" s="308">
        <f>'BECA MEDIA'!H78</f>
        <v>0</v>
      </c>
    </row>
    <row r="521" spans="1:8" x14ac:dyDescent="0.3">
      <c r="A521" t="s">
        <v>688</v>
      </c>
      <c r="B521" t="s">
        <v>100</v>
      </c>
      <c r="C521" t="s">
        <v>102</v>
      </c>
      <c r="D521" t="s">
        <v>689</v>
      </c>
      <c r="E521" t="s">
        <v>767</v>
      </c>
      <c r="F521">
        <v>2</v>
      </c>
      <c r="G521" s="308">
        <f>'BECA MEDIA'!J78</f>
        <v>0</v>
      </c>
      <c r="H521" s="308">
        <f>'BECA MEDIA'!K78</f>
        <v>0</v>
      </c>
    </row>
    <row r="522" spans="1:8" x14ac:dyDescent="0.3">
      <c r="A522" t="s">
        <v>688</v>
      </c>
      <c r="B522" t="s">
        <v>100</v>
      </c>
      <c r="C522" t="s">
        <v>102</v>
      </c>
      <c r="D522" t="s">
        <v>689</v>
      </c>
      <c r="E522" t="s">
        <v>768</v>
      </c>
      <c r="F522">
        <v>3</v>
      </c>
      <c r="G522" s="308">
        <f>'BECA MEDIA'!M78</f>
        <v>2.4</v>
      </c>
      <c r="H522" s="308">
        <f>'BECA MEDIA'!N78</f>
        <v>6000</v>
      </c>
    </row>
    <row r="523" spans="1:8" x14ac:dyDescent="0.3">
      <c r="A523" t="s">
        <v>688</v>
      </c>
      <c r="B523" t="s">
        <v>100</v>
      </c>
      <c r="C523" t="s">
        <v>102</v>
      </c>
      <c r="D523" t="s">
        <v>689</v>
      </c>
      <c r="E523" t="s">
        <v>769</v>
      </c>
      <c r="F523">
        <v>4</v>
      </c>
      <c r="G523" s="308">
        <f>'BECA MEDIA'!P78</f>
        <v>1.6</v>
      </c>
      <c r="H523" s="308">
        <f>'BECA MEDIA'!Q78</f>
        <v>4000</v>
      </c>
    </row>
    <row r="524" spans="1:8" x14ac:dyDescent="0.3">
      <c r="A524" t="s">
        <v>688</v>
      </c>
      <c r="B524" t="s">
        <v>100</v>
      </c>
      <c r="C524" t="s">
        <v>102</v>
      </c>
      <c r="D524" t="s">
        <v>689</v>
      </c>
      <c r="E524" t="s">
        <v>770</v>
      </c>
      <c r="F524">
        <v>5</v>
      </c>
      <c r="G524" s="308">
        <f>'BECA MEDIA'!S78</f>
        <v>0</v>
      </c>
      <c r="H524" s="308">
        <f>'BECA MEDIA'!T78</f>
        <v>0</v>
      </c>
    </row>
    <row r="525" spans="1:8" x14ac:dyDescent="0.3">
      <c r="A525" t="s">
        <v>688</v>
      </c>
      <c r="B525" t="s">
        <v>100</v>
      </c>
      <c r="C525" t="s">
        <v>102</v>
      </c>
      <c r="D525" t="s">
        <v>689</v>
      </c>
      <c r="E525" t="s">
        <v>771</v>
      </c>
      <c r="F525">
        <v>6</v>
      </c>
      <c r="G525" s="308">
        <f>'BECA MEDIA'!V78</f>
        <v>4.4000000000000004</v>
      </c>
      <c r="H525" s="308">
        <f>'BECA MEDIA'!W78</f>
        <v>11000</v>
      </c>
    </row>
    <row r="526" spans="1:8" x14ac:dyDescent="0.3">
      <c r="A526" t="s">
        <v>688</v>
      </c>
      <c r="B526" t="s">
        <v>100</v>
      </c>
      <c r="C526" t="s">
        <v>102</v>
      </c>
      <c r="D526" t="s">
        <v>689</v>
      </c>
      <c r="E526" t="s">
        <v>772</v>
      </c>
      <c r="F526">
        <v>7</v>
      </c>
      <c r="G526" s="308">
        <f>'BECA MEDIA'!Y78</f>
        <v>0</v>
      </c>
      <c r="H526" s="308">
        <f>'BECA MEDIA'!Z78</f>
        <v>0</v>
      </c>
    </row>
    <row r="527" spans="1:8" x14ac:dyDescent="0.3">
      <c r="A527" t="s">
        <v>688</v>
      </c>
      <c r="B527" t="s">
        <v>100</v>
      </c>
      <c r="C527" t="s">
        <v>103</v>
      </c>
      <c r="D527" t="s">
        <v>689</v>
      </c>
      <c r="E527" t="s">
        <v>766</v>
      </c>
      <c r="F527">
        <v>1</v>
      </c>
      <c r="G527" s="308">
        <f>'BECA MEDIA'!G79</f>
        <v>0</v>
      </c>
      <c r="H527" s="308">
        <f>'BECA MEDIA'!H79</f>
        <v>0</v>
      </c>
    </row>
    <row r="528" spans="1:8" x14ac:dyDescent="0.3">
      <c r="A528" t="s">
        <v>688</v>
      </c>
      <c r="B528" t="s">
        <v>100</v>
      </c>
      <c r="C528" t="s">
        <v>103</v>
      </c>
      <c r="D528" t="s">
        <v>689</v>
      </c>
      <c r="E528" t="s">
        <v>767</v>
      </c>
      <c r="F528">
        <v>2</v>
      </c>
      <c r="G528" s="308">
        <f>'BECA MEDIA'!J79</f>
        <v>0</v>
      </c>
      <c r="H528" s="308">
        <f>'BECA MEDIA'!K79</f>
        <v>0</v>
      </c>
    </row>
    <row r="529" spans="1:8" x14ac:dyDescent="0.3">
      <c r="A529" t="s">
        <v>688</v>
      </c>
      <c r="B529" t="s">
        <v>100</v>
      </c>
      <c r="C529" t="s">
        <v>103</v>
      </c>
      <c r="D529" t="s">
        <v>689</v>
      </c>
      <c r="E529" t="s">
        <v>768</v>
      </c>
      <c r="F529">
        <v>3</v>
      </c>
      <c r="G529" s="308">
        <f>'BECA MEDIA'!M79</f>
        <v>2</v>
      </c>
      <c r="H529" s="308">
        <f>'BECA MEDIA'!N79</f>
        <v>5000</v>
      </c>
    </row>
    <row r="530" spans="1:8" x14ac:dyDescent="0.3">
      <c r="A530" t="s">
        <v>688</v>
      </c>
      <c r="B530" t="s">
        <v>100</v>
      </c>
      <c r="C530" t="s">
        <v>103</v>
      </c>
      <c r="D530" t="s">
        <v>689</v>
      </c>
      <c r="E530" t="s">
        <v>769</v>
      </c>
      <c r="F530">
        <v>4</v>
      </c>
      <c r="G530" s="308">
        <f>'BECA MEDIA'!P79</f>
        <v>0.4</v>
      </c>
      <c r="H530" s="308">
        <f>'BECA MEDIA'!Q79</f>
        <v>1000</v>
      </c>
    </row>
    <row r="531" spans="1:8" x14ac:dyDescent="0.3">
      <c r="A531" t="s">
        <v>688</v>
      </c>
      <c r="B531" t="s">
        <v>100</v>
      </c>
      <c r="C531" t="s">
        <v>103</v>
      </c>
      <c r="D531" t="s">
        <v>689</v>
      </c>
      <c r="E531" t="s">
        <v>770</v>
      </c>
      <c r="F531">
        <v>5</v>
      </c>
      <c r="G531" s="308">
        <f>'BECA MEDIA'!S79</f>
        <v>0</v>
      </c>
      <c r="H531" s="308">
        <f>'BECA MEDIA'!T79</f>
        <v>0</v>
      </c>
    </row>
    <row r="532" spans="1:8" x14ac:dyDescent="0.3">
      <c r="A532" t="s">
        <v>688</v>
      </c>
      <c r="B532" t="s">
        <v>100</v>
      </c>
      <c r="C532" t="s">
        <v>103</v>
      </c>
      <c r="D532" t="s">
        <v>689</v>
      </c>
      <c r="E532" t="s">
        <v>771</v>
      </c>
      <c r="F532">
        <v>6</v>
      </c>
      <c r="G532" s="308">
        <f>'BECA MEDIA'!V79</f>
        <v>2.4</v>
      </c>
      <c r="H532" s="308">
        <f>'BECA MEDIA'!W79</f>
        <v>6000</v>
      </c>
    </row>
    <row r="533" spans="1:8" x14ac:dyDescent="0.3">
      <c r="A533" t="s">
        <v>688</v>
      </c>
      <c r="B533" t="s">
        <v>100</v>
      </c>
      <c r="C533" t="s">
        <v>103</v>
      </c>
      <c r="D533" t="s">
        <v>689</v>
      </c>
      <c r="E533" t="s">
        <v>772</v>
      </c>
      <c r="F533">
        <v>7</v>
      </c>
      <c r="G533" s="308">
        <f>'BECA MEDIA'!Y79</f>
        <v>0</v>
      </c>
      <c r="H533" s="308">
        <f>'BECA MEDIA'!Z79</f>
        <v>0</v>
      </c>
    </row>
    <row r="534" spans="1:8" x14ac:dyDescent="0.3">
      <c r="A534" t="s">
        <v>688</v>
      </c>
      <c r="B534" t="s">
        <v>100</v>
      </c>
      <c r="C534" t="s">
        <v>104</v>
      </c>
      <c r="D534" t="s">
        <v>689</v>
      </c>
      <c r="E534" t="s">
        <v>766</v>
      </c>
      <c r="F534">
        <v>1</v>
      </c>
      <c r="G534" s="308">
        <f>'BECA MEDIA'!G80</f>
        <v>0</v>
      </c>
      <c r="H534" s="308">
        <f>'BECA MEDIA'!H80</f>
        <v>0</v>
      </c>
    </row>
    <row r="535" spans="1:8" x14ac:dyDescent="0.3">
      <c r="A535" t="s">
        <v>688</v>
      </c>
      <c r="B535" t="s">
        <v>100</v>
      </c>
      <c r="C535" t="s">
        <v>104</v>
      </c>
      <c r="D535" t="s">
        <v>689</v>
      </c>
      <c r="E535" t="s">
        <v>767</v>
      </c>
      <c r="F535">
        <v>2</v>
      </c>
      <c r="G535" s="308">
        <f>'BECA MEDIA'!J80</f>
        <v>0</v>
      </c>
      <c r="H535" s="308">
        <f>'BECA MEDIA'!K80</f>
        <v>0</v>
      </c>
    </row>
    <row r="536" spans="1:8" x14ac:dyDescent="0.3">
      <c r="A536" t="s">
        <v>688</v>
      </c>
      <c r="B536" t="s">
        <v>100</v>
      </c>
      <c r="C536" t="s">
        <v>104</v>
      </c>
      <c r="D536" t="s">
        <v>689</v>
      </c>
      <c r="E536" t="s">
        <v>768</v>
      </c>
      <c r="F536">
        <v>3</v>
      </c>
      <c r="G536" s="308">
        <f>'BECA MEDIA'!M80</f>
        <v>3.6</v>
      </c>
      <c r="H536" s="308">
        <f>'BECA MEDIA'!N80</f>
        <v>9000</v>
      </c>
    </row>
    <row r="537" spans="1:8" x14ac:dyDescent="0.3">
      <c r="A537" t="s">
        <v>688</v>
      </c>
      <c r="B537" t="s">
        <v>100</v>
      </c>
      <c r="C537" t="s">
        <v>104</v>
      </c>
      <c r="D537" t="s">
        <v>689</v>
      </c>
      <c r="E537" t="s">
        <v>769</v>
      </c>
      <c r="F537">
        <v>4</v>
      </c>
      <c r="G537" s="308">
        <f>'BECA MEDIA'!P80</f>
        <v>1.6</v>
      </c>
      <c r="H537" s="308">
        <f>'BECA MEDIA'!Q80</f>
        <v>4000</v>
      </c>
    </row>
    <row r="538" spans="1:8" x14ac:dyDescent="0.3">
      <c r="A538" t="s">
        <v>688</v>
      </c>
      <c r="B538" t="s">
        <v>100</v>
      </c>
      <c r="C538" t="s">
        <v>104</v>
      </c>
      <c r="D538" t="s">
        <v>689</v>
      </c>
      <c r="E538" t="s">
        <v>770</v>
      </c>
      <c r="F538">
        <v>5</v>
      </c>
      <c r="G538" s="308">
        <f>'BECA MEDIA'!S80</f>
        <v>0</v>
      </c>
      <c r="H538" s="308">
        <f>'BECA MEDIA'!T80</f>
        <v>0</v>
      </c>
    </row>
    <row r="539" spans="1:8" x14ac:dyDescent="0.3">
      <c r="A539" t="s">
        <v>688</v>
      </c>
      <c r="B539" t="s">
        <v>100</v>
      </c>
      <c r="C539" t="s">
        <v>104</v>
      </c>
      <c r="D539" t="s">
        <v>689</v>
      </c>
      <c r="E539" t="s">
        <v>771</v>
      </c>
      <c r="F539">
        <v>6</v>
      </c>
      <c r="G539" s="308">
        <f>'BECA MEDIA'!V80</f>
        <v>5.2</v>
      </c>
      <c r="H539" s="308">
        <f>'BECA MEDIA'!W80</f>
        <v>13000</v>
      </c>
    </row>
    <row r="540" spans="1:8" x14ac:dyDescent="0.3">
      <c r="A540" t="s">
        <v>688</v>
      </c>
      <c r="B540" t="s">
        <v>100</v>
      </c>
      <c r="C540" t="s">
        <v>104</v>
      </c>
      <c r="D540" t="s">
        <v>689</v>
      </c>
      <c r="E540" t="s">
        <v>772</v>
      </c>
      <c r="F540">
        <v>7</v>
      </c>
      <c r="G540" s="308">
        <f>'BECA MEDIA'!Y80</f>
        <v>0</v>
      </c>
      <c r="H540" s="308">
        <f>'BECA MEDIA'!Z80</f>
        <v>0</v>
      </c>
    </row>
    <row r="541" spans="1:8" x14ac:dyDescent="0.3">
      <c r="A541" t="s">
        <v>688</v>
      </c>
      <c r="B541" t="s">
        <v>100</v>
      </c>
      <c r="C541" t="s">
        <v>100</v>
      </c>
      <c r="D541" t="s">
        <v>689</v>
      </c>
      <c r="E541" t="s">
        <v>766</v>
      </c>
      <c r="F541">
        <v>1</v>
      </c>
      <c r="G541" s="308">
        <f>'BECA MEDIA'!G81</f>
        <v>0</v>
      </c>
      <c r="H541" s="308">
        <f>'BECA MEDIA'!H81</f>
        <v>0</v>
      </c>
    </row>
    <row r="542" spans="1:8" x14ac:dyDescent="0.3">
      <c r="A542" t="s">
        <v>688</v>
      </c>
      <c r="B542" t="s">
        <v>100</v>
      </c>
      <c r="C542" t="s">
        <v>100</v>
      </c>
      <c r="D542" t="s">
        <v>689</v>
      </c>
      <c r="E542" t="s">
        <v>767</v>
      </c>
      <c r="F542">
        <v>2</v>
      </c>
      <c r="G542" s="308">
        <f>'BECA MEDIA'!J81</f>
        <v>0</v>
      </c>
      <c r="H542" s="308">
        <f>'BECA MEDIA'!K81</f>
        <v>0</v>
      </c>
    </row>
    <row r="543" spans="1:8" x14ac:dyDescent="0.3">
      <c r="A543" t="s">
        <v>688</v>
      </c>
      <c r="B543" t="s">
        <v>100</v>
      </c>
      <c r="C543" t="s">
        <v>100</v>
      </c>
      <c r="D543" t="s">
        <v>689</v>
      </c>
      <c r="E543" t="s">
        <v>768</v>
      </c>
      <c r="F543">
        <v>3</v>
      </c>
      <c r="G543" s="308">
        <f>'BECA MEDIA'!M81</f>
        <v>6.8</v>
      </c>
      <c r="H543" s="308">
        <f>'BECA MEDIA'!N81</f>
        <v>17000</v>
      </c>
    </row>
    <row r="544" spans="1:8" x14ac:dyDescent="0.3">
      <c r="A544" t="s">
        <v>688</v>
      </c>
      <c r="B544" t="s">
        <v>100</v>
      </c>
      <c r="C544" t="s">
        <v>100</v>
      </c>
      <c r="D544" t="s">
        <v>689</v>
      </c>
      <c r="E544" t="s">
        <v>769</v>
      </c>
      <c r="F544">
        <v>4</v>
      </c>
      <c r="G544" s="308">
        <f>'BECA MEDIA'!P81</f>
        <v>2</v>
      </c>
      <c r="H544" s="308">
        <f>'BECA MEDIA'!Q81</f>
        <v>5000</v>
      </c>
    </row>
    <row r="545" spans="1:8" x14ac:dyDescent="0.3">
      <c r="A545" t="s">
        <v>688</v>
      </c>
      <c r="B545" t="s">
        <v>100</v>
      </c>
      <c r="C545" t="s">
        <v>100</v>
      </c>
      <c r="D545" t="s">
        <v>689</v>
      </c>
      <c r="E545" t="s">
        <v>770</v>
      </c>
      <c r="F545">
        <v>5</v>
      </c>
      <c r="G545" s="308">
        <f>'BECA MEDIA'!S81</f>
        <v>0</v>
      </c>
      <c r="H545" s="308">
        <f>'BECA MEDIA'!T81</f>
        <v>0</v>
      </c>
    </row>
    <row r="546" spans="1:8" x14ac:dyDescent="0.3">
      <c r="A546" t="s">
        <v>688</v>
      </c>
      <c r="B546" t="s">
        <v>100</v>
      </c>
      <c r="C546" t="s">
        <v>100</v>
      </c>
      <c r="D546" t="s">
        <v>689</v>
      </c>
      <c r="E546" t="s">
        <v>771</v>
      </c>
      <c r="F546">
        <v>6</v>
      </c>
      <c r="G546" s="308">
        <f>'BECA MEDIA'!V81</f>
        <v>8.8000000000000007</v>
      </c>
      <c r="H546" s="308">
        <f>'BECA MEDIA'!W81</f>
        <v>22000</v>
      </c>
    </row>
    <row r="547" spans="1:8" x14ac:dyDescent="0.3">
      <c r="A547" t="s">
        <v>688</v>
      </c>
      <c r="B547" t="s">
        <v>100</v>
      </c>
      <c r="C547" t="s">
        <v>100</v>
      </c>
      <c r="D547" t="s">
        <v>689</v>
      </c>
      <c r="E547" t="s">
        <v>772</v>
      </c>
      <c r="F547">
        <v>7</v>
      </c>
      <c r="G547" s="308">
        <f>'BECA MEDIA'!Y81</f>
        <v>0</v>
      </c>
      <c r="H547" s="308">
        <f>'BECA MEDIA'!Z81</f>
        <v>0</v>
      </c>
    </row>
    <row r="548" spans="1:8" x14ac:dyDescent="0.3">
      <c r="A548" t="s">
        <v>688</v>
      </c>
      <c r="B548" t="s">
        <v>100</v>
      </c>
      <c r="C548" t="s">
        <v>105</v>
      </c>
      <c r="D548" t="s">
        <v>689</v>
      </c>
      <c r="E548" t="s">
        <v>766</v>
      </c>
      <c r="F548">
        <v>1</v>
      </c>
      <c r="G548" s="308">
        <f>'BECA MEDIA'!G82</f>
        <v>0</v>
      </c>
      <c r="H548" s="308">
        <f>'BECA MEDIA'!H82</f>
        <v>0</v>
      </c>
    </row>
    <row r="549" spans="1:8" x14ac:dyDescent="0.3">
      <c r="A549" t="s">
        <v>688</v>
      </c>
      <c r="B549" t="s">
        <v>100</v>
      </c>
      <c r="C549" t="s">
        <v>105</v>
      </c>
      <c r="D549" t="s">
        <v>689</v>
      </c>
      <c r="E549" t="s">
        <v>767</v>
      </c>
      <c r="F549">
        <v>2</v>
      </c>
      <c r="G549" s="308">
        <f>'BECA MEDIA'!J82</f>
        <v>0</v>
      </c>
      <c r="H549" s="308">
        <f>'BECA MEDIA'!K82</f>
        <v>0</v>
      </c>
    </row>
    <row r="550" spans="1:8" x14ac:dyDescent="0.3">
      <c r="A550" t="s">
        <v>688</v>
      </c>
      <c r="B550" t="s">
        <v>100</v>
      </c>
      <c r="C550" t="s">
        <v>105</v>
      </c>
      <c r="D550" t="s">
        <v>689</v>
      </c>
      <c r="E550" t="s">
        <v>768</v>
      </c>
      <c r="F550">
        <v>3</v>
      </c>
      <c r="G550" s="308">
        <f>'BECA MEDIA'!M82</f>
        <v>4.8</v>
      </c>
      <c r="H550" s="308">
        <f>'BECA MEDIA'!N82</f>
        <v>12000</v>
      </c>
    </row>
    <row r="551" spans="1:8" x14ac:dyDescent="0.3">
      <c r="A551" t="s">
        <v>688</v>
      </c>
      <c r="B551" t="s">
        <v>100</v>
      </c>
      <c r="C551" t="s">
        <v>105</v>
      </c>
      <c r="D551" t="s">
        <v>689</v>
      </c>
      <c r="E551" t="s">
        <v>769</v>
      </c>
      <c r="F551">
        <v>4</v>
      </c>
      <c r="G551" s="308">
        <f>'BECA MEDIA'!P82</f>
        <v>1.6</v>
      </c>
      <c r="H551" s="308">
        <f>'BECA MEDIA'!Q82</f>
        <v>4000</v>
      </c>
    </row>
    <row r="552" spans="1:8" x14ac:dyDescent="0.3">
      <c r="A552" t="s">
        <v>688</v>
      </c>
      <c r="B552" t="s">
        <v>100</v>
      </c>
      <c r="C552" t="s">
        <v>105</v>
      </c>
      <c r="D552" t="s">
        <v>689</v>
      </c>
      <c r="E552" t="s">
        <v>770</v>
      </c>
      <c r="F552">
        <v>5</v>
      </c>
      <c r="G552" s="308">
        <f>'BECA MEDIA'!S82</f>
        <v>0</v>
      </c>
      <c r="H552" s="308">
        <f>'BECA MEDIA'!T82</f>
        <v>0</v>
      </c>
    </row>
    <row r="553" spans="1:8" x14ac:dyDescent="0.3">
      <c r="A553" t="s">
        <v>688</v>
      </c>
      <c r="B553" t="s">
        <v>100</v>
      </c>
      <c r="C553" t="s">
        <v>105</v>
      </c>
      <c r="D553" t="s">
        <v>689</v>
      </c>
      <c r="E553" t="s">
        <v>771</v>
      </c>
      <c r="F553">
        <v>6</v>
      </c>
      <c r="G553" s="308">
        <f>'BECA MEDIA'!V82</f>
        <v>6.4</v>
      </c>
      <c r="H553" s="308">
        <f>'BECA MEDIA'!W82</f>
        <v>16000</v>
      </c>
    </row>
    <row r="554" spans="1:8" x14ac:dyDescent="0.3">
      <c r="A554" t="s">
        <v>688</v>
      </c>
      <c r="B554" t="s">
        <v>100</v>
      </c>
      <c r="C554" t="s">
        <v>105</v>
      </c>
      <c r="D554" t="s">
        <v>689</v>
      </c>
      <c r="E554" t="s">
        <v>772</v>
      </c>
      <c r="F554">
        <v>7</v>
      </c>
      <c r="G554" s="308">
        <f>'BECA MEDIA'!Y82</f>
        <v>0</v>
      </c>
      <c r="H554" s="308">
        <f>'BECA MEDIA'!Z82</f>
        <v>0</v>
      </c>
    </row>
    <row r="555" spans="1:8" x14ac:dyDescent="0.3">
      <c r="A555" t="s">
        <v>688</v>
      </c>
      <c r="B555" t="s">
        <v>100</v>
      </c>
      <c r="C555" t="s">
        <v>106</v>
      </c>
      <c r="D555" t="s">
        <v>689</v>
      </c>
      <c r="E555" t="s">
        <v>766</v>
      </c>
      <c r="F555">
        <v>1</v>
      </c>
      <c r="G555" s="308">
        <f>'BECA MEDIA'!G83</f>
        <v>0</v>
      </c>
      <c r="H555" s="308">
        <f>'BECA MEDIA'!H83</f>
        <v>0</v>
      </c>
    </row>
    <row r="556" spans="1:8" x14ac:dyDescent="0.3">
      <c r="A556" t="s">
        <v>688</v>
      </c>
      <c r="B556" t="s">
        <v>100</v>
      </c>
      <c r="C556" t="s">
        <v>106</v>
      </c>
      <c r="D556" t="s">
        <v>689</v>
      </c>
      <c r="E556" t="s">
        <v>767</v>
      </c>
      <c r="F556">
        <v>2</v>
      </c>
      <c r="G556" s="308">
        <f>'BECA MEDIA'!J83</f>
        <v>0</v>
      </c>
      <c r="H556" s="308">
        <f>'BECA MEDIA'!K83</f>
        <v>0</v>
      </c>
    </row>
    <row r="557" spans="1:8" x14ac:dyDescent="0.3">
      <c r="A557" t="s">
        <v>688</v>
      </c>
      <c r="B557" t="s">
        <v>100</v>
      </c>
      <c r="C557" t="s">
        <v>106</v>
      </c>
      <c r="D557" t="s">
        <v>689</v>
      </c>
      <c r="E557" t="s">
        <v>768</v>
      </c>
      <c r="F557">
        <v>3</v>
      </c>
      <c r="G557" s="308">
        <f>'BECA MEDIA'!M83</f>
        <v>4</v>
      </c>
      <c r="H557" s="308">
        <f>'BECA MEDIA'!N83</f>
        <v>10000</v>
      </c>
    </row>
    <row r="558" spans="1:8" x14ac:dyDescent="0.3">
      <c r="A558" t="s">
        <v>688</v>
      </c>
      <c r="B558" t="s">
        <v>100</v>
      </c>
      <c r="C558" t="s">
        <v>106</v>
      </c>
      <c r="D558" t="s">
        <v>689</v>
      </c>
      <c r="E558" t="s">
        <v>769</v>
      </c>
      <c r="F558">
        <v>4</v>
      </c>
      <c r="G558" s="308">
        <f>'BECA MEDIA'!P83</f>
        <v>0.8</v>
      </c>
      <c r="H558" s="308">
        <f>'BECA MEDIA'!Q83</f>
        <v>2000</v>
      </c>
    </row>
    <row r="559" spans="1:8" x14ac:dyDescent="0.3">
      <c r="A559" t="s">
        <v>688</v>
      </c>
      <c r="B559" t="s">
        <v>100</v>
      </c>
      <c r="C559" t="s">
        <v>106</v>
      </c>
      <c r="D559" t="s">
        <v>689</v>
      </c>
      <c r="E559" t="s">
        <v>770</v>
      </c>
      <c r="F559">
        <v>5</v>
      </c>
      <c r="G559" s="308">
        <f>'BECA MEDIA'!S83</f>
        <v>0</v>
      </c>
      <c r="H559" s="308">
        <f>'BECA MEDIA'!T83</f>
        <v>0</v>
      </c>
    </row>
    <row r="560" spans="1:8" x14ac:dyDescent="0.3">
      <c r="A560" t="s">
        <v>688</v>
      </c>
      <c r="B560" t="s">
        <v>100</v>
      </c>
      <c r="C560" t="s">
        <v>106</v>
      </c>
      <c r="D560" t="s">
        <v>689</v>
      </c>
      <c r="E560" t="s">
        <v>771</v>
      </c>
      <c r="F560">
        <v>6</v>
      </c>
      <c r="G560" s="308">
        <f>'BECA MEDIA'!V83</f>
        <v>5.2</v>
      </c>
      <c r="H560" s="308">
        <f>'BECA MEDIA'!W83</f>
        <v>13000</v>
      </c>
    </row>
    <row r="561" spans="1:8" x14ac:dyDescent="0.3">
      <c r="A561" t="s">
        <v>688</v>
      </c>
      <c r="B561" t="s">
        <v>100</v>
      </c>
      <c r="C561" t="s">
        <v>106</v>
      </c>
      <c r="D561" t="s">
        <v>689</v>
      </c>
      <c r="E561" t="s">
        <v>772</v>
      </c>
      <c r="F561">
        <v>7</v>
      </c>
      <c r="G561" s="308">
        <f>'BECA MEDIA'!Y83</f>
        <v>0</v>
      </c>
      <c r="H561" s="308">
        <f>'BECA MEDIA'!Z83</f>
        <v>0</v>
      </c>
    </row>
    <row r="562" spans="1:8" x14ac:dyDescent="0.3">
      <c r="A562" t="s">
        <v>688</v>
      </c>
      <c r="B562" t="s">
        <v>100</v>
      </c>
      <c r="C562" t="s">
        <v>107</v>
      </c>
      <c r="D562" t="s">
        <v>689</v>
      </c>
      <c r="E562" t="s">
        <v>766</v>
      </c>
      <c r="F562">
        <v>1</v>
      </c>
      <c r="G562" s="308">
        <f>'BECA MEDIA'!G84</f>
        <v>0</v>
      </c>
      <c r="H562" s="308">
        <f>'BECA MEDIA'!H84</f>
        <v>0</v>
      </c>
    </row>
    <row r="563" spans="1:8" x14ac:dyDescent="0.3">
      <c r="A563" t="s">
        <v>688</v>
      </c>
      <c r="B563" t="s">
        <v>100</v>
      </c>
      <c r="C563" t="s">
        <v>107</v>
      </c>
      <c r="D563" t="s">
        <v>689</v>
      </c>
      <c r="E563" t="s">
        <v>767</v>
      </c>
      <c r="F563">
        <v>2</v>
      </c>
      <c r="G563" s="308">
        <f>'BECA MEDIA'!J84</f>
        <v>0</v>
      </c>
      <c r="H563" s="308">
        <f>'BECA MEDIA'!K84</f>
        <v>0</v>
      </c>
    </row>
    <row r="564" spans="1:8" x14ac:dyDescent="0.3">
      <c r="A564" t="s">
        <v>688</v>
      </c>
      <c r="B564" t="s">
        <v>100</v>
      </c>
      <c r="C564" t="s">
        <v>107</v>
      </c>
      <c r="D564" t="s">
        <v>689</v>
      </c>
      <c r="E564" t="s">
        <v>768</v>
      </c>
      <c r="F564">
        <v>3</v>
      </c>
      <c r="G564" s="308">
        <f>'BECA MEDIA'!M84</f>
        <v>3.2</v>
      </c>
      <c r="H564" s="308">
        <f>'BECA MEDIA'!N84</f>
        <v>8000</v>
      </c>
    </row>
    <row r="565" spans="1:8" x14ac:dyDescent="0.3">
      <c r="A565" t="s">
        <v>688</v>
      </c>
      <c r="B565" t="s">
        <v>100</v>
      </c>
      <c r="C565" t="s">
        <v>107</v>
      </c>
      <c r="D565" t="s">
        <v>689</v>
      </c>
      <c r="E565" t="s">
        <v>769</v>
      </c>
      <c r="F565">
        <v>4</v>
      </c>
      <c r="G565" s="308">
        <f>'BECA MEDIA'!P84</f>
        <v>2</v>
      </c>
      <c r="H565" s="308">
        <f>'BECA MEDIA'!Q84</f>
        <v>5000</v>
      </c>
    </row>
    <row r="566" spans="1:8" x14ac:dyDescent="0.3">
      <c r="A566" t="s">
        <v>688</v>
      </c>
      <c r="B566" t="s">
        <v>100</v>
      </c>
      <c r="C566" t="s">
        <v>107</v>
      </c>
      <c r="D566" t="s">
        <v>689</v>
      </c>
      <c r="E566" t="s">
        <v>770</v>
      </c>
      <c r="F566">
        <v>5</v>
      </c>
      <c r="G566" s="308">
        <f>'BECA MEDIA'!S84</f>
        <v>0</v>
      </c>
      <c r="H566" s="308">
        <f>'BECA MEDIA'!T84</f>
        <v>0</v>
      </c>
    </row>
    <row r="567" spans="1:8" x14ac:dyDescent="0.3">
      <c r="A567" t="s">
        <v>688</v>
      </c>
      <c r="B567" t="s">
        <v>100</v>
      </c>
      <c r="C567" t="s">
        <v>107</v>
      </c>
      <c r="D567" t="s">
        <v>689</v>
      </c>
      <c r="E567" t="s">
        <v>771</v>
      </c>
      <c r="F567">
        <v>6</v>
      </c>
      <c r="G567" s="308">
        <f>'BECA MEDIA'!V84</f>
        <v>5.2</v>
      </c>
      <c r="H567" s="308">
        <f>'BECA MEDIA'!W84</f>
        <v>13000</v>
      </c>
    </row>
    <row r="568" spans="1:8" x14ac:dyDescent="0.3">
      <c r="A568" t="s">
        <v>688</v>
      </c>
      <c r="B568" t="s">
        <v>100</v>
      </c>
      <c r="C568" t="s">
        <v>107</v>
      </c>
      <c r="D568" t="s">
        <v>689</v>
      </c>
      <c r="E568" t="s">
        <v>772</v>
      </c>
      <c r="F568">
        <v>7</v>
      </c>
      <c r="G568" s="308">
        <f>'BECA MEDIA'!Y84</f>
        <v>0</v>
      </c>
      <c r="H568" s="308">
        <f>'BECA MEDIA'!Z84</f>
        <v>0</v>
      </c>
    </row>
    <row r="569" spans="1:8" x14ac:dyDescent="0.3">
      <c r="A569" t="s">
        <v>688</v>
      </c>
      <c r="B569" t="s">
        <v>100</v>
      </c>
      <c r="C569" t="s">
        <v>108</v>
      </c>
      <c r="D569" t="s">
        <v>689</v>
      </c>
      <c r="E569" t="s">
        <v>766</v>
      </c>
      <c r="F569">
        <v>1</v>
      </c>
      <c r="G569" s="308">
        <f>'BECA MEDIA'!G85</f>
        <v>0</v>
      </c>
      <c r="H569" s="308">
        <f>'BECA MEDIA'!H85</f>
        <v>0</v>
      </c>
    </row>
    <row r="570" spans="1:8" x14ac:dyDescent="0.3">
      <c r="A570" t="s">
        <v>688</v>
      </c>
      <c r="B570" t="s">
        <v>100</v>
      </c>
      <c r="C570" t="s">
        <v>108</v>
      </c>
      <c r="D570" t="s">
        <v>689</v>
      </c>
      <c r="E570" t="s">
        <v>767</v>
      </c>
      <c r="F570">
        <v>2</v>
      </c>
      <c r="G570" s="308">
        <f>'BECA MEDIA'!J85</f>
        <v>0</v>
      </c>
      <c r="H570" s="308">
        <f>'BECA MEDIA'!K85</f>
        <v>0</v>
      </c>
    </row>
    <row r="571" spans="1:8" x14ac:dyDescent="0.3">
      <c r="A571" t="s">
        <v>688</v>
      </c>
      <c r="B571" t="s">
        <v>100</v>
      </c>
      <c r="C571" t="s">
        <v>108</v>
      </c>
      <c r="D571" t="s">
        <v>689</v>
      </c>
      <c r="E571" t="s">
        <v>768</v>
      </c>
      <c r="F571">
        <v>3</v>
      </c>
      <c r="G571" s="308">
        <f>'BECA MEDIA'!M85</f>
        <v>2</v>
      </c>
      <c r="H571" s="308">
        <f>'BECA MEDIA'!N85</f>
        <v>5000</v>
      </c>
    </row>
    <row r="572" spans="1:8" x14ac:dyDescent="0.3">
      <c r="A572" t="s">
        <v>688</v>
      </c>
      <c r="B572" t="s">
        <v>100</v>
      </c>
      <c r="C572" t="s">
        <v>108</v>
      </c>
      <c r="D572" t="s">
        <v>689</v>
      </c>
      <c r="E572" t="s">
        <v>769</v>
      </c>
      <c r="F572">
        <v>4</v>
      </c>
      <c r="G572" s="308">
        <f>'BECA MEDIA'!P85</f>
        <v>1.2</v>
      </c>
      <c r="H572" s="308">
        <f>'BECA MEDIA'!Q85</f>
        <v>3000</v>
      </c>
    </row>
    <row r="573" spans="1:8" x14ac:dyDescent="0.3">
      <c r="A573" t="s">
        <v>688</v>
      </c>
      <c r="B573" t="s">
        <v>100</v>
      </c>
      <c r="C573" t="s">
        <v>108</v>
      </c>
      <c r="D573" t="s">
        <v>689</v>
      </c>
      <c r="E573" t="s">
        <v>770</v>
      </c>
      <c r="F573">
        <v>5</v>
      </c>
      <c r="G573" s="308">
        <f>'BECA MEDIA'!S85</f>
        <v>0</v>
      </c>
      <c r="H573" s="308">
        <f>'BECA MEDIA'!T85</f>
        <v>0</v>
      </c>
    </row>
    <row r="574" spans="1:8" x14ac:dyDescent="0.3">
      <c r="A574" t="s">
        <v>688</v>
      </c>
      <c r="B574" t="s">
        <v>100</v>
      </c>
      <c r="C574" t="s">
        <v>108</v>
      </c>
      <c r="D574" t="s">
        <v>689</v>
      </c>
      <c r="E574" t="s">
        <v>771</v>
      </c>
      <c r="F574">
        <v>6</v>
      </c>
      <c r="G574" s="308">
        <f>'BECA MEDIA'!V85</f>
        <v>3.2</v>
      </c>
      <c r="H574" s="308">
        <f>'BECA MEDIA'!W85</f>
        <v>8000</v>
      </c>
    </row>
    <row r="575" spans="1:8" x14ac:dyDescent="0.3">
      <c r="A575" t="s">
        <v>688</v>
      </c>
      <c r="B575" t="s">
        <v>100</v>
      </c>
      <c r="C575" t="s">
        <v>108</v>
      </c>
      <c r="D575" t="s">
        <v>689</v>
      </c>
      <c r="E575" t="s">
        <v>772</v>
      </c>
      <c r="F575">
        <v>7</v>
      </c>
      <c r="G575" s="308">
        <f>'BECA MEDIA'!Y85</f>
        <v>0</v>
      </c>
      <c r="H575" s="308">
        <f>'BECA MEDIA'!Z85</f>
        <v>0</v>
      </c>
    </row>
    <row r="576" spans="1:8" x14ac:dyDescent="0.3">
      <c r="A576" t="s">
        <v>688</v>
      </c>
      <c r="B576" t="s">
        <v>100</v>
      </c>
      <c r="C576" t="s">
        <v>109</v>
      </c>
      <c r="D576" t="s">
        <v>689</v>
      </c>
      <c r="E576" t="s">
        <v>766</v>
      </c>
      <c r="F576">
        <v>1</v>
      </c>
      <c r="G576" s="308">
        <f>'BECA MEDIA'!G86</f>
        <v>0</v>
      </c>
      <c r="H576" s="308">
        <f>'BECA MEDIA'!H86</f>
        <v>0</v>
      </c>
    </row>
    <row r="577" spans="1:8" x14ac:dyDescent="0.3">
      <c r="A577" t="s">
        <v>688</v>
      </c>
      <c r="B577" t="s">
        <v>100</v>
      </c>
      <c r="C577" t="s">
        <v>109</v>
      </c>
      <c r="D577" t="s">
        <v>689</v>
      </c>
      <c r="E577" t="s">
        <v>767</v>
      </c>
      <c r="F577">
        <v>2</v>
      </c>
      <c r="G577" s="308">
        <f>'BECA MEDIA'!J86</f>
        <v>0</v>
      </c>
      <c r="H577" s="308">
        <f>'BECA MEDIA'!K86</f>
        <v>0</v>
      </c>
    </row>
    <row r="578" spans="1:8" x14ac:dyDescent="0.3">
      <c r="A578" t="s">
        <v>688</v>
      </c>
      <c r="B578" t="s">
        <v>100</v>
      </c>
      <c r="C578" t="s">
        <v>109</v>
      </c>
      <c r="D578" t="s">
        <v>689</v>
      </c>
      <c r="E578" t="s">
        <v>768</v>
      </c>
      <c r="F578">
        <v>3</v>
      </c>
      <c r="G578" s="308">
        <f>'BECA MEDIA'!M86</f>
        <v>4.4000000000000004</v>
      </c>
      <c r="H578" s="308">
        <f>'BECA MEDIA'!N86</f>
        <v>11000</v>
      </c>
    </row>
    <row r="579" spans="1:8" x14ac:dyDescent="0.3">
      <c r="A579" t="s">
        <v>688</v>
      </c>
      <c r="B579" t="s">
        <v>100</v>
      </c>
      <c r="C579" t="s">
        <v>109</v>
      </c>
      <c r="D579" t="s">
        <v>689</v>
      </c>
      <c r="E579" t="s">
        <v>769</v>
      </c>
      <c r="F579">
        <v>4</v>
      </c>
      <c r="G579" s="308">
        <f>'BECA MEDIA'!P86</f>
        <v>2.8</v>
      </c>
      <c r="H579" s="308">
        <f>'BECA MEDIA'!Q86</f>
        <v>7000</v>
      </c>
    </row>
    <row r="580" spans="1:8" x14ac:dyDescent="0.3">
      <c r="A580" t="s">
        <v>688</v>
      </c>
      <c r="B580" t="s">
        <v>100</v>
      </c>
      <c r="C580" t="s">
        <v>109</v>
      </c>
      <c r="D580" t="s">
        <v>689</v>
      </c>
      <c r="E580" t="s">
        <v>770</v>
      </c>
      <c r="F580">
        <v>5</v>
      </c>
      <c r="G580" s="308">
        <f>'BECA MEDIA'!S86</f>
        <v>0</v>
      </c>
      <c r="H580" s="308">
        <f>'BECA MEDIA'!T86</f>
        <v>0</v>
      </c>
    </row>
    <row r="581" spans="1:8" x14ac:dyDescent="0.3">
      <c r="A581" t="s">
        <v>688</v>
      </c>
      <c r="B581" t="s">
        <v>100</v>
      </c>
      <c r="C581" t="s">
        <v>109</v>
      </c>
      <c r="D581" t="s">
        <v>689</v>
      </c>
      <c r="E581" t="s">
        <v>771</v>
      </c>
      <c r="F581">
        <v>6</v>
      </c>
      <c r="G581" s="308">
        <f>'BECA MEDIA'!V86</f>
        <v>7.2</v>
      </c>
      <c r="H581" s="308">
        <f>'BECA MEDIA'!W86</f>
        <v>18000</v>
      </c>
    </row>
    <row r="582" spans="1:8" x14ac:dyDescent="0.3">
      <c r="A582" t="s">
        <v>688</v>
      </c>
      <c r="B582" t="s">
        <v>100</v>
      </c>
      <c r="C582" t="s">
        <v>109</v>
      </c>
      <c r="D582" t="s">
        <v>689</v>
      </c>
      <c r="E582" t="s">
        <v>772</v>
      </c>
      <c r="F582">
        <v>7</v>
      </c>
      <c r="G582" s="308">
        <f>'BECA MEDIA'!Y86</f>
        <v>0</v>
      </c>
      <c r="H582" s="308">
        <f>'BECA MEDIA'!Z86</f>
        <v>0</v>
      </c>
    </row>
    <row r="583" spans="1:8" x14ac:dyDescent="0.3">
      <c r="A583" t="s">
        <v>688</v>
      </c>
      <c r="B583" t="s">
        <v>100</v>
      </c>
      <c r="C583" t="s">
        <v>110</v>
      </c>
      <c r="D583" t="s">
        <v>689</v>
      </c>
      <c r="E583" t="s">
        <v>766</v>
      </c>
      <c r="F583">
        <v>1</v>
      </c>
      <c r="G583" s="308">
        <f>'BECA MEDIA'!G87</f>
        <v>0</v>
      </c>
      <c r="H583" s="308">
        <f>'BECA MEDIA'!H87</f>
        <v>0</v>
      </c>
    </row>
    <row r="584" spans="1:8" x14ac:dyDescent="0.3">
      <c r="A584" t="s">
        <v>688</v>
      </c>
      <c r="B584" t="s">
        <v>100</v>
      </c>
      <c r="C584" t="s">
        <v>110</v>
      </c>
      <c r="D584" t="s">
        <v>689</v>
      </c>
      <c r="E584" t="s">
        <v>767</v>
      </c>
      <c r="F584">
        <v>2</v>
      </c>
      <c r="G584" s="308">
        <f>'BECA MEDIA'!J87</f>
        <v>0</v>
      </c>
      <c r="H584" s="308">
        <f>'BECA MEDIA'!K87</f>
        <v>0</v>
      </c>
    </row>
    <row r="585" spans="1:8" x14ac:dyDescent="0.3">
      <c r="A585" t="s">
        <v>688</v>
      </c>
      <c r="B585" t="s">
        <v>100</v>
      </c>
      <c r="C585" t="s">
        <v>110</v>
      </c>
      <c r="D585" t="s">
        <v>689</v>
      </c>
      <c r="E585" t="s">
        <v>768</v>
      </c>
      <c r="F585">
        <v>3</v>
      </c>
      <c r="G585" s="308">
        <f>'BECA MEDIA'!M87</f>
        <v>2</v>
      </c>
      <c r="H585" s="308">
        <f>'BECA MEDIA'!N87</f>
        <v>5000</v>
      </c>
    </row>
    <row r="586" spans="1:8" x14ac:dyDescent="0.3">
      <c r="A586" t="s">
        <v>688</v>
      </c>
      <c r="B586" t="s">
        <v>100</v>
      </c>
      <c r="C586" t="s">
        <v>110</v>
      </c>
      <c r="D586" t="s">
        <v>689</v>
      </c>
      <c r="E586" t="s">
        <v>769</v>
      </c>
      <c r="F586">
        <v>4</v>
      </c>
      <c r="G586" s="308">
        <f>'BECA MEDIA'!P87</f>
        <v>2</v>
      </c>
      <c r="H586" s="308">
        <f>'BECA MEDIA'!Q87</f>
        <v>5000</v>
      </c>
    </row>
    <row r="587" spans="1:8" x14ac:dyDescent="0.3">
      <c r="A587" t="s">
        <v>688</v>
      </c>
      <c r="B587" t="s">
        <v>100</v>
      </c>
      <c r="C587" t="s">
        <v>110</v>
      </c>
      <c r="D587" t="s">
        <v>689</v>
      </c>
      <c r="E587" t="s">
        <v>770</v>
      </c>
      <c r="F587">
        <v>5</v>
      </c>
      <c r="G587" s="308">
        <f>'BECA MEDIA'!S87</f>
        <v>0</v>
      </c>
      <c r="H587" s="308">
        <f>'BECA MEDIA'!T87</f>
        <v>0</v>
      </c>
    </row>
    <row r="588" spans="1:8" x14ac:dyDescent="0.3">
      <c r="A588" t="s">
        <v>688</v>
      </c>
      <c r="B588" t="s">
        <v>100</v>
      </c>
      <c r="C588" t="s">
        <v>110</v>
      </c>
      <c r="D588" t="s">
        <v>689</v>
      </c>
      <c r="E588" t="s">
        <v>771</v>
      </c>
      <c r="F588">
        <v>6</v>
      </c>
      <c r="G588" s="308">
        <f>'BECA MEDIA'!V87</f>
        <v>4.8</v>
      </c>
      <c r="H588" s="308">
        <f>'BECA MEDIA'!W87</f>
        <v>12000</v>
      </c>
    </row>
    <row r="589" spans="1:8" x14ac:dyDescent="0.3">
      <c r="A589" t="s">
        <v>688</v>
      </c>
      <c r="B589" t="s">
        <v>100</v>
      </c>
      <c r="C589" t="s">
        <v>110</v>
      </c>
      <c r="D589" t="s">
        <v>689</v>
      </c>
      <c r="E589" t="s">
        <v>772</v>
      </c>
      <c r="F589">
        <v>7</v>
      </c>
      <c r="G589" s="308">
        <f>'BECA MEDIA'!Y87</f>
        <v>0</v>
      </c>
      <c r="H589" s="308">
        <f>'BECA MEDIA'!Z87</f>
        <v>0</v>
      </c>
    </row>
    <row r="590" spans="1:8" x14ac:dyDescent="0.3">
      <c r="A590" t="s">
        <v>688</v>
      </c>
      <c r="B590" t="s">
        <v>100</v>
      </c>
      <c r="C590" t="s">
        <v>111</v>
      </c>
      <c r="D590" t="s">
        <v>689</v>
      </c>
      <c r="E590" t="s">
        <v>766</v>
      </c>
      <c r="F590">
        <v>1</v>
      </c>
      <c r="G590" s="308">
        <f>'BECA MEDIA'!G88</f>
        <v>0</v>
      </c>
      <c r="H590" s="308">
        <f>'BECA MEDIA'!H88</f>
        <v>0</v>
      </c>
    </row>
    <row r="591" spans="1:8" x14ac:dyDescent="0.3">
      <c r="A591" t="s">
        <v>688</v>
      </c>
      <c r="B591" t="s">
        <v>100</v>
      </c>
      <c r="C591" t="s">
        <v>111</v>
      </c>
      <c r="D591" t="s">
        <v>689</v>
      </c>
      <c r="E591" t="s">
        <v>767</v>
      </c>
      <c r="F591">
        <v>2</v>
      </c>
      <c r="G591" s="308">
        <f>'BECA MEDIA'!J88</f>
        <v>0</v>
      </c>
      <c r="H591" s="308">
        <f>'BECA MEDIA'!K88</f>
        <v>0</v>
      </c>
    </row>
    <row r="592" spans="1:8" x14ac:dyDescent="0.3">
      <c r="A592" t="s">
        <v>688</v>
      </c>
      <c r="B592" t="s">
        <v>100</v>
      </c>
      <c r="C592" t="s">
        <v>111</v>
      </c>
      <c r="D592" t="s">
        <v>689</v>
      </c>
      <c r="E592" t="s">
        <v>768</v>
      </c>
      <c r="F592">
        <v>3</v>
      </c>
      <c r="G592" s="308">
        <f>'BECA MEDIA'!M88</f>
        <v>4.4000000000000004</v>
      </c>
      <c r="H592" s="308">
        <f>'BECA MEDIA'!N88</f>
        <v>11000</v>
      </c>
    </row>
    <row r="593" spans="1:8" x14ac:dyDescent="0.3">
      <c r="A593" t="s">
        <v>688</v>
      </c>
      <c r="B593" t="s">
        <v>100</v>
      </c>
      <c r="C593" t="s">
        <v>111</v>
      </c>
      <c r="D593" t="s">
        <v>689</v>
      </c>
      <c r="E593" t="s">
        <v>769</v>
      </c>
      <c r="F593">
        <v>4</v>
      </c>
      <c r="G593" s="308">
        <f>'BECA MEDIA'!P88</f>
        <v>1.2</v>
      </c>
      <c r="H593" s="308">
        <f>'BECA MEDIA'!Q88</f>
        <v>3000</v>
      </c>
    </row>
    <row r="594" spans="1:8" x14ac:dyDescent="0.3">
      <c r="A594" t="s">
        <v>688</v>
      </c>
      <c r="B594" t="s">
        <v>100</v>
      </c>
      <c r="C594" t="s">
        <v>111</v>
      </c>
      <c r="D594" t="s">
        <v>689</v>
      </c>
      <c r="E594" t="s">
        <v>770</v>
      </c>
      <c r="F594">
        <v>5</v>
      </c>
      <c r="G594" s="308">
        <f>'BECA MEDIA'!S88</f>
        <v>0</v>
      </c>
      <c r="H594" s="308">
        <f>'BECA MEDIA'!T88</f>
        <v>0</v>
      </c>
    </row>
    <row r="595" spans="1:8" x14ac:dyDescent="0.3">
      <c r="A595" t="s">
        <v>688</v>
      </c>
      <c r="B595" t="s">
        <v>100</v>
      </c>
      <c r="C595" t="s">
        <v>111</v>
      </c>
      <c r="D595" t="s">
        <v>689</v>
      </c>
      <c r="E595" t="s">
        <v>771</v>
      </c>
      <c r="F595">
        <v>6</v>
      </c>
      <c r="G595" s="308">
        <f>'BECA MEDIA'!V88</f>
        <v>5.6</v>
      </c>
      <c r="H595" s="308">
        <f>'BECA MEDIA'!W88</f>
        <v>14000</v>
      </c>
    </row>
    <row r="596" spans="1:8" x14ac:dyDescent="0.3">
      <c r="A596" t="s">
        <v>688</v>
      </c>
      <c r="B596" t="s">
        <v>100</v>
      </c>
      <c r="C596" t="s">
        <v>111</v>
      </c>
      <c r="D596" t="s">
        <v>689</v>
      </c>
      <c r="E596" t="s">
        <v>772</v>
      </c>
      <c r="F596">
        <v>7</v>
      </c>
      <c r="G596" s="308">
        <f>'BECA MEDIA'!Y88</f>
        <v>0</v>
      </c>
      <c r="H596" s="308">
        <f>'BECA MEDIA'!Z88</f>
        <v>0</v>
      </c>
    </row>
    <row r="597" spans="1:8" x14ac:dyDescent="0.3">
      <c r="A597" t="s">
        <v>688</v>
      </c>
      <c r="B597" t="s">
        <v>100</v>
      </c>
      <c r="C597" t="s">
        <v>112</v>
      </c>
      <c r="D597" t="s">
        <v>689</v>
      </c>
      <c r="E597" t="s">
        <v>766</v>
      </c>
      <c r="F597">
        <v>1</v>
      </c>
      <c r="G597" s="308">
        <f>'BECA MEDIA'!G89</f>
        <v>0</v>
      </c>
      <c r="H597" s="308">
        <f>'BECA MEDIA'!H89</f>
        <v>0</v>
      </c>
    </row>
    <row r="598" spans="1:8" x14ac:dyDescent="0.3">
      <c r="A598" t="s">
        <v>688</v>
      </c>
      <c r="B598" t="s">
        <v>100</v>
      </c>
      <c r="C598" t="s">
        <v>112</v>
      </c>
      <c r="D598" t="s">
        <v>689</v>
      </c>
      <c r="E598" t="s">
        <v>767</v>
      </c>
      <c r="F598">
        <v>2</v>
      </c>
      <c r="G598" s="308">
        <f>'BECA MEDIA'!J89</f>
        <v>0</v>
      </c>
      <c r="H598" s="308">
        <f>'BECA MEDIA'!K89</f>
        <v>0</v>
      </c>
    </row>
    <row r="599" spans="1:8" x14ac:dyDescent="0.3">
      <c r="A599" t="s">
        <v>688</v>
      </c>
      <c r="B599" t="s">
        <v>100</v>
      </c>
      <c r="C599" t="s">
        <v>112</v>
      </c>
      <c r="D599" t="s">
        <v>689</v>
      </c>
      <c r="E599" t="s">
        <v>768</v>
      </c>
      <c r="F599">
        <v>3</v>
      </c>
      <c r="G599" s="308">
        <f>'BECA MEDIA'!M89</f>
        <v>2.8</v>
      </c>
      <c r="H599" s="308">
        <f>'BECA MEDIA'!N89</f>
        <v>7000</v>
      </c>
    </row>
    <row r="600" spans="1:8" x14ac:dyDescent="0.3">
      <c r="A600" t="s">
        <v>688</v>
      </c>
      <c r="B600" t="s">
        <v>100</v>
      </c>
      <c r="C600" t="s">
        <v>112</v>
      </c>
      <c r="D600" t="s">
        <v>689</v>
      </c>
      <c r="E600" t="s">
        <v>769</v>
      </c>
      <c r="F600">
        <v>4</v>
      </c>
      <c r="G600" s="308">
        <f>'BECA MEDIA'!P89</f>
        <v>2.4</v>
      </c>
      <c r="H600" s="308">
        <f>'BECA MEDIA'!Q89</f>
        <v>6000</v>
      </c>
    </row>
    <row r="601" spans="1:8" x14ac:dyDescent="0.3">
      <c r="A601" t="s">
        <v>688</v>
      </c>
      <c r="B601" t="s">
        <v>100</v>
      </c>
      <c r="C601" t="s">
        <v>112</v>
      </c>
      <c r="D601" t="s">
        <v>689</v>
      </c>
      <c r="E601" t="s">
        <v>770</v>
      </c>
      <c r="F601">
        <v>5</v>
      </c>
      <c r="G601" s="308">
        <f>'BECA MEDIA'!S89</f>
        <v>0</v>
      </c>
      <c r="H601" s="308">
        <f>'BECA MEDIA'!T89</f>
        <v>0</v>
      </c>
    </row>
    <row r="602" spans="1:8" x14ac:dyDescent="0.3">
      <c r="A602" t="s">
        <v>688</v>
      </c>
      <c r="B602" t="s">
        <v>100</v>
      </c>
      <c r="C602" t="s">
        <v>112</v>
      </c>
      <c r="D602" t="s">
        <v>689</v>
      </c>
      <c r="E602" t="s">
        <v>771</v>
      </c>
      <c r="F602">
        <v>6</v>
      </c>
      <c r="G602" s="308">
        <f>'BECA MEDIA'!V89</f>
        <v>5.6</v>
      </c>
      <c r="H602" s="308">
        <f>'BECA MEDIA'!W89</f>
        <v>14000</v>
      </c>
    </row>
    <row r="603" spans="1:8" x14ac:dyDescent="0.3">
      <c r="A603" t="s">
        <v>688</v>
      </c>
      <c r="B603" t="s">
        <v>100</v>
      </c>
      <c r="C603" t="s">
        <v>112</v>
      </c>
      <c r="D603" t="s">
        <v>689</v>
      </c>
      <c r="E603" t="s">
        <v>772</v>
      </c>
      <c r="F603">
        <v>7</v>
      </c>
      <c r="G603" s="308">
        <f>'BECA MEDIA'!Y89</f>
        <v>0</v>
      </c>
      <c r="H603" s="308">
        <f>'BECA MEDIA'!Z89</f>
        <v>0</v>
      </c>
    </row>
    <row r="604" spans="1:8" x14ac:dyDescent="0.3">
      <c r="A604" t="s">
        <v>688</v>
      </c>
      <c r="B604" t="s">
        <v>100</v>
      </c>
      <c r="C604" t="s">
        <v>113</v>
      </c>
      <c r="D604" t="s">
        <v>689</v>
      </c>
      <c r="E604" t="s">
        <v>766</v>
      </c>
      <c r="F604">
        <v>1</v>
      </c>
      <c r="G604" s="308">
        <f>'BECA MEDIA'!G90</f>
        <v>0</v>
      </c>
      <c r="H604" s="308">
        <f>'BECA MEDIA'!H90</f>
        <v>0</v>
      </c>
    </row>
    <row r="605" spans="1:8" x14ac:dyDescent="0.3">
      <c r="A605" t="s">
        <v>688</v>
      </c>
      <c r="B605" t="s">
        <v>100</v>
      </c>
      <c r="C605" t="s">
        <v>113</v>
      </c>
      <c r="D605" t="s">
        <v>689</v>
      </c>
      <c r="E605" t="s">
        <v>767</v>
      </c>
      <c r="F605">
        <v>2</v>
      </c>
      <c r="G605" s="308">
        <f>'BECA MEDIA'!J90</f>
        <v>0</v>
      </c>
      <c r="H605" s="308">
        <f>'BECA MEDIA'!K90</f>
        <v>0</v>
      </c>
    </row>
    <row r="606" spans="1:8" x14ac:dyDescent="0.3">
      <c r="A606" t="s">
        <v>688</v>
      </c>
      <c r="B606" t="s">
        <v>100</v>
      </c>
      <c r="C606" t="s">
        <v>113</v>
      </c>
      <c r="D606" t="s">
        <v>689</v>
      </c>
      <c r="E606" t="s">
        <v>768</v>
      </c>
      <c r="F606">
        <v>3</v>
      </c>
      <c r="G606" s="308">
        <f>'BECA MEDIA'!M90</f>
        <v>4</v>
      </c>
      <c r="H606" s="308">
        <f>'BECA MEDIA'!N90</f>
        <v>10000</v>
      </c>
    </row>
    <row r="607" spans="1:8" x14ac:dyDescent="0.3">
      <c r="A607" t="s">
        <v>688</v>
      </c>
      <c r="B607" t="s">
        <v>100</v>
      </c>
      <c r="C607" t="s">
        <v>113</v>
      </c>
      <c r="D607" t="s">
        <v>689</v>
      </c>
      <c r="E607" t="s">
        <v>769</v>
      </c>
      <c r="F607">
        <v>4</v>
      </c>
      <c r="G607" s="308">
        <f>'BECA MEDIA'!P90</f>
        <v>2</v>
      </c>
      <c r="H607" s="308">
        <f>'BECA MEDIA'!Q90</f>
        <v>5000</v>
      </c>
    </row>
    <row r="608" spans="1:8" x14ac:dyDescent="0.3">
      <c r="A608" t="s">
        <v>688</v>
      </c>
      <c r="B608" t="s">
        <v>100</v>
      </c>
      <c r="C608" t="s">
        <v>113</v>
      </c>
      <c r="D608" t="s">
        <v>689</v>
      </c>
      <c r="E608" t="s">
        <v>770</v>
      </c>
      <c r="F608">
        <v>5</v>
      </c>
      <c r="G608" s="308">
        <f>'BECA MEDIA'!S90</f>
        <v>0</v>
      </c>
      <c r="H608" s="308">
        <f>'BECA MEDIA'!T90</f>
        <v>0</v>
      </c>
    </row>
    <row r="609" spans="1:8" x14ac:dyDescent="0.3">
      <c r="A609" t="s">
        <v>688</v>
      </c>
      <c r="B609" t="s">
        <v>100</v>
      </c>
      <c r="C609" t="s">
        <v>113</v>
      </c>
      <c r="D609" t="s">
        <v>689</v>
      </c>
      <c r="E609" t="s">
        <v>771</v>
      </c>
      <c r="F609">
        <v>6</v>
      </c>
      <c r="G609" s="308">
        <f>'BECA MEDIA'!V90</f>
        <v>6.4</v>
      </c>
      <c r="H609" s="308">
        <f>'BECA MEDIA'!W90</f>
        <v>16000</v>
      </c>
    </row>
    <row r="610" spans="1:8" x14ac:dyDescent="0.3">
      <c r="A610" t="s">
        <v>688</v>
      </c>
      <c r="B610" t="s">
        <v>100</v>
      </c>
      <c r="C610" t="s">
        <v>113</v>
      </c>
      <c r="D610" t="s">
        <v>689</v>
      </c>
      <c r="E610" t="s">
        <v>772</v>
      </c>
      <c r="F610">
        <v>7</v>
      </c>
      <c r="G610" s="308">
        <f>'BECA MEDIA'!Y90</f>
        <v>0</v>
      </c>
      <c r="H610" s="308">
        <f>'BECA MEDIA'!Z90</f>
        <v>0</v>
      </c>
    </row>
    <row r="611" spans="1:8" x14ac:dyDescent="0.3">
      <c r="A611" t="s">
        <v>688</v>
      </c>
      <c r="B611" t="s">
        <v>100</v>
      </c>
      <c r="C611" t="s">
        <v>114</v>
      </c>
      <c r="D611" t="s">
        <v>689</v>
      </c>
      <c r="E611" t="s">
        <v>766</v>
      </c>
      <c r="F611">
        <v>1</v>
      </c>
      <c r="G611" s="308">
        <f>'BECA MEDIA'!G91</f>
        <v>0</v>
      </c>
      <c r="H611" s="308">
        <f>'BECA MEDIA'!H91</f>
        <v>0</v>
      </c>
    </row>
    <row r="612" spans="1:8" x14ac:dyDescent="0.3">
      <c r="A612" t="s">
        <v>688</v>
      </c>
      <c r="B612" t="s">
        <v>100</v>
      </c>
      <c r="C612" t="s">
        <v>114</v>
      </c>
      <c r="D612" t="s">
        <v>689</v>
      </c>
      <c r="E612" t="s">
        <v>767</v>
      </c>
      <c r="F612">
        <v>2</v>
      </c>
      <c r="G612" s="308">
        <f>'BECA MEDIA'!J91</f>
        <v>0</v>
      </c>
      <c r="H612" s="308">
        <f>'BECA MEDIA'!K91</f>
        <v>0</v>
      </c>
    </row>
    <row r="613" spans="1:8" x14ac:dyDescent="0.3">
      <c r="A613" t="s">
        <v>688</v>
      </c>
      <c r="B613" t="s">
        <v>100</v>
      </c>
      <c r="C613" t="s">
        <v>114</v>
      </c>
      <c r="D613" t="s">
        <v>689</v>
      </c>
      <c r="E613" t="s">
        <v>768</v>
      </c>
      <c r="F613">
        <v>3</v>
      </c>
      <c r="G613" s="308">
        <f>'BECA MEDIA'!M91</f>
        <v>3.2</v>
      </c>
      <c r="H613" s="308">
        <f>'BECA MEDIA'!N91</f>
        <v>8000</v>
      </c>
    </row>
    <row r="614" spans="1:8" x14ac:dyDescent="0.3">
      <c r="A614" t="s">
        <v>688</v>
      </c>
      <c r="B614" t="s">
        <v>100</v>
      </c>
      <c r="C614" t="s">
        <v>114</v>
      </c>
      <c r="D614" t="s">
        <v>689</v>
      </c>
      <c r="E614" t="s">
        <v>769</v>
      </c>
      <c r="F614">
        <v>4</v>
      </c>
      <c r="G614" s="308">
        <f>'BECA MEDIA'!P91</f>
        <v>0.8</v>
      </c>
      <c r="H614" s="308">
        <f>'BECA MEDIA'!Q91</f>
        <v>2000</v>
      </c>
    </row>
    <row r="615" spans="1:8" x14ac:dyDescent="0.3">
      <c r="A615" t="s">
        <v>688</v>
      </c>
      <c r="B615" t="s">
        <v>100</v>
      </c>
      <c r="C615" t="s">
        <v>114</v>
      </c>
      <c r="D615" t="s">
        <v>689</v>
      </c>
      <c r="E615" t="s">
        <v>770</v>
      </c>
      <c r="F615">
        <v>5</v>
      </c>
      <c r="G615" s="308">
        <f>'BECA MEDIA'!S91</f>
        <v>0</v>
      </c>
      <c r="H615" s="308">
        <f>'BECA MEDIA'!T91</f>
        <v>0</v>
      </c>
    </row>
    <row r="616" spans="1:8" x14ac:dyDescent="0.3">
      <c r="A616" t="s">
        <v>688</v>
      </c>
      <c r="B616" t="s">
        <v>100</v>
      </c>
      <c r="C616" t="s">
        <v>114</v>
      </c>
      <c r="D616" t="s">
        <v>689</v>
      </c>
      <c r="E616" t="s">
        <v>771</v>
      </c>
      <c r="F616">
        <v>6</v>
      </c>
      <c r="G616" s="308">
        <f>'BECA MEDIA'!V91</f>
        <v>4</v>
      </c>
      <c r="H616" s="308">
        <f>'BECA MEDIA'!W91</f>
        <v>10000</v>
      </c>
    </row>
    <row r="617" spans="1:8" x14ac:dyDescent="0.3">
      <c r="A617" t="s">
        <v>688</v>
      </c>
      <c r="B617" t="s">
        <v>100</v>
      </c>
      <c r="C617" t="s">
        <v>114</v>
      </c>
      <c r="D617" t="s">
        <v>689</v>
      </c>
      <c r="E617" t="s">
        <v>772</v>
      </c>
      <c r="F617">
        <v>7</v>
      </c>
      <c r="G617" s="308">
        <f>'BECA MEDIA'!Y91</f>
        <v>0</v>
      </c>
      <c r="H617" s="308">
        <f>'BECA MEDIA'!Z91</f>
        <v>0</v>
      </c>
    </row>
    <row r="618" spans="1:8" x14ac:dyDescent="0.3">
      <c r="A618" t="s">
        <v>688</v>
      </c>
      <c r="B618" t="s">
        <v>100</v>
      </c>
      <c r="C618" t="s">
        <v>115</v>
      </c>
      <c r="D618" t="s">
        <v>689</v>
      </c>
      <c r="E618" t="s">
        <v>766</v>
      </c>
      <c r="F618">
        <v>1</v>
      </c>
      <c r="G618" s="308">
        <f>'BECA MEDIA'!G92</f>
        <v>0</v>
      </c>
      <c r="H618" s="308">
        <f>'BECA MEDIA'!H92</f>
        <v>0</v>
      </c>
    </row>
    <row r="619" spans="1:8" x14ac:dyDescent="0.3">
      <c r="A619" t="s">
        <v>688</v>
      </c>
      <c r="B619" t="s">
        <v>100</v>
      </c>
      <c r="C619" t="s">
        <v>115</v>
      </c>
      <c r="D619" t="s">
        <v>689</v>
      </c>
      <c r="E619" t="s">
        <v>767</v>
      </c>
      <c r="F619">
        <v>2</v>
      </c>
      <c r="G619" s="308">
        <f>'BECA MEDIA'!J92</f>
        <v>0</v>
      </c>
      <c r="H619" s="308">
        <f>'BECA MEDIA'!K92</f>
        <v>0</v>
      </c>
    </row>
    <row r="620" spans="1:8" x14ac:dyDescent="0.3">
      <c r="A620" t="s">
        <v>688</v>
      </c>
      <c r="B620" t="s">
        <v>100</v>
      </c>
      <c r="C620" t="s">
        <v>115</v>
      </c>
      <c r="D620" t="s">
        <v>689</v>
      </c>
      <c r="E620" t="s">
        <v>768</v>
      </c>
      <c r="F620">
        <v>3</v>
      </c>
      <c r="G620" s="308">
        <f>'BECA MEDIA'!M92</f>
        <v>2.8</v>
      </c>
      <c r="H620" s="308">
        <f>'BECA MEDIA'!N92</f>
        <v>7000</v>
      </c>
    </row>
    <row r="621" spans="1:8" x14ac:dyDescent="0.3">
      <c r="A621" t="s">
        <v>688</v>
      </c>
      <c r="B621" t="s">
        <v>100</v>
      </c>
      <c r="C621" t="s">
        <v>115</v>
      </c>
      <c r="D621" t="s">
        <v>689</v>
      </c>
      <c r="E621" t="s">
        <v>769</v>
      </c>
      <c r="F621">
        <v>4</v>
      </c>
      <c r="G621" s="308">
        <f>'BECA MEDIA'!P92</f>
        <v>1.2</v>
      </c>
      <c r="H621" s="308">
        <f>'BECA MEDIA'!Q92</f>
        <v>3000</v>
      </c>
    </row>
    <row r="622" spans="1:8" x14ac:dyDescent="0.3">
      <c r="A622" t="s">
        <v>688</v>
      </c>
      <c r="B622" t="s">
        <v>100</v>
      </c>
      <c r="C622" t="s">
        <v>115</v>
      </c>
      <c r="D622" t="s">
        <v>689</v>
      </c>
      <c r="E622" t="s">
        <v>770</v>
      </c>
      <c r="F622">
        <v>5</v>
      </c>
      <c r="G622" s="308">
        <f>'BECA MEDIA'!S92</f>
        <v>0</v>
      </c>
      <c r="H622" s="308">
        <f>'BECA MEDIA'!T92</f>
        <v>0</v>
      </c>
    </row>
    <row r="623" spans="1:8" x14ac:dyDescent="0.3">
      <c r="A623" t="s">
        <v>688</v>
      </c>
      <c r="B623" t="s">
        <v>100</v>
      </c>
      <c r="C623" t="s">
        <v>115</v>
      </c>
      <c r="D623" t="s">
        <v>689</v>
      </c>
      <c r="E623" t="s">
        <v>771</v>
      </c>
      <c r="F623">
        <v>6</v>
      </c>
      <c r="G623" s="308">
        <f>'BECA MEDIA'!V92</f>
        <v>3.6</v>
      </c>
      <c r="H623" s="308">
        <f>'BECA MEDIA'!W92</f>
        <v>9000</v>
      </c>
    </row>
    <row r="624" spans="1:8" x14ac:dyDescent="0.3">
      <c r="A624" t="s">
        <v>688</v>
      </c>
      <c r="B624" t="s">
        <v>100</v>
      </c>
      <c r="C624" t="s">
        <v>115</v>
      </c>
      <c r="D624" t="s">
        <v>689</v>
      </c>
      <c r="E624" t="s">
        <v>772</v>
      </c>
      <c r="F624">
        <v>7</v>
      </c>
      <c r="G624" s="308">
        <f>'BECA MEDIA'!Y92</f>
        <v>0</v>
      </c>
      <c r="H624" s="308">
        <f>'BECA MEDIA'!Z92</f>
        <v>0</v>
      </c>
    </row>
    <row r="625" spans="1:8" x14ac:dyDescent="0.3">
      <c r="A625" t="s">
        <v>688</v>
      </c>
      <c r="B625" t="s">
        <v>100</v>
      </c>
      <c r="C625" t="s">
        <v>116</v>
      </c>
      <c r="D625" t="s">
        <v>689</v>
      </c>
      <c r="E625" t="s">
        <v>766</v>
      </c>
      <c r="F625">
        <v>1</v>
      </c>
      <c r="G625" s="308">
        <f>'BECA MEDIA'!G93</f>
        <v>0</v>
      </c>
      <c r="H625" s="308">
        <f>'BECA MEDIA'!H93</f>
        <v>0</v>
      </c>
    </row>
    <row r="626" spans="1:8" x14ac:dyDescent="0.3">
      <c r="A626" t="s">
        <v>688</v>
      </c>
      <c r="B626" t="s">
        <v>100</v>
      </c>
      <c r="C626" t="s">
        <v>116</v>
      </c>
      <c r="D626" t="s">
        <v>689</v>
      </c>
      <c r="E626" t="s">
        <v>767</v>
      </c>
      <c r="F626">
        <v>2</v>
      </c>
      <c r="G626" s="308">
        <f>'BECA MEDIA'!J93</f>
        <v>0</v>
      </c>
      <c r="H626" s="308">
        <f>'BECA MEDIA'!K93</f>
        <v>0</v>
      </c>
    </row>
    <row r="627" spans="1:8" x14ac:dyDescent="0.3">
      <c r="A627" t="s">
        <v>688</v>
      </c>
      <c r="B627" t="s">
        <v>100</v>
      </c>
      <c r="C627" t="s">
        <v>116</v>
      </c>
      <c r="D627" t="s">
        <v>689</v>
      </c>
      <c r="E627" t="s">
        <v>768</v>
      </c>
      <c r="F627">
        <v>3</v>
      </c>
      <c r="G627" s="308">
        <f>'BECA MEDIA'!M93</f>
        <v>6.8</v>
      </c>
      <c r="H627" s="308">
        <f>'BECA MEDIA'!N93</f>
        <v>17000</v>
      </c>
    </row>
    <row r="628" spans="1:8" x14ac:dyDescent="0.3">
      <c r="A628" t="s">
        <v>688</v>
      </c>
      <c r="B628" t="s">
        <v>100</v>
      </c>
      <c r="C628" t="s">
        <v>116</v>
      </c>
      <c r="D628" t="s">
        <v>689</v>
      </c>
      <c r="E628" t="s">
        <v>769</v>
      </c>
      <c r="F628">
        <v>4</v>
      </c>
      <c r="G628" s="308">
        <f>'BECA MEDIA'!P93</f>
        <v>3.6</v>
      </c>
      <c r="H628" s="308">
        <f>'BECA MEDIA'!Q93</f>
        <v>9000</v>
      </c>
    </row>
    <row r="629" spans="1:8" x14ac:dyDescent="0.3">
      <c r="A629" t="s">
        <v>688</v>
      </c>
      <c r="B629" t="s">
        <v>100</v>
      </c>
      <c r="C629" t="s">
        <v>116</v>
      </c>
      <c r="D629" t="s">
        <v>689</v>
      </c>
      <c r="E629" t="s">
        <v>770</v>
      </c>
      <c r="F629">
        <v>5</v>
      </c>
      <c r="G629" s="308">
        <f>'BECA MEDIA'!S93</f>
        <v>0</v>
      </c>
      <c r="H629" s="308">
        <f>'BECA MEDIA'!T93</f>
        <v>0</v>
      </c>
    </row>
    <row r="630" spans="1:8" x14ac:dyDescent="0.3">
      <c r="A630" t="s">
        <v>688</v>
      </c>
      <c r="B630" t="s">
        <v>100</v>
      </c>
      <c r="C630" t="s">
        <v>116</v>
      </c>
      <c r="D630" t="s">
        <v>689</v>
      </c>
      <c r="E630" t="s">
        <v>771</v>
      </c>
      <c r="F630">
        <v>6</v>
      </c>
      <c r="G630" s="308">
        <f>'BECA MEDIA'!V93</f>
        <v>9.6</v>
      </c>
      <c r="H630" s="308">
        <f>'BECA MEDIA'!W93</f>
        <v>24000</v>
      </c>
    </row>
    <row r="631" spans="1:8" x14ac:dyDescent="0.3">
      <c r="A631" t="s">
        <v>688</v>
      </c>
      <c r="B631" t="s">
        <v>100</v>
      </c>
      <c r="C631" t="s">
        <v>116</v>
      </c>
      <c r="D631" t="s">
        <v>689</v>
      </c>
      <c r="E631" t="s">
        <v>772</v>
      </c>
      <c r="F631">
        <v>7</v>
      </c>
      <c r="G631" s="308">
        <f>'BECA MEDIA'!Y93</f>
        <v>0</v>
      </c>
      <c r="H631" s="308">
        <f>'BECA MEDIA'!Z93</f>
        <v>0</v>
      </c>
    </row>
    <row r="632" spans="1:8" x14ac:dyDescent="0.3">
      <c r="A632" t="s">
        <v>688</v>
      </c>
      <c r="B632" t="s">
        <v>117</v>
      </c>
      <c r="C632" t="s">
        <v>118</v>
      </c>
      <c r="D632" t="s">
        <v>689</v>
      </c>
      <c r="E632" t="s">
        <v>766</v>
      </c>
      <c r="F632">
        <v>1</v>
      </c>
      <c r="G632" s="308">
        <f>'BECA MEDIA'!G94</f>
        <v>0</v>
      </c>
      <c r="H632" s="308">
        <f>'BECA MEDIA'!H94</f>
        <v>0</v>
      </c>
    </row>
    <row r="633" spans="1:8" x14ac:dyDescent="0.3">
      <c r="A633" t="s">
        <v>688</v>
      </c>
      <c r="B633" t="s">
        <v>117</v>
      </c>
      <c r="C633" t="s">
        <v>118</v>
      </c>
      <c r="D633" t="s">
        <v>689</v>
      </c>
      <c r="E633" t="s">
        <v>767</v>
      </c>
      <c r="F633">
        <v>2</v>
      </c>
      <c r="G633" s="308">
        <f>'BECA MEDIA'!J94</f>
        <v>0</v>
      </c>
      <c r="H633" s="308">
        <f>'BECA MEDIA'!K94</f>
        <v>0</v>
      </c>
    </row>
    <row r="634" spans="1:8" x14ac:dyDescent="0.3">
      <c r="A634" t="s">
        <v>688</v>
      </c>
      <c r="B634" t="s">
        <v>117</v>
      </c>
      <c r="C634" t="s">
        <v>118</v>
      </c>
      <c r="D634" t="s">
        <v>689</v>
      </c>
      <c r="E634" t="s">
        <v>768</v>
      </c>
      <c r="F634">
        <v>3</v>
      </c>
      <c r="G634" s="308">
        <f>'BECA MEDIA'!M94</f>
        <v>2</v>
      </c>
      <c r="H634" s="308">
        <f>'BECA MEDIA'!N94</f>
        <v>5000</v>
      </c>
    </row>
    <row r="635" spans="1:8" x14ac:dyDescent="0.3">
      <c r="A635" t="s">
        <v>688</v>
      </c>
      <c r="B635" t="s">
        <v>117</v>
      </c>
      <c r="C635" t="s">
        <v>118</v>
      </c>
      <c r="D635" t="s">
        <v>689</v>
      </c>
      <c r="E635" t="s">
        <v>769</v>
      </c>
      <c r="F635">
        <v>4</v>
      </c>
      <c r="G635" s="308">
        <f>'BECA MEDIA'!P94</f>
        <v>1.2</v>
      </c>
      <c r="H635" s="308">
        <f>'BECA MEDIA'!Q94</f>
        <v>3000</v>
      </c>
    </row>
    <row r="636" spans="1:8" x14ac:dyDescent="0.3">
      <c r="A636" t="s">
        <v>688</v>
      </c>
      <c r="B636" t="s">
        <v>117</v>
      </c>
      <c r="C636" t="s">
        <v>118</v>
      </c>
      <c r="D636" t="s">
        <v>689</v>
      </c>
      <c r="E636" t="s">
        <v>770</v>
      </c>
      <c r="F636">
        <v>5</v>
      </c>
      <c r="G636" s="308">
        <f>'BECA MEDIA'!S94</f>
        <v>0</v>
      </c>
      <c r="H636" s="308">
        <f>'BECA MEDIA'!T94</f>
        <v>0</v>
      </c>
    </row>
    <row r="637" spans="1:8" x14ac:dyDescent="0.3">
      <c r="A637" t="s">
        <v>688</v>
      </c>
      <c r="B637" t="s">
        <v>117</v>
      </c>
      <c r="C637" t="s">
        <v>118</v>
      </c>
      <c r="D637" t="s">
        <v>689</v>
      </c>
      <c r="E637" t="s">
        <v>771</v>
      </c>
      <c r="F637">
        <v>6</v>
      </c>
      <c r="G637" s="308">
        <f>'BECA MEDIA'!V94</f>
        <v>3.2</v>
      </c>
      <c r="H637" s="308">
        <f>'BECA MEDIA'!W94</f>
        <v>8000</v>
      </c>
    </row>
    <row r="638" spans="1:8" x14ac:dyDescent="0.3">
      <c r="A638" t="s">
        <v>688</v>
      </c>
      <c r="B638" t="s">
        <v>117</v>
      </c>
      <c r="C638" t="s">
        <v>118</v>
      </c>
      <c r="D638" t="s">
        <v>689</v>
      </c>
      <c r="E638" t="s">
        <v>772</v>
      </c>
      <c r="F638">
        <v>7</v>
      </c>
      <c r="G638" s="308">
        <f>'BECA MEDIA'!Y94</f>
        <v>0</v>
      </c>
      <c r="H638" s="308">
        <f>'BECA MEDIA'!Z94</f>
        <v>0</v>
      </c>
    </row>
    <row r="639" spans="1:8" x14ac:dyDescent="0.3">
      <c r="A639" t="s">
        <v>688</v>
      </c>
      <c r="B639" t="s">
        <v>117</v>
      </c>
      <c r="C639" t="s">
        <v>119</v>
      </c>
      <c r="D639" t="s">
        <v>689</v>
      </c>
      <c r="E639" t="s">
        <v>766</v>
      </c>
      <c r="F639">
        <v>1</v>
      </c>
      <c r="G639" s="308">
        <f>'BECA MEDIA'!G95</f>
        <v>0</v>
      </c>
      <c r="H639" s="308">
        <f>'BECA MEDIA'!H95</f>
        <v>0</v>
      </c>
    </row>
    <row r="640" spans="1:8" x14ac:dyDescent="0.3">
      <c r="A640" t="s">
        <v>688</v>
      </c>
      <c r="B640" t="s">
        <v>117</v>
      </c>
      <c r="C640" t="s">
        <v>119</v>
      </c>
      <c r="D640" t="s">
        <v>689</v>
      </c>
      <c r="E640" t="s">
        <v>767</v>
      </c>
      <c r="F640">
        <v>2</v>
      </c>
      <c r="G640" s="308">
        <f>'BECA MEDIA'!J95</f>
        <v>0</v>
      </c>
      <c r="H640" s="308">
        <f>'BECA MEDIA'!K95</f>
        <v>0</v>
      </c>
    </row>
    <row r="641" spans="1:8" x14ac:dyDescent="0.3">
      <c r="A641" t="s">
        <v>688</v>
      </c>
      <c r="B641" t="s">
        <v>117</v>
      </c>
      <c r="C641" t="s">
        <v>119</v>
      </c>
      <c r="D641" t="s">
        <v>689</v>
      </c>
      <c r="E641" t="s">
        <v>768</v>
      </c>
      <c r="F641">
        <v>3</v>
      </c>
      <c r="G641" s="308">
        <f>'BECA MEDIA'!M95</f>
        <v>5.6</v>
      </c>
      <c r="H641" s="308">
        <f>'BECA MEDIA'!N95</f>
        <v>14000</v>
      </c>
    </row>
    <row r="642" spans="1:8" x14ac:dyDescent="0.3">
      <c r="A642" t="s">
        <v>688</v>
      </c>
      <c r="B642" t="s">
        <v>117</v>
      </c>
      <c r="C642" t="s">
        <v>119</v>
      </c>
      <c r="D642" t="s">
        <v>689</v>
      </c>
      <c r="E642" t="s">
        <v>769</v>
      </c>
      <c r="F642">
        <v>4</v>
      </c>
      <c r="G642" s="308">
        <f>'BECA MEDIA'!P95</f>
        <v>4.8</v>
      </c>
      <c r="H642" s="308">
        <f>'BECA MEDIA'!Q95</f>
        <v>12000</v>
      </c>
    </row>
    <row r="643" spans="1:8" x14ac:dyDescent="0.3">
      <c r="A643" t="s">
        <v>688</v>
      </c>
      <c r="B643" t="s">
        <v>117</v>
      </c>
      <c r="C643" t="s">
        <v>119</v>
      </c>
      <c r="D643" t="s">
        <v>689</v>
      </c>
      <c r="E643" t="s">
        <v>770</v>
      </c>
      <c r="F643">
        <v>5</v>
      </c>
      <c r="G643" s="308">
        <f>'BECA MEDIA'!S95</f>
        <v>0</v>
      </c>
      <c r="H643" s="308">
        <f>'BECA MEDIA'!T95</f>
        <v>0</v>
      </c>
    </row>
    <row r="644" spans="1:8" x14ac:dyDescent="0.3">
      <c r="A644" t="s">
        <v>688</v>
      </c>
      <c r="B644" t="s">
        <v>117</v>
      </c>
      <c r="C644" t="s">
        <v>119</v>
      </c>
      <c r="D644" t="s">
        <v>689</v>
      </c>
      <c r="E644" t="s">
        <v>771</v>
      </c>
      <c r="F644">
        <v>6</v>
      </c>
      <c r="G644" s="308">
        <f>'BECA MEDIA'!V95</f>
        <v>10.4</v>
      </c>
      <c r="H644" s="308">
        <f>'BECA MEDIA'!W95</f>
        <v>26000</v>
      </c>
    </row>
    <row r="645" spans="1:8" x14ac:dyDescent="0.3">
      <c r="A645" t="s">
        <v>688</v>
      </c>
      <c r="B645" t="s">
        <v>117</v>
      </c>
      <c r="C645" t="s">
        <v>119</v>
      </c>
      <c r="D645" t="s">
        <v>689</v>
      </c>
      <c r="E645" t="s">
        <v>772</v>
      </c>
      <c r="F645">
        <v>7</v>
      </c>
      <c r="G645" s="308">
        <f>'BECA MEDIA'!Y95</f>
        <v>0</v>
      </c>
      <c r="H645" s="308">
        <f>'BECA MEDIA'!Z95</f>
        <v>0</v>
      </c>
    </row>
    <row r="646" spans="1:8" x14ac:dyDescent="0.3">
      <c r="A646" t="s">
        <v>688</v>
      </c>
      <c r="B646" t="s">
        <v>117</v>
      </c>
      <c r="C646" t="s">
        <v>120</v>
      </c>
      <c r="D646" t="s">
        <v>689</v>
      </c>
      <c r="E646" t="s">
        <v>766</v>
      </c>
      <c r="F646">
        <v>1</v>
      </c>
      <c r="G646" s="308">
        <f>'BECA MEDIA'!G96</f>
        <v>0</v>
      </c>
      <c r="H646" s="308">
        <f>'BECA MEDIA'!H96</f>
        <v>0</v>
      </c>
    </row>
    <row r="647" spans="1:8" x14ac:dyDescent="0.3">
      <c r="A647" t="s">
        <v>688</v>
      </c>
      <c r="B647" t="s">
        <v>117</v>
      </c>
      <c r="C647" t="s">
        <v>120</v>
      </c>
      <c r="D647" t="s">
        <v>689</v>
      </c>
      <c r="E647" t="s">
        <v>767</v>
      </c>
      <c r="F647">
        <v>2</v>
      </c>
      <c r="G647" s="308">
        <f>'BECA MEDIA'!J96</f>
        <v>0</v>
      </c>
      <c r="H647" s="308">
        <f>'BECA MEDIA'!K96</f>
        <v>0</v>
      </c>
    </row>
    <row r="648" spans="1:8" x14ac:dyDescent="0.3">
      <c r="A648" t="s">
        <v>688</v>
      </c>
      <c r="B648" t="s">
        <v>117</v>
      </c>
      <c r="C648" t="s">
        <v>120</v>
      </c>
      <c r="D648" t="s">
        <v>689</v>
      </c>
      <c r="E648" t="s">
        <v>768</v>
      </c>
      <c r="F648">
        <v>3</v>
      </c>
      <c r="G648" s="308">
        <f>'BECA MEDIA'!M96</f>
        <v>3.2</v>
      </c>
      <c r="H648" s="308">
        <f>'BECA MEDIA'!N96</f>
        <v>8000</v>
      </c>
    </row>
    <row r="649" spans="1:8" x14ac:dyDescent="0.3">
      <c r="A649" t="s">
        <v>688</v>
      </c>
      <c r="B649" t="s">
        <v>117</v>
      </c>
      <c r="C649" t="s">
        <v>120</v>
      </c>
      <c r="D649" t="s">
        <v>689</v>
      </c>
      <c r="E649" t="s">
        <v>769</v>
      </c>
      <c r="F649">
        <v>4</v>
      </c>
      <c r="G649" s="308">
        <f>'BECA MEDIA'!P96</f>
        <v>2</v>
      </c>
      <c r="H649" s="308">
        <f>'BECA MEDIA'!Q96</f>
        <v>5000</v>
      </c>
    </row>
    <row r="650" spans="1:8" x14ac:dyDescent="0.3">
      <c r="A650" t="s">
        <v>688</v>
      </c>
      <c r="B650" t="s">
        <v>117</v>
      </c>
      <c r="C650" t="s">
        <v>120</v>
      </c>
      <c r="D650" t="s">
        <v>689</v>
      </c>
      <c r="E650" t="s">
        <v>770</v>
      </c>
      <c r="F650">
        <v>5</v>
      </c>
      <c r="G650" s="308">
        <f>'BECA MEDIA'!S96</f>
        <v>0</v>
      </c>
      <c r="H650" s="308">
        <f>'BECA MEDIA'!T96</f>
        <v>0</v>
      </c>
    </row>
    <row r="651" spans="1:8" x14ac:dyDescent="0.3">
      <c r="A651" t="s">
        <v>688</v>
      </c>
      <c r="B651" t="s">
        <v>117</v>
      </c>
      <c r="C651" t="s">
        <v>120</v>
      </c>
      <c r="D651" t="s">
        <v>689</v>
      </c>
      <c r="E651" t="s">
        <v>771</v>
      </c>
      <c r="F651">
        <v>6</v>
      </c>
      <c r="G651" s="308">
        <f>'BECA MEDIA'!V96</f>
        <v>5.2</v>
      </c>
      <c r="H651" s="308">
        <f>'BECA MEDIA'!W96</f>
        <v>13000</v>
      </c>
    </row>
    <row r="652" spans="1:8" x14ac:dyDescent="0.3">
      <c r="A652" t="s">
        <v>688</v>
      </c>
      <c r="B652" t="s">
        <v>117</v>
      </c>
      <c r="C652" t="s">
        <v>120</v>
      </c>
      <c r="D652" t="s">
        <v>689</v>
      </c>
      <c r="E652" t="s">
        <v>772</v>
      </c>
      <c r="F652">
        <v>7</v>
      </c>
      <c r="G652" s="308">
        <f>'BECA MEDIA'!Y96</f>
        <v>0</v>
      </c>
      <c r="H652" s="308">
        <f>'BECA MEDIA'!Z96</f>
        <v>0</v>
      </c>
    </row>
    <row r="653" spans="1:8" x14ac:dyDescent="0.3">
      <c r="A653" t="s">
        <v>688</v>
      </c>
      <c r="B653" t="s">
        <v>117</v>
      </c>
      <c r="C653" t="s">
        <v>121</v>
      </c>
      <c r="D653" t="s">
        <v>689</v>
      </c>
      <c r="E653" t="s">
        <v>766</v>
      </c>
      <c r="F653">
        <v>1</v>
      </c>
      <c r="G653" s="308">
        <f>'BECA MEDIA'!G97</f>
        <v>0</v>
      </c>
      <c r="H653" s="308">
        <f>'BECA MEDIA'!H97</f>
        <v>0</v>
      </c>
    </row>
    <row r="654" spans="1:8" x14ac:dyDescent="0.3">
      <c r="A654" t="s">
        <v>688</v>
      </c>
      <c r="B654" t="s">
        <v>117</v>
      </c>
      <c r="C654" t="s">
        <v>121</v>
      </c>
      <c r="D654" t="s">
        <v>689</v>
      </c>
      <c r="E654" t="s">
        <v>767</v>
      </c>
      <c r="F654">
        <v>2</v>
      </c>
      <c r="G654" s="308">
        <f>'BECA MEDIA'!J97</f>
        <v>0</v>
      </c>
      <c r="H654" s="308">
        <f>'BECA MEDIA'!K97</f>
        <v>0</v>
      </c>
    </row>
    <row r="655" spans="1:8" x14ac:dyDescent="0.3">
      <c r="A655" t="s">
        <v>688</v>
      </c>
      <c r="B655" t="s">
        <v>117</v>
      </c>
      <c r="C655" t="s">
        <v>121</v>
      </c>
      <c r="D655" t="s">
        <v>689</v>
      </c>
      <c r="E655" t="s">
        <v>768</v>
      </c>
      <c r="F655">
        <v>3</v>
      </c>
      <c r="G655" s="308">
        <f>'BECA MEDIA'!M97</f>
        <v>4</v>
      </c>
      <c r="H655" s="308">
        <f>'BECA MEDIA'!N97</f>
        <v>10000</v>
      </c>
    </row>
    <row r="656" spans="1:8" x14ac:dyDescent="0.3">
      <c r="A656" t="s">
        <v>688</v>
      </c>
      <c r="B656" t="s">
        <v>117</v>
      </c>
      <c r="C656" t="s">
        <v>121</v>
      </c>
      <c r="D656" t="s">
        <v>689</v>
      </c>
      <c r="E656" t="s">
        <v>769</v>
      </c>
      <c r="F656">
        <v>4</v>
      </c>
      <c r="G656" s="308">
        <f>'BECA MEDIA'!P97</f>
        <v>1.6</v>
      </c>
      <c r="H656" s="308">
        <f>'BECA MEDIA'!Q97</f>
        <v>4000</v>
      </c>
    </row>
    <row r="657" spans="1:8" x14ac:dyDescent="0.3">
      <c r="A657" t="s">
        <v>688</v>
      </c>
      <c r="B657" t="s">
        <v>117</v>
      </c>
      <c r="C657" t="s">
        <v>121</v>
      </c>
      <c r="D657" t="s">
        <v>689</v>
      </c>
      <c r="E657" t="s">
        <v>770</v>
      </c>
      <c r="F657">
        <v>5</v>
      </c>
      <c r="G657" s="308">
        <f>'BECA MEDIA'!S97</f>
        <v>0</v>
      </c>
      <c r="H657" s="308">
        <f>'BECA MEDIA'!T97</f>
        <v>0</v>
      </c>
    </row>
    <row r="658" spans="1:8" x14ac:dyDescent="0.3">
      <c r="A658" t="s">
        <v>688</v>
      </c>
      <c r="B658" t="s">
        <v>117</v>
      </c>
      <c r="C658" t="s">
        <v>121</v>
      </c>
      <c r="D658" t="s">
        <v>689</v>
      </c>
      <c r="E658" t="s">
        <v>771</v>
      </c>
      <c r="F658">
        <v>6</v>
      </c>
      <c r="G658" s="308">
        <f>'BECA MEDIA'!V97</f>
        <v>5.6</v>
      </c>
      <c r="H658" s="308">
        <f>'BECA MEDIA'!W97</f>
        <v>14000</v>
      </c>
    </row>
    <row r="659" spans="1:8" x14ac:dyDescent="0.3">
      <c r="A659" t="s">
        <v>688</v>
      </c>
      <c r="B659" t="s">
        <v>117</v>
      </c>
      <c r="C659" t="s">
        <v>121</v>
      </c>
      <c r="D659" t="s">
        <v>689</v>
      </c>
      <c r="E659" t="s">
        <v>772</v>
      </c>
      <c r="F659">
        <v>7</v>
      </c>
      <c r="G659" s="308">
        <f>'BECA MEDIA'!Y97</f>
        <v>0</v>
      </c>
      <c r="H659" s="308">
        <f>'BECA MEDIA'!Z97</f>
        <v>0</v>
      </c>
    </row>
    <row r="660" spans="1:8" x14ac:dyDescent="0.3">
      <c r="A660" t="s">
        <v>688</v>
      </c>
      <c r="B660" t="s">
        <v>117</v>
      </c>
      <c r="C660" t="s">
        <v>122</v>
      </c>
      <c r="D660" t="s">
        <v>689</v>
      </c>
      <c r="E660" t="s">
        <v>766</v>
      </c>
      <c r="F660">
        <v>1</v>
      </c>
      <c r="G660" s="308">
        <f>'BECA MEDIA'!G98</f>
        <v>0</v>
      </c>
      <c r="H660" s="308">
        <f>'BECA MEDIA'!H98</f>
        <v>0</v>
      </c>
    </row>
    <row r="661" spans="1:8" x14ac:dyDescent="0.3">
      <c r="A661" t="s">
        <v>688</v>
      </c>
      <c r="B661" t="s">
        <v>117</v>
      </c>
      <c r="C661" t="s">
        <v>122</v>
      </c>
      <c r="D661" t="s">
        <v>689</v>
      </c>
      <c r="E661" t="s">
        <v>767</v>
      </c>
      <c r="F661">
        <v>2</v>
      </c>
      <c r="G661" s="308">
        <f>'BECA MEDIA'!J98</f>
        <v>0</v>
      </c>
      <c r="H661" s="308">
        <f>'BECA MEDIA'!K98</f>
        <v>0</v>
      </c>
    </row>
    <row r="662" spans="1:8" x14ac:dyDescent="0.3">
      <c r="A662" t="s">
        <v>688</v>
      </c>
      <c r="B662" t="s">
        <v>117</v>
      </c>
      <c r="C662" t="s">
        <v>122</v>
      </c>
      <c r="D662" t="s">
        <v>689</v>
      </c>
      <c r="E662" t="s">
        <v>768</v>
      </c>
      <c r="F662">
        <v>3</v>
      </c>
      <c r="G662" s="308">
        <f>'BECA MEDIA'!M98</f>
        <v>5.2</v>
      </c>
      <c r="H662" s="308">
        <f>'BECA MEDIA'!N98</f>
        <v>13000</v>
      </c>
    </row>
    <row r="663" spans="1:8" x14ac:dyDescent="0.3">
      <c r="A663" t="s">
        <v>688</v>
      </c>
      <c r="B663" t="s">
        <v>117</v>
      </c>
      <c r="C663" t="s">
        <v>122</v>
      </c>
      <c r="D663" t="s">
        <v>689</v>
      </c>
      <c r="E663" t="s">
        <v>769</v>
      </c>
      <c r="F663">
        <v>4</v>
      </c>
      <c r="G663" s="308">
        <f>'BECA MEDIA'!P98</f>
        <v>2.8</v>
      </c>
      <c r="H663" s="308">
        <f>'BECA MEDIA'!Q98</f>
        <v>7000</v>
      </c>
    </row>
    <row r="664" spans="1:8" x14ac:dyDescent="0.3">
      <c r="A664" t="s">
        <v>688</v>
      </c>
      <c r="B664" t="s">
        <v>117</v>
      </c>
      <c r="C664" t="s">
        <v>122</v>
      </c>
      <c r="D664" t="s">
        <v>689</v>
      </c>
      <c r="E664" t="s">
        <v>770</v>
      </c>
      <c r="F664">
        <v>5</v>
      </c>
      <c r="G664" s="308">
        <f>'BECA MEDIA'!S98</f>
        <v>0</v>
      </c>
      <c r="H664" s="308">
        <f>'BECA MEDIA'!T98</f>
        <v>0</v>
      </c>
    </row>
    <row r="665" spans="1:8" x14ac:dyDescent="0.3">
      <c r="A665" t="s">
        <v>688</v>
      </c>
      <c r="B665" t="s">
        <v>117</v>
      </c>
      <c r="C665" t="s">
        <v>122</v>
      </c>
      <c r="D665" t="s">
        <v>689</v>
      </c>
      <c r="E665" t="s">
        <v>771</v>
      </c>
      <c r="F665">
        <v>6</v>
      </c>
      <c r="G665" s="308">
        <f>'BECA MEDIA'!V98</f>
        <v>8</v>
      </c>
      <c r="H665" s="308">
        <f>'BECA MEDIA'!W98</f>
        <v>20000</v>
      </c>
    </row>
    <row r="666" spans="1:8" x14ac:dyDescent="0.3">
      <c r="A666" t="s">
        <v>688</v>
      </c>
      <c r="B666" t="s">
        <v>117</v>
      </c>
      <c r="C666" t="s">
        <v>122</v>
      </c>
      <c r="D666" t="s">
        <v>689</v>
      </c>
      <c r="E666" t="s">
        <v>772</v>
      </c>
      <c r="F666">
        <v>7</v>
      </c>
      <c r="G666" s="308">
        <f>'BECA MEDIA'!Y98</f>
        <v>0</v>
      </c>
      <c r="H666" s="308">
        <f>'BECA MEDIA'!Z98</f>
        <v>0</v>
      </c>
    </row>
    <row r="667" spans="1:8" x14ac:dyDescent="0.3">
      <c r="A667" t="s">
        <v>688</v>
      </c>
      <c r="B667" t="s">
        <v>117</v>
      </c>
      <c r="C667" t="s">
        <v>123</v>
      </c>
      <c r="D667" t="s">
        <v>689</v>
      </c>
      <c r="E667" t="s">
        <v>766</v>
      </c>
      <c r="F667">
        <v>1</v>
      </c>
      <c r="G667" s="308">
        <f>'BECA MEDIA'!G99</f>
        <v>0</v>
      </c>
      <c r="H667" s="308">
        <f>'BECA MEDIA'!H99</f>
        <v>0</v>
      </c>
    </row>
    <row r="668" spans="1:8" x14ac:dyDescent="0.3">
      <c r="A668" t="s">
        <v>688</v>
      </c>
      <c r="B668" t="s">
        <v>117</v>
      </c>
      <c r="C668" t="s">
        <v>123</v>
      </c>
      <c r="D668" t="s">
        <v>689</v>
      </c>
      <c r="E668" t="s">
        <v>767</v>
      </c>
      <c r="F668">
        <v>2</v>
      </c>
      <c r="G668" s="308">
        <f>'BECA MEDIA'!J99</f>
        <v>0</v>
      </c>
      <c r="H668" s="308">
        <f>'BECA MEDIA'!K99</f>
        <v>0</v>
      </c>
    </row>
    <row r="669" spans="1:8" x14ac:dyDescent="0.3">
      <c r="A669" t="s">
        <v>688</v>
      </c>
      <c r="B669" t="s">
        <v>117</v>
      </c>
      <c r="C669" t="s">
        <v>123</v>
      </c>
      <c r="D669" t="s">
        <v>689</v>
      </c>
      <c r="E669" t="s">
        <v>768</v>
      </c>
      <c r="F669">
        <v>3</v>
      </c>
      <c r="G669" s="308">
        <f>'BECA MEDIA'!M99</f>
        <v>4</v>
      </c>
      <c r="H669" s="308">
        <f>'BECA MEDIA'!N99</f>
        <v>10000</v>
      </c>
    </row>
    <row r="670" spans="1:8" x14ac:dyDescent="0.3">
      <c r="A670" t="s">
        <v>688</v>
      </c>
      <c r="B670" t="s">
        <v>117</v>
      </c>
      <c r="C670" t="s">
        <v>123</v>
      </c>
      <c r="D670" t="s">
        <v>689</v>
      </c>
      <c r="E670" t="s">
        <v>769</v>
      </c>
      <c r="F670">
        <v>4</v>
      </c>
      <c r="G670" s="308">
        <f>'BECA MEDIA'!P99</f>
        <v>4</v>
      </c>
      <c r="H670" s="308">
        <f>'BECA MEDIA'!Q99</f>
        <v>10000</v>
      </c>
    </row>
    <row r="671" spans="1:8" x14ac:dyDescent="0.3">
      <c r="A671" t="s">
        <v>688</v>
      </c>
      <c r="B671" t="s">
        <v>117</v>
      </c>
      <c r="C671" t="s">
        <v>123</v>
      </c>
      <c r="D671" t="s">
        <v>689</v>
      </c>
      <c r="E671" t="s">
        <v>770</v>
      </c>
      <c r="F671">
        <v>5</v>
      </c>
      <c r="G671" s="308">
        <f>'BECA MEDIA'!S99</f>
        <v>0</v>
      </c>
      <c r="H671" s="308">
        <f>'BECA MEDIA'!T99</f>
        <v>0</v>
      </c>
    </row>
    <row r="672" spans="1:8" x14ac:dyDescent="0.3">
      <c r="A672" t="s">
        <v>688</v>
      </c>
      <c r="B672" t="s">
        <v>117</v>
      </c>
      <c r="C672" t="s">
        <v>123</v>
      </c>
      <c r="D672" t="s">
        <v>689</v>
      </c>
      <c r="E672" t="s">
        <v>771</v>
      </c>
      <c r="F672">
        <v>6</v>
      </c>
      <c r="G672" s="308">
        <f>'BECA MEDIA'!V99</f>
        <v>7.6</v>
      </c>
      <c r="H672" s="308">
        <f>'BECA MEDIA'!W99</f>
        <v>19000</v>
      </c>
    </row>
    <row r="673" spans="1:8" x14ac:dyDescent="0.3">
      <c r="A673" t="s">
        <v>688</v>
      </c>
      <c r="B673" t="s">
        <v>117</v>
      </c>
      <c r="C673" t="s">
        <v>123</v>
      </c>
      <c r="D673" t="s">
        <v>689</v>
      </c>
      <c r="E673" t="s">
        <v>772</v>
      </c>
      <c r="F673">
        <v>7</v>
      </c>
      <c r="G673" s="308">
        <f>'BECA MEDIA'!Y99</f>
        <v>0</v>
      </c>
      <c r="H673" s="308">
        <f>'BECA MEDIA'!Z99</f>
        <v>0</v>
      </c>
    </row>
    <row r="674" spans="1:8" x14ac:dyDescent="0.3">
      <c r="A674" t="s">
        <v>688</v>
      </c>
      <c r="B674" t="s">
        <v>117</v>
      </c>
      <c r="C674" t="s">
        <v>117</v>
      </c>
      <c r="D674" t="s">
        <v>689</v>
      </c>
      <c r="E674" t="s">
        <v>766</v>
      </c>
      <c r="F674">
        <v>1</v>
      </c>
      <c r="G674" s="308">
        <f>'BECA MEDIA'!G100</f>
        <v>0</v>
      </c>
      <c r="H674" s="308">
        <f>'BECA MEDIA'!H100</f>
        <v>0</v>
      </c>
    </row>
    <row r="675" spans="1:8" x14ac:dyDescent="0.3">
      <c r="A675" t="s">
        <v>688</v>
      </c>
      <c r="B675" t="s">
        <v>117</v>
      </c>
      <c r="C675" t="s">
        <v>117</v>
      </c>
      <c r="D675" t="s">
        <v>689</v>
      </c>
      <c r="E675" t="s">
        <v>767</v>
      </c>
      <c r="F675">
        <v>2</v>
      </c>
      <c r="G675" s="308">
        <f>'BECA MEDIA'!J100</f>
        <v>0</v>
      </c>
      <c r="H675" s="308">
        <f>'BECA MEDIA'!K100</f>
        <v>0</v>
      </c>
    </row>
    <row r="676" spans="1:8" x14ac:dyDescent="0.3">
      <c r="A676" t="s">
        <v>688</v>
      </c>
      <c r="B676" t="s">
        <v>117</v>
      </c>
      <c r="C676" t="s">
        <v>117</v>
      </c>
      <c r="D676" t="s">
        <v>689</v>
      </c>
      <c r="E676" t="s">
        <v>768</v>
      </c>
      <c r="F676">
        <v>3</v>
      </c>
      <c r="G676" s="308">
        <f>'BECA MEDIA'!M100</f>
        <v>4</v>
      </c>
      <c r="H676" s="308">
        <f>'BECA MEDIA'!N100</f>
        <v>10000</v>
      </c>
    </row>
    <row r="677" spans="1:8" x14ac:dyDescent="0.3">
      <c r="A677" t="s">
        <v>688</v>
      </c>
      <c r="B677" t="s">
        <v>117</v>
      </c>
      <c r="C677" t="s">
        <v>117</v>
      </c>
      <c r="D677" t="s">
        <v>689</v>
      </c>
      <c r="E677" t="s">
        <v>769</v>
      </c>
      <c r="F677">
        <v>4</v>
      </c>
      <c r="G677" s="308">
        <f>'BECA MEDIA'!P100</f>
        <v>1.2</v>
      </c>
      <c r="H677" s="308">
        <f>'BECA MEDIA'!Q100</f>
        <v>3000</v>
      </c>
    </row>
    <row r="678" spans="1:8" x14ac:dyDescent="0.3">
      <c r="A678" t="s">
        <v>688</v>
      </c>
      <c r="B678" t="s">
        <v>117</v>
      </c>
      <c r="C678" t="s">
        <v>117</v>
      </c>
      <c r="D678" t="s">
        <v>689</v>
      </c>
      <c r="E678" t="s">
        <v>770</v>
      </c>
      <c r="F678">
        <v>5</v>
      </c>
      <c r="G678" s="308">
        <f>'BECA MEDIA'!S100</f>
        <v>0</v>
      </c>
      <c r="H678" s="308">
        <f>'BECA MEDIA'!T100</f>
        <v>0</v>
      </c>
    </row>
    <row r="679" spans="1:8" x14ac:dyDescent="0.3">
      <c r="A679" t="s">
        <v>688</v>
      </c>
      <c r="B679" t="s">
        <v>117</v>
      </c>
      <c r="C679" t="s">
        <v>117</v>
      </c>
      <c r="D679" t="s">
        <v>689</v>
      </c>
      <c r="E679" t="s">
        <v>771</v>
      </c>
      <c r="F679">
        <v>6</v>
      </c>
      <c r="G679" s="308">
        <f>'BECA MEDIA'!V100</f>
        <v>5.2</v>
      </c>
      <c r="H679" s="308">
        <f>'BECA MEDIA'!W100</f>
        <v>13000</v>
      </c>
    </row>
    <row r="680" spans="1:8" x14ac:dyDescent="0.3">
      <c r="A680" t="s">
        <v>688</v>
      </c>
      <c r="B680" t="s">
        <v>117</v>
      </c>
      <c r="C680" t="s">
        <v>117</v>
      </c>
      <c r="D680" t="s">
        <v>689</v>
      </c>
      <c r="E680" t="s">
        <v>772</v>
      </c>
      <c r="F680">
        <v>7</v>
      </c>
      <c r="G680" s="308">
        <f>'BECA MEDIA'!Y100</f>
        <v>0</v>
      </c>
      <c r="H680" s="308">
        <f>'BECA MEDIA'!Z100</f>
        <v>0</v>
      </c>
    </row>
    <row r="681" spans="1:8" x14ac:dyDescent="0.3">
      <c r="A681" t="s">
        <v>688</v>
      </c>
      <c r="B681" t="s">
        <v>117</v>
      </c>
      <c r="C681" t="s">
        <v>124</v>
      </c>
      <c r="D681" t="s">
        <v>689</v>
      </c>
      <c r="E681" t="s">
        <v>766</v>
      </c>
      <c r="F681">
        <v>1</v>
      </c>
      <c r="G681" s="308">
        <f>'BECA MEDIA'!G101</f>
        <v>0</v>
      </c>
      <c r="H681" s="308">
        <f>'BECA MEDIA'!H101</f>
        <v>0</v>
      </c>
    </row>
    <row r="682" spans="1:8" x14ac:dyDescent="0.3">
      <c r="A682" t="s">
        <v>688</v>
      </c>
      <c r="B682" t="s">
        <v>117</v>
      </c>
      <c r="C682" t="s">
        <v>124</v>
      </c>
      <c r="D682" t="s">
        <v>689</v>
      </c>
      <c r="E682" t="s">
        <v>767</v>
      </c>
      <c r="F682">
        <v>2</v>
      </c>
      <c r="G682" s="308">
        <f>'BECA MEDIA'!J101</f>
        <v>0</v>
      </c>
      <c r="H682" s="308">
        <f>'BECA MEDIA'!K101</f>
        <v>0</v>
      </c>
    </row>
    <row r="683" spans="1:8" x14ac:dyDescent="0.3">
      <c r="A683" t="s">
        <v>688</v>
      </c>
      <c r="B683" t="s">
        <v>117</v>
      </c>
      <c r="C683" t="s">
        <v>124</v>
      </c>
      <c r="D683" t="s">
        <v>689</v>
      </c>
      <c r="E683" t="s">
        <v>768</v>
      </c>
      <c r="F683">
        <v>3</v>
      </c>
      <c r="G683" s="308">
        <f>'BECA MEDIA'!M101</f>
        <v>2.4</v>
      </c>
      <c r="H683" s="308">
        <f>'BECA MEDIA'!N101</f>
        <v>6000</v>
      </c>
    </row>
    <row r="684" spans="1:8" x14ac:dyDescent="0.3">
      <c r="A684" t="s">
        <v>688</v>
      </c>
      <c r="B684" t="s">
        <v>117</v>
      </c>
      <c r="C684" t="s">
        <v>124</v>
      </c>
      <c r="D684" t="s">
        <v>689</v>
      </c>
      <c r="E684" t="s">
        <v>769</v>
      </c>
      <c r="F684">
        <v>4</v>
      </c>
      <c r="G684" s="308">
        <f>'BECA MEDIA'!P101</f>
        <v>1.2</v>
      </c>
      <c r="H684" s="308">
        <f>'BECA MEDIA'!Q101</f>
        <v>3000</v>
      </c>
    </row>
    <row r="685" spans="1:8" x14ac:dyDescent="0.3">
      <c r="A685" t="s">
        <v>688</v>
      </c>
      <c r="B685" t="s">
        <v>117</v>
      </c>
      <c r="C685" t="s">
        <v>124</v>
      </c>
      <c r="D685" t="s">
        <v>689</v>
      </c>
      <c r="E685" t="s">
        <v>770</v>
      </c>
      <c r="F685">
        <v>5</v>
      </c>
      <c r="G685" s="308">
        <f>'BECA MEDIA'!S101</f>
        <v>0</v>
      </c>
      <c r="H685" s="308">
        <f>'BECA MEDIA'!T101</f>
        <v>0</v>
      </c>
    </row>
    <row r="686" spans="1:8" x14ac:dyDescent="0.3">
      <c r="A686" t="s">
        <v>688</v>
      </c>
      <c r="B686" t="s">
        <v>117</v>
      </c>
      <c r="C686" t="s">
        <v>124</v>
      </c>
      <c r="D686" t="s">
        <v>689</v>
      </c>
      <c r="E686" t="s">
        <v>771</v>
      </c>
      <c r="F686">
        <v>6</v>
      </c>
      <c r="G686" s="308">
        <f>'BECA MEDIA'!V101</f>
        <v>3.6</v>
      </c>
      <c r="H686" s="308">
        <f>'BECA MEDIA'!W101</f>
        <v>9000</v>
      </c>
    </row>
    <row r="687" spans="1:8" x14ac:dyDescent="0.3">
      <c r="A687" t="s">
        <v>688</v>
      </c>
      <c r="B687" t="s">
        <v>117</v>
      </c>
      <c r="C687" t="s">
        <v>124</v>
      </c>
      <c r="D687" t="s">
        <v>689</v>
      </c>
      <c r="E687" t="s">
        <v>772</v>
      </c>
      <c r="F687">
        <v>7</v>
      </c>
      <c r="G687" s="308">
        <f>'BECA MEDIA'!Y101</f>
        <v>0</v>
      </c>
      <c r="H687" s="308">
        <f>'BECA MEDIA'!Z101</f>
        <v>0</v>
      </c>
    </row>
    <row r="688" spans="1:8" x14ac:dyDescent="0.3">
      <c r="A688" t="s">
        <v>688</v>
      </c>
      <c r="B688" t="s">
        <v>117</v>
      </c>
      <c r="C688" t="s">
        <v>89</v>
      </c>
      <c r="D688" t="s">
        <v>689</v>
      </c>
      <c r="E688" t="s">
        <v>766</v>
      </c>
      <c r="F688">
        <v>1</v>
      </c>
      <c r="G688" s="308">
        <f>'BECA MEDIA'!G102</f>
        <v>0</v>
      </c>
      <c r="H688" s="308">
        <f>'BECA MEDIA'!H102</f>
        <v>0</v>
      </c>
    </row>
    <row r="689" spans="1:8" x14ac:dyDescent="0.3">
      <c r="A689" t="s">
        <v>688</v>
      </c>
      <c r="B689" t="s">
        <v>117</v>
      </c>
      <c r="C689" t="s">
        <v>89</v>
      </c>
      <c r="D689" t="s">
        <v>689</v>
      </c>
      <c r="E689" t="s">
        <v>767</v>
      </c>
      <c r="F689">
        <v>2</v>
      </c>
      <c r="G689" s="308">
        <f>'BECA MEDIA'!J102</f>
        <v>0</v>
      </c>
      <c r="H689" s="308">
        <f>'BECA MEDIA'!K102</f>
        <v>0</v>
      </c>
    </row>
    <row r="690" spans="1:8" x14ac:dyDescent="0.3">
      <c r="A690" t="s">
        <v>688</v>
      </c>
      <c r="B690" t="s">
        <v>117</v>
      </c>
      <c r="C690" t="s">
        <v>89</v>
      </c>
      <c r="D690" t="s">
        <v>689</v>
      </c>
      <c r="E690" t="s">
        <v>768</v>
      </c>
      <c r="F690">
        <v>3</v>
      </c>
      <c r="G690" s="308">
        <f>'BECA MEDIA'!M102</f>
        <v>2.4</v>
      </c>
      <c r="H690" s="308">
        <f>'BECA MEDIA'!N102</f>
        <v>6000</v>
      </c>
    </row>
    <row r="691" spans="1:8" x14ac:dyDescent="0.3">
      <c r="A691" t="s">
        <v>688</v>
      </c>
      <c r="B691" t="s">
        <v>117</v>
      </c>
      <c r="C691" t="s">
        <v>89</v>
      </c>
      <c r="D691" t="s">
        <v>689</v>
      </c>
      <c r="E691" t="s">
        <v>769</v>
      </c>
      <c r="F691">
        <v>4</v>
      </c>
      <c r="G691" s="308">
        <f>'BECA MEDIA'!P102</f>
        <v>1.2</v>
      </c>
      <c r="H691" s="308">
        <f>'BECA MEDIA'!Q102</f>
        <v>3000</v>
      </c>
    </row>
    <row r="692" spans="1:8" x14ac:dyDescent="0.3">
      <c r="A692" t="s">
        <v>688</v>
      </c>
      <c r="B692" t="s">
        <v>117</v>
      </c>
      <c r="C692" t="s">
        <v>89</v>
      </c>
      <c r="D692" t="s">
        <v>689</v>
      </c>
      <c r="E692" t="s">
        <v>770</v>
      </c>
      <c r="F692">
        <v>5</v>
      </c>
      <c r="G692" s="308">
        <f>'BECA MEDIA'!S102</f>
        <v>0</v>
      </c>
      <c r="H692" s="308">
        <f>'BECA MEDIA'!T102</f>
        <v>0</v>
      </c>
    </row>
    <row r="693" spans="1:8" x14ac:dyDescent="0.3">
      <c r="A693" t="s">
        <v>688</v>
      </c>
      <c r="B693" t="s">
        <v>117</v>
      </c>
      <c r="C693" t="s">
        <v>89</v>
      </c>
      <c r="D693" t="s">
        <v>689</v>
      </c>
      <c r="E693" t="s">
        <v>771</v>
      </c>
      <c r="F693">
        <v>6</v>
      </c>
      <c r="G693" s="308">
        <f>'BECA MEDIA'!V102</f>
        <v>3.2</v>
      </c>
      <c r="H693" s="308">
        <f>'BECA MEDIA'!W102</f>
        <v>8000</v>
      </c>
    </row>
    <row r="694" spans="1:8" x14ac:dyDescent="0.3">
      <c r="A694" t="s">
        <v>688</v>
      </c>
      <c r="B694" t="s">
        <v>117</v>
      </c>
      <c r="C694" t="s">
        <v>89</v>
      </c>
      <c r="D694" t="s">
        <v>689</v>
      </c>
      <c r="E694" t="s">
        <v>772</v>
      </c>
      <c r="F694">
        <v>7</v>
      </c>
      <c r="G694" s="308">
        <f>'BECA MEDIA'!Y102</f>
        <v>0</v>
      </c>
      <c r="H694" s="308">
        <f>'BECA MEDIA'!Z102</f>
        <v>0</v>
      </c>
    </row>
    <row r="695" spans="1:8" x14ac:dyDescent="0.3">
      <c r="A695" t="s">
        <v>688</v>
      </c>
      <c r="B695" t="s">
        <v>117</v>
      </c>
      <c r="C695" t="s">
        <v>125</v>
      </c>
      <c r="D695" t="s">
        <v>689</v>
      </c>
      <c r="E695" t="s">
        <v>766</v>
      </c>
      <c r="F695">
        <v>1</v>
      </c>
      <c r="G695" s="308">
        <f>'BECA MEDIA'!G103</f>
        <v>0</v>
      </c>
      <c r="H695" s="308">
        <f>'BECA MEDIA'!H103</f>
        <v>0</v>
      </c>
    </row>
    <row r="696" spans="1:8" x14ac:dyDescent="0.3">
      <c r="A696" t="s">
        <v>688</v>
      </c>
      <c r="B696" t="s">
        <v>117</v>
      </c>
      <c r="C696" t="s">
        <v>125</v>
      </c>
      <c r="D696" t="s">
        <v>689</v>
      </c>
      <c r="E696" t="s">
        <v>767</v>
      </c>
      <c r="F696">
        <v>2</v>
      </c>
      <c r="G696" s="308">
        <f>'BECA MEDIA'!J103</f>
        <v>0</v>
      </c>
      <c r="H696" s="308">
        <f>'BECA MEDIA'!K103</f>
        <v>0</v>
      </c>
    </row>
    <row r="697" spans="1:8" x14ac:dyDescent="0.3">
      <c r="A697" t="s">
        <v>688</v>
      </c>
      <c r="B697" t="s">
        <v>117</v>
      </c>
      <c r="C697" t="s">
        <v>125</v>
      </c>
      <c r="D697" t="s">
        <v>689</v>
      </c>
      <c r="E697" t="s">
        <v>768</v>
      </c>
      <c r="F697">
        <v>3</v>
      </c>
      <c r="G697" s="308">
        <f>'BECA MEDIA'!M103</f>
        <v>4.4000000000000004</v>
      </c>
      <c r="H697" s="308">
        <f>'BECA MEDIA'!N103</f>
        <v>11000</v>
      </c>
    </row>
    <row r="698" spans="1:8" x14ac:dyDescent="0.3">
      <c r="A698" t="s">
        <v>688</v>
      </c>
      <c r="B698" t="s">
        <v>117</v>
      </c>
      <c r="C698" t="s">
        <v>125</v>
      </c>
      <c r="D698" t="s">
        <v>689</v>
      </c>
      <c r="E698" t="s">
        <v>769</v>
      </c>
      <c r="F698">
        <v>4</v>
      </c>
      <c r="G698" s="308">
        <f>'BECA MEDIA'!P103</f>
        <v>2</v>
      </c>
      <c r="H698" s="308">
        <f>'BECA MEDIA'!Q103</f>
        <v>5000</v>
      </c>
    </row>
    <row r="699" spans="1:8" x14ac:dyDescent="0.3">
      <c r="A699" t="s">
        <v>688</v>
      </c>
      <c r="B699" t="s">
        <v>117</v>
      </c>
      <c r="C699" t="s">
        <v>125</v>
      </c>
      <c r="D699" t="s">
        <v>689</v>
      </c>
      <c r="E699" t="s">
        <v>770</v>
      </c>
      <c r="F699">
        <v>5</v>
      </c>
      <c r="G699" s="308">
        <f>'BECA MEDIA'!S103</f>
        <v>0</v>
      </c>
      <c r="H699" s="308">
        <f>'BECA MEDIA'!T103</f>
        <v>0</v>
      </c>
    </row>
    <row r="700" spans="1:8" x14ac:dyDescent="0.3">
      <c r="A700" t="s">
        <v>688</v>
      </c>
      <c r="B700" t="s">
        <v>117</v>
      </c>
      <c r="C700" t="s">
        <v>125</v>
      </c>
      <c r="D700" t="s">
        <v>689</v>
      </c>
      <c r="E700" t="s">
        <v>771</v>
      </c>
      <c r="F700">
        <v>6</v>
      </c>
      <c r="G700" s="308">
        <f>'BECA MEDIA'!V103</f>
        <v>6</v>
      </c>
      <c r="H700" s="308">
        <f>'BECA MEDIA'!W103</f>
        <v>15000</v>
      </c>
    </row>
    <row r="701" spans="1:8" x14ac:dyDescent="0.3">
      <c r="A701" t="s">
        <v>688</v>
      </c>
      <c r="B701" t="s">
        <v>117</v>
      </c>
      <c r="C701" t="s">
        <v>125</v>
      </c>
      <c r="D701" t="s">
        <v>689</v>
      </c>
      <c r="E701" t="s">
        <v>772</v>
      </c>
      <c r="F701">
        <v>7</v>
      </c>
      <c r="G701" s="308">
        <f>'BECA MEDIA'!Y103</f>
        <v>0</v>
      </c>
      <c r="H701" s="308">
        <f>'BECA MEDIA'!Z103</f>
        <v>0</v>
      </c>
    </row>
    <row r="702" spans="1:8" x14ac:dyDescent="0.3">
      <c r="A702" t="s">
        <v>688</v>
      </c>
      <c r="B702" t="s">
        <v>117</v>
      </c>
      <c r="C702" t="s">
        <v>126</v>
      </c>
      <c r="D702" t="s">
        <v>689</v>
      </c>
      <c r="E702" t="s">
        <v>766</v>
      </c>
      <c r="F702">
        <v>1</v>
      </c>
      <c r="G702" s="308">
        <f>'BECA MEDIA'!G104</f>
        <v>0</v>
      </c>
      <c r="H702" s="308">
        <f>'BECA MEDIA'!H104</f>
        <v>0</v>
      </c>
    </row>
    <row r="703" spans="1:8" x14ac:dyDescent="0.3">
      <c r="A703" t="s">
        <v>688</v>
      </c>
      <c r="B703" t="s">
        <v>117</v>
      </c>
      <c r="C703" t="s">
        <v>126</v>
      </c>
      <c r="D703" t="s">
        <v>689</v>
      </c>
      <c r="E703" t="s">
        <v>767</v>
      </c>
      <c r="F703">
        <v>2</v>
      </c>
      <c r="G703" s="308">
        <f>'BECA MEDIA'!J104</f>
        <v>0</v>
      </c>
      <c r="H703" s="308">
        <f>'BECA MEDIA'!K104</f>
        <v>0</v>
      </c>
    </row>
    <row r="704" spans="1:8" x14ac:dyDescent="0.3">
      <c r="A704" t="s">
        <v>688</v>
      </c>
      <c r="B704" t="s">
        <v>117</v>
      </c>
      <c r="C704" t="s">
        <v>126</v>
      </c>
      <c r="D704" t="s">
        <v>689</v>
      </c>
      <c r="E704" t="s">
        <v>768</v>
      </c>
      <c r="F704">
        <v>3</v>
      </c>
      <c r="G704" s="308">
        <f>'BECA MEDIA'!M104</f>
        <v>4.8</v>
      </c>
      <c r="H704" s="308">
        <f>'BECA MEDIA'!N104</f>
        <v>12000</v>
      </c>
    </row>
    <row r="705" spans="1:8" x14ac:dyDescent="0.3">
      <c r="A705" t="s">
        <v>688</v>
      </c>
      <c r="B705" t="s">
        <v>117</v>
      </c>
      <c r="C705" t="s">
        <v>126</v>
      </c>
      <c r="D705" t="s">
        <v>689</v>
      </c>
      <c r="E705" t="s">
        <v>769</v>
      </c>
      <c r="F705">
        <v>4</v>
      </c>
      <c r="G705" s="308">
        <f>'BECA MEDIA'!P104</f>
        <v>4</v>
      </c>
      <c r="H705" s="308">
        <f>'BECA MEDIA'!Q104</f>
        <v>10000</v>
      </c>
    </row>
    <row r="706" spans="1:8" x14ac:dyDescent="0.3">
      <c r="A706" t="s">
        <v>688</v>
      </c>
      <c r="B706" t="s">
        <v>117</v>
      </c>
      <c r="C706" t="s">
        <v>126</v>
      </c>
      <c r="D706" t="s">
        <v>689</v>
      </c>
      <c r="E706" t="s">
        <v>770</v>
      </c>
      <c r="F706">
        <v>5</v>
      </c>
      <c r="G706" s="308">
        <f>'BECA MEDIA'!S104</f>
        <v>0</v>
      </c>
      <c r="H706" s="308">
        <f>'BECA MEDIA'!T104</f>
        <v>0</v>
      </c>
    </row>
    <row r="707" spans="1:8" x14ac:dyDescent="0.3">
      <c r="A707" t="s">
        <v>688</v>
      </c>
      <c r="B707" t="s">
        <v>117</v>
      </c>
      <c r="C707" t="s">
        <v>126</v>
      </c>
      <c r="D707" t="s">
        <v>689</v>
      </c>
      <c r="E707" t="s">
        <v>771</v>
      </c>
      <c r="F707">
        <v>6</v>
      </c>
      <c r="G707" s="308">
        <f>'BECA MEDIA'!V104</f>
        <v>8.8000000000000007</v>
      </c>
      <c r="H707" s="308">
        <f>'BECA MEDIA'!W104</f>
        <v>22000</v>
      </c>
    </row>
    <row r="708" spans="1:8" x14ac:dyDescent="0.3">
      <c r="A708" t="s">
        <v>688</v>
      </c>
      <c r="B708" t="s">
        <v>117</v>
      </c>
      <c r="C708" t="s">
        <v>126</v>
      </c>
      <c r="D708" t="s">
        <v>689</v>
      </c>
      <c r="E708" t="s">
        <v>772</v>
      </c>
      <c r="F708">
        <v>7</v>
      </c>
      <c r="G708" s="308">
        <f>'BECA MEDIA'!Y104</f>
        <v>0</v>
      </c>
      <c r="H708" s="308">
        <f>'BECA MEDIA'!Z104</f>
        <v>0</v>
      </c>
    </row>
    <row r="709" spans="1:8" x14ac:dyDescent="0.3">
      <c r="A709" t="s">
        <v>688</v>
      </c>
      <c r="B709" t="s">
        <v>117</v>
      </c>
      <c r="C709" t="s">
        <v>127</v>
      </c>
      <c r="D709" t="s">
        <v>689</v>
      </c>
      <c r="E709" t="s">
        <v>766</v>
      </c>
      <c r="F709">
        <v>1</v>
      </c>
      <c r="G709" s="308">
        <f>'BECA MEDIA'!G105</f>
        <v>0</v>
      </c>
      <c r="H709" s="308">
        <f>'BECA MEDIA'!H105</f>
        <v>0</v>
      </c>
    </row>
    <row r="710" spans="1:8" x14ac:dyDescent="0.3">
      <c r="A710" t="s">
        <v>688</v>
      </c>
      <c r="B710" t="s">
        <v>117</v>
      </c>
      <c r="C710" t="s">
        <v>127</v>
      </c>
      <c r="D710" t="s">
        <v>689</v>
      </c>
      <c r="E710" t="s">
        <v>767</v>
      </c>
      <c r="F710">
        <v>2</v>
      </c>
      <c r="G710" s="308">
        <f>'BECA MEDIA'!J105</f>
        <v>0</v>
      </c>
      <c r="H710" s="308">
        <f>'BECA MEDIA'!K105</f>
        <v>0</v>
      </c>
    </row>
    <row r="711" spans="1:8" x14ac:dyDescent="0.3">
      <c r="A711" t="s">
        <v>688</v>
      </c>
      <c r="B711" t="s">
        <v>117</v>
      </c>
      <c r="C711" t="s">
        <v>127</v>
      </c>
      <c r="D711" t="s">
        <v>689</v>
      </c>
      <c r="E711" t="s">
        <v>768</v>
      </c>
      <c r="F711">
        <v>3</v>
      </c>
      <c r="G711" s="308">
        <f>'BECA MEDIA'!M105</f>
        <v>3.6</v>
      </c>
      <c r="H711" s="308">
        <f>'BECA MEDIA'!N105</f>
        <v>9000</v>
      </c>
    </row>
    <row r="712" spans="1:8" x14ac:dyDescent="0.3">
      <c r="A712" t="s">
        <v>688</v>
      </c>
      <c r="B712" t="s">
        <v>117</v>
      </c>
      <c r="C712" t="s">
        <v>127</v>
      </c>
      <c r="D712" t="s">
        <v>689</v>
      </c>
      <c r="E712" t="s">
        <v>769</v>
      </c>
      <c r="F712">
        <v>4</v>
      </c>
      <c r="G712" s="308">
        <f>'BECA MEDIA'!P105</f>
        <v>4</v>
      </c>
      <c r="H712" s="308">
        <f>'BECA MEDIA'!Q105</f>
        <v>10000</v>
      </c>
    </row>
    <row r="713" spans="1:8" x14ac:dyDescent="0.3">
      <c r="A713" t="s">
        <v>688</v>
      </c>
      <c r="B713" t="s">
        <v>117</v>
      </c>
      <c r="C713" t="s">
        <v>127</v>
      </c>
      <c r="D713" t="s">
        <v>689</v>
      </c>
      <c r="E713" t="s">
        <v>770</v>
      </c>
      <c r="F713">
        <v>5</v>
      </c>
      <c r="G713" s="308">
        <f>'BECA MEDIA'!S105</f>
        <v>0</v>
      </c>
      <c r="H713" s="308">
        <f>'BECA MEDIA'!T105</f>
        <v>0</v>
      </c>
    </row>
    <row r="714" spans="1:8" x14ac:dyDescent="0.3">
      <c r="A714" t="s">
        <v>688</v>
      </c>
      <c r="B714" t="s">
        <v>117</v>
      </c>
      <c r="C714" t="s">
        <v>127</v>
      </c>
      <c r="D714" t="s">
        <v>689</v>
      </c>
      <c r="E714" t="s">
        <v>771</v>
      </c>
      <c r="F714">
        <v>6</v>
      </c>
      <c r="G714" s="308">
        <f>'BECA MEDIA'!V105</f>
        <v>7.2</v>
      </c>
      <c r="H714" s="308">
        <f>'BECA MEDIA'!W105</f>
        <v>18000</v>
      </c>
    </row>
    <row r="715" spans="1:8" x14ac:dyDescent="0.3">
      <c r="A715" t="s">
        <v>688</v>
      </c>
      <c r="B715" t="s">
        <v>117</v>
      </c>
      <c r="C715" t="s">
        <v>127</v>
      </c>
      <c r="D715" t="s">
        <v>689</v>
      </c>
      <c r="E715" t="s">
        <v>772</v>
      </c>
      <c r="F715">
        <v>7</v>
      </c>
      <c r="G715" s="308">
        <f>'BECA MEDIA'!Y105</f>
        <v>0</v>
      </c>
      <c r="H715" s="308">
        <f>'BECA MEDIA'!Z105</f>
        <v>0</v>
      </c>
    </row>
    <row r="716" spans="1:8" x14ac:dyDescent="0.3">
      <c r="A716" t="s">
        <v>688</v>
      </c>
      <c r="B716" t="s">
        <v>117</v>
      </c>
      <c r="C716" t="s">
        <v>128</v>
      </c>
      <c r="D716" t="s">
        <v>689</v>
      </c>
      <c r="E716" t="s">
        <v>766</v>
      </c>
      <c r="F716">
        <v>1</v>
      </c>
      <c r="G716" s="308">
        <f>'BECA MEDIA'!G106</f>
        <v>0</v>
      </c>
      <c r="H716" s="308">
        <f>'BECA MEDIA'!H106</f>
        <v>0</v>
      </c>
    </row>
    <row r="717" spans="1:8" x14ac:dyDescent="0.3">
      <c r="A717" t="s">
        <v>688</v>
      </c>
      <c r="B717" t="s">
        <v>117</v>
      </c>
      <c r="C717" t="s">
        <v>128</v>
      </c>
      <c r="D717" t="s">
        <v>689</v>
      </c>
      <c r="E717" t="s">
        <v>767</v>
      </c>
      <c r="F717">
        <v>2</v>
      </c>
      <c r="G717" s="308">
        <f>'BECA MEDIA'!J106</f>
        <v>0</v>
      </c>
      <c r="H717" s="308">
        <f>'BECA MEDIA'!K106</f>
        <v>0</v>
      </c>
    </row>
    <row r="718" spans="1:8" x14ac:dyDescent="0.3">
      <c r="A718" t="s">
        <v>688</v>
      </c>
      <c r="B718" t="s">
        <v>117</v>
      </c>
      <c r="C718" t="s">
        <v>128</v>
      </c>
      <c r="D718" t="s">
        <v>689</v>
      </c>
      <c r="E718" t="s">
        <v>768</v>
      </c>
      <c r="F718">
        <v>3</v>
      </c>
      <c r="G718" s="308">
        <f>'BECA MEDIA'!M106</f>
        <v>3.6</v>
      </c>
      <c r="H718" s="308">
        <f>'BECA MEDIA'!N106</f>
        <v>9000</v>
      </c>
    </row>
    <row r="719" spans="1:8" x14ac:dyDescent="0.3">
      <c r="A719" t="s">
        <v>688</v>
      </c>
      <c r="B719" t="s">
        <v>117</v>
      </c>
      <c r="C719" t="s">
        <v>128</v>
      </c>
      <c r="D719" t="s">
        <v>689</v>
      </c>
      <c r="E719" t="s">
        <v>769</v>
      </c>
      <c r="F719">
        <v>4</v>
      </c>
      <c r="G719" s="308">
        <f>'BECA MEDIA'!P106</f>
        <v>0.8</v>
      </c>
      <c r="H719" s="308">
        <f>'BECA MEDIA'!Q106</f>
        <v>2000</v>
      </c>
    </row>
    <row r="720" spans="1:8" x14ac:dyDescent="0.3">
      <c r="A720" t="s">
        <v>688</v>
      </c>
      <c r="B720" t="s">
        <v>117</v>
      </c>
      <c r="C720" t="s">
        <v>128</v>
      </c>
      <c r="D720" t="s">
        <v>689</v>
      </c>
      <c r="E720" t="s">
        <v>770</v>
      </c>
      <c r="F720">
        <v>5</v>
      </c>
      <c r="G720" s="308">
        <f>'BECA MEDIA'!S106</f>
        <v>0</v>
      </c>
      <c r="H720" s="308">
        <f>'BECA MEDIA'!T106</f>
        <v>0</v>
      </c>
    </row>
    <row r="721" spans="1:8" x14ac:dyDescent="0.3">
      <c r="A721" t="s">
        <v>688</v>
      </c>
      <c r="B721" t="s">
        <v>117</v>
      </c>
      <c r="C721" t="s">
        <v>128</v>
      </c>
      <c r="D721" t="s">
        <v>689</v>
      </c>
      <c r="E721" t="s">
        <v>771</v>
      </c>
      <c r="F721">
        <v>6</v>
      </c>
      <c r="G721" s="308">
        <f>'BECA MEDIA'!V106</f>
        <v>4.4000000000000004</v>
      </c>
      <c r="H721" s="308">
        <f>'BECA MEDIA'!W106</f>
        <v>11000</v>
      </c>
    </row>
    <row r="722" spans="1:8" x14ac:dyDescent="0.3">
      <c r="A722" t="s">
        <v>688</v>
      </c>
      <c r="B722" t="s">
        <v>117</v>
      </c>
      <c r="C722" t="s">
        <v>128</v>
      </c>
      <c r="D722" t="s">
        <v>689</v>
      </c>
      <c r="E722" t="s">
        <v>772</v>
      </c>
      <c r="F722">
        <v>7</v>
      </c>
      <c r="G722" s="308">
        <f>'BECA MEDIA'!Y106</f>
        <v>0</v>
      </c>
      <c r="H722" s="308">
        <f>'BECA MEDIA'!Z106</f>
        <v>0</v>
      </c>
    </row>
    <row r="723" spans="1:8" x14ac:dyDescent="0.3">
      <c r="A723" t="s">
        <v>688</v>
      </c>
      <c r="B723" t="s">
        <v>117</v>
      </c>
      <c r="C723" t="s">
        <v>129</v>
      </c>
      <c r="D723" t="s">
        <v>689</v>
      </c>
      <c r="E723" t="s">
        <v>766</v>
      </c>
      <c r="F723">
        <v>1</v>
      </c>
      <c r="G723" s="308">
        <f>'BECA MEDIA'!G107</f>
        <v>0</v>
      </c>
      <c r="H723" s="308">
        <f>'BECA MEDIA'!H107</f>
        <v>0</v>
      </c>
    </row>
    <row r="724" spans="1:8" x14ac:dyDescent="0.3">
      <c r="A724" t="s">
        <v>688</v>
      </c>
      <c r="B724" t="s">
        <v>117</v>
      </c>
      <c r="C724" t="s">
        <v>129</v>
      </c>
      <c r="D724" t="s">
        <v>689</v>
      </c>
      <c r="E724" t="s">
        <v>767</v>
      </c>
      <c r="F724">
        <v>2</v>
      </c>
      <c r="G724" s="308">
        <f>'BECA MEDIA'!J107</f>
        <v>0</v>
      </c>
      <c r="H724" s="308">
        <f>'BECA MEDIA'!K107</f>
        <v>0</v>
      </c>
    </row>
    <row r="725" spans="1:8" x14ac:dyDescent="0.3">
      <c r="A725" t="s">
        <v>688</v>
      </c>
      <c r="B725" t="s">
        <v>117</v>
      </c>
      <c r="C725" t="s">
        <v>129</v>
      </c>
      <c r="D725" t="s">
        <v>689</v>
      </c>
      <c r="E725" t="s">
        <v>768</v>
      </c>
      <c r="F725">
        <v>3</v>
      </c>
      <c r="G725" s="308">
        <f>'BECA MEDIA'!M107</f>
        <v>5.2</v>
      </c>
      <c r="H725" s="308">
        <f>'BECA MEDIA'!N107</f>
        <v>13000</v>
      </c>
    </row>
    <row r="726" spans="1:8" x14ac:dyDescent="0.3">
      <c r="A726" t="s">
        <v>688</v>
      </c>
      <c r="B726" t="s">
        <v>117</v>
      </c>
      <c r="C726" t="s">
        <v>129</v>
      </c>
      <c r="D726" t="s">
        <v>689</v>
      </c>
      <c r="E726" t="s">
        <v>769</v>
      </c>
      <c r="F726">
        <v>4</v>
      </c>
      <c r="G726" s="308">
        <f>'BECA MEDIA'!P107</f>
        <v>1.2</v>
      </c>
      <c r="H726" s="308">
        <f>'BECA MEDIA'!Q107</f>
        <v>3000</v>
      </c>
    </row>
    <row r="727" spans="1:8" x14ac:dyDescent="0.3">
      <c r="A727" t="s">
        <v>688</v>
      </c>
      <c r="B727" t="s">
        <v>117</v>
      </c>
      <c r="C727" t="s">
        <v>129</v>
      </c>
      <c r="D727" t="s">
        <v>689</v>
      </c>
      <c r="E727" t="s">
        <v>770</v>
      </c>
      <c r="F727">
        <v>5</v>
      </c>
      <c r="G727" s="308">
        <f>'BECA MEDIA'!S107</f>
        <v>0</v>
      </c>
      <c r="H727" s="308">
        <f>'BECA MEDIA'!T107</f>
        <v>0</v>
      </c>
    </row>
    <row r="728" spans="1:8" x14ac:dyDescent="0.3">
      <c r="A728" t="s">
        <v>688</v>
      </c>
      <c r="B728" t="s">
        <v>117</v>
      </c>
      <c r="C728" t="s">
        <v>129</v>
      </c>
      <c r="D728" t="s">
        <v>689</v>
      </c>
      <c r="E728" t="s">
        <v>771</v>
      </c>
      <c r="F728">
        <v>6</v>
      </c>
      <c r="G728" s="308">
        <f>'BECA MEDIA'!V107</f>
        <v>6.4</v>
      </c>
      <c r="H728" s="308">
        <f>'BECA MEDIA'!W107</f>
        <v>16000</v>
      </c>
    </row>
    <row r="729" spans="1:8" x14ac:dyDescent="0.3">
      <c r="A729" t="s">
        <v>688</v>
      </c>
      <c r="B729" t="s">
        <v>117</v>
      </c>
      <c r="C729" t="s">
        <v>129</v>
      </c>
      <c r="D729" t="s">
        <v>689</v>
      </c>
      <c r="E729" t="s">
        <v>772</v>
      </c>
      <c r="F729">
        <v>7</v>
      </c>
      <c r="G729" s="308">
        <f>'BECA MEDIA'!Y107</f>
        <v>0</v>
      </c>
      <c r="H729" s="308">
        <f>'BECA MEDIA'!Z107</f>
        <v>0</v>
      </c>
    </row>
    <row r="730" spans="1:8" x14ac:dyDescent="0.3">
      <c r="A730" t="s">
        <v>688</v>
      </c>
      <c r="B730" t="s">
        <v>117</v>
      </c>
      <c r="C730" t="s">
        <v>130</v>
      </c>
      <c r="D730" t="s">
        <v>689</v>
      </c>
      <c r="E730" t="s">
        <v>766</v>
      </c>
      <c r="F730">
        <v>1</v>
      </c>
      <c r="G730" s="308">
        <f>'BECA MEDIA'!G108</f>
        <v>0</v>
      </c>
      <c r="H730" s="308">
        <f>'BECA MEDIA'!H108</f>
        <v>0</v>
      </c>
    </row>
    <row r="731" spans="1:8" x14ac:dyDescent="0.3">
      <c r="A731" t="s">
        <v>688</v>
      </c>
      <c r="B731" t="s">
        <v>117</v>
      </c>
      <c r="C731" t="s">
        <v>130</v>
      </c>
      <c r="D731" t="s">
        <v>689</v>
      </c>
      <c r="E731" t="s">
        <v>767</v>
      </c>
      <c r="F731">
        <v>2</v>
      </c>
      <c r="G731" s="308">
        <f>'BECA MEDIA'!J108</f>
        <v>0</v>
      </c>
      <c r="H731" s="308">
        <f>'BECA MEDIA'!K108</f>
        <v>0</v>
      </c>
    </row>
    <row r="732" spans="1:8" x14ac:dyDescent="0.3">
      <c r="A732" t="s">
        <v>688</v>
      </c>
      <c r="B732" t="s">
        <v>117</v>
      </c>
      <c r="C732" t="s">
        <v>130</v>
      </c>
      <c r="D732" t="s">
        <v>689</v>
      </c>
      <c r="E732" t="s">
        <v>768</v>
      </c>
      <c r="F732">
        <v>3</v>
      </c>
      <c r="G732" s="308">
        <f>'BECA MEDIA'!M108</f>
        <v>5.6</v>
      </c>
      <c r="H732" s="308">
        <f>'BECA MEDIA'!N108</f>
        <v>14000</v>
      </c>
    </row>
    <row r="733" spans="1:8" x14ac:dyDescent="0.3">
      <c r="A733" t="s">
        <v>688</v>
      </c>
      <c r="B733" t="s">
        <v>117</v>
      </c>
      <c r="C733" t="s">
        <v>130</v>
      </c>
      <c r="D733" t="s">
        <v>689</v>
      </c>
      <c r="E733" t="s">
        <v>769</v>
      </c>
      <c r="F733">
        <v>4</v>
      </c>
      <c r="G733" s="308">
        <f>'BECA MEDIA'!P108</f>
        <v>5.2</v>
      </c>
      <c r="H733" s="308">
        <f>'BECA MEDIA'!Q108</f>
        <v>13000</v>
      </c>
    </row>
    <row r="734" spans="1:8" x14ac:dyDescent="0.3">
      <c r="A734" t="s">
        <v>688</v>
      </c>
      <c r="B734" t="s">
        <v>117</v>
      </c>
      <c r="C734" t="s">
        <v>130</v>
      </c>
      <c r="D734" t="s">
        <v>689</v>
      </c>
      <c r="E734" t="s">
        <v>770</v>
      </c>
      <c r="F734">
        <v>5</v>
      </c>
      <c r="G734" s="308">
        <f>'BECA MEDIA'!S108</f>
        <v>0</v>
      </c>
      <c r="H734" s="308">
        <f>'BECA MEDIA'!T108</f>
        <v>0</v>
      </c>
    </row>
    <row r="735" spans="1:8" x14ac:dyDescent="0.3">
      <c r="A735" t="s">
        <v>688</v>
      </c>
      <c r="B735" t="s">
        <v>117</v>
      </c>
      <c r="C735" t="s">
        <v>130</v>
      </c>
      <c r="D735" t="s">
        <v>689</v>
      </c>
      <c r="E735" t="s">
        <v>771</v>
      </c>
      <c r="F735">
        <v>6</v>
      </c>
      <c r="G735" s="308">
        <f>'BECA MEDIA'!V108</f>
        <v>11.2</v>
      </c>
      <c r="H735" s="308">
        <f>'BECA MEDIA'!W108</f>
        <v>28000</v>
      </c>
    </row>
    <row r="736" spans="1:8" x14ac:dyDescent="0.3">
      <c r="A736" t="s">
        <v>688</v>
      </c>
      <c r="B736" t="s">
        <v>117</v>
      </c>
      <c r="C736" t="s">
        <v>130</v>
      </c>
      <c r="D736" t="s">
        <v>689</v>
      </c>
      <c r="E736" t="s">
        <v>772</v>
      </c>
      <c r="F736">
        <v>7</v>
      </c>
      <c r="G736" s="308">
        <f>'BECA MEDIA'!Y108</f>
        <v>0</v>
      </c>
      <c r="H736" s="308">
        <f>'BECA MEDIA'!Z108</f>
        <v>0</v>
      </c>
    </row>
    <row r="737" spans="1:8" x14ac:dyDescent="0.3">
      <c r="A737" t="s">
        <v>688</v>
      </c>
      <c r="B737" t="s">
        <v>117</v>
      </c>
      <c r="C737" t="s">
        <v>131</v>
      </c>
      <c r="D737" t="s">
        <v>689</v>
      </c>
      <c r="E737" t="s">
        <v>766</v>
      </c>
      <c r="F737">
        <v>1</v>
      </c>
      <c r="G737" s="308">
        <f>'BECA MEDIA'!G109</f>
        <v>0</v>
      </c>
      <c r="H737" s="308">
        <f>'BECA MEDIA'!H109</f>
        <v>0</v>
      </c>
    </row>
    <row r="738" spans="1:8" x14ac:dyDescent="0.3">
      <c r="A738" t="s">
        <v>688</v>
      </c>
      <c r="B738" t="s">
        <v>117</v>
      </c>
      <c r="C738" t="s">
        <v>131</v>
      </c>
      <c r="D738" t="s">
        <v>689</v>
      </c>
      <c r="E738" t="s">
        <v>767</v>
      </c>
      <c r="F738">
        <v>2</v>
      </c>
      <c r="G738" s="308">
        <f>'BECA MEDIA'!J109</f>
        <v>0</v>
      </c>
      <c r="H738" s="308">
        <f>'BECA MEDIA'!K109</f>
        <v>0</v>
      </c>
    </row>
    <row r="739" spans="1:8" x14ac:dyDescent="0.3">
      <c r="A739" t="s">
        <v>688</v>
      </c>
      <c r="B739" t="s">
        <v>117</v>
      </c>
      <c r="C739" t="s">
        <v>131</v>
      </c>
      <c r="D739" t="s">
        <v>689</v>
      </c>
      <c r="E739" t="s">
        <v>768</v>
      </c>
      <c r="F739">
        <v>3</v>
      </c>
      <c r="G739" s="308">
        <f>'BECA MEDIA'!M109</f>
        <v>5.6</v>
      </c>
      <c r="H739" s="308">
        <f>'BECA MEDIA'!N109</f>
        <v>14000</v>
      </c>
    </row>
    <row r="740" spans="1:8" x14ac:dyDescent="0.3">
      <c r="A740" t="s">
        <v>688</v>
      </c>
      <c r="B740" t="s">
        <v>117</v>
      </c>
      <c r="C740" t="s">
        <v>131</v>
      </c>
      <c r="D740" t="s">
        <v>689</v>
      </c>
      <c r="E740" t="s">
        <v>769</v>
      </c>
      <c r="F740">
        <v>4</v>
      </c>
      <c r="G740" s="308">
        <f>'BECA MEDIA'!P109</f>
        <v>4.8</v>
      </c>
      <c r="H740" s="308">
        <f>'BECA MEDIA'!Q109</f>
        <v>12000</v>
      </c>
    </row>
    <row r="741" spans="1:8" x14ac:dyDescent="0.3">
      <c r="A741" t="s">
        <v>688</v>
      </c>
      <c r="B741" t="s">
        <v>117</v>
      </c>
      <c r="C741" t="s">
        <v>131</v>
      </c>
      <c r="D741" t="s">
        <v>689</v>
      </c>
      <c r="E741" t="s">
        <v>770</v>
      </c>
      <c r="F741">
        <v>5</v>
      </c>
      <c r="G741" s="308">
        <f>'BECA MEDIA'!S109</f>
        <v>0</v>
      </c>
      <c r="H741" s="308">
        <f>'BECA MEDIA'!T109</f>
        <v>0</v>
      </c>
    </row>
    <row r="742" spans="1:8" x14ac:dyDescent="0.3">
      <c r="A742" t="s">
        <v>688</v>
      </c>
      <c r="B742" t="s">
        <v>117</v>
      </c>
      <c r="C742" t="s">
        <v>131</v>
      </c>
      <c r="D742" t="s">
        <v>689</v>
      </c>
      <c r="E742" t="s">
        <v>771</v>
      </c>
      <c r="F742">
        <v>6</v>
      </c>
      <c r="G742" s="308">
        <f>'BECA MEDIA'!V109</f>
        <v>10</v>
      </c>
      <c r="H742" s="308">
        <f>'BECA MEDIA'!W109</f>
        <v>25000</v>
      </c>
    </row>
    <row r="743" spans="1:8" x14ac:dyDescent="0.3">
      <c r="A743" t="s">
        <v>688</v>
      </c>
      <c r="B743" t="s">
        <v>117</v>
      </c>
      <c r="C743" t="s">
        <v>131</v>
      </c>
      <c r="D743" t="s">
        <v>689</v>
      </c>
      <c r="E743" t="s">
        <v>772</v>
      </c>
      <c r="F743">
        <v>7</v>
      </c>
      <c r="G743" s="308">
        <f>'BECA MEDIA'!Y109</f>
        <v>0</v>
      </c>
      <c r="H743" s="308">
        <f>'BECA MEDIA'!Z109</f>
        <v>0</v>
      </c>
    </row>
    <row r="744" spans="1:8" x14ac:dyDescent="0.3">
      <c r="A744" t="s">
        <v>688</v>
      </c>
      <c r="B744" t="s">
        <v>117</v>
      </c>
      <c r="C744" t="s">
        <v>132</v>
      </c>
      <c r="D744" t="s">
        <v>689</v>
      </c>
      <c r="E744" t="s">
        <v>766</v>
      </c>
      <c r="F744">
        <v>1</v>
      </c>
      <c r="G744" s="308">
        <f>'BECA MEDIA'!G110</f>
        <v>0</v>
      </c>
      <c r="H744" s="308">
        <f>'BECA MEDIA'!H110</f>
        <v>0</v>
      </c>
    </row>
    <row r="745" spans="1:8" x14ac:dyDescent="0.3">
      <c r="A745" t="s">
        <v>688</v>
      </c>
      <c r="B745" t="s">
        <v>117</v>
      </c>
      <c r="C745" t="s">
        <v>132</v>
      </c>
      <c r="D745" t="s">
        <v>689</v>
      </c>
      <c r="E745" t="s">
        <v>767</v>
      </c>
      <c r="F745">
        <v>2</v>
      </c>
      <c r="G745" s="308">
        <f>'BECA MEDIA'!J110</f>
        <v>0</v>
      </c>
      <c r="H745" s="308">
        <f>'BECA MEDIA'!K110</f>
        <v>0</v>
      </c>
    </row>
    <row r="746" spans="1:8" x14ac:dyDescent="0.3">
      <c r="A746" t="s">
        <v>688</v>
      </c>
      <c r="B746" t="s">
        <v>117</v>
      </c>
      <c r="C746" t="s">
        <v>132</v>
      </c>
      <c r="D746" t="s">
        <v>689</v>
      </c>
      <c r="E746" t="s">
        <v>768</v>
      </c>
      <c r="F746">
        <v>3</v>
      </c>
      <c r="G746" s="308">
        <f>'BECA MEDIA'!M110</f>
        <v>3.6</v>
      </c>
      <c r="H746" s="308">
        <f>'BECA MEDIA'!N110</f>
        <v>9000</v>
      </c>
    </row>
    <row r="747" spans="1:8" x14ac:dyDescent="0.3">
      <c r="A747" t="s">
        <v>688</v>
      </c>
      <c r="B747" t="s">
        <v>117</v>
      </c>
      <c r="C747" t="s">
        <v>132</v>
      </c>
      <c r="D747" t="s">
        <v>689</v>
      </c>
      <c r="E747" t="s">
        <v>769</v>
      </c>
      <c r="F747">
        <v>4</v>
      </c>
      <c r="G747" s="308">
        <f>'BECA MEDIA'!P110</f>
        <v>3.6</v>
      </c>
      <c r="H747" s="308">
        <f>'BECA MEDIA'!Q110</f>
        <v>9000</v>
      </c>
    </row>
    <row r="748" spans="1:8" x14ac:dyDescent="0.3">
      <c r="A748" t="s">
        <v>688</v>
      </c>
      <c r="B748" t="s">
        <v>117</v>
      </c>
      <c r="C748" t="s">
        <v>132</v>
      </c>
      <c r="D748" t="s">
        <v>689</v>
      </c>
      <c r="E748" t="s">
        <v>770</v>
      </c>
      <c r="F748">
        <v>5</v>
      </c>
      <c r="G748" s="308">
        <f>'BECA MEDIA'!S110</f>
        <v>0</v>
      </c>
      <c r="H748" s="308">
        <f>'BECA MEDIA'!T110</f>
        <v>0</v>
      </c>
    </row>
    <row r="749" spans="1:8" x14ac:dyDescent="0.3">
      <c r="A749" t="s">
        <v>688</v>
      </c>
      <c r="B749" t="s">
        <v>117</v>
      </c>
      <c r="C749" t="s">
        <v>132</v>
      </c>
      <c r="D749" t="s">
        <v>689</v>
      </c>
      <c r="E749" t="s">
        <v>771</v>
      </c>
      <c r="F749">
        <v>6</v>
      </c>
      <c r="G749" s="308">
        <f>'BECA MEDIA'!V110</f>
        <v>7.6</v>
      </c>
      <c r="H749" s="308">
        <f>'BECA MEDIA'!W110</f>
        <v>19000</v>
      </c>
    </row>
    <row r="750" spans="1:8" x14ac:dyDescent="0.3">
      <c r="A750" t="s">
        <v>688</v>
      </c>
      <c r="B750" t="s">
        <v>117</v>
      </c>
      <c r="C750" t="s">
        <v>132</v>
      </c>
      <c r="D750" t="s">
        <v>689</v>
      </c>
      <c r="E750" t="s">
        <v>772</v>
      </c>
      <c r="F750">
        <v>7</v>
      </c>
      <c r="G750" s="308">
        <f>'BECA MEDIA'!Y110</f>
        <v>0</v>
      </c>
      <c r="H750" s="308">
        <f>'BECA MEDIA'!Z110</f>
        <v>0</v>
      </c>
    </row>
    <row r="751" spans="1:8" x14ac:dyDescent="0.3">
      <c r="A751" t="s">
        <v>688</v>
      </c>
      <c r="B751" t="s">
        <v>117</v>
      </c>
      <c r="C751" t="s">
        <v>133</v>
      </c>
      <c r="D751" t="s">
        <v>689</v>
      </c>
      <c r="E751" t="s">
        <v>766</v>
      </c>
      <c r="F751">
        <v>1</v>
      </c>
      <c r="G751" s="308">
        <f>'BECA MEDIA'!G111</f>
        <v>0</v>
      </c>
      <c r="H751" s="308">
        <f>'BECA MEDIA'!H111</f>
        <v>0</v>
      </c>
    </row>
    <row r="752" spans="1:8" x14ac:dyDescent="0.3">
      <c r="A752" t="s">
        <v>688</v>
      </c>
      <c r="B752" t="s">
        <v>117</v>
      </c>
      <c r="C752" t="s">
        <v>133</v>
      </c>
      <c r="D752" t="s">
        <v>689</v>
      </c>
      <c r="E752" t="s">
        <v>767</v>
      </c>
      <c r="F752">
        <v>2</v>
      </c>
      <c r="G752" s="308">
        <f>'BECA MEDIA'!J111</f>
        <v>0</v>
      </c>
      <c r="H752" s="308">
        <f>'BECA MEDIA'!K111</f>
        <v>0</v>
      </c>
    </row>
    <row r="753" spans="1:8" x14ac:dyDescent="0.3">
      <c r="A753" t="s">
        <v>688</v>
      </c>
      <c r="B753" t="s">
        <v>117</v>
      </c>
      <c r="C753" t="s">
        <v>133</v>
      </c>
      <c r="D753" t="s">
        <v>689</v>
      </c>
      <c r="E753" t="s">
        <v>768</v>
      </c>
      <c r="F753">
        <v>3</v>
      </c>
      <c r="G753" s="308">
        <f>'BECA MEDIA'!M111</f>
        <v>2.8</v>
      </c>
      <c r="H753" s="308">
        <f>'BECA MEDIA'!N111</f>
        <v>7000</v>
      </c>
    </row>
    <row r="754" spans="1:8" x14ac:dyDescent="0.3">
      <c r="A754" t="s">
        <v>688</v>
      </c>
      <c r="B754" t="s">
        <v>117</v>
      </c>
      <c r="C754" t="s">
        <v>133</v>
      </c>
      <c r="D754" t="s">
        <v>689</v>
      </c>
      <c r="E754" t="s">
        <v>769</v>
      </c>
      <c r="F754">
        <v>4</v>
      </c>
      <c r="G754" s="308">
        <f>'BECA MEDIA'!P111</f>
        <v>0</v>
      </c>
      <c r="H754" s="308">
        <f>'BECA MEDIA'!Q111</f>
        <v>0</v>
      </c>
    </row>
    <row r="755" spans="1:8" x14ac:dyDescent="0.3">
      <c r="A755" t="s">
        <v>688</v>
      </c>
      <c r="B755" t="s">
        <v>117</v>
      </c>
      <c r="C755" t="s">
        <v>133</v>
      </c>
      <c r="D755" t="s">
        <v>689</v>
      </c>
      <c r="E755" t="s">
        <v>770</v>
      </c>
      <c r="F755">
        <v>5</v>
      </c>
      <c r="G755" s="308">
        <f>'BECA MEDIA'!S111</f>
        <v>0</v>
      </c>
      <c r="H755" s="308">
        <f>'BECA MEDIA'!T111</f>
        <v>0</v>
      </c>
    </row>
    <row r="756" spans="1:8" x14ac:dyDescent="0.3">
      <c r="A756" t="s">
        <v>688</v>
      </c>
      <c r="B756" t="s">
        <v>117</v>
      </c>
      <c r="C756" t="s">
        <v>133</v>
      </c>
      <c r="D756" t="s">
        <v>689</v>
      </c>
      <c r="E756" t="s">
        <v>771</v>
      </c>
      <c r="F756">
        <v>6</v>
      </c>
      <c r="G756" s="308">
        <f>'BECA MEDIA'!V111</f>
        <v>3.2</v>
      </c>
      <c r="H756" s="308">
        <f>'BECA MEDIA'!W111</f>
        <v>8000</v>
      </c>
    </row>
    <row r="757" spans="1:8" x14ac:dyDescent="0.3">
      <c r="A757" t="s">
        <v>688</v>
      </c>
      <c r="B757" t="s">
        <v>117</v>
      </c>
      <c r="C757" t="s">
        <v>133</v>
      </c>
      <c r="D757" t="s">
        <v>689</v>
      </c>
      <c r="E757" t="s">
        <v>772</v>
      </c>
      <c r="F757">
        <v>7</v>
      </c>
      <c r="G757" s="308">
        <f>'BECA MEDIA'!Y111</f>
        <v>0</v>
      </c>
      <c r="H757" s="308">
        <f>'BECA MEDIA'!Z111</f>
        <v>0</v>
      </c>
    </row>
    <row r="758" spans="1:8" x14ac:dyDescent="0.3">
      <c r="A758" t="s">
        <v>688</v>
      </c>
      <c r="B758" t="s">
        <v>117</v>
      </c>
      <c r="C758" t="s">
        <v>134</v>
      </c>
      <c r="D758" t="s">
        <v>689</v>
      </c>
      <c r="E758" t="s">
        <v>766</v>
      </c>
      <c r="F758">
        <v>1</v>
      </c>
      <c r="G758" s="308">
        <f>'BECA MEDIA'!G112</f>
        <v>0</v>
      </c>
      <c r="H758" s="308">
        <f>'BECA MEDIA'!H112</f>
        <v>0</v>
      </c>
    </row>
    <row r="759" spans="1:8" x14ac:dyDescent="0.3">
      <c r="A759" t="s">
        <v>688</v>
      </c>
      <c r="B759" t="s">
        <v>117</v>
      </c>
      <c r="C759" t="s">
        <v>134</v>
      </c>
      <c r="D759" t="s">
        <v>689</v>
      </c>
      <c r="E759" t="s">
        <v>767</v>
      </c>
      <c r="F759">
        <v>2</v>
      </c>
      <c r="G759" s="308">
        <f>'BECA MEDIA'!J112</f>
        <v>0</v>
      </c>
      <c r="H759" s="308">
        <f>'BECA MEDIA'!K112</f>
        <v>0</v>
      </c>
    </row>
    <row r="760" spans="1:8" x14ac:dyDescent="0.3">
      <c r="A760" t="s">
        <v>688</v>
      </c>
      <c r="B760" t="s">
        <v>117</v>
      </c>
      <c r="C760" t="s">
        <v>134</v>
      </c>
      <c r="D760" t="s">
        <v>689</v>
      </c>
      <c r="E760" t="s">
        <v>768</v>
      </c>
      <c r="F760">
        <v>3</v>
      </c>
      <c r="G760" s="308">
        <f>'BECA MEDIA'!M112</f>
        <v>3.6</v>
      </c>
      <c r="H760" s="308">
        <f>'BECA MEDIA'!N112</f>
        <v>9000</v>
      </c>
    </row>
    <row r="761" spans="1:8" x14ac:dyDescent="0.3">
      <c r="A761" t="s">
        <v>688</v>
      </c>
      <c r="B761" t="s">
        <v>117</v>
      </c>
      <c r="C761" t="s">
        <v>134</v>
      </c>
      <c r="D761" t="s">
        <v>689</v>
      </c>
      <c r="E761" t="s">
        <v>769</v>
      </c>
      <c r="F761">
        <v>4</v>
      </c>
      <c r="G761" s="308">
        <f>'BECA MEDIA'!P112</f>
        <v>5.6</v>
      </c>
      <c r="H761" s="308">
        <f>'BECA MEDIA'!Q112</f>
        <v>14000</v>
      </c>
    </row>
    <row r="762" spans="1:8" x14ac:dyDescent="0.3">
      <c r="A762" t="s">
        <v>688</v>
      </c>
      <c r="B762" t="s">
        <v>117</v>
      </c>
      <c r="C762" t="s">
        <v>134</v>
      </c>
      <c r="D762" t="s">
        <v>689</v>
      </c>
      <c r="E762" t="s">
        <v>770</v>
      </c>
      <c r="F762">
        <v>5</v>
      </c>
      <c r="G762" s="308">
        <f>'BECA MEDIA'!S112</f>
        <v>0</v>
      </c>
      <c r="H762" s="308">
        <f>'BECA MEDIA'!T112</f>
        <v>0</v>
      </c>
    </row>
    <row r="763" spans="1:8" x14ac:dyDescent="0.3">
      <c r="A763" t="s">
        <v>688</v>
      </c>
      <c r="B763" t="s">
        <v>117</v>
      </c>
      <c r="C763" t="s">
        <v>134</v>
      </c>
      <c r="D763" t="s">
        <v>689</v>
      </c>
      <c r="E763" t="s">
        <v>771</v>
      </c>
      <c r="F763">
        <v>6</v>
      </c>
      <c r="G763" s="308">
        <f>'BECA MEDIA'!V112</f>
        <v>9.1999999999999993</v>
      </c>
      <c r="H763" s="308">
        <f>'BECA MEDIA'!W112</f>
        <v>23000</v>
      </c>
    </row>
    <row r="764" spans="1:8" x14ac:dyDescent="0.3">
      <c r="A764" t="s">
        <v>688</v>
      </c>
      <c r="B764" t="s">
        <v>117</v>
      </c>
      <c r="C764" t="s">
        <v>134</v>
      </c>
      <c r="D764" t="s">
        <v>689</v>
      </c>
      <c r="E764" t="s">
        <v>772</v>
      </c>
      <c r="F764">
        <v>7</v>
      </c>
      <c r="G764" s="308">
        <f>'BECA MEDIA'!Y112</f>
        <v>0</v>
      </c>
      <c r="H764" s="308">
        <f>'BECA MEDIA'!Z112</f>
        <v>0</v>
      </c>
    </row>
    <row r="765" spans="1:8" x14ac:dyDescent="0.3">
      <c r="A765" t="s">
        <v>688</v>
      </c>
      <c r="B765" t="s">
        <v>117</v>
      </c>
      <c r="C765" t="s">
        <v>135</v>
      </c>
      <c r="D765" t="s">
        <v>689</v>
      </c>
      <c r="E765" t="s">
        <v>766</v>
      </c>
      <c r="F765">
        <v>1</v>
      </c>
      <c r="G765" s="308">
        <f>'BECA MEDIA'!G113</f>
        <v>0</v>
      </c>
      <c r="H765" s="308">
        <f>'BECA MEDIA'!H113</f>
        <v>0</v>
      </c>
    </row>
    <row r="766" spans="1:8" x14ac:dyDescent="0.3">
      <c r="A766" t="s">
        <v>688</v>
      </c>
      <c r="B766" t="s">
        <v>117</v>
      </c>
      <c r="C766" t="s">
        <v>135</v>
      </c>
      <c r="D766" t="s">
        <v>689</v>
      </c>
      <c r="E766" t="s">
        <v>767</v>
      </c>
      <c r="F766">
        <v>2</v>
      </c>
      <c r="G766" s="308">
        <f>'BECA MEDIA'!J113</f>
        <v>0</v>
      </c>
      <c r="H766" s="308">
        <f>'BECA MEDIA'!K113</f>
        <v>0</v>
      </c>
    </row>
    <row r="767" spans="1:8" x14ac:dyDescent="0.3">
      <c r="A767" t="s">
        <v>688</v>
      </c>
      <c r="B767" t="s">
        <v>117</v>
      </c>
      <c r="C767" t="s">
        <v>135</v>
      </c>
      <c r="D767" t="s">
        <v>689</v>
      </c>
      <c r="E767" t="s">
        <v>768</v>
      </c>
      <c r="F767">
        <v>3</v>
      </c>
      <c r="G767" s="308">
        <f>'BECA MEDIA'!M113</f>
        <v>5.2</v>
      </c>
      <c r="H767" s="308">
        <f>'BECA MEDIA'!N113</f>
        <v>13000</v>
      </c>
    </row>
    <row r="768" spans="1:8" x14ac:dyDescent="0.3">
      <c r="A768" t="s">
        <v>688</v>
      </c>
      <c r="B768" t="s">
        <v>117</v>
      </c>
      <c r="C768" t="s">
        <v>135</v>
      </c>
      <c r="D768" t="s">
        <v>689</v>
      </c>
      <c r="E768" t="s">
        <v>769</v>
      </c>
      <c r="F768">
        <v>4</v>
      </c>
      <c r="G768" s="308">
        <f>'BECA MEDIA'!P113</f>
        <v>2.8</v>
      </c>
      <c r="H768" s="308">
        <f>'BECA MEDIA'!Q113</f>
        <v>7000</v>
      </c>
    </row>
    <row r="769" spans="1:8" x14ac:dyDescent="0.3">
      <c r="A769" t="s">
        <v>688</v>
      </c>
      <c r="B769" t="s">
        <v>117</v>
      </c>
      <c r="C769" t="s">
        <v>135</v>
      </c>
      <c r="D769" t="s">
        <v>689</v>
      </c>
      <c r="E769" t="s">
        <v>770</v>
      </c>
      <c r="F769">
        <v>5</v>
      </c>
      <c r="G769" s="308">
        <f>'BECA MEDIA'!S113</f>
        <v>0</v>
      </c>
      <c r="H769" s="308">
        <f>'BECA MEDIA'!T113</f>
        <v>0</v>
      </c>
    </row>
    <row r="770" spans="1:8" x14ac:dyDescent="0.3">
      <c r="A770" t="s">
        <v>688</v>
      </c>
      <c r="B770" t="s">
        <v>117</v>
      </c>
      <c r="C770" t="s">
        <v>135</v>
      </c>
      <c r="D770" t="s">
        <v>689</v>
      </c>
      <c r="E770" t="s">
        <v>771</v>
      </c>
      <c r="F770">
        <v>6</v>
      </c>
      <c r="G770" s="308">
        <f>'BECA MEDIA'!V113</f>
        <v>7.6</v>
      </c>
      <c r="H770" s="308">
        <f>'BECA MEDIA'!W113</f>
        <v>19000</v>
      </c>
    </row>
    <row r="771" spans="1:8" x14ac:dyDescent="0.3">
      <c r="A771" t="s">
        <v>688</v>
      </c>
      <c r="B771" t="s">
        <v>117</v>
      </c>
      <c r="C771" t="s">
        <v>135</v>
      </c>
      <c r="D771" t="s">
        <v>689</v>
      </c>
      <c r="E771" t="s">
        <v>772</v>
      </c>
      <c r="F771">
        <v>7</v>
      </c>
      <c r="G771" s="308">
        <f>'BECA MEDIA'!Y113</f>
        <v>0</v>
      </c>
      <c r="H771" s="308">
        <f>'BECA MEDIA'!Z113</f>
        <v>0</v>
      </c>
    </row>
    <row r="772" spans="1:8" x14ac:dyDescent="0.3">
      <c r="A772" t="s">
        <v>688</v>
      </c>
      <c r="B772" t="s">
        <v>117</v>
      </c>
      <c r="C772" t="s">
        <v>136</v>
      </c>
      <c r="D772" t="s">
        <v>689</v>
      </c>
      <c r="E772" t="s">
        <v>766</v>
      </c>
      <c r="F772">
        <v>1</v>
      </c>
      <c r="G772" s="308">
        <f>'BECA MEDIA'!G114</f>
        <v>0</v>
      </c>
      <c r="H772" s="308">
        <f>'BECA MEDIA'!H114</f>
        <v>0</v>
      </c>
    </row>
    <row r="773" spans="1:8" x14ac:dyDescent="0.3">
      <c r="A773" t="s">
        <v>688</v>
      </c>
      <c r="B773" t="s">
        <v>117</v>
      </c>
      <c r="C773" t="s">
        <v>136</v>
      </c>
      <c r="D773" t="s">
        <v>689</v>
      </c>
      <c r="E773" t="s">
        <v>767</v>
      </c>
      <c r="F773">
        <v>2</v>
      </c>
      <c r="G773" s="308">
        <f>'BECA MEDIA'!J114</f>
        <v>0</v>
      </c>
      <c r="H773" s="308">
        <f>'BECA MEDIA'!K114</f>
        <v>0</v>
      </c>
    </row>
    <row r="774" spans="1:8" x14ac:dyDescent="0.3">
      <c r="A774" t="s">
        <v>688</v>
      </c>
      <c r="B774" t="s">
        <v>117</v>
      </c>
      <c r="C774" t="s">
        <v>136</v>
      </c>
      <c r="D774" t="s">
        <v>689</v>
      </c>
      <c r="E774" t="s">
        <v>768</v>
      </c>
      <c r="F774">
        <v>3</v>
      </c>
      <c r="G774" s="308">
        <f>'BECA MEDIA'!M114</f>
        <v>2.8</v>
      </c>
      <c r="H774" s="308">
        <f>'BECA MEDIA'!N114</f>
        <v>7000</v>
      </c>
    </row>
    <row r="775" spans="1:8" x14ac:dyDescent="0.3">
      <c r="A775" t="s">
        <v>688</v>
      </c>
      <c r="B775" t="s">
        <v>117</v>
      </c>
      <c r="C775" t="s">
        <v>136</v>
      </c>
      <c r="D775" t="s">
        <v>689</v>
      </c>
      <c r="E775" t="s">
        <v>769</v>
      </c>
      <c r="F775">
        <v>4</v>
      </c>
      <c r="G775" s="308">
        <f>'BECA MEDIA'!P114</f>
        <v>2</v>
      </c>
      <c r="H775" s="308">
        <f>'BECA MEDIA'!Q114</f>
        <v>5000</v>
      </c>
    </row>
    <row r="776" spans="1:8" x14ac:dyDescent="0.3">
      <c r="A776" t="s">
        <v>688</v>
      </c>
      <c r="B776" t="s">
        <v>117</v>
      </c>
      <c r="C776" t="s">
        <v>136</v>
      </c>
      <c r="D776" t="s">
        <v>689</v>
      </c>
      <c r="E776" t="s">
        <v>770</v>
      </c>
      <c r="F776">
        <v>5</v>
      </c>
      <c r="G776" s="308">
        <f>'BECA MEDIA'!S114</f>
        <v>0</v>
      </c>
      <c r="H776" s="308">
        <f>'BECA MEDIA'!T114</f>
        <v>0</v>
      </c>
    </row>
    <row r="777" spans="1:8" x14ac:dyDescent="0.3">
      <c r="A777" t="s">
        <v>688</v>
      </c>
      <c r="B777" t="s">
        <v>117</v>
      </c>
      <c r="C777" t="s">
        <v>136</v>
      </c>
      <c r="D777" t="s">
        <v>689</v>
      </c>
      <c r="E777" t="s">
        <v>771</v>
      </c>
      <c r="F777">
        <v>6</v>
      </c>
      <c r="G777" s="308">
        <f>'BECA MEDIA'!V114</f>
        <v>5.6</v>
      </c>
      <c r="H777" s="308">
        <f>'BECA MEDIA'!W114</f>
        <v>14000</v>
      </c>
    </row>
    <row r="778" spans="1:8" x14ac:dyDescent="0.3">
      <c r="A778" t="s">
        <v>688</v>
      </c>
      <c r="B778" t="s">
        <v>117</v>
      </c>
      <c r="C778" t="s">
        <v>136</v>
      </c>
      <c r="D778" t="s">
        <v>689</v>
      </c>
      <c r="E778" t="s">
        <v>772</v>
      </c>
      <c r="F778">
        <v>7</v>
      </c>
      <c r="G778" s="308">
        <f>'BECA MEDIA'!Y114</f>
        <v>0</v>
      </c>
      <c r="H778" s="308">
        <f>'BECA MEDIA'!Z114</f>
        <v>0</v>
      </c>
    </row>
    <row r="779" spans="1:8" x14ac:dyDescent="0.3">
      <c r="A779" t="s">
        <v>688</v>
      </c>
      <c r="B779" t="s">
        <v>117</v>
      </c>
      <c r="C779" t="s">
        <v>137</v>
      </c>
      <c r="D779" t="s">
        <v>689</v>
      </c>
      <c r="E779" t="s">
        <v>766</v>
      </c>
      <c r="F779">
        <v>1</v>
      </c>
      <c r="G779" s="308">
        <f>'BECA MEDIA'!G115</f>
        <v>0</v>
      </c>
      <c r="H779" s="308">
        <f>'BECA MEDIA'!H115</f>
        <v>0</v>
      </c>
    </row>
    <row r="780" spans="1:8" x14ac:dyDescent="0.3">
      <c r="A780" t="s">
        <v>688</v>
      </c>
      <c r="B780" t="s">
        <v>117</v>
      </c>
      <c r="C780" t="s">
        <v>137</v>
      </c>
      <c r="D780" t="s">
        <v>689</v>
      </c>
      <c r="E780" t="s">
        <v>767</v>
      </c>
      <c r="F780">
        <v>2</v>
      </c>
      <c r="G780" s="308">
        <f>'BECA MEDIA'!J115</f>
        <v>0</v>
      </c>
      <c r="H780" s="308">
        <f>'BECA MEDIA'!K115</f>
        <v>0</v>
      </c>
    </row>
    <row r="781" spans="1:8" x14ac:dyDescent="0.3">
      <c r="A781" t="s">
        <v>688</v>
      </c>
      <c r="B781" t="s">
        <v>117</v>
      </c>
      <c r="C781" t="s">
        <v>137</v>
      </c>
      <c r="D781" t="s">
        <v>689</v>
      </c>
      <c r="E781" t="s">
        <v>768</v>
      </c>
      <c r="F781">
        <v>3</v>
      </c>
      <c r="G781" s="308">
        <f>'BECA MEDIA'!M115</f>
        <v>2.4</v>
      </c>
      <c r="H781" s="308">
        <f>'BECA MEDIA'!N115</f>
        <v>6000</v>
      </c>
    </row>
    <row r="782" spans="1:8" x14ac:dyDescent="0.3">
      <c r="A782" t="s">
        <v>688</v>
      </c>
      <c r="B782" t="s">
        <v>117</v>
      </c>
      <c r="C782" t="s">
        <v>137</v>
      </c>
      <c r="D782" t="s">
        <v>689</v>
      </c>
      <c r="E782" t="s">
        <v>769</v>
      </c>
      <c r="F782">
        <v>4</v>
      </c>
      <c r="G782" s="308">
        <f>'BECA MEDIA'!P115</f>
        <v>4.4000000000000004</v>
      </c>
      <c r="H782" s="308">
        <f>'BECA MEDIA'!Q115</f>
        <v>11000</v>
      </c>
    </row>
    <row r="783" spans="1:8" x14ac:dyDescent="0.3">
      <c r="A783" t="s">
        <v>688</v>
      </c>
      <c r="B783" t="s">
        <v>117</v>
      </c>
      <c r="C783" t="s">
        <v>137</v>
      </c>
      <c r="D783" t="s">
        <v>689</v>
      </c>
      <c r="E783" t="s">
        <v>770</v>
      </c>
      <c r="F783">
        <v>5</v>
      </c>
      <c r="G783" s="308">
        <f>'BECA MEDIA'!S115</f>
        <v>0</v>
      </c>
      <c r="H783" s="308">
        <f>'BECA MEDIA'!T115</f>
        <v>0</v>
      </c>
    </row>
    <row r="784" spans="1:8" x14ac:dyDescent="0.3">
      <c r="A784" t="s">
        <v>688</v>
      </c>
      <c r="B784" t="s">
        <v>117</v>
      </c>
      <c r="C784" t="s">
        <v>137</v>
      </c>
      <c r="D784" t="s">
        <v>689</v>
      </c>
      <c r="E784" t="s">
        <v>771</v>
      </c>
      <c r="F784">
        <v>6</v>
      </c>
      <c r="G784" s="308">
        <f>'BECA MEDIA'!V115</f>
        <v>7.6</v>
      </c>
      <c r="H784" s="308">
        <f>'BECA MEDIA'!W115</f>
        <v>19000</v>
      </c>
    </row>
    <row r="785" spans="1:8" x14ac:dyDescent="0.3">
      <c r="A785" t="s">
        <v>688</v>
      </c>
      <c r="B785" t="s">
        <v>117</v>
      </c>
      <c r="C785" t="s">
        <v>137</v>
      </c>
      <c r="D785" t="s">
        <v>689</v>
      </c>
      <c r="E785" t="s">
        <v>772</v>
      </c>
      <c r="F785">
        <v>7</v>
      </c>
      <c r="G785" s="308">
        <f>'BECA MEDIA'!Y115</f>
        <v>0</v>
      </c>
      <c r="H785" s="308">
        <f>'BECA MEDIA'!Z115</f>
        <v>0</v>
      </c>
    </row>
    <row r="786" spans="1:8" x14ac:dyDescent="0.3">
      <c r="A786" t="s">
        <v>688</v>
      </c>
      <c r="B786" t="s">
        <v>117</v>
      </c>
      <c r="C786" t="s">
        <v>138</v>
      </c>
      <c r="D786" t="s">
        <v>689</v>
      </c>
      <c r="E786" t="s">
        <v>766</v>
      </c>
      <c r="F786">
        <v>1</v>
      </c>
      <c r="G786" s="308">
        <f>'BECA MEDIA'!G116</f>
        <v>0</v>
      </c>
      <c r="H786" s="308">
        <f>'BECA MEDIA'!H116</f>
        <v>0</v>
      </c>
    </row>
    <row r="787" spans="1:8" x14ac:dyDescent="0.3">
      <c r="A787" t="s">
        <v>688</v>
      </c>
      <c r="B787" t="s">
        <v>117</v>
      </c>
      <c r="C787" t="s">
        <v>138</v>
      </c>
      <c r="D787" t="s">
        <v>689</v>
      </c>
      <c r="E787" t="s">
        <v>767</v>
      </c>
      <c r="F787">
        <v>2</v>
      </c>
      <c r="G787" s="308">
        <f>'BECA MEDIA'!J116</f>
        <v>0</v>
      </c>
      <c r="H787" s="308">
        <f>'BECA MEDIA'!K116</f>
        <v>0</v>
      </c>
    </row>
    <row r="788" spans="1:8" x14ac:dyDescent="0.3">
      <c r="A788" t="s">
        <v>688</v>
      </c>
      <c r="B788" t="s">
        <v>117</v>
      </c>
      <c r="C788" t="s">
        <v>138</v>
      </c>
      <c r="D788" t="s">
        <v>689</v>
      </c>
      <c r="E788" t="s">
        <v>768</v>
      </c>
      <c r="F788">
        <v>3</v>
      </c>
      <c r="G788" s="308">
        <f>'BECA MEDIA'!M116</f>
        <v>2.8</v>
      </c>
      <c r="H788" s="308">
        <f>'BECA MEDIA'!N116</f>
        <v>7000</v>
      </c>
    </row>
    <row r="789" spans="1:8" x14ac:dyDescent="0.3">
      <c r="A789" t="s">
        <v>688</v>
      </c>
      <c r="B789" t="s">
        <v>117</v>
      </c>
      <c r="C789" t="s">
        <v>138</v>
      </c>
      <c r="D789" t="s">
        <v>689</v>
      </c>
      <c r="E789" t="s">
        <v>769</v>
      </c>
      <c r="F789">
        <v>4</v>
      </c>
      <c r="G789" s="308">
        <f>'BECA MEDIA'!P116</f>
        <v>2</v>
      </c>
      <c r="H789" s="308">
        <f>'BECA MEDIA'!Q116</f>
        <v>5000</v>
      </c>
    </row>
    <row r="790" spans="1:8" x14ac:dyDescent="0.3">
      <c r="A790" t="s">
        <v>688</v>
      </c>
      <c r="B790" t="s">
        <v>117</v>
      </c>
      <c r="C790" t="s">
        <v>138</v>
      </c>
      <c r="D790" t="s">
        <v>689</v>
      </c>
      <c r="E790" t="s">
        <v>770</v>
      </c>
      <c r="F790">
        <v>5</v>
      </c>
      <c r="G790" s="308">
        <f>'BECA MEDIA'!S116</f>
        <v>0</v>
      </c>
      <c r="H790" s="308">
        <f>'BECA MEDIA'!T116</f>
        <v>0</v>
      </c>
    </row>
    <row r="791" spans="1:8" x14ac:dyDescent="0.3">
      <c r="A791" t="s">
        <v>688</v>
      </c>
      <c r="B791" t="s">
        <v>117</v>
      </c>
      <c r="C791" t="s">
        <v>138</v>
      </c>
      <c r="D791" t="s">
        <v>689</v>
      </c>
      <c r="E791" t="s">
        <v>771</v>
      </c>
      <c r="F791">
        <v>6</v>
      </c>
      <c r="G791" s="308">
        <f>'BECA MEDIA'!V116</f>
        <v>4.8</v>
      </c>
      <c r="H791" s="308">
        <f>'BECA MEDIA'!W116</f>
        <v>12000</v>
      </c>
    </row>
    <row r="792" spans="1:8" x14ac:dyDescent="0.3">
      <c r="A792" t="s">
        <v>688</v>
      </c>
      <c r="B792" t="s">
        <v>117</v>
      </c>
      <c r="C792" t="s">
        <v>138</v>
      </c>
      <c r="D792" t="s">
        <v>689</v>
      </c>
      <c r="E792" t="s">
        <v>772</v>
      </c>
      <c r="F792">
        <v>7</v>
      </c>
      <c r="G792" s="308">
        <f>'BECA MEDIA'!Y116</f>
        <v>0</v>
      </c>
      <c r="H792" s="308">
        <f>'BECA MEDIA'!Z116</f>
        <v>0</v>
      </c>
    </row>
    <row r="793" spans="1:8" x14ac:dyDescent="0.3">
      <c r="A793" t="s">
        <v>688</v>
      </c>
      <c r="B793" t="s">
        <v>117</v>
      </c>
      <c r="C793" t="s">
        <v>139</v>
      </c>
      <c r="D793" t="s">
        <v>689</v>
      </c>
      <c r="E793" t="s">
        <v>766</v>
      </c>
      <c r="F793">
        <v>1</v>
      </c>
      <c r="G793" s="308">
        <f>'BECA MEDIA'!G117</f>
        <v>0</v>
      </c>
      <c r="H793" s="308">
        <f>'BECA MEDIA'!H117</f>
        <v>0</v>
      </c>
    </row>
    <row r="794" spans="1:8" x14ac:dyDescent="0.3">
      <c r="A794" t="s">
        <v>688</v>
      </c>
      <c r="B794" t="s">
        <v>117</v>
      </c>
      <c r="C794" t="s">
        <v>139</v>
      </c>
      <c r="D794" t="s">
        <v>689</v>
      </c>
      <c r="E794" t="s">
        <v>767</v>
      </c>
      <c r="F794">
        <v>2</v>
      </c>
      <c r="G794" s="308">
        <f>'BECA MEDIA'!J117</f>
        <v>0</v>
      </c>
      <c r="H794" s="308">
        <f>'BECA MEDIA'!K117</f>
        <v>0</v>
      </c>
    </row>
    <row r="795" spans="1:8" x14ac:dyDescent="0.3">
      <c r="A795" t="s">
        <v>688</v>
      </c>
      <c r="B795" t="s">
        <v>117</v>
      </c>
      <c r="C795" t="s">
        <v>139</v>
      </c>
      <c r="D795" t="s">
        <v>689</v>
      </c>
      <c r="E795" t="s">
        <v>768</v>
      </c>
      <c r="F795">
        <v>3</v>
      </c>
      <c r="G795" s="308">
        <f>'BECA MEDIA'!M117</f>
        <v>1.6</v>
      </c>
      <c r="H795" s="308">
        <f>'BECA MEDIA'!N117</f>
        <v>4000</v>
      </c>
    </row>
    <row r="796" spans="1:8" x14ac:dyDescent="0.3">
      <c r="A796" t="s">
        <v>688</v>
      </c>
      <c r="B796" t="s">
        <v>117</v>
      </c>
      <c r="C796" t="s">
        <v>139</v>
      </c>
      <c r="D796" t="s">
        <v>689</v>
      </c>
      <c r="E796" t="s">
        <v>769</v>
      </c>
      <c r="F796">
        <v>4</v>
      </c>
      <c r="G796" s="308">
        <f>'BECA MEDIA'!P117</f>
        <v>0</v>
      </c>
      <c r="H796" s="308">
        <f>'BECA MEDIA'!Q117</f>
        <v>0</v>
      </c>
    </row>
    <row r="797" spans="1:8" x14ac:dyDescent="0.3">
      <c r="A797" t="s">
        <v>688</v>
      </c>
      <c r="B797" t="s">
        <v>117</v>
      </c>
      <c r="C797" t="s">
        <v>139</v>
      </c>
      <c r="D797" t="s">
        <v>689</v>
      </c>
      <c r="E797" t="s">
        <v>770</v>
      </c>
      <c r="F797">
        <v>5</v>
      </c>
      <c r="G797" s="308">
        <f>'BECA MEDIA'!S117</f>
        <v>0</v>
      </c>
      <c r="H797" s="308">
        <f>'BECA MEDIA'!T117</f>
        <v>0</v>
      </c>
    </row>
    <row r="798" spans="1:8" x14ac:dyDescent="0.3">
      <c r="A798" t="s">
        <v>688</v>
      </c>
      <c r="B798" t="s">
        <v>117</v>
      </c>
      <c r="C798" t="s">
        <v>139</v>
      </c>
      <c r="D798" t="s">
        <v>689</v>
      </c>
      <c r="E798" t="s">
        <v>771</v>
      </c>
      <c r="F798">
        <v>6</v>
      </c>
      <c r="G798" s="308">
        <f>'BECA MEDIA'!V117</f>
        <v>1.6</v>
      </c>
      <c r="H798" s="308">
        <f>'BECA MEDIA'!W117</f>
        <v>4000</v>
      </c>
    </row>
    <row r="799" spans="1:8" x14ac:dyDescent="0.3">
      <c r="A799" t="s">
        <v>688</v>
      </c>
      <c r="B799" t="s">
        <v>117</v>
      </c>
      <c r="C799" t="s">
        <v>139</v>
      </c>
      <c r="D799" t="s">
        <v>689</v>
      </c>
      <c r="E799" t="s">
        <v>772</v>
      </c>
      <c r="F799">
        <v>7</v>
      </c>
      <c r="G799" s="308">
        <f>'BECA MEDIA'!Y117</f>
        <v>0</v>
      </c>
      <c r="H799" s="308">
        <f>'BECA MEDIA'!Z117</f>
        <v>0</v>
      </c>
    </row>
    <row r="800" spans="1:8" x14ac:dyDescent="0.3">
      <c r="A800" t="s">
        <v>688</v>
      </c>
      <c r="B800" t="s">
        <v>117</v>
      </c>
      <c r="C800" t="s">
        <v>140</v>
      </c>
      <c r="D800" t="s">
        <v>689</v>
      </c>
      <c r="E800" t="s">
        <v>766</v>
      </c>
      <c r="F800">
        <v>1</v>
      </c>
      <c r="G800" s="308">
        <f>'BECA MEDIA'!G118</f>
        <v>0</v>
      </c>
      <c r="H800" s="308">
        <f>'BECA MEDIA'!H118</f>
        <v>0</v>
      </c>
    </row>
    <row r="801" spans="1:8" x14ac:dyDescent="0.3">
      <c r="A801" t="s">
        <v>688</v>
      </c>
      <c r="B801" t="s">
        <v>117</v>
      </c>
      <c r="C801" t="s">
        <v>140</v>
      </c>
      <c r="D801" t="s">
        <v>689</v>
      </c>
      <c r="E801" t="s">
        <v>767</v>
      </c>
      <c r="F801">
        <v>2</v>
      </c>
      <c r="G801" s="308">
        <f>'BECA MEDIA'!J118</f>
        <v>0</v>
      </c>
      <c r="H801" s="308">
        <f>'BECA MEDIA'!K118</f>
        <v>0</v>
      </c>
    </row>
    <row r="802" spans="1:8" x14ac:dyDescent="0.3">
      <c r="A802" t="s">
        <v>688</v>
      </c>
      <c r="B802" t="s">
        <v>117</v>
      </c>
      <c r="C802" t="s">
        <v>140</v>
      </c>
      <c r="D802" t="s">
        <v>689</v>
      </c>
      <c r="E802" t="s">
        <v>768</v>
      </c>
      <c r="F802">
        <v>3</v>
      </c>
      <c r="G802" s="308">
        <f>'BECA MEDIA'!M118</f>
        <v>3.6</v>
      </c>
      <c r="H802" s="308">
        <f>'BECA MEDIA'!N118</f>
        <v>9000</v>
      </c>
    </row>
    <row r="803" spans="1:8" x14ac:dyDescent="0.3">
      <c r="A803" t="s">
        <v>688</v>
      </c>
      <c r="B803" t="s">
        <v>117</v>
      </c>
      <c r="C803" t="s">
        <v>140</v>
      </c>
      <c r="D803" t="s">
        <v>689</v>
      </c>
      <c r="E803" t="s">
        <v>769</v>
      </c>
      <c r="F803">
        <v>4</v>
      </c>
      <c r="G803" s="308">
        <f>'BECA MEDIA'!P118</f>
        <v>2.8</v>
      </c>
      <c r="H803" s="308">
        <f>'BECA MEDIA'!Q118</f>
        <v>7000</v>
      </c>
    </row>
    <row r="804" spans="1:8" x14ac:dyDescent="0.3">
      <c r="A804" t="s">
        <v>688</v>
      </c>
      <c r="B804" t="s">
        <v>117</v>
      </c>
      <c r="C804" t="s">
        <v>140</v>
      </c>
      <c r="D804" t="s">
        <v>689</v>
      </c>
      <c r="E804" t="s">
        <v>770</v>
      </c>
      <c r="F804">
        <v>5</v>
      </c>
      <c r="G804" s="308">
        <f>'BECA MEDIA'!S118</f>
        <v>0</v>
      </c>
      <c r="H804" s="308">
        <f>'BECA MEDIA'!T118</f>
        <v>0</v>
      </c>
    </row>
    <row r="805" spans="1:8" x14ac:dyDescent="0.3">
      <c r="A805" t="s">
        <v>688</v>
      </c>
      <c r="B805" t="s">
        <v>117</v>
      </c>
      <c r="C805" t="s">
        <v>140</v>
      </c>
      <c r="D805" t="s">
        <v>689</v>
      </c>
      <c r="E805" t="s">
        <v>771</v>
      </c>
      <c r="F805">
        <v>6</v>
      </c>
      <c r="G805" s="308">
        <f>'BECA MEDIA'!V118</f>
        <v>6.4</v>
      </c>
      <c r="H805" s="308">
        <f>'BECA MEDIA'!W118</f>
        <v>16000</v>
      </c>
    </row>
    <row r="806" spans="1:8" x14ac:dyDescent="0.3">
      <c r="A806" t="s">
        <v>688</v>
      </c>
      <c r="B806" t="s">
        <v>117</v>
      </c>
      <c r="C806" t="s">
        <v>140</v>
      </c>
      <c r="D806" t="s">
        <v>689</v>
      </c>
      <c r="E806" t="s">
        <v>772</v>
      </c>
      <c r="F806">
        <v>7</v>
      </c>
      <c r="G806" s="308">
        <f>'BECA MEDIA'!Y118</f>
        <v>0</v>
      </c>
      <c r="H806" s="308">
        <f>'BECA MEDIA'!Z118</f>
        <v>0</v>
      </c>
    </row>
    <row r="807" spans="1:8" x14ac:dyDescent="0.3">
      <c r="A807" t="s">
        <v>688</v>
      </c>
      <c r="B807" t="s">
        <v>117</v>
      </c>
      <c r="C807" t="s">
        <v>141</v>
      </c>
      <c r="D807" t="s">
        <v>689</v>
      </c>
      <c r="E807" t="s">
        <v>766</v>
      </c>
      <c r="F807">
        <v>1</v>
      </c>
      <c r="G807" s="308">
        <f>'BECA MEDIA'!G119</f>
        <v>0</v>
      </c>
      <c r="H807" s="308">
        <f>'BECA MEDIA'!H119</f>
        <v>0</v>
      </c>
    </row>
    <row r="808" spans="1:8" x14ac:dyDescent="0.3">
      <c r="A808" t="s">
        <v>688</v>
      </c>
      <c r="B808" t="s">
        <v>117</v>
      </c>
      <c r="C808" t="s">
        <v>141</v>
      </c>
      <c r="D808" t="s">
        <v>689</v>
      </c>
      <c r="E808" t="s">
        <v>767</v>
      </c>
      <c r="F808">
        <v>2</v>
      </c>
      <c r="G808" s="308">
        <f>'BECA MEDIA'!J119</f>
        <v>0</v>
      </c>
      <c r="H808" s="308">
        <f>'BECA MEDIA'!K119</f>
        <v>0</v>
      </c>
    </row>
    <row r="809" spans="1:8" x14ac:dyDescent="0.3">
      <c r="A809" t="s">
        <v>688</v>
      </c>
      <c r="B809" t="s">
        <v>117</v>
      </c>
      <c r="C809" t="s">
        <v>141</v>
      </c>
      <c r="D809" t="s">
        <v>689</v>
      </c>
      <c r="E809" t="s">
        <v>768</v>
      </c>
      <c r="F809">
        <v>3</v>
      </c>
      <c r="G809" s="308">
        <f>'BECA MEDIA'!M119</f>
        <v>1.6</v>
      </c>
      <c r="H809" s="308">
        <f>'BECA MEDIA'!N119</f>
        <v>4000</v>
      </c>
    </row>
    <row r="810" spans="1:8" x14ac:dyDescent="0.3">
      <c r="A810" t="s">
        <v>688</v>
      </c>
      <c r="B810" t="s">
        <v>117</v>
      </c>
      <c r="C810" t="s">
        <v>141</v>
      </c>
      <c r="D810" t="s">
        <v>689</v>
      </c>
      <c r="E810" t="s">
        <v>769</v>
      </c>
      <c r="F810">
        <v>4</v>
      </c>
      <c r="G810" s="308">
        <f>'BECA MEDIA'!P119</f>
        <v>0</v>
      </c>
      <c r="H810" s="308">
        <f>'BECA MEDIA'!Q119</f>
        <v>0</v>
      </c>
    </row>
    <row r="811" spans="1:8" x14ac:dyDescent="0.3">
      <c r="A811" t="s">
        <v>688</v>
      </c>
      <c r="B811" t="s">
        <v>117</v>
      </c>
      <c r="C811" t="s">
        <v>141</v>
      </c>
      <c r="D811" t="s">
        <v>689</v>
      </c>
      <c r="E811" t="s">
        <v>770</v>
      </c>
      <c r="F811">
        <v>5</v>
      </c>
      <c r="G811" s="308">
        <f>'BECA MEDIA'!S119</f>
        <v>0</v>
      </c>
      <c r="H811" s="308">
        <f>'BECA MEDIA'!T119</f>
        <v>0</v>
      </c>
    </row>
    <row r="812" spans="1:8" x14ac:dyDescent="0.3">
      <c r="A812" t="s">
        <v>688</v>
      </c>
      <c r="B812" t="s">
        <v>117</v>
      </c>
      <c r="C812" t="s">
        <v>141</v>
      </c>
      <c r="D812" t="s">
        <v>689</v>
      </c>
      <c r="E812" t="s">
        <v>771</v>
      </c>
      <c r="F812">
        <v>6</v>
      </c>
      <c r="G812" s="308">
        <f>'BECA MEDIA'!V119</f>
        <v>1.6</v>
      </c>
      <c r="H812" s="308">
        <f>'BECA MEDIA'!W119</f>
        <v>4000</v>
      </c>
    </row>
    <row r="813" spans="1:8" x14ac:dyDescent="0.3">
      <c r="A813" t="s">
        <v>688</v>
      </c>
      <c r="B813" t="s">
        <v>117</v>
      </c>
      <c r="C813" t="s">
        <v>141</v>
      </c>
      <c r="D813" t="s">
        <v>689</v>
      </c>
      <c r="E813" t="s">
        <v>772</v>
      </c>
      <c r="F813">
        <v>7</v>
      </c>
      <c r="G813" s="308">
        <f>'BECA MEDIA'!Y119</f>
        <v>0</v>
      </c>
      <c r="H813" s="308">
        <f>'BECA MEDIA'!Z119</f>
        <v>0</v>
      </c>
    </row>
    <row r="814" spans="1:8" x14ac:dyDescent="0.3">
      <c r="A814" t="s">
        <v>688</v>
      </c>
      <c r="B814" t="s">
        <v>117</v>
      </c>
      <c r="C814" t="s">
        <v>142</v>
      </c>
      <c r="D814" t="s">
        <v>689</v>
      </c>
      <c r="E814" t="s">
        <v>766</v>
      </c>
      <c r="F814">
        <v>1</v>
      </c>
      <c r="G814" s="308">
        <f>'BECA MEDIA'!G120</f>
        <v>0</v>
      </c>
      <c r="H814" s="308">
        <f>'BECA MEDIA'!H120</f>
        <v>0</v>
      </c>
    </row>
    <row r="815" spans="1:8" x14ac:dyDescent="0.3">
      <c r="A815" t="s">
        <v>688</v>
      </c>
      <c r="B815" t="s">
        <v>117</v>
      </c>
      <c r="C815" t="s">
        <v>142</v>
      </c>
      <c r="D815" t="s">
        <v>689</v>
      </c>
      <c r="E815" t="s">
        <v>767</v>
      </c>
      <c r="F815">
        <v>2</v>
      </c>
      <c r="G815" s="308">
        <f>'BECA MEDIA'!J120</f>
        <v>0</v>
      </c>
      <c r="H815" s="308">
        <f>'BECA MEDIA'!K120</f>
        <v>0</v>
      </c>
    </row>
    <row r="816" spans="1:8" x14ac:dyDescent="0.3">
      <c r="A816" t="s">
        <v>688</v>
      </c>
      <c r="B816" t="s">
        <v>117</v>
      </c>
      <c r="C816" t="s">
        <v>142</v>
      </c>
      <c r="D816" t="s">
        <v>689</v>
      </c>
      <c r="E816" t="s">
        <v>768</v>
      </c>
      <c r="F816">
        <v>3</v>
      </c>
      <c r="G816" s="308">
        <f>'BECA MEDIA'!M120</f>
        <v>4.4000000000000004</v>
      </c>
      <c r="H816" s="308">
        <f>'BECA MEDIA'!N120</f>
        <v>11000</v>
      </c>
    </row>
    <row r="817" spans="1:8" x14ac:dyDescent="0.3">
      <c r="A817" t="s">
        <v>688</v>
      </c>
      <c r="B817" t="s">
        <v>117</v>
      </c>
      <c r="C817" t="s">
        <v>142</v>
      </c>
      <c r="D817" t="s">
        <v>689</v>
      </c>
      <c r="E817" t="s">
        <v>769</v>
      </c>
      <c r="F817">
        <v>4</v>
      </c>
      <c r="G817" s="308">
        <f>'BECA MEDIA'!P120</f>
        <v>4.4000000000000004</v>
      </c>
      <c r="H817" s="308">
        <f>'BECA MEDIA'!Q120</f>
        <v>11000</v>
      </c>
    </row>
    <row r="818" spans="1:8" x14ac:dyDescent="0.3">
      <c r="A818" t="s">
        <v>688</v>
      </c>
      <c r="B818" t="s">
        <v>117</v>
      </c>
      <c r="C818" t="s">
        <v>142</v>
      </c>
      <c r="D818" t="s">
        <v>689</v>
      </c>
      <c r="E818" t="s">
        <v>770</v>
      </c>
      <c r="F818">
        <v>5</v>
      </c>
      <c r="G818" s="308">
        <f>'BECA MEDIA'!S120</f>
        <v>0</v>
      </c>
      <c r="H818" s="308">
        <f>'BECA MEDIA'!T120</f>
        <v>0</v>
      </c>
    </row>
    <row r="819" spans="1:8" x14ac:dyDescent="0.3">
      <c r="A819" t="s">
        <v>688</v>
      </c>
      <c r="B819" t="s">
        <v>117</v>
      </c>
      <c r="C819" t="s">
        <v>142</v>
      </c>
      <c r="D819" t="s">
        <v>689</v>
      </c>
      <c r="E819" t="s">
        <v>771</v>
      </c>
      <c r="F819">
        <v>6</v>
      </c>
      <c r="G819" s="308">
        <f>'BECA MEDIA'!V120</f>
        <v>9.1999999999999993</v>
      </c>
      <c r="H819" s="308">
        <f>'BECA MEDIA'!W120</f>
        <v>23000</v>
      </c>
    </row>
    <row r="820" spans="1:8" x14ac:dyDescent="0.3">
      <c r="A820" t="s">
        <v>688</v>
      </c>
      <c r="B820" t="s">
        <v>117</v>
      </c>
      <c r="C820" t="s">
        <v>142</v>
      </c>
      <c r="D820" t="s">
        <v>689</v>
      </c>
      <c r="E820" t="s">
        <v>772</v>
      </c>
      <c r="F820">
        <v>7</v>
      </c>
      <c r="G820" s="308">
        <f>'BECA MEDIA'!Y120</f>
        <v>0</v>
      </c>
      <c r="H820" s="308">
        <f>'BECA MEDIA'!Z120</f>
        <v>0</v>
      </c>
    </row>
    <row r="821" spans="1:8" x14ac:dyDescent="0.3">
      <c r="A821" t="s">
        <v>688</v>
      </c>
      <c r="B821" t="s">
        <v>117</v>
      </c>
      <c r="C821" t="s">
        <v>143</v>
      </c>
      <c r="D821" t="s">
        <v>689</v>
      </c>
      <c r="E821" t="s">
        <v>766</v>
      </c>
      <c r="F821">
        <v>1</v>
      </c>
      <c r="G821" s="308">
        <f>'BECA MEDIA'!G121</f>
        <v>0</v>
      </c>
      <c r="H821" s="308">
        <f>'BECA MEDIA'!H121</f>
        <v>0</v>
      </c>
    </row>
    <row r="822" spans="1:8" x14ac:dyDescent="0.3">
      <c r="A822" t="s">
        <v>688</v>
      </c>
      <c r="B822" t="s">
        <v>117</v>
      </c>
      <c r="C822" t="s">
        <v>143</v>
      </c>
      <c r="D822" t="s">
        <v>689</v>
      </c>
      <c r="E822" t="s">
        <v>767</v>
      </c>
      <c r="F822">
        <v>2</v>
      </c>
      <c r="G822" s="308">
        <f>'BECA MEDIA'!J121</f>
        <v>0</v>
      </c>
      <c r="H822" s="308">
        <f>'BECA MEDIA'!K121</f>
        <v>0</v>
      </c>
    </row>
    <row r="823" spans="1:8" x14ac:dyDescent="0.3">
      <c r="A823" t="s">
        <v>688</v>
      </c>
      <c r="B823" t="s">
        <v>117</v>
      </c>
      <c r="C823" t="s">
        <v>143</v>
      </c>
      <c r="D823" t="s">
        <v>689</v>
      </c>
      <c r="E823" t="s">
        <v>768</v>
      </c>
      <c r="F823">
        <v>3</v>
      </c>
      <c r="G823" s="308">
        <f>'BECA MEDIA'!M121</f>
        <v>5.2</v>
      </c>
      <c r="H823" s="308">
        <f>'BECA MEDIA'!N121</f>
        <v>13000</v>
      </c>
    </row>
    <row r="824" spans="1:8" x14ac:dyDescent="0.3">
      <c r="A824" t="s">
        <v>688</v>
      </c>
      <c r="B824" t="s">
        <v>117</v>
      </c>
      <c r="C824" t="s">
        <v>143</v>
      </c>
      <c r="D824" t="s">
        <v>689</v>
      </c>
      <c r="E824" t="s">
        <v>769</v>
      </c>
      <c r="F824">
        <v>4</v>
      </c>
      <c r="G824" s="308">
        <f>'BECA MEDIA'!P121</f>
        <v>4</v>
      </c>
      <c r="H824" s="308">
        <f>'BECA MEDIA'!Q121</f>
        <v>10000</v>
      </c>
    </row>
    <row r="825" spans="1:8" x14ac:dyDescent="0.3">
      <c r="A825" t="s">
        <v>688</v>
      </c>
      <c r="B825" t="s">
        <v>117</v>
      </c>
      <c r="C825" t="s">
        <v>143</v>
      </c>
      <c r="D825" t="s">
        <v>689</v>
      </c>
      <c r="E825" t="s">
        <v>770</v>
      </c>
      <c r="F825">
        <v>5</v>
      </c>
      <c r="G825" s="308">
        <f>'BECA MEDIA'!S121</f>
        <v>0</v>
      </c>
      <c r="H825" s="308">
        <f>'BECA MEDIA'!T121</f>
        <v>0</v>
      </c>
    </row>
    <row r="826" spans="1:8" x14ac:dyDescent="0.3">
      <c r="A826" t="s">
        <v>688</v>
      </c>
      <c r="B826" t="s">
        <v>117</v>
      </c>
      <c r="C826" t="s">
        <v>143</v>
      </c>
      <c r="D826" t="s">
        <v>689</v>
      </c>
      <c r="E826" t="s">
        <v>771</v>
      </c>
      <c r="F826">
        <v>6</v>
      </c>
      <c r="G826" s="308">
        <f>'BECA MEDIA'!V121</f>
        <v>8.8000000000000007</v>
      </c>
      <c r="H826" s="308">
        <f>'BECA MEDIA'!W121</f>
        <v>22000</v>
      </c>
    </row>
    <row r="827" spans="1:8" x14ac:dyDescent="0.3">
      <c r="A827" t="s">
        <v>688</v>
      </c>
      <c r="B827" t="s">
        <v>117</v>
      </c>
      <c r="C827" t="s">
        <v>143</v>
      </c>
      <c r="D827" t="s">
        <v>689</v>
      </c>
      <c r="E827" t="s">
        <v>772</v>
      </c>
      <c r="F827">
        <v>7</v>
      </c>
      <c r="G827" s="308">
        <f>'BECA MEDIA'!Y121</f>
        <v>0</v>
      </c>
      <c r="H827" s="308">
        <f>'BECA MEDIA'!Z121</f>
        <v>0</v>
      </c>
    </row>
    <row r="828" spans="1:8" x14ac:dyDescent="0.3">
      <c r="A828" t="s">
        <v>688</v>
      </c>
      <c r="B828" t="s">
        <v>117</v>
      </c>
      <c r="C828" t="s">
        <v>144</v>
      </c>
      <c r="D828" t="s">
        <v>689</v>
      </c>
      <c r="E828" t="s">
        <v>766</v>
      </c>
      <c r="F828">
        <v>1</v>
      </c>
      <c r="G828" s="308">
        <f>'BECA MEDIA'!G122</f>
        <v>0</v>
      </c>
      <c r="H828" s="308">
        <f>'BECA MEDIA'!H122</f>
        <v>0</v>
      </c>
    </row>
    <row r="829" spans="1:8" x14ac:dyDescent="0.3">
      <c r="A829" t="s">
        <v>688</v>
      </c>
      <c r="B829" t="s">
        <v>117</v>
      </c>
      <c r="C829" t="s">
        <v>144</v>
      </c>
      <c r="D829" t="s">
        <v>689</v>
      </c>
      <c r="E829" t="s">
        <v>767</v>
      </c>
      <c r="F829">
        <v>2</v>
      </c>
      <c r="G829" s="308">
        <f>'BECA MEDIA'!J122</f>
        <v>0</v>
      </c>
      <c r="H829" s="308">
        <f>'BECA MEDIA'!K122</f>
        <v>0</v>
      </c>
    </row>
    <row r="830" spans="1:8" x14ac:dyDescent="0.3">
      <c r="A830" t="s">
        <v>688</v>
      </c>
      <c r="B830" t="s">
        <v>117</v>
      </c>
      <c r="C830" t="s">
        <v>144</v>
      </c>
      <c r="D830" t="s">
        <v>689</v>
      </c>
      <c r="E830" t="s">
        <v>768</v>
      </c>
      <c r="F830">
        <v>3</v>
      </c>
      <c r="G830" s="308">
        <f>'BECA MEDIA'!M122</f>
        <v>4.4000000000000004</v>
      </c>
      <c r="H830" s="308">
        <f>'BECA MEDIA'!N122</f>
        <v>11000</v>
      </c>
    </row>
    <row r="831" spans="1:8" x14ac:dyDescent="0.3">
      <c r="A831" t="s">
        <v>688</v>
      </c>
      <c r="B831" t="s">
        <v>117</v>
      </c>
      <c r="C831" t="s">
        <v>144</v>
      </c>
      <c r="D831" t="s">
        <v>689</v>
      </c>
      <c r="E831" t="s">
        <v>769</v>
      </c>
      <c r="F831">
        <v>4</v>
      </c>
      <c r="G831" s="308">
        <f>'BECA MEDIA'!P122</f>
        <v>2.8</v>
      </c>
      <c r="H831" s="308">
        <f>'BECA MEDIA'!Q122</f>
        <v>7000</v>
      </c>
    </row>
    <row r="832" spans="1:8" x14ac:dyDescent="0.3">
      <c r="A832" t="s">
        <v>688</v>
      </c>
      <c r="B832" t="s">
        <v>117</v>
      </c>
      <c r="C832" t="s">
        <v>144</v>
      </c>
      <c r="D832" t="s">
        <v>689</v>
      </c>
      <c r="E832" t="s">
        <v>770</v>
      </c>
      <c r="F832">
        <v>5</v>
      </c>
      <c r="G832" s="308">
        <f>'BECA MEDIA'!S122</f>
        <v>0</v>
      </c>
      <c r="H832" s="308">
        <f>'BECA MEDIA'!T122</f>
        <v>0</v>
      </c>
    </row>
    <row r="833" spans="1:8" x14ac:dyDescent="0.3">
      <c r="A833" t="s">
        <v>688</v>
      </c>
      <c r="B833" t="s">
        <v>117</v>
      </c>
      <c r="C833" t="s">
        <v>144</v>
      </c>
      <c r="D833" t="s">
        <v>689</v>
      </c>
      <c r="E833" t="s">
        <v>771</v>
      </c>
      <c r="F833">
        <v>6</v>
      </c>
      <c r="G833" s="308">
        <f>'BECA MEDIA'!V122</f>
        <v>7.6</v>
      </c>
      <c r="H833" s="308">
        <f>'BECA MEDIA'!W122</f>
        <v>19000</v>
      </c>
    </row>
    <row r="834" spans="1:8" x14ac:dyDescent="0.3">
      <c r="A834" t="s">
        <v>688</v>
      </c>
      <c r="B834" t="s">
        <v>117</v>
      </c>
      <c r="C834" t="s">
        <v>144</v>
      </c>
      <c r="D834" t="s">
        <v>689</v>
      </c>
      <c r="E834" t="s">
        <v>772</v>
      </c>
      <c r="F834">
        <v>7</v>
      </c>
      <c r="G834" s="308">
        <f>'BECA MEDIA'!Y122</f>
        <v>0</v>
      </c>
      <c r="H834" s="308">
        <f>'BECA MEDIA'!Z122</f>
        <v>0</v>
      </c>
    </row>
    <row r="835" spans="1:8" x14ac:dyDescent="0.3">
      <c r="A835" t="s">
        <v>688</v>
      </c>
      <c r="B835" t="s">
        <v>117</v>
      </c>
      <c r="C835" t="s">
        <v>145</v>
      </c>
      <c r="D835" t="s">
        <v>689</v>
      </c>
      <c r="E835" t="s">
        <v>766</v>
      </c>
      <c r="F835">
        <v>1</v>
      </c>
      <c r="G835" s="308">
        <f>'BECA MEDIA'!G123</f>
        <v>0</v>
      </c>
      <c r="H835" s="308">
        <f>'BECA MEDIA'!H123</f>
        <v>0</v>
      </c>
    </row>
    <row r="836" spans="1:8" x14ac:dyDescent="0.3">
      <c r="A836" t="s">
        <v>688</v>
      </c>
      <c r="B836" t="s">
        <v>117</v>
      </c>
      <c r="C836" t="s">
        <v>145</v>
      </c>
      <c r="D836" t="s">
        <v>689</v>
      </c>
      <c r="E836" t="s">
        <v>767</v>
      </c>
      <c r="F836">
        <v>2</v>
      </c>
      <c r="G836" s="308">
        <f>'BECA MEDIA'!J123</f>
        <v>0</v>
      </c>
      <c r="H836" s="308">
        <f>'BECA MEDIA'!K123</f>
        <v>0</v>
      </c>
    </row>
    <row r="837" spans="1:8" x14ac:dyDescent="0.3">
      <c r="A837" t="s">
        <v>688</v>
      </c>
      <c r="B837" t="s">
        <v>117</v>
      </c>
      <c r="C837" t="s">
        <v>145</v>
      </c>
      <c r="D837" t="s">
        <v>689</v>
      </c>
      <c r="E837" t="s">
        <v>768</v>
      </c>
      <c r="F837">
        <v>3</v>
      </c>
      <c r="G837" s="308">
        <f>'BECA MEDIA'!M123</f>
        <v>4</v>
      </c>
      <c r="H837" s="308">
        <f>'BECA MEDIA'!N123</f>
        <v>10000</v>
      </c>
    </row>
    <row r="838" spans="1:8" x14ac:dyDescent="0.3">
      <c r="A838" t="s">
        <v>688</v>
      </c>
      <c r="B838" t="s">
        <v>117</v>
      </c>
      <c r="C838" t="s">
        <v>145</v>
      </c>
      <c r="D838" t="s">
        <v>689</v>
      </c>
      <c r="E838" t="s">
        <v>769</v>
      </c>
      <c r="F838">
        <v>4</v>
      </c>
      <c r="G838" s="308">
        <f>'BECA MEDIA'!P123</f>
        <v>4</v>
      </c>
      <c r="H838" s="308">
        <f>'BECA MEDIA'!Q123</f>
        <v>10000</v>
      </c>
    </row>
    <row r="839" spans="1:8" x14ac:dyDescent="0.3">
      <c r="A839" t="s">
        <v>688</v>
      </c>
      <c r="B839" t="s">
        <v>117</v>
      </c>
      <c r="C839" t="s">
        <v>145</v>
      </c>
      <c r="D839" t="s">
        <v>689</v>
      </c>
      <c r="E839" t="s">
        <v>770</v>
      </c>
      <c r="F839">
        <v>5</v>
      </c>
      <c r="G839" s="308">
        <f>'BECA MEDIA'!S123</f>
        <v>0</v>
      </c>
      <c r="H839" s="308">
        <f>'BECA MEDIA'!T123</f>
        <v>0</v>
      </c>
    </row>
    <row r="840" spans="1:8" x14ac:dyDescent="0.3">
      <c r="A840" t="s">
        <v>688</v>
      </c>
      <c r="B840" t="s">
        <v>117</v>
      </c>
      <c r="C840" t="s">
        <v>145</v>
      </c>
      <c r="D840" t="s">
        <v>689</v>
      </c>
      <c r="E840" t="s">
        <v>771</v>
      </c>
      <c r="F840">
        <v>6</v>
      </c>
      <c r="G840" s="308">
        <f>'BECA MEDIA'!V123</f>
        <v>8</v>
      </c>
      <c r="H840" s="308">
        <f>'BECA MEDIA'!W123</f>
        <v>20000</v>
      </c>
    </row>
    <row r="841" spans="1:8" x14ac:dyDescent="0.3">
      <c r="A841" t="s">
        <v>688</v>
      </c>
      <c r="B841" t="s">
        <v>117</v>
      </c>
      <c r="C841" t="s">
        <v>145</v>
      </c>
      <c r="D841" t="s">
        <v>689</v>
      </c>
      <c r="E841" t="s">
        <v>772</v>
      </c>
      <c r="F841">
        <v>7</v>
      </c>
      <c r="G841" s="308">
        <f>'BECA MEDIA'!Y123</f>
        <v>0</v>
      </c>
      <c r="H841" s="308">
        <f>'BECA MEDIA'!Z123</f>
        <v>0</v>
      </c>
    </row>
    <row r="842" spans="1:8" x14ac:dyDescent="0.3">
      <c r="A842" t="s">
        <v>688</v>
      </c>
      <c r="B842" t="s">
        <v>117</v>
      </c>
      <c r="C842" t="s">
        <v>146</v>
      </c>
      <c r="D842" t="s">
        <v>689</v>
      </c>
      <c r="E842" t="s">
        <v>766</v>
      </c>
      <c r="F842">
        <v>1</v>
      </c>
      <c r="G842" s="308">
        <f>'BECA MEDIA'!G124</f>
        <v>0</v>
      </c>
      <c r="H842" s="308">
        <f>'BECA MEDIA'!H124</f>
        <v>0</v>
      </c>
    </row>
    <row r="843" spans="1:8" x14ac:dyDescent="0.3">
      <c r="A843" t="s">
        <v>688</v>
      </c>
      <c r="B843" t="s">
        <v>117</v>
      </c>
      <c r="C843" t="s">
        <v>146</v>
      </c>
      <c r="D843" t="s">
        <v>689</v>
      </c>
      <c r="E843" t="s">
        <v>767</v>
      </c>
      <c r="F843">
        <v>2</v>
      </c>
      <c r="G843" s="308">
        <f>'BECA MEDIA'!J124</f>
        <v>0</v>
      </c>
      <c r="H843" s="308">
        <f>'BECA MEDIA'!K124</f>
        <v>0</v>
      </c>
    </row>
    <row r="844" spans="1:8" x14ac:dyDescent="0.3">
      <c r="A844" t="s">
        <v>688</v>
      </c>
      <c r="B844" t="s">
        <v>117</v>
      </c>
      <c r="C844" t="s">
        <v>146</v>
      </c>
      <c r="D844" t="s">
        <v>689</v>
      </c>
      <c r="E844" t="s">
        <v>768</v>
      </c>
      <c r="F844">
        <v>3</v>
      </c>
      <c r="G844" s="308">
        <f>'BECA MEDIA'!M124</f>
        <v>7.2</v>
      </c>
      <c r="H844" s="308">
        <f>'BECA MEDIA'!N124</f>
        <v>18000</v>
      </c>
    </row>
    <row r="845" spans="1:8" x14ac:dyDescent="0.3">
      <c r="A845" t="s">
        <v>688</v>
      </c>
      <c r="B845" t="s">
        <v>117</v>
      </c>
      <c r="C845" t="s">
        <v>146</v>
      </c>
      <c r="D845" t="s">
        <v>689</v>
      </c>
      <c r="E845" t="s">
        <v>769</v>
      </c>
      <c r="F845">
        <v>4</v>
      </c>
      <c r="G845" s="308">
        <f>'BECA MEDIA'!P124</f>
        <v>4.8</v>
      </c>
      <c r="H845" s="308">
        <f>'BECA MEDIA'!Q124</f>
        <v>12000</v>
      </c>
    </row>
    <row r="846" spans="1:8" x14ac:dyDescent="0.3">
      <c r="A846" t="s">
        <v>688</v>
      </c>
      <c r="B846" t="s">
        <v>117</v>
      </c>
      <c r="C846" t="s">
        <v>146</v>
      </c>
      <c r="D846" t="s">
        <v>689</v>
      </c>
      <c r="E846" t="s">
        <v>770</v>
      </c>
      <c r="F846">
        <v>5</v>
      </c>
      <c r="G846" s="308">
        <f>'BECA MEDIA'!S124</f>
        <v>0</v>
      </c>
      <c r="H846" s="308">
        <f>'BECA MEDIA'!T124</f>
        <v>0</v>
      </c>
    </row>
    <row r="847" spans="1:8" x14ac:dyDescent="0.3">
      <c r="A847" t="s">
        <v>688</v>
      </c>
      <c r="B847" t="s">
        <v>117</v>
      </c>
      <c r="C847" t="s">
        <v>146</v>
      </c>
      <c r="D847" t="s">
        <v>689</v>
      </c>
      <c r="E847" t="s">
        <v>771</v>
      </c>
      <c r="F847">
        <v>6</v>
      </c>
      <c r="G847" s="308">
        <f>'BECA MEDIA'!V124</f>
        <v>12</v>
      </c>
      <c r="H847" s="308">
        <f>'BECA MEDIA'!W124</f>
        <v>30000</v>
      </c>
    </row>
    <row r="848" spans="1:8" x14ac:dyDescent="0.3">
      <c r="A848" t="s">
        <v>688</v>
      </c>
      <c r="B848" t="s">
        <v>117</v>
      </c>
      <c r="C848" t="s">
        <v>146</v>
      </c>
      <c r="D848" t="s">
        <v>689</v>
      </c>
      <c r="E848" t="s">
        <v>772</v>
      </c>
      <c r="F848">
        <v>7</v>
      </c>
      <c r="G848" s="308">
        <f>'BECA MEDIA'!Y124</f>
        <v>0</v>
      </c>
      <c r="H848" s="308">
        <f>'BECA MEDIA'!Z124</f>
        <v>0</v>
      </c>
    </row>
    <row r="849" spans="1:8" x14ac:dyDescent="0.3">
      <c r="A849" t="s">
        <v>688</v>
      </c>
      <c r="B849" t="s">
        <v>117</v>
      </c>
      <c r="C849" t="s">
        <v>147</v>
      </c>
      <c r="D849" t="s">
        <v>689</v>
      </c>
      <c r="E849" t="s">
        <v>766</v>
      </c>
      <c r="F849">
        <v>1</v>
      </c>
      <c r="G849" s="308">
        <f>'BECA MEDIA'!G125</f>
        <v>0</v>
      </c>
      <c r="H849" s="308">
        <f>'BECA MEDIA'!H125</f>
        <v>0</v>
      </c>
    </row>
    <row r="850" spans="1:8" x14ac:dyDescent="0.3">
      <c r="A850" t="s">
        <v>688</v>
      </c>
      <c r="B850" t="s">
        <v>117</v>
      </c>
      <c r="C850" t="s">
        <v>147</v>
      </c>
      <c r="D850" t="s">
        <v>689</v>
      </c>
      <c r="E850" t="s">
        <v>767</v>
      </c>
      <c r="F850">
        <v>2</v>
      </c>
      <c r="G850" s="308">
        <f>'BECA MEDIA'!J125</f>
        <v>0</v>
      </c>
      <c r="H850" s="308">
        <f>'BECA MEDIA'!K125</f>
        <v>0</v>
      </c>
    </row>
    <row r="851" spans="1:8" x14ac:dyDescent="0.3">
      <c r="A851" t="s">
        <v>688</v>
      </c>
      <c r="B851" t="s">
        <v>117</v>
      </c>
      <c r="C851" t="s">
        <v>147</v>
      </c>
      <c r="D851" t="s">
        <v>689</v>
      </c>
      <c r="E851" t="s">
        <v>768</v>
      </c>
      <c r="F851">
        <v>3</v>
      </c>
      <c r="G851" s="308">
        <f>'BECA MEDIA'!M125</f>
        <v>5.6</v>
      </c>
      <c r="H851" s="308">
        <f>'BECA MEDIA'!N125</f>
        <v>14000</v>
      </c>
    </row>
    <row r="852" spans="1:8" x14ac:dyDescent="0.3">
      <c r="A852" t="s">
        <v>688</v>
      </c>
      <c r="B852" t="s">
        <v>117</v>
      </c>
      <c r="C852" t="s">
        <v>147</v>
      </c>
      <c r="D852" t="s">
        <v>689</v>
      </c>
      <c r="E852" t="s">
        <v>769</v>
      </c>
      <c r="F852">
        <v>4</v>
      </c>
      <c r="G852" s="308">
        <f>'BECA MEDIA'!P125</f>
        <v>0</v>
      </c>
      <c r="H852" s="308">
        <f>'BECA MEDIA'!Q125</f>
        <v>0</v>
      </c>
    </row>
    <row r="853" spans="1:8" x14ac:dyDescent="0.3">
      <c r="A853" t="s">
        <v>688</v>
      </c>
      <c r="B853" t="s">
        <v>117</v>
      </c>
      <c r="C853" t="s">
        <v>147</v>
      </c>
      <c r="D853" t="s">
        <v>689</v>
      </c>
      <c r="E853" t="s">
        <v>770</v>
      </c>
      <c r="F853">
        <v>5</v>
      </c>
      <c r="G853" s="308">
        <f>'BECA MEDIA'!S125</f>
        <v>0</v>
      </c>
      <c r="H853" s="308">
        <f>'BECA MEDIA'!T125</f>
        <v>0</v>
      </c>
    </row>
    <row r="854" spans="1:8" x14ac:dyDescent="0.3">
      <c r="A854" t="s">
        <v>688</v>
      </c>
      <c r="B854" t="s">
        <v>117</v>
      </c>
      <c r="C854" t="s">
        <v>147</v>
      </c>
      <c r="D854" t="s">
        <v>689</v>
      </c>
      <c r="E854" t="s">
        <v>771</v>
      </c>
      <c r="F854">
        <v>6</v>
      </c>
      <c r="G854" s="308">
        <f>'BECA MEDIA'!V125</f>
        <v>5.6</v>
      </c>
      <c r="H854" s="308">
        <f>'BECA MEDIA'!W125</f>
        <v>14000</v>
      </c>
    </row>
    <row r="855" spans="1:8" x14ac:dyDescent="0.3">
      <c r="A855" t="s">
        <v>688</v>
      </c>
      <c r="B855" t="s">
        <v>117</v>
      </c>
      <c r="C855" t="s">
        <v>147</v>
      </c>
      <c r="D855" t="s">
        <v>689</v>
      </c>
      <c r="E855" t="s">
        <v>772</v>
      </c>
      <c r="F855">
        <v>7</v>
      </c>
      <c r="G855" s="308">
        <f>'BECA MEDIA'!Y125</f>
        <v>0</v>
      </c>
      <c r="H855" s="308">
        <f>'BECA MEDIA'!Z125</f>
        <v>0</v>
      </c>
    </row>
    <row r="856" spans="1:8" x14ac:dyDescent="0.3">
      <c r="A856" t="s">
        <v>688</v>
      </c>
      <c r="B856" t="s">
        <v>117</v>
      </c>
      <c r="C856" t="s">
        <v>148</v>
      </c>
      <c r="D856" t="s">
        <v>689</v>
      </c>
      <c r="E856" t="s">
        <v>766</v>
      </c>
      <c r="F856">
        <v>1</v>
      </c>
      <c r="G856" s="308">
        <f>'BECA MEDIA'!G126</f>
        <v>0</v>
      </c>
      <c r="H856" s="308">
        <f>'BECA MEDIA'!H126</f>
        <v>0</v>
      </c>
    </row>
    <row r="857" spans="1:8" x14ac:dyDescent="0.3">
      <c r="A857" t="s">
        <v>688</v>
      </c>
      <c r="B857" t="s">
        <v>117</v>
      </c>
      <c r="C857" t="s">
        <v>148</v>
      </c>
      <c r="D857" t="s">
        <v>689</v>
      </c>
      <c r="E857" t="s">
        <v>767</v>
      </c>
      <c r="F857">
        <v>2</v>
      </c>
      <c r="G857" s="308">
        <f>'BECA MEDIA'!J126</f>
        <v>0</v>
      </c>
      <c r="H857" s="308">
        <f>'BECA MEDIA'!K126</f>
        <v>0</v>
      </c>
    </row>
    <row r="858" spans="1:8" x14ac:dyDescent="0.3">
      <c r="A858" t="s">
        <v>688</v>
      </c>
      <c r="B858" t="s">
        <v>117</v>
      </c>
      <c r="C858" t="s">
        <v>148</v>
      </c>
      <c r="D858" t="s">
        <v>689</v>
      </c>
      <c r="E858" t="s">
        <v>768</v>
      </c>
      <c r="F858">
        <v>3</v>
      </c>
      <c r="G858" s="308">
        <f>'BECA MEDIA'!M126</f>
        <v>4</v>
      </c>
      <c r="H858" s="308">
        <f>'BECA MEDIA'!N126</f>
        <v>10000</v>
      </c>
    </row>
    <row r="859" spans="1:8" x14ac:dyDescent="0.3">
      <c r="A859" t="s">
        <v>688</v>
      </c>
      <c r="B859" t="s">
        <v>117</v>
      </c>
      <c r="C859" t="s">
        <v>148</v>
      </c>
      <c r="D859" t="s">
        <v>689</v>
      </c>
      <c r="E859" t="s">
        <v>769</v>
      </c>
      <c r="F859">
        <v>4</v>
      </c>
      <c r="G859" s="308">
        <f>'BECA MEDIA'!P126</f>
        <v>1.6</v>
      </c>
      <c r="H859" s="308">
        <f>'BECA MEDIA'!Q126</f>
        <v>4000</v>
      </c>
    </row>
    <row r="860" spans="1:8" x14ac:dyDescent="0.3">
      <c r="A860" t="s">
        <v>688</v>
      </c>
      <c r="B860" t="s">
        <v>117</v>
      </c>
      <c r="C860" t="s">
        <v>148</v>
      </c>
      <c r="D860" t="s">
        <v>689</v>
      </c>
      <c r="E860" t="s">
        <v>770</v>
      </c>
      <c r="F860">
        <v>5</v>
      </c>
      <c r="G860" s="308">
        <f>'BECA MEDIA'!S126</f>
        <v>0</v>
      </c>
      <c r="H860" s="308">
        <f>'BECA MEDIA'!T126</f>
        <v>0</v>
      </c>
    </row>
    <row r="861" spans="1:8" x14ac:dyDescent="0.3">
      <c r="A861" t="s">
        <v>688</v>
      </c>
      <c r="B861" t="s">
        <v>117</v>
      </c>
      <c r="C861" t="s">
        <v>148</v>
      </c>
      <c r="D861" t="s">
        <v>689</v>
      </c>
      <c r="E861" t="s">
        <v>771</v>
      </c>
      <c r="F861">
        <v>6</v>
      </c>
      <c r="G861" s="308">
        <f>'BECA MEDIA'!V126</f>
        <v>5.6</v>
      </c>
      <c r="H861" s="308">
        <f>'BECA MEDIA'!W126</f>
        <v>14000</v>
      </c>
    </row>
    <row r="862" spans="1:8" x14ac:dyDescent="0.3">
      <c r="A862" t="s">
        <v>688</v>
      </c>
      <c r="B862" t="s">
        <v>117</v>
      </c>
      <c r="C862" t="s">
        <v>148</v>
      </c>
      <c r="D862" t="s">
        <v>689</v>
      </c>
      <c r="E862" t="s">
        <v>772</v>
      </c>
      <c r="F862">
        <v>7</v>
      </c>
      <c r="G862" s="308">
        <f>'BECA MEDIA'!Y126</f>
        <v>0</v>
      </c>
      <c r="H862" s="308">
        <f>'BECA MEDIA'!Z126</f>
        <v>0</v>
      </c>
    </row>
    <row r="863" spans="1:8" x14ac:dyDescent="0.3">
      <c r="A863" t="s">
        <v>688</v>
      </c>
      <c r="B863" t="s">
        <v>149</v>
      </c>
      <c r="C863" t="s">
        <v>150</v>
      </c>
      <c r="D863" t="s">
        <v>689</v>
      </c>
      <c r="E863" t="s">
        <v>766</v>
      </c>
      <c r="F863">
        <v>1</v>
      </c>
      <c r="G863" s="308">
        <f>'BECA MEDIA'!G127</f>
        <v>0</v>
      </c>
      <c r="H863" s="308">
        <f>'BECA MEDIA'!H127</f>
        <v>0</v>
      </c>
    </row>
    <row r="864" spans="1:8" x14ac:dyDescent="0.3">
      <c r="A864" t="s">
        <v>688</v>
      </c>
      <c r="B864" t="s">
        <v>149</v>
      </c>
      <c r="C864" t="s">
        <v>150</v>
      </c>
      <c r="D864" t="s">
        <v>689</v>
      </c>
      <c r="E864" t="s">
        <v>767</v>
      </c>
      <c r="F864">
        <v>2</v>
      </c>
      <c r="G864" s="308">
        <f>'BECA MEDIA'!J127</f>
        <v>0</v>
      </c>
      <c r="H864" s="308">
        <f>'BECA MEDIA'!K127</f>
        <v>0</v>
      </c>
    </row>
    <row r="865" spans="1:8" x14ac:dyDescent="0.3">
      <c r="A865" t="s">
        <v>688</v>
      </c>
      <c r="B865" t="s">
        <v>149</v>
      </c>
      <c r="C865" t="s">
        <v>150</v>
      </c>
      <c r="D865" t="s">
        <v>689</v>
      </c>
      <c r="E865" t="s">
        <v>768</v>
      </c>
      <c r="F865">
        <v>3</v>
      </c>
      <c r="G865" s="308">
        <f>'BECA MEDIA'!M127</f>
        <v>8.8000000000000007</v>
      </c>
      <c r="H865" s="308">
        <f>'BECA MEDIA'!N127</f>
        <v>22000</v>
      </c>
    </row>
    <row r="866" spans="1:8" x14ac:dyDescent="0.3">
      <c r="A866" t="s">
        <v>688</v>
      </c>
      <c r="B866" t="s">
        <v>149</v>
      </c>
      <c r="C866" t="s">
        <v>150</v>
      </c>
      <c r="D866" t="s">
        <v>689</v>
      </c>
      <c r="E866" t="s">
        <v>769</v>
      </c>
      <c r="F866">
        <v>4</v>
      </c>
      <c r="G866" s="308">
        <f>'BECA MEDIA'!P127</f>
        <v>1.2</v>
      </c>
      <c r="H866" s="308">
        <f>'BECA MEDIA'!Q127</f>
        <v>3000</v>
      </c>
    </row>
    <row r="867" spans="1:8" x14ac:dyDescent="0.3">
      <c r="A867" t="s">
        <v>688</v>
      </c>
      <c r="B867" t="s">
        <v>149</v>
      </c>
      <c r="C867" t="s">
        <v>150</v>
      </c>
      <c r="D867" t="s">
        <v>689</v>
      </c>
      <c r="E867" t="s">
        <v>770</v>
      </c>
      <c r="F867">
        <v>5</v>
      </c>
      <c r="G867" s="308">
        <f>'BECA MEDIA'!S127</f>
        <v>0</v>
      </c>
      <c r="H867" s="308">
        <f>'BECA MEDIA'!T127</f>
        <v>0</v>
      </c>
    </row>
    <row r="868" spans="1:8" x14ac:dyDescent="0.3">
      <c r="A868" t="s">
        <v>688</v>
      </c>
      <c r="B868" t="s">
        <v>149</v>
      </c>
      <c r="C868" t="s">
        <v>150</v>
      </c>
      <c r="D868" t="s">
        <v>689</v>
      </c>
      <c r="E868" t="s">
        <v>771</v>
      </c>
      <c r="F868">
        <v>6</v>
      </c>
      <c r="G868" s="308">
        <f>'BECA MEDIA'!V127</f>
        <v>9.6</v>
      </c>
      <c r="H868" s="308">
        <f>'BECA MEDIA'!W127</f>
        <v>24000</v>
      </c>
    </row>
    <row r="869" spans="1:8" x14ac:dyDescent="0.3">
      <c r="A869" t="s">
        <v>688</v>
      </c>
      <c r="B869" t="s">
        <v>149</v>
      </c>
      <c r="C869" t="s">
        <v>150</v>
      </c>
      <c r="D869" t="s">
        <v>689</v>
      </c>
      <c r="E869" t="s">
        <v>772</v>
      </c>
      <c r="F869">
        <v>7</v>
      </c>
      <c r="G869" s="308">
        <f>'BECA MEDIA'!Y127</f>
        <v>0</v>
      </c>
      <c r="H869" s="308">
        <f>'BECA MEDIA'!Z127</f>
        <v>0</v>
      </c>
    </row>
    <row r="870" spans="1:8" x14ac:dyDescent="0.3">
      <c r="A870" t="s">
        <v>688</v>
      </c>
      <c r="B870" t="s">
        <v>149</v>
      </c>
      <c r="C870" t="s">
        <v>151</v>
      </c>
      <c r="D870" t="s">
        <v>689</v>
      </c>
      <c r="E870" t="s">
        <v>766</v>
      </c>
      <c r="F870">
        <v>1</v>
      </c>
      <c r="G870" s="308">
        <f>'BECA MEDIA'!G128</f>
        <v>0</v>
      </c>
      <c r="H870" s="308">
        <f>'BECA MEDIA'!H128</f>
        <v>0</v>
      </c>
    </row>
    <row r="871" spans="1:8" x14ac:dyDescent="0.3">
      <c r="A871" t="s">
        <v>688</v>
      </c>
      <c r="B871" t="s">
        <v>149</v>
      </c>
      <c r="C871" t="s">
        <v>151</v>
      </c>
      <c r="D871" t="s">
        <v>689</v>
      </c>
      <c r="E871" t="s">
        <v>767</v>
      </c>
      <c r="F871">
        <v>2</v>
      </c>
      <c r="G871" s="308">
        <f>'BECA MEDIA'!J128</f>
        <v>0</v>
      </c>
      <c r="H871" s="308">
        <f>'BECA MEDIA'!K128</f>
        <v>0</v>
      </c>
    </row>
    <row r="872" spans="1:8" x14ac:dyDescent="0.3">
      <c r="A872" t="s">
        <v>688</v>
      </c>
      <c r="B872" t="s">
        <v>149</v>
      </c>
      <c r="C872" t="s">
        <v>151</v>
      </c>
      <c r="D872" t="s">
        <v>689</v>
      </c>
      <c r="E872" t="s">
        <v>768</v>
      </c>
      <c r="F872">
        <v>3</v>
      </c>
      <c r="G872" s="308">
        <f>'BECA MEDIA'!M128</f>
        <v>6.8</v>
      </c>
      <c r="H872" s="308">
        <f>'BECA MEDIA'!N128</f>
        <v>17000</v>
      </c>
    </row>
    <row r="873" spans="1:8" x14ac:dyDescent="0.3">
      <c r="A873" t="s">
        <v>688</v>
      </c>
      <c r="B873" t="s">
        <v>149</v>
      </c>
      <c r="C873" t="s">
        <v>151</v>
      </c>
      <c r="D873" t="s">
        <v>689</v>
      </c>
      <c r="E873" t="s">
        <v>769</v>
      </c>
      <c r="F873">
        <v>4</v>
      </c>
      <c r="G873" s="308">
        <f>'BECA MEDIA'!P128</f>
        <v>2</v>
      </c>
      <c r="H873" s="308">
        <f>'BECA MEDIA'!Q128</f>
        <v>5000</v>
      </c>
    </row>
    <row r="874" spans="1:8" x14ac:dyDescent="0.3">
      <c r="A874" t="s">
        <v>688</v>
      </c>
      <c r="B874" t="s">
        <v>149</v>
      </c>
      <c r="C874" t="s">
        <v>151</v>
      </c>
      <c r="D874" t="s">
        <v>689</v>
      </c>
      <c r="E874" t="s">
        <v>770</v>
      </c>
      <c r="F874">
        <v>5</v>
      </c>
      <c r="G874" s="308">
        <f>'BECA MEDIA'!S128</f>
        <v>0</v>
      </c>
      <c r="H874" s="308">
        <f>'BECA MEDIA'!T128</f>
        <v>0</v>
      </c>
    </row>
    <row r="875" spans="1:8" x14ac:dyDescent="0.3">
      <c r="A875" t="s">
        <v>688</v>
      </c>
      <c r="B875" t="s">
        <v>149</v>
      </c>
      <c r="C875" t="s">
        <v>151</v>
      </c>
      <c r="D875" t="s">
        <v>689</v>
      </c>
      <c r="E875" t="s">
        <v>771</v>
      </c>
      <c r="F875">
        <v>6</v>
      </c>
      <c r="G875" s="308">
        <f>'BECA MEDIA'!V128</f>
        <v>8.8000000000000007</v>
      </c>
      <c r="H875" s="308">
        <f>'BECA MEDIA'!W128</f>
        <v>22000</v>
      </c>
    </row>
    <row r="876" spans="1:8" x14ac:dyDescent="0.3">
      <c r="A876" t="s">
        <v>688</v>
      </c>
      <c r="B876" t="s">
        <v>149</v>
      </c>
      <c r="C876" t="s">
        <v>151</v>
      </c>
      <c r="D876" t="s">
        <v>689</v>
      </c>
      <c r="E876" t="s">
        <v>772</v>
      </c>
      <c r="F876">
        <v>7</v>
      </c>
      <c r="G876" s="308">
        <f>'BECA MEDIA'!Y128</f>
        <v>0</v>
      </c>
      <c r="H876" s="308">
        <f>'BECA MEDIA'!Z128</f>
        <v>0</v>
      </c>
    </row>
    <row r="877" spans="1:8" x14ac:dyDescent="0.3">
      <c r="A877" t="s">
        <v>688</v>
      </c>
      <c r="B877" t="s">
        <v>149</v>
      </c>
      <c r="C877" t="s">
        <v>152</v>
      </c>
      <c r="D877" t="s">
        <v>689</v>
      </c>
      <c r="E877" t="s">
        <v>766</v>
      </c>
      <c r="F877">
        <v>1</v>
      </c>
      <c r="G877" s="308">
        <f>'BECA MEDIA'!G129</f>
        <v>0</v>
      </c>
      <c r="H877" s="308">
        <f>'BECA MEDIA'!H129</f>
        <v>0</v>
      </c>
    </row>
    <row r="878" spans="1:8" x14ac:dyDescent="0.3">
      <c r="A878" t="s">
        <v>688</v>
      </c>
      <c r="B878" t="s">
        <v>149</v>
      </c>
      <c r="C878" t="s">
        <v>152</v>
      </c>
      <c r="D878" t="s">
        <v>689</v>
      </c>
      <c r="E878" t="s">
        <v>767</v>
      </c>
      <c r="F878">
        <v>2</v>
      </c>
      <c r="G878" s="308">
        <f>'BECA MEDIA'!J129</f>
        <v>0</v>
      </c>
      <c r="H878" s="308">
        <f>'BECA MEDIA'!K129</f>
        <v>0</v>
      </c>
    </row>
    <row r="879" spans="1:8" x14ac:dyDescent="0.3">
      <c r="A879" t="s">
        <v>688</v>
      </c>
      <c r="B879" t="s">
        <v>149</v>
      </c>
      <c r="C879" t="s">
        <v>152</v>
      </c>
      <c r="D879" t="s">
        <v>689</v>
      </c>
      <c r="E879" t="s">
        <v>768</v>
      </c>
      <c r="F879">
        <v>3</v>
      </c>
      <c r="G879" s="308">
        <f>'BECA MEDIA'!M129</f>
        <v>9.6</v>
      </c>
      <c r="H879" s="308">
        <f>'BECA MEDIA'!N129</f>
        <v>24000</v>
      </c>
    </row>
    <row r="880" spans="1:8" x14ac:dyDescent="0.3">
      <c r="A880" t="s">
        <v>688</v>
      </c>
      <c r="B880" t="s">
        <v>149</v>
      </c>
      <c r="C880" t="s">
        <v>152</v>
      </c>
      <c r="D880" t="s">
        <v>689</v>
      </c>
      <c r="E880" t="s">
        <v>769</v>
      </c>
      <c r="F880">
        <v>4</v>
      </c>
      <c r="G880" s="308">
        <f>'BECA MEDIA'!P129</f>
        <v>1.2</v>
      </c>
      <c r="H880" s="308">
        <f>'BECA MEDIA'!Q129</f>
        <v>3000</v>
      </c>
    </row>
    <row r="881" spans="1:8" x14ac:dyDescent="0.3">
      <c r="A881" t="s">
        <v>688</v>
      </c>
      <c r="B881" t="s">
        <v>149</v>
      </c>
      <c r="C881" t="s">
        <v>152</v>
      </c>
      <c r="D881" t="s">
        <v>689</v>
      </c>
      <c r="E881" t="s">
        <v>770</v>
      </c>
      <c r="F881">
        <v>5</v>
      </c>
      <c r="G881" s="308">
        <f>'BECA MEDIA'!S129</f>
        <v>0</v>
      </c>
      <c r="H881" s="308">
        <f>'BECA MEDIA'!T129</f>
        <v>0</v>
      </c>
    </row>
    <row r="882" spans="1:8" x14ac:dyDescent="0.3">
      <c r="A882" t="s">
        <v>688</v>
      </c>
      <c r="B882" t="s">
        <v>149</v>
      </c>
      <c r="C882" t="s">
        <v>152</v>
      </c>
      <c r="D882" t="s">
        <v>689</v>
      </c>
      <c r="E882" t="s">
        <v>771</v>
      </c>
      <c r="F882">
        <v>6</v>
      </c>
      <c r="G882" s="308">
        <f>'BECA MEDIA'!V129</f>
        <v>11.6</v>
      </c>
      <c r="H882" s="308">
        <f>'BECA MEDIA'!W129</f>
        <v>29000</v>
      </c>
    </row>
    <row r="883" spans="1:8" x14ac:dyDescent="0.3">
      <c r="A883" t="s">
        <v>688</v>
      </c>
      <c r="B883" t="s">
        <v>149</v>
      </c>
      <c r="C883" t="s">
        <v>152</v>
      </c>
      <c r="D883" t="s">
        <v>689</v>
      </c>
      <c r="E883" t="s">
        <v>772</v>
      </c>
      <c r="F883">
        <v>7</v>
      </c>
      <c r="G883" s="308">
        <f>'BECA MEDIA'!Y129</f>
        <v>0</v>
      </c>
      <c r="H883" s="308">
        <f>'BECA MEDIA'!Z129</f>
        <v>0</v>
      </c>
    </row>
    <row r="884" spans="1:8" x14ac:dyDescent="0.3">
      <c r="A884" t="s">
        <v>688</v>
      </c>
      <c r="B884" t="s">
        <v>149</v>
      </c>
      <c r="C884" t="s">
        <v>153</v>
      </c>
      <c r="D884" t="s">
        <v>689</v>
      </c>
      <c r="E884" t="s">
        <v>766</v>
      </c>
      <c r="F884">
        <v>1</v>
      </c>
      <c r="G884" s="308">
        <f>'BECA MEDIA'!G130</f>
        <v>0</v>
      </c>
      <c r="H884" s="308">
        <f>'BECA MEDIA'!H130</f>
        <v>0</v>
      </c>
    </row>
    <row r="885" spans="1:8" x14ac:dyDescent="0.3">
      <c r="A885" t="s">
        <v>688</v>
      </c>
      <c r="B885" t="s">
        <v>149</v>
      </c>
      <c r="C885" t="s">
        <v>153</v>
      </c>
      <c r="D885" t="s">
        <v>689</v>
      </c>
      <c r="E885" t="s">
        <v>767</v>
      </c>
      <c r="F885">
        <v>2</v>
      </c>
      <c r="G885" s="308">
        <f>'BECA MEDIA'!J130</f>
        <v>0</v>
      </c>
      <c r="H885" s="308">
        <f>'BECA MEDIA'!K130</f>
        <v>0</v>
      </c>
    </row>
    <row r="886" spans="1:8" x14ac:dyDescent="0.3">
      <c r="A886" t="s">
        <v>688</v>
      </c>
      <c r="B886" t="s">
        <v>149</v>
      </c>
      <c r="C886" t="s">
        <v>153</v>
      </c>
      <c r="D886" t="s">
        <v>689</v>
      </c>
      <c r="E886" t="s">
        <v>768</v>
      </c>
      <c r="F886">
        <v>3</v>
      </c>
      <c r="G886" s="308">
        <f>'BECA MEDIA'!M130</f>
        <v>7.6</v>
      </c>
      <c r="H886" s="308">
        <f>'BECA MEDIA'!N130</f>
        <v>19000</v>
      </c>
    </row>
    <row r="887" spans="1:8" x14ac:dyDescent="0.3">
      <c r="A887" t="s">
        <v>688</v>
      </c>
      <c r="B887" t="s">
        <v>149</v>
      </c>
      <c r="C887" t="s">
        <v>153</v>
      </c>
      <c r="D887" t="s">
        <v>689</v>
      </c>
      <c r="E887" t="s">
        <v>769</v>
      </c>
      <c r="F887">
        <v>4</v>
      </c>
      <c r="G887" s="308">
        <f>'BECA MEDIA'!P130</f>
        <v>0</v>
      </c>
      <c r="H887" s="308">
        <f>'BECA MEDIA'!Q130</f>
        <v>0</v>
      </c>
    </row>
    <row r="888" spans="1:8" x14ac:dyDescent="0.3">
      <c r="A888" t="s">
        <v>688</v>
      </c>
      <c r="B888" t="s">
        <v>149</v>
      </c>
      <c r="C888" t="s">
        <v>153</v>
      </c>
      <c r="D888" t="s">
        <v>689</v>
      </c>
      <c r="E888" t="s">
        <v>770</v>
      </c>
      <c r="F888">
        <v>5</v>
      </c>
      <c r="G888" s="308">
        <f>'BECA MEDIA'!S130</f>
        <v>0</v>
      </c>
      <c r="H888" s="308">
        <f>'BECA MEDIA'!T130</f>
        <v>0</v>
      </c>
    </row>
    <row r="889" spans="1:8" x14ac:dyDescent="0.3">
      <c r="A889" t="s">
        <v>688</v>
      </c>
      <c r="B889" t="s">
        <v>149</v>
      </c>
      <c r="C889" t="s">
        <v>153</v>
      </c>
      <c r="D889" t="s">
        <v>689</v>
      </c>
      <c r="E889" t="s">
        <v>771</v>
      </c>
      <c r="F889">
        <v>6</v>
      </c>
      <c r="G889" s="308">
        <f>'BECA MEDIA'!V130</f>
        <v>8.4</v>
      </c>
      <c r="H889" s="308">
        <f>'BECA MEDIA'!W130</f>
        <v>21000</v>
      </c>
    </row>
    <row r="890" spans="1:8" x14ac:dyDescent="0.3">
      <c r="A890" t="s">
        <v>688</v>
      </c>
      <c r="B890" t="s">
        <v>149</v>
      </c>
      <c r="C890" t="s">
        <v>153</v>
      </c>
      <c r="D890" t="s">
        <v>689</v>
      </c>
      <c r="E890" t="s">
        <v>772</v>
      </c>
      <c r="F890">
        <v>7</v>
      </c>
      <c r="G890" s="308">
        <f>'BECA MEDIA'!Y130</f>
        <v>0</v>
      </c>
      <c r="H890" s="308">
        <f>'BECA MEDIA'!Z130</f>
        <v>0</v>
      </c>
    </row>
    <row r="891" spans="1:8" x14ac:dyDescent="0.3">
      <c r="A891" t="s">
        <v>688</v>
      </c>
      <c r="B891" t="s">
        <v>149</v>
      </c>
      <c r="C891" t="s">
        <v>154</v>
      </c>
      <c r="D891" t="s">
        <v>689</v>
      </c>
      <c r="E891" t="s">
        <v>766</v>
      </c>
      <c r="F891">
        <v>1</v>
      </c>
      <c r="G891" s="308">
        <f>'BECA MEDIA'!G131</f>
        <v>0</v>
      </c>
      <c r="H891" s="308">
        <f>'BECA MEDIA'!H131</f>
        <v>0</v>
      </c>
    </row>
    <row r="892" spans="1:8" x14ac:dyDescent="0.3">
      <c r="A892" t="s">
        <v>688</v>
      </c>
      <c r="B892" t="s">
        <v>149</v>
      </c>
      <c r="C892" t="s">
        <v>154</v>
      </c>
      <c r="D892" t="s">
        <v>689</v>
      </c>
      <c r="E892" t="s">
        <v>767</v>
      </c>
      <c r="F892">
        <v>2</v>
      </c>
      <c r="G892" s="308">
        <f>'BECA MEDIA'!J131</f>
        <v>0</v>
      </c>
      <c r="H892" s="308">
        <f>'BECA MEDIA'!K131</f>
        <v>0</v>
      </c>
    </row>
    <row r="893" spans="1:8" x14ac:dyDescent="0.3">
      <c r="A893" t="s">
        <v>688</v>
      </c>
      <c r="B893" t="s">
        <v>149</v>
      </c>
      <c r="C893" t="s">
        <v>154</v>
      </c>
      <c r="D893" t="s">
        <v>689</v>
      </c>
      <c r="E893" t="s">
        <v>768</v>
      </c>
      <c r="F893">
        <v>3</v>
      </c>
      <c r="G893" s="308">
        <f>'BECA MEDIA'!M131</f>
        <v>3.6</v>
      </c>
      <c r="H893" s="308">
        <f>'BECA MEDIA'!N131</f>
        <v>9000</v>
      </c>
    </row>
    <row r="894" spans="1:8" x14ac:dyDescent="0.3">
      <c r="A894" t="s">
        <v>688</v>
      </c>
      <c r="B894" t="s">
        <v>149</v>
      </c>
      <c r="C894" t="s">
        <v>154</v>
      </c>
      <c r="D894" t="s">
        <v>689</v>
      </c>
      <c r="E894" t="s">
        <v>769</v>
      </c>
      <c r="F894">
        <v>4</v>
      </c>
      <c r="G894" s="308">
        <f>'BECA MEDIA'!P131</f>
        <v>1.6</v>
      </c>
      <c r="H894" s="308">
        <f>'BECA MEDIA'!Q131</f>
        <v>4000</v>
      </c>
    </row>
    <row r="895" spans="1:8" x14ac:dyDescent="0.3">
      <c r="A895" t="s">
        <v>688</v>
      </c>
      <c r="B895" t="s">
        <v>149</v>
      </c>
      <c r="C895" t="s">
        <v>154</v>
      </c>
      <c r="D895" t="s">
        <v>689</v>
      </c>
      <c r="E895" t="s">
        <v>770</v>
      </c>
      <c r="F895">
        <v>5</v>
      </c>
      <c r="G895" s="308">
        <f>'BECA MEDIA'!S131</f>
        <v>0</v>
      </c>
      <c r="H895" s="308">
        <f>'BECA MEDIA'!T131</f>
        <v>0</v>
      </c>
    </row>
    <row r="896" spans="1:8" x14ac:dyDescent="0.3">
      <c r="A896" t="s">
        <v>688</v>
      </c>
      <c r="B896" t="s">
        <v>149</v>
      </c>
      <c r="C896" t="s">
        <v>154</v>
      </c>
      <c r="D896" t="s">
        <v>689</v>
      </c>
      <c r="E896" t="s">
        <v>771</v>
      </c>
      <c r="F896">
        <v>6</v>
      </c>
      <c r="G896" s="308">
        <f>'BECA MEDIA'!V131</f>
        <v>4.8</v>
      </c>
      <c r="H896" s="308">
        <f>'BECA MEDIA'!W131</f>
        <v>12000</v>
      </c>
    </row>
    <row r="897" spans="1:8" x14ac:dyDescent="0.3">
      <c r="A897" t="s">
        <v>688</v>
      </c>
      <c r="B897" t="s">
        <v>149</v>
      </c>
      <c r="C897" t="s">
        <v>154</v>
      </c>
      <c r="D897" t="s">
        <v>689</v>
      </c>
      <c r="E897" t="s">
        <v>772</v>
      </c>
      <c r="F897">
        <v>7</v>
      </c>
      <c r="G897" s="308">
        <f>'BECA MEDIA'!Y131</f>
        <v>0</v>
      </c>
      <c r="H897" s="308">
        <f>'BECA MEDIA'!Z131</f>
        <v>0</v>
      </c>
    </row>
    <row r="898" spans="1:8" x14ac:dyDescent="0.3">
      <c r="A898" t="s">
        <v>688</v>
      </c>
      <c r="B898" t="s">
        <v>155</v>
      </c>
      <c r="C898" t="s">
        <v>155</v>
      </c>
      <c r="D898" t="s">
        <v>689</v>
      </c>
      <c r="E898" t="s">
        <v>766</v>
      </c>
      <c r="F898">
        <v>1</v>
      </c>
      <c r="G898" s="308">
        <f>'BECA MEDIA'!G132</f>
        <v>0</v>
      </c>
      <c r="H898" s="308">
        <f>'BECA MEDIA'!H132</f>
        <v>0</v>
      </c>
    </row>
    <row r="899" spans="1:8" x14ac:dyDescent="0.3">
      <c r="A899" t="s">
        <v>688</v>
      </c>
      <c r="B899" t="s">
        <v>155</v>
      </c>
      <c r="C899" t="s">
        <v>155</v>
      </c>
      <c r="D899" t="s">
        <v>689</v>
      </c>
      <c r="E899" t="s">
        <v>767</v>
      </c>
      <c r="F899">
        <v>2</v>
      </c>
      <c r="G899" s="308">
        <f>'BECA MEDIA'!J132</f>
        <v>0</v>
      </c>
      <c r="H899" s="308">
        <f>'BECA MEDIA'!K132</f>
        <v>0</v>
      </c>
    </row>
    <row r="900" spans="1:8" x14ac:dyDescent="0.3">
      <c r="A900" t="s">
        <v>688</v>
      </c>
      <c r="B900" t="s">
        <v>155</v>
      </c>
      <c r="C900" t="s">
        <v>155</v>
      </c>
      <c r="D900" t="s">
        <v>689</v>
      </c>
      <c r="E900" t="s">
        <v>768</v>
      </c>
      <c r="F900">
        <v>3</v>
      </c>
      <c r="G900" s="308">
        <f>'BECA MEDIA'!M132</f>
        <v>4</v>
      </c>
      <c r="H900" s="308">
        <f>'BECA MEDIA'!N132</f>
        <v>10000</v>
      </c>
    </row>
    <row r="901" spans="1:8" x14ac:dyDescent="0.3">
      <c r="A901" t="s">
        <v>688</v>
      </c>
      <c r="B901" t="s">
        <v>155</v>
      </c>
      <c r="C901" t="s">
        <v>155</v>
      </c>
      <c r="D901" t="s">
        <v>689</v>
      </c>
      <c r="E901" t="s">
        <v>769</v>
      </c>
      <c r="F901">
        <v>4</v>
      </c>
      <c r="G901" s="308">
        <f>'BECA MEDIA'!P132</f>
        <v>4.4000000000000004</v>
      </c>
      <c r="H901" s="308">
        <f>'BECA MEDIA'!Q132</f>
        <v>11000</v>
      </c>
    </row>
    <row r="902" spans="1:8" x14ac:dyDescent="0.3">
      <c r="A902" t="s">
        <v>688</v>
      </c>
      <c r="B902" t="s">
        <v>155</v>
      </c>
      <c r="C902" t="s">
        <v>155</v>
      </c>
      <c r="D902" t="s">
        <v>689</v>
      </c>
      <c r="E902" t="s">
        <v>770</v>
      </c>
      <c r="F902">
        <v>5</v>
      </c>
      <c r="G902" s="308">
        <f>'BECA MEDIA'!S132</f>
        <v>0</v>
      </c>
      <c r="H902" s="308">
        <f>'BECA MEDIA'!T132</f>
        <v>0</v>
      </c>
    </row>
    <row r="903" spans="1:8" x14ac:dyDescent="0.3">
      <c r="A903" t="s">
        <v>688</v>
      </c>
      <c r="B903" t="s">
        <v>155</v>
      </c>
      <c r="C903" t="s">
        <v>155</v>
      </c>
      <c r="D903" t="s">
        <v>689</v>
      </c>
      <c r="E903" t="s">
        <v>771</v>
      </c>
      <c r="F903">
        <v>6</v>
      </c>
      <c r="G903" s="308">
        <f>'BECA MEDIA'!V132</f>
        <v>8.8000000000000007</v>
      </c>
      <c r="H903" s="308">
        <f>'BECA MEDIA'!W132</f>
        <v>22000</v>
      </c>
    </row>
    <row r="904" spans="1:8" x14ac:dyDescent="0.3">
      <c r="A904" t="s">
        <v>688</v>
      </c>
      <c r="B904" t="s">
        <v>155</v>
      </c>
      <c r="C904" t="s">
        <v>155</v>
      </c>
      <c r="D904" t="s">
        <v>689</v>
      </c>
      <c r="E904" t="s">
        <v>772</v>
      </c>
      <c r="F904">
        <v>7</v>
      </c>
      <c r="G904" s="308">
        <f>'BECA MEDIA'!Y132</f>
        <v>0</v>
      </c>
      <c r="H904" s="308">
        <f>'BECA MEDIA'!Z132</f>
        <v>0</v>
      </c>
    </row>
    <row r="905" spans="1:8" x14ac:dyDescent="0.3">
      <c r="A905" t="s">
        <v>688</v>
      </c>
      <c r="B905" t="s">
        <v>155</v>
      </c>
      <c r="C905" t="s">
        <v>156</v>
      </c>
      <c r="D905" t="s">
        <v>689</v>
      </c>
      <c r="E905" t="s">
        <v>766</v>
      </c>
      <c r="F905">
        <v>1</v>
      </c>
      <c r="G905" s="308">
        <f>'BECA MEDIA'!G133</f>
        <v>0</v>
      </c>
      <c r="H905" s="308">
        <f>'BECA MEDIA'!H133</f>
        <v>0</v>
      </c>
    </row>
    <row r="906" spans="1:8" x14ac:dyDescent="0.3">
      <c r="A906" t="s">
        <v>688</v>
      </c>
      <c r="B906" t="s">
        <v>155</v>
      </c>
      <c r="C906" t="s">
        <v>156</v>
      </c>
      <c r="D906" t="s">
        <v>689</v>
      </c>
      <c r="E906" t="s">
        <v>767</v>
      </c>
      <c r="F906">
        <v>2</v>
      </c>
      <c r="G906" s="308">
        <f>'BECA MEDIA'!J133</f>
        <v>0</v>
      </c>
      <c r="H906" s="308">
        <f>'BECA MEDIA'!K133</f>
        <v>0</v>
      </c>
    </row>
    <row r="907" spans="1:8" x14ac:dyDescent="0.3">
      <c r="A907" t="s">
        <v>688</v>
      </c>
      <c r="B907" t="s">
        <v>155</v>
      </c>
      <c r="C907" t="s">
        <v>156</v>
      </c>
      <c r="D907" t="s">
        <v>689</v>
      </c>
      <c r="E907" t="s">
        <v>768</v>
      </c>
      <c r="F907">
        <v>3</v>
      </c>
      <c r="G907" s="308">
        <f>'BECA MEDIA'!M133</f>
        <v>7.2</v>
      </c>
      <c r="H907" s="308">
        <f>'BECA MEDIA'!N133</f>
        <v>18000</v>
      </c>
    </row>
    <row r="908" spans="1:8" x14ac:dyDescent="0.3">
      <c r="A908" t="s">
        <v>688</v>
      </c>
      <c r="B908" t="s">
        <v>155</v>
      </c>
      <c r="C908" t="s">
        <v>156</v>
      </c>
      <c r="D908" t="s">
        <v>689</v>
      </c>
      <c r="E908" t="s">
        <v>769</v>
      </c>
      <c r="F908">
        <v>4</v>
      </c>
      <c r="G908" s="308">
        <f>'BECA MEDIA'!P133</f>
        <v>1.6</v>
      </c>
      <c r="H908" s="308">
        <f>'BECA MEDIA'!Q133</f>
        <v>4000</v>
      </c>
    </row>
    <row r="909" spans="1:8" x14ac:dyDescent="0.3">
      <c r="A909" t="s">
        <v>688</v>
      </c>
      <c r="B909" t="s">
        <v>155</v>
      </c>
      <c r="C909" t="s">
        <v>156</v>
      </c>
      <c r="D909" t="s">
        <v>689</v>
      </c>
      <c r="E909" t="s">
        <v>770</v>
      </c>
      <c r="F909">
        <v>5</v>
      </c>
      <c r="G909" s="308">
        <f>'BECA MEDIA'!S133</f>
        <v>0</v>
      </c>
      <c r="H909" s="308">
        <f>'BECA MEDIA'!T133</f>
        <v>0</v>
      </c>
    </row>
    <row r="910" spans="1:8" x14ac:dyDescent="0.3">
      <c r="A910" t="s">
        <v>688</v>
      </c>
      <c r="B910" t="s">
        <v>155</v>
      </c>
      <c r="C910" t="s">
        <v>156</v>
      </c>
      <c r="D910" t="s">
        <v>689</v>
      </c>
      <c r="E910" t="s">
        <v>771</v>
      </c>
      <c r="F910">
        <v>6</v>
      </c>
      <c r="G910" s="308">
        <f>'BECA MEDIA'!V133</f>
        <v>8.8000000000000007</v>
      </c>
      <c r="H910" s="308">
        <f>'BECA MEDIA'!W133</f>
        <v>22000</v>
      </c>
    </row>
    <row r="911" spans="1:8" x14ac:dyDescent="0.3">
      <c r="A911" t="s">
        <v>688</v>
      </c>
      <c r="B911" t="s">
        <v>155</v>
      </c>
      <c r="C911" t="s">
        <v>156</v>
      </c>
      <c r="D911" t="s">
        <v>689</v>
      </c>
      <c r="E911" t="s">
        <v>772</v>
      </c>
      <c r="F911">
        <v>7</v>
      </c>
      <c r="G911" s="308">
        <f>'BECA MEDIA'!Y133</f>
        <v>0</v>
      </c>
      <c r="H911" s="308">
        <f>'BECA MEDIA'!Z133</f>
        <v>0</v>
      </c>
    </row>
    <row r="912" spans="1:8" x14ac:dyDescent="0.3">
      <c r="A912" t="s">
        <v>688</v>
      </c>
      <c r="B912" t="s">
        <v>155</v>
      </c>
      <c r="C912" t="s">
        <v>157</v>
      </c>
      <c r="D912" t="s">
        <v>689</v>
      </c>
      <c r="E912" t="s">
        <v>766</v>
      </c>
      <c r="F912">
        <v>1</v>
      </c>
      <c r="G912" s="308">
        <f>'BECA MEDIA'!G134</f>
        <v>0</v>
      </c>
      <c r="H912" s="308">
        <f>'BECA MEDIA'!H134</f>
        <v>0</v>
      </c>
    </row>
    <row r="913" spans="1:8" x14ac:dyDescent="0.3">
      <c r="A913" t="s">
        <v>688</v>
      </c>
      <c r="B913" t="s">
        <v>155</v>
      </c>
      <c r="C913" t="s">
        <v>157</v>
      </c>
      <c r="D913" t="s">
        <v>689</v>
      </c>
      <c r="E913" t="s">
        <v>767</v>
      </c>
      <c r="F913">
        <v>2</v>
      </c>
      <c r="G913" s="308">
        <f>'BECA MEDIA'!J134</f>
        <v>0</v>
      </c>
      <c r="H913" s="308">
        <f>'BECA MEDIA'!K134</f>
        <v>0</v>
      </c>
    </row>
    <row r="914" spans="1:8" x14ac:dyDescent="0.3">
      <c r="A914" t="s">
        <v>688</v>
      </c>
      <c r="B914" t="s">
        <v>155</v>
      </c>
      <c r="C914" t="s">
        <v>157</v>
      </c>
      <c r="D914" t="s">
        <v>689</v>
      </c>
      <c r="E914" t="s">
        <v>768</v>
      </c>
      <c r="F914">
        <v>3</v>
      </c>
      <c r="G914" s="308">
        <f>'BECA MEDIA'!M134</f>
        <v>3.2</v>
      </c>
      <c r="H914" s="308">
        <f>'BECA MEDIA'!N134</f>
        <v>8000</v>
      </c>
    </row>
    <row r="915" spans="1:8" x14ac:dyDescent="0.3">
      <c r="A915" t="s">
        <v>688</v>
      </c>
      <c r="B915" t="s">
        <v>155</v>
      </c>
      <c r="C915" t="s">
        <v>157</v>
      </c>
      <c r="D915" t="s">
        <v>689</v>
      </c>
      <c r="E915" t="s">
        <v>769</v>
      </c>
      <c r="F915">
        <v>4</v>
      </c>
      <c r="G915" s="308">
        <f>'BECA MEDIA'!P134</f>
        <v>2.4</v>
      </c>
      <c r="H915" s="308">
        <f>'BECA MEDIA'!Q134</f>
        <v>6000</v>
      </c>
    </row>
    <row r="916" spans="1:8" x14ac:dyDescent="0.3">
      <c r="A916" t="s">
        <v>688</v>
      </c>
      <c r="B916" t="s">
        <v>155</v>
      </c>
      <c r="C916" t="s">
        <v>157</v>
      </c>
      <c r="D916" t="s">
        <v>689</v>
      </c>
      <c r="E916" t="s">
        <v>770</v>
      </c>
      <c r="F916">
        <v>5</v>
      </c>
      <c r="G916" s="308">
        <f>'BECA MEDIA'!S134</f>
        <v>0</v>
      </c>
      <c r="H916" s="308">
        <f>'BECA MEDIA'!T134</f>
        <v>0</v>
      </c>
    </row>
    <row r="917" spans="1:8" x14ac:dyDescent="0.3">
      <c r="A917" t="s">
        <v>688</v>
      </c>
      <c r="B917" t="s">
        <v>155</v>
      </c>
      <c r="C917" t="s">
        <v>157</v>
      </c>
      <c r="D917" t="s">
        <v>689</v>
      </c>
      <c r="E917" t="s">
        <v>771</v>
      </c>
      <c r="F917">
        <v>6</v>
      </c>
      <c r="G917" s="308">
        <f>'BECA MEDIA'!V134</f>
        <v>6</v>
      </c>
      <c r="H917" s="308">
        <f>'BECA MEDIA'!W134</f>
        <v>15000</v>
      </c>
    </row>
    <row r="918" spans="1:8" x14ac:dyDescent="0.3">
      <c r="A918" t="s">
        <v>688</v>
      </c>
      <c r="B918" t="s">
        <v>155</v>
      </c>
      <c r="C918" t="s">
        <v>157</v>
      </c>
      <c r="D918" t="s">
        <v>689</v>
      </c>
      <c r="E918" t="s">
        <v>772</v>
      </c>
      <c r="F918">
        <v>7</v>
      </c>
      <c r="G918" s="308">
        <f>'BECA MEDIA'!Y134</f>
        <v>0</v>
      </c>
      <c r="H918" s="308">
        <f>'BECA MEDIA'!Z134</f>
        <v>0</v>
      </c>
    </row>
    <row r="919" spans="1:8" x14ac:dyDescent="0.3">
      <c r="A919" t="s">
        <v>688</v>
      </c>
      <c r="B919" t="s">
        <v>155</v>
      </c>
      <c r="C919" t="s">
        <v>158</v>
      </c>
      <c r="D919" t="s">
        <v>689</v>
      </c>
      <c r="E919" t="s">
        <v>766</v>
      </c>
      <c r="F919">
        <v>1</v>
      </c>
      <c r="G919" s="308">
        <f>'BECA MEDIA'!G135</f>
        <v>0</v>
      </c>
      <c r="H919" s="308">
        <f>'BECA MEDIA'!H135</f>
        <v>0</v>
      </c>
    </row>
    <row r="920" spans="1:8" x14ac:dyDescent="0.3">
      <c r="A920" t="s">
        <v>688</v>
      </c>
      <c r="B920" t="s">
        <v>155</v>
      </c>
      <c r="C920" t="s">
        <v>158</v>
      </c>
      <c r="D920" t="s">
        <v>689</v>
      </c>
      <c r="E920" t="s">
        <v>767</v>
      </c>
      <c r="F920">
        <v>2</v>
      </c>
      <c r="G920" s="308">
        <f>'BECA MEDIA'!J135</f>
        <v>0</v>
      </c>
      <c r="H920" s="308">
        <f>'BECA MEDIA'!K135</f>
        <v>0</v>
      </c>
    </row>
    <row r="921" spans="1:8" x14ac:dyDescent="0.3">
      <c r="A921" t="s">
        <v>688</v>
      </c>
      <c r="B921" t="s">
        <v>155</v>
      </c>
      <c r="C921" t="s">
        <v>158</v>
      </c>
      <c r="D921" t="s">
        <v>689</v>
      </c>
      <c r="E921" t="s">
        <v>768</v>
      </c>
      <c r="F921">
        <v>3</v>
      </c>
      <c r="G921" s="308">
        <f>'BECA MEDIA'!M135</f>
        <v>8.8000000000000007</v>
      </c>
      <c r="H921" s="308">
        <f>'BECA MEDIA'!N135</f>
        <v>22000</v>
      </c>
    </row>
    <row r="922" spans="1:8" x14ac:dyDescent="0.3">
      <c r="A922" t="s">
        <v>688</v>
      </c>
      <c r="B922" t="s">
        <v>155</v>
      </c>
      <c r="C922" t="s">
        <v>158</v>
      </c>
      <c r="D922" t="s">
        <v>689</v>
      </c>
      <c r="E922" t="s">
        <v>769</v>
      </c>
      <c r="F922">
        <v>4</v>
      </c>
      <c r="G922" s="308">
        <f>'BECA MEDIA'!P135</f>
        <v>2.8</v>
      </c>
      <c r="H922" s="308">
        <f>'BECA MEDIA'!Q135</f>
        <v>7000</v>
      </c>
    </row>
    <row r="923" spans="1:8" x14ac:dyDescent="0.3">
      <c r="A923" t="s">
        <v>688</v>
      </c>
      <c r="B923" t="s">
        <v>155</v>
      </c>
      <c r="C923" t="s">
        <v>158</v>
      </c>
      <c r="D923" t="s">
        <v>689</v>
      </c>
      <c r="E923" t="s">
        <v>770</v>
      </c>
      <c r="F923">
        <v>5</v>
      </c>
      <c r="G923" s="308">
        <f>'BECA MEDIA'!S135</f>
        <v>0</v>
      </c>
      <c r="H923" s="308">
        <f>'BECA MEDIA'!T135</f>
        <v>0</v>
      </c>
    </row>
    <row r="924" spans="1:8" x14ac:dyDescent="0.3">
      <c r="A924" t="s">
        <v>688</v>
      </c>
      <c r="B924" t="s">
        <v>155</v>
      </c>
      <c r="C924" t="s">
        <v>158</v>
      </c>
      <c r="D924" t="s">
        <v>689</v>
      </c>
      <c r="E924" t="s">
        <v>771</v>
      </c>
      <c r="F924">
        <v>6</v>
      </c>
      <c r="G924" s="308">
        <f>'BECA MEDIA'!V135</f>
        <v>11.2</v>
      </c>
      <c r="H924" s="308">
        <f>'BECA MEDIA'!W135</f>
        <v>28000</v>
      </c>
    </row>
    <row r="925" spans="1:8" x14ac:dyDescent="0.3">
      <c r="A925" t="s">
        <v>688</v>
      </c>
      <c r="B925" t="s">
        <v>155</v>
      </c>
      <c r="C925" t="s">
        <v>158</v>
      </c>
      <c r="D925" t="s">
        <v>689</v>
      </c>
      <c r="E925" t="s">
        <v>772</v>
      </c>
      <c r="F925">
        <v>7</v>
      </c>
      <c r="G925" s="308">
        <f>'BECA MEDIA'!Y135</f>
        <v>0</v>
      </c>
      <c r="H925" s="308">
        <f>'BECA MEDIA'!Z135</f>
        <v>0</v>
      </c>
    </row>
    <row r="926" spans="1:8" x14ac:dyDescent="0.3">
      <c r="A926" t="s">
        <v>688</v>
      </c>
      <c r="B926" t="s">
        <v>155</v>
      </c>
      <c r="C926" t="s">
        <v>159</v>
      </c>
      <c r="D926" t="s">
        <v>689</v>
      </c>
      <c r="E926" t="s">
        <v>766</v>
      </c>
      <c r="F926">
        <v>1</v>
      </c>
      <c r="G926" s="308">
        <f>'BECA MEDIA'!G136</f>
        <v>0</v>
      </c>
      <c r="H926" s="308">
        <f>'BECA MEDIA'!H136</f>
        <v>0</v>
      </c>
    </row>
    <row r="927" spans="1:8" x14ac:dyDescent="0.3">
      <c r="A927" t="s">
        <v>688</v>
      </c>
      <c r="B927" t="s">
        <v>155</v>
      </c>
      <c r="C927" t="s">
        <v>159</v>
      </c>
      <c r="D927" t="s">
        <v>689</v>
      </c>
      <c r="E927" t="s">
        <v>767</v>
      </c>
      <c r="F927">
        <v>2</v>
      </c>
      <c r="G927" s="308">
        <f>'BECA MEDIA'!J136</f>
        <v>0</v>
      </c>
      <c r="H927" s="308">
        <f>'BECA MEDIA'!K136</f>
        <v>0</v>
      </c>
    </row>
    <row r="928" spans="1:8" x14ac:dyDescent="0.3">
      <c r="A928" t="s">
        <v>688</v>
      </c>
      <c r="B928" t="s">
        <v>155</v>
      </c>
      <c r="C928" t="s">
        <v>159</v>
      </c>
      <c r="D928" t="s">
        <v>689</v>
      </c>
      <c r="E928" t="s">
        <v>768</v>
      </c>
      <c r="F928">
        <v>3</v>
      </c>
      <c r="G928" s="308">
        <f>'BECA MEDIA'!M136</f>
        <v>5.6</v>
      </c>
      <c r="H928" s="308">
        <f>'BECA MEDIA'!N136</f>
        <v>14000</v>
      </c>
    </row>
    <row r="929" spans="1:8" x14ac:dyDescent="0.3">
      <c r="A929" t="s">
        <v>688</v>
      </c>
      <c r="B929" t="s">
        <v>155</v>
      </c>
      <c r="C929" t="s">
        <v>159</v>
      </c>
      <c r="D929" t="s">
        <v>689</v>
      </c>
      <c r="E929" t="s">
        <v>769</v>
      </c>
      <c r="F929">
        <v>4</v>
      </c>
      <c r="G929" s="308">
        <f>'BECA MEDIA'!P136</f>
        <v>2.4</v>
      </c>
      <c r="H929" s="308">
        <f>'BECA MEDIA'!Q136</f>
        <v>6000</v>
      </c>
    </row>
    <row r="930" spans="1:8" x14ac:dyDescent="0.3">
      <c r="A930" t="s">
        <v>688</v>
      </c>
      <c r="B930" t="s">
        <v>155</v>
      </c>
      <c r="C930" t="s">
        <v>159</v>
      </c>
      <c r="D930" t="s">
        <v>689</v>
      </c>
      <c r="E930" t="s">
        <v>770</v>
      </c>
      <c r="F930">
        <v>5</v>
      </c>
      <c r="G930" s="308">
        <f>'BECA MEDIA'!S136</f>
        <v>0</v>
      </c>
      <c r="H930" s="308">
        <f>'BECA MEDIA'!T136</f>
        <v>0</v>
      </c>
    </row>
    <row r="931" spans="1:8" x14ac:dyDescent="0.3">
      <c r="A931" t="s">
        <v>688</v>
      </c>
      <c r="B931" t="s">
        <v>155</v>
      </c>
      <c r="C931" t="s">
        <v>159</v>
      </c>
      <c r="D931" t="s">
        <v>689</v>
      </c>
      <c r="E931" t="s">
        <v>771</v>
      </c>
      <c r="F931">
        <v>6</v>
      </c>
      <c r="G931" s="308">
        <f>'BECA MEDIA'!V136</f>
        <v>8</v>
      </c>
      <c r="H931" s="308">
        <f>'BECA MEDIA'!W136</f>
        <v>20000</v>
      </c>
    </row>
    <row r="932" spans="1:8" x14ac:dyDescent="0.3">
      <c r="A932" t="s">
        <v>688</v>
      </c>
      <c r="B932" t="s">
        <v>155</v>
      </c>
      <c r="C932" t="s">
        <v>159</v>
      </c>
      <c r="D932" t="s">
        <v>689</v>
      </c>
      <c r="E932" t="s">
        <v>772</v>
      </c>
      <c r="F932">
        <v>7</v>
      </c>
      <c r="G932" s="308">
        <f>'BECA MEDIA'!Y136</f>
        <v>0</v>
      </c>
      <c r="H932" s="308">
        <f>'BECA MEDIA'!Z136</f>
        <v>0</v>
      </c>
    </row>
    <row r="933" spans="1:8" x14ac:dyDescent="0.3">
      <c r="A933" t="s">
        <v>688</v>
      </c>
      <c r="B933" t="s">
        <v>155</v>
      </c>
      <c r="C933" t="s">
        <v>160</v>
      </c>
      <c r="D933" t="s">
        <v>689</v>
      </c>
      <c r="E933" t="s">
        <v>766</v>
      </c>
      <c r="F933">
        <v>1</v>
      </c>
      <c r="G933" s="308">
        <f>'BECA MEDIA'!G137</f>
        <v>0</v>
      </c>
      <c r="H933" s="308">
        <f>'BECA MEDIA'!H137</f>
        <v>0</v>
      </c>
    </row>
    <row r="934" spans="1:8" x14ac:dyDescent="0.3">
      <c r="A934" t="s">
        <v>688</v>
      </c>
      <c r="B934" t="s">
        <v>155</v>
      </c>
      <c r="C934" t="s">
        <v>160</v>
      </c>
      <c r="D934" t="s">
        <v>689</v>
      </c>
      <c r="E934" t="s">
        <v>767</v>
      </c>
      <c r="F934">
        <v>2</v>
      </c>
      <c r="G934" s="308">
        <f>'BECA MEDIA'!J137</f>
        <v>0</v>
      </c>
      <c r="H934" s="308">
        <f>'BECA MEDIA'!K137</f>
        <v>0</v>
      </c>
    </row>
    <row r="935" spans="1:8" x14ac:dyDescent="0.3">
      <c r="A935" t="s">
        <v>688</v>
      </c>
      <c r="B935" t="s">
        <v>155</v>
      </c>
      <c r="C935" t="s">
        <v>160</v>
      </c>
      <c r="D935" t="s">
        <v>689</v>
      </c>
      <c r="E935" t="s">
        <v>768</v>
      </c>
      <c r="F935">
        <v>3</v>
      </c>
      <c r="G935" s="308">
        <f>'BECA MEDIA'!M137</f>
        <v>4.8</v>
      </c>
      <c r="H935" s="308">
        <f>'BECA MEDIA'!N137</f>
        <v>12000</v>
      </c>
    </row>
    <row r="936" spans="1:8" x14ac:dyDescent="0.3">
      <c r="A936" t="s">
        <v>688</v>
      </c>
      <c r="B936" t="s">
        <v>155</v>
      </c>
      <c r="C936" t="s">
        <v>160</v>
      </c>
      <c r="D936" t="s">
        <v>689</v>
      </c>
      <c r="E936" t="s">
        <v>769</v>
      </c>
      <c r="F936">
        <v>4</v>
      </c>
      <c r="G936" s="308">
        <f>'BECA MEDIA'!P137</f>
        <v>2</v>
      </c>
      <c r="H936" s="308">
        <f>'BECA MEDIA'!Q137</f>
        <v>5000</v>
      </c>
    </row>
    <row r="937" spans="1:8" x14ac:dyDescent="0.3">
      <c r="A937" t="s">
        <v>688</v>
      </c>
      <c r="B937" t="s">
        <v>155</v>
      </c>
      <c r="C937" t="s">
        <v>160</v>
      </c>
      <c r="D937" t="s">
        <v>689</v>
      </c>
      <c r="E937" t="s">
        <v>770</v>
      </c>
      <c r="F937">
        <v>5</v>
      </c>
      <c r="G937" s="308">
        <f>'BECA MEDIA'!S137</f>
        <v>0</v>
      </c>
      <c r="H937" s="308">
        <f>'BECA MEDIA'!T137</f>
        <v>0</v>
      </c>
    </row>
    <row r="938" spans="1:8" x14ac:dyDescent="0.3">
      <c r="A938" t="s">
        <v>688</v>
      </c>
      <c r="B938" t="s">
        <v>155</v>
      </c>
      <c r="C938" t="s">
        <v>160</v>
      </c>
      <c r="D938" t="s">
        <v>689</v>
      </c>
      <c r="E938" t="s">
        <v>771</v>
      </c>
      <c r="F938">
        <v>6</v>
      </c>
      <c r="G938" s="308">
        <f>'BECA MEDIA'!V137</f>
        <v>6.4</v>
      </c>
      <c r="H938" s="308">
        <f>'BECA MEDIA'!W137</f>
        <v>16000</v>
      </c>
    </row>
    <row r="939" spans="1:8" x14ac:dyDescent="0.3">
      <c r="A939" t="s">
        <v>688</v>
      </c>
      <c r="B939" t="s">
        <v>155</v>
      </c>
      <c r="C939" t="s">
        <v>160</v>
      </c>
      <c r="D939" t="s">
        <v>689</v>
      </c>
      <c r="E939" t="s">
        <v>772</v>
      </c>
      <c r="F939">
        <v>7</v>
      </c>
      <c r="G939" s="308">
        <f>'BECA MEDIA'!Y137</f>
        <v>0</v>
      </c>
      <c r="H939" s="308">
        <f>'BECA MEDIA'!Z137</f>
        <v>0</v>
      </c>
    </row>
    <row r="940" spans="1:8" x14ac:dyDescent="0.3">
      <c r="A940" t="s">
        <v>688</v>
      </c>
      <c r="B940" t="s">
        <v>155</v>
      </c>
      <c r="C940" t="s">
        <v>161</v>
      </c>
      <c r="D940" t="s">
        <v>689</v>
      </c>
      <c r="E940" t="s">
        <v>766</v>
      </c>
      <c r="F940">
        <v>1</v>
      </c>
      <c r="G940" s="308">
        <f>'BECA MEDIA'!G138</f>
        <v>0</v>
      </c>
      <c r="H940" s="308">
        <f>'BECA MEDIA'!H138</f>
        <v>0</v>
      </c>
    </row>
    <row r="941" spans="1:8" x14ac:dyDescent="0.3">
      <c r="A941" t="s">
        <v>688</v>
      </c>
      <c r="B941" t="s">
        <v>155</v>
      </c>
      <c r="C941" t="s">
        <v>161</v>
      </c>
      <c r="D941" t="s">
        <v>689</v>
      </c>
      <c r="E941" t="s">
        <v>767</v>
      </c>
      <c r="F941">
        <v>2</v>
      </c>
      <c r="G941" s="308">
        <f>'BECA MEDIA'!J138</f>
        <v>0</v>
      </c>
      <c r="H941" s="308">
        <f>'BECA MEDIA'!K138</f>
        <v>0</v>
      </c>
    </row>
    <row r="942" spans="1:8" x14ac:dyDescent="0.3">
      <c r="A942" t="s">
        <v>688</v>
      </c>
      <c r="B942" t="s">
        <v>155</v>
      </c>
      <c r="C942" t="s">
        <v>161</v>
      </c>
      <c r="D942" t="s">
        <v>689</v>
      </c>
      <c r="E942" t="s">
        <v>768</v>
      </c>
      <c r="F942">
        <v>3</v>
      </c>
      <c r="G942" s="308">
        <f>'BECA MEDIA'!M138</f>
        <v>3.2</v>
      </c>
      <c r="H942" s="308">
        <f>'BECA MEDIA'!N138</f>
        <v>8000</v>
      </c>
    </row>
    <row r="943" spans="1:8" x14ac:dyDescent="0.3">
      <c r="A943" t="s">
        <v>688</v>
      </c>
      <c r="B943" t="s">
        <v>155</v>
      </c>
      <c r="C943" t="s">
        <v>161</v>
      </c>
      <c r="D943" t="s">
        <v>689</v>
      </c>
      <c r="E943" t="s">
        <v>769</v>
      </c>
      <c r="F943">
        <v>4</v>
      </c>
      <c r="G943" s="308">
        <f>'BECA MEDIA'!P138</f>
        <v>4.4000000000000004</v>
      </c>
      <c r="H943" s="308">
        <f>'BECA MEDIA'!Q138</f>
        <v>11000</v>
      </c>
    </row>
    <row r="944" spans="1:8" x14ac:dyDescent="0.3">
      <c r="A944" t="s">
        <v>688</v>
      </c>
      <c r="B944" t="s">
        <v>155</v>
      </c>
      <c r="C944" t="s">
        <v>161</v>
      </c>
      <c r="D944" t="s">
        <v>689</v>
      </c>
      <c r="E944" t="s">
        <v>770</v>
      </c>
      <c r="F944">
        <v>5</v>
      </c>
      <c r="G944" s="308">
        <f>'BECA MEDIA'!S138</f>
        <v>0</v>
      </c>
      <c r="H944" s="308">
        <f>'BECA MEDIA'!T138</f>
        <v>0</v>
      </c>
    </row>
    <row r="945" spans="1:8" x14ac:dyDescent="0.3">
      <c r="A945" t="s">
        <v>688</v>
      </c>
      <c r="B945" t="s">
        <v>155</v>
      </c>
      <c r="C945" t="s">
        <v>161</v>
      </c>
      <c r="D945" t="s">
        <v>689</v>
      </c>
      <c r="E945" t="s">
        <v>771</v>
      </c>
      <c r="F945">
        <v>6</v>
      </c>
      <c r="G945" s="308">
        <f>'BECA MEDIA'!V138</f>
        <v>7.2</v>
      </c>
      <c r="H945" s="308">
        <f>'BECA MEDIA'!W138</f>
        <v>18000</v>
      </c>
    </row>
    <row r="946" spans="1:8" x14ac:dyDescent="0.3">
      <c r="A946" t="s">
        <v>688</v>
      </c>
      <c r="B946" t="s">
        <v>155</v>
      </c>
      <c r="C946" t="s">
        <v>161</v>
      </c>
      <c r="D946" t="s">
        <v>689</v>
      </c>
      <c r="E946" t="s">
        <v>772</v>
      </c>
      <c r="F946">
        <v>7</v>
      </c>
      <c r="G946" s="308">
        <f>'BECA MEDIA'!Y138</f>
        <v>0</v>
      </c>
      <c r="H946" s="308">
        <f>'BECA MEDIA'!Z138</f>
        <v>0</v>
      </c>
    </row>
    <row r="947" spans="1:8" x14ac:dyDescent="0.3">
      <c r="A947" t="s">
        <v>688</v>
      </c>
      <c r="B947" t="s">
        <v>162</v>
      </c>
      <c r="C947" t="s">
        <v>163</v>
      </c>
      <c r="D947" t="s">
        <v>689</v>
      </c>
      <c r="E947" t="s">
        <v>766</v>
      </c>
      <c r="F947">
        <v>1</v>
      </c>
      <c r="G947" s="308">
        <f>'BECA MEDIA'!G139</f>
        <v>0</v>
      </c>
      <c r="H947" s="308">
        <f>'BECA MEDIA'!H139</f>
        <v>0</v>
      </c>
    </row>
    <row r="948" spans="1:8" x14ac:dyDescent="0.3">
      <c r="A948" t="s">
        <v>688</v>
      </c>
      <c r="B948" t="s">
        <v>162</v>
      </c>
      <c r="C948" t="s">
        <v>163</v>
      </c>
      <c r="D948" t="s">
        <v>689</v>
      </c>
      <c r="E948" t="s">
        <v>767</v>
      </c>
      <c r="F948">
        <v>2</v>
      </c>
      <c r="G948" s="308">
        <f>'BECA MEDIA'!J139</f>
        <v>0</v>
      </c>
      <c r="H948" s="308">
        <f>'BECA MEDIA'!K139</f>
        <v>0</v>
      </c>
    </row>
    <row r="949" spans="1:8" x14ac:dyDescent="0.3">
      <c r="A949" t="s">
        <v>688</v>
      </c>
      <c r="B949" t="s">
        <v>162</v>
      </c>
      <c r="C949" t="s">
        <v>163</v>
      </c>
      <c r="D949" t="s">
        <v>689</v>
      </c>
      <c r="E949" t="s">
        <v>768</v>
      </c>
      <c r="F949">
        <v>3</v>
      </c>
      <c r="G949" s="308">
        <f>'BECA MEDIA'!M139</f>
        <v>4</v>
      </c>
      <c r="H949" s="308">
        <f>'BECA MEDIA'!N139</f>
        <v>10000</v>
      </c>
    </row>
    <row r="950" spans="1:8" x14ac:dyDescent="0.3">
      <c r="A950" t="s">
        <v>688</v>
      </c>
      <c r="B950" t="s">
        <v>162</v>
      </c>
      <c r="C950" t="s">
        <v>163</v>
      </c>
      <c r="D950" t="s">
        <v>689</v>
      </c>
      <c r="E950" t="s">
        <v>769</v>
      </c>
      <c r="F950">
        <v>4</v>
      </c>
      <c r="G950" s="308">
        <f>'BECA MEDIA'!P139</f>
        <v>3.2</v>
      </c>
      <c r="H950" s="308">
        <f>'BECA MEDIA'!Q139</f>
        <v>8000</v>
      </c>
    </row>
    <row r="951" spans="1:8" x14ac:dyDescent="0.3">
      <c r="A951" t="s">
        <v>688</v>
      </c>
      <c r="B951" t="s">
        <v>162</v>
      </c>
      <c r="C951" t="s">
        <v>163</v>
      </c>
      <c r="D951" t="s">
        <v>689</v>
      </c>
      <c r="E951" t="s">
        <v>770</v>
      </c>
      <c r="F951">
        <v>5</v>
      </c>
      <c r="G951" s="308">
        <f>'BECA MEDIA'!S139</f>
        <v>0</v>
      </c>
      <c r="H951" s="308">
        <f>'BECA MEDIA'!T139</f>
        <v>0</v>
      </c>
    </row>
    <row r="952" spans="1:8" x14ac:dyDescent="0.3">
      <c r="A952" t="s">
        <v>688</v>
      </c>
      <c r="B952" t="s">
        <v>162</v>
      </c>
      <c r="C952" t="s">
        <v>163</v>
      </c>
      <c r="D952" t="s">
        <v>689</v>
      </c>
      <c r="E952" t="s">
        <v>771</v>
      </c>
      <c r="F952">
        <v>6</v>
      </c>
      <c r="G952" s="308">
        <f>'BECA MEDIA'!V139</f>
        <v>7.2</v>
      </c>
      <c r="H952" s="308">
        <f>'BECA MEDIA'!W139</f>
        <v>18000</v>
      </c>
    </row>
    <row r="953" spans="1:8" x14ac:dyDescent="0.3">
      <c r="A953" t="s">
        <v>688</v>
      </c>
      <c r="B953" t="s">
        <v>162</v>
      </c>
      <c r="C953" t="s">
        <v>163</v>
      </c>
      <c r="D953" t="s">
        <v>689</v>
      </c>
      <c r="E953" t="s">
        <v>772</v>
      </c>
      <c r="F953">
        <v>7</v>
      </c>
      <c r="G953" s="308">
        <f>'BECA MEDIA'!Y139</f>
        <v>0</v>
      </c>
      <c r="H953" s="308">
        <f>'BECA MEDIA'!Z139</f>
        <v>0</v>
      </c>
    </row>
    <row r="954" spans="1:8" x14ac:dyDescent="0.3">
      <c r="A954" t="s">
        <v>688</v>
      </c>
      <c r="B954" t="s">
        <v>162</v>
      </c>
      <c r="C954" t="s">
        <v>164</v>
      </c>
      <c r="D954" t="s">
        <v>689</v>
      </c>
      <c r="E954" t="s">
        <v>766</v>
      </c>
      <c r="F954">
        <v>1</v>
      </c>
      <c r="G954" s="308">
        <f>'BECA MEDIA'!G140</f>
        <v>0</v>
      </c>
      <c r="H954" s="308">
        <f>'BECA MEDIA'!H140</f>
        <v>0</v>
      </c>
    </row>
    <row r="955" spans="1:8" x14ac:dyDescent="0.3">
      <c r="A955" t="s">
        <v>688</v>
      </c>
      <c r="B955" t="s">
        <v>162</v>
      </c>
      <c r="C955" t="s">
        <v>164</v>
      </c>
      <c r="D955" t="s">
        <v>689</v>
      </c>
      <c r="E955" t="s">
        <v>767</v>
      </c>
      <c r="F955">
        <v>2</v>
      </c>
      <c r="G955" s="308">
        <f>'BECA MEDIA'!J140</f>
        <v>0</v>
      </c>
      <c r="H955" s="308">
        <f>'BECA MEDIA'!K140</f>
        <v>0</v>
      </c>
    </row>
    <row r="956" spans="1:8" x14ac:dyDescent="0.3">
      <c r="A956" t="s">
        <v>688</v>
      </c>
      <c r="B956" t="s">
        <v>162</v>
      </c>
      <c r="C956" t="s">
        <v>164</v>
      </c>
      <c r="D956" t="s">
        <v>689</v>
      </c>
      <c r="E956" t="s">
        <v>768</v>
      </c>
      <c r="F956">
        <v>3</v>
      </c>
      <c r="G956" s="308">
        <f>'BECA MEDIA'!M140</f>
        <v>6</v>
      </c>
      <c r="H956" s="308">
        <f>'BECA MEDIA'!N140</f>
        <v>15000</v>
      </c>
    </row>
    <row r="957" spans="1:8" x14ac:dyDescent="0.3">
      <c r="A957" t="s">
        <v>688</v>
      </c>
      <c r="B957" t="s">
        <v>162</v>
      </c>
      <c r="C957" t="s">
        <v>164</v>
      </c>
      <c r="D957" t="s">
        <v>689</v>
      </c>
      <c r="E957" t="s">
        <v>769</v>
      </c>
      <c r="F957">
        <v>4</v>
      </c>
      <c r="G957" s="308">
        <f>'BECA MEDIA'!P140</f>
        <v>1.6</v>
      </c>
      <c r="H957" s="308">
        <f>'BECA MEDIA'!Q140</f>
        <v>4000</v>
      </c>
    </row>
    <row r="958" spans="1:8" x14ac:dyDescent="0.3">
      <c r="A958" t="s">
        <v>688</v>
      </c>
      <c r="B958" t="s">
        <v>162</v>
      </c>
      <c r="C958" t="s">
        <v>164</v>
      </c>
      <c r="D958" t="s">
        <v>689</v>
      </c>
      <c r="E958" t="s">
        <v>770</v>
      </c>
      <c r="F958">
        <v>5</v>
      </c>
      <c r="G958" s="308">
        <f>'BECA MEDIA'!S140</f>
        <v>0</v>
      </c>
      <c r="H958" s="308">
        <f>'BECA MEDIA'!T140</f>
        <v>0</v>
      </c>
    </row>
    <row r="959" spans="1:8" x14ac:dyDescent="0.3">
      <c r="A959" t="s">
        <v>688</v>
      </c>
      <c r="B959" t="s">
        <v>162</v>
      </c>
      <c r="C959" t="s">
        <v>164</v>
      </c>
      <c r="D959" t="s">
        <v>689</v>
      </c>
      <c r="E959" t="s">
        <v>771</v>
      </c>
      <c r="F959">
        <v>6</v>
      </c>
      <c r="G959" s="308">
        <f>'BECA MEDIA'!V140</f>
        <v>8</v>
      </c>
      <c r="H959" s="308">
        <f>'BECA MEDIA'!W140</f>
        <v>20000</v>
      </c>
    </row>
    <row r="960" spans="1:8" x14ac:dyDescent="0.3">
      <c r="A960" t="s">
        <v>688</v>
      </c>
      <c r="B960" t="s">
        <v>162</v>
      </c>
      <c r="C960" t="s">
        <v>164</v>
      </c>
      <c r="D960" t="s">
        <v>689</v>
      </c>
      <c r="E960" t="s">
        <v>772</v>
      </c>
      <c r="F960">
        <v>7</v>
      </c>
      <c r="G960" s="308">
        <f>'BECA MEDIA'!Y140</f>
        <v>0</v>
      </c>
      <c r="H960" s="308">
        <f>'BECA MEDIA'!Z140</f>
        <v>0</v>
      </c>
    </row>
    <row r="961" spans="1:8" x14ac:dyDescent="0.3">
      <c r="A961" t="s">
        <v>688</v>
      </c>
      <c r="B961" t="s">
        <v>162</v>
      </c>
      <c r="C961" t="s">
        <v>165</v>
      </c>
      <c r="D961" t="s">
        <v>689</v>
      </c>
      <c r="E961" t="s">
        <v>766</v>
      </c>
      <c r="F961">
        <v>1</v>
      </c>
      <c r="G961" s="308">
        <f>'BECA MEDIA'!G141</f>
        <v>0</v>
      </c>
      <c r="H961" s="308">
        <f>'BECA MEDIA'!H141</f>
        <v>0</v>
      </c>
    </row>
    <row r="962" spans="1:8" x14ac:dyDescent="0.3">
      <c r="A962" t="s">
        <v>688</v>
      </c>
      <c r="B962" t="s">
        <v>162</v>
      </c>
      <c r="C962" t="s">
        <v>165</v>
      </c>
      <c r="D962" t="s">
        <v>689</v>
      </c>
      <c r="E962" t="s">
        <v>767</v>
      </c>
      <c r="F962">
        <v>2</v>
      </c>
      <c r="G962" s="308">
        <f>'BECA MEDIA'!J141</f>
        <v>0</v>
      </c>
      <c r="H962" s="308">
        <f>'BECA MEDIA'!K141</f>
        <v>0</v>
      </c>
    </row>
    <row r="963" spans="1:8" x14ac:dyDescent="0.3">
      <c r="A963" t="s">
        <v>688</v>
      </c>
      <c r="B963" t="s">
        <v>162</v>
      </c>
      <c r="C963" t="s">
        <v>165</v>
      </c>
      <c r="D963" t="s">
        <v>689</v>
      </c>
      <c r="E963" t="s">
        <v>768</v>
      </c>
      <c r="F963">
        <v>3</v>
      </c>
      <c r="G963" s="308">
        <f>'BECA MEDIA'!M141</f>
        <v>2.8</v>
      </c>
      <c r="H963" s="308">
        <f>'BECA MEDIA'!N141</f>
        <v>7000</v>
      </c>
    </row>
    <row r="964" spans="1:8" x14ac:dyDescent="0.3">
      <c r="A964" t="s">
        <v>688</v>
      </c>
      <c r="B964" t="s">
        <v>162</v>
      </c>
      <c r="C964" t="s">
        <v>165</v>
      </c>
      <c r="D964" t="s">
        <v>689</v>
      </c>
      <c r="E964" t="s">
        <v>769</v>
      </c>
      <c r="F964">
        <v>4</v>
      </c>
      <c r="G964" s="308">
        <f>'BECA MEDIA'!P141</f>
        <v>4.8</v>
      </c>
      <c r="H964" s="308">
        <f>'BECA MEDIA'!Q141</f>
        <v>12000</v>
      </c>
    </row>
    <row r="965" spans="1:8" x14ac:dyDescent="0.3">
      <c r="A965" t="s">
        <v>688</v>
      </c>
      <c r="B965" t="s">
        <v>162</v>
      </c>
      <c r="C965" t="s">
        <v>165</v>
      </c>
      <c r="D965" t="s">
        <v>689</v>
      </c>
      <c r="E965" t="s">
        <v>770</v>
      </c>
      <c r="F965">
        <v>5</v>
      </c>
      <c r="G965" s="308">
        <f>'BECA MEDIA'!S141</f>
        <v>0</v>
      </c>
      <c r="H965" s="308">
        <f>'BECA MEDIA'!T141</f>
        <v>0</v>
      </c>
    </row>
    <row r="966" spans="1:8" x14ac:dyDescent="0.3">
      <c r="A966" t="s">
        <v>688</v>
      </c>
      <c r="B966" t="s">
        <v>162</v>
      </c>
      <c r="C966" t="s">
        <v>165</v>
      </c>
      <c r="D966" t="s">
        <v>689</v>
      </c>
      <c r="E966" t="s">
        <v>771</v>
      </c>
      <c r="F966">
        <v>6</v>
      </c>
      <c r="G966" s="308">
        <f>'BECA MEDIA'!V141</f>
        <v>7.6</v>
      </c>
      <c r="H966" s="308">
        <f>'BECA MEDIA'!W141</f>
        <v>19000</v>
      </c>
    </row>
    <row r="967" spans="1:8" x14ac:dyDescent="0.3">
      <c r="A967" t="s">
        <v>688</v>
      </c>
      <c r="B967" t="s">
        <v>162</v>
      </c>
      <c r="C967" t="s">
        <v>165</v>
      </c>
      <c r="D967" t="s">
        <v>689</v>
      </c>
      <c r="E967" t="s">
        <v>772</v>
      </c>
      <c r="F967">
        <v>7</v>
      </c>
      <c r="G967" s="308">
        <f>'BECA MEDIA'!Y141</f>
        <v>0</v>
      </c>
      <c r="H967" s="308">
        <f>'BECA MEDIA'!Z141</f>
        <v>0</v>
      </c>
    </row>
    <row r="968" spans="1:8" x14ac:dyDescent="0.3">
      <c r="A968" t="s">
        <v>688</v>
      </c>
      <c r="B968" t="s">
        <v>162</v>
      </c>
      <c r="C968" t="s">
        <v>166</v>
      </c>
      <c r="D968" t="s">
        <v>689</v>
      </c>
      <c r="E968" t="s">
        <v>766</v>
      </c>
      <c r="F968">
        <v>1</v>
      </c>
      <c r="G968" s="308">
        <f>'BECA MEDIA'!G142</f>
        <v>0</v>
      </c>
      <c r="H968" s="308">
        <f>'BECA MEDIA'!H142</f>
        <v>0</v>
      </c>
    </row>
    <row r="969" spans="1:8" x14ac:dyDescent="0.3">
      <c r="A969" t="s">
        <v>688</v>
      </c>
      <c r="B969" t="s">
        <v>162</v>
      </c>
      <c r="C969" t="s">
        <v>166</v>
      </c>
      <c r="D969" t="s">
        <v>689</v>
      </c>
      <c r="E969" t="s">
        <v>767</v>
      </c>
      <c r="F969">
        <v>2</v>
      </c>
      <c r="G969" s="308">
        <f>'BECA MEDIA'!J142</f>
        <v>0</v>
      </c>
      <c r="H969" s="308">
        <f>'BECA MEDIA'!K142</f>
        <v>0</v>
      </c>
    </row>
    <row r="970" spans="1:8" x14ac:dyDescent="0.3">
      <c r="A970" t="s">
        <v>688</v>
      </c>
      <c r="B970" t="s">
        <v>162</v>
      </c>
      <c r="C970" t="s">
        <v>166</v>
      </c>
      <c r="D970" t="s">
        <v>689</v>
      </c>
      <c r="E970" t="s">
        <v>768</v>
      </c>
      <c r="F970">
        <v>3</v>
      </c>
      <c r="G970" s="308">
        <f>'BECA MEDIA'!M142</f>
        <v>4.4000000000000004</v>
      </c>
      <c r="H970" s="308">
        <f>'BECA MEDIA'!N142</f>
        <v>11000</v>
      </c>
    </row>
    <row r="971" spans="1:8" x14ac:dyDescent="0.3">
      <c r="A971" t="s">
        <v>688</v>
      </c>
      <c r="B971" t="s">
        <v>162</v>
      </c>
      <c r="C971" t="s">
        <v>166</v>
      </c>
      <c r="D971" t="s">
        <v>689</v>
      </c>
      <c r="E971" t="s">
        <v>769</v>
      </c>
      <c r="F971">
        <v>4</v>
      </c>
      <c r="G971" s="308">
        <f>'BECA MEDIA'!P142</f>
        <v>1.6</v>
      </c>
      <c r="H971" s="308">
        <f>'BECA MEDIA'!Q142</f>
        <v>4000</v>
      </c>
    </row>
    <row r="972" spans="1:8" x14ac:dyDescent="0.3">
      <c r="A972" t="s">
        <v>688</v>
      </c>
      <c r="B972" t="s">
        <v>162</v>
      </c>
      <c r="C972" t="s">
        <v>166</v>
      </c>
      <c r="D972" t="s">
        <v>689</v>
      </c>
      <c r="E972" t="s">
        <v>770</v>
      </c>
      <c r="F972">
        <v>5</v>
      </c>
      <c r="G972" s="308">
        <f>'BECA MEDIA'!S142</f>
        <v>0</v>
      </c>
      <c r="H972" s="308">
        <f>'BECA MEDIA'!T142</f>
        <v>0</v>
      </c>
    </row>
    <row r="973" spans="1:8" x14ac:dyDescent="0.3">
      <c r="A973" t="s">
        <v>688</v>
      </c>
      <c r="B973" t="s">
        <v>162</v>
      </c>
      <c r="C973" t="s">
        <v>166</v>
      </c>
      <c r="D973" t="s">
        <v>689</v>
      </c>
      <c r="E973" t="s">
        <v>771</v>
      </c>
      <c r="F973">
        <v>6</v>
      </c>
      <c r="G973" s="308">
        <f>'BECA MEDIA'!V142</f>
        <v>6</v>
      </c>
      <c r="H973" s="308">
        <f>'BECA MEDIA'!W142</f>
        <v>15000</v>
      </c>
    </row>
    <row r="974" spans="1:8" x14ac:dyDescent="0.3">
      <c r="A974" t="s">
        <v>688</v>
      </c>
      <c r="B974" t="s">
        <v>162</v>
      </c>
      <c r="C974" t="s">
        <v>166</v>
      </c>
      <c r="D974" t="s">
        <v>689</v>
      </c>
      <c r="E974" t="s">
        <v>772</v>
      </c>
      <c r="F974">
        <v>7</v>
      </c>
      <c r="G974" s="308">
        <f>'BECA MEDIA'!Y142</f>
        <v>0</v>
      </c>
      <c r="H974" s="308">
        <f>'BECA MEDIA'!Z142</f>
        <v>0</v>
      </c>
    </row>
    <row r="975" spans="1:8" x14ac:dyDescent="0.3">
      <c r="A975" t="s">
        <v>688</v>
      </c>
      <c r="B975" t="s">
        <v>162</v>
      </c>
      <c r="C975" t="s">
        <v>167</v>
      </c>
      <c r="D975" t="s">
        <v>689</v>
      </c>
      <c r="E975" t="s">
        <v>766</v>
      </c>
      <c r="F975">
        <v>1</v>
      </c>
      <c r="G975" s="308">
        <f>'BECA MEDIA'!G143</f>
        <v>0</v>
      </c>
      <c r="H975" s="308">
        <f>'BECA MEDIA'!H143</f>
        <v>0</v>
      </c>
    </row>
    <row r="976" spans="1:8" x14ac:dyDescent="0.3">
      <c r="A976" t="s">
        <v>688</v>
      </c>
      <c r="B976" t="s">
        <v>162</v>
      </c>
      <c r="C976" t="s">
        <v>167</v>
      </c>
      <c r="D976" t="s">
        <v>689</v>
      </c>
      <c r="E976" t="s">
        <v>767</v>
      </c>
      <c r="F976">
        <v>2</v>
      </c>
      <c r="G976" s="308">
        <f>'BECA MEDIA'!J143</f>
        <v>0</v>
      </c>
      <c r="H976" s="308">
        <f>'BECA MEDIA'!K143</f>
        <v>0</v>
      </c>
    </row>
    <row r="977" spans="1:8" x14ac:dyDescent="0.3">
      <c r="A977" t="s">
        <v>688</v>
      </c>
      <c r="B977" t="s">
        <v>162</v>
      </c>
      <c r="C977" t="s">
        <v>167</v>
      </c>
      <c r="D977" t="s">
        <v>689</v>
      </c>
      <c r="E977" t="s">
        <v>768</v>
      </c>
      <c r="F977">
        <v>3</v>
      </c>
      <c r="G977" s="308">
        <f>'BECA MEDIA'!M143</f>
        <v>10.4</v>
      </c>
      <c r="H977" s="308">
        <f>'BECA MEDIA'!N143</f>
        <v>26000</v>
      </c>
    </row>
    <row r="978" spans="1:8" x14ac:dyDescent="0.3">
      <c r="A978" t="s">
        <v>688</v>
      </c>
      <c r="B978" t="s">
        <v>162</v>
      </c>
      <c r="C978" t="s">
        <v>167</v>
      </c>
      <c r="D978" t="s">
        <v>689</v>
      </c>
      <c r="E978" t="s">
        <v>769</v>
      </c>
      <c r="F978">
        <v>4</v>
      </c>
      <c r="G978" s="308">
        <f>'BECA MEDIA'!P143</f>
        <v>7.6</v>
      </c>
      <c r="H978" s="308">
        <f>'BECA MEDIA'!Q143</f>
        <v>19000</v>
      </c>
    </row>
    <row r="979" spans="1:8" x14ac:dyDescent="0.3">
      <c r="A979" t="s">
        <v>688</v>
      </c>
      <c r="B979" t="s">
        <v>162</v>
      </c>
      <c r="C979" t="s">
        <v>167</v>
      </c>
      <c r="D979" t="s">
        <v>689</v>
      </c>
      <c r="E979" t="s">
        <v>770</v>
      </c>
      <c r="F979">
        <v>5</v>
      </c>
      <c r="G979" s="308">
        <f>'BECA MEDIA'!S143</f>
        <v>0</v>
      </c>
      <c r="H979" s="308">
        <f>'BECA MEDIA'!T143</f>
        <v>0</v>
      </c>
    </row>
    <row r="980" spans="1:8" x14ac:dyDescent="0.3">
      <c r="A980" t="s">
        <v>688</v>
      </c>
      <c r="B980" t="s">
        <v>162</v>
      </c>
      <c r="C980" t="s">
        <v>167</v>
      </c>
      <c r="D980" t="s">
        <v>689</v>
      </c>
      <c r="E980" t="s">
        <v>771</v>
      </c>
      <c r="F980">
        <v>6</v>
      </c>
      <c r="G980" s="308">
        <f>'BECA MEDIA'!V143</f>
        <v>16.8</v>
      </c>
      <c r="H980" s="308">
        <f>'BECA MEDIA'!W143</f>
        <v>42000</v>
      </c>
    </row>
    <row r="981" spans="1:8" x14ac:dyDescent="0.3">
      <c r="A981" t="s">
        <v>688</v>
      </c>
      <c r="B981" t="s">
        <v>162</v>
      </c>
      <c r="C981" t="s">
        <v>167</v>
      </c>
      <c r="D981" t="s">
        <v>689</v>
      </c>
      <c r="E981" t="s">
        <v>772</v>
      </c>
      <c r="F981">
        <v>7</v>
      </c>
      <c r="G981" s="308">
        <f>'BECA MEDIA'!Y143</f>
        <v>0</v>
      </c>
      <c r="H981" s="308">
        <f>'BECA MEDIA'!Z143</f>
        <v>0</v>
      </c>
    </row>
    <row r="982" spans="1:8" x14ac:dyDescent="0.3">
      <c r="A982" t="s">
        <v>688</v>
      </c>
      <c r="B982" t="s">
        <v>162</v>
      </c>
      <c r="C982" t="s">
        <v>168</v>
      </c>
      <c r="D982" t="s">
        <v>689</v>
      </c>
      <c r="E982" t="s">
        <v>766</v>
      </c>
      <c r="F982">
        <v>1</v>
      </c>
      <c r="G982" s="308">
        <f>'BECA MEDIA'!G144</f>
        <v>0</v>
      </c>
      <c r="H982" s="308">
        <f>'BECA MEDIA'!H144</f>
        <v>0</v>
      </c>
    </row>
    <row r="983" spans="1:8" x14ac:dyDescent="0.3">
      <c r="A983" t="s">
        <v>688</v>
      </c>
      <c r="B983" t="s">
        <v>162</v>
      </c>
      <c r="C983" t="s">
        <v>168</v>
      </c>
      <c r="D983" t="s">
        <v>689</v>
      </c>
      <c r="E983" t="s">
        <v>767</v>
      </c>
      <c r="F983">
        <v>2</v>
      </c>
      <c r="G983" s="308">
        <f>'BECA MEDIA'!J144</f>
        <v>0</v>
      </c>
      <c r="H983" s="308">
        <f>'BECA MEDIA'!K144</f>
        <v>0</v>
      </c>
    </row>
    <row r="984" spans="1:8" x14ac:dyDescent="0.3">
      <c r="A984" t="s">
        <v>688</v>
      </c>
      <c r="B984" t="s">
        <v>162</v>
      </c>
      <c r="C984" t="s">
        <v>168</v>
      </c>
      <c r="D984" t="s">
        <v>689</v>
      </c>
      <c r="E984" t="s">
        <v>768</v>
      </c>
      <c r="F984">
        <v>3</v>
      </c>
      <c r="G984" s="308">
        <f>'BECA MEDIA'!M144</f>
        <v>2.4</v>
      </c>
      <c r="H984" s="308">
        <f>'BECA MEDIA'!N144</f>
        <v>6000</v>
      </c>
    </row>
    <row r="985" spans="1:8" x14ac:dyDescent="0.3">
      <c r="A985" t="s">
        <v>688</v>
      </c>
      <c r="B985" t="s">
        <v>162</v>
      </c>
      <c r="C985" t="s">
        <v>168</v>
      </c>
      <c r="D985" t="s">
        <v>689</v>
      </c>
      <c r="E985" t="s">
        <v>769</v>
      </c>
      <c r="F985">
        <v>4</v>
      </c>
      <c r="G985" s="308">
        <f>'BECA MEDIA'!P144</f>
        <v>0.8</v>
      </c>
      <c r="H985" s="308">
        <f>'BECA MEDIA'!Q144</f>
        <v>2000</v>
      </c>
    </row>
    <row r="986" spans="1:8" x14ac:dyDescent="0.3">
      <c r="A986" t="s">
        <v>688</v>
      </c>
      <c r="B986" t="s">
        <v>162</v>
      </c>
      <c r="C986" t="s">
        <v>168</v>
      </c>
      <c r="D986" t="s">
        <v>689</v>
      </c>
      <c r="E986" t="s">
        <v>770</v>
      </c>
      <c r="F986">
        <v>5</v>
      </c>
      <c r="G986" s="308">
        <f>'BECA MEDIA'!S144</f>
        <v>0</v>
      </c>
      <c r="H986" s="308">
        <f>'BECA MEDIA'!T144</f>
        <v>0</v>
      </c>
    </row>
    <row r="987" spans="1:8" x14ac:dyDescent="0.3">
      <c r="A987" t="s">
        <v>688</v>
      </c>
      <c r="B987" t="s">
        <v>162</v>
      </c>
      <c r="C987" t="s">
        <v>168</v>
      </c>
      <c r="D987" t="s">
        <v>689</v>
      </c>
      <c r="E987" t="s">
        <v>771</v>
      </c>
      <c r="F987">
        <v>6</v>
      </c>
      <c r="G987" s="308">
        <f>'BECA MEDIA'!V144</f>
        <v>3.2</v>
      </c>
      <c r="H987" s="308">
        <f>'BECA MEDIA'!W144</f>
        <v>8000</v>
      </c>
    </row>
    <row r="988" spans="1:8" x14ac:dyDescent="0.3">
      <c r="A988" t="s">
        <v>688</v>
      </c>
      <c r="B988" t="s">
        <v>162</v>
      </c>
      <c r="C988" t="s">
        <v>168</v>
      </c>
      <c r="D988" t="s">
        <v>689</v>
      </c>
      <c r="E988" t="s">
        <v>772</v>
      </c>
      <c r="F988">
        <v>7</v>
      </c>
      <c r="G988" s="308">
        <f>'BECA MEDIA'!Y144</f>
        <v>0</v>
      </c>
      <c r="H988" s="308">
        <f>'BECA MEDIA'!Z144</f>
        <v>0</v>
      </c>
    </row>
    <row r="989" spans="1:8" x14ac:dyDescent="0.3">
      <c r="A989" t="s">
        <v>688</v>
      </c>
      <c r="B989" t="s">
        <v>162</v>
      </c>
      <c r="C989" t="s">
        <v>77</v>
      </c>
      <c r="D989" t="s">
        <v>689</v>
      </c>
      <c r="E989" t="s">
        <v>766</v>
      </c>
      <c r="F989">
        <v>1</v>
      </c>
      <c r="G989" s="308">
        <f>'BECA MEDIA'!G145</f>
        <v>0</v>
      </c>
      <c r="H989" s="308">
        <f>'BECA MEDIA'!H145</f>
        <v>0</v>
      </c>
    </row>
    <row r="990" spans="1:8" x14ac:dyDescent="0.3">
      <c r="A990" t="s">
        <v>688</v>
      </c>
      <c r="B990" t="s">
        <v>162</v>
      </c>
      <c r="C990" t="s">
        <v>77</v>
      </c>
      <c r="D990" t="s">
        <v>689</v>
      </c>
      <c r="E990" t="s">
        <v>767</v>
      </c>
      <c r="F990">
        <v>2</v>
      </c>
      <c r="G990" s="308">
        <f>'BECA MEDIA'!J145</f>
        <v>0</v>
      </c>
      <c r="H990" s="308">
        <f>'BECA MEDIA'!K145</f>
        <v>0</v>
      </c>
    </row>
    <row r="991" spans="1:8" x14ac:dyDescent="0.3">
      <c r="A991" t="s">
        <v>688</v>
      </c>
      <c r="B991" t="s">
        <v>162</v>
      </c>
      <c r="C991" t="s">
        <v>77</v>
      </c>
      <c r="D991" t="s">
        <v>689</v>
      </c>
      <c r="E991" t="s">
        <v>768</v>
      </c>
      <c r="F991">
        <v>3</v>
      </c>
      <c r="G991" s="308">
        <f>'BECA MEDIA'!M145</f>
        <v>1</v>
      </c>
      <c r="H991" s="308">
        <f>'BECA MEDIA'!N145</f>
        <v>1000</v>
      </c>
    </row>
    <row r="992" spans="1:8" x14ac:dyDescent="0.3">
      <c r="A992" t="s">
        <v>688</v>
      </c>
      <c r="B992" t="s">
        <v>162</v>
      </c>
      <c r="C992" t="s">
        <v>77</v>
      </c>
      <c r="D992" t="s">
        <v>689</v>
      </c>
      <c r="E992" t="s">
        <v>769</v>
      </c>
      <c r="F992">
        <v>4</v>
      </c>
      <c r="G992" s="308">
        <f>'BECA MEDIA'!P145</f>
        <v>0.8</v>
      </c>
      <c r="H992" s="308">
        <f>'BECA MEDIA'!Q145</f>
        <v>2000</v>
      </c>
    </row>
    <row r="993" spans="1:8" x14ac:dyDescent="0.3">
      <c r="A993" t="s">
        <v>688</v>
      </c>
      <c r="B993" t="s">
        <v>162</v>
      </c>
      <c r="C993" t="s">
        <v>77</v>
      </c>
      <c r="D993" t="s">
        <v>689</v>
      </c>
      <c r="E993" t="s">
        <v>770</v>
      </c>
      <c r="F993">
        <v>5</v>
      </c>
      <c r="G993" s="308">
        <f>'BECA MEDIA'!S145</f>
        <v>0</v>
      </c>
      <c r="H993" s="308">
        <f>'BECA MEDIA'!T145</f>
        <v>0</v>
      </c>
    </row>
    <row r="994" spans="1:8" x14ac:dyDescent="0.3">
      <c r="A994" t="s">
        <v>688</v>
      </c>
      <c r="B994" t="s">
        <v>162</v>
      </c>
      <c r="C994" t="s">
        <v>77</v>
      </c>
      <c r="D994" t="s">
        <v>689</v>
      </c>
      <c r="E994" t="s">
        <v>771</v>
      </c>
      <c r="F994">
        <v>6</v>
      </c>
      <c r="G994" s="308">
        <f>'BECA MEDIA'!V145</f>
        <v>1.6</v>
      </c>
      <c r="H994" s="308">
        <f>'BECA MEDIA'!W145</f>
        <v>4000</v>
      </c>
    </row>
    <row r="995" spans="1:8" x14ac:dyDescent="0.3">
      <c r="A995" t="s">
        <v>688</v>
      </c>
      <c r="B995" t="s">
        <v>162</v>
      </c>
      <c r="C995" t="s">
        <v>77</v>
      </c>
      <c r="D995" t="s">
        <v>689</v>
      </c>
      <c r="E995" t="s">
        <v>772</v>
      </c>
      <c r="F995">
        <v>7</v>
      </c>
      <c r="G995" s="308">
        <f>'BECA MEDIA'!Y145</f>
        <v>0</v>
      </c>
      <c r="H995" s="308">
        <f>'BECA MEDIA'!Z145</f>
        <v>0</v>
      </c>
    </row>
    <row r="996" spans="1:8" x14ac:dyDescent="0.3">
      <c r="A996" t="s">
        <v>688</v>
      </c>
      <c r="B996" t="s">
        <v>162</v>
      </c>
      <c r="C996" t="s">
        <v>169</v>
      </c>
      <c r="D996" t="s">
        <v>689</v>
      </c>
      <c r="E996" t="s">
        <v>766</v>
      </c>
      <c r="F996">
        <v>1</v>
      </c>
      <c r="G996" s="308">
        <f>'BECA MEDIA'!G146</f>
        <v>0</v>
      </c>
      <c r="H996" s="308">
        <f>'BECA MEDIA'!H146</f>
        <v>0</v>
      </c>
    </row>
    <row r="997" spans="1:8" x14ac:dyDescent="0.3">
      <c r="A997" t="s">
        <v>688</v>
      </c>
      <c r="B997" t="s">
        <v>162</v>
      </c>
      <c r="C997" t="s">
        <v>169</v>
      </c>
      <c r="D997" t="s">
        <v>689</v>
      </c>
      <c r="E997" t="s">
        <v>767</v>
      </c>
      <c r="F997">
        <v>2</v>
      </c>
      <c r="G997" s="308">
        <f>'BECA MEDIA'!J146</f>
        <v>0</v>
      </c>
      <c r="H997" s="308">
        <f>'BECA MEDIA'!K146</f>
        <v>0</v>
      </c>
    </row>
    <row r="998" spans="1:8" x14ac:dyDescent="0.3">
      <c r="A998" t="s">
        <v>688</v>
      </c>
      <c r="B998" t="s">
        <v>162</v>
      </c>
      <c r="C998" t="s">
        <v>169</v>
      </c>
      <c r="D998" t="s">
        <v>689</v>
      </c>
      <c r="E998" t="s">
        <v>768</v>
      </c>
      <c r="F998">
        <v>3</v>
      </c>
      <c r="G998" s="308">
        <f>'BECA MEDIA'!M146</f>
        <v>4.4000000000000004</v>
      </c>
      <c r="H998" s="308">
        <f>'BECA MEDIA'!N146</f>
        <v>11000</v>
      </c>
    </row>
    <row r="999" spans="1:8" x14ac:dyDescent="0.3">
      <c r="A999" t="s">
        <v>688</v>
      </c>
      <c r="B999" t="s">
        <v>162</v>
      </c>
      <c r="C999" t="s">
        <v>169</v>
      </c>
      <c r="D999" t="s">
        <v>689</v>
      </c>
      <c r="E999" t="s">
        <v>769</v>
      </c>
      <c r="F999">
        <v>4</v>
      </c>
      <c r="G999" s="308">
        <f>'BECA MEDIA'!P146</f>
        <v>2.8</v>
      </c>
      <c r="H999" s="308">
        <f>'BECA MEDIA'!Q146</f>
        <v>7000</v>
      </c>
    </row>
    <row r="1000" spans="1:8" x14ac:dyDescent="0.3">
      <c r="A1000" t="s">
        <v>688</v>
      </c>
      <c r="B1000" t="s">
        <v>162</v>
      </c>
      <c r="C1000" t="s">
        <v>169</v>
      </c>
      <c r="D1000" t="s">
        <v>689</v>
      </c>
      <c r="E1000" t="s">
        <v>770</v>
      </c>
      <c r="F1000">
        <v>5</v>
      </c>
      <c r="G1000" s="308">
        <f>'BECA MEDIA'!S146</f>
        <v>0</v>
      </c>
      <c r="H1000" s="308">
        <f>'BECA MEDIA'!T146</f>
        <v>0</v>
      </c>
    </row>
    <row r="1001" spans="1:8" x14ac:dyDescent="0.3">
      <c r="A1001" t="s">
        <v>688</v>
      </c>
      <c r="B1001" t="s">
        <v>162</v>
      </c>
      <c r="C1001" t="s">
        <v>169</v>
      </c>
      <c r="D1001" t="s">
        <v>689</v>
      </c>
      <c r="E1001" t="s">
        <v>771</v>
      </c>
      <c r="F1001">
        <v>6</v>
      </c>
      <c r="G1001" s="308">
        <f>'BECA MEDIA'!V146</f>
        <v>6.8</v>
      </c>
      <c r="H1001" s="308">
        <f>'BECA MEDIA'!W146</f>
        <v>17000</v>
      </c>
    </row>
    <row r="1002" spans="1:8" x14ac:dyDescent="0.3">
      <c r="A1002" t="s">
        <v>688</v>
      </c>
      <c r="B1002" t="s">
        <v>162</v>
      </c>
      <c r="C1002" t="s">
        <v>169</v>
      </c>
      <c r="D1002" t="s">
        <v>689</v>
      </c>
      <c r="E1002" t="s">
        <v>772</v>
      </c>
      <c r="F1002">
        <v>7</v>
      </c>
      <c r="G1002" s="308">
        <f>'BECA MEDIA'!Y146</f>
        <v>0</v>
      </c>
      <c r="H1002" s="308">
        <f>'BECA MEDIA'!Z146</f>
        <v>0</v>
      </c>
    </row>
    <row r="1003" spans="1:8" x14ac:dyDescent="0.3">
      <c r="A1003" t="s">
        <v>688</v>
      </c>
      <c r="B1003" t="s">
        <v>162</v>
      </c>
      <c r="C1003" t="s">
        <v>170</v>
      </c>
      <c r="D1003" t="s">
        <v>689</v>
      </c>
      <c r="E1003" t="s">
        <v>766</v>
      </c>
      <c r="F1003">
        <v>1</v>
      </c>
      <c r="G1003" s="308">
        <f>'BECA MEDIA'!G147</f>
        <v>0</v>
      </c>
      <c r="H1003" s="308">
        <f>'BECA MEDIA'!H147</f>
        <v>0</v>
      </c>
    </row>
    <row r="1004" spans="1:8" x14ac:dyDescent="0.3">
      <c r="A1004" t="s">
        <v>688</v>
      </c>
      <c r="B1004" t="s">
        <v>162</v>
      </c>
      <c r="C1004" t="s">
        <v>170</v>
      </c>
      <c r="D1004" t="s">
        <v>689</v>
      </c>
      <c r="E1004" t="s">
        <v>767</v>
      </c>
      <c r="F1004">
        <v>2</v>
      </c>
      <c r="G1004" s="308">
        <f>'BECA MEDIA'!J147</f>
        <v>0</v>
      </c>
      <c r="H1004" s="308">
        <f>'BECA MEDIA'!K147</f>
        <v>0</v>
      </c>
    </row>
    <row r="1005" spans="1:8" x14ac:dyDescent="0.3">
      <c r="A1005" t="s">
        <v>688</v>
      </c>
      <c r="B1005" t="s">
        <v>162</v>
      </c>
      <c r="C1005" t="s">
        <v>170</v>
      </c>
      <c r="D1005" t="s">
        <v>689</v>
      </c>
      <c r="E1005" t="s">
        <v>768</v>
      </c>
      <c r="F1005">
        <v>3</v>
      </c>
      <c r="G1005" s="308">
        <f>'BECA MEDIA'!M147</f>
        <v>1.2</v>
      </c>
      <c r="H1005" s="308">
        <f>'BECA MEDIA'!N147</f>
        <v>3000</v>
      </c>
    </row>
    <row r="1006" spans="1:8" x14ac:dyDescent="0.3">
      <c r="A1006" t="s">
        <v>688</v>
      </c>
      <c r="B1006" t="s">
        <v>162</v>
      </c>
      <c r="C1006" t="s">
        <v>170</v>
      </c>
      <c r="D1006" t="s">
        <v>689</v>
      </c>
      <c r="E1006" t="s">
        <v>769</v>
      </c>
      <c r="F1006">
        <v>4</v>
      </c>
      <c r="G1006" s="308">
        <f>'BECA MEDIA'!P147</f>
        <v>0.4</v>
      </c>
      <c r="H1006" s="308">
        <f>'BECA MEDIA'!Q147</f>
        <v>1000</v>
      </c>
    </row>
    <row r="1007" spans="1:8" x14ac:dyDescent="0.3">
      <c r="A1007" t="s">
        <v>688</v>
      </c>
      <c r="B1007" t="s">
        <v>162</v>
      </c>
      <c r="C1007" t="s">
        <v>170</v>
      </c>
      <c r="D1007" t="s">
        <v>689</v>
      </c>
      <c r="E1007" t="s">
        <v>770</v>
      </c>
      <c r="F1007">
        <v>5</v>
      </c>
      <c r="G1007" s="308">
        <f>'BECA MEDIA'!S147</f>
        <v>0</v>
      </c>
      <c r="H1007" s="308">
        <f>'BECA MEDIA'!T147</f>
        <v>0</v>
      </c>
    </row>
    <row r="1008" spans="1:8" x14ac:dyDescent="0.3">
      <c r="A1008" t="s">
        <v>688</v>
      </c>
      <c r="B1008" t="s">
        <v>162</v>
      </c>
      <c r="C1008" t="s">
        <v>170</v>
      </c>
      <c r="D1008" t="s">
        <v>689</v>
      </c>
      <c r="E1008" t="s">
        <v>771</v>
      </c>
      <c r="F1008">
        <v>6</v>
      </c>
      <c r="G1008" s="308">
        <f>'BECA MEDIA'!V147</f>
        <v>1.6</v>
      </c>
      <c r="H1008" s="308">
        <f>'BECA MEDIA'!W147</f>
        <v>4000</v>
      </c>
    </row>
    <row r="1009" spans="1:8" x14ac:dyDescent="0.3">
      <c r="A1009" t="s">
        <v>688</v>
      </c>
      <c r="B1009" t="s">
        <v>162</v>
      </c>
      <c r="C1009" t="s">
        <v>170</v>
      </c>
      <c r="D1009" t="s">
        <v>689</v>
      </c>
      <c r="E1009" t="s">
        <v>772</v>
      </c>
      <c r="F1009">
        <v>7</v>
      </c>
      <c r="G1009" s="308">
        <f>'BECA MEDIA'!Y147</f>
        <v>0</v>
      </c>
      <c r="H1009" s="308">
        <f>'BECA MEDIA'!Z147</f>
        <v>0</v>
      </c>
    </row>
    <row r="1010" spans="1:8" x14ac:dyDescent="0.3">
      <c r="A1010" t="s">
        <v>688</v>
      </c>
      <c r="B1010" t="s">
        <v>162</v>
      </c>
      <c r="C1010" t="s">
        <v>162</v>
      </c>
      <c r="D1010" t="s">
        <v>689</v>
      </c>
      <c r="E1010" t="s">
        <v>766</v>
      </c>
      <c r="F1010">
        <v>1</v>
      </c>
      <c r="G1010" s="308">
        <f>'BECA MEDIA'!G148</f>
        <v>0</v>
      </c>
      <c r="H1010" s="308">
        <f>'BECA MEDIA'!H148</f>
        <v>0</v>
      </c>
    </row>
    <row r="1011" spans="1:8" x14ac:dyDescent="0.3">
      <c r="A1011" t="s">
        <v>688</v>
      </c>
      <c r="B1011" t="s">
        <v>162</v>
      </c>
      <c r="C1011" t="s">
        <v>162</v>
      </c>
      <c r="D1011" t="s">
        <v>689</v>
      </c>
      <c r="E1011" t="s">
        <v>767</v>
      </c>
      <c r="F1011">
        <v>2</v>
      </c>
      <c r="G1011" s="308">
        <f>'BECA MEDIA'!J148</f>
        <v>0</v>
      </c>
      <c r="H1011" s="308">
        <f>'BECA MEDIA'!K148</f>
        <v>0</v>
      </c>
    </row>
    <row r="1012" spans="1:8" x14ac:dyDescent="0.3">
      <c r="A1012" t="s">
        <v>688</v>
      </c>
      <c r="B1012" t="s">
        <v>162</v>
      </c>
      <c r="C1012" t="s">
        <v>162</v>
      </c>
      <c r="D1012" t="s">
        <v>689</v>
      </c>
      <c r="E1012" t="s">
        <v>768</v>
      </c>
      <c r="F1012">
        <v>3</v>
      </c>
      <c r="G1012" s="308">
        <f>'BECA MEDIA'!M148</f>
        <v>4.8</v>
      </c>
      <c r="H1012" s="308">
        <f>'BECA MEDIA'!N148</f>
        <v>12000</v>
      </c>
    </row>
    <row r="1013" spans="1:8" x14ac:dyDescent="0.3">
      <c r="A1013" t="s">
        <v>688</v>
      </c>
      <c r="B1013" t="s">
        <v>162</v>
      </c>
      <c r="C1013" t="s">
        <v>162</v>
      </c>
      <c r="D1013" t="s">
        <v>689</v>
      </c>
      <c r="E1013" t="s">
        <v>769</v>
      </c>
      <c r="F1013">
        <v>4</v>
      </c>
      <c r="G1013" s="308">
        <f>'BECA MEDIA'!P148</f>
        <v>2.4</v>
      </c>
      <c r="H1013" s="308">
        <f>'BECA MEDIA'!Q148</f>
        <v>6000</v>
      </c>
    </row>
    <row r="1014" spans="1:8" x14ac:dyDescent="0.3">
      <c r="A1014" t="s">
        <v>688</v>
      </c>
      <c r="B1014" t="s">
        <v>162</v>
      </c>
      <c r="C1014" t="s">
        <v>162</v>
      </c>
      <c r="D1014" t="s">
        <v>689</v>
      </c>
      <c r="E1014" t="s">
        <v>770</v>
      </c>
      <c r="F1014">
        <v>5</v>
      </c>
      <c r="G1014" s="308">
        <f>'BECA MEDIA'!S148</f>
        <v>0</v>
      </c>
      <c r="H1014" s="308">
        <f>'BECA MEDIA'!T148</f>
        <v>0</v>
      </c>
    </row>
    <row r="1015" spans="1:8" x14ac:dyDescent="0.3">
      <c r="A1015" t="s">
        <v>688</v>
      </c>
      <c r="B1015" t="s">
        <v>162</v>
      </c>
      <c r="C1015" t="s">
        <v>162</v>
      </c>
      <c r="D1015" t="s">
        <v>689</v>
      </c>
      <c r="E1015" t="s">
        <v>771</v>
      </c>
      <c r="F1015">
        <v>6</v>
      </c>
      <c r="G1015" s="308">
        <f>'BECA MEDIA'!V148</f>
        <v>6.4</v>
      </c>
      <c r="H1015" s="308">
        <f>'BECA MEDIA'!W148</f>
        <v>16000</v>
      </c>
    </row>
    <row r="1016" spans="1:8" x14ac:dyDescent="0.3">
      <c r="A1016" t="s">
        <v>688</v>
      </c>
      <c r="B1016" t="s">
        <v>162</v>
      </c>
      <c r="C1016" t="s">
        <v>162</v>
      </c>
      <c r="D1016" t="s">
        <v>689</v>
      </c>
      <c r="E1016" t="s">
        <v>772</v>
      </c>
      <c r="F1016">
        <v>7</v>
      </c>
      <c r="G1016" s="308">
        <f>'BECA MEDIA'!Y148</f>
        <v>0</v>
      </c>
      <c r="H1016" s="308">
        <f>'BECA MEDIA'!Z148</f>
        <v>0</v>
      </c>
    </row>
    <row r="1017" spans="1:8" x14ac:dyDescent="0.3">
      <c r="A1017" t="s">
        <v>688</v>
      </c>
      <c r="B1017" t="s">
        <v>162</v>
      </c>
      <c r="C1017" t="s">
        <v>171</v>
      </c>
      <c r="D1017" t="s">
        <v>689</v>
      </c>
      <c r="E1017" t="s">
        <v>766</v>
      </c>
      <c r="F1017">
        <v>1</v>
      </c>
      <c r="G1017" s="308">
        <f>'BECA MEDIA'!G149</f>
        <v>0</v>
      </c>
      <c r="H1017" s="308">
        <f>'BECA MEDIA'!H149</f>
        <v>0</v>
      </c>
    </row>
    <row r="1018" spans="1:8" x14ac:dyDescent="0.3">
      <c r="A1018" t="s">
        <v>688</v>
      </c>
      <c r="B1018" t="s">
        <v>162</v>
      </c>
      <c r="C1018" t="s">
        <v>171</v>
      </c>
      <c r="D1018" t="s">
        <v>689</v>
      </c>
      <c r="E1018" t="s">
        <v>767</v>
      </c>
      <c r="F1018">
        <v>2</v>
      </c>
      <c r="G1018" s="308">
        <f>'BECA MEDIA'!J149</f>
        <v>0</v>
      </c>
      <c r="H1018" s="308">
        <f>'BECA MEDIA'!K149</f>
        <v>0</v>
      </c>
    </row>
    <row r="1019" spans="1:8" x14ac:dyDescent="0.3">
      <c r="A1019" t="s">
        <v>688</v>
      </c>
      <c r="B1019" t="s">
        <v>162</v>
      </c>
      <c r="C1019" t="s">
        <v>171</v>
      </c>
      <c r="D1019" t="s">
        <v>689</v>
      </c>
      <c r="E1019" t="s">
        <v>768</v>
      </c>
      <c r="F1019">
        <v>3</v>
      </c>
      <c r="G1019" s="308">
        <f>'BECA MEDIA'!M149</f>
        <v>10</v>
      </c>
      <c r="H1019" s="308">
        <f>'BECA MEDIA'!N149</f>
        <v>25000</v>
      </c>
    </row>
    <row r="1020" spans="1:8" x14ac:dyDescent="0.3">
      <c r="A1020" t="s">
        <v>688</v>
      </c>
      <c r="B1020" t="s">
        <v>162</v>
      </c>
      <c r="C1020" t="s">
        <v>171</v>
      </c>
      <c r="D1020" t="s">
        <v>689</v>
      </c>
      <c r="E1020" t="s">
        <v>769</v>
      </c>
      <c r="F1020">
        <v>4</v>
      </c>
      <c r="G1020" s="308">
        <f>'BECA MEDIA'!P149</f>
        <v>2</v>
      </c>
      <c r="H1020" s="308">
        <f>'BECA MEDIA'!Q149</f>
        <v>5000</v>
      </c>
    </row>
    <row r="1021" spans="1:8" x14ac:dyDescent="0.3">
      <c r="A1021" t="s">
        <v>688</v>
      </c>
      <c r="B1021" t="s">
        <v>162</v>
      </c>
      <c r="C1021" t="s">
        <v>171</v>
      </c>
      <c r="D1021" t="s">
        <v>689</v>
      </c>
      <c r="E1021" t="s">
        <v>770</v>
      </c>
      <c r="F1021">
        <v>5</v>
      </c>
      <c r="G1021" s="308">
        <f>'BECA MEDIA'!S149</f>
        <v>0</v>
      </c>
      <c r="H1021" s="308">
        <f>'BECA MEDIA'!T149</f>
        <v>0</v>
      </c>
    </row>
    <row r="1022" spans="1:8" x14ac:dyDescent="0.3">
      <c r="A1022" t="s">
        <v>688</v>
      </c>
      <c r="B1022" t="s">
        <v>162</v>
      </c>
      <c r="C1022" t="s">
        <v>171</v>
      </c>
      <c r="D1022" t="s">
        <v>689</v>
      </c>
      <c r="E1022" t="s">
        <v>771</v>
      </c>
      <c r="F1022">
        <v>6</v>
      </c>
      <c r="G1022" s="308">
        <f>'BECA MEDIA'!V149</f>
        <v>12</v>
      </c>
      <c r="H1022" s="308">
        <f>'BECA MEDIA'!W149</f>
        <v>30000</v>
      </c>
    </row>
    <row r="1023" spans="1:8" x14ac:dyDescent="0.3">
      <c r="A1023" t="s">
        <v>688</v>
      </c>
      <c r="B1023" t="s">
        <v>162</v>
      </c>
      <c r="C1023" t="s">
        <v>171</v>
      </c>
      <c r="D1023" t="s">
        <v>689</v>
      </c>
      <c r="E1023" t="s">
        <v>772</v>
      </c>
      <c r="F1023">
        <v>7</v>
      </c>
      <c r="G1023" s="308">
        <f>'BECA MEDIA'!Y149</f>
        <v>0</v>
      </c>
      <c r="H1023" s="308">
        <f>'BECA MEDIA'!Z149</f>
        <v>0</v>
      </c>
    </row>
    <row r="1024" spans="1:8" x14ac:dyDescent="0.3">
      <c r="A1024" t="s">
        <v>688</v>
      </c>
      <c r="B1024" t="s">
        <v>162</v>
      </c>
      <c r="C1024" t="s">
        <v>172</v>
      </c>
      <c r="D1024" t="s">
        <v>689</v>
      </c>
      <c r="E1024" t="s">
        <v>766</v>
      </c>
      <c r="F1024">
        <v>1</v>
      </c>
      <c r="G1024" s="308">
        <f>'BECA MEDIA'!G150</f>
        <v>0</v>
      </c>
      <c r="H1024" s="308">
        <f>'BECA MEDIA'!H150</f>
        <v>0</v>
      </c>
    </row>
    <row r="1025" spans="1:8" x14ac:dyDescent="0.3">
      <c r="A1025" t="s">
        <v>688</v>
      </c>
      <c r="B1025" t="s">
        <v>162</v>
      </c>
      <c r="C1025" t="s">
        <v>172</v>
      </c>
      <c r="D1025" t="s">
        <v>689</v>
      </c>
      <c r="E1025" t="s">
        <v>767</v>
      </c>
      <c r="F1025">
        <v>2</v>
      </c>
      <c r="G1025" s="308">
        <f>'BECA MEDIA'!J150</f>
        <v>0</v>
      </c>
      <c r="H1025" s="308">
        <f>'BECA MEDIA'!K150</f>
        <v>0</v>
      </c>
    </row>
    <row r="1026" spans="1:8" x14ac:dyDescent="0.3">
      <c r="A1026" t="s">
        <v>688</v>
      </c>
      <c r="B1026" t="s">
        <v>162</v>
      </c>
      <c r="C1026" t="s">
        <v>172</v>
      </c>
      <c r="D1026" t="s">
        <v>689</v>
      </c>
      <c r="E1026" t="s">
        <v>768</v>
      </c>
      <c r="F1026">
        <v>3</v>
      </c>
      <c r="G1026" s="308">
        <f>'BECA MEDIA'!M150</f>
        <v>11.6</v>
      </c>
      <c r="H1026" s="308">
        <f>'BECA MEDIA'!N150</f>
        <v>29000</v>
      </c>
    </row>
    <row r="1027" spans="1:8" x14ac:dyDescent="0.3">
      <c r="A1027" t="s">
        <v>688</v>
      </c>
      <c r="B1027" t="s">
        <v>162</v>
      </c>
      <c r="C1027" t="s">
        <v>172</v>
      </c>
      <c r="D1027" t="s">
        <v>689</v>
      </c>
      <c r="E1027" t="s">
        <v>769</v>
      </c>
      <c r="F1027">
        <v>4</v>
      </c>
      <c r="G1027" s="308">
        <f>'BECA MEDIA'!P150</f>
        <v>5.2</v>
      </c>
      <c r="H1027" s="308">
        <f>'BECA MEDIA'!Q150</f>
        <v>13000</v>
      </c>
    </row>
    <row r="1028" spans="1:8" x14ac:dyDescent="0.3">
      <c r="A1028" t="s">
        <v>688</v>
      </c>
      <c r="B1028" t="s">
        <v>162</v>
      </c>
      <c r="C1028" t="s">
        <v>172</v>
      </c>
      <c r="D1028" t="s">
        <v>689</v>
      </c>
      <c r="E1028" t="s">
        <v>770</v>
      </c>
      <c r="F1028">
        <v>5</v>
      </c>
      <c r="G1028" s="308">
        <f>'BECA MEDIA'!S150</f>
        <v>0</v>
      </c>
      <c r="H1028" s="308">
        <f>'BECA MEDIA'!T150</f>
        <v>0</v>
      </c>
    </row>
    <row r="1029" spans="1:8" x14ac:dyDescent="0.3">
      <c r="A1029" t="s">
        <v>688</v>
      </c>
      <c r="B1029" t="s">
        <v>162</v>
      </c>
      <c r="C1029" t="s">
        <v>172</v>
      </c>
      <c r="D1029" t="s">
        <v>689</v>
      </c>
      <c r="E1029" t="s">
        <v>771</v>
      </c>
      <c r="F1029">
        <v>6</v>
      </c>
      <c r="G1029" s="308">
        <f>'BECA MEDIA'!V150</f>
        <v>17.2</v>
      </c>
      <c r="H1029" s="308">
        <f>'BECA MEDIA'!W150</f>
        <v>43000</v>
      </c>
    </row>
    <row r="1030" spans="1:8" x14ac:dyDescent="0.3">
      <c r="A1030" t="s">
        <v>688</v>
      </c>
      <c r="B1030" t="s">
        <v>162</v>
      </c>
      <c r="C1030" t="s">
        <v>172</v>
      </c>
      <c r="D1030" t="s">
        <v>689</v>
      </c>
      <c r="E1030" t="s">
        <v>772</v>
      </c>
      <c r="F1030">
        <v>7</v>
      </c>
      <c r="G1030" s="308">
        <f>'BECA MEDIA'!Y150</f>
        <v>0</v>
      </c>
      <c r="H1030" s="308">
        <f>'BECA MEDIA'!Z150</f>
        <v>0</v>
      </c>
    </row>
    <row r="1031" spans="1:8" x14ac:dyDescent="0.3">
      <c r="A1031" t="s">
        <v>688</v>
      </c>
      <c r="B1031" t="s">
        <v>162</v>
      </c>
      <c r="C1031" t="s">
        <v>173</v>
      </c>
      <c r="D1031" t="s">
        <v>689</v>
      </c>
      <c r="E1031" t="s">
        <v>766</v>
      </c>
      <c r="F1031">
        <v>1</v>
      </c>
      <c r="G1031" s="308">
        <f>'BECA MEDIA'!G151</f>
        <v>0</v>
      </c>
      <c r="H1031" s="308">
        <f>'BECA MEDIA'!H151</f>
        <v>0</v>
      </c>
    </row>
    <row r="1032" spans="1:8" x14ac:dyDescent="0.3">
      <c r="A1032" t="s">
        <v>688</v>
      </c>
      <c r="B1032" t="s">
        <v>162</v>
      </c>
      <c r="C1032" t="s">
        <v>173</v>
      </c>
      <c r="D1032" t="s">
        <v>689</v>
      </c>
      <c r="E1032" t="s">
        <v>767</v>
      </c>
      <c r="F1032">
        <v>2</v>
      </c>
      <c r="G1032" s="308">
        <f>'BECA MEDIA'!J151</f>
        <v>0</v>
      </c>
      <c r="H1032" s="308">
        <f>'BECA MEDIA'!K151</f>
        <v>0</v>
      </c>
    </row>
    <row r="1033" spans="1:8" x14ac:dyDescent="0.3">
      <c r="A1033" t="s">
        <v>688</v>
      </c>
      <c r="B1033" t="s">
        <v>162</v>
      </c>
      <c r="C1033" t="s">
        <v>173</v>
      </c>
      <c r="D1033" t="s">
        <v>689</v>
      </c>
      <c r="E1033" t="s">
        <v>768</v>
      </c>
      <c r="F1033">
        <v>3</v>
      </c>
      <c r="G1033" s="308">
        <f>'BECA MEDIA'!M151</f>
        <v>2.4</v>
      </c>
      <c r="H1033" s="308">
        <f>'BECA MEDIA'!N151</f>
        <v>6000</v>
      </c>
    </row>
    <row r="1034" spans="1:8" x14ac:dyDescent="0.3">
      <c r="A1034" t="s">
        <v>688</v>
      </c>
      <c r="B1034" t="s">
        <v>162</v>
      </c>
      <c r="C1034" t="s">
        <v>173</v>
      </c>
      <c r="D1034" t="s">
        <v>689</v>
      </c>
      <c r="E1034" t="s">
        <v>769</v>
      </c>
      <c r="F1034">
        <v>4</v>
      </c>
      <c r="G1034" s="308">
        <f>'BECA MEDIA'!P151</f>
        <v>1.6</v>
      </c>
      <c r="H1034" s="308">
        <f>'BECA MEDIA'!Q151</f>
        <v>4000</v>
      </c>
    </row>
    <row r="1035" spans="1:8" x14ac:dyDescent="0.3">
      <c r="A1035" t="s">
        <v>688</v>
      </c>
      <c r="B1035" t="s">
        <v>162</v>
      </c>
      <c r="C1035" t="s">
        <v>173</v>
      </c>
      <c r="D1035" t="s">
        <v>689</v>
      </c>
      <c r="E1035" t="s">
        <v>770</v>
      </c>
      <c r="F1035">
        <v>5</v>
      </c>
      <c r="G1035" s="308">
        <f>'BECA MEDIA'!S151</f>
        <v>0</v>
      </c>
      <c r="H1035" s="308">
        <f>'BECA MEDIA'!T151</f>
        <v>0</v>
      </c>
    </row>
    <row r="1036" spans="1:8" x14ac:dyDescent="0.3">
      <c r="A1036" t="s">
        <v>688</v>
      </c>
      <c r="B1036" t="s">
        <v>162</v>
      </c>
      <c r="C1036" t="s">
        <v>173</v>
      </c>
      <c r="D1036" t="s">
        <v>689</v>
      </c>
      <c r="E1036" t="s">
        <v>771</v>
      </c>
      <c r="F1036">
        <v>6</v>
      </c>
      <c r="G1036" s="308">
        <f>'BECA MEDIA'!V151</f>
        <v>4</v>
      </c>
      <c r="H1036" s="308">
        <f>'BECA MEDIA'!W151</f>
        <v>10000</v>
      </c>
    </row>
    <row r="1037" spans="1:8" x14ac:dyDescent="0.3">
      <c r="A1037" t="s">
        <v>688</v>
      </c>
      <c r="B1037" t="s">
        <v>162</v>
      </c>
      <c r="C1037" t="s">
        <v>173</v>
      </c>
      <c r="D1037" t="s">
        <v>689</v>
      </c>
      <c r="E1037" t="s">
        <v>772</v>
      </c>
      <c r="F1037">
        <v>7</v>
      </c>
      <c r="G1037" s="308">
        <f>'BECA MEDIA'!Y151</f>
        <v>0</v>
      </c>
      <c r="H1037" s="308">
        <f>'BECA MEDIA'!Z151</f>
        <v>0</v>
      </c>
    </row>
    <row r="1038" spans="1:8" x14ac:dyDescent="0.3">
      <c r="A1038" t="s">
        <v>688</v>
      </c>
      <c r="B1038" t="s">
        <v>162</v>
      </c>
      <c r="C1038" t="s">
        <v>174</v>
      </c>
      <c r="D1038" t="s">
        <v>689</v>
      </c>
      <c r="E1038" t="s">
        <v>766</v>
      </c>
      <c r="F1038">
        <v>1</v>
      </c>
      <c r="G1038" s="308">
        <f>'BECA MEDIA'!G152</f>
        <v>0</v>
      </c>
      <c r="H1038" s="308">
        <f>'BECA MEDIA'!H152</f>
        <v>0</v>
      </c>
    </row>
    <row r="1039" spans="1:8" x14ac:dyDescent="0.3">
      <c r="A1039" t="s">
        <v>688</v>
      </c>
      <c r="B1039" t="s">
        <v>162</v>
      </c>
      <c r="C1039" t="s">
        <v>174</v>
      </c>
      <c r="D1039" t="s">
        <v>689</v>
      </c>
      <c r="E1039" t="s">
        <v>767</v>
      </c>
      <c r="F1039">
        <v>2</v>
      </c>
      <c r="G1039" s="308">
        <f>'BECA MEDIA'!J152</f>
        <v>0</v>
      </c>
      <c r="H1039" s="308">
        <f>'BECA MEDIA'!K152</f>
        <v>0</v>
      </c>
    </row>
    <row r="1040" spans="1:8" x14ac:dyDescent="0.3">
      <c r="A1040" t="s">
        <v>688</v>
      </c>
      <c r="B1040" t="s">
        <v>162</v>
      </c>
      <c r="C1040" t="s">
        <v>174</v>
      </c>
      <c r="D1040" t="s">
        <v>689</v>
      </c>
      <c r="E1040" t="s">
        <v>768</v>
      </c>
      <c r="F1040">
        <v>3</v>
      </c>
      <c r="G1040" s="308">
        <f>'BECA MEDIA'!M152</f>
        <v>3.2</v>
      </c>
      <c r="H1040" s="308">
        <f>'BECA MEDIA'!N152</f>
        <v>8000</v>
      </c>
    </row>
    <row r="1041" spans="1:8" x14ac:dyDescent="0.3">
      <c r="A1041" t="s">
        <v>688</v>
      </c>
      <c r="B1041" t="s">
        <v>162</v>
      </c>
      <c r="C1041" t="s">
        <v>174</v>
      </c>
      <c r="D1041" t="s">
        <v>689</v>
      </c>
      <c r="E1041" t="s">
        <v>769</v>
      </c>
      <c r="F1041">
        <v>4</v>
      </c>
      <c r="G1041" s="308">
        <f>'BECA MEDIA'!P152</f>
        <v>0.4</v>
      </c>
      <c r="H1041" s="308">
        <f>'BECA MEDIA'!Q152</f>
        <v>1000</v>
      </c>
    </row>
    <row r="1042" spans="1:8" x14ac:dyDescent="0.3">
      <c r="A1042" t="s">
        <v>688</v>
      </c>
      <c r="B1042" t="s">
        <v>162</v>
      </c>
      <c r="C1042" t="s">
        <v>174</v>
      </c>
      <c r="D1042" t="s">
        <v>689</v>
      </c>
      <c r="E1042" t="s">
        <v>770</v>
      </c>
      <c r="F1042">
        <v>5</v>
      </c>
      <c r="G1042" s="308">
        <f>'BECA MEDIA'!S152</f>
        <v>0</v>
      </c>
      <c r="H1042" s="308">
        <f>'BECA MEDIA'!T152</f>
        <v>0</v>
      </c>
    </row>
    <row r="1043" spans="1:8" x14ac:dyDescent="0.3">
      <c r="A1043" t="s">
        <v>688</v>
      </c>
      <c r="B1043" t="s">
        <v>162</v>
      </c>
      <c r="C1043" t="s">
        <v>174</v>
      </c>
      <c r="D1043" t="s">
        <v>689</v>
      </c>
      <c r="E1043" t="s">
        <v>771</v>
      </c>
      <c r="F1043">
        <v>6</v>
      </c>
      <c r="G1043" s="308">
        <f>'BECA MEDIA'!V152</f>
        <v>4</v>
      </c>
      <c r="H1043" s="308">
        <f>'BECA MEDIA'!W152</f>
        <v>10000</v>
      </c>
    </row>
    <row r="1044" spans="1:8" x14ac:dyDescent="0.3">
      <c r="A1044" t="s">
        <v>688</v>
      </c>
      <c r="B1044" t="s">
        <v>162</v>
      </c>
      <c r="C1044" t="s">
        <v>174</v>
      </c>
      <c r="D1044" t="s">
        <v>689</v>
      </c>
      <c r="E1044" t="s">
        <v>772</v>
      </c>
      <c r="F1044">
        <v>7</v>
      </c>
      <c r="G1044" s="308">
        <f>'BECA MEDIA'!Y152</f>
        <v>0</v>
      </c>
      <c r="H1044" s="308">
        <f>'BECA MEDIA'!Z152</f>
        <v>0</v>
      </c>
    </row>
    <row r="1045" spans="1:8" x14ac:dyDescent="0.3">
      <c r="A1045" t="s">
        <v>688</v>
      </c>
      <c r="B1045" t="s">
        <v>162</v>
      </c>
      <c r="C1045" t="s">
        <v>175</v>
      </c>
      <c r="D1045" t="s">
        <v>689</v>
      </c>
      <c r="E1045" t="s">
        <v>766</v>
      </c>
      <c r="F1045">
        <v>1</v>
      </c>
      <c r="G1045" s="308">
        <f>'BECA MEDIA'!G153</f>
        <v>0</v>
      </c>
      <c r="H1045" s="308">
        <f>'BECA MEDIA'!H153</f>
        <v>0</v>
      </c>
    </row>
    <row r="1046" spans="1:8" x14ac:dyDescent="0.3">
      <c r="A1046" t="s">
        <v>688</v>
      </c>
      <c r="B1046" t="s">
        <v>162</v>
      </c>
      <c r="C1046" t="s">
        <v>175</v>
      </c>
      <c r="D1046" t="s">
        <v>689</v>
      </c>
      <c r="E1046" t="s">
        <v>767</v>
      </c>
      <c r="F1046">
        <v>2</v>
      </c>
      <c r="G1046" s="308">
        <f>'BECA MEDIA'!J153</f>
        <v>0</v>
      </c>
      <c r="H1046" s="308">
        <f>'BECA MEDIA'!K153</f>
        <v>0</v>
      </c>
    </row>
    <row r="1047" spans="1:8" x14ac:dyDescent="0.3">
      <c r="A1047" t="s">
        <v>688</v>
      </c>
      <c r="B1047" t="s">
        <v>162</v>
      </c>
      <c r="C1047" t="s">
        <v>175</v>
      </c>
      <c r="D1047" t="s">
        <v>689</v>
      </c>
      <c r="E1047" t="s">
        <v>768</v>
      </c>
      <c r="F1047">
        <v>3</v>
      </c>
      <c r="G1047" s="308">
        <f>'BECA MEDIA'!M153</f>
        <v>2.4</v>
      </c>
      <c r="H1047" s="308">
        <f>'BECA MEDIA'!N153</f>
        <v>6000</v>
      </c>
    </row>
    <row r="1048" spans="1:8" x14ac:dyDescent="0.3">
      <c r="A1048" t="s">
        <v>688</v>
      </c>
      <c r="B1048" t="s">
        <v>162</v>
      </c>
      <c r="C1048" t="s">
        <v>175</v>
      </c>
      <c r="D1048" t="s">
        <v>689</v>
      </c>
      <c r="E1048" t="s">
        <v>769</v>
      </c>
      <c r="F1048">
        <v>4</v>
      </c>
      <c r="G1048" s="308">
        <f>'BECA MEDIA'!P153</f>
        <v>2.8</v>
      </c>
      <c r="H1048" s="308">
        <f>'BECA MEDIA'!Q153</f>
        <v>7000</v>
      </c>
    </row>
    <row r="1049" spans="1:8" x14ac:dyDescent="0.3">
      <c r="A1049" t="s">
        <v>688</v>
      </c>
      <c r="B1049" t="s">
        <v>162</v>
      </c>
      <c r="C1049" t="s">
        <v>175</v>
      </c>
      <c r="D1049" t="s">
        <v>689</v>
      </c>
      <c r="E1049" t="s">
        <v>770</v>
      </c>
      <c r="F1049">
        <v>5</v>
      </c>
      <c r="G1049" s="308">
        <f>'BECA MEDIA'!S153</f>
        <v>0</v>
      </c>
      <c r="H1049" s="308">
        <f>'BECA MEDIA'!T153</f>
        <v>0</v>
      </c>
    </row>
    <row r="1050" spans="1:8" x14ac:dyDescent="0.3">
      <c r="A1050" t="s">
        <v>688</v>
      </c>
      <c r="B1050" t="s">
        <v>162</v>
      </c>
      <c r="C1050" t="s">
        <v>175</v>
      </c>
      <c r="D1050" t="s">
        <v>689</v>
      </c>
      <c r="E1050" t="s">
        <v>771</v>
      </c>
      <c r="F1050">
        <v>6</v>
      </c>
      <c r="G1050" s="308">
        <f>'BECA MEDIA'!V153</f>
        <v>5.2</v>
      </c>
      <c r="H1050" s="308">
        <f>'BECA MEDIA'!W153</f>
        <v>13000</v>
      </c>
    </row>
    <row r="1051" spans="1:8" x14ac:dyDescent="0.3">
      <c r="A1051" t="s">
        <v>688</v>
      </c>
      <c r="B1051" t="s">
        <v>162</v>
      </c>
      <c r="C1051" t="s">
        <v>175</v>
      </c>
      <c r="D1051" t="s">
        <v>689</v>
      </c>
      <c r="E1051" t="s">
        <v>772</v>
      </c>
      <c r="F1051">
        <v>7</v>
      </c>
      <c r="G1051" s="308">
        <f>'BECA MEDIA'!Y153</f>
        <v>0</v>
      </c>
      <c r="H1051" s="308">
        <f>'BECA MEDIA'!Z153</f>
        <v>0</v>
      </c>
    </row>
    <row r="1052" spans="1:8" x14ac:dyDescent="0.3">
      <c r="A1052" t="s">
        <v>688</v>
      </c>
      <c r="B1052" t="s">
        <v>162</v>
      </c>
      <c r="C1052" t="s">
        <v>176</v>
      </c>
      <c r="D1052" t="s">
        <v>689</v>
      </c>
      <c r="E1052" t="s">
        <v>766</v>
      </c>
      <c r="F1052">
        <v>1</v>
      </c>
      <c r="G1052" s="308">
        <f>'BECA MEDIA'!G154</f>
        <v>0</v>
      </c>
      <c r="H1052" s="308">
        <f>'BECA MEDIA'!H154</f>
        <v>0</v>
      </c>
    </row>
    <row r="1053" spans="1:8" x14ac:dyDescent="0.3">
      <c r="A1053" t="s">
        <v>688</v>
      </c>
      <c r="B1053" t="s">
        <v>162</v>
      </c>
      <c r="C1053" t="s">
        <v>176</v>
      </c>
      <c r="D1053" t="s">
        <v>689</v>
      </c>
      <c r="E1053" t="s">
        <v>767</v>
      </c>
      <c r="F1053">
        <v>2</v>
      </c>
      <c r="G1053" s="308">
        <f>'BECA MEDIA'!J154</f>
        <v>0</v>
      </c>
      <c r="H1053" s="308">
        <f>'BECA MEDIA'!K154</f>
        <v>0</v>
      </c>
    </row>
    <row r="1054" spans="1:8" x14ac:dyDescent="0.3">
      <c r="A1054" t="s">
        <v>688</v>
      </c>
      <c r="B1054" t="s">
        <v>162</v>
      </c>
      <c r="C1054" t="s">
        <v>176</v>
      </c>
      <c r="D1054" t="s">
        <v>689</v>
      </c>
      <c r="E1054" t="s">
        <v>768</v>
      </c>
      <c r="F1054">
        <v>3</v>
      </c>
      <c r="G1054" s="308">
        <f>'BECA MEDIA'!M154</f>
        <v>4.8</v>
      </c>
      <c r="H1054" s="308">
        <f>'BECA MEDIA'!N154</f>
        <v>12000</v>
      </c>
    </row>
    <row r="1055" spans="1:8" x14ac:dyDescent="0.3">
      <c r="A1055" t="s">
        <v>688</v>
      </c>
      <c r="B1055" t="s">
        <v>162</v>
      </c>
      <c r="C1055" t="s">
        <v>176</v>
      </c>
      <c r="D1055" t="s">
        <v>689</v>
      </c>
      <c r="E1055" t="s">
        <v>769</v>
      </c>
      <c r="F1055">
        <v>4</v>
      </c>
      <c r="G1055" s="308">
        <f>'BECA MEDIA'!P154</f>
        <v>0.4</v>
      </c>
      <c r="H1055" s="308">
        <f>'BECA MEDIA'!Q154</f>
        <v>1000</v>
      </c>
    </row>
    <row r="1056" spans="1:8" x14ac:dyDescent="0.3">
      <c r="A1056" t="s">
        <v>688</v>
      </c>
      <c r="B1056" t="s">
        <v>162</v>
      </c>
      <c r="C1056" t="s">
        <v>176</v>
      </c>
      <c r="D1056" t="s">
        <v>689</v>
      </c>
      <c r="E1056" t="s">
        <v>770</v>
      </c>
      <c r="F1056">
        <v>5</v>
      </c>
      <c r="G1056" s="308">
        <f>'BECA MEDIA'!S154</f>
        <v>0</v>
      </c>
      <c r="H1056" s="308">
        <f>'BECA MEDIA'!T154</f>
        <v>0</v>
      </c>
    </row>
    <row r="1057" spans="1:8" x14ac:dyDescent="0.3">
      <c r="A1057" t="s">
        <v>688</v>
      </c>
      <c r="B1057" t="s">
        <v>162</v>
      </c>
      <c r="C1057" t="s">
        <v>176</v>
      </c>
      <c r="D1057" t="s">
        <v>689</v>
      </c>
      <c r="E1057" t="s">
        <v>771</v>
      </c>
      <c r="F1057">
        <v>6</v>
      </c>
      <c r="G1057" s="308">
        <f>'BECA MEDIA'!V154</f>
        <v>4.8</v>
      </c>
      <c r="H1057" s="308">
        <f>'BECA MEDIA'!W154</f>
        <v>12000</v>
      </c>
    </row>
    <row r="1058" spans="1:8" x14ac:dyDescent="0.3">
      <c r="A1058" t="s">
        <v>688</v>
      </c>
      <c r="B1058" t="s">
        <v>162</v>
      </c>
      <c r="C1058" t="s">
        <v>176</v>
      </c>
      <c r="D1058" t="s">
        <v>689</v>
      </c>
      <c r="E1058" t="s">
        <v>772</v>
      </c>
      <c r="F1058">
        <v>7</v>
      </c>
      <c r="G1058" s="308">
        <f>'BECA MEDIA'!Y154</f>
        <v>0</v>
      </c>
      <c r="H1058" s="308">
        <f>'BECA MEDIA'!Z154</f>
        <v>0</v>
      </c>
    </row>
    <row r="1059" spans="1:8" x14ac:dyDescent="0.3">
      <c r="A1059" t="s">
        <v>688</v>
      </c>
      <c r="B1059" t="s">
        <v>162</v>
      </c>
      <c r="C1059" t="s">
        <v>177</v>
      </c>
      <c r="D1059" t="s">
        <v>689</v>
      </c>
      <c r="E1059" t="s">
        <v>766</v>
      </c>
      <c r="F1059">
        <v>1</v>
      </c>
      <c r="G1059" s="308">
        <f>'BECA MEDIA'!G155</f>
        <v>0</v>
      </c>
      <c r="H1059" s="308">
        <f>'BECA MEDIA'!H155</f>
        <v>0</v>
      </c>
    </row>
    <row r="1060" spans="1:8" x14ac:dyDescent="0.3">
      <c r="A1060" t="s">
        <v>688</v>
      </c>
      <c r="B1060" t="s">
        <v>162</v>
      </c>
      <c r="C1060" t="s">
        <v>177</v>
      </c>
      <c r="D1060" t="s">
        <v>689</v>
      </c>
      <c r="E1060" t="s">
        <v>767</v>
      </c>
      <c r="F1060">
        <v>2</v>
      </c>
      <c r="G1060" s="308">
        <f>'BECA MEDIA'!J155</f>
        <v>0</v>
      </c>
      <c r="H1060" s="308">
        <f>'BECA MEDIA'!K155</f>
        <v>0</v>
      </c>
    </row>
    <row r="1061" spans="1:8" x14ac:dyDescent="0.3">
      <c r="A1061" t="s">
        <v>688</v>
      </c>
      <c r="B1061" t="s">
        <v>162</v>
      </c>
      <c r="C1061" t="s">
        <v>177</v>
      </c>
      <c r="D1061" t="s">
        <v>689</v>
      </c>
      <c r="E1061" t="s">
        <v>768</v>
      </c>
      <c r="F1061">
        <v>3</v>
      </c>
      <c r="G1061" s="308">
        <f>'BECA MEDIA'!M155</f>
        <v>4.4000000000000004</v>
      </c>
      <c r="H1061" s="308">
        <f>'BECA MEDIA'!N155</f>
        <v>11000</v>
      </c>
    </row>
    <row r="1062" spans="1:8" x14ac:dyDescent="0.3">
      <c r="A1062" t="s">
        <v>688</v>
      </c>
      <c r="B1062" t="s">
        <v>162</v>
      </c>
      <c r="C1062" t="s">
        <v>177</v>
      </c>
      <c r="D1062" t="s">
        <v>689</v>
      </c>
      <c r="E1062" t="s">
        <v>769</v>
      </c>
      <c r="F1062">
        <v>4</v>
      </c>
      <c r="G1062" s="308">
        <f>'BECA MEDIA'!P155</f>
        <v>2</v>
      </c>
      <c r="H1062" s="308">
        <f>'BECA MEDIA'!Q155</f>
        <v>5000</v>
      </c>
    </row>
    <row r="1063" spans="1:8" x14ac:dyDescent="0.3">
      <c r="A1063" t="s">
        <v>688</v>
      </c>
      <c r="B1063" t="s">
        <v>162</v>
      </c>
      <c r="C1063" t="s">
        <v>177</v>
      </c>
      <c r="D1063" t="s">
        <v>689</v>
      </c>
      <c r="E1063" t="s">
        <v>770</v>
      </c>
      <c r="F1063">
        <v>5</v>
      </c>
      <c r="G1063" s="308">
        <f>'BECA MEDIA'!S155</f>
        <v>0</v>
      </c>
      <c r="H1063" s="308">
        <f>'BECA MEDIA'!T155</f>
        <v>0</v>
      </c>
    </row>
    <row r="1064" spans="1:8" x14ac:dyDescent="0.3">
      <c r="A1064" t="s">
        <v>688</v>
      </c>
      <c r="B1064" t="s">
        <v>162</v>
      </c>
      <c r="C1064" t="s">
        <v>177</v>
      </c>
      <c r="D1064" t="s">
        <v>689</v>
      </c>
      <c r="E1064" t="s">
        <v>771</v>
      </c>
      <c r="F1064">
        <v>6</v>
      </c>
      <c r="G1064" s="308">
        <f>'BECA MEDIA'!V155</f>
        <v>6.4</v>
      </c>
      <c r="H1064" s="308">
        <f>'BECA MEDIA'!W155</f>
        <v>16000</v>
      </c>
    </row>
    <row r="1065" spans="1:8" x14ac:dyDescent="0.3">
      <c r="A1065" t="s">
        <v>688</v>
      </c>
      <c r="B1065" t="s">
        <v>162</v>
      </c>
      <c r="C1065" t="s">
        <v>177</v>
      </c>
      <c r="D1065" t="s">
        <v>689</v>
      </c>
      <c r="E1065" t="s">
        <v>772</v>
      </c>
      <c r="F1065">
        <v>7</v>
      </c>
      <c r="G1065" s="308">
        <f>'BECA MEDIA'!Y155</f>
        <v>0</v>
      </c>
      <c r="H1065" s="308">
        <f>'BECA MEDIA'!Z155</f>
        <v>0</v>
      </c>
    </row>
    <row r="1066" spans="1:8" x14ac:dyDescent="0.3">
      <c r="A1066" t="s">
        <v>688</v>
      </c>
      <c r="B1066" t="s">
        <v>178</v>
      </c>
      <c r="C1066" t="s">
        <v>179</v>
      </c>
      <c r="D1066" t="s">
        <v>689</v>
      </c>
      <c r="E1066" t="s">
        <v>766</v>
      </c>
      <c r="F1066">
        <v>1</v>
      </c>
      <c r="G1066" s="308">
        <f>'BECA MEDIA'!G156</f>
        <v>0</v>
      </c>
      <c r="H1066" s="308">
        <f>'BECA MEDIA'!H156</f>
        <v>0</v>
      </c>
    </row>
    <row r="1067" spans="1:8" x14ac:dyDescent="0.3">
      <c r="A1067" t="s">
        <v>688</v>
      </c>
      <c r="B1067" t="s">
        <v>178</v>
      </c>
      <c r="C1067" t="s">
        <v>179</v>
      </c>
      <c r="D1067" t="s">
        <v>689</v>
      </c>
      <c r="E1067" t="s">
        <v>767</v>
      </c>
      <c r="F1067">
        <v>2</v>
      </c>
      <c r="G1067" s="308">
        <f>'BECA MEDIA'!J156</f>
        <v>0</v>
      </c>
      <c r="H1067" s="308">
        <f>'BECA MEDIA'!K156</f>
        <v>0</v>
      </c>
    </row>
    <row r="1068" spans="1:8" x14ac:dyDescent="0.3">
      <c r="A1068" t="s">
        <v>688</v>
      </c>
      <c r="B1068" t="s">
        <v>178</v>
      </c>
      <c r="C1068" t="s">
        <v>179</v>
      </c>
      <c r="D1068" t="s">
        <v>689</v>
      </c>
      <c r="E1068" t="s">
        <v>768</v>
      </c>
      <c r="F1068">
        <v>3</v>
      </c>
      <c r="G1068" s="308">
        <f>'BECA MEDIA'!M156</f>
        <v>4.4000000000000004</v>
      </c>
      <c r="H1068" s="308">
        <f>'BECA MEDIA'!N156</f>
        <v>11000</v>
      </c>
    </row>
    <row r="1069" spans="1:8" x14ac:dyDescent="0.3">
      <c r="A1069" t="s">
        <v>688</v>
      </c>
      <c r="B1069" t="s">
        <v>178</v>
      </c>
      <c r="C1069" t="s">
        <v>179</v>
      </c>
      <c r="D1069" t="s">
        <v>689</v>
      </c>
      <c r="E1069" t="s">
        <v>769</v>
      </c>
      <c r="F1069">
        <v>4</v>
      </c>
      <c r="G1069" s="308">
        <f>'BECA MEDIA'!P156</f>
        <v>2.4</v>
      </c>
      <c r="H1069" s="308">
        <f>'BECA MEDIA'!Q156</f>
        <v>6000</v>
      </c>
    </row>
    <row r="1070" spans="1:8" x14ac:dyDescent="0.3">
      <c r="A1070" t="s">
        <v>688</v>
      </c>
      <c r="B1070" t="s">
        <v>178</v>
      </c>
      <c r="C1070" t="s">
        <v>179</v>
      </c>
      <c r="D1070" t="s">
        <v>689</v>
      </c>
      <c r="E1070" t="s">
        <v>770</v>
      </c>
      <c r="F1070">
        <v>5</v>
      </c>
      <c r="G1070" s="308">
        <f>'BECA MEDIA'!S156</f>
        <v>0</v>
      </c>
      <c r="H1070" s="308">
        <f>'BECA MEDIA'!T156</f>
        <v>0</v>
      </c>
    </row>
    <row r="1071" spans="1:8" x14ac:dyDescent="0.3">
      <c r="A1071" t="s">
        <v>688</v>
      </c>
      <c r="B1071" t="s">
        <v>178</v>
      </c>
      <c r="C1071" t="s">
        <v>179</v>
      </c>
      <c r="D1071" t="s">
        <v>689</v>
      </c>
      <c r="E1071" t="s">
        <v>771</v>
      </c>
      <c r="F1071">
        <v>6</v>
      </c>
      <c r="G1071" s="308">
        <f>'BECA MEDIA'!V156</f>
        <v>6.8</v>
      </c>
      <c r="H1071" s="308">
        <f>'BECA MEDIA'!W156</f>
        <v>17000</v>
      </c>
    </row>
    <row r="1072" spans="1:8" x14ac:dyDescent="0.3">
      <c r="A1072" t="s">
        <v>688</v>
      </c>
      <c r="B1072" t="s">
        <v>178</v>
      </c>
      <c r="C1072" t="s">
        <v>179</v>
      </c>
      <c r="D1072" t="s">
        <v>689</v>
      </c>
      <c r="E1072" t="s">
        <v>772</v>
      </c>
      <c r="F1072">
        <v>7</v>
      </c>
      <c r="G1072" s="308">
        <f>'BECA MEDIA'!Y156</f>
        <v>0</v>
      </c>
      <c r="H1072" s="308">
        <f>'BECA MEDIA'!Z156</f>
        <v>0</v>
      </c>
    </row>
    <row r="1073" spans="1:8" x14ac:dyDescent="0.3">
      <c r="A1073" t="s">
        <v>688</v>
      </c>
      <c r="B1073" t="s">
        <v>178</v>
      </c>
      <c r="C1073" t="s">
        <v>180</v>
      </c>
      <c r="D1073" t="s">
        <v>689</v>
      </c>
      <c r="E1073" t="s">
        <v>766</v>
      </c>
      <c r="F1073">
        <v>1</v>
      </c>
      <c r="G1073" s="308">
        <f>'BECA MEDIA'!G157</f>
        <v>0</v>
      </c>
      <c r="H1073" s="308">
        <f>'BECA MEDIA'!H157</f>
        <v>0</v>
      </c>
    </row>
    <row r="1074" spans="1:8" x14ac:dyDescent="0.3">
      <c r="A1074" t="s">
        <v>688</v>
      </c>
      <c r="B1074" t="s">
        <v>178</v>
      </c>
      <c r="C1074" t="s">
        <v>180</v>
      </c>
      <c r="D1074" t="s">
        <v>689</v>
      </c>
      <c r="E1074" t="s">
        <v>767</v>
      </c>
      <c r="F1074">
        <v>2</v>
      </c>
      <c r="G1074" s="308">
        <f>'BECA MEDIA'!J157</f>
        <v>0</v>
      </c>
      <c r="H1074" s="308">
        <f>'BECA MEDIA'!K157</f>
        <v>0</v>
      </c>
    </row>
    <row r="1075" spans="1:8" x14ac:dyDescent="0.3">
      <c r="A1075" t="s">
        <v>688</v>
      </c>
      <c r="B1075" t="s">
        <v>178</v>
      </c>
      <c r="C1075" t="s">
        <v>180</v>
      </c>
      <c r="D1075" t="s">
        <v>689</v>
      </c>
      <c r="E1075" t="s">
        <v>768</v>
      </c>
      <c r="F1075">
        <v>3</v>
      </c>
      <c r="G1075" s="308">
        <f>'BECA MEDIA'!M157</f>
        <v>6.4</v>
      </c>
      <c r="H1075" s="308">
        <f>'BECA MEDIA'!N157</f>
        <v>16000</v>
      </c>
    </row>
    <row r="1076" spans="1:8" x14ac:dyDescent="0.3">
      <c r="A1076" t="s">
        <v>688</v>
      </c>
      <c r="B1076" t="s">
        <v>178</v>
      </c>
      <c r="C1076" t="s">
        <v>180</v>
      </c>
      <c r="D1076" t="s">
        <v>689</v>
      </c>
      <c r="E1076" t="s">
        <v>769</v>
      </c>
      <c r="F1076">
        <v>4</v>
      </c>
      <c r="G1076" s="308">
        <f>'BECA MEDIA'!P157</f>
        <v>4.4000000000000004</v>
      </c>
      <c r="H1076" s="308">
        <f>'BECA MEDIA'!Q157</f>
        <v>11000</v>
      </c>
    </row>
    <row r="1077" spans="1:8" x14ac:dyDescent="0.3">
      <c r="A1077" t="s">
        <v>688</v>
      </c>
      <c r="B1077" t="s">
        <v>178</v>
      </c>
      <c r="C1077" t="s">
        <v>180</v>
      </c>
      <c r="D1077" t="s">
        <v>689</v>
      </c>
      <c r="E1077" t="s">
        <v>770</v>
      </c>
      <c r="F1077">
        <v>5</v>
      </c>
      <c r="G1077" s="308">
        <f>'BECA MEDIA'!S157</f>
        <v>0</v>
      </c>
      <c r="H1077" s="308">
        <f>'BECA MEDIA'!T157</f>
        <v>0</v>
      </c>
    </row>
    <row r="1078" spans="1:8" x14ac:dyDescent="0.3">
      <c r="A1078" t="s">
        <v>688</v>
      </c>
      <c r="B1078" t="s">
        <v>178</v>
      </c>
      <c r="C1078" t="s">
        <v>180</v>
      </c>
      <c r="D1078" t="s">
        <v>689</v>
      </c>
      <c r="E1078" t="s">
        <v>771</v>
      </c>
      <c r="F1078">
        <v>6</v>
      </c>
      <c r="G1078" s="308">
        <f>'BECA MEDIA'!V157</f>
        <v>10.8</v>
      </c>
      <c r="H1078" s="308">
        <f>'BECA MEDIA'!W157</f>
        <v>27000</v>
      </c>
    </row>
    <row r="1079" spans="1:8" x14ac:dyDescent="0.3">
      <c r="A1079" t="s">
        <v>688</v>
      </c>
      <c r="B1079" t="s">
        <v>178</v>
      </c>
      <c r="C1079" t="s">
        <v>180</v>
      </c>
      <c r="D1079" t="s">
        <v>689</v>
      </c>
      <c r="E1079" t="s">
        <v>772</v>
      </c>
      <c r="F1079">
        <v>7</v>
      </c>
      <c r="G1079" s="308">
        <f>'BECA MEDIA'!Y157</f>
        <v>0</v>
      </c>
      <c r="H1079" s="308">
        <f>'BECA MEDIA'!Z157</f>
        <v>0</v>
      </c>
    </row>
    <row r="1080" spans="1:8" x14ac:dyDescent="0.3">
      <c r="A1080" t="s">
        <v>688</v>
      </c>
      <c r="B1080" t="s">
        <v>178</v>
      </c>
      <c r="C1080" t="s">
        <v>181</v>
      </c>
      <c r="D1080" t="s">
        <v>689</v>
      </c>
      <c r="E1080" t="s">
        <v>766</v>
      </c>
      <c r="F1080">
        <v>1</v>
      </c>
      <c r="G1080" s="308">
        <f>'BECA MEDIA'!G158</f>
        <v>0</v>
      </c>
      <c r="H1080" s="308">
        <f>'BECA MEDIA'!H158</f>
        <v>0</v>
      </c>
    </row>
    <row r="1081" spans="1:8" x14ac:dyDescent="0.3">
      <c r="A1081" t="s">
        <v>688</v>
      </c>
      <c r="B1081" t="s">
        <v>178</v>
      </c>
      <c r="C1081" t="s">
        <v>181</v>
      </c>
      <c r="D1081" t="s">
        <v>689</v>
      </c>
      <c r="E1081" t="s">
        <v>767</v>
      </c>
      <c r="F1081">
        <v>2</v>
      </c>
      <c r="G1081" s="308">
        <f>'BECA MEDIA'!J158</f>
        <v>0</v>
      </c>
      <c r="H1081" s="308">
        <f>'BECA MEDIA'!K158</f>
        <v>0</v>
      </c>
    </row>
    <row r="1082" spans="1:8" x14ac:dyDescent="0.3">
      <c r="A1082" t="s">
        <v>688</v>
      </c>
      <c r="B1082" t="s">
        <v>178</v>
      </c>
      <c r="C1082" t="s">
        <v>181</v>
      </c>
      <c r="D1082" t="s">
        <v>689</v>
      </c>
      <c r="E1082" t="s">
        <v>768</v>
      </c>
      <c r="F1082">
        <v>3</v>
      </c>
      <c r="G1082" s="308">
        <f>'BECA MEDIA'!M158</f>
        <v>4</v>
      </c>
      <c r="H1082" s="308">
        <f>'BECA MEDIA'!N158</f>
        <v>10000</v>
      </c>
    </row>
    <row r="1083" spans="1:8" x14ac:dyDescent="0.3">
      <c r="A1083" t="s">
        <v>688</v>
      </c>
      <c r="B1083" t="s">
        <v>178</v>
      </c>
      <c r="C1083" t="s">
        <v>181</v>
      </c>
      <c r="D1083" t="s">
        <v>689</v>
      </c>
      <c r="E1083" t="s">
        <v>769</v>
      </c>
      <c r="F1083">
        <v>4</v>
      </c>
      <c r="G1083" s="308">
        <f>'BECA MEDIA'!P158</f>
        <v>0.4</v>
      </c>
      <c r="H1083" s="308">
        <f>'BECA MEDIA'!Q158</f>
        <v>1000</v>
      </c>
    </row>
    <row r="1084" spans="1:8" x14ac:dyDescent="0.3">
      <c r="A1084" t="s">
        <v>688</v>
      </c>
      <c r="B1084" t="s">
        <v>178</v>
      </c>
      <c r="C1084" t="s">
        <v>181</v>
      </c>
      <c r="D1084" t="s">
        <v>689</v>
      </c>
      <c r="E1084" t="s">
        <v>770</v>
      </c>
      <c r="F1084">
        <v>5</v>
      </c>
      <c r="G1084" s="308">
        <f>'BECA MEDIA'!S158</f>
        <v>0</v>
      </c>
      <c r="H1084" s="308">
        <f>'BECA MEDIA'!T158</f>
        <v>0</v>
      </c>
    </row>
    <row r="1085" spans="1:8" x14ac:dyDescent="0.3">
      <c r="A1085" t="s">
        <v>688</v>
      </c>
      <c r="B1085" t="s">
        <v>178</v>
      </c>
      <c r="C1085" t="s">
        <v>181</v>
      </c>
      <c r="D1085" t="s">
        <v>689</v>
      </c>
      <c r="E1085" t="s">
        <v>771</v>
      </c>
      <c r="F1085">
        <v>6</v>
      </c>
      <c r="G1085" s="308">
        <f>'BECA MEDIA'!V158</f>
        <v>4.8</v>
      </c>
      <c r="H1085" s="308">
        <f>'BECA MEDIA'!W158</f>
        <v>12000</v>
      </c>
    </row>
    <row r="1086" spans="1:8" x14ac:dyDescent="0.3">
      <c r="A1086" t="s">
        <v>688</v>
      </c>
      <c r="B1086" t="s">
        <v>178</v>
      </c>
      <c r="C1086" t="s">
        <v>181</v>
      </c>
      <c r="D1086" t="s">
        <v>689</v>
      </c>
      <c r="E1086" t="s">
        <v>772</v>
      </c>
      <c r="F1086">
        <v>7</v>
      </c>
      <c r="G1086" s="308">
        <f>'BECA MEDIA'!Y158</f>
        <v>0</v>
      </c>
      <c r="H1086" s="308">
        <f>'BECA MEDIA'!Z158</f>
        <v>0</v>
      </c>
    </row>
    <row r="1087" spans="1:8" x14ac:dyDescent="0.3">
      <c r="A1087" t="s">
        <v>688</v>
      </c>
      <c r="B1087" t="s">
        <v>178</v>
      </c>
      <c r="C1087" t="s">
        <v>125</v>
      </c>
      <c r="D1087" t="s">
        <v>689</v>
      </c>
      <c r="E1087" t="s">
        <v>766</v>
      </c>
      <c r="F1087">
        <v>1</v>
      </c>
      <c r="G1087" s="308">
        <f>'BECA MEDIA'!G159</f>
        <v>0</v>
      </c>
      <c r="H1087" s="308">
        <f>'BECA MEDIA'!H159</f>
        <v>0</v>
      </c>
    </row>
    <row r="1088" spans="1:8" x14ac:dyDescent="0.3">
      <c r="A1088" t="s">
        <v>688</v>
      </c>
      <c r="B1088" t="s">
        <v>178</v>
      </c>
      <c r="C1088" t="s">
        <v>125</v>
      </c>
      <c r="D1088" t="s">
        <v>689</v>
      </c>
      <c r="E1088" t="s">
        <v>767</v>
      </c>
      <c r="F1088">
        <v>2</v>
      </c>
      <c r="G1088" s="308">
        <f>'BECA MEDIA'!J159</f>
        <v>0</v>
      </c>
      <c r="H1088" s="308">
        <f>'BECA MEDIA'!K159</f>
        <v>0</v>
      </c>
    </row>
    <row r="1089" spans="1:8" x14ac:dyDescent="0.3">
      <c r="A1089" t="s">
        <v>688</v>
      </c>
      <c r="B1089" t="s">
        <v>178</v>
      </c>
      <c r="C1089" t="s">
        <v>125</v>
      </c>
      <c r="D1089" t="s">
        <v>689</v>
      </c>
      <c r="E1089" t="s">
        <v>768</v>
      </c>
      <c r="F1089">
        <v>3</v>
      </c>
      <c r="G1089" s="308">
        <f>'BECA MEDIA'!M159</f>
        <v>2.4</v>
      </c>
      <c r="H1089" s="308">
        <f>'BECA MEDIA'!N159</f>
        <v>6000</v>
      </c>
    </row>
    <row r="1090" spans="1:8" x14ac:dyDescent="0.3">
      <c r="A1090" t="s">
        <v>688</v>
      </c>
      <c r="B1090" t="s">
        <v>178</v>
      </c>
      <c r="C1090" t="s">
        <v>125</v>
      </c>
      <c r="D1090" t="s">
        <v>689</v>
      </c>
      <c r="E1090" t="s">
        <v>769</v>
      </c>
      <c r="F1090">
        <v>4</v>
      </c>
      <c r="G1090" s="308">
        <f>'BECA MEDIA'!P159</f>
        <v>8</v>
      </c>
      <c r="H1090" s="308">
        <f>'BECA MEDIA'!Q159</f>
        <v>20000</v>
      </c>
    </row>
    <row r="1091" spans="1:8" x14ac:dyDescent="0.3">
      <c r="A1091" t="s">
        <v>688</v>
      </c>
      <c r="B1091" t="s">
        <v>178</v>
      </c>
      <c r="C1091" t="s">
        <v>125</v>
      </c>
      <c r="D1091" t="s">
        <v>689</v>
      </c>
      <c r="E1091" t="s">
        <v>770</v>
      </c>
      <c r="F1091">
        <v>5</v>
      </c>
      <c r="G1091" s="308">
        <f>'BECA MEDIA'!S159</f>
        <v>0</v>
      </c>
      <c r="H1091" s="308">
        <f>'BECA MEDIA'!T159</f>
        <v>0</v>
      </c>
    </row>
    <row r="1092" spans="1:8" x14ac:dyDescent="0.3">
      <c r="A1092" t="s">
        <v>688</v>
      </c>
      <c r="B1092" t="s">
        <v>178</v>
      </c>
      <c r="C1092" t="s">
        <v>125</v>
      </c>
      <c r="D1092" t="s">
        <v>689</v>
      </c>
      <c r="E1092" t="s">
        <v>771</v>
      </c>
      <c r="F1092">
        <v>6</v>
      </c>
      <c r="G1092" s="308">
        <f>'BECA MEDIA'!V159</f>
        <v>11.2</v>
      </c>
      <c r="H1092" s="308">
        <f>'BECA MEDIA'!W159</f>
        <v>28000</v>
      </c>
    </row>
    <row r="1093" spans="1:8" x14ac:dyDescent="0.3">
      <c r="A1093" t="s">
        <v>688</v>
      </c>
      <c r="B1093" t="s">
        <v>178</v>
      </c>
      <c r="C1093" t="s">
        <v>125</v>
      </c>
      <c r="D1093" t="s">
        <v>689</v>
      </c>
      <c r="E1093" t="s">
        <v>772</v>
      </c>
      <c r="F1093">
        <v>7</v>
      </c>
      <c r="G1093" s="308">
        <f>'BECA MEDIA'!Y159</f>
        <v>0</v>
      </c>
      <c r="H1093" s="308">
        <f>'BECA MEDIA'!Z159</f>
        <v>0</v>
      </c>
    </row>
    <row r="1094" spans="1:8" x14ac:dyDescent="0.3">
      <c r="A1094" t="s">
        <v>688</v>
      </c>
      <c r="B1094" t="s">
        <v>178</v>
      </c>
      <c r="C1094" t="s">
        <v>182</v>
      </c>
      <c r="D1094" t="s">
        <v>689</v>
      </c>
      <c r="E1094" t="s">
        <v>766</v>
      </c>
      <c r="F1094">
        <v>1</v>
      </c>
      <c r="G1094" s="308">
        <f>'BECA MEDIA'!G160</f>
        <v>0</v>
      </c>
      <c r="H1094" s="308">
        <f>'BECA MEDIA'!H160</f>
        <v>0</v>
      </c>
    </row>
    <row r="1095" spans="1:8" x14ac:dyDescent="0.3">
      <c r="A1095" t="s">
        <v>688</v>
      </c>
      <c r="B1095" t="s">
        <v>178</v>
      </c>
      <c r="C1095" t="s">
        <v>182</v>
      </c>
      <c r="D1095" t="s">
        <v>689</v>
      </c>
      <c r="E1095" t="s">
        <v>767</v>
      </c>
      <c r="F1095">
        <v>2</v>
      </c>
      <c r="G1095" s="308">
        <f>'BECA MEDIA'!J160</f>
        <v>0</v>
      </c>
      <c r="H1095" s="308">
        <f>'BECA MEDIA'!K160</f>
        <v>0</v>
      </c>
    </row>
    <row r="1096" spans="1:8" x14ac:dyDescent="0.3">
      <c r="A1096" t="s">
        <v>688</v>
      </c>
      <c r="B1096" t="s">
        <v>178</v>
      </c>
      <c r="C1096" t="s">
        <v>182</v>
      </c>
      <c r="D1096" t="s">
        <v>689</v>
      </c>
      <c r="E1096" t="s">
        <v>768</v>
      </c>
      <c r="F1096">
        <v>3</v>
      </c>
      <c r="G1096" s="308">
        <f>'BECA MEDIA'!M160</f>
        <v>3.2</v>
      </c>
      <c r="H1096" s="308">
        <f>'BECA MEDIA'!N160</f>
        <v>8000</v>
      </c>
    </row>
    <row r="1097" spans="1:8" x14ac:dyDescent="0.3">
      <c r="A1097" t="s">
        <v>688</v>
      </c>
      <c r="B1097" t="s">
        <v>178</v>
      </c>
      <c r="C1097" t="s">
        <v>182</v>
      </c>
      <c r="D1097" t="s">
        <v>689</v>
      </c>
      <c r="E1097" t="s">
        <v>769</v>
      </c>
      <c r="F1097">
        <v>4</v>
      </c>
      <c r="G1097" s="308">
        <f>'BECA MEDIA'!P160</f>
        <v>2.8</v>
      </c>
      <c r="H1097" s="308">
        <f>'BECA MEDIA'!Q160</f>
        <v>7000</v>
      </c>
    </row>
    <row r="1098" spans="1:8" x14ac:dyDescent="0.3">
      <c r="A1098" t="s">
        <v>688</v>
      </c>
      <c r="B1098" t="s">
        <v>178</v>
      </c>
      <c r="C1098" t="s">
        <v>182</v>
      </c>
      <c r="D1098" t="s">
        <v>689</v>
      </c>
      <c r="E1098" t="s">
        <v>770</v>
      </c>
      <c r="F1098">
        <v>5</v>
      </c>
      <c r="G1098" s="308">
        <f>'BECA MEDIA'!S160</f>
        <v>0</v>
      </c>
      <c r="H1098" s="308">
        <f>'BECA MEDIA'!T160</f>
        <v>0</v>
      </c>
    </row>
    <row r="1099" spans="1:8" x14ac:dyDescent="0.3">
      <c r="A1099" t="s">
        <v>688</v>
      </c>
      <c r="B1099" t="s">
        <v>178</v>
      </c>
      <c r="C1099" t="s">
        <v>182</v>
      </c>
      <c r="D1099" t="s">
        <v>689</v>
      </c>
      <c r="E1099" t="s">
        <v>771</v>
      </c>
      <c r="F1099">
        <v>6</v>
      </c>
      <c r="G1099" s="308">
        <f>'BECA MEDIA'!V160</f>
        <v>6.4</v>
      </c>
      <c r="H1099" s="308">
        <f>'BECA MEDIA'!W160</f>
        <v>16000</v>
      </c>
    </row>
    <row r="1100" spans="1:8" x14ac:dyDescent="0.3">
      <c r="A1100" t="s">
        <v>688</v>
      </c>
      <c r="B1100" t="s">
        <v>178</v>
      </c>
      <c r="C1100" t="s">
        <v>182</v>
      </c>
      <c r="D1100" t="s">
        <v>689</v>
      </c>
      <c r="E1100" t="s">
        <v>772</v>
      </c>
      <c r="F1100">
        <v>7</v>
      </c>
      <c r="G1100" s="308">
        <f>'BECA MEDIA'!Y160</f>
        <v>0</v>
      </c>
      <c r="H1100" s="308">
        <f>'BECA MEDIA'!Z160</f>
        <v>0</v>
      </c>
    </row>
    <row r="1101" spans="1:8" x14ac:dyDescent="0.3">
      <c r="A1101" t="s">
        <v>688</v>
      </c>
      <c r="B1101" t="s">
        <v>178</v>
      </c>
      <c r="C1101" t="s">
        <v>183</v>
      </c>
      <c r="D1101" t="s">
        <v>689</v>
      </c>
      <c r="E1101" t="s">
        <v>766</v>
      </c>
      <c r="F1101">
        <v>1</v>
      </c>
      <c r="G1101" s="308">
        <f>'BECA MEDIA'!G161</f>
        <v>0</v>
      </c>
      <c r="H1101" s="308">
        <f>'BECA MEDIA'!H161</f>
        <v>0</v>
      </c>
    </row>
    <row r="1102" spans="1:8" x14ac:dyDescent="0.3">
      <c r="A1102" t="s">
        <v>688</v>
      </c>
      <c r="B1102" t="s">
        <v>178</v>
      </c>
      <c r="C1102" t="s">
        <v>183</v>
      </c>
      <c r="D1102" t="s">
        <v>689</v>
      </c>
      <c r="E1102" t="s">
        <v>767</v>
      </c>
      <c r="F1102">
        <v>2</v>
      </c>
      <c r="G1102" s="308">
        <f>'BECA MEDIA'!J161</f>
        <v>0</v>
      </c>
      <c r="H1102" s="308">
        <f>'BECA MEDIA'!K161</f>
        <v>0</v>
      </c>
    </row>
    <row r="1103" spans="1:8" x14ac:dyDescent="0.3">
      <c r="A1103" t="s">
        <v>688</v>
      </c>
      <c r="B1103" t="s">
        <v>178</v>
      </c>
      <c r="C1103" t="s">
        <v>183</v>
      </c>
      <c r="D1103" t="s">
        <v>689</v>
      </c>
      <c r="E1103" t="s">
        <v>768</v>
      </c>
      <c r="F1103">
        <v>3</v>
      </c>
      <c r="G1103" s="308">
        <f>'BECA MEDIA'!M161</f>
        <v>4</v>
      </c>
      <c r="H1103" s="308">
        <f>'BECA MEDIA'!N161</f>
        <v>10000</v>
      </c>
    </row>
    <row r="1104" spans="1:8" x14ac:dyDescent="0.3">
      <c r="A1104" t="s">
        <v>688</v>
      </c>
      <c r="B1104" t="s">
        <v>178</v>
      </c>
      <c r="C1104" t="s">
        <v>183</v>
      </c>
      <c r="D1104" t="s">
        <v>689</v>
      </c>
      <c r="E1104" t="s">
        <v>769</v>
      </c>
      <c r="F1104">
        <v>4</v>
      </c>
      <c r="G1104" s="308">
        <f>'BECA MEDIA'!P161</f>
        <v>0.8</v>
      </c>
      <c r="H1104" s="308">
        <f>'BECA MEDIA'!Q161</f>
        <v>2000</v>
      </c>
    </row>
    <row r="1105" spans="1:8" x14ac:dyDescent="0.3">
      <c r="A1105" t="s">
        <v>688</v>
      </c>
      <c r="B1105" t="s">
        <v>178</v>
      </c>
      <c r="C1105" t="s">
        <v>183</v>
      </c>
      <c r="D1105" t="s">
        <v>689</v>
      </c>
      <c r="E1105" t="s">
        <v>770</v>
      </c>
      <c r="F1105">
        <v>5</v>
      </c>
      <c r="G1105" s="308">
        <f>'BECA MEDIA'!S161</f>
        <v>0</v>
      </c>
      <c r="H1105" s="308">
        <f>'BECA MEDIA'!T161</f>
        <v>0</v>
      </c>
    </row>
    <row r="1106" spans="1:8" x14ac:dyDescent="0.3">
      <c r="A1106" t="s">
        <v>688</v>
      </c>
      <c r="B1106" t="s">
        <v>178</v>
      </c>
      <c r="C1106" t="s">
        <v>183</v>
      </c>
      <c r="D1106" t="s">
        <v>689</v>
      </c>
      <c r="E1106" t="s">
        <v>771</v>
      </c>
      <c r="F1106">
        <v>6</v>
      </c>
      <c r="G1106" s="308">
        <f>'BECA MEDIA'!V161</f>
        <v>4.8</v>
      </c>
      <c r="H1106" s="308">
        <f>'BECA MEDIA'!W161</f>
        <v>12000</v>
      </c>
    </row>
    <row r="1107" spans="1:8" x14ac:dyDescent="0.3">
      <c r="A1107" t="s">
        <v>688</v>
      </c>
      <c r="B1107" t="s">
        <v>178</v>
      </c>
      <c r="C1107" t="s">
        <v>183</v>
      </c>
      <c r="D1107" t="s">
        <v>689</v>
      </c>
      <c r="E1107" t="s">
        <v>772</v>
      </c>
      <c r="F1107">
        <v>7</v>
      </c>
      <c r="G1107" s="308">
        <f>'BECA MEDIA'!Y161</f>
        <v>0</v>
      </c>
      <c r="H1107" s="308">
        <f>'BECA MEDIA'!Z161</f>
        <v>0</v>
      </c>
    </row>
    <row r="1108" spans="1:8" x14ac:dyDescent="0.3">
      <c r="A1108" t="s">
        <v>688</v>
      </c>
      <c r="B1108" t="s">
        <v>178</v>
      </c>
      <c r="C1108" t="s">
        <v>184</v>
      </c>
      <c r="D1108" t="s">
        <v>689</v>
      </c>
      <c r="E1108" t="s">
        <v>766</v>
      </c>
      <c r="F1108">
        <v>1</v>
      </c>
      <c r="G1108" s="308">
        <f>'BECA MEDIA'!G162</f>
        <v>0</v>
      </c>
      <c r="H1108" s="308">
        <f>'BECA MEDIA'!H162</f>
        <v>0</v>
      </c>
    </row>
    <row r="1109" spans="1:8" x14ac:dyDescent="0.3">
      <c r="A1109" t="s">
        <v>688</v>
      </c>
      <c r="B1109" t="s">
        <v>178</v>
      </c>
      <c r="C1109" t="s">
        <v>184</v>
      </c>
      <c r="D1109" t="s">
        <v>689</v>
      </c>
      <c r="E1109" t="s">
        <v>767</v>
      </c>
      <c r="F1109">
        <v>2</v>
      </c>
      <c r="G1109" s="308">
        <f>'BECA MEDIA'!J162</f>
        <v>0</v>
      </c>
      <c r="H1109" s="308">
        <f>'BECA MEDIA'!K162</f>
        <v>0</v>
      </c>
    </row>
    <row r="1110" spans="1:8" x14ac:dyDescent="0.3">
      <c r="A1110" t="s">
        <v>688</v>
      </c>
      <c r="B1110" t="s">
        <v>178</v>
      </c>
      <c r="C1110" t="s">
        <v>184</v>
      </c>
      <c r="D1110" t="s">
        <v>689</v>
      </c>
      <c r="E1110" t="s">
        <v>768</v>
      </c>
      <c r="F1110">
        <v>3</v>
      </c>
      <c r="G1110" s="308">
        <f>'BECA MEDIA'!M162</f>
        <v>8</v>
      </c>
      <c r="H1110" s="308">
        <f>'BECA MEDIA'!N162</f>
        <v>20000</v>
      </c>
    </row>
    <row r="1111" spans="1:8" x14ac:dyDescent="0.3">
      <c r="A1111" t="s">
        <v>688</v>
      </c>
      <c r="B1111" t="s">
        <v>178</v>
      </c>
      <c r="C1111" t="s">
        <v>184</v>
      </c>
      <c r="D1111" t="s">
        <v>689</v>
      </c>
      <c r="E1111" t="s">
        <v>769</v>
      </c>
      <c r="F1111">
        <v>4</v>
      </c>
      <c r="G1111" s="308">
        <f>'BECA MEDIA'!P162</f>
        <v>6.4</v>
      </c>
      <c r="H1111" s="308">
        <f>'BECA MEDIA'!Q162</f>
        <v>16000</v>
      </c>
    </row>
    <row r="1112" spans="1:8" x14ac:dyDescent="0.3">
      <c r="A1112" t="s">
        <v>688</v>
      </c>
      <c r="B1112" t="s">
        <v>178</v>
      </c>
      <c r="C1112" t="s">
        <v>184</v>
      </c>
      <c r="D1112" t="s">
        <v>689</v>
      </c>
      <c r="E1112" t="s">
        <v>770</v>
      </c>
      <c r="F1112">
        <v>5</v>
      </c>
      <c r="G1112" s="308">
        <f>'BECA MEDIA'!S162</f>
        <v>0</v>
      </c>
      <c r="H1112" s="308">
        <f>'BECA MEDIA'!T162</f>
        <v>0</v>
      </c>
    </row>
    <row r="1113" spans="1:8" x14ac:dyDescent="0.3">
      <c r="A1113" t="s">
        <v>688</v>
      </c>
      <c r="B1113" t="s">
        <v>178</v>
      </c>
      <c r="C1113" t="s">
        <v>184</v>
      </c>
      <c r="D1113" t="s">
        <v>689</v>
      </c>
      <c r="E1113" t="s">
        <v>771</v>
      </c>
      <c r="F1113">
        <v>6</v>
      </c>
      <c r="G1113" s="308">
        <f>'BECA MEDIA'!V162</f>
        <v>13.2</v>
      </c>
      <c r="H1113" s="308">
        <f>'BECA MEDIA'!W162</f>
        <v>33000</v>
      </c>
    </row>
    <row r="1114" spans="1:8" x14ac:dyDescent="0.3">
      <c r="A1114" t="s">
        <v>688</v>
      </c>
      <c r="B1114" t="s">
        <v>178</v>
      </c>
      <c r="C1114" t="s">
        <v>184</v>
      </c>
      <c r="D1114" t="s">
        <v>689</v>
      </c>
      <c r="E1114" t="s">
        <v>772</v>
      </c>
      <c r="F1114">
        <v>7</v>
      </c>
      <c r="G1114" s="308">
        <f>'BECA MEDIA'!Y162</f>
        <v>0</v>
      </c>
      <c r="H1114" s="308">
        <f>'BECA MEDIA'!Z162</f>
        <v>0</v>
      </c>
    </row>
    <row r="1115" spans="1:8" x14ac:dyDescent="0.3">
      <c r="A1115" t="s">
        <v>688</v>
      </c>
      <c r="B1115" t="s">
        <v>178</v>
      </c>
      <c r="C1115" t="s">
        <v>185</v>
      </c>
      <c r="D1115" t="s">
        <v>689</v>
      </c>
      <c r="E1115" t="s">
        <v>766</v>
      </c>
      <c r="F1115">
        <v>1</v>
      </c>
      <c r="G1115" s="308">
        <f>'BECA MEDIA'!G163</f>
        <v>0</v>
      </c>
      <c r="H1115" s="308">
        <f>'BECA MEDIA'!H163</f>
        <v>0</v>
      </c>
    </row>
    <row r="1116" spans="1:8" x14ac:dyDescent="0.3">
      <c r="A1116" t="s">
        <v>688</v>
      </c>
      <c r="B1116" t="s">
        <v>178</v>
      </c>
      <c r="C1116" t="s">
        <v>185</v>
      </c>
      <c r="D1116" t="s">
        <v>689</v>
      </c>
      <c r="E1116" t="s">
        <v>767</v>
      </c>
      <c r="F1116">
        <v>2</v>
      </c>
      <c r="G1116" s="308">
        <f>'BECA MEDIA'!J163</f>
        <v>0</v>
      </c>
      <c r="H1116" s="308">
        <f>'BECA MEDIA'!K163</f>
        <v>0</v>
      </c>
    </row>
    <row r="1117" spans="1:8" x14ac:dyDescent="0.3">
      <c r="A1117" t="s">
        <v>688</v>
      </c>
      <c r="B1117" t="s">
        <v>178</v>
      </c>
      <c r="C1117" t="s">
        <v>185</v>
      </c>
      <c r="D1117" t="s">
        <v>689</v>
      </c>
      <c r="E1117" t="s">
        <v>768</v>
      </c>
      <c r="F1117">
        <v>3</v>
      </c>
      <c r="G1117" s="308">
        <f>'BECA MEDIA'!M163</f>
        <v>0</v>
      </c>
      <c r="H1117" s="308">
        <f>'BECA MEDIA'!N163</f>
        <v>0</v>
      </c>
    </row>
    <row r="1118" spans="1:8" x14ac:dyDescent="0.3">
      <c r="A1118" t="s">
        <v>688</v>
      </c>
      <c r="B1118" t="s">
        <v>178</v>
      </c>
      <c r="C1118" t="s">
        <v>185</v>
      </c>
      <c r="D1118" t="s">
        <v>689</v>
      </c>
      <c r="E1118" t="s">
        <v>769</v>
      </c>
      <c r="F1118">
        <v>4</v>
      </c>
      <c r="G1118" s="308">
        <f>'BECA MEDIA'!P163</f>
        <v>2</v>
      </c>
      <c r="H1118" s="308">
        <f>'BECA MEDIA'!Q163</f>
        <v>5000</v>
      </c>
    </row>
    <row r="1119" spans="1:8" x14ac:dyDescent="0.3">
      <c r="A1119" t="s">
        <v>688</v>
      </c>
      <c r="B1119" t="s">
        <v>178</v>
      </c>
      <c r="C1119" t="s">
        <v>185</v>
      </c>
      <c r="D1119" t="s">
        <v>689</v>
      </c>
      <c r="E1119" t="s">
        <v>770</v>
      </c>
      <c r="F1119">
        <v>5</v>
      </c>
      <c r="G1119" s="308">
        <f>'BECA MEDIA'!S163</f>
        <v>0</v>
      </c>
      <c r="H1119" s="308">
        <f>'BECA MEDIA'!T163</f>
        <v>0</v>
      </c>
    </row>
    <row r="1120" spans="1:8" x14ac:dyDescent="0.3">
      <c r="A1120" t="s">
        <v>688</v>
      </c>
      <c r="B1120" t="s">
        <v>178</v>
      </c>
      <c r="C1120" t="s">
        <v>185</v>
      </c>
      <c r="D1120" t="s">
        <v>689</v>
      </c>
      <c r="E1120" t="s">
        <v>771</v>
      </c>
      <c r="F1120">
        <v>6</v>
      </c>
      <c r="G1120" s="308">
        <f>'BECA MEDIA'!V163</f>
        <v>6.4</v>
      </c>
      <c r="H1120" s="308">
        <f>'BECA MEDIA'!W163</f>
        <v>16000</v>
      </c>
    </row>
    <row r="1121" spans="1:8" x14ac:dyDescent="0.3">
      <c r="A1121" t="s">
        <v>688</v>
      </c>
      <c r="B1121" t="s">
        <v>178</v>
      </c>
      <c r="C1121" t="s">
        <v>185</v>
      </c>
      <c r="D1121" t="s">
        <v>689</v>
      </c>
      <c r="E1121" t="s">
        <v>772</v>
      </c>
      <c r="F1121">
        <v>7</v>
      </c>
      <c r="G1121" s="308">
        <f>'BECA MEDIA'!Y163</f>
        <v>0</v>
      </c>
      <c r="H1121" s="308">
        <f>'BECA MEDIA'!Z163</f>
        <v>0</v>
      </c>
    </row>
    <row r="1122" spans="1:8" x14ac:dyDescent="0.3">
      <c r="A1122" t="s">
        <v>688</v>
      </c>
      <c r="B1122" t="s">
        <v>178</v>
      </c>
      <c r="C1122" t="s">
        <v>186</v>
      </c>
      <c r="D1122" t="s">
        <v>689</v>
      </c>
      <c r="E1122" t="s">
        <v>766</v>
      </c>
      <c r="F1122">
        <v>1</v>
      </c>
      <c r="G1122" s="308">
        <f>'BECA MEDIA'!G164</f>
        <v>0</v>
      </c>
      <c r="H1122" s="308">
        <f>'BECA MEDIA'!H164</f>
        <v>0</v>
      </c>
    </row>
    <row r="1123" spans="1:8" x14ac:dyDescent="0.3">
      <c r="A1123" t="s">
        <v>688</v>
      </c>
      <c r="B1123" t="s">
        <v>178</v>
      </c>
      <c r="C1123" t="s">
        <v>186</v>
      </c>
      <c r="D1123" t="s">
        <v>689</v>
      </c>
      <c r="E1123" t="s">
        <v>767</v>
      </c>
      <c r="F1123">
        <v>2</v>
      </c>
      <c r="G1123" s="308">
        <f>'BECA MEDIA'!J164</f>
        <v>0</v>
      </c>
      <c r="H1123" s="308">
        <f>'BECA MEDIA'!K164</f>
        <v>0</v>
      </c>
    </row>
    <row r="1124" spans="1:8" x14ac:dyDescent="0.3">
      <c r="A1124" t="s">
        <v>688</v>
      </c>
      <c r="B1124" t="s">
        <v>178</v>
      </c>
      <c r="C1124" t="s">
        <v>186</v>
      </c>
      <c r="D1124" t="s">
        <v>689</v>
      </c>
      <c r="E1124" t="s">
        <v>768</v>
      </c>
      <c r="F1124">
        <v>3</v>
      </c>
      <c r="G1124" s="308">
        <f>'BECA MEDIA'!M164</f>
        <v>6</v>
      </c>
      <c r="H1124" s="308">
        <f>'BECA MEDIA'!N164</f>
        <v>15000</v>
      </c>
    </row>
    <row r="1125" spans="1:8" x14ac:dyDescent="0.3">
      <c r="A1125" t="s">
        <v>688</v>
      </c>
      <c r="B1125" t="s">
        <v>178</v>
      </c>
      <c r="C1125" t="s">
        <v>186</v>
      </c>
      <c r="D1125" t="s">
        <v>689</v>
      </c>
      <c r="E1125" t="s">
        <v>769</v>
      </c>
      <c r="F1125">
        <v>4</v>
      </c>
      <c r="G1125" s="308">
        <f>'BECA MEDIA'!P164</f>
        <v>1.6</v>
      </c>
      <c r="H1125" s="308">
        <f>'BECA MEDIA'!Q164</f>
        <v>4000</v>
      </c>
    </row>
    <row r="1126" spans="1:8" x14ac:dyDescent="0.3">
      <c r="A1126" t="s">
        <v>688</v>
      </c>
      <c r="B1126" t="s">
        <v>178</v>
      </c>
      <c r="C1126" t="s">
        <v>186</v>
      </c>
      <c r="D1126" t="s">
        <v>689</v>
      </c>
      <c r="E1126" t="s">
        <v>770</v>
      </c>
      <c r="F1126">
        <v>5</v>
      </c>
      <c r="G1126" s="308">
        <f>'BECA MEDIA'!S164</f>
        <v>0</v>
      </c>
      <c r="H1126" s="308">
        <f>'BECA MEDIA'!T164</f>
        <v>0</v>
      </c>
    </row>
    <row r="1127" spans="1:8" x14ac:dyDescent="0.3">
      <c r="A1127" t="s">
        <v>688</v>
      </c>
      <c r="B1127" t="s">
        <v>178</v>
      </c>
      <c r="C1127" t="s">
        <v>186</v>
      </c>
      <c r="D1127" t="s">
        <v>689</v>
      </c>
      <c r="E1127" t="s">
        <v>771</v>
      </c>
      <c r="F1127">
        <v>6</v>
      </c>
      <c r="G1127" s="308">
        <f>'BECA MEDIA'!V164</f>
        <v>7.6</v>
      </c>
      <c r="H1127" s="308">
        <f>'BECA MEDIA'!W164</f>
        <v>19000</v>
      </c>
    </row>
    <row r="1128" spans="1:8" x14ac:dyDescent="0.3">
      <c r="A1128" t="s">
        <v>688</v>
      </c>
      <c r="B1128" t="s">
        <v>178</v>
      </c>
      <c r="C1128" t="s">
        <v>186</v>
      </c>
      <c r="D1128" t="s">
        <v>689</v>
      </c>
      <c r="E1128" t="s">
        <v>772</v>
      </c>
      <c r="F1128">
        <v>7</v>
      </c>
      <c r="G1128" s="308">
        <f>'BECA MEDIA'!Y164</f>
        <v>0</v>
      </c>
      <c r="H1128" s="308">
        <f>'BECA MEDIA'!Z164</f>
        <v>0</v>
      </c>
    </row>
    <row r="1129" spans="1:8" x14ac:dyDescent="0.3">
      <c r="A1129" t="s">
        <v>688</v>
      </c>
      <c r="B1129" t="s">
        <v>178</v>
      </c>
      <c r="C1129" t="s">
        <v>187</v>
      </c>
      <c r="D1129" t="s">
        <v>689</v>
      </c>
      <c r="E1129" t="s">
        <v>766</v>
      </c>
      <c r="F1129">
        <v>1</v>
      </c>
      <c r="G1129" s="308">
        <f>'BECA MEDIA'!G165</f>
        <v>0</v>
      </c>
      <c r="H1129" s="308">
        <f>'BECA MEDIA'!H165</f>
        <v>0</v>
      </c>
    </row>
    <row r="1130" spans="1:8" x14ac:dyDescent="0.3">
      <c r="A1130" t="s">
        <v>688</v>
      </c>
      <c r="B1130" t="s">
        <v>178</v>
      </c>
      <c r="C1130" t="s">
        <v>187</v>
      </c>
      <c r="D1130" t="s">
        <v>689</v>
      </c>
      <c r="E1130" t="s">
        <v>767</v>
      </c>
      <c r="F1130">
        <v>2</v>
      </c>
      <c r="G1130" s="308">
        <f>'BECA MEDIA'!J165</f>
        <v>0</v>
      </c>
      <c r="H1130" s="308">
        <f>'BECA MEDIA'!K165</f>
        <v>0</v>
      </c>
    </row>
    <row r="1131" spans="1:8" x14ac:dyDescent="0.3">
      <c r="A1131" t="s">
        <v>688</v>
      </c>
      <c r="B1131" t="s">
        <v>178</v>
      </c>
      <c r="C1131" t="s">
        <v>187</v>
      </c>
      <c r="D1131" t="s">
        <v>689</v>
      </c>
      <c r="E1131" t="s">
        <v>768</v>
      </c>
      <c r="F1131">
        <v>3</v>
      </c>
      <c r="G1131" s="308">
        <f>'BECA MEDIA'!M165</f>
        <v>3.2</v>
      </c>
      <c r="H1131" s="308">
        <f>'BECA MEDIA'!N165</f>
        <v>8000</v>
      </c>
    </row>
    <row r="1132" spans="1:8" x14ac:dyDescent="0.3">
      <c r="A1132" t="s">
        <v>688</v>
      </c>
      <c r="B1132" t="s">
        <v>178</v>
      </c>
      <c r="C1132" t="s">
        <v>187</v>
      </c>
      <c r="D1132" t="s">
        <v>689</v>
      </c>
      <c r="E1132" t="s">
        <v>769</v>
      </c>
      <c r="F1132">
        <v>4</v>
      </c>
      <c r="G1132" s="308">
        <f>'BECA MEDIA'!P165</f>
        <v>6.8</v>
      </c>
      <c r="H1132" s="308">
        <f>'BECA MEDIA'!Q165</f>
        <v>17000</v>
      </c>
    </row>
    <row r="1133" spans="1:8" x14ac:dyDescent="0.3">
      <c r="A1133" t="s">
        <v>688</v>
      </c>
      <c r="B1133" t="s">
        <v>178</v>
      </c>
      <c r="C1133" t="s">
        <v>187</v>
      </c>
      <c r="D1133" t="s">
        <v>689</v>
      </c>
      <c r="E1133" t="s">
        <v>770</v>
      </c>
      <c r="F1133">
        <v>5</v>
      </c>
      <c r="G1133" s="308">
        <f>'BECA MEDIA'!S165</f>
        <v>0</v>
      </c>
      <c r="H1133" s="308">
        <f>'BECA MEDIA'!T165</f>
        <v>0</v>
      </c>
    </row>
    <row r="1134" spans="1:8" x14ac:dyDescent="0.3">
      <c r="A1134" t="s">
        <v>688</v>
      </c>
      <c r="B1134" t="s">
        <v>178</v>
      </c>
      <c r="C1134" t="s">
        <v>187</v>
      </c>
      <c r="D1134" t="s">
        <v>689</v>
      </c>
      <c r="E1134" t="s">
        <v>771</v>
      </c>
      <c r="F1134">
        <v>6</v>
      </c>
      <c r="G1134" s="308">
        <f>'BECA MEDIA'!V165</f>
        <v>4.8</v>
      </c>
      <c r="H1134" s="308">
        <f>'BECA MEDIA'!W165</f>
        <v>12000</v>
      </c>
    </row>
    <row r="1135" spans="1:8" x14ac:dyDescent="0.3">
      <c r="A1135" t="s">
        <v>688</v>
      </c>
      <c r="B1135" t="s">
        <v>178</v>
      </c>
      <c r="C1135" t="s">
        <v>187</v>
      </c>
      <c r="D1135" t="s">
        <v>689</v>
      </c>
      <c r="E1135" t="s">
        <v>772</v>
      </c>
      <c r="F1135">
        <v>7</v>
      </c>
      <c r="G1135" s="308">
        <f>'BECA MEDIA'!Y165</f>
        <v>0</v>
      </c>
      <c r="H1135" s="308">
        <f>'BECA MEDIA'!Z165</f>
        <v>0</v>
      </c>
    </row>
    <row r="1136" spans="1:8" x14ac:dyDescent="0.3">
      <c r="A1136" t="s">
        <v>688</v>
      </c>
      <c r="B1136" t="s">
        <v>178</v>
      </c>
      <c r="C1136" t="s">
        <v>94</v>
      </c>
      <c r="D1136" t="s">
        <v>689</v>
      </c>
      <c r="E1136" t="s">
        <v>766</v>
      </c>
      <c r="F1136">
        <v>1</v>
      </c>
      <c r="G1136" s="308">
        <f>'BECA MEDIA'!G166</f>
        <v>0</v>
      </c>
      <c r="H1136" s="308">
        <f>'BECA MEDIA'!H166</f>
        <v>0</v>
      </c>
    </row>
    <row r="1137" spans="1:8" x14ac:dyDescent="0.3">
      <c r="A1137" t="s">
        <v>688</v>
      </c>
      <c r="B1137" t="s">
        <v>178</v>
      </c>
      <c r="C1137" t="s">
        <v>94</v>
      </c>
      <c r="D1137" t="s">
        <v>689</v>
      </c>
      <c r="E1137" t="s">
        <v>767</v>
      </c>
      <c r="F1137">
        <v>2</v>
      </c>
      <c r="G1137" s="308">
        <f>'BECA MEDIA'!J166</f>
        <v>0</v>
      </c>
      <c r="H1137" s="308">
        <f>'BECA MEDIA'!K166</f>
        <v>0</v>
      </c>
    </row>
    <row r="1138" spans="1:8" x14ac:dyDescent="0.3">
      <c r="A1138" t="s">
        <v>688</v>
      </c>
      <c r="B1138" t="s">
        <v>178</v>
      </c>
      <c r="C1138" t="s">
        <v>94</v>
      </c>
      <c r="D1138" t="s">
        <v>689</v>
      </c>
      <c r="E1138" t="s">
        <v>768</v>
      </c>
      <c r="F1138">
        <v>3</v>
      </c>
      <c r="G1138" s="308">
        <f>'BECA MEDIA'!M166</f>
        <v>0</v>
      </c>
      <c r="H1138" s="308">
        <f>'BECA MEDIA'!N166</f>
        <v>0</v>
      </c>
    </row>
    <row r="1139" spans="1:8" x14ac:dyDescent="0.3">
      <c r="A1139" t="s">
        <v>688</v>
      </c>
      <c r="B1139" t="s">
        <v>178</v>
      </c>
      <c r="C1139" t="s">
        <v>94</v>
      </c>
      <c r="D1139" t="s">
        <v>689</v>
      </c>
      <c r="E1139" t="s">
        <v>769</v>
      </c>
      <c r="F1139">
        <v>4</v>
      </c>
      <c r="G1139" s="308">
        <f>'BECA MEDIA'!P166</f>
        <v>0.4</v>
      </c>
      <c r="H1139" s="308">
        <f>'BECA MEDIA'!Q166</f>
        <v>1000</v>
      </c>
    </row>
    <row r="1140" spans="1:8" x14ac:dyDescent="0.3">
      <c r="A1140" t="s">
        <v>688</v>
      </c>
      <c r="B1140" t="s">
        <v>178</v>
      </c>
      <c r="C1140" t="s">
        <v>94</v>
      </c>
      <c r="D1140" t="s">
        <v>689</v>
      </c>
      <c r="E1140" t="s">
        <v>770</v>
      </c>
      <c r="F1140">
        <v>5</v>
      </c>
      <c r="G1140" s="308">
        <f>'BECA MEDIA'!S166</f>
        <v>0</v>
      </c>
      <c r="H1140" s="308">
        <f>'BECA MEDIA'!T166</f>
        <v>0</v>
      </c>
    </row>
    <row r="1141" spans="1:8" x14ac:dyDescent="0.3">
      <c r="A1141" t="s">
        <v>688</v>
      </c>
      <c r="B1141" t="s">
        <v>178</v>
      </c>
      <c r="C1141" t="s">
        <v>94</v>
      </c>
      <c r="D1141" t="s">
        <v>689</v>
      </c>
      <c r="E1141" t="s">
        <v>771</v>
      </c>
      <c r="F1141">
        <v>6</v>
      </c>
      <c r="G1141" s="308">
        <f>'BECA MEDIA'!V166</f>
        <v>6.4</v>
      </c>
      <c r="H1141" s="308">
        <f>'BECA MEDIA'!W166</f>
        <v>16000</v>
      </c>
    </row>
    <row r="1142" spans="1:8" x14ac:dyDescent="0.3">
      <c r="A1142" t="s">
        <v>688</v>
      </c>
      <c r="B1142" t="s">
        <v>178</v>
      </c>
      <c r="C1142" t="s">
        <v>94</v>
      </c>
      <c r="D1142" t="s">
        <v>689</v>
      </c>
      <c r="E1142" t="s">
        <v>772</v>
      </c>
      <c r="F1142">
        <v>7</v>
      </c>
      <c r="G1142" s="308">
        <f>'BECA MEDIA'!Y166</f>
        <v>0</v>
      </c>
      <c r="H1142" s="308">
        <f>'BECA MEDIA'!Z166</f>
        <v>0</v>
      </c>
    </row>
    <row r="1143" spans="1:8" x14ac:dyDescent="0.3">
      <c r="A1143" t="s">
        <v>688</v>
      </c>
      <c r="B1143" t="s">
        <v>178</v>
      </c>
      <c r="C1143" t="s">
        <v>188</v>
      </c>
      <c r="D1143" t="s">
        <v>689</v>
      </c>
      <c r="E1143" t="s">
        <v>766</v>
      </c>
      <c r="F1143">
        <v>1</v>
      </c>
      <c r="G1143" s="308">
        <f>'BECA MEDIA'!G167</f>
        <v>0</v>
      </c>
      <c r="H1143" s="308">
        <f>'BECA MEDIA'!H167</f>
        <v>0</v>
      </c>
    </row>
    <row r="1144" spans="1:8" x14ac:dyDescent="0.3">
      <c r="A1144" t="s">
        <v>688</v>
      </c>
      <c r="B1144" t="s">
        <v>178</v>
      </c>
      <c r="C1144" t="s">
        <v>188</v>
      </c>
      <c r="D1144" t="s">
        <v>689</v>
      </c>
      <c r="E1144" t="s">
        <v>767</v>
      </c>
      <c r="F1144">
        <v>2</v>
      </c>
      <c r="G1144" s="308">
        <f>'BECA MEDIA'!J167</f>
        <v>0</v>
      </c>
      <c r="H1144" s="308">
        <f>'BECA MEDIA'!K167</f>
        <v>0</v>
      </c>
    </row>
    <row r="1145" spans="1:8" x14ac:dyDescent="0.3">
      <c r="A1145" t="s">
        <v>688</v>
      </c>
      <c r="B1145" t="s">
        <v>178</v>
      </c>
      <c r="C1145" t="s">
        <v>188</v>
      </c>
      <c r="D1145" t="s">
        <v>689</v>
      </c>
      <c r="E1145" t="s">
        <v>768</v>
      </c>
      <c r="F1145">
        <v>3</v>
      </c>
      <c r="G1145" s="308">
        <f>'BECA MEDIA'!M167</f>
        <v>7.2</v>
      </c>
      <c r="H1145" s="308">
        <f>'BECA MEDIA'!N167</f>
        <v>18000</v>
      </c>
    </row>
    <row r="1146" spans="1:8" x14ac:dyDescent="0.3">
      <c r="A1146" t="s">
        <v>688</v>
      </c>
      <c r="B1146" t="s">
        <v>178</v>
      </c>
      <c r="C1146" t="s">
        <v>188</v>
      </c>
      <c r="D1146" t="s">
        <v>689</v>
      </c>
      <c r="E1146" t="s">
        <v>769</v>
      </c>
      <c r="F1146">
        <v>4</v>
      </c>
      <c r="G1146" s="308">
        <f>'BECA MEDIA'!P167</f>
        <v>3.2</v>
      </c>
      <c r="H1146" s="308">
        <f>'BECA MEDIA'!Q167</f>
        <v>8000</v>
      </c>
    </row>
    <row r="1147" spans="1:8" x14ac:dyDescent="0.3">
      <c r="A1147" t="s">
        <v>688</v>
      </c>
      <c r="B1147" t="s">
        <v>178</v>
      </c>
      <c r="C1147" t="s">
        <v>188</v>
      </c>
      <c r="D1147" t="s">
        <v>689</v>
      </c>
      <c r="E1147" t="s">
        <v>770</v>
      </c>
      <c r="F1147">
        <v>5</v>
      </c>
      <c r="G1147" s="308">
        <f>'BECA MEDIA'!S167</f>
        <v>0</v>
      </c>
      <c r="H1147" s="308">
        <f>'BECA MEDIA'!T167</f>
        <v>0</v>
      </c>
    </row>
    <row r="1148" spans="1:8" x14ac:dyDescent="0.3">
      <c r="A1148" t="s">
        <v>688</v>
      </c>
      <c r="B1148" t="s">
        <v>178</v>
      </c>
      <c r="C1148" t="s">
        <v>188</v>
      </c>
      <c r="D1148" t="s">
        <v>689</v>
      </c>
      <c r="E1148" t="s">
        <v>771</v>
      </c>
      <c r="F1148">
        <v>6</v>
      </c>
      <c r="G1148" s="308">
        <f>'BECA MEDIA'!V167</f>
        <v>7.2</v>
      </c>
      <c r="H1148" s="308">
        <f>'BECA MEDIA'!W167</f>
        <v>18000</v>
      </c>
    </row>
    <row r="1149" spans="1:8" x14ac:dyDescent="0.3">
      <c r="A1149" t="s">
        <v>688</v>
      </c>
      <c r="B1149" t="s">
        <v>178</v>
      </c>
      <c r="C1149" t="s">
        <v>188</v>
      </c>
      <c r="D1149" t="s">
        <v>689</v>
      </c>
      <c r="E1149" t="s">
        <v>772</v>
      </c>
      <c r="F1149">
        <v>7</v>
      </c>
      <c r="G1149" s="308">
        <f>'BECA MEDIA'!Y167</f>
        <v>0</v>
      </c>
      <c r="H1149" s="308">
        <f>'BECA MEDIA'!Z167</f>
        <v>0</v>
      </c>
    </row>
    <row r="1150" spans="1:8" x14ac:dyDescent="0.3">
      <c r="A1150" t="s">
        <v>688</v>
      </c>
      <c r="B1150" t="s">
        <v>178</v>
      </c>
      <c r="C1150" t="s">
        <v>189</v>
      </c>
      <c r="D1150" t="s">
        <v>689</v>
      </c>
      <c r="E1150" t="s">
        <v>766</v>
      </c>
      <c r="F1150">
        <v>1</v>
      </c>
      <c r="G1150" s="308">
        <f>'BECA MEDIA'!G168</f>
        <v>0</v>
      </c>
      <c r="H1150" s="308">
        <f>'BECA MEDIA'!H168</f>
        <v>0</v>
      </c>
    </row>
    <row r="1151" spans="1:8" x14ac:dyDescent="0.3">
      <c r="A1151" t="s">
        <v>688</v>
      </c>
      <c r="B1151" t="s">
        <v>178</v>
      </c>
      <c r="C1151" t="s">
        <v>189</v>
      </c>
      <c r="D1151" t="s">
        <v>689</v>
      </c>
      <c r="E1151" t="s">
        <v>767</v>
      </c>
      <c r="F1151">
        <v>2</v>
      </c>
      <c r="G1151" s="308">
        <f>'BECA MEDIA'!J168</f>
        <v>0</v>
      </c>
      <c r="H1151" s="308">
        <f>'BECA MEDIA'!K168</f>
        <v>0</v>
      </c>
    </row>
    <row r="1152" spans="1:8" x14ac:dyDescent="0.3">
      <c r="A1152" t="s">
        <v>688</v>
      </c>
      <c r="B1152" t="s">
        <v>178</v>
      </c>
      <c r="C1152" t="s">
        <v>189</v>
      </c>
      <c r="D1152" t="s">
        <v>689</v>
      </c>
      <c r="E1152" t="s">
        <v>768</v>
      </c>
      <c r="F1152">
        <v>3</v>
      </c>
      <c r="G1152" s="308">
        <f>'BECA MEDIA'!M168</f>
        <v>4.4000000000000004</v>
      </c>
      <c r="H1152" s="308">
        <f>'BECA MEDIA'!N168</f>
        <v>11000</v>
      </c>
    </row>
    <row r="1153" spans="1:8" x14ac:dyDescent="0.3">
      <c r="A1153" t="s">
        <v>688</v>
      </c>
      <c r="B1153" t="s">
        <v>178</v>
      </c>
      <c r="C1153" t="s">
        <v>189</v>
      </c>
      <c r="D1153" t="s">
        <v>689</v>
      </c>
      <c r="E1153" t="s">
        <v>769</v>
      </c>
      <c r="F1153">
        <v>4</v>
      </c>
      <c r="G1153" s="308">
        <f>'BECA MEDIA'!P168</f>
        <v>2.4</v>
      </c>
      <c r="H1153" s="308">
        <f>'BECA MEDIA'!Q168</f>
        <v>6000</v>
      </c>
    </row>
    <row r="1154" spans="1:8" x14ac:dyDescent="0.3">
      <c r="A1154" t="s">
        <v>688</v>
      </c>
      <c r="B1154" t="s">
        <v>178</v>
      </c>
      <c r="C1154" t="s">
        <v>189</v>
      </c>
      <c r="D1154" t="s">
        <v>689</v>
      </c>
      <c r="E1154" t="s">
        <v>770</v>
      </c>
      <c r="F1154">
        <v>5</v>
      </c>
      <c r="G1154" s="308">
        <f>'BECA MEDIA'!S168</f>
        <v>0</v>
      </c>
      <c r="H1154" s="308">
        <f>'BECA MEDIA'!T168</f>
        <v>0</v>
      </c>
    </row>
    <row r="1155" spans="1:8" x14ac:dyDescent="0.3">
      <c r="A1155" t="s">
        <v>688</v>
      </c>
      <c r="B1155" t="s">
        <v>178</v>
      </c>
      <c r="C1155" t="s">
        <v>189</v>
      </c>
      <c r="D1155" t="s">
        <v>689</v>
      </c>
      <c r="E1155" t="s">
        <v>771</v>
      </c>
      <c r="F1155">
        <v>6</v>
      </c>
      <c r="G1155" s="308">
        <f>'BECA MEDIA'!V168</f>
        <v>7.2</v>
      </c>
      <c r="H1155" s="308">
        <f>'BECA MEDIA'!W168</f>
        <v>18000</v>
      </c>
    </row>
    <row r="1156" spans="1:8" x14ac:dyDescent="0.3">
      <c r="A1156" t="s">
        <v>688</v>
      </c>
      <c r="B1156" t="s">
        <v>178</v>
      </c>
      <c r="C1156" t="s">
        <v>189</v>
      </c>
      <c r="D1156" t="s">
        <v>689</v>
      </c>
      <c r="E1156" t="s">
        <v>772</v>
      </c>
      <c r="F1156">
        <v>7</v>
      </c>
      <c r="G1156" s="308">
        <f>'BECA MEDIA'!Y168</f>
        <v>0</v>
      </c>
      <c r="H1156" s="308">
        <f>'BECA MEDIA'!Z168</f>
        <v>0</v>
      </c>
    </row>
    <row r="1157" spans="1:8" x14ac:dyDescent="0.3">
      <c r="A1157" t="s">
        <v>688</v>
      </c>
      <c r="B1157" t="s">
        <v>178</v>
      </c>
      <c r="C1157" t="s">
        <v>190</v>
      </c>
      <c r="D1157" t="s">
        <v>689</v>
      </c>
      <c r="E1157" t="s">
        <v>766</v>
      </c>
      <c r="F1157">
        <v>1</v>
      </c>
      <c r="G1157" s="308">
        <f>'BECA MEDIA'!G169</f>
        <v>0</v>
      </c>
      <c r="H1157" s="308">
        <f>'BECA MEDIA'!H169</f>
        <v>0</v>
      </c>
    </row>
    <row r="1158" spans="1:8" x14ac:dyDescent="0.3">
      <c r="A1158" t="s">
        <v>688</v>
      </c>
      <c r="B1158" t="s">
        <v>178</v>
      </c>
      <c r="C1158" t="s">
        <v>190</v>
      </c>
      <c r="D1158" t="s">
        <v>689</v>
      </c>
      <c r="E1158" t="s">
        <v>767</v>
      </c>
      <c r="F1158">
        <v>2</v>
      </c>
      <c r="G1158" s="308">
        <f>'BECA MEDIA'!J169</f>
        <v>0</v>
      </c>
      <c r="H1158" s="308">
        <f>'BECA MEDIA'!K169</f>
        <v>0</v>
      </c>
    </row>
    <row r="1159" spans="1:8" x14ac:dyDescent="0.3">
      <c r="A1159" t="s">
        <v>688</v>
      </c>
      <c r="B1159" t="s">
        <v>178</v>
      </c>
      <c r="C1159" t="s">
        <v>190</v>
      </c>
      <c r="D1159" t="s">
        <v>689</v>
      </c>
      <c r="E1159" t="s">
        <v>768</v>
      </c>
      <c r="F1159">
        <v>3</v>
      </c>
      <c r="G1159" s="308">
        <f>'BECA MEDIA'!M169</f>
        <v>6.8</v>
      </c>
      <c r="H1159" s="308">
        <f>'BECA MEDIA'!N169</f>
        <v>17000</v>
      </c>
    </row>
    <row r="1160" spans="1:8" x14ac:dyDescent="0.3">
      <c r="A1160" t="s">
        <v>688</v>
      </c>
      <c r="B1160" t="s">
        <v>178</v>
      </c>
      <c r="C1160" t="s">
        <v>190</v>
      </c>
      <c r="D1160" t="s">
        <v>689</v>
      </c>
      <c r="E1160" t="s">
        <v>769</v>
      </c>
      <c r="F1160">
        <v>4</v>
      </c>
      <c r="G1160" s="308">
        <f>'BECA MEDIA'!P169</f>
        <v>6.8</v>
      </c>
      <c r="H1160" s="308">
        <f>'BECA MEDIA'!Q169</f>
        <v>17000</v>
      </c>
    </row>
    <row r="1161" spans="1:8" x14ac:dyDescent="0.3">
      <c r="A1161" t="s">
        <v>688</v>
      </c>
      <c r="B1161" t="s">
        <v>178</v>
      </c>
      <c r="C1161" t="s">
        <v>190</v>
      </c>
      <c r="D1161" t="s">
        <v>689</v>
      </c>
      <c r="E1161" t="s">
        <v>770</v>
      </c>
      <c r="F1161">
        <v>5</v>
      </c>
      <c r="G1161" s="308">
        <f>'BECA MEDIA'!S169</f>
        <v>0</v>
      </c>
      <c r="H1161" s="308">
        <f>'BECA MEDIA'!T169</f>
        <v>0</v>
      </c>
    </row>
    <row r="1162" spans="1:8" x14ac:dyDescent="0.3">
      <c r="A1162" t="s">
        <v>688</v>
      </c>
      <c r="B1162" t="s">
        <v>178</v>
      </c>
      <c r="C1162" t="s">
        <v>190</v>
      </c>
      <c r="D1162" t="s">
        <v>689</v>
      </c>
      <c r="E1162" t="s">
        <v>771</v>
      </c>
      <c r="F1162">
        <v>6</v>
      </c>
      <c r="G1162" s="308">
        <f>'BECA MEDIA'!V169</f>
        <v>8.8000000000000007</v>
      </c>
      <c r="H1162" s="308">
        <f>'BECA MEDIA'!W169</f>
        <v>22000</v>
      </c>
    </row>
    <row r="1163" spans="1:8" x14ac:dyDescent="0.3">
      <c r="A1163" t="s">
        <v>688</v>
      </c>
      <c r="B1163" t="s">
        <v>178</v>
      </c>
      <c r="C1163" t="s">
        <v>190</v>
      </c>
      <c r="D1163" t="s">
        <v>689</v>
      </c>
      <c r="E1163" t="s">
        <v>772</v>
      </c>
      <c r="F1163">
        <v>7</v>
      </c>
      <c r="G1163" s="308">
        <f>'BECA MEDIA'!Y169</f>
        <v>0</v>
      </c>
      <c r="H1163" s="308">
        <f>'BECA MEDIA'!Z169</f>
        <v>0</v>
      </c>
    </row>
    <row r="1164" spans="1:8" x14ac:dyDescent="0.3">
      <c r="A1164" t="s">
        <v>688</v>
      </c>
      <c r="B1164" t="s">
        <v>191</v>
      </c>
      <c r="C1164" t="s">
        <v>192</v>
      </c>
      <c r="D1164" t="s">
        <v>689</v>
      </c>
      <c r="E1164" t="s">
        <v>766</v>
      </c>
      <c r="F1164">
        <v>1</v>
      </c>
      <c r="G1164" s="308">
        <f>'BECA MEDIA'!G170</f>
        <v>0</v>
      </c>
      <c r="H1164" s="308">
        <f>'BECA MEDIA'!H170</f>
        <v>0</v>
      </c>
    </row>
    <row r="1165" spans="1:8" x14ac:dyDescent="0.3">
      <c r="A1165" t="s">
        <v>688</v>
      </c>
      <c r="B1165" t="s">
        <v>191</v>
      </c>
      <c r="C1165" t="s">
        <v>192</v>
      </c>
      <c r="D1165" t="s">
        <v>689</v>
      </c>
      <c r="E1165" t="s">
        <v>767</v>
      </c>
      <c r="F1165">
        <v>2</v>
      </c>
      <c r="G1165" s="308">
        <f>'BECA MEDIA'!J170</f>
        <v>0</v>
      </c>
      <c r="H1165" s="308">
        <f>'BECA MEDIA'!K170</f>
        <v>0</v>
      </c>
    </row>
    <row r="1166" spans="1:8" x14ac:dyDescent="0.3">
      <c r="A1166" t="s">
        <v>688</v>
      </c>
      <c r="B1166" t="s">
        <v>191</v>
      </c>
      <c r="C1166" t="s">
        <v>192</v>
      </c>
      <c r="D1166" t="s">
        <v>689</v>
      </c>
      <c r="E1166" t="s">
        <v>768</v>
      </c>
      <c r="F1166">
        <v>3</v>
      </c>
      <c r="G1166" s="308">
        <f>'BECA MEDIA'!M170</f>
        <v>2</v>
      </c>
      <c r="H1166" s="308">
        <f>'BECA MEDIA'!N170</f>
        <v>5000</v>
      </c>
    </row>
    <row r="1167" spans="1:8" x14ac:dyDescent="0.3">
      <c r="A1167" t="s">
        <v>688</v>
      </c>
      <c r="B1167" t="s">
        <v>191</v>
      </c>
      <c r="C1167" t="s">
        <v>192</v>
      </c>
      <c r="D1167" t="s">
        <v>689</v>
      </c>
      <c r="E1167" t="s">
        <v>769</v>
      </c>
      <c r="F1167">
        <v>4</v>
      </c>
      <c r="G1167" s="308">
        <f>'BECA MEDIA'!P170</f>
        <v>2</v>
      </c>
      <c r="H1167" s="308">
        <f>'BECA MEDIA'!Q170</f>
        <v>5000</v>
      </c>
    </row>
    <row r="1168" spans="1:8" x14ac:dyDescent="0.3">
      <c r="A1168" t="s">
        <v>688</v>
      </c>
      <c r="B1168" t="s">
        <v>191</v>
      </c>
      <c r="C1168" t="s">
        <v>192</v>
      </c>
      <c r="D1168" t="s">
        <v>689</v>
      </c>
      <c r="E1168" t="s">
        <v>770</v>
      </c>
      <c r="F1168">
        <v>5</v>
      </c>
      <c r="G1168" s="308">
        <f>'BECA MEDIA'!S170</f>
        <v>0</v>
      </c>
      <c r="H1168" s="308">
        <f>'BECA MEDIA'!T170</f>
        <v>0</v>
      </c>
    </row>
    <row r="1169" spans="1:8" x14ac:dyDescent="0.3">
      <c r="A1169" t="s">
        <v>688</v>
      </c>
      <c r="B1169" t="s">
        <v>191</v>
      </c>
      <c r="C1169" t="s">
        <v>192</v>
      </c>
      <c r="D1169" t="s">
        <v>689</v>
      </c>
      <c r="E1169" t="s">
        <v>771</v>
      </c>
      <c r="F1169">
        <v>6</v>
      </c>
      <c r="G1169" s="308">
        <f>'BECA MEDIA'!V170</f>
        <v>4.4000000000000004</v>
      </c>
      <c r="H1169" s="308">
        <f>'BECA MEDIA'!W170</f>
        <v>11000</v>
      </c>
    </row>
    <row r="1170" spans="1:8" x14ac:dyDescent="0.3">
      <c r="A1170" t="s">
        <v>688</v>
      </c>
      <c r="B1170" t="s">
        <v>191</v>
      </c>
      <c r="C1170" t="s">
        <v>192</v>
      </c>
      <c r="D1170" t="s">
        <v>689</v>
      </c>
      <c r="E1170" t="s">
        <v>772</v>
      </c>
      <c r="F1170">
        <v>7</v>
      </c>
      <c r="G1170" s="308">
        <f>'BECA MEDIA'!Y170</f>
        <v>0</v>
      </c>
      <c r="H1170" s="308">
        <f>'BECA MEDIA'!Z170</f>
        <v>0</v>
      </c>
    </row>
    <row r="1171" spans="1:8" x14ac:dyDescent="0.3">
      <c r="A1171" t="s">
        <v>688</v>
      </c>
      <c r="B1171" t="s">
        <v>191</v>
      </c>
      <c r="C1171" t="s">
        <v>193</v>
      </c>
      <c r="D1171" t="s">
        <v>689</v>
      </c>
      <c r="E1171" t="s">
        <v>766</v>
      </c>
      <c r="F1171">
        <v>1</v>
      </c>
      <c r="G1171" s="308">
        <f>'BECA MEDIA'!G171</f>
        <v>0</v>
      </c>
      <c r="H1171" s="308">
        <f>'BECA MEDIA'!H171</f>
        <v>0</v>
      </c>
    </row>
    <row r="1172" spans="1:8" x14ac:dyDescent="0.3">
      <c r="A1172" t="s">
        <v>688</v>
      </c>
      <c r="B1172" t="s">
        <v>191</v>
      </c>
      <c r="C1172" t="s">
        <v>193</v>
      </c>
      <c r="D1172" t="s">
        <v>689</v>
      </c>
      <c r="E1172" t="s">
        <v>767</v>
      </c>
      <c r="F1172">
        <v>2</v>
      </c>
      <c r="G1172" s="308">
        <f>'BECA MEDIA'!J171</f>
        <v>0</v>
      </c>
      <c r="H1172" s="308">
        <f>'BECA MEDIA'!K171</f>
        <v>0</v>
      </c>
    </row>
    <row r="1173" spans="1:8" x14ac:dyDescent="0.3">
      <c r="A1173" t="s">
        <v>688</v>
      </c>
      <c r="B1173" t="s">
        <v>191</v>
      </c>
      <c r="C1173" t="s">
        <v>193</v>
      </c>
      <c r="D1173" t="s">
        <v>689</v>
      </c>
      <c r="E1173" t="s">
        <v>768</v>
      </c>
      <c r="F1173">
        <v>3</v>
      </c>
      <c r="G1173" s="308">
        <f>'BECA MEDIA'!M171</f>
        <v>2</v>
      </c>
      <c r="H1173" s="308">
        <f>'BECA MEDIA'!N171</f>
        <v>5000</v>
      </c>
    </row>
    <row r="1174" spans="1:8" x14ac:dyDescent="0.3">
      <c r="A1174" t="s">
        <v>688</v>
      </c>
      <c r="B1174" t="s">
        <v>191</v>
      </c>
      <c r="C1174" t="s">
        <v>193</v>
      </c>
      <c r="D1174" t="s">
        <v>689</v>
      </c>
      <c r="E1174" t="s">
        <v>769</v>
      </c>
      <c r="F1174">
        <v>4</v>
      </c>
      <c r="G1174" s="308">
        <f>'BECA MEDIA'!P171</f>
        <v>0.4</v>
      </c>
      <c r="H1174" s="308">
        <f>'BECA MEDIA'!Q171</f>
        <v>1000</v>
      </c>
    </row>
    <row r="1175" spans="1:8" x14ac:dyDescent="0.3">
      <c r="A1175" t="s">
        <v>688</v>
      </c>
      <c r="B1175" t="s">
        <v>191</v>
      </c>
      <c r="C1175" t="s">
        <v>193</v>
      </c>
      <c r="D1175" t="s">
        <v>689</v>
      </c>
      <c r="E1175" t="s">
        <v>770</v>
      </c>
      <c r="F1175">
        <v>5</v>
      </c>
      <c r="G1175" s="308">
        <f>'BECA MEDIA'!S171</f>
        <v>0</v>
      </c>
      <c r="H1175" s="308">
        <f>'BECA MEDIA'!T171</f>
        <v>0</v>
      </c>
    </row>
    <row r="1176" spans="1:8" x14ac:dyDescent="0.3">
      <c r="A1176" t="s">
        <v>688</v>
      </c>
      <c r="B1176" t="s">
        <v>191</v>
      </c>
      <c r="C1176" t="s">
        <v>193</v>
      </c>
      <c r="D1176" t="s">
        <v>689</v>
      </c>
      <c r="E1176" t="s">
        <v>771</v>
      </c>
      <c r="F1176">
        <v>6</v>
      </c>
      <c r="G1176" s="308">
        <f>'BECA MEDIA'!V171</f>
        <v>2.8</v>
      </c>
      <c r="H1176" s="308">
        <f>'BECA MEDIA'!W171</f>
        <v>7000</v>
      </c>
    </row>
    <row r="1177" spans="1:8" x14ac:dyDescent="0.3">
      <c r="A1177" t="s">
        <v>688</v>
      </c>
      <c r="B1177" t="s">
        <v>191</v>
      </c>
      <c r="C1177" t="s">
        <v>193</v>
      </c>
      <c r="D1177" t="s">
        <v>689</v>
      </c>
      <c r="E1177" t="s">
        <v>772</v>
      </c>
      <c r="F1177">
        <v>7</v>
      </c>
      <c r="G1177" s="308">
        <f>'BECA MEDIA'!Y171</f>
        <v>0</v>
      </c>
      <c r="H1177" s="308">
        <f>'BECA MEDIA'!Z171</f>
        <v>0</v>
      </c>
    </row>
    <row r="1178" spans="1:8" x14ac:dyDescent="0.3">
      <c r="A1178" t="s">
        <v>688</v>
      </c>
      <c r="B1178" t="s">
        <v>191</v>
      </c>
      <c r="C1178" t="s">
        <v>194</v>
      </c>
      <c r="D1178" t="s">
        <v>689</v>
      </c>
      <c r="E1178" t="s">
        <v>766</v>
      </c>
      <c r="F1178">
        <v>1</v>
      </c>
      <c r="G1178" s="308">
        <f>'BECA MEDIA'!G172</f>
        <v>0</v>
      </c>
      <c r="H1178" s="308">
        <f>'BECA MEDIA'!H172</f>
        <v>0</v>
      </c>
    </row>
    <row r="1179" spans="1:8" x14ac:dyDescent="0.3">
      <c r="A1179" t="s">
        <v>688</v>
      </c>
      <c r="B1179" t="s">
        <v>191</v>
      </c>
      <c r="C1179" t="s">
        <v>194</v>
      </c>
      <c r="D1179" t="s">
        <v>689</v>
      </c>
      <c r="E1179" t="s">
        <v>767</v>
      </c>
      <c r="F1179">
        <v>2</v>
      </c>
      <c r="G1179" s="308">
        <f>'BECA MEDIA'!J172</f>
        <v>0</v>
      </c>
      <c r="H1179" s="308">
        <f>'BECA MEDIA'!K172</f>
        <v>0</v>
      </c>
    </row>
    <row r="1180" spans="1:8" x14ac:dyDescent="0.3">
      <c r="A1180" t="s">
        <v>688</v>
      </c>
      <c r="B1180" t="s">
        <v>191</v>
      </c>
      <c r="C1180" t="s">
        <v>194</v>
      </c>
      <c r="D1180" t="s">
        <v>689</v>
      </c>
      <c r="E1180" t="s">
        <v>768</v>
      </c>
      <c r="F1180">
        <v>3</v>
      </c>
      <c r="G1180" s="308">
        <f>'BECA MEDIA'!M172</f>
        <v>2</v>
      </c>
      <c r="H1180" s="308">
        <f>'BECA MEDIA'!N172</f>
        <v>5000</v>
      </c>
    </row>
    <row r="1181" spans="1:8" x14ac:dyDescent="0.3">
      <c r="A1181" t="s">
        <v>688</v>
      </c>
      <c r="B1181" t="s">
        <v>191</v>
      </c>
      <c r="C1181" t="s">
        <v>194</v>
      </c>
      <c r="D1181" t="s">
        <v>689</v>
      </c>
      <c r="E1181" t="s">
        <v>769</v>
      </c>
      <c r="F1181">
        <v>4</v>
      </c>
      <c r="G1181" s="308">
        <f>'BECA MEDIA'!P172</f>
        <v>5.2</v>
      </c>
      <c r="H1181" s="308">
        <f>'BECA MEDIA'!Q172</f>
        <v>13000</v>
      </c>
    </row>
    <row r="1182" spans="1:8" x14ac:dyDescent="0.3">
      <c r="A1182" t="s">
        <v>688</v>
      </c>
      <c r="B1182" t="s">
        <v>191</v>
      </c>
      <c r="C1182" t="s">
        <v>194</v>
      </c>
      <c r="D1182" t="s">
        <v>689</v>
      </c>
      <c r="E1182" t="s">
        <v>770</v>
      </c>
      <c r="F1182">
        <v>5</v>
      </c>
      <c r="G1182" s="308">
        <f>'BECA MEDIA'!S172</f>
        <v>0</v>
      </c>
      <c r="H1182" s="308">
        <f>'BECA MEDIA'!T172</f>
        <v>0</v>
      </c>
    </row>
    <row r="1183" spans="1:8" x14ac:dyDescent="0.3">
      <c r="A1183" t="s">
        <v>688</v>
      </c>
      <c r="B1183" t="s">
        <v>191</v>
      </c>
      <c r="C1183" t="s">
        <v>194</v>
      </c>
      <c r="D1183" t="s">
        <v>689</v>
      </c>
      <c r="E1183" t="s">
        <v>771</v>
      </c>
      <c r="F1183">
        <v>6</v>
      </c>
      <c r="G1183" s="308">
        <f>'BECA MEDIA'!V172</f>
        <v>7.6</v>
      </c>
      <c r="H1183" s="308">
        <f>'BECA MEDIA'!W172</f>
        <v>19000</v>
      </c>
    </row>
    <row r="1184" spans="1:8" x14ac:dyDescent="0.3">
      <c r="A1184" t="s">
        <v>688</v>
      </c>
      <c r="B1184" t="s">
        <v>191</v>
      </c>
      <c r="C1184" t="s">
        <v>194</v>
      </c>
      <c r="D1184" t="s">
        <v>689</v>
      </c>
      <c r="E1184" t="s">
        <v>772</v>
      </c>
      <c r="F1184">
        <v>7</v>
      </c>
      <c r="G1184" s="308">
        <f>'BECA MEDIA'!Y172</f>
        <v>0</v>
      </c>
      <c r="H1184" s="308">
        <f>'BECA MEDIA'!Z172</f>
        <v>0</v>
      </c>
    </row>
    <row r="1185" spans="1:8" x14ac:dyDescent="0.3">
      <c r="A1185" t="s">
        <v>688</v>
      </c>
      <c r="B1185" t="s">
        <v>191</v>
      </c>
      <c r="C1185" t="s">
        <v>195</v>
      </c>
      <c r="D1185" t="s">
        <v>689</v>
      </c>
      <c r="E1185" t="s">
        <v>766</v>
      </c>
      <c r="F1185">
        <v>1</v>
      </c>
      <c r="G1185" s="308">
        <f>'BECA MEDIA'!G173</f>
        <v>0</v>
      </c>
      <c r="H1185" s="308">
        <f>'BECA MEDIA'!H173</f>
        <v>0</v>
      </c>
    </row>
    <row r="1186" spans="1:8" x14ac:dyDescent="0.3">
      <c r="A1186" t="s">
        <v>688</v>
      </c>
      <c r="B1186" t="s">
        <v>191</v>
      </c>
      <c r="C1186" t="s">
        <v>195</v>
      </c>
      <c r="D1186" t="s">
        <v>689</v>
      </c>
      <c r="E1186" t="s">
        <v>767</v>
      </c>
      <c r="F1186">
        <v>2</v>
      </c>
      <c r="G1186" s="308">
        <f>'BECA MEDIA'!J173</f>
        <v>0</v>
      </c>
      <c r="H1186" s="308">
        <f>'BECA MEDIA'!K173</f>
        <v>0</v>
      </c>
    </row>
    <row r="1187" spans="1:8" x14ac:dyDescent="0.3">
      <c r="A1187" t="s">
        <v>688</v>
      </c>
      <c r="B1187" t="s">
        <v>191</v>
      </c>
      <c r="C1187" t="s">
        <v>195</v>
      </c>
      <c r="D1187" t="s">
        <v>689</v>
      </c>
      <c r="E1187" t="s">
        <v>768</v>
      </c>
      <c r="F1187">
        <v>3</v>
      </c>
      <c r="G1187" s="308">
        <f>'BECA MEDIA'!M173</f>
        <v>3.6</v>
      </c>
      <c r="H1187" s="308">
        <f>'BECA MEDIA'!N173</f>
        <v>9000</v>
      </c>
    </row>
    <row r="1188" spans="1:8" x14ac:dyDescent="0.3">
      <c r="A1188" t="s">
        <v>688</v>
      </c>
      <c r="B1188" t="s">
        <v>191</v>
      </c>
      <c r="C1188" t="s">
        <v>195</v>
      </c>
      <c r="D1188" t="s">
        <v>689</v>
      </c>
      <c r="E1188" t="s">
        <v>769</v>
      </c>
      <c r="F1188">
        <v>4</v>
      </c>
      <c r="G1188" s="308">
        <f>'BECA MEDIA'!P173</f>
        <v>3.2</v>
      </c>
      <c r="H1188" s="308">
        <f>'BECA MEDIA'!Q173</f>
        <v>8000</v>
      </c>
    </row>
    <row r="1189" spans="1:8" x14ac:dyDescent="0.3">
      <c r="A1189" t="s">
        <v>688</v>
      </c>
      <c r="B1189" t="s">
        <v>191</v>
      </c>
      <c r="C1189" t="s">
        <v>195</v>
      </c>
      <c r="D1189" t="s">
        <v>689</v>
      </c>
      <c r="E1189" t="s">
        <v>770</v>
      </c>
      <c r="F1189">
        <v>5</v>
      </c>
      <c r="G1189" s="308">
        <f>'BECA MEDIA'!S173</f>
        <v>0</v>
      </c>
      <c r="H1189" s="308">
        <f>'BECA MEDIA'!T173</f>
        <v>0</v>
      </c>
    </row>
    <row r="1190" spans="1:8" x14ac:dyDescent="0.3">
      <c r="A1190" t="s">
        <v>688</v>
      </c>
      <c r="B1190" t="s">
        <v>191</v>
      </c>
      <c r="C1190" t="s">
        <v>195</v>
      </c>
      <c r="D1190" t="s">
        <v>689</v>
      </c>
      <c r="E1190" t="s">
        <v>771</v>
      </c>
      <c r="F1190">
        <v>6</v>
      </c>
      <c r="G1190" s="308">
        <f>'BECA MEDIA'!V173</f>
        <v>7.2</v>
      </c>
      <c r="H1190" s="308">
        <f>'BECA MEDIA'!W173</f>
        <v>18000</v>
      </c>
    </row>
    <row r="1191" spans="1:8" x14ac:dyDescent="0.3">
      <c r="A1191" t="s">
        <v>688</v>
      </c>
      <c r="B1191" t="s">
        <v>191</v>
      </c>
      <c r="C1191" t="s">
        <v>195</v>
      </c>
      <c r="D1191" t="s">
        <v>689</v>
      </c>
      <c r="E1191" t="s">
        <v>772</v>
      </c>
      <c r="F1191">
        <v>7</v>
      </c>
      <c r="G1191" s="308">
        <f>'BECA MEDIA'!Y173</f>
        <v>0</v>
      </c>
      <c r="H1191" s="308">
        <f>'BECA MEDIA'!Z173</f>
        <v>0</v>
      </c>
    </row>
    <row r="1192" spans="1:8" x14ac:dyDescent="0.3">
      <c r="A1192" t="s">
        <v>688</v>
      </c>
      <c r="B1192" t="s">
        <v>191</v>
      </c>
      <c r="C1192" t="s">
        <v>196</v>
      </c>
      <c r="D1192" t="s">
        <v>689</v>
      </c>
      <c r="E1192" t="s">
        <v>766</v>
      </c>
      <c r="F1192">
        <v>1</v>
      </c>
      <c r="G1192" s="308">
        <f>'BECA MEDIA'!G174</f>
        <v>0</v>
      </c>
      <c r="H1192" s="308">
        <f>'BECA MEDIA'!H174</f>
        <v>0</v>
      </c>
    </row>
    <row r="1193" spans="1:8" x14ac:dyDescent="0.3">
      <c r="A1193" t="s">
        <v>688</v>
      </c>
      <c r="B1193" t="s">
        <v>191</v>
      </c>
      <c r="C1193" t="s">
        <v>196</v>
      </c>
      <c r="D1193" t="s">
        <v>689</v>
      </c>
      <c r="E1193" t="s">
        <v>767</v>
      </c>
      <c r="F1193">
        <v>2</v>
      </c>
      <c r="G1193" s="308">
        <f>'BECA MEDIA'!J174</f>
        <v>0</v>
      </c>
      <c r="H1193" s="308">
        <f>'BECA MEDIA'!K174</f>
        <v>0</v>
      </c>
    </row>
    <row r="1194" spans="1:8" x14ac:dyDescent="0.3">
      <c r="A1194" t="s">
        <v>688</v>
      </c>
      <c r="B1194" t="s">
        <v>191</v>
      </c>
      <c r="C1194" t="s">
        <v>196</v>
      </c>
      <c r="D1194" t="s">
        <v>689</v>
      </c>
      <c r="E1194" t="s">
        <v>768</v>
      </c>
      <c r="F1194">
        <v>3</v>
      </c>
      <c r="G1194" s="308">
        <f>'BECA MEDIA'!M174</f>
        <v>3.6</v>
      </c>
      <c r="H1194" s="308">
        <f>'BECA MEDIA'!N174</f>
        <v>9000</v>
      </c>
    </row>
    <row r="1195" spans="1:8" x14ac:dyDescent="0.3">
      <c r="A1195" t="s">
        <v>688</v>
      </c>
      <c r="B1195" t="s">
        <v>191</v>
      </c>
      <c r="C1195" t="s">
        <v>196</v>
      </c>
      <c r="D1195" t="s">
        <v>689</v>
      </c>
      <c r="E1195" t="s">
        <v>769</v>
      </c>
      <c r="F1195">
        <v>4</v>
      </c>
      <c r="G1195" s="308">
        <f>'BECA MEDIA'!P174</f>
        <v>1.6</v>
      </c>
      <c r="H1195" s="308">
        <f>'BECA MEDIA'!Q174</f>
        <v>4000</v>
      </c>
    </row>
    <row r="1196" spans="1:8" x14ac:dyDescent="0.3">
      <c r="A1196" t="s">
        <v>688</v>
      </c>
      <c r="B1196" t="s">
        <v>191</v>
      </c>
      <c r="C1196" t="s">
        <v>196</v>
      </c>
      <c r="D1196" t="s">
        <v>689</v>
      </c>
      <c r="E1196" t="s">
        <v>770</v>
      </c>
      <c r="F1196">
        <v>5</v>
      </c>
      <c r="G1196" s="308">
        <f>'BECA MEDIA'!S174</f>
        <v>0</v>
      </c>
      <c r="H1196" s="308">
        <f>'BECA MEDIA'!T174</f>
        <v>0</v>
      </c>
    </row>
    <row r="1197" spans="1:8" x14ac:dyDescent="0.3">
      <c r="A1197" t="s">
        <v>688</v>
      </c>
      <c r="B1197" t="s">
        <v>191</v>
      </c>
      <c r="C1197" t="s">
        <v>196</v>
      </c>
      <c r="D1197" t="s">
        <v>689</v>
      </c>
      <c r="E1197" t="s">
        <v>771</v>
      </c>
      <c r="F1197">
        <v>6</v>
      </c>
      <c r="G1197" s="308">
        <f>'BECA MEDIA'!V174</f>
        <v>5.6</v>
      </c>
      <c r="H1197" s="308">
        <f>'BECA MEDIA'!W174</f>
        <v>14000</v>
      </c>
    </row>
    <row r="1198" spans="1:8" x14ac:dyDescent="0.3">
      <c r="A1198" t="s">
        <v>688</v>
      </c>
      <c r="B1198" t="s">
        <v>191</v>
      </c>
      <c r="C1198" t="s">
        <v>196</v>
      </c>
      <c r="D1198" t="s">
        <v>689</v>
      </c>
      <c r="E1198" t="s">
        <v>772</v>
      </c>
      <c r="F1198">
        <v>7</v>
      </c>
      <c r="G1198" s="308">
        <f>'BECA MEDIA'!Y174</f>
        <v>0</v>
      </c>
      <c r="H1198" s="308">
        <f>'BECA MEDIA'!Z174</f>
        <v>0</v>
      </c>
    </row>
    <row r="1199" spans="1:8" x14ac:dyDescent="0.3">
      <c r="A1199" t="s">
        <v>688</v>
      </c>
      <c r="B1199" t="s">
        <v>191</v>
      </c>
      <c r="C1199" t="s">
        <v>197</v>
      </c>
      <c r="D1199" t="s">
        <v>689</v>
      </c>
      <c r="E1199" t="s">
        <v>766</v>
      </c>
      <c r="F1199">
        <v>1</v>
      </c>
      <c r="G1199" s="308">
        <f>'BECA MEDIA'!G175</f>
        <v>0</v>
      </c>
      <c r="H1199" s="308">
        <f>'BECA MEDIA'!H175</f>
        <v>0</v>
      </c>
    </row>
    <row r="1200" spans="1:8" x14ac:dyDescent="0.3">
      <c r="A1200" t="s">
        <v>688</v>
      </c>
      <c r="B1200" t="s">
        <v>191</v>
      </c>
      <c r="C1200" t="s">
        <v>197</v>
      </c>
      <c r="D1200" t="s">
        <v>689</v>
      </c>
      <c r="E1200" t="s">
        <v>767</v>
      </c>
      <c r="F1200">
        <v>2</v>
      </c>
      <c r="G1200" s="308">
        <f>'BECA MEDIA'!J175</f>
        <v>0</v>
      </c>
      <c r="H1200" s="308">
        <f>'BECA MEDIA'!K175</f>
        <v>0</v>
      </c>
    </row>
    <row r="1201" spans="1:8" x14ac:dyDescent="0.3">
      <c r="A1201" t="s">
        <v>688</v>
      </c>
      <c r="B1201" t="s">
        <v>191</v>
      </c>
      <c r="C1201" t="s">
        <v>197</v>
      </c>
      <c r="D1201" t="s">
        <v>689</v>
      </c>
      <c r="E1201" t="s">
        <v>768</v>
      </c>
      <c r="F1201">
        <v>3</v>
      </c>
      <c r="G1201" s="308">
        <f>'BECA MEDIA'!M175</f>
        <v>2</v>
      </c>
      <c r="H1201" s="308">
        <f>'BECA MEDIA'!N175</f>
        <v>5000</v>
      </c>
    </row>
    <row r="1202" spans="1:8" x14ac:dyDescent="0.3">
      <c r="A1202" t="s">
        <v>688</v>
      </c>
      <c r="B1202" t="s">
        <v>191</v>
      </c>
      <c r="C1202" t="s">
        <v>197</v>
      </c>
      <c r="D1202" t="s">
        <v>689</v>
      </c>
      <c r="E1202" t="s">
        <v>769</v>
      </c>
      <c r="F1202">
        <v>4</v>
      </c>
      <c r="G1202" s="308">
        <f>'BECA MEDIA'!P175</f>
        <v>0.4</v>
      </c>
      <c r="H1202" s="308">
        <f>'BECA MEDIA'!Q175</f>
        <v>1000</v>
      </c>
    </row>
    <row r="1203" spans="1:8" x14ac:dyDescent="0.3">
      <c r="A1203" t="s">
        <v>688</v>
      </c>
      <c r="B1203" t="s">
        <v>191</v>
      </c>
      <c r="C1203" t="s">
        <v>197</v>
      </c>
      <c r="D1203" t="s">
        <v>689</v>
      </c>
      <c r="E1203" t="s">
        <v>770</v>
      </c>
      <c r="F1203">
        <v>5</v>
      </c>
      <c r="G1203" s="308">
        <f>'BECA MEDIA'!S175</f>
        <v>0</v>
      </c>
      <c r="H1203" s="308">
        <f>'BECA MEDIA'!T175</f>
        <v>0</v>
      </c>
    </row>
    <row r="1204" spans="1:8" x14ac:dyDescent="0.3">
      <c r="A1204" t="s">
        <v>688</v>
      </c>
      <c r="B1204" t="s">
        <v>191</v>
      </c>
      <c r="C1204" t="s">
        <v>197</v>
      </c>
      <c r="D1204" t="s">
        <v>689</v>
      </c>
      <c r="E1204" t="s">
        <v>771</v>
      </c>
      <c r="F1204">
        <v>6</v>
      </c>
      <c r="G1204" s="308">
        <f>'BECA MEDIA'!V175</f>
        <v>3.2</v>
      </c>
      <c r="H1204" s="308">
        <f>'BECA MEDIA'!W175</f>
        <v>8000</v>
      </c>
    </row>
    <row r="1205" spans="1:8" x14ac:dyDescent="0.3">
      <c r="A1205" t="s">
        <v>688</v>
      </c>
      <c r="B1205" t="s">
        <v>191</v>
      </c>
      <c r="C1205" t="s">
        <v>197</v>
      </c>
      <c r="D1205" t="s">
        <v>689</v>
      </c>
      <c r="E1205" t="s">
        <v>772</v>
      </c>
      <c r="F1205">
        <v>7</v>
      </c>
      <c r="G1205" s="308">
        <f>'BECA MEDIA'!Y175</f>
        <v>0</v>
      </c>
      <c r="H1205" s="308">
        <f>'BECA MEDIA'!Z175</f>
        <v>0</v>
      </c>
    </row>
    <row r="1206" spans="1:8" x14ac:dyDescent="0.3">
      <c r="A1206" t="s">
        <v>688</v>
      </c>
      <c r="B1206" t="s">
        <v>191</v>
      </c>
      <c r="C1206" t="s">
        <v>198</v>
      </c>
      <c r="D1206" t="s">
        <v>689</v>
      </c>
      <c r="E1206" t="s">
        <v>766</v>
      </c>
      <c r="F1206">
        <v>1</v>
      </c>
      <c r="G1206" s="308">
        <f>'BECA MEDIA'!G176</f>
        <v>0</v>
      </c>
      <c r="H1206" s="308">
        <f>'BECA MEDIA'!H176</f>
        <v>0</v>
      </c>
    </row>
    <row r="1207" spans="1:8" x14ac:dyDescent="0.3">
      <c r="A1207" t="s">
        <v>688</v>
      </c>
      <c r="B1207" t="s">
        <v>191</v>
      </c>
      <c r="C1207" t="s">
        <v>198</v>
      </c>
      <c r="D1207" t="s">
        <v>689</v>
      </c>
      <c r="E1207" t="s">
        <v>767</v>
      </c>
      <c r="F1207">
        <v>2</v>
      </c>
      <c r="G1207" s="308">
        <f>'BECA MEDIA'!J176</f>
        <v>0</v>
      </c>
      <c r="H1207" s="308">
        <f>'BECA MEDIA'!K176</f>
        <v>0</v>
      </c>
    </row>
    <row r="1208" spans="1:8" x14ac:dyDescent="0.3">
      <c r="A1208" t="s">
        <v>688</v>
      </c>
      <c r="B1208" t="s">
        <v>191</v>
      </c>
      <c r="C1208" t="s">
        <v>198</v>
      </c>
      <c r="D1208" t="s">
        <v>689</v>
      </c>
      <c r="E1208" t="s">
        <v>768</v>
      </c>
      <c r="F1208">
        <v>3</v>
      </c>
      <c r="G1208" s="308">
        <f>'BECA MEDIA'!M176</f>
        <v>4.4000000000000004</v>
      </c>
      <c r="H1208" s="308">
        <f>'BECA MEDIA'!N176</f>
        <v>11000</v>
      </c>
    </row>
    <row r="1209" spans="1:8" x14ac:dyDescent="0.3">
      <c r="A1209" t="s">
        <v>688</v>
      </c>
      <c r="B1209" t="s">
        <v>191</v>
      </c>
      <c r="C1209" t="s">
        <v>198</v>
      </c>
      <c r="D1209" t="s">
        <v>689</v>
      </c>
      <c r="E1209" t="s">
        <v>769</v>
      </c>
      <c r="F1209">
        <v>4</v>
      </c>
      <c r="G1209" s="308">
        <f>'BECA MEDIA'!P176</f>
        <v>3.6</v>
      </c>
      <c r="H1209" s="308">
        <f>'BECA MEDIA'!Q176</f>
        <v>9000</v>
      </c>
    </row>
    <row r="1210" spans="1:8" x14ac:dyDescent="0.3">
      <c r="A1210" t="s">
        <v>688</v>
      </c>
      <c r="B1210" t="s">
        <v>191</v>
      </c>
      <c r="C1210" t="s">
        <v>198</v>
      </c>
      <c r="D1210" t="s">
        <v>689</v>
      </c>
      <c r="E1210" t="s">
        <v>770</v>
      </c>
      <c r="F1210">
        <v>5</v>
      </c>
      <c r="G1210" s="308">
        <f>'BECA MEDIA'!S176</f>
        <v>0</v>
      </c>
      <c r="H1210" s="308">
        <f>'BECA MEDIA'!T176</f>
        <v>0</v>
      </c>
    </row>
    <row r="1211" spans="1:8" x14ac:dyDescent="0.3">
      <c r="A1211" t="s">
        <v>688</v>
      </c>
      <c r="B1211" t="s">
        <v>191</v>
      </c>
      <c r="C1211" t="s">
        <v>198</v>
      </c>
      <c r="D1211" t="s">
        <v>689</v>
      </c>
      <c r="E1211" t="s">
        <v>771</v>
      </c>
      <c r="F1211">
        <v>6</v>
      </c>
      <c r="G1211" s="308">
        <f>'BECA MEDIA'!V176</f>
        <v>8</v>
      </c>
      <c r="H1211" s="308">
        <f>'BECA MEDIA'!W176</f>
        <v>20000</v>
      </c>
    </row>
    <row r="1212" spans="1:8" x14ac:dyDescent="0.3">
      <c r="A1212" t="s">
        <v>688</v>
      </c>
      <c r="B1212" t="s">
        <v>191</v>
      </c>
      <c r="C1212" t="s">
        <v>198</v>
      </c>
      <c r="D1212" t="s">
        <v>689</v>
      </c>
      <c r="E1212" t="s">
        <v>772</v>
      </c>
      <c r="F1212">
        <v>7</v>
      </c>
      <c r="G1212" s="308">
        <f>'BECA MEDIA'!Y176</f>
        <v>0</v>
      </c>
      <c r="H1212" s="308">
        <f>'BECA MEDIA'!Z176</f>
        <v>0</v>
      </c>
    </row>
    <row r="1213" spans="1:8" x14ac:dyDescent="0.3">
      <c r="A1213" t="s">
        <v>688</v>
      </c>
      <c r="B1213" t="s">
        <v>191</v>
      </c>
      <c r="C1213" t="s">
        <v>199</v>
      </c>
      <c r="D1213" t="s">
        <v>689</v>
      </c>
      <c r="E1213" t="s">
        <v>766</v>
      </c>
      <c r="F1213">
        <v>1</v>
      </c>
      <c r="G1213" s="308">
        <f>'BECA MEDIA'!G177</f>
        <v>0</v>
      </c>
      <c r="H1213" s="308">
        <f>'BECA MEDIA'!H177</f>
        <v>0</v>
      </c>
    </row>
    <row r="1214" spans="1:8" x14ac:dyDescent="0.3">
      <c r="A1214" t="s">
        <v>688</v>
      </c>
      <c r="B1214" t="s">
        <v>191</v>
      </c>
      <c r="C1214" t="s">
        <v>199</v>
      </c>
      <c r="D1214" t="s">
        <v>689</v>
      </c>
      <c r="E1214" t="s">
        <v>767</v>
      </c>
      <c r="F1214">
        <v>2</v>
      </c>
      <c r="G1214" s="308">
        <f>'BECA MEDIA'!J177</f>
        <v>0</v>
      </c>
      <c r="H1214" s="308">
        <f>'BECA MEDIA'!K177</f>
        <v>0</v>
      </c>
    </row>
    <row r="1215" spans="1:8" x14ac:dyDescent="0.3">
      <c r="A1215" t="s">
        <v>688</v>
      </c>
      <c r="B1215" t="s">
        <v>191</v>
      </c>
      <c r="C1215" t="s">
        <v>199</v>
      </c>
      <c r="D1215" t="s">
        <v>689</v>
      </c>
      <c r="E1215" t="s">
        <v>768</v>
      </c>
      <c r="F1215">
        <v>3</v>
      </c>
      <c r="G1215" s="308">
        <f>'BECA MEDIA'!M177</f>
        <v>3.2</v>
      </c>
      <c r="H1215" s="308">
        <f>'BECA MEDIA'!N177</f>
        <v>8000</v>
      </c>
    </row>
    <row r="1216" spans="1:8" x14ac:dyDescent="0.3">
      <c r="A1216" t="s">
        <v>688</v>
      </c>
      <c r="B1216" t="s">
        <v>191</v>
      </c>
      <c r="C1216" t="s">
        <v>199</v>
      </c>
      <c r="D1216" t="s">
        <v>689</v>
      </c>
      <c r="E1216" t="s">
        <v>769</v>
      </c>
      <c r="F1216">
        <v>4</v>
      </c>
      <c r="G1216" s="308">
        <f>'BECA MEDIA'!P177</f>
        <v>2.8</v>
      </c>
      <c r="H1216" s="308">
        <f>'BECA MEDIA'!Q177</f>
        <v>7000</v>
      </c>
    </row>
    <row r="1217" spans="1:8" x14ac:dyDescent="0.3">
      <c r="A1217" t="s">
        <v>688</v>
      </c>
      <c r="B1217" t="s">
        <v>191</v>
      </c>
      <c r="C1217" t="s">
        <v>199</v>
      </c>
      <c r="D1217" t="s">
        <v>689</v>
      </c>
      <c r="E1217" t="s">
        <v>770</v>
      </c>
      <c r="F1217">
        <v>5</v>
      </c>
      <c r="G1217" s="308">
        <f>'BECA MEDIA'!S177</f>
        <v>0</v>
      </c>
      <c r="H1217" s="308">
        <f>'BECA MEDIA'!T177</f>
        <v>0</v>
      </c>
    </row>
    <row r="1218" spans="1:8" x14ac:dyDescent="0.3">
      <c r="A1218" t="s">
        <v>688</v>
      </c>
      <c r="B1218" t="s">
        <v>191</v>
      </c>
      <c r="C1218" t="s">
        <v>199</v>
      </c>
      <c r="D1218" t="s">
        <v>689</v>
      </c>
      <c r="E1218" t="s">
        <v>771</v>
      </c>
      <c r="F1218">
        <v>6</v>
      </c>
      <c r="G1218" s="308">
        <f>'BECA MEDIA'!V177</f>
        <v>6.4</v>
      </c>
      <c r="H1218" s="308">
        <f>'BECA MEDIA'!W177</f>
        <v>16000</v>
      </c>
    </row>
    <row r="1219" spans="1:8" x14ac:dyDescent="0.3">
      <c r="A1219" t="s">
        <v>688</v>
      </c>
      <c r="B1219" t="s">
        <v>191</v>
      </c>
      <c r="C1219" t="s">
        <v>199</v>
      </c>
      <c r="D1219" t="s">
        <v>689</v>
      </c>
      <c r="E1219" t="s">
        <v>772</v>
      </c>
      <c r="F1219">
        <v>7</v>
      </c>
      <c r="G1219" s="308">
        <f>'BECA MEDIA'!Y177</f>
        <v>0</v>
      </c>
      <c r="H1219" s="308">
        <f>'BECA MEDIA'!Z177</f>
        <v>0</v>
      </c>
    </row>
    <row r="1220" spans="1:8" x14ac:dyDescent="0.3">
      <c r="A1220" t="s">
        <v>688</v>
      </c>
      <c r="B1220" t="s">
        <v>191</v>
      </c>
      <c r="C1220" t="s">
        <v>200</v>
      </c>
      <c r="D1220" t="s">
        <v>689</v>
      </c>
      <c r="E1220" t="s">
        <v>766</v>
      </c>
      <c r="F1220">
        <v>1</v>
      </c>
      <c r="G1220" s="308">
        <f>'BECA MEDIA'!G178</f>
        <v>0</v>
      </c>
      <c r="H1220" s="308">
        <f>'BECA MEDIA'!H178</f>
        <v>0</v>
      </c>
    </row>
    <row r="1221" spans="1:8" x14ac:dyDescent="0.3">
      <c r="A1221" t="s">
        <v>688</v>
      </c>
      <c r="B1221" t="s">
        <v>191</v>
      </c>
      <c r="C1221" t="s">
        <v>200</v>
      </c>
      <c r="D1221" t="s">
        <v>689</v>
      </c>
      <c r="E1221" t="s">
        <v>767</v>
      </c>
      <c r="F1221">
        <v>2</v>
      </c>
      <c r="G1221" s="308">
        <f>'BECA MEDIA'!J178</f>
        <v>0</v>
      </c>
      <c r="H1221" s="308">
        <f>'BECA MEDIA'!K178</f>
        <v>0</v>
      </c>
    </row>
    <row r="1222" spans="1:8" x14ac:dyDescent="0.3">
      <c r="A1222" t="s">
        <v>688</v>
      </c>
      <c r="B1222" t="s">
        <v>191</v>
      </c>
      <c r="C1222" t="s">
        <v>200</v>
      </c>
      <c r="D1222" t="s">
        <v>689</v>
      </c>
      <c r="E1222" t="s">
        <v>768</v>
      </c>
      <c r="F1222">
        <v>3</v>
      </c>
      <c r="G1222" s="308">
        <f>'BECA MEDIA'!M178</f>
        <v>2.4</v>
      </c>
      <c r="H1222" s="308">
        <f>'BECA MEDIA'!N178</f>
        <v>6000</v>
      </c>
    </row>
    <row r="1223" spans="1:8" x14ac:dyDescent="0.3">
      <c r="A1223" t="s">
        <v>688</v>
      </c>
      <c r="B1223" t="s">
        <v>191</v>
      </c>
      <c r="C1223" t="s">
        <v>200</v>
      </c>
      <c r="D1223" t="s">
        <v>689</v>
      </c>
      <c r="E1223" t="s">
        <v>769</v>
      </c>
      <c r="F1223">
        <v>4</v>
      </c>
      <c r="G1223" s="308">
        <f>'BECA MEDIA'!P178</f>
        <v>2.8</v>
      </c>
      <c r="H1223" s="308">
        <f>'BECA MEDIA'!Q178</f>
        <v>7000</v>
      </c>
    </row>
    <row r="1224" spans="1:8" x14ac:dyDescent="0.3">
      <c r="A1224" t="s">
        <v>688</v>
      </c>
      <c r="B1224" t="s">
        <v>191</v>
      </c>
      <c r="C1224" t="s">
        <v>200</v>
      </c>
      <c r="D1224" t="s">
        <v>689</v>
      </c>
      <c r="E1224" t="s">
        <v>770</v>
      </c>
      <c r="F1224">
        <v>5</v>
      </c>
      <c r="G1224" s="308">
        <f>'BECA MEDIA'!S178</f>
        <v>0</v>
      </c>
      <c r="H1224" s="308">
        <f>'BECA MEDIA'!T178</f>
        <v>0</v>
      </c>
    </row>
    <row r="1225" spans="1:8" x14ac:dyDescent="0.3">
      <c r="A1225" t="s">
        <v>688</v>
      </c>
      <c r="B1225" t="s">
        <v>191</v>
      </c>
      <c r="C1225" t="s">
        <v>200</v>
      </c>
      <c r="D1225" t="s">
        <v>689</v>
      </c>
      <c r="E1225" t="s">
        <v>771</v>
      </c>
      <c r="F1225">
        <v>6</v>
      </c>
      <c r="G1225" s="308">
        <f>'BECA MEDIA'!V178</f>
        <v>5.6</v>
      </c>
      <c r="H1225" s="308">
        <f>'BECA MEDIA'!W178</f>
        <v>14000</v>
      </c>
    </row>
    <row r="1226" spans="1:8" x14ac:dyDescent="0.3">
      <c r="A1226" t="s">
        <v>688</v>
      </c>
      <c r="B1226" t="s">
        <v>191</v>
      </c>
      <c r="C1226" t="s">
        <v>200</v>
      </c>
      <c r="D1226" t="s">
        <v>689</v>
      </c>
      <c r="E1226" t="s">
        <v>772</v>
      </c>
      <c r="F1226">
        <v>7</v>
      </c>
      <c r="G1226" s="308">
        <f>'BECA MEDIA'!Y178</f>
        <v>0</v>
      </c>
      <c r="H1226" s="308">
        <f>'BECA MEDIA'!Z178</f>
        <v>0</v>
      </c>
    </row>
    <row r="1227" spans="1:8" x14ac:dyDescent="0.3">
      <c r="A1227" t="s">
        <v>688</v>
      </c>
      <c r="B1227" t="s">
        <v>191</v>
      </c>
      <c r="C1227" t="s">
        <v>201</v>
      </c>
      <c r="D1227" t="s">
        <v>689</v>
      </c>
      <c r="E1227" t="s">
        <v>766</v>
      </c>
      <c r="F1227">
        <v>1</v>
      </c>
      <c r="G1227" s="308">
        <f>'BECA MEDIA'!G179</f>
        <v>0</v>
      </c>
      <c r="H1227" s="308">
        <f>'BECA MEDIA'!H179</f>
        <v>0</v>
      </c>
    </row>
    <row r="1228" spans="1:8" x14ac:dyDescent="0.3">
      <c r="A1228" t="s">
        <v>688</v>
      </c>
      <c r="B1228" t="s">
        <v>191</v>
      </c>
      <c r="C1228" t="s">
        <v>201</v>
      </c>
      <c r="D1228" t="s">
        <v>689</v>
      </c>
      <c r="E1228" t="s">
        <v>767</v>
      </c>
      <c r="F1228">
        <v>2</v>
      </c>
      <c r="G1228" s="308">
        <f>'BECA MEDIA'!J179</f>
        <v>0</v>
      </c>
      <c r="H1228" s="308">
        <f>'BECA MEDIA'!K179</f>
        <v>0</v>
      </c>
    </row>
    <row r="1229" spans="1:8" x14ac:dyDescent="0.3">
      <c r="A1229" t="s">
        <v>688</v>
      </c>
      <c r="B1229" t="s">
        <v>191</v>
      </c>
      <c r="C1229" t="s">
        <v>201</v>
      </c>
      <c r="D1229" t="s">
        <v>689</v>
      </c>
      <c r="E1229" t="s">
        <v>768</v>
      </c>
      <c r="F1229">
        <v>3</v>
      </c>
      <c r="G1229" s="308">
        <f>'BECA MEDIA'!M179</f>
        <v>3.6</v>
      </c>
      <c r="H1229" s="308">
        <f>'BECA MEDIA'!N179</f>
        <v>9000</v>
      </c>
    </row>
    <row r="1230" spans="1:8" x14ac:dyDescent="0.3">
      <c r="A1230" t="s">
        <v>688</v>
      </c>
      <c r="B1230" t="s">
        <v>191</v>
      </c>
      <c r="C1230" t="s">
        <v>201</v>
      </c>
      <c r="D1230" t="s">
        <v>689</v>
      </c>
      <c r="E1230" t="s">
        <v>769</v>
      </c>
      <c r="F1230">
        <v>4</v>
      </c>
      <c r="G1230" s="308">
        <f>'BECA MEDIA'!P179</f>
        <v>4.4000000000000004</v>
      </c>
      <c r="H1230" s="308">
        <f>'BECA MEDIA'!Q179</f>
        <v>11000</v>
      </c>
    </row>
    <row r="1231" spans="1:8" x14ac:dyDescent="0.3">
      <c r="A1231" t="s">
        <v>688</v>
      </c>
      <c r="B1231" t="s">
        <v>191</v>
      </c>
      <c r="C1231" t="s">
        <v>201</v>
      </c>
      <c r="D1231" t="s">
        <v>689</v>
      </c>
      <c r="E1231" t="s">
        <v>770</v>
      </c>
      <c r="F1231">
        <v>5</v>
      </c>
      <c r="G1231" s="308">
        <f>'BECA MEDIA'!S179</f>
        <v>0</v>
      </c>
      <c r="H1231" s="308">
        <f>'BECA MEDIA'!T179</f>
        <v>0</v>
      </c>
    </row>
    <row r="1232" spans="1:8" x14ac:dyDescent="0.3">
      <c r="A1232" t="s">
        <v>688</v>
      </c>
      <c r="B1232" t="s">
        <v>191</v>
      </c>
      <c r="C1232" t="s">
        <v>201</v>
      </c>
      <c r="D1232" t="s">
        <v>689</v>
      </c>
      <c r="E1232" t="s">
        <v>771</v>
      </c>
      <c r="F1232">
        <v>6</v>
      </c>
      <c r="G1232" s="308">
        <f>'BECA MEDIA'!V179</f>
        <v>8</v>
      </c>
      <c r="H1232" s="308">
        <f>'BECA MEDIA'!W179</f>
        <v>20000</v>
      </c>
    </row>
    <row r="1233" spans="1:8" x14ac:dyDescent="0.3">
      <c r="A1233" t="s">
        <v>688</v>
      </c>
      <c r="B1233" t="s">
        <v>191</v>
      </c>
      <c r="C1233" t="s">
        <v>201</v>
      </c>
      <c r="D1233" t="s">
        <v>689</v>
      </c>
      <c r="E1233" t="s">
        <v>772</v>
      </c>
      <c r="F1233">
        <v>7</v>
      </c>
      <c r="G1233" s="308">
        <f>'BECA MEDIA'!Y179</f>
        <v>0</v>
      </c>
      <c r="H1233" s="308">
        <f>'BECA MEDIA'!Z179</f>
        <v>0</v>
      </c>
    </row>
    <row r="1234" spans="1:8" x14ac:dyDescent="0.3">
      <c r="A1234" t="s">
        <v>688</v>
      </c>
      <c r="B1234" t="s">
        <v>191</v>
      </c>
      <c r="C1234" t="s">
        <v>202</v>
      </c>
      <c r="D1234" t="s">
        <v>689</v>
      </c>
      <c r="E1234" t="s">
        <v>766</v>
      </c>
      <c r="F1234">
        <v>1</v>
      </c>
      <c r="G1234" s="308">
        <f>'BECA MEDIA'!G180</f>
        <v>0</v>
      </c>
      <c r="H1234" s="308">
        <f>'BECA MEDIA'!H180</f>
        <v>0</v>
      </c>
    </row>
    <row r="1235" spans="1:8" x14ac:dyDescent="0.3">
      <c r="A1235" t="s">
        <v>688</v>
      </c>
      <c r="B1235" t="s">
        <v>191</v>
      </c>
      <c r="C1235" t="s">
        <v>202</v>
      </c>
      <c r="D1235" t="s">
        <v>689</v>
      </c>
      <c r="E1235" t="s">
        <v>767</v>
      </c>
      <c r="F1235">
        <v>2</v>
      </c>
      <c r="G1235" s="308">
        <f>'BECA MEDIA'!J180</f>
        <v>0</v>
      </c>
      <c r="H1235" s="308">
        <f>'BECA MEDIA'!K180</f>
        <v>0</v>
      </c>
    </row>
    <row r="1236" spans="1:8" x14ac:dyDescent="0.3">
      <c r="A1236" t="s">
        <v>688</v>
      </c>
      <c r="B1236" t="s">
        <v>191</v>
      </c>
      <c r="C1236" t="s">
        <v>202</v>
      </c>
      <c r="D1236" t="s">
        <v>689</v>
      </c>
      <c r="E1236" t="s">
        <v>768</v>
      </c>
      <c r="F1236">
        <v>3</v>
      </c>
      <c r="G1236" s="308">
        <f>'BECA MEDIA'!M180</f>
        <v>1.6</v>
      </c>
      <c r="H1236" s="308">
        <f>'BECA MEDIA'!N180</f>
        <v>4000</v>
      </c>
    </row>
    <row r="1237" spans="1:8" x14ac:dyDescent="0.3">
      <c r="A1237" t="s">
        <v>688</v>
      </c>
      <c r="B1237" t="s">
        <v>191</v>
      </c>
      <c r="C1237" t="s">
        <v>202</v>
      </c>
      <c r="D1237" t="s">
        <v>689</v>
      </c>
      <c r="E1237" t="s">
        <v>769</v>
      </c>
      <c r="F1237">
        <v>4</v>
      </c>
      <c r="G1237" s="308">
        <f>'BECA MEDIA'!P180</f>
        <v>0.4</v>
      </c>
      <c r="H1237" s="308">
        <f>'BECA MEDIA'!Q180</f>
        <v>1000</v>
      </c>
    </row>
    <row r="1238" spans="1:8" x14ac:dyDescent="0.3">
      <c r="A1238" t="s">
        <v>688</v>
      </c>
      <c r="B1238" t="s">
        <v>191</v>
      </c>
      <c r="C1238" t="s">
        <v>202</v>
      </c>
      <c r="D1238" t="s">
        <v>689</v>
      </c>
      <c r="E1238" t="s">
        <v>770</v>
      </c>
      <c r="F1238">
        <v>5</v>
      </c>
      <c r="G1238" s="308">
        <f>'BECA MEDIA'!S180</f>
        <v>0</v>
      </c>
      <c r="H1238" s="308">
        <f>'BECA MEDIA'!T180</f>
        <v>0</v>
      </c>
    </row>
    <row r="1239" spans="1:8" x14ac:dyDescent="0.3">
      <c r="A1239" t="s">
        <v>688</v>
      </c>
      <c r="B1239" t="s">
        <v>191</v>
      </c>
      <c r="C1239" t="s">
        <v>202</v>
      </c>
      <c r="D1239" t="s">
        <v>689</v>
      </c>
      <c r="E1239" t="s">
        <v>771</v>
      </c>
      <c r="F1239">
        <v>6</v>
      </c>
      <c r="G1239" s="308">
        <f>'BECA MEDIA'!V180</f>
        <v>2.4</v>
      </c>
      <c r="H1239" s="308">
        <f>'BECA MEDIA'!W180</f>
        <v>6000</v>
      </c>
    </row>
    <row r="1240" spans="1:8" x14ac:dyDescent="0.3">
      <c r="A1240" t="s">
        <v>688</v>
      </c>
      <c r="B1240" t="s">
        <v>191</v>
      </c>
      <c r="C1240" t="s">
        <v>202</v>
      </c>
      <c r="D1240" t="s">
        <v>689</v>
      </c>
      <c r="E1240" t="s">
        <v>772</v>
      </c>
      <c r="F1240">
        <v>7</v>
      </c>
      <c r="G1240" s="308">
        <f>'BECA MEDIA'!Y180</f>
        <v>0</v>
      </c>
      <c r="H1240" s="308">
        <f>'BECA MEDIA'!Z180</f>
        <v>0</v>
      </c>
    </row>
    <row r="1241" spans="1:8" x14ac:dyDescent="0.3">
      <c r="A1241" t="s">
        <v>688</v>
      </c>
      <c r="B1241" t="s">
        <v>191</v>
      </c>
      <c r="C1241" t="s">
        <v>203</v>
      </c>
      <c r="D1241" t="s">
        <v>689</v>
      </c>
      <c r="E1241" t="s">
        <v>766</v>
      </c>
      <c r="F1241">
        <v>1</v>
      </c>
      <c r="G1241" s="308">
        <f>'BECA MEDIA'!G181</f>
        <v>0</v>
      </c>
      <c r="H1241" s="308">
        <f>'BECA MEDIA'!H181</f>
        <v>0</v>
      </c>
    </row>
    <row r="1242" spans="1:8" x14ac:dyDescent="0.3">
      <c r="A1242" t="s">
        <v>688</v>
      </c>
      <c r="B1242" t="s">
        <v>191</v>
      </c>
      <c r="C1242" t="s">
        <v>203</v>
      </c>
      <c r="D1242" t="s">
        <v>689</v>
      </c>
      <c r="E1242" t="s">
        <v>767</v>
      </c>
      <c r="F1242">
        <v>2</v>
      </c>
      <c r="G1242" s="308">
        <f>'BECA MEDIA'!J181</f>
        <v>0</v>
      </c>
      <c r="H1242" s="308">
        <f>'BECA MEDIA'!K181</f>
        <v>0</v>
      </c>
    </row>
    <row r="1243" spans="1:8" x14ac:dyDescent="0.3">
      <c r="A1243" t="s">
        <v>688</v>
      </c>
      <c r="B1243" t="s">
        <v>191</v>
      </c>
      <c r="C1243" t="s">
        <v>203</v>
      </c>
      <c r="D1243" t="s">
        <v>689</v>
      </c>
      <c r="E1243" t="s">
        <v>768</v>
      </c>
      <c r="F1243">
        <v>3</v>
      </c>
      <c r="G1243" s="308">
        <f>'BECA MEDIA'!M181</f>
        <v>3.2</v>
      </c>
      <c r="H1243" s="308">
        <f>'BECA MEDIA'!N181</f>
        <v>8000</v>
      </c>
    </row>
    <row r="1244" spans="1:8" x14ac:dyDescent="0.3">
      <c r="A1244" t="s">
        <v>688</v>
      </c>
      <c r="B1244" t="s">
        <v>191</v>
      </c>
      <c r="C1244" t="s">
        <v>203</v>
      </c>
      <c r="D1244" t="s">
        <v>689</v>
      </c>
      <c r="E1244" t="s">
        <v>769</v>
      </c>
      <c r="F1244">
        <v>4</v>
      </c>
      <c r="G1244" s="308">
        <f>'BECA MEDIA'!P181</f>
        <v>0.4</v>
      </c>
      <c r="H1244" s="308">
        <f>'BECA MEDIA'!Q181</f>
        <v>1000</v>
      </c>
    </row>
    <row r="1245" spans="1:8" x14ac:dyDescent="0.3">
      <c r="A1245" t="s">
        <v>688</v>
      </c>
      <c r="B1245" t="s">
        <v>191</v>
      </c>
      <c r="C1245" t="s">
        <v>203</v>
      </c>
      <c r="D1245" t="s">
        <v>689</v>
      </c>
      <c r="E1245" t="s">
        <v>770</v>
      </c>
      <c r="F1245">
        <v>5</v>
      </c>
      <c r="G1245" s="308">
        <f>'BECA MEDIA'!S181</f>
        <v>0</v>
      </c>
      <c r="H1245" s="308">
        <f>'BECA MEDIA'!T181</f>
        <v>0</v>
      </c>
    </row>
    <row r="1246" spans="1:8" x14ac:dyDescent="0.3">
      <c r="A1246" t="s">
        <v>688</v>
      </c>
      <c r="B1246" t="s">
        <v>191</v>
      </c>
      <c r="C1246" t="s">
        <v>203</v>
      </c>
      <c r="D1246" t="s">
        <v>689</v>
      </c>
      <c r="E1246" t="s">
        <v>771</v>
      </c>
      <c r="F1246">
        <v>6</v>
      </c>
      <c r="G1246" s="308">
        <f>'BECA MEDIA'!V181</f>
        <v>3.6</v>
      </c>
      <c r="H1246" s="308">
        <f>'BECA MEDIA'!W181</f>
        <v>9000</v>
      </c>
    </row>
    <row r="1247" spans="1:8" x14ac:dyDescent="0.3">
      <c r="A1247" t="s">
        <v>688</v>
      </c>
      <c r="B1247" t="s">
        <v>191</v>
      </c>
      <c r="C1247" t="s">
        <v>203</v>
      </c>
      <c r="D1247" t="s">
        <v>689</v>
      </c>
      <c r="E1247" t="s">
        <v>772</v>
      </c>
      <c r="F1247">
        <v>7</v>
      </c>
      <c r="G1247" s="308">
        <f>'BECA MEDIA'!Y181</f>
        <v>0</v>
      </c>
      <c r="H1247" s="308">
        <f>'BECA MEDIA'!Z181</f>
        <v>0</v>
      </c>
    </row>
    <row r="1248" spans="1:8" x14ac:dyDescent="0.3">
      <c r="A1248" t="s">
        <v>688</v>
      </c>
      <c r="B1248" t="s">
        <v>191</v>
      </c>
      <c r="C1248" t="s">
        <v>204</v>
      </c>
      <c r="D1248" t="s">
        <v>689</v>
      </c>
      <c r="E1248" t="s">
        <v>766</v>
      </c>
      <c r="F1248">
        <v>1</v>
      </c>
      <c r="G1248" s="308">
        <f>'BECA MEDIA'!G182</f>
        <v>0</v>
      </c>
      <c r="H1248" s="308">
        <f>'BECA MEDIA'!H182</f>
        <v>0</v>
      </c>
    </row>
    <row r="1249" spans="1:8" x14ac:dyDescent="0.3">
      <c r="A1249" t="s">
        <v>688</v>
      </c>
      <c r="B1249" t="s">
        <v>191</v>
      </c>
      <c r="C1249" t="s">
        <v>204</v>
      </c>
      <c r="D1249" t="s">
        <v>689</v>
      </c>
      <c r="E1249" t="s">
        <v>767</v>
      </c>
      <c r="F1249">
        <v>2</v>
      </c>
      <c r="G1249" s="308">
        <f>'BECA MEDIA'!J182</f>
        <v>0</v>
      </c>
      <c r="H1249" s="308">
        <f>'BECA MEDIA'!K182</f>
        <v>0</v>
      </c>
    </row>
    <row r="1250" spans="1:8" x14ac:dyDescent="0.3">
      <c r="A1250" t="s">
        <v>688</v>
      </c>
      <c r="B1250" t="s">
        <v>191</v>
      </c>
      <c r="C1250" t="s">
        <v>204</v>
      </c>
      <c r="D1250" t="s">
        <v>689</v>
      </c>
      <c r="E1250" t="s">
        <v>768</v>
      </c>
      <c r="F1250">
        <v>3</v>
      </c>
      <c r="G1250" s="308">
        <f>'BECA MEDIA'!M182</f>
        <v>2.4</v>
      </c>
      <c r="H1250" s="308">
        <f>'BECA MEDIA'!N182</f>
        <v>6000</v>
      </c>
    </row>
    <row r="1251" spans="1:8" x14ac:dyDescent="0.3">
      <c r="A1251" t="s">
        <v>688</v>
      </c>
      <c r="B1251" t="s">
        <v>191</v>
      </c>
      <c r="C1251" t="s">
        <v>204</v>
      </c>
      <c r="D1251" t="s">
        <v>689</v>
      </c>
      <c r="E1251" t="s">
        <v>769</v>
      </c>
      <c r="F1251">
        <v>4</v>
      </c>
      <c r="G1251" s="308">
        <f>'BECA MEDIA'!P182</f>
        <v>1.6</v>
      </c>
      <c r="H1251" s="308">
        <f>'BECA MEDIA'!Q182</f>
        <v>4000</v>
      </c>
    </row>
    <row r="1252" spans="1:8" x14ac:dyDescent="0.3">
      <c r="A1252" t="s">
        <v>688</v>
      </c>
      <c r="B1252" t="s">
        <v>191</v>
      </c>
      <c r="C1252" t="s">
        <v>204</v>
      </c>
      <c r="D1252" t="s">
        <v>689</v>
      </c>
      <c r="E1252" t="s">
        <v>770</v>
      </c>
      <c r="F1252">
        <v>5</v>
      </c>
      <c r="G1252" s="308">
        <f>'BECA MEDIA'!S182</f>
        <v>0</v>
      </c>
      <c r="H1252" s="308">
        <f>'BECA MEDIA'!T182</f>
        <v>0</v>
      </c>
    </row>
    <row r="1253" spans="1:8" x14ac:dyDescent="0.3">
      <c r="A1253" t="s">
        <v>688</v>
      </c>
      <c r="B1253" t="s">
        <v>191</v>
      </c>
      <c r="C1253" t="s">
        <v>204</v>
      </c>
      <c r="D1253" t="s">
        <v>689</v>
      </c>
      <c r="E1253" t="s">
        <v>771</v>
      </c>
      <c r="F1253">
        <v>6</v>
      </c>
      <c r="G1253" s="308">
        <f>'BECA MEDIA'!V182</f>
        <v>4</v>
      </c>
      <c r="H1253" s="308">
        <f>'BECA MEDIA'!W182</f>
        <v>10000</v>
      </c>
    </row>
    <row r="1254" spans="1:8" x14ac:dyDescent="0.3">
      <c r="A1254" t="s">
        <v>688</v>
      </c>
      <c r="B1254" t="s">
        <v>191</v>
      </c>
      <c r="C1254" t="s">
        <v>204</v>
      </c>
      <c r="D1254" t="s">
        <v>689</v>
      </c>
      <c r="E1254" t="s">
        <v>772</v>
      </c>
      <c r="F1254">
        <v>7</v>
      </c>
      <c r="G1254" s="308">
        <f>'BECA MEDIA'!Y182</f>
        <v>0</v>
      </c>
      <c r="H1254" s="308">
        <f>'BECA MEDIA'!Z182</f>
        <v>0</v>
      </c>
    </row>
    <row r="1255" spans="1:8" x14ac:dyDescent="0.3">
      <c r="A1255" t="s">
        <v>688</v>
      </c>
      <c r="B1255" t="s">
        <v>191</v>
      </c>
      <c r="C1255" t="s">
        <v>205</v>
      </c>
      <c r="D1255" t="s">
        <v>689</v>
      </c>
      <c r="E1255" t="s">
        <v>766</v>
      </c>
      <c r="F1255">
        <v>1</v>
      </c>
      <c r="G1255" s="308">
        <f>'BECA MEDIA'!G183</f>
        <v>0</v>
      </c>
      <c r="H1255" s="308">
        <f>'BECA MEDIA'!H183</f>
        <v>0</v>
      </c>
    </row>
    <row r="1256" spans="1:8" x14ac:dyDescent="0.3">
      <c r="A1256" t="s">
        <v>688</v>
      </c>
      <c r="B1256" t="s">
        <v>191</v>
      </c>
      <c r="C1256" t="s">
        <v>205</v>
      </c>
      <c r="D1256" t="s">
        <v>689</v>
      </c>
      <c r="E1256" t="s">
        <v>767</v>
      </c>
      <c r="F1256">
        <v>2</v>
      </c>
      <c r="G1256" s="308">
        <f>'BECA MEDIA'!J183</f>
        <v>0</v>
      </c>
      <c r="H1256" s="308">
        <f>'BECA MEDIA'!K183</f>
        <v>0</v>
      </c>
    </row>
    <row r="1257" spans="1:8" x14ac:dyDescent="0.3">
      <c r="A1257" t="s">
        <v>688</v>
      </c>
      <c r="B1257" t="s">
        <v>191</v>
      </c>
      <c r="C1257" t="s">
        <v>205</v>
      </c>
      <c r="D1257" t="s">
        <v>689</v>
      </c>
      <c r="E1257" t="s">
        <v>768</v>
      </c>
      <c r="F1257">
        <v>3</v>
      </c>
      <c r="G1257" s="308">
        <f>'BECA MEDIA'!M183</f>
        <v>2.4</v>
      </c>
      <c r="H1257" s="308">
        <f>'BECA MEDIA'!N183</f>
        <v>6000</v>
      </c>
    </row>
    <row r="1258" spans="1:8" x14ac:dyDescent="0.3">
      <c r="A1258" t="s">
        <v>688</v>
      </c>
      <c r="B1258" t="s">
        <v>191</v>
      </c>
      <c r="C1258" t="s">
        <v>205</v>
      </c>
      <c r="D1258" t="s">
        <v>689</v>
      </c>
      <c r="E1258" t="s">
        <v>769</v>
      </c>
      <c r="F1258">
        <v>4</v>
      </c>
      <c r="G1258" s="308">
        <f>'BECA MEDIA'!P183</f>
        <v>2.4</v>
      </c>
      <c r="H1258" s="308">
        <f>'BECA MEDIA'!Q183</f>
        <v>6000</v>
      </c>
    </row>
    <row r="1259" spans="1:8" x14ac:dyDescent="0.3">
      <c r="A1259" t="s">
        <v>688</v>
      </c>
      <c r="B1259" t="s">
        <v>191</v>
      </c>
      <c r="C1259" t="s">
        <v>205</v>
      </c>
      <c r="D1259" t="s">
        <v>689</v>
      </c>
      <c r="E1259" t="s">
        <v>770</v>
      </c>
      <c r="F1259">
        <v>5</v>
      </c>
      <c r="G1259" s="308">
        <f>'BECA MEDIA'!S183</f>
        <v>0</v>
      </c>
      <c r="H1259" s="308">
        <f>'BECA MEDIA'!T183</f>
        <v>0</v>
      </c>
    </row>
    <row r="1260" spans="1:8" x14ac:dyDescent="0.3">
      <c r="A1260" t="s">
        <v>688</v>
      </c>
      <c r="B1260" t="s">
        <v>191</v>
      </c>
      <c r="C1260" t="s">
        <v>205</v>
      </c>
      <c r="D1260" t="s">
        <v>689</v>
      </c>
      <c r="E1260" t="s">
        <v>771</v>
      </c>
      <c r="F1260">
        <v>6</v>
      </c>
      <c r="G1260" s="308">
        <f>'BECA MEDIA'!V183</f>
        <v>5.2</v>
      </c>
      <c r="H1260" s="308">
        <f>'BECA MEDIA'!W183</f>
        <v>13000</v>
      </c>
    </row>
    <row r="1261" spans="1:8" x14ac:dyDescent="0.3">
      <c r="A1261" t="s">
        <v>688</v>
      </c>
      <c r="B1261" t="s">
        <v>191</v>
      </c>
      <c r="C1261" t="s">
        <v>205</v>
      </c>
      <c r="D1261" t="s">
        <v>689</v>
      </c>
      <c r="E1261" t="s">
        <v>772</v>
      </c>
      <c r="F1261">
        <v>7</v>
      </c>
      <c r="G1261" s="308">
        <f>'BECA MEDIA'!Y183</f>
        <v>0</v>
      </c>
      <c r="H1261" s="308">
        <f>'BECA MEDIA'!Z183</f>
        <v>0</v>
      </c>
    </row>
    <row r="1262" spans="1:8" x14ac:dyDescent="0.3">
      <c r="A1262" t="s">
        <v>688</v>
      </c>
      <c r="B1262" t="s">
        <v>191</v>
      </c>
      <c r="C1262" t="s">
        <v>191</v>
      </c>
      <c r="D1262" t="s">
        <v>689</v>
      </c>
      <c r="E1262" t="s">
        <v>766</v>
      </c>
      <c r="F1262">
        <v>1</v>
      </c>
      <c r="G1262" s="308">
        <f>'BECA MEDIA'!G184</f>
        <v>0</v>
      </c>
      <c r="H1262" s="308">
        <f>'BECA MEDIA'!H184</f>
        <v>0</v>
      </c>
    </row>
    <row r="1263" spans="1:8" x14ac:dyDescent="0.3">
      <c r="A1263" t="s">
        <v>688</v>
      </c>
      <c r="B1263" t="s">
        <v>191</v>
      </c>
      <c r="C1263" t="s">
        <v>191</v>
      </c>
      <c r="D1263" t="s">
        <v>689</v>
      </c>
      <c r="E1263" t="s">
        <v>767</v>
      </c>
      <c r="F1263">
        <v>2</v>
      </c>
      <c r="G1263" s="308">
        <f>'BECA MEDIA'!J184</f>
        <v>0</v>
      </c>
      <c r="H1263" s="308">
        <f>'BECA MEDIA'!K184</f>
        <v>0</v>
      </c>
    </row>
    <row r="1264" spans="1:8" x14ac:dyDescent="0.3">
      <c r="A1264" t="s">
        <v>688</v>
      </c>
      <c r="B1264" t="s">
        <v>191</v>
      </c>
      <c r="C1264" t="s">
        <v>191</v>
      </c>
      <c r="D1264" t="s">
        <v>689</v>
      </c>
      <c r="E1264" t="s">
        <v>768</v>
      </c>
      <c r="F1264">
        <v>3</v>
      </c>
      <c r="G1264" s="308">
        <f>'BECA MEDIA'!M184</f>
        <v>2</v>
      </c>
      <c r="H1264" s="308">
        <f>'BECA MEDIA'!N184</f>
        <v>5000</v>
      </c>
    </row>
    <row r="1265" spans="1:8" x14ac:dyDescent="0.3">
      <c r="A1265" t="s">
        <v>688</v>
      </c>
      <c r="B1265" t="s">
        <v>191</v>
      </c>
      <c r="C1265" t="s">
        <v>191</v>
      </c>
      <c r="D1265" t="s">
        <v>689</v>
      </c>
      <c r="E1265" t="s">
        <v>769</v>
      </c>
      <c r="F1265">
        <v>4</v>
      </c>
      <c r="G1265" s="308">
        <f>'BECA MEDIA'!P184</f>
        <v>2.4</v>
      </c>
      <c r="H1265" s="308">
        <f>'BECA MEDIA'!Q184</f>
        <v>6000</v>
      </c>
    </row>
    <row r="1266" spans="1:8" x14ac:dyDescent="0.3">
      <c r="A1266" t="s">
        <v>688</v>
      </c>
      <c r="B1266" t="s">
        <v>191</v>
      </c>
      <c r="C1266" t="s">
        <v>191</v>
      </c>
      <c r="D1266" t="s">
        <v>689</v>
      </c>
      <c r="E1266" t="s">
        <v>770</v>
      </c>
      <c r="F1266">
        <v>5</v>
      </c>
      <c r="G1266" s="308">
        <f>'BECA MEDIA'!S184</f>
        <v>0</v>
      </c>
      <c r="H1266" s="308">
        <f>'BECA MEDIA'!T184</f>
        <v>0</v>
      </c>
    </row>
    <row r="1267" spans="1:8" x14ac:dyDescent="0.3">
      <c r="A1267" t="s">
        <v>688</v>
      </c>
      <c r="B1267" t="s">
        <v>191</v>
      </c>
      <c r="C1267" t="s">
        <v>191</v>
      </c>
      <c r="D1267" t="s">
        <v>689</v>
      </c>
      <c r="E1267" t="s">
        <v>771</v>
      </c>
      <c r="F1267">
        <v>6</v>
      </c>
      <c r="G1267" s="308">
        <f>'BECA MEDIA'!V184</f>
        <v>5.2</v>
      </c>
      <c r="H1267" s="308">
        <f>'BECA MEDIA'!W184</f>
        <v>13000</v>
      </c>
    </row>
    <row r="1268" spans="1:8" x14ac:dyDescent="0.3">
      <c r="A1268" t="s">
        <v>688</v>
      </c>
      <c r="B1268" t="s">
        <v>191</v>
      </c>
      <c r="C1268" t="s">
        <v>191</v>
      </c>
      <c r="D1268" t="s">
        <v>689</v>
      </c>
      <c r="E1268" t="s">
        <v>772</v>
      </c>
      <c r="F1268">
        <v>7</v>
      </c>
      <c r="G1268" s="308">
        <f>'BECA MEDIA'!Y184</f>
        <v>0</v>
      </c>
      <c r="H1268" s="308">
        <f>'BECA MEDIA'!Z184</f>
        <v>0</v>
      </c>
    </row>
    <row r="1269" spans="1:8" x14ac:dyDescent="0.3">
      <c r="A1269" t="s">
        <v>688</v>
      </c>
      <c r="B1269" t="s">
        <v>191</v>
      </c>
      <c r="C1269" t="s">
        <v>206</v>
      </c>
      <c r="D1269" t="s">
        <v>689</v>
      </c>
      <c r="E1269" t="s">
        <v>766</v>
      </c>
      <c r="F1269">
        <v>1</v>
      </c>
      <c r="G1269" s="308">
        <f>'BECA MEDIA'!G185</f>
        <v>0</v>
      </c>
      <c r="H1269" s="308">
        <f>'BECA MEDIA'!H185</f>
        <v>0</v>
      </c>
    </row>
    <row r="1270" spans="1:8" x14ac:dyDescent="0.3">
      <c r="A1270" t="s">
        <v>688</v>
      </c>
      <c r="B1270" t="s">
        <v>191</v>
      </c>
      <c r="C1270" t="s">
        <v>206</v>
      </c>
      <c r="D1270" t="s">
        <v>689</v>
      </c>
      <c r="E1270" t="s">
        <v>767</v>
      </c>
      <c r="F1270">
        <v>2</v>
      </c>
      <c r="G1270" s="308">
        <f>'BECA MEDIA'!J185</f>
        <v>0</v>
      </c>
      <c r="H1270" s="308">
        <f>'BECA MEDIA'!K185</f>
        <v>0</v>
      </c>
    </row>
    <row r="1271" spans="1:8" x14ac:dyDescent="0.3">
      <c r="A1271" t="s">
        <v>688</v>
      </c>
      <c r="B1271" t="s">
        <v>191</v>
      </c>
      <c r="C1271" t="s">
        <v>206</v>
      </c>
      <c r="D1271" t="s">
        <v>689</v>
      </c>
      <c r="E1271" t="s">
        <v>768</v>
      </c>
      <c r="F1271">
        <v>3</v>
      </c>
      <c r="G1271" s="308">
        <f>'BECA MEDIA'!M185</f>
        <v>2.8</v>
      </c>
      <c r="H1271" s="308">
        <f>'BECA MEDIA'!N185</f>
        <v>7000</v>
      </c>
    </row>
    <row r="1272" spans="1:8" x14ac:dyDescent="0.3">
      <c r="A1272" t="s">
        <v>688</v>
      </c>
      <c r="B1272" t="s">
        <v>191</v>
      </c>
      <c r="C1272" t="s">
        <v>206</v>
      </c>
      <c r="D1272" t="s">
        <v>689</v>
      </c>
      <c r="E1272" t="s">
        <v>769</v>
      </c>
      <c r="F1272">
        <v>4</v>
      </c>
      <c r="G1272" s="308">
        <f>'BECA MEDIA'!P185</f>
        <v>1.2</v>
      </c>
      <c r="H1272" s="308">
        <f>'BECA MEDIA'!Q185</f>
        <v>3000</v>
      </c>
    </row>
    <row r="1273" spans="1:8" x14ac:dyDescent="0.3">
      <c r="A1273" t="s">
        <v>688</v>
      </c>
      <c r="B1273" t="s">
        <v>191</v>
      </c>
      <c r="C1273" t="s">
        <v>206</v>
      </c>
      <c r="D1273" t="s">
        <v>689</v>
      </c>
      <c r="E1273" t="s">
        <v>770</v>
      </c>
      <c r="F1273">
        <v>5</v>
      </c>
      <c r="G1273" s="308">
        <f>'BECA MEDIA'!S185</f>
        <v>0</v>
      </c>
      <c r="H1273" s="308">
        <f>'BECA MEDIA'!T185</f>
        <v>0</v>
      </c>
    </row>
    <row r="1274" spans="1:8" x14ac:dyDescent="0.3">
      <c r="A1274" t="s">
        <v>688</v>
      </c>
      <c r="B1274" t="s">
        <v>191</v>
      </c>
      <c r="C1274" t="s">
        <v>206</v>
      </c>
      <c r="D1274" t="s">
        <v>689</v>
      </c>
      <c r="E1274" t="s">
        <v>771</v>
      </c>
      <c r="F1274">
        <v>6</v>
      </c>
      <c r="G1274" s="308">
        <f>'BECA MEDIA'!V185</f>
        <v>4</v>
      </c>
      <c r="H1274" s="308">
        <f>'BECA MEDIA'!W185</f>
        <v>10000</v>
      </c>
    </row>
    <row r="1275" spans="1:8" x14ac:dyDescent="0.3">
      <c r="A1275" t="s">
        <v>688</v>
      </c>
      <c r="B1275" t="s">
        <v>191</v>
      </c>
      <c r="C1275" t="s">
        <v>206</v>
      </c>
      <c r="D1275" t="s">
        <v>689</v>
      </c>
      <c r="E1275" t="s">
        <v>772</v>
      </c>
      <c r="F1275">
        <v>7</v>
      </c>
      <c r="G1275" s="308">
        <f>'BECA MEDIA'!Y185</f>
        <v>0</v>
      </c>
      <c r="H1275" s="308">
        <f>'BECA MEDIA'!Z185</f>
        <v>0</v>
      </c>
    </row>
    <row r="1276" spans="1:8" x14ac:dyDescent="0.3">
      <c r="A1276" t="s">
        <v>688</v>
      </c>
      <c r="B1276" t="s">
        <v>191</v>
      </c>
      <c r="C1276" t="s">
        <v>207</v>
      </c>
      <c r="D1276" t="s">
        <v>689</v>
      </c>
      <c r="E1276" t="s">
        <v>766</v>
      </c>
      <c r="F1276">
        <v>1</v>
      </c>
      <c r="G1276" s="308">
        <f>'BECA MEDIA'!G186</f>
        <v>0</v>
      </c>
      <c r="H1276" s="308">
        <f>'BECA MEDIA'!H186</f>
        <v>0</v>
      </c>
    </row>
    <row r="1277" spans="1:8" x14ac:dyDescent="0.3">
      <c r="A1277" t="s">
        <v>688</v>
      </c>
      <c r="B1277" t="s">
        <v>191</v>
      </c>
      <c r="C1277" t="s">
        <v>207</v>
      </c>
      <c r="D1277" t="s">
        <v>689</v>
      </c>
      <c r="E1277" t="s">
        <v>767</v>
      </c>
      <c r="F1277">
        <v>2</v>
      </c>
      <c r="G1277" s="308">
        <f>'BECA MEDIA'!J186</f>
        <v>0</v>
      </c>
      <c r="H1277" s="308">
        <f>'BECA MEDIA'!K186</f>
        <v>0</v>
      </c>
    </row>
    <row r="1278" spans="1:8" x14ac:dyDescent="0.3">
      <c r="A1278" t="s">
        <v>688</v>
      </c>
      <c r="B1278" t="s">
        <v>191</v>
      </c>
      <c r="C1278" t="s">
        <v>207</v>
      </c>
      <c r="D1278" t="s">
        <v>689</v>
      </c>
      <c r="E1278" t="s">
        <v>768</v>
      </c>
      <c r="F1278">
        <v>3</v>
      </c>
      <c r="G1278" s="308">
        <f>'BECA MEDIA'!M186</f>
        <v>3.6</v>
      </c>
      <c r="H1278" s="308">
        <f>'BECA MEDIA'!N186</f>
        <v>9000</v>
      </c>
    </row>
    <row r="1279" spans="1:8" x14ac:dyDescent="0.3">
      <c r="A1279" t="s">
        <v>688</v>
      </c>
      <c r="B1279" t="s">
        <v>191</v>
      </c>
      <c r="C1279" t="s">
        <v>207</v>
      </c>
      <c r="D1279" t="s">
        <v>689</v>
      </c>
      <c r="E1279" t="s">
        <v>769</v>
      </c>
      <c r="F1279">
        <v>4</v>
      </c>
      <c r="G1279" s="308">
        <f>'BECA MEDIA'!P186</f>
        <v>2</v>
      </c>
      <c r="H1279" s="308">
        <f>'BECA MEDIA'!Q186</f>
        <v>5000</v>
      </c>
    </row>
    <row r="1280" spans="1:8" x14ac:dyDescent="0.3">
      <c r="A1280" t="s">
        <v>688</v>
      </c>
      <c r="B1280" t="s">
        <v>191</v>
      </c>
      <c r="C1280" t="s">
        <v>207</v>
      </c>
      <c r="D1280" t="s">
        <v>689</v>
      </c>
      <c r="E1280" t="s">
        <v>770</v>
      </c>
      <c r="F1280">
        <v>5</v>
      </c>
      <c r="G1280" s="308">
        <f>'BECA MEDIA'!S186</f>
        <v>0</v>
      </c>
      <c r="H1280" s="308">
        <f>'BECA MEDIA'!T186</f>
        <v>0</v>
      </c>
    </row>
    <row r="1281" spans="1:8" x14ac:dyDescent="0.3">
      <c r="A1281" t="s">
        <v>688</v>
      </c>
      <c r="B1281" t="s">
        <v>191</v>
      </c>
      <c r="C1281" t="s">
        <v>207</v>
      </c>
      <c r="D1281" t="s">
        <v>689</v>
      </c>
      <c r="E1281" t="s">
        <v>771</v>
      </c>
      <c r="F1281">
        <v>6</v>
      </c>
      <c r="G1281" s="308">
        <f>'BECA MEDIA'!V186</f>
        <v>5.6</v>
      </c>
      <c r="H1281" s="308">
        <f>'BECA MEDIA'!W186</f>
        <v>14000</v>
      </c>
    </row>
    <row r="1282" spans="1:8" x14ac:dyDescent="0.3">
      <c r="A1282" t="s">
        <v>688</v>
      </c>
      <c r="B1282" t="s">
        <v>191</v>
      </c>
      <c r="C1282" t="s">
        <v>207</v>
      </c>
      <c r="D1282" t="s">
        <v>689</v>
      </c>
      <c r="E1282" t="s">
        <v>772</v>
      </c>
      <c r="F1282">
        <v>7</v>
      </c>
      <c r="G1282" s="308">
        <f>'BECA MEDIA'!Y186</f>
        <v>0</v>
      </c>
      <c r="H1282" s="308">
        <f>'BECA MEDIA'!Z186</f>
        <v>0</v>
      </c>
    </row>
    <row r="1283" spans="1:8" x14ac:dyDescent="0.3">
      <c r="A1283" t="s">
        <v>688</v>
      </c>
      <c r="B1283" t="s">
        <v>191</v>
      </c>
      <c r="C1283" t="s">
        <v>208</v>
      </c>
      <c r="D1283" t="s">
        <v>689</v>
      </c>
      <c r="E1283" t="s">
        <v>766</v>
      </c>
      <c r="F1283">
        <v>1</v>
      </c>
      <c r="G1283" s="308">
        <f>'BECA MEDIA'!G187</f>
        <v>0</v>
      </c>
      <c r="H1283" s="308">
        <f>'BECA MEDIA'!H187</f>
        <v>0</v>
      </c>
    </row>
    <row r="1284" spans="1:8" x14ac:dyDescent="0.3">
      <c r="A1284" t="s">
        <v>688</v>
      </c>
      <c r="B1284" t="s">
        <v>191</v>
      </c>
      <c r="C1284" t="s">
        <v>208</v>
      </c>
      <c r="D1284" t="s">
        <v>689</v>
      </c>
      <c r="E1284" t="s">
        <v>767</v>
      </c>
      <c r="F1284">
        <v>2</v>
      </c>
      <c r="G1284" s="308">
        <f>'BECA MEDIA'!J187</f>
        <v>0</v>
      </c>
      <c r="H1284" s="308">
        <f>'BECA MEDIA'!K187</f>
        <v>0</v>
      </c>
    </row>
    <row r="1285" spans="1:8" x14ac:dyDescent="0.3">
      <c r="A1285" t="s">
        <v>688</v>
      </c>
      <c r="B1285" t="s">
        <v>191</v>
      </c>
      <c r="C1285" t="s">
        <v>208</v>
      </c>
      <c r="D1285" t="s">
        <v>689</v>
      </c>
      <c r="E1285" t="s">
        <v>768</v>
      </c>
      <c r="F1285">
        <v>3</v>
      </c>
      <c r="G1285" s="308">
        <f>'BECA MEDIA'!M187</f>
        <v>1.6</v>
      </c>
      <c r="H1285" s="308">
        <f>'BECA MEDIA'!N187</f>
        <v>4000</v>
      </c>
    </row>
    <row r="1286" spans="1:8" x14ac:dyDescent="0.3">
      <c r="A1286" t="s">
        <v>688</v>
      </c>
      <c r="B1286" t="s">
        <v>191</v>
      </c>
      <c r="C1286" t="s">
        <v>208</v>
      </c>
      <c r="D1286" t="s">
        <v>689</v>
      </c>
      <c r="E1286" t="s">
        <v>769</v>
      </c>
      <c r="F1286">
        <v>4</v>
      </c>
      <c r="G1286" s="308">
        <f>'BECA MEDIA'!P187</f>
        <v>2.4</v>
      </c>
      <c r="H1286" s="308">
        <f>'BECA MEDIA'!Q187</f>
        <v>6000</v>
      </c>
    </row>
    <row r="1287" spans="1:8" x14ac:dyDescent="0.3">
      <c r="A1287" t="s">
        <v>688</v>
      </c>
      <c r="B1287" t="s">
        <v>191</v>
      </c>
      <c r="C1287" t="s">
        <v>208</v>
      </c>
      <c r="D1287" t="s">
        <v>689</v>
      </c>
      <c r="E1287" t="s">
        <v>770</v>
      </c>
      <c r="F1287">
        <v>5</v>
      </c>
      <c r="G1287" s="308">
        <f>'BECA MEDIA'!S187</f>
        <v>0</v>
      </c>
      <c r="H1287" s="308">
        <f>'BECA MEDIA'!T187</f>
        <v>0</v>
      </c>
    </row>
    <row r="1288" spans="1:8" x14ac:dyDescent="0.3">
      <c r="A1288" t="s">
        <v>688</v>
      </c>
      <c r="B1288" t="s">
        <v>191</v>
      </c>
      <c r="C1288" t="s">
        <v>208</v>
      </c>
      <c r="D1288" t="s">
        <v>689</v>
      </c>
      <c r="E1288" t="s">
        <v>771</v>
      </c>
      <c r="F1288">
        <v>6</v>
      </c>
      <c r="G1288" s="308">
        <f>'BECA MEDIA'!V187</f>
        <v>4.4000000000000004</v>
      </c>
      <c r="H1288" s="308">
        <f>'BECA MEDIA'!W187</f>
        <v>11000</v>
      </c>
    </row>
    <row r="1289" spans="1:8" x14ac:dyDescent="0.3">
      <c r="A1289" t="s">
        <v>688</v>
      </c>
      <c r="B1289" t="s">
        <v>191</v>
      </c>
      <c r="C1289" t="s">
        <v>208</v>
      </c>
      <c r="D1289" t="s">
        <v>689</v>
      </c>
      <c r="E1289" t="s">
        <v>772</v>
      </c>
      <c r="F1289">
        <v>7</v>
      </c>
      <c r="G1289" s="308">
        <f>'BECA MEDIA'!Y187</f>
        <v>0</v>
      </c>
      <c r="H1289" s="308">
        <f>'BECA MEDIA'!Z187</f>
        <v>0</v>
      </c>
    </row>
    <row r="1290" spans="1:8" x14ac:dyDescent="0.3">
      <c r="A1290" t="s">
        <v>688</v>
      </c>
      <c r="B1290" t="s">
        <v>191</v>
      </c>
      <c r="C1290" t="s">
        <v>209</v>
      </c>
      <c r="D1290" t="s">
        <v>689</v>
      </c>
      <c r="E1290" t="s">
        <v>766</v>
      </c>
      <c r="F1290">
        <v>1</v>
      </c>
      <c r="G1290" s="308">
        <f>'BECA MEDIA'!G188</f>
        <v>0</v>
      </c>
      <c r="H1290" s="308">
        <f>'BECA MEDIA'!H188</f>
        <v>0</v>
      </c>
    </row>
    <row r="1291" spans="1:8" x14ac:dyDescent="0.3">
      <c r="A1291" t="s">
        <v>688</v>
      </c>
      <c r="B1291" t="s">
        <v>191</v>
      </c>
      <c r="C1291" t="s">
        <v>209</v>
      </c>
      <c r="D1291" t="s">
        <v>689</v>
      </c>
      <c r="E1291" t="s">
        <v>767</v>
      </c>
      <c r="F1291">
        <v>2</v>
      </c>
      <c r="G1291" s="308">
        <f>'BECA MEDIA'!J188</f>
        <v>0</v>
      </c>
      <c r="H1291" s="308">
        <f>'BECA MEDIA'!K188</f>
        <v>0</v>
      </c>
    </row>
    <row r="1292" spans="1:8" x14ac:dyDescent="0.3">
      <c r="A1292" t="s">
        <v>688</v>
      </c>
      <c r="B1292" t="s">
        <v>191</v>
      </c>
      <c r="C1292" t="s">
        <v>209</v>
      </c>
      <c r="D1292" t="s">
        <v>689</v>
      </c>
      <c r="E1292" t="s">
        <v>768</v>
      </c>
      <c r="F1292">
        <v>3</v>
      </c>
      <c r="G1292" s="308">
        <f>'BECA MEDIA'!M188</f>
        <v>4.4000000000000004</v>
      </c>
      <c r="H1292" s="308">
        <f>'BECA MEDIA'!N188</f>
        <v>11000</v>
      </c>
    </row>
    <row r="1293" spans="1:8" x14ac:dyDescent="0.3">
      <c r="A1293" t="s">
        <v>688</v>
      </c>
      <c r="B1293" t="s">
        <v>191</v>
      </c>
      <c r="C1293" t="s">
        <v>209</v>
      </c>
      <c r="D1293" t="s">
        <v>689</v>
      </c>
      <c r="E1293" t="s">
        <v>769</v>
      </c>
      <c r="F1293">
        <v>4</v>
      </c>
      <c r="G1293" s="308">
        <f>'BECA MEDIA'!P188</f>
        <v>3.6</v>
      </c>
      <c r="H1293" s="308">
        <f>'BECA MEDIA'!Q188</f>
        <v>9000</v>
      </c>
    </row>
    <row r="1294" spans="1:8" x14ac:dyDescent="0.3">
      <c r="A1294" t="s">
        <v>688</v>
      </c>
      <c r="B1294" t="s">
        <v>191</v>
      </c>
      <c r="C1294" t="s">
        <v>209</v>
      </c>
      <c r="D1294" t="s">
        <v>689</v>
      </c>
      <c r="E1294" t="s">
        <v>770</v>
      </c>
      <c r="F1294">
        <v>5</v>
      </c>
      <c r="G1294" s="308">
        <f>'BECA MEDIA'!S188</f>
        <v>0</v>
      </c>
      <c r="H1294" s="308">
        <f>'BECA MEDIA'!T188</f>
        <v>0</v>
      </c>
    </row>
    <row r="1295" spans="1:8" x14ac:dyDescent="0.3">
      <c r="A1295" t="s">
        <v>688</v>
      </c>
      <c r="B1295" t="s">
        <v>191</v>
      </c>
      <c r="C1295" t="s">
        <v>209</v>
      </c>
      <c r="D1295" t="s">
        <v>689</v>
      </c>
      <c r="E1295" t="s">
        <v>771</v>
      </c>
      <c r="F1295">
        <v>6</v>
      </c>
      <c r="G1295" s="308">
        <f>'BECA MEDIA'!V188</f>
        <v>8</v>
      </c>
      <c r="H1295" s="308">
        <f>'BECA MEDIA'!W188</f>
        <v>20000</v>
      </c>
    </row>
    <row r="1296" spans="1:8" x14ac:dyDescent="0.3">
      <c r="A1296" t="s">
        <v>688</v>
      </c>
      <c r="B1296" t="s">
        <v>191</v>
      </c>
      <c r="C1296" t="s">
        <v>209</v>
      </c>
      <c r="D1296" t="s">
        <v>689</v>
      </c>
      <c r="E1296" t="s">
        <v>772</v>
      </c>
      <c r="F1296">
        <v>7</v>
      </c>
      <c r="G1296" s="308">
        <f>'BECA MEDIA'!Y188</f>
        <v>0</v>
      </c>
      <c r="H1296" s="308">
        <f>'BECA MEDIA'!Z188</f>
        <v>0</v>
      </c>
    </row>
    <row r="1297" spans="1:8" x14ac:dyDescent="0.3">
      <c r="A1297" t="s">
        <v>688</v>
      </c>
      <c r="B1297" t="s">
        <v>191</v>
      </c>
      <c r="C1297" t="s">
        <v>210</v>
      </c>
      <c r="D1297" t="s">
        <v>689</v>
      </c>
      <c r="E1297" t="s">
        <v>766</v>
      </c>
      <c r="F1297">
        <v>1</v>
      </c>
      <c r="G1297" s="308">
        <f>'BECA MEDIA'!G189</f>
        <v>0</v>
      </c>
      <c r="H1297" s="308">
        <f>'BECA MEDIA'!H189</f>
        <v>0</v>
      </c>
    </row>
    <row r="1298" spans="1:8" x14ac:dyDescent="0.3">
      <c r="A1298" t="s">
        <v>688</v>
      </c>
      <c r="B1298" t="s">
        <v>191</v>
      </c>
      <c r="C1298" t="s">
        <v>210</v>
      </c>
      <c r="D1298" t="s">
        <v>689</v>
      </c>
      <c r="E1298" t="s">
        <v>767</v>
      </c>
      <c r="F1298">
        <v>2</v>
      </c>
      <c r="G1298" s="308">
        <f>'BECA MEDIA'!J189</f>
        <v>0</v>
      </c>
      <c r="H1298" s="308">
        <f>'BECA MEDIA'!K189</f>
        <v>0</v>
      </c>
    </row>
    <row r="1299" spans="1:8" x14ac:dyDescent="0.3">
      <c r="A1299" t="s">
        <v>688</v>
      </c>
      <c r="B1299" t="s">
        <v>191</v>
      </c>
      <c r="C1299" t="s">
        <v>210</v>
      </c>
      <c r="D1299" t="s">
        <v>689</v>
      </c>
      <c r="E1299" t="s">
        <v>768</v>
      </c>
      <c r="F1299">
        <v>3</v>
      </c>
      <c r="G1299" s="308">
        <f>'BECA MEDIA'!M189</f>
        <v>2.8</v>
      </c>
      <c r="H1299" s="308">
        <f>'BECA MEDIA'!N189</f>
        <v>7000</v>
      </c>
    </row>
    <row r="1300" spans="1:8" x14ac:dyDescent="0.3">
      <c r="A1300" t="s">
        <v>688</v>
      </c>
      <c r="B1300" t="s">
        <v>191</v>
      </c>
      <c r="C1300" t="s">
        <v>210</v>
      </c>
      <c r="D1300" t="s">
        <v>689</v>
      </c>
      <c r="E1300" t="s">
        <v>769</v>
      </c>
      <c r="F1300">
        <v>4</v>
      </c>
      <c r="G1300" s="308">
        <f>'BECA MEDIA'!P189</f>
        <v>5.2</v>
      </c>
      <c r="H1300" s="308">
        <f>'BECA MEDIA'!Q189</f>
        <v>13000</v>
      </c>
    </row>
    <row r="1301" spans="1:8" x14ac:dyDescent="0.3">
      <c r="A1301" t="s">
        <v>688</v>
      </c>
      <c r="B1301" t="s">
        <v>191</v>
      </c>
      <c r="C1301" t="s">
        <v>210</v>
      </c>
      <c r="D1301" t="s">
        <v>689</v>
      </c>
      <c r="E1301" t="s">
        <v>770</v>
      </c>
      <c r="F1301">
        <v>5</v>
      </c>
      <c r="G1301" s="308">
        <f>'BECA MEDIA'!S189</f>
        <v>0</v>
      </c>
      <c r="H1301" s="308">
        <f>'BECA MEDIA'!T189</f>
        <v>0</v>
      </c>
    </row>
    <row r="1302" spans="1:8" x14ac:dyDescent="0.3">
      <c r="A1302" t="s">
        <v>688</v>
      </c>
      <c r="B1302" t="s">
        <v>191</v>
      </c>
      <c r="C1302" t="s">
        <v>210</v>
      </c>
      <c r="D1302" t="s">
        <v>689</v>
      </c>
      <c r="E1302" t="s">
        <v>771</v>
      </c>
      <c r="F1302">
        <v>6</v>
      </c>
      <c r="G1302" s="308">
        <f>'BECA MEDIA'!V189</f>
        <v>7.6</v>
      </c>
      <c r="H1302" s="308">
        <f>'BECA MEDIA'!W189</f>
        <v>19000</v>
      </c>
    </row>
    <row r="1303" spans="1:8" x14ac:dyDescent="0.3">
      <c r="A1303" t="s">
        <v>688</v>
      </c>
      <c r="B1303" t="s">
        <v>191</v>
      </c>
      <c r="C1303" t="s">
        <v>210</v>
      </c>
      <c r="D1303" t="s">
        <v>689</v>
      </c>
      <c r="E1303" t="s">
        <v>772</v>
      </c>
      <c r="F1303">
        <v>7</v>
      </c>
      <c r="G1303" s="308">
        <f>'BECA MEDIA'!Y189</f>
        <v>0</v>
      </c>
      <c r="H1303" s="308">
        <f>'BECA MEDIA'!Z189</f>
        <v>0</v>
      </c>
    </row>
    <row r="1304" spans="1:8" x14ac:dyDescent="0.3">
      <c r="A1304" t="s">
        <v>688</v>
      </c>
      <c r="B1304" t="s">
        <v>191</v>
      </c>
      <c r="C1304" t="s">
        <v>211</v>
      </c>
      <c r="D1304" t="s">
        <v>689</v>
      </c>
      <c r="E1304" t="s">
        <v>766</v>
      </c>
      <c r="F1304">
        <v>1</v>
      </c>
      <c r="G1304" s="308">
        <f>'BECA MEDIA'!G190</f>
        <v>0</v>
      </c>
      <c r="H1304" s="308">
        <f>'BECA MEDIA'!H190</f>
        <v>0</v>
      </c>
    </row>
    <row r="1305" spans="1:8" x14ac:dyDescent="0.3">
      <c r="A1305" t="s">
        <v>688</v>
      </c>
      <c r="B1305" t="s">
        <v>191</v>
      </c>
      <c r="C1305" t="s">
        <v>211</v>
      </c>
      <c r="D1305" t="s">
        <v>689</v>
      </c>
      <c r="E1305" t="s">
        <v>767</v>
      </c>
      <c r="F1305">
        <v>2</v>
      </c>
      <c r="G1305" s="308">
        <f>'BECA MEDIA'!J190</f>
        <v>0</v>
      </c>
      <c r="H1305" s="308">
        <f>'BECA MEDIA'!K190</f>
        <v>0</v>
      </c>
    </row>
    <row r="1306" spans="1:8" x14ac:dyDescent="0.3">
      <c r="A1306" t="s">
        <v>688</v>
      </c>
      <c r="B1306" t="s">
        <v>191</v>
      </c>
      <c r="C1306" t="s">
        <v>211</v>
      </c>
      <c r="D1306" t="s">
        <v>689</v>
      </c>
      <c r="E1306" t="s">
        <v>768</v>
      </c>
      <c r="F1306">
        <v>3</v>
      </c>
      <c r="G1306" s="308">
        <f>'BECA MEDIA'!M190</f>
        <v>2.4</v>
      </c>
      <c r="H1306" s="308">
        <f>'BECA MEDIA'!N190</f>
        <v>6000</v>
      </c>
    </row>
    <row r="1307" spans="1:8" x14ac:dyDescent="0.3">
      <c r="A1307" t="s">
        <v>688</v>
      </c>
      <c r="B1307" t="s">
        <v>191</v>
      </c>
      <c r="C1307" t="s">
        <v>211</v>
      </c>
      <c r="D1307" t="s">
        <v>689</v>
      </c>
      <c r="E1307" t="s">
        <v>769</v>
      </c>
      <c r="F1307">
        <v>4</v>
      </c>
      <c r="G1307" s="308">
        <f>'BECA MEDIA'!P190</f>
        <v>3.2</v>
      </c>
      <c r="H1307" s="308">
        <f>'BECA MEDIA'!Q190</f>
        <v>8000</v>
      </c>
    </row>
    <row r="1308" spans="1:8" x14ac:dyDescent="0.3">
      <c r="A1308" t="s">
        <v>688</v>
      </c>
      <c r="B1308" t="s">
        <v>191</v>
      </c>
      <c r="C1308" t="s">
        <v>211</v>
      </c>
      <c r="D1308" t="s">
        <v>689</v>
      </c>
      <c r="E1308" t="s">
        <v>770</v>
      </c>
      <c r="F1308">
        <v>5</v>
      </c>
      <c r="G1308" s="308">
        <f>'BECA MEDIA'!S190</f>
        <v>0</v>
      </c>
      <c r="H1308" s="308">
        <f>'BECA MEDIA'!T190</f>
        <v>0</v>
      </c>
    </row>
    <row r="1309" spans="1:8" x14ac:dyDescent="0.3">
      <c r="A1309" t="s">
        <v>688</v>
      </c>
      <c r="B1309" t="s">
        <v>191</v>
      </c>
      <c r="C1309" t="s">
        <v>211</v>
      </c>
      <c r="D1309" t="s">
        <v>689</v>
      </c>
      <c r="E1309" t="s">
        <v>771</v>
      </c>
      <c r="F1309">
        <v>6</v>
      </c>
      <c r="G1309" s="308">
        <f>'BECA MEDIA'!V190</f>
        <v>5.6</v>
      </c>
      <c r="H1309" s="308">
        <f>'BECA MEDIA'!W190</f>
        <v>14000</v>
      </c>
    </row>
    <row r="1310" spans="1:8" x14ac:dyDescent="0.3">
      <c r="A1310" t="s">
        <v>688</v>
      </c>
      <c r="B1310" t="s">
        <v>191</v>
      </c>
      <c r="C1310" t="s">
        <v>211</v>
      </c>
      <c r="D1310" t="s">
        <v>689</v>
      </c>
      <c r="E1310" t="s">
        <v>772</v>
      </c>
      <c r="F1310">
        <v>7</v>
      </c>
      <c r="G1310" s="308">
        <f>'BECA MEDIA'!Y190</f>
        <v>0</v>
      </c>
      <c r="H1310" s="308">
        <f>'BECA MEDIA'!Z190</f>
        <v>0</v>
      </c>
    </row>
    <row r="1311" spans="1:8" x14ac:dyDescent="0.3">
      <c r="A1311" t="s">
        <v>688</v>
      </c>
      <c r="B1311" t="s">
        <v>191</v>
      </c>
      <c r="C1311" t="s">
        <v>212</v>
      </c>
      <c r="D1311" t="s">
        <v>689</v>
      </c>
      <c r="E1311" t="s">
        <v>766</v>
      </c>
      <c r="F1311">
        <v>1</v>
      </c>
      <c r="G1311" s="308">
        <f>'BECA MEDIA'!G191</f>
        <v>0</v>
      </c>
      <c r="H1311" s="308">
        <f>'BECA MEDIA'!H191</f>
        <v>0</v>
      </c>
    </row>
    <row r="1312" spans="1:8" x14ac:dyDescent="0.3">
      <c r="A1312" t="s">
        <v>688</v>
      </c>
      <c r="B1312" t="s">
        <v>191</v>
      </c>
      <c r="C1312" t="s">
        <v>212</v>
      </c>
      <c r="D1312" t="s">
        <v>689</v>
      </c>
      <c r="E1312" t="s">
        <v>767</v>
      </c>
      <c r="F1312">
        <v>2</v>
      </c>
      <c r="G1312" s="308">
        <f>'BECA MEDIA'!J191</f>
        <v>0</v>
      </c>
      <c r="H1312" s="308">
        <f>'BECA MEDIA'!K191</f>
        <v>0</v>
      </c>
    </row>
    <row r="1313" spans="1:8" x14ac:dyDescent="0.3">
      <c r="A1313" t="s">
        <v>688</v>
      </c>
      <c r="B1313" t="s">
        <v>191</v>
      </c>
      <c r="C1313" t="s">
        <v>212</v>
      </c>
      <c r="D1313" t="s">
        <v>689</v>
      </c>
      <c r="E1313" t="s">
        <v>768</v>
      </c>
      <c r="F1313">
        <v>3</v>
      </c>
      <c r="G1313" s="308">
        <f>'BECA MEDIA'!M191</f>
        <v>3.2</v>
      </c>
      <c r="H1313" s="308">
        <f>'BECA MEDIA'!N191</f>
        <v>8000</v>
      </c>
    </row>
    <row r="1314" spans="1:8" x14ac:dyDescent="0.3">
      <c r="A1314" t="s">
        <v>688</v>
      </c>
      <c r="B1314" t="s">
        <v>191</v>
      </c>
      <c r="C1314" t="s">
        <v>212</v>
      </c>
      <c r="D1314" t="s">
        <v>689</v>
      </c>
      <c r="E1314" t="s">
        <v>769</v>
      </c>
      <c r="F1314">
        <v>4</v>
      </c>
      <c r="G1314" s="308">
        <f>'BECA MEDIA'!P191</f>
        <v>4.8</v>
      </c>
      <c r="H1314" s="308">
        <f>'BECA MEDIA'!Q191</f>
        <v>12000</v>
      </c>
    </row>
    <row r="1315" spans="1:8" x14ac:dyDescent="0.3">
      <c r="A1315" t="s">
        <v>688</v>
      </c>
      <c r="B1315" t="s">
        <v>191</v>
      </c>
      <c r="C1315" t="s">
        <v>212</v>
      </c>
      <c r="D1315" t="s">
        <v>689</v>
      </c>
      <c r="E1315" t="s">
        <v>770</v>
      </c>
      <c r="F1315">
        <v>5</v>
      </c>
      <c r="G1315" s="308">
        <f>'BECA MEDIA'!S191</f>
        <v>0</v>
      </c>
      <c r="H1315" s="308">
        <f>'BECA MEDIA'!T191</f>
        <v>0</v>
      </c>
    </row>
    <row r="1316" spans="1:8" x14ac:dyDescent="0.3">
      <c r="A1316" t="s">
        <v>688</v>
      </c>
      <c r="B1316" t="s">
        <v>191</v>
      </c>
      <c r="C1316" t="s">
        <v>212</v>
      </c>
      <c r="D1316" t="s">
        <v>689</v>
      </c>
      <c r="E1316" t="s">
        <v>771</v>
      </c>
      <c r="F1316">
        <v>6</v>
      </c>
      <c r="G1316" s="308">
        <f>'BECA MEDIA'!V191</f>
        <v>8</v>
      </c>
      <c r="H1316" s="308">
        <f>'BECA MEDIA'!W191</f>
        <v>20000</v>
      </c>
    </row>
    <row r="1317" spans="1:8" x14ac:dyDescent="0.3">
      <c r="A1317" t="s">
        <v>688</v>
      </c>
      <c r="B1317" t="s">
        <v>191</v>
      </c>
      <c r="C1317" t="s">
        <v>212</v>
      </c>
      <c r="D1317" t="s">
        <v>689</v>
      </c>
      <c r="E1317" t="s">
        <v>772</v>
      </c>
      <c r="F1317">
        <v>7</v>
      </c>
      <c r="G1317" s="308">
        <f>'BECA MEDIA'!Y191</f>
        <v>0</v>
      </c>
      <c r="H1317" s="308">
        <f>'BECA MEDIA'!Z191</f>
        <v>0</v>
      </c>
    </row>
    <row r="1318" spans="1:8" x14ac:dyDescent="0.3">
      <c r="A1318" t="s">
        <v>688</v>
      </c>
      <c r="B1318" t="s">
        <v>191</v>
      </c>
      <c r="C1318" t="s">
        <v>213</v>
      </c>
      <c r="D1318" t="s">
        <v>689</v>
      </c>
      <c r="E1318" t="s">
        <v>766</v>
      </c>
      <c r="F1318">
        <v>1</v>
      </c>
      <c r="G1318" s="308">
        <f>'BECA MEDIA'!G192</f>
        <v>0</v>
      </c>
      <c r="H1318" s="308">
        <f>'BECA MEDIA'!H192</f>
        <v>0</v>
      </c>
    </row>
    <row r="1319" spans="1:8" x14ac:dyDescent="0.3">
      <c r="A1319" t="s">
        <v>688</v>
      </c>
      <c r="B1319" t="s">
        <v>191</v>
      </c>
      <c r="C1319" t="s">
        <v>213</v>
      </c>
      <c r="D1319" t="s">
        <v>689</v>
      </c>
      <c r="E1319" t="s">
        <v>767</v>
      </c>
      <c r="F1319">
        <v>2</v>
      </c>
      <c r="G1319" s="308">
        <f>'BECA MEDIA'!J192</f>
        <v>0</v>
      </c>
      <c r="H1319" s="308">
        <f>'BECA MEDIA'!K192</f>
        <v>0</v>
      </c>
    </row>
    <row r="1320" spans="1:8" x14ac:dyDescent="0.3">
      <c r="A1320" t="s">
        <v>688</v>
      </c>
      <c r="B1320" t="s">
        <v>191</v>
      </c>
      <c r="C1320" t="s">
        <v>213</v>
      </c>
      <c r="D1320" t="s">
        <v>689</v>
      </c>
      <c r="E1320" t="s">
        <v>768</v>
      </c>
      <c r="F1320">
        <v>3</v>
      </c>
      <c r="G1320" s="308">
        <f>'BECA MEDIA'!M192</f>
        <v>4.4000000000000004</v>
      </c>
      <c r="H1320" s="308">
        <f>'BECA MEDIA'!N192</f>
        <v>11000</v>
      </c>
    </row>
    <row r="1321" spans="1:8" x14ac:dyDescent="0.3">
      <c r="A1321" t="s">
        <v>688</v>
      </c>
      <c r="B1321" t="s">
        <v>191</v>
      </c>
      <c r="C1321" t="s">
        <v>213</v>
      </c>
      <c r="D1321" t="s">
        <v>689</v>
      </c>
      <c r="E1321" t="s">
        <v>769</v>
      </c>
      <c r="F1321">
        <v>4</v>
      </c>
      <c r="G1321" s="308">
        <f>'BECA MEDIA'!P192</f>
        <v>2.8</v>
      </c>
      <c r="H1321" s="308">
        <f>'BECA MEDIA'!Q192</f>
        <v>7000</v>
      </c>
    </row>
    <row r="1322" spans="1:8" x14ac:dyDescent="0.3">
      <c r="A1322" t="s">
        <v>688</v>
      </c>
      <c r="B1322" t="s">
        <v>191</v>
      </c>
      <c r="C1322" t="s">
        <v>213</v>
      </c>
      <c r="D1322" t="s">
        <v>689</v>
      </c>
      <c r="E1322" t="s">
        <v>770</v>
      </c>
      <c r="F1322">
        <v>5</v>
      </c>
      <c r="G1322" s="308">
        <f>'BECA MEDIA'!S192</f>
        <v>0</v>
      </c>
      <c r="H1322" s="308">
        <f>'BECA MEDIA'!T192</f>
        <v>0</v>
      </c>
    </row>
    <row r="1323" spans="1:8" x14ac:dyDescent="0.3">
      <c r="A1323" t="s">
        <v>688</v>
      </c>
      <c r="B1323" t="s">
        <v>191</v>
      </c>
      <c r="C1323" t="s">
        <v>213</v>
      </c>
      <c r="D1323" t="s">
        <v>689</v>
      </c>
      <c r="E1323" t="s">
        <v>771</v>
      </c>
      <c r="F1323">
        <v>6</v>
      </c>
      <c r="G1323" s="308">
        <f>'BECA MEDIA'!V192</f>
        <v>7.6</v>
      </c>
      <c r="H1323" s="308">
        <f>'BECA MEDIA'!W192</f>
        <v>19000</v>
      </c>
    </row>
    <row r="1324" spans="1:8" x14ac:dyDescent="0.3">
      <c r="A1324" t="s">
        <v>688</v>
      </c>
      <c r="B1324" t="s">
        <v>191</v>
      </c>
      <c r="C1324" t="s">
        <v>213</v>
      </c>
      <c r="D1324" t="s">
        <v>689</v>
      </c>
      <c r="E1324" t="s">
        <v>772</v>
      </c>
      <c r="F1324">
        <v>7</v>
      </c>
      <c r="G1324" s="308">
        <f>'BECA MEDIA'!Y192</f>
        <v>0</v>
      </c>
      <c r="H1324" s="308">
        <f>'BECA MEDIA'!Z192</f>
        <v>0</v>
      </c>
    </row>
    <row r="1325" spans="1:8" x14ac:dyDescent="0.3">
      <c r="A1325" t="s">
        <v>688</v>
      </c>
      <c r="B1325" t="s">
        <v>191</v>
      </c>
      <c r="C1325" t="s">
        <v>214</v>
      </c>
      <c r="D1325" t="s">
        <v>689</v>
      </c>
      <c r="E1325" t="s">
        <v>766</v>
      </c>
      <c r="F1325">
        <v>1</v>
      </c>
      <c r="G1325" s="308">
        <f>'BECA MEDIA'!G193</f>
        <v>0</v>
      </c>
      <c r="H1325" s="308">
        <f>'BECA MEDIA'!H193</f>
        <v>0</v>
      </c>
    </row>
    <row r="1326" spans="1:8" x14ac:dyDescent="0.3">
      <c r="A1326" t="s">
        <v>688</v>
      </c>
      <c r="B1326" t="s">
        <v>191</v>
      </c>
      <c r="C1326" t="s">
        <v>214</v>
      </c>
      <c r="D1326" t="s">
        <v>689</v>
      </c>
      <c r="E1326" t="s">
        <v>767</v>
      </c>
      <c r="F1326">
        <v>2</v>
      </c>
      <c r="G1326" s="308">
        <f>'BECA MEDIA'!J193</f>
        <v>0</v>
      </c>
      <c r="H1326" s="308">
        <f>'BECA MEDIA'!K193</f>
        <v>0</v>
      </c>
    </row>
    <row r="1327" spans="1:8" x14ac:dyDescent="0.3">
      <c r="A1327" t="s">
        <v>688</v>
      </c>
      <c r="B1327" t="s">
        <v>191</v>
      </c>
      <c r="C1327" t="s">
        <v>214</v>
      </c>
      <c r="D1327" t="s">
        <v>689</v>
      </c>
      <c r="E1327" t="s">
        <v>768</v>
      </c>
      <c r="F1327">
        <v>3</v>
      </c>
      <c r="G1327" s="308">
        <f>'BECA MEDIA'!M193</f>
        <v>1.6</v>
      </c>
      <c r="H1327" s="308">
        <f>'BECA MEDIA'!N193</f>
        <v>4000</v>
      </c>
    </row>
    <row r="1328" spans="1:8" x14ac:dyDescent="0.3">
      <c r="A1328" t="s">
        <v>688</v>
      </c>
      <c r="B1328" t="s">
        <v>191</v>
      </c>
      <c r="C1328" t="s">
        <v>214</v>
      </c>
      <c r="D1328" t="s">
        <v>689</v>
      </c>
      <c r="E1328" t="s">
        <v>769</v>
      </c>
      <c r="F1328">
        <v>4</v>
      </c>
      <c r="G1328" s="308">
        <f>'BECA MEDIA'!P193</f>
        <v>1.6</v>
      </c>
      <c r="H1328" s="308">
        <f>'BECA MEDIA'!Q193</f>
        <v>4000</v>
      </c>
    </row>
    <row r="1329" spans="1:8" x14ac:dyDescent="0.3">
      <c r="A1329" t="s">
        <v>688</v>
      </c>
      <c r="B1329" t="s">
        <v>191</v>
      </c>
      <c r="C1329" t="s">
        <v>214</v>
      </c>
      <c r="D1329" t="s">
        <v>689</v>
      </c>
      <c r="E1329" t="s">
        <v>770</v>
      </c>
      <c r="F1329">
        <v>5</v>
      </c>
      <c r="G1329" s="308">
        <f>'BECA MEDIA'!S193</f>
        <v>0</v>
      </c>
      <c r="H1329" s="308">
        <f>'BECA MEDIA'!T193</f>
        <v>0</v>
      </c>
    </row>
    <row r="1330" spans="1:8" x14ac:dyDescent="0.3">
      <c r="A1330" t="s">
        <v>688</v>
      </c>
      <c r="B1330" t="s">
        <v>191</v>
      </c>
      <c r="C1330" t="s">
        <v>214</v>
      </c>
      <c r="D1330" t="s">
        <v>689</v>
      </c>
      <c r="E1330" t="s">
        <v>771</v>
      </c>
      <c r="F1330">
        <v>6</v>
      </c>
      <c r="G1330" s="308">
        <f>'BECA MEDIA'!V193</f>
        <v>3.2</v>
      </c>
      <c r="H1330" s="308">
        <f>'BECA MEDIA'!W193</f>
        <v>8000</v>
      </c>
    </row>
    <row r="1331" spans="1:8" x14ac:dyDescent="0.3">
      <c r="A1331" t="s">
        <v>688</v>
      </c>
      <c r="B1331" t="s">
        <v>191</v>
      </c>
      <c r="C1331" t="s">
        <v>214</v>
      </c>
      <c r="D1331" t="s">
        <v>689</v>
      </c>
      <c r="E1331" t="s">
        <v>772</v>
      </c>
      <c r="F1331">
        <v>7</v>
      </c>
      <c r="G1331" s="308">
        <f>'BECA MEDIA'!Y193</f>
        <v>0</v>
      </c>
      <c r="H1331" s="308">
        <f>'BECA MEDIA'!Z193</f>
        <v>0</v>
      </c>
    </row>
    <row r="1332" spans="1:8" x14ac:dyDescent="0.3">
      <c r="A1332" t="s">
        <v>688</v>
      </c>
      <c r="B1332" t="s">
        <v>215</v>
      </c>
      <c r="C1332" t="s">
        <v>216</v>
      </c>
      <c r="D1332" t="s">
        <v>689</v>
      </c>
      <c r="E1332" t="s">
        <v>766</v>
      </c>
      <c r="F1332">
        <v>1</v>
      </c>
      <c r="G1332" s="308">
        <f>'BECA MEDIA'!G194</f>
        <v>0</v>
      </c>
      <c r="H1332" s="308">
        <f>'BECA MEDIA'!H194</f>
        <v>0</v>
      </c>
    </row>
    <row r="1333" spans="1:8" x14ac:dyDescent="0.3">
      <c r="A1333" t="s">
        <v>688</v>
      </c>
      <c r="B1333" t="s">
        <v>215</v>
      </c>
      <c r="C1333" t="s">
        <v>216</v>
      </c>
      <c r="D1333" t="s">
        <v>689</v>
      </c>
      <c r="E1333" t="s">
        <v>767</v>
      </c>
      <c r="F1333">
        <v>2</v>
      </c>
      <c r="G1333" s="308">
        <f>'BECA MEDIA'!J194</f>
        <v>0</v>
      </c>
      <c r="H1333" s="308">
        <f>'BECA MEDIA'!K194</f>
        <v>0</v>
      </c>
    </row>
    <row r="1334" spans="1:8" x14ac:dyDescent="0.3">
      <c r="A1334" t="s">
        <v>688</v>
      </c>
      <c r="B1334" t="s">
        <v>215</v>
      </c>
      <c r="C1334" t="s">
        <v>216</v>
      </c>
      <c r="D1334" t="s">
        <v>689</v>
      </c>
      <c r="E1334" t="s">
        <v>768</v>
      </c>
      <c r="F1334">
        <v>3</v>
      </c>
      <c r="G1334" s="308">
        <f>'BECA MEDIA'!M194</f>
        <v>7.6</v>
      </c>
      <c r="H1334" s="308">
        <f>'BECA MEDIA'!N194</f>
        <v>19000</v>
      </c>
    </row>
    <row r="1335" spans="1:8" x14ac:dyDescent="0.3">
      <c r="A1335" t="s">
        <v>688</v>
      </c>
      <c r="B1335" t="s">
        <v>215</v>
      </c>
      <c r="C1335" t="s">
        <v>216</v>
      </c>
      <c r="D1335" t="s">
        <v>689</v>
      </c>
      <c r="E1335" t="s">
        <v>769</v>
      </c>
      <c r="F1335">
        <v>4</v>
      </c>
      <c r="G1335" s="308">
        <f>'BECA MEDIA'!P194</f>
        <v>3.6</v>
      </c>
      <c r="H1335" s="308">
        <f>'BECA MEDIA'!Q194</f>
        <v>9000</v>
      </c>
    </row>
    <row r="1336" spans="1:8" x14ac:dyDescent="0.3">
      <c r="A1336" t="s">
        <v>688</v>
      </c>
      <c r="B1336" t="s">
        <v>215</v>
      </c>
      <c r="C1336" t="s">
        <v>216</v>
      </c>
      <c r="D1336" t="s">
        <v>689</v>
      </c>
      <c r="E1336" t="s">
        <v>770</v>
      </c>
      <c r="F1336">
        <v>5</v>
      </c>
      <c r="G1336" s="308">
        <f>'BECA MEDIA'!S194</f>
        <v>0</v>
      </c>
      <c r="H1336" s="308">
        <f>'BECA MEDIA'!T194</f>
        <v>0</v>
      </c>
    </row>
    <row r="1337" spans="1:8" x14ac:dyDescent="0.3">
      <c r="A1337" t="s">
        <v>688</v>
      </c>
      <c r="B1337" t="s">
        <v>215</v>
      </c>
      <c r="C1337" t="s">
        <v>216</v>
      </c>
      <c r="D1337" t="s">
        <v>689</v>
      </c>
      <c r="E1337" t="s">
        <v>771</v>
      </c>
      <c r="F1337">
        <v>6</v>
      </c>
      <c r="G1337" s="308">
        <f>'BECA MEDIA'!V194</f>
        <v>11.2</v>
      </c>
      <c r="H1337" s="308">
        <f>'BECA MEDIA'!W194</f>
        <v>28000</v>
      </c>
    </row>
    <row r="1338" spans="1:8" x14ac:dyDescent="0.3">
      <c r="A1338" t="s">
        <v>688</v>
      </c>
      <c r="B1338" t="s">
        <v>215</v>
      </c>
      <c r="C1338" t="s">
        <v>216</v>
      </c>
      <c r="D1338" t="s">
        <v>689</v>
      </c>
      <c r="E1338" t="s">
        <v>772</v>
      </c>
      <c r="F1338">
        <v>7</v>
      </c>
      <c r="G1338" s="308">
        <f>'BECA MEDIA'!Y194</f>
        <v>0</v>
      </c>
      <c r="H1338" s="308">
        <f>'BECA MEDIA'!Z194</f>
        <v>0</v>
      </c>
    </row>
    <row r="1339" spans="1:8" x14ac:dyDescent="0.3">
      <c r="A1339" t="s">
        <v>688</v>
      </c>
      <c r="B1339" t="s">
        <v>215</v>
      </c>
      <c r="C1339" t="s">
        <v>217</v>
      </c>
      <c r="D1339" t="s">
        <v>689</v>
      </c>
      <c r="E1339" t="s">
        <v>766</v>
      </c>
      <c r="F1339">
        <v>1</v>
      </c>
      <c r="G1339" s="308">
        <f>'BECA MEDIA'!G195</f>
        <v>0</v>
      </c>
      <c r="H1339" s="308">
        <f>'BECA MEDIA'!H195</f>
        <v>0</v>
      </c>
    </row>
    <row r="1340" spans="1:8" x14ac:dyDescent="0.3">
      <c r="A1340" t="s">
        <v>688</v>
      </c>
      <c r="B1340" t="s">
        <v>215</v>
      </c>
      <c r="C1340" t="s">
        <v>217</v>
      </c>
      <c r="D1340" t="s">
        <v>689</v>
      </c>
      <c r="E1340" t="s">
        <v>767</v>
      </c>
      <c r="F1340">
        <v>2</v>
      </c>
      <c r="G1340" s="308">
        <f>'BECA MEDIA'!J195</f>
        <v>0</v>
      </c>
      <c r="H1340" s="308">
        <f>'BECA MEDIA'!K195</f>
        <v>0</v>
      </c>
    </row>
    <row r="1341" spans="1:8" x14ac:dyDescent="0.3">
      <c r="A1341" t="s">
        <v>688</v>
      </c>
      <c r="B1341" t="s">
        <v>215</v>
      </c>
      <c r="C1341" t="s">
        <v>217</v>
      </c>
      <c r="D1341" t="s">
        <v>689</v>
      </c>
      <c r="E1341" t="s">
        <v>768</v>
      </c>
      <c r="F1341">
        <v>3</v>
      </c>
      <c r="G1341" s="308">
        <f>'BECA MEDIA'!M195</f>
        <v>7.6</v>
      </c>
      <c r="H1341" s="308">
        <f>'BECA MEDIA'!N195</f>
        <v>19000</v>
      </c>
    </row>
    <row r="1342" spans="1:8" x14ac:dyDescent="0.3">
      <c r="A1342" t="s">
        <v>688</v>
      </c>
      <c r="B1342" t="s">
        <v>215</v>
      </c>
      <c r="C1342" t="s">
        <v>217</v>
      </c>
      <c r="D1342" t="s">
        <v>689</v>
      </c>
      <c r="E1342" t="s">
        <v>769</v>
      </c>
      <c r="F1342">
        <v>4</v>
      </c>
      <c r="G1342" s="308">
        <f>'BECA MEDIA'!P195</f>
        <v>2</v>
      </c>
      <c r="H1342" s="308">
        <f>'BECA MEDIA'!Q195</f>
        <v>5000</v>
      </c>
    </row>
    <row r="1343" spans="1:8" x14ac:dyDescent="0.3">
      <c r="A1343" t="s">
        <v>688</v>
      </c>
      <c r="B1343" t="s">
        <v>215</v>
      </c>
      <c r="C1343" t="s">
        <v>217</v>
      </c>
      <c r="D1343" t="s">
        <v>689</v>
      </c>
      <c r="E1343" t="s">
        <v>770</v>
      </c>
      <c r="F1343">
        <v>5</v>
      </c>
      <c r="G1343" s="308">
        <f>'BECA MEDIA'!S195</f>
        <v>0</v>
      </c>
      <c r="H1343" s="308">
        <f>'BECA MEDIA'!T195</f>
        <v>0</v>
      </c>
    </row>
    <row r="1344" spans="1:8" x14ac:dyDescent="0.3">
      <c r="A1344" t="s">
        <v>688</v>
      </c>
      <c r="B1344" t="s">
        <v>215</v>
      </c>
      <c r="C1344" t="s">
        <v>217</v>
      </c>
      <c r="D1344" t="s">
        <v>689</v>
      </c>
      <c r="E1344" t="s">
        <v>771</v>
      </c>
      <c r="F1344">
        <v>6</v>
      </c>
      <c r="G1344" s="308">
        <f>'BECA MEDIA'!V195</f>
        <v>9.6</v>
      </c>
      <c r="H1344" s="308">
        <f>'BECA MEDIA'!W195</f>
        <v>24000</v>
      </c>
    </row>
    <row r="1345" spans="1:8" x14ac:dyDescent="0.3">
      <c r="A1345" t="s">
        <v>688</v>
      </c>
      <c r="B1345" t="s">
        <v>215</v>
      </c>
      <c r="C1345" t="s">
        <v>217</v>
      </c>
      <c r="D1345" t="s">
        <v>689</v>
      </c>
      <c r="E1345" t="s">
        <v>772</v>
      </c>
      <c r="F1345">
        <v>7</v>
      </c>
      <c r="G1345" s="308">
        <f>'BECA MEDIA'!Y195</f>
        <v>0</v>
      </c>
      <c r="H1345" s="308">
        <f>'BECA MEDIA'!Z195</f>
        <v>0</v>
      </c>
    </row>
    <row r="1346" spans="1:8" x14ac:dyDescent="0.3">
      <c r="A1346" t="s">
        <v>688</v>
      </c>
      <c r="B1346" t="s">
        <v>215</v>
      </c>
      <c r="C1346" t="s">
        <v>218</v>
      </c>
      <c r="D1346" t="s">
        <v>689</v>
      </c>
      <c r="E1346" t="s">
        <v>766</v>
      </c>
      <c r="F1346">
        <v>1</v>
      </c>
      <c r="G1346" s="308">
        <f>'BECA MEDIA'!G196</f>
        <v>0</v>
      </c>
      <c r="H1346" s="308">
        <f>'BECA MEDIA'!H196</f>
        <v>0</v>
      </c>
    </row>
    <row r="1347" spans="1:8" x14ac:dyDescent="0.3">
      <c r="A1347" t="s">
        <v>688</v>
      </c>
      <c r="B1347" t="s">
        <v>215</v>
      </c>
      <c r="C1347" t="s">
        <v>218</v>
      </c>
      <c r="D1347" t="s">
        <v>689</v>
      </c>
      <c r="E1347" t="s">
        <v>767</v>
      </c>
      <c r="F1347">
        <v>2</v>
      </c>
      <c r="G1347" s="308">
        <f>'BECA MEDIA'!J196</f>
        <v>0</v>
      </c>
      <c r="H1347" s="308">
        <f>'BECA MEDIA'!K196</f>
        <v>0</v>
      </c>
    </row>
    <row r="1348" spans="1:8" x14ac:dyDescent="0.3">
      <c r="A1348" t="s">
        <v>688</v>
      </c>
      <c r="B1348" t="s">
        <v>215</v>
      </c>
      <c r="C1348" t="s">
        <v>218</v>
      </c>
      <c r="D1348" t="s">
        <v>689</v>
      </c>
      <c r="E1348" t="s">
        <v>768</v>
      </c>
      <c r="F1348">
        <v>3</v>
      </c>
      <c r="G1348" s="308">
        <f>'BECA MEDIA'!M196</f>
        <v>6.4</v>
      </c>
      <c r="H1348" s="308">
        <f>'BECA MEDIA'!N196</f>
        <v>16000</v>
      </c>
    </row>
    <row r="1349" spans="1:8" x14ac:dyDescent="0.3">
      <c r="A1349" t="s">
        <v>688</v>
      </c>
      <c r="B1349" t="s">
        <v>215</v>
      </c>
      <c r="C1349" t="s">
        <v>218</v>
      </c>
      <c r="D1349" t="s">
        <v>689</v>
      </c>
      <c r="E1349" t="s">
        <v>769</v>
      </c>
      <c r="F1349">
        <v>4</v>
      </c>
      <c r="G1349" s="308">
        <f>'BECA MEDIA'!P196</f>
        <v>8</v>
      </c>
      <c r="H1349" s="308">
        <f>'BECA MEDIA'!Q196</f>
        <v>20000</v>
      </c>
    </row>
    <row r="1350" spans="1:8" x14ac:dyDescent="0.3">
      <c r="A1350" t="s">
        <v>688</v>
      </c>
      <c r="B1350" t="s">
        <v>215</v>
      </c>
      <c r="C1350" t="s">
        <v>218</v>
      </c>
      <c r="D1350" t="s">
        <v>689</v>
      </c>
      <c r="E1350" t="s">
        <v>770</v>
      </c>
      <c r="F1350">
        <v>5</v>
      </c>
      <c r="G1350" s="308">
        <f>'BECA MEDIA'!S196</f>
        <v>0</v>
      </c>
      <c r="H1350" s="308">
        <f>'BECA MEDIA'!T196</f>
        <v>0</v>
      </c>
    </row>
    <row r="1351" spans="1:8" x14ac:dyDescent="0.3">
      <c r="A1351" t="s">
        <v>688</v>
      </c>
      <c r="B1351" t="s">
        <v>215</v>
      </c>
      <c r="C1351" t="s">
        <v>218</v>
      </c>
      <c r="D1351" t="s">
        <v>689</v>
      </c>
      <c r="E1351" t="s">
        <v>771</v>
      </c>
      <c r="F1351">
        <v>6</v>
      </c>
      <c r="G1351" s="308">
        <f>'BECA MEDIA'!V196</f>
        <v>14</v>
      </c>
      <c r="H1351" s="308">
        <f>'BECA MEDIA'!W196</f>
        <v>35000</v>
      </c>
    </row>
    <row r="1352" spans="1:8" x14ac:dyDescent="0.3">
      <c r="A1352" t="s">
        <v>688</v>
      </c>
      <c r="B1352" t="s">
        <v>215</v>
      </c>
      <c r="C1352" t="s">
        <v>218</v>
      </c>
      <c r="D1352" t="s">
        <v>689</v>
      </c>
      <c r="E1352" t="s">
        <v>772</v>
      </c>
      <c r="F1352">
        <v>7</v>
      </c>
      <c r="G1352" s="308">
        <f>'BECA MEDIA'!Y196</f>
        <v>0</v>
      </c>
      <c r="H1352" s="308">
        <f>'BECA MEDIA'!Z196</f>
        <v>0</v>
      </c>
    </row>
    <row r="1353" spans="1:8" x14ac:dyDescent="0.3">
      <c r="A1353" t="s">
        <v>688</v>
      </c>
      <c r="B1353" t="s">
        <v>215</v>
      </c>
      <c r="C1353" t="s">
        <v>219</v>
      </c>
      <c r="D1353" t="s">
        <v>689</v>
      </c>
      <c r="E1353" t="s">
        <v>766</v>
      </c>
      <c r="F1353">
        <v>1</v>
      </c>
      <c r="G1353" s="308">
        <f>'BECA MEDIA'!G197</f>
        <v>0</v>
      </c>
      <c r="H1353" s="308">
        <f>'BECA MEDIA'!H197</f>
        <v>0</v>
      </c>
    </row>
    <row r="1354" spans="1:8" x14ac:dyDescent="0.3">
      <c r="A1354" t="s">
        <v>688</v>
      </c>
      <c r="B1354" t="s">
        <v>215</v>
      </c>
      <c r="C1354" t="s">
        <v>219</v>
      </c>
      <c r="D1354" t="s">
        <v>689</v>
      </c>
      <c r="E1354" t="s">
        <v>767</v>
      </c>
      <c r="F1354">
        <v>2</v>
      </c>
      <c r="G1354" s="308">
        <f>'BECA MEDIA'!J197</f>
        <v>0</v>
      </c>
      <c r="H1354" s="308">
        <f>'BECA MEDIA'!K197</f>
        <v>0</v>
      </c>
    </row>
    <row r="1355" spans="1:8" x14ac:dyDescent="0.3">
      <c r="A1355" t="s">
        <v>688</v>
      </c>
      <c r="B1355" t="s">
        <v>215</v>
      </c>
      <c r="C1355" t="s">
        <v>219</v>
      </c>
      <c r="D1355" t="s">
        <v>689</v>
      </c>
      <c r="E1355" t="s">
        <v>768</v>
      </c>
      <c r="F1355">
        <v>3</v>
      </c>
      <c r="G1355" s="308">
        <f>'BECA MEDIA'!M197</f>
        <v>3.6</v>
      </c>
      <c r="H1355" s="308">
        <f>'BECA MEDIA'!N197</f>
        <v>9000</v>
      </c>
    </row>
    <row r="1356" spans="1:8" x14ac:dyDescent="0.3">
      <c r="A1356" t="s">
        <v>688</v>
      </c>
      <c r="B1356" t="s">
        <v>215</v>
      </c>
      <c r="C1356" t="s">
        <v>219</v>
      </c>
      <c r="D1356" t="s">
        <v>689</v>
      </c>
      <c r="E1356" t="s">
        <v>769</v>
      </c>
      <c r="F1356">
        <v>4</v>
      </c>
      <c r="G1356" s="308">
        <f>'BECA MEDIA'!P197</f>
        <v>1.2</v>
      </c>
      <c r="H1356" s="308">
        <f>'BECA MEDIA'!Q197</f>
        <v>3000</v>
      </c>
    </row>
    <row r="1357" spans="1:8" x14ac:dyDescent="0.3">
      <c r="A1357" t="s">
        <v>688</v>
      </c>
      <c r="B1357" t="s">
        <v>215</v>
      </c>
      <c r="C1357" t="s">
        <v>219</v>
      </c>
      <c r="D1357" t="s">
        <v>689</v>
      </c>
      <c r="E1357" t="s">
        <v>770</v>
      </c>
      <c r="F1357">
        <v>5</v>
      </c>
      <c r="G1357" s="308">
        <f>'BECA MEDIA'!S197</f>
        <v>0</v>
      </c>
      <c r="H1357" s="308">
        <f>'BECA MEDIA'!T197</f>
        <v>0</v>
      </c>
    </row>
    <row r="1358" spans="1:8" x14ac:dyDescent="0.3">
      <c r="A1358" t="s">
        <v>688</v>
      </c>
      <c r="B1358" t="s">
        <v>215</v>
      </c>
      <c r="C1358" t="s">
        <v>219</v>
      </c>
      <c r="D1358" t="s">
        <v>689</v>
      </c>
      <c r="E1358" t="s">
        <v>771</v>
      </c>
      <c r="F1358">
        <v>6</v>
      </c>
      <c r="G1358" s="308">
        <f>'BECA MEDIA'!V197</f>
        <v>4.8</v>
      </c>
      <c r="H1358" s="308">
        <f>'BECA MEDIA'!W197</f>
        <v>12000</v>
      </c>
    </row>
    <row r="1359" spans="1:8" x14ac:dyDescent="0.3">
      <c r="A1359" t="s">
        <v>688</v>
      </c>
      <c r="B1359" t="s">
        <v>215</v>
      </c>
      <c r="C1359" t="s">
        <v>219</v>
      </c>
      <c r="D1359" t="s">
        <v>689</v>
      </c>
      <c r="E1359" t="s">
        <v>772</v>
      </c>
      <c r="F1359">
        <v>7</v>
      </c>
      <c r="G1359" s="308">
        <f>'BECA MEDIA'!Y197</f>
        <v>0</v>
      </c>
      <c r="H1359" s="308">
        <f>'BECA MEDIA'!Z197</f>
        <v>0</v>
      </c>
    </row>
    <row r="1360" spans="1:8" x14ac:dyDescent="0.3">
      <c r="A1360" t="s">
        <v>688</v>
      </c>
      <c r="B1360" t="s">
        <v>215</v>
      </c>
      <c r="C1360" t="s">
        <v>220</v>
      </c>
      <c r="D1360" t="s">
        <v>689</v>
      </c>
      <c r="E1360" t="s">
        <v>766</v>
      </c>
      <c r="F1360">
        <v>1</v>
      </c>
      <c r="G1360" s="308">
        <f>'BECA MEDIA'!G198</f>
        <v>0</v>
      </c>
      <c r="H1360" s="308">
        <f>'BECA MEDIA'!H198</f>
        <v>0</v>
      </c>
    </row>
    <row r="1361" spans="1:8" x14ac:dyDescent="0.3">
      <c r="A1361" t="s">
        <v>688</v>
      </c>
      <c r="B1361" t="s">
        <v>215</v>
      </c>
      <c r="C1361" t="s">
        <v>220</v>
      </c>
      <c r="D1361" t="s">
        <v>689</v>
      </c>
      <c r="E1361" t="s">
        <v>767</v>
      </c>
      <c r="F1361">
        <v>2</v>
      </c>
      <c r="G1361" s="308">
        <f>'BECA MEDIA'!J198</f>
        <v>0</v>
      </c>
      <c r="H1361" s="308">
        <f>'BECA MEDIA'!K198</f>
        <v>0</v>
      </c>
    </row>
    <row r="1362" spans="1:8" x14ac:dyDescent="0.3">
      <c r="A1362" t="s">
        <v>688</v>
      </c>
      <c r="B1362" t="s">
        <v>215</v>
      </c>
      <c r="C1362" t="s">
        <v>220</v>
      </c>
      <c r="D1362" t="s">
        <v>689</v>
      </c>
      <c r="E1362" t="s">
        <v>768</v>
      </c>
      <c r="F1362">
        <v>3</v>
      </c>
      <c r="G1362" s="308">
        <f>'BECA MEDIA'!M198</f>
        <v>6</v>
      </c>
      <c r="H1362" s="308">
        <f>'BECA MEDIA'!N198</f>
        <v>15000</v>
      </c>
    </row>
    <row r="1363" spans="1:8" x14ac:dyDescent="0.3">
      <c r="A1363" t="s">
        <v>688</v>
      </c>
      <c r="B1363" t="s">
        <v>215</v>
      </c>
      <c r="C1363" t="s">
        <v>220</v>
      </c>
      <c r="D1363" t="s">
        <v>689</v>
      </c>
      <c r="E1363" t="s">
        <v>769</v>
      </c>
      <c r="F1363">
        <v>4</v>
      </c>
      <c r="G1363" s="308">
        <f>'BECA MEDIA'!P198</f>
        <v>0</v>
      </c>
      <c r="H1363" s="308">
        <f>'BECA MEDIA'!Q198</f>
        <v>0</v>
      </c>
    </row>
    <row r="1364" spans="1:8" x14ac:dyDescent="0.3">
      <c r="A1364" t="s">
        <v>688</v>
      </c>
      <c r="B1364" t="s">
        <v>215</v>
      </c>
      <c r="C1364" t="s">
        <v>220</v>
      </c>
      <c r="D1364" t="s">
        <v>689</v>
      </c>
      <c r="E1364" t="s">
        <v>770</v>
      </c>
      <c r="F1364">
        <v>5</v>
      </c>
      <c r="G1364" s="308">
        <f>'BECA MEDIA'!S198</f>
        <v>0</v>
      </c>
      <c r="H1364" s="308">
        <f>'BECA MEDIA'!T198</f>
        <v>0</v>
      </c>
    </row>
    <row r="1365" spans="1:8" x14ac:dyDescent="0.3">
      <c r="A1365" t="s">
        <v>688</v>
      </c>
      <c r="B1365" t="s">
        <v>215</v>
      </c>
      <c r="C1365" t="s">
        <v>220</v>
      </c>
      <c r="D1365" t="s">
        <v>689</v>
      </c>
      <c r="E1365" t="s">
        <v>771</v>
      </c>
      <c r="F1365">
        <v>6</v>
      </c>
      <c r="G1365" s="308">
        <f>'BECA MEDIA'!V198</f>
        <v>6</v>
      </c>
      <c r="H1365" s="308">
        <f>'BECA MEDIA'!W198</f>
        <v>15000</v>
      </c>
    </row>
    <row r="1366" spans="1:8" x14ac:dyDescent="0.3">
      <c r="A1366" t="s">
        <v>688</v>
      </c>
      <c r="B1366" t="s">
        <v>215</v>
      </c>
      <c r="C1366" t="s">
        <v>220</v>
      </c>
      <c r="D1366" t="s">
        <v>689</v>
      </c>
      <c r="E1366" t="s">
        <v>772</v>
      </c>
      <c r="F1366">
        <v>7</v>
      </c>
      <c r="G1366" s="308">
        <f>'BECA MEDIA'!Y198</f>
        <v>0</v>
      </c>
      <c r="H1366" s="308">
        <f>'BECA MEDIA'!Z198</f>
        <v>0</v>
      </c>
    </row>
    <row r="1367" spans="1:8" x14ac:dyDescent="0.3">
      <c r="A1367" t="s">
        <v>688</v>
      </c>
      <c r="B1367" t="s">
        <v>215</v>
      </c>
      <c r="C1367" t="s">
        <v>221</v>
      </c>
      <c r="D1367" t="s">
        <v>689</v>
      </c>
      <c r="E1367" t="s">
        <v>766</v>
      </c>
      <c r="F1367">
        <v>1</v>
      </c>
      <c r="G1367" s="308">
        <f>'BECA MEDIA'!G199</f>
        <v>0</v>
      </c>
      <c r="H1367" s="308">
        <f>'BECA MEDIA'!H199</f>
        <v>0</v>
      </c>
    </row>
    <row r="1368" spans="1:8" x14ac:dyDescent="0.3">
      <c r="A1368" t="s">
        <v>688</v>
      </c>
      <c r="B1368" t="s">
        <v>215</v>
      </c>
      <c r="C1368" t="s">
        <v>221</v>
      </c>
      <c r="D1368" t="s">
        <v>689</v>
      </c>
      <c r="E1368" t="s">
        <v>767</v>
      </c>
      <c r="F1368">
        <v>2</v>
      </c>
      <c r="G1368" s="308">
        <f>'BECA MEDIA'!J199</f>
        <v>0</v>
      </c>
      <c r="H1368" s="308">
        <f>'BECA MEDIA'!K199</f>
        <v>0</v>
      </c>
    </row>
    <row r="1369" spans="1:8" x14ac:dyDescent="0.3">
      <c r="A1369" t="s">
        <v>688</v>
      </c>
      <c r="B1369" t="s">
        <v>215</v>
      </c>
      <c r="C1369" t="s">
        <v>221</v>
      </c>
      <c r="D1369" t="s">
        <v>689</v>
      </c>
      <c r="E1369" t="s">
        <v>768</v>
      </c>
      <c r="F1369">
        <v>3</v>
      </c>
      <c r="G1369" s="308">
        <f>'BECA MEDIA'!M199</f>
        <v>2.8</v>
      </c>
      <c r="H1369" s="308">
        <f>'BECA MEDIA'!N199</f>
        <v>7000</v>
      </c>
    </row>
    <row r="1370" spans="1:8" x14ac:dyDescent="0.3">
      <c r="A1370" t="s">
        <v>688</v>
      </c>
      <c r="B1370" t="s">
        <v>215</v>
      </c>
      <c r="C1370" t="s">
        <v>221</v>
      </c>
      <c r="D1370" t="s">
        <v>689</v>
      </c>
      <c r="E1370" t="s">
        <v>769</v>
      </c>
      <c r="F1370">
        <v>4</v>
      </c>
      <c r="G1370" s="308">
        <f>'BECA MEDIA'!P199</f>
        <v>1.2</v>
      </c>
      <c r="H1370" s="308">
        <f>'BECA MEDIA'!Q199</f>
        <v>3000</v>
      </c>
    </row>
    <row r="1371" spans="1:8" x14ac:dyDescent="0.3">
      <c r="A1371" t="s">
        <v>688</v>
      </c>
      <c r="B1371" t="s">
        <v>215</v>
      </c>
      <c r="C1371" t="s">
        <v>221</v>
      </c>
      <c r="D1371" t="s">
        <v>689</v>
      </c>
      <c r="E1371" t="s">
        <v>770</v>
      </c>
      <c r="F1371">
        <v>5</v>
      </c>
      <c r="G1371" s="308">
        <f>'BECA MEDIA'!S199</f>
        <v>0</v>
      </c>
      <c r="H1371" s="308">
        <f>'BECA MEDIA'!T199</f>
        <v>0</v>
      </c>
    </row>
    <row r="1372" spans="1:8" x14ac:dyDescent="0.3">
      <c r="A1372" t="s">
        <v>688</v>
      </c>
      <c r="B1372" t="s">
        <v>215</v>
      </c>
      <c r="C1372" t="s">
        <v>221</v>
      </c>
      <c r="D1372" t="s">
        <v>689</v>
      </c>
      <c r="E1372" t="s">
        <v>771</v>
      </c>
      <c r="F1372">
        <v>6</v>
      </c>
      <c r="G1372" s="308">
        <f>'BECA MEDIA'!V199</f>
        <v>4</v>
      </c>
      <c r="H1372" s="308">
        <f>'BECA MEDIA'!W199</f>
        <v>10000</v>
      </c>
    </row>
    <row r="1373" spans="1:8" x14ac:dyDescent="0.3">
      <c r="A1373" t="s">
        <v>688</v>
      </c>
      <c r="B1373" t="s">
        <v>215</v>
      </c>
      <c r="C1373" t="s">
        <v>221</v>
      </c>
      <c r="D1373" t="s">
        <v>689</v>
      </c>
      <c r="E1373" t="s">
        <v>772</v>
      </c>
      <c r="F1373">
        <v>7</v>
      </c>
      <c r="G1373" s="308">
        <f>'BECA MEDIA'!Y199</f>
        <v>0</v>
      </c>
      <c r="H1373" s="308">
        <f>'BECA MEDIA'!Z199</f>
        <v>0</v>
      </c>
    </row>
    <row r="1374" spans="1:8" x14ac:dyDescent="0.3">
      <c r="A1374" t="s">
        <v>688</v>
      </c>
      <c r="B1374" t="s">
        <v>215</v>
      </c>
      <c r="C1374" t="s">
        <v>222</v>
      </c>
      <c r="D1374" t="s">
        <v>689</v>
      </c>
      <c r="E1374" t="s">
        <v>766</v>
      </c>
      <c r="F1374">
        <v>1</v>
      </c>
      <c r="G1374" s="308">
        <f>'BECA MEDIA'!G200</f>
        <v>0</v>
      </c>
      <c r="H1374" s="308">
        <f>'BECA MEDIA'!H200</f>
        <v>0</v>
      </c>
    </row>
    <row r="1375" spans="1:8" x14ac:dyDescent="0.3">
      <c r="A1375" t="s">
        <v>688</v>
      </c>
      <c r="B1375" t="s">
        <v>215</v>
      </c>
      <c r="C1375" t="s">
        <v>222</v>
      </c>
      <c r="D1375" t="s">
        <v>689</v>
      </c>
      <c r="E1375" t="s">
        <v>767</v>
      </c>
      <c r="F1375">
        <v>2</v>
      </c>
      <c r="G1375" s="308">
        <f>'BECA MEDIA'!J200</f>
        <v>0</v>
      </c>
      <c r="H1375" s="308">
        <f>'BECA MEDIA'!K200</f>
        <v>0</v>
      </c>
    </row>
    <row r="1376" spans="1:8" x14ac:dyDescent="0.3">
      <c r="A1376" t="s">
        <v>688</v>
      </c>
      <c r="B1376" t="s">
        <v>215</v>
      </c>
      <c r="C1376" t="s">
        <v>222</v>
      </c>
      <c r="D1376" t="s">
        <v>689</v>
      </c>
      <c r="E1376" t="s">
        <v>768</v>
      </c>
      <c r="F1376">
        <v>3</v>
      </c>
      <c r="G1376" s="308">
        <f>'BECA MEDIA'!M200</f>
        <v>7.6</v>
      </c>
      <c r="H1376" s="308">
        <f>'BECA MEDIA'!N200</f>
        <v>19000</v>
      </c>
    </row>
    <row r="1377" spans="1:8" x14ac:dyDescent="0.3">
      <c r="A1377" t="s">
        <v>688</v>
      </c>
      <c r="B1377" t="s">
        <v>215</v>
      </c>
      <c r="C1377" t="s">
        <v>222</v>
      </c>
      <c r="D1377" t="s">
        <v>689</v>
      </c>
      <c r="E1377" t="s">
        <v>769</v>
      </c>
      <c r="F1377">
        <v>4</v>
      </c>
      <c r="G1377" s="308">
        <f>'BECA MEDIA'!P200</f>
        <v>2.4</v>
      </c>
      <c r="H1377" s="308">
        <f>'BECA MEDIA'!Q200</f>
        <v>6000</v>
      </c>
    </row>
    <row r="1378" spans="1:8" x14ac:dyDescent="0.3">
      <c r="A1378" t="s">
        <v>688</v>
      </c>
      <c r="B1378" t="s">
        <v>215</v>
      </c>
      <c r="C1378" t="s">
        <v>222</v>
      </c>
      <c r="D1378" t="s">
        <v>689</v>
      </c>
      <c r="E1378" t="s">
        <v>770</v>
      </c>
      <c r="F1378">
        <v>5</v>
      </c>
      <c r="G1378" s="308">
        <f>'BECA MEDIA'!S200</f>
        <v>0</v>
      </c>
      <c r="H1378" s="308">
        <f>'BECA MEDIA'!T200</f>
        <v>0</v>
      </c>
    </row>
    <row r="1379" spans="1:8" x14ac:dyDescent="0.3">
      <c r="A1379" t="s">
        <v>688</v>
      </c>
      <c r="B1379" t="s">
        <v>215</v>
      </c>
      <c r="C1379" t="s">
        <v>222</v>
      </c>
      <c r="D1379" t="s">
        <v>689</v>
      </c>
      <c r="E1379" t="s">
        <v>771</v>
      </c>
      <c r="F1379">
        <v>6</v>
      </c>
      <c r="G1379" s="308">
        <f>'BECA MEDIA'!V200</f>
        <v>10</v>
      </c>
      <c r="H1379" s="308">
        <f>'BECA MEDIA'!W200</f>
        <v>25000</v>
      </c>
    </row>
    <row r="1380" spans="1:8" x14ac:dyDescent="0.3">
      <c r="A1380" t="s">
        <v>688</v>
      </c>
      <c r="B1380" t="s">
        <v>215</v>
      </c>
      <c r="C1380" t="s">
        <v>222</v>
      </c>
      <c r="D1380" t="s">
        <v>689</v>
      </c>
      <c r="E1380" t="s">
        <v>772</v>
      </c>
      <c r="F1380">
        <v>7</v>
      </c>
      <c r="G1380" s="308">
        <f>'BECA MEDIA'!Y200</f>
        <v>0</v>
      </c>
      <c r="H1380" s="308">
        <f>'BECA MEDIA'!Z200</f>
        <v>0</v>
      </c>
    </row>
    <row r="1381" spans="1:8" x14ac:dyDescent="0.3">
      <c r="A1381" t="s">
        <v>688</v>
      </c>
      <c r="B1381" t="s">
        <v>215</v>
      </c>
      <c r="C1381" t="s">
        <v>223</v>
      </c>
      <c r="D1381" t="s">
        <v>689</v>
      </c>
      <c r="E1381" t="s">
        <v>766</v>
      </c>
      <c r="F1381">
        <v>1</v>
      </c>
      <c r="G1381" s="308">
        <f>'BECA MEDIA'!G201</f>
        <v>0</v>
      </c>
      <c r="H1381" s="308">
        <f>'BECA MEDIA'!H201</f>
        <v>0</v>
      </c>
    </row>
    <row r="1382" spans="1:8" x14ac:dyDescent="0.3">
      <c r="A1382" t="s">
        <v>688</v>
      </c>
      <c r="B1382" t="s">
        <v>215</v>
      </c>
      <c r="C1382" t="s">
        <v>223</v>
      </c>
      <c r="D1382" t="s">
        <v>689</v>
      </c>
      <c r="E1382" t="s">
        <v>767</v>
      </c>
      <c r="F1382">
        <v>2</v>
      </c>
      <c r="G1382" s="308">
        <f>'BECA MEDIA'!J201</f>
        <v>0</v>
      </c>
      <c r="H1382" s="308">
        <f>'BECA MEDIA'!K201</f>
        <v>0</v>
      </c>
    </row>
    <row r="1383" spans="1:8" x14ac:dyDescent="0.3">
      <c r="A1383" t="s">
        <v>688</v>
      </c>
      <c r="B1383" t="s">
        <v>215</v>
      </c>
      <c r="C1383" t="s">
        <v>223</v>
      </c>
      <c r="D1383" t="s">
        <v>689</v>
      </c>
      <c r="E1383" t="s">
        <v>768</v>
      </c>
      <c r="F1383">
        <v>3</v>
      </c>
      <c r="G1383" s="308">
        <f>'BECA MEDIA'!M201</f>
        <v>2</v>
      </c>
      <c r="H1383" s="308">
        <f>'BECA MEDIA'!N201</f>
        <v>5000</v>
      </c>
    </row>
    <row r="1384" spans="1:8" x14ac:dyDescent="0.3">
      <c r="A1384" t="s">
        <v>688</v>
      </c>
      <c r="B1384" t="s">
        <v>215</v>
      </c>
      <c r="C1384" t="s">
        <v>223</v>
      </c>
      <c r="D1384" t="s">
        <v>689</v>
      </c>
      <c r="E1384" t="s">
        <v>769</v>
      </c>
      <c r="F1384">
        <v>4</v>
      </c>
      <c r="G1384" s="308">
        <f>'BECA MEDIA'!P201</f>
        <v>0.4</v>
      </c>
      <c r="H1384" s="308">
        <f>'BECA MEDIA'!Q201</f>
        <v>1000</v>
      </c>
    </row>
    <row r="1385" spans="1:8" x14ac:dyDescent="0.3">
      <c r="A1385" t="s">
        <v>688</v>
      </c>
      <c r="B1385" t="s">
        <v>215</v>
      </c>
      <c r="C1385" t="s">
        <v>223</v>
      </c>
      <c r="D1385" t="s">
        <v>689</v>
      </c>
      <c r="E1385" t="s">
        <v>770</v>
      </c>
      <c r="F1385">
        <v>5</v>
      </c>
      <c r="G1385" s="308">
        <f>'BECA MEDIA'!S201</f>
        <v>0</v>
      </c>
      <c r="H1385" s="308">
        <f>'BECA MEDIA'!T201</f>
        <v>0</v>
      </c>
    </row>
    <row r="1386" spans="1:8" x14ac:dyDescent="0.3">
      <c r="A1386" t="s">
        <v>688</v>
      </c>
      <c r="B1386" t="s">
        <v>215</v>
      </c>
      <c r="C1386" t="s">
        <v>223</v>
      </c>
      <c r="D1386" t="s">
        <v>689</v>
      </c>
      <c r="E1386" t="s">
        <v>771</v>
      </c>
      <c r="F1386">
        <v>6</v>
      </c>
      <c r="G1386" s="308">
        <f>'BECA MEDIA'!V201</f>
        <v>2.4</v>
      </c>
      <c r="H1386" s="308">
        <f>'BECA MEDIA'!W201</f>
        <v>6000</v>
      </c>
    </row>
    <row r="1387" spans="1:8" x14ac:dyDescent="0.3">
      <c r="A1387" t="s">
        <v>688</v>
      </c>
      <c r="B1387" t="s">
        <v>215</v>
      </c>
      <c r="C1387" t="s">
        <v>223</v>
      </c>
      <c r="D1387" t="s">
        <v>689</v>
      </c>
      <c r="E1387" t="s">
        <v>772</v>
      </c>
      <c r="F1387">
        <v>7</v>
      </c>
      <c r="G1387" s="308">
        <f>'BECA MEDIA'!Y201</f>
        <v>0</v>
      </c>
      <c r="H1387" s="308">
        <f>'BECA MEDIA'!Z201</f>
        <v>0</v>
      </c>
    </row>
    <row r="1388" spans="1:8" x14ac:dyDescent="0.3">
      <c r="A1388" t="s">
        <v>688</v>
      </c>
      <c r="B1388" t="s">
        <v>215</v>
      </c>
      <c r="C1388" t="s">
        <v>224</v>
      </c>
      <c r="D1388" t="s">
        <v>689</v>
      </c>
      <c r="E1388" t="s">
        <v>766</v>
      </c>
      <c r="F1388">
        <v>1</v>
      </c>
      <c r="G1388" s="308">
        <f>'BECA MEDIA'!G202</f>
        <v>0</v>
      </c>
      <c r="H1388" s="308">
        <f>'BECA MEDIA'!H202</f>
        <v>0</v>
      </c>
    </row>
    <row r="1389" spans="1:8" x14ac:dyDescent="0.3">
      <c r="A1389" t="s">
        <v>688</v>
      </c>
      <c r="B1389" t="s">
        <v>215</v>
      </c>
      <c r="C1389" t="s">
        <v>224</v>
      </c>
      <c r="D1389" t="s">
        <v>689</v>
      </c>
      <c r="E1389" t="s">
        <v>767</v>
      </c>
      <c r="F1389">
        <v>2</v>
      </c>
      <c r="G1389" s="308">
        <f>'BECA MEDIA'!J202</f>
        <v>0</v>
      </c>
      <c r="H1389" s="308">
        <f>'BECA MEDIA'!K202</f>
        <v>0</v>
      </c>
    </row>
    <row r="1390" spans="1:8" x14ac:dyDescent="0.3">
      <c r="A1390" t="s">
        <v>688</v>
      </c>
      <c r="B1390" t="s">
        <v>215</v>
      </c>
      <c r="C1390" t="s">
        <v>224</v>
      </c>
      <c r="D1390" t="s">
        <v>689</v>
      </c>
      <c r="E1390" t="s">
        <v>768</v>
      </c>
      <c r="F1390">
        <v>3</v>
      </c>
      <c r="G1390" s="308">
        <f>'BECA MEDIA'!M202</f>
        <v>5.6</v>
      </c>
      <c r="H1390" s="308">
        <f>'BECA MEDIA'!N202</f>
        <v>14000</v>
      </c>
    </row>
    <row r="1391" spans="1:8" x14ac:dyDescent="0.3">
      <c r="A1391" t="s">
        <v>688</v>
      </c>
      <c r="B1391" t="s">
        <v>215</v>
      </c>
      <c r="C1391" t="s">
        <v>224</v>
      </c>
      <c r="D1391" t="s">
        <v>689</v>
      </c>
      <c r="E1391" t="s">
        <v>769</v>
      </c>
      <c r="F1391">
        <v>4</v>
      </c>
      <c r="G1391" s="308">
        <f>'BECA MEDIA'!P202</f>
        <v>2</v>
      </c>
      <c r="H1391" s="308">
        <f>'BECA MEDIA'!Q202</f>
        <v>5000</v>
      </c>
    </row>
    <row r="1392" spans="1:8" x14ac:dyDescent="0.3">
      <c r="A1392" t="s">
        <v>688</v>
      </c>
      <c r="B1392" t="s">
        <v>215</v>
      </c>
      <c r="C1392" t="s">
        <v>224</v>
      </c>
      <c r="D1392" t="s">
        <v>689</v>
      </c>
      <c r="E1392" t="s">
        <v>770</v>
      </c>
      <c r="F1392">
        <v>5</v>
      </c>
      <c r="G1392" s="308">
        <f>'BECA MEDIA'!S202</f>
        <v>0</v>
      </c>
      <c r="H1392" s="308">
        <f>'BECA MEDIA'!T202</f>
        <v>0</v>
      </c>
    </row>
    <row r="1393" spans="1:8" x14ac:dyDescent="0.3">
      <c r="A1393" t="s">
        <v>688</v>
      </c>
      <c r="B1393" t="s">
        <v>215</v>
      </c>
      <c r="C1393" t="s">
        <v>224</v>
      </c>
      <c r="D1393" t="s">
        <v>689</v>
      </c>
      <c r="E1393" t="s">
        <v>771</v>
      </c>
      <c r="F1393">
        <v>6</v>
      </c>
      <c r="G1393" s="308">
        <f>'BECA MEDIA'!V202</f>
        <v>7.6</v>
      </c>
      <c r="H1393" s="308">
        <f>'BECA MEDIA'!W202</f>
        <v>19000</v>
      </c>
    </row>
    <row r="1394" spans="1:8" x14ac:dyDescent="0.3">
      <c r="A1394" t="s">
        <v>688</v>
      </c>
      <c r="B1394" t="s">
        <v>215</v>
      </c>
      <c r="C1394" t="s">
        <v>224</v>
      </c>
      <c r="D1394" t="s">
        <v>689</v>
      </c>
      <c r="E1394" t="s">
        <v>772</v>
      </c>
      <c r="F1394">
        <v>7</v>
      </c>
      <c r="G1394" s="308">
        <f>'BECA MEDIA'!Y202</f>
        <v>0</v>
      </c>
      <c r="H1394" s="308">
        <f>'BECA MEDIA'!Z202</f>
        <v>0</v>
      </c>
    </row>
    <row r="1395" spans="1:8" x14ac:dyDescent="0.3">
      <c r="A1395" t="s">
        <v>688</v>
      </c>
      <c r="B1395" t="s">
        <v>215</v>
      </c>
      <c r="C1395" t="s">
        <v>225</v>
      </c>
      <c r="D1395" t="s">
        <v>689</v>
      </c>
      <c r="E1395" t="s">
        <v>766</v>
      </c>
      <c r="F1395">
        <v>1</v>
      </c>
      <c r="G1395" s="308">
        <f>'BECA MEDIA'!G203</f>
        <v>0</v>
      </c>
      <c r="H1395" s="308">
        <f>'BECA MEDIA'!H203</f>
        <v>0</v>
      </c>
    </row>
    <row r="1396" spans="1:8" x14ac:dyDescent="0.3">
      <c r="A1396" t="s">
        <v>688</v>
      </c>
      <c r="B1396" t="s">
        <v>215</v>
      </c>
      <c r="C1396" t="s">
        <v>225</v>
      </c>
      <c r="D1396" t="s">
        <v>689</v>
      </c>
      <c r="E1396" t="s">
        <v>767</v>
      </c>
      <c r="F1396">
        <v>2</v>
      </c>
      <c r="G1396" s="308">
        <f>'BECA MEDIA'!J203</f>
        <v>0</v>
      </c>
      <c r="H1396" s="308">
        <f>'BECA MEDIA'!K203</f>
        <v>0</v>
      </c>
    </row>
    <row r="1397" spans="1:8" x14ac:dyDescent="0.3">
      <c r="A1397" t="s">
        <v>688</v>
      </c>
      <c r="B1397" t="s">
        <v>215</v>
      </c>
      <c r="C1397" t="s">
        <v>225</v>
      </c>
      <c r="D1397" t="s">
        <v>689</v>
      </c>
      <c r="E1397" t="s">
        <v>768</v>
      </c>
      <c r="F1397">
        <v>3</v>
      </c>
      <c r="G1397" s="308">
        <f>'BECA MEDIA'!M203</f>
        <v>2.4</v>
      </c>
      <c r="H1397" s="308">
        <f>'BECA MEDIA'!N203</f>
        <v>6000</v>
      </c>
    </row>
    <row r="1398" spans="1:8" x14ac:dyDescent="0.3">
      <c r="A1398" t="s">
        <v>688</v>
      </c>
      <c r="B1398" t="s">
        <v>215</v>
      </c>
      <c r="C1398" t="s">
        <v>225</v>
      </c>
      <c r="D1398" t="s">
        <v>689</v>
      </c>
      <c r="E1398" t="s">
        <v>769</v>
      </c>
      <c r="F1398">
        <v>4</v>
      </c>
      <c r="G1398" s="308">
        <f>'BECA MEDIA'!P203</f>
        <v>2</v>
      </c>
      <c r="H1398" s="308">
        <f>'BECA MEDIA'!Q203</f>
        <v>5000</v>
      </c>
    </row>
    <row r="1399" spans="1:8" x14ac:dyDescent="0.3">
      <c r="A1399" t="s">
        <v>688</v>
      </c>
      <c r="B1399" t="s">
        <v>215</v>
      </c>
      <c r="C1399" t="s">
        <v>225</v>
      </c>
      <c r="D1399" t="s">
        <v>689</v>
      </c>
      <c r="E1399" t="s">
        <v>770</v>
      </c>
      <c r="F1399">
        <v>5</v>
      </c>
      <c r="G1399" s="308">
        <f>'BECA MEDIA'!S203</f>
        <v>0</v>
      </c>
      <c r="H1399" s="308">
        <f>'BECA MEDIA'!T203</f>
        <v>0</v>
      </c>
    </row>
    <row r="1400" spans="1:8" x14ac:dyDescent="0.3">
      <c r="A1400" t="s">
        <v>688</v>
      </c>
      <c r="B1400" t="s">
        <v>215</v>
      </c>
      <c r="C1400" t="s">
        <v>225</v>
      </c>
      <c r="D1400" t="s">
        <v>689</v>
      </c>
      <c r="E1400" t="s">
        <v>771</v>
      </c>
      <c r="F1400">
        <v>6</v>
      </c>
      <c r="G1400" s="308">
        <f>'BECA MEDIA'!V203</f>
        <v>4.4000000000000004</v>
      </c>
      <c r="H1400" s="308">
        <f>'BECA MEDIA'!W203</f>
        <v>11000</v>
      </c>
    </row>
    <row r="1401" spans="1:8" x14ac:dyDescent="0.3">
      <c r="A1401" t="s">
        <v>688</v>
      </c>
      <c r="B1401" t="s">
        <v>215</v>
      </c>
      <c r="C1401" t="s">
        <v>225</v>
      </c>
      <c r="D1401" t="s">
        <v>689</v>
      </c>
      <c r="E1401" t="s">
        <v>772</v>
      </c>
      <c r="F1401">
        <v>7</v>
      </c>
      <c r="G1401" s="308">
        <f>'BECA MEDIA'!Y203</f>
        <v>0</v>
      </c>
      <c r="H1401" s="308">
        <f>'BECA MEDIA'!Z203</f>
        <v>0</v>
      </c>
    </row>
    <row r="1402" spans="1:8" x14ac:dyDescent="0.3">
      <c r="A1402" t="s">
        <v>688</v>
      </c>
      <c r="B1402" t="s">
        <v>215</v>
      </c>
      <c r="C1402" t="s">
        <v>226</v>
      </c>
      <c r="D1402" t="s">
        <v>689</v>
      </c>
      <c r="E1402" t="s">
        <v>766</v>
      </c>
      <c r="F1402">
        <v>1</v>
      </c>
      <c r="G1402" s="308">
        <f>'BECA MEDIA'!G204</f>
        <v>0</v>
      </c>
      <c r="H1402" s="308">
        <f>'BECA MEDIA'!H204</f>
        <v>0</v>
      </c>
    </row>
    <row r="1403" spans="1:8" x14ac:dyDescent="0.3">
      <c r="A1403" t="s">
        <v>688</v>
      </c>
      <c r="B1403" t="s">
        <v>215</v>
      </c>
      <c r="C1403" t="s">
        <v>226</v>
      </c>
      <c r="D1403" t="s">
        <v>689</v>
      </c>
      <c r="E1403" t="s">
        <v>767</v>
      </c>
      <c r="F1403">
        <v>2</v>
      </c>
      <c r="G1403" s="308">
        <f>'BECA MEDIA'!J204</f>
        <v>0</v>
      </c>
      <c r="H1403" s="308">
        <f>'BECA MEDIA'!K204</f>
        <v>0</v>
      </c>
    </row>
    <row r="1404" spans="1:8" x14ac:dyDescent="0.3">
      <c r="A1404" t="s">
        <v>688</v>
      </c>
      <c r="B1404" t="s">
        <v>215</v>
      </c>
      <c r="C1404" t="s">
        <v>226</v>
      </c>
      <c r="D1404" t="s">
        <v>689</v>
      </c>
      <c r="E1404" t="s">
        <v>768</v>
      </c>
      <c r="F1404">
        <v>3</v>
      </c>
      <c r="G1404" s="308">
        <f>'BECA MEDIA'!M204</f>
        <v>8</v>
      </c>
      <c r="H1404" s="308">
        <f>'BECA MEDIA'!N204</f>
        <v>20000</v>
      </c>
    </row>
    <row r="1405" spans="1:8" x14ac:dyDescent="0.3">
      <c r="A1405" t="s">
        <v>688</v>
      </c>
      <c r="B1405" t="s">
        <v>215</v>
      </c>
      <c r="C1405" t="s">
        <v>226</v>
      </c>
      <c r="D1405" t="s">
        <v>689</v>
      </c>
      <c r="E1405" t="s">
        <v>769</v>
      </c>
      <c r="F1405">
        <v>4</v>
      </c>
      <c r="G1405" s="308">
        <f>'BECA MEDIA'!P204</f>
        <v>1.2</v>
      </c>
      <c r="H1405" s="308">
        <f>'BECA MEDIA'!Q204</f>
        <v>3000</v>
      </c>
    </row>
    <row r="1406" spans="1:8" x14ac:dyDescent="0.3">
      <c r="A1406" t="s">
        <v>688</v>
      </c>
      <c r="B1406" t="s">
        <v>215</v>
      </c>
      <c r="C1406" t="s">
        <v>226</v>
      </c>
      <c r="D1406" t="s">
        <v>689</v>
      </c>
      <c r="E1406" t="s">
        <v>770</v>
      </c>
      <c r="F1406">
        <v>5</v>
      </c>
      <c r="G1406" s="308">
        <f>'BECA MEDIA'!S204</f>
        <v>0</v>
      </c>
      <c r="H1406" s="308">
        <f>'BECA MEDIA'!T204</f>
        <v>0</v>
      </c>
    </row>
    <row r="1407" spans="1:8" x14ac:dyDescent="0.3">
      <c r="A1407" t="s">
        <v>688</v>
      </c>
      <c r="B1407" t="s">
        <v>215</v>
      </c>
      <c r="C1407" t="s">
        <v>226</v>
      </c>
      <c r="D1407" t="s">
        <v>689</v>
      </c>
      <c r="E1407" t="s">
        <v>771</v>
      </c>
      <c r="F1407">
        <v>6</v>
      </c>
      <c r="G1407" s="308">
        <f>'BECA MEDIA'!V204</f>
        <v>9.1999999999999993</v>
      </c>
      <c r="H1407" s="308">
        <f>'BECA MEDIA'!W204</f>
        <v>23000</v>
      </c>
    </row>
    <row r="1408" spans="1:8" x14ac:dyDescent="0.3">
      <c r="A1408" t="s">
        <v>688</v>
      </c>
      <c r="B1408" t="s">
        <v>215</v>
      </c>
      <c r="C1408" t="s">
        <v>226</v>
      </c>
      <c r="D1408" t="s">
        <v>689</v>
      </c>
      <c r="E1408" t="s">
        <v>772</v>
      </c>
      <c r="F1408">
        <v>7</v>
      </c>
      <c r="G1408" s="308">
        <f>'BECA MEDIA'!Y204</f>
        <v>0</v>
      </c>
      <c r="H1408" s="308">
        <f>'BECA MEDIA'!Z204</f>
        <v>0</v>
      </c>
    </row>
    <row r="1409" spans="1:8" x14ac:dyDescent="0.3">
      <c r="A1409" t="s">
        <v>688</v>
      </c>
      <c r="B1409" t="s">
        <v>215</v>
      </c>
      <c r="C1409" t="s">
        <v>227</v>
      </c>
      <c r="D1409" t="s">
        <v>689</v>
      </c>
      <c r="E1409" t="s">
        <v>766</v>
      </c>
      <c r="F1409">
        <v>1</v>
      </c>
      <c r="G1409" s="308">
        <f>'BECA MEDIA'!G205</f>
        <v>0</v>
      </c>
      <c r="H1409" s="308">
        <f>'BECA MEDIA'!H205</f>
        <v>0</v>
      </c>
    </row>
    <row r="1410" spans="1:8" x14ac:dyDescent="0.3">
      <c r="A1410" t="s">
        <v>688</v>
      </c>
      <c r="B1410" t="s">
        <v>215</v>
      </c>
      <c r="C1410" t="s">
        <v>227</v>
      </c>
      <c r="D1410" t="s">
        <v>689</v>
      </c>
      <c r="E1410" t="s">
        <v>767</v>
      </c>
      <c r="F1410">
        <v>2</v>
      </c>
      <c r="G1410" s="308">
        <f>'BECA MEDIA'!J205</f>
        <v>0</v>
      </c>
      <c r="H1410" s="308">
        <f>'BECA MEDIA'!K205</f>
        <v>0</v>
      </c>
    </row>
    <row r="1411" spans="1:8" x14ac:dyDescent="0.3">
      <c r="A1411" t="s">
        <v>688</v>
      </c>
      <c r="B1411" t="s">
        <v>215</v>
      </c>
      <c r="C1411" t="s">
        <v>227</v>
      </c>
      <c r="D1411" t="s">
        <v>689</v>
      </c>
      <c r="E1411" t="s">
        <v>768</v>
      </c>
      <c r="F1411">
        <v>3</v>
      </c>
      <c r="G1411" s="308">
        <f>'BECA MEDIA'!M205</f>
        <v>6.4</v>
      </c>
      <c r="H1411" s="308">
        <f>'BECA MEDIA'!N205</f>
        <v>16000</v>
      </c>
    </row>
    <row r="1412" spans="1:8" x14ac:dyDescent="0.3">
      <c r="A1412" t="s">
        <v>688</v>
      </c>
      <c r="B1412" t="s">
        <v>215</v>
      </c>
      <c r="C1412" t="s">
        <v>227</v>
      </c>
      <c r="D1412" t="s">
        <v>689</v>
      </c>
      <c r="E1412" t="s">
        <v>769</v>
      </c>
      <c r="F1412">
        <v>4</v>
      </c>
      <c r="G1412" s="308">
        <f>'BECA MEDIA'!P205</f>
        <v>0</v>
      </c>
      <c r="H1412" s="308">
        <f>'BECA MEDIA'!Q205</f>
        <v>0</v>
      </c>
    </row>
    <row r="1413" spans="1:8" x14ac:dyDescent="0.3">
      <c r="A1413" t="s">
        <v>688</v>
      </c>
      <c r="B1413" t="s">
        <v>215</v>
      </c>
      <c r="C1413" t="s">
        <v>227</v>
      </c>
      <c r="D1413" t="s">
        <v>689</v>
      </c>
      <c r="E1413" t="s">
        <v>770</v>
      </c>
      <c r="F1413">
        <v>5</v>
      </c>
      <c r="G1413" s="308">
        <f>'BECA MEDIA'!S205</f>
        <v>0</v>
      </c>
      <c r="H1413" s="308">
        <f>'BECA MEDIA'!T205</f>
        <v>0</v>
      </c>
    </row>
    <row r="1414" spans="1:8" x14ac:dyDescent="0.3">
      <c r="A1414" t="s">
        <v>688</v>
      </c>
      <c r="B1414" t="s">
        <v>215</v>
      </c>
      <c r="C1414" t="s">
        <v>227</v>
      </c>
      <c r="D1414" t="s">
        <v>689</v>
      </c>
      <c r="E1414" t="s">
        <v>771</v>
      </c>
      <c r="F1414">
        <v>6</v>
      </c>
      <c r="G1414" s="308">
        <f>'BECA MEDIA'!V205</f>
        <v>7.2</v>
      </c>
      <c r="H1414" s="308">
        <f>'BECA MEDIA'!W205</f>
        <v>18000</v>
      </c>
    </row>
    <row r="1415" spans="1:8" x14ac:dyDescent="0.3">
      <c r="A1415" t="s">
        <v>688</v>
      </c>
      <c r="B1415" t="s">
        <v>215</v>
      </c>
      <c r="C1415" t="s">
        <v>227</v>
      </c>
      <c r="D1415" t="s">
        <v>689</v>
      </c>
      <c r="E1415" t="s">
        <v>772</v>
      </c>
      <c r="F1415">
        <v>7</v>
      </c>
      <c r="G1415" s="308">
        <f>'BECA MEDIA'!Y205</f>
        <v>0</v>
      </c>
      <c r="H1415" s="308">
        <f>'BECA MEDIA'!Z205</f>
        <v>0</v>
      </c>
    </row>
    <row r="1416" spans="1:8" x14ac:dyDescent="0.3">
      <c r="A1416" t="s">
        <v>688</v>
      </c>
      <c r="B1416" t="s">
        <v>215</v>
      </c>
      <c r="C1416" t="s">
        <v>228</v>
      </c>
      <c r="D1416" t="s">
        <v>689</v>
      </c>
      <c r="E1416" t="s">
        <v>766</v>
      </c>
      <c r="F1416">
        <v>1</v>
      </c>
      <c r="G1416" s="308">
        <f>'BECA MEDIA'!G206</f>
        <v>0</v>
      </c>
      <c r="H1416" s="308">
        <f>'BECA MEDIA'!H206</f>
        <v>0</v>
      </c>
    </row>
    <row r="1417" spans="1:8" x14ac:dyDescent="0.3">
      <c r="A1417" t="s">
        <v>688</v>
      </c>
      <c r="B1417" t="s">
        <v>215</v>
      </c>
      <c r="C1417" t="s">
        <v>228</v>
      </c>
      <c r="D1417" t="s">
        <v>689</v>
      </c>
      <c r="E1417" t="s">
        <v>767</v>
      </c>
      <c r="F1417">
        <v>2</v>
      </c>
      <c r="G1417" s="308">
        <f>'BECA MEDIA'!J206</f>
        <v>0</v>
      </c>
      <c r="H1417" s="308">
        <f>'BECA MEDIA'!K206</f>
        <v>0</v>
      </c>
    </row>
    <row r="1418" spans="1:8" x14ac:dyDescent="0.3">
      <c r="A1418" t="s">
        <v>688</v>
      </c>
      <c r="B1418" t="s">
        <v>215</v>
      </c>
      <c r="C1418" t="s">
        <v>228</v>
      </c>
      <c r="D1418" t="s">
        <v>689</v>
      </c>
      <c r="E1418" t="s">
        <v>768</v>
      </c>
      <c r="F1418">
        <v>3</v>
      </c>
      <c r="G1418" s="308">
        <f>'BECA MEDIA'!M206</f>
        <v>9.1999999999999993</v>
      </c>
      <c r="H1418" s="308">
        <f>'BECA MEDIA'!N206</f>
        <v>23000</v>
      </c>
    </row>
    <row r="1419" spans="1:8" x14ac:dyDescent="0.3">
      <c r="A1419" t="s">
        <v>688</v>
      </c>
      <c r="B1419" t="s">
        <v>215</v>
      </c>
      <c r="C1419" t="s">
        <v>228</v>
      </c>
      <c r="D1419" t="s">
        <v>689</v>
      </c>
      <c r="E1419" t="s">
        <v>769</v>
      </c>
      <c r="F1419">
        <v>4</v>
      </c>
      <c r="G1419" s="308">
        <f>'BECA MEDIA'!P206</f>
        <v>1.2</v>
      </c>
      <c r="H1419" s="308">
        <f>'BECA MEDIA'!Q206</f>
        <v>3000</v>
      </c>
    </row>
    <row r="1420" spans="1:8" x14ac:dyDescent="0.3">
      <c r="A1420" t="s">
        <v>688</v>
      </c>
      <c r="B1420" t="s">
        <v>215</v>
      </c>
      <c r="C1420" t="s">
        <v>228</v>
      </c>
      <c r="D1420" t="s">
        <v>689</v>
      </c>
      <c r="E1420" t="s">
        <v>770</v>
      </c>
      <c r="F1420">
        <v>5</v>
      </c>
      <c r="G1420" s="308">
        <f>'BECA MEDIA'!S206</f>
        <v>0</v>
      </c>
      <c r="H1420" s="308">
        <f>'BECA MEDIA'!T206</f>
        <v>0</v>
      </c>
    </row>
    <row r="1421" spans="1:8" x14ac:dyDescent="0.3">
      <c r="A1421" t="s">
        <v>688</v>
      </c>
      <c r="B1421" t="s">
        <v>215</v>
      </c>
      <c r="C1421" t="s">
        <v>228</v>
      </c>
      <c r="D1421" t="s">
        <v>689</v>
      </c>
      <c r="E1421" t="s">
        <v>771</v>
      </c>
      <c r="F1421">
        <v>6</v>
      </c>
      <c r="G1421" s="308">
        <f>'BECA MEDIA'!V206</f>
        <v>10.4</v>
      </c>
      <c r="H1421" s="308">
        <f>'BECA MEDIA'!W206</f>
        <v>26000</v>
      </c>
    </row>
    <row r="1422" spans="1:8" x14ac:dyDescent="0.3">
      <c r="A1422" t="s">
        <v>688</v>
      </c>
      <c r="B1422" t="s">
        <v>215</v>
      </c>
      <c r="C1422" t="s">
        <v>228</v>
      </c>
      <c r="D1422" t="s">
        <v>689</v>
      </c>
      <c r="E1422" t="s">
        <v>772</v>
      </c>
      <c r="F1422">
        <v>7</v>
      </c>
      <c r="G1422" s="308">
        <f>'BECA MEDIA'!Y206</f>
        <v>0</v>
      </c>
      <c r="H1422" s="308">
        <f>'BECA MEDIA'!Z206</f>
        <v>0</v>
      </c>
    </row>
    <row r="1423" spans="1:8" x14ac:dyDescent="0.3">
      <c r="A1423" t="s">
        <v>688</v>
      </c>
      <c r="B1423" t="s">
        <v>215</v>
      </c>
      <c r="C1423" t="s">
        <v>229</v>
      </c>
      <c r="D1423" t="s">
        <v>689</v>
      </c>
      <c r="E1423" t="s">
        <v>766</v>
      </c>
      <c r="F1423">
        <v>1</v>
      </c>
      <c r="G1423" s="308">
        <f>'BECA MEDIA'!G207</f>
        <v>0</v>
      </c>
      <c r="H1423" s="308">
        <f>'BECA MEDIA'!H207</f>
        <v>0</v>
      </c>
    </row>
    <row r="1424" spans="1:8" x14ac:dyDescent="0.3">
      <c r="A1424" t="s">
        <v>688</v>
      </c>
      <c r="B1424" t="s">
        <v>215</v>
      </c>
      <c r="C1424" t="s">
        <v>229</v>
      </c>
      <c r="D1424" t="s">
        <v>689</v>
      </c>
      <c r="E1424" t="s">
        <v>767</v>
      </c>
      <c r="F1424">
        <v>2</v>
      </c>
      <c r="G1424" s="308">
        <f>'BECA MEDIA'!J207</f>
        <v>0</v>
      </c>
      <c r="H1424" s="308">
        <f>'BECA MEDIA'!K207</f>
        <v>0</v>
      </c>
    </row>
    <row r="1425" spans="1:8" x14ac:dyDescent="0.3">
      <c r="A1425" t="s">
        <v>688</v>
      </c>
      <c r="B1425" t="s">
        <v>215</v>
      </c>
      <c r="C1425" t="s">
        <v>229</v>
      </c>
      <c r="D1425" t="s">
        <v>689</v>
      </c>
      <c r="E1425" t="s">
        <v>768</v>
      </c>
      <c r="F1425">
        <v>3</v>
      </c>
      <c r="G1425" s="308">
        <f>'BECA MEDIA'!M207</f>
        <v>5.6</v>
      </c>
      <c r="H1425" s="308">
        <f>'BECA MEDIA'!N207</f>
        <v>14000</v>
      </c>
    </row>
    <row r="1426" spans="1:8" x14ac:dyDescent="0.3">
      <c r="A1426" t="s">
        <v>688</v>
      </c>
      <c r="B1426" t="s">
        <v>215</v>
      </c>
      <c r="C1426" t="s">
        <v>229</v>
      </c>
      <c r="D1426" t="s">
        <v>689</v>
      </c>
      <c r="E1426" t="s">
        <v>769</v>
      </c>
      <c r="F1426">
        <v>4</v>
      </c>
      <c r="G1426" s="308">
        <f>'BECA MEDIA'!P207</f>
        <v>0</v>
      </c>
      <c r="H1426" s="308">
        <f>'BECA MEDIA'!Q207</f>
        <v>0</v>
      </c>
    </row>
    <row r="1427" spans="1:8" x14ac:dyDescent="0.3">
      <c r="A1427" t="s">
        <v>688</v>
      </c>
      <c r="B1427" t="s">
        <v>215</v>
      </c>
      <c r="C1427" t="s">
        <v>229</v>
      </c>
      <c r="D1427" t="s">
        <v>689</v>
      </c>
      <c r="E1427" t="s">
        <v>770</v>
      </c>
      <c r="F1427">
        <v>5</v>
      </c>
      <c r="G1427" s="308">
        <f>'BECA MEDIA'!S207</f>
        <v>0</v>
      </c>
      <c r="H1427" s="308">
        <f>'BECA MEDIA'!T207</f>
        <v>0</v>
      </c>
    </row>
    <row r="1428" spans="1:8" x14ac:dyDescent="0.3">
      <c r="A1428" t="s">
        <v>688</v>
      </c>
      <c r="B1428" t="s">
        <v>215</v>
      </c>
      <c r="C1428" t="s">
        <v>229</v>
      </c>
      <c r="D1428" t="s">
        <v>689</v>
      </c>
      <c r="E1428" t="s">
        <v>771</v>
      </c>
      <c r="F1428">
        <v>6</v>
      </c>
      <c r="G1428" s="308">
        <f>'BECA MEDIA'!V207</f>
        <v>5.6</v>
      </c>
      <c r="H1428" s="308">
        <f>'BECA MEDIA'!W207</f>
        <v>14000</v>
      </c>
    </row>
    <row r="1429" spans="1:8" x14ac:dyDescent="0.3">
      <c r="A1429" t="s">
        <v>688</v>
      </c>
      <c r="B1429" t="s">
        <v>215</v>
      </c>
      <c r="C1429" t="s">
        <v>229</v>
      </c>
      <c r="D1429" t="s">
        <v>689</v>
      </c>
      <c r="E1429" t="s">
        <v>772</v>
      </c>
      <c r="F1429">
        <v>7</v>
      </c>
      <c r="G1429" s="308">
        <f>'BECA MEDIA'!Y207</f>
        <v>0</v>
      </c>
      <c r="H1429" s="308">
        <f>'BECA MEDIA'!Z207</f>
        <v>0</v>
      </c>
    </row>
    <row r="1430" spans="1:8" x14ac:dyDescent="0.3">
      <c r="A1430" t="s">
        <v>688</v>
      </c>
      <c r="B1430" t="s">
        <v>215</v>
      </c>
      <c r="C1430" t="s">
        <v>230</v>
      </c>
      <c r="D1430" t="s">
        <v>689</v>
      </c>
      <c r="E1430" t="s">
        <v>766</v>
      </c>
      <c r="F1430">
        <v>1</v>
      </c>
      <c r="G1430" s="308">
        <f>'BECA MEDIA'!G208</f>
        <v>0</v>
      </c>
      <c r="H1430" s="308">
        <f>'BECA MEDIA'!H208</f>
        <v>0</v>
      </c>
    </row>
    <row r="1431" spans="1:8" x14ac:dyDescent="0.3">
      <c r="A1431" t="s">
        <v>688</v>
      </c>
      <c r="B1431" t="s">
        <v>215</v>
      </c>
      <c r="C1431" t="s">
        <v>230</v>
      </c>
      <c r="D1431" t="s">
        <v>689</v>
      </c>
      <c r="E1431" t="s">
        <v>767</v>
      </c>
      <c r="F1431">
        <v>2</v>
      </c>
      <c r="G1431" s="308">
        <f>'BECA MEDIA'!J208</f>
        <v>0</v>
      </c>
      <c r="H1431" s="308">
        <f>'BECA MEDIA'!K208</f>
        <v>0</v>
      </c>
    </row>
    <row r="1432" spans="1:8" x14ac:dyDescent="0.3">
      <c r="A1432" t="s">
        <v>688</v>
      </c>
      <c r="B1432" t="s">
        <v>215</v>
      </c>
      <c r="C1432" t="s">
        <v>230</v>
      </c>
      <c r="D1432" t="s">
        <v>689</v>
      </c>
      <c r="E1432" t="s">
        <v>768</v>
      </c>
      <c r="F1432">
        <v>3</v>
      </c>
      <c r="G1432" s="308">
        <f>'BECA MEDIA'!M208</f>
        <v>2.4</v>
      </c>
      <c r="H1432" s="308">
        <f>'BECA MEDIA'!N208</f>
        <v>6000</v>
      </c>
    </row>
    <row r="1433" spans="1:8" x14ac:dyDescent="0.3">
      <c r="A1433" t="s">
        <v>688</v>
      </c>
      <c r="B1433" t="s">
        <v>215</v>
      </c>
      <c r="C1433" t="s">
        <v>230</v>
      </c>
      <c r="D1433" t="s">
        <v>689</v>
      </c>
      <c r="E1433" t="s">
        <v>769</v>
      </c>
      <c r="F1433">
        <v>4</v>
      </c>
      <c r="G1433" s="308">
        <f>'BECA MEDIA'!P208</f>
        <v>0</v>
      </c>
      <c r="H1433" s="308">
        <f>'BECA MEDIA'!Q208</f>
        <v>0</v>
      </c>
    </row>
    <row r="1434" spans="1:8" x14ac:dyDescent="0.3">
      <c r="A1434" t="s">
        <v>688</v>
      </c>
      <c r="B1434" t="s">
        <v>215</v>
      </c>
      <c r="C1434" t="s">
        <v>230</v>
      </c>
      <c r="D1434" t="s">
        <v>689</v>
      </c>
      <c r="E1434" t="s">
        <v>770</v>
      </c>
      <c r="F1434">
        <v>5</v>
      </c>
      <c r="G1434" s="308">
        <f>'BECA MEDIA'!S208</f>
        <v>0</v>
      </c>
      <c r="H1434" s="308">
        <f>'BECA MEDIA'!T208</f>
        <v>0</v>
      </c>
    </row>
    <row r="1435" spans="1:8" x14ac:dyDescent="0.3">
      <c r="A1435" t="s">
        <v>688</v>
      </c>
      <c r="B1435" t="s">
        <v>215</v>
      </c>
      <c r="C1435" t="s">
        <v>230</v>
      </c>
      <c r="D1435" t="s">
        <v>689</v>
      </c>
      <c r="E1435" t="s">
        <v>771</v>
      </c>
      <c r="F1435">
        <v>6</v>
      </c>
      <c r="G1435" s="308">
        <f>'BECA MEDIA'!V208</f>
        <v>2.4</v>
      </c>
      <c r="H1435" s="308">
        <f>'BECA MEDIA'!W208</f>
        <v>6000</v>
      </c>
    </row>
    <row r="1436" spans="1:8" x14ac:dyDescent="0.3">
      <c r="A1436" t="s">
        <v>688</v>
      </c>
      <c r="B1436" t="s">
        <v>215</v>
      </c>
      <c r="C1436" t="s">
        <v>230</v>
      </c>
      <c r="D1436" t="s">
        <v>689</v>
      </c>
      <c r="E1436" t="s">
        <v>772</v>
      </c>
      <c r="F1436">
        <v>7</v>
      </c>
      <c r="G1436" s="308">
        <f>'BECA MEDIA'!Y208</f>
        <v>0</v>
      </c>
      <c r="H1436" s="308">
        <f>'BECA MEDIA'!Z208</f>
        <v>0</v>
      </c>
    </row>
    <row r="1437" spans="1:8" x14ac:dyDescent="0.3">
      <c r="A1437" t="s">
        <v>688</v>
      </c>
      <c r="B1437" t="s">
        <v>215</v>
      </c>
      <c r="C1437" t="s">
        <v>231</v>
      </c>
      <c r="D1437" t="s">
        <v>689</v>
      </c>
      <c r="E1437" t="s">
        <v>766</v>
      </c>
      <c r="F1437">
        <v>1</v>
      </c>
      <c r="G1437" s="308">
        <f>'BECA MEDIA'!G209</f>
        <v>0</v>
      </c>
      <c r="H1437" s="308">
        <f>'BECA MEDIA'!H209</f>
        <v>0</v>
      </c>
    </row>
    <row r="1438" spans="1:8" x14ac:dyDescent="0.3">
      <c r="A1438" t="s">
        <v>688</v>
      </c>
      <c r="B1438" t="s">
        <v>215</v>
      </c>
      <c r="C1438" t="s">
        <v>231</v>
      </c>
      <c r="D1438" t="s">
        <v>689</v>
      </c>
      <c r="E1438" t="s">
        <v>767</v>
      </c>
      <c r="F1438">
        <v>2</v>
      </c>
      <c r="G1438" s="308">
        <f>'BECA MEDIA'!J209</f>
        <v>0</v>
      </c>
      <c r="H1438" s="308">
        <f>'BECA MEDIA'!K209</f>
        <v>0</v>
      </c>
    </row>
    <row r="1439" spans="1:8" x14ac:dyDescent="0.3">
      <c r="A1439" t="s">
        <v>688</v>
      </c>
      <c r="B1439" t="s">
        <v>215</v>
      </c>
      <c r="C1439" t="s">
        <v>231</v>
      </c>
      <c r="D1439" t="s">
        <v>689</v>
      </c>
      <c r="E1439" t="s">
        <v>768</v>
      </c>
      <c r="F1439">
        <v>3</v>
      </c>
      <c r="G1439" s="308">
        <f>'BECA MEDIA'!M209</f>
        <v>2.4</v>
      </c>
      <c r="H1439" s="308">
        <f>'BECA MEDIA'!N209</f>
        <v>6000</v>
      </c>
    </row>
    <row r="1440" spans="1:8" x14ac:dyDescent="0.3">
      <c r="A1440" t="s">
        <v>688</v>
      </c>
      <c r="B1440" t="s">
        <v>215</v>
      </c>
      <c r="C1440" t="s">
        <v>231</v>
      </c>
      <c r="D1440" t="s">
        <v>689</v>
      </c>
      <c r="E1440" t="s">
        <v>769</v>
      </c>
      <c r="F1440">
        <v>4</v>
      </c>
      <c r="G1440" s="308">
        <f>'BECA MEDIA'!P209</f>
        <v>0</v>
      </c>
      <c r="H1440" s="308">
        <f>'BECA MEDIA'!Q209</f>
        <v>0</v>
      </c>
    </row>
    <row r="1441" spans="1:8" x14ac:dyDescent="0.3">
      <c r="A1441" t="s">
        <v>688</v>
      </c>
      <c r="B1441" t="s">
        <v>215</v>
      </c>
      <c r="C1441" t="s">
        <v>231</v>
      </c>
      <c r="D1441" t="s">
        <v>689</v>
      </c>
      <c r="E1441" t="s">
        <v>770</v>
      </c>
      <c r="F1441">
        <v>5</v>
      </c>
      <c r="G1441" s="308">
        <f>'BECA MEDIA'!S209</f>
        <v>0</v>
      </c>
      <c r="H1441" s="308">
        <f>'BECA MEDIA'!T209</f>
        <v>0</v>
      </c>
    </row>
    <row r="1442" spans="1:8" x14ac:dyDescent="0.3">
      <c r="A1442" t="s">
        <v>688</v>
      </c>
      <c r="B1442" t="s">
        <v>215</v>
      </c>
      <c r="C1442" t="s">
        <v>231</v>
      </c>
      <c r="D1442" t="s">
        <v>689</v>
      </c>
      <c r="E1442" t="s">
        <v>771</v>
      </c>
      <c r="F1442">
        <v>6</v>
      </c>
      <c r="G1442" s="308">
        <f>'BECA MEDIA'!V209</f>
        <v>2.4</v>
      </c>
      <c r="H1442" s="308">
        <f>'BECA MEDIA'!W209</f>
        <v>6000</v>
      </c>
    </row>
    <row r="1443" spans="1:8" x14ac:dyDescent="0.3">
      <c r="A1443" t="s">
        <v>688</v>
      </c>
      <c r="B1443" t="s">
        <v>215</v>
      </c>
      <c r="C1443" t="s">
        <v>231</v>
      </c>
      <c r="D1443" t="s">
        <v>689</v>
      </c>
      <c r="E1443" t="s">
        <v>772</v>
      </c>
      <c r="F1443">
        <v>7</v>
      </c>
      <c r="G1443" s="308">
        <f>'BECA MEDIA'!Y209</f>
        <v>0</v>
      </c>
      <c r="H1443" s="308">
        <f>'BECA MEDIA'!Z209</f>
        <v>0</v>
      </c>
    </row>
    <row r="1444" spans="1:8" x14ac:dyDescent="0.3">
      <c r="A1444" t="s">
        <v>688</v>
      </c>
      <c r="B1444" t="s">
        <v>215</v>
      </c>
      <c r="C1444" t="s">
        <v>232</v>
      </c>
      <c r="D1444" t="s">
        <v>689</v>
      </c>
      <c r="E1444" t="s">
        <v>766</v>
      </c>
      <c r="F1444">
        <v>1</v>
      </c>
      <c r="G1444" s="308">
        <f>'BECA MEDIA'!G210</f>
        <v>0</v>
      </c>
      <c r="H1444" s="308">
        <f>'BECA MEDIA'!H210</f>
        <v>0</v>
      </c>
    </row>
    <row r="1445" spans="1:8" x14ac:dyDescent="0.3">
      <c r="A1445" t="s">
        <v>688</v>
      </c>
      <c r="B1445" t="s">
        <v>215</v>
      </c>
      <c r="C1445" t="s">
        <v>232</v>
      </c>
      <c r="D1445" t="s">
        <v>689</v>
      </c>
      <c r="E1445" t="s">
        <v>767</v>
      </c>
      <c r="F1445">
        <v>2</v>
      </c>
      <c r="G1445" s="308">
        <f>'BECA MEDIA'!J210</f>
        <v>0</v>
      </c>
      <c r="H1445" s="308">
        <f>'BECA MEDIA'!K210</f>
        <v>0</v>
      </c>
    </row>
    <row r="1446" spans="1:8" x14ac:dyDescent="0.3">
      <c r="A1446" t="s">
        <v>688</v>
      </c>
      <c r="B1446" t="s">
        <v>215</v>
      </c>
      <c r="C1446" t="s">
        <v>232</v>
      </c>
      <c r="D1446" t="s">
        <v>689</v>
      </c>
      <c r="E1446" t="s">
        <v>768</v>
      </c>
      <c r="F1446">
        <v>3</v>
      </c>
      <c r="G1446" s="308">
        <f>'BECA MEDIA'!M210</f>
        <v>4.8</v>
      </c>
      <c r="H1446" s="308">
        <f>'BECA MEDIA'!N210</f>
        <v>12000</v>
      </c>
    </row>
    <row r="1447" spans="1:8" x14ac:dyDescent="0.3">
      <c r="A1447" t="s">
        <v>688</v>
      </c>
      <c r="B1447" t="s">
        <v>215</v>
      </c>
      <c r="C1447" t="s">
        <v>232</v>
      </c>
      <c r="D1447" t="s">
        <v>689</v>
      </c>
      <c r="E1447" t="s">
        <v>769</v>
      </c>
      <c r="F1447">
        <v>4</v>
      </c>
      <c r="G1447" s="308">
        <f>'BECA MEDIA'!P210</f>
        <v>2.8</v>
      </c>
      <c r="H1447" s="308">
        <f>'BECA MEDIA'!Q210</f>
        <v>7000</v>
      </c>
    </row>
    <row r="1448" spans="1:8" x14ac:dyDescent="0.3">
      <c r="A1448" t="s">
        <v>688</v>
      </c>
      <c r="B1448" t="s">
        <v>215</v>
      </c>
      <c r="C1448" t="s">
        <v>232</v>
      </c>
      <c r="D1448" t="s">
        <v>689</v>
      </c>
      <c r="E1448" t="s">
        <v>770</v>
      </c>
      <c r="F1448">
        <v>5</v>
      </c>
      <c r="G1448" s="308">
        <f>'BECA MEDIA'!S210</f>
        <v>0</v>
      </c>
      <c r="H1448" s="308">
        <f>'BECA MEDIA'!T210</f>
        <v>0</v>
      </c>
    </row>
    <row r="1449" spans="1:8" x14ac:dyDescent="0.3">
      <c r="A1449" t="s">
        <v>688</v>
      </c>
      <c r="B1449" t="s">
        <v>215</v>
      </c>
      <c r="C1449" t="s">
        <v>232</v>
      </c>
      <c r="D1449" t="s">
        <v>689</v>
      </c>
      <c r="E1449" t="s">
        <v>771</v>
      </c>
      <c r="F1449">
        <v>6</v>
      </c>
      <c r="G1449" s="308">
        <f>'BECA MEDIA'!V210</f>
        <v>7.6</v>
      </c>
      <c r="H1449" s="308">
        <f>'BECA MEDIA'!W210</f>
        <v>19000</v>
      </c>
    </row>
    <row r="1450" spans="1:8" x14ac:dyDescent="0.3">
      <c r="A1450" t="s">
        <v>688</v>
      </c>
      <c r="B1450" t="s">
        <v>215</v>
      </c>
      <c r="C1450" t="s">
        <v>232</v>
      </c>
      <c r="D1450" t="s">
        <v>689</v>
      </c>
      <c r="E1450" t="s">
        <v>772</v>
      </c>
      <c r="F1450">
        <v>7</v>
      </c>
      <c r="G1450" s="308">
        <f>'BECA MEDIA'!Y210</f>
        <v>0</v>
      </c>
      <c r="H1450" s="308">
        <f>'BECA MEDIA'!Z210</f>
        <v>0</v>
      </c>
    </row>
    <row r="1451" spans="1:8" x14ac:dyDescent="0.3">
      <c r="A1451" t="s">
        <v>688</v>
      </c>
      <c r="B1451" t="s">
        <v>215</v>
      </c>
      <c r="C1451" t="s">
        <v>233</v>
      </c>
      <c r="D1451" t="s">
        <v>689</v>
      </c>
      <c r="E1451" t="s">
        <v>766</v>
      </c>
      <c r="F1451">
        <v>1</v>
      </c>
      <c r="G1451" s="308">
        <f>'BECA MEDIA'!G211</f>
        <v>0</v>
      </c>
      <c r="H1451" s="308">
        <f>'BECA MEDIA'!H211</f>
        <v>0</v>
      </c>
    </row>
    <row r="1452" spans="1:8" x14ac:dyDescent="0.3">
      <c r="A1452" t="s">
        <v>688</v>
      </c>
      <c r="B1452" t="s">
        <v>215</v>
      </c>
      <c r="C1452" t="s">
        <v>233</v>
      </c>
      <c r="D1452" t="s">
        <v>689</v>
      </c>
      <c r="E1452" t="s">
        <v>767</v>
      </c>
      <c r="F1452">
        <v>2</v>
      </c>
      <c r="G1452" s="308">
        <f>'BECA MEDIA'!J211</f>
        <v>0</v>
      </c>
      <c r="H1452" s="308">
        <f>'BECA MEDIA'!K211</f>
        <v>0</v>
      </c>
    </row>
    <row r="1453" spans="1:8" x14ac:dyDescent="0.3">
      <c r="A1453" t="s">
        <v>688</v>
      </c>
      <c r="B1453" t="s">
        <v>215</v>
      </c>
      <c r="C1453" t="s">
        <v>233</v>
      </c>
      <c r="D1453" t="s">
        <v>689</v>
      </c>
      <c r="E1453" t="s">
        <v>768</v>
      </c>
      <c r="F1453">
        <v>3</v>
      </c>
      <c r="G1453" s="308">
        <f>'BECA MEDIA'!M211</f>
        <v>0.8</v>
      </c>
      <c r="H1453" s="308">
        <f>'BECA MEDIA'!N211</f>
        <v>2000</v>
      </c>
    </row>
    <row r="1454" spans="1:8" x14ac:dyDescent="0.3">
      <c r="A1454" t="s">
        <v>688</v>
      </c>
      <c r="B1454" t="s">
        <v>215</v>
      </c>
      <c r="C1454" t="s">
        <v>233</v>
      </c>
      <c r="D1454" t="s">
        <v>689</v>
      </c>
      <c r="E1454" t="s">
        <v>769</v>
      </c>
      <c r="F1454">
        <v>4</v>
      </c>
      <c r="G1454" s="308">
        <f>'BECA MEDIA'!P211</f>
        <v>0</v>
      </c>
      <c r="H1454" s="308">
        <f>'BECA MEDIA'!Q211</f>
        <v>0</v>
      </c>
    </row>
    <row r="1455" spans="1:8" x14ac:dyDescent="0.3">
      <c r="A1455" t="s">
        <v>688</v>
      </c>
      <c r="B1455" t="s">
        <v>215</v>
      </c>
      <c r="C1455" t="s">
        <v>233</v>
      </c>
      <c r="D1455" t="s">
        <v>689</v>
      </c>
      <c r="E1455" t="s">
        <v>770</v>
      </c>
      <c r="F1455">
        <v>5</v>
      </c>
      <c r="G1455" s="308">
        <f>'BECA MEDIA'!S211</f>
        <v>0</v>
      </c>
      <c r="H1455" s="308">
        <f>'BECA MEDIA'!T211</f>
        <v>0</v>
      </c>
    </row>
    <row r="1456" spans="1:8" x14ac:dyDescent="0.3">
      <c r="A1456" t="s">
        <v>688</v>
      </c>
      <c r="B1456" t="s">
        <v>215</v>
      </c>
      <c r="C1456" t="s">
        <v>233</v>
      </c>
      <c r="D1456" t="s">
        <v>689</v>
      </c>
      <c r="E1456" t="s">
        <v>771</v>
      </c>
      <c r="F1456">
        <v>6</v>
      </c>
      <c r="G1456" s="308">
        <f>'BECA MEDIA'!V211</f>
        <v>0.8</v>
      </c>
      <c r="H1456" s="308">
        <f>'BECA MEDIA'!W211</f>
        <v>2000</v>
      </c>
    </row>
    <row r="1457" spans="1:8" x14ac:dyDescent="0.3">
      <c r="A1457" t="s">
        <v>688</v>
      </c>
      <c r="B1457" t="s">
        <v>215</v>
      </c>
      <c r="C1457" t="s">
        <v>233</v>
      </c>
      <c r="D1457" t="s">
        <v>689</v>
      </c>
      <c r="E1457" t="s">
        <v>772</v>
      </c>
      <c r="F1457">
        <v>7</v>
      </c>
      <c r="G1457" s="308">
        <f>'BECA MEDIA'!Y211</f>
        <v>0</v>
      </c>
      <c r="H1457" s="308">
        <f>'BECA MEDIA'!Z211</f>
        <v>0</v>
      </c>
    </row>
    <row r="1458" spans="1:8" x14ac:dyDescent="0.3">
      <c r="A1458" t="s">
        <v>688</v>
      </c>
      <c r="B1458" t="s">
        <v>215</v>
      </c>
      <c r="C1458" t="s">
        <v>234</v>
      </c>
      <c r="D1458" t="s">
        <v>689</v>
      </c>
      <c r="E1458" t="s">
        <v>766</v>
      </c>
      <c r="F1458">
        <v>1</v>
      </c>
      <c r="G1458" s="308">
        <f>'BECA MEDIA'!G212</f>
        <v>0</v>
      </c>
      <c r="H1458" s="308">
        <f>'BECA MEDIA'!H212</f>
        <v>0</v>
      </c>
    </row>
    <row r="1459" spans="1:8" x14ac:dyDescent="0.3">
      <c r="A1459" t="s">
        <v>688</v>
      </c>
      <c r="B1459" t="s">
        <v>215</v>
      </c>
      <c r="C1459" t="s">
        <v>234</v>
      </c>
      <c r="D1459" t="s">
        <v>689</v>
      </c>
      <c r="E1459" t="s">
        <v>767</v>
      </c>
      <c r="F1459">
        <v>2</v>
      </c>
      <c r="G1459" s="308">
        <f>'BECA MEDIA'!J212</f>
        <v>0</v>
      </c>
      <c r="H1459" s="308">
        <f>'BECA MEDIA'!K212</f>
        <v>0</v>
      </c>
    </row>
    <row r="1460" spans="1:8" x14ac:dyDescent="0.3">
      <c r="A1460" t="s">
        <v>688</v>
      </c>
      <c r="B1460" t="s">
        <v>215</v>
      </c>
      <c r="C1460" t="s">
        <v>234</v>
      </c>
      <c r="D1460" t="s">
        <v>689</v>
      </c>
      <c r="E1460" t="s">
        <v>768</v>
      </c>
      <c r="F1460">
        <v>3</v>
      </c>
      <c r="G1460" s="308">
        <f>'BECA MEDIA'!M212</f>
        <v>8.8000000000000007</v>
      </c>
      <c r="H1460" s="308">
        <f>'BECA MEDIA'!N212</f>
        <v>22000</v>
      </c>
    </row>
    <row r="1461" spans="1:8" x14ac:dyDescent="0.3">
      <c r="A1461" t="s">
        <v>688</v>
      </c>
      <c r="B1461" t="s">
        <v>215</v>
      </c>
      <c r="C1461" t="s">
        <v>234</v>
      </c>
      <c r="D1461" t="s">
        <v>689</v>
      </c>
      <c r="E1461" t="s">
        <v>769</v>
      </c>
      <c r="F1461">
        <v>4</v>
      </c>
      <c r="G1461" s="308">
        <f>'BECA MEDIA'!P212</f>
        <v>2</v>
      </c>
      <c r="H1461" s="308">
        <f>'BECA MEDIA'!Q212</f>
        <v>5000</v>
      </c>
    </row>
    <row r="1462" spans="1:8" x14ac:dyDescent="0.3">
      <c r="A1462" t="s">
        <v>688</v>
      </c>
      <c r="B1462" t="s">
        <v>215</v>
      </c>
      <c r="C1462" t="s">
        <v>234</v>
      </c>
      <c r="D1462" t="s">
        <v>689</v>
      </c>
      <c r="E1462" t="s">
        <v>770</v>
      </c>
      <c r="F1462">
        <v>5</v>
      </c>
      <c r="G1462" s="308">
        <f>'BECA MEDIA'!S212</f>
        <v>0</v>
      </c>
      <c r="H1462" s="308">
        <f>'BECA MEDIA'!T212</f>
        <v>0</v>
      </c>
    </row>
    <row r="1463" spans="1:8" x14ac:dyDescent="0.3">
      <c r="A1463" t="s">
        <v>688</v>
      </c>
      <c r="B1463" t="s">
        <v>215</v>
      </c>
      <c r="C1463" t="s">
        <v>234</v>
      </c>
      <c r="D1463" t="s">
        <v>689</v>
      </c>
      <c r="E1463" t="s">
        <v>771</v>
      </c>
      <c r="F1463">
        <v>6</v>
      </c>
      <c r="G1463" s="308">
        <f>'BECA MEDIA'!V212</f>
        <v>10</v>
      </c>
      <c r="H1463" s="308">
        <f>'BECA MEDIA'!W212</f>
        <v>25000</v>
      </c>
    </row>
    <row r="1464" spans="1:8" x14ac:dyDescent="0.3">
      <c r="A1464" t="s">
        <v>688</v>
      </c>
      <c r="B1464" t="s">
        <v>215</v>
      </c>
      <c r="C1464" t="s">
        <v>234</v>
      </c>
      <c r="D1464" t="s">
        <v>689</v>
      </c>
      <c r="E1464" t="s">
        <v>772</v>
      </c>
      <c r="F1464">
        <v>7</v>
      </c>
      <c r="G1464" s="308">
        <f>'BECA MEDIA'!Y212</f>
        <v>0</v>
      </c>
      <c r="H1464" s="308">
        <f>'BECA MEDIA'!Z212</f>
        <v>0</v>
      </c>
    </row>
    <row r="1465" spans="1:8" x14ac:dyDescent="0.3">
      <c r="A1465" t="s">
        <v>688</v>
      </c>
      <c r="B1465" t="s">
        <v>215</v>
      </c>
      <c r="C1465" t="s">
        <v>235</v>
      </c>
      <c r="D1465" t="s">
        <v>689</v>
      </c>
      <c r="E1465" t="s">
        <v>766</v>
      </c>
      <c r="F1465">
        <v>1</v>
      </c>
      <c r="G1465" s="308">
        <f>'BECA MEDIA'!G213</f>
        <v>0</v>
      </c>
      <c r="H1465" s="308">
        <f>'BECA MEDIA'!H213</f>
        <v>0</v>
      </c>
    </row>
    <row r="1466" spans="1:8" x14ac:dyDescent="0.3">
      <c r="A1466" t="s">
        <v>688</v>
      </c>
      <c r="B1466" t="s">
        <v>215</v>
      </c>
      <c r="C1466" t="s">
        <v>235</v>
      </c>
      <c r="D1466" t="s">
        <v>689</v>
      </c>
      <c r="E1466" t="s">
        <v>767</v>
      </c>
      <c r="F1466">
        <v>2</v>
      </c>
      <c r="G1466" s="308">
        <f>'BECA MEDIA'!J213</f>
        <v>0</v>
      </c>
      <c r="H1466" s="308">
        <f>'BECA MEDIA'!K213</f>
        <v>0</v>
      </c>
    </row>
    <row r="1467" spans="1:8" x14ac:dyDescent="0.3">
      <c r="A1467" t="s">
        <v>688</v>
      </c>
      <c r="B1467" t="s">
        <v>215</v>
      </c>
      <c r="C1467" t="s">
        <v>235</v>
      </c>
      <c r="D1467" t="s">
        <v>689</v>
      </c>
      <c r="E1467" t="s">
        <v>768</v>
      </c>
      <c r="F1467">
        <v>3</v>
      </c>
      <c r="G1467" s="308">
        <f>'BECA MEDIA'!M213</f>
        <v>2</v>
      </c>
      <c r="H1467" s="308">
        <f>'BECA MEDIA'!N213</f>
        <v>5000</v>
      </c>
    </row>
    <row r="1468" spans="1:8" x14ac:dyDescent="0.3">
      <c r="A1468" t="s">
        <v>688</v>
      </c>
      <c r="B1468" t="s">
        <v>215</v>
      </c>
      <c r="C1468" t="s">
        <v>235</v>
      </c>
      <c r="D1468" t="s">
        <v>689</v>
      </c>
      <c r="E1468" t="s">
        <v>769</v>
      </c>
      <c r="F1468">
        <v>4</v>
      </c>
      <c r="G1468" s="308">
        <f>'BECA MEDIA'!P213</f>
        <v>0</v>
      </c>
      <c r="H1468" s="308">
        <f>'BECA MEDIA'!Q213</f>
        <v>0</v>
      </c>
    </row>
    <row r="1469" spans="1:8" x14ac:dyDescent="0.3">
      <c r="A1469" t="s">
        <v>688</v>
      </c>
      <c r="B1469" t="s">
        <v>215</v>
      </c>
      <c r="C1469" t="s">
        <v>235</v>
      </c>
      <c r="D1469" t="s">
        <v>689</v>
      </c>
      <c r="E1469" t="s">
        <v>770</v>
      </c>
      <c r="F1469">
        <v>5</v>
      </c>
      <c r="G1469" s="308">
        <f>'BECA MEDIA'!S213</f>
        <v>0</v>
      </c>
      <c r="H1469" s="308">
        <f>'BECA MEDIA'!T213</f>
        <v>0</v>
      </c>
    </row>
    <row r="1470" spans="1:8" x14ac:dyDescent="0.3">
      <c r="A1470" t="s">
        <v>688</v>
      </c>
      <c r="B1470" t="s">
        <v>215</v>
      </c>
      <c r="C1470" t="s">
        <v>235</v>
      </c>
      <c r="D1470" t="s">
        <v>689</v>
      </c>
      <c r="E1470" t="s">
        <v>771</v>
      </c>
      <c r="F1470">
        <v>6</v>
      </c>
      <c r="G1470" s="308">
        <f>'BECA MEDIA'!V213</f>
        <v>2.4</v>
      </c>
      <c r="H1470" s="308">
        <f>'BECA MEDIA'!W213</f>
        <v>6000</v>
      </c>
    </row>
    <row r="1471" spans="1:8" x14ac:dyDescent="0.3">
      <c r="A1471" t="s">
        <v>688</v>
      </c>
      <c r="B1471" t="s">
        <v>215</v>
      </c>
      <c r="C1471" t="s">
        <v>235</v>
      </c>
      <c r="D1471" t="s">
        <v>689</v>
      </c>
      <c r="E1471" t="s">
        <v>772</v>
      </c>
      <c r="F1471">
        <v>7</v>
      </c>
      <c r="G1471" s="308">
        <f>'BECA MEDIA'!Y213</f>
        <v>0</v>
      </c>
      <c r="H1471" s="308">
        <f>'BECA MEDIA'!Z213</f>
        <v>0</v>
      </c>
    </row>
    <row r="1472" spans="1:8" x14ac:dyDescent="0.3">
      <c r="A1472" t="s">
        <v>688</v>
      </c>
      <c r="B1472" t="s">
        <v>215</v>
      </c>
      <c r="C1472" t="s">
        <v>236</v>
      </c>
      <c r="D1472" t="s">
        <v>689</v>
      </c>
      <c r="E1472" t="s">
        <v>766</v>
      </c>
      <c r="F1472">
        <v>1</v>
      </c>
      <c r="G1472" s="308">
        <f>'BECA MEDIA'!G214</f>
        <v>0</v>
      </c>
      <c r="H1472" s="308">
        <f>'BECA MEDIA'!H214</f>
        <v>0</v>
      </c>
    </row>
    <row r="1473" spans="1:8" x14ac:dyDescent="0.3">
      <c r="A1473" t="s">
        <v>688</v>
      </c>
      <c r="B1473" t="s">
        <v>215</v>
      </c>
      <c r="C1473" t="s">
        <v>236</v>
      </c>
      <c r="D1473" t="s">
        <v>689</v>
      </c>
      <c r="E1473" t="s">
        <v>767</v>
      </c>
      <c r="F1473">
        <v>2</v>
      </c>
      <c r="G1473" s="308">
        <f>'BECA MEDIA'!J214</f>
        <v>0</v>
      </c>
      <c r="H1473" s="308">
        <f>'BECA MEDIA'!K214</f>
        <v>0</v>
      </c>
    </row>
    <row r="1474" spans="1:8" x14ac:dyDescent="0.3">
      <c r="A1474" t="s">
        <v>688</v>
      </c>
      <c r="B1474" t="s">
        <v>215</v>
      </c>
      <c r="C1474" t="s">
        <v>236</v>
      </c>
      <c r="D1474" t="s">
        <v>689</v>
      </c>
      <c r="E1474" t="s">
        <v>768</v>
      </c>
      <c r="F1474">
        <v>3</v>
      </c>
      <c r="G1474" s="308">
        <f>'BECA MEDIA'!M214</f>
        <v>4</v>
      </c>
      <c r="H1474" s="308">
        <f>'BECA MEDIA'!N214</f>
        <v>10000</v>
      </c>
    </row>
    <row r="1475" spans="1:8" x14ac:dyDescent="0.3">
      <c r="A1475" t="s">
        <v>688</v>
      </c>
      <c r="B1475" t="s">
        <v>215</v>
      </c>
      <c r="C1475" t="s">
        <v>236</v>
      </c>
      <c r="D1475" t="s">
        <v>689</v>
      </c>
      <c r="E1475" t="s">
        <v>769</v>
      </c>
      <c r="F1475">
        <v>4</v>
      </c>
      <c r="G1475" s="308">
        <f>'BECA MEDIA'!P214</f>
        <v>0.4</v>
      </c>
      <c r="H1475" s="308">
        <f>'BECA MEDIA'!Q214</f>
        <v>1000</v>
      </c>
    </row>
    <row r="1476" spans="1:8" x14ac:dyDescent="0.3">
      <c r="A1476" t="s">
        <v>688</v>
      </c>
      <c r="B1476" t="s">
        <v>215</v>
      </c>
      <c r="C1476" t="s">
        <v>236</v>
      </c>
      <c r="D1476" t="s">
        <v>689</v>
      </c>
      <c r="E1476" t="s">
        <v>770</v>
      </c>
      <c r="F1476">
        <v>5</v>
      </c>
      <c r="G1476" s="308">
        <f>'BECA MEDIA'!S214</f>
        <v>0</v>
      </c>
      <c r="H1476" s="308">
        <f>'BECA MEDIA'!T214</f>
        <v>0</v>
      </c>
    </row>
    <row r="1477" spans="1:8" x14ac:dyDescent="0.3">
      <c r="A1477" t="s">
        <v>688</v>
      </c>
      <c r="B1477" t="s">
        <v>215</v>
      </c>
      <c r="C1477" t="s">
        <v>236</v>
      </c>
      <c r="D1477" t="s">
        <v>689</v>
      </c>
      <c r="E1477" t="s">
        <v>771</v>
      </c>
      <c r="F1477">
        <v>6</v>
      </c>
      <c r="G1477" s="308">
        <f>'BECA MEDIA'!V214</f>
        <v>5.6</v>
      </c>
      <c r="H1477" s="308">
        <f>'BECA MEDIA'!W214</f>
        <v>14000</v>
      </c>
    </row>
    <row r="1478" spans="1:8" x14ac:dyDescent="0.3">
      <c r="A1478" t="s">
        <v>688</v>
      </c>
      <c r="B1478" t="s">
        <v>215</v>
      </c>
      <c r="C1478" t="s">
        <v>236</v>
      </c>
      <c r="D1478" t="s">
        <v>689</v>
      </c>
      <c r="E1478" t="s">
        <v>772</v>
      </c>
      <c r="F1478">
        <v>7</v>
      </c>
      <c r="G1478" s="308">
        <f>'BECA MEDIA'!Y214</f>
        <v>0</v>
      </c>
      <c r="H1478" s="308">
        <f>'BECA MEDIA'!Z214</f>
        <v>0</v>
      </c>
    </row>
    <row r="1479" spans="1:8" x14ac:dyDescent="0.3">
      <c r="A1479" t="s">
        <v>688</v>
      </c>
      <c r="B1479" t="s">
        <v>237</v>
      </c>
      <c r="C1479" t="s">
        <v>238</v>
      </c>
      <c r="D1479" t="s">
        <v>689</v>
      </c>
      <c r="E1479" t="s">
        <v>766</v>
      </c>
      <c r="F1479">
        <v>1</v>
      </c>
      <c r="G1479" s="308">
        <f>'BECA MEDIA'!G215</f>
        <v>0</v>
      </c>
      <c r="H1479" s="308">
        <f>'BECA MEDIA'!H215</f>
        <v>0</v>
      </c>
    </row>
    <row r="1480" spans="1:8" x14ac:dyDescent="0.3">
      <c r="A1480" t="s">
        <v>688</v>
      </c>
      <c r="B1480" t="s">
        <v>237</v>
      </c>
      <c r="C1480" t="s">
        <v>238</v>
      </c>
      <c r="D1480" t="s">
        <v>689</v>
      </c>
      <c r="E1480" t="s">
        <v>767</v>
      </c>
      <c r="F1480">
        <v>2</v>
      </c>
      <c r="G1480" s="308">
        <f>'BECA MEDIA'!J215</f>
        <v>0</v>
      </c>
      <c r="H1480" s="308">
        <f>'BECA MEDIA'!K215</f>
        <v>0</v>
      </c>
    </row>
    <row r="1481" spans="1:8" x14ac:dyDescent="0.3">
      <c r="A1481" t="s">
        <v>688</v>
      </c>
      <c r="B1481" t="s">
        <v>237</v>
      </c>
      <c r="C1481" t="s">
        <v>238</v>
      </c>
      <c r="D1481" t="s">
        <v>689</v>
      </c>
      <c r="E1481" t="s">
        <v>768</v>
      </c>
      <c r="F1481">
        <v>3</v>
      </c>
      <c r="G1481" s="308">
        <f>'BECA MEDIA'!M215</f>
        <v>7.2</v>
      </c>
      <c r="H1481" s="308">
        <f>'BECA MEDIA'!N215</f>
        <v>18000</v>
      </c>
    </row>
    <row r="1482" spans="1:8" x14ac:dyDescent="0.3">
      <c r="A1482" t="s">
        <v>688</v>
      </c>
      <c r="B1482" t="s">
        <v>237</v>
      </c>
      <c r="C1482" t="s">
        <v>238</v>
      </c>
      <c r="D1482" t="s">
        <v>689</v>
      </c>
      <c r="E1482" t="s">
        <v>769</v>
      </c>
      <c r="F1482">
        <v>4</v>
      </c>
      <c r="G1482" s="308">
        <f>'BECA MEDIA'!P215</f>
        <v>1.2</v>
      </c>
      <c r="H1482" s="308">
        <f>'BECA MEDIA'!Q215</f>
        <v>3000</v>
      </c>
    </row>
    <row r="1483" spans="1:8" x14ac:dyDescent="0.3">
      <c r="A1483" t="s">
        <v>688</v>
      </c>
      <c r="B1483" t="s">
        <v>237</v>
      </c>
      <c r="C1483" t="s">
        <v>238</v>
      </c>
      <c r="D1483" t="s">
        <v>689</v>
      </c>
      <c r="E1483" t="s">
        <v>770</v>
      </c>
      <c r="F1483">
        <v>5</v>
      </c>
      <c r="G1483" s="308">
        <f>'BECA MEDIA'!S215</f>
        <v>0</v>
      </c>
      <c r="H1483" s="308">
        <f>'BECA MEDIA'!T215</f>
        <v>0</v>
      </c>
    </row>
    <row r="1484" spans="1:8" x14ac:dyDescent="0.3">
      <c r="A1484" t="s">
        <v>688</v>
      </c>
      <c r="B1484" t="s">
        <v>237</v>
      </c>
      <c r="C1484" t="s">
        <v>238</v>
      </c>
      <c r="D1484" t="s">
        <v>689</v>
      </c>
      <c r="E1484" t="s">
        <v>771</v>
      </c>
      <c r="F1484">
        <v>6</v>
      </c>
      <c r="G1484" s="308">
        <f>'BECA MEDIA'!V215</f>
        <v>8.4</v>
      </c>
      <c r="H1484" s="308">
        <f>'BECA MEDIA'!W215</f>
        <v>21000</v>
      </c>
    </row>
    <row r="1485" spans="1:8" x14ac:dyDescent="0.3">
      <c r="A1485" t="s">
        <v>688</v>
      </c>
      <c r="B1485" t="s">
        <v>237</v>
      </c>
      <c r="C1485" t="s">
        <v>238</v>
      </c>
      <c r="D1485" t="s">
        <v>689</v>
      </c>
      <c r="E1485" t="s">
        <v>772</v>
      </c>
      <c r="F1485">
        <v>7</v>
      </c>
      <c r="G1485" s="308">
        <f>'BECA MEDIA'!Y215</f>
        <v>0</v>
      </c>
      <c r="H1485" s="308">
        <f>'BECA MEDIA'!Z215</f>
        <v>0</v>
      </c>
    </row>
    <row r="1486" spans="1:8" x14ac:dyDescent="0.3">
      <c r="A1486" t="s">
        <v>688</v>
      </c>
      <c r="B1486" t="s">
        <v>237</v>
      </c>
      <c r="C1486" t="s">
        <v>239</v>
      </c>
      <c r="D1486" t="s">
        <v>689</v>
      </c>
      <c r="E1486" t="s">
        <v>766</v>
      </c>
      <c r="F1486">
        <v>1</v>
      </c>
      <c r="G1486" s="308">
        <f>'BECA MEDIA'!G216</f>
        <v>0</v>
      </c>
      <c r="H1486" s="308">
        <f>'BECA MEDIA'!H216</f>
        <v>0</v>
      </c>
    </row>
    <row r="1487" spans="1:8" x14ac:dyDescent="0.3">
      <c r="A1487" t="s">
        <v>688</v>
      </c>
      <c r="B1487" t="s">
        <v>237</v>
      </c>
      <c r="C1487" t="s">
        <v>239</v>
      </c>
      <c r="D1487" t="s">
        <v>689</v>
      </c>
      <c r="E1487" t="s">
        <v>767</v>
      </c>
      <c r="F1487">
        <v>2</v>
      </c>
      <c r="G1487" s="308">
        <f>'BECA MEDIA'!J216</f>
        <v>0</v>
      </c>
      <c r="H1487" s="308">
        <f>'BECA MEDIA'!K216</f>
        <v>0</v>
      </c>
    </row>
    <row r="1488" spans="1:8" x14ac:dyDescent="0.3">
      <c r="A1488" t="s">
        <v>688</v>
      </c>
      <c r="B1488" t="s">
        <v>237</v>
      </c>
      <c r="C1488" t="s">
        <v>239</v>
      </c>
      <c r="D1488" t="s">
        <v>689</v>
      </c>
      <c r="E1488" t="s">
        <v>768</v>
      </c>
      <c r="F1488">
        <v>3</v>
      </c>
      <c r="G1488" s="308">
        <f>'BECA MEDIA'!M216</f>
        <v>4.8</v>
      </c>
      <c r="H1488" s="308">
        <f>'BECA MEDIA'!N216</f>
        <v>12000</v>
      </c>
    </row>
    <row r="1489" spans="1:8" x14ac:dyDescent="0.3">
      <c r="A1489" t="s">
        <v>688</v>
      </c>
      <c r="B1489" t="s">
        <v>237</v>
      </c>
      <c r="C1489" t="s">
        <v>239</v>
      </c>
      <c r="D1489" t="s">
        <v>689</v>
      </c>
      <c r="E1489" t="s">
        <v>769</v>
      </c>
      <c r="F1489">
        <v>4</v>
      </c>
      <c r="G1489" s="308">
        <f>'BECA MEDIA'!P216</f>
        <v>1.2</v>
      </c>
      <c r="H1489" s="308">
        <f>'BECA MEDIA'!Q216</f>
        <v>3000</v>
      </c>
    </row>
    <row r="1490" spans="1:8" x14ac:dyDescent="0.3">
      <c r="A1490" t="s">
        <v>688</v>
      </c>
      <c r="B1490" t="s">
        <v>237</v>
      </c>
      <c r="C1490" t="s">
        <v>239</v>
      </c>
      <c r="D1490" t="s">
        <v>689</v>
      </c>
      <c r="E1490" t="s">
        <v>770</v>
      </c>
      <c r="F1490">
        <v>5</v>
      </c>
      <c r="G1490" s="308">
        <f>'BECA MEDIA'!S216</f>
        <v>0</v>
      </c>
      <c r="H1490" s="308">
        <f>'BECA MEDIA'!T216</f>
        <v>0</v>
      </c>
    </row>
    <row r="1491" spans="1:8" x14ac:dyDescent="0.3">
      <c r="A1491" t="s">
        <v>688</v>
      </c>
      <c r="B1491" t="s">
        <v>237</v>
      </c>
      <c r="C1491" t="s">
        <v>239</v>
      </c>
      <c r="D1491" t="s">
        <v>689</v>
      </c>
      <c r="E1491" t="s">
        <v>771</v>
      </c>
      <c r="F1491">
        <v>6</v>
      </c>
      <c r="G1491" s="308">
        <f>'BECA MEDIA'!V216</f>
        <v>6.4</v>
      </c>
      <c r="H1491" s="308">
        <f>'BECA MEDIA'!W216</f>
        <v>16000</v>
      </c>
    </row>
    <row r="1492" spans="1:8" x14ac:dyDescent="0.3">
      <c r="A1492" t="s">
        <v>688</v>
      </c>
      <c r="B1492" t="s">
        <v>237</v>
      </c>
      <c r="C1492" t="s">
        <v>239</v>
      </c>
      <c r="D1492" t="s">
        <v>689</v>
      </c>
      <c r="E1492" t="s">
        <v>772</v>
      </c>
      <c r="F1492">
        <v>7</v>
      </c>
      <c r="G1492" s="308">
        <f>'BECA MEDIA'!Y216</f>
        <v>0</v>
      </c>
      <c r="H1492" s="308">
        <f>'BECA MEDIA'!Z216</f>
        <v>0</v>
      </c>
    </row>
    <row r="1493" spans="1:8" x14ac:dyDescent="0.3">
      <c r="A1493" t="s">
        <v>688</v>
      </c>
      <c r="B1493" t="s">
        <v>237</v>
      </c>
      <c r="C1493" t="s">
        <v>240</v>
      </c>
      <c r="D1493" t="s">
        <v>689</v>
      </c>
      <c r="E1493" t="s">
        <v>766</v>
      </c>
      <c r="F1493">
        <v>1</v>
      </c>
      <c r="G1493" s="308">
        <f>'BECA MEDIA'!G217</f>
        <v>0</v>
      </c>
      <c r="H1493" s="308">
        <f>'BECA MEDIA'!H217</f>
        <v>0</v>
      </c>
    </row>
    <row r="1494" spans="1:8" x14ac:dyDescent="0.3">
      <c r="A1494" t="s">
        <v>688</v>
      </c>
      <c r="B1494" t="s">
        <v>237</v>
      </c>
      <c r="C1494" t="s">
        <v>240</v>
      </c>
      <c r="D1494" t="s">
        <v>689</v>
      </c>
      <c r="E1494" t="s">
        <v>767</v>
      </c>
      <c r="F1494">
        <v>2</v>
      </c>
      <c r="G1494" s="308">
        <f>'BECA MEDIA'!J217</f>
        <v>0</v>
      </c>
      <c r="H1494" s="308">
        <f>'BECA MEDIA'!K217</f>
        <v>0</v>
      </c>
    </row>
    <row r="1495" spans="1:8" x14ac:dyDescent="0.3">
      <c r="A1495" t="s">
        <v>688</v>
      </c>
      <c r="B1495" t="s">
        <v>237</v>
      </c>
      <c r="C1495" t="s">
        <v>240</v>
      </c>
      <c r="D1495" t="s">
        <v>689</v>
      </c>
      <c r="E1495" t="s">
        <v>768</v>
      </c>
      <c r="F1495">
        <v>3</v>
      </c>
      <c r="G1495" s="308">
        <f>'BECA MEDIA'!M217</f>
        <v>7.2</v>
      </c>
      <c r="H1495" s="308">
        <f>'BECA MEDIA'!N217</f>
        <v>18000</v>
      </c>
    </row>
    <row r="1496" spans="1:8" x14ac:dyDescent="0.3">
      <c r="A1496" t="s">
        <v>688</v>
      </c>
      <c r="B1496" t="s">
        <v>237</v>
      </c>
      <c r="C1496" t="s">
        <v>240</v>
      </c>
      <c r="D1496" t="s">
        <v>689</v>
      </c>
      <c r="E1496" t="s">
        <v>769</v>
      </c>
      <c r="F1496">
        <v>4</v>
      </c>
      <c r="G1496" s="308">
        <f>'BECA MEDIA'!P217</f>
        <v>3.2</v>
      </c>
      <c r="H1496" s="308">
        <f>'BECA MEDIA'!Q217</f>
        <v>8000</v>
      </c>
    </row>
    <row r="1497" spans="1:8" x14ac:dyDescent="0.3">
      <c r="A1497" t="s">
        <v>688</v>
      </c>
      <c r="B1497" t="s">
        <v>237</v>
      </c>
      <c r="C1497" t="s">
        <v>240</v>
      </c>
      <c r="D1497" t="s">
        <v>689</v>
      </c>
      <c r="E1497" t="s">
        <v>770</v>
      </c>
      <c r="F1497">
        <v>5</v>
      </c>
      <c r="G1497" s="308">
        <f>'BECA MEDIA'!S217</f>
        <v>0</v>
      </c>
      <c r="H1497" s="308">
        <f>'BECA MEDIA'!T217</f>
        <v>0</v>
      </c>
    </row>
    <row r="1498" spans="1:8" x14ac:dyDescent="0.3">
      <c r="A1498" t="s">
        <v>688</v>
      </c>
      <c r="B1498" t="s">
        <v>237</v>
      </c>
      <c r="C1498" t="s">
        <v>240</v>
      </c>
      <c r="D1498" t="s">
        <v>689</v>
      </c>
      <c r="E1498" t="s">
        <v>771</v>
      </c>
      <c r="F1498">
        <v>6</v>
      </c>
      <c r="G1498" s="308">
        <f>'BECA MEDIA'!V217</f>
        <v>10.4</v>
      </c>
      <c r="H1498" s="308">
        <f>'BECA MEDIA'!W217</f>
        <v>26000</v>
      </c>
    </row>
    <row r="1499" spans="1:8" x14ac:dyDescent="0.3">
      <c r="A1499" t="s">
        <v>688</v>
      </c>
      <c r="B1499" t="s">
        <v>237</v>
      </c>
      <c r="C1499" t="s">
        <v>240</v>
      </c>
      <c r="D1499" t="s">
        <v>689</v>
      </c>
      <c r="E1499" t="s">
        <v>772</v>
      </c>
      <c r="F1499">
        <v>7</v>
      </c>
      <c r="G1499" s="308">
        <f>'BECA MEDIA'!Y217</f>
        <v>0</v>
      </c>
      <c r="H1499" s="308">
        <f>'BECA MEDIA'!Z217</f>
        <v>0</v>
      </c>
    </row>
    <row r="1500" spans="1:8" x14ac:dyDescent="0.3">
      <c r="A1500" t="s">
        <v>688</v>
      </c>
      <c r="B1500" t="s">
        <v>237</v>
      </c>
      <c r="C1500" t="s">
        <v>237</v>
      </c>
      <c r="D1500" t="s">
        <v>689</v>
      </c>
      <c r="E1500" t="s">
        <v>766</v>
      </c>
      <c r="F1500">
        <v>1</v>
      </c>
      <c r="G1500" s="308">
        <f>'BECA MEDIA'!G218</f>
        <v>0</v>
      </c>
      <c r="H1500" s="308">
        <f>'BECA MEDIA'!H218</f>
        <v>0</v>
      </c>
    </row>
    <row r="1501" spans="1:8" x14ac:dyDescent="0.3">
      <c r="A1501" t="s">
        <v>688</v>
      </c>
      <c r="B1501" t="s">
        <v>237</v>
      </c>
      <c r="C1501" t="s">
        <v>237</v>
      </c>
      <c r="D1501" t="s">
        <v>689</v>
      </c>
      <c r="E1501" t="s">
        <v>767</v>
      </c>
      <c r="F1501">
        <v>2</v>
      </c>
      <c r="G1501" s="308">
        <f>'BECA MEDIA'!J218</f>
        <v>0</v>
      </c>
      <c r="H1501" s="308">
        <f>'BECA MEDIA'!K218</f>
        <v>0</v>
      </c>
    </row>
    <row r="1502" spans="1:8" x14ac:dyDescent="0.3">
      <c r="A1502" t="s">
        <v>688</v>
      </c>
      <c r="B1502" t="s">
        <v>237</v>
      </c>
      <c r="C1502" t="s">
        <v>237</v>
      </c>
      <c r="D1502" t="s">
        <v>689</v>
      </c>
      <c r="E1502" t="s">
        <v>768</v>
      </c>
      <c r="F1502">
        <v>3</v>
      </c>
      <c r="G1502" s="308">
        <f>'BECA MEDIA'!M218</f>
        <v>1.6</v>
      </c>
      <c r="H1502" s="308">
        <f>'BECA MEDIA'!N218</f>
        <v>4000</v>
      </c>
    </row>
    <row r="1503" spans="1:8" x14ac:dyDescent="0.3">
      <c r="A1503" t="s">
        <v>688</v>
      </c>
      <c r="B1503" t="s">
        <v>237</v>
      </c>
      <c r="C1503" t="s">
        <v>237</v>
      </c>
      <c r="D1503" t="s">
        <v>689</v>
      </c>
      <c r="E1503" t="s">
        <v>769</v>
      </c>
      <c r="F1503">
        <v>4</v>
      </c>
      <c r="G1503" s="308">
        <f>'BECA MEDIA'!P218</f>
        <v>0.8</v>
      </c>
      <c r="H1503" s="308">
        <f>'BECA MEDIA'!Q218</f>
        <v>2000</v>
      </c>
    </row>
    <row r="1504" spans="1:8" x14ac:dyDescent="0.3">
      <c r="A1504" t="s">
        <v>688</v>
      </c>
      <c r="B1504" t="s">
        <v>237</v>
      </c>
      <c r="C1504" t="s">
        <v>237</v>
      </c>
      <c r="D1504" t="s">
        <v>689</v>
      </c>
      <c r="E1504" t="s">
        <v>770</v>
      </c>
      <c r="F1504">
        <v>5</v>
      </c>
      <c r="G1504" s="308">
        <f>'BECA MEDIA'!S218</f>
        <v>0</v>
      </c>
      <c r="H1504" s="308">
        <f>'BECA MEDIA'!T218</f>
        <v>0</v>
      </c>
    </row>
    <row r="1505" spans="1:8" x14ac:dyDescent="0.3">
      <c r="A1505" t="s">
        <v>688</v>
      </c>
      <c r="B1505" t="s">
        <v>237</v>
      </c>
      <c r="C1505" t="s">
        <v>237</v>
      </c>
      <c r="D1505" t="s">
        <v>689</v>
      </c>
      <c r="E1505" t="s">
        <v>771</v>
      </c>
      <c r="F1505">
        <v>6</v>
      </c>
      <c r="G1505" s="308">
        <f>'BECA MEDIA'!V218</f>
        <v>3.6</v>
      </c>
      <c r="H1505" s="308">
        <f>'BECA MEDIA'!W218</f>
        <v>9000</v>
      </c>
    </row>
    <row r="1506" spans="1:8" x14ac:dyDescent="0.3">
      <c r="A1506" t="s">
        <v>688</v>
      </c>
      <c r="B1506" t="s">
        <v>237</v>
      </c>
      <c r="C1506" t="s">
        <v>237</v>
      </c>
      <c r="D1506" t="s">
        <v>689</v>
      </c>
      <c r="E1506" t="s">
        <v>772</v>
      </c>
      <c r="F1506">
        <v>7</v>
      </c>
      <c r="G1506" s="308">
        <f>'BECA MEDIA'!Y218</f>
        <v>0</v>
      </c>
      <c r="H1506" s="308">
        <f>'BECA MEDIA'!Z218</f>
        <v>0</v>
      </c>
    </row>
    <row r="1507" spans="1:8" x14ac:dyDescent="0.3">
      <c r="A1507" t="s">
        <v>688</v>
      </c>
      <c r="B1507" t="s">
        <v>237</v>
      </c>
      <c r="C1507" t="s">
        <v>241</v>
      </c>
      <c r="D1507" t="s">
        <v>689</v>
      </c>
      <c r="E1507" t="s">
        <v>766</v>
      </c>
      <c r="F1507">
        <v>1</v>
      </c>
      <c r="G1507" s="308">
        <f>'BECA MEDIA'!G219</f>
        <v>0</v>
      </c>
      <c r="H1507" s="308">
        <f>'BECA MEDIA'!H219</f>
        <v>0</v>
      </c>
    </row>
    <row r="1508" spans="1:8" x14ac:dyDescent="0.3">
      <c r="A1508" t="s">
        <v>688</v>
      </c>
      <c r="B1508" t="s">
        <v>237</v>
      </c>
      <c r="C1508" t="s">
        <v>241</v>
      </c>
      <c r="D1508" t="s">
        <v>689</v>
      </c>
      <c r="E1508" t="s">
        <v>767</v>
      </c>
      <c r="F1508">
        <v>2</v>
      </c>
      <c r="G1508" s="308">
        <f>'BECA MEDIA'!J219</f>
        <v>0</v>
      </c>
      <c r="H1508" s="308">
        <f>'BECA MEDIA'!K219</f>
        <v>0</v>
      </c>
    </row>
    <row r="1509" spans="1:8" x14ac:dyDescent="0.3">
      <c r="A1509" t="s">
        <v>688</v>
      </c>
      <c r="B1509" t="s">
        <v>237</v>
      </c>
      <c r="C1509" t="s">
        <v>241</v>
      </c>
      <c r="D1509" t="s">
        <v>689</v>
      </c>
      <c r="E1509" t="s">
        <v>768</v>
      </c>
      <c r="F1509">
        <v>3</v>
      </c>
      <c r="G1509" s="308">
        <f>'BECA MEDIA'!M219</f>
        <v>6.4</v>
      </c>
      <c r="H1509" s="308">
        <f>'BECA MEDIA'!N219</f>
        <v>16000</v>
      </c>
    </row>
    <row r="1510" spans="1:8" x14ac:dyDescent="0.3">
      <c r="A1510" t="s">
        <v>688</v>
      </c>
      <c r="B1510" t="s">
        <v>237</v>
      </c>
      <c r="C1510" t="s">
        <v>241</v>
      </c>
      <c r="D1510" t="s">
        <v>689</v>
      </c>
      <c r="E1510" t="s">
        <v>769</v>
      </c>
      <c r="F1510">
        <v>4</v>
      </c>
      <c r="G1510" s="308">
        <f>'BECA MEDIA'!P219</f>
        <v>0.8</v>
      </c>
      <c r="H1510" s="308">
        <f>'BECA MEDIA'!Q219</f>
        <v>2000</v>
      </c>
    </row>
    <row r="1511" spans="1:8" x14ac:dyDescent="0.3">
      <c r="A1511" t="s">
        <v>688</v>
      </c>
      <c r="B1511" t="s">
        <v>237</v>
      </c>
      <c r="C1511" t="s">
        <v>241</v>
      </c>
      <c r="D1511" t="s">
        <v>689</v>
      </c>
      <c r="E1511" t="s">
        <v>770</v>
      </c>
      <c r="F1511">
        <v>5</v>
      </c>
      <c r="G1511" s="308">
        <f>'BECA MEDIA'!S219</f>
        <v>0</v>
      </c>
      <c r="H1511" s="308">
        <f>'BECA MEDIA'!T219</f>
        <v>0</v>
      </c>
    </row>
    <row r="1512" spans="1:8" x14ac:dyDescent="0.3">
      <c r="A1512" t="s">
        <v>688</v>
      </c>
      <c r="B1512" t="s">
        <v>237</v>
      </c>
      <c r="C1512" t="s">
        <v>241</v>
      </c>
      <c r="D1512" t="s">
        <v>689</v>
      </c>
      <c r="E1512" t="s">
        <v>771</v>
      </c>
      <c r="F1512">
        <v>6</v>
      </c>
      <c r="G1512" s="308">
        <f>'BECA MEDIA'!V219</f>
        <v>7.6</v>
      </c>
      <c r="H1512" s="308">
        <f>'BECA MEDIA'!W219</f>
        <v>19000</v>
      </c>
    </row>
    <row r="1513" spans="1:8" x14ac:dyDescent="0.3">
      <c r="A1513" t="s">
        <v>688</v>
      </c>
      <c r="B1513" t="s">
        <v>237</v>
      </c>
      <c r="C1513" t="s">
        <v>241</v>
      </c>
      <c r="D1513" t="s">
        <v>689</v>
      </c>
      <c r="E1513" t="s">
        <v>772</v>
      </c>
      <c r="F1513">
        <v>7</v>
      </c>
      <c r="G1513" s="308">
        <f>'BECA MEDIA'!Y219</f>
        <v>0</v>
      </c>
      <c r="H1513" s="308">
        <f>'BECA MEDIA'!Z219</f>
        <v>0</v>
      </c>
    </row>
    <row r="1514" spans="1:8" x14ac:dyDescent="0.3">
      <c r="A1514" t="s">
        <v>688</v>
      </c>
      <c r="B1514" t="s">
        <v>237</v>
      </c>
      <c r="C1514" t="s">
        <v>242</v>
      </c>
      <c r="D1514" t="s">
        <v>689</v>
      </c>
      <c r="E1514" t="s">
        <v>766</v>
      </c>
      <c r="F1514">
        <v>1</v>
      </c>
      <c r="G1514" s="308">
        <f>'BECA MEDIA'!G220</f>
        <v>0</v>
      </c>
      <c r="H1514" s="308">
        <f>'BECA MEDIA'!H220</f>
        <v>0</v>
      </c>
    </row>
    <row r="1515" spans="1:8" x14ac:dyDescent="0.3">
      <c r="A1515" t="s">
        <v>688</v>
      </c>
      <c r="B1515" t="s">
        <v>237</v>
      </c>
      <c r="C1515" t="s">
        <v>242</v>
      </c>
      <c r="D1515" t="s">
        <v>689</v>
      </c>
      <c r="E1515" t="s">
        <v>767</v>
      </c>
      <c r="F1515">
        <v>2</v>
      </c>
      <c r="G1515" s="308">
        <f>'BECA MEDIA'!J220</f>
        <v>0</v>
      </c>
      <c r="H1515" s="308">
        <f>'BECA MEDIA'!K220</f>
        <v>0</v>
      </c>
    </row>
    <row r="1516" spans="1:8" x14ac:dyDescent="0.3">
      <c r="A1516" t="s">
        <v>688</v>
      </c>
      <c r="B1516" t="s">
        <v>237</v>
      </c>
      <c r="C1516" t="s">
        <v>242</v>
      </c>
      <c r="D1516" t="s">
        <v>689</v>
      </c>
      <c r="E1516" t="s">
        <v>768</v>
      </c>
      <c r="F1516">
        <v>3</v>
      </c>
      <c r="G1516" s="308">
        <f>'BECA MEDIA'!M220</f>
        <v>5.2</v>
      </c>
      <c r="H1516" s="308">
        <f>'BECA MEDIA'!N220</f>
        <v>13000</v>
      </c>
    </row>
    <row r="1517" spans="1:8" x14ac:dyDescent="0.3">
      <c r="A1517" t="s">
        <v>688</v>
      </c>
      <c r="B1517" t="s">
        <v>237</v>
      </c>
      <c r="C1517" t="s">
        <v>242</v>
      </c>
      <c r="D1517" t="s">
        <v>689</v>
      </c>
      <c r="E1517" t="s">
        <v>769</v>
      </c>
      <c r="F1517">
        <v>4</v>
      </c>
      <c r="G1517" s="308">
        <f>'BECA MEDIA'!P220</f>
        <v>0.4</v>
      </c>
      <c r="H1517" s="308">
        <f>'BECA MEDIA'!Q220</f>
        <v>1000</v>
      </c>
    </row>
    <row r="1518" spans="1:8" x14ac:dyDescent="0.3">
      <c r="A1518" t="s">
        <v>688</v>
      </c>
      <c r="B1518" t="s">
        <v>237</v>
      </c>
      <c r="C1518" t="s">
        <v>242</v>
      </c>
      <c r="D1518" t="s">
        <v>689</v>
      </c>
      <c r="E1518" t="s">
        <v>770</v>
      </c>
      <c r="F1518">
        <v>5</v>
      </c>
      <c r="G1518" s="308">
        <f>'BECA MEDIA'!S220</f>
        <v>0</v>
      </c>
      <c r="H1518" s="308">
        <f>'BECA MEDIA'!T220</f>
        <v>0</v>
      </c>
    </row>
    <row r="1519" spans="1:8" x14ac:dyDescent="0.3">
      <c r="A1519" t="s">
        <v>688</v>
      </c>
      <c r="B1519" t="s">
        <v>237</v>
      </c>
      <c r="C1519" t="s">
        <v>242</v>
      </c>
      <c r="D1519" t="s">
        <v>689</v>
      </c>
      <c r="E1519" t="s">
        <v>771</v>
      </c>
      <c r="F1519">
        <v>6</v>
      </c>
      <c r="G1519" s="308">
        <f>'BECA MEDIA'!V220</f>
        <v>5.6</v>
      </c>
      <c r="H1519" s="308">
        <f>'BECA MEDIA'!W220</f>
        <v>14000</v>
      </c>
    </row>
    <row r="1520" spans="1:8" x14ac:dyDescent="0.3">
      <c r="A1520" t="s">
        <v>688</v>
      </c>
      <c r="B1520" t="s">
        <v>237</v>
      </c>
      <c r="C1520" t="s">
        <v>242</v>
      </c>
      <c r="D1520" t="s">
        <v>689</v>
      </c>
      <c r="E1520" t="s">
        <v>772</v>
      </c>
      <c r="F1520">
        <v>7</v>
      </c>
      <c r="G1520" s="308">
        <f>'BECA MEDIA'!Y220</f>
        <v>0</v>
      </c>
      <c r="H1520" s="308">
        <f>'BECA MEDIA'!Z220</f>
        <v>0</v>
      </c>
    </row>
    <row r="1521" spans="1:8" x14ac:dyDescent="0.3">
      <c r="A1521" t="s">
        <v>688</v>
      </c>
      <c r="B1521" t="s">
        <v>237</v>
      </c>
      <c r="C1521" t="s">
        <v>243</v>
      </c>
      <c r="D1521" t="s">
        <v>689</v>
      </c>
      <c r="E1521" t="s">
        <v>766</v>
      </c>
      <c r="F1521">
        <v>1</v>
      </c>
      <c r="G1521" s="308">
        <f>'BECA MEDIA'!G221</f>
        <v>0</v>
      </c>
      <c r="H1521" s="308">
        <f>'BECA MEDIA'!H221</f>
        <v>0</v>
      </c>
    </row>
    <row r="1522" spans="1:8" x14ac:dyDescent="0.3">
      <c r="A1522" t="s">
        <v>688</v>
      </c>
      <c r="B1522" t="s">
        <v>237</v>
      </c>
      <c r="C1522" t="s">
        <v>243</v>
      </c>
      <c r="D1522" t="s">
        <v>689</v>
      </c>
      <c r="E1522" t="s">
        <v>767</v>
      </c>
      <c r="F1522">
        <v>2</v>
      </c>
      <c r="G1522" s="308">
        <f>'BECA MEDIA'!J221</f>
        <v>0</v>
      </c>
      <c r="H1522" s="308">
        <f>'BECA MEDIA'!K221</f>
        <v>0</v>
      </c>
    </row>
    <row r="1523" spans="1:8" x14ac:dyDescent="0.3">
      <c r="A1523" t="s">
        <v>688</v>
      </c>
      <c r="B1523" t="s">
        <v>237</v>
      </c>
      <c r="C1523" t="s">
        <v>243</v>
      </c>
      <c r="D1523" t="s">
        <v>689</v>
      </c>
      <c r="E1523" t="s">
        <v>768</v>
      </c>
      <c r="F1523">
        <v>3</v>
      </c>
      <c r="G1523" s="308">
        <f>'BECA MEDIA'!M221</f>
        <v>4.8</v>
      </c>
      <c r="H1523" s="308">
        <f>'BECA MEDIA'!N221</f>
        <v>12000</v>
      </c>
    </row>
    <row r="1524" spans="1:8" x14ac:dyDescent="0.3">
      <c r="A1524" t="s">
        <v>688</v>
      </c>
      <c r="B1524" t="s">
        <v>237</v>
      </c>
      <c r="C1524" t="s">
        <v>243</v>
      </c>
      <c r="D1524" t="s">
        <v>689</v>
      </c>
      <c r="E1524" t="s">
        <v>769</v>
      </c>
      <c r="F1524">
        <v>4</v>
      </c>
      <c r="G1524" s="308">
        <f>'BECA MEDIA'!P221</f>
        <v>2.4</v>
      </c>
      <c r="H1524" s="308">
        <f>'BECA MEDIA'!Q221</f>
        <v>6000</v>
      </c>
    </row>
    <row r="1525" spans="1:8" x14ac:dyDescent="0.3">
      <c r="A1525" t="s">
        <v>688</v>
      </c>
      <c r="B1525" t="s">
        <v>237</v>
      </c>
      <c r="C1525" t="s">
        <v>243</v>
      </c>
      <c r="D1525" t="s">
        <v>689</v>
      </c>
      <c r="E1525" t="s">
        <v>770</v>
      </c>
      <c r="F1525">
        <v>5</v>
      </c>
      <c r="G1525" s="308">
        <f>'BECA MEDIA'!S221</f>
        <v>0</v>
      </c>
      <c r="H1525" s="308">
        <f>'BECA MEDIA'!T221</f>
        <v>0</v>
      </c>
    </row>
    <row r="1526" spans="1:8" x14ac:dyDescent="0.3">
      <c r="A1526" t="s">
        <v>688</v>
      </c>
      <c r="B1526" t="s">
        <v>237</v>
      </c>
      <c r="C1526" t="s">
        <v>243</v>
      </c>
      <c r="D1526" t="s">
        <v>689</v>
      </c>
      <c r="E1526" t="s">
        <v>771</v>
      </c>
      <c r="F1526">
        <v>6</v>
      </c>
      <c r="G1526" s="308">
        <f>'BECA MEDIA'!V221</f>
        <v>7.2</v>
      </c>
      <c r="H1526" s="308">
        <f>'BECA MEDIA'!W221</f>
        <v>18000</v>
      </c>
    </row>
    <row r="1527" spans="1:8" x14ac:dyDescent="0.3">
      <c r="A1527" t="s">
        <v>688</v>
      </c>
      <c r="B1527" t="s">
        <v>237</v>
      </c>
      <c r="C1527" t="s">
        <v>243</v>
      </c>
      <c r="D1527" t="s">
        <v>689</v>
      </c>
      <c r="E1527" t="s">
        <v>772</v>
      </c>
      <c r="F1527">
        <v>7</v>
      </c>
      <c r="G1527" s="308">
        <f>'BECA MEDIA'!Y221</f>
        <v>0</v>
      </c>
      <c r="H1527" s="308">
        <f>'BECA MEDIA'!Z221</f>
        <v>0</v>
      </c>
    </row>
    <row r="1528" spans="1:8" x14ac:dyDescent="0.3">
      <c r="A1528" t="s">
        <v>688</v>
      </c>
      <c r="B1528" t="s">
        <v>237</v>
      </c>
      <c r="C1528" t="s">
        <v>244</v>
      </c>
      <c r="D1528" t="s">
        <v>689</v>
      </c>
      <c r="E1528" t="s">
        <v>766</v>
      </c>
      <c r="F1528">
        <v>1</v>
      </c>
      <c r="G1528" s="308">
        <f>'BECA MEDIA'!G222</f>
        <v>0</v>
      </c>
      <c r="H1528" s="308">
        <f>'BECA MEDIA'!H222</f>
        <v>0</v>
      </c>
    </row>
    <row r="1529" spans="1:8" x14ac:dyDescent="0.3">
      <c r="A1529" t="s">
        <v>688</v>
      </c>
      <c r="B1529" t="s">
        <v>237</v>
      </c>
      <c r="C1529" t="s">
        <v>244</v>
      </c>
      <c r="D1529" t="s">
        <v>689</v>
      </c>
      <c r="E1529" t="s">
        <v>767</v>
      </c>
      <c r="F1529">
        <v>2</v>
      </c>
      <c r="G1529" s="308">
        <f>'BECA MEDIA'!J222</f>
        <v>0</v>
      </c>
      <c r="H1529" s="308">
        <f>'BECA MEDIA'!K222</f>
        <v>0</v>
      </c>
    </row>
    <row r="1530" spans="1:8" x14ac:dyDescent="0.3">
      <c r="A1530" t="s">
        <v>688</v>
      </c>
      <c r="B1530" t="s">
        <v>237</v>
      </c>
      <c r="C1530" t="s">
        <v>244</v>
      </c>
      <c r="D1530" t="s">
        <v>689</v>
      </c>
      <c r="E1530" t="s">
        <v>768</v>
      </c>
      <c r="F1530">
        <v>3</v>
      </c>
      <c r="G1530" s="308">
        <f>'BECA MEDIA'!M222</f>
        <v>3.2</v>
      </c>
      <c r="H1530" s="308">
        <f>'BECA MEDIA'!N222</f>
        <v>8000</v>
      </c>
    </row>
    <row r="1531" spans="1:8" x14ac:dyDescent="0.3">
      <c r="A1531" t="s">
        <v>688</v>
      </c>
      <c r="B1531" t="s">
        <v>237</v>
      </c>
      <c r="C1531" t="s">
        <v>244</v>
      </c>
      <c r="D1531" t="s">
        <v>689</v>
      </c>
      <c r="E1531" t="s">
        <v>769</v>
      </c>
      <c r="F1531">
        <v>4</v>
      </c>
      <c r="G1531" s="308">
        <f>'BECA MEDIA'!P222</f>
        <v>0.8</v>
      </c>
      <c r="H1531" s="308">
        <f>'BECA MEDIA'!Q222</f>
        <v>2000</v>
      </c>
    </row>
    <row r="1532" spans="1:8" x14ac:dyDescent="0.3">
      <c r="A1532" t="s">
        <v>688</v>
      </c>
      <c r="B1532" t="s">
        <v>237</v>
      </c>
      <c r="C1532" t="s">
        <v>244</v>
      </c>
      <c r="D1532" t="s">
        <v>689</v>
      </c>
      <c r="E1532" t="s">
        <v>770</v>
      </c>
      <c r="F1532">
        <v>5</v>
      </c>
      <c r="G1532" s="308">
        <f>'BECA MEDIA'!S222</f>
        <v>0</v>
      </c>
      <c r="H1532" s="308">
        <f>'BECA MEDIA'!T222</f>
        <v>0</v>
      </c>
    </row>
    <row r="1533" spans="1:8" x14ac:dyDescent="0.3">
      <c r="A1533" t="s">
        <v>688</v>
      </c>
      <c r="B1533" t="s">
        <v>237</v>
      </c>
      <c r="C1533" t="s">
        <v>244</v>
      </c>
      <c r="D1533" t="s">
        <v>689</v>
      </c>
      <c r="E1533" t="s">
        <v>771</v>
      </c>
      <c r="F1533">
        <v>6</v>
      </c>
      <c r="G1533" s="308">
        <f>'BECA MEDIA'!V222</f>
        <v>3.6</v>
      </c>
      <c r="H1533" s="308">
        <f>'BECA MEDIA'!W222</f>
        <v>9000</v>
      </c>
    </row>
    <row r="1534" spans="1:8" x14ac:dyDescent="0.3">
      <c r="A1534" t="s">
        <v>688</v>
      </c>
      <c r="B1534" t="s">
        <v>237</v>
      </c>
      <c r="C1534" t="s">
        <v>244</v>
      </c>
      <c r="D1534" t="s">
        <v>689</v>
      </c>
      <c r="E1534" t="s">
        <v>772</v>
      </c>
      <c r="F1534">
        <v>7</v>
      </c>
      <c r="G1534" s="308">
        <f>'BECA MEDIA'!Y222</f>
        <v>0</v>
      </c>
      <c r="H1534" s="308">
        <f>'BECA MEDIA'!Z222</f>
        <v>0</v>
      </c>
    </row>
    <row r="1535" spans="1:8" x14ac:dyDescent="0.3">
      <c r="A1535" t="s">
        <v>688</v>
      </c>
      <c r="B1535" t="s">
        <v>237</v>
      </c>
      <c r="C1535" t="s">
        <v>245</v>
      </c>
      <c r="D1535" t="s">
        <v>689</v>
      </c>
      <c r="E1535" t="s">
        <v>766</v>
      </c>
      <c r="F1535">
        <v>1</v>
      </c>
      <c r="G1535" s="308">
        <f>'BECA MEDIA'!G223</f>
        <v>0</v>
      </c>
      <c r="H1535" s="308">
        <f>'BECA MEDIA'!H223</f>
        <v>0</v>
      </c>
    </row>
    <row r="1536" spans="1:8" x14ac:dyDescent="0.3">
      <c r="A1536" t="s">
        <v>688</v>
      </c>
      <c r="B1536" t="s">
        <v>237</v>
      </c>
      <c r="C1536" t="s">
        <v>245</v>
      </c>
      <c r="D1536" t="s">
        <v>689</v>
      </c>
      <c r="E1536" t="s">
        <v>767</v>
      </c>
      <c r="F1536">
        <v>2</v>
      </c>
      <c r="G1536" s="308">
        <f>'BECA MEDIA'!J223</f>
        <v>0</v>
      </c>
      <c r="H1536" s="308">
        <f>'BECA MEDIA'!K223</f>
        <v>0</v>
      </c>
    </row>
    <row r="1537" spans="1:8" x14ac:dyDescent="0.3">
      <c r="A1537" t="s">
        <v>688</v>
      </c>
      <c r="B1537" t="s">
        <v>237</v>
      </c>
      <c r="C1537" t="s">
        <v>245</v>
      </c>
      <c r="D1537" t="s">
        <v>689</v>
      </c>
      <c r="E1537" t="s">
        <v>768</v>
      </c>
      <c r="F1537">
        <v>3</v>
      </c>
      <c r="G1537" s="308">
        <f>'BECA MEDIA'!M223</f>
        <v>4.4000000000000004</v>
      </c>
      <c r="H1537" s="308">
        <f>'BECA MEDIA'!N223</f>
        <v>11000</v>
      </c>
    </row>
    <row r="1538" spans="1:8" x14ac:dyDescent="0.3">
      <c r="A1538" t="s">
        <v>688</v>
      </c>
      <c r="B1538" t="s">
        <v>237</v>
      </c>
      <c r="C1538" t="s">
        <v>245</v>
      </c>
      <c r="D1538" t="s">
        <v>689</v>
      </c>
      <c r="E1538" t="s">
        <v>769</v>
      </c>
      <c r="F1538">
        <v>4</v>
      </c>
      <c r="G1538" s="308">
        <f>'BECA MEDIA'!P223</f>
        <v>1.2</v>
      </c>
      <c r="H1538" s="308">
        <f>'BECA MEDIA'!Q223</f>
        <v>3000</v>
      </c>
    </row>
    <row r="1539" spans="1:8" x14ac:dyDescent="0.3">
      <c r="A1539" t="s">
        <v>688</v>
      </c>
      <c r="B1539" t="s">
        <v>237</v>
      </c>
      <c r="C1539" t="s">
        <v>245</v>
      </c>
      <c r="D1539" t="s">
        <v>689</v>
      </c>
      <c r="E1539" t="s">
        <v>770</v>
      </c>
      <c r="F1539">
        <v>5</v>
      </c>
      <c r="G1539" s="308">
        <f>'BECA MEDIA'!S223</f>
        <v>0</v>
      </c>
      <c r="H1539" s="308">
        <f>'BECA MEDIA'!T223</f>
        <v>0</v>
      </c>
    </row>
    <row r="1540" spans="1:8" x14ac:dyDescent="0.3">
      <c r="A1540" t="s">
        <v>688</v>
      </c>
      <c r="B1540" t="s">
        <v>237</v>
      </c>
      <c r="C1540" t="s">
        <v>245</v>
      </c>
      <c r="D1540" t="s">
        <v>689</v>
      </c>
      <c r="E1540" t="s">
        <v>771</v>
      </c>
      <c r="F1540">
        <v>6</v>
      </c>
      <c r="G1540" s="308">
        <f>'BECA MEDIA'!V223</f>
        <v>5.2</v>
      </c>
      <c r="H1540" s="308">
        <f>'BECA MEDIA'!W223</f>
        <v>13000</v>
      </c>
    </row>
    <row r="1541" spans="1:8" x14ac:dyDescent="0.3">
      <c r="A1541" t="s">
        <v>688</v>
      </c>
      <c r="B1541" t="s">
        <v>237</v>
      </c>
      <c r="C1541" t="s">
        <v>245</v>
      </c>
      <c r="D1541" t="s">
        <v>689</v>
      </c>
      <c r="E1541" t="s">
        <v>772</v>
      </c>
      <c r="F1541">
        <v>7</v>
      </c>
      <c r="G1541" s="308">
        <f>'BECA MEDIA'!Y223</f>
        <v>0</v>
      </c>
      <c r="H1541" s="308">
        <f>'BECA MEDIA'!Z223</f>
        <v>0</v>
      </c>
    </row>
    <row r="1542" spans="1:8" x14ac:dyDescent="0.3">
      <c r="A1542" t="s">
        <v>688</v>
      </c>
      <c r="B1542" t="s">
        <v>246</v>
      </c>
      <c r="C1542" t="s">
        <v>247</v>
      </c>
      <c r="D1542" t="s">
        <v>689</v>
      </c>
      <c r="E1542" t="s">
        <v>766</v>
      </c>
      <c r="F1542">
        <v>1</v>
      </c>
      <c r="G1542" s="308">
        <f>'BECA MEDIA'!G224</f>
        <v>0</v>
      </c>
      <c r="H1542" s="308">
        <f>'BECA MEDIA'!H224</f>
        <v>0</v>
      </c>
    </row>
    <row r="1543" spans="1:8" x14ac:dyDescent="0.3">
      <c r="A1543" t="s">
        <v>688</v>
      </c>
      <c r="B1543" t="s">
        <v>246</v>
      </c>
      <c r="C1543" t="s">
        <v>247</v>
      </c>
      <c r="D1543" t="s">
        <v>689</v>
      </c>
      <c r="E1543" t="s">
        <v>767</v>
      </c>
      <c r="F1543">
        <v>2</v>
      </c>
      <c r="G1543" s="308">
        <f>'BECA MEDIA'!J224</f>
        <v>0</v>
      </c>
      <c r="H1543" s="308">
        <f>'BECA MEDIA'!K224</f>
        <v>0</v>
      </c>
    </row>
    <row r="1544" spans="1:8" x14ac:dyDescent="0.3">
      <c r="A1544" t="s">
        <v>688</v>
      </c>
      <c r="B1544" t="s">
        <v>246</v>
      </c>
      <c r="C1544" t="s">
        <v>247</v>
      </c>
      <c r="D1544" t="s">
        <v>689</v>
      </c>
      <c r="E1544" t="s">
        <v>768</v>
      </c>
      <c r="F1544">
        <v>3</v>
      </c>
      <c r="G1544" s="308">
        <f>'BECA MEDIA'!M224</f>
        <v>5.6</v>
      </c>
      <c r="H1544" s="308">
        <f>'BECA MEDIA'!N224</f>
        <v>14000</v>
      </c>
    </row>
    <row r="1545" spans="1:8" x14ac:dyDescent="0.3">
      <c r="A1545" t="s">
        <v>688</v>
      </c>
      <c r="B1545" t="s">
        <v>246</v>
      </c>
      <c r="C1545" t="s">
        <v>247</v>
      </c>
      <c r="D1545" t="s">
        <v>689</v>
      </c>
      <c r="E1545" t="s">
        <v>769</v>
      </c>
      <c r="F1545">
        <v>4</v>
      </c>
      <c r="G1545" s="308">
        <f>'BECA MEDIA'!P224</f>
        <v>0.8</v>
      </c>
      <c r="H1545" s="308">
        <f>'BECA MEDIA'!Q224</f>
        <v>2000</v>
      </c>
    </row>
    <row r="1546" spans="1:8" x14ac:dyDescent="0.3">
      <c r="A1546" t="s">
        <v>688</v>
      </c>
      <c r="B1546" t="s">
        <v>246</v>
      </c>
      <c r="C1546" t="s">
        <v>247</v>
      </c>
      <c r="D1546" t="s">
        <v>689</v>
      </c>
      <c r="E1546" t="s">
        <v>770</v>
      </c>
      <c r="F1546">
        <v>5</v>
      </c>
      <c r="G1546" s="308">
        <f>'BECA MEDIA'!S224</f>
        <v>0</v>
      </c>
      <c r="H1546" s="308">
        <f>'BECA MEDIA'!T224</f>
        <v>0</v>
      </c>
    </row>
    <row r="1547" spans="1:8" x14ac:dyDescent="0.3">
      <c r="A1547" t="s">
        <v>688</v>
      </c>
      <c r="B1547" t="s">
        <v>246</v>
      </c>
      <c r="C1547" t="s">
        <v>247</v>
      </c>
      <c r="D1547" t="s">
        <v>689</v>
      </c>
      <c r="E1547" t="s">
        <v>771</v>
      </c>
      <c r="F1547">
        <v>6</v>
      </c>
      <c r="G1547" s="308">
        <f>'BECA MEDIA'!V224</f>
        <v>6.4</v>
      </c>
      <c r="H1547" s="308">
        <f>'BECA MEDIA'!W224</f>
        <v>16000</v>
      </c>
    </row>
    <row r="1548" spans="1:8" x14ac:dyDescent="0.3">
      <c r="A1548" t="s">
        <v>688</v>
      </c>
      <c r="B1548" t="s">
        <v>246</v>
      </c>
      <c r="C1548" t="s">
        <v>247</v>
      </c>
      <c r="D1548" t="s">
        <v>689</v>
      </c>
      <c r="E1548" t="s">
        <v>772</v>
      </c>
      <c r="F1548">
        <v>7</v>
      </c>
      <c r="G1548" s="308">
        <f>'BECA MEDIA'!Y224</f>
        <v>0</v>
      </c>
      <c r="H1548" s="308">
        <f>'BECA MEDIA'!Z224</f>
        <v>0</v>
      </c>
    </row>
    <row r="1549" spans="1:8" x14ac:dyDescent="0.3">
      <c r="A1549" t="s">
        <v>688</v>
      </c>
      <c r="B1549" t="s">
        <v>246</v>
      </c>
      <c r="C1549" t="s">
        <v>248</v>
      </c>
      <c r="D1549" t="s">
        <v>689</v>
      </c>
      <c r="E1549" t="s">
        <v>766</v>
      </c>
      <c r="F1549">
        <v>1</v>
      </c>
      <c r="G1549" s="308">
        <f>'BECA MEDIA'!G225</f>
        <v>0</v>
      </c>
      <c r="H1549" s="308">
        <f>'BECA MEDIA'!H225</f>
        <v>0</v>
      </c>
    </row>
    <row r="1550" spans="1:8" x14ac:dyDescent="0.3">
      <c r="A1550" t="s">
        <v>688</v>
      </c>
      <c r="B1550" t="s">
        <v>246</v>
      </c>
      <c r="C1550" t="s">
        <v>248</v>
      </c>
      <c r="D1550" t="s">
        <v>689</v>
      </c>
      <c r="E1550" t="s">
        <v>767</v>
      </c>
      <c r="F1550">
        <v>2</v>
      </c>
      <c r="G1550" s="308">
        <f>'BECA MEDIA'!J225</f>
        <v>0</v>
      </c>
      <c r="H1550" s="308">
        <f>'BECA MEDIA'!K225</f>
        <v>0</v>
      </c>
    </row>
    <row r="1551" spans="1:8" x14ac:dyDescent="0.3">
      <c r="A1551" t="s">
        <v>688</v>
      </c>
      <c r="B1551" t="s">
        <v>246</v>
      </c>
      <c r="C1551" t="s">
        <v>248</v>
      </c>
      <c r="D1551" t="s">
        <v>689</v>
      </c>
      <c r="E1551" t="s">
        <v>768</v>
      </c>
      <c r="F1551">
        <v>3</v>
      </c>
      <c r="G1551" s="308">
        <f>'BECA MEDIA'!M225</f>
        <v>3.2</v>
      </c>
      <c r="H1551" s="308">
        <f>'BECA MEDIA'!N225</f>
        <v>8000</v>
      </c>
    </row>
    <row r="1552" spans="1:8" x14ac:dyDescent="0.3">
      <c r="A1552" t="s">
        <v>688</v>
      </c>
      <c r="B1552" t="s">
        <v>246</v>
      </c>
      <c r="C1552" t="s">
        <v>248</v>
      </c>
      <c r="D1552" t="s">
        <v>689</v>
      </c>
      <c r="E1552" t="s">
        <v>769</v>
      </c>
      <c r="F1552">
        <v>4</v>
      </c>
      <c r="G1552" s="308">
        <f>'BECA MEDIA'!P225</f>
        <v>1.6</v>
      </c>
      <c r="H1552" s="308">
        <f>'BECA MEDIA'!Q225</f>
        <v>4000</v>
      </c>
    </row>
    <row r="1553" spans="1:8" x14ac:dyDescent="0.3">
      <c r="A1553" t="s">
        <v>688</v>
      </c>
      <c r="B1553" t="s">
        <v>246</v>
      </c>
      <c r="C1553" t="s">
        <v>248</v>
      </c>
      <c r="D1553" t="s">
        <v>689</v>
      </c>
      <c r="E1553" t="s">
        <v>770</v>
      </c>
      <c r="F1553">
        <v>5</v>
      </c>
      <c r="G1553" s="308">
        <f>'BECA MEDIA'!S225</f>
        <v>0</v>
      </c>
      <c r="H1553" s="308">
        <f>'BECA MEDIA'!T225</f>
        <v>0</v>
      </c>
    </row>
    <row r="1554" spans="1:8" x14ac:dyDescent="0.3">
      <c r="A1554" t="s">
        <v>688</v>
      </c>
      <c r="B1554" t="s">
        <v>246</v>
      </c>
      <c r="C1554" t="s">
        <v>248</v>
      </c>
      <c r="D1554" t="s">
        <v>689</v>
      </c>
      <c r="E1554" t="s">
        <v>771</v>
      </c>
      <c r="F1554">
        <v>6</v>
      </c>
      <c r="G1554" s="308">
        <f>'BECA MEDIA'!V225</f>
        <v>4.8</v>
      </c>
      <c r="H1554" s="308">
        <f>'BECA MEDIA'!W225</f>
        <v>12000</v>
      </c>
    </row>
    <row r="1555" spans="1:8" x14ac:dyDescent="0.3">
      <c r="A1555" t="s">
        <v>688</v>
      </c>
      <c r="B1555" t="s">
        <v>246</v>
      </c>
      <c r="C1555" t="s">
        <v>248</v>
      </c>
      <c r="D1555" t="s">
        <v>689</v>
      </c>
      <c r="E1555" t="s">
        <v>772</v>
      </c>
      <c r="F1555">
        <v>7</v>
      </c>
      <c r="G1555" s="308">
        <f>'BECA MEDIA'!Y225</f>
        <v>0</v>
      </c>
      <c r="H1555" s="308">
        <f>'BECA MEDIA'!Z225</f>
        <v>0</v>
      </c>
    </row>
    <row r="1556" spans="1:8" x14ac:dyDescent="0.3">
      <c r="A1556" t="s">
        <v>688</v>
      </c>
      <c r="B1556" t="s">
        <v>246</v>
      </c>
      <c r="C1556" t="s">
        <v>249</v>
      </c>
      <c r="D1556" t="s">
        <v>689</v>
      </c>
      <c r="E1556" t="s">
        <v>766</v>
      </c>
      <c r="F1556">
        <v>1</v>
      </c>
      <c r="G1556" s="308">
        <f>'BECA MEDIA'!G226</f>
        <v>0</v>
      </c>
      <c r="H1556" s="308">
        <f>'BECA MEDIA'!H226</f>
        <v>0</v>
      </c>
    </row>
    <row r="1557" spans="1:8" x14ac:dyDescent="0.3">
      <c r="A1557" t="s">
        <v>688</v>
      </c>
      <c r="B1557" t="s">
        <v>246</v>
      </c>
      <c r="C1557" t="s">
        <v>249</v>
      </c>
      <c r="D1557" t="s">
        <v>689</v>
      </c>
      <c r="E1557" t="s">
        <v>767</v>
      </c>
      <c r="F1557">
        <v>2</v>
      </c>
      <c r="G1557" s="308">
        <f>'BECA MEDIA'!J226</f>
        <v>0</v>
      </c>
      <c r="H1557" s="308">
        <f>'BECA MEDIA'!K226</f>
        <v>0</v>
      </c>
    </row>
    <row r="1558" spans="1:8" x14ac:dyDescent="0.3">
      <c r="A1558" t="s">
        <v>688</v>
      </c>
      <c r="B1558" t="s">
        <v>246</v>
      </c>
      <c r="C1558" t="s">
        <v>249</v>
      </c>
      <c r="D1558" t="s">
        <v>689</v>
      </c>
      <c r="E1558" t="s">
        <v>768</v>
      </c>
      <c r="F1558">
        <v>3</v>
      </c>
      <c r="G1558" s="308">
        <f>'BECA MEDIA'!M226</f>
        <v>4.4000000000000004</v>
      </c>
      <c r="H1558" s="308">
        <f>'BECA MEDIA'!N226</f>
        <v>11000</v>
      </c>
    </row>
    <row r="1559" spans="1:8" x14ac:dyDescent="0.3">
      <c r="A1559" t="s">
        <v>688</v>
      </c>
      <c r="B1559" t="s">
        <v>246</v>
      </c>
      <c r="C1559" t="s">
        <v>249</v>
      </c>
      <c r="D1559" t="s">
        <v>689</v>
      </c>
      <c r="E1559" t="s">
        <v>769</v>
      </c>
      <c r="F1559">
        <v>4</v>
      </c>
      <c r="G1559" s="308">
        <f>'BECA MEDIA'!P226</f>
        <v>0.8</v>
      </c>
      <c r="H1559" s="308">
        <f>'BECA MEDIA'!Q226</f>
        <v>2000</v>
      </c>
    </row>
    <row r="1560" spans="1:8" x14ac:dyDescent="0.3">
      <c r="A1560" t="s">
        <v>688</v>
      </c>
      <c r="B1560" t="s">
        <v>246</v>
      </c>
      <c r="C1560" t="s">
        <v>249</v>
      </c>
      <c r="D1560" t="s">
        <v>689</v>
      </c>
      <c r="E1560" t="s">
        <v>770</v>
      </c>
      <c r="F1560">
        <v>5</v>
      </c>
      <c r="G1560" s="308">
        <f>'BECA MEDIA'!S226</f>
        <v>0</v>
      </c>
      <c r="H1560" s="308">
        <f>'BECA MEDIA'!T226</f>
        <v>0</v>
      </c>
    </row>
    <row r="1561" spans="1:8" x14ac:dyDescent="0.3">
      <c r="A1561" t="s">
        <v>688</v>
      </c>
      <c r="B1561" t="s">
        <v>246</v>
      </c>
      <c r="C1561" t="s">
        <v>249</v>
      </c>
      <c r="D1561" t="s">
        <v>689</v>
      </c>
      <c r="E1561" t="s">
        <v>771</v>
      </c>
      <c r="F1561">
        <v>6</v>
      </c>
      <c r="G1561" s="308">
        <f>'BECA MEDIA'!V226</f>
        <v>5.6</v>
      </c>
      <c r="H1561" s="308">
        <f>'BECA MEDIA'!W226</f>
        <v>14000</v>
      </c>
    </row>
    <row r="1562" spans="1:8" x14ac:dyDescent="0.3">
      <c r="A1562" t="s">
        <v>688</v>
      </c>
      <c r="B1562" t="s">
        <v>246</v>
      </c>
      <c r="C1562" t="s">
        <v>249</v>
      </c>
      <c r="D1562" t="s">
        <v>689</v>
      </c>
      <c r="E1562" t="s">
        <v>772</v>
      </c>
      <c r="F1562">
        <v>7</v>
      </c>
      <c r="G1562" s="308">
        <f>'BECA MEDIA'!Y226</f>
        <v>0</v>
      </c>
      <c r="H1562" s="308">
        <f>'BECA MEDIA'!Z226</f>
        <v>0</v>
      </c>
    </row>
    <row r="1563" spans="1:8" x14ac:dyDescent="0.3">
      <c r="A1563" t="s">
        <v>688</v>
      </c>
      <c r="B1563" t="s">
        <v>246</v>
      </c>
      <c r="C1563" t="s">
        <v>250</v>
      </c>
      <c r="D1563" t="s">
        <v>689</v>
      </c>
      <c r="E1563" t="s">
        <v>766</v>
      </c>
      <c r="F1563">
        <v>1</v>
      </c>
      <c r="G1563" s="308">
        <f>'BECA MEDIA'!G227</f>
        <v>0</v>
      </c>
      <c r="H1563" s="308">
        <f>'BECA MEDIA'!H227</f>
        <v>0</v>
      </c>
    </row>
    <row r="1564" spans="1:8" x14ac:dyDescent="0.3">
      <c r="A1564" t="s">
        <v>688</v>
      </c>
      <c r="B1564" t="s">
        <v>246</v>
      </c>
      <c r="C1564" t="s">
        <v>250</v>
      </c>
      <c r="D1564" t="s">
        <v>689</v>
      </c>
      <c r="E1564" t="s">
        <v>767</v>
      </c>
      <c r="F1564">
        <v>2</v>
      </c>
      <c r="G1564" s="308">
        <f>'BECA MEDIA'!J227</f>
        <v>0</v>
      </c>
      <c r="H1564" s="308">
        <f>'BECA MEDIA'!K227</f>
        <v>0</v>
      </c>
    </row>
    <row r="1565" spans="1:8" x14ac:dyDescent="0.3">
      <c r="A1565" t="s">
        <v>688</v>
      </c>
      <c r="B1565" t="s">
        <v>246</v>
      </c>
      <c r="C1565" t="s">
        <v>250</v>
      </c>
      <c r="D1565" t="s">
        <v>689</v>
      </c>
      <c r="E1565" t="s">
        <v>768</v>
      </c>
      <c r="F1565">
        <v>3</v>
      </c>
      <c r="G1565" s="308">
        <f>'BECA MEDIA'!M227</f>
        <v>2.4</v>
      </c>
      <c r="H1565" s="308">
        <f>'BECA MEDIA'!N227</f>
        <v>6000</v>
      </c>
    </row>
    <row r="1566" spans="1:8" x14ac:dyDescent="0.3">
      <c r="A1566" t="s">
        <v>688</v>
      </c>
      <c r="B1566" t="s">
        <v>246</v>
      </c>
      <c r="C1566" t="s">
        <v>250</v>
      </c>
      <c r="D1566" t="s">
        <v>689</v>
      </c>
      <c r="E1566" t="s">
        <v>769</v>
      </c>
      <c r="F1566">
        <v>4</v>
      </c>
      <c r="G1566" s="308">
        <f>'BECA MEDIA'!P227</f>
        <v>0</v>
      </c>
      <c r="H1566" s="308">
        <f>'BECA MEDIA'!Q227</f>
        <v>0</v>
      </c>
    </row>
    <row r="1567" spans="1:8" x14ac:dyDescent="0.3">
      <c r="A1567" t="s">
        <v>688</v>
      </c>
      <c r="B1567" t="s">
        <v>246</v>
      </c>
      <c r="C1567" t="s">
        <v>250</v>
      </c>
      <c r="D1567" t="s">
        <v>689</v>
      </c>
      <c r="E1567" t="s">
        <v>770</v>
      </c>
      <c r="F1567">
        <v>5</v>
      </c>
      <c r="G1567" s="308">
        <f>'BECA MEDIA'!S227</f>
        <v>0</v>
      </c>
      <c r="H1567" s="308">
        <f>'BECA MEDIA'!T227</f>
        <v>0</v>
      </c>
    </row>
    <row r="1568" spans="1:8" x14ac:dyDescent="0.3">
      <c r="A1568" t="s">
        <v>688</v>
      </c>
      <c r="B1568" t="s">
        <v>246</v>
      </c>
      <c r="C1568" t="s">
        <v>250</v>
      </c>
      <c r="D1568" t="s">
        <v>689</v>
      </c>
      <c r="E1568" t="s">
        <v>771</v>
      </c>
      <c r="F1568">
        <v>6</v>
      </c>
      <c r="G1568" s="308">
        <f>'BECA MEDIA'!V227</f>
        <v>2.4</v>
      </c>
      <c r="H1568" s="308">
        <f>'BECA MEDIA'!W227</f>
        <v>6000</v>
      </c>
    </row>
    <row r="1569" spans="1:8" x14ac:dyDescent="0.3">
      <c r="A1569" t="s">
        <v>688</v>
      </c>
      <c r="B1569" t="s">
        <v>246</v>
      </c>
      <c r="C1569" t="s">
        <v>250</v>
      </c>
      <c r="D1569" t="s">
        <v>689</v>
      </c>
      <c r="E1569" t="s">
        <v>772</v>
      </c>
      <c r="F1569">
        <v>7</v>
      </c>
      <c r="G1569" s="308">
        <f>'BECA MEDIA'!Y227</f>
        <v>0</v>
      </c>
      <c r="H1569" s="308">
        <f>'BECA MEDIA'!Z227</f>
        <v>0</v>
      </c>
    </row>
    <row r="1570" spans="1:8" x14ac:dyDescent="0.3">
      <c r="A1570" t="s">
        <v>688</v>
      </c>
      <c r="B1570" t="s">
        <v>246</v>
      </c>
      <c r="C1570" t="s">
        <v>251</v>
      </c>
      <c r="D1570" t="s">
        <v>689</v>
      </c>
      <c r="E1570" t="s">
        <v>766</v>
      </c>
      <c r="F1570">
        <v>1</v>
      </c>
      <c r="G1570" s="308">
        <f>'BECA MEDIA'!G228</f>
        <v>0</v>
      </c>
      <c r="H1570" s="308">
        <f>'BECA MEDIA'!H228</f>
        <v>0</v>
      </c>
    </row>
    <row r="1571" spans="1:8" x14ac:dyDescent="0.3">
      <c r="A1571" t="s">
        <v>688</v>
      </c>
      <c r="B1571" t="s">
        <v>246</v>
      </c>
      <c r="C1571" t="s">
        <v>251</v>
      </c>
      <c r="D1571" t="s">
        <v>689</v>
      </c>
      <c r="E1571" t="s">
        <v>767</v>
      </c>
      <c r="F1571">
        <v>2</v>
      </c>
      <c r="G1571" s="308">
        <f>'BECA MEDIA'!J228</f>
        <v>0</v>
      </c>
      <c r="H1571" s="308">
        <f>'BECA MEDIA'!K228</f>
        <v>0</v>
      </c>
    </row>
    <row r="1572" spans="1:8" x14ac:dyDescent="0.3">
      <c r="A1572" t="s">
        <v>688</v>
      </c>
      <c r="B1572" t="s">
        <v>246</v>
      </c>
      <c r="C1572" t="s">
        <v>251</v>
      </c>
      <c r="D1572" t="s">
        <v>689</v>
      </c>
      <c r="E1572" t="s">
        <v>768</v>
      </c>
      <c r="F1572">
        <v>3</v>
      </c>
      <c r="G1572" s="308">
        <f>'BECA MEDIA'!M228</f>
        <v>4</v>
      </c>
      <c r="H1572" s="308">
        <f>'BECA MEDIA'!N228</f>
        <v>10000</v>
      </c>
    </row>
    <row r="1573" spans="1:8" x14ac:dyDescent="0.3">
      <c r="A1573" t="s">
        <v>688</v>
      </c>
      <c r="B1573" t="s">
        <v>246</v>
      </c>
      <c r="C1573" t="s">
        <v>251</v>
      </c>
      <c r="D1573" t="s">
        <v>689</v>
      </c>
      <c r="E1573" t="s">
        <v>769</v>
      </c>
      <c r="F1573">
        <v>4</v>
      </c>
      <c r="G1573" s="308">
        <f>'BECA MEDIA'!P228</f>
        <v>1.2</v>
      </c>
      <c r="H1573" s="308">
        <f>'BECA MEDIA'!Q228</f>
        <v>3000</v>
      </c>
    </row>
    <row r="1574" spans="1:8" x14ac:dyDescent="0.3">
      <c r="A1574" t="s">
        <v>688</v>
      </c>
      <c r="B1574" t="s">
        <v>246</v>
      </c>
      <c r="C1574" t="s">
        <v>251</v>
      </c>
      <c r="D1574" t="s">
        <v>689</v>
      </c>
      <c r="E1574" t="s">
        <v>770</v>
      </c>
      <c r="F1574">
        <v>5</v>
      </c>
      <c r="G1574" s="308">
        <f>'BECA MEDIA'!S228</f>
        <v>0</v>
      </c>
      <c r="H1574" s="308">
        <f>'BECA MEDIA'!T228</f>
        <v>0</v>
      </c>
    </row>
    <row r="1575" spans="1:8" x14ac:dyDescent="0.3">
      <c r="A1575" t="s">
        <v>688</v>
      </c>
      <c r="B1575" t="s">
        <v>246</v>
      </c>
      <c r="C1575" t="s">
        <v>251</v>
      </c>
      <c r="D1575" t="s">
        <v>689</v>
      </c>
      <c r="E1575" t="s">
        <v>771</v>
      </c>
      <c r="F1575">
        <v>6</v>
      </c>
      <c r="G1575" s="308">
        <f>'BECA MEDIA'!V228</f>
        <v>4.8</v>
      </c>
      <c r="H1575" s="308">
        <f>'BECA MEDIA'!W228</f>
        <v>12000</v>
      </c>
    </row>
    <row r="1576" spans="1:8" x14ac:dyDescent="0.3">
      <c r="A1576" t="s">
        <v>688</v>
      </c>
      <c r="B1576" t="s">
        <v>246</v>
      </c>
      <c r="C1576" t="s">
        <v>251</v>
      </c>
      <c r="D1576" t="s">
        <v>689</v>
      </c>
      <c r="E1576" t="s">
        <v>772</v>
      </c>
      <c r="F1576">
        <v>7</v>
      </c>
      <c r="G1576" s="308">
        <f>'BECA MEDIA'!Y228</f>
        <v>0</v>
      </c>
      <c r="H1576" s="308">
        <f>'BECA MEDIA'!Z228</f>
        <v>0</v>
      </c>
    </row>
    <row r="1577" spans="1:8" x14ac:dyDescent="0.3">
      <c r="A1577" t="s">
        <v>688</v>
      </c>
      <c r="B1577" t="s">
        <v>246</v>
      </c>
      <c r="C1577" t="s">
        <v>252</v>
      </c>
      <c r="D1577" t="s">
        <v>689</v>
      </c>
      <c r="E1577" t="s">
        <v>766</v>
      </c>
      <c r="F1577">
        <v>1</v>
      </c>
      <c r="G1577" s="308">
        <f>'BECA MEDIA'!G229</f>
        <v>0</v>
      </c>
      <c r="H1577" s="308">
        <f>'BECA MEDIA'!H229</f>
        <v>0</v>
      </c>
    </row>
    <row r="1578" spans="1:8" x14ac:dyDescent="0.3">
      <c r="A1578" t="s">
        <v>688</v>
      </c>
      <c r="B1578" t="s">
        <v>246</v>
      </c>
      <c r="C1578" t="s">
        <v>252</v>
      </c>
      <c r="D1578" t="s">
        <v>689</v>
      </c>
      <c r="E1578" t="s">
        <v>767</v>
      </c>
      <c r="F1578">
        <v>2</v>
      </c>
      <c r="G1578" s="308">
        <f>'BECA MEDIA'!J229</f>
        <v>0</v>
      </c>
      <c r="H1578" s="308">
        <f>'BECA MEDIA'!K229</f>
        <v>0</v>
      </c>
    </row>
    <row r="1579" spans="1:8" x14ac:dyDescent="0.3">
      <c r="A1579" t="s">
        <v>688</v>
      </c>
      <c r="B1579" t="s">
        <v>246</v>
      </c>
      <c r="C1579" t="s">
        <v>252</v>
      </c>
      <c r="D1579" t="s">
        <v>689</v>
      </c>
      <c r="E1579" t="s">
        <v>768</v>
      </c>
      <c r="F1579">
        <v>3</v>
      </c>
      <c r="G1579" s="308">
        <f>'BECA MEDIA'!M229</f>
        <v>2.8</v>
      </c>
      <c r="H1579" s="308">
        <f>'BECA MEDIA'!N229</f>
        <v>7000</v>
      </c>
    </row>
    <row r="1580" spans="1:8" x14ac:dyDescent="0.3">
      <c r="A1580" t="s">
        <v>688</v>
      </c>
      <c r="B1580" t="s">
        <v>246</v>
      </c>
      <c r="C1580" t="s">
        <v>252</v>
      </c>
      <c r="D1580" t="s">
        <v>689</v>
      </c>
      <c r="E1580" t="s">
        <v>769</v>
      </c>
      <c r="F1580">
        <v>4</v>
      </c>
      <c r="G1580" s="308">
        <f>'BECA MEDIA'!P229</f>
        <v>0.4</v>
      </c>
      <c r="H1580" s="308">
        <f>'BECA MEDIA'!Q229</f>
        <v>1000</v>
      </c>
    </row>
    <row r="1581" spans="1:8" x14ac:dyDescent="0.3">
      <c r="A1581" t="s">
        <v>688</v>
      </c>
      <c r="B1581" t="s">
        <v>246</v>
      </c>
      <c r="C1581" t="s">
        <v>252</v>
      </c>
      <c r="D1581" t="s">
        <v>689</v>
      </c>
      <c r="E1581" t="s">
        <v>770</v>
      </c>
      <c r="F1581">
        <v>5</v>
      </c>
      <c r="G1581" s="308">
        <f>'BECA MEDIA'!S229</f>
        <v>0</v>
      </c>
      <c r="H1581" s="308">
        <f>'BECA MEDIA'!T229</f>
        <v>0</v>
      </c>
    </row>
    <row r="1582" spans="1:8" x14ac:dyDescent="0.3">
      <c r="A1582" t="s">
        <v>688</v>
      </c>
      <c r="B1582" t="s">
        <v>246</v>
      </c>
      <c r="C1582" t="s">
        <v>252</v>
      </c>
      <c r="D1582" t="s">
        <v>689</v>
      </c>
      <c r="E1582" t="s">
        <v>771</v>
      </c>
      <c r="F1582">
        <v>6</v>
      </c>
      <c r="G1582" s="308">
        <f>'BECA MEDIA'!V229</f>
        <v>3.2</v>
      </c>
      <c r="H1582" s="308">
        <f>'BECA MEDIA'!W229</f>
        <v>8000</v>
      </c>
    </row>
    <row r="1583" spans="1:8" x14ac:dyDescent="0.3">
      <c r="A1583" t="s">
        <v>688</v>
      </c>
      <c r="B1583" t="s">
        <v>246</v>
      </c>
      <c r="C1583" t="s">
        <v>252</v>
      </c>
      <c r="D1583" t="s">
        <v>689</v>
      </c>
      <c r="E1583" t="s">
        <v>772</v>
      </c>
      <c r="F1583">
        <v>7</v>
      </c>
      <c r="G1583" s="308">
        <f>'BECA MEDIA'!Y229</f>
        <v>0</v>
      </c>
      <c r="H1583" s="308">
        <f>'BECA MEDIA'!Z229</f>
        <v>0</v>
      </c>
    </row>
    <row r="1584" spans="1:8" x14ac:dyDescent="0.3">
      <c r="A1584" t="s">
        <v>688</v>
      </c>
      <c r="B1584" t="s">
        <v>246</v>
      </c>
      <c r="C1584" t="s">
        <v>253</v>
      </c>
      <c r="D1584" t="s">
        <v>689</v>
      </c>
      <c r="E1584" t="s">
        <v>766</v>
      </c>
      <c r="F1584">
        <v>1</v>
      </c>
      <c r="G1584" s="308">
        <f>'BECA MEDIA'!G230</f>
        <v>0</v>
      </c>
      <c r="H1584" s="308">
        <f>'BECA MEDIA'!H230</f>
        <v>0</v>
      </c>
    </row>
    <row r="1585" spans="1:8" x14ac:dyDescent="0.3">
      <c r="A1585" t="s">
        <v>688</v>
      </c>
      <c r="B1585" t="s">
        <v>246</v>
      </c>
      <c r="C1585" t="s">
        <v>253</v>
      </c>
      <c r="D1585" t="s">
        <v>689</v>
      </c>
      <c r="E1585" t="s">
        <v>767</v>
      </c>
      <c r="F1585">
        <v>2</v>
      </c>
      <c r="G1585" s="308">
        <f>'BECA MEDIA'!J230</f>
        <v>0</v>
      </c>
      <c r="H1585" s="308">
        <f>'BECA MEDIA'!K230</f>
        <v>0</v>
      </c>
    </row>
    <row r="1586" spans="1:8" x14ac:dyDescent="0.3">
      <c r="A1586" t="s">
        <v>688</v>
      </c>
      <c r="B1586" t="s">
        <v>246</v>
      </c>
      <c r="C1586" t="s">
        <v>253</v>
      </c>
      <c r="D1586" t="s">
        <v>689</v>
      </c>
      <c r="E1586" t="s">
        <v>768</v>
      </c>
      <c r="F1586">
        <v>3</v>
      </c>
      <c r="G1586" s="308">
        <f>'BECA MEDIA'!M230</f>
        <v>4.4000000000000004</v>
      </c>
      <c r="H1586" s="308">
        <f>'BECA MEDIA'!N230</f>
        <v>11000</v>
      </c>
    </row>
    <row r="1587" spans="1:8" x14ac:dyDescent="0.3">
      <c r="A1587" t="s">
        <v>688</v>
      </c>
      <c r="B1587" t="s">
        <v>246</v>
      </c>
      <c r="C1587" t="s">
        <v>253</v>
      </c>
      <c r="D1587" t="s">
        <v>689</v>
      </c>
      <c r="E1587" t="s">
        <v>769</v>
      </c>
      <c r="F1587">
        <v>4</v>
      </c>
      <c r="G1587" s="308">
        <f>'BECA MEDIA'!P230</f>
        <v>2</v>
      </c>
      <c r="H1587" s="308">
        <f>'BECA MEDIA'!Q230</f>
        <v>5000</v>
      </c>
    </row>
    <row r="1588" spans="1:8" x14ac:dyDescent="0.3">
      <c r="A1588" t="s">
        <v>688</v>
      </c>
      <c r="B1588" t="s">
        <v>246</v>
      </c>
      <c r="C1588" t="s">
        <v>253</v>
      </c>
      <c r="D1588" t="s">
        <v>689</v>
      </c>
      <c r="E1588" t="s">
        <v>770</v>
      </c>
      <c r="F1588">
        <v>5</v>
      </c>
      <c r="G1588" s="308">
        <f>'BECA MEDIA'!S230</f>
        <v>0</v>
      </c>
      <c r="H1588" s="308">
        <f>'BECA MEDIA'!T230</f>
        <v>0</v>
      </c>
    </row>
    <row r="1589" spans="1:8" x14ac:dyDescent="0.3">
      <c r="A1589" t="s">
        <v>688</v>
      </c>
      <c r="B1589" t="s">
        <v>246</v>
      </c>
      <c r="C1589" t="s">
        <v>253</v>
      </c>
      <c r="D1589" t="s">
        <v>689</v>
      </c>
      <c r="E1589" t="s">
        <v>771</v>
      </c>
      <c r="F1589">
        <v>6</v>
      </c>
      <c r="G1589" s="308">
        <f>'BECA MEDIA'!V230</f>
        <v>6.8</v>
      </c>
      <c r="H1589" s="308">
        <f>'BECA MEDIA'!W230</f>
        <v>17000</v>
      </c>
    </row>
    <row r="1590" spans="1:8" x14ac:dyDescent="0.3">
      <c r="A1590" t="s">
        <v>688</v>
      </c>
      <c r="B1590" t="s">
        <v>246</v>
      </c>
      <c r="C1590" t="s">
        <v>253</v>
      </c>
      <c r="D1590" t="s">
        <v>689</v>
      </c>
      <c r="E1590" t="s">
        <v>772</v>
      </c>
      <c r="F1590">
        <v>7</v>
      </c>
      <c r="G1590" s="308">
        <f>'BECA MEDIA'!Y230</f>
        <v>0</v>
      </c>
      <c r="H1590" s="308">
        <f>'BECA MEDIA'!Z230</f>
        <v>0</v>
      </c>
    </row>
    <row r="1591" spans="1:8" x14ac:dyDescent="0.3">
      <c r="A1591" t="s">
        <v>688</v>
      </c>
      <c r="B1591" t="s">
        <v>246</v>
      </c>
      <c r="C1591" t="s">
        <v>254</v>
      </c>
      <c r="D1591" t="s">
        <v>689</v>
      </c>
      <c r="E1591" t="s">
        <v>766</v>
      </c>
      <c r="F1591">
        <v>1</v>
      </c>
      <c r="G1591" s="308">
        <f>'BECA MEDIA'!G231</f>
        <v>0</v>
      </c>
      <c r="H1591" s="308">
        <f>'BECA MEDIA'!H231</f>
        <v>0</v>
      </c>
    </row>
    <row r="1592" spans="1:8" x14ac:dyDescent="0.3">
      <c r="A1592" t="s">
        <v>688</v>
      </c>
      <c r="B1592" t="s">
        <v>246</v>
      </c>
      <c r="C1592" t="s">
        <v>254</v>
      </c>
      <c r="D1592" t="s">
        <v>689</v>
      </c>
      <c r="E1592" t="s">
        <v>767</v>
      </c>
      <c r="F1592">
        <v>2</v>
      </c>
      <c r="G1592" s="308">
        <f>'BECA MEDIA'!J231</f>
        <v>0</v>
      </c>
      <c r="H1592" s="308">
        <f>'BECA MEDIA'!K231</f>
        <v>0</v>
      </c>
    </row>
    <row r="1593" spans="1:8" x14ac:dyDescent="0.3">
      <c r="A1593" t="s">
        <v>688</v>
      </c>
      <c r="B1593" t="s">
        <v>246</v>
      </c>
      <c r="C1593" t="s">
        <v>254</v>
      </c>
      <c r="D1593" t="s">
        <v>689</v>
      </c>
      <c r="E1593" t="s">
        <v>768</v>
      </c>
      <c r="F1593">
        <v>3</v>
      </c>
      <c r="G1593" s="308">
        <f>'BECA MEDIA'!M231</f>
        <v>1.6</v>
      </c>
      <c r="H1593" s="308">
        <f>'BECA MEDIA'!N231</f>
        <v>4000</v>
      </c>
    </row>
    <row r="1594" spans="1:8" x14ac:dyDescent="0.3">
      <c r="A1594" t="s">
        <v>688</v>
      </c>
      <c r="B1594" t="s">
        <v>246</v>
      </c>
      <c r="C1594" t="s">
        <v>254</v>
      </c>
      <c r="D1594" t="s">
        <v>689</v>
      </c>
      <c r="E1594" t="s">
        <v>769</v>
      </c>
      <c r="F1594">
        <v>4</v>
      </c>
      <c r="G1594" s="308">
        <f>'BECA MEDIA'!P231</f>
        <v>1.2</v>
      </c>
      <c r="H1594" s="308">
        <f>'BECA MEDIA'!Q231</f>
        <v>3000</v>
      </c>
    </row>
    <row r="1595" spans="1:8" x14ac:dyDescent="0.3">
      <c r="A1595" t="s">
        <v>688</v>
      </c>
      <c r="B1595" t="s">
        <v>246</v>
      </c>
      <c r="C1595" t="s">
        <v>254</v>
      </c>
      <c r="D1595" t="s">
        <v>689</v>
      </c>
      <c r="E1595" t="s">
        <v>770</v>
      </c>
      <c r="F1595">
        <v>5</v>
      </c>
      <c r="G1595" s="308">
        <f>'BECA MEDIA'!S231</f>
        <v>0</v>
      </c>
      <c r="H1595" s="308">
        <f>'BECA MEDIA'!T231</f>
        <v>0</v>
      </c>
    </row>
    <row r="1596" spans="1:8" x14ac:dyDescent="0.3">
      <c r="A1596" t="s">
        <v>688</v>
      </c>
      <c r="B1596" t="s">
        <v>246</v>
      </c>
      <c r="C1596" t="s">
        <v>254</v>
      </c>
      <c r="D1596" t="s">
        <v>689</v>
      </c>
      <c r="E1596" t="s">
        <v>771</v>
      </c>
      <c r="F1596">
        <v>6</v>
      </c>
      <c r="G1596" s="308">
        <f>'BECA MEDIA'!V231</f>
        <v>2.8</v>
      </c>
      <c r="H1596" s="308">
        <f>'BECA MEDIA'!W231</f>
        <v>7000</v>
      </c>
    </row>
    <row r="1597" spans="1:8" x14ac:dyDescent="0.3">
      <c r="A1597" t="s">
        <v>688</v>
      </c>
      <c r="B1597" t="s">
        <v>246</v>
      </c>
      <c r="C1597" t="s">
        <v>254</v>
      </c>
      <c r="D1597" t="s">
        <v>689</v>
      </c>
      <c r="E1597" t="s">
        <v>772</v>
      </c>
      <c r="F1597">
        <v>7</v>
      </c>
      <c r="G1597" s="308">
        <f>'BECA MEDIA'!Y231</f>
        <v>0</v>
      </c>
      <c r="H1597" s="308">
        <f>'BECA MEDIA'!Z231</f>
        <v>0</v>
      </c>
    </row>
    <row r="1598" spans="1:8" x14ac:dyDescent="0.3">
      <c r="A1598" t="s">
        <v>688</v>
      </c>
      <c r="B1598" t="s">
        <v>246</v>
      </c>
      <c r="C1598" t="s">
        <v>255</v>
      </c>
      <c r="D1598" t="s">
        <v>689</v>
      </c>
      <c r="E1598" t="s">
        <v>766</v>
      </c>
      <c r="F1598">
        <v>1</v>
      </c>
      <c r="G1598" s="308">
        <f>'BECA MEDIA'!G232</f>
        <v>0</v>
      </c>
      <c r="H1598" s="308">
        <f>'BECA MEDIA'!H232</f>
        <v>0</v>
      </c>
    </row>
    <row r="1599" spans="1:8" x14ac:dyDescent="0.3">
      <c r="A1599" t="s">
        <v>688</v>
      </c>
      <c r="B1599" t="s">
        <v>246</v>
      </c>
      <c r="C1599" t="s">
        <v>255</v>
      </c>
      <c r="D1599" t="s">
        <v>689</v>
      </c>
      <c r="E1599" t="s">
        <v>767</v>
      </c>
      <c r="F1599">
        <v>2</v>
      </c>
      <c r="G1599" s="308">
        <f>'BECA MEDIA'!J232</f>
        <v>0</v>
      </c>
      <c r="H1599" s="308">
        <f>'BECA MEDIA'!K232</f>
        <v>0</v>
      </c>
    </row>
    <row r="1600" spans="1:8" x14ac:dyDescent="0.3">
      <c r="A1600" t="s">
        <v>688</v>
      </c>
      <c r="B1600" t="s">
        <v>246</v>
      </c>
      <c r="C1600" t="s">
        <v>255</v>
      </c>
      <c r="D1600" t="s">
        <v>689</v>
      </c>
      <c r="E1600" t="s">
        <v>768</v>
      </c>
      <c r="F1600">
        <v>3</v>
      </c>
      <c r="G1600" s="308">
        <f>'BECA MEDIA'!M232</f>
        <v>1.6</v>
      </c>
      <c r="H1600" s="308">
        <f>'BECA MEDIA'!N232</f>
        <v>4000</v>
      </c>
    </row>
    <row r="1601" spans="1:8" x14ac:dyDescent="0.3">
      <c r="A1601" t="s">
        <v>688</v>
      </c>
      <c r="B1601" t="s">
        <v>246</v>
      </c>
      <c r="C1601" t="s">
        <v>255</v>
      </c>
      <c r="D1601" t="s">
        <v>689</v>
      </c>
      <c r="E1601" t="s">
        <v>769</v>
      </c>
      <c r="F1601">
        <v>4</v>
      </c>
      <c r="G1601" s="308">
        <f>'BECA MEDIA'!P232</f>
        <v>0.8</v>
      </c>
      <c r="H1601" s="308">
        <f>'BECA MEDIA'!Q232</f>
        <v>2000</v>
      </c>
    </row>
    <row r="1602" spans="1:8" x14ac:dyDescent="0.3">
      <c r="A1602" t="s">
        <v>688</v>
      </c>
      <c r="B1602" t="s">
        <v>246</v>
      </c>
      <c r="C1602" t="s">
        <v>255</v>
      </c>
      <c r="D1602" t="s">
        <v>689</v>
      </c>
      <c r="E1602" t="s">
        <v>770</v>
      </c>
      <c r="F1602">
        <v>5</v>
      </c>
      <c r="G1602" s="308">
        <f>'BECA MEDIA'!S232</f>
        <v>0</v>
      </c>
      <c r="H1602" s="308">
        <f>'BECA MEDIA'!T232</f>
        <v>0</v>
      </c>
    </row>
    <row r="1603" spans="1:8" x14ac:dyDescent="0.3">
      <c r="A1603" t="s">
        <v>688</v>
      </c>
      <c r="B1603" t="s">
        <v>246</v>
      </c>
      <c r="C1603" t="s">
        <v>255</v>
      </c>
      <c r="D1603" t="s">
        <v>689</v>
      </c>
      <c r="E1603" t="s">
        <v>771</v>
      </c>
      <c r="F1603">
        <v>6</v>
      </c>
      <c r="G1603" s="308">
        <f>'BECA MEDIA'!V232</f>
        <v>2.8</v>
      </c>
      <c r="H1603" s="308">
        <f>'BECA MEDIA'!W232</f>
        <v>7000</v>
      </c>
    </row>
    <row r="1604" spans="1:8" x14ac:dyDescent="0.3">
      <c r="A1604" t="s">
        <v>688</v>
      </c>
      <c r="B1604" t="s">
        <v>246</v>
      </c>
      <c r="C1604" t="s">
        <v>255</v>
      </c>
      <c r="D1604" t="s">
        <v>689</v>
      </c>
      <c r="E1604" t="s">
        <v>772</v>
      </c>
      <c r="F1604">
        <v>7</v>
      </c>
      <c r="G1604" s="308">
        <f>'BECA MEDIA'!Y232</f>
        <v>0</v>
      </c>
      <c r="H1604" s="308">
        <f>'BECA MEDIA'!Z232</f>
        <v>0</v>
      </c>
    </row>
    <row r="1605" spans="1:8" x14ac:dyDescent="0.3">
      <c r="A1605" t="s">
        <v>688</v>
      </c>
      <c r="B1605" t="s">
        <v>246</v>
      </c>
      <c r="C1605" t="s">
        <v>256</v>
      </c>
      <c r="D1605" t="s">
        <v>689</v>
      </c>
      <c r="E1605" t="s">
        <v>766</v>
      </c>
      <c r="F1605">
        <v>1</v>
      </c>
      <c r="G1605" s="308">
        <f>'BECA MEDIA'!G233</f>
        <v>0</v>
      </c>
      <c r="H1605" s="308">
        <f>'BECA MEDIA'!H233</f>
        <v>0</v>
      </c>
    </row>
    <row r="1606" spans="1:8" x14ac:dyDescent="0.3">
      <c r="A1606" t="s">
        <v>688</v>
      </c>
      <c r="B1606" t="s">
        <v>246</v>
      </c>
      <c r="C1606" t="s">
        <v>256</v>
      </c>
      <c r="D1606" t="s">
        <v>689</v>
      </c>
      <c r="E1606" t="s">
        <v>767</v>
      </c>
      <c r="F1606">
        <v>2</v>
      </c>
      <c r="G1606" s="308">
        <f>'BECA MEDIA'!J233</f>
        <v>0</v>
      </c>
      <c r="H1606" s="308">
        <f>'BECA MEDIA'!K233</f>
        <v>0</v>
      </c>
    </row>
    <row r="1607" spans="1:8" x14ac:dyDescent="0.3">
      <c r="A1607" t="s">
        <v>688</v>
      </c>
      <c r="B1607" t="s">
        <v>246</v>
      </c>
      <c r="C1607" t="s">
        <v>256</v>
      </c>
      <c r="D1607" t="s">
        <v>689</v>
      </c>
      <c r="E1607" t="s">
        <v>768</v>
      </c>
      <c r="F1607">
        <v>3</v>
      </c>
      <c r="G1607" s="308">
        <f>'BECA MEDIA'!M233</f>
        <v>1.6</v>
      </c>
      <c r="H1607" s="308">
        <f>'BECA MEDIA'!N233</f>
        <v>4000</v>
      </c>
    </row>
    <row r="1608" spans="1:8" x14ac:dyDescent="0.3">
      <c r="A1608" t="s">
        <v>688</v>
      </c>
      <c r="B1608" t="s">
        <v>246</v>
      </c>
      <c r="C1608" t="s">
        <v>256</v>
      </c>
      <c r="D1608" t="s">
        <v>689</v>
      </c>
      <c r="E1608" t="s">
        <v>769</v>
      </c>
      <c r="F1608">
        <v>4</v>
      </c>
      <c r="G1608" s="308">
        <f>'BECA MEDIA'!P233</f>
        <v>2</v>
      </c>
      <c r="H1608" s="308">
        <f>'BECA MEDIA'!Q233</f>
        <v>5000</v>
      </c>
    </row>
    <row r="1609" spans="1:8" x14ac:dyDescent="0.3">
      <c r="A1609" t="s">
        <v>688</v>
      </c>
      <c r="B1609" t="s">
        <v>246</v>
      </c>
      <c r="C1609" t="s">
        <v>256</v>
      </c>
      <c r="D1609" t="s">
        <v>689</v>
      </c>
      <c r="E1609" t="s">
        <v>770</v>
      </c>
      <c r="F1609">
        <v>5</v>
      </c>
      <c r="G1609" s="308">
        <f>'BECA MEDIA'!S233</f>
        <v>0</v>
      </c>
      <c r="H1609" s="308">
        <f>'BECA MEDIA'!T233</f>
        <v>0</v>
      </c>
    </row>
    <row r="1610" spans="1:8" x14ac:dyDescent="0.3">
      <c r="A1610" t="s">
        <v>688</v>
      </c>
      <c r="B1610" t="s">
        <v>246</v>
      </c>
      <c r="C1610" t="s">
        <v>256</v>
      </c>
      <c r="D1610" t="s">
        <v>689</v>
      </c>
      <c r="E1610" t="s">
        <v>771</v>
      </c>
      <c r="F1610">
        <v>6</v>
      </c>
      <c r="G1610" s="308">
        <f>'BECA MEDIA'!V233</f>
        <v>3.6</v>
      </c>
      <c r="H1610" s="308">
        <f>'BECA MEDIA'!W233</f>
        <v>9000</v>
      </c>
    </row>
    <row r="1611" spans="1:8" x14ac:dyDescent="0.3">
      <c r="A1611" t="s">
        <v>688</v>
      </c>
      <c r="B1611" t="s">
        <v>246</v>
      </c>
      <c r="C1611" t="s">
        <v>256</v>
      </c>
      <c r="D1611" t="s">
        <v>689</v>
      </c>
      <c r="E1611" t="s">
        <v>772</v>
      </c>
      <c r="F1611">
        <v>7</v>
      </c>
      <c r="G1611" s="308">
        <f>'BECA MEDIA'!Y233</f>
        <v>0</v>
      </c>
      <c r="H1611" s="308">
        <f>'BECA MEDIA'!Z233</f>
        <v>0</v>
      </c>
    </row>
    <row r="1612" spans="1:8" x14ac:dyDescent="0.3">
      <c r="A1612" t="s">
        <v>688</v>
      </c>
      <c r="B1612" t="s">
        <v>246</v>
      </c>
      <c r="C1612" t="s">
        <v>257</v>
      </c>
      <c r="D1612" t="s">
        <v>689</v>
      </c>
      <c r="E1612" t="s">
        <v>766</v>
      </c>
      <c r="F1612">
        <v>1</v>
      </c>
      <c r="G1612" s="308">
        <f>'BECA MEDIA'!G234</f>
        <v>0</v>
      </c>
      <c r="H1612" s="308">
        <f>'BECA MEDIA'!H234</f>
        <v>0</v>
      </c>
    </row>
    <row r="1613" spans="1:8" x14ac:dyDescent="0.3">
      <c r="A1613" t="s">
        <v>688</v>
      </c>
      <c r="B1613" t="s">
        <v>246</v>
      </c>
      <c r="C1613" t="s">
        <v>257</v>
      </c>
      <c r="D1613" t="s">
        <v>689</v>
      </c>
      <c r="E1613" t="s">
        <v>767</v>
      </c>
      <c r="F1613">
        <v>2</v>
      </c>
      <c r="G1613" s="308">
        <f>'BECA MEDIA'!J234</f>
        <v>0</v>
      </c>
      <c r="H1613" s="308">
        <f>'BECA MEDIA'!K234</f>
        <v>0</v>
      </c>
    </row>
    <row r="1614" spans="1:8" x14ac:dyDescent="0.3">
      <c r="A1614" t="s">
        <v>688</v>
      </c>
      <c r="B1614" t="s">
        <v>246</v>
      </c>
      <c r="C1614" t="s">
        <v>257</v>
      </c>
      <c r="D1614" t="s">
        <v>689</v>
      </c>
      <c r="E1614" t="s">
        <v>768</v>
      </c>
      <c r="F1614">
        <v>3</v>
      </c>
      <c r="G1614" s="308">
        <f>'BECA MEDIA'!M234</f>
        <v>6.4</v>
      </c>
      <c r="H1614" s="308">
        <f>'BECA MEDIA'!N234</f>
        <v>16000</v>
      </c>
    </row>
    <row r="1615" spans="1:8" x14ac:dyDescent="0.3">
      <c r="A1615" t="s">
        <v>688</v>
      </c>
      <c r="B1615" t="s">
        <v>246</v>
      </c>
      <c r="C1615" t="s">
        <v>257</v>
      </c>
      <c r="D1615" t="s">
        <v>689</v>
      </c>
      <c r="E1615" t="s">
        <v>769</v>
      </c>
      <c r="F1615">
        <v>4</v>
      </c>
      <c r="G1615" s="308">
        <f>'BECA MEDIA'!P234</f>
        <v>0.8</v>
      </c>
      <c r="H1615" s="308">
        <f>'BECA MEDIA'!Q234</f>
        <v>2000</v>
      </c>
    </row>
    <row r="1616" spans="1:8" x14ac:dyDescent="0.3">
      <c r="A1616" t="s">
        <v>688</v>
      </c>
      <c r="B1616" t="s">
        <v>246</v>
      </c>
      <c r="C1616" t="s">
        <v>257</v>
      </c>
      <c r="D1616" t="s">
        <v>689</v>
      </c>
      <c r="E1616" t="s">
        <v>770</v>
      </c>
      <c r="F1616">
        <v>5</v>
      </c>
      <c r="G1616" s="308">
        <f>'BECA MEDIA'!S234</f>
        <v>0</v>
      </c>
      <c r="H1616" s="308">
        <f>'BECA MEDIA'!T234</f>
        <v>0</v>
      </c>
    </row>
    <row r="1617" spans="1:8" x14ac:dyDescent="0.3">
      <c r="A1617" t="s">
        <v>688</v>
      </c>
      <c r="B1617" t="s">
        <v>246</v>
      </c>
      <c r="C1617" t="s">
        <v>257</v>
      </c>
      <c r="D1617" t="s">
        <v>689</v>
      </c>
      <c r="E1617" t="s">
        <v>771</v>
      </c>
      <c r="F1617">
        <v>6</v>
      </c>
      <c r="G1617" s="308">
        <f>'BECA MEDIA'!V234</f>
        <v>7.2</v>
      </c>
      <c r="H1617" s="308">
        <f>'BECA MEDIA'!W234</f>
        <v>18000</v>
      </c>
    </row>
    <row r="1618" spans="1:8" x14ac:dyDescent="0.3">
      <c r="A1618" t="s">
        <v>688</v>
      </c>
      <c r="B1618" t="s">
        <v>246</v>
      </c>
      <c r="C1618" t="s">
        <v>257</v>
      </c>
      <c r="D1618" t="s">
        <v>689</v>
      </c>
      <c r="E1618" t="s">
        <v>772</v>
      </c>
      <c r="F1618">
        <v>7</v>
      </c>
      <c r="G1618" s="308">
        <f>'BECA MEDIA'!Y234</f>
        <v>0</v>
      </c>
      <c r="H1618" s="308">
        <f>'BECA MEDIA'!Z234</f>
        <v>0</v>
      </c>
    </row>
    <row r="1619" spans="1:8" x14ac:dyDescent="0.3">
      <c r="A1619" t="s">
        <v>688</v>
      </c>
      <c r="B1619" t="s">
        <v>246</v>
      </c>
      <c r="C1619" t="s">
        <v>258</v>
      </c>
      <c r="D1619" t="s">
        <v>689</v>
      </c>
      <c r="E1619" t="s">
        <v>766</v>
      </c>
      <c r="F1619">
        <v>1</v>
      </c>
      <c r="G1619" s="308">
        <f>'BECA MEDIA'!G235</f>
        <v>0</v>
      </c>
      <c r="H1619" s="308">
        <f>'BECA MEDIA'!H235</f>
        <v>0</v>
      </c>
    </row>
    <row r="1620" spans="1:8" x14ac:dyDescent="0.3">
      <c r="A1620" t="s">
        <v>688</v>
      </c>
      <c r="B1620" t="s">
        <v>246</v>
      </c>
      <c r="C1620" t="s">
        <v>258</v>
      </c>
      <c r="D1620" t="s">
        <v>689</v>
      </c>
      <c r="E1620" t="s">
        <v>767</v>
      </c>
      <c r="F1620">
        <v>2</v>
      </c>
      <c r="G1620" s="308">
        <f>'BECA MEDIA'!J235</f>
        <v>0</v>
      </c>
      <c r="H1620" s="308">
        <f>'BECA MEDIA'!K235</f>
        <v>0</v>
      </c>
    </row>
    <row r="1621" spans="1:8" x14ac:dyDescent="0.3">
      <c r="A1621" t="s">
        <v>688</v>
      </c>
      <c r="B1621" t="s">
        <v>246</v>
      </c>
      <c r="C1621" t="s">
        <v>258</v>
      </c>
      <c r="D1621" t="s">
        <v>689</v>
      </c>
      <c r="E1621" t="s">
        <v>768</v>
      </c>
      <c r="F1621">
        <v>3</v>
      </c>
      <c r="G1621" s="308">
        <f>'BECA MEDIA'!M235</f>
        <v>3.2</v>
      </c>
      <c r="H1621" s="308">
        <f>'BECA MEDIA'!N235</f>
        <v>8000</v>
      </c>
    </row>
    <row r="1622" spans="1:8" x14ac:dyDescent="0.3">
      <c r="A1622" t="s">
        <v>688</v>
      </c>
      <c r="B1622" t="s">
        <v>246</v>
      </c>
      <c r="C1622" t="s">
        <v>258</v>
      </c>
      <c r="D1622" t="s">
        <v>689</v>
      </c>
      <c r="E1622" t="s">
        <v>769</v>
      </c>
      <c r="F1622">
        <v>4</v>
      </c>
      <c r="G1622" s="308">
        <f>'BECA MEDIA'!P235</f>
        <v>1.6</v>
      </c>
      <c r="H1622" s="308">
        <f>'BECA MEDIA'!Q235</f>
        <v>4000</v>
      </c>
    </row>
    <row r="1623" spans="1:8" x14ac:dyDescent="0.3">
      <c r="A1623" t="s">
        <v>688</v>
      </c>
      <c r="B1623" t="s">
        <v>246</v>
      </c>
      <c r="C1623" t="s">
        <v>258</v>
      </c>
      <c r="D1623" t="s">
        <v>689</v>
      </c>
      <c r="E1623" t="s">
        <v>770</v>
      </c>
      <c r="F1623">
        <v>5</v>
      </c>
      <c r="G1623" s="308">
        <f>'BECA MEDIA'!S235</f>
        <v>0</v>
      </c>
      <c r="H1623" s="308">
        <f>'BECA MEDIA'!T235</f>
        <v>0</v>
      </c>
    </row>
    <row r="1624" spans="1:8" x14ac:dyDescent="0.3">
      <c r="A1624" t="s">
        <v>688</v>
      </c>
      <c r="B1624" t="s">
        <v>246</v>
      </c>
      <c r="C1624" t="s">
        <v>258</v>
      </c>
      <c r="D1624" t="s">
        <v>689</v>
      </c>
      <c r="E1624" t="s">
        <v>771</v>
      </c>
      <c r="F1624">
        <v>6</v>
      </c>
      <c r="G1624" s="308">
        <f>'BECA MEDIA'!V235</f>
        <v>4.8</v>
      </c>
      <c r="H1624" s="308">
        <f>'BECA MEDIA'!W235</f>
        <v>12000</v>
      </c>
    </row>
    <row r="1625" spans="1:8" x14ac:dyDescent="0.3">
      <c r="A1625" t="s">
        <v>688</v>
      </c>
      <c r="B1625" t="s">
        <v>246</v>
      </c>
      <c r="C1625" t="s">
        <v>258</v>
      </c>
      <c r="D1625" t="s">
        <v>689</v>
      </c>
      <c r="E1625" t="s">
        <v>772</v>
      </c>
      <c r="F1625">
        <v>7</v>
      </c>
      <c r="G1625" s="308">
        <f>'BECA MEDIA'!Y235</f>
        <v>0</v>
      </c>
      <c r="H1625" s="308">
        <f>'BECA MEDIA'!Z235</f>
        <v>0</v>
      </c>
    </row>
    <row r="1626" spans="1:8" x14ac:dyDescent="0.3">
      <c r="A1626" t="s">
        <v>688</v>
      </c>
      <c r="B1626" t="s">
        <v>246</v>
      </c>
      <c r="C1626" t="s">
        <v>259</v>
      </c>
      <c r="D1626" t="s">
        <v>689</v>
      </c>
      <c r="E1626" t="s">
        <v>766</v>
      </c>
      <c r="F1626">
        <v>1</v>
      </c>
      <c r="G1626" s="308">
        <f>'BECA MEDIA'!G236</f>
        <v>0</v>
      </c>
      <c r="H1626" s="308">
        <f>'BECA MEDIA'!H236</f>
        <v>0</v>
      </c>
    </row>
    <row r="1627" spans="1:8" x14ac:dyDescent="0.3">
      <c r="A1627" t="s">
        <v>688</v>
      </c>
      <c r="B1627" t="s">
        <v>246</v>
      </c>
      <c r="C1627" t="s">
        <v>259</v>
      </c>
      <c r="D1627" t="s">
        <v>689</v>
      </c>
      <c r="E1627" t="s">
        <v>767</v>
      </c>
      <c r="F1627">
        <v>2</v>
      </c>
      <c r="G1627" s="308">
        <f>'BECA MEDIA'!J236</f>
        <v>0</v>
      </c>
      <c r="H1627" s="308">
        <f>'BECA MEDIA'!K236</f>
        <v>0</v>
      </c>
    </row>
    <row r="1628" spans="1:8" x14ac:dyDescent="0.3">
      <c r="A1628" t="s">
        <v>688</v>
      </c>
      <c r="B1628" t="s">
        <v>246</v>
      </c>
      <c r="C1628" t="s">
        <v>259</v>
      </c>
      <c r="D1628" t="s">
        <v>689</v>
      </c>
      <c r="E1628" t="s">
        <v>768</v>
      </c>
      <c r="F1628">
        <v>3</v>
      </c>
      <c r="G1628" s="308">
        <f>'BECA MEDIA'!M236</f>
        <v>5.6</v>
      </c>
      <c r="H1628" s="308">
        <f>'BECA MEDIA'!N236</f>
        <v>14000</v>
      </c>
    </row>
    <row r="1629" spans="1:8" x14ac:dyDescent="0.3">
      <c r="A1629" t="s">
        <v>688</v>
      </c>
      <c r="B1629" t="s">
        <v>246</v>
      </c>
      <c r="C1629" t="s">
        <v>259</v>
      </c>
      <c r="D1629" t="s">
        <v>689</v>
      </c>
      <c r="E1629" t="s">
        <v>769</v>
      </c>
      <c r="F1629">
        <v>4</v>
      </c>
      <c r="G1629" s="308">
        <f>'BECA MEDIA'!P236</f>
        <v>0.8</v>
      </c>
      <c r="H1629" s="308">
        <f>'BECA MEDIA'!Q236</f>
        <v>2000</v>
      </c>
    </row>
    <row r="1630" spans="1:8" x14ac:dyDescent="0.3">
      <c r="A1630" t="s">
        <v>688</v>
      </c>
      <c r="B1630" t="s">
        <v>246</v>
      </c>
      <c r="C1630" t="s">
        <v>259</v>
      </c>
      <c r="D1630" t="s">
        <v>689</v>
      </c>
      <c r="E1630" t="s">
        <v>770</v>
      </c>
      <c r="F1630">
        <v>5</v>
      </c>
      <c r="G1630" s="308">
        <f>'BECA MEDIA'!S236</f>
        <v>0</v>
      </c>
      <c r="H1630" s="308">
        <f>'BECA MEDIA'!T236</f>
        <v>0</v>
      </c>
    </row>
    <row r="1631" spans="1:8" x14ac:dyDescent="0.3">
      <c r="A1631" t="s">
        <v>688</v>
      </c>
      <c r="B1631" t="s">
        <v>246</v>
      </c>
      <c r="C1631" t="s">
        <v>259</v>
      </c>
      <c r="D1631" t="s">
        <v>689</v>
      </c>
      <c r="E1631" t="s">
        <v>771</v>
      </c>
      <c r="F1631">
        <v>6</v>
      </c>
      <c r="G1631" s="308">
        <f>'BECA MEDIA'!V236</f>
        <v>6</v>
      </c>
      <c r="H1631" s="308">
        <f>'BECA MEDIA'!W236</f>
        <v>15000</v>
      </c>
    </row>
    <row r="1632" spans="1:8" x14ac:dyDescent="0.3">
      <c r="A1632" t="s">
        <v>688</v>
      </c>
      <c r="B1632" t="s">
        <v>246</v>
      </c>
      <c r="C1632" t="s">
        <v>259</v>
      </c>
      <c r="D1632" t="s">
        <v>689</v>
      </c>
      <c r="E1632" t="s">
        <v>772</v>
      </c>
      <c r="F1632">
        <v>7</v>
      </c>
      <c r="G1632" s="308">
        <f>'BECA MEDIA'!Y236</f>
        <v>0</v>
      </c>
      <c r="H1632" s="308">
        <f>'BECA MEDIA'!Z236</f>
        <v>0</v>
      </c>
    </row>
    <row r="1633" spans="1:8" x14ac:dyDescent="0.3">
      <c r="A1633" t="s">
        <v>688</v>
      </c>
      <c r="B1633" t="s">
        <v>246</v>
      </c>
      <c r="C1633" t="s">
        <v>260</v>
      </c>
      <c r="D1633" t="s">
        <v>689</v>
      </c>
      <c r="E1633" t="s">
        <v>766</v>
      </c>
      <c r="F1633">
        <v>1</v>
      </c>
      <c r="G1633" s="308">
        <f>'BECA MEDIA'!G237</f>
        <v>0</v>
      </c>
      <c r="H1633" s="308">
        <f>'BECA MEDIA'!H237</f>
        <v>0</v>
      </c>
    </row>
    <row r="1634" spans="1:8" x14ac:dyDescent="0.3">
      <c r="A1634" t="s">
        <v>688</v>
      </c>
      <c r="B1634" t="s">
        <v>246</v>
      </c>
      <c r="C1634" t="s">
        <v>260</v>
      </c>
      <c r="D1634" t="s">
        <v>689</v>
      </c>
      <c r="E1634" t="s">
        <v>767</v>
      </c>
      <c r="F1634">
        <v>2</v>
      </c>
      <c r="G1634" s="308">
        <f>'BECA MEDIA'!J237</f>
        <v>0</v>
      </c>
      <c r="H1634" s="308">
        <f>'BECA MEDIA'!K237</f>
        <v>0</v>
      </c>
    </row>
    <row r="1635" spans="1:8" x14ac:dyDescent="0.3">
      <c r="A1635" t="s">
        <v>688</v>
      </c>
      <c r="B1635" t="s">
        <v>246</v>
      </c>
      <c r="C1635" t="s">
        <v>260</v>
      </c>
      <c r="D1635" t="s">
        <v>689</v>
      </c>
      <c r="E1635" t="s">
        <v>768</v>
      </c>
      <c r="F1635">
        <v>3</v>
      </c>
      <c r="G1635" s="308">
        <f>'BECA MEDIA'!M237</f>
        <v>4</v>
      </c>
      <c r="H1635" s="308">
        <f>'BECA MEDIA'!N237</f>
        <v>10000</v>
      </c>
    </row>
    <row r="1636" spans="1:8" x14ac:dyDescent="0.3">
      <c r="A1636" t="s">
        <v>688</v>
      </c>
      <c r="B1636" t="s">
        <v>246</v>
      </c>
      <c r="C1636" t="s">
        <v>260</v>
      </c>
      <c r="D1636" t="s">
        <v>689</v>
      </c>
      <c r="E1636" t="s">
        <v>769</v>
      </c>
      <c r="F1636">
        <v>4</v>
      </c>
      <c r="G1636" s="308">
        <f>'BECA MEDIA'!P237</f>
        <v>1.2</v>
      </c>
      <c r="H1636" s="308">
        <f>'BECA MEDIA'!Q237</f>
        <v>3000</v>
      </c>
    </row>
    <row r="1637" spans="1:8" x14ac:dyDescent="0.3">
      <c r="A1637" t="s">
        <v>688</v>
      </c>
      <c r="B1637" t="s">
        <v>246</v>
      </c>
      <c r="C1637" t="s">
        <v>260</v>
      </c>
      <c r="D1637" t="s">
        <v>689</v>
      </c>
      <c r="E1637" t="s">
        <v>770</v>
      </c>
      <c r="F1637">
        <v>5</v>
      </c>
      <c r="G1637" s="308">
        <f>'BECA MEDIA'!S237</f>
        <v>0</v>
      </c>
      <c r="H1637" s="308">
        <f>'BECA MEDIA'!T237</f>
        <v>0</v>
      </c>
    </row>
    <row r="1638" spans="1:8" x14ac:dyDescent="0.3">
      <c r="A1638" t="s">
        <v>688</v>
      </c>
      <c r="B1638" t="s">
        <v>246</v>
      </c>
      <c r="C1638" t="s">
        <v>260</v>
      </c>
      <c r="D1638" t="s">
        <v>689</v>
      </c>
      <c r="E1638" t="s">
        <v>771</v>
      </c>
      <c r="F1638">
        <v>6</v>
      </c>
      <c r="G1638" s="308">
        <f>'BECA MEDIA'!V237</f>
        <v>5.2</v>
      </c>
      <c r="H1638" s="308">
        <f>'BECA MEDIA'!W237</f>
        <v>13000</v>
      </c>
    </row>
    <row r="1639" spans="1:8" x14ac:dyDescent="0.3">
      <c r="A1639" t="s">
        <v>688</v>
      </c>
      <c r="B1639" t="s">
        <v>246</v>
      </c>
      <c r="C1639" t="s">
        <v>260</v>
      </c>
      <c r="D1639" t="s">
        <v>689</v>
      </c>
      <c r="E1639" t="s">
        <v>772</v>
      </c>
      <c r="F1639">
        <v>7</v>
      </c>
      <c r="G1639" s="308">
        <f>'BECA MEDIA'!Y237</f>
        <v>0</v>
      </c>
      <c r="H1639" s="308">
        <f>'BECA MEDIA'!Z237</f>
        <v>0</v>
      </c>
    </row>
    <row r="1640" spans="1:8" x14ac:dyDescent="0.3">
      <c r="A1640" t="s">
        <v>688</v>
      </c>
      <c r="B1640" t="s">
        <v>246</v>
      </c>
      <c r="C1640" t="s">
        <v>261</v>
      </c>
      <c r="D1640" t="s">
        <v>689</v>
      </c>
      <c r="E1640" t="s">
        <v>766</v>
      </c>
      <c r="F1640">
        <v>1</v>
      </c>
      <c r="G1640" s="308">
        <f>'BECA MEDIA'!G238</f>
        <v>0</v>
      </c>
      <c r="H1640" s="308">
        <f>'BECA MEDIA'!H238</f>
        <v>0</v>
      </c>
    </row>
    <row r="1641" spans="1:8" x14ac:dyDescent="0.3">
      <c r="A1641" t="s">
        <v>688</v>
      </c>
      <c r="B1641" t="s">
        <v>246</v>
      </c>
      <c r="C1641" t="s">
        <v>261</v>
      </c>
      <c r="D1641" t="s">
        <v>689</v>
      </c>
      <c r="E1641" t="s">
        <v>767</v>
      </c>
      <c r="F1641">
        <v>2</v>
      </c>
      <c r="G1641" s="308">
        <f>'BECA MEDIA'!J238</f>
        <v>0</v>
      </c>
      <c r="H1641" s="308">
        <f>'BECA MEDIA'!K238</f>
        <v>0</v>
      </c>
    </row>
    <row r="1642" spans="1:8" x14ac:dyDescent="0.3">
      <c r="A1642" t="s">
        <v>688</v>
      </c>
      <c r="B1642" t="s">
        <v>246</v>
      </c>
      <c r="C1642" t="s">
        <v>261</v>
      </c>
      <c r="D1642" t="s">
        <v>689</v>
      </c>
      <c r="E1642" t="s">
        <v>768</v>
      </c>
      <c r="F1642">
        <v>3</v>
      </c>
      <c r="G1642" s="308">
        <f>'BECA MEDIA'!M238</f>
        <v>6</v>
      </c>
      <c r="H1642" s="308">
        <f>'BECA MEDIA'!N238</f>
        <v>15000</v>
      </c>
    </row>
    <row r="1643" spans="1:8" x14ac:dyDescent="0.3">
      <c r="A1643" t="s">
        <v>688</v>
      </c>
      <c r="B1643" t="s">
        <v>246</v>
      </c>
      <c r="C1643" t="s">
        <v>261</v>
      </c>
      <c r="D1643" t="s">
        <v>689</v>
      </c>
      <c r="E1643" t="s">
        <v>769</v>
      </c>
      <c r="F1643">
        <v>4</v>
      </c>
      <c r="G1643" s="308">
        <f>'BECA MEDIA'!P238</f>
        <v>0.4</v>
      </c>
      <c r="H1643" s="308">
        <f>'BECA MEDIA'!Q238</f>
        <v>1000</v>
      </c>
    </row>
    <row r="1644" spans="1:8" x14ac:dyDescent="0.3">
      <c r="A1644" t="s">
        <v>688</v>
      </c>
      <c r="B1644" t="s">
        <v>246</v>
      </c>
      <c r="C1644" t="s">
        <v>261</v>
      </c>
      <c r="D1644" t="s">
        <v>689</v>
      </c>
      <c r="E1644" t="s">
        <v>770</v>
      </c>
      <c r="F1644">
        <v>5</v>
      </c>
      <c r="G1644" s="308">
        <f>'BECA MEDIA'!S238</f>
        <v>0</v>
      </c>
      <c r="H1644" s="308">
        <f>'BECA MEDIA'!T238</f>
        <v>0</v>
      </c>
    </row>
    <row r="1645" spans="1:8" x14ac:dyDescent="0.3">
      <c r="A1645" t="s">
        <v>688</v>
      </c>
      <c r="B1645" t="s">
        <v>246</v>
      </c>
      <c r="C1645" t="s">
        <v>261</v>
      </c>
      <c r="D1645" t="s">
        <v>689</v>
      </c>
      <c r="E1645" t="s">
        <v>771</v>
      </c>
      <c r="F1645">
        <v>6</v>
      </c>
      <c r="G1645" s="308">
        <f>'BECA MEDIA'!V238</f>
        <v>8</v>
      </c>
      <c r="H1645" s="308">
        <f>'BECA MEDIA'!W238</f>
        <v>20000</v>
      </c>
    </row>
    <row r="1646" spans="1:8" x14ac:dyDescent="0.3">
      <c r="A1646" t="s">
        <v>688</v>
      </c>
      <c r="B1646" t="s">
        <v>246</v>
      </c>
      <c r="C1646" t="s">
        <v>261</v>
      </c>
      <c r="D1646" t="s">
        <v>689</v>
      </c>
      <c r="E1646" t="s">
        <v>772</v>
      </c>
      <c r="F1646">
        <v>7</v>
      </c>
      <c r="G1646" s="308">
        <f>'BECA MEDIA'!Y238</f>
        <v>0</v>
      </c>
      <c r="H1646" s="308">
        <f>'BECA MEDIA'!Z238</f>
        <v>0</v>
      </c>
    </row>
    <row r="1647" spans="1:8" x14ac:dyDescent="0.3">
      <c r="A1647" t="s">
        <v>688</v>
      </c>
      <c r="B1647" t="s">
        <v>246</v>
      </c>
      <c r="C1647" t="s">
        <v>262</v>
      </c>
      <c r="D1647" t="s">
        <v>689</v>
      </c>
      <c r="E1647" t="s">
        <v>766</v>
      </c>
      <c r="F1647">
        <v>1</v>
      </c>
      <c r="G1647" s="308">
        <f>'BECA MEDIA'!G239</f>
        <v>0</v>
      </c>
      <c r="H1647" s="308">
        <f>'BECA MEDIA'!H239</f>
        <v>0</v>
      </c>
    </row>
    <row r="1648" spans="1:8" x14ac:dyDescent="0.3">
      <c r="A1648" t="s">
        <v>688</v>
      </c>
      <c r="B1648" t="s">
        <v>246</v>
      </c>
      <c r="C1648" t="s">
        <v>262</v>
      </c>
      <c r="D1648" t="s">
        <v>689</v>
      </c>
      <c r="E1648" t="s">
        <v>767</v>
      </c>
      <c r="F1648">
        <v>2</v>
      </c>
      <c r="G1648" s="308">
        <f>'BECA MEDIA'!J239</f>
        <v>0</v>
      </c>
      <c r="H1648" s="308">
        <f>'BECA MEDIA'!K239</f>
        <v>0</v>
      </c>
    </row>
    <row r="1649" spans="1:8" x14ac:dyDescent="0.3">
      <c r="A1649" t="s">
        <v>688</v>
      </c>
      <c r="B1649" t="s">
        <v>246</v>
      </c>
      <c r="C1649" t="s">
        <v>262</v>
      </c>
      <c r="D1649" t="s">
        <v>689</v>
      </c>
      <c r="E1649" t="s">
        <v>768</v>
      </c>
      <c r="F1649">
        <v>3</v>
      </c>
      <c r="G1649" s="308">
        <f>'BECA MEDIA'!M239</f>
        <v>7.6</v>
      </c>
      <c r="H1649" s="308">
        <f>'BECA MEDIA'!N239</f>
        <v>19000</v>
      </c>
    </row>
    <row r="1650" spans="1:8" x14ac:dyDescent="0.3">
      <c r="A1650" t="s">
        <v>688</v>
      </c>
      <c r="B1650" t="s">
        <v>246</v>
      </c>
      <c r="C1650" t="s">
        <v>262</v>
      </c>
      <c r="D1650" t="s">
        <v>689</v>
      </c>
      <c r="E1650" t="s">
        <v>769</v>
      </c>
      <c r="F1650">
        <v>4</v>
      </c>
      <c r="G1650" s="308">
        <f>'BECA MEDIA'!P239</f>
        <v>1.6</v>
      </c>
      <c r="H1650" s="308">
        <f>'BECA MEDIA'!Q239</f>
        <v>4000</v>
      </c>
    </row>
    <row r="1651" spans="1:8" x14ac:dyDescent="0.3">
      <c r="A1651" t="s">
        <v>688</v>
      </c>
      <c r="B1651" t="s">
        <v>246</v>
      </c>
      <c r="C1651" t="s">
        <v>262</v>
      </c>
      <c r="D1651" t="s">
        <v>689</v>
      </c>
      <c r="E1651" t="s">
        <v>770</v>
      </c>
      <c r="F1651">
        <v>5</v>
      </c>
      <c r="G1651" s="308">
        <f>'BECA MEDIA'!S239</f>
        <v>0</v>
      </c>
      <c r="H1651" s="308">
        <f>'BECA MEDIA'!T239</f>
        <v>0</v>
      </c>
    </row>
    <row r="1652" spans="1:8" x14ac:dyDescent="0.3">
      <c r="A1652" t="s">
        <v>688</v>
      </c>
      <c r="B1652" t="s">
        <v>246</v>
      </c>
      <c r="C1652" t="s">
        <v>262</v>
      </c>
      <c r="D1652" t="s">
        <v>689</v>
      </c>
      <c r="E1652" t="s">
        <v>771</v>
      </c>
      <c r="F1652">
        <v>6</v>
      </c>
      <c r="G1652" s="308">
        <f>'BECA MEDIA'!V239</f>
        <v>9.1999999999999993</v>
      </c>
      <c r="H1652" s="308">
        <f>'BECA MEDIA'!W239</f>
        <v>23000</v>
      </c>
    </row>
    <row r="1653" spans="1:8" x14ac:dyDescent="0.3">
      <c r="A1653" t="s">
        <v>688</v>
      </c>
      <c r="B1653" t="s">
        <v>246</v>
      </c>
      <c r="C1653" t="s">
        <v>262</v>
      </c>
      <c r="D1653" t="s">
        <v>689</v>
      </c>
      <c r="E1653" t="s">
        <v>772</v>
      </c>
      <c r="F1653">
        <v>7</v>
      </c>
      <c r="G1653" s="308">
        <f>'BECA MEDIA'!Y239</f>
        <v>0</v>
      </c>
      <c r="H1653" s="308">
        <f>'BECA MEDIA'!Z239</f>
        <v>0</v>
      </c>
    </row>
    <row r="1654" spans="1:8" x14ac:dyDescent="0.3">
      <c r="A1654" t="s">
        <v>688</v>
      </c>
      <c r="B1654" t="s">
        <v>263</v>
      </c>
      <c r="C1654" t="s">
        <v>264</v>
      </c>
      <c r="D1654" t="s">
        <v>689</v>
      </c>
      <c r="E1654" t="s">
        <v>766</v>
      </c>
      <c r="F1654">
        <v>1</v>
      </c>
      <c r="G1654" s="308">
        <f>'BECA MEDIA'!G240</f>
        <v>0</v>
      </c>
      <c r="H1654" s="308">
        <f>'BECA MEDIA'!H240</f>
        <v>0</v>
      </c>
    </row>
    <row r="1655" spans="1:8" x14ac:dyDescent="0.3">
      <c r="A1655" t="s">
        <v>688</v>
      </c>
      <c r="B1655" t="s">
        <v>263</v>
      </c>
      <c r="C1655" t="s">
        <v>264</v>
      </c>
      <c r="D1655" t="s">
        <v>689</v>
      </c>
      <c r="E1655" t="s">
        <v>767</v>
      </c>
      <c r="F1655">
        <v>2</v>
      </c>
      <c r="G1655" s="308">
        <f>'BECA MEDIA'!J240</f>
        <v>0</v>
      </c>
      <c r="H1655" s="308">
        <f>'BECA MEDIA'!K240</f>
        <v>0</v>
      </c>
    </row>
    <row r="1656" spans="1:8" x14ac:dyDescent="0.3">
      <c r="A1656" t="s">
        <v>688</v>
      </c>
      <c r="B1656" t="s">
        <v>263</v>
      </c>
      <c r="C1656" t="s">
        <v>264</v>
      </c>
      <c r="D1656" t="s">
        <v>689</v>
      </c>
      <c r="E1656" t="s">
        <v>768</v>
      </c>
      <c r="F1656">
        <v>3</v>
      </c>
      <c r="G1656" s="308">
        <f>'BECA MEDIA'!M240</f>
        <v>2.8</v>
      </c>
      <c r="H1656" s="308">
        <f>'BECA MEDIA'!N240</f>
        <v>7000</v>
      </c>
    </row>
    <row r="1657" spans="1:8" x14ac:dyDescent="0.3">
      <c r="A1657" t="s">
        <v>688</v>
      </c>
      <c r="B1657" t="s">
        <v>263</v>
      </c>
      <c r="C1657" t="s">
        <v>264</v>
      </c>
      <c r="D1657" t="s">
        <v>689</v>
      </c>
      <c r="E1657" t="s">
        <v>769</v>
      </c>
      <c r="F1657">
        <v>4</v>
      </c>
      <c r="G1657" s="308">
        <f>'BECA MEDIA'!P240</f>
        <v>1.6</v>
      </c>
      <c r="H1657" s="308">
        <f>'BECA MEDIA'!Q240</f>
        <v>4000</v>
      </c>
    </row>
    <row r="1658" spans="1:8" x14ac:dyDescent="0.3">
      <c r="A1658" t="s">
        <v>688</v>
      </c>
      <c r="B1658" t="s">
        <v>263</v>
      </c>
      <c r="C1658" t="s">
        <v>264</v>
      </c>
      <c r="D1658" t="s">
        <v>689</v>
      </c>
      <c r="E1658" t="s">
        <v>770</v>
      </c>
      <c r="F1658">
        <v>5</v>
      </c>
      <c r="G1658" s="308">
        <f>'BECA MEDIA'!S240</f>
        <v>0</v>
      </c>
      <c r="H1658" s="308">
        <f>'BECA MEDIA'!T240</f>
        <v>0</v>
      </c>
    </row>
    <row r="1659" spans="1:8" x14ac:dyDescent="0.3">
      <c r="A1659" t="s">
        <v>688</v>
      </c>
      <c r="B1659" t="s">
        <v>263</v>
      </c>
      <c r="C1659" t="s">
        <v>264</v>
      </c>
      <c r="D1659" t="s">
        <v>689</v>
      </c>
      <c r="E1659" t="s">
        <v>771</v>
      </c>
      <c r="F1659">
        <v>6</v>
      </c>
      <c r="G1659" s="308">
        <f>'BECA MEDIA'!V240</f>
        <v>4.4000000000000004</v>
      </c>
      <c r="H1659" s="308">
        <f>'BECA MEDIA'!W240</f>
        <v>11000</v>
      </c>
    </row>
    <row r="1660" spans="1:8" x14ac:dyDescent="0.3">
      <c r="A1660" t="s">
        <v>688</v>
      </c>
      <c r="B1660" t="s">
        <v>263</v>
      </c>
      <c r="C1660" t="s">
        <v>264</v>
      </c>
      <c r="D1660" t="s">
        <v>689</v>
      </c>
      <c r="E1660" t="s">
        <v>772</v>
      </c>
      <c r="F1660">
        <v>7</v>
      </c>
      <c r="G1660" s="308">
        <f>'BECA MEDIA'!Y240</f>
        <v>0</v>
      </c>
      <c r="H1660" s="308">
        <f>'BECA MEDIA'!Z240</f>
        <v>0</v>
      </c>
    </row>
    <row r="1661" spans="1:8" x14ac:dyDescent="0.3">
      <c r="A1661" t="s">
        <v>688</v>
      </c>
      <c r="B1661" t="s">
        <v>263</v>
      </c>
      <c r="C1661" t="s">
        <v>265</v>
      </c>
      <c r="D1661" t="s">
        <v>689</v>
      </c>
      <c r="E1661" t="s">
        <v>766</v>
      </c>
      <c r="F1661">
        <v>1</v>
      </c>
      <c r="G1661" s="308">
        <f>'BECA MEDIA'!G241</f>
        <v>0</v>
      </c>
      <c r="H1661" s="308">
        <f>'BECA MEDIA'!H241</f>
        <v>0</v>
      </c>
    </row>
    <row r="1662" spans="1:8" x14ac:dyDescent="0.3">
      <c r="A1662" t="s">
        <v>688</v>
      </c>
      <c r="B1662" t="s">
        <v>263</v>
      </c>
      <c r="C1662" t="s">
        <v>265</v>
      </c>
      <c r="D1662" t="s">
        <v>689</v>
      </c>
      <c r="E1662" t="s">
        <v>767</v>
      </c>
      <c r="F1662">
        <v>2</v>
      </c>
      <c r="G1662" s="308">
        <f>'BECA MEDIA'!J241</f>
        <v>0</v>
      </c>
      <c r="H1662" s="308">
        <f>'BECA MEDIA'!K241</f>
        <v>0</v>
      </c>
    </row>
    <row r="1663" spans="1:8" x14ac:dyDescent="0.3">
      <c r="A1663" t="s">
        <v>688</v>
      </c>
      <c r="B1663" t="s">
        <v>263</v>
      </c>
      <c r="C1663" t="s">
        <v>265</v>
      </c>
      <c r="D1663" t="s">
        <v>689</v>
      </c>
      <c r="E1663" t="s">
        <v>768</v>
      </c>
      <c r="F1663">
        <v>3</v>
      </c>
      <c r="G1663" s="308">
        <f>'BECA MEDIA'!M241</f>
        <v>7.6</v>
      </c>
      <c r="H1663" s="308">
        <f>'BECA MEDIA'!N241</f>
        <v>19000</v>
      </c>
    </row>
    <row r="1664" spans="1:8" x14ac:dyDescent="0.3">
      <c r="A1664" t="s">
        <v>688</v>
      </c>
      <c r="B1664" t="s">
        <v>263</v>
      </c>
      <c r="C1664" t="s">
        <v>265</v>
      </c>
      <c r="D1664" t="s">
        <v>689</v>
      </c>
      <c r="E1664" t="s">
        <v>769</v>
      </c>
      <c r="F1664">
        <v>4</v>
      </c>
      <c r="G1664" s="308">
        <f>'BECA MEDIA'!P241</f>
        <v>6.4</v>
      </c>
      <c r="H1664" s="308">
        <f>'BECA MEDIA'!Q241</f>
        <v>16000</v>
      </c>
    </row>
    <row r="1665" spans="1:8" x14ac:dyDescent="0.3">
      <c r="A1665" t="s">
        <v>688</v>
      </c>
      <c r="B1665" t="s">
        <v>263</v>
      </c>
      <c r="C1665" t="s">
        <v>265</v>
      </c>
      <c r="D1665" t="s">
        <v>689</v>
      </c>
      <c r="E1665" t="s">
        <v>770</v>
      </c>
      <c r="F1665">
        <v>5</v>
      </c>
      <c r="G1665" s="308">
        <f>'BECA MEDIA'!S241</f>
        <v>0</v>
      </c>
      <c r="H1665" s="308">
        <f>'BECA MEDIA'!T241</f>
        <v>0</v>
      </c>
    </row>
    <row r="1666" spans="1:8" x14ac:dyDescent="0.3">
      <c r="A1666" t="s">
        <v>688</v>
      </c>
      <c r="B1666" t="s">
        <v>263</v>
      </c>
      <c r="C1666" t="s">
        <v>265</v>
      </c>
      <c r="D1666" t="s">
        <v>689</v>
      </c>
      <c r="E1666" t="s">
        <v>771</v>
      </c>
      <c r="F1666">
        <v>6</v>
      </c>
      <c r="G1666" s="308">
        <f>'BECA MEDIA'!V241</f>
        <v>14.8</v>
      </c>
      <c r="H1666" s="308">
        <f>'BECA MEDIA'!W241</f>
        <v>37000</v>
      </c>
    </row>
    <row r="1667" spans="1:8" x14ac:dyDescent="0.3">
      <c r="A1667" t="s">
        <v>688</v>
      </c>
      <c r="B1667" t="s">
        <v>263</v>
      </c>
      <c r="C1667" t="s">
        <v>265</v>
      </c>
      <c r="D1667" t="s">
        <v>689</v>
      </c>
      <c r="E1667" t="s">
        <v>772</v>
      </c>
      <c r="F1667">
        <v>7</v>
      </c>
      <c r="G1667" s="308">
        <f>'BECA MEDIA'!Y241</f>
        <v>0</v>
      </c>
      <c r="H1667" s="308">
        <f>'BECA MEDIA'!Z241</f>
        <v>0</v>
      </c>
    </row>
    <row r="1668" spans="1:8" x14ac:dyDescent="0.3">
      <c r="A1668" t="s">
        <v>688</v>
      </c>
      <c r="B1668" t="s">
        <v>263</v>
      </c>
      <c r="C1668" t="s">
        <v>266</v>
      </c>
      <c r="D1668" t="s">
        <v>689</v>
      </c>
      <c r="E1668" t="s">
        <v>766</v>
      </c>
      <c r="F1668">
        <v>1</v>
      </c>
      <c r="G1668" s="308">
        <f>'BECA MEDIA'!G242</f>
        <v>0</v>
      </c>
      <c r="H1668" s="308">
        <f>'BECA MEDIA'!H242</f>
        <v>0</v>
      </c>
    </row>
    <row r="1669" spans="1:8" x14ac:dyDescent="0.3">
      <c r="A1669" t="s">
        <v>688</v>
      </c>
      <c r="B1669" t="s">
        <v>263</v>
      </c>
      <c r="C1669" t="s">
        <v>266</v>
      </c>
      <c r="D1669" t="s">
        <v>689</v>
      </c>
      <c r="E1669" t="s">
        <v>767</v>
      </c>
      <c r="F1669">
        <v>2</v>
      </c>
      <c r="G1669" s="308">
        <f>'BECA MEDIA'!J242</f>
        <v>0</v>
      </c>
      <c r="H1669" s="308">
        <f>'BECA MEDIA'!K242</f>
        <v>0</v>
      </c>
    </row>
    <row r="1670" spans="1:8" x14ac:dyDescent="0.3">
      <c r="A1670" t="s">
        <v>688</v>
      </c>
      <c r="B1670" t="s">
        <v>263</v>
      </c>
      <c r="C1670" t="s">
        <v>266</v>
      </c>
      <c r="D1670" t="s">
        <v>689</v>
      </c>
      <c r="E1670" t="s">
        <v>768</v>
      </c>
      <c r="F1670">
        <v>3</v>
      </c>
      <c r="G1670" s="308">
        <f>'BECA MEDIA'!M242</f>
        <v>4.4000000000000004</v>
      </c>
      <c r="H1670" s="308">
        <f>'BECA MEDIA'!N242</f>
        <v>11000</v>
      </c>
    </row>
    <row r="1671" spans="1:8" x14ac:dyDescent="0.3">
      <c r="A1671" t="s">
        <v>688</v>
      </c>
      <c r="B1671" t="s">
        <v>263</v>
      </c>
      <c r="C1671" t="s">
        <v>266</v>
      </c>
      <c r="D1671" t="s">
        <v>689</v>
      </c>
      <c r="E1671" t="s">
        <v>769</v>
      </c>
      <c r="F1671">
        <v>4</v>
      </c>
      <c r="G1671" s="308">
        <f>'BECA MEDIA'!P242</f>
        <v>3.2</v>
      </c>
      <c r="H1671" s="308">
        <f>'BECA MEDIA'!Q242</f>
        <v>8000</v>
      </c>
    </row>
    <row r="1672" spans="1:8" x14ac:dyDescent="0.3">
      <c r="A1672" t="s">
        <v>688</v>
      </c>
      <c r="B1672" t="s">
        <v>263</v>
      </c>
      <c r="C1672" t="s">
        <v>266</v>
      </c>
      <c r="D1672" t="s">
        <v>689</v>
      </c>
      <c r="E1672" t="s">
        <v>770</v>
      </c>
      <c r="F1672">
        <v>5</v>
      </c>
      <c r="G1672" s="308">
        <f>'BECA MEDIA'!S242</f>
        <v>0</v>
      </c>
      <c r="H1672" s="308">
        <f>'BECA MEDIA'!T242</f>
        <v>0</v>
      </c>
    </row>
    <row r="1673" spans="1:8" x14ac:dyDescent="0.3">
      <c r="A1673" t="s">
        <v>688</v>
      </c>
      <c r="B1673" t="s">
        <v>263</v>
      </c>
      <c r="C1673" t="s">
        <v>266</v>
      </c>
      <c r="D1673" t="s">
        <v>689</v>
      </c>
      <c r="E1673" t="s">
        <v>771</v>
      </c>
      <c r="F1673">
        <v>6</v>
      </c>
      <c r="G1673" s="308">
        <f>'BECA MEDIA'!V242</f>
        <v>7.6</v>
      </c>
      <c r="H1673" s="308">
        <f>'BECA MEDIA'!W242</f>
        <v>19000</v>
      </c>
    </row>
    <row r="1674" spans="1:8" x14ac:dyDescent="0.3">
      <c r="A1674" t="s">
        <v>688</v>
      </c>
      <c r="B1674" t="s">
        <v>263</v>
      </c>
      <c r="C1674" t="s">
        <v>266</v>
      </c>
      <c r="D1674" t="s">
        <v>689</v>
      </c>
      <c r="E1674" t="s">
        <v>772</v>
      </c>
      <c r="F1674">
        <v>7</v>
      </c>
      <c r="G1674" s="308">
        <f>'BECA MEDIA'!Y242</f>
        <v>0</v>
      </c>
      <c r="H1674" s="308">
        <f>'BECA MEDIA'!Z242</f>
        <v>0</v>
      </c>
    </row>
    <row r="1675" spans="1:8" x14ac:dyDescent="0.3">
      <c r="A1675" t="s">
        <v>688</v>
      </c>
      <c r="B1675" t="s">
        <v>263</v>
      </c>
      <c r="C1675" t="s">
        <v>267</v>
      </c>
      <c r="D1675" t="s">
        <v>689</v>
      </c>
      <c r="E1675" t="s">
        <v>766</v>
      </c>
      <c r="F1675">
        <v>1</v>
      </c>
      <c r="G1675" s="308">
        <f>'BECA MEDIA'!G243</f>
        <v>0</v>
      </c>
      <c r="H1675" s="308">
        <f>'BECA MEDIA'!H243</f>
        <v>0</v>
      </c>
    </row>
    <row r="1676" spans="1:8" x14ac:dyDescent="0.3">
      <c r="A1676" t="s">
        <v>688</v>
      </c>
      <c r="B1676" t="s">
        <v>263</v>
      </c>
      <c r="C1676" t="s">
        <v>267</v>
      </c>
      <c r="D1676" t="s">
        <v>689</v>
      </c>
      <c r="E1676" t="s">
        <v>767</v>
      </c>
      <c r="F1676">
        <v>2</v>
      </c>
      <c r="G1676" s="308">
        <f>'BECA MEDIA'!J243</f>
        <v>0</v>
      </c>
      <c r="H1676" s="308">
        <f>'BECA MEDIA'!K243</f>
        <v>0</v>
      </c>
    </row>
    <row r="1677" spans="1:8" x14ac:dyDescent="0.3">
      <c r="A1677" t="s">
        <v>688</v>
      </c>
      <c r="B1677" t="s">
        <v>263</v>
      </c>
      <c r="C1677" t="s">
        <v>267</v>
      </c>
      <c r="D1677" t="s">
        <v>689</v>
      </c>
      <c r="E1677" t="s">
        <v>768</v>
      </c>
      <c r="F1677">
        <v>3</v>
      </c>
      <c r="G1677" s="308">
        <f>'BECA MEDIA'!M243</f>
        <v>4.4000000000000004</v>
      </c>
      <c r="H1677" s="308">
        <f>'BECA MEDIA'!N243</f>
        <v>11000</v>
      </c>
    </row>
    <row r="1678" spans="1:8" x14ac:dyDescent="0.3">
      <c r="A1678" t="s">
        <v>688</v>
      </c>
      <c r="B1678" t="s">
        <v>263</v>
      </c>
      <c r="C1678" t="s">
        <v>267</v>
      </c>
      <c r="D1678" t="s">
        <v>689</v>
      </c>
      <c r="E1678" t="s">
        <v>769</v>
      </c>
      <c r="F1678">
        <v>4</v>
      </c>
      <c r="G1678" s="308">
        <f>'BECA MEDIA'!P243</f>
        <v>3.6</v>
      </c>
      <c r="H1678" s="308">
        <f>'BECA MEDIA'!Q243</f>
        <v>9000</v>
      </c>
    </row>
    <row r="1679" spans="1:8" x14ac:dyDescent="0.3">
      <c r="A1679" t="s">
        <v>688</v>
      </c>
      <c r="B1679" t="s">
        <v>263</v>
      </c>
      <c r="C1679" t="s">
        <v>267</v>
      </c>
      <c r="D1679" t="s">
        <v>689</v>
      </c>
      <c r="E1679" t="s">
        <v>770</v>
      </c>
      <c r="F1679">
        <v>5</v>
      </c>
      <c r="G1679" s="308">
        <f>'BECA MEDIA'!S243</f>
        <v>0</v>
      </c>
      <c r="H1679" s="308">
        <f>'BECA MEDIA'!T243</f>
        <v>0</v>
      </c>
    </row>
    <row r="1680" spans="1:8" x14ac:dyDescent="0.3">
      <c r="A1680" t="s">
        <v>688</v>
      </c>
      <c r="B1680" t="s">
        <v>263</v>
      </c>
      <c r="C1680" t="s">
        <v>267</v>
      </c>
      <c r="D1680" t="s">
        <v>689</v>
      </c>
      <c r="E1680" t="s">
        <v>771</v>
      </c>
      <c r="F1680">
        <v>6</v>
      </c>
      <c r="G1680" s="308">
        <f>'BECA MEDIA'!V243</f>
        <v>8.4</v>
      </c>
      <c r="H1680" s="308">
        <f>'BECA MEDIA'!W243</f>
        <v>21000</v>
      </c>
    </row>
    <row r="1681" spans="1:8" x14ac:dyDescent="0.3">
      <c r="A1681" t="s">
        <v>688</v>
      </c>
      <c r="B1681" t="s">
        <v>263</v>
      </c>
      <c r="C1681" t="s">
        <v>267</v>
      </c>
      <c r="D1681" t="s">
        <v>689</v>
      </c>
      <c r="E1681" t="s">
        <v>772</v>
      </c>
      <c r="F1681">
        <v>7</v>
      </c>
      <c r="G1681" s="308">
        <f>'BECA MEDIA'!Y243</f>
        <v>0</v>
      </c>
      <c r="H1681" s="308">
        <f>'BECA MEDIA'!Z243</f>
        <v>0</v>
      </c>
    </row>
    <row r="1682" spans="1:8" x14ac:dyDescent="0.3">
      <c r="A1682" t="s">
        <v>688</v>
      </c>
      <c r="B1682" t="s">
        <v>263</v>
      </c>
      <c r="C1682" t="s">
        <v>268</v>
      </c>
      <c r="D1682" t="s">
        <v>689</v>
      </c>
      <c r="E1682" t="s">
        <v>766</v>
      </c>
      <c r="F1682">
        <v>1</v>
      </c>
      <c r="G1682" s="308">
        <f>'BECA MEDIA'!G244</f>
        <v>0</v>
      </c>
      <c r="H1682" s="308">
        <f>'BECA MEDIA'!H244</f>
        <v>0</v>
      </c>
    </row>
    <row r="1683" spans="1:8" x14ac:dyDescent="0.3">
      <c r="A1683" t="s">
        <v>688</v>
      </c>
      <c r="B1683" t="s">
        <v>263</v>
      </c>
      <c r="C1683" t="s">
        <v>268</v>
      </c>
      <c r="D1683" t="s">
        <v>689</v>
      </c>
      <c r="E1683" t="s">
        <v>767</v>
      </c>
      <c r="F1683">
        <v>2</v>
      </c>
      <c r="G1683" s="308">
        <f>'BECA MEDIA'!J244</f>
        <v>0</v>
      </c>
      <c r="H1683" s="308">
        <f>'BECA MEDIA'!K244</f>
        <v>0</v>
      </c>
    </row>
    <row r="1684" spans="1:8" x14ac:dyDescent="0.3">
      <c r="A1684" t="s">
        <v>688</v>
      </c>
      <c r="B1684" t="s">
        <v>263</v>
      </c>
      <c r="C1684" t="s">
        <v>268</v>
      </c>
      <c r="D1684" t="s">
        <v>689</v>
      </c>
      <c r="E1684" t="s">
        <v>768</v>
      </c>
      <c r="F1684">
        <v>3</v>
      </c>
      <c r="G1684" s="308">
        <f>'BECA MEDIA'!M244</f>
        <v>4.8</v>
      </c>
      <c r="H1684" s="308">
        <f>'BECA MEDIA'!N244</f>
        <v>12000</v>
      </c>
    </row>
    <row r="1685" spans="1:8" x14ac:dyDescent="0.3">
      <c r="A1685" t="s">
        <v>688</v>
      </c>
      <c r="B1685" t="s">
        <v>263</v>
      </c>
      <c r="C1685" t="s">
        <v>268</v>
      </c>
      <c r="D1685" t="s">
        <v>689</v>
      </c>
      <c r="E1685" t="s">
        <v>769</v>
      </c>
      <c r="F1685">
        <v>4</v>
      </c>
      <c r="G1685" s="308">
        <f>'BECA MEDIA'!P244</f>
        <v>2.8</v>
      </c>
      <c r="H1685" s="308">
        <f>'BECA MEDIA'!Q244</f>
        <v>7000</v>
      </c>
    </row>
    <row r="1686" spans="1:8" x14ac:dyDescent="0.3">
      <c r="A1686" t="s">
        <v>688</v>
      </c>
      <c r="B1686" t="s">
        <v>263</v>
      </c>
      <c r="C1686" t="s">
        <v>268</v>
      </c>
      <c r="D1686" t="s">
        <v>689</v>
      </c>
      <c r="E1686" t="s">
        <v>770</v>
      </c>
      <c r="F1686">
        <v>5</v>
      </c>
      <c r="G1686" s="308">
        <f>'BECA MEDIA'!S244</f>
        <v>0</v>
      </c>
      <c r="H1686" s="308">
        <f>'BECA MEDIA'!T244</f>
        <v>0</v>
      </c>
    </row>
    <row r="1687" spans="1:8" x14ac:dyDescent="0.3">
      <c r="A1687" t="s">
        <v>688</v>
      </c>
      <c r="B1687" t="s">
        <v>263</v>
      </c>
      <c r="C1687" t="s">
        <v>268</v>
      </c>
      <c r="D1687" t="s">
        <v>689</v>
      </c>
      <c r="E1687" t="s">
        <v>771</v>
      </c>
      <c r="F1687">
        <v>6</v>
      </c>
      <c r="G1687" s="308">
        <f>'BECA MEDIA'!V244</f>
        <v>7.6</v>
      </c>
      <c r="H1687" s="308">
        <f>'BECA MEDIA'!W244</f>
        <v>19000</v>
      </c>
    </row>
    <row r="1688" spans="1:8" x14ac:dyDescent="0.3">
      <c r="A1688" t="s">
        <v>688</v>
      </c>
      <c r="B1688" t="s">
        <v>263</v>
      </c>
      <c r="C1688" t="s">
        <v>268</v>
      </c>
      <c r="D1688" t="s">
        <v>689</v>
      </c>
      <c r="E1688" t="s">
        <v>772</v>
      </c>
      <c r="F1688">
        <v>7</v>
      </c>
      <c r="G1688" s="308">
        <f>'BECA MEDIA'!Y244</f>
        <v>0</v>
      </c>
      <c r="H1688" s="308">
        <f>'BECA MEDIA'!Z244</f>
        <v>0</v>
      </c>
    </row>
    <row r="1689" spans="1:8" x14ac:dyDescent="0.3">
      <c r="A1689" t="s">
        <v>688</v>
      </c>
      <c r="B1689" t="s">
        <v>263</v>
      </c>
      <c r="C1689" t="s">
        <v>269</v>
      </c>
      <c r="D1689" t="s">
        <v>689</v>
      </c>
      <c r="E1689" t="s">
        <v>766</v>
      </c>
      <c r="F1689">
        <v>1</v>
      </c>
      <c r="G1689" s="308">
        <f>'BECA MEDIA'!G245</f>
        <v>0</v>
      </c>
      <c r="H1689" s="308">
        <f>'BECA MEDIA'!H245</f>
        <v>0</v>
      </c>
    </row>
    <row r="1690" spans="1:8" x14ac:dyDescent="0.3">
      <c r="A1690" t="s">
        <v>688</v>
      </c>
      <c r="B1690" t="s">
        <v>263</v>
      </c>
      <c r="C1690" t="s">
        <v>269</v>
      </c>
      <c r="D1690" t="s">
        <v>689</v>
      </c>
      <c r="E1690" t="s">
        <v>767</v>
      </c>
      <c r="F1690">
        <v>2</v>
      </c>
      <c r="G1690" s="308">
        <f>'BECA MEDIA'!J245</f>
        <v>0</v>
      </c>
      <c r="H1690" s="308">
        <f>'BECA MEDIA'!K245</f>
        <v>0</v>
      </c>
    </row>
    <row r="1691" spans="1:8" x14ac:dyDescent="0.3">
      <c r="A1691" t="s">
        <v>688</v>
      </c>
      <c r="B1691" t="s">
        <v>263</v>
      </c>
      <c r="C1691" t="s">
        <v>269</v>
      </c>
      <c r="D1691" t="s">
        <v>689</v>
      </c>
      <c r="E1691" t="s">
        <v>768</v>
      </c>
      <c r="F1691">
        <v>3</v>
      </c>
      <c r="G1691" s="308">
        <f>'BECA MEDIA'!M245</f>
        <v>5.6</v>
      </c>
      <c r="H1691" s="308">
        <f>'BECA MEDIA'!N245</f>
        <v>14000</v>
      </c>
    </row>
    <row r="1692" spans="1:8" x14ac:dyDescent="0.3">
      <c r="A1692" t="s">
        <v>688</v>
      </c>
      <c r="B1692" t="s">
        <v>263</v>
      </c>
      <c r="C1692" t="s">
        <v>269</v>
      </c>
      <c r="D1692" t="s">
        <v>689</v>
      </c>
      <c r="E1692" t="s">
        <v>769</v>
      </c>
      <c r="F1692">
        <v>4</v>
      </c>
      <c r="G1692" s="308">
        <f>'BECA MEDIA'!P245</f>
        <v>1.2</v>
      </c>
      <c r="H1692" s="308">
        <f>'BECA MEDIA'!Q245</f>
        <v>3000</v>
      </c>
    </row>
    <row r="1693" spans="1:8" x14ac:dyDescent="0.3">
      <c r="A1693" t="s">
        <v>688</v>
      </c>
      <c r="B1693" t="s">
        <v>263</v>
      </c>
      <c r="C1693" t="s">
        <v>269</v>
      </c>
      <c r="D1693" t="s">
        <v>689</v>
      </c>
      <c r="E1693" t="s">
        <v>770</v>
      </c>
      <c r="F1693">
        <v>5</v>
      </c>
      <c r="G1693" s="308">
        <f>'BECA MEDIA'!S245</f>
        <v>0</v>
      </c>
      <c r="H1693" s="308">
        <f>'BECA MEDIA'!T245</f>
        <v>0</v>
      </c>
    </row>
    <row r="1694" spans="1:8" x14ac:dyDescent="0.3">
      <c r="A1694" t="s">
        <v>688</v>
      </c>
      <c r="B1694" t="s">
        <v>263</v>
      </c>
      <c r="C1694" t="s">
        <v>269</v>
      </c>
      <c r="D1694" t="s">
        <v>689</v>
      </c>
      <c r="E1694" t="s">
        <v>771</v>
      </c>
      <c r="F1694">
        <v>6</v>
      </c>
      <c r="G1694" s="308">
        <f>'BECA MEDIA'!V245</f>
        <v>6.8</v>
      </c>
      <c r="H1694" s="308">
        <f>'BECA MEDIA'!W245</f>
        <v>17000</v>
      </c>
    </row>
    <row r="1695" spans="1:8" x14ac:dyDescent="0.3">
      <c r="A1695" t="s">
        <v>688</v>
      </c>
      <c r="B1695" t="s">
        <v>263</v>
      </c>
      <c r="C1695" t="s">
        <v>269</v>
      </c>
      <c r="D1695" t="s">
        <v>689</v>
      </c>
      <c r="E1695" t="s">
        <v>772</v>
      </c>
      <c r="F1695">
        <v>7</v>
      </c>
      <c r="G1695" s="308">
        <f>'BECA MEDIA'!Y245</f>
        <v>0</v>
      </c>
      <c r="H1695" s="308">
        <f>'BECA MEDIA'!Z245</f>
        <v>0</v>
      </c>
    </row>
    <row r="1696" spans="1:8" x14ac:dyDescent="0.3">
      <c r="A1696" t="s">
        <v>688</v>
      </c>
      <c r="B1696" t="s">
        <v>263</v>
      </c>
      <c r="C1696" t="s">
        <v>270</v>
      </c>
      <c r="D1696" t="s">
        <v>689</v>
      </c>
      <c r="E1696" t="s">
        <v>766</v>
      </c>
      <c r="F1696">
        <v>1</v>
      </c>
      <c r="G1696" s="308">
        <f>'BECA MEDIA'!G246</f>
        <v>0</v>
      </c>
      <c r="H1696" s="308">
        <f>'BECA MEDIA'!H246</f>
        <v>0</v>
      </c>
    </row>
    <row r="1697" spans="1:8" x14ac:dyDescent="0.3">
      <c r="A1697" t="s">
        <v>688</v>
      </c>
      <c r="B1697" t="s">
        <v>263</v>
      </c>
      <c r="C1697" t="s">
        <v>270</v>
      </c>
      <c r="D1697" t="s">
        <v>689</v>
      </c>
      <c r="E1697" t="s">
        <v>767</v>
      </c>
      <c r="F1697">
        <v>2</v>
      </c>
      <c r="G1697" s="308">
        <f>'BECA MEDIA'!J246</f>
        <v>0</v>
      </c>
      <c r="H1697" s="308">
        <f>'BECA MEDIA'!K246</f>
        <v>0</v>
      </c>
    </row>
    <row r="1698" spans="1:8" x14ac:dyDescent="0.3">
      <c r="A1698" t="s">
        <v>688</v>
      </c>
      <c r="B1698" t="s">
        <v>263</v>
      </c>
      <c r="C1698" t="s">
        <v>270</v>
      </c>
      <c r="D1698" t="s">
        <v>689</v>
      </c>
      <c r="E1698" t="s">
        <v>768</v>
      </c>
      <c r="F1698">
        <v>3</v>
      </c>
      <c r="G1698" s="308">
        <f>'BECA MEDIA'!M246</f>
        <v>2.4</v>
      </c>
      <c r="H1698" s="308">
        <f>'BECA MEDIA'!N246</f>
        <v>6000</v>
      </c>
    </row>
    <row r="1699" spans="1:8" x14ac:dyDescent="0.3">
      <c r="A1699" t="s">
        <v>688</v>
      </c>
      <c r="B1699" t="s">
        <v>263</v>
      </c>
      <c r="C1699" t="s">
        <v>270</v>
      </c>
      <c r="D1699" t="s">
        <v>689</v>
      </c>
      <c r="E1699" t="s">
        <v>769</v>
      </c>
      <c r="F1699">
        <v>4</v>
      </c>
      <c r="G1699" s="308">
        <f>'BECA MEDIA'!P246</f>
        <v>2.8</v>
      </c>
      <c r="H1699" s="308">
        <f>'BECA MEDIA'!Q246</f>
        <v>7000</v>
      </c>
    </row>
    <row r="1700" spans="1:8" x14ac:dyDescent="0.3">
      <c r="A1700" t="s">
        <v>688</v>
      </c>
      <c r="B1700" t="s">
        <v>263</v>
      </c>
      <c r="C1700" t="s">
        <v>270</v>
      </c>
      <c r="D1700" t="s">
        <v>689</v>
      </c>
      <c r="E1700" t="s">
        <v>770</v>
      </c>
      <c r="F1700">
        <v>5</v>
      </c>
      <c r="G1700" s="308">
        <f>'BECA MEDIA'!S246</f>
        <v>0</v>
      </c>
      <c r="H1700" s="308">
        <f>'BECA MEDIA'!T246</f>
        <v>0</v>
      </c>
    </row>
    <row r="1701" spans="1:8" x14ac:dyDescent="0.3">
      <c r="A1701" t="s">
        <v>688</v>
      </c>
      <c r="B1701" t="s">
        <v>263</v>
      </c>
      <c r="C1701" t="s">
        <v>270</v>
      </c>
      <c r="D1701" t="s">
        <v>689</v>
      </c>
      <c r="E1701" t="s">
        <v>771</v>
      </c>
      <c r="F1701">
        <v>6</v>
      </c>
      <c r="G1701" s="308">
        <f>'BECA MEDIA'!V246</f>
        <v>5.6</v>
      </c>
      <c r="H1701" s="308">
        <f>'BECA MEDIA'!W246</f>
        <v>14000</v>
      </c>
    </row>
    <row r="1702" spans="1:8" x14ac:dyDescent="0.3">
      <c r="A1702" t="s">
        <v>688</v>
      </c>
      <c r="B1702" t="s">
        <v>263</v>
      </c>
      <c r="C1702" t="s">
        <v>270</v>
      </c>
      <c r="D1702" t="s">
        <v>689</v>
      </c>
      <c r="E1702" t="s">
        <v>772</v>
      </c>
      <c r="F1702">
        <v>7</v>
      </c>
      <c r="G1702" s="308">
        <f>'BECA MEDIA'!Y246</f>
        <v>0</v>
      </c>
      <c r="H1702" s="308">
        <f>'BECA MEDIA'!Z246</f>
        <v>0</v>
      </c>
    </row>
    <row r="1703" spans="1:8" x14ac:dyDescent="0.3">
      <c r="A1703" t="s">
        <v>688</v>
      </c>
      <c r="B1703" t="s">
        <v>263</v>
      </c>
      <c r="C1703" t="s">
        <v>271</v>
      </c>
      <c r="D1703" t="s">
        <v>689</v>
      </c>
      <c r="E1703" t="s">
        <v>766</v>
      </c>
      <c r="F1703">
        <v>1</v>
      </c>
      <c r="G1703" s="308">
        <f>'BECA MEDIA'!G247</f>
        <v>0</v>
      </c>
      <c r="H1703" s="308">
        <f>'BECA MEDIA'!H247</f>
        <v>0</v>
      </c>
    </row>
    <row r="1704" spans="1:8" x14ac:dyDescent="0.3">
      <c r="A1704" t="s">
        <v>688</v>
      </c>
      <c r="B1704" t="s">
        <v>263</v>
      </c>
      <c r="C1704" t="s">
        <v>271</v>
      </c>
      <c r="D1704" t="s">
        <v>689</v>
      </c>
      <c r="E1704" t="s">
        <v>767</v>
      </c>
      <c r="F1704">
        <v>2</v>
      </c>
      <c r="G1704" s="308">
        <f>'BECA MEDIA'!J247</f>
        <v>0</v>
      </c>
      <c r="H1704" s="308">
        <f>'BECA MEDIA'!K247</f>
        <v>0</v>
      </c>
    </row>
    <row r="1705" spans="1:8" x14ac:dyDescent="0.3">
      <c r="A1705" t="s">
        <v>688</v>
      </c>
      <c r="B1705" t="s">
        <v>263</v>
      </c>
      <c r="C1705" t="s">
        <v>271</v>
      </c>
      <c r="D1705" t="s">
        <v>689</v>
      </c>
      <c r="E1705" t="s">
        <v>768</v>
      </c>
      <c r="F1705">
        <v>3</v>
      </c>
      <c r="G1705" s="308">
        <f>'BECA MEDIA'!M247</f>
        <v>3.6</v>
      </c>
      <c r="H1705" s="308">
        <f>'BECA MEDIA'!N247</f>
        <v>9000</v>
      </c>
    </row>
    <row r="1706" spans="1:8" x14ac:dyDescent="0.3">
      <c r="A1706" t="s">
        <v>688</v>
      </c>
      <c r="B1706" t="s">
        <v>263</v>
      </c>
      <c r="C1706" t="s">
        <v>271</v>
      </c>
      <c r="D1706" t="s">
        <v>689</v>
      </c>
      <c r="E1706" t="s">
        <v>769</v>
      </c>
      <c r="F1706">
        <v>4</v>
      </c>
      <c r="G1706" s="308">
        <f>'BECA MEDIA'!P247</f>
        <v>3.6</v>
      </c>
      <c r="H1706" s="308">
        <f>'BECA MEDIA'!Q247</f>
        <v>9000</v>
      </c>
    </row>
    <row r="1707" spans="1:8" x14ac:dyDescent="0.3">
      <c r="A1707" t="s">
        <v>688</v>
      </c>
      <c r="B1707" t="s">
        <v>263</v>
      </c>
      <c r="C1707" t="s">
        <v>271</v>
      </c>
      <c r="D1707" t="s">
        <v>689</v>
      </c>
      <c r="E1707" t="s">
        <v>770</v>
      </c>
      <c r="F1707">
        <v>5</v>
      </c>
      <c r="G1707" s="308">
        <f>'BECA MEDIA'!S247</f>
        <v>0</v>
      </c>
      <c r="H1707" s="308">
        <f>'BECA MEDIA'!T247</f>
        <v>0</v>
      </c>
    </row>
    <row r="1708" spans="1:8" x14ac:dyDescent="0.3">
      <c r="A1708" t="s">
        <v>688</v>
      </c>
      <c r="B1708" t="s">
        <v>263</v>
      </c>
      <c r="C1708" t="s">
        <v>271</v>
      </c>
      <c r="D1708" t="s">
        <v>689</v>
      </c>
      <c r="E1708" t="s">
        <v>771</v>
      </c>
      <c r="F1708">
        <v>6</v>
      </c>
      <c r="G1708" s="308">
        <f>'BECA MEDIA'!V247</f>
        <v>7.2</v>
      </c>
      <c r="H1708" s="308">
        <f>'BECA MEDIA'!W247</f>
        <v>18000</v>
      </c>
    </row>
    <row r="1709" spans="1:8" x14ac:dyDescent="0.3">
      <c r="A1709" t="s">
        <v>688</v>
      </c>
      <c r="B1709" t="s">
        <v>263</v>
      </c>
      <c r="C1709" t="s">
        <v>271</v>
      </c>
      <c r="D1709" t="s">
        <v>689</v>
      </c>
      <c r="E1709" t="s">
        <v>772</v>
      </c>
      <c r="F1709">
        <v>7</v>
      </c>
      <c r="G1709" s="308">
        <f>'BECA MEDIA'!Y247</f>
        <v>0</v>
      </c>
      <c r="H1709" s="308">
        <f>'BECA MEDIA'!Z247</f>
        <v>0</v>
      </c>
    </row>
    <row r="1710" spans="1:8" x14ac:dyDescent="0.3">
      <c r="A1710" t="s">
        <v>688</v>
      </c>
      <c r="B1710" t="s">
        <v>263</v>
      </c>
      <c r="C1710" t="s">
        <v>272</v>
      </c>
      <c r="D1710" t="s">
        <v>689</v>
      </c>
      <c r="E1710" t="s">
        <v>766</v>
      </c>
      <c r="F1710">
        <v>1</v>
      </c>
      <c r="G1710" s="308">
        <f>'BECA MEDIA'!G248</f>
        <v>0</v>
      </c>
      <c r="H1710" s="308">
        <f>'BECA MEDIA'!H248</f>
        <v>0</v>
      </c>
    </row>
    <row r="1711" spans="1:8" x14ac:dyDescent="0.3">
      <c r="A1711" t="s">
        <v>688</v>
      </c>
      <c r="B1711" t="s">
        <v>263</v>
      </c>
      <c r="C1711" t="s">
        <v>272</v>
      </c>
      <c r="D1711" t="s">
        <v>689</v>
      </c>
      <c r="E1711" t="s">
        <v>767</v>
      </c>
      <c r="F1711">
        <v>2</v>
      </c>
      <c r="G1711" s="308">
        <f>'BECA MEDIA'!J248</f>
        <v>0</v>
      </c>
      <c r="H1711" s="308">
        <f>'BECA MEDIA'!K248</f>
        <v>0</v>
      </c>
    </row>
    <row r="1712" spans="1:8" x14ac:dyDescent="0.3">
      <c r="A1712" t="s">
        <v>688</v>
      </c>
      <c r="B1712" t="s">
        <v>263</v>
      </c>
      <c r="C1712" t="s">
        <v>272</v>
      </c>
      <c r="D1712" t="s">
        <v>689</v>
      </c>
      <c r="E1712" t="s">
        <v>768</v>
      </c>
      <c r="F1712">
        <v>3</v>
      </c>
      <c r="G1712" s="308">
        <f>'BECA MEDIA'!M248</f>
        <v>4.4000000000000004</v>
      </c>
      <c r="H1712" s="308">
        <f>'BECA MEDIA'!N248</f>
        <v>11000</v>
      </c>
    </row>
    <row r="1713" spans="1:8" x14ac:dyDescent="0.3">
      <c r="A1713" t="s">
        <v>688</v>
      </c>
      <c r="B1713" t="s">
        <v>263</v>
      </c>
      <c r="C1713" t="s">
        <v>272</v>
      </c>
      <c r="D1713" t="s">
        <v>689</v>
      </c>
      <c r="E1713" t="s">
        <v>769</v>
      </c>
      <c r="F1713">
        <v>4</v>
      </c>
      <c r="G1713" s="308">
        <f>'BECA MEDIA'!P248</f>
        <v>1.6</v>
      </c>
      <c r="H1713" s="308">
        <f>'BECA MEDIA'!Q248</f>
        <v>4000</v>
      </c>
    </row>
    <row r="1714" spans="1:8" x14ac:dyDescent="0.3">
      <c r="A1714" t="s">
        <v>688</v>
      </c>
      <c r="B1714" t="s">
        <v>263</v>
      </c>
      <c r="C1714" t="s">
        <v>272</v>
      </c>
      <c r="D1714" t="s">
        <v>689</v>
      </c>
      <c r="E1714" t="s">
        <v>770</v>
      </c>
      <c r="F1714">
        <v>5</v>
      </c>
      <c r="G1714" s="308">
        <f>'BECA MEDIA'!S248</f>
        <v>0</v>
      </c>
      <c r="H1714" s="308">
        <f>'BECA MEDIA'!T248</f>
        <v>0</v>
      </c>
    </row>
    <row r="1715" spans="1:8" x14ac:dyDescent="0.3">
      <c r="A1715" t="s">
        <v>688</v>
      </c>
      <c r="B1715" t="s">
        <v>263</v>
      </c>
      <c r="C1715" t="s">
        <v>272</v>
      </c>
      <c r="D1715" t="s">
        <v>689</v>
      </c>
      <c r="E1715" t="s">
        <v>771</v>
      </c>
      <c r="F1715">
        <v>6</v>
      </c>
      <c r="G1715" s="308">
        <f>'BECA MEDIA'!V248</f>
        <v>6</v>
      </c>
      <c r="H1715" s="308">
        <f>'BECA MEDIA'!W248</f>
        <v>15000</v>
      </c>
    </row>
    <row r="1716" spans="1:8" x14ac:dyDescent="0.3">
      <c r="A1716" t="s">
        <v>688</v>
      </c>
      <c r="B1716" t="s">
        <v>263</v>
      </c>
      <c r="C1716" t="s">
        <v>272</v>
      </c>
      <c r="D1716" t="s">
        <v>689</v>
      </c>
      <c r="E1716" t="s">
        <v>772</v>
      </c>
      <c r="F1716">
        <v>7</v>
      </c>
      <c r="G1716" s="308">
        <f>'BECA MEDIA'!Y248</f>
        <v>0</v>
      </c>
      <c r="H1716" s="308">
        <f>'BECA MEDIA'!Z248</f>
        <v>0</v>
      </c>
    </row>
    <row r="1717" spans="1:8" x14ac:dyDescent="0.3">
      <c r="A1717" t="s">
        <v>688</v>
      </c>
      <c r="B1717" t="s">
        <v>263</v>
      </c>
      <c r="C1717" t="s">
        <v>273</v>
      </c>
      <c r="D1717" t="s">
        <v>689</v>
      </c>
      <c r="E1717" t="s">
        <v>766</v>
      </c>
      <c r="F1717">
        <v>1</v>
      </c>
      <c r="G1717" s="308">
        <f>'BECA MEDIA'!G249</f>
        <v>0</v>
      </c>
      <c r="H1717" s="308">
        <f>'BECA MEDIA'!H249</f>
        <v>0</v>
      </c>
    </row>
    <row r="1718" spans="1:8" x14ac:dyDescent="0.3">
      <c r="A1718" t="s">
        <v>688</v>
      </c>
      <c r="B1718" t="s">
        <v>263</v>
      </c>
      <c r="C1718" t="s">
        <v>273</v>
      </c>
      <c r="D1718" t="s">
        <v>689</v>
      </c>
      <c r="E1718" t="s">
        <v>767</v>
      </c>
      <c r="F1718">
        <v>2</v>
      </c>
      <c r="G1718" s="308">
        <f>'BECA MEDIA'!J249</f>
        <v>0</v>
      </c>
      <c r="H1718" s="308">
        <f>'BECA MEDIA'!K249</f>
        <v>0</v>
      </c>
    </row>
    <row r="1719" spans="1:8" x14ac:dyDescent="0.3">
      <c r="A1719" t="s">
        <v>688</v>
      </c>
      <c r="B1719" t="s">
        <v>263</v>
      </c>
      <c r="C1719" t="s">
        <v>273</v>
      </c>
      <c r="D1719" t="s">
        <v>689</v>
      </c>
      <c r="E1719" t="s">
        <v>768</v>
      </c>
      <c r="F1719">
        <v>3</v>
      </c>
      <c r="G1719" s="308">
        <f>'BECA MEDIA'!M249</f>
        <v>4.4000000000000004</v>
      </c>
      <c r="H1719" s="308">
        <f>'BECA MEDIA'!N249</f>
        <v>11000</v>
      </c>
    </row>
    <row r="1720" spans="1:8" x14ac:dyDescent="0.3">
      <c r="A1720" t="s">
        <v>688</v>
      </c>
      <c r="B1720" t="s">
        <v>263</v>
      </c>
      <c r="C1720" t="s">
        <v>273</v>
      </c>
      <c r="D1720" t="s">
        <v>689</v>
      </c>
      <c r="E1720" t="s">
        <v>769</v>
      </c>
      <c r="F1720">
        <v>4</v>
      </c>
      <c r="G1720" s="308">
        <f>'BECA MEDIA'!P249</f>
        <v>1.2</v>
      </c>
      <c r="H1720" s="308">
        <f>'BECA MEDIA'!Q249</f>
        <v>3000</v>
      </c>
    </row>
    <row r="1721" spans="1:8" x14ac:dyDescent="0.3">
      <c r="A1721" t="s">
        <v>688</v>
      </c>
      <c r="B1721" t="s">
        <v>263</v>
      </c>
      <c r="C1721" t="s">
        <v>273</v>
      </c>
      <c r="D1721" t="s">
        <v>689</v>
      </c>
      <c r="E1721" t="s">
        <v>770</v>
      </c>
      <c r="F1721">
        <v>5</v>
      </c>
      <c r="G1721" s="308">
        <f>'BECA MEDIA'!S249</f>
        <v>0</v>
      </c>
      <c r="H1721" s="308">
        <f>'BECA MEDIA'!T249</f>
        <v>0</v>
      </c>
    </row>
    <row r="1722" spans="1:8" x14ac:dyDescent="0.3">
      <c r="A1722" t="s">
        <v>688</v>
      </c>
      <c r="B1722" t="s">
        <v>263</v>
      </c>
      <c r="C1722" t="s">
        <v>273</v>
      </c>
      <c r="D1722" t="s">
        <v>689</v>
      </c>
      <c r="E1722" t="s">
        <v>771</v>
      </c>
      <c r="F1722">
        <v>6</v>
      </c>
      <c r="G1722" s="308">
        <f>'BECA MEDIA'!V249</f>
        <v>6</v>
      </c>
      <c r="H1722" s="308">
        <f>'BECA MEDIA'!W249</f>
        <v>15000</v>
      </c>
    </row>
    <row r="1723" spans="1:8" x14ac:dyDescent="0.3">
      <c r="A1723" t="s">
        <v>688</v>
      </c>
      <c r="B1723" t="s">
        <v>263</v>
      </c>
      <c r="C1723" t="s">
        <v>273</v>
      </c>
      <c r="D1723" t="s">
        <v>689</v>
      </c>
      <c r="E1723" t="s">
        <v>772</v>
      </c>
      <c r="F1723">
        <v>7</v>
      </c>
      <c r="G1723" s="308">
        <f>'BECA MEDIA'!Y249</f>
        <v>0</v>
      </c>
      <c r="H1723" s="308">
        <f>'BECA MEDIA'!Z249</f>
        <v>0</v>
      </c>
    </row>
    <row r="1724" spans="1:8" x14ac:dyDescent="0.3">
      <c r="A1724" t="s">
        <v>688</v>
      </c>
      <c r="B1724" t="s">
        <v>263</v>
      </c>
      <c r="C1724" t="s">
        <v>274</v>
      </c>
      <c r="D1724" t="s">
        <v>689</v>
      </c>
      <c r="E1724" t="s">
        <v>766</v>
      </c>
      <c r="F1724">
        <v>1</v>
      </c>
      <c r="G1724" s="308">
        <f>'BECA MEDIA'!G250</f>
        <v>0</v>
      </c>
      <c r="H1724" s="308">
        <f>'BECA MEDIA'!H250</f>
        <v>0</v>
      </c>
    </row>
    <row r="1725" spans="1:8" x14ac:dyDescent="0.3">
      <c r="A1725" t="s">
        <v>688</v>
      </c>
      <c r="B1725" t="s">
        <v>263</v>
      </c>
      <c r="C1725" t="s">
        <v>274</v>
      </c>
      <c r="D1725" t="s">
        <v>689</v>
      </c>
      <c r="E1725" t="s">
        <v>767</v>
      </c>
      <c r="F1725">
        <v>2</v>
      </c>
      <c r="G1725" s="308">
        <f>'BECA MEDIA'!J250</f>
        <v>0</v>
      </c>
      <c r="H1725" s="308">
        <f>'BECA MEDIA'!K250</f>
        <v>0</v>
      </c>
    </row>
    <row r="1726" spans="1:8" x14ac:dyDescent="0.3">
      <c r="A1726" t="s">
        <v>688</v>
      </c>
      <c r="B1726" t="s">
        <v>263</v>
      </c>
      <c r="C1726" t="s">
        <v>274</v>
      </c>
      <c r="D1726" t="s">
        <v>689</v>
      </c>
      <c r="E1726" t="s">
        <v>768</v>
      </c>
      <c r="F1726">
        <v>3</v>
      </c>
      <c r="G1726" s="308">
        <f>'BECA MEDIA'!M250</f>
        <v>5.2</v>
      </c>
      <c r="H1726" s="308">
        <f>'BECA MEDIA'!N250</f>
        <v>13000</v>
      </c>
    </row>
    <row r="1727" spans="1:8" x14ac:dyDescent="0.3">
      <c r="A1727" t="s">
        <v>688</v>
      </c>
      <c r="B1727" t="s">
        <v>263</v>
      </c>
      <c r="C1727" t="s">
        <v>274</v>
      </c>
      <c r="D1727" t="s">
        <v>689</v>
      </c>
      <c r="E1727" t="s">
        <v>769</v>
      </c>
      <c r="F1727">
        <v>4</v>
      </c>
      <c r="G1727" s="308">
        <f>'BECA MEDIA'!P250</f>
        <v>18</v>
      </c>
      <c r="H1727" s="308">
        <f>'BECA MEDIA'!Q250</f>
        <v>45000</v>
      </c>
    </row>
    <row r="1728" spans="1:8" x14ac:dyDescent="0.3">
      <c r="A1728" t="s">
        <v>688</v>
      </c>
      <c r="B1728" t="s">
        <v>263</v>
      </c>
      <c r="C1728" t="s">
        <v>274</v>
      </c>
      <c r="D1728" t="s">
        <v>689</v>
      </c>
      <c r="E1728" t="s">
        <v>770</v>
      </c>
      <c r="F1728">
        <v>5</v>
      </c>
      <c r="G1728" s="308">
        <f>'BECA MEDIA'!S250</f>
        <v>0</v>
      </c>
      <c r="H1728" s="308">
        <f>'BECA MEDIA'!T250</f>
        <v>0</v>
      </c>
    </row>
    <row r="1729" spans="1:8" x14ac:dyDescent="0.3">
      <c r="A1729" t="s">
        <v>688</v>
      </c>
      <c r="B1729" t="s">
        <v>263</v>
      </c>
      <c r="C1729" t="s">
        <v>274</v>
      </c>
      <c r="D1729" t="s">
        <v>689</v>
      </c>
      <c r="E1729" t="s">
        <v>771</v>
      </c>
      <c r="F1729">
        <v>6</v>
      </c>
      <c r="G1729" s="308">
        <f>'BECA MEDIA'!V250</f>
        <v>23.2</v>
      </c>
      <c r="H1729" s="308">
        <f>'BECA MEDIA'!W250</f>
        <v>58000</v>
      </c>
    </row>
    <row r="1730" spans="1:8" x14ac:dyDescent="0.3">
      <c r="A1730" t="s">
        <v>688</v>
      </c>
      <c r="B1730" t="s">
        <v>263</v>
      </c>
      <c r="C1730" t="s">
        <v>274</v>
      </c>
      <c r="D1730" t="s">
        <v>689</v>
      </c>
      <c r="E1730" t="s">
        <v>772</v>
      </c>
      <c r="F1730">
        <v>7</v>
      </c>
      <c r="G1730" s="308">
        <f>'BECA MEDIA'!Y250</f>
        <v>0</v>
      </c>
      <c r="H1730" s="308">
        <f>'BECA MEDIA'!Z250</f>
        <v>0</v>
      </c>
    </row>
    <row r="1731" spans="1:8" x14ac:dyDescent="0.3">
      <c r="A1731" t="s">
        <v>688</v>
      </c>
      <c r="B1731" t="s">
        <v>263</v>
      </c>
      <c r="C1731" t="s">
        <v>275</v>
      </c>
      <c r="D1731" t="s">
        <v>689</v>
      </c>
      <c r="E1731" t="s">
        <v>766</v>
      </c>
      <c r="F1731">
        <v>1</v>
      </c>
      <c r="G1731" s="308">
        <f>'BECA MEDIA'!G251</f>
        <v>0</v>
      </c>
      <c r="H1731" s="308">
        <f>'BECA MEDIA'!H251</f>
        <v>0</v>
      </c>
    </row>
    <row r="1732" spans="1:8" x14ac:dyDescent="0.3">
      <c r="A1732" t="s">
        <v>688</v>
      </c>
      <c r="B1732" t="s">
        <v>263</v>
      </c>
      <c r="C1732" t="s">
        <v>275</v>
      </c>
      <c r="D1732" t="s">
        <v>689</v>
      </c>
      <c r="E1732" t="s">
        <v>767</v>
      </c>
      <c r="F1732">
        <v>2</v>
      </c>
      <c r="G1732" s="308">
        <f>'BECA MEDIA'!J251</f>
        <v>0</v>
      </c>
      <c r="H1732" s="308">
        <f>'BECA MEDIA'!K251</f>
        <v>0</v>
      </c>
    </row>
    <row r="1733" spans="1:8" x14ac:dyDescent="0.3">
      <c r="A1733" t="s">
        <v>688</v>
      </c>
      <c r="B1733" t="s">
        <v>263</v>
      </c>
      <c r="C1733" t="s">
        <v>275</v>
      </c>
      <c r="D1733" t="s">
        <v>689</v>
      </c>
      <c r="E1733" t="s">
        <v>768</v>
      </c>
      <c r="F1733">
        <v>3</v>
      </c>
      <c r="G1733" s="308">
        <f>'BECA MEDIA'!M251</f>
        <v>2.4</v>
      </c>
      <c r="H1733" s="308">
        <f>'BECA MEDIA'!N251</f>
        <v>6000</v>
      </c>
    </row>
    <row r="1734" spans="1:8" x14ac:dyDescent="0.3">
      <c r="A1734" t="s">
        <v>688</v>
      </c>
      <c r="B1734" t="s">
        <v>263</v>
      </c>
      <c r="C1734" t="s">
        <v>275</v>
      </c>
      <c r="D1734" t="s">
        <v>689</v>
      </c>
      <c r="E1734" t="s">
        <v>769</v>
      </c>
      <c r="F1734">
        <v>4</v>
      </c>
      <c r="G1734" s="308">
        <f>'BECA MEDIA'!P251</f>
        <v>1.2</v>
      </c>
      <c r="H1734" s="308">
        <f>'BECA MEDIA'!Q251</f>
        <v>3000</v>
      </c>
    </row>
    <row r="1735" spans="1:8" x14ac:dyDescent="0.3">
      <c r="A1735" t="s">
        <v>688</v>
      </c>
      <c r="B1735" t="s">
        <v>263</v>
      </c>
      <c r="C1735" t="s">
        <v>275</v>
      </c>
      <c r="D1735" t="s">
        <v>689</v>
      </c>
      <c r="E1735" t="s">
        <v>770</v>
      </c>
      <c r="F1735">
        <v>5</v>
      </c>
      <c r="G1735" s="308">
        <f>'BECA MEDIA'!S251</f>
        <v>0</v>
      </c>
      <c r="H1735" s="308">
        <f>'BECA MEDIA'!T251</f>
        <v>0</v>
      </c>
    </row>
    <row r="1736" spans="1:8" x14ac:dyDescent="0.3">
      <c r="A1736" t="s">
        <v>688</v>
      </c>
      <c r="B1736" t="s">
        <v>263</v>
      </c>
      <c r="C1736" t="s">
        <v>275</v>
      </c>
      <c r="D1736" t="s">
        <v>689</v>
      </c>
      <c r="E1736" t="s">
        <v>771</v>
      </c>
      <c r="F1736">
        <v>6</v>
      </c>
      <c r="G1736" s="308">
        <f>'BECA MEDIA'!V251</f>
        <v>4.4000000000000004</v>
      </c>
      <c r="H1736" s="308">
        <f>'BECA MEDIA'!W251</f>
        <v>11000</v>
      </c>
    </row>
    <row r="1737" spans="1:8" x14ac:dyDescent="0.3">
      <c r="A1737" t="s">
        <v>688</v>
      </c>
      <c r="B1737" t="s">
        <v>263</v>
      </c>
      <c r="C1737" t="s">
        <v>275</v>
      </c>
      <c r="D1737" t="s">
        <v>689</v>
      </c>
      <c r="E1737" t="s">
        <v>772</v>
      </c>
      <c r="F1737">
        <v>7</v>
      </c>
      <c r="G1737" s="308">
        <f>'BECA MEDIA'!Y251</f>
        <v>0</v>
      </c>
      <c r="H1737" s="308">
        <f>'BECA MEDIA'!Z251</f>
        <v>0</v>
      </c>
    </row>
    <row r="1738" spans="1:8" x14ac:dyDescent="0.3">
      <c r="A1738" t="s">
        <v>688</v>
      </c>
      <c r="B1738" t="s">
        <v>263</v>
      </c>
      <c r="C1738" t="s">
        <v>276</v>
      </c>
      <c r="D1738" t="s">
        <v>689</v>
      </c>
      <c r="E1738" t="s">
        <v>766</v>
      </c>
      <c r="F1738">
        <v>1</v>
      </c>
      <c r="G1738" s="308">
        <f>'BECA MEDIA'!G252</f>
        <v>0</v>
      </c>
      <c r="H1738" s="308">
        <f>'BECA MEDIA'!H252</f>
        <v>0</v>
      </c>
    </row>
    <row r="1739" spans="1:8" x14ac:dyDescent="0.3">
      <c r="A1739" t="s">
        <v>688</v>
      </c>
      <c r="B1739" t="s">
        <v>263</v>
      </c>
      <c r="C1739" t="s">
        <v>276</v>
      </c>
      <c r="D1739" t="s">
        <v>689</v>
      </c>
      <c r="E1739" t="s">
        <v>767</v>
      </c>
      <c r="F1739">
        <v>2</v>
      </c>
      <c r="G1739" s="308">
        <f>'BECA MEDIA'!J252</f>
        <v>0</v>
      </c>
      <c r="H1739" s="308">
        <f>'BECA MEDIA'!K252</f>
        <v>0</v>
      </c>
    </row>
    <row r="1740" spans="1:8" x14ac:dyDescent="0.3">
      <c r="A1740" t="s">
        <v>688</v>
      </c>
      <c r="B1740" t="s">
        <v>263</v>
      </c>
      <c r="C1740" t="s">
        <v>276</v>
      </c>
      <c r="D1740" t="s">
        <v>689</v>
      </c>
      <c r="E1740" t="s">
        <v>768</v>
      </c>
      <c r="F1740">
        <v>3</v>
      </c>
      <c r="G1740" s="308">
        <f>'BECA MEDIA'!M252</f>
        <v>7.2</v>
      </c>
      <c r="H1740" s="308">
        <f>'BECA MEDIA'!N252</f>
        <v>18000</v>
      </c>
    </row>
    <row r="1741" spans="1:8" x14ac:dyDescent="0.3">
      <c r="A1741" t="s">
        <v>688</v>
      </c>
      <c r="B1741" t="s">
        <v>263</v>
      </c>
      <c r="C1741" t="s">
        <v>276</v>
      </c>
      <c r="D1741" t="s">
        <v>689</v>
      </c>
      <c r="E1741" t="s">
        <v>769</v>
      </c>
      <c r="F1741">
        <v>4</v>
      </c>
      <c r="G1741" s="308">
        <f>'BECA MEDIA'!P252</f>
        <v>4.4000000000000004</v>
      </c>
      <c r="H1741" s="308">
        <f>'BECA MEDIA'!Q252</f>
        <v>11000</v>
      </c>
    </row>
    <row r="1742" spans="1:8" x14ac:dyDescent="0.3">
      <c r="A1742" t="s">
        <v>688</v>
      </c>
      <c r="B1742" t="s">
        <v>263</v>
      </c>
      <c r="C1742" t="s">
        <v>276</v>
      </c>
      <c r="D1742" t="s">
        <v>689</v>
      </c>
      <c r="E1742" t="s">
        <v>770</v>
      </c>
      <c r="F1742">
        <v>5</v>
      </c>
      <c r="G1742" s="308">
        <f>'BECA MEDIA'!S252</f>
        <v>0</v>
      </c>
      <c r="H1742" s="308">
        <f>'BECA MEDIA'!T252</f>
        <v>0</v>
      </c>
    </row>
    <row r="1743" spans="1:8" x14ac:dyDescent="0.3">
      <c r="A1743" t="s">
        <v>688</v>
      </c>
      <c r="B1743" t="s">
        <v>263</v>
      </c>
      <c r="C1743" t="s">
        <v>276</v>
      </c>
      <c r="D1743" t="s">
        <v>689</v>
      </c>
      <c r="E1743" t="s">
        <v>771</v>
      </c>
      <c r="F1743">
        <v>6</v>
      </c>
      <c r="G1743" s="308">
        <f>'BECA MEDIA'!V252</f>
        <v>12.4</v>
      </c>
      <c r="H1743" s="308">
        <f>'BECA MEDIA'!W252</f>
        <v>31000</v>
      </c>
    </row>
    <row r="1744" spans="1:8" x14ac:dyDescent="0.3">
      <c r="A1744" t="s">
        <v>688</v>
      </c>
      <c r="B1744" t="s">
        <v>263</v>
      </c>
      <c r="C1744" t="s">
        <v>276</v>
      </c>
      <c r="D1744" t="s">
        <v>689</v>
      </c>
      <c r="E1744" t="s">
        <v>772</v>
      </c>
      <c r="F1744">
        <v>7</v>
      </c>
      <c r="G1744" s="308">
        <f>'BECA MEDIA'!Y252</f>
        <v>0</v>
      </c>
      <c r="H1744" s="308">
        <f>'BECA MEDIA'!Z252</f>
        <v>0</v>
      </c>
    </row>
    <row r="1745" spans="1:8" x14ac:dyDescent="0.3">
      <c r="A1745" t="s">
        <v>688</v>
      </c>
      <c r="B1745" t="s">
        <v>263</v>
      </c>
      <c r="C1745" t="s">
        <v>277</v>
      </c>
      <c r="D1745" t="s">
        <v>689</v>
      </c>
      <c r="E1745" t="s">
        <v>766</v>
      </c>
      <c r="F1745">
        <v>1</v>
      </c>
      <c r="G1745" s="308">
        <f>'BECA MEDIA'!G253</f>
        <v>0</v>
      </c>
      <c r="H1745" s="308">
        <f>'BECA MEDIA'!H253</f>
        <v>0</v>
      </c>
    </row>
    <row r="1746" spans="1:8" x14ac:dyDescent="0.3">
      <c r="A1746" t="s">
        <v>688</v>
      </c>
      <c r="B1746" t="s">
        <v>263</v>
      </c>
      <c r="C1746" t="s">
        <v>277</v>
      </c>
      <c r="D1746" t="s">
        <v>689</v>
      </c>
      <c r="E1746" t="s">
        <v>767</v>
      </c>
      <c r="F1746">
        <v>2</v>
      </c>
      <c r="G1746" s="308">
        <f>'BECA MEDIA'!J253</f>
        <v>0</v>
      </c>
      <c r="H1746" s="308">
        <f>'BECA MEDIA'!K253</f>
        <v>0</v>
      </c>
    </row>
    <row r="1747" spans="1:8" x14ac:dyDescent="0.3">
      <c r="A1747" t="s">
        <v>688</v>
      </c>
      <c r="B1747" t="s">
        <v>263</v>
      </c>
      <c r="C1747" t="s">
        <v>277</v>
      </c>
      <c r="D1747" t="s">
        <v>689</v>
      </c>
      <c r="E1747" t="s">
        <v>768</v>
      </c>
      <c r="F1747">
        <v>3</v>
      </c>
      <c r="G1747" s="308">
        <f>'BECA MEDIA'!M253</f>
        <v>7.2</v>
      </c>
      <c r="H1747" s="308">
        <f>'BECA MEDIA'!N253</f>
        <v>18000</v>
      </c>
    </row>
    <row r="1748" spans="1:8" x14ac:dyDescent="0.3">
      <c r="A1748" t="s">
        <v>688</v>
      </c>
      <c r="B1748" t="s">
        <v>263</v>
      </c>
      <c r="C1748" t="s">
        <v>277</v>
      </c>
      <c r="D1748" t="s">
        <v>689</v>
      </c>
      <c r="E1748" t="s">
        <v>769</v>
      </c>
      <c r="F1748">
        <v>4</v>
      </c>
      <c r="G1748" s="308">
        <f>'BECA MEDIA'!P253</f>
        <v>4.8</v>
      </c>
      <c r="H1748" s="308">
        <f>'BECA MEDIA'!Q253</f>
        <v>12000</v>
      </c>
    </row>
    <row r="1749" spans="1:8" x14ac:dyDescent="0.3">
      <c r="A1749" t="s">
        <v>688</v>
      </c>
      <c r="B1749" t="s">
        <v>263</v>
      </c>
      <c r="C1749" t="s">
        <v>277</v>
      </c>
      <c r="D1749" t="s">
        <v>689</v>
      </c>
      <c r="E1749" t="s">
        <v>770</v>
      </c>
      <c r="F1749">
        <v>5</v>
      </c>
      <c r="G1749" s="308">
        <f>'BECA MEDIA'!S253</f>
        <v>0</v>
      </c>
      <c r="H1749" s="308">
        <f>'BECA MEDIA'!T253</f>
        <v>0</v>
      </c>
    </row>
    <row r="1750" spans="1:8" x14ac:dyDescent="0.3">
      <c r="A1750" t="s">
        <v>688</v>
      </c>
      <c r="B1750" t="s">
        <v>263</v>
      </c>
      <c r="C1750" t="s">
        <v>277</v>
      </c>
      <c r="D1750" t="s">
        <v>689</v>
      </c>
      <c r="E1750" t="s">
        <v>771</v>
      </c>
      <c r="F1750">
        <v>6</v>
      </c>
      <c r="G1750" s="308">
        <f>'BECA MEDIA'!V253</f>
        <v>13.2</v>
      </c>
      <c r="H1750" s="308">
        <f>'BECA MEDIA'!W253</f>
        <v>33000</v>
      </c>
    </row>
    <row r="1751" spans="1:8" x14ac:dyDescent="0.3">
      <c r="A1751" t="s">
        <v>688</v>
      </c>
      <c r="B1751" t="s">
        <v>263</v>
      </c>
      <c r="C1751" t="s">
        <v>277</v>
      </c>
      <c r="D1751" t="s">
        <v>689</v>
      </c>
      <c r="E1751" t="s">
        <v>772</v>
      </c>
      <c r="F1751">
        <v>7</v>
      </c>
      <c r="G1751" s="308">
        <f>'BECA MEDIA'!Y253</f>
        <v>0</v>
      </c>
      <c r="H1751" s="308">
        <f>'BECA MEDIA'!Z253</f>
        <v>0</v>
      </c>
    </row>
    <row r="1752" spans="1:8" x14ac:dyDescent="0.3">
      <c r="A1752" t="s">
        <v>688</v>
      </c>
      <c r="B1752" t="s">
        <v>263</v>
      </c>
      <c r="C1752" t="s">
        <v>278</v>
      </c>
      <c r="D1752" t="s">
        <v>689</v>
      </c>
      <c r="E1752" t="s">
        <v>766</v>
      </c>
      <c r="F1752">
        <v>1</v>
      </c>
      <c r="G1752" s="308">
        <f>'BECA MEDIA'!G254</f>
        <v>0</v>
      </c>
      <c r="H1752" s="308">
        <f>'BECA MEDIA'!H254</f>
        <v>0</v>
      </c>
    </row>
    <row r="1753" spans="1:8" x14ac:dyDescent="0.3">
      <c r="A1753" t="s">
        <v>688</v>
      </c>
      <c r="B1753" t="s">
        <v>263</v>
      </c>
      <c r="C1753" t="s">
        <v>278</v>
      </c>
      <c r="D1753" t="s">
        <v>689</v>
      </c>
      <c r="E1753" t="s">
        <v>767</v>
      </c>
      <c r="F1753">
        <v>2</v>
      </c>
      <c r="G1753" s="308">
        <f>'BECA MEDIA'!J254</f>
        <v>0</v>
      </c>
      <c r="H1753" s="308">
        <f>'BECA MEDIA'!K254</f>
        <v>0</v>
      </c>
    </row>
    <row r="1754" spans="1:8" x14ac:dyDescent="0.3">
      <c r="A1754" t="s">
        <v>688</v>
      </c>
      <c r="B1754" t="s">
        <v>263</v>
      </c>
      <c r="C1754" t="s">
        <v>278</v>
      </c>
      <c r="D1754" t="s">
        <v>689</v>
      </c>
      <c r="E1754" t="s">
        <v>768</v>
      </c>
      <c r="F1754">
        <v>3</v>
      </c>
      <c r="G1754" s="308">
        <f>'BECA MEDIA'!M254</f>
        <v>6</v>
      </c>
      <c r="H1754" s="308">
        <f>'BECA MEDIA'!N254</f>
        <v>15000</v>
      </c>
    </row>
    <row r="1755" spans="1:8" x14ac:dyDescent="0.3">
      <c r="A1755" t="s">
        <v>688</v>
      </c>
      <c r="B1755" t="s">
        <v>263</v>
      </c>
      <c r="C1755" t="s">
        <v>278</v>
      </c>
      <c r="D1755" t="s">
        <v>689</v>
      </c>
      <c r="E1755" t="s">
        <v>769</v>
      </c>
      <c r="F1755">
        <v>4</v>
      </c>
      <c r="G1755" s="308">
        <f>'BECA MEDIA'!P254</f>
        <v>3.2</v>
      </c>
      <c r="H1755" s="308">
        <f>'BECA MEDIA'!Q254</f>
        <v>8000</v>
      </c>
    </row>
    <row r="1756" spans="1:8" x14ac:dyDescent="0.3">
      <c r="A1756" t="s">
        <v>688</v>
      </c>
      <c r="B1756" t="s">
        <v>263</v>
      </c>
      <c r="C1756" t="s">
        <v>278</v>
      </c>
      <c r="D1756" t="s">
        <v>689</v>
      </c>
      <c r="E1756" t="s">
        <v>770</v>
      </c>
      <c r="F1756">
        <v>5</v>
      </c>
      <c r="G1756" s="308">
        <f>'BECA MEDIA'!S254</f>
        <v>0</v>
      </c>
      <c r="H1756" s="308">
        <f>'BECA MEDIA'!T254</f>
        <v>0</v>
      </c>
    </row>
    <row r="1757" spans="1:8" x14ac:dyDescent="0.3">
      <c r="A1757" t="s">
        <v>688</v>
      </c>
      <c r="B1757" t="s">
        <v>263</v>
      </c>
      <c r="C1757" t="s">
        <v>278</v>
      </c>
      <c r="D1757" t="s">
        <v>689</v>
      </c>
      <c r="E1757" t="s">
        <v>771</v>
      </c>
      <c r="F1757">
        <v>6</v>
      </c>
      <c r="G1757" s="308">
        <f>'BECA MEDIA'!V254</f>
        <v>9.6</v>
      </c>
      <c r="H1757" s="308">
        <f>'BECA MEDIA'!W254</f>
        <v>24000</v>
      </c>
    </row>
    <row r="1758" spans="1:8" x14ac:dyDescent="0.3">
      <c r="A1758" t="s">
        <v>688</v>
      </c>
      <c r="B1758" t="s">
        <v>263</v>
      </c>
      <c r="C1758" t="s">
        <v>278</v>
      </c>
      <c r="D1758" t="s">
        <v>689</v>
      </c>
      <c r="E1758" t="s">
        <v>772</v>
      </c>
      <c r="F1758">
        <v>7</v>
      </c>
      <c r="G1758" s="308">
        <f>'BECA MEDIA'!Y254</f>
        <v>0</v>
      </c>
      <c r="H1758" s="308">
        <f>'BECA MEDIA'!Z254</f>
        <v>0</v>
      </c>
    </row>
    <row r="1759" spans="1:8" x14ac:dyDescent="0.3">
      <c r="A1759" t="s">
        <v>688</v>
      </c>
      <c r="B1759" t="s">
        <v>263</v>
      </c>
      <c r="C1759" t="s">
        <v>279</v>
      </c>
      <c r="D1759" t="s">
        <v>689</v>
      </c>
      <c r="E1759" t="s">
        <v>766</v>
      </c>
      <c r="F1759">
        <v>1</v>
      </c>
      <c r="G1759" s="308">
        <f>'BECA MEDIA'!G255</f>
        <v>0</v>
      </c>
      <c r="H1759" s="308">
        <f>'BECA MEDIA'!H255</f>
        <v>0</v>
      </c>
    </row>
    <row r="1760" spans="1:8" x14ac:dyDescent="0.3">
      <c r="A1760" t="s">
        <v>688</v>
      </c>
      <c r="B1760" t="s">
        <v>263</v>
      </c>
      <c r="C1760" t="s">
        <v>279</v>
      </c>
      <c r="D1760" t="s">
        <v>689</v>
      </c>
      <c r="E1760" t="s">
        <v>767</v>
      </c>
      <c r="F1760">
        <v>2</v>
      </c>
      <c r="G1760" s="308">
        <f>'BECA MEDIA'!J255</f>
        <v>0</v>
      </c>
      <c r="H1760" s="308">
        <f>'BECA MEDIA'!K255</f>
        <v>0</v>
      </c>
    </row>
    <row r="1761" spans="1:8" x14ac:dyDescent="0.3">
      <c r="A1761" t="s">
        <v>688</v>
      </c>
      <c r="B1761" t="s">
        <v>263</v>
      </c>
      <c r="C1761" t="s">
        <v>279</v>
      </c>
      <c r="D1761" t="s">
        <v>689</v>
      </c>
      <c r="E1761" t="s">
        <v>768</v>
      </c>
      <c r="F1761">
        <v>3</v>
      </c>
      <c r="G1761" s="308">
        <f>'BECA MEDIA'!M255</f>
        <v>2</v>
      </c>
      <c r="H1761" s="308">
        <f>'BECA MEDIA'!N255</f>
        <v>5000</v>
      </c>
    </row>
    <row r="1762" spans="1:8" x14ac:dyDescent="0.3">
      <c r="A1762" t="s">
        <v>688</v>
      </c>
      <c r="B1762" t="s">
        <v>263</v>
      </c>
      <c r="C1762" t="s">
        <v>279</v>
      </c>
      <c r="D1762" t="s">
        <v>689</v>
      </c>
      <c r="E1762" t="s">
        <v>769</v>
      </c>
      <c r="F1762">
        <v>4</v>
      </c>
      <c r="G1762" s="308">
        <f>'BECA MEDIA'!P255</f>
        <v>0.4</v>
      </c>
      <c r="H1762" s="308">
        <f>'BECA MEDIA'!Q255</f>
        <v>1000</v>
      </c>
    </row>
    <row r="1763" spans="1:8" x14ac:dyDescent="0.3">
      <c r="A1763" t="s">
        <v>688</v>
      </c>
      <c r="B1763" t="s">
        <v>263</v>
      </c>
      <c r="C1763" t="s">
        <v>279</v>
      </c>
      <c r="D1763" t="s">
        <v>689</v>
      </c>
      <c r="E1763" t="s">
        <v>770</v>
      </c>
      <c r="F1763">
        <v>5</v>
      </c>
      <c r="G1763" s="308">
        <f>'BECA MEDIA'!S255</f>
        <v>0</v>
      </c>
      <c r="H1763" s="308">
        <f>'BECA MEDIA'!T255</f>
        <v>0</v>
      </c>
    </row>
    <row r="1764" spans="1:8" x14ac:dyDescent="0.3">
      <c r="A1764" t="s">
        <v>688</v>
      </c>
      <c r="B1764" t="s">
        <v>263</v>
      </c>
      <c r="C1764" t="s">
        <v>279</v>
      </c>
      <c r="D1764" t="s">
        <v>689</v>
      </c>
      <c r="E1764" t="s">
        <v>771</v>
      </c>
      <c r="F1764">
        <v>6</v>
      </c>
      <c r="G1764" s="308">
        <f>'BECA MEDIA'!V255</f>
        <v>2.4</v>
      </c>
      <c r="H1764" s="308">
        <f>'BECA MEDIA'!W255</f>
        <v>6000</v>
      </c>
    </row>
    <row r="1765" spans="1:8" x14ac:dyDescent="0.3">
      <c r="A1765" t="s">
        <v>688</v>
      </c>
      <c r="B1765" t="s">
        <v>263</v>
      </c>
      <c r="C1765" t="s">
        <v>279</v>
      </c>
      <c r="D1765" t="s">
        <v>689</v>
      </c>
      <c r="E1765" t="s">
        <v>772</v>
      </c>
      <c r="F1765">
        <v>7</v>
      </c>
      <c r="G1765" s="308">
        <f>'BECA MEDIA'!Y255</f>
        <v>0</v>
      </c>
      <c r="H1765" s="308">
        <f>'BECA MEDIA'!Z255</f>
        <v>0</v>
      </c>
    </row>
    <row r="1766" spans="1:8" x14ac:dyDescent="0.3">
      <c r="A1766" t="s">
        <v>688</v>
      </c>
      <c r="B1766" t="s">
        <v>263</v>
      </c>
      <c r="C1766" t="s">
        <v>280</v>
      </c>
      <c r="D1766" t="s">
        <v>689</v>
      </c>
      <c r="E1766" t="s">
        <v>766</v>
      </c>
      <c r="F1766">
        <v>1</v>
      </c>
      <c r="G1766" s="308">
        <f>'BECA MEDIA'!G256</f>
        <v>0</v>
      </c>
      <c r="H1766" s="308">
        <f>'BECA MEDIA'!H256</f>
        <v>0</v>
      </c>
    </row>
    <row r="1767" spans="1:8" x14ac:dyDescent="0.3">
      <c r="A1767" t="s">
        <v>688</v>
      </c>
      <c r="B1767" t="s">
        <v>263</v>
      </c>
      <c r="C1767" t="s">
        <v>280</v>
      </c>
      <c r="D1767" t="s">
        <v>689</v>
      </c>
      <c r="E1767" t="s">
        <v>767</v>
      </c>
      <c r="F1767">
        <v>2</v>
      </c>
      <c r="G1767" s="308">
        <f>'BECA MEDIA'!J256</f>
        <v>0</v>
      </c>
      <c r="H1767" s="308">
        <f>'BECA MEDIA'!K256</f>
        <v>0</v>
      </c>
    </row>
    <row r="1768" spans="1:8" x14ac:dyDescent="0.3">
      <c r="A1768" t="s">
        <v>688</v>
      </c>
      <c r="B1768" t="s">
        <v>263</v>
      </c>
      <c r="C1768" t="s">
        <v>280</v>
      </c>
      <c r="D1768" t="s">
        <v>689</v>
      </c>
      <c r="E1768" t="s">
        <v>768</v>
      </c>
      <c r="F1768">
        <v>3</v>
      </c>
      <c r="G1768" s="308">
        <f>'BECA MEDIA'!M256</f>
        <v>1.6</v>
      </c>
      <c r="H1768" s="308">
        <f>'BECA MEDIA'!N256</f>
        <v>4000</v>
      </c>
    </row>
    <row r="1769" spans="1:8" x14ac:dyDescent="0.3">
      <c r="A1769" t="s">
        <v>688</v>
      </c>
      <c r="B1769" t="s">
        <v>263</v>
      </c>
      <c r="C1769" t="s">
        <v>280</v>
      </c>
      <c r="D1769" t="s">
        <v>689</v>
      </c>
      <c r="E1769" t="s">
        <v>769</v>
      </c>
      <c r="F1769">
        <v>4</v>
      </c>
      <c r="G1769" s="308">
        <f>'BECA MEDIA'!P256</f>
        <v>1.2</v>
      </c>
      <c r="H1769" s="308">
        <f>'BECA MEDIA'!Q256</f>
        <v>3000</v>
      </c>
    </row>
    <row r="1770" spans="1:8" x14ac:dyDescent="0.3">
      <c r="A1770" t="s">
        <v>688</v>
      </c>
      <c r="B1770" t="s">
        <v>263</v>
      </c>
      <c r="C1770" t="s">
        <v>280</v>
      </c>
      <c r="D1770" t="s">
        <v>689</v>
      </c>
      <c r="E1770" t="s">
        <v>770</v>
      </c>
      <c r="F1770">
        <v>5</v>
      </c>
      <c r="G1770" s="308">
        <f>'BECA MEDIA'!S256</f>
        <v>0</v>
      </c>
      <c r="H1770" s="308">
        <f>'BECA MEDIA'!T256</f>
        <v>0</v>
      </c>
    </row>
    <row r="1771" spans="1:8" x14ac:dyDescent="0.3">
      <c r="A1771" t="s">
        <v>688</v>
      </c>
      <c r="B1771" t="s">
        <v>263</v>
      </c>
      <c r="C1771" t="s">
        <v>280</v>
      </c>
      <c r="D1771" t="s">
        <v>689</v>
      </c>
      <c r="E1771" t="s">
        <v>771</v>
      </c>
      <c r="F1771">
        <v>6</v>
      </c>
      <c r="G1771" s="308">
        <f>'BECA MEDIA'!V256</f>
        <v>3.6</v>
      </c>
      <c r="H1771" s="308">
        <f>'BECA MEDIA'!W256</f>
        <v>9000</v>
      </c>
    </row>
    <row r="1772" spans="1:8" x14ac:dyDescent="0.3">
      <c r="A1772" t="s">
        <v>688</v>
      </c>
      <c r="B1772" t="s">
        <v>263</v>
      </c>
      <c r="C1772" t="s">
        <v>280</v>
      </c>
      <c r="D1772" t="s">
        <v>689</v>
      </c>
      <c r="E1772" t="s">
        <v>772</v>
      </c>
      <c r="F1772">
        <v>7</v>
      </c>
      <c r="G1772" s="308">
        <f>'BECA MEDIA'!Y256</f>
        <v>0</v>
      </c>
      <c r="H1772" s="308">
        <f>'BECA MEDIA'!Z256</f>
        <v>0</v>
      </c>
    </row>
    <row r="1773" spans="1:8" x14ac:dyDescent="0.3">
      <c r="A1773" t="s">
        <v>688</v>
      </c>
      <c r="B1773" t="s">
        <v>263</v>
      </c>
      <c r="C1773" t="s">
        <v>281</v>
      </c>
      <c r="D1773" t="s">
        <v>689</v>
      </c>
      <c r="E1773" t="s">
        <v>766</v>
      </c>
      <c r="F1773">
        <v>1</v>
      </c>
      <c r="G1773" s="308">
        <f>'BECA MEDIA'!G257</f>
        <v>0</v>
      </c>
      <c r="H1773" s="308">
        <f>'BECA MEDIA'!H257</f>
        <v>0</v>
      </c>
    </row>
    <row r="1774" spans="1:8" x14ac:dyDescent="0.3">
      <c r="A1774" t="s">
        <v>688</v>
      </c>
      <c r="B1774" t="s">
        <v>263</v>
      </c>
      <c r="C1774" t="s">
        <v>281</v>
      </c>
      <c r="D1774" t="s">
        <v>689</v>
      </c>
      <c r="E1774" t="s">
        <v>767</v>
      </c>
      <c r="F1774">
        <v>2</v>
      </c>
      <c r="G1774" s="308">
        <f>'BECA MEDIA'!J257</f>
        <v>0</v>
      </c>
      <c r="H1774" s="308">
        <f>'BECA MEDIA'!K257</f>
        <v>0</v>
      </c>
    </row>
    <row r="1775" spans="1:8" x14ac:dyDescent="0.3">
      <c r="A1775" t="s">
        <v>688</v>
      </c>
      <c r="B1775" t="s">
        <v>263</v>
      </c>
      <c r="C1775" t="s">
        <v>281</v>
      </c>
      <c r="D1775" t="s">
        <v>689</v>
      </c>
      <c r="E1775" t="s">
        <v>768</v>
      </c>
      <c r="F1775">
        <v>3</v>
      </c>
      <c r="G1775" s="308">
        <f>'BECA MEDIA'!M257</f>
        <v>6.4</v>
      </c>
      <c r="H1775" s="308">
        <f>'BECA MEDIA'!N257</f>
        <v>16000</v>
      </c>
    </row>
    <row r="1776" spans="1:8" x14ac:dyDescent="0.3">
      <c r="A1776" t="s">
        <v>688</v>
      </c>
      <c r="B1776" t="s">
        <v>263</v>
      </c>
      <c r="C1776" t="s">
        <v>281</v>
      </c>
      <c r="D1776" t="s">
        <v>689</v>
      </c>
      <c r="E1776" t="s">
        <v>769</v>
      </c>
      <c r="F1776">
        <v>4</v>
      </c>
      <c r="G1776" s="308">
        <f>'BECA MEDIA'!P257</f>
        <v>10</v>
      </c>
      <c r="H1776" s="308">
        <f>'BECA MEDIA'!Q257</f>
        <v>25000</v>
      </c>
    </row>
    <row r="1777" spans="1:8" x14ac:dyDescent="0.3">
      <c r="A1777" t="s">
        <v>688</v>
      </c>
      <c r="B1777" t="s">
        <v>263</v>
      </c>
      <c r="C1777" t="s">
        <v>281</v>
      </c>
      <c r="D1777" t="s">
        <v>689</v>
      </c>
      <c r="E1777" t="s">
        <v>770</v>
      </c>
      <c r="F1777">
        <v>5</v>
      </c>
      <c r="G1777" s="308">
        <f>'BECA MEDIA'!S257</f>
        <v>0</v>
      </c>
      <c r="H1777" s="308">
        <f>'BECA MEDIA'!T257</f>
        <v>0</v>
      </c>
    </row>
    <row r="1778" spans="1:8" x14ac:dyDescent="0.3">
      <c r="A1778" t="s">
        <v>688</v>
      </c>
      <c r="B1778" t="s">
        <v>263</v>
      </c>
      <c r="C1778" t="s">
        <v>281</v>
      </c>
      <c r="D1778" t="s">
        <v>689</v>
      </c>
      <c r="E1778" t="s">
        <v>771</v>
      </c>
      <c r="F1778">
        <v>6</v>
      </c>
      <c r="G1778" s="308">
        <f>'BECA MEDIA'!V257</f>
        <v>16.399999999999999</v>
      </c>
      <c r="H1778" s="308">
        <f>'BECA MEDIA'!W257</f>
        <v>41000</v>
      </c>
    </row>
    <row r="1779" spans="1:8" x14ac:dyDescent="0.3">
      <c r="A1779" t="s">
        <v>688</v>
      </c>
      <c r="B1779" t="s">
        <v>263</v>
      </c>
      <c r="C1779" t="s">
        <v>281</v>
      </c>
      <c r="D1779" t="s">
        <v>689</v>
      </c>
      <c r="E1779" t="s">
        <v>772</v>
      </c>
      <c r="F1779">
        <v>7</v>
      </c>
      <c r="G1779" s="308">
        <f>'BECA MEDIA'!Y257</f>
        <v>0</v>
      </c>
      <c r="H1779" s="308">
        <f>'BECA MEDIA'!Z257</f>
        <v>0</v>
      </c>
    </row>
    <row r="1780" spans="1:8" x14ac:dyDescent="0.3">
      <c r="A1780" t="s">
        <v>688</v>
      </c>
      <c r="B1780" t="s">
        <v>263</v>
      </c>
      <c r="C1780" t="s">
        <v>282</v>
      </c>
      <c r="D1780" t="s">
        <v>689</v>
      </c>
      <c r="E1780" t="s">
        <v>766</v>
      </c>
      <c r="F1780">
        <v>1</v>
      </c>
      <c r="G1780" s="308">
        <f>'BECA MEDIA'!G258</f>
        <v>0</v>
      </c>
      <c r="H1780" s="308">
        <f>'BECA MEDIA'!H258</f>
        <v>0</v>
      </c>
    </row>
    <row r="1781" spans="1:8" x14ac:dyDescent="0.3">
      <c r="A1781" t="s">
        <v>688</v>
      </c>
      <c r="B1781" t="s">
        <v>263</v>
      </c>
      <c r="C1781" t="s">
        <v>282</v>
      </c>
      <c r="D1781" t="s">
        <v>689</v>
      </c>
      <c r="E1781" t="s">
        <v>767</v>
      </c>
      <c r="F1781">
        <v>2</v>
      </c>
      <c r="G1781" s="308">
        <f>'BECA MEDIA'!J258</f>
        <v>0</v>
      </c>
      <c r="H1781" s="308">
        <f>'BECA MEDIA'!K258</f>
        <v>0</v>
      </c>
    </row>
    <row r="1782" spans="1:8" x14ac:dyDescent="0.3">
      <c r="A1782" t="s">
        <v>688</v>
      </c>
      <c r="B1782" t="s">
        <v>263</v>
      </c>
      <c r="C1782" t="s">
        <v>282</v>
      </c>
      <c r="D1782" t="s">
        <v>689</v>
      </c>
      <c r="E1782" t="s">
        <v>768</v>
      </c>
      <c r="F1782">
        <v>3</v>
      </c>
      <c r="G1782" s="308">
        <f>'BECA MEDIA'!M258</f>
        <v>5.6</v>
      </c>
      <c r="H1782" s="308">
        <f>'BECA MEDIA'!N258</f>
        <v>14000</v>
      </c>
    </row>
    <row r="1783" spans="1:8" x14ac:dyDescent="0.3">
      <c r="A1783" t="s">
        <v>688</v>
      </c>
      <c r="B1783" t="s">
        <v>263</v>
      </c>
      <c r="C1783" t="s">
        <v>282</v>
      </c>
      <c r="D1783" t="s">
        <v>689</v>
      </c>
      <c r="E1783" t="s">
        <v>769</v>
      </c>
      <c r="F1783">
        <v>4</v>
      </c>
      <c r="G1783" s="308">
        <f>'BECA MEDIA'!P258</f>
        <v>1.6</v>
      </c>
      <c r="H1783" s="308">
        <f>'BECA MEDIA'!Q258</f>
        <v>4000</v>
      </c>
    </row>
    <row r="1784" spans="1:8" x14ac:dyDescent="0.3">
      <c r="A1784" t="s">
        <v>688</v>
      </c>
      <c r="B1784" t="s">
        <v>263</v>
      </c>
      <c r="C1784" t="s">
        <v>282</v>
      </c>
      <c r="D1784" t="s">
        <v>689</v>
      </c>
      <c r="E1784" t="s">
        <v>770</v>
      </c>
      <c r="F1784">
        <v>5</v>
      </c>
      <c r="G1784" s="308">
        <f>'BECA MEDIA'!S258</f>
        <v>0</v>
      </c>
      <c r="H1784" s="308">
        <f>'BECA MEDIA'!T258</f>
        <v>0</v>
      </c>
    </row>
    <row r="1785" spans="1:8" x14ac:dyDescent="0.3">
      <c r="A1785" t="s">
        <v>688</v>
      </c>
      <c r="B1785" t="s">
        <v>263</v>
      </c>
      <c r="C1785" t="s">
        <v>282</v>
      </c>
      <c r="D1785" t="s">
        <v>689</v>
      </c>
      <c r="E1785" t="s">
        <v>771</v>
      </c>
      <c r="F1785">
        <v>6</v>
      </c>
      <c r="G1785" s="308">
        <f>'BECA MEDIA'!V258</f>
        <v>7.2</v>
      </c>
      <c r="H1785" s="308">
        <f>'BECA MEDIA'!W258</f>
        <v>18000</v>
      </c>
    </row>
    <row r="1786" spans="1:8" x14ac:dyDescent="0.3">
      <c r="A1786" t="s">
        <v>688</v>
      </c>
      <c r="B1786" t="s">
        <v>263</v>
      </c>
      <c r="C1786" t="s">
        <v>282</v>
      </c>
      <c r="D1786" t="s">
        <v>689</v>
      </c>
      <c r="E1786" t="s">
        <v>772</v>
      </c>
      <c r="F1786">
        <v>7</v>
      </c>
      <c r="G1786" s="308">
        <f>'BECA MEDIA'!Y258</f>
        <v>0</v>
      </c>
      <c r="H1786" s="308">
        <f>'BECA MEDIA'!Z258</f>
        <v>0</v>
      </c>
    </row>
    <row r="1787" spans="1:8" x14ac:dyDescent="0.3">
      <c r="A1787" t="s">
        <v>688</v>
      </c>
      <c r="B1787" t="s">
        <v>263</v>
      </c>
      <c r="C1787" t="s">
        <v>283</v>
      </c>
      <c r="D1787" t="s">
        <v>689</v>
      </c>
      <c r="E1787" t="s">
        <v>766</v>
      </c>
      <c r="F1787">
        <v>1</v>
      </c>
      <c r="G1787" s="308">
        <f>'BECA MEDIA'!G259</f>
        <v>0</v>
      </c>
      <c r="H1787" s="308">
        <f>'BECA MEDIA'!H259</f>
        <v>0</v>
      </c>
    </row>
    <row r="1788" spans="1:8" x14ac:dyDescent="0.3">
      <c r="A1788" t="s">
        <v>688</v>
      </c>
      <c r="B1788" t="s">
        <v>263</v>
      </c>
      <c r="C1788" t="s">
        <v>283</v>
      </c>
      <c r="D1788" t="s">
        <v>689</v>
      </c>
      <c r="E1788" t="s">
        <v>767</v>
      </c>
      <c r="F1788">
        <v>2</v>
      </c>
      <c r="G1788" s="308">
        <f>'BECA MEDIA'!J259</f>
        <v>0</v>
      </c>
      <c r="H1788" s="308">
        <f>'BECA MEDIA'!K259</f>
        <v>0</v>
      </c>
    </row>
    <row r="1789" spans="1:8" x14ac:dyDescent="0.3">
      <c r="A1789" t="s">
        <v>688</v>
      </c>
      <c r="B1789" t="s">
        <v>263</v>
      </c>
      <c r="C1789" t="s">
        <v>283</v>
      </c>
      <c r="D1789" t="s">
        <v>689</v>
      </c>
      <c r="E1789" t="s">
        <v>768</v>
      </c>
      <c r="F1789">
        <v>3</v>
      </c>
      <c r="G1789" s="308">
        <f>'BECA MEDIA'!M259</f>
        <v>2.8</v>
      </c>
      <c r="H1789" s="308">
        <f>'BECA MEDIA'!N259</f>
        <v>7000</v>
      </c>
    </row>
    <row r="1790" spans="1:8" x14ac:dyDescent="0.3">
      <c r="A1790" t="s">
        <v>688</v>
      </c>
      <c r="B1790" t="s">
        <v>263</v>
      </c>
      <c r="C1790" t="s">
        <v>283</v>
      </c>
      <c r="D1790" t="s">
        <v>689</v>
      </c>
      <c r="E1790" t="s">
        <v>769</v>
      </c>
      <c r="F1790">
        <v>4</v>
      </c>
      <c r="G1790" s="308">
        <f>'BECA MEDIA'!P259</f>
        <v>0.4</v>
      </c>
      <c r="H1790" s="308">
        <f>'BECA MEDIA'!Q259</f>
        <v>1000</v>
      </c>
    </row>
    <row r="1791" spans="1:8" x14ac:dyDescent="0.3">
      <c r="A1791" t="s">
        <v>688</v>
      </c>
      <c r="B1791" t="s">
        <v>263</v>
      </c>
      <c r="C1791" t="s">
        <v>283</v>
      </c>
      <c r="D1791" t="s">
        <v>689</v>
      </c>
      <c r="E1791" t="s">
        <v>770</v>
      </c>
      <c r="F1791">
        <v>5</v>
      </c>
      <c r="G1791" s="308">
        <f>'BECA MEDIA'!S259</f>
        <v>0</v>
      </c>
      <c r="H1791" s="308">
        <f>'BECA MEDIA'!T259</f>
        <v>0</v>
      </c>
    </row>
    <row r="1792" spans="1:8" x14ac:dyDescent="0.3">
      <c r="A1792" t="s">
        <v>688</v>
      </c>
      <c r="B1792" t="s">
        <v>263</v>
      </c>
      <c r="C1792" t="s">
        <v>283</v>
      </c>
      <c r="D1792" t="s">
        <v>689</v>
      </c>
      <c r="E1792" t="s">
        <v>771</v>
      </c>
      <c r="F1792">
        <v>6</v>
      </c>
      <c r="G1792" s="308">
        <f>'BECA MEDIA'!V259</f>
        <v>3.2</v>
      </c>
      <c r="H1792" s="308">
        <f>'BECA MEDIA'!W259</f>
        <v>8000</v>
      </c>
    </row>
    <row r="1793" spans="1:8" x14ac:dyDescent="0.3">
      <c r="A1793" t="s">
        <v>688</v>
      </c>
      <c r="B1793" t="s">
        <v>263</v>
      </c>
      <c r="C1793" t="s">
        <v>283</v>
      </c>
      <c r="D1793" t="s">
        <v>689</v>
      </c>
      <c r="E1793" t="s">
        <v>772</v>
      </c>
      <c r="F1793">
        <v>7</v>
      </c>
      <c r="G1793" s="308">
        <f>'BECA MEDIA'!Y259</f>
        <v>0</v>
      </c>
      <c r="H1793" s="308">
        <f>'BECA MEDIA'!Z259</f>
        <v>0</v>
      </c>
    </row>
    <row r="1794" spans="1:8" x14ac:dyDescent="0.3">
      <c r="A1794" t="s">
        <v>688</v>
      </c>
      <c r="B1794" t="s">
        <v>263</v>
      </c>
      <c r="C1794" t="s">
        <v>263</v>
      </c>
      <c r="D1794" t="s">
        <v>689</v>
      </c>
      <c r="E1794" t="s">
        <v>766</v>
      </c>
      <c r="F1794">
        <v>1</v>
      </c>
      <c r="G1794" s="308">
        <f>'BECA MEDIA'!G260</f>
        <v>0</v>
      </c>
      <c r="H1794" s="308">
        <f>'BECA MEDIA'!H260</f>
        <v>0</v>
      </c>
    </row>
    <row r="1795" spans="1:8" x14ac:dyDescent="0.3">
      <c r="A1795" t="s">
        <v>688</v>
      </c>
      <c r="B1795" t="s">
        <v>263</v>
      </c>
      <c r="C1795" t="s">
        <v>263</v>
      </c>
      <c r="D1795" t="s">
        <v>689</v>
      </c>
      <c r="E1795" t="s">
        <v>767</v>
      </c>
      <c r="F1795">
        <v>2</v>
      </c>
      <c r="G1795" s="308">
        <f>'BECA MEDIA'!J260</f>
        <v>0</v>
      </c>
      <c r="H1795" s="308">
        <f>'BECA MEDIA'!K260</f>
        <v>0</v>
      </c>
    </row>
    <row r="1796" spans="1:8" x14ac:dyDescent="0.3">
      <c r="A1796" t="s">
        <v>688</v>
      </c>
      <c r="B1796" t="s">
        <v>263</v>
      </c>
      <c r="C1796" t="s">
        <v>263</v>
      </c>
      <c r="D1796" t="s">
        <v>689</v>
      </c>
      <c r="E1796" t="s">
        <v>768</v>
      </c>
      <c r="F1796">
        <v>3</v>
      </c>
      <c r="G1796" s="308">
        <f>'BECA MEDIA'!M260</f>
        <v>2.8</v>
      </c>
      <c r="H1796" s="308">
        <f>'BECA MEDIA'!N260</f>
        <v>7000</v>
      </c>
    </row>
    <row r="1797" spans="1:8" x14ac:dyDescent="0.3">
      <c r="A1797" t="s">
        <v>688</v>
      </c>
      <c r="B1797" t="s">
        <v>263</v>
      </c>
      <c r="C1797" t="s">
        <v>263</v>
      </c>
      <c r="D1797" t="s">
        <v>689</v>
      </c>
      <c r="E1797" t="s">
        <v>769</v>
      </c>
      <c r="F1797">
        <v>4</v>
      </c>
      <c r="G1797" s="308">
        <f>'BECA MEDIA'!P260</f>
        <v>0.4</v>
      </c>
      <c r="H1797" s="308">
        <f>'BECA MEDIA'!Q260</f>
        <v>1000</v>
      </c>
    </row>
    <row r="1798" spans="1:8" x14ac:dyDescent="0.3">
      <c r="A1798" t="s">
        <v>688</v>
      </c>
      <c r="B1798" t="s">
        <v>263</v>
      </c>
      <c r="C1798" t="s">
        <v>263</v>
      </c>
      <c r="D1798" t="s">
        <v>689</v>
      </c>
      <c r="E1798" t="s">
        <v>770</v>
      </c>
      <c r="F1798">
        <v>5</v>
      </c>
      <c r="G1798" s="308">
        <f>'BECA MEDIA'!S260</f>
        <v>0</v>
      </c>
      <c r="H1798" s="308">
        <f>'BECA MEDIA'!T260</f>
        <v>0</v>
      </c>
    </row>
    <row r="1799" spans="1:8" x14ac:dyDescent="0.3">
      <c r="A1799" t="s">
        <v>688</v>
      </c>
      <c r="B1799" t="s">
        <v>263</v>
      </c>
      <c r="C1799" t="s">
        <v>263</v>
      </c>
      <c r="D1799" t="s">
        <v>689</v>
      </c>
      <c r="E1799" t="s">
        <v>771</v>
      </c>
      <c r="F1799">
        <v>6</v>
      </c>
      <c r="G1799" s="308">
        <f>'BECA MEDIA'!V260</f>
        <v>4.4000000000000004</v>
      </c>
      <c r="H1799" s="308">
        <f>'BECA MEDIA'!W260</f>
        <v>11000</v>
      </c>
    </row>
    <row r="1800" spans="1:8" x14ac:dyDescent="0.3">
      <c r="A1800" t="s">
        <v>688</v>
      </c>
      <c r="B1800" t="s">
        <v>263</v>
      </c>
      <c r="C1800" t="s">
        <v>263</v>
      </c>
      <c r="D1800" t="s">
        <v>689</v>
      </c>
      <c r="E1800" t="s">
        <v>772</v>
      </c>
      <c r="F1800">
        <v>7</v>
      </c>
      <c r="G1800" s="308">
        <f>'BECA MEDIA'!Y260</f>
        <v>0</v>
      </c>
      <c r="H1800" s="308">
        <f>'BECA MEDIA'!Z260</f>
        <v>0</v>
      </c>
    </row>
    <row r="1801" spans="1:8" x14ac:dyDescent="0.3">
      <c r="A1801" t="s">
        <v>688</v>
      </c>
      <c r="B1801" t="s">
        <v>263</v>
      </c>
      <c r="C1801" t="s">
        <v>284</v>
      </c>
      <c r="D1801" t="s">
        <v>689</v>
      </c>
      <c r="E1801" t="s">
        <v>766</v>
      </c>
      <c r="F1801">
        <v>1</v>
      </c>
      <c r="G1801" s="308">
        <f>'BECA MEDIA'!G261</f>
        <v>0</v>
      </c>
      <c r="H1801" s="308">
        <f>'BECA MEDIA'!H261</f>
        <v>0</v>
      </c>
    </row>
    <row r="1802" spans="1:8" x14ac:dyDescent="0.3">
      <c r="A1802" t="s">
        <v>688</v>
      </c>
      <c r="B1802" t="s">
        <v>263</v>
      </c>
      <c r="C1802" t="s">
        <v>284</v>
      </c>
      <c r="D1802" t="s">
        <v>689</v>
      </c>
      <c r="E1802" t="s">
        <v>767</v>
      </c>
      <c r="F1802">
        <v>2</v>
      </c>
      <c r="G1802" s="308">
        <f>'BECA MEDIA'!J261</f>
        <v>0</v>
      </c>
      <c r="H1802" s="308">
        <f>'BECA MEDIA'!K261</f>
        <v>0</v>
      </c>
    </row>
    <row r="1803" spans="1:8" x14ac:dyDescent="0.3">
      <c r="A1803" t="s">
        <v>688</v>
      </c>
      <c r="B1803" t="s">
        <v>263</v>
      </c>
      <c r="C1803" t="s">
        <v>284</v>
      </c>
      <c r="D1803" t="s">
        <v>689</v>
      </c>
      <c r="E1803" t="s">
        <v>768</v>
      </c>
      <c r="F1803">
        <v>3</v>
      </c>
      <c r="G1803" s="308">
        <f>'BECA MEDIA'!M261</f>
        <v>4</v>
      </c>
      <c r="H1803" s="308">
        <f>'BECA MEDIA'!N261</f>
        <v>10000</v>
      </c>
    </row>
    <row r="1804" spans="1:8" x14ac:dyDescent="0.3">
      <c r="A1804" t="s">
        <v>688</v>
      </c>
      <c r="B1804" t="s">
        <v>263</v>
      </c>
      <c r="C1804" t="s">
        <v>284</v>
      </c>
      <c r="D1804" t="s">
        <v>689</v>
      </c>
      <c r="E1804" t="s">
        <v>769</v>
      </c>
      <c r="F1804">
        <v>4</v>
      </c>
      <c r="G1804" s="308">
        <f>'BECA MEDIA'!P261</f>
        <v>0.8</v>
      </c>
      <c r="H1804" s="308">
        <f>'BECA MEDIA'!Q261</f>
        <v>2000</v>
      </c>
    </row>
    <row r="1805" spans="1:8" x14ac:dyDescent="0.3">
      <c r="A1805" t="s">
        <v>688</v>
      </c>
      <c r="B1805" t="s">
        <v>263</v>
      </c>
      <c r="C1805" t="s">
        <v>284</v>
      </c>
      <c r="D1805" t="s">
        <v>689</v>
      </c>
      <c r="E1805" t="s">
        <v>770</v>
      </c>
      <c r="F1805">
        <v>5</v>
      </c>
      <c r="G1805" s="308">
        <f>'BECA MEDIA'!S261</f>
        <v>0</v>
      </c>
      <c r="H1805" s="308">
        <f>'BECA MEDIA'!T261</f>
        <v>0</v>
      </c>
    </row>
    <row r="1806" spans="1:8" x14ac:dyDescent="0.3">
      <c r="A1806" t="s">
        <v>688</v>
      </c>
      <c r="B1806" t="s">
        <v>263</v>
      </c>
      <c r="C1806" t="s">
        <v>284</v>
      </c>
      <c r="D1806" t="s">
        <v>689</v>
      </c>
      <c r="E1806" t="s">
        <v>771</v>
      </c>
      <c r="F1806">
        <v>6</v>
      </c>
      <c r="G1806" s="308">
        <f>'BECA MEDIA'!V261</f>
        <v>5.2</v>
      </c>
      <c r="H1806" s="308">
        <f>'BECA MEDIA'!W261</f>
        <v>13000</v>
      </c>
    </row>
    <row r="1807" spans="1:8" x14ac:dyDescent="0.3">
      <c r="A1807" t="s">
        <v>688</v>
      </c>
      <c r="B1807" t="s">
        <v>263</v>
      </c>
      <c r="C1807" t="s">
        <v>284</v>
      </c>
      <c r="D1807" t="s">
        <v>689</v>
      </c>
      <c r="E1807" t="s">
        <v>772</v>
      </c>
      <c r="F1807">
        <v>7</v>
      </c>
      <c r="G1807" s="308">
        <f>'BECA MEDIA'!Y261</f>
        <v>0</v>
      </c>
      <c r="H1807" s="308">
        <f>'BECA MEDIA'!Z261</f>
        <v>0</v>
      </c>
    </row>
    <row r="1808" spans="1:8" x14ac:dyDescent="0.3">
      <c r="A1808" t="s">
        <v>688</v>
      </c>
      <c r="B1808" t="s">
        <v>263</v>
      </c>
      <c r="C1808" t="s">
        <v>285</v>
      </c>
      <c r="D1808" t="s">
        <v>689</v>
      </c>
      <c r="E1808" t="s">
        <v>766</v>
      </c>
      <c r="F1808">
        <v>1</v>
      </c>
      <c r="G1808" s="308">
        <f>'BECA MEDIA'!G262</f>
        <v>0</v>
      </c>
      <c r="H1808" s="308">
        <f>'BECA MEDIA'!H262</f>
        <v>0</v>
      </c>
    </row>
    <row r="1809" spans="1:8" x14ac:dyDescent="0.3">
      <c r="A1809" t="s">
        <v>688</v>
      </c>
      <c r="B1809" t="s">
        <v>263</v>
      </c>
      <c r="C1809" t="s">
        <v>285</v>
      </c>
      <c r="D1809" t="s">
        <v>689</v>
      </c>
      <c r="E1809" t="s">
        <v>767</v>
      </c>
      <c r="F1809">
        <v>2</v>
      </c>
      <c r="G1809" s="308">
        <f>'BECA MEDIA'!J262</f>
        <v>0</v>
      </c>
      <c r="H1809" s="308">
        <f>'BECA MEDIA'!K262</f>
        <v>0</v>
      </c>
    </row>
    <row r="1810" spans="1:8" x14ac:dyDescent="0.3">
      <c r="A1810" t="s">
        <v>688</v>
      </c>
      <c r="B1810" t="s">
        <v>263</v>
      </c>
      <c r="C1810" t="s">
        <v>285</v>
      </c>
      <c r="D1810" t="s">
        <v>689</v>
      </c>
      <c r="E1810" t="s">
        <v>768</v>
      </c>
      <c r="F1810">
        <v>3</v>
      </c>
      <c r="G1810" s="308">
        <f>'BECA MEDIA'!M262</f>
        <v>2.8</v>
      </c>
      <c r="H1810" s="308">
        <f>'BECA MEDIA'!N262</f>
        <v>7000</v>
      </c>
    </row>
    <row r="1811" spans="1:8" x14ac:dyDescent="0.3">
      <c r="A1811" t="s">
        <v>688</v>
      </c>
      <c r="B1811" t="s">
        <v>263</v>
      </c>
      <c r="C1811" t="s">
        <v>285</v>
      </c>
      <c r="D1811" t="s">
        <v>689</v>
      </c>
      <c r="E1811" t="s">
        <v>769</v>
      </c>
      <c r="F1811">
        <v>4</v>
      </c>
      <c r="G1811" s="308">
        <f>'BECA MEDIA'!P262</f>
        <v>2</v>
      </c>
      <c r="H1811" s="308">
        <f>'BECA MEDIA'!Q262</f>
        <v>5000</v>
      </c>
    </row>
    <row r="1812" spans="1:8" x14ac:dyDescent="0.3">
      <c r="A1812" t="s">
        <v>688</v>
      </c>
      <c r="B1812" t="s">
        <v>263</v>
      </c>
      <c r="C1812" t="s">
        <v>285</v>
      </c>
      <c r="D1812" t="s">
        <v>689</v>
      </c>
      <c r="E1812" t="s">
        <v>770</v>
      </c>
      <c r="F1812">
        <v>5</v>
      </c>
      <c r="G1812" s="308">
        <f>'BECA MEDIA'!S262</f>
        <v>0</v>
      </c>
      <c r="H1812" s="308">
        <f>'BECA MEDIA'!T262</f>
        <v>0</v>
      </c>
    </row>
    <row r="1813" spans="1:8" x14ac:dyDescent="0.3">
      <c r="A1813" t="s">
        <v>688</v>
      </c>
      <c r="B1813" t="s">
        <v>263</v>
      </c>
      <c r="C1813" t="s">
        <v>285</v>
      </c>
      <c r="D1813" t="s">
        <v>689</v>
      </c>
      <c r="E1813" t="s">
        <v>771</v>
      </c>
      <c r="F1813">
        <v>6</v>
      </c>
      <c r="G1813" s="308">
        <f>'BECA MEDIA'!V262</f>
        <v>4.8</v>
      </c>
      <c r="H1813" s="308">
        <f>'BECA MEDIA'!W262</f>
        <v>12000</v>
      </c>
    </row>
    <row r="1814" spans="1:8" x14ac:dyDescent="0.3">
      <c r="A1814" t="s">
        <v>688</v>
      </c>
      <c r="B1814" t="s">
        <v>263</v>
      </c>
      <c r="C1814" t="s">
        <v>285</v>
      </c>
      <c r="D1814" t="s">
        <v>689</v>
      </c>
      <c r="E1814" t="s">
        <v>772</v>
      </c>
      <c r="F1814">
        <v>7</v>
      </c>
      <c r="G1814" s="308">
        <f>'BECA MEDIA'!Y262</f>
        <v>0</v>
      </c>
      <c r="H1814" s="308">
        <f>'BECA MEDIA'!Z262</f>
        <v>0</v>
      </c>
    </row>
    <row r="1815" spans="1:8" x14ac:dyDescent="0.3">
      <c r="A1815" t="s">
        <v>688</v>
      </c>
      <c r="B1815" t="s">
        <v>263</v>
      </c>
      <c r="C1815" t="s">
        <v>112</v>
      </c>
      <c r="D1815" t="s">
        <v>689</v>
      </c>
      <c r="E1815" t="s">
        <v>766</v>
      </c>
      <c r="F1815">
        <v>1</v>
      </c>
      <c r="G1815" s="308">
        <f>'BECA MEDIA'!G263</f>
        <v>0</v>
      </c>
      <c r="H1815" s="308">
        <f>'BECA MEDIA'!H263</f>
        <v>0</v>
      </c>
    </row>
    <row r="1816" spans="1:8" x14ac:dyDescent="0.3">
      <c r="A1816" t="s">
        <v>688</v>
      </c>
      <c r="B1816" t="s">
        <v>263</v>
      </c>
      <c r="C1816" t="s">
        <v>112</v>
      </c>
      <c r="D1816" t="s">
        <v>689</v>
      </c>
      <c r="E1816" t="s">
        <v>767</v>
      </c>
      <c r="F1816">
        <v>2</v>
      </c>
      <c r="G1816" s="308">
        <f>'BECA MEDIA'!J263</f>
        <v>0</v>
      </c>
      <c r="H1816" s="308">
        <f>'BECA MEDIA'!K263</f>
        <v>0</v>
      </c>
    </row>
    <row r="1817" spans="1:8" x14ac:dyDescent="0.3">
      <c r="A1817" t="s">
        <v>688</v>
      </c>
      <c r="B1817" t="s">
        <v>263</v>
      </c>
      <c r="C1817" t="s">
        <v>112</v>
      </c>
      <c r="D1817" t="s">
        <v>689</v>
      </c>
      <c r="E1817" t="s">
        <v>768</v>
      </c>
      <c r="F1817">
        <v>3</v>
      </c>
      <c r="G1817" s="308">
        <f>'BECA MEDIA'!M263</f>
        <v>4.8</v>
      </c>
      <c r="H1817" s="308">
        <f>'BECA MEDIA'!N263</f>
        <v>12000</v>
      </c>
    </row>
    <row r="1818" spans="1:8" x14ac:dyDescent="0.3">
      <c r="A1818" t="s">
        <v>688</v>
      </c>
      <c r="B1818" t="s">
        <v>263</v>
      </c>
      <c r="C1818" t="s">
        <v>112</v>
      </c>
      <c r="D1818" t="s">
        <v>689</v>
      </c>
      <c r="E1818" t="s">
        <v>769</v>
      </c>
      <c r="F1818">
        <v>4</v>
      </c>
      <c r="G1818" s="308">
        <f>'BECA MEDIA'!P263</f>
        <v>0.4</v>
      </c>
      <c r="H1818" s="308">
        <f>'BECA MEDIA'!Q263</f>
        <v>1000</v>
      </c>
    </row>
    <row r="1819" spans="1:8" x14ac:dyDescent="0.3">
      <c r="A1819" t="s">
        <v>688</v>
      </c>
      <c r="B1819" t="s">
        <v>263</v>
      </c>
      <c r="C1819" t="s">
        <v>112</v>
      </c>
      <c r="D1819" t="s">
        <v>689</v>
      </c>
      <c r="E1819" t="s">
        <v>770</v>
      </c>
      <c r="F1819">
        <v>5</v>
      </c>
      <c r="G1819" s="308">
        <f>'BECA MEDIA'!S263</f>
        <v>0</v>
      </c>
      <c r="H1819" s="308">
        <f>'BECA MEDIA'!T263</f>
        <v>0</v>
      </c>
    </row>
    <row r="1820" spans="1:8" x14ac:dyDescent="0.3">
      <c r="A1820" t="s">
        <v>688</v>
      </c>
      <c r="B1820" t="s">
        <v>263</v>
      </c>
      <c r="C1820" t="s">
        <v>112</v>
      </c>
      <c r="D1820" t="s">
        <v>689</v>
      </c>
      <c r="E1820" t="s">
        <v>771</v>
      </c>
      <c r="F1820">
        <v>6</v>
      </c>
      <c r="G1820" s="308">
        <f>'BECA MEDIA'!V263</f>
        <v>5.2</v>
      </c>
      <c r="H1820" s="308">
        <f>'BECA MEDIA'!W263</f>
        <v>13000</v>
      </c>
    </row>
    <row r="1821" spans="1:8" x14ac:dyDescent="0.3">
      <c r="A1821" t="s">
        <v>688</v>
      </c>
      <c r="B1821" t="s">
        <v>263</v>
      </c>
      <c r="C1821" t="s">
        <v>112</v>
      </c>
      <c r="D1821" t="s">
        <v>689</v>
      </c>
      <c r="E1821" t="s">
        <v>772</v>
      </c>
      <c r="F1821">
        <v>7</v>
      </c>
      <c r="G1821" s="308">
        <f>'BECA MEDIA'!Y263</f>
        <v>0</v>
      </c>
      <c r="H1821" s="308">
        <f>'BECA MEDIA'!Z263</f>
        <v>0</v>
      </c>
    </row>
    <row r="1822" spans="1:8" x14ac:dyDescent="0.3">
      <c r="A1822" t="s">
        <v>688</v>
      </c>
      <c r="B1822" t="s">
        <v>263</v>
      </c>
      <c r="C1822" t="s">
        <v>286</v>
      </c>
      <c r="D1822" t="s">
        <v>689</v>
      </c>
      <c r="E1822" t="s">
        <v>766</v>
      </c>
      <c r="F1822">
        <v>1</v>
      </c>
      <c r="G1822" s="308">
        <f>'BECA MEDIA'!G264</f>
        <v>0</v>
      </c>
      <c r="H1822" s="308">
        <f>'BECA MEDIA'!H264</f>
        <v>0</v>
      </c>
    </row>
    <row r="1823" spans="1:8" x14ac:dyDescent="0.3">
      <c r="A1823" t="s">
        <v>688</v>
      </c>
      <c r="B1823" t="s">
        <v>263</v>
      </c>
      <c r="C1823" t="s">
        <v>286</v>
      </c>
      <c r="D1823" t="s">
        <v>689</v>
      </c>
      <c r="E1823" t="s">
        <v>767</v>
      </c>
      <c r="F1823">
        <v>2</v>
      </c>
      <c r="G1823" s="308">
        <f>'BECA MEDIA'!J264</f>
        <v>0</v>
      </c>
      <c r="H1823" s="308">
        <f>'BECA MEDIA'!K264</f>
        <v>0</v>
      </c>
    </row>
    <row r="1824" spans="1:8" x14ac:dyDescent="0.3">
      <c r="A1824" t="s">
        <v>688</v>
      </c>
      <c r="B1824" t="s">
        <v>263</v>
      </c>
      <c r="C1824" t="s">
        <v>286</v>
      </c>
      <c r="D1824" t="s">
        <v>689</v>
      </c>
      <c r="E1824" t="s">
        <v>768</v>
      </c>
      <c r="F1824">
        <v>3</v>
      </c>
      <c r="G1824" s="308">
        <f>'BECA MEDIA'!M264</f>
        <v>1</v>
      </c>
      <c r="H1824" s="308">
        <f>'BECA MEDIA'!N264</f>
        <v>1000</v>
      </c>
    </row>
    <row r="1825" spans="1:8" x14ac:dyDescent="0.3">
      <c r="A1825" t="s">
        <v>688</v>
      </c>
      <c r="B1825" t="s">
        <v>263</v>
      </c>
      <c r="C1825" t="s">
        <v>286</v>
      </c>
      <c r="D1825" t="s">
        <v>689</v>
      </c>
      <c r="E1825" t="s">
        <v>769</v>
      </c>
      <c r="F1825">
        <v>4</v>
      </c>
      <c r="G1825" s="308">
        <f>'BECA MEDIA'!P264</f>
        <v>0.4</v>
      </c>
      <c r="H1825" s="308">
        <f>'BECA MEDIA'!Q264</f>
        <v>1000</v>
      </c>
    </row>
    <row r="1826" spans="1:8" x14ac:dyDescent="0.3">
      <c r="A1826" t="s">
        <v>688</v>
      </c>
      <c r="B1826" t="s">
        <v>263</v>
      </c>
      <c r="C1826" t="s">
        <v>286</v>
      </c>
      <c r="D1826" t="s">
        <v>689</v>
      </c>
      <c r="E1826" t="s">
        <v>770</v>
      </c>
      <c r="F1826">
        <v>5</v>
      </c>
      <c r="G1826" s="308">
        <f>'BECA MEDIA'!S264</f>
        <v>0</v>
      </c>
      <c r="H1826" s="308">
        <f>'BECA MEDIA'!T264</f>
        <v>0</v>
      </c>
    </row>
    <row r="1827" spans="1:8" x14ac:dyDescent="0.3">
      <c r="A1827" t="s">
        <v>688</v>
      </c>
      <c r="B1827" t="s">
        <v>263</v>
      </c>
      <c r="C1827" t="s">
        <v>286</v>
      </c>
      <c r="D1827" t="s">
        <v>689</v>
      </c>
      <c r="E1827" t="s">
        <v>771</v>
      </c>
      <c r="F1827">
        <v>6</v>
      </c>
      <c r="G1827" s="308">
        <f>'BECA MEDIA'!V264</f>
        <v>0.8</v>
      </c>
      <c r="H1827" s="308">
        <f>'BECA MEDIA'!W264</f>
        <v>2000</v>
      </c>
    </row>
    <row r="1828" spans="1:8" x14ac:dyDescent="0.3">
      <c r="A1828" t="s">
        <v>688</v>
      </c>
      <c r="B1828" t="s">
        <v>263</v>
      </c>
      <c r="C1828" t="s">
        <v>286</v>
      </c>
      <c r="D1828" t="s">
        <v>689</v>
      </c>
      <c r="E1828" t="s">
        <v>772</v>
      </c>
      <c r="F1828">
        <v>7</v>
      </c>
      <c r="G1828" s="308">
        <f>'BECA MEDIA'!Y264</f>
        <v>0</v>
      </c>
      <c r="H1828" s="308">
        <f>'BECA MEDIA'!Z264</f>
        <v>0</v>
      </c>
    </row>
    <row r="1829" spans="1:8" x14ac:dyDescent="0.3">
      <c r="A1829" t="s">
        <v>688</v>
      </c>
      <c r="B1829" t="s">
        <v>263</v>
      </c>
      <c r="C1829" t="s">
        <v>287</v>
      </c>
      <c r="D1829" t="s">
        <v>689</v>
      </c>
      <c r="E1829" t="s">
        <v>766</v>
      </c>
      <c r="F1829">
        <v>1</v>
      </c>
      <c r="G1829" s="308">
        <f>'BECA MEDIA'!G265</f>
        <v>0</v>
      </c>
      <c r="H1829" s="308">
        <f>'BECA MEDIA'!H265</f>
        <v>0</v>
      </c>
    </row>
    <row r="1830" spans="1:8" x14ac:dyDescent="0.3">
      <c r="A1830" t="s">
        <v>688</v>
      </c>
      <c r="B1830" t="s">
        <v>263</v>
      </c>
      <c r="C1830" t="s">
        <v>287</v>
      </c>
      <c r="D1830" t="s">
        <v>689</v>
      </c>
      <c r="E1830" t="s">
        <v>767</v>
      </c>
      <c r="F1830">
        <v>2</v>
      </c>
      <c r="G1830" s="308">
        <f>'BECA MEDIA'!J265</f>
        <v>0</v>
      </c>
      <c r="H1830" s="308">
        <f>'BECA MEDIA'!K265</f>
        <v>0</v>
      </c>
    </row>
    <row r="1831" spans="1:8" x14ac:dyDescent="0.3">
      <c r="A1831" t="s">
        <v>688</v>
      </c>
      <c r="B1831" t="s">
        <v>263</v>
      </c>
      <c r="C1831" t="s">
        <v>287</v>
      </c>
      <c r="D1831" t="s">
        <v>689</v>
      </c>
      <c r="E1831" t="s">
        <v>768</v>
      </c>
      <c r="F1831">
        <v>3</v>
      </c>
      <c r="G1831" s="308">
        <f>'BECA MEDIA'!M265</f>
        <v>3.2</v>
      </c>
      <c r="H1831" s="308">
        <f>'BECA MEDIA'!N265</f>
        <v>8000</v>
      </c>
    </row>
    <row r="1832" spans="1:8" x14ac:dyDescent="0.3">
      <c r="A1832" t="s">
        <v>688</v>
      </c>
      <c r="B1832" t="s">
        <v>263</v>
      </c>
      <c r="C1832" t="s">
        <v>287</v>
      </c>
      <c r="D1832" t="s">
        <v>689</v>
      </c>
      <c r="E1832" t="s">
        <v>769</v>
      </c>
      <c r="F1832">
        <v>4</v>
      </c>
      <c r="G1832" s="308">
        <f>'BECA MEDIA'!P265</f>
        <v>0.4</v>
      </c>
      <c r="H1832" s="308">
        <f>'BECA MEDIA'!Q265</f>
        <v>1000</v>
      </c>
    </row>
    <row r="1833" spans="1:8" x14ac:dyDescent="0.3">
      <c r="A1833" t="s">
        <v>688</v>
      </c>
      <c r="B1833" t="s">
        <v>263</v>
      </c>
      <c r="C1833" t="s">
        <v>287</v>
      </c>
      <c r="D1833" t="s">
        <v>689</v>
      </c>
      <c r="E1833" t="s">
        <v>770</v>
      </c>
      <c r="F1833">
        <v>5</v>
      </c>
      <c r="G1833" s="308">
        <f>'BECA MEDIA'!S265</f>
        <v>0</v>
      </c>
      <c r="H1833" s="308">
        <f>'BECA MEDIA'!T265</f>
        <v>0</v>
      </c>
    </row>
    <row r="1834" spans="1:8" x14ac:dyDescent="0.3">
      <c r="A1834" t="s">
        <v>688</v>
      </c>
      <c r="B1834" t="s">
        <v>263</v>
      </c>
      <c r="C1834" t="s">
        <v>287</v>
      </c>
      <c r="D1834" t="s">
        <v>689</v>
      </c>
      <c r="E1834" t="s">
        <v>771</v>
      </c>
      <c r="F1834">
        <v>6</v>
      </c>
      <c r="G1834" s="308">
        <f>'BECA MEDIA'!V265</f>
        <v>4</v>
      </c>
      <c r="H1834" s="308">
        <f>'BECA MEDIA'!W265</f>
        <v>10000</v>
      </c>
    </row>
    <row r="1835" spans="1:8" x14ac:dyDescent="0.3">
      <c r="A1835" t="s">
        <v>688</v>
      </c>
      <c r="B1835" t="s">
        <v>263</v>
      </c>
      <c r="C1835" t="s">
        <v>287</v>
      </c>
      <c r="D1835" t="s">
        <v>689</v>
      </c>
      <c r="E1835" t="s">
        <v>772</v>
      </c>
      <c r="F1835">
        <v>7</v>
      </c>
      <c r="G1835" s="308">
        <f>'BECA MEDIA'!Y265</f>
        <v>0</v>
      </c>
      <c r="H1835" s="308">
        <f>'BECA MEDIA'!Z265</f>
        <v>0</v>
      </c>
    </row>
    <row r="1836" spans="1:8" x14ac:dyDescent="0.3">
      <c r="A1836" t="s">
        <v>688</v>
      </c>
      <c r="B1836" t="s">
        <v>263</v>
      </c>
      <c r="C1836" t="s">
        <v>288</v>
      </c>
      <c r="D1836" t="s">
        <v>689</v>
      </c>
      <c r="E1836" t="s">
        <v>766</v>
      </c>
      <c r="F1836">
        <v>1</v>
      </c>
      <c r="G1836" s="308">
        <f>'BECA MEDIA'!G266</f>
        <v>0</v>
      </c>
      <c r="H1836" s="308">
        <f>'BECA MEDIA'!H266</f>
        <v>0</v>
      </c>
    </row>
    <row r="1837" spans="1:8" x14ac:dyDescent="0.3">
      <c r="A1837" t="s">
        <v>688</v>
      </c>
      <c r="B1837" t="s">
        <v>263</v>
      </c>
      <c r="C1837" t="s">
        <v>288</v>
      </c>
      <c r="D1837" t="s">
        <v>689</v>
      </c>
      <c r="E1837" t="s">
        <v>767</v>
      </c>
      <c r="F1837">
        <v>2</v>
      </c>
      <c r="G1837" s="308">
        <f>'BECA MEDIA'!J266</f>
        <v>0</v>
      </c>
      <c r="H1837" s="308">
        <f>'BECA MEDIA'!K266</f>
        <v>0</v>
      </c>
    </row>
    <row r="1838" spans="1:8" x14ac:dyDescent="0.3">
      <c r="A1838" t="s">
        <v>688</v>
      </c>
      <c r="B1838" t="s">
        <v>263</v>
      </c>
      <c r="C1838" t="s">
        <v>288</v>
      </c>
      <c r="D1838" t="s">
        <v>689</v>
      </c>
      <c r="E1838" t="s">
        <v>768</v>
      </c>
      <c r="F1838">
        <v>3</v>
      </c>
      <c r="G1838" s="308">
        <f>'BECA MEDIA'!M266</f>
        <v>7.2</v>
      </c>
      <c r="H1838" s="308">
        <f>'BECA MEDIA'!N266</f>
        <v>18000</v>
      </c>
    </row>
    <row r="1839" spans="1:8" x14ac:dyDescent="0.3">
      <c r="A1839" t="s">
        <v>688</v>
      </c>
      <c r="B1839" t="s">
        <v>263</v>
      </c>
      <c r="C1839" t="s">
        <v>288</v>
      </c>
      <c r="D1839" t="s">
        <v>689</v>
      </c>
      <c r="E1839" t="s">
        <v>769</v>
      </c>
      <c r="F1839">
        <v>4</v>
      </c>
      <c r="G1839" s="308">
        <f>'BECA MEDIA'!P266</f>
        <v>0.4</v>
      </c>
      <c r="H1839" s="308">
        <f>'BECA MEDIA'!Q266</f>
        <v>1000</v>
      </c>
    </row>
    <row r="1840" spans="1:8" x14ac:dyDescent="0.3">
      <c r="A1840" t="s">
        <v>688</v>
      </c>
      <c r="B1840" t="s">
        <v>263</v>
      </c>
      <c r="C1840" t="s">
        <v>288</v>
      </c>
      <c r="D1840" t="s">
        <v>689</v>
      </c>
      <c r="E1840" t="s">
        <v>770</v>
      </c>
      <c r="F1840">
        <v>5</v>
      </c>
      <c r="G1840" s="308">
        <f>'BECA MEDIA'!S266</f>
        <v>0</v>
      </c>
      <c r="H1840" s="308">
        <f>'BECA MEDIA'!T266</f>
        <v>0</v>
      </c>
    </row>
    <row r="1841" spans="1:8" x14ac:dyDescent="0.3">
      <c r="A1841" t="s">
        <v>688</v>
      </c>
      <c r="B1841" t="s">
        <v>263</v>
      </c>
      <c r="C1841" t="s">
        <v>288</v>
      </c>
      <c r="D1841" t="s">
        <v>689</v>
      </c>
      <c r="E1841" t="s">
        <v>771</v>
      </c>
      <c r="F1841">
        <v>6</v>
      </c>
      <c r="G1841" s="308">
        <f>'BECA MEDIA'!V266</f>
        <v>7.6</v>
      </c>
      <c r="H1841" s="308">
        <f>'BECA MEDIA'!W266</f>
        <v>19000</v>
      </c>
    </row>
    <row r="1842" spans="1:8" x14ac:dyDescent="0.3">
      <c r="A1842" t="s">
        <v>688</v>
      </c>
      <c r="B1842" t="s">
        <v>263</v>
      </c>
      <c r="C1842" t="s">
        <v>288</v>
      </c>
      <c r="D1842" t="s">
        <v>689</v>
      </c>
      <c r="E1842" t="s">
        <v>772</v>
      </c>
      <c r="F1842">
        <v>7</v>
      </c>
      <c r="G1842" s="308">
        <f>'BECA MEDIA'!Y266</f>
        <v>0</v>
      </c>
      <c r="H1842" s="308">
        <f>'BECA MEDIA'!Z266</f>
        <v>0</v>
      </c>
    </row>
    <row r="1843" spans="1:8" x14ac:dyDescent="0.3">
      <c r="A1843" t="s">
        <v>688</v>
      </c>
      <c r="B1843" t="s">
        <v>263</v>
      </c>
      <c r="C1843" t="s">
        <v>289</v>
      </c>
      <c r="D1843" t="s">
        <v>689</v>
      </c>
      <c r="E1843" t="s">
        <v>766</v>
      </c>
      <c r="F1843">
        <v>1</v>
      </c>
      <c r="G1843" s="308">
        <f>'BECA MEDIA'!G267</f>
        <v>0</v>
      </c>
      <c r="H1843" s="308">
        <f>'BECA MEDIA'!H267</f>
        <v>0</v>
      </c>
    </row>
    <row r="1844" spans="1:8" x14ac:dyDescent="0.3">
      <c r="A1844" t="s">
        <v>688</v>
      </c>
      <c r="B1844" t="s">
        <v>263</v>
      </c>
      <c r="C1844" t="s">
        <v>289</v>
      </c>
      <c r="D1844" t="s">
        <v>689</v>
      </c>
      <c r="E1844" t="s">
        <v>767</v>
      </c>
      <c r="F1844">
        <v>2</v>
      </c>
      <c r="G1844" s="308">
        <f>'BECA MEDIA'!J267</f>
        <v>0</v>
      </c>
      <c r="H1844" s="308">
        <f>'BECA MEDIA'!K267</f>
        <v>0</v>
      </c>
    </row>
    <row r="1845" spans="1:8" x14ac:dyDescent="0.3">
      <c r="A1845" t="s">
        <v>688</v>
      </c>
      <c r="B1845" t="s">
        <v>263</v>
      </c>
      <c r="C1845" t="s">
        <v>289</v>
      </c>
      <c r="D1845" t="s">
        <v>689</v>
      </c>
      <c r="E1845" t="s">
        <v>768</v>
      </c>
      <c r="F1845">
        <v>3</v>
      </c>
      <c r="G1845" s="308">
        <f>'BECA MEDIA'!M267</f>
        <v>4.4000000000000004</v>
      </c>
      <c r="H1845" s="308">
        <f>'BECA MEDIA'!N267</f>
        <v>11000</v>
      </c>
    </row>
    <row r="1846" spans="1:8" x14ac:dyDescent="0.3">
      <c r="A1846" t="s">
        <v>688</v>
      </c>
      <c r="B1846" t="s">
        <v>263</v>
      </c>
      <c r="C1846" t="s">
        <v>289</v>
      </c>
      <c r="D1846" t="s">
        <v>689</v>
      </c>
      <c r="E1846" t="s">
        <v>769</v>
      </c>
      <c r="F1846">
        <v>4</v>
      </c>
      <c r="G1846" s="308">
        <f>'BECA MEDIA'!P267</f>
        <v>0.4</v>
      </c>
      <c r="H1846" s="308">
        <f>'BECA MEDIA'!Q267</f>
        <v>1000</v>
      </c>
    </row>
    <row r="1847" spans="1:8" x14ac:dyDescent="0.3">
      <c r="A1847" t="s">
        <v>688</v>
      </c>
      <c r="B1847" t="s">
        <v>263</v>
      </c>
      <c r="C1847" t="s">
        <v>289</v>
      </c>
      <c r="D1847" t="s">
        <v>689</v>
      </c>
      <c r="E1847" t="s">
        <v>770</v>
      </c>
      <c r="F1847">
        <v>5</v>
      </c>
      <c r="G1847" s="308">
        <f>'BECA MEDIA'!S267</f>
        <v>0</v>
      </c>
      <c r="H1847" s="308">
        <f>'BECA MEDIA'!T267</f>
        <v>0</v>
      </c>
    </row>
    <row r="1848" spans="1:8" x14ac:dyDescent="0.3">
      <c r="A1848" t="s">
        <v>688</v>
      </c>
      <c r="B1848" t="s">
        <v>263</v>
      </c>
      <c r="C1848" t="s">
        <v>289</v>
      </c>
      <c r="D1848" t="s">
        <v>689</v>
      </c>
      <c r="E1848" t="s">
        <v>771</v>
      </c>
      <c r="F1848">
        <v>6</v>
      </c>
      <c r="G1848" s="308">
        <f>'BECA MEDIA'!V267</f>
        <v>4.8</v>
      </c>
      <c r="H1848" s="308">
        <f>'BECA MEDIA'!W267</f>
        <v>12000</v>
      </c>
    </row>
    <row r="1849" spans="1:8" x14ac:dyDescent="0.3">
      <c r="A1849" t="s">
        <v>688</v>
      </c>
      <c r="B1849" t="s">
        <v>263</v>
      </c>
      <c r="C1849" t="s">
        <v>289</v>
      </c>
      <c r="D1849" t="s">
        <v>689</v>
      </c>
      <c r="E1849" t="s">
        <v>772</v>
      </c>
      <c r="F1849">
        <v>7</v>
      </c>
      <c r="G1849" s="308">
        <f>'BECA MEDIA'!Y267</f>
        <v>0</v>
      </c>
      <c r="H1849" s="308">
        <f>'BECA MEDIA'!Z267</f>
        <v>0</v>
      </c>
    </row>
    <row r="1850" spans="1:8" x14ac:dyDescent="0.3">
      <c r="A1850" t="s">
        <v>688</v>
      </c>
      <c r="B1850" t="s">
        <v>263</v>
      </c>
      <c r="C1850" t="s">
        <v>290</v>
      </c>
      <c r="D1850" t="s">
        <v>689</v>
      </c>
      <c r="E1850" t="s">
        <v>766</v>
      </c>
      <c r="F1850">
        <v>1</v>
      </c>
      <c r="G1850" s="308">
        <f>'BECA MEDIA'!G268</f>
        <v>0</v>
      </c>
      <c r="H1850" s="308">
        <f>'BECA MEDIA'!H268</f>
        <v>0</v>
      </c>
    </row>
    <row r="1851" spans="1:8" x14ac:dyDescent="0.3">
      <c r="A1851" t="s">
        <v>688</v>
      </c>
      <c r="B1851" t="s">
        <v>263</v>
      </c>
      <c r="C1851" t="s">
        <v>290</v>
      </c>
      <c r="D1851" t="s">
        <v>689</v>
      </c>
      <c r="E1851" t="s">
        <v>767</v>
      </c>
      <c r="F1851">
        <v>2</v>
      </c>
      <c r="G1851" s="308">
        <f>'BECA MEDIA'!J268</f>
        <v>0</v>
      </c>
      <c r="H1851" s="308">
        <f>'BECA MEDIA'!K268</f>
        <v>0</v>
      </c>
    </row>
    <row r="1852" spans="1:8" x14ac:dyDescent="0.3">
      <c r="A1852" t="s">
        <v>688</v>
      </c>
      <c r="B1852" t="s">
        <v>263</v>
      </c>
      <c r="C1852" t="s">
        <v>290</v>
      </c>
      <c r="D1852" t="s">
        <v>689</v>
      </c>
      <c r="E1852" t="s">
        <v>768</v>
      </c>
      <c r="F1852">
        <v>3</v>
      </c>
      <c r="G1852" s="308">
        <f>'BECA MEDIA'!M268</f>
        <v>5.2</v>
      </c>
      <c r="H1852" s="308">
        <f>'BECA MEDIA'!N268</f>
        <v>13000</v>
      </c>
    </row>
    <row r="1853" spans="1:8" x14ac:dyDescent="0.3">
      <c r="A1853" t="s">
        <v>688</v>
      </c>
      <c r="B1853" t="s">
        <v>263</v>
      </c>
      <c r="C1853" t="s">
        <v>290</v>
      </c>
      <c r="D1853" t="s">
        <v>689</v>
      </c>
      <c r="E1853" t="s">
        <v>769</v>
      </c>
      <c r="F1853">
        <v>4</v>
      </c>
      <c r="G1853" s="308">
        <f>'BECA MEDIA'!P268</f>
        <v>0</v>
      </c>
      <c r="H1853" s="308">
        <f>'BECA MEDIA'!Q268</f>
        <v>0</v>
      </c>
    </row>
    <row r="1854" spans="1:8" x14ac:dyDescent="0.3">
      <c r="A1854" t="s">
        <v>688</v>
      </c>
      <c r="B1854" t="s">
        <v>263</v>
      </c>
      <c r="C1854" t="s">
        <v>290</v>
      </c>
      <c r="D1854" t="s">
        <v>689</v>
      </c>
      <c r="E1854" t="s">
        <v>770</v>
      </c>
      <c r="F1854">
        <v>5</v>
      </c>
      <c r="G1854" s="308">
        <f>'BECA MEDIA'!S268</f>
        <v>0</v>
      </c>
      <c r="H1854" s="308">
        <f>'BECA MEDIA'!T268</f>
        <v>0</v>
      </c>
    </row>
    <row r="1855" spans="1:8" x14ac:dyDescent="0.3">
      <c r="A1855" t="s">
        <v>688</v>
      </c>
      <c r="B1855" t="s">
        <v>263</v>
      </c>
      <c r="C1855" t="s">
        <v>290</v>
      </c>
      <c r="D1855" t="s">
        <v>689</v>
      </c>
      <c r="E1855" t="s">
        <v>771</v>
      </c>
      <c r="F1855">
        <v>6</v>
      </c>
      <c r="G1855" s="308">
        <f>'BECA MEDIA'!V268</f>
        <v>4.8</v>
      </c>
      <c r="H1855" s="308">
        <f>'BECA MEDIA'!W268</f>
        <v>12000</v>
      </c>
    </row>
    <row r="1856" spans="1:8" x14ac:dyDescent="0.3">
      <c r="A1856" t="s">
        <v>688</v>
      </c>
      <c r="B1856" t="s">
        <v>263</v>
      </c>
      <c r="C1856" t="s">
        <v>290</v>
      </c>
      <c r="D1856" t="s">
        <v>689</v>
      </c>
      <c r="E1856" t="s">
        <v>772</v>
      </c>
      <c r="F1856">
        <v>7</v>
      </c>
      <c r="G1856" s="308">
        <f>'BECA MEDIA'!Y268</f>
        <v>0</v>
      </c>
      <c r="H1856" s="308">
        <f>'BECA MEDIA'!Z268</f>
        <v>0</v>
      </c>
    </row>
    <row r="1857" spans="1:8" x14ac:dyDescent="0.3">
      <c r="A1857" t="s">
        <v>688</v>
      </c>
      <c r="B1857" t="s">
        <v>263</v>
      </c>
      <c r="C1857" t="s">
        <v>291</v>
      </c>
      <c r="D1857" t="s">
        <v>689</v>
      </c>
      <c r="E1857" t="s">
        <v>766</v>
      </c>
      <c r="F1857">
        <v>1</v>
      </c>
      <c r="G1857" s="308">
        <f>'BECA MEDIA'!G269</f>
        <v>0</v>
      </c>
      <c r="H1857" s="308">
        <f>'BECA MEDIA'!H269</f>
        <v>0</v>
      </c>
    </row>
    <row r="1858" spans="1:8" x14ac:dyDescent="0.3">
      <c r="A1858" t="s">
        <v>688</v>
      </c>
      <c r="B1858" t="s">
        <v>263</v>
      </c>
      <c r="C1858" t="s">
        <v>291</v>
      </c>
      <c r="D1858" t="s">
        <v>689</v>
      </c>
      <c r="E1858" t="s">
        <v>767</v>
      </c>
      <c r="F1858">
        <v>2</v>
      </c>
      <c r="G1858" s="308">
        <f>'BECA MEDIA'!J269</f>
        <v>0</v>
      </c>
      <c r="H1858" s="308">
        <f>'BECA MEDIA'!K269</f>
        <v>0</v>
      </c>
    </row>
    <row r="1859" spans="1:8" x14ac:dyDescent="0.3">
      <c r="A1859" t="s">
        <v>688</v>
      </c>
      <c r="B1859" t="s">
        <v>263</v>
      </c>
      <c r="C1859" t="s">
        <v>291</v>
      </c>
      <c r="D1859" t="s">
        <v>689</v>
      </c>
      <c r="E1859" t="s">
        <v>768</v>
      </c>
      <c r="F1859">
        <v>3</v>
      </c>
      <c r="G1859" s="308">
        <f>'BECA MEDIA'!M269</f>
        <v>11.6</v>
      </c>
      <c r="H1859" s="308">
        <f>'BECA MEDIA'!N269</f>
        <v>29000</v>
      </c>
    </row>
    <row r="1860" spans="1:8" x14ac:dyDescent="0.3">
      <c r="A1860" t="s">
        <v>688</v>
      </c>
      <c r="B1860" t="s">
        <v>263</v>
      </c>
      <c r="C1860" t="s">
        <v>291</v>
      </c>
      <c r="D1860" t="s">
        <v>689</v>
      </c>
      <c r="E1860" t="s">
        <v>769</v>
      </c>
      <c r="F1860">
        <v>4</v>
      </c>
      <c r="G1860" s="308">
        <f>'BECA MEDIA'!P269</f>
        <v>1.6</v>
      </c>
      <c r="H1860" s="308">
        <f>'BECA MEDIA'!Q269</f>
        <v>4000</v>
      </c>
    </row>
    <row r="1861" spans="1:8" x14ac:dyDescent="0.3">
      <c r="A1861" t="s">
        <v>688</v>
      </c>
      <c r="B1861" t="s">
        <v>263</v>
      </c>
      <c r="C1861" t="s">
        <v>291</v>
      </c>
      <c r="D1861" t="s">
        <v>689</v>
      </c>
      <c r="E1861" t="s">
        <v>770</v>
      </c>
      <c r="F1861">
        <v>5</v>
      </c>
      <c r="G1861" s="308">
        <f>'BECA MEDIA'!S269</f>
        <v>0</v>
      </c>
      <c r="H1861" s="308">
        <f>'BECA MEDIA'!T269</f>
        <v>0</v>
      </c>
    </row>
    <row r="1862" spans="1:8" x14ac:dyDescent="0.3">
      <c r="A1862" t="s">
        <v>688</v>
      </c>
      <c r="B1862" t="s">
        <v>263</v>
      </c>
      <c r="C1862" t="s">
        <v>291</v>
      </c>
      <c r="D1862" t="s">
        <v>689</v>
      </c>
      <c r="E1862" t="s">
        <v>771</v>
      </c>
      <c r="F1862">
        <v>6</v>
      </c>
      <c r="G1862" s="308">
        <f>'BECA MEDIA'!V269</f>
        <v>12.4</v>
      </c>
      <c r="H1862" s="308">
        <f>'BECA MEDIA'!W269</f>
        <v>31000</v>
      </c>
    </row>
    <row r="1863" spans="1:8" x14ac:dyDescent="0.3">
      <c r="A1863" t="s">
        <v>688</v>
      </c>
      <c r="B1863" t="s">
        <v>263</v>
      </c>
      <c r="C1863" t="s">
        <v>291</v>
      </c>
      <c r="D1863" t="s">
        <v>689</v>
      </c>
      <c r="E1863" t="s">
        <v>772</v>
      </c>
      <c r="F1863">
        <v>7</v>
      </c>
      <c r="G1863" s="308">
        <f>'BECA MEDIA'!Y269</f>
        <v>0</v>
      </c>
      <c r="H1863" s="308">
        <f>'BECA MEDIA'!Z269</f>
        <v>0</v>
      </c>
    </row>
    <row r="1864" spans="1:8" x14ac:dyDescent="0.3">
      <c r="A1864" t="s">
        <v>688</v>
      </c>
      <c r="B1864" t="s">
        <v>292</v>
      </c>
      <c r="C1864" t="s">
        <v>293</v>
      </c>
      <c r="D1864" t="s">
        <v>689</v>
      </c>
      <c r="E1864" t="s">
        <v>766</v>
      </c>
      <c r="F1864">
        <v>1</v>
      </c>
      <c r="G1864" s="308">
        <f>'BECA MEDIA'!G270</f>
        <v>0</v>
      </c>
      <c r="H1864" s="308">
        <f>'BECA MEDIA'!H270</f>
        <v>0</v>
      </c>
    </row>
    <row r="1865" spans="1:8" x14ac:dyDescent="0.3">
      <c r="A1865" t="s">
        <v>688</v>
      </c>
      <c r="B1865" t="s">
        <v>292</v>
      </c>
      <c r="C1865" t="s">
        <v>293</v>
      </c>
      <c r="D1865" t="s">
        <v>689</v>
      </c>
      <c r="E1865" t="s">
        <v>767</v>
      </c>
      <c r="F1865">
        <v>2</v>
      </c>
      <c r="G1865" s="308">
        <f>'BECA MEDIA'!J270</f>
        <v>0</v>
      </c>
      <c r="H1865" s="308">
        <f>'BECA MEDIA'!K270</f>
        <v>0</v>
      </c>
    </row>
    <row r="1866" spans="1:8" x14ac:dyDescent="0.3">
      <c r="A1866" t="s">
        <v>688</v>
      </c>
      <c r="B1866" t="s">
        <v>292</v>
      </c>
      <c r="C1866" t="s">
        <v>293</v>
      </c>
      <c r="D1866" t="s">
        <v>689</v>
      </c>
      <c r="E1866" t="s">
        <v>768</v>
      </c>
      <c r="F1866">
        <v>3</v>
      </c>
      <c r="G1866" s="308">
        <f>'BECA MEDIA'!M270</f>
        <v>3.6</v>
      </c>
      <c r="H1866" s="308">
        <f>'BECA MEDIA'!N270</f>
        <v>9000</v>
      </c>
    </row>
    <row r="1867" spans="1:8" x14ac:dyDescent="0.3">
      <c r="A1867" t="s">
        <v>688</v>
      </c>
      <c r="B1867" t="s">
        <v>292</v>
      </c>
      <c r="C1867" t="s">
        <v>293</v>
      </c>
      <c r="D1867" t="s">
        <v>689</v>
      </c>
      <c r="E1867" t="s">
        <v>769</v>
      </c>
      <c r="F1867">
        <v>4</v>
      </c>
      <c r="G1867" s="308">
        <f>'BECA MEDIA'!P270</f>
        <v>1.6</v>
      </c>
      <c r="H1867" s="308">
        <f>'BECA MEDIA'!Q270</f>
        <v>4000</v>
      </c>
    </row>
    <row r="1868" spans="1:8" x14ac:dyDescent="0.3">
      <c r="A1868" t="s">
        <v>688</v>
      </c>
      <c r="B1868" t="s">
        <v>292</v>
      </c>
      <c r="C1868" t="s">
        <v>293</v>
      </c>
      <c r="D1868" t="s">
        <v>689</v>
      </c>
      <c r="E1868" t="s">
        <v>770</v>
      </c>
      <c r="F1868">
        <v>5</v>
      </c>
      <c r="G1868" s="308">
        <f>'BECA MEDIA'!S270</f>
        <v>0</v>
      </c>
      <c r="H1868" s="308">
        <f>'BECA MEDIA'!T270</f>
        <v>0</v>
      </c>
    </row>
    <row r="1869" spans="1:8" x14ac:dyDescent="0.3">
      <c r="A1869" t="s">
        <v>688</v>
      </c>
      <c r="B1869" t="s">
        <v>292</v>
      </c>
      <c r="C1869" t="s">
        <v>293</v>
      </c>
      <c r="D1869" t="s">
        <v>689</v>
      </c>
      <c r="E1869" t="s">
        <v>771</v>
      </c>
      <c r="F1869">
        <v>6</v>
      </c>
      <c r="G1869" s="308">
        <f>'BECA MEDIA'!V270</f>
        <v>4.8</v>
      </c>
      <c r="H1869" s="308">
        <f>'BECA MEDIA'!W270</f>
        <v>12000</v>
      </c>
    </row>
    <row r="1870" spans="1:8" x14ac:dyDescent="0.3">
      <c r="A1870" t="s">
        <v>688</v>
      </c>
      <c r="B1870" t="s">
        <v>292</v>
      </c>
      <c r="C1870" t="s">
        <v>293</v>
      </c>
      <c r="D1870" t="s">
        <v>689</v>
      </c>
      <c r="E1870" t="s">
        <v>772</v>
      </c>
      <c r="F1870">
        <v>7</v>
      </c>
      <c r="G1870" s="308">
        <f>'BECA MEDIA'!Y270</f>
        <v>0</v>
      </c>
      <c r="H1870" s="308">
        <f>'BECA MEDIA'!Z270</f>
        <v>0</v>
      </c>
    </row>
    <row r="1871" spans="1:8" x14ac:dyDescent="0.3">
      <c r="A1871" t="s">
        <v>688</v>
      </c>
      <c r="B1871" t="s">
        <v>292</v>
      </c>
      <c r="C1871" t="s">
        <v>294</v>
      </c>
      <c r="D1871" t="s">
        <v>689</v>
      </c>
      <c r="E1871" t="s">
        <v>766</v>
      </c>
      <c r="F1871">
        <v>1</v>
      </c>
      <c r="G1871" s="308">
        <f>'BECA MEDIA'!G271</f>
        <v>0</v>
      </c>
      <c r="H1871" s="308">
        <f>'BECA MEDIA'!H271</f>
        <v>0</v>
      </c>
    </row>
    <row r="1872" spans="1:8" x14ac:dyDescent="0.3">
      <c r="A1872" t="s">
        <v>688</v>
      </c>
      <c r="B1872" t="s">
        <v>292</v>
      </c>
      <c r="C1872" t="s">
        <v>294</v>
      </c>
      <c r="D1872" t="s">
        <v>689</v>
      </c>
      <c r="E1872" t="s">
        <v>767</v>
      </c>
      <c r="F1872">
        <v>2</v>
      </c>
      <c r="G1872" s="308">
        <f>'BECA MEDIA'!J271</f>
        <v>0</v>
      </c>
      <c r="H1872" s="308">
        <f>'BECA MEDIA'!K271</f>
        <v>0</v>
      </c>
    </row>
    <row r="1873" spans="1:8" x14ac:dyDescent="0.3">
      <c r="A1873" t="s">
        <v>688</v>
      </c>
      <c r="B1873" t="s">
        <v>292</v>
      </c>
      <c r="C1873" t="s">
        <v>294</v>
      </c>
      <c r="D1873" t="s">
        <v>689</v>
      </c>
      <c r="E1873" t="s">
        <v>768</v>
      </c>
      <c r="F1873">
        <v>3</v>
      </c>
      <c r="G1873" s="308">
        <f>'BECA MEDIA'!M271</f>
        <v>2.8</v>
      </c>
      <c r="H1873" s="308">
        <f>'BECA MEDIA'!N271</f>
        <v>7000</v>
      </c>
    </row>
    <row r="1874" spans="1:8" x14ac:dyDescent="0.3">
      <c r="A1874" t="s">
        <v>688</v>
      </c>
      <c r="B1874" t="s">
        <v>292</v>
      </c>
      <c r="C1874" t="s">
        <v>294</v>
      </c>
      <c r="D1874" t="s">
        <v>689</v>
      </c>
      <c r="E1874" t="s">
        <v>769</v>
      </c>
      <c r="F1874">
        <v>4</v>
      </c>
      <c r="G1874" s="308">
        <f>'BECA MEDIA'!P271</f>
        <v>1.2</v>
      </c>
      <c r="H1874" s="308">
        <f>'BECA MEDIA'!Q271</f>
        <v>3000</v>
      </c>
    </row>
    <row r="1875" spans="1:8" x14ac:dyDescent="0.3">
      <c r="A1875" t="s">
        <v>688</v>
      </c>
      <c r="B1875" t="s">
        <v>292</v>
      </c>
      <c r="C1875" t="s">
        <v>294</v>
      </c>
      <c r="D1875" t="s">
        <v>689</v>
      </c>
      <c r="E1875" t="s">
        <v>770</v>
      </c>
      <c r="F1875">
        <v>5</v>
      </c>
      <c r="G1875" s="308">
        <f>'BECA MEDIA'!S271</f>
        <v>0</v>
      </c>
      <c r="H1875" s="308">
        <f>'BECA MEDIA'!T271</f>
        <v>0</v>
      </c>
    </row>
    <row r="1876" spans="1:8" x14ac:dyDescent="0.3">
      <c r="A1876" t="s">
        <v>688</v>
      </c>
      <c r="B1876" t="s">
        <v>292</v>
      </c>
      <c r="C1876" t="s">
        <v>294</v>
      </c>
      <c r="D1876" t="s">
        <v>689</v>
      </c>
      <c r="E1876" t="s">
        <v>771</v>
      </c>
      <c r="F1876">
        <v>6</v>
      </c>
      <c r="G1876" s="308">
        <f>'BECA MEDIA'!V271</f>
        <v>3.6</v>
      </c>
      <c r="H1876" s="308">
        <f>'BECA MEDIA'!W271</f>
        <v>9000</v>
      </c>
    </row>
    <row r="1877" spans="1:8" x14ac:dyDescent="0.3">
      <c r="A1877" t="s">
        <v>688</v>
      </c>
      <c r="B1877" t="s">
        <v>292</v>
      </c>
      <c r="C1877" t="s">
        <v>294</v>
      </c>
      <c r="D1877" t="s">
        <v>689</v>
      </c>
      <c r="E1877" t="s">
        <v>772</v>
      </c>
      <c r="F1877">
        <v>7</v>
      </c>
      <c r="G1877" s="308">
        <f>'BECA MEDIA'!Y271</f>
        <v>0</v>
      </c>
      <c r="H1877" s="308">
        <f>'BECA MEDIA'!Z271</f>
        <v>0</v>
      </c>
    </row>
    <row r="1878" spans="1:8" x14ac:dyDescent="0.3">
      <c r="A1878" t="s">
        <v>688</v>
      </c>
      <c r="B1878" t="s">
        <v>292</v>
      </c>
      <c r="C1878" t="s">
        <v>295</v>
      </c>
      <c r="D1878" t="s">
        <v>689</v>
      </c>
      <c r="E1878" t="s">
        <v>766</v>
      </c>
      <c r="F1878">
        <v>1</v>
      </c>
      <c r="G1878" s="308">
        <f>'BECA MEDIA'!G272</f>
        <v>0</v>
      </c>
      <c r="H1878" s="308">
        <f>'BECA MEDIA'!H272</f>
        <v>0</v>
      </c>
    </row>
    <row r="1879" spans="1:8" x14ac:dyDescent="0.3">
      <c r="A1879" t="s">
        <v>688</v>
      </c>
      <c r="B1879" t="s">
        <v>292</v>
      </c>
      <c r="C1879" t="s">
        <v>295</v>
      </c>
      <c r="D1879" t="s">
        <v>689</v>
      </c>
      <c r="E1879" t="s">
        <v>767</v>
      </c>
      <c r="F1879">
        <v>2</v>
      </c>
      <c r="G1879" s="308">
        <f>'BECA MEDIA'!J272</f>
        <v>0</v>
      </c>
      <c r="H1879" s="308">
        <f>'BECA MEDIA'!K272</f>
        <v>0</v>
      </c>
    </row>
    <row r="1880" spans="1:8" x14ac:dyDescent="0.3">
      <c r="A1880" t="s">
        <v>688</v>
      </c>
      <c r="B1880" t="s">
        <v>292</v>
      </c>
      <c r="C1880" t="s">
        <v>295</v>
      </c>
      <c r="D1880" t="s">
        <v>689</v>
      </c>
      <c r="E1880" t="s">
        <v>768</v>
      </c>
      <c r="F1880">
        <v>3</v>
      </c>
      <c r="G1880" s="308">
        <f>'BECA MEDIA'!M272</f>
        <v>13.2</v>
      </c>
      <c r="H1880" s="308">
        <f>'BECA MEDIA'!N272</f>
        <v>33000</v>
      </c>
    </row>
    <row r="1881" spans="1:8" x14ac:dyDescent="0.3">
      <c r="A1881" t="s">
        <v>688</v>
      </c>
      <c r="B1881" t="s">
        <v>292</v>
      </c>
      <c r="C1881" t="s">
        <v>295</v>
      </c>
      <c r="D1881" t="s">
        <v>689</v>
      </c>
      <c r="E1881" t="s">
        <v>769</v>
      </c>
      <c r="F1881">
        <v>4</v>
      </c>
      <c r="G1881" s="308">
        <f>'BECA MEDIA'!P272</f>
        <v>1.6</v>
      </c>
      <c r="H1881" s="308">
        <f>'BECA MEDIA'!Q272</f>
        <v>4000</v>
      </c>
    </row>
    <row r="1882" spans="1:8" x14ac:dyDescent="0.3">
      <c r="A1882" t="s">
        <v>688</v>
      </c>
      <c r="B1882" t="s">
        <v>292</v>
      </c>
      <c r="C1882" t="s">
        <v>295</v>
      </c>
      <c r="D1882" t="s">
        <v>689</v>
      </c>
      <c r="E1882" t="s">
        <v>770</v>
      </c>
      <c r="F1882">
        <v>5</v>
      </c>
      <c r="G1882" s="308">
        <f>'BECA MEDIA'!S272</f>
        <v>0</v>
      </c>
      <c r="H1882" s="308">
        <f>'BECA MEDIA'!T272</f>
        <v>0</v>
      </c>
    </row>
    <row r="1883" spans="1:8" x14ac:dyDescent="0.3">
      <c r="A1883" t="s">
        <v>688</v>
      </c>
      <c r="B1883" t="s">
        <v>292</v>
      </c>
      <c r="C1883" t="s">
        <v>295</v>
      </c>
      <c r="D1883" t="s">
        <v>689</v>
      </c>
      <c r="E1883" t="s">
        <v>771</v>
      </c>
      <c r="F1883">
        <v>6</v>
      </c>
      <c r="G1883" s="308">
        <f>'BECA MEDIA'!V272</f>
        <v>14.8</v>
      </c>
      <c r="H1883" s="308">
        <f>'BECA MEDIA'!W272</f>
        <v>37000</v>
      </c>
    </row>
    <row r="1884" spans="1:8" x14ac:dyDescent="0.3">
      <c r="A1884" t="s">
        <v>688</v>
      </c>
      <c r="B1884" t="s">
        <v>292</v>
      </c>
      <c r="C1884" t="s">
        <v>295</v>
      </c>
      <c r="D1884" t="s">
        <v>689</v>
      </c>
      <c r="E1884" t="s">
        <v>772</v>
      </c>
      <c r="F1884">
        <v>7</v>
      </c>
      <c r="G1884" s="308">
        <f>'BECA MEDIA'!Y272</f>
        <v>0</v>
      </c>
      <c r="H1884" s="308">
        <f>'BECA MEDIA'!Z272</f>
        <v>0</v>
      </c>
    </row>
    <row r="1885" spans="1:8" x14ac:dyDescent="0.3">
      <c r="A1885" t="s">
        <v>688</v>
      </c>
      <c r="B1885" t="s">
        <v>292</v>
      </c>
      <c r="C1885" t="s">
        <v>296</v>
      </c>
      <c r="D1885" t="s">
        <v>689</v>
      </c>
      <c r="E1885" t="s">
        <v>766</v>
      </c>
      <c r="F1885">
        <v>1</v>
      </c>
      <c r="G1885" s="308">
        <f>'BECA MEDIA'!G273</f>
        <v>0</v>
      </c>
      <c r="H1885" s="308">
        <f>'BECA MEDIA'!H273</f>
        <v>0</v>
      </c>
    </row>
    <row r="1886" spans="1:8" x14ac:dyDescent="0.3">
      <c r="A1886" t="s">
        <v>688</v>
      </c>
      <c r="B1886" t="s">
        <v>292</v>
      </c>
      <c r="C1886" t="s">
        <v>296</v>
      </c>
      <c r="D1886" t="s">
        <v>689</v>
      </c>
      <c r="E1886" t="s">
        <v>767</v>
      </c>
      <c r="F1886">
        <v>2</v>
      </c>
      <c r="G1886" s="308">
        <f>'BECA MEDIA'!J273</f>
        <v>0</v>
      </c>
      <c r="H1886" s="308">
        <f>'BECA MEDIA'!K273</f>
        <v>0</v>
      </c>
    </row>
    <row r="1887" spans="1:8" x14ac:dyDescent="0.3">
      <c r="A1887" t="s">
        <v>688</v>
      </c>
      <c r="B1887" t="s">
        <v>292</v>
      </c>
      <c r="C1887" t="s">
        <v>296</v>
      </c>
      <c r="D1887" t="s">
        <v>689</v>
      </c>
      <c r="E1887" t="s">
        <v>768</v>
      </c>
      <c r="F1887">
        <v>3</v>
      </c>
      <c r="G1887" s="308">
        <f>'BECA MEDIA'!M273</f>
        <v>5.6</v>
      </c>
      <c r="H1887" s="308">
        <f>'BECA MEDIA'!N273</f>
        <v>14000</v>
      </c>
    </row>
    <row r="1888" spans="1:8" x14ac:dyDescent="0.3">
      <c r="A1888" t="s">
        <v>688</v>
      </c>
      <c r="B1888" t="s">
        <v>292</v>
      </c>
      <c r="C1888" t="s">
        <v>296</v>
      </c>
      <c r="D1888" t="s">
        <v>689</v>
      </c>
      <c r="E1888" t="s">
        <v>769</v>
      </c>
      <c r="F1888">
        <v>4</v>
      </c>
      <c r="G1888" s="308">
        <f>'BECA MEDIA'!P273</f>
        <v>0.4</v>
      </c>
      <c r="H1888" s="308">
        <f>'BECA MEDIA'!Q273</f>
        <v>1000</v>
      </c>
    </row>
    <row r="1889" spans="1:8" x14ac:dyDescent="0.3">
      <c r="A1889" t="s">
        <v>688</v>
      </c>
      <c r="B1889" t="s">
        <v>292</v>
      </c>
      <c r="C1889" t="s">
        <v>296</v>
      </c>
      <c r="D1889" t="s">
        <v>689</v>
      </c>
      <c r="E1889" t="s">
        <v>770</v>
      </c>
      <c r="F1889">
        <v>5</v>
      </c>
      <c r="G1889" s="308">
        <f>'BECA MEDIA'!S273</f>
        <v>0</v>
      </c>
      <c r="H1889" s="308">
        <f>'BECA MEDIA'!T273</f>
        <v>0</v>
      </c>
    </row>
    <row r="1890" spans="1:8" x14ac:dyDescent="0.3">
      <c r="A1890" t="s">
        <v>688</v>
      </c>
      <c r="B1890" t="s">
        <v>292</v>
      </c>
      <c r="C1890" t="s">
        <v>296</v>
      </c>
      <c r="D1890" t="s">
        <v>689</v>
      </c>
      <c r="E1890" t="s">
        <v>771</v>
      </c>
      <c r="F1890">
        <v>6</v>
      </c>
      <c r="G1890" s="308">
        <f>'BECA MEDIA'!V273</f>
        <v>6</v>
      </c>
      <c r="H1890" s="308">
        <f>'BECA MEDIA'!W273</f>
        <v>15000</v>
      </c>
    </row>
    <row r="1891" spans="1:8" x14ac:dyDescent="0.3">
      <c r="A1891" t="s">
        <v>688</v>
      </c>
      <c r="B1891" t="s">
        <v>292</v>
      </c>
      <c r="C1891" t="s">
        <v>296</v>
      </c>
      <c r="D1891" t="s">
        <v>689</v>
      </c>
      <c r="E1891" t="s">
        <v>772</v>
      </c>
      <c r="F1891">
        <v>7</v>
      </c>
      <c r="G1891" s="308">
        <f>'BECA MEDIA'!Y273</f>
        <v>0</v>
      </c>
      <c r="H1891" s="308">
        <f>'BECA MEDIA'!Z273</f>
        <v>0</v>
      </c>
    </row>
    <row r="1892" spans="1:8" x14ac:dyDescent="0.3">
      <c r="A1892" t="s">
        <v>688</v>
      </c>
      <c r="B1892" t="s">
        <v>292</v>
      </c>
      <c r="C1892" t="s">
        <v>297</v>
      </c>
      <c r="D1892" t="s">
        <v>689</v>
      </c>
      <c r="E1892" t="s">
        <v>766</v>
      </c>
      <c r="F1892">
        <v>1</v>
      </c>
      <c r="G1892" s="308">
        <f>'BECA MEDIA'!G274</f>
        <v>0</v>
      </c>
      <c r="H1892" s="308">
        <f>'BECA MEDIA'!H274</f>
        <v>0</v>
      </c>
    </row>
    <row r="1893" spans="1:8" x14ac:dyDescent="0.3">
      <c r="A1893" t="s">
        <v>688</v>
      </c>
      <c r="B1893" t="s">
        <v>292</v>
      </c>
      <c r="C1893" t="s">
        <v>297</v>
      </c>
      <c r="D1893" t="s">
        <v>689</v>
      </c>
      <c r="E1893" t="s">
        <v>767</v>
      </c>
      <c r="F1893">
        <v>2</v>
      </c>
      <c r="G1893" s="308">
        <f>'BECA MEDIA'!J274</f>
        <v>0</v>
      </c>
      <c r="H1893" s="308">
        <f>'BECA MEDIA'!K274</f>
        <v>0</v>
      </c>
    </row>
    <row r="1894" spans="1:8" x14ac:dyDescent="0.3">
      <c r="A1894" t="s">
        <v>688</v>
      </c>
      <c r="B1894" t="s">
        <v>292</v>
      </c>
      <c r="C1894" t="s">
        <v>297</v>
      </c>
      <c r="D1894" t="s">
        <v>689</v>
      </c>
      <c r="E1894" t="s">
        <v>768</v>
      </c>
      <c r="F1894">
        <v>3</v>
      </c>
      <c r="G1894" s="308">
        <f>'BECA MEDIA'!M274</f>
        <v>2.4</v>
      </c>
      <c r="H1894" s="308">
        <f>'BECA MEDIA'!N274</f>
        <v>6000</v>
      </c>
    </row>
    <row r="1895" spans="1:8" x14ac:dyDescent="0.3">
      <c r="A1895" t="s">
        <v>688</v>
      </c>
      <c r="B1895" t="s">
        <v>292</v>
      </c>
      <c r="C1895" t="s">
        <v>297</v>
      </c>
      <c r="D1895" t="s">
        <v>689</v>
      </c>
      <c r="E1895" t="s">
        <v>769</v>
      </c>
      <c r="F1895">
        <v>4</v>
      </c>
      <c r="G1895" s="308">
        <f>'BECA MEDIA'!P274</f>
        <v>0</v>
      </c>
      <c r="H1895" s="308">
        <f>'BECA MEDIA'!Q274</f>
        <v>0</v>
      </c>
    </row>
    <row r="1896" spans="1:8" x14ac:dyDescent="0.3">
      <c r="A1896" t="s">
        <v>688</v>
      </c>
      <c r="B1896" t="s">
        <v>292</v>
      </c>
      <c r="C1896" t="s">
        <v>297</v>
      </c>
      <c r="D1896" t="s">
        <v>689</v>
      </c>
      <c r="E1896" t="s">
        <v>770</v>
      </c>
      <c r="F1896">
        <v>5</v>
      </c>
      <c r="G1896" s="308">
        <f>'BECA MEDIA'!S274</f>
        <v>0</v>
      </c>
      <c r="H1896" s="308">
        <f>'BECA MEDIA'!T274</f>
        <v>0</v>
      </c>
    </row>
    <row r="1897" spans="1:8" x14ac:dyDescent="0.3">
      <c r="A1897" t="s">
        <v>688</v>
      </c>
      <c r="B1897" t="s">
        <v>292</v>
      </c>
      <c r="C1897" t="s">
        <v>297</v>
      </c>
      <c r="D1897" t="s">
        <v>689</v>
      </c>
      <c r="E1897" t="s">
        <v>771</v>
      </c>
      <c r="F1897">
        <v>6</v>
      </c>
      <c r="G1897" s="308">
        <f>'BECA MEDIA'!V274</f>
        <v>1.6</v>
      </c>
      <c r="H1897" s="308">
        <f>'BECA MEDIA'!W274</f>
        <v>4000</v>
      </c>
    </row>
    <row r="1898" spans="1:8" x14ac:dyDescent="0.3">
      <c r="A1898" t="s">
        <v>688</v>
      </c>
      <c r="B1898" t="s">
        <v>292</v>
      </c>
      <c r="C1898" t="s">
        <v>297</v>
      </c>
      <c r="D1898" t="s">
        <v>689</v>
      </c>
      <c r="E1898" t="s">
        <v>772</v>
      </c>
      <c r="F1898">
        <v>7</v>
      </c>
      <c r="G1898" s="308">
        <f>'BECA MEDIA'!Y274</f>
        <v>0</v>
      </c>
      <c r="H1898" s="308">
        <f>'BECA MEDIA'!Z274</f>
        <v>0</v>
      </c>
    </row>
    <row r="1899" spans="1:8" x14ac:dyDescent="0.3">
      <c r="A1899" t="s">
        <v>688</v>
      </c>
      <c r="B1899" t="s">
        <v>292</v>
      </c>
      <c r="C1899" t="s">
        <v>298</v>
      </c>
      <c r="D1899" t="s">
        <v>689</v>
      </c>
      <c r="E1899" t="s">
        <v>766</v>
      </c>
      <c r="F1899">
        <v>1</v>
      </c>
      <c r="G1899" s="308">
        <f>'BECA MEDIA'!G275</f>
        <v>0</v>
      </c>
      <c r="H1899" s="308">
        <f>'BECA MEDIA'!H275</f>
        <v>0</v>
      </c>
    </row>
    <row r="1900" spans="1:8" x14ac:dyDescent="0.3">
      <c r="A1900" t="s">
        <v>688</v>
      </c>
      <c r="B1900" t="s">
        <v>292</v>
      </c>
      <c r="C1900" t="s">
        <v>298</v>
      </c>
      <c r="D1900" t="s">
        <v>689</v>
      </c>
      <c r="E1900" t="s">
        <v>767</v>
      </c>
      <c r="F1900">
        <v>2</v>
      </c>
      <c r="G1900" s="308">
        <f>'BECA MEDIA'!J275</f>
        <v>0</v>
      </c>
      <c r="H1900" s="308">
        <f>'BECA MEDIA'!K275</f>
        <v>0</v>
      </c>
    </row>
    <row r="1901" spans="1:8" x14ac:dyDescent="0.3">
      <c r="A1901" t="s">
        <v>688</v>
      </c>
      <c r="B1901" t="s">
        <v>292</v>
      </c>
      <c r="C1901" t="s">
        <v>298</v>
      </c>
      <c r="D1901" t="s">
        <v>689</v>
      </c>
      <c r="E1901" t="s">
        <v>768</v>
      </c>
      <c r="F1901">
        <v>3</v>
      </c>
      <c r="G1901" s="308">
        <f>'BECA MEDIA'!M275</f>
        <v>2.4</v>
      </c>
      <c r="H1901" s="308">
        <f>'BECA MEDIA'!N275</f>
        <v>6000</v>
      </c>
    </row>
    <row r="1902" spans="1:8" x14ac:dyDescent="0.3">
      <c r="A1902" t="s">
        <v>688</v>
      </c>
      <c r="B1902" t="s">
        <v>292</v>
      </c>
      <c r="C1902" t="s">
        <v>298</v>
      </c>
      <c r="D1902" t="s">
        <v>689</v>
      </c>
      <c r="E1902" t="s">
        <v>769</v>
      </c>
      <c r="F1902">
        <v>4</v>
      </c>
      <c r="G1902" s="308">
        <f>'BECA MEDIA'!P275</f>
        <v>1.2</v>
      </c>
      <c r="H1902" s="308">
        <f>'BECA MEDIA'!Q275</f>
        <v>3000</v>
      </c>
    </row>
    <row r="1903" spans="1:8" x14ac:dyDescent="0.3">
      <c r="A1903" t="s">
        <v>688</v>
      </c>
      <c r="B1903" t="s">
        <v>292</v>
      </c>
      <c r="C1903" t="s">
        <v>298</v>
      </c>
      <c r="D1903" t="s">
        <v>689</v>
      </c>
      <c r="E1903" t="s">
        <v>770</v>
      </c>
      <c r="F1903">
        <v>5</v>
      </c>
      <c r="G1903" s="308">
        <f>'BECA MEDIA'!S275</f>
        <v>0</v>
      </c>
      <c r="H1903" s="308">
        <f>'BECA MEDIA'!T275</f>
        <v>0</v>
      </c>
    </row>
    <row r="1904" spans="1:8" x14ac:dyDescent="0.3">
      <c r="A1904" t="s">
        <v>688</v>
      </c>
      <c r="B1904" t="s">
        <v>292</v>
      </c>
      <c r="C1904" t="s">
        <v>298</v>
      </c>
      <c r="D1904" t="s">
        <v>689</v>
      </c>
      <c r="E1904" t="s">
        <v>771</v>
      </c>
      <c r="F1904">
        <v>6</v>
      </c>
      <c r="G1904" s="308">
        <f>'BECA MEDIA'!V275</f>
        <v>4</v>
      </c>
      <c r="H1904" s="308">
        <f>'BECA MEDIA'!W275</f>
        <v>10000</v>
      </c>
    </row>
    <row r="1905" spans="1:8" x14ac:dyDescent="0.3">
      <c r="A1905" t="s">
        <v>688</v>
      </c>
      <c r="B1905" t="s">
        <v>292</v>
      </c>
      <c r="C1905" t="s">
        <v>298</v>
      </c>
      <c r="D1905" t="s">
        <v>689</v>
      </c>
      <c r="E1905" t="s">
        <v>772</v>
      </c>
      <c r="F1905">
        <v>7</v>
      </c>
      <c r="G1905" s="308">
        <f>'BECA MEDIA'!Y275</f>
        <v>0</v>
      </c>
      <c r="H1905" s="308">
        <f>'BECA MEDIA'!Z275</f>
        <v>0</v>
      </c>
    </row>
    <row r="1906" spans="1:8" x14ac:dyDescent="0.3">
      <c r="A1906" t="s">
        <v>688</v>
      </c>
      <c r="B1906" t="s">
        <v>292</v>
      </c>
      <c r="C1906" t="s">
        <v>299</v>
      </c>
      <c r="D1906" t="s">
        <v>689</v>
      </c>
      <c r="E1906" t="s">
        <v>766</v>
      </c>
      <c r="F1906">
        <v>1</v>
      </c>
      <c r="G1906" s="308">
        <f>'BECA MEDIA'!G276</f>
        <v>0</v>
      </c>
      <c r="H1906" s="308">
        <f>'BECA MEDIA'!H276</f>
        <v>0</v>
      </c>
    </row>
    <row r="1907" spans="1:8" x14ac:dyDescent="0.3">
      <c r="A1907" t="s">
        <v>688</v>
      </c>
      <c r="B1907" t="s">
        <v>292</v>
      </c>
      <c r="C1907" t="s">
        <v>299</v>
      </c>
      <c r="D1907" t="s">
        <v>689</v>
      </c>
      <c r="E1907" t="s">
        <v>767</v>
      </c>
      <c r="F1907">
        <v>2</v>
      </c>
      <c r="G1907" s="308">
        <f>'BECA MEDIA'!J276</f>
        <v>0</v>
      </c>
      <c r="H1907" s="308">
        <f>'BECA MEDIA'!K276</f>
        <v>0</v>
      </c>
    </row>
    <row r="1908" spans="1:8" x14ac:dyDescent="0.3">
      <c r="A1908" t="s">
        <v>688</v>
      </c>
      <c r="B1908" t="s">
        <v>292</v>
      </c>
      <c r="C1908" t="s">
        <v>299</v>
      </c>
      <c r="D1908" t="s">
        <v>689</v>
      </c>
      <c r="E1908" t="s">
        <v>768</v>
      </c>
      <c r="F1908">
        <v>3</v>
      </c>
      <c r="G1908" s="308">
        <f>'BECA MEDIA'!M276</f>
        <v>3.2</v>
      </c>
      <c r="H1908" s="308">
        <f>'BECA MEDIA'!N276</f>
        <v>8000</v>
      </c>
    </row>
    <row r="1909" spans="1:8" x14ac:dyDescent="0.3">
      <c r="A1909" t="s">
        <v>688</v>
      </c>
      <c r="B1909" t="s">
        <v>292</v>
      </c>
      <c r="C1909" t="s">
        <v>299</v>
      </c>
      <c r="D1909" t="s">
        <v>689</v>
      </c>
      <c r="E1909" t="s">
        <v>769</v>
      </c>
      <c r="F1909">
        <v>4</v>
      </c>
      <c r="G1909" s="308">
        <f>'BECA MEDIA'!P276</f>
        <v>0.8</v>
      </c>
      <c r="H1909" s="308">
        <f>'BECA MEDIA'!Q276</f>
        <v>2000</v>
      </c>
    </row>
    <row r="1910" spans="1:8" x14ac:dyDescent="0.3">
      <c r="A1910" t="s">
        <v>688</v>
      </c>
      <c r="B1910" t="s">
        <v>292</v>
      </c>
      <c r="C1910" t="s">
        <v>299</v>
      </c>
      <c r="D1910" t="s">
        <v>689</v>
      </c>
      <c r="E1910" t="s">
        <v>770</v>
      </c>
      <c r="F1910">
        <v>5</v>
      </c>
      <c r="G1910" s="308">
        <f>'BECA MEDIA'!S276</f>
        <v>0</v>
      </c>
      <c r="H1910" s="308">
        <f>'BECA MEDIA'!T276</f>
        <v>0</v>
      </c>
    </row>
    <row r="1911" spans="1:8" x14ac:dyDescent="0.3">
      <c r="A1911" t="s">
        <v>688</v>
      </c>
      <c r="B1911" t="s">
        <v>292</v>
      </c>
      <c r="C1911" t="s">
        <v>299</v>
      </c>
      <c r="D1911" t="s">
        <v>689</v>
      </c>
      <c r="E1911" t="s">
        <v>771</v>
      </c>
      <c r="F1911">
        <v>6</v>
      </c>
      <c r="G1911" s="308">
        <f>'BECA MEDIA'!V276</f>
        <v>4</v>
      </c>
      <c r="H1911" s="308">
        <f>'BECA MEDIA'!W276</f>
        <v>10000</v>
      </c>
    </row>
    <row r="1912" spans="1:8" x14ac:dyDescent="0.3">
      <c r="A1912" t="s">
        <v>688</v>
      </c>
      <c r="B1912" t="s">
        <v>292</v>
      </c>
      <c r="C1912" t="s">
        <v>299</v>
      </c>
      <c r="D1912" t="s">
        <v>689</v>
      </c>
      <c r="E1912" t="s">
        <v>772</v>
      </c>
      <c r="F1912">
        <v>7</v>
      </c>
      <c r="G1912" s="308">
        <f>'BECA MEDIA'!Y276</f>
        <v>0</v>
      </c>
      <c r="H1912" s="308">
        <f>'BECA MEDIA'!Z276</f>
        <v>0</v>
      </c>
    </row>
    <row r="1913" spans="1:8" x14ac:dyDescent="0.3">
      <c r="A1913" t="s">
        <v>688</v>
      </c>
      <c r="B1913" t="s">
        <v>292</v>
      </c>
      <c r="C1913" t="s">
        <v>300</v>
      </c>
      <c r="D1913" t="s">
        <v>689</v>
      </c>
      <c r="E1913" t="s">
        <v>766</v>
      </c>
      <c r="F1913">
        <v>1</v>
      </c>
      <c r="G1913" s="308">
        <f>'BECA MEDIA'!G277</f>
        <v>0</v>
      </c>
      <c r="H1913" s="308">
        <f>'BECA MEDIA'!H277</f>
        <v>0</v>
      </c>
    </row>
    <row r="1914" spans="1:8" x14ac:dyDescent="0.3">
      <c r="A1914" t="s">
        <v>688</v>
      </c>
      <c r="B1914" t="s">
        <v>292</v>
      </c>
      <c r="C1914" t="s">
        <v>300</v>
      </c>
      <c r="D1914" t="s">
        <v>689</v>
      </c>
      <c r="E1914" t="s">
        <v>767</v>
      </c>
      <c r="F1914">
        <v>2</v>
      </c>
      <c r="G1914" s="308">
        <f>'BECA MEDIA'!J277</f>
        <v>0</v>
      </c>
      <c r="H1914" s="308">
        <f>'BECA MEDIA'!K277</f>
        <v>0</v>
      </c>
    </row>
    <row r="1915" spans="1:8" x14ac:dyDescent="0.3">
      <c r="A1915" t="s">
        <v>688</v>
      </c>
      <c r="B1915" t="s">
        <v>292</v>
      </c>
      <c r="C1915" t="s">
        <v>300</v>
      </c>
      <c r="D1915" t="s">
        <v>689</v>
      </c>
      <c r="E1915" t="s">
        <v>768</v>
      </c>
      <c r="F1915">
        <v>3</v>
      </c>
      <c r="G1915" s="308">
        <f>'BECA MEDIA'!M277</f>
        <v>12.4</v>
      </c>
      <c r="H1915" s="308">
        <f>'BECA MEDIA'!N277</f>
        <v>31000</v>
      </c>
    </row>
    <row r="1916" spans="1:8" x14ac:dyDescent="0.3">
      <c r="A1916" t="s">
        <v>688</v>
      </c>
      <c r="B1916" t="s">
        <v>292</v>
      </c>
      <c r="C1916" t="s">
        <v>300</v>
      </c>
      <c r="D1916" t="s">
        <v>689</v>
      </c>
      <c r="E1916" t="s">
        <v>769</v>
      </c>
      <c r="F1916">
        <v>4</v>
      </c>
      <c r="G1916" s="308">
        <f>'BECA MEDIA'!P277</f>
        <v>2.4</v>
      </c>
      <c r="H1916" s="308">
        <f>'BECA MEDIA'!Q277</f>
        <v>6000</v>
      </c>
    </row>
    <row r="1917" spans="1:8" x14ac:dyDescent="0.3">
      <c r="A1917" t="s">
        <v>688</v>
      </c>
      <c r="B1917" t="s">
        <v>292</v>
      </c>
      <c r="C1917" t="s">
        <v>300</v>
      </c>
      <c r="D1917" t="s">
        <v>689</v>
      </c>
      <c r="E1917" t="s">
        <v>770</v>
      </c>
      <c r="F1917">
        <v>5</v>
      </c>
      <c r="G1917" s="308">
        <f>'BECA MEDIA'!S277</f>
        <v>0</v>
      </c>
      <c r="H1917" s="308">
        <f>'BECA MEDIA'!T277</f>
        <v>0</v>
      </c>
    </row>
    <row r="1918" spans="1:8" x14ac:dyDescent="0.3">
      <c r="A1918" t="s">
        <v>688</v>
      </c>
      <c r="B1918" t="s">
        <v>292</v>
      </c>
      <c r="C1918" t="s">
        <v>300</v>
      </c>
      <c r="D1918" t="s">
        <v>689</v>
      </c>
      <c r="E1918" t="s">
        <v>771</v>
      </c>
      <c r="F1918">
        <v>6</v>
      </c>
      <c r="G1918" s="308">
        <f>'BECA MEDIA'!V277</f>
        <v>14.4</v>
      </c>
      <c r="H1918" s="308">
        <f>'BECA MEDIA'!W277</f>
        <v>36000</v>
      </c>
    </row>
    <row r="1919" spans="1:8" x14ac:dyDescent="0.3">
      <c r="A1919" t="s">
        <v>688</v>
      </c>
      <c r="B1919" t="s">
        <v>292</v>
      </c>
      <c r="C1919" t="s">
        <v>300</v>
      </c>
      <c r="D1919" t="s">
        <v>689</v>
      </c>
      <c r="E1919" t="s">
        <v>772</v>
      </c>
      <c r="F1919">
        <v>7</v>
      </c>
      <c r="G1919" s="308">
        <f>'BECA MEDIA'!Y277</f>
        <v>0</v>
      </c>
      <c r="H1919" s="308">
        <f>'BECA MEDIA'!Z277</f>
        <v>0</v>
      </c>
    </row>
    <row r="1920" spans="1:8" x14ac:dyDescent="0.3">
      <c r="A1920" t="s">
        <v>688</v>
      </c>
      <c r="B1920" t="s">
        <v>292</v>
      </c>
      <c r="C1920" t="s">
        <v>301</v>
      </c>
      <c r="D1920" t="s">
        <v>689</v>
      </c>
      <c r="E1920" t="s">
        <v>766</v>
      </c>
      <c r="F1920">
        <v>1</v>
      </c>
      <c r="G1920" s="308">
        <f>'BECA MEDIA'!G278</f>
        <v>0</v>
      </c>
      <c r="H1920" s="308">
        <f>'BECA MEDIA'!H278</f>
        <v>0</v>
      </c>
    </row>
    <row r="1921" spans="1:8" x14ac:dyDescent="0.3">
      <c r="A1921" t="s">
        <v>688</v>
      </c>
      <c r="B1921" t="s">
        <v>292</v>
      </c>
      <c r="C1921" t="s">
        <v>301</v>
      </c>
      <c r="D1921" t="s">
        <v>689</v>
      </c>
      <c r="E1921" t="s">
        <v>767</v>
      </c>
      <c r="F1921">
        <v>2</v>
      </c>
      <c r="G1921" s="308">
        <f>'BECA MEDIA'!J278</f>
        <v>0</v>
      </c>
      <c r="H1921" s="308">
        <f>'BECA MEDIA'!K278</f>
        <v>0</v>
      </c>
    </row>
    <row r="1922" spans="1:8" x14ac:dyDescent="0.3">
      <c r="A1922" t="s">
        <v>688</v>
      </c>
      <c r="B1922" t="s">
        <v>292</v>
      </c>
      <c r="C1922" t="s">
        <v>301</v>
      </c>
      <c r="D1922" t="s">
        <v>689</v>
      </c>
      <c r="E1922" t="s">
        <v>768</v>
      </c>
      <c r="F1922">
        <v>3</v>
      </c>
      <c r="G1922" s="308">
        <f>'BECA MEDIA'!M278</f>
        <v>4</v>
      </c>
      <c r="H1922" s="308">
        <f>'BECA MEDIA'!N278</f>
        <v>10000</v>
      </c>
    </row>
    <row r="1923" spans="1:8" x14ac:dyDescent="0.3">
      <c r="A1923" t="s">
        <v>688</v>
      </c>
      <c r="B1923" t="s">
        <v>292</v>
      </c>
      <c r="C1923" t="s">
        <v>301</v>
      </c>
      <c r="D1923" t="s">
        <v>689</v>
      </c>
      <c r="E1923" t="s">
        <v>769</v>
      </c>
      <c r="F1923">
        <v>4</v>
      </c>
      <c r="G1923" s="308">
        <f>'BECA MEDIA'!P278</f>
        <v>0</v>
      </c>
      <c r="H1923" s="308">
        <f>'BECA MEDIA'!Q278</f>
        <v>0</v>
      </c>
    </row>
    <row r="1924" spans="1:8" x14ac:dyDescent="0.3">
      <c r="A1924" t="s">
        <v>688</v>
      </c>
      <c r="B1924" t="s">
        <v>292</v>
      </c>
      <c r="C1924" t="s">
        <v>301</v>
      </c>
      <c r="D1924" t="s">
        <v>689</v>
      </c>
      <c r="E1924" t="s">
        <v>770</v>
      </c>
      <c r="F1924">
        <v>5</v>
      </c>
      <c r="G1924" s="308">
        <f>'BECA MEDIA'!S278</f>
        <v>0</v>
      </c>
      <c r="H1924" s="308">
        <f>'BECA MEDIA'!T278</f>
        <v>0</v>
      </c>
    </row>
    <row r="1925" spans="1:8" x14ac:dyDescent="0.3">
      <c r="A1925" t="s">
        <v>688</v>
      </c>
      <c r="B1925" t="s">
        <v>292</v>
      </c>
      <c r="C1925" t="s">
        <v>301</v>
      </c>
      <c r="D1925" t="s">
        <v>689</v>
      </c>
      <c r="E1925" t="s">
        <v>771</v>
      </c>
      <c r="F1925">
        <v>6</v>
      </c>
      <c r="G1925" s="308">
        <f>'BECA MEDIA'!V278</f>
        <v>4</v>
      </c>
      <c r="H1925" s="308">
        <f>'BECA MEDIA'!W278</f>
        <v>10000</v>
      </c>
    </row>
    <row r="1926" spans="1:8" x14ac:dyDescent="0.3">
      <c r="A1926" t="s">
        <v>688</v>
      </c>
      <c r="B1926" t="s">
        <v>292</v>
      </c>
      <c r="C1926" t="s">
        <v>301</v>
      </c>
      <c r="D1926" t="s">
        <v>689</v>
      </c>
      <c r="E1926" t="s">
        <v>772</v>
      </c>
      <c r="F1926">
        <v>7</v>
      </c>
      <c r="G1926" s="308">
        <f>'BECA MEDIA'!Y278</f>
        <v>0</v>
      </c>
      <c r="H1926" s="308">
        <f>'BECA MEDIA'!Z278</f>
        <v>0</v>
      </c>
    </row>
    <row r="1927" spans="1:8" x14ac:dyDescent="0.3">
      <c r="A1927" t="s">
        <v>688</v>
      </c>
      <c r="B1927" t="s">
        <v>292</v>
      </c>
      <c r="C1927" t="s">
        <v>302</v>
      </c>
      <c r="D1927" t="s">
        <v>689</v>
      </c>
      <c r="E1927" t="s">
        <v>766</v>
      </c>
      <c r="F1927">
        <v>1</v>
      </c>
      <c r="G1927" s="308">
        <f>'BECA MEDIA'!G279</f>
        <v>0</v>
      </c>
      <c r="H1927" s="308">
        <f>'BECA MEDIA'!H279</f>
        <v>0</v>
      </c>
    </row>
    <row r="1928" spans="1:8" x14ac:dyDescent="0.3">
      <c r="A1928" t="s">
        <v>688</v>
      </c>
      <c r="B1928" t="s">
        <v>292</v>
      </c>
      <c r="C1928" t="s">
        <v>302</v>
      </c>
      <c r="D1928" t="s">
        <v>689</v>
      </c>
      <c r="E1928" t="s">
        <v>767</v>
      </c>
      <c r="F1928">
        <v>2</v>
      </c>
      <c r="G1928" s="308">
        <f>'BECA MEDIA'!J279</f>
        <v>0</v>
      </c>
      <c r="H1928" s="308">
        <f>'BECA MEDIA'!K279</f>
        <v>0</v>
      </c>
    </row>
    <row r="1929" spans="1:8" x14ac:dyDescent="0.3">
      <c r="A1929" t="s">
        <v>688</v>
      </c>
      <c r="B1929" t="s">
        <v>292</v>
      </c>
      <c r="C1929" t="s">
        <v>302</v>
      </c>
      <c r="D1929" t="s">
        <v>689</v>
      </c>
      <c r="E1929" t="s">
        <v>768</v>
      </c>
      <c r="F1929">
        <v>3</v>
      </c>
      <c r="G1929" s="308">
        <f>'BECA MEDIA'!M279</f>
        <v>7.6</v>
      </c>
      <c r="H1929" s="308">
        <f>'BECA MEDIA'!N279</f>
        <v>19000</v>
      </c>
    </row>
    <row r="1930" spans="1:8" x14ac:dyDescent="0.3">
      <c r="A1930" t="s">
        <v>688</v>
      </c>
      <c r="B1930" t="s">
        <v>292</v>
      </c>
      <c r="C1930" t="s">
        <v>302</v>
      </c>
      <c r="D1930" t="s">
        <v>689</v>
      </c>
      <c r="E1930" t="s">
        <v>769</v>
      </c>
      <c r="F1930">
        <v>4</v>
      </c>
      <c r="G1930" s="308">
        <f>'BECA MEDIA'!P279</f>
        <v>2.4</v>
      </c>
      <c r="H1930" s="308">
        <f>'BECA MEDIA'!Q279</f>
        <v>6000</v>
      </c>
    </row>
    <row r="1931" spans="1:8" x14ac:dyDescent="0.3">
      <c r="A1931" t="s">
        <v>688</v>
      </c>
      <c r="B1931" t="s">
        <v>292</v>
      </c>
      <c r="C1931" t="s">
        <v>302</v>
      </c>
      <c r="D1931" t="s">
        <v>689</v>
      </c>
      <c r="E1931" t="s">
        <v>770</v>
      </c>
      <c r="F1931">
        <v>5</v>
      </c>
      <c r="G1931" s="308">
        <f>'BECA MEDIA'!S279</f>
        <v>0</v>
      </c>
      <c r="H1931" s="308">
        <f>'BECA MEDIA'!T279</f>
        <v>0</v>
      </c>
    </row>
    <row r="1932" spans="1:8" x14ac:dyDescent="0.3">
      <c r="A1932" t="s">
        <v>688</v>
      </c>
      <c r="B1932" t="s">
        <v>292</v>
      </c>
      <c r="C1932" t="s">
        <v>302</v>
      </c>
      <c r="D1932" t="s">
        <v>689</v>
      </c>
      <c r="E1932" t="s">
        <v>771</v>
      </c>
      <c r="F1932">
        <v>6</v>
      </c>
      <c r="G1932" s="308">
        <f>'BECA MEDIA'!V279</f>
        <v>9.6</v>
      </c>
      <c r="H1932" s="308">
        <f>'BECA MEDIA'!W279</f>
        <v>24000</v>
      </c>
    </row>
    <row r="1933" spans="1:8" x14ac:dyDescent="0.3">
      <c r="A1933" t="s">
        <v>688</v>
      </c>
      <c r="B1933" t="s">
        <v>292</v>
      </c>
      <c r="C1933" t="s">
        <v>302</v>
      </c>
      <c r="D1933" t="s">
        <v>689</v>
      </c>
      <c r="E1933" t="s">
        <v>772</v>
      </c>
      <c r="F1933">
        <v>7</v>
      </c>
      <c r="G1933" s="308">
        <f>'BECA MEDIA'!Y279</f>
        <v>0</v>
      </c>
      <c r="H1933" s="308">
        <f>'BECA MEDIA'!Z279</f>
        <v>0</v>
      </c>
    </row>
    <row r="1934" spans="1:8" x14ac:dyDescent="0.3">
      <c r="A1934" t="s">
        <v>688</v>
      </c>
      <c r="B1934" t="s">
        <v>292</v>
      </c>
      <c r="C1934" t="s">
        <v>303</v>
      </c>
      <c r="D1934" t="s">
        <v>689</v>
      </c>
      <c r="E1934" t="s">
        <v>766</v>
      </c>
      <c r="F1934">
        <v>1</v>
      </c>
      <c r="G1934" s="308">
        <f>'BECA MEDIA'!G280</f>
        <v>0</v>
      </c>
      <c r="H1934" s="308">
        <f>'BECA MEDIA'!H280</f>
        <v>0</v>
      </c>
    </row>
    <row r="1935" spans="1:8" x14ac:dyDescent="0.3">
      <c r="A1935" t="s">
        <v>688</v>
      </c>
      <c r="B1935" t="s">
        <v>292</v>
      </c>
      <c r="C1935" t="s">
        <v>303</v>
      </c>
      <c r="D1935" t="s">
        <v>689</v>
      </c>
      <c r="E1935" t="s">
        <v>767</v>
      </c>
      <c r="F1935">
        <v>2</v>
      </c>
      <c r="G1935" s="308">
        <f>'BECA MEDIA'!J280</f>
        <v>0</v>
      </c>
      <c r="H1935" s="308">
        <f>'BECA MEDIA'!K280</f>
        <v>0</v>
      </c>
    </row>
    <row r="1936" spans="1:8" x14ac:dyDescent="0.3">
      <c r="A1936" t="s">
        <v>688</v>
      </c>
      <c r="B1936" t="s">
        <v>292</v>
      </c>
      <c r="C1936" t="s">
        <v>303</v>
      </c>
      <c r="D1936" t="s">
        <v>689</v>
      </c>
      <c r="E1936" t="s">
        <v>768</v>
      </c>
      <c r="F1936">
        <v>3</v>
      </c>
      <c r="G1936" s="308">
        <f>'BECA MEDIA'!M280</f>
        <v>5.6</v>
      </c>
      <c r="H1936" s="308">
        <f>'BECA MEDIA'!N280</f>
        <v>14000</v>
      </c>
    </row>
    <row r="1937" spans="1:8" x14ac:dyDescent="0.3">
      <c r="A1937" t="s">
        <v>688</v>
      </c>
      <c r="B1937" t="s">
        <v>292</v>
      </c>
      <c r="C1937" t="s">
        <v>303</v>
      </c>
      <c r="D1937" t="s">
        <v>689</v>
      </c>
      <c r="E1937" t="s">
        <v>769</v>
      </c>
      <c r="F1937">
        <v>4</v>
      </c>
      <c r="G1937" s="308">
        <f>'BECA MEDIA'!P280</f>
        <v>2.4</v>
      </c>
      <c r="H1937" s="308">
        <f>'BECA MEDIA'!Q280</f>
        <v>6000</v>
      </c>
    </row>
    <row r="1938" spans="1:8" x14ac:dyDescent="0.3">
      <c r="A1938" t="s">
        <v>688</v>
      </c>
      <c r="B1938" t="s">
        <v>292</v>
      </c>
      <c r="C1938" t="s">
        <v>303</v>
      </c>
      <c r="D1938" t="s">
        <v>689</v>
      </c>
      <c r="E1938" t="s">
        <v>770</v>
      </c>
      <c r="F1938">
        <v>5</v>
      </c>
      <c r="G1938" s="308">
        <f>'BECA MEDIA'!S280</f>
        <v>0</v>
      </c>
      <c r="H1938" s="308">
        <f>'BECA MEDIA'!T280</f>
        <v>0</v>
      </c>
    </row>
    <row r="1939" spans="1:8" x14ac:dyDescent="0.3">
      <c r="A1939" t="s">
        <v>688</v>
      </c>
      <c r="B1939" t="s">
        <v>292</v>
      </c>
      <c r="C1939" t="s">
        <v>303</v>
      </c>
      <c r="D1939" t="s">
        <v>689</v>
      </c>
      <c r="E1939" t="s">
        <v>771</v>
      </c>
      <c r="F1939">
        <v>6</v>
      </c>
      <c r="G1939" s="308">
        <f>'BECA MEDIA'!V280</f>
        <v>8</v>
      </c>
      <c r="H1939" s="308">
        <f>'BECA MEDIA'!W280</f>
        <v>20000</v>
      </c>
    </row>
    <row r="1940" spans="1:8" x14ac:dyDescent="0.3">
      <c r="A1940" t="s">
        <v>688</v>
      </c>
      <c r="B1940" t="s">
        <v>292</v>
      </c>
      <c r="C1940" t="s">
        <v>303</v>
      </c>
      <c r="D1940" t="s">
        <v>689</v>
      </c>
      <c r="E1940" t="s">
        <v>772</v>
      </c>
      <c r="F1940">
        <v>7</v>
      </c>
      <c r="G1940" s="308">
        <f>'BECA MEDIA'!Y280</f>
        <v>0</v>
      </c>
      <c r="H1940" s="308">
        <f>'BECA MEDIA'!Z280</f>
        <v>0</v>
      </c>
    </row>
    <row r="1941" spans="1:8" x14ac:dyDescent="0.3">
      <c r="A1941" t="s">
        <v>688</v>
      </c>
      <c r="B1941" t="s">
        <v>292</v>
      </c>
      <c r="C1941" t="s">
        <v>304</v>
      </c>
      <c r="D1941" t="s">
        <v>689</v>
      </c>
      <c r="E1941" t="s">
        <v>766</v>
      </c>
      <c r="F1941">
        <v>1</v>
      </c>
      <c r="G1941" s="308">
        <f>'BECA MEDIA'!G281</f>
        <v>0</v>
      </c>
      <c r="H1941" s="308">
        <f>'BECA MEDIA'!H281</f>
        <v>0</v>
      </c>
    </row>
    <row r="1942" spans="1:8" x14ac:dyDescent="0.3">
      <c r="A1942" t="s">
        <v>688</v>
      </c>
      <c r="B1942" t="s">
        <v>292</v>
      </c>
      <c r="C1942" t="s">
        <v>304</v>
      </c>
      <c r="D1942" t="s">
        <v>689</v>
      </c>
      <c r="E1942" t="s">
        <v>767</v>
      </c>
      <c r="F1942">
        <v>2</v>
      </c>
      <c r="G1942" s="308">
        <f>'BECA MEDIA'!J281</f>
        <v>0</v>
      </c>
      <c r="H1942" s="308">
        <f>'BECA MEDIA'!K281</f>
        <v>0</v>
      </c>
    </row>
    <row r="1943" spans="1:8" x14ac:dyDescent="0.3">
      <c r="A1943" t="s">
        <v>688</v>
      </c>
      <c r="B1943" t="s">
        <v>292</v>
      </c>
      <c r="C1943" t="s">
        <v>304</v>
      </c>
      <c r="D1943" t="s">
        <v>689</v>
      </c>
      <c r="E1943" t="s">
        <v>768</v>
      </c>
      <c r="F1943">
        <v>3</v>
      </c>
      <c r="G1943" s="308">
        <f>'BECA MEDIA'!M281</f>
        <v>10.8</v>
      </c>
      <c r="H1943" s="308">
        <f>'BECA MEDIA'!N281</f>
        <v>27000</v>
      </c>
    </row>
    <row r="1944" spans="1:8" x14ac:dyDescent="0.3">
      <c r="A1944" t="s">
        <v>688</v>
      </c>
      <c r="B1944" t="s">
        <v>292</v>
      </c>
      <c r="C1944" t="s">
        <v>304</v>
      </c>
      <c r="D1944" t="s">
        <v>689</v>
      </c>
      <c r="E1944" t="s">
        <v>769</v>
      </c>
      <c r="F1944">
        <v>4</v>
      </c>
      <c r="G1944" s="308">
        <f>'BECA MEDIA'!P281</f>
        <v>2.8</v>
      </c>
      <c r="H1944" s="308">
        <f>'BECA MEDIA'!Q281</f>
        <v>7000</v>
      </c>
    </row>
    <row r="1945" spans="1:8" x14ac:dyDescent="0.3">
      <c r="A1945" t="s">
        <v>688</v>
      </c>
      <c r="B1945" t="s">
        <v>292</v>
      </c>
      <c r="C1945" t="s">
        <v>304</v>
      </c>
      <c r="D1945" t="s">
        <v>689</v>
      </c>
      <c r="E1945" t="s">
        <v>770</v>
      </c>
      <c r="F1945">
        <v>5</v>
      </c>
      <c r="G1945" s="308">
        <f>'BECA MEDIA'!S281</f>
        <v>0</v>
      </c>
      <c r="H1945" s="308">
        <f>'BECA MEDIA'!T281</f>
        <v>0</v>
      </c>
    </row>
    <row r="1946" spans="1:8" x14ac:dyDescent="0.3">
      <c r="A1946" t="s">
        <v>688</v>
      </c>
      <c r="B1946" t="s">
        <v>292</v>
      </c>
      <c r="C1946" t="s">
        <v>304</v>
      </c>
      <c r="D1946" t="s">
        <v>689</v>
      </c>
      <c r="E1946" t="s">
        <v>771</v>
      </c>
      <c r="F1946">
        <v>6</v>
      </c>
      <c r="G1946" s="308">
        <f>'BECA MEDIA'!V281</f>
        <v>14</v>
      </c>
      <c r="H1946" s="308">
        <f>'BECA MEDIA'!W281</f>
        <v>35000</v>
      </c>
    </row>
    <row r="1947" spans="1:8" x14ac:dyDescent="0.3">
      <c r="A1947" t="s">
        <v>688</v>
      </c>
      <c r="B1947" t="s">
        <v>292</v>
      </c>
      <c r="C1947" t="s">
        <v>304</v>
      </c>
      <c r="D1947" t="s">
        <v>689</v>
      </c>
      <c r="E1947" t="s">
        <v>772</v>
      </c>
      <c r="F1947">
        <v>7</v>
      </c>
      <c r="G1947" s="308">
        <f>'BECA MEDIA'!Y281</f>
        <v>0</v>
      </c>
      <c r="H1947" s="308">
        <f>'BECA MEDIA'!Z281</f>
        <v>0</v>
      </c>
    </row>
    <row r="1948" spans="1:8" x14ac:dyDescent="0.3">
      <c r="A1948" t="s">
        <v>688</v>
      </c>
      <c r="B1948" t="s">
        <v>292</v>
      </c>
      <c r="C1948" t="s">
        <v>305</v>
      </c>
      <c r="D1948" t="s">
        <v>689</v>
      </c>
      <c r="E1948" t="s">
        <v>766</v>
      </c>
      <c r="F1948">
        <v>1</v>
      </c>
      <c r="G1948" s="308">
        <f>'BECA MEDIA'!G282</f>
        <v>0</v>
      </c>
      <c r="H1948" s="308">
        <f>'BECA MEDIA'!H282</f>
        <v>0</v>
      </c>
    </row>
    <row r="1949" spans="1:8" x14ac:dyDescent="0.3">
      <c r="A1949" t="s">
        <v>688</v>
      </c>
      <c r="B1949" t="s">
        <v>292</v>
      </c>
      <c r="C1949" t="s">
        <v>305</v>
      </c>
      <c r="D1949" t="s">
        <v>689</v>
      </c>
      <c r="E1949" t="s">
        <v>767</v>
      </c>
      <c r="F1949">
        <v>2</v>
      </c>
      <c r="G1949" s="308">
        <f>'BECA MEDIA'!J282</f>
        <v>0</v>
      </c>
      <c r="H1949" s="308">
        <f>'BECA MEDIA'!K282</f>
        <v>0</v>
      </c>
    </row>
    <row r="1950" spans="1:8" x14ac:dyDescent="0.3">
      <c r="A1950" t="s">
        <v>688</v>
      </c>
      <c r="B1950" t="s">
        <v>292</v>
      </c>
      <c r="C1950" t="s">
        <v>305</v>
      </c>
      <c r="D1950" t="s">
        <v>689</v>
      </c>
      <c r="E1950" t="s">
        <v>768</v>
      </c>
      <c r="F1950">
        <v>3</v>
      </c>
      <c r="G1950" s="308">
        <f>'BECA MEDIA'!M282</f>
        <v>2</v>
      </c>
      <c r="H1950" s="308">
        <f>'BECA MEDIA'!N282</f>
        <v>5000</v>
      </c>
    </row>
    <row r="1951" spans="1:8" x14ac:dyDescent="0.3">
      <c r="A1951" t="s">
        <v>688</v>
      </c>
      <c r="B1951" t="s">
        <v>292</v>
      </c>
      <c r="C1951" t="s">
        <v>305</v>
      </c>
      <c r="D1951" t="s">
        <v>689</v>
      </c>
      <c r="E1951" t="s">
        <v>769</v>
      </c>
      <c r="F1951">
        <v>4</v>
      </c>
      <c r="G1951" s="308">
        <f>'BECA MEDIA'!P282</f>
        <v>2</v>
      </c>
      <c r="H1951" s="308">
        <f>'BECA MEDIA'!Q282</f>
        <v>5000</v>
      </c>
    </row>
    <row r="1952" spans="1:8" x14ac:dyDescent="0.3">
      <c r="A1952" t="s">
        <v>688</v>
      </c>
      <c r="B1952" t="s">
        <v>292</v>
      </c>
      <c r="C1952" t="s">
        <v>305</v>
      </c>
      <c r="D1952" t="s">
        <v>689</v>
      </c>
      <c r="E1952" t="s">
        <v>770</v>
      </c>
      <c r="F1952">
        <v>5</v>
      </c>
      <c r="G1952" s="308">
        <f>'BECA MEDIA'!S282</f>
        <v>0</v>
      </c>
      <c r="H1952" s="308">
        <f>'BECA MEDIA'!T282</f>
        <v>0</v>
      </c>
    </row>
    <row r="1953" spans="1:8" x14ac:dyDescent="0.3">
      <c r="A1953" t="s">
        <v>688</v>
      </c>
      <c r="B1953" t="s">
        <v>292</v>
      </c>
      <c r="C1953" t="s">
        <v>305</v>
      </c>
      <c r="D1953" t="s">
        <v>689</v>
      </c>
      <c r="E1953" t="s">
        <v>771</v>
      </c>
      <c r="F1953">
        <v>6</v>
      </c>
      <c r="G1953" s="308">
        <f>'BECA MEDIA'!V282</f>
        <v>4.4000000000000004</v>
      </c>
      <c r="H1953" s="308">
        <f>'BECA MEDIA'!W282</f>
        <v>11000</v>
      </c>
    </row>
    <row r="1954" spans="1:8" x14ac:dyDescent="0.3">
      <c r="A1954" t="s">
        <v>688</v>
      </c>
      <c r="B1954" t="s">
        <v>292</v>
      </c>
      <c r="C1954" t="s">
        <v>305</v>
      </c>
      <c r="D1954" t="s">
        <v>689</v>
      </c>
      <c r="E1954" t="s">
        <v>772</v>
      </c>
      <c r="F1954">
        <v>7</v>
      </c>
      <c r="G1954" s="308">
        <f>'BECA MEDIA'!Y282</f>
        <v>0</v>
      </c>
      <c r="H1954" s="308">
        <f>'BECA MEDIA'!Z282</f>
        <v>0</v>
      </c>
    </row>
    <row r="1955" spans="1:8" x14ac:dyDescent="0.3">
      <c r="A1955" t="s">
        <v>688</v>
      </c>
      <c r="B1955" t="s">
        <v>292</v>
      </c>
      <c r="C1955" t="s">
        <v>306</v>
      </c>
      <c r="D1955" t="s">
        <v>689</v>
      </c>
      <c r="E1955" t="s">
        <v>766</v>
      </c>
      <c r="F1955">
        <v>1</v>
      </c>
      <c r="G1955" s="308">
        <f>'BECA MEDIA'!G283</f>
        <v>0</v>
      </c>
      <c r="H1955" s="308">
        <f>'BECA MEDIA'!H283</f>
        <v>0</v>
      </c>
    </row>
    <row r="1956" spans="1:8" x14ac:dyDescent="0.3">
      <c r="A1956" t="s">
        <v>688</v>
      </c>
      <c r="B1956" t="s">
        <v>292</v>
      </c>
      <c r="C1956" t="s">
        <v>306</v>
      </c>
      <c r="D1956" t="s">
        <v>689</v>
      </c>
      <c r="E1956" t="s">
        <v>767</v>
      </c>
      <c r="F1956">
        <v>2</v>
      </c>
      <c r="G1956" s="308">
        <f>'BECA MEDIA'!J283</f>
        <v>0</v>
      </c>
      <c r="H1956" s="308">
        <f>'BECA MEDIA'!K283</f>
        <v>0</v>
      </c>
    </row>
    <row r="1957" spans="1:8" x14ac:dyDescent="0.3">
      <c r="A1957" t="s">
        <v>688</v>
      </c>
      <c r="B1957" t="s">
        <v>292</v>
      </c>
      <c r="C1957" t="s">
        <v>306</v>
      </c>
      <c r="D1957" t="s">
        <v>689</v>
      </c>
      <c r="E1957" t="s">
        <v>768</v>
      </c>
      <c r="F1957">
        <v>3</v>
      </c>
      <c r="G1957" s="308">
        <f>'BECA MEDIA'!M283</f>
        <v>6</v>
      </c>
      <c r="H1957" s="308">
        <f>'BECA MEDIA'!N283</f>
        <v>15000</v>
      </c>
    </row>
    <row r="1958" spans="1:8" x14ac:dyDescent="0.3">
      <c r="A1958" t="s">
        <v>688</v>
      </c>
      <c r="B1958" t="s">
        <v>292</v>
      </c>
      <c r="C1958" t="s">
        <v>306</v>
      </c>
      <c r="D1958" t="s">
        <v>689</v>
      </c>
      <c r="E1958" t="s">
        <v>769</v>
      </c>
      <c r="F1958">
        <v>4</v>
      </c>
      <c r="G1958" s="308">
        <f>'BECA MEDIA'!P283</f>
        <v>1.2</v>
      </c>
      <c r="H1958" s="308">
        <f>'BECA MEDIA'!Q283</f>
        <v>3000</v>
      </c>
    </row>
    <row r="1959" spans="1:8" x14ac:dyDescent="0.3">
      <c r="A1959" t="s">
        <v>688</v>
      </c>
      <c r="B1959" t="s">
        <v>292</v>
      </c>
      <c r="C1959" t="s">
        <v>306</v>
      </c>
      <c r="D1959" t="s">
        <v>689</v>
      </c>
      <c r="E1959" t="s">
        <v>770</v>
      </c>
      <c r="F1959">
        <v>5</v>
      </c>
      <c r="G1959" s="308">
        <f>'BECA MEDIA'!S283</f>
        <v>0</v>
      </c>
      <c r="H1959" s="308">
        <f>'BECA MEDIA'!T283</f>
        <v>0</v>
      </c>
    </row>
    <row r="1960" spans="1:8" x14ac:dyDescent="0.3">
      <c r="A1960" t="s">
        <v>688</v>
      </c>
      <c r="B1960" t="s">
        <v>292</v>
      </c>
      <c r="C1960" t="s">
        <v>306</v>
      </c>
      <c r="D1960" t="s">
        <v>689</v>
      </c>
      <c r="E1960" t="s">
        <v>771</v>
      </c>
      <c r="F1960">
        <v>6</v>
      </c>
      <c r="G1960" s="308">
        <f>'BECA MEDIA'!V283</f>
        <v>7.6</v>
      </c>
      <c r="H1960" s="308">
        <f>'BECA MEDIA'!W283</f>
        <v>19000</v>
      </c>
    </row>
    <row r="1961" spans="1:8" x14ac:dyDescent="0.3">
      <c r="A1961" t="s">
        <v>688</v>
      </c>
      <c r="B1961" t="s">
        <v>292</v>
      </c>
      <c r="C1961" t="s">
        <v>306</v>
      </c>
      <c r="D1961" t="s">
        <v>689</v>
      </c>
      <c r="E1961" t="s">
        <v>772</v>
      </c>
      <c r="F1961">
        <v>7</v>
      </c>
      <c r="G1961" s="308">
        <f>'BECA MEDIA'!Y283</f>
        <v>0</v>
      </c>
      <c r="H1961" s="308">
        <f>'BECA MEDIA'!Z283</f>
        <v>0</v>
      </c>
    </row>
    <row r="1962" spans="1:8" x14ac:dyDescent="0.3">
      <c r="A1962" t="s">
        <v>688</v>
      </c>
      <c r="B1962" t="s">
        <v>307</v>
      </c>
      <c r="C1962" t="s">
        <v>308</v>
      </c>
      <c r="D1962" t="s">
        <v>689</v>
      </c>
      <c r="E1962" t="s">
        <v>766</v>
      </c>
      <c r="F1962">
        <v>1</v>
      </c>
      <c r="G1962" s="308">
        <f>'BECA MEDIA'!G284</f>
        <v>0</v>
      </c>
      <c r="H1962" s="308">
        <f>'BECA MEDIA'!H284</f>
        <v>0</v>
      </c>
    </row>
    <row r="1963" spans="1:8" x14ac:dyDescent="0.3">
      <c r="A1963" t="s">
        <v>688</v>
      </c>
      <c r="B1963" t="s">
        <v>307</v>
      </c>
      <c r="C1963" t="s">
        <v>308</v>
      </c>
      <c r="D1963" t="s">
        <v>689</v>
      </c>
      <c r="E1963" t="s">
        <v>767</v>
      </c>
      <c r="F1963">
        <v>2</v>
      </c>
      <c r="G1963" s="308">
        <f>'BECA MEDIA'!J284</f>
        <v>0</v>
      </c>
      <c r="H1963" s="308">
        <f>'BECA MEDIA'!K284</f>
        <v>0</v>
      </c>
    </row>
    <row r="1964" spans="1:8" x14ac:dyDescent="0.3">
      <c r="A1964" t="s">
        <v>688</v>
      </c>
      <c r="B1964" t="s">
        <v>307</v>
      </c>
      <c r="C1964" t="s">
        <v>308</v>
      </c>
      <c r="D1964" t="s">
        <v>689</v>
      </c>
      <c r="E1964" t="s">
        <v>768</v>
      </c>
      <c r="F1964">
        <v>3</v>
      </c>
      <c r="G1964" s="308">
        <f>'BECA MEDIA'!M284</f>
        <v>7.6</v>
      </c>
      <c r="H1964" s="308">
        <f>'BECA MEDIA'!N284</f>
        <v>19000</v>
      </c>
    </row>
    <row r="1965" spans="1:8" x14ac:dyDescent="0.3">
      <c r="A1965" t="s">
        <v>688</v>
      </c>
      <c r="B1965" t="s">
        <v>307</v>
      </c>
      <c r="C1965" t="s">
        <v>308</v>
      </c>
      <c r="D1965" t="s">
        <v>689</v>
      </c>
      <c r="E1965" t="s">
        <v>769</v>
      </c>
      <c r="F1965">
        <v>4</v>
      </c>
      <c r="G1965" s="308">
        <f>'BECA MEDIA'!P284</f>
        <v>0.4</v>
      </c>
      <c r="H1965" s="308">
        <f>'BECA MEDIA'!Q284</f>
        <v>1000</v>
      </c>
    </row>
    <row r="1966" spans="1:8" x14ac:dyDescent="0.3">
      <c r="A1966" t="s">
        <v>688</v>
      </c>
      <c r="B1966" t="s">
        <v>307</v>
      </c>
      <c r="C1966" t="s">
        <v>308</v>
      </c>
      <c r="D1966" t="s">
        <v>689</v>
      </c>
      <c r="E1966" t="s">
        <v>770</v>
      </c>
      <c r="F1966">
        <v>5</v>
      </c>
      <c r="G1966" s="308">
        <f>'BECA MEDIA'!S284</f>
        <v>0</v>
      </c>
      <c r="H1966" s="308">
        <f>'BECA MEDIA'!T284</f>
        <v>0</v>
      </c>
    </row>
    <row r="1967" spans="1:8" x14ac:dyDescent="0.3">
      <c r="A1967" t="s">
        <v>688</v>
      </c>
      <c r="B1967" t="s">
        <v>307</v>
      </c>
      <c r="C1967" t="s">
        <v>308</v>
      </c>
      <c r="D1967" t="s">
        <v>689</v>
      </c>
      <c r="E1967" t="s">
        <v>771</v>
      </c>
      <c r="F1967">
        <v>6</v>
      </c>
      <c r="G1967" s="308">
        <f>'BECA MEDIA'!V284</f>
        <v>8</v>
      </c>
      <c r="H1967" s="308">
        <f>'BECA MEDIA'!W284</f>
        <v>20000</v>
      </c>
    </row>
    <row r="1968" spans="1:8" x14ac:dyDescent="0.3">
      <c r="A1968" t="s">
        <v>688</v>
      </c>
      <c r="B1968" t="s">
        <v>307</v>
      </c>
      <c r="C1968" t="s">
        <v>308</v>
      </c>
      <c r="D1968" t="s">
        <v>689</v>
      </c>
      <c r="E1968" t="s">
        <v>772</v>
      </c>
      <c r="F1968">
        <v>7</v>
      </c>
      <c r="G1968" s="308">
        <f>'BECA MEDIA'!Y284</f>
        <v>0</v>
      </c>
      <c r="H1968" s="308">
        <f>'BECA MEDIA'!Z284</f>
        <v>0</v>
      </c>
    </row>
    <row r="1969" spans="1:8" x14ac:dyDescent="0.3">
      <c r="A1969" t="s">
        <v>688</v>
      </c>
      <c r="B1969" t="s">
        <v>307</v>
      </c>
      <c r="C1969" t="s">
        <v>309</v>
      </c>
      <c r="D1969" t="s">
        <v>689</v>
      </c>
      <c r="E1969" t="s">
        <v>766</v>
      </c>
      <c r="F1969">
        <v>1</v>
      </c>
      <c r="G1969" s="308">
        <f>'BECA MEDIA'!G285</f>
        <v>0</v>
      </c>
      <c r="H1969" s="308">
        <f>'BECA MEDIA'!H285</f>
        <v>0</v>
      </c>
    </row>
    <row r="1970" spans="1:8" x14ac:dyDescent="0.3">
      <c r="A1970" t="s">
        <v>688</v>
      </c>
      <c r="B1970" t="s">
        <v>307</v>
      </c>
      <c r="C1970" t="s">
        <v>309</v>
      </c>
      <c r="D1970" t="s">
        <v>689</v>
      </c>
      <c r="E1970" t="s">
        <v>767</v>
      </c>
      <c r="F1970">
        <v>2</v>
      </c>
      <c r="G1970" s="308">
        <f>'BECA MEDIA'!J285</f>
        <v>0</v>
      </c>
      <c r="H1970" s="308">
        <f>'BECA MEDIA'!K285</f>
        <v>0</v>
      </c>
    </row>
    <row r="1971" spans="1:8" x14ac:dyDescent="0.3">
      <c r="A1971" t="s">
        <v>688</v>
      </c>
      <c r="B1971" t="s">
        <v>307</v>
      </c>
      <c r="C1971" t="s">
        <v>309</v>
      </c>
      <c r="D1971" t="s">
        <v>689</v>
      </c>
      <c r="E1971" t="s">
        <v>768</v>
      </c>
      <c r="F1971">
        <v>3</v>
      </c>
      <c r="G1971" s="308">
        <f>'BECA MEDIA'!M285</f>
        <v>9.1999999999999993</v>
      </c>
      <c r="H1971" s="308">
        <f>'BECA MEDIA'!N285</f>
        <v>23000</v>
      </c>
    </row>
    <row r="1972" spans="1:8" x14ac:dyDescent="0.3">
      <c r="A1972" t="s">
        <v>688</v>
      </c>
      <c r="B1972" t="s">
        <v>307</v>
      </c>
      <c r="C1972" t="s">
        <v>309</v>
      </c>
      <c r="D1972" t="s">
        <v>689</v>
      </c>
      <c r="E1972" t="s">
        <v>769</v>
      </c>
      <c r="F1972">
        <v>4</v>
      </c>
      <c r="G1972" s="308">
        <f>'BECA MEDIA'!P285</f>
        <v>2</v>
      </c>
      <c r="H1972" s="308">
        <f>'BECA MEDIA'!Q285</f>
        <v>5000</v>
      </c>
    </row>
    <row r="1973" spans="1:8" x14ac:dyDescent="0.3">
      <c r="A1973" t="s">
        <v>688</v>
      </c>
      <c r="B1973" t="s">
        <v>307</v>
      </c>
      <c r="C1973" t="s">
        <v>309</v>
      </c>
      <c r="D1973" t="s">
        <v>689</v>
      </c>
      <c r="E1973" t="s">
        <v>770</v>
      </c>
      <c r="F1973">
        <v>5</v>
      </c>
      <c r="G1973" s="308">
        <f>'BECA MEDIA'!S285</f>
        <v>0</v>
      </c>
      <c r="H1973" s="308">
        <f>'BECA MEDIA'!T285</f>
        <v>0</v>
      </c>
    </row>
    <row r="1974" spans="1:8" x14ac:dyDescent="0.3">
      <c r="A1974" t="s">
        <v>688</v>
      </c>
      <c r="B1974" t="s">
        <v>307</v>
      </c>
      <c r="C1974" t="s">
        <v>309</v>
      </c>
      <c r="D1974" t="s">
        <v>689</v>
      </c>
      <c r="E1974" t="s">
        <v>771</v>
      </c>
      <c r="F1974">
        <v>6</v>
      </c>
      <c r="G1974" s="308">
        <f>'BECA MEDIA'!V285</f>
        <v>11.2</v>
      </c>
      <c r="H1974" s="308">
        <f>'BECA MEDIA'!W285</f>
        <v>28000</v>
      </c>
    </row>
    <row r="1975" spans="1:8" x14ac:dyDescent="0.3">
      <c r="A1975" t="s">
        <v>688</v>
      </c>
      <c r="B1975" t="s">
        <v>307</v>
      </c>
      <c r="C1975" t="s">
        <v>309</v>
      </c>
      <c r="D1975" t="s">
        <v>689</v>
      </c>
      <c r="E1975" t="s">
        <v>772</v>
      </c>
      <c r="F1975">
        <v>7</v>
      </c>
      <c r="G1975" s="308">
        <f>'BECA MEDIA'!Y285</f>
        <v>0</v>
      </c>
      <c r="H1975" s="308">
        <f>'BECA MEDIA'!Z285</f>
        <v>0</v>
      </c>
    </row>
    <row r="1976" spans="1:8" x14ac:dyDescent="0.3">
      <c r="A1976" t="s">
        <v>688</v>
      </c>
      <c r="B1976" t="s">
        <v>307</v>
      </c>
      <c r="C1976" t="s">
        <v>310</v>
      </c>
      <c r="D1976" t="s">
        <v>689</v>
      </c>
      <c r="E1976" t="s">
        <v>766</v>
      </c>
      <c r="F1976">
        <v>1</v>
      </c>
      <c r="G1976" s="308">
        <f>'BECA MEDIA'!G286</f>
        <v>0</v>
      </c>
      <c r="H1976" s="308">
        <f>'BECA MEDIA'!H286</f>
        <v>0</v>
      </c>
    </row>
    <row r="1977" spans="1:8" x14ac:dyDescent="0.3">
      <c r="A1977" t="s">
        <v>688</v>
      </c>
      <c r="B1977" t="s">
        <v>307</v>
      </c>
      <c r="C1977" t="s">
        <v>310</v>
      </c>
      <c r="D1977" t="s">
        <v>689</v>
      </c>
      <c r="E1977" t="s">
        <v>767</v>
      </c>
      <c r="F1977">
        <v>2</v>
      </c>
      <c r="G1977" s="308">
        <f>'BECA MEDIA'!J286</f>
        <v>0</v>
      </c>
      <c r="H1977" s="308">
        <f>'BECA MEDIA'!K286</f>
        <v>0</v>
      </c>
    </row>
    <row r="1978" spans="1:8" x14ac:dyDescent="0.3">
      <c r="A1978" t="s">
        <v>688</v>
      </c>
      <c r="B1978" t="s">
        <v>307</v>
      </c>
      <c r="C1978" t="s">
        <v>310</v>
      </c>
      <c r="D1978" t="s">
        <v>689</v>
      </c>
      <c r="E1978" t="s">
        <v>768</v>
      </c>
      <c r="F1978">
        <v>3</v>
      </c>
      <c r="G1978" s="308">
        <f>'BECA MEDIA'!M286</f>
        <v>4</v>
      </c>
      <c r="H1978" s="308">
        <f>'BECA MEDIA'!N286</f>
        <v>10000</v>
      </c>
    </row>
    <row r="1979" spans="1:8" x14ac:dyDescent="0.3">
      <c r="A1979" t="s">
        <v>688</v>
      </c>
      <c r="B1979" t="s">
        <v>307</v>
      </c>
      <c r="C1979" t="s">
        <v>310</v>
      </c>
      <c r="D1979" t="s">
        <v>689</v>
      </c>
      <c r="E1979" t="s">
        <v>769</v>
      </c>
      <c r="F1979">
        <v>4</v>
      </c>
      <c r="G1979" s="308">
        <f>'BECA MEDIA'!P286</f>
        <v>1.6</v>
      </c>
      <c r="H1979" s="308">
        <f>'BECA MEDIA'!Q286</f>
        <v>4000</v>
      </c>
    </row>
    <row r="1980" spans="1:8" x14ac:dyDescent="0.3">
      <c r="A1980" t="s">
        <v>688</v>
      </c>
      <c r="B1980" t="s">
        <v>307</v>
      </c>
      <c r="C1980" t="s">
        <v>310</v>
      </c>
      <c r="D1980" t="s">
        <v>689</v>
      </c>
      <c r="E1980" t="s">
        <v>770</v>
      </c>
      <c r="F1980">
        <v>5</v>
      </c>
      <c r="G1980" s="308">
        <f>'BECA MEDIA'!S286</f>
        <v>0</v>
      </c>
      <c r="H1980" s="308">
        <f>'BECA MEDIA'!T286</f>
        <v>0</v>
      </c>
    </row>
    <row r="1981" spans="1:8" x14ac:dyDescent="0.3">
      <c r="A1981" t="s">
        <v>688</v>
      </c>
      <c r="B1981" t="s">
        <v>307</v>
      </c>
      <c r="C1981" t="s">
        <v>310</v>
      </c>
      <c r="D1981" t="s">
        <v>689</v>
      </c>
      <c r="E1981" t="s">
        <v>771</v>
      </c>
      <c r="F1981">
        <v>6</v>
      </c>
      <c r="G1981" s="308">
        <f>'BECA MEDIA'!V286</f>
        <v>6</v>
      </c>
      <c r="H1981" s="308">
        <f>'BECA MEDIA'!W286</f>
        <v>15000</v>
      </c>
    </row>
    <row r="1982" spans="1:8" x14ac:dyDescent="0.3">
      <c r="A1982" t="s">
        <v>688</v>
      </c>
      <c r="B1982" t="s">
        <v>307</v>
      </c>
      <c r="C1982" t="s">
        <v>310</v>
      </c>
      <c r="D1982" t="s">
        <v>689</v>
      </c>
      <c r="E1982" t="s">
        <v>772</v>
      </c>
      <c r="F1982">
        <v>7</v>
      </c>
      <c r="G1982" s="308">
        <f>'BECA MEDIA'!Y286</f>
        <v>0</v>
      </c>
      <c r="H1982" s="308">
        <f>'BECA MEDIA'!Z286</f>
        <v>0</v>
      </c>
    </row>
    <row r="1983" spans="1:8" x14ac:dyDescent="0.3">
      <c r="A1983" t="s">
        <v>688</v>
      </c>
      <c r="B1983" t="s">
        <v>307</v>
      </c>
      <c r="C1983" t="s">
        <v>311</v>
      </c>
      <c r="D1983" t="s">
        <v>689</v>
      </c>
      <c r="E1983" t="s">
        <v>766</v>
      </c>
      <c r="F1983">
        <v>1</v>
      </c>
      <c r="G1983" s="308">
        <f>'BECA MEDIA'!G287</f>
        <v>0</v>
      </c>
      <c r="H1983" s="308">
        <f>'BECA MEDIA'!H287</f>
        <v>0</v>
      </c>
    </row>
    <row r="1984" spans="1:8" x14ac:dyDescent="0.3">
      <c r="A1984" t="s">
        <v>688</v>
      </c>
      <c r="B1984" t="s">
        <v>307</v>
      </c>
      <c r="C1984" t="s">
        <v>311</v>
      </c>
      <c r="D1984" t="s">
        <v>689</v>
      </c>
      <c r="E1984" t="s">
        <v>767</v>
      </c>
      <c r="F1984">
        <v>2</v>
      </c>
      <c r="G1984" s="308">
        <f>'BECA MEDIA'!J287</f>
        <v>0</v>
      </c>
      <c r="H1984" s="308">
        <f>'BECA MEDIA'!K287</f>
        <v>0</v>
      </c>
    </row>
    <row r="1985" spans="1:8" x14ac:dyDescent="0.3">
      <c r="A1985" t="s">
        <v>688</v>
      </c>
      <c r="B1985" t="s">
        <v>307</v>
      </c>
      <c r="C1985" t="s">
        <v>311</v>
      </c>
      <c r="D1985" t="s">
        <v>689</v>
      </c>
      <c r="E1985" t="s">
        <v>768</v>
      </c>
      <c r="F1985">
        <v>3</v>
      </c>
      <c r="G1985" s="308">
        <f>'BECA MEDIA'!M287</f>
        <v>3.6</v>
      </c>
      <c r="H1985" s="308">
        <f>'BECA MEDIA'!N287</f>
        <v>9000</v>
      </c>
    </row>
    <row r="1986" spans="1:8" x14ac:dyDescent="0.3">
      <c r="A1986" t="s">
        <v>688</v>
      </c>
      <c r="B1986" t="s">
        <v>307</v>
      </c>
      <c r="C1986" t="s">
        <v>311</v>
      </c>
      <c r="D1986" t="s">
        <v>689</v>
      </c>
      <c r="E1986" t="s">
        <v>769</v>
      </c>
      <c r="F1986">
        <v>4</v>
      </c>
      <c r="G1986" s="308">
        <f>'BECA MEDIA'!P287</f>
        <v>2</v>
      </c>
      <c r="H1986" s="308">
        <f>'BECA MEDIA'!Q287</f>
        <v>5000</v>
      </c>
    </row>
    <row r="1987" spans="1:8" x14ac:dyDescent="0.3">
      <c r="A1987" t="s">
        <v>688</v>
      </c>
      <c r="B1987" t="s">
        <v>307</v>
      </c>
      <c r="C1987" t="s">
        <v>311</v>
      </c>
      <c r="D1987" t="s">
        <v>689</v>
      </c>
      <c r="E1987" t="s">
        <v>770</v>
      </c>
      <c r="F1987">
        <v>5</v>
      </c>
      <c r="G1987" s="308">
        <f>'BECA MEDIA'!S287</f>
        <v>0</v>
      </c>
      <c r="H1987" s="308">
        <f>'BECA MEDIA'!T287</f>
        <v>0</v>
      </c>
    </row>
    <row r="1988" spans="1:8" x14ac:dyDescent="0.3">
      <c r="A1988" t="s">
        <v>688</v>
      </c>
      <c r="B1988" t="s">
        <v>307</v>
      </c>
      <c r="C1988" t="s">
        <v>311</v>
      </c>
      <c r="D1988" t="s">
        <v>689</v>
      </c>
      <c r="E1988" t="s">
        <v>771</v>
      </c>
      <c r="F1988">
        <v>6</v>
      </c>
      <c r="G1988" s="308">
        <f>'BECA MEDIA'!V287</f>
        <v>5.6</v>
      </c>
      <c r="H1988" s="308">
        <f>'BECA MEDIA'!W287</f>
        <v>14000</v>
      </c>
    </row>
    <row r="1989" spans="1:8" x14ac:dyDescent="0.3">
      <c r="A1989" t="s">
        <v>688</v>
      </c>
      <c r="B1989" t="s">
        <v>307</v>
      </c>
      <c r="C1989" t="s">
        <v>311</v>
      </c>
      <c r="D1989" t="s">
        <v>689</v>
      </c>
      <c r="E1989" t="s">
        <v>772</v>
      </c>
      <c r="F1989">
        <v>7</v>
      </c>
      <c r="G1989" s="308">
        <f>'BECA MEDIA'!Y287</f>
        <v>0</v>
      </c>
      <c r="H1989" s="308">
        <f>'BECA MEDIA'!Z287</f>
        <v>0</v>
      </c>
    </row>
    <row r="1990" spans="1:8" x14ac:dyDescent="0.3">
      <c r="A1990" t="s">
        <v>688</v>
      </c>
      <c r="B1990" t="s">
        <v>307</v>
      </c>
      <c r="C1990" t="s">
        <v>312</v>
      </c>
      <c r="D1990" t="s">
        <v>689</v>
      </c>
      <c r="E1990" t="s">
        <v>766</v>
      </c>
      <c r="F1990">
        <v>1</v>
      </c>
      <c r="G1990" s="308">
        <f>'BECA MEDIA'!G288</f>
        <v>0</v>
      </c>
      <c r="H1990" s="308">
        <f>'BECA MEDIA'!H288</f>
        <v>0</v>
      </c>
    </row>
    <row r="1991" spans="1:8" x14ac:dyDescent="0.3">
      <c r="A1991" t="s">
        <v>688</v>
      </c>
      <c r="B1991" t="s">
        <v>307</v>
      </c>
      <c r="C1991" t="s">
        <v>312</v>
      </c>
      <c r="D1991" t="s">
        <v>689</v>
      </c>
      <c r="E1991" t="s">
        <v>767</v>
      </c>
      <c r="F1991">
        <v>2</v>
      </c>
      <c r="G1991" s="308">
        <f>'BECA MEDIA'!J288</f>
        <v>0</v>
      </c>
      <c r="H1991" s="308">
        <f>'BECA MEDIA'!K288</f>
        <v>0</v>
      </c>
    </row>
    <row r="1992" spans="1:8" x14ac:dyDescent="0.3">
      <c r="A1992" t="s">
        <v>688</v>
      </c>
      <c r="B1992" t="s">
        <v>307</v>
      </c>
      <c r="C1992" t="s">
        <v>312</v>
      </c>
      <c r="D1992" t="s">
        <v>689</v>
      </c>
      <c r="E1992" t="s">
        <v>768</v>
      </c>
      <c r="F1992">
        <v>3</v>
      </c>
      <c r="G1992" s="308">
        <f>'BECA MEDIA'!M288</f>
        <v>3.2</v>
      </c>
      <c r="H1992" s="308">
        <f>'BECA MEDIA'!N288</f>
        <v>8000</v>
      </c>
    </row>
    <row r="1993" spans="1:8" x14ac:dyDescent="0.3">
      <c r="A1993" t="s">
        <v>688</v>
      </c>
      <c r="B1993" t="s">
        <v>307</v>
      </c>
      <c r="C1993" t="s">
        <v>312</v>
      </c>
      <c r="D1993" t="s">
        <v>689</v>
      </c>
      <c r="E1993" t="s">
        <v>769</v>
      </c>
      <c r="F1993">
        <v>4</v>
      </c>
      <c r="G1993" s="308">
        <f>'BECA MEDIA'!P288</f>
        <v>2</v>
      </c>
      <c r="H1993" s="308">
        <f>'BECA MEDIA'!Q288</f>
        <v>5000</v>
      </c>
    </row>
    <row r="1994" spans="1:8" x14ac:dyDescent="0.3">
      <c r="A1994" t="s">
        <v>688</v>
      </c>
      <c r="B1994" t="s">
        <v>307</v>
      </c>
      <c r="C1994" t="s">
        <v>312</v>
      </c>
      <c r="D1994" t="s">
        <v>689</v>
      </c>
      <c r="E1994" t="s">
        <v>770</v>
      </c>
      <c r="F1994">
        <v>5</v>
      </c>
      <c r="G1994" s="308">
        <f>'BECA MEDIA'!S288</f>
        <v>0</v>
      </c>
      <c r="H1994" s="308">
        <f>'BECA MEDIA'!T288</f>
        <v>0</v>
      </c>
    </row>
    <row r="1995" spans="1:8" x14ac:dyDescent="0.3">
      <c r="A1995" t="s">
        <v>688</v>
      </c>
      <c r="B1995" t="s">
        <v>307</v>
      </c>
      <c r="C1995" t="s">
        <v>312</v>
      </c>
      <c r="D1995" t="s">
        <v>689</v>
      </c>
      <c r="E1995" t="s">
        <v>771</v>
      </c>
      <c r="F1995">
        <v>6</v>
      </c>
      <c r="G1995" s="308">
        <f>'BECA MEDIA'!V288</f>
        <v>5.2</v>
      </c>
      <c r="H1995" s="308">
        <f>'BECA MEDIA'!W288</f>
        <v>13000</v>
      </c>
    </row>
    <row r="1996" spans="1:8" x14ac:dyDescent="0.3">
      <c r="A1996" t="s">
        <v>688</v>
      </c>
      <c r="B1996" t="s">
        <v>307</v>
      </c>
      <c r="C1996" t="s">
        <v>312</v>
      </c>
      <c r="D1996" t="s">
        <v>689</v>
      </c>
      <c r="E1996" t="s">
        <v>772</v>
      </c>
      <c r="F1996">
        <v>7</v>
      </c>
      <c r="G1996" s="308">
        <f>'BECA MEDIA'!Y288</f>
        <v>0</v>
      </c>
      <c r="H1996" s="308">
        <f>'BECA MEDIA'!Z288</f>
        <v>0</v>
      </c>
    </row>
    <row r="1997" spans="1:8" x14ac:dyDescent="0.3">
      <c r="A1997" t="s">
        <v>688</v>
      </c>
      <c r="B1997" t="s">
        <v>307</v>
      </c>
      <c r="C1997" t="s">
        <v>313</v>
      </c>
      <c r="D1997" t="s">
        <v>689</v>
      </c>
      <c r="E1997" t="s">
        <v>766</v>
      </c>
      <c r="F1997">
        <v>1</v>
      </c>
      <c r="G1997" s="308">
        <f>'BECA MEDIA'!G289</f>
        <v>0</v>
      </c>
      <c r="H1997" s="308">
        <f>'BECA MEDIA'!H289</f>
        <v>0</v>
      </c>
    </row>
    <row r="1998" spans="1:8" x14ac:dyDescent="0.3">
      <c r="A1998" t="s">
        <v>688</v>
      </c>
      <c r="B1998" t="s">
        <v>307</v>
      </c>
      <c r="C1998" t="s">
        <v>313</v>
      </c>
      <c r="D1998" t="s">
        <v>689</v>
      </c>
      <c r="E1998" t="s">
        <v>767</v>
      </c>
      <c r="F1998">
        <v>2</v>
      </c>
      <c r="G1998" s="308">
        <f>'BECA MEDIA'!J289</f>
        <v>0</v>
      </c>
      <c r="H1998" s="308">
        <f>'BECA MEDIA'!K289</f>
        <v>0</v>
      </c>
    </row>
    <row r="1999" spans="1:8" x14ac:dyDescent="0.3">
      <c r="A1999" t="s">
        <v>688</v>
      </c>
      <c r="B1999" t="s">
        <v>307</v>
      </c>
      <c r="C1999" t="s">
        <v>313</v>
      </c>
      <c r="D1999" t="s">
        <v>689</v>
      </c>
      <c r="E1999" t="s">
        <v>768</v>
      </c>
      <c r="F1999">
        <v>3</v>
      </c>
      <c r="G1999" s="308">
        <f>'BECA MEDIA'!M289</f>
        <v>3.2</v>
      </c>
      <c r="H1999" s="308">
        <f>'BECA MEDIA'!N289</f>
        <v>8000</v>
      </c>
    </row>
    <row r="2000" spans="1:8" x14ac:dyDescent="0.3">
      <c r="A2000" t="s">
        <v>688</v>
      </c>
      <c r="B2000" t="s">
        <v>307</v>
      </c>
      <c r="C2000" t="s">
        <v>313</v>
      </c>
      <c r="D2000" t="s">
        <v>689</v>
      </c>
      <c r="E2000" t="s">
        <v>769</v>
      </c>
      <c r="F2000">
        <v>4</v>
      </c>
      <c r="G2000" s="308">
        <f>'BECA MEDIA'!P289</f>
        <v>0.4</v>
      </c>
      <c r="H2000" s="308">
        <f>'BECA MEDIA'!Q289</f>
        <v>1000</v>
      </c>
    </row>
    <row r="2001" spans="1:8" x14ac:dyDescent="0.3">
      <c r="A2001" t="s">
        <v>688</v>
      </c>
      <c r="B2001" t="s">
        <v>307</v>
      </c>
      <c r="C2001" t="s">
        <v>313</v>
      </c>
      <c r="D2001" t="s">
        <v>689</v>
      </c>
      <c r="E2001" t="s">
        <v>770</v>
      </c>
      <c r="F2001">
        <v>5</v>
      </c>
      <c r="G2001" s="308">
        <f>'BECA MEDIA'!S289</f>
        <v>0</v>
      </c>
      <c r="H2001" s="308">
        <f>'BECA MEDIA'!T289</f>
        <v>0</v>
      </c>
    </row>
    <row r="2002" spans="1:8" x14ac:dyDescent="0.3">
      <c r="A2002" t="s">
        <v>688</v>
      </c>
      <c r="B2002" t="s">
        <v>307</v>
      </c>
      <c r="C2002" t="s">
        <v>313</v>
      </c>
      <c r="D2002" t="s">
        <v>689</v>
      </c>
      <c r="E2002" t="s">
        <v>771</v>
      </c>
      <c r="F2002">
        <v>6</v>
      </c>
      <c r="G2002" s="308">
        <f>'BECA MEDIA'!V289</f>
        <v>3.2</v>
      </c>
      <c r="H2002" s="308">
        <f>'BECA MEDIA'!W289</f>
        <v>8000</v>
      </c>
    </row>
    <row r="2003" spans="1:8" x14ac:dyDescent="0.3">
      <c r="A2003" t="s">
        <v>688</v>
      </c>
      <c r="B2003" t="s">
        <v>307</v>
      </c>
      <c r="C2003" t="s">
        <v>313</v>
      </c>
      <c r="D2003" t="s">
        <v>689</v>
      </c>
      <c r="E2003" t="s">
        <v>772</v>
      </c>
      <c r="F2003">
        <v>7</v>
      </c>
      <c r="G2003" s="308">
        <f>'BECA MEDIA'!Y289</f>
        <v>0</v>
      </c>
      <c r="H2003" s="308">
        <f>'BECA MEDIA'!Z289</f>
        <v>0</v>
      </c>
    </row>
    <row r="2004" spans="1:8" x14ac:dyDescent="0.3">
      <c r="A2004" t="s">
        <v>688</v>
      </c>
      <c r="B2004" t="s">
        <v>307</v>
      </c>
      <c r="C2004" t="s">
        <v>314</v>
      </c>
      <c r="D2004" t="s">
        <v>689</v>
      </c>
      <c r="E2004" t="s">
        <v>766</v>
      </c>
      <c r="F2004">
        <v>1</v>
      </c>
      <c r="G2004" s="308">
        <f>'BECA MEDIA'!G290</f>
        <v>0</v>
      </c>
      <c r="H2004" s="308">
        <f>'BECA MEDIA'!H290</f>
        <v>0</v>
      </c>
    </row>
    <row r="2005" spans="1:8" x14ac:dyDescent="0.3">
      <c r="A2005" t="s">
        <v>688</v>
      </c>
      <c r="B2005" t="s">
        <v>307</v>
      </c>
      <c r="C2005" t="s">
        <v>314</v>
      </c>
      <c r="D2005" t="s">
        <v>689</v>
      </c>
      <c r="E2005" t="s">
        <v>767</v>
      </c>
      <c r="F2005">
        <v>2</v>
      </c>
      <c r="G2005" s="308">
        <f>'BECA MEDIA'!J290</f>
        <v>0</v>
      </c>
      <c r="H2005" s="308">
        <f>'BECA MEDIA'!K290</f>
        <v>0</v>
      </c>
    </row>
    <row r="2006" spans="1:8" x14ac:dyDescent="0.3">
      <c r="A2006" t="s">
        <v>688</v>
      </c>
      <c r="B2006" t="s">
        <v>307</v>
      </c>
      <c r="C2006" t="s">
        <v>314</v>
      </c>
      <c r="D2006" t="s">
        <v>689</v>
      </c>
      <c r="E2006" t="s">
        <v>768</v>
      </c>
      <c r="F2006">
        <v>3</v>
      </c>
      <c r="G2006" s="308">
        <f>'BECA MEDIA'!M290</f>
        <v>4.8</v>
      </c>
      <c r="H2006" s="308">
        <f>'BECA MEDIA'!N290</f>
        <v>12000</v>
      </c>
    </row>
    <row r="2007" spans="1:8" x14ac:dyDescent="0.3">
      <c r="A2007" t="s">
        <v>688</v>
      </c>
      <c r="B2007" t="s">
        <v>307</v>
      </c>
      <c r="C2007" t="s">
        <v>314</v>
      </c>
      <c r="D2007" t="s">
        <v>689</v>
      </c>
      <c r="E2007" t="s">
        <v>769</v>
      </c>
      <c r="F2007">
        <v>4</v>
      </c>
      <c r="G2007" s="308">
        <f>'BECA MEDIA'!P290</f>
        <v>1.2</v>
      </c>
      <c r="H2007" s="308">
        <f>'BECA MEDIA'!Q290</f>
        <v>3000</v>
      </c>
    </row>
    <row r="2008" spans="1:8" x14ac:dyDescent="0.3">
      <c r="A2008" t="s">
        <v>688</v>
      </c>
      <c r="B2008" t="s">
        <v>307</v>
      </c>
      <c r="C2008" t="s">
        <v>314</v>
      </c>
      <c r="D2008" t="s">
        <v>689</v>
      </c>
      <c r="E2008" t="s">
        <v>770</v>
      </c>
      <c r="F2008">
        <v>5</v>
      </c>
      <c r="G2008" s="308">
        <f>'BECA MEDIA'!S290</f>
        <v>0</v>
      </c>
      <c r="H2008" s="308">
        <f>'BECA MEDIA'!T290</f>
        <v>0</v>
      </c>
    </row>
    <row r="2009" spans="1:8" x14ac:dyDescent="0.3">
      <c r="A2009" t="s">
        <v>688</v>
      </c>
      <c r="B2009" t="s">
        <v>307</v>
      </c>
      <c r="C2009" t="s">
        <v>314</v>
      </c>
      <c r="D2009" t="s">
        <v>689</v>
      </c>
      <c r="E2009" t="s">
        <v>771</v>
      </c>
      <c r="F2009">
        <v>6</v>
      </c>
      <c r="G2009" s="308">
        <f>'BECA MEDIA'!V290</f>
        <v>5.6</v>
      </c>
      <c r="H2009" s="308">
        <f>'BECA MEDIA'!W290</f>
        <v>14000</v>
      </c>
    </row>
    <row r="2010" spans="1:8" x14ac:dyDescent="0.3">
      <c r="A2010" t="s">
        <v>688</v>
      </c>
      <c r="B2010" t="s">
        <v>307</v>
      </c>
      <c r="C2010" t="s">
        <v>314</v>
      </c>
      <c r="D2010" t="s">
        <v>689</v>
      </c>
      <c r="E2010" t="s">
        <v>772</v>
      </c>
      <c r="F2010">
        <v>7</v>
      </c>
      <c r="G2010" s="308">
        <f>'BECA MEDIA'!Y290</f>
        <v>0</v>
      </c>
      <c r="H2010" s="308">
        <f>'BECA MEDIA'!Z290</f>
        <v>0</v>
      </c>
    </row>
    <row r="2011" spans="1:8" x14ac:dyDescent="0.3">
      <c r="A2011" t="s">
        <v>688</v>
      </c>
      <c r="B2011" t="s">
        <v>307</v>
      </c>
      <c r="C2011" t="s">
        <v>315</v>
      </c>
      <c r="D2011" t="s">
        <v>689</v>
      </c>
      <c r="E2011" t="s">
        <v>766</v>
      </c>
      <c r="F2011">
        <v>1</v>
      </c>
      <c r="G2011" s="308">
        <f>'BECA MEDIA'!G291</f>
        <v>0</v>
      </c>
      <c r="H2011" s="308">
        <f>'BECA MEDIA'!H291</f>
        <v>0</v>
      </c>
    </row>
    <row r="2012" spans="1:8" x14ac:dyDescent="0.3">
      <c r="A2012" t="s">
        <v>688</v>
      </c>
      <c r="B2012" t="s">
        <v>307</v>
      </c>
      <c r="C2012" t="s">
        <v>315</v>
      </c>
      <c r="D2012" t="s">
        <v>689</v>
      </c>
      <c r="E2012" t="s">
        <v>767</v>
      </c>
      <c r="F2012">
        <v>2</v>
      </c>
      <c r="G2012" s="308">
        <f>'BECA MEDIA'!J291</f>
        <v>0</v>
      </c>
      <c r="H2012" s="308">
        <f>'BECA MEDIA'!K291</f>
        <v>0</v>
      </c>
    </row>
    <row r="2013" spans="1:8" x14ac:dyDescent="0.3">
      <c r="A2013" t="s">
        <v>688</v>
      </c>
      <c r="B2013" t="s">
        <v>307</v>
      </c>
      <c r="C2013" t="s">
        <v>315</v>
      </c>
      <c r="D2013" t="s">
        <v>689</v>
      </c>
      <c r="E2013" t="s">
        <v>768</v>
      </c>
      <c r="F2013">
        <v>3</v>
      </c>
      <c r="G2013" s="308">
        <f>'BECA MEDIA'!M291</f>
        <v>18</v>
      </c>
      <c r="H2013" s="308">
        <f>'BECA MEDIA'!N291</f>
        <v>45000</v>
      </c>
    </row>
    <row r="2014" spans="1:8" x14ac:dyDescent="0.3">
      <c r="A2014" t="s">
        <v>688</v>
      </c>
      <c r="B2014" t="s">
        <v>307</v>
      </c>
      <c r="C2014" t="s">
        <v>315</v>
      </c>
      <c r="D2014" t="s">
        <v>689</v>
      </c>
      <c r="E2014" t="s">
        <v>769</v>
      </c>
      <c r="F2014">
        <v>4</v>
      </c>
      <c r="G2014" s="308">
        <f>'BECA MEDIA'!P291</f>
        <v>2.8</v>
      </c>
      <c r="H2014" s="308">
        <f>'BECA MEDIA'!Q291</f>
        <v>7000</v>
      </c>
    </row>
    <row r="2015" spans="1:8" x14ac:dyDescent="0.3">
      <c r="A2015" t="s">
        <v>688</v>
      </c>
      <c r="B2015" t="s">
        <v>307</v>
      </c>
      <c r="C2015" t="s">
        <v>315</v>
      </c>
      <c r="D2015" t="s">
        <v>689</v>
      </c>
      <c r="E2015" t="s">
        <v>770</v>
      </c>
      <c r="F2015">
        <v>5</v>
      </c>
      <c r="G2015" s="308">
        <f>'BECA MEDIA'!S291</f>
        <v>0</v>
      </c>
      <c r="H2015" s="308">
        <f>'BECA MEDIA'!T291</f>
        <v>0</v>
      </c>
    </row>
    <row r="2016" spans="1:8" x14ac:dyDescent="0.3">
      <c r="A2016" t="s">
        <v>688</v>
      </c>
      <c r="B2016" t="s">
        <v>307</v>
      </c>
      <c r="C2016" t="s">
        <v>315</v>
      </c>
      <c r="D2016" t="s">
        <v>689</v>
      </c>
      <c r="E2016" t="s">
        <v>771</v>
      </c>
      <c r="F2016">
        <v>6</v>
      </c>
      <c r="G2016" s="308">
        <f>'BECA MEDIA'!V291</f>
        <v>20.8</v>
      </c>
      <c r="H2016" s="308">
        <f>'BECA MEDIA'!W291</f>
        <v>52000</v>
      </c>
    </row>
    <row r="2017" spans="1:8" x14ac:dyDescent="0.3">
      <c r="A2017" t="s">
        <v>688</v>
      </c>
      <c r="B2017" t="s">
        <v>307</v>
      </c>
      <c r="C2017" t="s">
        <v>315</v>
      </c>
      <c r="D2017" t="s">
        <v>689</v>
      </c>
      <c r="E2017" t="s">
        <v>772</v>
      </c>
      <c r="F2017">
        <v>7</v>
      </c>
      <c r="G2017" s="308">
        <f>'BECA MEDIA'!Y291</f>
        <v>0</v>
      </c>
      <c r="H2017" s="308">
        <f>'BECA MEDIA'!Z291</f>
        <v>0</v>
      </c>
    </row>
    <row r="2018" spans="1:8" x14ac:dyDescent="0.3">
      <c r="A2018" t="s">
        <v>688</v>
      </c>
      <c r="B2018" t="s">
        <v>307</v>
      </c>
      <c r="C2018" t="s">
        <v>316</v>
      </c>
      <c r="D2018" t="s">
        <v>689</v>
      </c>
      <c r="E2018" t="s">
        <v>766</v>
      </c>
      <c r="F2018">
        <v>1</v>
      </c>
      <c r="G2018" s="308">
        <f>'BECA MEDIA'!G292</f>
        <v>0</v>
      </c>
      <c r="H2018" s="308">
        <f>'BECA MEDIA'!H292</f>
        <v>0</v>
      </c>
    </row>
    <row r="2019" spans="1:8" x14ac:dyDescent="0.3">
      <c r="A2019" t="s">
        <v>688</v>
      </c>
      <c r="B2019" t="s">
        <v>307</v>
      </c>
      <c r="C2019" t="s">
        <v>316</v>
      </c>
      <c r="D2019" t="s">
        <v>689</v>
      </c>
      <c r="E2019" t="s">
        <v>767</v>
      </c>
      <c r="F2019">
        <v>2</v>
      </c>
      <c r="G2019" s="308">
        <f>'BECA MEDIA'!J292</f>
        <v>0</v>
      </c>
      <c r="H2019" s="308">
        <f>'BECA MEDIA'!K292</f>
        <v>0</v>
      </c>
    </row>
    <row r="2020" spans="1:8" x14ac:dyDescent="0.3">
      <c r="A2020" t="s">
        <v>688</v>
      </c>
      <c r="B2020" t="s">
        <v>307</v>
      </c>
      <c r="C2020" t="s">
        <v>316</v>
      </c>
      <c r="D2020" t="s">
        <v>689</v>
      </c>
      <c r="E2020" t="s">
        <v>768</v>
      </c>
      <c r="F2020">
        <v>3</v>
      </c>
      <c r="G2020" s="308">
        <f>'BECA MEDIA'!M292</f>
        <v>5.2</v>
      </c>
      <c r="H2020" s="308">
        <f>'BECA MEDIA'!N292</f>
        <v>13000</v>
      </c>
    </row>
    <row r="2021" spans="1:8" x14ac:dyDescent="0.3">
      <c r="A2021" t="s">
        <v>688</v>
      </c>
      <c r="B2021" t="s">
        <v>307</v>
      </c>
      <c r="C2021" t="s">
        <v>316</v>
      </c>
      <c r="D2021" t="s">
        <v>689</v>
      </c>
      <c r="E2021" t="s">
        <v>769</v>
      </c>
      <c r="F2021">
        <v>4</v>
      </c>
      <c r="G2021" s="308">
        <f>'BECA MEDIA'!P292</f>
        <v>2</v>
      </c>
      <c r="H2021" s="308">
        <f>'BECA MEDIA'!Q292</f>
        <v>5000</v>
      </c>
    </row>
    <row r="2022" spans="1:8" x14ac:dyDescent="0.3">
      <c r="A2022" t="s">
        <v>688</v>
      </c>
      <c r="B2022" t="s">
        <v>307</v>
      </c>
      <c r="C2022" t="s">
        <v>316</v>
      </c>
      <c r="D2022" t="s">
        <v>689</v>
      </c>
      <c r="E2022" t="s">
        <v>770</v>
      </c>
      <c r="F2022">
        <v>5</v>
      </c>
      <c r="G2022" s="308">
        <f>'BECA MEDIA'!S292</f>
        <v>0</v>
      </c>
      <c r="H2022" s="308">
        <f>'BECA MEDIA'!T292</f>
        <v>0</v>
      </c>
    </row>
    <row r="2023" spans="1:8" x14ac:dyDescent="0.3">
      <c r="A2023" t="s">
        <v>688</v>
      </c>
      <c r="B2023" t="s">
        <v>307</v>
      </c>
      <c r="C2023" t="s">
        <v>316</v>
      </c>
      <c r="D2023" t="s">
        <v>689</v>
      </c>
      <c r="E2023" t="s">
        <v>771</v>
      </c>
      <c r="F2023">
        <v>6</v>
      </c>
      <c r="G2023" s="308">
        <f>'BECA MEDIA'!V292</f>
        <v>7.2</v>
      </c>
      <c r="H2023" s="308">
        <f>'BECA MEDIA'!W292</f>
        <v>18000</v>
      </c>
    </row>
    <row r="2024" spans="1:8" x14ac:dyDescent="0.3">
      <c r="A2024" t="s">
        <v>688</v>
      </c>
      <c r="B2024" t="s">
        <v>307</v>
      </c>
      <c r="C2024" t="s">
        <v>316</v>
      </c>
      <c r="D2024" t="s">
        <v>689</v>
      </c>
      <c r="E2024" t="s">
        <v>772</v>
      </c>
      <c r="F2024">
        <v>7</v>
      </c>
      <c r="G2024" s="308">
        <f>'BECA MEDIA'!Y292</f>
        <v>0</v>
      </c>
      <c r="H2024" s="308">
        <f>'BECA MEDIA'!Z292</f>
        <v>0</v>
      </c>
    </row>
    <row r="2025" spans="1:8" x14ac:dyDescent="0.3">
      <c r="A2025" t="s">
        <v>688</v>
      </c>
      <c r="B2025" t="s">
        <v>307</v>
      </c>
      <c r="C2025" t="s">
        <v>317</v>
      </c>
      <c r="D2025" t="s">
        <v>689</v>
      </c>
      <c r="E2025" t="s">
        <v>766</v>
      </c>
      <c r="F2025">
        <v>1</v>
      </c>
      <c r="G2025" s="308">
        <f>'BECA MEDIA'!G293</f>
        <v>0</v>
      </c>
      <c r="H2025" s="308">
        <f>'BECA MEDIA'!H293</f>
        <v>0</v>
      </c>
    </row>
    <row r="2026" spans="1:8" x14ac:dyDescent="0.3">
      <c r="A2026" t="s">
        <v>688</v>
      </c>
      <c r="B2026" t="s">
        <v>307</v>
      </c>
      <c r="C2026" t="s">
        <v>317</v>
      </c>
      <c r="D2026" t="s">
        <v>689</v>
      </c>
      <c r="E2026" t="s">
        <v>767</v>
      </c>
      <c r="F2026">
        <v>2</v>
      </c>
      <c r="G2026" s="308">
        <f>'BECA MEDIA'!J293</f>
        <v>0</v>
      </c>
      <c r="H2026" s="308">
        <f>'BECA MEDIA'!K293</f>
        <v>0</v>
      </c>
    </row>
    <row r="2027" spans="1:8" x14ac:dyDescent="0.3">
      <c r="A2027" t="s">
        <v>688</v>
      </c>
      <c r="B2027" t="s">
        <v>307</v>
      </c>
      <c r="C2027" t="s">
        <v>317</v>
      </c>
      <c r="D2027" t="s">
        <v>689</v>
      </c>
      <c r="E2027" t="s">
        <v>768</v>
      </c>
      <c r="F2027">
        <v>3</v>
      </c>
      <c r="G2027" s="308">
        <f>'BECA MEDIA'!M293</f>
        <v>8.4</v>
      </c>
      <c r="H2027" s="308">
        <f>'BECA MEDIA'!N293</f>
        <v>21000</v>
      </c>
    </row>
    <row r="2028" spans="1:8" x14ac:dyDescent="0.3">
      <c r="A2028" t="s">
        <v>688</v>
      </c>
      <c r="B2028" t="s">
        <v>307</v>
      </c>
      <c r="C2028" t="s">
        <v>317</v>
      </c>
      <c r="D2028" t="s">
        <v>689</v>
      </c>
      <c r="E2028" t="s">
        <v>769</v>
      </c>
      <c r="F2028">
        <v>4</v>
      </c>
      <c r="G2028" s="308">
        <f>'BECA MEDIA'!P293</f>
        <v>2.4</v>
      </c>
      <c r="H2028" s="308">
        <f>'BECA MEDIA'!Q293</f>
        <v>6000</v>
      </c>
    </row>
    <row r="2029" spans="1:8" x14ac:dyDescent="0.3">
      <c r="A2029" t="s">
        <v>688</v>
      </c>
      <c r="B2029" t="s">
        <v>307</v>
      </c>
      <c r="C2029" t="s">
        <v>317</v>
      </c>
      <c r="D2029" t="s">
        <v>689</v>
      </c>
      <c r="E2029" t="s">
        <v>770</v>
      </c>
      <c r="F2029">
        <v>5</v>
      </c>
      <c r="G2029" s="308">
        <f>'BECA MEDIA'!S293</f>
        <v>0</v>
      </c>
      <c r="H2029" s="308">
        <f>'BECA MEDIA'!T293</f>
        <v>0</v>
      </c>
    </row>
    <row r="2030" spans="1:8" x14ac:dyDescent="0.3">
      <c r="A2030" t="s">
        <v>688</v>
      </c>
      <c r="B2030" t="s">
        <v>307</v>
      </c>
      <c r="C2030" t="s">
        <v>317</v>
      </c>
      <c r="D2030" t="s">
        <v>689</v>
      </c>
      <c r="E2030" t="s">
        <v>771</v>
      </c>
      <c r="F2030">
        <v>6</v>
      </c>
      <c r="G2030" s="308">
        <f>'BECA MEDIA'!V293</f>
        <v>10.8</v>
      </c>
      <c r="H2030" s="308">
        <f>'BECA MEDIA'!W293</f>
        <v>27000</v>
      </c>
    </row>
    <row r="2031" spans="1:8" x14ac:dyDescent="0.3">
      <c r="A2031" t="s">
        <v>688</v>
      </c>
      <c r="B2031" t="s">
        <v>307</v>
      </c>
      <c r="C2031" t="s">
        <v>317</v>
      </c>
      <c r="D2031" t="s">
        <v>689</v>
      </c>
      <c r="E2031" t="s">
        <v>772</v>
      </c>
      <c r="F2031">
        <v>7</v>
      </c>
      <c r="G2031" s="308">
        <f>'BECA MEDIA'!Y293</f>
        <v>0</v>
      </c>
      <c r="H2031" s="308">
        <f>'BECA MEDIA'!Z293</f>
        <v>0</v>
      </c>
    </row>
    <row r="2032" spans="1:8" x14ac:dyDescent="0.3">
      <c r="A2032" t="s">
        <v>688</v>
      </c>
      <c r="B2032" t="s">
        <v>307</v>
      </c>
      <c r="C2032" t="s">
        <v>318</v>
      </c>
      <c r="D2032" t="s">
        <v>689</v>
      </c>
      <c r="E2032" t="s">
        <v>766</v>
      </c>
      <c r="F2032">
        <v>1</v>
      </c>
      <c r="G2032" s="308">
        <f>'BECA MEDIA'!G294</f>
        <v>0</v>
      </c>
      <c r="H2032" s="308">
        <f>'BECA MEDIA'!H294</f>
        <v>0</v>
      </c>
    </row>
    <row r="2033" spans="1:8" x14ac:dyDescent="0.3">
      <c r="A2033" t="s">
        <v>688</v>
      </c>
      <c r="B2033" t="s">
        <v>307</v>
      </c>
      <c r="C2033" t="s">
        <v>318</v>
      </c>
      <c r="D2033" t="s">
        <v>689</v>
      </c>
      <c r="E2033" t="s">
        <v>767</v>
      </c>
      <c r="F2033">
        <v>2</v>
      </c>
      <c r="G2033" s="308">
        <f>'BECA MEDIA'!J294</f>
        <v>0</v>
      </c>
      <c r="H2033" s="308">
        <f>'BECA MEDIA'!K294</f>
        <v>0</v>
      </c>
    </row>
    <row r="2034" spans="1:8" x14ac:dyDescent="0.3">
      <c r="A2034" t="s">
        <v>688</v>
      </c>
      <c r="B2034" t="s">
        <v>307</v>
      </c>
      <c r="C2034" t="s">
        <v>318</v>
      </c>
      <c r="D2034" t="s">
        <v>689</v>
      </c>
      <c r="E2034" t="s">
        <v>768</v>
      </c>
      <c r="F2034">
        <v>3</v>
      </c>
      <c r="G2034" s="308">
        <f>'BECA MEDIA'!M294</f>
        <v>4.4000000000000004</v>
      </c>
      <c r="H2034" s="308">
        <f>'BECA MEDIA'!N294</f>
        <v>11000</v>
      </c>
    </row>
    <row r="2035" spans="1:8" x14ac:dyDescent="0.3">
      <c r="A2035" t="s">
        <v>688</v>
      </c>
      <c r="B2035" t="s">
        <v>307</v>
      </c>
      <c r="C2035" t="s">
        <v>318</v>
      </c>
      <c r="D2035" t="s">
        <v>689</v>
      </c>
      <c r="E2035" t="s">
        <v>769</v>
      </c>
      <c r="F2035">
        <v>4</v>
      </c>
      <c r="G2035" s="308">
        <f>'BECA MEDIA'!P294</f>
        <v>4</v>
      </c>
      <c r="H2035" s="308">
        <f>'BECA MEDIA'!Q294</f>
        <v>10000</v>
      </c>
    </row>
    <row r="2036" spans="1:8" x14ac:dyDescent="0.3">
      <c r="A2036" t="s">
        <v>688</v>
      </c>
      <c r="B2036" t="s">
        <v>307</v>
      </c>
      <c r="C2036" t="s">
        <v>318</v>
      </c>
      <c r="D2036" t="s">
        <v>689</v>
      </c>
      <c r="E2036" t="s">
        <v>770</v>
      </c>
      <c r="F2036">
        <v>5</v>
      </c>
      <c r="G2036" s="308">
        <f>'BECA MEDIA'!S294</f>
        <v>0</v>
      </c>
      <c r="H2036" s="308">
        <f>'BECA MEDIA'!T294</f>
        <v>0</v>
      </c>
    </row>
    <row r="2037" spans="1:8" x14ac:dyDescent="0.3">
      <c r="A2037" t="s">
        <v>688</v>
      </c>
      <c r="B2037" t="s">
        <v>307</v>
      </c>
      <c r="C2037" t="s">
        <v>318</v>
      </c>
      <c r="D2037" t="s">
        <v>689</v>
      </c>
      <c r="E2037" t="s">
        <v>771</v>
      </c>
      <c r="F2037">
        <v>6</v>
      </c>
      <c r="G2037" s="308">
        <f>'BECA MEDIA'!V294</f>
        <v>8.4</v>
      </c>
      <c r="H2037" s="308">
        <f>'BECA MEDIA'!W294</f>
        <v>21000</v>
      </c>
    </row>
    <row r="2038" spans="1:8" x14ac:dyDescent="0.3">
      <c r="A2038" t="s">
        <v>688</v>
      </c>
      <c r="B2038" t="s">
        <v>307</v>
      </c>
      <c r="C2038" t="s">
        <v>318</v>
      </c>
      <c r="D2038" t="s">
        <v>689</v>
      </c>
      <c r="E2038" t="s">
        <v>772</v>
      </c>
      <c r="F2038">
        <v>7</v>
      </c>
      <c r="G2038" s="308">
        <f>'BECA MEDIA'!Y294</f>
        <v>0</v>
      </c>
      <c r="H2038" s="308">
        <f>'BECA MEDIA'!Z294</f>
        <v>0</v>
      </c>
    </row>
    <row r="2039" spans="1:8" x14ac:dyDescent="0.3">
      <c r="A2039" t="s">
        <v>688</v>
      </c>
      <c r="B2039" t="s">
        <v>307</v>
      </c>
      <c r="C2039" t="s">
        <v>319</v>
      </c>
      <c r="D2039" t="s">
        <v>689</v>
      </c>
      <c r="E2039" t="s">
        <v>766</v>
      </c>
      <c r="F2039">
        <v>1</v>
      </c>
      <c r="G2039" s="308">
        <f>'BECA MEDIA'!G295</f>
        <v>0</v>
      </c>
      <c r="H2039" s="308">
        <f>'BECA MEDIA'!H295</f>
        <v>0</v>
      </c>
    </row>
    <row r="2040" spans="1:8" x14ac:dyDescent="0.3">
      <c r="A2040" t="s">
        <v>688</v>
      </c>
      <c r="B2040" t="s">
        <v>307</v>
      </c>
      <c r="C2040" t="s">
        <v>319</v>
      </c>
      <c r="D2040" t="s">
        <v>689</v>
      </c>
      <c r="E2040" t="s">
        <v>767</v>
      </c>
      <c r="F2040">
        <v>2</v>
      </c>
      <c r="G2040" s="308">
        <f>'BECA MEDIA'!J295</f>
        <v>0</v>
      </c>
      <c r="H2040" s="308">
        <f>'BECA MEDIA'!K295</f>
        <v>0</v>
      </c>
    </row>
    <row r="2041" spans="1:8" x14ac:dyDescent="0.3">
      <c r="A2041" t="s">
        <v>688</v>
      </c>
      <c r="B2041" t="s">
        <v>307</v>
      </c>
      <c r="C2041" t="s">
        <v>319</v>
      </c>
      <c r="D2041" t="s">
        <v>689</v>
      </c>
      <c r="E2041" t="s">
        <v>768</v>
      </c>
      <c r="F2041">
        <v>3</v>
      </c>
      <c r="G2041" s="308">
        <f>'BECA MEDIA'!M295</f>
        <v>1.2</v>
      </c>
      <c r="H2041" s="308">
        <f>'BECA MEDIA'!N295</f>
        <v>3000</v>
      </c>
    </row>
    <row r="2042" spans="1:8" x14ac:dyDescent="0.3">
      <c r="A2042" t="s">
        <v>688</v>
      </c>
      <c r="B2042" t="s">
        <v>307</v>
      </c>
      <c r="C2042" t="s">
        <v>319</v>
      </c>
      <c r="D2042" t="s">
        <v>689</v>
      </c>
      <c r="E2042" t="s">
        <v>769</v>
      </c>
      <c r="F2042">
        <v>4</v>
      </c>
      <c r="G2042" s="308">
        <f>'BECA MEDIA'!P295</f>
        <v>1.2</v>
      </c>
      <c r="H2042" s="308">
        <f>'BECA MEDIA'!Q295</f>
        <v>3000</v>
      </c>
    </row>
    <row r="2043" spans="1:8" x14ac:dyDescent="0.3">
      <c r="A2043" t="s">
        <v>688</v>
      </c>
      <c r="B2043" t="s">
        <v>307</v>
      </c>
      <c r="C2043" t="s">
        <v>319</v>
      </c>
      <c r="D2043" t="s">
        <v>689</v>
      </c>
      <c r="E2043" t="s">
        <v>770</v>
      </c>
      <c r="F2043">
        <v>5</v>
      </c>
      <c r="G2043" s="308">
        <f>'BECA MEDIA'!S295</f>
        <v>0</v>
      </c>
      <c r="H2043" s="308">
        <f>'BECA MEDIA'!T295</f>
        <v>0</v>
      </c>
    </row>
    <row r="2044" spans="1:8" x14ac:dyDescent="0.3">
      <c r="A2044" t="s">
        <v>688</v>
      </c>
      <c r="B2044" t="s">
        <v>307</v>
      </c>
      <c r="C2044" t="s">
        <v>319</v>
      </c>
      <c r="D2044" t="s">
        <v>689</v>
      </c>
      <c r="E2044" t="s">
        <v>771</v>
      </c>
      <c r="F2044">
        <v>6</v>
      </c>
      <c r="G2044" s="308">
        <f>'BECA MEDIA'!V295</f>
        <v>2.8</v>
      </c>
      <c r="H2044" s="308">
        <f>'BECA MEDIA'!W295</f>
        <v>7000</v>
      </c>
    </row>
    <row r="2045" spans="1:8" x14ac:dyDescent="0.3">
      <c r="A2045" t="s">
        <v>688</v>
      </c>
      <c r="B2045" t="s">
        <v>307</v>
      </c>
      <c r="C2045" t="s">
        <v>319</v>
      </c>
      <c r="D2045" t="s">
        <v>689</v>
      </c>
      <c r="E2045" t="s">
        <v>772</v>
      </c>
      <c r="F2045">
        <v>7</v>
      </c>
      <c r="G2045" s="308">
        <f>'BECA MEDIA'!Y295</f>
        <v>0</v>
      </c>
      <c r="H2045" s="308">
        <f>'BECA MEDIA'!Z295</f>
        <v>0</v>
      </c>
    </row>
    <row r="2046" spans="1:8" x14ac:dyDescent="0.3">
      <c r="A2046" t="s">
        <v>688</v>
      </c>
      <c r="B2046" t="s">
        <v>307</v>
      </c>
      <c r="C2046" t="s">
        <v>320</v>
      </c>
      <c r="D2046" t="s">
        <v>689</v>
      </c>
      <c r="E2046" t="s">
        <v>766</v>
      </c>
      <c r="F2046">
        <v>1</v>
      </c>
      <c r="G2046" s="308">
        <f>'BECA MEDIA'!G296</f>
        <v>0</v>
      </c>
      <c r="H2046" s="308">
        <f>'BECA MEDIA'!H296</f>
        <v>0</v>
      </c>
    </row>
    <row r="2047" spans="1:8" x14ac:dyDescent="0.3">
      <c r="A2047" t="s">
        <v>688</v>
      </c>
      <c r="B2047" t="s">
        <v>307</v>
      </c>
      <c r="C2047" t="s">
        <v>320</v>
      </c>
      <c r="D2047" t="s">
        <v>689</v>
      </c>
      <c r="E2047" t="s">
        <v>767</v>
      </c>
      <c r="F2047">
        <v>2</v>
      </c>
      <c r="G2047" s="308">
        <f>'BECA MEDIA'!J296</f>
        <v>0</v>
      </c>
      <c r="H2047" s="308">
        <f>'BECA MEDIA'!K296</f>
        <v>0</v>
      </c>
    </row>
    <row r="2048" spans="1:8" x14ac:dyDescent="0.3">
      <c r="A2048" t="s">
        <v>688</v>
      </c>
      <c r="B2048" t="s">
        <v>307</v>
      </c>
      <c r="C2048" t="s">
        <v>320</v>
      </c>
      <c r="D2048" t="s">
        <v>689</v>
      </c>
      <c r="E2048" t="s">
        <v>768</v>
      </c>
      <c r="F2048">
        <v>3</v>
      </c>
      <c r="G2048" s="308">
        <f>'BECA MEDIA'!M296</f>
        <v>5.6</v>
      </c>
      <c r="H2048" s="308">
        <f>'BECA MEDIA'!N296</f>
        <v>14000</v>
      </c>
    </row>
    <row r="2049" spans="1:8" x14ac:dyDescent="0.3">
      <c r="A2049" t="s">
        <v>688</v>
      </c>
      <c r="B2049" t="s">
        <v>307</v>
      </c>
      <c r="C2049" t="s">
        <v>320</v>
      </c>
      <c r="D2049" t="s">
        <v>689</v>
      </c>
      <c r="E2049" t="s">
        <v>769</v>
      </c>
      <c r="F2049">
        <v>4</v>
      </c>
      <c r="G2049" s="308">
        <f>'BECA MEDIA'!P296</f>
        <v>2</v>
      </c>
      <c r="H2049" s="308">
        <f>'BECA MEDIA'!Q296</f>
        <v>5000</v>
      </c>
    </row>
    <row r="2050" spans="1:8" x14ac:dyDescent="0.3">
      <c r="A2050" t="s">
        <v>688</v>
      </c>
      <c r="B2050" t="s">
        <v>307</v>
      </c>
      <c r="C2050" t="s">
        <v>320</v>
      </c>
      <c r="D2050" t="s">
        <v>689</v>
      </c>
      <c r="E2050" t="s">
        <v>770</v>
      </c>
      <c r="F2050">
        <v>5</v>
      </c>
      <c r="G2050" s="308">
        <f>'BECA MEDIA'!S296</f>
        <v>0</v>
      </c>
      <c r="H2050" s="308">
        <f>'BECA MEDIA'!T296</f>
        <v>0</v>
      </c>
    </row>
    <row r="2051" spans="1:8" x14ac:dyDescent="0.3">
      <c r="A2051" t="s">
        <v>688</v>
      </c>
      <c r="B2051" t="s">
        <v>307</v>
      </c>
      <c r="C2051" t="s">
        <v>320</v>
      </c>
      <c r="D2051" t="s">
        <v>689</v>
      </c>
      <c r="E2051" t="s">
        <v>771</v>
      </c>
      <c r="F2051">
        <v>6</v>
      </c>
      <c r="G2051" s="308">
        <f>'BECA MEDIA'!V296</f>
        <v>7.6</v>
      </c>
      <c r="H2051" s="308">
        <f>'BECA MEDIA'!W296</f>
        <v>19000</v>
      </c>
    </row>
    <row r="2052" spans="1:8" x14ac:dyDescent="0.3">
      <c r="A2052" t="s">
        <v>688</v>
      </c>
      <c r="B2052" t="s">
        <v>307</v>
      </c>
      <c r="C2052" t="s">
        <v>320</v>
      </c>
      <c r="D2052" t="s">
        <v>689</v>
      </c>
      <c r="E2052" t="s">
        <v>772</v>
      </c>
      <c r="F2052">
        <v>7</v>
      </c>
      <c r="G2052" s="308">
        <f>'BECA MEDIA'!Y296</f>
        <v>0</v>
      </c>
      <c r="H2052" s="308">
        <f>'BECA MEDIA'!Z296</f>
        <v>0</v>
      </c>
    </row>
    <row r="2053" spans="1:8" x14ac:dyDescent="0.3">
      <c r="A2053" t="s">
        <v>688</v>
      </c>
      <c r="B2053" t="s">
        <v>307</v>
      </c>
      <c r="C2053" t="s">
        <v>321</v>
      </c>
      <c r="D2053" t="s">
        <v>689</v>
      </c>
      <c r="E2053" t="s">
        <v>766</v>
      </c>
      <c r="F2053">
        <v>1</v>
      </c>
      <c r="G2053" s="308">
        <f>'BECA MEDIA'!G297</f>
        <v>0</v>
      </c>
      <c r="H2053" s="308">
        <f>'BECA MEDIA'!H297</f>
        <v>0</v>
      </c>
    </row>
    <row r="2054" spans="1:8" x14ac:dyDescent="0.3">
      <c r="A2054" t="s">
        <v>688</v>
      </c>
      <c r="B2054" t="s">
        <v>307</v>
      </c>
      <c r="C2054" t="s">
        <v>321</v>
      </c>
      <c r="D2054" t="s">
        <v>689</v>
      </c>
      <c r="E2054" t="s">
        <v>767</v>
      </c>
      <c r="F2054">
        <v>2</v>
      </c>
      <c r="G2054" s="308">
        <f>'BECA MEDIA'!J297</f>
        <v>0</v>
      </c>
      <c r="H2054" s="308">
        <f>'BECA MEDIA'!K297</f>
        <v>0</v>
      </c>
    </row>
    <row r="2055" spans="1:8" x14ac:dyDescent="0.3">
      <c r="A2055" t="s">
        <v>688</v>
      </c>
      <c r="B2055" t="s">
        <v>307</v>
      </c>
      <c r="C2055" t="s">
        <v>321</v>
      </c>
      <c r="D2055" t="s">
        <v>689</v>
      </c>
      <c r="E2055" t="s">
        <v>768</v>
      </c>
      <c r="F2055">
        <v>3</v>
      </c>
      <c r="G2055" s="308">
        <f>'BECA MEDIA'!M297</f>
        <v>3.2</v>
      </c>
      <c r="H2055" s="308">
        <f>'BECA MEDIA'!N297</f>
        <v>8000</v>
      </c>
    </row>
    <row r="2056" spans="1:8" x14ac:dyDescent="0.3">
      <c r="A2056" t="s">
        <v>688</v>
      </c>
      <c r="B2056" t="s">
        <v>307</v>
      </c>
      <c r="C2056" t="s">
        <v>321</v>
      </c>
      <c r="D2056" t="s">
        <v>689</v>
      </c>
      <c r="E2056" t="s">
        <v>769</v>
      </c>
      <c r="F2056">
        <v>4</v>
      </c>
      <c r="G2056" s="308">
        <f>'BECA MEDIA'!P297</f>
        <v>0.8</v>
      </c>
      <c r="H2056" s="308">
        <f>'BECA MEDIA'!Q297</f>
        <v>2000</v>
      </c>
    </row>
    <row r="2057" spans="1:8" x14ac:dyDescent="0.3">
      <c r="A2057" t="s">
        <v>688</v>
      </c>
      <c r="B2057" t="s">
        <v>307</v>
      </c>
      <c r="C2057" t="s">
        <v>321</v>
      </c>
      <c r="D2057" t="s">
        <v>689</v>
      </c>
      <c r="E2057" t="s">
        <v>770</v>
      </c>
      <c r="F2057">
        <v>5</v>
      </c>
      <c r="G2057" s="308">
        <f>'BECA MEDIA'!S297</f>
        <v>0</v>
      </c>
      <c r="H2057" s="308">
        <f>'BECA MEDIA'!T297</f>
        <v>0</v>
      </c>
    </row>
    <row r="2058" spans="1:8" x14ac:dyDescent="0.3">
      <c r="A2058" t="s">
        <v>688</v>
      </c>
      <c r="B2058" t="s">
        <v>307</v>
      </c>
      <c r="C2058" t="s">
        <v>321</v>
      </c>
      <c r="D2058" t="s">
        <v>689</v>
      </c>
      <c r="E2058" t="s">
        <v>771</v>
      </c>
      <c r="F2058">
        <v>6</v>
      </c>
      <c r="G2058" s="308">
        <f>'BECA MEDIA'!V297</f>
        <v>4</v>
      </c>
      <c r="H2058" s="308">
        <f>'BECA MEDIA'!W297</f>
        <v>10000</v>
      </c>
    </row>
    <row r="2059" spans="1:8" x14ac:dyDescent="0.3">
      <c r="A2059" t="s">
        <v>688</v>
      </c>
      <c r="B2059" t="s">
        <v>307</v>
      </c>
      <c r="C2059" t="s">
        <v>321</v>
      </c>
      <c r="D2059" t="s">
        <v>689</v>
      </c>
      <c r="E2059" t="s">
        <v>772</v>
      </c>
      <c r="F2059">
        <v>7</v>
      </c>
      <c r="G2059" s="308">
        <f>'BECA MEDIA'!Y297</f>
        <v>0</v>
      </c>
      <c r="H2059" s="308">
        <f>'BECA MEDIA'!Z297</f>
        <v>0</v>
      </c>
    </row>
    <row r="2060" spans="1:8" x14ac:dyDescent="0.3">
      <c r="A2060" t="s">
        <v>688</v>
      </c>
      <c r="B2060" t="s">
        <v>307</v>
      </c>
      <c r="C2060" t="s">
        <v>322</v>
      </c>
      <c r="D2060" t="s">
        <v>689</v>
      </c>
      <c r="E2060" t="s">
        <v>766</v>
      </c>
      <c r="F2060">
        <v>1</v>
      </c>
      <c r="G2060" s="308">
        <f>'BECA MEDIA'!G298</f>
        <v>0</v>
      </c>
      <c r="H2060" s="308">
        <f>'BECA MEDIA'!H298</f>
        <v>0</v>
      </c>
    </row>
    <row r="2061" spans="1:8" x14ac:dyDescent="0.3">
      <c r="A2061" t="s">
        <v>688</v>
      </c>
      <c r="B2061" t="s">
        <v>307</v>
      </c>
      <c r="C2061" t="s">
        <v>322</v>
      </c>
      <c r="D2061" t="s">
        <v>689</v>
      </c>
      <c r="E2061" t="s">
        <v>767</v>
      </c>
      <c r="F2061">
        <v>2</v>
      </c>
      <c r="G2061" s="308">
        <f>'BECA MEDIA'!J298</f>
        <v>0</v>
      </c>
      <c r="H2061" s="308">
        <f>'BECA MEDIA'!K298</f>
        <v>0</v>
      </c>
    </row>
    <row r="2062" spans="1:8" x14ac:dyDescent="0.3">
      <c r="A2062" t="s">
        <v>688</v>
      </c>
      <c r="B2062" t="s">
        <v>307</v>
      </c>
      <c r="C2062" t="s">
        <v>322</v>
      </c>
      <c r="D2062" t="s">
        <v>689</v>
      </c>
      <c r="E2062" t="s">
        <v>768</v>
      </c>
      <c r="F2062">
        <v>3</v>
      </c>
      <c r="G2062" s="308">
        <f>'BECA MEDIA'!M298</f>
        <v>5.6</v>
      </c>
      <c r="H2062" s="308">
        <f>'BECA MEDIA'!N298</f>
        <v>14000</v>
      </c>
    </row>
    <row r="2063" spans="1:8" x14ac:dyDescent="0.3">
      <c r="A2063" t="s">
        <v>688</v>
      </c>
      <c r="B2063" t="s">
        <v>307</v>
      </c>
      <c r="C2063" t="s">
        <v>322</v>
      </c>
      <c r="D2063" t="s">
        <v>689</v>
      </c>
      <c r="E2063" t="s">
        <v>769</v>
      </c>
      <c r="F2063">
        <v>4</v>
      </c>
      <c r="G2063" s="308">
        <f>'BECA MEDIA'!P298</f>
        <v>0.4</v>
      </c>
      <c r="H2063" s="308">
        <f>'BECA MEDIA'!Q298</f>
        <v>1000</v>
      </c>
    </row>
    <row r="2064" spans="1:8" x14ac:dyDescent="0.3">
      <c r="A2064" t="s">
        <v>688</v>
      </c>
      <c r="B2064" t="s">
        <v>307</v>
      </c>
      <c r="C2064" t="s">
        <v>322</v>
      </c>
      <c r="D2064" t="s">
        <v>689</v>
      </c>
      <c r="E2064" t="s">
        <v>770</v>
      </c>
      <c r="F2064">
        <v>5</v>
      </c>
      <c r="G2064" s="308">
        <f>'BECA MEDIA'!S298</f>
        <v>0</v>
      </c>
      <c r="H2064" s="308">
        <f>'BECA MEDIA'!T298</f>
        <v>0</v>
      </c>
    </row>
    <row r="2065" spans="1:8" x14ac:dyDescent="0.3">
      <c r="A2065" t="s">
        <v>688</v>
      </c>
      <c r="B2065" t="s">
        <v>307</v>
      </c>
      <c r="C2065" t="s">
        <v>322</v>
      </c>
      <c r="D2065" t="s">
        <v>689</v>
      </c>
      <c r="E2065" t="s">
        <v>771</v>
      </c>
      <c r="F2065">
        <v>6</v>
      </c>
      <c r="G2065" s="308">
        <f>'BECA MEDIA'!V298</f>
        <v>6</v>
      </c>
      <c r="H2065" s="308">
        <f>'BECA MEDIA'!W298</f>
        <v>15000</v>
      </c>
    </row>
    <row r="2066" spans="1:8" x14ac:dyDescent="0.3">
      <c r="A2066" t="s">
        <v>688</v>
      </c>
      <c r="B2066" t="s">
        <v>307</v>
      </c>
      <c r="C2066" t="s">
        <v>322</v>
      </c>
      <c r="D2066" t="s">
        <v>689</v>
      </c>
      <c r="E2066" t="s">
        <v>772</v>
      </c>
      <c r="F2066">
        <v>7</v>
      </c>
      <c r="G2066" s="308">
        <f>'BECA MEDIA'!Y298</f>
        <v>0</v>
      </c>
      <c r="H2066" s="308">
        <f>'BECA MEDIA'!Z298</f>
        <v>0</v>
      </c>
    </row>
    <row r="2067" spans="1:8" x14ac:dyDescent="0.3">
      <c r="A2067" t="s">
        <v>688</v>
      </c>
      <c r="B2067" t="s">
        <v>307</v>
      </c>
      <c r="C2067" t="s">
        <v>323</v>
      </c>
      <c r="D2067" t="s">
        <v>689</v>
      </c>
      <c r="E2067" t="s">
        <v>766</v>
      </c>
      <c r="F2067">
        <v>1</v>
      </c>
      <c r="G2067" s="308">
        <f>'BECA MEDIA'!G299</f>
        <v>0</v>
      </c>
      <c r="H2067" s="308">
        <f>'BECA MEDIA'!H299</f>
        <v>0</v>
      </c>
    </row>
    <row r="2068" spans="1:8" x14ac:dyDescent="0.3">
      <c r="A2068" t="s">
        <v>688</v>
      </c>
      <c r="B2068" t="s">
        <v>307</v>
      </c>
      <c r="C2068" t="s">
        <v>323</v>
      </c>
      <c r="D2068" t="s">
        <v>689</v>
      </c>
      <c r="E2068" t="s">
        <v>767</v>
      </c>
      <c r="F2068">
        <v>2</v>
      </c>
      <c r="G2068" s="308">
        <f>'BECA MEDIA'!J299</f>
        <v>0</v>
      </c>
      <c r="H2068" s="308">
        <f>'BECA MEDIA'!K299</f>
        <v>0</v>
      </c>
    </row>
    <row r="2069" spans="1:8" x14ac:dyDescent="0.3">
      <c r="A2069" t="s">
        <v>688</v>
      </c>
      <c r="B2069" t="s">
        <v>307</v>
      </c>
      <c r="C2069" t="s">
        <v>323</v>
      </c>
      <c r="D2069" t="s">
        <v>689</v>
      </c>
      <c r="E2069" t="s">
        <v>768</v>
      </c>
      <c r="F2069">
        <v>3</v>
      </c>
      <c r="G2069" s="308">
        <f>'BECA MEDIA'!M299</f>
        <v>1.6</v>
      </c>
      <c r="H2069" s="308">
        <f>'BECA MEDIA'!N299</f>
        <v>4000</v>
      </c>
    </row>
    <row r="2070" spans="1:8" x14ac:dyDescent="0.3">
      <c r="A2070" t="s">
        <v>688</v>
      </c>
      <c r="B2070" t="s">
        <v>307</v>
      </c>
      <c r="C2070" t="s">
        <v>323</v>
      </c>
      <c r="D2070" t="s">
        <v>689</v>
      </c>
      <c r="E2070" t="s">
        <v>769</v>
      </c>
      <c r="F2070">
        <v>4</v>
      </c>
      <c r="G2070" s="308">
        <f>'BECA MEDIA'!P299</f>
        <v>0.8</v>
      </c>
      <c r="H2070" s="308">
        <f>'BECA MEDIA'!Q299</f>
        <v>2000</v>
      </c>
    </row>
    <row r="2071" spans="1:8" x14ac:dyDescent="0.3">
      <c r="A2071" t="s">
        <v>688</v>
      </c>
      <c r="B2071" t="s">
        <v>307</v>
      </c>
      <c r="C2071" t="s">
        <v>323</v>
      </c>
      <c r="D2071" t="s">
        <v>689</v>
      </c>
      <c r="E2071" t="s">
        <v>770</v>
      </c>
      <c r="F2071">
        <v>5</v>
      </c>
      <c r="G2071" s="308">
        <f>'BECA MEDIA'!S299</f>
        <v>0</v>
      </c>
      <c r="H2071" s="308">
        <f>'BECA MEDIA'!T299</f>
        <v>0</v>
      </c>
    </row>
    <row r="2072" spans="1:8" x14ac:dyDescent="0.3">
      <c r="A2072" t="s">
        <v>688</v>
      </c>
      <c r="B2072" t="s">
        <v>307</v>
      </c>
      <c r="C2072" t="s">
        <v>323</v>
      </c>
      <c r="D2072" t="s">
        <v>689</v>
      </c>
      <c r="E2072" t="s">
        <v>771</v>
      </c>
      <c r="F2072">
        <v>6</v>
      </c>
      <c r="G2072" s="308">
        <f>'BECA MEDIA'!V299</f>
        <v>2.4</v>
      </c>
      <c r="H2072" s="308">
        <f>'BECA MEDIA'!W299</f>
        <v>6000</v>
      </c>
    </row>
    <row r="2073" spans="1:8" x14ac:dyDescent="0.3">
      <c r="A2073" t="s">
        <v>688</v>
      </c>
      <c r="B2073" t="s">
        <v>307</v>
      </c>
      <c r="C2073" t="s">
        <v>323</v>
      </c>
      <c r="D2073" t="s">
        <v>689</v>
      </c>
      <c r="E2073" t="s">
        <v>772</v>
      </c>
      <c r="F2073">
        <v>7</v>
      </c>
      <c r="G2073" s="308">
        <f>'BECA MEDIA'!Y299</f>
        <v>0</v>
      </c>
      <c r="H2073" s="308">
        <f>'BECA MEDIA'!Z299</f>
        <v>0</v>
      </c>
    </row>
    <row r="2074" spans="1:8" x14ac:dyDescent="0.3">
      <c r="A2074" t="s">
        <v>688</v>
      </c>
      <c r="B2074" t="s">
        <v>307</v>
      </c>
      <c r="C2074" t="s">
        <v>324</v>
      </c>
      <c r="D2074" t="s">
        <v>689</v>
      </c>
      <c r="E2074" t="s">
        <v>766</v>
      </c>
      <c r="F2074">
        <v>1</v>
      </c>
      <c r="G2074" s="308">
        <f>'BECA MEDIA'!G300</f>
        <v>0</v>
      </c>
      <c r="H2074" s="308">
        <f>'BECA MEDIA'!H300</f>
        <v>0</v>
      </c>
    </row>
    <row r="2075" spans="1:8" x14ac:dyDescent="0.3">
      <c r="A2075" t="s">
        <v>688</v>
      </c>
      <c r="B2075" t="s">
        <v>307</v>
      </c>
      <c r="C2075" t="s">
        <v>324</v>
      </c>
      <c r="D2075" t="s">
        <v>689</v>
      </c>
      <c r="E2075" t="s">
        <v>767</v>
      </c>
      <c r="F2075">
        <v>2</v>
      </c>
      <c r="G2075" s="308">
        <f>'BECA MEDIA'!J300</f>
        <v>0</v>
      </c>
      <c r="H2075" s="308">
        <f>'BECA MEDIA'!K300</f>
        <v>0</v>
      </c>
    </row>
    <row r="2076" spans="1:8" x14ac:dyDescent="0.3">
      <c r="A2076" t="s">
        <v>688</v>
      </c>
      <c r="B2076" t="s">
        <v>307</v>
      </c>
      <c r="C2076" t="s">
        <v>324</v>
      </c>
      <c r="D2076" t="s">
        <v>689</v>
      </c>
      <c r="E2076" t="s">
        <v>768</v>
      </c>
      <c r="F2076">
        <v>3</v>
      </c>
      <c r="G2076" s="308">
        <f>'BECA MEDIA'!M300</f>
        <v>2</v>
      </c>
      <c r="H2076" s="308">
        <f>'BECA MEDIA'!N300</f>
        <v>5000</v>
      </c>
    </row>
    <row r="2077" spans="1:8" x14ac:dyDescent="0.3">
      <c r="A2077" t="s">
        <v>688</v>
      </c>
      <c r="B2077" t="s">
        <v>307</v>
      </c>
      <c r="C2077" t="s">
        <v>324</v>
      </c>
      <c r="D2077" t="s">
        <v>689</v>
      </c>
      <c r="E2077" t="s">
        <v>769</v>
      </c>
      <c r="F2077">
        <v>4</v>
      </c>
      <c r="G2077" s="308">
        <f>'BECA MEDIA'!P300</f>
        <v>1.2</v>
      </c>
      <c r="H2077" s="308">
        <f>'BECA MEDIA'!Q300</f>
        <v>3000</v>
      </c>
    </row>
    <row r="2078" spans="1:8" x14ac:dyDescent="0.3">
      <c r="A2078" t="s">
        <v>688</v>
      </c>
      <c r="B2078" t="s">
        <v>307</v>
      </c>
      <c r="C2078" t="s">
        <v>324</v>
      </c>
      <c r="D2078" t="s">
        <v>689</v>
      </c>
      <c r="E2078" t="s">
        <v>770</v>
      </c>
      <c r="F2078">
        <v>5</v>
      </c>
      <c r="G2078" s="308">
        <f>'BECA MEDIA'!S300</f>
        <v>0</v>
      </c>
      <c r="H2078" s="308">
        <f>'BECA MEDIA'!T300</f>
        <v>0</v>
      </c>
    </row>
    <row r="2079" spans="1:8" x14ac:dyDescent="0.3">
      <c r="A2079" t="s">
        <v>688</v>
      </c>
      <c r="B2079" t="s">
        <v>307</v>
      </c>
      <c r="C2079" t="s">
        <v>324</v>
      </c>
      <c r="D2079" t="s">
        <v>689</v>
      </c>
      <c r="E2079" t="s">
        <v>771</v>
      </c>
      <c r="F2079">
        <v>6</v>
      </c>
      <c r="G2079" s="308">
        <f>'BECA MEDIA'!V300</f>
        <v>3.2</v>
      </c>
      <c r="H2079" s="308">
        <f>'BECA MEDIA'!W300</f>
        <v>8000</v>
      </c>
    </row>
    <row r="2080" spans="1:8" x14ac:dyDescent="0.3">
      <c r="A2080" t="s">
        <v>688</v>
      </c>
      <c r="B2080" t="s">
        <v>307</v>
      </c>
      <c r="C2080" t="s">
        <v>324</v>
      </c>
      <c r="D2080" t="s">
        <v>689</v>
      </c>
      <c r="E2080" t="s">
        <v>772</v>
      </c>
      <c r="F2080">
        <v>7</v>
      </c>
      <c r="G2080" s="308">
        <f>'BECA MEDIA'!Y300</f>
        <v>0</v>
      </c>
      <c r="H2080" s="308">
        <f>'BECA MEDIA'!Z300</f>
        <v>0</v>
      </c>
    </row>
    <row r="2081" spans="1:8" x14ac:dyDescent="0.3">
      <c r="A2081" t="s">
        <v>688</v>
      </c>
      <c r="B2081" t="s">
        <v>307</v>
      </c>
      <c r="C2081" t="s">
        <v>325</v>
      </c>
      <c r="D2081" t="s">
        <v>689</v>
      </c>
      <c r="E2081" t="s">
        <v>766</v>
      </c>
      <c r="F2081">
        <v>1</v>
      </c>
      <c r="G2081" s="308">
        <f>'BECA MEDIA'!G301</f>
        <v>0</v>
      </c>
      <c r="H2081" s="308">
        <f>'BECA MEDIA'!H301</f>
        <v>0</v>
      </c>
    </row>
    <row r="2082" spans="1:8" x14ac:dyDescent="0.3">
      <c r="A2082" t="s">
        <v>688</v>
      </c>
      <c r="B2082" t="s">
        <v>307</v>
      </c>
      <c r="C2082" t="s">
        <v>325</v>
      </c>
      <c r="D2082" t="s">
        <v>689</v>
      </c>
      <c r="E2082" t="s">
        <v>767</v>
      </c>
      <c r="F2082">
        <v>2</v>
      </c>
      <c r="G2082" s="308">
        <f>'BECA MEDIA'!J301</f>
        <v>0</v>
      </c>
      <c r="H2082" s="308">
        <f>'BECA MEDIA'!K301</f>
        <v>0</v>
      </c>
    </row>
    <row r="2083" spans="1:8" x14ac:dyDescent="0.3">
      <c r="A2083" t="s">
        <v>688</v>
      </c>
      <c r="B2083" t="s">
        <v>307</v>
      </c>
      <c r="C2083" t="s">
        <v>325</v>
      </c>
      <c r="D2083" t="s">
        <v>689</v>
      </c>
      <c r="E2083" t="s">
        <v>768</v>
      </c>
      <c r="F2083">
        <v>3</v>
      </c>
      <c r="G2083" s="308">
        <f>'BECA MEDIA'!M301</f>
        <v>9.6</v>
      </c>
      <c r="H2083" s="308">
        <f>'BECA MEDIA'!N301</f>
        <v>24000</v>
      </c>
    </row>
    <row r="2084" spans="1:8" x14ac:dyDescent="0.3">
      <c r="A2084" t="s">
        <v>688</v>
      </c>
      <c r="B2084" t="s">
        <v>307</v>
      </c>
      <c r="C2084" t="s">
        <v>325</v>
      </c>
      <c r="D2084" t="s">
        <v>689</v>
      </c>
      <c r="E2084" t="s">
        <v>769</v>
      </c>
      <c r="F2084">
        <v>4</v>
      </c>
      <c r="G2084" s="308">
        <f>'BECA MEDIA'!P301</f>
        <v>1.2</v>
      </c>
      <c r="H2084" s="308">
        <f>'BECA MEDIA'!Q301</f>
        <v>3000</v>
      </c>
    </row>
    <row r="2085" spans="1:8" x14ac:dyDescent="0.3">
      <c r="A2085" t="s">
        <v>688</v>
      </c>
      <c r="B2085" t="s">
        <v>307</v>
      </c>
      <c r="C2085" t="s">
        <v>325</v>
      </c>
      <c r="D2085" t="s">
        <v>689</v>
      </c>
      <c r="E2085" t="s">
        <v>770</v>
      </c>
      <c r="F2085">
        <v>5</v>
      </c>
      <c r="G2085" s="308">
        <f>'BECA MEDIA'!S301</f>
        <v>0</v>
      </c>
      <c r="H2085" s="308">
        <f>'BECA MEDIA'!T301</f>
        <v>0</v>
      </c>
    </row>
    <row r="2086" spans="1:8" x14ac:dyDescent="0.3">
      <c r="A2086" t="s">
        <v>688</v>
      </c>
      <c r="B2086" t="s">
        <v>307</v>
      </c>
      <c r="C2086" t="s">
        <v>325</v>
      </c>
      <c r="D2086" t="s">
        <v>689</v>
      </c>
      <c r="E2086" t="s">
        <v>771</v>
      </c>
      <c r="F2086">
        <v>6</v>
      </c>
      <c r="G2086" s="308">
        <f>'BECA MEDIA'!V301</f>
        <v>10.8</v>
      </c>
      <c r="H2086" s="308">
        <f>'BECA MEDIA'!W301</f>
        <v>27000</v>
      </c>
    </row>
    <row r="2087" spans="1:8" x14ac:dyDescent="0.3">
      <c r="A2087" t="s">
        <v>688</v>
      </c>
      <c r="B2087" t="s">
        <v>307</v>
      </c>
      <c r="C2087" t="s">
        <v>325</v>
      </c>
      <c r="D2087" t="s">
        <v>689</v>
      </c>
      <c r="E2087" t="s">
        <v>772</v>
      </c>
      <c r="F2087">
        <v>7</v>
      </c>
      <c r="G2087" s="308">
        <f>'BECA MEDIA'!Y301</f>
        <v>0</v>
      </c>
      <c r="H2087" s="308">
        <f>'BECA MEDIA'!Z301</f>
        <v>0</v>
      </c>
    </row>
    <row r="2088" spans="1:8" x14ac:dyDescent="0.3">
      <c r="A2088" t="s">
        <v>688</v>
      </c>
      <c r="B2088" t="s">
        <v>307</v>
      </c>
      <c r="C2088" t="s">
        <v>326</v>
      </c>
      <c r="D2088" t="s">
        <v>689</v>
      </c>
      <c r="E2088" t="s">
        <v>766</v>
      </c>
      <c r="F2088">
        <v>1</v>
      </c>
      <c r="G2088" s="308">
        <f>'BECA MEDIA'!G302</f>
        <v>0</v>
      </c>
      <c r="H2088" s="308">
        <f>'BECA MEDIA'!H302</f>
        <v>0</v>
      </c>
    </row>
    <row r="2089" spans="1:8" x14ac:dyDescent="0.3">
      <c r="A2089" t="s">
        <v>688</v>
      </c>
      <c r="B2089" t="s">
        <v>307</v>
      </c>
      <c r="C2089" t="s">
        <v>326</v>
      </c>
      <c r="D2089" t="s">
        <v>689</v>
      </c>
      <c r="E2089" t="s">
        <v>767</v>
      </c>
      <c r="F2089">
        <v>2</v>
      </c>
      <c r="G2089" s="308">
        <f>'BECA MEDIA'!J302</f>
        <v>0</v>
      </c>
      <c r="H2089" s="308">
        <f>'BECA MEDIA'!K302</f>
        <v>0</v>
      </c>
    </row>
    <row r="2090" spans="1:8" x14ac:dyDescent="0.3">
      <c r="A2090" t="s">
        <v>688</v>
      </c>
      <c r="B2090" t="s">
        <v>307</v>
      </c>
      <c r="C2090" t="s">
        <v>326</v>
      </c>
      <c r="D2090" t="s">
        <v>689</v>
      </c>
      <c r="E2090" t="s">
        <v>768</v>
      </c>
      <c r="F2090">
        <v>3</v>
      </c>
      <c r="G2090" s="308">
        <f>'BECA MEDIA'!M302</f>
        <v>3.2</v>
      </c>
      <c r="H2090" s="308">
        <f>'BECA MEDIA'!N302</f>
        <v>8000</v>
      </c>
    </row>
    <row r="2091" spans="1:8" x14ac:dyDescent="0.3">
      <c r="A2091" t="s">
        <v>688</v>
      </c>
      <c r="B2091" t="s">
        <v>307</v>
      </c>
      <c r="C2091" t="s">
        <v>326</v>
      </c>
      <c r="D2091" t="s">
        <v>689</v>
      </c>
      <c r="E2091" t="s">
        <v>769</v>
      </c>
      <c r="F2091">
        <v>4</v>
      </c>
      <c r="G2091" s="308">
        <f>'BECA MEDIA'!P302</f>
        <v>0.4</v>
      </c>
      <c r="H2091" s="308">
        <f>'BECA MEDIA'!Q302</f>
        <v>1000</v>
      </c>
    </row>
    <row r="2092" spans="1:8" x14ac:dyDescent="0.3">
      <c r="A2092" t="s">
        <v>688</v>
      </c>
      <c r="B2092" t="s">
        <v>307</v>
      </c>
      <c r="C2092" t="s">
        <v>326</v>
      </c>
      <c r="D2092" t="s">
        <v>689</v>
      </c>
      <c r="E2092" t="s">
        <v>770</v>
      </c>
      <c r="F2092">
        <v>5</v>
      </c>
      <c r="G2092" s="308">
        <f>'BECA MEDIA'!S302</f>
        <v>0</v>
      </c>
      <c r="H2092" s="308">
        <f>'BECA MEDIA'!T302</f>
        <v>0</v>
      </c>
    </row>
    <row r="2093" spans="1:8" x14ac:dyDescent="0.3">
      <c r="A2093" t="s">
        <v>688</v>
      </c>
      <c r="B2093" t="s">
        <v>307</v>
      </c>
      <c r="C2093" t="s">
        <v>326</v>
      </c>
      <c r="D2093" t="s">
        <v>689</v>
      </c>
      <c r="E2093" t="s">
        <v>771</v>
      </c>
      <c r="F2093">
        <v>6</v>
      </c>
      <c r="G2093" s="308">
        <f>'BECA MEDIA'!V302</f>
        <v>3.6</v>
      </c>
      <c r="H2093" s="308">
        <f>'BECA MEDIA'!W302</f>
        <v>9000</v>
      </c>
    </row>
    <row r="2094" spans="1:8" x14ac:dyDescent="0.3">
      <c r="A2094" t="s">
        <v>688</v>
      </c>
      <c r="B2094" t="s">
        <v>307</v>
      </c>
      <c r="C2094" t="s">
        <v>326</v>
      </c>
      <c r="D2094" t="s">
        <v>689</v>
      </c>
      <c r="E2094" t="s">
        <v>772</v>
      </c>
      <c r="F2094">
        <v>7</v>
      </c>
      <c r="G2094" s="308">
        <f>'BECA MEDIA'!Y302</f>
        <v>0</v>
      </c>
      <c r="H2094" s="308">
        <f>'BECA MEDIA'!Z302</f>
        <v>0</v>
      </c>
    </row>
    <row r="2095" spans="1:8" x14ac:dyDescent="0.3">
      <c r="A2095" t="s">
        <v>688</v>
      </c>
      <c r="B2095" t="s">
        <v>327</v>
      </c>
      <c r="C2095" t="s">
        <v>328</v>
      </c>
      <c r="D2095" t="s">
        <v>689</v>
      </c>
      <c r="E2095" t="s">
        <v>766</v>
      </c>
      <c r="F2095">
        <v>1</v>
      </c>
      <c r="G2095" s="308">
        <f>'BECA MEDIA'!G303</f>
        <v>0</v>
      </c>
      <c r="H2095" s="308">
        <f>'BECA MEDIA'!H303</f>
        <v>0</v>
      </c>
    </row>
    <row r="2096" spans="1:8" x14ac:dyDescent="0.3">
      <c r="A2096" t="s">
        <v>688</v>
      </c>
      <c r="B2096" t="s">
        <v>327</v>
      </c>
      <c r="C2096" t="s">
        <v>328</v>
      </c>
      <c r="D2096" t="s">
        <v>689</v>
      </c>
      <c r="E2096" t="s">
        <v>767</v>
      </c>
      <c r="F2096">
        <v>2</v>
      </c>
      <c r="G2096" s="308">
        <f>'BECA MEDIA'!J303</f>
        <v>0</v>
      </c>
      <c r="H2096" s="308">
        <f>'BECA MEDIA'!K303</f>
        <v>0</v>
      </c>
    </row>
    <row r="2097" spans="1:8" x14ac:dyDescent="0.3">
      <c r="A2097" t="s">
        <v>688</v>
      </c>
      <c r="B2097" t="s">
        <v>327</v>
      </c>
      <c r="C2097" t="s">
        <v>328</v>
      </c>
      <c r="D2097" t="s">
        <v>689</v>
      </c>
      <c r="E2097" t="s">
        <v>768</v>
      </c>
      <c r="F2097">
        <v>3</v>
      </c>
      <c r="G2097" s="308">
        <f>'BECA MEDIA'!M303</f>
        <v>8</v>
      </c>
      <c r="H2097" s="308">
        <f>'BECA MEDIA'!N303</f>
        <v>20000</v>
      </c>
    </row>
    <row r="2098" spans="1:8" x14ac:dyDescent="0.3">
      <c r="A2098" t="s">
        <v>688</v>
      </c>
      <c r="B2098" t="s">
        <v>327</v>
      </c>
      <c r="C2098" t="s">
        <v>328</v>
      </c>
      <c r="D2098" t="s">
        <v>689</v>
      </c>
      <c r="E2098" t="s">
        <v>769</v>
      </c>
      <c r="F2098">
        <v>4</v>
      </c>
      <c r="G2098" s="308">
        <f>'BECA MEDIA'!P303</f>
        <v>3.6</v>
      </c>
      <c r="H2098" s="308">
        <f>'BECA MEDIA'!Q303</f>
        <v>9000</v>
      </c>
    </row>
    <row r="2099" spans="1:8" x14ac:dyDescent="0.3">
      <c r="A2099" t="s">
        <v>688</v>
      </c>
      <c r="B2099" t="s">
        <v>327</v>
      </c>
      <c r="C2099" t="s">
        <v>328</v>
      </c>
      <c r="D2099" t="s">
        <v>689</v>
      </c>
      <c r="E2099" t="s">
        <v>770</v>
      </c>
      <c r="F2099">
        <v>5</v>
      </c>
      <c r="G2099" s="308">
        <f>'BECA MEDIA'!S303</f>
        <v>0</v>
      </c>
      <c r="H2099" s="308">
        <f>'BECA MEDIA'!T303</f>
        <v>0</v>
      </c>
    </row>
    <row r="2100" spans="1:8" x14ac:dyDescent="0.3">
      <c r="A2100" t="s">
        <v>688</v>
      </c>
      <c r="B2100" t="s">
        <v>327</v>
      </c>
      <c r="C2100" t="s">
        <v>328</v>
      </c>
      <c r="D2100" t="s">
        <v>689</v>
      </c>
      <c r="E2100" t="s">
        <v>771</v>
      </c>
      <c r="F2100">
        <v>6</v>
      </c>
      <c r="G2100" s="308">
        <f>'BECA MEDIA'!V303</f>
        <v>11.2</v>
      </c>
      <c r="H2100" s="308">
        <f>'BECA MEDIA'!W303</f>
        <v>28000</v>
      </c>
    </row>
    <row r="2101" spans="1:8" x14ac:dyDescent="0.3">
      <c r="A2101" t="s">
        <v>688</v>
      </c>
      <c r="B2101" t="s">
        <v>327</v>
      </c>
      <c r="C2101" t="s">
        <v>328</v>
      </c>
      <c r="D2101" t="s">
        <v>689</v>
      </c>
      <c r="E2101" t="s">
        <v>772</v>
      </c>
      <c r="F2101">
        <v>7</v>
      </c>
      <c r="G2101" s="308">
        <f>'BECA MEDIA'!Y303</f>
        <v>0</v>
      </c>
      <c r="H2101" s="308">
        <f>'BECA MEDIA'!Z303</f>
        <v>0</v>
      </c>
    </row>
    <row r="2102" spans="1:8" x14ac:dyDescent="0.3">
      <c r="A2102" t="s">
        <v>688</v>
      </c>
      <c r="B2102" t="s">
        <v>327</v>
      </c>
      <c r="C2102" t="s">
        <v>329</v>
      </c>
      <c r="D2102" t="s">
        <v>689</v>
      </c>
      <c r="E2102" t="s">
        <v>766</v>
      </c>
      <c r="F2102">
        <v>1</v>
      </c>
      <c r="G2102" s="308">
        <f>'BECA MEDIA'!G304</f>
        <v>0</v>
      </c>
      <c r="H2102" s="308">
        <f>'BECA MEDIA'!H304</f>
        <v>0</v>
      </c>
    </row>
    <row r="2103" spans="1:8" x14ac:dyDescent="0.3">
      <c r="A2103" t="s">
        <v>688</v>
      </c>
      <c r="B2103" t="s">
        <v>327</v>
      </c>
      <c r="C2103" t="s">
        <v>329</v>
      </c>
      <c r="D2103" t="s">
        <v>689</v>
      </c>
      <c r="E2103" t="s">
        <v>767</v>
      </c>
      <c r="F2103">
        <v>2</v>
      </c>
      <c r="G2103" s="308">
        <f>'BECA MEDIA'!J304</f>
        <v>0</v>
      </c>
      <c r="H2103" s="308">
        <f>'BECA MEDIA'!K304</f>
        <v>0</v>
      </c>
    </row>
    <row r="2104" spans="1:8" x14ac:dyDescent="0.3">
      <c r="A2104" t="s">
        <v>688</v>
      </c>
      <c r="B2104" t="s">
        <v>327</v>
      </c>
      <c r="C2104" t="s">
        <v>329</v>
      </c>
      <c r="D2104" t="s">
        <v>689</v>
      </c>
      <c r="E2104" t="s">
        <v>768</v>
      </c>
      <c r="F2104">
        <v>3</v>
      </c>
      <c r="G2104" s="308">
        <f>'BECA MEDIA'!M304</f>
        <v>4.8</v>
      </c>
      <c r="H2104" s="308">
        <f>'BECA MEDIA'!N304</f>
        <v>12000</v>
      </c>
    </row>
    <row r="2105" spans="1:8" x14ac:dyDescent="0.3">
      <c r="A2105" t="s">
        <v>688</v>
      </c>
      <c r="B2105" t="s">
        <v>327</v>
      </c>
      <c r="C2105" t="s">
        <v>329</v>
      </c>
      <c r="D2105" t="s">
        <v>689</v>
      </c>
      <c r="E2105" t="s">
        <v>769</v>
      </c>
      <c r="F2105">
        <v>4</v>
      </c>
      <c r="G2105" s="308">
        <f>'BECA MEDIA'!P304</f>
        <v>1.6</v>
      </c>
      <c r="H2105" s="308">
        <f>'BECA MEDIA'!Q304</f>
        <v>4000</v>
      </c>
    </row>
    <row r="2106" spans="1:8" x14ac:dyDescent="0.3">
      <c r="A2106" t="s">
        <v>688</v>
      </c>
      <c r="B2106" t="s">
        <v>327</v>
      </c>
      <c r="C2106" t="s">
        <v>329</v>
      </c>
      <c r="D2106" t="s">
        <v>689</v>
      </c>
      <c r="E2106" t="s">
        <v>770</v>
      </c>
      <c r="F2106">
        <v>5</v>
      </c>
      <c r="G2106" s="308">
        <f>'BECA MEDIA'!S304</f>
        <v>0</v>
      </c>
      <c r="H2106" s="308">
        <f>'BECA MEDIA'!T304</f>
        <v>0</v>
      </c>
    </row>
    <row r="2107" spans="1:8" x14ac:dyDescent="0.3">
      <c r="A2107" t="s">
        <v>688</v>
      </c>
      <c r="B2107" t="s">
        <v>327</v>
      </c>
      <c r="C2107" t="s">
        <v>329</v>
      </c>
      <c r="D2107" t="s">
        <v>689</v>
      </c>
      <c r="E2107" t="s">
        <v>771</v>
      </c>
      <c r="F2107">
        <v>6</v>
      </c>
      <c r="G2107" s="308">
        <f>'BECA MEDIA'!V304</f>
        <v>6.8</v>
      </c>
      <c r="H2107" s="308">
        <f>'BECA MEDIA'!W304</f>
        <v>17000</v>
      </c>
    </row>
    <row r="2108" spans="1:8" x14ac:dyDescent="0.3">
      <c r="A2108" t="s">
        <v>688</v>
      </c>
      <c r="B2108" t="s">
        <v>327</v>
      </c>
      <c r="C2108" t="s">
        <v>329</v>
      </c>
      <c r="D2108" t="s">
        <v>689</v>
      </c>
      <c r="E2108" t="s">
        <v>772</v>
      </c>
      <c r="F2108">
        <v>7</v>
      </c>
      <c r="G2108" s="308">
        <f>'BECA MEDIA'!Y304</f>
        <v>0</v>
      </c>
      <c r="H2108" s="308">
        <f>'BECA MEDIA'!Z304</f>
        <v>0</v>
      </c>
    </row>
    <row r="2109" spans="1:8" x14ac:dyDescent="0.3">
      <c r="A2109" t="s">
        <v>688</v>
      </c>
      <c r="B2109" t="s">
        <v>327</v>
      </c>
      <c r="C2109" t="s">
        <v>330</v>
      </c>
      <c r="D2109" t="s">
        <v>689</v>
      </c>
      <c r="E2109" t="s">
        <v>766</v>
      </c>
      <c r="F2109">
        <v>1</v>
      </c>
      <c r="G2109" s="308">
        <f>'BECA MEDIA'!G305</f>
        <v>0</v>
      </c>
      <c r="H2109" s="308">
        <f>'BECA MEDIA'!H305</f>
        <v>0</v>
      </c>
    </row>
    <row r="2110" spans="1:8" x14ac:dyDescent="0.3">
      <c r="A2110" t="s">
        <v>688</v>
      </c>
      <c r="B2110" t="s">
        <v>327</v>
      </c>
      <c r="C2110" t="s">
        <v>330</v>
      </c>
      <c r="D2110" t="s">
        <v>689</v>
      </c>
      <c r="E2110" t="s">
        <v>767</v>
      </c>
      <c r="F2110">
        <v>2</v>
      </c>
      <c r="G2110" s="308">
        <f>'BECA MEDIA'!J305</f>
        <v>0</v>
      </c>
      <c r="H2110" s="308">
        <f>'BECA MEDIA'!K305</f>
        <v>0</v>
      </c>
    </row>
    <row r="2111" spans="1:8" x14ac:dyDescent="0.3">
      <c r="A2111" t="s">
        <v>688</v>
      </c>
      <c r="B2111" t="s">
        <v>327</v>
      </c>
      <c r="C2111" t="s">
        <v>330</v>
      </c>
      <c r="D2111" t="s">
        <v>689</v>
      </c>
      <c r="E2111" t="s">
        <v>768</v>
      </c>
      <c r="F2111">
        <v>3</v>
      </c>
      <c r="G2111" s="308">
        <f>'BECA MEDIA'!M305</f>
        <v>6</v>
      </c>
      <c r="H2111" s="308">
        <f>'BECA MEDIA'!N305</f>
        <v>15000</v>
      </c>
    </row>
    <row r="2112" spans="1:8" x14ac:dyDescent="0.3">
      <c r="A2112" t="s">
        <v>688</v>
      </c>
      <c r="B2112" t="s">
        <v>327</v>
      </c>
      <c r="C2112" t="s">
        <v>330</v>
      </c>
      <c r="D2112" t="s">
        <v>689</v>
      </c>
      <c r="E2112" t="s">
        <v>769</v>
      </c>
      <c r="F2112">
        <v>4</v>
      </c>
      <c r="G2112" s="308">
        <f>'BECA MEDIA'!P305</f>
        <v>2.4</v>
      </c>
      <c r="H2112" s="308">
        <f>'BECA MEDIA'!Q305</f>
        <v>6000</v>
      </c>
    </row>
    <row r="2113" spans="1:8" x14ac:dyDescent="0.3">
      <c r="A2113" t="s">
        <v>688</v>
      </c>
      <c r="B2113" t="s">
        <v>327</v>
      </c>
      <c r="C2113" t="s">
        <v>330</v>
      </c>
      <c r="D2113" t="s">
        <v>689</v>
      </c>
      <c r="E2113" t="s">
        <v>770</v>
      </c>
      <c r="F2113">
        <v>5</v>
      </c>
      <c r="G2113" s="308">
        <f>'BECA MEDIA'!S305</f>
        <v>0</v>
      </c>
      <c r="H2113" s="308">
        <f>'BECA MEDIA'!T305</f>
        <v>0</v>
      </c>
    </row>
    <row r="2114" spans="1:8" x14ac:dyDescent="0.3">
      <c r="A2114" t="s">
        <v>688</v>
      </c>
      <c r="B2114" t="s">
        <v>327</v>
      </c>
      <c r="C2114" t="s">
        <v>330</v>
      </c>
      <c r="D2114" t="s">
        <v>689</v>
      </c>
      <c r="E2114" t="s">
        <v>771</v>
      </c>
      <c r="F2114">
        <v>6</v>
      </c>
      <c r="G2114" s="308">
        <f>'BECA MEDIA'!V305</f>
        <v>8.8000000000000007</v>
      </c>
      <c r="H2114" s="308">
        <f>'BECA MEDIA'!W305</f>
        <v>22000</v>
      </c>
    </row>
    <row r="2115" spans="1:8" x14ac:dyDescent="0.3">
      <c r="A2115" t="s">
        <v>688</v>
      </c>
      <c r="B2115" t="s">
        <v>327</v>
      </c>
      <c r="C2115" t="s">
        <v>330</v>
      </c>
      <c r="D2115" t="s">
        <v>689</v>
      </c>
      <c r="E2115" t="s">
        <v>772</v>
      </c>
      <c r="F2115">
        <v>7</v>
      </c>
      <c r="G2115" s="308">
        <f>'BECA MEDIA'!Y305</f>
        <v>0</v>
      </c>
      <c r="H2115" s="308">
        <f>'BECA MEDIA'!Z305</f>
        <v>0</v>
      </c>
    </row>
    <row r="2116" spans="1:8" x14ac:dyDescent="0.3">
      <c r="A2116" t="s">
        <v>688</v>
      </c>
      <c r="B2116" t="s">
        <v>327</v>
      </c>
      <c r="C2116" t="s">
        <v>331</v>
      </c>
      <c r="D2116" t="s">
        <v>689</v>
      </c>
      <c r="E2116" t="s">
        <v>766</v>
      </c>
      <c r="F2116">
        <v>1</v>
      </c>
      <c r="G2116" s="308">
        <f>'BECA MEDIA'!G306</f>
        <v>0</v>
      </c>
      <c r="H2116" s="308">
        <f>'BECA MEDIA'!H306</f>
        <v>0</v>
      </c>
    </row>
    <row r="2117" spans="1:8" x14ac:dyDescent="0.3">
      <c r="A2117" t="s">
        <v>688</v>
      </c>
      <c r="B2117" t="s">
        <v>327</v>
      </c>
      <c r="C2117" t="s">
        <v>331</v>
      </c>
      <c r="D2117" t="s">
        <v>689</v>
      </c>
      <c r="E2117" t="s">
        <v>767</v>
      </c>
      <c r="F2117">
        <v>2</v>
      </c>
      <c r="G2117" s="308">
        <f>'BECA MEDIA'!J306</f>
        <v>0</v>
      </c>
      <c r="H2117" s="308">
        <f>'BECA MEDIA'!K306</f>
        <v>0</v>
      </c>
    </row>
    <row r="2118" spans="1:8" x14ac:dyDescent="0.3">
      <c r="A2118" t="s">
        <v>688</v>
      </c>
      <c r="B2118" t="s">
        <v>327</v>
      </c>
      <c r="C2118" t="s">
        <v>331</v>
      </c>
      <c r="D2118" t="s">
        <v>689</v>
      </c>
      <c r="E2118" t="s">
        <v>768</v>
      </c>
      <c r="F2118">
        <v>3</v>
      </c>
      <c r="G2118" s="308">
        <f>'BECA MEDIA'!M306</f>
        <v>6.8</v>
      </c>
      <c r="H2118" s="308">
        <f>'BECA MEDIA'!N306</f>
        <v>17000</v>
      </c>
    </row>
    <row r="2119" spans="1:8" x14ac:dyDescent="0.3">
      <c r="A2119" t="s">
        <v>688</v>
      </c>
      <c r="B2119" t="s">
        <v>327</v>
      </c>
      <c r="C2119" t="s">
        <v>331</v>
      </c>
      <c r="D2119" t="s">
        <v>689</v>
      </c>
      <c r="E2119" t="s">
        <v>769</v>
      </c>
      <c r="F2119">
        <v>4</v>
      </c>
      <c r="G2119" s="308">
        <f>'BECA MEDIA'!P306</f>
        <v>1.2</v>
      </c>
      <c r="H2119" s="308">
        <f>'BECA MEDIA'!Q306</f>
        <v>3000</v>
      </c>
    </row>
    <row r="2120" spans="1:8" x14ac:dyDescent="0.3">
      <c r="A2120" t="s">
        <v>688</v>
      </c>
      <c r="B2120" t="s">
        <v>327</v>
      </c>
      <c r="C2120" t="s">
        <v>331</v>
      </c>
      <c r="D2120" t="s">
        <v>689</v>
      </c>
      <c r="E2120" t="s">
        <v>770</v>
      </c>
      <c r="F2120">
        <v>5</v>
      </c>
      <c r="G2120" s="308">
        <f>'BECA MEDIA'!S306</f>
        <v>0</v>
      </c>
      <c r="H2120" s="308">
        <f>'BECA MEDIA'!T306</f>
        <v>0</v>
      </c>
    </row>
    <row r="2121" spans="1:8" x14ac:dyDescent="0.3">
      <c r="A2121" t="s">
        <v>688</v>
      </c>
      <c r="B2121" t="s">
        <v>327</v>
      </c>
      <c r="C2121" t="s">
        <v>331</v>
      </c>
      <c r="D2121" t="s">
        <v>689</v>
      </c>
      <c r="E2121" t="s">
        <v>771</v>
      </c>
      <c r="F2121">
        <v>6</v>
      </c>
      <c r="G2121" s="308">
        <f>'BECA MEDIA'!V306</f>
        <v>8.4</v>
      </c>
      <c r="H2121" s="308">
        <f>'BECA MEDIA'!W306</f>
        <v>21000</v>
      </c>
    </row>
    <row r="2122" spans="1:8" x14ac:dyDescent="0.3">
      <c r="A2122" t="s">
        <v>688</v>
      </c>
      <c r="B2122" t="s">
        <v>327</v>
      </c>
      <c r="C2122" t="s">
        <v>331</v>
      </c>
      <c r="D2122" t="s">
        <v>689</v>
      </c>
      <c r="E2122" t="s">
        <v>772</v>
      </c>
      <c r="F2122">
        <v>7</v>
      </c>
      <c r="G2122" s="308">
        <f>'BECA MEDIA'!Y306</f>
        <v>0</v>
      </c>
      <c r="H2122" s="308">
        <f>'BECA MEDIA'!Z306</f>
        <v>0</v>
      </c>
    </row>
    <row r="2123" spans="1:8" x14ac:dyDescent="0.3">
      <c r="A2123" t="s">
        <v>688</v>
      </c>
      <c r="B2123" t="s">
        <v>327</v>
      </c>
      <c r="C2123" t="s">
        <v>332</v>
      </c>
      <c r="D2123" t="s">
        <v>689</v>
      </c>
      <c r="E2123" t="s">
        <v>766</v>
      </c>
      <c r="F2123">
        <v>1</v>
      </c>
      <c r="G2123" s="308">
        <f>'BECA MEDIA'!G307</f>
        <v>0</v>
      </c>
      <c r="H2123" s="308">
        <f>'BECA MEDIA'!H307</f>
        <v>0</v>
      </c>
    </row>
    <row r="2124" spans="1:8" x14ac:dyDescent="0.3">
      <c r="A2124" t="s">
        <v>688</v>
      </c>
      <c r="B2124" t="s">
        <v>327</v>
      </c>
      <c r="C2124" t="s">
        <v>332</v>
      </c>
      <c r="D2124" t="s">
        <v>689</v>
      </c>
      <c r="E2124" t="s">
        <v>767</v>
      </c>
      <c r="F2124">
        <v>2</v>
      </c>
      <c r="G2124" s="308">
        <f>'BECA MEDIA'!J307</f>
        <v>0</v>
      </c>
      <c r="H2124" s="308">
        <f>'BECA MEDIA'!K307</f>
        <v>0</v>
      </c>
    </row>
    <row r="2125" spans="1:8" x14ac:dyDescent="0.3">
      <c r="A2125" t="s">
        <v>688</v>
      </c>
      <c r="B2125" t="s">
        <v>327</v>
      </c>
      <c r="C2125" t="s">
        <v>332</v>
      </c>
      <c r="D2125" t="s">
        <v>689</v>
      </c>
      <c r="E2125" t="s">
        <v>768</v>
      </c>
      <c r="F2125">
        <v>3</v>
      </c>
      <c r="G2125" s="308">
        <f>'BECA MEDIA'!M307</f>
        <v>7.2</v>
      </c>
      <c r="H2125" s="308">
        <f>'BECA MEDIA'!N307</f>
        <v>18000</v>
      </c>
    </row>
    <row r="2126" spans="1:8" x14ac:dyDescent="0.3">
      <c r="A2126" t="s">
        <v>688</v>
      </c>
      <c r="B2126" t="s">
        <v>327</v>
      </c>
      <c r="C2126" t="s">
        <v>332</v>
      </c>
      <c r="D2126" t="s">
        <v>689</v>
      </c>
      <c r="E2126" t="s">
        <v>769</v>
      </c>
      <c r="F2126">
        <v>4</v>
      </c>
      <c r="G2126" s="308">
        <f>'BECA MEDIA'!P307</f>
        <v>2</v>
      </c>
      <c r="H2126" s="308">
        <f>'BECA MEDIA'!Q307</f>
        <v>5000</v>
      </c>
    </row>
    <row r="2127" spans="1:8" x14ac:dyDescent="0.3">
      <c r="A2127" t="s">
        <v>688</v>
      </c>
      <c r="B2127" t="s">
        <v>327</v>
      </c>
      <c r="C2127" t="s">
        <v>332</v>
      </c>
      <c r="D2127" t="s">
        <v>689</v>
      </c>
      <c r="E2127" t="s">
        <v>770</v>
      </c>
      <c r="F2127">
        <v>5</v>
      </c>
      <c r="G2127" s="308">
        <f>'BECA MEDIA'!S307</f>
        <v>0</v>
      </c>
      <c r="H2127" s="308">
        <f>'BECA MEDIA'!T307</f>
        <v>0</v>
      </c>
    </row>
    <row r="2128" spans="1:8" x14ac:dyDescent="0.3">
      <c r="A2128" t="s">
        <v>688</v>
      </c>
      <c r="B2128" t="s">
        <v>327</v>
      </c>
      <c r="C2128" t="s">
        <v>332</v>
      </c>
      <c r="D2128" t="s">
        <v>689</v>
      </c>
      <c r="E2128" t="s">
        <v>771</v>
      </c>
      <c r="F2128">
        <v>6</v>
      </c>
      <c r="G2128" s="308">
        <f>'BECA MEDIA'!V307</f>
        <v>9.1999999999999993</v>
      </c>
      <c r="H2128" s="308">
        <f>'BECA MEDIA'!W307</f>
        <v>23000</v>
      </c>
    </row>
    <row r="2129" spans="1:8" x14ac:dyDescent="0.3">
      <c r="A2129" t="s">
        <v>688</v>
      </c>
      <c r="B2129" t="s">
        <v>327</v>
      </c>
      <c r="C2129" t="s">
        <v>332</v>
      </c>
      <c r="D2129" t="s">
        <v>689</v>
      </c>
      <c r="E2129" t="s">
        <v>772</v>
      </c>
      <c r="F2129">
        <v>7</v>
      </c>
      <c r="G2129" s="308">
        <f>'BECA MEDIA'!Y307</f>
        <v>0</v>
      </c>
      <c r="H2129" s="308">
        <f>'BECA MEDIA'!Z307</f>
        <v>0</v>
      </c>
    </row>
    <row r="2130" spans="1:8" x14ac:dyDescent="0.3">
      <c r="A2130" t="s">
        <v>688</v>
      </c>
      <c r="B2130" t="s">
        <v>327</v>
      </c>
      <c r="C2130" t="s">
        <v>333</v>
      </c>
      <c r="D2130" t="s">
        <v>689</v>
      </c>
      <c r="E2130" t="s">
        <v>766</v>
      </c>
      <c r="F2130">
        <v>1</v>
      </c>
      <c r="G2130" s="308">
        <f>'BECA MEDIA'!G308</f>
        <v>0</v>
      </c>
      <c r="H2130" s="308">
        <f>'BECA MEDIA'!H308</f>
        <v>0</v>
      </c>
    </row>
    <row r="2131" spans="1:8" x14ac:dyDescent="0.3">
      <c r="A2131" t="s">
        <v>688</v>
      </c>
      <c r="B2131" t="s">
        <v>327</v>
      </c>
      <c r="C2131" t="s">
        <v>333</v>
      </c>
      <c r="D2131" t="s">
        <v>689</v>
      </c>
      <c r="E2131" t="s">
        <v>767</v>
      </c>
      <c r="F2131">
        <v>2</v>
      </c>
      <c r="G2131" s="308">
        <f>'BECA MEDIA'!J308</f>
        <v>0</v>
      </c>
      <c r="H2131" s="308">
        <f>'BECA MEDIA'!K308</f>
        <v>0</v>
      </c>
    </row>
    <row r="2132" spans="1:8" x14ac:dyDescent="0.3">
      <c r="A2132" t="s">
        <v>688</v>
      </c>
      <c r="B2132" t="s">
        <v>327</v>
      </c>
      <c r="C2132" t="s">
        <v>333</v>
      </c>
      <c r="D2132" t="s">
        <v>689</v>
      </c>
      <c r="E2132" t="s">
        <v>768</v>
      </c>
      <c r="F2132">
        <v>3</v>
      </c>
      <c r="G2132" s="308">
        <f>'BECA MEDIA'!M308</f>
        <v>5.2</v>
      </c>
      <c r="H2132" s="308">
        <f>'BECA MEDIA'!N308</f>
        <v>13000</v>
      </c>
    </row>
    <row r="2133" spans="1:8" x14ac:dyDescent="0.3">
      <c r="A2133" t="s">
        <v>688</v>
      </c>
      <c r="B2133" t="s">
        <v>327</v>
      </c>
      <c r="C2133" t="s">
        <v>333</v>
      </c>
      <c r="D2133" t="s">
        <v>689</v>
      </c>
      <c r="E2133" t="s">
        <v>769</v>
      </c>
      <c r="F2133">
        <v>4</v>
      </c>
      <c r="G2133" s="308">
        <f>'BECA MEDIA'!P308</f>
        <v>2</v>
      </c>
      <c r="H2133" s="308">
        <f>'BECA MEDIA'!Q308</f>
        <v>5000</v>
      </c>
    </row>
    <row r="2134" spans="1:8" x14ac:dyDescent="0.3">
      <c r="A2134" t="s">
        <v>688</v>
      </c>
      <c r="B2134" t="s">
        <v>327</v>
      </c>
      <c r="C2134" t="s">
        <v>333</v>
      </c>
      <c r="D2134" t="s">
        <v>689</v>
      </c>
      <c r="E2134" t="s">
        <v>770</v>
      </c>
      <c r="F2134">
        <v>5</v>
      </c>
      <c r="G2134" s="308">
        <f>'BECA MEDIA'!S308</f>
        <v>0</v>
      </c>
      <c r="H2134" s="308">
        <f>'BECA MEDIA'!T308</f>
        <v>0</v>
      </c>
    </row>
    <row r="2135" spans="1:8" x14ac:dyDescent="0.3">
      <c r="A2135" t="s">
        <v>688</v>
      </c>
      <c r="B2135" t="s">
        <v>327</v>
      </c>
      <c r="C2135" t="s">
        <v>333</v>
      </c>
      <c r="D2135" t="s">
        <v>689</v>
      </c>
      <c r="E2135" t="s">
        <v>771</v>
      </c>
      <c r="F2135">
        <v>6</v>
      </c>
      <c r="G2135" s="308">
        <f>'BECA MEDIA'!V308</f>
        <v>7.2</v>
      </c>
      <c r="H2135" s="308">
        <f>'BECA MEDIA'!W308</f>
        <v>18000</v>
      </c>
    </row>
    <row r="2136" spans="1:8" x14ac:dyDescent="0.3">
      <c r="A2136" t="s">
        <v>688</v>
      </c>
      <c r="B2136" t="s">
        <v>327</v>
      </c>
      <c r="C2136" t="s">
        <v>333</v>
      </c>
      <c r="D2136" t="s">
        <v>689</v>
      </c>
      <c r="E2136" t="s">
        <v>772</v>
      </c>
      <c r="F2136">
        <v>7</v>
      </c>
      <c r="G2136" s="308">
        <f>'BECA MEDIA'!Y308</f>
        <v>0</v>
      </c>
      <c r="H2136" s="308">
        <f>'BECA MEDIA'!Z308</f>
        <v>0</v>
      </c>
    </row>
    <row r="2137" spans="1:8" x14ac:dyDescent="0.3">
      <c r="A2137" t="s">
        <v>688</v>
      </c>
      <c r="B2137" t="s">
        <v>327</v>
      </c>
      <c r="C2137" t="s">
        <v>334</v>
      </c>
      <c r="D2137" t="s">
        <v>689</v>
      </c>
      <c r="E2137" t="s">
        <v>766</v>
      </c>
      <c r="F2137">
        <v>1</v>
      </c>
      <c r="G2137" s="308">
        <f>'BECA MEDIA'!G309</f>
        <v>0</v>
      </c>
      <c r="H2137" s="308">
        <f>'BECA MEDIA'!H309</f>
        <v>0</v>
      </c>
    </row>
    <row r="2138" spans="1:8" x14ac:dyDescent="0.3">
      <c r="A2138" t="s">
        <v>688</v>
      </c>
      <c r="B2138" t="s">
        <v>327</v>
      </c>
      <c r="C2138" t="s">
        <v>334</v>
      </c>
      <c r="D2138" t="s">
        <v>689</v>
      </c>
      <c r="E2138" t="s">
        <v>767</v>
      </c>
      <c r="F2138">
        <v>2</v>
      </c>
      <c r="G2138" s="308">
        <f>'BECA MEDIA'!J309</f>
        <v>0</v>
      </c>
      <c r="H2138" s="308">
        <f>'BECA MEDIA'!K309</f>
        <v>0</v>
      </c>
    </row>
    <row r="2139" spans="1:8" x14ac:dyDescent="0.3">
      <c r="A2139" t="s">
        <v>688</v>
      </c>
      <c r="B2139" t="s">
        <v>327</v>
      </c>
      <c r="C2139" t="s">
        <v>334</v>
      </c>
      <c r="D2139" t="s">
        <v>689</v>
      </c>
      <c r="E2139" t="s">
        <v>768</v>
      </c>
      <c r="F2139">
        <v>3</v>
      </c>
      <c r="G2139" s="308">
        <f>'BECA MEDIA'!M309</f>
        <v>6.8</v>
      </c>
      <c r="H2139" s="308">
        <f>'BECA MEDIA'!N309</f>
        <v>17000</v>
      </c>
    </row>
    <row r="2140" spans="1:8" x14ac:dyDescent="0.3">
      <c r="A2140" t="s">
        <v>688</v>
      </c>
      <c r="B2140" t="s">
        <v>327</v>
      </c>
      <c r="C2140" t="s">
        <v>334</v>
      </c>
      <c r="D2140" t="s">
        <v>689</v>
      </c>
      <c r="E2140" t="s">
        <v>769</v>
      </c>
      <c r="F2140">
        <v>4</v>
      </c>
      <c r="G2140" s="308">
        <f>'BECA MEDIA'!P309</f>
        <v>1.2</v>
      </c>
      <c r="H2140" s="308">
        <f>'BECA MEDIA'!Q309</f>
        <v>3000</v>
      </c>
    </row>
    <row r="2141" spans="1:8" x14ac:dyDescent="0.3">
      <c r="A2141" t="s">
        <v>688</v>
      </c>
      <c r="B2141" t="s">
        <v>327</v>
      </c>
      <c r="C2141" t="s">
        <v>334</v>
      </c>
      <c r="D2141" t="s">
        <v>689</v>
      </c>
      <c r="E2141" t="s">
        <v>770</v>
      </c>
      <c r="F2141">
        <v>5</v>
      </c>
      <c r="G2141" s="308">
        <f>'BECA MEDIA'!S309</f>
        <v>0</v>
      </c>
      <c r="H2141" s="308">
        <f>'BECA MEDIA'!T309</f>
        <v>0</v>
      </c>
    </row>
    <row r="2142" spans="1:8" x14ac:dyDescent="0.3">
      <c r="A2142" t="s">
        <v>688</v>
      </c>
      <c r="B2142" t="s">
        <v>327</v>
      </c>
      <c r="C2142" t="s">
        <v>334</v>
      </c>
      <c r="D2142" t="s">
        <v>689</v>
      </c>
      <c r="E2142" t="s">
        <v>771</v>
      </c>
      <c r="F2142">
        <v>6</v>
      </c>
      <c r="G2142" s="308">
        <f>'BECA MEDIA'!V309</f>
        <v>7.6</v>
      </c>
      <c r="H2142" s="308">
        <f>'BECA MEDIA'!W309</f>
        <v>19000</v>
      </c>
    </row>
    <row r="2143" spans="1:8" x14ac:dyDescent="0.3">
      <c r="A2143" t="s">
        <v>688</v>
      </c>
      <c r="B2143" t="s">
        <v>327</v>
      </c>
      <c r="C2143" t="s">
        <v>334</v>
      </c>
      <c r="D2143" t="s">
        <v>689</v>
      </c>
      <c r="E2143" t="s">
        <v>772</v>
      </c>
      <c r="F2143">
        <v>7</v>
      </c>
      <c r="G2143" s="308">
        <f>'BECA MEDIA'!Y309</f>
        <v>0</v>
      </c>
      <c r="H2143" s="308">
        <f>'BECA MEDIA'!Z309</f>
        <v>0</v>
      </c>
    </row>
    <row r="2144" spans="1:8" x14ac:dyDescent="0.3">
      <c r="A2144" t="s">
        <v>688</v>
      </c>
      <c r="B2144" t="s">
        <v>327</v>
      </c>
      <c r="C2144" t="s">
        <v>335</v>
      </c>
      <c r="D2144" t="s">
        <v>689</v>
      </c>
      <c r="E2144" t="s">
        <v>766</v>
      </c>
      <c r="F2144">
        <v>1</v>
      </c>
      <c r="G2144" s="308">
        <f>'BECA MEDIA'!G310</f>
        <v>0</v>
      </c>
      <c r="H2144" s="308">
        <f>'BECA MEDIA'!H310</f>
        <v>0</v>
      </c>
    </row>
    <row r="2145" spans="1:8" x14ac:dyDescent="0.3">
      <c r="A2145" t="s">
        <v>688</v>
      </c>
      <c r="B2145" t="s">
        <v>327</v>
      </c>
      <c r="C2145" t="s">
        <v>335</v>
      </c>
      <c r="D2145" t="s">
        <v>689</v>
      </c>
      <c r="E2145" t="s">
        <v>767</v>
      </c>
      <c r="F2145">
        <v>2</v>
      </c>
      <c r="G2145" s="308">
        <f>'BECA MEDIA'!J310</f>
        <v>0</v>
      </c>
      <c r="H2145" s="308">
        <f>'BECA MEDIA'!K310</f>
        <v>0</v>
      </c>
    </row>
    <row r="2146" spans="1:8" x14ac:dyDescent="0.3">
      <c r="A2146" t="s">
        <v>688</v>
      </c>
      <c r="B2146" t="s">
        <v>327</v>
      </c>
      <c r="C2146" t="s">
        <v>335</v>
      </c>
      <c r="D2146" t="s">
        <v>689</v>
      </c>
      <c r="E2146" t="s">
        <v>768</v>
      </c>
      <c r="F2146">
        <v>3</v>
      </c>
      <c r="G2146" s="308">
        <f>'BECA MEDIA'!M310</f>
        <v>2.4</v>
      </c>
      <c r="H2146" s="308">
        <f>'BECA MEDIA'!N310</f>
        <v>6000</v>
      </c>
    </row>
    <row r="2147" spans="1:8" x14ac:dyDescent="0.3">
      <c r="A2147" t="s">
        <v>688</v>
      </c>
      <c r="B2147" t="s">
        <v>327</v>
      </c>
      <c r="C2147" t="s">
        <v>335</v>
      </c>
      <c r="D2147" t="s">
        <v>689</v>
      </c>
      <c r="E2147" t="s">
        <v>769</v>
      </c>
      <c r="F2147">
        <v>4</v>
      </c>
      <c r="G2147" s="308">
        <f>'BECA MEDIA'!P310</f>
        <v>3.2</v>
      </c>
      <c r="H2147" s="308">
        <f>'BECA MEDIA'!Q310</f>
        <v>8000</v>
      </c>
    </row>
    <row r="2148" spans="1:8" x14ac:dyDescent="0.3">
      <c r="A2148" t="s">
        <v>688</v>
      </c>
      <c r="B2148" t="s">
        <v>327</v>
      </c>
      <c r="C2148" t="s">
        <v>335</v>
      </c>
      <c r="D2148" t="s">
        <v>689</v>
      </c>
      <c r="E2148" t="s">
        <v>770</v>
      </c>
      <c r="F2148">
        <v>5</v>
      </c>
      <c r="G2148" s="308">
        <f>'BECA MEDIA'!S310</f>
        <v>0</v>
      </c>
      <c r="H2148" s="308">
        <f>'BECA MEDIA'!T310</f>
        <v>0</v>
      </c>
    </row>
    <row r="2149" spans="1:8" x14ac:dyDescent="0.3">
      <c r="A2149" t="s">
        <v>688</v>
      </c>
      <c r="B2149" t="s">
        <v>327</v>
      </c>
      <c r="C2149" t="s">
        <v>335</v>
      </c>
      <c r="D2149" t="s">
        <v>689</v>
      </c>
      <c r="E2149" t="s">
        <v>771</v>
      </c>
      <c r="F2149">
        <v>6</v>
      </c>
      <c r="G2149" s="308">
        <f>'BECA MEDIA'!V310</f>
        <v>5.2</v>
      </c>
      <c r="H2149" s="308">
        <f>'BECA MEDIA'!W310</f>
        <v>13000</v>
      </c>
    </row>
    <row r="2150" spans="1:8" x14ac:dyDescent="0.3">
      <c r="A2150" t="s">
        <v>688</v>
      </c>
      <c r="B2150" t="s">
        <v>327</v>
      </c>
      <c r="C2150" t="s">
        <v>335</v>
      </c>
      <c r="D2150" t="s">
        <v>689</v>
      </c>
      <c r="E2150" t="s">
        <v>772</v>
      </c>
      <c r="F2150">
        <v>7</v>
      </c>
      <c r="G2150" s="308">
        <f>'BECA MEDIA'!Y310</f>
        <v>0</v>
      </c>
      <c r="H2150" s="308">
        <f>'BECA MEDIA'!Z310</f>
        <v>0</v>
      </c>
    </row>
    <row r="2151" spans="1:8" x14ac:dyDescent="0.3">
      <c r="A2151" t="s">
        <v>688</v>
      </c>
      <c r="B2151" t="s">
        <v>327</v>
      </c>
      <c r="C2151" t="s">
        <v>336</v>
      </c>
      <c r="D2151" t="s">
        <v>689</v>
      </c>
      <c r="E2151" t="s">
        <v>766</v>
      </c>
      <c r="F2151">
        <v>1</v>
      </c>
      <c r="G2151" s="308">
        <f>'BECA MEDIA'!G311</f>
        <v>0</v>
      </c>
      <c r="H2151" s="308">
        <f>'BECA MEDIA'!H311</f>
        <v>0</v>
      </c>
    </row>
    <row r="2152" spans="1:8" x14ac:dyDescent="0.3">
      <c r="A2152" t="s">
        <v>688</v>
      </c>
      <c r="B2152" t="s">
        <v>327</v>
      </c>
      <c r="C2152" t="s">
        <v>336</v>
      </c>
      <c r="D2152" t="s">
        <v>689</v>
      </c>
      <c r="E2152" t="s">
        <v>767</v>
      </c>
      <c r="F2152">
        <v>2</v>
      </c>
      <c r="G2152" s="308">
        <f>'BECA MEDIA'!J311</f>
        <v>0</v>
      </c>
      <c r="H2152" s="308">
        <f>'BECA MEDIA'!K311</f>
        <v>0</v>
      </c>
    </row>
    <row r="2153" spans="1:8" x14ac:dyDescent="0.3">
      <c r="A2153" t="s">
        <v>688</v>
      </c>
      <c r="B2153" t="s">
        <v>327</v>
      </c>
      <c r="C2153" t="s">
        <v>336</v>
      </c>
      <c r="D2153" t="s">
        <v>689</v>
      </c>
      <c r="E2153" t="s">
        <v>768</v>
      </c>
      <c r="F2153">
        <v>3</v>
      </c>
      <c r="G2153" s="308">
        <f>'BECA MEDIA'!M311</f>
        <v>4.4000000000000004</v>
      </c>
      <c r="H2153" s="308">
        <f>'BECA MEDIA'!N311</f>
        <v>11000</v>
      </c>
    </row>
    <row r="2154" spans="1:8" x14ac:dyDescent="0.3">
      <c r="A2154" t="s">
        <v>688</v>
      </c>
      <c r="B2154" t="s">
        <v>327</v>
      </c>
      <c r="C2154" t="s">
        <v>336</v>
      </c>
      <c r="D2154" t="s">
        <v>689</v>
      </c>
      <c r="E2154" t="s">
        <v>769</v>
      </c>
      <c r="F2154">
        <v>4</v>
      </c>
      <c r="G2154" s="308">
        <f>'BECA MEDIA'!P311</f>
        <v>1.2</v>
      </c>
      <c r="H2154" s="308">
        <f>'BECA MEDIA'!Q311</f>
        <v>3000</v>
      </c>
    </row>
    <row r="2155" spans="1:8" x14ac:dyDescent="0.3">
      <c r="A2155" t="s">
        <v>688</v>
      </c>
      <c r="B2155" t="s">
        <v>327</v>
      </c>
      <c r="C2155" t="s">
        <v>336</v>
      </c>
      <c r="D2155" t="s">
        <v>689</v>
      </c>
      <c r="E2155" t="s">
        <v>770</v>
      </c>
      <c r="F2155">
        <v>5</v>
      </c>
      <c r="G2155" s="308">
        <f>'BECA MEDIA'!S311</f>
        <v>0</v>
      </c>
      <c r="H2155" s="308">
        <f>'BECA MEDIA'!T311</f>
        <v>0</v>
      </c>
    </row>
    <row r="2156" spans="1:8" x14ac:dyDescent="0.3">
      <c r="A2156" t="s">
        <v>688</v>
      </c>
      <c r="B2156" t="s">
        <v>327</v>
      </c>
      <c r="C2156" t="s">
        <v>336</v>
      </c>
      <c r="D2156" t="s">
        <v>689</v>
      </c>
      <c r="E2156" t="s">
        <v>771</v>
      </c>
      <c r="F2156">
        <v>6</v>
      </c>
      <c r="G2156" s="308">
        <f>'BECA MEDIA'!V311</f>
        <v>6</v>
      </c>
      <c r="H2156" s="308">
        <f>'BECA MEDIA'!W311</f>
        <v>15000</v>
      </c>
    </row>
    <row r="2157" spans="1:8" x14ac:dyDescent="0.3">
      <c r="A2157" t="s">
        <v>688</v>
      </c>
      <c r="B2157" t="s">
        <v>327</v>
      </c>
      <c r="C2157" t="s">
        <v>336</v>
      </c>
      <c r="D2157" t="s">
        <v>689</v>
      </c>
      <c r="E2157" t="s">
        <v>772</v>
      </c>
      <c r="F2157">
        <v>7</v>
      </c>
      <c r="G2157" s="308">
        <f>'BECA MEDIA'!Y311</f>
        <v>0</v>
      </c>
      <c r="H2157" s="308">
        <f>'BECA MEDIA'!Z311</f>
        <v>0</v>
      </c>
    </row>
    <row r="2158" spans="1:8" x14ac:dyDescent="0.3">
      <c r="A2158" t="s">
        <v>688</v>
      </c>
      <c r="B2158" t="s">
        <v>327</v>
      </c>
      <c r="C2158" t="s">
        <v>337</v>
      </c>
      <c r="D2158" t="s">
        <v>689</v>
      </c>
      <c r="E2158" t="s">
        <v>766</v>
      </c>
      <c r="F2158">
        <v>1</v>
      </c>
      <c r="G2158" s="308">
        <f>'BECA MEDIA'!G312</f>
        <v>0</v>
      </c>
      <c r="H2158" s="308">
        <f>'BECA MEDIA'!H312</f>
        <v>0</v>
      </c>
    </row>
    <row r="2159" spans="1:8" x14ac:dyDescent="0.3">
      <c r="A2159" t="s">
        <v>688</v>
      </c>
      <c r="B2159" t="s">
        <v>327</v>
      </c>
      <c r="C2159" t="s">
        <v>337</v>
      </c>
      <c r="D2159" t="s">
        <v>689</v>
      </c>
      <c r="E2159" t="s">
        <v>767</v>
      </c>
      <c r="F2159">
        <v>2</v>
      </c>
      <c r="G2159" s="308">
        <f>'BECA MEDIA'!J312</f>
        <v>0</v>
      </c>
      <c r="H2159" s="308">
        <f>'BECA MEDIA'!K312</f>
        <v>0</v>
      </c>
    </row>
    <row r="2160" spans="1:8" x14ac:dyDescent="0.3">
      <c r="A2160" t="s">
        <v>688</v>
      </c>
      <c r="B2160" t="s">
        <v>327</v>
      </c>
      <c r="C2160" t="s">
        <v>337</v>
      </c>
      <c r="D2160" t="s">
        <v>689</v>
      </c>
      <c r="E2160" t="s">
        <v>768</v>
      </c>
      <c r="F2160">
        <v>3</v>
      </c>
      <c r="G2160" s="308">
        <f>'BECA MEDIA'!M312</f>
        <v>3.2</v>
      </c>
      <c r="H2160" s="308">
        <f>'BECA MEDIA'!N312</f>
        <v>8000</v>
      </c>
    </row>
    <row r="2161" spans="1:8" x14ac:dyDescent="0.3">
      <c r="A2161" t="s">
        <v>688</v>
      </c>
      <c r="B2161" t="s">
        <v>327</v>
      </c>
      <c r="C2161" t="s">
        <v>337</v>
      </c>
      <c r="D2161" t="s">
        <v>689</v>
      </c>
      <c r="E2161" t="s">
        <v>769</v>
      </c>
      <c r="F2161">
        <v>4</v>
      </c>
      <c r="G2161" s="308">
        <f>'BECA MEDIA'!P312</f>
        <v>2.8</v>
      </c>
      <c r="H2161" s="308">
        <f>'BECA MEDIA'!Q312</f>
        <v>7000</v>
      </c>
    </row>
    <row r="2162" spans="1:8" x14ac:dyDescent="0.3">
      <c r="A2162" t="s">
        <v>688</v>
      </c>
      <c r="B2162" t="s">
        <v>327</v>
      </c>
      <c r="C2162" t="s">
        <v>337</v>
      </c>
      <c r="D2162" t="s">
        <v>689</v>
      </c>
      <c r="E2162" t="s">
        <v>770</v>
      </c>
      <c r="F2162">
        <v>5</v>
      </c>
      <c r="G2162" s="308">
        <f>'BECA MEDIA'!S312</f>
        <v>0</v>
      </c>
      <c r="H2162" s="308">
        <f>'BECA MEDIA'!T312</f>
        <v>0</v>
      </c>
    </row>
    <row r="2163" spans="1:8" x14ac:dyDescent="0.3">
      <c r="A2163" t="s">
        <v>688</v>
      </c>
      <c r="B2163" t="s">
        <v>327</v>
      </c>
      <c r="C2163" t="s">
        <v>337</v>
      </c>
      <c r="D2163" t="s">
        <v>689</v>
      </c>
      <c r="E2163" t="s">
        <v>771</v>
      </c>
      <c r="F2163">
        <v>6</v>
      </c>
      <c r="G2163" s="308">
        <f>'BECA MEDIA'!V312</f>
        <v>6</v>
      </c>
      <c r="H2163" s="308">
        <f>'BECA MEDIA'!W312</f>
        <v>15000</v>
      </c>
    </row>
    <row r="2164" spans="1:8" x14ac:dyDescent="0.3">
      <c r="A2164" t="s">
        <v>688</v>
      </c>
      <c r="B2164" t="s">
        <v>327</v>
      </c>
      <c r="C2164" t="s">
        <v>337</v>
      </c>
      <c r="D2164" t="s">
        <v>689</v>
      </c>
      <c r="E2164" t="s">
        <v>772</v>
      </c>
      <c r="F2164">
        <v>7</v>
      </c>
      <c r="G2164" s="308">
        <f>'BECA MEDIA'!Y312</f>
        <v>0</v>
      </c>
      <c r="H2164" s="308">
        <f>'BECA MEDIA'!Z312</f>
        <v>0</v>
      </c>
    </row>
    <row r="2165" spans="1:8" x14ac:dyDescent="0.3">
      <c r="A2165" t="s">
        <v>688</v>
      </c>
      <c r="B2165" t="s">
        <v>327</v>
      </c>
      <c r="C2165" t="s">
        <v>338</v>
      </c>
      <c r="D2165" t="s">
        <v>689</v>
      </c>
      <c r="E2165" t="s">
        <v>766</v>
      </c>
      <c r="F2165">
        <v>1</v>
      </c>
      <c r="G2165" s="308">
        <f>'BECA MEDIA'!G313</f>
        <v>0</v>
      </c>
      <c r="H2165" s="308">
        <f>'BECA MEDIA'!H313</f>
        <v>0</v>
      </c>
    </row>
    <row r="2166" spans="1:8" x14ac:dyDescent="0.3">
      <c r="A2166" t="s">
        <v>688</v>
      </c>
      <c r="B2166" t="s">
        <v>327</v>
      </c>
      <c r="C2166" t="s">
        <v>338</v>
      </c>
      <c r="D2166" t="s">
        <v>689</v>
      </c>
      <c r="E2166" t="s">
        <v>767</v>
      </c>
      <c r="F2166">
        <v>2</v>
      </c>
      <c r="G2166" s="308">
        <f>'BECA MEDIA'!J313</f>
        <v>0</v>
      </c>
      <c r="H2166" s="308">
        <f>'BECA MEDIA'!K313</f>
        <v>0</v>
      </c>
    </row>
    <row r="2167" spans="1:8" x14ac:dyDescent="0.3">
      <c r="A2167" t="s">
        <v>688</v>
      </c>
      <c r="B2167" t="s">
        <v>327</v>
      </c>
      <c r="C2167" t="s">
        <v>338</v>
      </c>
      <c r="D2167" t="s">
        <v>689</v>
      </c>
      <c r="E2167" t="s">
        <v>768</v>
      </c>
      <c r="F2167">
        <v>3</v>
      </c>
      <c r="G2167" s="308">
        <f>'BECA MEDIA'!M313</f>
        <v>7.6</v>
      </c>
      <c r="H2167" s="308">
        <f>'BECA MEDIA'!N313</f>
        <v>19000</v>
      </c>
    </row>
    <row r="2168" spans="1:8" x14ac:dyDescent="0.3">
      <c r="A2168" t="s">
        <v>688</v>
      </c>
      <c r="B2168" t="s">
        <v>327</v>
      </c>
      <c r="C2168" t="s">
        <v>338</v>
      </c>
      <c r="D2168" t="s">
        <v>689</v>
      </c>
      <c r="E2168" t="s">
        <v>769</v>
      </c>
      <c r="F2168">
        <v>4</v>
      </c>
      <c r="G2168" s="308">
        <f>'BECA MEDIA'!P313</f>
        <v>0.8</v>
      </c>
      <c r="H2168" s="308">
        <f>'BECA MEDIA'!Q313</f>
        <v>2000</v>
      </c>
    </row>
    <row r="2169" spans="1:8" x14ac:dyDescent="0.3">
      <c r="A2169" t="s">
        <v>688</v>
      </c>
      <c r="B2169" t="s">
        <v>327</v>
      </c>
      <c r="C2169" t="s">
        <v>338</v>
      </c>
      <c r="D2169" t="s">
        <v>689</v>
      </c>
      <c r="E2169" t="s">
        <v>770</v>
      </c>
      <c r="F2169">
        <v>5</v>
      </c>
      <c r="G2169" s="308">
        <f>'BECA MEDIA'!S313</f>
        <v>0</v>
      </c>
      <c r="H2169" s="308">
        <f>'BECA MEDIA'!T313</f>
        <v>0</v>
      </c>
    </row>
    <row r="2170" spans="1:8" x14ac:dyDescent="0.3">
      <c r="A2170" t="s">
        <v>688</v>
      </c>
      <c r="B2170" t="s">
        <v>327</v>
      </c>
      <c r="C2170" t="s">
        <v>338</v>
      </c>
      <c r="D2170" t="s">
        <v>689</v>
      </c>
      <c r="E2170" t="s">
        <v>771</v>
      </c>
      <c r="F2170">
        <v>6</v>
      </c>
      <c r="G2170" s="308">
        <f>'BECA MEDIA'!V313</f>
        <v>8.4</v>
      </c>
      <c r="H2170" s="308">
        <f>'BECA MEDIA'!W313</f>
        <v>21000</v>
      </c>
    </row>
    <row r="2171" spans="1:8" x14ac:dyDescent="0.3">
      <c r="A2171" t="s">
        <v>688</v>
      </c>
      <c r="B2171" t="s">
        <v>327</v>
      </c>
      <c r="C2171" t="s">
        <v>338</v>
      </c>
      <c r="D2171" t="s">
        <v>689</v>
      </c>
      <c r="E2171" t="s">
        <v>772</v>
      </c>
      <c r="F2171">
        <v>7</v>
      </c>
      <c r="G2171" s="308">
        <f>'BECA MEDIA'!Y313</f>
        <v>0</v>
      </c>
      <c r="H2171" s="308">
        <f>'BECA MEDIA'!Z313</f>
        <v>0</v>
      </c>
    </row>
    <row r="2172" spans="1:8" x14ac:dyDescent="0.3">
      <c r="A2172" t="s">
        <v>688</v>
      </c>
      <c r="B2172" t="s">
        <v>327</v>
      </c>
      <c r="C2172" t="s">
        <v>339</v>
      </c>
      <c r="D2172" t="s">
        <v>689</v>
      </c>
      <c r="E2172" t="s">
        <v>766</v>
      </c>
      <c r="F2172">
        <v>1</v>
      </c>
      <c r="G2172" s="308">
        <f>'BECA MEDIA'!G314</f>
        <v>0</v>
      </c>
      <c r="H2172" s="308">
        <f>'BECA MEDIA'!H314</f>
        <v>0</v>
      </c>
    </row>
    <row r="2173" spans="1:8" x14ac:dyDescent="0.3">
      <c r="A2173" t="s">
        <v>688</v>
      </c>
      <c r="B2173" t="s">
        <v>327</v>
      </c>
      <c r="C2173" t="s">
        <v>339</v>
      </c>
      <c r="D2173" t="s">
        <v>689</v>
      </c>
      <c r="E2173" t="s">
        <v>767</v>
      </c>
      <c r="F2173">
        <v>2</v>
      </c>
      <c r="G2173" s="308">
        <f>'BECA MEDIA'!J314</f>
        <v>0</v>
      </c>
      <c r="H2173" s="308">
        <f>'BECA MEDIA'!K314</f>
        <v>0</v>
      </c>
    </row>
    <row r="2174" spans="1:8" x14ac:dyDescent="0.3">
      <c r="A2174" t="s">
        <v>688</v>
      </c>
      <c r="B2174" t="s">
        <v>327</v>
      </c>
      <c r="C2174" t="s">
        <v>339</v>
      </c>
      <c r="D2174" t="s">
        <v>689</v>
      </c>
      <c r="E2174" t="s">
        <v>768</v>
      </c>
      <c r="F2174">
        <v>3</v>
      </c>
      <c r="G2174" s="308">
        <f>'BECA MEDIA'!M314</f>
        <v>6</v>
      </c>
      <c r="H2174" s="308">
        <f>'BECA MEDIA'!N314</f>
        <v>15000</v>
      </c>
    </row>
    <row r="2175" spans="1:8" x14ac:dyDescent="0.3">
      <c r="A2175" t="s">
        <v>688</v>
      </c>
      <c r="B2175" t="s">
        <v>327</v>
      </c>
      <c r="C2175" t="s">
        <v>339</v>
      </c>
      <c r="D2175" t="s">
        <v>689</v>
      </c>
      <c r="E2175" t="s">
        <v>769</v>
      </c>
      <c r="F2175">
        <v>4</v>
      </c>
      <c r="G2175" s="308">
        <f>'BECA MEDIA'!P314</f>
        <v>2.8</v>
      </c>
      <c r="H2175" s="308">
        <f>'BECA MEDIA'!Q314</f>
        <v>7000</v>
      </c>
    </row>
    <row r="2176" spans="1:8" x14ac:dyDescent="0.3">
      <c r="A2176" t="s">
        <v>688</v>
      </c>
      <c r="B2176" t="s">
        <v>327</v>
      </c>
      <c r="C2176" t="s">
        <v>339</v>
      </c>
      <c r="D2176" t="s">
        <v>689</v>
      </c>
      <c r="E2176" t="s">
        <v>770</v>
      </c>
      <c r="F2176">
        <v>5</v>
      </c>
      <c r="G2176" s="308">
        <f>'BECA MEDIA'!S314</f>
        <v>0</v>
      </c>
      <c r="H2176" s="308">
        <f>'BECA MEDIA'!T314</f>
        <v>0</v>
      </c>
    </row>
    <row r="2177" spans="1:8" x14ac:dyDescent="0.3">
      <c r="A2177" t="s">
        <v>688</v>
      </c>
      <c r="B2177" t="s">
        <v>327</v>
      </c>
      <c r="C2177" t="s">
        <v>339</v>
      </c>
      <c r="D2177" t="s">
        <v>689</v>
      </c>
      <c r="E2177" t="s">
        <v>771</v>
      </c>
      <c r="F2177">
        <v>6</v>
      </c>
      <c r="G2177" s="308">
        <f>'BECA MEDIA'!V314</f>
        <v>8.4</v>
      </c>
      <c r="H2177" s="308">
        <f>'BECA MEDIA'!W314</f>
        <v>21000</v>
      </c>
    </row>
    <row r="2178" spans="1:8" x14ac:dyDescent="0.3">
      <c r="A2178" t="s">
        <v>688</v>
      </c>
      <c r="B2178" t="s">
        <v>327</v>
      </c>
      <c r="C2178" t="s">
        <v>339</v>
      </c>
      <c r="D2178" t="s">
        <v>689</v>
      </c>
      <c r="E2178" t="s">
        <v>772</v>
      </c>
      <c r="F2178">
        <v>7</v>
      </c>
      <c r="G2178" s="308">
        <f>'BECA MEDIA'!Y314</f>
        <v>0</v>
      </c>
      <c r="H2178" s="308">
        <f>'BECA MEDIA'!Z314</f>
        <v>0</v>
      </c>
    </row>
    <row r="2179" spans="1:8" x14ac:dyDescent="0.3">
      <c r="A2179" t="s">
        <v>688</v>
      </c>
      <c r="B2179" t="s">
        <v>327</v>
      </c>
      <c r="C2179" t="s">
        <v>340</v>
      </c>
      <c r="D2179" t="s">
        <v>689</v>
      </c>
      <c r="E2179" t="s">
        <v>766</v>
      </c>
      <c r="F2179">
        <v>1</v>
      </c>
      <c r="G2179" s="308">
        <f>'BECA MEDIA'!G315</f>
        <v>0</v>
      </c>
      <c r="H2179" s="308">
        <f>'BECA MEDIA'!H315</f>
        <v>0</v>
      </c>
    </row>
    <row r="2180" spans="1:8" x14ac:dyDescent="0.3">
      <c r="A2180" t="s">
        <v>688</v>
      </c>
      <c r="B2180" t="s">
        <v>327</v>
      </c>
      <c r="C2180" t="s">
        <v>340</v>
      </c>
      <c r="D2180" t="s">
        <v>689</v>
      </c>
      <c r="E2180" t="s">
        <v>767</v>
      </c>
      <c r="F2180">
        <v>2</v>
      </c>
      <c r="G2180" s="308">
        <f>'BECA MEDIA'!J315</f>
        <v>0</v>
      </c>
      <c r="H2180" s="308">
        <f>'BECA MEDIA'!K315</f>
        <v>0</v>
      </c>
    </row>
    <row r="2181" spans="1:8" x14ac:dyDescent="0.3">
      <c r="A2181" t="s">
        <v>688</v>
      </c>
      <c r="B2181" t="s">
        <v>327</v>
      </c>
      <c r="C2181" t="s">
        <v>340</v>
      </c>
      <c r="D2181" t="s">
        <v>689</v>
      </c>
      <c r="E2181" t="s">
        <v>768</v>
      </c>
      <c r="F2181">
        <v>3</v>
      </c>
      <c r="G2181" s="308">
        <f>'BECA MEDIA'!M315</f>
        <v>10.8</v>
      </c>
      <c r="H2181" s="308">
        <f>'BECA MEDIA'!N315</f>
        <v>27000</v>
      </c>
    </row>
    <row r="2182" spans="1:8" x14ac:dyDescent="0.3">
      <c r="A2182" t="s">
        <v>688</v>
      </c>
      <c r="B2182" t="s">
        <v>327</v>
      </c>
      <c r="C2182" t="s">
        <v>340</v>
      </c>
      <c r="D2182" t="s">
        <v>689</v>
      </c>
      <c r="E2182" t="s">
        <v>769</v>
      </c>
      <c r="F2182">
        <v>4</v>
      </c>
      <c r="G2182" s="308">
        <f>'BECA MEDIA'!P315</f>
        <v>1.6</v>
      </c>
      <c r="H2182" s="308">
        <f>'BECA MEDIA'!Q315</f>
        <v>4000</v>
      </c>
    </row>
    <row r="2183" spans="1:8" x14ac:dyDescent="0.3">
      <c r="A2183" t="s">
        <v>688</v>
      </c>
      <c r="B2183" t="s">
        <v>327</v>
      </c>
      <c r="C2183" t="s">
        <v>340</v>
      </c>
      <c r="D2183" t="s">
        <v>689</v>
      </c>
      <c r="E2183" t="s">
        <v>770</v>
      </c>
      <c r="F2183">
        <v>5</v>
      </c>
      <c r="G2183" s="308">
        <f>'BECA MEDIA'!S315</f>
        <v>0</v>
      </c>
      <c r="H2183" s="308">
        <f>'BECA MEDIA'!T315</f>
        <v>0</v>
      </c>
    </row>
    <row r="2184" spans="1:8" x14ac:dyDescent="0.3">
      <c r="A2184" t="s">
        <v>688</v>
      </c>
      <c r="B2184" t="s">
        <v>327</v>
      </c>
      <c r="C2184" t="s">
        <v>340</v>
      </c>
      <c r="D2184" t="s">
        <v>689</v>
      </c>
      <c r="E2184" t="s">
        <v>771</v>
      </c>
      <c r="F2184">
        <v>6</v>
      </c>
      <c r="G2184" s="308">
        <f>'BECA MEDIA'!V315</f>
        <v>12.4</v>
      </c>
      <c r="H2184" s="308">
        <f>'BECA MEDIA'!W315</f>
        <v>31000</v>
      </c>
    </row>
    <row r="2185" spans="1:8" x14ac:dyDescent="0.3">
      <c r="A2185" t="s">
        <v>688</v>
      </c>
      <c r="B2185" t="s">
        <v>327</v>
      </c>
      <c r="C2185" t="s">
        <v>340</v>
      </c>
      <c r="D2185" t="s">
        <v>689</v>
      </c>
      <c r="E2185" t="s">
        <v>772</v>
      </c>
      <c r="F2185">
        <v>7</v>
      </c>
      <c r="G2185" s="308">
        <f>'BECA MEDIA'!Y315</f>
        <v>0</v>
      </c>
      <c r="H2185" s="308">
        <f>'BECA MEDIA'!Z315</f>
        <v>0</v>
      </c>
    </row>
    <row r="2186" spans="1:8" x14ac:dyDescent="0.3">
      <c r="A2186" t="s">
        <v>688</v>
      </c>
      <c r="B2186" t="s">
        <v>327</v>
      </c>
      <c r="C2186" t="s">
        <v>341</v>
      </c>
      <c r="D2186" t="s">
        <v>689</v>
      </c>
      <c r="E2186" t="s">
        <v>766</v>
      </c>
      <c r="F2186">
        <v>1</v>
      </c>
      <c r="G2186" s="308">
        <f>'BECA MEDIA'!G316</f>
        <v>0</v>
      </c>
      <c r="H2186" s="308">
        <f>'BECA MEDIA'!H316</f>
        <v>0</v>
      </c>
    </row>
    <row r="2187" spans="1:8" x14ac:dyDescent="0.3">
      <c r="A2187" t="s">
        <v>688</v>
      </c>
      <c r="B2187" t="s">
        <v>327</v>
      </c>
      <c r="C2187" t="s">
        <v>341</v>
      </c>
      <c r="D2187" t="s">
        <v>689</v>
      </c>
      <c r="E2187" t="s">
        <v>767</v>
      </c>
      <c r="F2187">
        <v>2</v>
      </c>
      <c r="G2187" s="308">
        <f>'BECA MEDIA'!J316</f>
        <v>0</v>
      </c>
      <c r="H2187" s="308">
        <f>'BECA MEDIA'!K316</f>
        <v>0</v>
      </c>
    </row>
    <row r="2188" spans="1:8" x14ac:dyDescent="0.3">
      <c r="A2188" t="s">
        <v>688</v>
      </c>
      <c r="B2188" t="s">
        <v>327</v>
      </c>
      <c r="C2188" t="s">
        <v>341</v>
      </c>
      <c r="D2188" t="s">
        <v>689</v>
      </c>
      <c r="E2188" t="s">
        <v>768</v>
      </c>
      <c r="F2188">
        <v>3</v>
      </c>
      <c r="G2188" s="308">
        <f>'BECA MEDIA'!M316</f>
        <v>10</v>
      </c>
      <c r="H2188" s="308">
        <f>'BECA MEDIA'!N316</f>
        <v>25000</v>
      </c>
    </row>
    <row r="2189" spans="1:8" x14ac:dyDescent="0.3">
      <c r="A2189" t="s">
        <v>688</v>
      </c>
      <c r="B2189" t="s">
        <v>327</v>
      </c>
      <c r="C2189" t="s">
        <v>341</v>
      </c>
      <c r="D2189" t="s">
        <v>689</v>
      </c>
      <c r="E2189" t="s">
        <v>769</v>
      </c>
      <c r="F2189">
        <v>4</v>
      </c>
      <c r="G2189" s="308">
        <f>'BECA MEDIA'!P316</f>
        <v>3.2</v>
      </c>
      <c r="H2189" s="308">
        <f>'BECA MEDIA'!Q316</f>
        <v>8000</v>
      </c>
    </row>
    <row r="2190" spans="1:8" x14ac:dyDescent="0.3">
      <c r="A2190" t="s">
        <v>688</v>
      </c>
      <c r="B2190" t="s">
        <v>327</v>
      </c>
      <c r="C2190" t="s">
        <v>341</v>
      </c>
      <c r="D2190" t="s">
        <v>689</v>
      </c>
      <c r="E2190" t="s">
        <v>770</v>
      </c>
      <c r="F2190">
        <v>5</v>
      </c>
      <c r="G2190" s="308">
        <f>'BECA MEDIA'!S316</f>
        <v>0</v>
      </c>
      <c r="H2190" s="308">
        <f>'BECA MEDIA'!T316</f>
        <v>0</v>
      </c>
    </row>
    <row r="2191" spans="1:8" x14ac:dyDescent="0.3">
      <c r="A2191" t="s">
        <v>688</v>
      </c>
      <c r="B2191" t="s">
        <v>327</v>
      </c>
      <c r="C2191" t="s">
        <v>341</v>
      </c>
      <c r="D2191" t="s">
        <v>689</v>
      </c>
      <c r="E2191" t="s">
        <v>771</v>
      </c>
      <c r="F2191">
        <v>6</v>
      </c>
      <c r="G2191" s="308">
        <f>'BECA MEDIA'!V316</f>
        <v>12.8</v>
      </c>
      <c r="H2191" s="308">
        <f>'BECA MEDIA'!W316</f>
        <v>32000</v>
      </c>
    </row>
    <row r="2192" spans="1:8" x14ac:dyDescent="0.3">
      <c r="A2192" t="s">
        <v>688</v>
      </c>
      <c r="B2192" t="s">
        <v>327</v>
      </c>
      <c r="C2192" t="s">
        <v>341</v>
      </c>
      <c r="D2192" t="s">
        <v>689</v>
      </c>
      <c r="E2192" t="s">
        <v>772</v>
      </c>
      <c r="F2192">
        <v>7</v>
      </c>
      <c r="G2192" s="308">
        <f>'BECA MEDIA'!Y316</f>
        <v>0</v>
      </c>
      <c r="H2192" s="308">
        <f>'BECA MEDIA'!Z316</f>
        <v>0</v>
      </c>
    </row>
    <row r="2193" spans="1:8" x14ac:dyDescent="0.3">
      <c r="A2193" t="s">
        <v>688</v>
      </c>
      <c r="B2193" t="s">
        <v>327</v>
      </c>
      <c r="C2193" t="s">
        <v>283</v>
      </c>
      <c r="D2193" t="s">
        <v>689</v>
      </c>
      <c r="E2193" t="s">
        <v>766</v>
      </c>
      <c r="F2193">
        <v>1</v>
      </c>
      <c r="G2193" s="308">
        <f>'BECA MEDIA'!G317</f>
        <v>0</v>
      </c>
      <c r="H2193" s="308">
        <f>'BECA MEDIA'!H317</f>
        <v>0</v>
      </c>
    </row>
    <row r="2194" spans="1:8" x14ac:dyDescent="0.3">
      <c r="A2194" t="s">
        <v>688</v>
      </c>
      <c r="B2194" t="s">
        <v>327</v>
      </c>
      <c r="C2194" t="s">
        <v>283</v>
      </c>
      <c r="D2194" t="s">
        <v>689</v>
      </c>
      <c r="E2194" t="s">
        <v>767</v>
      </c>
      <c r="F2194">
        <v>2</v>
      </c>
      <c r="G2194" s="308">
        <f>'BECA MEDIA'!J317</f>
        <v>0</v>
      </c>
      <c r="H2194" s="308">
        <f>'BECA MEDIA'!K317</f>
        <v>0</v>
      </c>
    </row>
    <row r="2195" spans="1:8" x14ac:dyDescent="0.3">
      <c r="A2195" t="s">
        <v>688</v>
      </c>
      <c r="B2195" t="s">
        <v>327</v>
      </c>
      <c r="C2195" t="s">
        <v>283</v>
      </c>
      <c r="D2195" t="s">
        <v>689</v>
      </c>
      <c r="E2195" t="s">
        <v>768</v>
      </c>
      <c r="F2195">
        <v>3</v>
      </c>
      <c r="G2195" s="308">
        <f>'BECA MEDIA'!M317</f>
        <v>8</v>
      </c>
      <c r="H2195" s="308">
        <f>'BECA MEDIA'!N317</f>
        <v>20000</v>
      </c>
    </row>
    <row r="2196" spans="1:8" x14ac:dyDescent="0.3">
      <c r="A2196" t="s">
        <v>688</v>
      </c>
      <c r="B2196" t="s">
        <v>327</v>
      </c>
      <c r="C2196" t="s">
        <v>283</v>
      </c>
      <c r="D2196" t="s">
        <v>689</v>
      </c>
      <c r="E2196" t="s">
        <v>769</v>
      </c>
      <c r="F2196">
        <v>4</v>
      </c>
      <c r="G2196" s="308">
        <f>'BECA MEDIA'!P317</f>
        <v>2.4</v>
      </c>
      <c r="H2196" s="308">
        <f>'BECA MEDIA'!Q317</f>
        <v>6000</v>
      </c>
    </row>
    <row r="2197" spans="1:8" x14ac:dyDescent="0.3">
      <c r="A2197" t="s">
        <v>688</v>
      </c>
      <c r="B2197" t="s">
        <v>327</v>
      </c>
      <c r="C2197" t="s">
        <v>283</v>
      </c>
      <c r="D2197" t="s">
        <v>689</v>
      </c>
      <c r="E2197" t="s">
        <v>770</v>
      </c>
      <c r="F2197">
        <v>5</v>
      </c>
      <c r="G2197" s="308">
        <f>'BECA MEDIA'!S317</f>
        <v>0</v>
      </c>
      <c r="H2197" s="308">
        <f>'BECA MEDIA'!T317</f>
        <v>0</v>
      </c>
    </row>
    <row r="2198" spans="1:8" x14ac:dyDescent="0.3">
      <c r="A2198" t="s">
        <v>688</v>
      </c>
      <c r="B2198" t="s">
        <v>327</v>
      </c>
      <c r="C2198" t="s">
        <v>283</v>
      </c>
      <c r="D2198" t="s">
        <v>689</v>
      </c>
      <c r="E2198" t="s">
        <v>771</v>
      </c>
      <c r="F2198">
        <v>6</v>
      </c>
      <c r="G2198" s="308">
        <f>'BECA MEDIA'!V317</f>
        <v>10.4</v>
      </c>
      <c r="H2198" s="308">
        <f>'BECA MEDIA'!W317</f>
        <v>26000</v>
      </c>
    </row>
    <row r="2199" spans="1:8" x14ac:dyDescent="0.3">
      <c r="A2199" t="s">
        <v>688</v>
      </c>
      <c r="B2199" t="s">
        <v>327</v>
      </c>
      <c r="C2199" t="s">
        <v>283</v>
      </c>
      <c r="D2199" t="s">
        <v>689</v>
      </c>
      <c r="E2199" t="s">
        <v>772</v>
      </c>
      <c r="F2199">
        <v>7</v>
      </c>
      <c r="G2199" s="308">
        <f>'BECA MEDIA'!Y317</f>
        <v>0</v>
      </c>
      <c r="H2199" s="308">
        <f>'BECA MEDIA'!Z317</f>
        <v>0</v>
      </c>
    </row>
    <row r="2200" spans="1:8" x14ac:dyDescent="0.3">
      <c r="A2200" t="s">
        <v>688</v>
      </c>
      <c r="B2200" t="s">
        <v>327</v>
      </c>
      <c r="C2200" t="s">
        <v>342</v>
      </c>
      <c r="D2200" t="s">
        <v>689</v>
      </c>
      <c r="E2200" t="s">
        <v>766</v>
      </c>
      <c r="F2200">
        <v>1</v>
      </c>
      <c r="G2200" s="308">
        <f>'BECA MEDIA'!G318</f>
        <v>0</v>
      </c>
      <c r="H2200" s="308">
        <f>'BECA MEDIA'!H318</f>
        <v>0</v>
      </c>
    </row>
    <row r="2201" spans="1:8" x14ac:dyDescent="0.3">
      <c r="A2201" t="s">
        <v>688</v>
      </c>
      <c r="B2201" t="s">
        <v>327</v>
      </c>
      <c r="C2201" t="s">
        <v>342</v>
      </c>
      <c r="D2201" t="s">
        <v>689</v>
      </c>
      <c r="E2201" t="s">
        <v>767</v>
      </c>
      <c r="F2201">
        <v>2</v>
      </c>
      <c r="G2201" s="308">
        <f>'BECA MEDIA'!J318</f>
        <v>0</v>
      </c>
      <c r="H2201" s="308">
        <f>'BECA MEDIA'!K318</f>
        <v>0</v>
      </c>
    </row>
    <row r="2202" spans="1:8" x14ac:dyDescent="0.3">
      <c r="A2202" t="s">
        <v>688</v>
      </c>
      <c r="B2202" t="s">
        <v>327</v>
      </c>
      <c r="C2202" t="s">
        <v>342</v>
      </c>
      <c r="D2202" t="s">
        <v>689</v>
      </c>
      <c r="E2202" t="s">
        <v>768</v>
      </c>
      <c r="F2202">
        <v>3</v>
      </c>
      <c r="G2202" s="308">
        <f>'BECA MEDIA'!M318</f>
        <v>6.4</v>
      </c>
      <c r="H2202" s="308">
        <f>'BECA MEDIA'!N318</f>
        <v>16000</v>
      </c>
    </row>
    <row r="2203" spans="1:8" x14ac:dyDescent="0.3">
      <c r="A2203" t="s">
        <v>688</v>
      </c>
      <c r="B2203" t="s">
        <v>327</v>
      </c>
      <c r="C2203" t="s">
        <v>342</v>
      </c>
      <c r="D2203" t="s">
        <v>689</v>
      </c>
      <c r="E2203" t="s">
        <v>769</v>
      </c>
      <c r="F2203">
        <v>4</v>
      </c>
      <c r="G2203" s="308">
        <f>'BECA MEDIA'!P318</f>
        <v>1.6</v>
      </c>
      <c r="H2203" s="308">
        <f>'BECA MEDIA'!Q318</f>
        <v>4000</v>
      </c>
    </row>
    <row r="2204" spans="1:8" x14ac:dyDescent="0.3">
      <c r="A2204" t="s">
        <v>688</v>
      </c>
      <c r="B2204" t="s">
        <v>327</v>
      </c>
      <c r="C2204" t="s">
        <v>342</v>
      </c>
      <c r="D2204" t="s">
        <v>689</v>
      </c>
      <c r="E2204" t="s">
        <v>770</v>
      </c>
      <c r="F2204">
        <v>5</v>
      </c>
      <c r="G2204" s="308">
        <f>'BECA MEDIA'!S318</f>
        <v>0</v>
      </c>
      <c r="H2204" s="308">
        <f>'BECA MEDIA'!T318</f>
        <v>0</v>
      </c>
    </row>
    <row r="2205" spans="1:8" x14ac:dyDescent="0.3">
      <c r="A2205" t="s">
        <v>688</v>
      </c>
      <c r="B2205" t="s">
        <v>327</v>
      </c>
      <c r="C2205" t="s">
        <v>342</v>
      </c>
      <c r="D2205" t="s">
        <v>689</v>
      </c>
      <c r="E2205" t="s">
        <v>771</v>
      </c>
      <c r="F2205">
        <v>6</v>
      </c>
      <c r="G2205" s="308">
        <f>'BECA MEDIA'!V318</f>
        <v>8</v>
      </c>
      <c r="H2205" s="308">
        <f>'BECA MEDIA'!W318</f>
        <v>20000</v>
      </c>
    </row>
    <row r="2206" spans="1:8" x14ac:dyDescent="0.3">
      <c r="A2206" t="s">
        <v>688</v>
      </c>
      <c r="B2206" t="s">
        <v>327</v>
      </c>
      <c r="C2206" t="s">
        <v>342</v>
      </c>
      <c r="D2206" t="s">
        <v>689</v>
      </c>
      <c r="E2206" t="s">
        <v>772</v>
      </c>
      <c r="F2206">
        <v>7</v>
      </c>
      <c r="G2206" s="308">
        <f>'BECA MEDIA'!Y318</f>
        <v>0</v>
      </c>
      <c r="H2206" s="308">
        <f>'BECA MEDIA'!Z318</f>
        <v>0</v>
      </c>
    </row>
    <row r="2207" spans="1:8" x14ac:dyDescent="0.3">
      <c r="A2207" t="s">
        <v>688</v>
      </c>
      <c r="B2207" t="s">
        <v>327</v>
      </c>
      <c r="C2207" t="s">
        <v>343</v>
      </c>
      <c r="D2207" t="s">
        <v>689</v>
      </c>
      <c r="E2207" t="s">
        <v>766</v>
      </c>
      <c r="F2207">
        <v>1</v>
      </c>
      <c r="G2207" s="308">
        <f>'BECA MEDIA'!G319</f>
        <v>0</v>
      </c>
      <c r="H2207" s="308">
        <f>'BECA MEDIA'!H319</f>
        <v>0</v>
      </c>
    </row>
    <row r="2208" spans="1:8" x14ac:dyDescent="0.3">
      <c r="A2208" t="s">
        <v>688</v>
      </c>
      <c r="B2208" t="s">
        <v>327</v>
      </c>
      <c r="C2208" t="s">
        <v>343</v>
      </c>
      <c r="D2208" t="s">
        <v>689</v>
      </c>
      <c r="E2208" t="s">
        <v>767</v>
      </c>
      <c r="F2208">
        <v>2</v>
      </c>
      <c r="G2208" s="308">
        <f>'BECA MEDIA'!J319</f>
        <v>0</v>
      </c>
      <c r="H2208" s="308">
        <f>'BECA MEDIA'!K319</f>
        <v>0</v>
      </c>
    </row>
    <row r="2209" spans="1:8" x14ac:dyDescent="0.3">
      <c r="A2209" t="s">
        <v>688</v>
      </c>
      <c r="B2209" t="s">
        <v>327</v>
      </c>
      <c r="C2209" t="s">
        <v>343</v>
      </c>
      <c r="D2209" t="s">
        <v>689</v>
      </c>
      <c r="E2209" t="s">
        <v>768</v>
      </c>
      <c r="F2209">
        <v>3</v>
      </c>
      <c r="G2209" s="308">
        <f>'BECA MEDIA'!M319</f>
        <v>3.2</v>
      </c>
      <c r="H2209" s="308">
        <f>'BECA MEDIA'!N319</f>
        <v>8000</v>
      </c>
    </row>
    <row r="2210" spans="1:8" x14ac:dyDescent="0.3">
      <c r="A2210" t="s">
        <v>688</v>
      </c>
      <c r="B2210" t="s">
        <v>327</v>
      </c>
      <c r="C2210" t="s">
        <v>343</v>
      </c>
      <c r="D2210" t="s">
        <v>689</v>
      </c>
      <c r="E2210" t="s">
        <v>769</v>
      </c>
      <c r="F2210">
        <v>4</v>
      </c>
      <c r="G2210" s="308">
        <f>'BECA MEDIA'!P319</f>
        <v>2</v>
      </c>
      <c r="H2210" s="308">
        <f>'BECA MEDIA'!Q319</f>
        <v>5000</v>
      </c>
    </row>
    <row r="2211" spans="1:8" x14ac:dyDescent="0.3">
      <c r="A2211" t="s">
        <v>688</v>
      </c>
      <c r="B2211" t="s">
        <v>327</v>
      </c>
      <c r="C2211" t="s">
        <v>343</v>
      </c>
      <c r="D2211" t="s">
        <v>689</v>
      </c>
      <c r="E2211" t="s">
        <v>770</v>
      </c>
      <c r="F2211">
        <v>5</v>
      </c>
      <c r="G2211" s="308">
        <f>'BECA MEDIA'!S319</f>
        <v>0</v>
      </c>
      <c r="H2211" s="308">
        <f>'BECA MEDIA'!T319</f>
        <v>0</v>
      </c>
    </row>
    <row r="2212" spans="1:8" x14ac:dyDescent="0.3">
      <c r="A2212" t="s">
        <v>688</v>
      </c>
      <c r="B2212" t="s">
        <v>327</v>
      </c>
      <c r="C2212" t="s">
        <v>343</v>
      </c>
      <c r="D2212" t="s">
        <v>689</v>
      </c>
      <c r="E2212" t="s">
        <v>771</v>
      </c>
      <c r="F2212">
        <v>6</v>
      </c>
      <c r="G2212" s="308">
        <f>'BECA MEDIA'!V319</f>
        <v>4.8</v>
      </c>
      <c r="H2212" s="308">
        <f>'BECA MEDIA'!W319</f>
        <v>12000</v>
      </c>
    </row>
    <row r="2213" spans="1:8" x14ac:dyDescent="0.3">
      <c r="A2213" t="s">
        <v>688</v>
      </c>
      <c r="B2213" t="s">
        <v>327</v>
      </c>
      <c r="C2213" t="s">
        <v>343</v>
      </c>
      <c r="D2213" t="s">
        <v>689</v>
      </c>
      <c r="E2213" t="s">
        <v>772</v>
      </c>
      <c r="F2213">
        <v>7</v>
      </c>
      <c r="G2213" s="308">
        <f>'BECA MEDIA'!Y319</f>
        <v>0</v>
      </c>
      <c r="H2213" s="308">
        <f>'BECA MEDIA'!Z319</f>
        <v>0</v>
      </c>
    </row>
    <row r="2214" spans="1:8" x14ac:dyDescent="0.3">
      <c r="A2214" t="s">
        <v>688</v>
      </c>
      <c r="B2214" t="s">
        <v>327</v>
      </c>
      <c r="C2214" t="s">
        <v>142</v>
      </c>
      <c r="D2214" t="s">
        <v>689</v>
      </c>
      <c r="E2214" t="s">
        <v>766</v>
      </c>
      <c r="F2214">
        <v>1</v>
      </c>
      <c r="G2214" s="308">
        <f>'BECA MEDIA'!G320</f>
        <v>0</v>
      </c>
      <c r="H2214" s="308">
        <f>'BECA MEDIA'!H320</f>
        <v>0</v>
      </c>
    </row>
    <row r="2215" spans="1:8" x14ac:dyDescent="0.3">
      <c r="A2215" t="s">
        <v>688</v>
      </c>
      <c r="B2215" t="s">
        <v>327</v>
      </c>
      <c r="C2215" t="s">
        <v>142</v>
      </c>
      <c r="D2215" t="s">
        <v>689</v>
      </c>
      <c r="E2215" t="s">
        <v>767</v>
      </c>
      <c r="F2215">
        <v>2</v>
      </c>
      <c r="G2215" s="308">
        <f>'BECA MEDIA'!J320</f>
        <v>0</v>
      </c>
      <c r="H2215" s="308">
        <f>'BECA MEDIA'!K320</f>
        <v>0</v>
      </c>
    </row>
    <row r="2216" spans="1:8" x14ac:dyDescent="0.3">
      <c r="A2216" t="s">
        <v>688</v>
      </c>
      <c r="B2216" t="s">
        <v>327</v>
      </c>
      <c r="C2216" t="s">
        <v>142</v>
      </c>
      <c r="D2216" t="s">
        <v>689</v>
      </c>
      <c r="E2216" t="s">
        <v>768</v>
      </c>
      <c r="F2216">
        <v>3</v>
      </c>
      <c r="G2216" s="308">
        <f>'BECA MEDIA'!M320</f>
        <v>8</v>
      </c>
      <c r="H2216" s="308">
        <f>'BECA MEDIA'!N320</f>
        <v>22000</v>
      </c>
    </row>
    <row r="2217" spans="1:8" x14ac:dyDescent="0.3">
      <c r="A2217" t="s">
        <v>688</v>
      </c>
      <c r="B2217" t="s">
        <v>327</v>
      </c>
      <c r="C2217" t="s">
        <v>142</v>
      </c>
      <c r="D2217" t="s">
        <v>689</v>
      </c>
      <c r="E2217" t="s">
        <v>769</v>
      </c>
      <c r="F2217">
        <v>4</v>
      </c>
      <c r="G2217" s="308">
        <f>'BECA MEDIA'!P320</f>
        <v>1.6</v>
      </c>
      <c r="H2217" s="308">
        <f>'BECA MEDIA'!Q320</f>
        <v>4000</v>
      </c>
    </row>
    <row r="2218" spans="1:8" x14ac:dyDescent="0.3">
      <c r="A2218" t="s">
        <v>688</v>
      </c>
      <c r="B2218" t="s">
        <v>327</v>
      </c>
      <c r="C2218" t="s">
        <v>142</v>
      </c>
      <c r="D2218" t="s">
        <v>689</v>
      </c>
      <c r="E2218" t="s">
        <v>770</v>
      </c>
      <c r="F2218">
        <v>5</v>
      </c>
      <c r="G2218" s="308">
        <f>'BECA MEDIA'!S320</f>
        <v>0</v>
      </c>
      <c r="H2218" s="308">
        <f>'BECA MEDIA'!T320</f>
        <v>0</v>
      </c>
    </row>
    <row r="2219" spans="1:8" x14ac:dyDescent="0.3">
      <c r="A2219" t="s">
        <v>688</v>
      </c>
      <c r="B2219" t="s">
        <v>327</v>
      </c>
      <c r="C2219" t="s">
        <v>142</v>
      </c>
      <c r="D2219" t="s">
        <v>689</v>
      </c>
      <c r="E2219" t="s">
        <v>771</v>
      </c>
      <c r="F2219">
        <v>6</v>
      </c>
      <c r="G2219" s="308">
        <f>'BECA MEDIA'!V320</f>
        <v>10.4</v>
      </c>
      <c r="H2219" s="308">
        <f>'BECA MEDIA'!W320</f>
        <v>26000</v>
      </c>
    </row>
    <row r="2220" spans="1:8" x14ac:dyDescent="0.3">
      <c r="A2220" t="s">
        <v>688</v>
      </c>
      <c r="B2220" t="s">
        <v>327</v>
      </c>
      <c r="C2220" t="s">
        <v>142</v>
      </c>
      <c r="D2220" t="s">
        <v>689</v>
      </c>
      <c r="E2220" t="s">
        <v>772</v>
      </c>
      <c r="F2220">
        <v>7</v>
      </c>
      <c r="G2220" s="308">
        <f>'BECA MEDIA'!Y320</f>
        <v>0</v>
      </c>
      <c r="H2220" s="308">
        <f>'BECA MEDIA'!Z320</f>
        <v>0</v>
      </c>
    </row>
    <row r="2221" spans="1:8" x14ac:dyDescent="0.3">
      <c r="A2221" t="s">
        <v>688</v>
      </c>
      <c r="B2221" t="s">
        <v>327</v>
      </c>
      <c r="C2221" t="s">
        <v>344</v>
      </c>
      <c r="D2221" t="s">
        <v>689</v>
      </c>
      <c r="E2221" t="s">
        <v>766</v>
      </c>
      <c r="F2221">
        <v>1</v>
      </c>
      <c r="G2221" s="308">
        <f>'BECA MEDIA'!G321</f>
        <v>0</v>
      </c>
      <c r="H2221" s="308">
        <f>'BECA MEDIA'!H321</f>
        <v>0</v>
      </c>
    </row>
    <row r="2222" spans="1:8" x14ac:dyDescent="0.3">
      <c r="A2222" t="s">
        <v>688</v>
      </c>
      <c r="B2222" t="s">
        <v>327</v>
      </c>
      <c r="C2222" t="s">
        <v>344</v>
      </c>
      <c r="D2222" t="s">
        <v>689</v>
      </c>
      <c r="E2222" t="s">
        <v>767</v>
      </c>
      <c r="F2222">
        <v>2</v>
      </c>
      <c r="G2222" s="308">
        <f>'BECA MEDIA'!J321</f>
        <v>0</v>
      </c>
      <c r="H2222" s="308">
        <f>'BECA MEDIA'!K321</f>
        <v>0</v>
      </c>
    </row>
    <row r="2223" spans="1:8" x14ac:dyDescent="0.3">
      <c r="A2223" t="s">
        <v>688</v>
      </c>
      <c r="B2223" t="s">
        <v>327</v>
      </c>
      <c r="C2223" t="s">
        <v>344</v>
      </c>
      <c r="D2223" t="s">
        <v>689</v>
      </c>
      <c r="E2223" t="s">
        <v>768</v>
      </c>
      <c r="F2223">
        <v>3</v>
      </c>
      <c r="G2223" s="308">
        <f>'BECA MEDIA'!M321</f>
        <v>6.8</v>
      </c>
      <c r="H2223" s="308">
        <f>'BECA MEDIA'!N321</f>
        <v>17000</v>
      </c>
    </row>
    <row r="2224" spans="1:8" x14ac:dyDescent="0.3">
      <c r="A2224" t="s">
        <v>688</v>
      </c>
      <c r="B2224" t="s">
        <v>327</v>
      </c>
      <c r="C2224" t="s">
        <v>344</v>
      </c>
      <c r="D2224" t="s">
        <v>689</v>
      </c>
      <c r="E2224" t="s">
        <v>769</v>
      </c>
      <c r="F2224">
        <v>4</v>
      </c>
      <c r="G2224" s="308">
        <f>'BECA MEDIA'!P321</f>
        <v>1.6</v>
      </c>
      <c r="H2224" s="308">
        <f>'BECA MEDIA'!Q321</f>
        <v>4000</v>
      </c>
    </row>
    <row r="2225" spans="1:8" x14ac:dyDescent="0.3">
      <c r="A2225" t="s">
        <v>688</v>
      </c>
      <c r="B2225" t="s">
        <v>327</v>
      </c>
      <c r="C2225" t="s">
        <v>344</v>
      </c>
      <c r="D2225" t="s">
        <v>689</v>
      </c>
      <c r="E2225" t="s">
        <v>770</v>
      </c>
      <c r="F2225">
        <v>5</v>
      </c>
      <c r="G2225" s="308">
        <f>'BECA MEDIA'!S321</f>
        <v>0</v>
      </c>
      <c r="H2225" s="308">
        <f>'BECA MEDIA'!T321</f>
        <v>0</v>
      </c>
    </row>
    <row r="2226" spans="1:8" x14ac:dyDescent="0.3">
      <c r="A2226" t="s">
        <v>688</v>
      </c>
      <c r="B2226" t="s">
        <v>327</v>
      </c>
      <c r="C2226" t="s">
        <v>344</v>
      </c>
      <c r="D2226" t="s">
        <v>689</v>
      </c>
      <c r="E2226" t="s">
        <v>771</v>
      </c>
      <c r="F2226">
        <v>6</v>
      </c>
      <c r="G2226" s="308">
        <f>'BECA MEDIA'!V321</f>
        <v>8.4</v>
      </c>
      <c r="H2226" s="308">
        <f>'BECA MEDIA'!W321</f>
        <v>21000</v>
      </c>
    </row>
    <row r="2227" spans="1:8" x14ac:dyDescent="0.3">
      <c r="A2227" t="s">
        <v>688</v>
      </c>
      <c r="B2227" t="s">
        <v>327</v>
      </c>
      <c r="C2227" t="s">
        <v>344</v>
      </c>
      <c r="D2227" t="s">
        <v>689</v>
      </c>
      <c r="E2227" t="s">
        <v>772</v>
      </c>
      <c r="F2227">
        <v>7</v>
      </c>
      <c r="G2227" s="308">
        <f>'BECA MEDIA'!Y321</f>
        <v>0</v>
      </c>
      <c r="H2227" s="308">
        <f>'BECA MEDIA'!Z321</f>
        <v>0</v>
      </c>
    </row>
    <row r="2228" spans="1:8" x14ac:dyDescent="0.3">
      <c r="A2228" t="s">
        <v>688</v>
      </c>
      <c r="B2228" t="s">
        <v>327</v>
      </c>
      <c r="C2228" t="s">
        <v>345</v>
      </c>
      <c r="D2228" t="s">
        <v>689</v>
      </c>
      <c r="E2228" t="s">
        <v>766</v>
      </c>
      <c r="F2228">
        <v>1</v>
      </c>
      <c r="G2228" s="308">
        <f>'BECA MEDIA'!G322</f>
        <v>0</v>
      </c>
      <c r="H2228" s="308">
        <f>'BECA MEDIA'!H322</f>
        <v>0</v>
      </c>
    </row>
    <row r="2229" spans="1:8" x14ac:dyDescent="0.3">
      <c r="A2229" t="s">
        <v>688</v>
      </c>
      <c r="B2229" t="s">
        <v>327</v>
      </c>
      <c r="C2229" t="s">
        <v>345</v>
      </c>
      <c r="D2229" t="s">
        <v>689</v>
      </c>
      <c r="E2229" t="s">
        <v>767</v>
      </c>
      <c r="F2229">
        <v>2</v>
      </c>
      <c r="G2229" s="308">
        <f>'BECA MEDIA'!J322</f>
        <v>0</v>
      </c>
      <c r="H2229" s="308">
        <f>'BECA MEDIA'!K322</f>
        <v>0</v>
      </c>
    </row>
    <row r="2230" spans="1:8" x14ac:dyDescent="0.3">
      <c r="A2230" t="s">
        <v>688</v>
      </c>
      <c r="B2230" t="s">
        <v>327</v>
      </c>
      <c r="C2230" t="s">
        <v>345</v>
      </c>
      <c r="D2230" t="s">
        <v>689</v>
      </c>
      <c r="E2230" t="s">
        <v>768</v>
      </c>
      <c r="F2230">
        <v>3</v>
      </c>
      <c r="G2230" s="308">
        <f>'BECA MEDIA'!M322</f>
        <v>6.4</v>
      </c>
      <c r="H2230" s="308">
        <f>'BECA MEDIA'!N322</f>
        <v>16000</v>
      </c>
    </row>
    <row r="2231" spans="1:8" x14ac:dyDescent="0.3">
      <c r="A2231" t="s">
        <v>688</v>
      </c>
      <c r="B2231" t="s">
        <v>327</v>
      </c>
      <c r="C2231" t="s">
        <v>345</v>
      </c>
      <c r="D2231" t="s">
        <v>689</v>
      </c>
      <c r="E2231" t="s">
        <v>769</v>
      </c>
      <c r="F2231">
        <v>4</v>
      </c>
      <c r="G2231" s="308">
        <f>'BECA MEDIA'!P322</f>
        <v>2</v>
      </c>
      <c r="H2231" s="308">
        <f>'BECA MEDIA'!Q322</f>
        <v>5000</v>
      </c>
    </row>
    <row r="2232" spans="1:8" x14ac:dyDescent="0.3">
      <c r="A2232" t="s">
        <v>688</v>
      </c>
      <c r="B2232" t="s">
        <v>327</v>
      </c>
      <c r="C2232" t="s">
        <v>345</v>
      </c>
      <c r="D2232" t="s">
        <v>689</v>
      </c>
      <c r="E2232" t="s">
        <v>770</v>
      </c>
      <c r="F2232">
        <v>5</v>
      </c>
      <c r="G2232" s="308">
        <f>'BECA MEDIA'!S322</f>
        <v>0</v>
      </c>
      <c r="H2232" s="308">
        <f>'BECA MEDIA'!T322</f>
        <v>0</v>
      </c>
    </row>
    <row r="2233" spans="1:8" x14ac:dyDescent="0.3">
      <c r="A2233" t="s">
        <v>688</v>
      </c>
      <c r="B2233" t="s">
        <v>327</v>
      </c>
      <c r="C2233" t="s">
        <v>345</v>
      </c>
      <c r="D2233" t="s">
        <v>689</v>
      </c>
      <c r="E2233" t="s">
        <v>771</v>
      </c>
      <c r="F2233">
        <v>6</v>
      </c>
      <c r="G2233" s="308">
        <f>'BECA MEDIA'!V322</f>
        <v>8.4</v>
      </c>
      <c r="H2233" s="308">
        <f>'BECA MEDIA'!W322</f>
        <v>21000</v>
      </c>
    </row>
    <row r="2234" spans="1:8" x14ac:dyDescent="0.3">
      <c r="A2234" t="s">
        <v>688</v>
      </c>
      <c r="B2234" t="s">
        <v>327</v>
      </c>
      <c r="C2234" t="s">
        <v>345</v>
      </c>
      <c r="D2234" t="s">
        <v>689</v>
      </c>
      <c r="E2234" t="s">
        <v>772</v>
      </c>
      <c r="F2234">
        <v>7</v>
      </c>
      <c r="G2234" s="308">
        <f>'BECA MEDIA'!Y322</f>
        <v>0</v>
      </c>
      <c r="H2234" s="308">
        <f>'BECA MEDIA'!Z322</f>
        <v>0</v>
      </c>
    </row>
    <row r="2235" spans="1:8" x14ac:dyDescent="0.3">
      <c r="A2235" t="s">
        <v>688</v>
      </c>
      <c r="B2235" t="s">
        <v>327</v>
      </c>
      <c r="C2235" t="s">
        <v>346</v>
      </c>
      <c r="D2235" t="s">
        <v>689</v>
      </c>
      <c r="E2235" t="s">
        <v>766</v>
      </c>
      <c r="F2235">
        <v>1</v>
      </c>
      <c r="G2235" s="308">
        <f>'BECA MEDIA'!G323</f>
        <v>0</v>
      </c>
      <c r="H2235" s="308">
        <f>'BECA MEDIA'!H323</f>
        <v>0</v>
      </c>
    </row>
    <row r="2236" spans="1:8" x14ac:dyDescent="0.3">
      <c r="A2236" t="s">
        <v>688</v>
      </c>
      <c r="B2236" t="s">
        <v>327</v>
      </c>
      <c r="C2236" t="s">
        <v>346</v>
      </c>
      <c r="D2236" t="s">
        <v>689</v>
      </c>
      <c r="E2236" t="s">
        <v>767</v>
      </c>
      <c r="F2236">
        <v>2</v>
      </c>
      <c r="G2236" s="308">
        <f>'BECA MEDIA'!J323</f>
        <v>0</v>
      </c>
      <c r="H2236" s="308">
        <f>'BECA MEDIA'!K323</f>
        <v>0</v>
      </c>
    </row>
    <row r="2237" spans="1:8" x14ac:dyDescent="0.3">
      <c r="A2237" t="s">
        <v>688</v>
      </c>
      <c r="B2237" t="s">
        <v>327</v>
      </c>
      <c r="C2237" t="s">
        <v>346</v>
      </c>
      <c r="D2237" t="s">
        <v>689</v>
      </c>
      <c r="E2237" t="s">
        <v>768</v>
      </c>
      <c r="F2237">
        <v>3</v>
      </c>
      <c r="G2237" s="308">
        <f>'BECA MEDIA'!M323</f>
        <v>5</v>
      </c>
      <c r="H2237" s="308">
        <f>'BECA MEDIA'!N323</f>
        <v>14000</v>
      </c>
    </row>
    <row r="2238" spans="1:8" x14ac:dyDescent="0.3">
      <c r="A2238" t="s">
        <v>688</v>
      </c>
      <c r="B2238" t="s">
        <v>327</v>
      </c>
      <c r="C2238" t="s">
        <v>346</v>
      </c>
      <c r="D2238" t="s">
        <v>689</v>
      </c>
      <c r="E2238" t="s">
        <v>769</v>
      </c>
      <c r="F2238">
        <v>4</v>
      </c>
      <c r="G2238" s="308">
        <f>'BECA MEDIA'!P323</f>
        <v>1.2</v>
      </c>
      <c r="H2238" s="308">
        <f>'BECA MEDIA'!Q323</f>
        <v>3000</v>
      </c>
    </row>
    <row r="2239" spans="1:8" x14ac:dyDescent="0.3">
      <c r="A2239" t="s">
        <v>688</v>
      </c>
      <c r="B2239" t="s">
        <v>327</v>
      </c>
      <c r="C2239" t="s">
        <v>346</v>
      </c>
      <c r="D2239" t="s">
        <v>689</v>
      </c>
      <c r="E2239" t="s">
        <v>770</v>
      </c>
      <c r="F2239">
        <v>5</v>
      </c>
      <c r="G2239" s="308">
        <f>'BECA MEDIA'!S323</f>
        <v>0</v>
      </c>
      <c r="H2239" s="308">
        <f>'BECA MEDIA'!T323</f>
        <v>0</v>
      </c>
    </row>
    <row r="2240" spans="1:8" x14ac:dyDescent="0.3">
      <c r="A2240" t="s">
        <v>688</v>
      </c>
      <c r="B2240" t="s">
        <v>327</v>
      </c>
      <c r="C2240" t="s">
        <v>346</v>
      </c>
      <c r="D2240" t="s">
        <v>689</v>
      </c>
      <c r="E2240" t="s">
        <v>771</v>
      </c>
      <c r="F2240">
        <v>6</v>
      </c>
      <c r="G2240" s="308">
        <f>'BECA MEDIA'!V323</f>
        <v>6.8</v>
      </c>
      <c r="H2240" s="308">
        <f>'BECA MEDIA'!W323</f>
        <v>17000</v>
      </c>
    </row>
    <row r="2241" spans="1:8" x14ac:dyDescent="0.3">
      <c r="A2241" t="s">
        <v>688</v>
      </c>
      <c r="B2241" t="s">
        <v>327</v>
      </c>
      <c r="C2241" t="s">
        <v>346</v>
      </c>
      <c r="D2241" t="s">
        <v>689</v>
      </c>
      <c r="E2241" t="s">
        <v>772</v>
      </c>
      <c r="F2241">
        <v>7</v>
      </c>
      <c r="G2241" s="308">
        <f>'BECA MEDIA'!Y323</f>
        <v>0</v>
      </c>
      <c r="H2241" s="308">
        <f>'BECA MEDIA'!Z323</f>
        <v>0</v>
      </c>
    </row>
    <row r="2242" spans="1:8" x14ac:dyDescent="0.3">
      <c r="A2242" t="s">
        <v>688</v>
      </c>
      <c r="B2242" t="s">
        <v>347</v>
      </c>
      <c r="C2242" t="s">
        <v>348</v>
      </c>
      <c r="D2242" t="s">
        <v>689</v>
      </c>
      <c r="E2242" t="s">
        <v>766</v>
      </c>
      <c r="F2242">
        <v>1</v>
      </c>
      <c r="G2242" s="308">
        <f>'BECA MEDIA'!G324</f>
        <v>0</v>
      </c>
      <c r="H2242" s="308">
        <f>'BECA MEDIA'!H324</f>
        <v>0</v>
      </c>
    </row>
    <row r="2243" spans="1:8" x14ac:dyDescent="0.3">
      <c r="A2243" t="s">
        <v>688</v>
      </c>
      <c r="B2243" t="s">
        <v>347</v>
      </c>
      <c r="C2243" t="s">
        <v>348</v>
      </c>
      <c r="D2243" t="s">
        <v>689</v>
      </c>
      <c r="E2243" t="s">
        <v>767</v>
      </c>
      <c r="F2243">
        <v>2</v>
      </c>
      <c r="G2243" s="308">
        <f>'BECA MEDIA'!J324</f>
        <v>0</v>
      </c>
      <c r="H2243" s="308">
        <f>'BECA MEDIA'!K324</f>
        <v>0</v>
      </c>
    </row>
    <row r="2244" spans="1:8" x14ac:dyDescent="0.3">
      <c r="A2244" t="s">
        <v>688</v>
      </c>
      <c r="B2244" t="s">
        <v>347</v>
      </c>
      <c r="C2244" t="s">
        <v>348</v>
      </c>
      <c r="D2244" t="s">
        <v>689</v>
      </c>
      <c r="E2244" t="s">
        <v>768</v>
      </c>
      <c r="F2244">
        <v>3</v>
      </c>
      <c r="G2244" s="308">
        <f>'BECA MEDIA'!M324</f>
        <v>5</v>
      </c>
      <c r="H2244" s="308">
        <f>'BECA MEDIA'!N324</f>
        <v>14000</v>
      </c>
    </row>
    <row r="2245" spans="1:8" x14ac:dyDescent="0.3">
      <c r="A2245" t="s">
        <v>688</v>
      </c>
      <c r="B2245" t="s">
        <v>347</v>
      </c>
      <c r="C2245" t="s">
        <v>348</v>
      </c>
      <c r="D2245" t="s">
        <v>689</v>
      </c>
      <c r="E2245" t="s">
        <v>769</v>
      </c>
      <c r="F2245">
        <v>4</v>
      </c>
      <c r="G2245" s="308">
        <f>'BECA MEDIA'!P324</f>
        <v>2.8</v>
      </c>
      <c r="H2245" s="308">
        <f>'BECA MEDIA'!Q324</f>
        <v>7000</v>
      </c>
    </row>
    <row r="2246" spans="1:8" x14ac:dyDescent="0.3">
      <c r="A2246" t="s">
        <v>688</v>
      </c>
      <c r="B2246" t="s">
        <v>347</v>
      </c>
      <c r="C2246" t="s">
        <v>348</v>
      </c>
      <c r="D2246" t="s">
        <v>689</v>
      </c>
      <c r="E2246" t="s">
        <v>770</v>
      </c>
      <c r="F2246">
        <v>5</v>
      </c>
      <c r="G2246" s="308">
        <f>'BECA MEDIA'!S324</f>
        <v>0</v>
      </c>
      <c r="H2246" s="308">
        <f>'BECA MEDIA'!T324</f>
        <v>0</v>
      </c>
    </row>
    <row r="2247" spans="1:8" x14ac:dyDescent="0.3">
      <c r="A2247" t="s">
        <v>688</v>
      </c>
      <c r="B2247" t="s">
        <v>347</v>
      </c>
      <c r="C2247" t="s">
        <v>348</v>
      </c>
      <c r="D2247" t="s">
        <v>689</v>
      </c>
      <c r="E2247" t="s">
        <v>771</v>
      </c>
      <c r="F2247">
        <v>6</v>
      </c>
      <c r="G2247" s="308">
        <f>'BECA MEDIA'!V324</f>
        <v>8.4</v>
      </c>
      <c r="H2247" s="308">
        <f>'BECA MEDIA'!W324</f>
        <v>21000</v>
      </c>
    </row>
    <row r="2248" spans="1:8" x14ac:dyDescent="0.3">
      <c r="A2248" t="s">
        <v>688</v>
      </c>
      <c r="B2248" t="s">
        <v>347</v>
      </c>
      <c r="C2248" t="s">
        <v>348</v>
      </c>
      <c r="D2248" t="s">
        <v>689</v>
      </c>
      <c r="E2248" t="s">
        <v>772</v>
      </c>
      <c r="F2248">
        <v>7</v>
      </c>
      <c r="G2248" s="308">
        <f>'BECA MEDIA'!Y324</f>
        <v>0</v>
      </c>
      <c r="H2248" s="308">
        <f>'BECA MEDIA'!Z324</f>
        <v>0</v>
      </c>
    </row>
    <row r="2249" spans="1:8" x14ac:dyDescent="0.3">
      <c r="A2249" t="s">
        <v>688</v>
      </c>
      <c r="B2249" t="s">
        <v>347</v>
      </c>
      <c r="C2249" t="s">
        <v>349</v>
      </c>
      <c r="D2249" t="s">
        <v>689</v>
      </c>
      <c r="E2249" t="s">
        <v>766</v>
      </c>
      <c r="F2249">
        <v>1</v>
      </c>
      <c r="G2249" s="308">
        <f>'BECA MEDIA'!G325</f>
        <v>0</v>
      </c>
      <c r="H2249" s="308">
        <f>'BECA MEDIA'!H325</f>
        <v>0</v>
      </c>
    </row>
    <row r="2250" spans="1:8" x14ac:dyDescent="0.3">
      <c r="A2250" t="s">
        <v>688</v>
      </c>
      <c r="B2250" t="s">
        <v>347</v>
      </c>
      <c r="C2250" t="s">
        <v>349</v>
      </c>
      <c r="D2250" t="s">
        <v>689</v>
      </c>
      <c r="E2250" t="s">
        <v>767</v>
      </c>
      <c r="F2250">
        <v>2</v>
      </c>
      <c r="G2250" s="308">
        <f>'BECA MEDIA'!J325</f>
        <v>0</v>
      </c>
      <c r="H2250" s="308">
        <f>'BECA MEDIA'!K325</f>
        <v>0</v>
      </c>
    </row>
    <row r="2251" spans="1:8" x14ac:dyDescent="0.3">
      <c r="A2251" t="s">
        <v>688</v>
      </c>
      <c r="B2251" t="s">
        <v>347</v>
      </c>
      <c r="C2251" t="s">
        <v>349</v>
      </c>
      <c r="D2251" t="s">
        <v>689</v>
      </c>
      <c r="E2251" t="s">
        <v>768</v>
      </c>
      <c r="F2251">
        <v>3</v>
      </c>
      <c r="G2251" s="308">
        <f>'BECA MEDIA'!M325</f>
        <v>4</v>
      </c>
      <c r="H2251" s="308">
        <f>'BECA MEDIA'!N325</f>
        <v>10000</v>
      </c>
    </row>
    <row r="2252" spans="1:8" x14ac:dyDescent="0.3">
      <c r="A2252" t="s">
        <v>688</v>
      </c>
      <c r="B2252" t="s">
        <v>347</v>
      </c>
      <c r="C2252" t="s">
        <v>349</v>
      </c>
      <c r="D2252" t="s">
        <v>689</v>
      </c>
      <c r="E2252" t="s">
        <v>769</v>
      </c>
      <c r="F2252">
        <v>4</v>
      </c>
      <c r="G2252" s="308">
        <f>'BECA MEDIA'!P325</f>
        <v>2.4</v>
      </c>
      <c r="H2252" s="308">
        <f>'BECA MEDIA'!Q325</f>
        <v>6000</v>
      </c>
    </row>
    <row r="2253" spans="1:8" x14ac:dyDescent="0.3">
      <c r="A2253" t="s">
        <v>688</v>
      </c>
      <c r="B2253" t="s">
        <v>347</v>
      </c>
      <c r="C2253" t="s">
        <v>349</v>
      </c>
      <c r="D2253" t="s">
        <v>689</v>
      </c>
      <c r="E2253" t="s">
        <v>770</v>
      </c>
      <c r="F2253">
        <v>5</v>
      </c>
      <c r="G2253" s="308">
        <f>'BECA MEDIA'!S325</f>
        <v>0</v>
      </c>
      <c r="H2253" s="308">
        <f>'BECA MEDIA'!T325</f>
        <v>0</v>
      </c>
    </row>
    <row r="2254" spans="1:8" x14ac:dyDescent="0.3">
      <c r="A2254" t="s">
        <v>688</v>
      </c>
      <c r="B2254" t="s">
        <v>347</v>
      </c>
      <c r="C2254" t="s">
        <v>349</v>
      </c>
      <c r="D2254" t="s">
        <v>689</v>
      </c>
      <c r="E2254" t="s">
        <v>771</v>
      </c>
      <c r="F2254">
        <v>6</v>
      </c>
      <c r="G2254" s="308">
        <f>'BECA MEDIA'!V325</f>
        <v>6.4</v>
      </c>
      <c r="H2254" s="308">
        <f>'BECA MEDIA'!W325</f>
        <v>16000</v>
      </c>
    </row>
    <row r="2255" spans="1:8" x14ac:dyDescent="0.3">
      <c r="A2255" t="s">
        <v>688</v>
      </c>
      <c r="B2255" t="s">
        <v>347</v>
      </c>
      <c r="C2255" t="s">
        <v>349</v>
      </c>
      <c r="D2255" t="s">
        <v>689</v>
      </c>
      <c r="E2255" t="s">
        <v>772</v>
      </c>
      <c r="F2255">
        <v>7</v>
      </c>
      <c r="G2255" s="308">
        <f>'BECA MEDIA'!Y325</f>
        <v>0</v>
      </c>
      <c r="H2255" s="308">
        <f>'BECA MEDIA'!Z325</f>
        <v>0</v>
      </c>
    </row>
    <row r="2256" spans="1:8" x14ac:dyDescent="0.3">
      <c r="A2256" t="s">
        <v>688</v>
      </c>
      <c r="B2256" t="s">
        <v>347</v>
      </c>
      <c r="C2256" t="s">
        <v>350</v>
      </c>
      <c r="D2256" t="s">
        <v>689</v>
      </c>
      <c r="E2256" t="s">
        <v>766</v>
      </c>
      <c r="F2256">
        <v>1</v>
      </c>
      <c r="G2256" s="308">
        <f>'BECA MEDIA'!G326</f>
        <v>0</v>
      </c>
      <c r="H2256" s="308">
        <f>'BECA MEDIA'!H326</f>
        <v>0</v>
      </c>
    </row>
    <row r="2257" spans="1:8" x14ac:dyDescent="0.3">
      <c r="A2257" t="s">
        <v>688</v>
      </c>
      <c r="B2257" t="s">
        <v>347</v>
      </c>
      <c r="C2257" t="s">
        <v>350</v>
      </c>
      <c r="D2257" t="s">
        <v>689</v>
      </c>
      <c r="E2257" t="s">
        <v>767</v>
      </c>
      <c r="F2257">
        <v>2</v>
      </c>
      <c r="G2257" s="308">
        <f>'BECA MEDIA'!J326</f>
        <v>0</v>
      </c>
      <c r="H2257" s="308">
        <f>'BECA MEDIA'!K326</f>
        <v>0</v>
      </c>
    </row>
    <row r="2258" spans="1:8" x14ac:dyDescent="0.3">
      <c r="A2258" t="s">
        <v>688</v>
      </c>
      <c r="B2258" t="s">
        <v>347</v>
      </c>
      <c r="C2258" t="s">
        <v>350</v>
      </c>
      <c r="D2258" t="s">
        <v>689</v>
      </c>
      <c r="E2258" t="s">
        <v>768</v>
      </c>
      <c r="F2258">
        <v>3</v>
      </c>
      <c r="G2258" s="308">
        <f>'BECA MEDIA'!M326</f>
        <v>6.4</v>
      </c>
      <c r="H2258" s="308">
        <f>'BECA MEDIA'!N326</f>
        <v>16000</v>
      </c>
    </row>
    <row r="2259" spans="1:8" x14ac:dyDescent="0.3">
      <c r="A2259" t="s">
        <v>688</v>
      </c>
      <c r="B2259" t="s">
        <v>347</v>
      </c>
      <c r="C2259" t="s">
        <v>350</v>
      </c>
      <c r="D2259" t="s">
        <v>689</v>
      </c>
      <c r="E2259" t="s">
        <v>769</v>
      </c>
      <c r="F2259">
        <v>4</v>
      </c>
      <c r="G2259" s="308">
        <f>'BECA MEDIA'!P326</f>
        <v>1.2</v>
      </c>
      <c r="H2259" s="308">
        <f>'BECA MEDIA'!Q326</f>
        <v>3000</v>
      </c>
    </row>
    <row r="2260" spans="1:8" x14ac:dyDescent="0.3">
      <c r="A2260" t="s">
        <v>688</v>
      </c>
      <c r="B2260" t="s">
        <v>347</v>
      </c>
      <c r="C2260" t="s">
        <v>350</v>
      </c>
      <c r="D2260" t="s">
        <v>689</v>
      </c>
      <c r="E2260" t="s">
        <v>770</v>
      </c>
      <c r="F2260">
        <v>5</v>
      </c>
      <c r="G2260" s="308">
        <f>'BECA MEDIA'!S326</f>
        <v>0</v>
      </c>
      <c r="H2260" s="308">
        <f>'BECA MEDIA'!T326</f>
        <v>0</v>
      </c>
    </row>
    <row r="2261" spans="1:8" x14ac:dyDescent="0.3">
      <c r="A2261" t="s">
        <v>688</v>
      </c>
      <c r="B2261" t="s">
        <v>347</v>
      </c>
      <c r="C2261" t="s">
        <v>350</v>
      </c>
      <c r="D2261" t="s">
        <v>689</v>
      </c>
      <c r="E2261" t="s">
        <v>771</v>
      </c>
      <c r="F2261">
        <v>6</v>
      </c>
      <c r="G2261" s="308">
        <f>'BECA MEDIA'!V326</f>
        <v>7.2</v>
      </c>
      <c r="H2261" s="308">
        <f>'BECA MEDIA'!W326</f>
        <v>18000</v>
      </c>
    </row>
    <row r="2262" spans="1:8" x14ac:dyDescent="0.3">
      <c r="A2262" t="s">
        <v>688</v>
      </c>
      <c r="B2262" t="s">
        <v>347</v>
      </c>
      <c r="C2262" t="s">
        <v>350</v>
      </c>
      <c r="D2262" t="s">
        <v>689</v>
      </c>
      <c r="E2262" t="s">
        <v>772</v>
      </c>
      <c r="F2262">
        <v>7</v>
      </c>
      <c r="G2262" s="308">
        <f>'BECA MEDIA'!Y326</f>
        <v>0</v>
      </c>
      <c r="H2262" s="308">
        <f>'BECA MEDIA'!Z326</f>
        <v>0</v>
      </c>
    </row>
    <row r="2263" spans="1:8" x14ac:dyDescent="0.3">
      <c r="A2263" t="s">
        <v>688</v>
      </c>
      <c r="B2263" t="s">
        <v>347</v>
      </c>
      <c r="C2263" t="s">
        <v>351</v>
      </c>
      <c r="D2263" t="s">
        <v>689</v>
      </c>
      <c r="E2263" t="s">
        <v>766</v>
      </c>
      <c r="F2263">
        <v>1</v>
      </c>
      <c r="G2263" s="308">
        <f>'BECA MEDIA'!G327</f>
        <v>0</v>
      </c>
      <c r="H2263" s="308">
        <f>'BECA MEDIA'!H327</f>
        <v>0</v>
      </c>
    </row>
    <row r="2264" spans="1:8" x14ac:dyDescent="0.3">
      <c r="A2264" t="s">
        <v>688</v>
      </c>
      <c r="B2264" t="s">
        <v>347</v>
      </c>
      <c r="C2264" t="s">
        <v>351</v>
      </c>
      <c r="D2264" t="s">
        <v>689</v>
      </c>
      <c r="E2264" t="s">
        <v>767</v>
      </c>
      <c r="F2264">
        <v>2</v>
      </c>
      <c r="G2264" s="308">
        <f>'BECA MEDIA'!J327</f>
        <v>0</v>
      </c>
      <c r="H2264" s="308">
        <f>'BECA MEDIA'!K327</f>
        <v>0</v>
      </c>
    </row>
    <row r="2265" spans="1:8" x14ac:dyDescent="0.3">
      <c r="A2265" t="s">
        <v>688</v>
      </c>
      <c r="B2265" t="s">
        <v>347</v>
      </c>
      <c r="C2265" t="s">
        <v>351</v>
      </c>
      <c r="D2265" t="s">
        <v>689</v>
      </c>
      <c r="E2265" t="s">
        <v>768</v>
      </c>
      <c r="F2265">
        <v>3</v>
      </c>
      <c r="G2265" s="308">
        <f>'BECA MEDIA'!M327</f>
        <v>3.6</v>
      </c>
      <c r="H2265" s="308">
        <f>'BECA MEDIA'!N327</f>
        <v>9000</v>
      </c>
    </row>
    <row r="2266" spans="1:8" x14ac:dyDescent="0.3">
      <c r="A2266" t="s">
        <v>688</v>
      </c>
      <c r="B2266" t="s">
        <v>347</v>
      </c>
      <c r="C2266" t="s">
        <v>351</v>
      </c>
      <c r="D2266" t="s">
        <v>689</v>
      </c>
      <c r="E2266" t="s">
        <v>769</v>
      </c>
      <c r="F2266">
        <v>4</v>
      </c>
      <c r="G2266" s="308">
        <f>'BECA MEDIA'!P327</f>
        <v>0.4</v>
      </c>
      <c r="H2266" s="308">
        <f>'BECA MEDIA'!Q327</f>
        <v>1000</v>
      </c>
    </row>
    <row r="2267" spans="1:8" x14ac:dyDescent="0.3">
      <c r="A2267" t="s">
        <v>688</v>
      </c>
      <c r="B2267" t="s">
        <v>347</v>
      </c>
      <c r="C2267" t="s">
        <v>351</v>
      </c>
      <c r="D2267" t="s">
        <v>689</v>
      </c>
      <c r="E2267" t="s">
        <v>770</v>
      </c>
      <c r="F2267">
        <v>5</v>
      </c>
      <c r="G2267" s="308">
        <f>'BECA MEDIA'!S327</f>
        <v>0</v>
      </c>
      <c r="H2267" s="308">
        <f>'BECA MEDIA'!T327</f>
        <v>0</v>
      </c>
    </row>
    <row r="2268" spans="1:8" x14ac:dyDescent="0.3">
      <c r="A2268" t="s">
        <v>688</v>
      </c>
      <c r="B2268" t="s">
        <v>347</v>
      </c>
      <c r="C2268" t="s">
        <v>351</v>
      </c>
      <c r="D2268" t="s">
        <v>689</v>
      </c>
      <c r="E2268" t="s">
        <v>771</v>
      </c>
      <c r="F2268">
        <v>6</v>
      </c>
      <c r="G2268" s="308">
        <f>'BECA MEDIA'!V327</f>
        <v>4</v>
      </c>
      <c r="H2268" s="308">
        <f>'BECA MEDIA'!W327</f>
        <v>10000</v>
      </c>
    </row>
    <row r="2269" spans="1:8" x14ac:dyDescent="0.3">
      <c r="A2269" t="s">
        <v>688</v>
      </c>
      <c r="B2269" t="s">
        <v>347</v>
      </c>
      <c r="C2269" t="s">
        <v>351</v>
      </c>
      <c r="D2269" t="s">
        <v>689</v>
      </c>
      <c r="E2269" t="s">
        <v>772</v>
      </c>
      <c r="F2269">
        <v>7</v>
      </c>
      <c r="G2269" s="308">
        <f>'BECA MEDIA'!Y327</f>
        <v>0</v>
      </c>
      <c r="H2269" s="308">
        <f>'BECA MEDIA'!Z327</f>
        <v>0</v>
      </c>
    </row>
    <row r="2270" spans="1:8" x14ac:dyDescent="0.3">
      <c r="A2270" t="s">
        <v>688</v>
      </c>
      <c r="B2270" t="s">
        <v>347</v>
      </c>
      <c r="C2270" t="s">
        <v>352</v>
      </c>
      <c r="D2270" t="s">
        <v>689</v>
      </c>
      <c r="E2270" t="s">
        <v>766</v>
      </c>
      <c r="F2270">
        <v>1</v>
      </c>
      <c r="G2270" s="308">
        <f>'BECA MEDIA'!G328</f>
        <v>0</v>
      </c>
      <c r="H2270" s="308">
        <f>'BECA MEDIA'!H328</f>
        <v>0</v>
      </c>
    </row>
    <row r="2271" spans="1:8" x14ac:dyDescent="0.3">
      <c r="A2271" t="s">
        <v>688</v>
      </c>
      <c r="B2271" t="s">
        <v>347</v>
      </c>
      <c r="C2271" t="s">
        <v>352</v>
      </c>
      <c r="D2271" t="s">
        <v>689</v>
      </c>
      <c r="E2271" t="s">
        <v>767</v>
      </c>
      <c r="F2271">
        <v>2</v>
      </c>
      <c r="G2271" s="308">
        <f>'BECA MEDIA'!J328</f>
        <v>0</v>
      </c>
      <c r="H2271" s="308">
        <f>'BECA MEDIA'!K328</f>
        <v>0</v>
      </c>
    </row>
    <row r="2272" spans="1:8" x14ac:dyDescent="0.3">
      <c r="A2272" t="s">
        <v>688</v>
      </c>
      <c r="B2272" t="s">
        <v>347</v>
      </c>
      <c r="C2272" t="s">
        <v>352</v>
      </c>
      <c r="D2272" t="s">
        <v>689</v>
      </c>
      <c r="E2272" t="s">
        <v>768</v>
      </c>
      <c r="F2272">
        <v>3</v>
      </c>
      <c r="G2272" s="308">
        <f>'BECA MEDIA'!M328</f>
        <v>2.4</v>
      </c>
      <c r="H2272" s="308">
        <f>'BECA MEDIA'!N328</f>
        <v>6000</v>
      </c>
    </row>
    <row r="2273" spans="1:8" x14ac:dyDescent="0.3">
      <c r="A2273" t="s">
        <v>688</v>
      </c>
      <c r="B2273" t="s">
        <v>347</v>
      </c>
      <c r="C2273" t="s">
        <v>352</v>
      </c>
      <c r="D2273" t="s">
        <v>689</v>
      </c>
      <c r="E2273" t="s">
        <v>769</v>
      </c>
      <c r="F2273">
        <v>4</v>
      </c>
      <c r="G2273" s="308">
        <f>'BECA MEDIA'!P328</f>
        <v>2.4</v>
      </c>
      <c r="H2273" s="308">
        <f>'BECA MEDIA'!Q328</f>
        <v>6000</v>
      </c>
    </row>
    <row r="2274" spans="1:8" x14ac:dyDescent="0.3">
      <c r="A2274" t="s">
        <v>688</v>
      </c>
      <c r="B2274" t="s">
        <v>347</v>
      </c>
      <c r="C2274" t="s">
        <v>352</v>
      </c>
      <c r="D2274" t="s">
        <v>689</v>
      </c>
      <c r="E2274" t="s">
        <v>770</v>
      </c>
      <c r="F2274">
        <v>5</v>
      </c>
      <c r="G2274" s="308">
        <f>'BECA MEDIA'!S328</f>
        <v>0</v>
      </c>
      <c r="H2274" s="308">
        <f>'BECA MEDIA'!T328</f>
        <v>0</v>
      </c>
    </row>
    <row r="2275" spans="1:8" x14ac:dyDescent="0.3">
      <c r="A2275" t="s">
        <v>688</v>
      </c>
      <c r="B2275" t="s">
        <v>347</v>
      </c>
      <c r="C2275" t="s">
        <v>352</v>
      </c>
      <c r="D2275" t="s">
        <v>689</v>
      </c>
      <c r="E2275" t="s">
        <v>771</v>
      </c>
      <c r="F2275">
        <v>6</v>
      </c>
      <c r="G2275" s="308">
        <f>'BECA MEDIA'!V328</f>
        <v>4.8</v>
      </c>
      <c r="H2275" s="308">
        <f>'BECA MEDIA'!W328</f>
        <v>12000</v>
      </c>
    </row>
    <row r="2276" spans="1:8" x14ac:dyDescent="0.3">
      <c r="A2276" t="s">
        <v>688</v>
      </c>
      <c r="B2276" t="s">
        <v>347</v>
      </c>
      <c r="C2276" t="s">
        <v>352</v>
      </c>
      <c r="D2276" t="s">
        <v>689</v>
      </c>
      <c r="E2276" t="s">
        <v>772</v>
      </c>
      <c r="F2276">
        <v>7</v>
      </c>
      <c r="G2276" s="308">
        <f>'BECA MEDIA'!Y328</f>
        <v>0</v>
      </c>
      <c r="H2276" s="308">
        <f>'BECA MEDIA'!Z328</f>
        <v>0</v>
      </c>
    </row>
    <row r="2277" spans="1:8" x14ac:dyDescent="0.3">
      <c r="A2277" t="s">
        <v>688</v>
      </c>
      <c r="B2277" t="s">
        <v>347</v>
      </c>
      <c r="C2277" t="s">
        <v>353</v>
      </c>
      <c r="D2277" t="s">
        <v>689</v>
      </c>
      <c r="E2277" t="s">
        <v>766</v>
      </c>
      <c r="F2277">
        <v>1</v>
      </c>
      <c r="G2277" s="308">
        <f>'BECA MEDIA'!G329</f>
        <v>0</v>
      </c>
      <c r="H2277" s="308">
        <f>'BECA MEDIA'!H329</f>
        <v>0</v>
      </c>
    </row>
    <row r="2278" spans="1:8" x14ac:dyDescent="0.3">
      <c r="A2278" t="s">
        <v>688</v>
      </c>
      <c r="B2278" t="s">
        <v>347</v>
      </c>
      <c r="C2278" t="s">
        <v>353</v>
      </c>
      <c r="D2278" t="s">
        <v>689</v>
      </c>
      <c r="E2278" t="s">
        <v>767</v>
      </c>
      <c r="F2278">
        <v>2</v>
      </c>
      <c r="G2278" s="308">
        <f>'BECA MEDIA'!J329</f>
        <v>0</v>
      </c>
      <c r="H2278" s="308">
        <f>'BECA MEDIA'!K329</f>
        <v>0</v>
      </c>
    </row>
    <row r="2279" spans="1:8" x14ac:dyDescent="0.3">
      <c r="A2279" t="s">
        <v>688</v>
      </c>
      <c r="B2279" t="s">
        <v>347</v>
      </c>
      <c r="C2279" t="s">
        <v>353</v>
      </c>
      <c r="D2279" t="s">
        <v>689</v>
      </c>
      <c r="E2279" t="s">
        <v>768</v>
      </c>
      <c r="F2279">
        <v>3</v>
      </c>
      <c r="G2279" s="308">
        <f>'BECA MEDIA'!M329</f>
        <v>5.2</v>
      </c>
      <c r="H2279" s="308">
        <f>'BECA MEDIA'!N329</f>
        <v>13000</v>
      </c>
    </row>
    <row r="2280" spans="1:8" x14ac:dyDescent="0.3">
      <c r="A2280" t="s">
        <v>688</v>
      </c>
      <c r="B2280" t="s">
        <v>347</v>
      </c>
      <c r="C2280" t="s">
        <v>353</v>
      </c>
      <c r="D2280" t="s">
        <v>689</v>
      </c>
      <c r="E2280" t="s">
        <v>769</v>
      </c>
      <c r="F2280">
        <v>4</v>
      </c>
      <c r="G2280" s="308">
        <f>'BECA MEDIA'!P329</f>
        <v>1.6</v>
      </c>
      <c r="H2280" s="308">
        <f>'BECA MEDIA'!Q329</f>
        <v>4000</v>
      </c>
    </row>
    <row r="2281" spans="1:8" x14ac:dyDescent="0.3">
      <c r="A2281" t="s">
        <v>688</v>
      </c>
      <c r="B2281" t="s">
        <v>347</v>
      </c>
      <c r="C2281" t="s">
        <v>353</v>
      </c>
      <c r="D2281" t="s">
        <v>689</v>
      </c>
      <c r="E2281" t="s">
        <v>770</v>
      </c>
      <c r="F2281">
        <v>5</v>
      </c>
      <c r="G2281" s="308">
        <f>'BECA MEDIA'!S329</f>
        <v>0</v>
      </c>
      <c r="H2281" s="308">
        <f>'BECA MEDIA'!T329</f>
        <v>0</v>
      </c>
    </row>
    <row r="2282" spans="1:8" x14ac:dyDescent="0.3">
      <c r="A2282" t="s">
        <v>688</v>
      </c>
      <c r="B2282" t="s">
        <v>347</v>
      </c>
      <c r="C2282" t="s">
        <v>353</v>
      </c>
      <c r="D2282" t="s">
        <v>689</v>
      </c>
      <c r="E2282" t="s">
        <v>771</v>
      </c>
      <c r="F2282">
        <v>6</v>
      </c>
      <c r="G2282" s="308">
        <f>'BECA MEDIA'!V329</f>
        <v>6.8</v>
      </c>
      <c r="H2282" s="308">
        <f>'BECA MEDIA'!W329</f>
        <v>17000</v>
      </c>
    </row>
    <row r="2283" spans="1:8" x14ac:dyDescent="0.3">
      <c r="A2283" t="s">
        <v>688</v>
      </c>
      <c r="B2283" t="s">
        <v>347</v>
      </c>
      <c r="C2283" t="s">
        <v>353</v>
      </c>
      <c r="D2283" t="s">
        <v>689</v>
      </c>
      <c r="E2283" t="s">
        <v>772</v>
      </c>
      <c r="F2283">
        <v>7</v>
      </c>
      <c r="G2283" s="308">
        <f>'BECA MEDIA'!Y329</f>
        <v>0</v>
      </c>
      <c r="H2283" s="308">
        <f>'BECA MEDIA'!Z329</f>
        <v>0</v>
      </c>
    </row>
    <row r="2284" spans="1:8" x14ac:dyDescent="0.3">
      <c r="A2284" t="s">
        <v>688</v>
      </c>
      <c r="B2284" t="s">
        <v>347</v>
      </c>
      <c r="C2284" t="s">
        <v>354</v>
      </c>
      <c r="D2284" t="s">
        <v>689</v>
      </c>
      <c r="E2284" t="s">
        <v>766</v>
      </c>
      <c r="F2284">
        <v>1</v>
      </c>
      <c r="G2284" s="308">
        <f>'BECA MEDIA'!G330</f>
        <v>0</v>
      </c>
      <c r="H2284" s="308">
        <f>'BECA MEDIA'!H330</f>
        <v>0</v>
      </c>
    </row>
    <row r="2285" spans="1:8" x14ac:dyDescent="0.3">
      <c r="A2285" t="s">
        <v>688</v>
      </c>
      <c r="B2285" t="s">
        <v>347</v>
      </c>
      <c r="C2285" t="s">
        <v>354</v>
      </c>
      <c r="D2285" t="s">
        <v>689</v>
      </c>
      <c r="E2285" t="s">
        <v>767</v>
      </c>
      <c r="F2285">
        <v>2</v>
      </c>
      <c r="G2285" s="308">
        <f>'BECA MEDIA'!J330</f>
        <v>0</v>
      </c>
      <c r="H2285" s="308">
        <f>'BECA MEDIA'!K330</f>
        <v>0</v>
      </c>
    </row>
    <row r="2286" spans="1:8" x14ac:dyDescent="0.3">
      <c r="A2286" t="s">
        <v>688</v>
      </c>
      <c r="B2286" t="s">
        <v>347</v>
      </c>
      <c r="C2286" t="s">
        <v>354</v>
      </c>
      <c r="D2286" t="s">
        <v>689</v>
      </c>
      <c r="E2286" t="s">
        <v>768</v>
      </c>
      <c r="F2286">
        <v>3</v>
      </c>
      <c r="G2286" s="308">
        <f>'BECA MEDIA'!M330</f>
        <v>8.8000000000000007</v>
      </c>
      <c r="H2286" s="308">
        <f>'BECA MEDIA'!N330</f>
        <v>22000</v>
      </c>
    </row>
    <row r="2287" spans="1:8" x14ac:dyDescent="0.3">
      <c r="A2287" t="s">
        <v>688</v>
      </c>
      <c r="B2287" t="s">
        <v>347</v>
      </c>
      <c r="C2287" t="s">
        <v>354</v>
      </c>
      <c r="D2287" t="s">
        <v>689</v>
      </c>
      <c r="E2287" t="s">
        <v>769</v>
      </c>
      <c r="F2287">
        <v>4</v>
      </c>
      <c r="G2287" s="308">
        <f>'BECA MEDIA'!P330</f>
        <v>2.4</v>
      </c>
      <c r="H2287" s="308">
        <f>'BECA MEDIA'!Q330</f>
        <v>6000</v>
      </c>
    </row>
    <row r="2288" spans="1:8" x14ac:dyDescent="0.3">
      <c r="A2288" t="s">
        <v>688</v>
      </c>
      <c r="B2288" t="s">
        <v>347</v>
      </c>
      <c r="C2288" t="s">
        <v>354</v>
      </c>
      <c r="D2288" t="s">
        <v>689</v>
      </c>
      <c r="E2288" t="s">
        <v>770</v>
      </c>
      <c r="F2288">
        <v>5</v>
      </c>
      <c r="G2288" s="308">
        <f>'BECA MEDIA'!S330</f>
        <v>0</v>
      </c>
      <c r="H2288" s="308">
        <f>'BECA MEDIA'!T330</f>
        <v>0</v>
      </c>
    </row>
    <row r="2289" spans="1:8" x14ac:dyDescent="0.3">
      <c r="A2289" t="s">
        <v>688</v>
      </c>
      <c r="B2289" t="s">
        <v>347</v>
      </c>
      <c r="C2289" t="s">
        <v>354</v>
      </c>
      <c r="D2289" t="s">
        <v>689</v>
      </c>
      <c r="E2289" t="s">
        <v>771</v>
      </c>
      <c r="F2289">
        <v>6</v>
      </c>
      <c r="G2289" s="308">
        <f>'BECA MEDIA'!V330</f>
        <v>11.2</v>
      </c>
      <c r="H2289" s="308">
        <f>'BECA MEDIA'!W330</f>
        <v>28000</v>
      </c>
    </row>
    <row r="2290" spans="1:8" x14ac:dyDescent="0.3">
      <c r="A2290" t="s">
        <v>688</v>
      </c>
      <c r="B2290" t="s">
        <v>347</v>
      </c>
      <c r="C2290" t="s">
        <v>354</v>
      </c>
      <c r="D2290" t="s">
        <v>689</v>
      </c>
      <c r="E2290" t="s">
        <v>772</v>
      </c>
      <c r="F2290">
        <v>7</v>
      </c>
      <c r="G2290" s="308">
        <f>'BECA MEDIA'!Y330</f>
        <v>0</v>
      </c>
      <c r="H2290" s="308">
        <f>'BECA MEDIA'!Z330</f>
        <v>0</v>
      </c>
    </row>
    <row r="2291" spans="1:8" x14ac:dyDescent="0.3">
      <c r="A2291" t="s">
        <v>688</v>
      </c>
      <c r="B2291" t="s">
        <v>347</v>
      </c>
      <c r="C2291" t="s">
        <v>355</v>
      </c>
      <c r="D2291" t="s">
        <v>689</v>
      </c>
      <c r="E2291" t="s">
        <v>766</v>
      </c>
      <c r="F2291">
        <v>1</v>
      </c>
      <c r="G2291" s="308">
        <f>'BECA MEDIA'!G331</f>
        <v>0</v>
      </c>
      <c r="H2291" s="308">
        <f>'BECA MEDIA'!H331</f>
        <v>0</v>
      </c>
    </row>
    <row r="2292" spans="1:8" x14ac:dyDescent="0.3">
      <c r="A2292" t="s">
        <v>688</v>
      </c>
      <c r="B2292" t="s">
        <v>347</v>
      </c>
      <c r="C2292" t="s">
        <v>355</v>
      </c>
      <c r="D2292" t="s">
        <v>689</v>
      </c>
      <c r="E2292" t="s">
        <v>767</v>
      </c>
      <c r="F2292">
        <v>2</v>
      </c>
      <c r="G2292" s="308">
        <f>'BECA MEDIA'!J331</f>
        <v>0</v>
      </c>
      <c r="H2292" s="308">
        <f>'BECA MEDIA'!K331</f>
        <v>0</v>
      </c>
    </row>
    <row r="2293" spans="1:8" x14ac:dyDescent="0.3">
      <c r="A2293" t="s">
        <v>688</v>
      </c>
      <c r="B2293" t="s">
        <v>347</v>
      </c>
      <c r="C2293" t="s">
        <v>355</v>
      </c>
      <c r="D2293" t="s">
        <v>689</v>
      </c>
      <c r="E2293" t="s">
        <v>768</v>
      </c>
      <c r="F2293">
        <v>3</v>
      </c>
      <c r="G2293" s="308">
        <f>'BECA MEDIA'!M331</f>
        <v>6.8</v>
      </c>
      <c r="H2293" s="308">
        <f>'BECA MEDIA'!N331</f>
        <v>17000</v>
      </c>
    </row>
    <row r="2294" spans="1:8" x14ac:dyDescent="0.3">
      <c r="A2294" t="s">
        <v>688</v>
      </c>
      <c r="B2294" t="s">
        <v>347</v>
      </c>
      <c r="C2294" t="s">
        <v>355</v>
      </c>
      <c r="D2294" t="s">
        <v>689</v>
      </c>
      <c r="E2294" t="s">
        <v>769</v>
      </c>
      <c r="F2294">
        <v>4</v>
      </c>
      <c r="G2294" s="308">
        <f>'BECA MEDIA'!P331</f>
        <v>1.2</v>
      </c>
      <c r="H2294" s="308">
        <f>'BECA MEDIA'!Q331</f>
        <v>3000</v>
      </c>
    </row>
    <row r="2295" spans="1:8" x14ac:dyDescent="0.3">
      <c r="A2295" t="s">
        <v>688</v>
      </c>
      <c r="B2295" t="s">
        <v>347</v>
      </c>
      <c r="C2295" t="s">
        <v>355</v>
      </c>
      <c r="D2295" t="s">
        <v>689</v>
      </c>
      <c r="E2295" t="s">
        <v>770</v>
      </c>
      <c r="F2295">
        <v>5</v>
      </c>
      <c r="G2295" s="308">
        <f>'BECA MEDIA'!S331</f>
        <v>0</v>
      </c>
      <c r="H2295" s="308">
        <f>'BECA MEDIA'!T331</f>
        <v>0</v>
      </c>
    </row>
    <row r="2296" spans="1:8" x14ac:dyDescent="0.3">
      <c r="A2296" t="s">
        <v>688</v>
      </c>
      <c r="B2296" t="s">
        <v>347</v>
      </c>
      <c r="C2296" t="s">
        <v>355</v>
      </c>
      <c r="D2296" t="s">
        <v>689</v>
      </c>
      <c r="E2296" t="s">
        <v>771</v>
      </c>
      <c r="F2296">
        <v>6</v>
      </c>
      <c r="G2296" s="308">
        <f>'BECA MEDIA'!V331</f>
        <v>8</v>
      </c>
      <c r="H2296" s="308">
        <f>'BECA MEDIA'!W331</f>
        <v>20000</v>
      </c>
    </row>
    <row r="2297" spans="1:8" x14ac:dyDescent="0.3">
      <c r="A2297" t="s">
        <v>688</v>
      </c>
      <c r="B2297" t="s">
        <v>347</v>
      </c>
      <c r="C2297" t="s">
        <v>355</v>
      </c>
      <c r="D2297" t="s">
        <v>689</v>
      </c>
      <c r="E2297" t="s">
        <v>772</v>
      </c>
      <c r="F2297">
        <v>7</v>
      </c>
      <c r="G2297" s="308">
        <f>'BECA MEDIA'!Y331</f>
        <v>0</v>
      </c>
      <c r="H2297" s="308">
        <f>'BECA MEDIA'!Z331</f>
        <v>0</v>
      </c>
    </row>
    <row r="2298" spans="1:8" x14ac:dyDescent="0.3">
      <c r="A2298" t="s">
        <v>688</v>
      </c>
      <c r="B2298" t="s">
        <v>356</v>
      </c>
      <c r="C2298" t="s">
        <v>357</v>
      </c>
      <c r="D2298" t="s">
        <v>689</v>
      </c>
      <c r="E2298" t="s">
        <v>766</v>
      </c>
      <c r="F2298">
        <v>1</v>
      </c>
      <c r="G2298" s="308">
        <f>'BECA MEDIA'!G332</f>
        <v>0</v>
      </c>
      <c r="H2298" s="308">
        <f>'BECA MEDIA'!H332</f>
        <v>0</v>
      </c>
    </row>
    <row r="2299" spans="1:8" x14ac:dyDescent="0.3">
      <c r="A2299" t="s">
        <v>688</v>
      </c>
      <c r="B2299" t="s">
        <v>356</v>
      </c>
      <c r="C2299" t="s">
        <v>357</v>
      </c>
      <c r="D2299" t="s">
        <v>689</v>
      </c>
      <c r="E2299" t="s">
        <v>767</v>
      </c>
      <c r="F2299">
        <v>2</v>
      </c>
      <c r="G2299" s="308">
        <f>'BECA MEDIA'!J332</f>
        <v>0</v>
      </c>
      <c r="H2299" s="308">
        <f>'BECA MEDIA'!K332</f>
        <v>0</v>
      </c>
    </row>
    <row r="2300" spans="1:8" x14ac:dyDescent="0.3">
      <c r="A2300" t="s">
        <v>688</v>
      </c>
      <c r="B2300" t="s">
        <v>356</v>
      </c>
      <c r="C2300" t="s">
        <v>357</v>
      </c>
      <c r="D2300" t="s">
        <v>689</v>
      </c>
      <c r="E2300" t="s">
        <v>768</v>
      </c>
      <c r="F2300">
        <v>3</v>
      </c>
      <c r="G2300" s="308">
        <f>'BECA MEDIA'!M332</f>
        <v>5.2</v>
      </c>
      <c r="H2300" s="308">
        <f>'BECA MEDIA'!N332</f>
        <v>13000</v>
      </c>
    </row>
    <row r="2301" spans="1:8" x14ac:dyDescent="0.3">
      <c r="A2301" t="s">
        <v>688</v>
      </c>
      <c r="B2301" t="s">
        <v>356</v>
      </c>
      <c r="C2301" t="s">
        <v>357</v>
      </c>
      <c r="D2301" t="s">
        <v>689</v>
      </c>
      <c r="E2301" t="s">
        <v>769</v>
      </c>
      <c r="F2301">
        <v>4</v>
      </c>
      <c r="G2301" s="308">
        <f>'BECA MEDIA'!P332</f>
        <v>3.2</v>
      </c>
      <c r="H2301" s="308">
        <f>'BECA MEDIA'!Q332</f>
        <v>8000</v>
      </c>
    </row>
    <row r="2302" spans="1:8" x14ac:dyDescent="0.3">
      <c r="A2302" t="s">
        <v>688</v>
      </c>
      <c r="B2302" t="s">
        <v>356</v>
      </c>
      <c r="C2302" t="s">
        <v>357</v>
      </c>
      <c r="D2302" t="s">
        <v>689</v>
      </c>
      <c r="E2302" t="s">
        <v>770</v>
      </c>
      <c r="F2302">
        <v>5</v>
      </c>
      <c r="G2302" s="308">
        <f>'BECA MEDIA'!S332</f>
        <v>0</v>
      </c>
      <c r="H2302" s="308">
        <f>'BECA MEDIA'!T332</f>
        <v>0</v>
      </c>
    </row>
    <row r="2303" spans="1:8" x14ac:dyDescent="0.3">
      <c r="A2303" t="s">
        <v>688</v>
      </c>
      <c r="B2303" t="s">
        <v>356</v>
      </c>
      <c r="C2303" t="s">
        <v>357</v>
      </c>
      <c r="D2303" t="s">
        <v>689</v>
      </c>
      <c r="E2303" t="s">
        <v>771</v>
      </c>
      <c r="F2303">
        <v>6</v>
      </c>
      <c r="G2303" s="308">
        <f>'BECA MEDIA'!V332</f>
        <v>8.4</v>
      </c>
      <c r="H2303" s="308">
        <f>'BECA MEDIA'!W332</f>
        <v>21000</v>
      </c>
    </row>
    <row r="2304" spans="1:8" x14ac:dyDescent="0.3">
      <c r="A2304" t="s">
        <v>688</v>
      </c>
      <c r="B2304" t="s">
        <v>356</v>
      </c>
      <c r="C2304" t="s">
        <v>357</v>
      </c>
      <c r="D2304" t="s">
        <v>689</v>
      </c>
      <c r="E2304" t="s">
        <v>772</v>
      </c>
      <c r="F2304">
        <v>7</v>
      </c>
      <c r="G2304" s="308">
        <f>'BECA MEDIA'!Y332</f>
        <v>0</v>
      </c>
      <c r="H2304" s="308">
        <f>'BECA MEDIA'!Z332</f>
        <v>0</v>
      </c>
    </row>
    <row r="2305" spans="1:8" x14ac:dyDescent="0.3">
      <c r="A2305" t="s">
        <v>688</v>
      </c>
      <c r="B2305" t="s">
        <v>356</v>
      </c>
      <c r="C2305" t="s">
        <v>358</v>
      </c>
      <c r="D2305" t="s">
        <v>689</v>
      </c>
      <c r="E2305" t="s">
        <v>766</v>
      </c>
      <c r="F2305">
        <v>1</v>
      </c>
      <c r="G2305" s="308">
        <f>'BECA MEDIA'!G333</f>
        <v>0</v>
      </c>
      <c r="H2305" s="308">
        <f>'BECA MEDIA'!H333</f>
        <v>0</v>
      </c>
    </row>
    <row r="2306" spans="1:8" x14ac:dyDescent="0.3">
      <c r="A2306" t="s">
        <v>688</v>
      </c>
      <c r="B2306" t="s">
        <v>356</v>
      </c>
      <c r="C2306" t="s">
        <v>358</v>
      </c>
      <c r="D2306" t="s">
        <v>689</v>
      </c>
      <c r="E2306" t="s">
        <v>767</v>
      </c>
      <c r="F2306">
        <v>2</v>
      </c>
      <c r="G2306" s="308">
        <f>'BECA MEDIA'!J333</f>
        <v>0</v>
      </c>
      <c r="H2306" s="308">
        <f>'BECA MEDIA'!K333</f>
        <v>0</v>
      </c>
    </row>
    <row r="2307" spans="1:8" x14ac:dyDescent="0.3">
      <c r="A2307" t="s">
        <v>688</v>
      </c>
      <c r="B2307" t="s">
        <v>356</v>
      </c>
      <c r="C2307" t="s">
        <v>358</v>
      </c>
      <c r="D2307" t="s">
        <v>689</v>
      </c>
      <c r="E2307" t="s">
        <v>768</v>
      </c>
      <c r="F2307">
        <v>3</v>
      </c>
      <c r="G2307" s="308">
        <f>'BECA MEDIA'!M333</f>
        <v>8</v>
      </c>
      <c r="H2307" s="308">
        <f>'BECA MEDIA'!N333</f>
        <v>20000</v>
      </c>
    </row>
    <row r="2308" spans="1:8" x14ac:dyDescent="0.3">
      <c r="A2308" t="s">
        <v>688</v>
      </c>
      <c r="B2308" t="s">
        <v>356</v>
      </c>
      <c r="C2308" t="s">
        <v>358</v>
      </c>
      <c r="D2308" t="s">
        <v>689</v>
      </c>
      <c r="E2308" t="s">
        <v>769</v>
      </c>
      <c r="F2308">
        <v>4</v>
      </c>
      <c r="G2308" s="308">
        <f>'BECA MEDIA'!P333</f>
        <v>4</v>
      </c>
      <c r="H2308" s="308">
        <f>'BECA MEDIA'!Q333</f>
        <v>10000</v>
      </c>
    </row>
    <row r="2309" spans="1:8" x14ac:dyDescent="0.3">
      <c r="A2309" t="s">
        <v>688</v>
      </c>
      <c r="B2309" t="s">
        <v>356</v>
      </c>
      <c r="C2309" t="s">
        <v>358</v>
      </c>
      <c r="D2309" t="s">
        <v>689</v>
      </c>
      <c r="E2309" t="s">
        <v>770</v>
      </c>
      <c r="F2309">
        <v>5</v>
      </c>
      <c r="G2309" s="308">
        <f>'BECA MEDIA'!S333</f>
        <v>0</v>
      </c>
      <c r="H2309" s="308">
        <f>'BECA MEDIA'!T333</f>
        <v>0</v>
      </c>
    </row>
    <row r="2310" spans="1:8" x14ac:dyDescent="0.3">
      <c r="A2310" t="s">
        <v>688</v>
      </c>
      <c r="B2310" t="s">
        <v>356</v>
      </c>
      <c r="C2310" t="s">
        <v>358</v>
      </c>
      <c r="D2310" t="s">
        <v>689</v>
      </c>
      <c r="E2310" t="s">
        <v>771</v>
      </c>
      <c r="F2310">
        <v>6</v>
      </c>
      <c r="G2310" s="308">
        <f>'BECA MEDIA'!V333</f>
        <v>11.2</v>
      </c>
      <c r="H2310" s="308">
        <f>'BECA MEDIA'!W333</f>
        <v>28000</v>
      </c>
    </row>
    <row r="2311" spans="1:8" x14ac:dyDescent="0.3">
      <c r="A2311" t="s">
        <v>688</v>
      </c>
      <c r="B2311" t="s">
        <v>356</v>
      </c>
      <c r="C2311" t="s">
        <v>358</v>
      </c>
      <c r="D2311" t="s">
        <v>689</v>
      </c>
      <c r="E2311" t="s">
        <v>772</v>
      </c>
      <c r="F2311">
        <v>7</v>
      </c>
      <c r="G2311" s="308">
        <f>'BECA MEDIA'!Y333</f>
        <v>0</v>
      </c>
      <c r="H2311" s="308">
        <f>'BECA MEDIA'!Z333</f>
        <v>0</v>
      </c>
    </row>
    <row r="2312" spans="1:8" x14ac:dyDescent="0.3">
      <c r="A2312" t="s">
        <v>688</v>
      </c>
      <c r="B2312" t="s">
        <v>356</v>
      </c>
      <c r="C2312" t="s">
        <v>359</v>
      </c>
      <c r="D2312" t="s">
        <v>689</v>
      </c>
      <c r="E2312" t="s">
        <v>766</v>
      </c>
      <c r="F2312">
        <v>1</v>
      </c>
      <c r="G2312" s="308">
        <f>'BECA MEDIA'!G334</f>
        <v>0</v>
      </c>
      <c r="H2312" s="308">
        <f>'BECA MEDIA'!H334</f>
        <v>0</v>
      </c>
    </row>
    <row r="2313" spans="1:8" x14ac:dyDescent="0.3">
      <c r="A2313" t="s">
        <v>688</v>
      </c>
      <c r="B2313" t="s">
        <v>356</v>
      </c>
      <c r="C2313" t="s">
        <v>359</v>
      </c>
      <c r="D2313" t="s">
        <v>689</v>
      </c>
      <c r="E2313" t="s">
        <v>767</v>
      </c>
      <c r="F2313">
        <v>2</v>
      </c>
      <c r="G2313" s="308">
        <f>'BECA MEDIA'!J334</f>
        <v>0</v>
      </c>
      <c r="H2313" s="308">
        <f>'BECA MEDIA'!K334</f>
        <v>0</v>
      </c>
    </row>
    <row r="2314" spans="1:8" x14ac:dyDescent="0.3">
      <c r="A2314" t="s">
        <v>688</v>
      </c>
      <c r="B2314" t="s">
        <v>356</v>
      </c>
      <c r="C2314" t="s">
        <v>359</v>
      </c>
      <c r="D2314" t="s">
        <v>689</v>
      </c>
      <c r="E2314" t="s">
        <v>768</v>
      </c>
      <c r="F2314">
        <v>3</v>
      </c>
      <c r="G2314" s="308">
        <f>'BECA MEDIA'!M334</f>
        <v>8.8000000000000007</v>
      </c>
      <c r="H2314" s="308">
        <f>'BECA MEDIA'!N334</f>
        <v>22000</v>
      </c>
    </row>
    <row r="2315" spans="1:8" x14ac:dyDescent="0.3">
      <c r="A2315" t="s">
        <v>688</v>
      </c>
      <c r="B2315" t="s">
        <v>356</v>
      </c>
      <c r="C2315" t="s">
        <v>359</v>
      </c>
      <c r="D2315" t="s">
        <v>689</v>
      </c>
      <c r="E2315" t="s">
        <v>769</v>
      </c>
      <c r="F2315">
        <v>4</v>
      </c>
      <c r="G2315" s="308">
        <f>'BECA MEDIA'!P334</f>
        <v>3.6</v>
      </c>
      <c r="H2315" s="308">
        <f>'BECA MEDIA'!Q334</f>
        <v>9000</v>
      </c>
    </row>
    <row r="2316" spans="1:8" x14ac:dyDescent="0.3">
      <c r="A2316" t="s">
        <v>688</v>
      </c>
      <c r="B2316" t="s">
        <v>356</v>
      </c>
      <c r="C2316" t="s">
        <v>359</v>
      </c>
      <c r="D2316" t="s">
        <v>689</v>
      </c>
      <c r="E2316" t="s">
        <v>770</v>
      </c>
      <c r="F2316">
        <v>5</v>
      </c>
      <c r="G2316" s="308">
        <f>'BECA MEDIA'!S334</f>
        <v>0</v>
      </c>
      <c r="H2316" s="308">
        <f>'BECA MEDIA'!T334</f>
        <v>0</v>
      </c>
    </row>
    <row r="2317" spans="1:8" x14ac:dyDescent="0.3">
      <c r="A2317" t="s">
        <v>688</v>
      </c>
      <c r="B2317" t="s">
        <v>356</v>
      </c>
      <c r="C2317" t="s">
        <v>359</v>
      </c>
      <c r="D2317" t="s">
        <v>689</v>
      </c>
      <c r="E2317" t="s">
        <v>771</v>
      </c>
      <c r="F2317">
        <v>6</v>
      </c>
      <c r="G2317" s="308">
        <f>'BECA MEDIA'!V334</f>
        <v>12.4</v>
      </c>
      <c r="H2317" s="308">
        <f>'BECA MEDIA'!W334</f>
        <v>31000</v>
      </c>
    </row>
    <row r="2318" spans="1:8" x14ac:dyDescent="0.3">
      <c r="A2318" t="s">
        <v>688</v>
      </c>
      <c r="B2318" t="s">
        <v>356</v>
      </c>
      <c r="C2318" t="s">
        <v>359</v>
      </c>
      <c r="D2318" t="s">
        <v>689</v>
      </c>
      <c r="E2318" t="s">
        <v>772</v>
      </c>
      <c r="F2318">
        <v>7</v>
      </c>
      <c r="G2318" s="308">
        <f>'BECA MEDIA'!Y334</f>
        <v>0</v>
      </c>
      <c r="H2318" s="308">
        <f>'BECA MEDIA'!Z334</f>
        <v>0</v>
      </c>
    </row>
    <row r="2319" spans="1:8" x14ac:dyDescent="0.3">
      <c r="A2319" t="s">
        <v>688</v>
      </c>
      <c r="B2319" t="s">
        <v>356</v>
      </c>
      <c r="C2319" t="s">
        <v>360</v>
      </c>
      <c r="D2319" t="s">
        <v>689</v>
      </c>
      <c r="E2319" t="s">
        <v>766</v>
      </c>
      <c r="F2319">
        <v>1</v>
      </c>
      <c r="G2319" s="308">
        <f>'BECA MEDIA'!G335</f>
        <v>0</v>
      </c>
      <c r="H2319" s="308">
        <f>'BECA MEDIA'!H335</f>
        <v>0</v>
      </c>
    </row>
    <row r="2320" spans="1:8" x14ac:dyDescent="0.3">
      <c r="A2320" t="s">
        <v>688</v>
      </c>
      <c r="B2320" t="s">
        <v>356</v>
      </c>
      <c r="C2320" t="s">
        <v>360</v>
      </c>
      <c r="D2320" t="s">
        <v>689</v>
      </c>
      <c r="E2320" t="s">
        <v>767</v>
      </c>
      <c r="F2320">
        <v>2</v>
      </c>
      <c r="G2320" s="308">
        <f>'BECA MEDIA'!J335</f>
        <v>0</v>
      </c>
      <c r="H2320" s="308">
        <f>'BECA MEDIA'!K335</f>
        <v>0</v>
      </c>
    </row>
    <row r="2321" spans="1:8" x14ac:dyDescent="0.3">
      <c r="A2321" t="s">
        <v>688</v>
      </c>
      <c r="B2321" t="s">
        <v>356</v>
      </c>
      <c r="C2321" t="s">
        <v>360</v>
      </c>
      <c r="D2321" t="s">
        <v>689</v>
      </c>
      <c r="E2321" t="s">
        <v>768</v>
      </c>
      <c r="F2321">
        <v>3</v>
      </c>
      <c r="G2321" s="308">
        <f>'BECA MEDIA'!M335</f>
        <v>9.1999999999999993</v>
      </c>
      <c r="H2321" s="308">
        <f>'BECA MEDIA'!N335</f>
        <v>23000</v>
      </c>
    </row>
    <row r="2322" spans="1:8" x14ac:dyDescent="0.3">
      <c r="A2322" t="s">
        <v>688</v>
      </c>
      <c r="B2322" t="s">
        <v>356</v>
      </c>
      <c r="C2322" t="s">
        <v>360</v>
      </c>
      <c r="D2322" t="s">
        <v>689</v>
      </c>
      <c r="E2322" t="s">
        <v>769</v>
      </c>
      <c r="F2322">
        <v>4</v>
      </c>
      <c r="G2322" s="308">
        <f>'BECA MEDIA'!P335</f>
        <v>3.6</v>
      </c>
      <c r="H2322" s="308">
        <f>'BECA MEDIA'!Q335</f>
        <v>9000</v>
      </c>
    </row>
    <row r="2323" spans="1:8" x14ac:dyDescent="0.3">
      <c r="A2323" t="s">
        <v>688</v>
      </c>
      <c r="B2323" t="s">
        <v>356</v>
      </c>
      <c r="C2323" t="s">
        <v>360</v>
      </c>
      <c r="D2323" t="s">
        <v>689</v>
      </c>
      <c r="E2323" t="s">
        <v>770</v>
      </c>
      <c r="F2323">
        <v>5</v>
      </c>
      <c r="G2323" s="308">
        <f>'BECA MEDIA'!S335</f>
        <v>0</v>
      </c>
      <c r="H2323" s="308">
        <f>'BECA MEDIA'!T335</f>
        <v>0</v>
      </c>
    </row>
    <row r="2324" spans="1:8" x14ac:dyDescent="0.3">
      <c r="A2324" t="s">
        <v>688</v>
      </c>
      <c r="B2324" t="s">
        <v>356</v>
      </c>
      <c r="C2324" t="s">
        <v>360</v>
      </c>
      <c r="D2324" t="s">
        <v>689</v>
      </c>
      <c r="E2324" t="s">
        <v>771</v>
      </c>
      <c r="F2324">
        <v>6</v>
      </c>
      <c r="G2324" s="308">
        <f>'BECA MEDIA'!V335</f>
        <v>12.4</v>
      </c>
      <c r="H2324" s="308">
        <f>'BECA MEDIA'!W335</f>
        <v>31000</v>
      </c>
    </row>
    <row r="2325" spans="1:8" x14ac:dyDescent="0.3">
      <c r="A2325" t="s">
        <v>688</v>
      </c>
      <c r="B2325" t="s">
        <v>356</v>
      </c>
      <c r="C2325" t="s">
        <v>360</v>
      </c>
      <c r="D2325" t="s">
        <v>689</v>
      </c>
      <c r="E2325" t="s">
        <v>772</v>
      </c>
      <c r="F2325">
        <v>7</v>
      </c>
      <c r="G2325" s="308">
        <f>'BECA MEDIA'!Y335</f>
        <v>0</v>
      </c>
      <c r="H2325" s="308">
        <f>'BECA MEDIA'!Z335</f>
        <v>0</v>
      </c>
    </row>
    <row r="2326" spans="1:8" x14ac:dyDescent="0.3">
      <c r="A2326" t="s">
        <v>688</v>
      </c>
      <c r="B2326" t="s">
        <v>356</v>
      </c>
      <c r="C2326" t="s">
        <v>361</v>
      </c>
      <c r="D2326" t="s">
        <v>689</v>
      </c>
      <c r="E2326" t="s">
        <v>766</v>
      </c>
      <c r="F2326">
        <v>1</v>
      </c>
      <c r="G2326" s="308">
        <f>'BECA MEDIA'!G336</f>
        <v>0</v>
      </c>
      <c r="H2326" s="308">
        <f>'BECA MEDIA'!H336</f>
        <v>0</v>
      </c>
    </row>
    <row r="2327" spans="1:8" x14ac:dyDescent="0.3">
      <c r="A2327" t="s">
        <v>688</v>
      </c>
      <c r="B2327" t="s">
        <v>356</v>
      </c>
      <c r="C2327" t="s">
        <v>361</v>
      </c>
      <c r="D2327" t="s">
        <v>689</v>
      </c>
      <c r="E2327" t="s">
        <v>767</v>
      </c>
      <c r="F2327">
        <v>2</v>
      </c>
      <c r="G2327" s="308">
        <f>'BECA MEDIA'!J336</f>
        <v>0</v>
      </c>
      <c r="H2327" s="308">
        <f>'BECA MEDIA'!K336</f>
        <v>0</v>
      </c>
    </row>
    <row r="2328" spans="1:8" x14ac:dyDescent="0.3">
      <c r="A2328" t="s">
        <v>688</v>
      </c>
      <c r="B2328" t="s">
        <v>356</v>
      </c>
      <c r="C2328" t="s">
        <v>361</v>
      </c>
      <c r="D2328" t="s">
        <v>689</v>
      </c>
      <c r="E2328" t="s">
        <v>768</v>
      </c>
      <c r="F2328">
        <v>3</v>
      </c>
      <c r="G2328" s="308">
        <f>'BECA MEDIA'!M336</f>
        <v>4.8</v>
      </c>
      <c r="H2328" s="308">
        <f>'BECA MEDIA'!N336</f>
        <v>12000</v>
      </c>
    </row>
    <row r="2329" spans="1:8" x14ac:dyDescent="0.3">
      <c r="A2329" t="s">
        <v>688</v>
      </c>
      <c r="B2329" t="s">
        <v>356</v>
      </c>
      <c r="C2329" t="s">
        <v>361</v>
      </c>
      <c r="D2329" t="s">
        <v>689</v>
      </c>
      <c r="E2329" t="s">
        <v>769</v>
      </c>
      <c r="F2329">
        <v>4</v>
      </c>
      <c r="G2329" s="308">
        <f>'BECA MEDIA'!P336</f>
        <v>3.6</v>
      </c>
      <c r="H2329" s="308">
        <f>'BECA MEDIA'!Q336</f>
        <v>9000</v>
      </c>
    </row>
    <row r="2330" spans="1:8" x14ac:dyDescent="0.3">
      <c r="A2330" t="s">
        <v>688</v>
      </c>
      <c r="B2330" t="s">
        <v>356</v>
      </c>
      <c r="C2330" t="s">
        <v>361</v>
      </c>
      <c r="D2330" t="s">
        <v>689</v>
      </c>
      <c r="E2330" t="s">
        <v>770</v>
      </c>
      <c r="F2330">
        <v>5</v>
      </c>
      <c r="G2330" s="308">
        <f>'BECA MEDIA'!S336</f>
        <v>0</v>
      </c>
      <c r="H2330" s="308">
        <f>'BECA MEDIA'!T336</f>
        <v>0</v>
      </c>
    </row>
    <row r="2331" spans="1:8" x14ac:dyDescent="0.3">
      <c r="A2331" t="s">
        <v>688</v>
      </c>
      <c r="B2331" t="s">
        <v>356</v>
      </c>
      <c r="C2331" t="s">
        <v>361</v>
      </c>
      <c r="D2331" t="s">
        <v>689</v>
      </c>
      <c r="E2331" t="s">
        <v>771</v>
      </c>
      <c r="F2331">
        <v>6</v>
      </c>
      <c r="G2331" s="308">
        <f>'BECA MEDIA'!V336</f>
        <v>8</v>
      </c>
      <c r="H2331" s="308">
        <f>'BECA MEDIA'!W336</f>
        <v>20000</v>
      </c>
    </row>
    <row r="2332" spans="1:8" x14ac:dyDescent="0.3">
      <c r="A2332" t="s">
        <v>688</v>
      </c>
      <c r="B2332" t="s">
        <v>356</v>
      </c>
      <c r="C2332" t="s">
        <v>361</v>
      </c>
      <c r="D2332" t="s">
        <v>689</v>
      </c>
      <c r="E2332" t="s">
        <v>772</v>
      </c>
      <c r="F2332">
        <v>7</v>
      </c>
      <c r="G2332" s="308">
        <f>'BECA MEDIA'!Y336</f>
        <v>0</v>
      </c>
      <c r="H2332" s="308">
        <f>'BECA MEDIA'!Z336</f>
        <v>0</v>
      </c>
    </row>
    <row r="2333" spans="1:8" x14ac:dyDescent="0.3">
      <c r="A2333" t="s">
        <v>688</v>
      </c>
      <c r="B2333" t="s">
        <v>356</v>
      </c>
      <c r="C2333" t="s">
        <v>362</v>
      </c>
      <c r="D2333" t="s">
        <v>689</v>
      </c>
      <c r="E2333" t="s">
        <v>766</v>
      </c>
      <c r="F2333">
        <v>1</v>
      </c>
      <c r="G2333" s="308">
        <f>'BECA MEDIA'!G337</f>
        <v>0</v>
      </c>
      <c r="H2333" s="308">
        <f>'BECA MEDIA'!H337</f>
        <v>0</v>
      </c>
    </row>
    <row r="2334" spans="1:8" x14ac:dyDescent="0.3">
      <c r="A2334" t="s">
        <v>688</v>
      </c>
      <c r="B2334" t="s">
        <v>356</v>
      </c>
      <c r="C2334" t="s">
        <v>362</v>
      </c>
      <c r="D2334" t="s">
        <v>689</v>
      </c>
      <c r="E2334" t="s">
        <v>767</v>
      </c>
      <c r="F2334">
        <v>2</v>
      </c>
      <c r="G2334" s="308">
        <f>'BECA MEDIA'!J337</f>
        <v>0</v>
      </c>
      <c r="H2334" s="308">
        <f>'BECA MEDIA'!K337</f>
        <v>0</v>
      </c>
    </row>
    <row r="2335" spans="1:8" x14ac:dyDescent="0.3">
      <c r="A2335" t="s">
        <v>688</v>
      </c>
      <c r="B2335" t="s">
        <v>356</v>
      </c>
      <c r="C2335" t="s">
        <v>362</v>
      </c>
      <c r="D2335" t="s">
        <v>689</v>
      </c>
      <c r="E2335" t="s">
        <v>768</v>
      </c>
      <c r="F2335">
        <v>3</v>
      </c>
      <c r="G2335" s="308">
        <f>'BECA MEDIA'!M337</f>
        <v>11.6</v>
      </c>
      <c r="H2335" s="308">
        <f>'BECA MEDIA'!N337</f>
        <v>29000</v>
      </c>
    </row>
    <row r="2336" spans="1:8" x14ac:dyDescent="0.3">
      <c r="A2336" t="s">
        <v>688</v>
      </c>
      <c r="B2336" t="s">
        <v>356</v>
      </c>
      <c r="C2336" t="s">
        <v>362</v>
      </c>
      <c r="D2336" t="s">
        <v>689</v>
      </c>
      <c r="E2336" t="s">
        <v>769</v>
      </c>
      <c r="F2336">
        <v>4</v>
      </c>
      <c r="G2336" s="308">
        <f>'BECA MEDIA'!P337</f>
        <v>2.8</v>
      </c>
      <c r="H2336" s="308">
        <f>'BECA MEDIA'!Q337</f>
        <v>7000</v>
      </c>
    </row>
    <row r="2337" spans="1:8" x14ac:dyDescent="0.3">
      <c r="A2337" t="s">
        <v>688</v>
      </c>
      <c r="B2337" t="s">
        <v>356</v>
      </c>
      <c r="C2337" t="s">
        <v>362</v>
      </c>
      <c r="D2337" t="s">
        <v>689</v>
      </c>
      <c r="E2337" t="s">
        <v>770</v>
      </c>
      <c r="F2337">
        <v>5</v>
      </c>
      <c r="G2337" s="308">
        <f>'BECA MEDIA'!S337</f>
        <v>0</v>
      </c>
      <c r="H2337" s="308">
        <f>'BECA MEDIA'!T337</f>
        <v>0</v>
      </c>
    </row>
    <row r="2338" spans="1:8" x14ac:dyDescent="0.3">
      <c r="A2338" t="s">
        <v>688</v>
      </c>
      <c r="B2338" t="s">
        <v>356</v>
      </c>
      <c r="C2338" t="s">
        <v>362</v>
      </c>
      <c r="D2338" t="s">
        <v>689</v>
      </c>
      <c r="E2338" t="s">
        <v>771</v>
      </c>
      <c r="F2338">
        <v>6</v>
      </c>
      <c r="G2338" s="308">
        <f>'BECA MEDIA'!V337</f>
        <v>14</v>
      </c>
      <c r="H2338" s="308">
        <f>'BECA MEDIA'!W337</f>
        <v>35000</v>
      </c>
    </row>
    <row r="2339" spans="1:8" x14ac:dyDescent="0.3">
      <c r="A2339" t="s">
        <v>688</v>
      </c>
      <c r="B2339" t="s">
        <v>356</v>
      </c>
      <c r="C2339" t="s">
        <v>362</v>
      </c>
      <c r="D2339" t="s">
        <v>689</v>
      </c>
      <c r="E2339" t="s">
        <v>772</v>
      </c>
      <c r="F2339">
        <v>7</v>
      </c>
      <c r="G2339" s="308">
        <f>'BECA MEDIA'!Y337</f>
        <v>0</v>
      </c>
      <c r="H2339" s="308">
        <f>'BECA MEDIA'!Z337</f>
        <v>0</v>
      </c>
    </row>
    <row r="2340" spans="1:8" x14ac:dyDescent="0.3">
      <c r="A2340" t="s">
        <v>688</v>
      </c>
      <c r="B2340" t="s">
        <v>356</v>
      </c>
      <c r="C2340" t="s">
        <v>363</v>
      </c>
      <c r="D2340" t="s">
        <v>689</v>
      </c>
      <c r="E2340" t="s">
        <v>766</v>
      </c>
      <c r="F2340">
        <v>1</v>
      </c>
      <c r="G2340" s="308">
        <f>'BECA MEDIA'!G338</f>
        <v>0</v>
      </c>
      <c r="H2340" s="308">
        <f>'BECA MEDIA'!H338</f>
        <v>0</v>
      </c>
    </row>
    <row r="2341" spans="1:8" x14ac:dyDescent="0.3">
      <c r="A2341" t="s">
        <v>688</v>
      </c>
      <c r="B2341" t="s">
        <v>356</v>
      </c>
      <c r="C2341" t="s">
        <v>363</v>
      </c>
      <c r="D2341" t="s">
        <v>689</v>
      </c>
      <c r="E2341" t="s">
        <v>767</v>
      </c>
      <c r="F2341">
        <v>2</v>
      </c>
      <c r="G2341" s="308">
        <f>'BECA MEDIA'!J338</f>
        <v>0</v>
      </c>
      <c r="H2341" s="308">
        <f>'BECA MEDIA'!K338</f>
        <v>0</v>
      </c>
    </row>
    <row r="2342" spans="1:8" x14ac:dyDescent="0.3">
      <c r="A2342" t="s">
        <v>688</v>
      </c>
      <c r="B2342" t="s">
        <v>356</v>
      </c>
      <c r="C2342" t="s">
        <v>363</v>
      </c>
      <c r="D2342" t="s">
        <v>689</v>
      </c>
      <c r="E2342" t="s">
        <v>768</v>
      </c>
      <c r="F2342">
        <v>3</v>
      </c>
      <c r="G2342" s="308">
        <f>'BECA MEDIA'!M338</f>
        <v>5.2</v>
      </c>
      <c r="H2342" s="308">
        <f>'BECA MEDIA'!N338</f>
        <v>13000</v>
      </c>
    </row>
    <row r="2343" spans="1:8" x14ac:dyDescent="0.3">
      <c r="A2343" t="s">
        <v>688</v>
      </c>
      <c r="B2343" t="s">
        <v>356</v>
      </c>
      <c r="C2343" t="s">
        <v>363</v>
      </c>
      <c r="D2343" t="s">
        <v>689</v>
      </c>
      <c r="E2343" t="s">
        <v>769</v>
      </c>
      <c r="F2343">
        <v>4</v>
      </c>
      <c r="G2343" s="308">
        <f>'BECA MEDIA'!P338</f>
        <v>0.8</v>
      </c>
      <c r="H2343" s="308">
        <f>'BECA MEDIA'!Q338</f>
        <v>2000</v>
      </c>
    </row>
    <row r="2344" spans="1:8" x14ac:dyDescent="0.3">
      <c r="A2344" t="s">
        <v>688</v>
      </c>
      <c r="B2344" t="s">
        <v>356</v>
      </c>
      <c r="C2344" t="s">
        <v>363</v>
      </c>
      <c r="D2344" t="s">
        <v>689</v>
      </c>
      <c r="E2344" t="s">
        <v>770</v>
      </c>
      <c r="F2344">
        <v>5</v>
      </c>
      <c r="G2344" s="308">
        <f>'BECA MEDIA'!S338</f>
        <v>0</v>
      </c>
      <c r="H2344" s="308">
        <f>'BECA MEDIA'!T338</f>
        <v>0</v>
      </c>
    </row>
    <row r="2345" spans="1:8" x14ac:dyDescent="0.3">
      <c r="A2345" t="s">
        <v>688</v>
      </c>
      <c r="B2345" t="s">
        <v>356</v>
      </c>
      <c r="C2345" t="s">
        <v>363</v>
      </c>
      <c r="D2345" t="s">
        <v>689</v>
      </c>
      <c r="E2345" t="s">
        <v>771</v>
      </c>
      <c r="F2345">
        <v>6</v>
      </c>
      <c r="G2345" s="308">
        <f>'BECA MEDIA'!V338</f>
        <v>6.4</v>
      </c>
      <c r="H2345" s="308">
        <f>'BECA MEDIA'!W338</f>
        <v>16000</v>
      </c>
    </row>
    <row r="2346" spans="1:8" x14ac:dyDescent="0.3">
      <c r="A2346" t="s">
        <v>688</v>
      </c>
      <c r="B2346" t="s">
        <v>356</v>
      </c>
      <c r="C2346" t="s">
        <v>363</v>
      </c>
      <c r="D2346" t="s">
        <v>689</v>
      </c>
      <c r="E2346" t="s">
        <v>772</v>
      </c>
      <c r="F2346">
        <v>7</v>
      </c>
      <c r="G2346" s="308">
        <f>'BECA MEDIA'!Y338</f>
        <v>0</v>
      </c>
      <c r="H2346" s="308">
        <f>'BECA MEDIA'!Z338</f>
        <v>0</v>
      </c>
    </row>
    <row r="2347" spans="1:8" x14ac:dyDescent="0.3">
      <c r="A2347" t="s">
        <v>688</v>
      </c>
      <c r="B2347" t="s">
        <v>356</v>
      </c>
      <c r="C2347" t="s">
        <v>364</v>
      </c>
      <c r="D2347" t="s">
        <v>689</v>
      </c>
      <c r="E2347" t="s">
        <v>766</v>
      </c>
      <c r="F2347">
        <v>1</v>
      </c>
      <c r="G2347" s="308">
        <f>'BECA MEDIA'!G339</f>
        <v>0</v>
      </c>
      <c r="H2347" s="308">
        <f>'BECA MEDIA'!H339</f>
        <v>0</v>
      </c>
    </row>
    <row r="2348" spans="1:8" x14ac:dyDescent="0.3">
      <c r="A2348" t="s">
        <v>688</v>
      </c>
      <c r="B2348" t="s">
        <v>356</v>
      </c>
      <c r="C2348" t="s">
        <v>364</v>
      </c>
      <c r="D2348" t="s">
        <v>689</v>
      </c>
      <c r="E2348" t="s">
        <v>767</v>
      </c>
      <c r="F2348">
        <v>2</v>
      </c>
      <c r="G2348" s="308">
        <f>'BECA MEDIA'!J339</f>
        <v>0</v>
      </c>
      <c r="H2348" s="308">
        <f>'BECA MEDIA'!K339</f>
        <v>0</v>
      </c>
    </row>
    <row r="2349" spans="1:8" x14ac:dyDescent="0.3">
      <c r="A2349" t="s">
        <v>688</v>
      </c>
      <c r="B2349" t="s">
        <v>356</v>
      </c>
      <c r="C2349" t="s">
        <v>364</v>
      </c>
      <c r="D2349" t="s">
        <v>689</v>
      </c>
      <c r="E2349" t="s">
        <v>768</v>
      </c>
      <c r="F2349">
        <v>3</v>
      </c>
      <c r="G2349" s="308">
        <f>'BECA MEDIA'!M339</f>
        <v>5.2</v>
      </c>
      <c r="H2349" s="308">
        <f>'BECA MEDIA'!N339</f>
        <v>13000</v>
      </c>
    </row>
    <row r="2350" spans="1:8" x14ac:dyDescent="0.3">
      <c r="A2350" t="s">
        <v>688</v>
      </c>
      <c r="B2350" t="s">
        <v>356</v>
      </c>
      <c r="C2350" t="s">
        <v>364</v>
      </c>
      <c r="D2350" t="s">
        <v>689</v>
      </c>
      <c r="E2350" t="s">
        <v>769</v>
      </c>
      <c r="F2350">
        <v>4</v>
      </c>
      <c r="G2350" s="308">
        <f>'BECA MEDIA'!P339</f>
        <v>0.8</v>
      </c>
      <c r="H2350" s="308">
        <f>'BECA MEDIA'!Q339</f>
        <v>2000</v>
      </c>
    </row>
    <row r="2351" spans="1:8" x14ac:dyDescent="0.3">
      <c r="A2351" t="s">
        <v>688</v>
      </c>
      <c r="B2351" t="s">
        <v>356</v>
      </c>
      <c r="C2351" t="s">
        <v>364</v>
      </c>
      <c r="D2351" t="s">
        <v>689</v>
      </c>
      <c r="E2351" t="s">
        <v>770</v>
      </c>
      <c r="F2351">
        <v>5</v>
      </c>
      <c r="G2351" s="308">
        <f>'BECA MEDIA'!S339</f>
        <v>0</v>
      </c>
      <c r="H2351" s="308">
        <f>'BECA MEDIA'!T339</f>
        <v>0</v>
      </c>
    </row>
    <row r="2352" spans="1:8" x14ac:dyDescent="0.3">
      <c r="A2352" t="s">
        <v>688</v>
      </c>
      <c r="B2352" t="s">
        <v>356</v>
      </c>
      <c r="C2352" t="s">
        <v>364</v>
      </c>
      <c r="D2352" t="s">
        <v>689</v>
      </c>
      <c r="E2352" t="s">
        <v>771</v>
      </c>
      <c r="F2352">
        <v>6</v>
      </c>
      <c r="G2352" s="308">
        <f>'BECA MEDIA'!V339</f>
        <v>6</v>
      </c>
      <c r="H2352" s="308">
        <f>'BECA MEDIA'!W339</f>
        <v>15000</v>
      </c>
    </row>
    <row r="2353" spans="1:8" x14ac:dyDescent="0.3">
      <c r="A2353" t="s">
        <v>688</v>
      </c>
      <c r="B2353" t="s">
        <v>356</v>
      </c>
      <c r="C2353" t="s">
        <v>364</v>
      </c>
      <c r="D2353" t="s">
        <v>689</v>
      </c>
      <c r="E2353" t="s">
        <v>772</v>
      </c>
      <c r="F2353">
        <v>7</v>
      </c>
      <c r="G2353" s="308">
        <f>'BECA MEDIA'!Y339</f>
        <v>0</v>
      </c>
      <c r="H2353" s="308">
        <f>'BECA MEDIA'!Z339</f>
        <v>0</v>
      </c>
    </row>
    <row r="2354" spans="1:8" x14ac:dyDescent="0.3">
      <c r="A2354" t="s">
        <v>688</v>
      </c>
      <c r="B2354" t="s">
        <v>356</v>
      </c>
      <c r="C2354" t="s">
        <v>365</v>
      </c>
      <c r="D2354" t="s">
        <v>689</v>
      </c>
      <c r="E2354" t="s">
        <v>766</v>
      </c>
      <c r="F2354">
        <v>1</v>
      </c>
      <c r="G2354" s="308">
        <f>'BECA MEDIA'!G340</f>
        <v>0</v>
      </c>
      <c r="H2354" s="308">
        <f>'BECA MEDIA'!H340</f>
        <v>0</v>
      </c>
    </row>
    <row r="2355" spans="1:8" x14ac:dyDescent="0.3">
      <c r="A2355" t="s">
        <v>688</v>
      </c>
      <c r="B2355" t="s">
        <v>356</v>
      </c>
      <c r="C2355" t="s">
        <v>365</v>
      </c>
      <c r="D2355" t="s">
        <v>689</v>
      </c>
      <c r="E2355" t="s">
        <v>767</v>
      </c>
      <c r="F2355">
        <v>2</v>
      </c>
      <c r="G2355" s="308">
        <f>'BECA MEDIA'!J340</f>
        <v>0</v>
      </c>
      <c r="H2355" s="308">
        <f>'BECA MEDIA'!K340</f>
        <v>0</v>
      </c>
    </row>
    <row r="2356" spans="1:8" x14ac:dyDescent="0.3">
      <c r="A2356" t="s">
        <v>688</v>
      </c>
      <c r="B2356" t="s">
        <v>356</v>
      </c>
      <c r="C2356" t="s">
        <v>365</v>
      </c>
      <c r="D2356" t="s">
        <v>689</v>
      </c>
      <c r="E2356" t="s">
        <v>768</v>
      </c>
      <c r="F2356">
        <v>3</v>
      </c>
      <c r="G2356" s="308">
        <f>'BECA MEDIA'!M340</f>
        <v>4</v>
      </c>
      <c r="H2356" s="308">
        <f>'BECA MEDIA'!N340</f>
        <v>10000</v>
      </c>
    </row>
    <row r="2357" spans="1:8" x14ac:dyDescent="0.3">
      <c r="A2357" t="s">
        <v>688</v>
      </c>
      <c r="B2357" t="s">
        <v>356</v>
      </c>
      <c r="C2357" t="s">
        <v>365</v>
      </c>
      <c r="D2357" t="s">
        <v>689</v>
      </c>
      <c r="E2357" t="s">
        <v>769</v>
      </c>
      <c r="F2357">
        <v>4</v>
      </c>
      <c r="G2357" s="308">
        <f>'BECA MEDIA'!P340</f>
        <v>2</v>
      </c>
      <c r="H2357" s="308">
        <f>'BECA MEDIA'!Q340</f>
        <v>5000</v>
      </c>
    </row>
    <row r="2358" spans="1:8" x14ac:dyDescent="0.3">
      <c r="A2358" t="s">
        <v>688</v>
      </c>
      <c r="B2358" t="s">
        <v>356</v>
      </c>
      <c r="C2358" t="s">
        <v>365</v>
      </c>
      <c r="D2358" t="s">
        <v>689</v>
      </c>
      <c r="E2358" t="s">
        <v>770</v>
      </c>
      <c r="F2358">
        <v>5</v>
      </c>
      <c r="G2358" s="308">
        <f>'BECA MEDIA'!S340</f>
        <v>0</v>
      </c>
      <c r="H2358" s="308">
        <f>'BECA MEDIA'!T340</f>
        <v>0</v>
      </c>
    </row>
    <row r="2359" spans="1:8" x14ac:dyDescent="0.3">
      <c r="A2359" t="s">
        <v>688</v>
      </c>
      <c r="B2359" t="s">
        <v>356</v>
      </c>
      <c r="C2359" t="s">
        <v>365</v>
      </c>
      <c r="D2359" t="s">
        <v>689</v>
      </c>
      <c r="E2359" t="s">
        <v>771</v>
      </c>
      <c r="F2359">
        <v>6</v>
      </c>
      <c r="G2359" s="308">
        <f>'BECA MEDIA'!V340</f>
        <v>6</v>
      </c>
      <c r="H2359" s="308">
        <f>'BECA MEDIA'!W340</f>
        <v>15000</v>
      </c>
    </row>
    <row r="2360" spans="1:8" x14ac:dyDescent="0.3">
      <c r="A2360" t="s">
        <v>688</v>
      </c>
      <c r="B2360" t="s">
        <v>356</v>
      </c>
      <c r="C2360" t="s">
        <v>365</v>
      </c>
      <c r="D2360" t="s">
        <v>689</v>
      </c>
      <c r="E2360" t="s">
        <v>772</v>
      </c>
      <c r="F2360">
        <v>7</v>
      </c>
      <c r="G2360" s="308">
        <f>'BECA MEDIA'!Y340</f>
        <v>0</v>
      </c>
      <c r="H2360" s="308">
        <f>'BECA MEDIA'!Z340</f>
        <v>0</v>
      </c>
    </row>
    <row r="2361" spans="1:8" x14ac:dyDescent="0.3">
      <c r="A2361" t="s">
        <v>688</v>
      </c>
      <c r="B2361" t="s">
        <v>356</v>
      </c>
      <c r="C2361" t="s">
        <v>366</v>
      </c>
      <c r="D2361" t="s">
        <v>689</v>
      </c>
      <c r="E2361" t="s">
        <v>766</v>
      </c>
      <c r="F2361">
        <v>1</v>
      </c>
      <c r="G2361" s="308">
        <f>'BECA MEDIA'!G341</f>
        <v>0</v>
      </c>
      <c r="H2361" s="308">
        <f>'BECA MEDIA'!H341</f>
        <v>0</v>
      </c>
    </row>
    <row r="2362" spans="1:8" x14ac:dyDescent="0.3">
      <c r="A2362" t="s">
        <v>688</v>
      </c>
      <c r="B2362" t="s">
        <v>356</v>
      </c>
      <c r="C2362" t="s">
        <v>366</v>
      </c>
      <c r="D2362" t="s">
        <v>689</v>
      </c>
      <c r="E2362" t="s">
        <v>767</v>
      </c>
      <c r="F2362">
        <v>2</v>
      </c>
      <c r="G2362" s="308">
        <f>'BECA MEDIA'!J341</f>
        <v>0</v>
      </c>
      <c r="H2362" s="308">
        <f>'BECA MEDIA'!K341</f>
        <v>0</v>
      </c>
    </row>
    <row r="2363" spans="1:8" x14ac:dyDescent="0.3">
      <c r="A2363" t="s">
        <v>688</v>
      </c>
      <c r="B2363" t="s">
        <v>356</v>
      </c>
      <c r="C2363" t="s">
        <v>366</v>
      </c>
      <c r="D2363" t="s">
        <v>689</v>
      </c>
      <c r="E2363" t="s">
        <v>768</v>
      </c>
      <c r="F2363">
        <v>3</v>
      </c>
      <c r="G2363" s="308">
        <f>'BECA MEDIA'!M341</f>
        <v>6.4</v>
      </c>
      <c r="H2363" s="308">
        <f>'BECA MEDIA'!N341</f>
        <v>16000</v>
      </c>
    </row>
    <row r="2364" spans="1:8" x14ac:dyDescent="0.3">
      <c r="A2364" t="s">
        <v>688</v>
      </c>
      <c r="B2364" t="s">
        <v>356</v>
      </c>
      <c r="C2364" t="s">
        <v>366</v>
      </c>
      <c r="D2364" t="s">
        <v>689</v>
      </c>
      <c r="E2364" t="s">
        <v>769</v>
      </c>
      <c r="F2364">
        <v>4</v>
      </c>
      <c r="G2364" s="308">
        <f>'BECA MEDIA'!P341</f>
        <v>0.8</v>
      </c>
      <c r="H2364" s="308">
        <f>'BECA MEDIA'!Q341</f>
        <v>2000</v>
      </c>
    </row>
    <row r="2365" spans="1:8" x14ac:dyDescent="0.3">
      <c r="A2365" t="s">
        <v>688</v>
      </c>
      <c r="B2365" t="s">
        <v>356</v>
      </c>
      <c r="C2365" t="s">
        <v>366</v>
      </c>
      <c r="D2365" t="s">
        <v>689</v>
      </c>
      <c r="E2365" t="s">
        <v>770</v>
      </c>
      <c r="F2365">
        <v>5</v>
      </c>
      <c r="G2365" s="308">
        <f>'BECA MEDIA'!S341</f>
        <v>0</v>
      </c>
      <c r="H2365" s="308">
        <f>'BECA MEDIA'!T341</f>
        <v>0</v>
      </c>
    </row>
    <row r="2366" spans="1:8" x14ac:dyDescent="0.3">
      <c r="A2366" t="s">
        <v>688</v>
      </c>
      <c r="B2366" t="s">
        <v>356</v>
      </c>
      <c r="C2366" t="s">
        <v>366</v>
      </c>
      <c r="D2366" t="s">
        <v>689</v>
      </c>
      <c r="E2366" t="s">
        <v>771</v>
      </c>
      <c r="F2366">
        <v>6</v>
      </c>
      <c r="G2366" s="308">
        <f>'BECA MEDIA'!V341</f>
        <v>7.2</v>
      </c>
      <c r="H2366" s="308">
        <f>'BECA MEDIA'!W341</f>
        <v>18000</v>
      </c>
    </row>
    <row r="2367" spans="1:8" x14ac:dyDescent="0.3">
      <c r="A2367" t="s">
        <v>688</v>
      </c>
      <c r="B2367" t="s">
        <v>356</v>
      </c>
      <c r="C2367" t="s">
        <v>366</v>
      </c>
      <c r="D2367" t="s">
        <v>689</v>
      </c>
      <c r="E2367" t="s">
        <v>772</v>
      </c>
      <c r="F2367">
        <v>7</v>
      </c>
      <c r="G2367" s="308">
        <f>'BECA MEDIA'!Y341</f>
        <v>0</v>
      </c>
      <c r="H2367" s="308">
        <f>'BECA MEDIA'!Z341</f>
        <v>0</v>
      </c>
    </row>
    <row r="2368" spans="1:8" x14ac:dyDescent="0.3">
      <c r="A2368" t="s">
        <v>688</v>
      </c>
      <c r="B2368" t="s">
        <v>356</v>
      </c>
      <c r="C2368" t="s">
        <v>356</v>
      </c>
      <c r="D2368" t="s">
        <v>689</v>
      </c>
      <c r="E2368" t="s">
        <v>766</v>
      </c>
      <c r="F2368">
        <v>1</v>
      </c>
      <c r="G2368" s="308">
        <f>'BECA MEDIA'!G342</f>
        <v>0</v>
      </c>
      <c r="H2368" s="308">
        <f>'BECA MEDIA'!H342</f>
        <v>0</v>
      </c>
    </row>
    <row r="2369" spans="1:8" x14ac:dyDescent="0.3">
      <c r="A2369" t="s">
        <v>688</v>
      </c>
      <c r="B2369" t="s">
        <v>356</v>
      </c>
      <c r="C2369" t="s">
        <v>356</v>
      </c>
      <c r="D2369" t="s">
        <v>689</v>
      </c>
      <c r="E2369" t="s">
        <v>767</v>
      </c>
      <c r="F2369">
        <v>2</v>
      </c>
      <c r="G2369" s="308">
        <f>'BECA MEDIA'!J342</f>
        <v>0</v>
      </c>
      <c r="H2369" s="308">
        <f>'BECA MEDIA'!K342</f>
        <v>0</v>
      </c>
    </row>
    <row r="2370" spans="1:8" x14ac:dyDescent="0.3">
      <c r="A2370" t="s">
        <v>688</v>
      </c>
      <c r="B2370" t="s">
        <v>356</v>
      </c>
      <c r="C2370" t="s">
        <v>356</v>
      </c>
      <c r="D2370" t="s">
        <v>689</v>
      </c>
      <c r="E2370" t="s">
        <v>768</v>
      </c>
      <c r="F2370">
        <v>3</v>
      </c>
      <c r="G2370" s="308">
        <f>'BECA MEDIA'!M342</f>
        <v>6.8</v>
      </c>
      <c r="H2370" s="308">
        <f>'BECA MEDIA'!N342</f>
        <v>17000</v>
      </c>
    </row>
    <row r="2371" spans="1:8" x14ac:dyDescent="0.3">
      <c r="A2371" t="s">
        <v>688</v>
      </c>
      <c r="B2371" t="s">
        <v>356</v>
      </c>
      <c r="C2371" t="s">
        <v>356</v>
      </c>
      <c r="D2371" t="s">
        <v>689</v>
      </c>
      <c r="E2371" t="s">
        <v>769</v>
      </c>
      <c r="F2371">
        <v>4</v>
      </c>
      <c r="G2371" s="308">
        <f>'BECA MEDIA'!P342</f>
        <v>2.8</v>
      </c>
      <c r="H2371" s="308">
        <f>'BECA MEDIA'!Q342</f>
        <v>7000</v>
      </c>
    </row>
    <row r="2372" spans="1:8" x14ac:dyDescent="0.3">
      <c r="A2372" t="s">
        <v>688</v>
      </c>
      <c r="B2372" t="s">
        <v>356</v>
      </c>
      <c r="C2372" t="s">
        <v>356</v>
      </c>
      <c r="D2372" t="s">
        <v>689</v>
      </c>
      <c r="E2372" t="s">
        <v>770</v>
      </c>
      <c r="F2372">
        <v>5</v>
      </c>
      <c r="G2372" s="308">
        <f>'BECA MEDIA'!S342</f>
        <v>0</v>
      </c>
      <c r="H2372" s="308">
        <f>'BECA MEDIA'!T342</f>
        <v>0</v>
      </c>
    </row>
    <row r="2373" spans="1:8" x14ac:dyDescent="0.3">
      <c r="A2373" t="s">
        <v>688</v>
      </c>
      <c r="B2373" t="s">
        <v>356</v>
      </c>
      <c r="C2373" t="s">
        <v>356</v>
      </c>
      <c r="D2373" t="s">
        <v>689</v>
      </c>
      <c r="E2373" t="s">
        <v>771</v>
      </c>
      <c r="F2373">
        <v>6</v>
      </c>
      <c r="G2373" s="308">
        <f>'BECA MEDIA'!V342</f>
        <v>9.6</v>
      </c>
      <c r="H2373" s="308">
        <f>'BECA MEDIA'!W342</f>
        <v>24000</v>
      </c>
    </row>
    <row r="2374" spans="1:8" x14ac:dyDescent="0.3">
      <c r="A2374" t="s">
        <v>688</v>
      </c>
      <c r="B2374" t="s">
        <v>356</v>
      </c>
      <c r="C2374" t="s">
        <v>356</v>
      </c>
      <c r="D2374" t="s">
        <v>689</v>
      </c>
      <c r="E2374" t="s">
        <v>772</v>
      </c>
      <c r="F2374">
        <v>7</v>
      </c>
      <c r="G2374" s="308">
        <f>'BECA MEDIA'!Y342</f>
        <v>0</v>
      </c>
      <c r="H2374" s="308">
        <f>'BECA MEDIA'!Z342</f>
        <v>0</v>
      </c>
    </row>
    <row r="2375" spans="1:8" x14ac:dyDescent="0.3">
      <c r="A2375" t="s">
        <v>690</v>
      </c>
      <c r="B2375" t="s">
        <v>23</v>
      </c>
      <c r="C2375" t="s">
        <v>24</v>
      </c>
      <c r="D2375" t="s">
        <v>689</v>
      </c>
      <c r="E2375" t="s">
        <v>766</v>
      </c>
      <c r="F2375">
        <v>1</v>
      </c>
      <c r="G2375" s="308">
        <f>'BECA SUPERIOR'!G4</f>
        <v>0</v>
      </c>
      <c r="H2375" s="308">
        <f>'BECA SUPERIOR'!H4</f>
        <v>0</v>
      </c>
    </row>
    <row r="2376" spans="1:8" x14ac:dyDescent="0.3">
      <c r="A2376" t="s">
        <v>690</v>
      </c>
      <c r="B2376" t="s">
        <v>23</v>
      </c>
      <c r="C2376" t="s">
        <v>24</v>
      </c>
      <c r="D2376" t="s">
        <v>689</v>
      </c>
      <c r="E2376" t="s">
        <v>767</v>
      </c>
      <c r="F2376">
        <v>2</v>
      </c>
      <c r="G2376" s="308">
        <f>'BECA SUPERIOR'!J4</f>
        <v>0</v>
      </c>
      <c r="H2376" s="308">
        <f>'BECA SUPERIOR'!K4</f>
        <v>0</v>
      </c>
    </row>
    <row r="2377" spans="1:8" x14ac:dyDescent="0.3">
      <c r="A2377" t="s">
        <v>690</v>
      </c>
      <c r="B2377" t="s">
        <v>23</v>
      </c>
      <c r="C2377" t="s">
        <v>24</v>
      </c>
      <c r="D2377" t="s">
        <v>689</v>
      </c>
      <c r="E2377" t="s">
        <v>768</v>
      </c>
      <c r="F2377">
        <v>3</v>
      </c>
      <c r="G2377" s="308">
        <f>'BECA SUPERIOR'!M4</f>
        <v>0</v>
      </c>
      <c r="H2377" s="308">
        <f>'BECA SUPERIOR'!N4</f>
        <v>0</v>
      </c>
    </row>
    <row r="2378" spans="1:8" x14ac:dyDescent="0.3">
      <c r="A2378" t="s">
        <v>690</v>
      </c>
      <c r="B2378" t="s">
        <v>23</v>
      </c>
      <c r="C2378" t="s">
        <v>24</v>
      </c>
      <c r="D2378" t="s">
        <v>689</v>
      </c>
      <c r="E2378" t="s">
        <v>769</v>
      </c>
      <c r="F2378">
        <v>4</v>
      </c>
      <c r="G2378" s="308">
        <f>'BECA SUPERIOR'!P4</f>
        <v>8.64</v>
      </c>
      <c r="H2378" s="308">
        <f>'BECA SUPERIOR'!Q4</f>
        <v>21600</v>
      </c>
    </row>
    <row r="2379" spans="1:8" x14ac:dyDescent="0.3">
      <c r="A2379" t="s">
        <v>690</v>
      </c>
      <c r="B2379" t="s">
        <v>23</v>
      </c>
      <c r="C2379" t="s">
        <v>24</v>
      </c>
      <c r="D2379" t="s">
        <v>689</v>
      </c>
      <c r="E2379" t="s">
        <v>770</v>
      </c>
      <c r="F2379">
        <v>5</v>
      </c>
      <c r="G2379" s="308">
        <f>'BECA SUPERIOR'!S4</f>
        <v>0</v>
      </c>
      <c r="H2379" s="308">
        <f>'BECA SUPERIOR'!T4</f>
        <v>0</v>
      </c>
    </row>
    <row r="2380" spans="1:8" x14ac:dyDescent="0.3">
      <c r="A2380" t="s">
        <v>690</v>
      </c>
      <c r="B2380" t="s">
        <v>23</v>
      </c>
      <c r="C2380" t="s">
        <v>24</v>
      </c>
      <c r="D2380" t="s">
        <v>689</v>
      </c>
      <c r="E2380" t="s">
        <v>771</v>
      </c>
      <c r="F2380">
        <v>6</v>
      </c>
      <c r="G2380" s="308">
        <f>'BECA SUPERIOR'!V4</f>
        <v>0</v>
      </c>
      <c r="H2380" s="308">
        <f>'BECA SUPERIOR'!W4</f>
        <v>0</v>
      </c>
    </row>
    <row r="2381" spans="1:8" x14ac:dyDescent="0.3">
      <c r="A2381" t="s">
        <v>690</v>
      </c>
      <c r="B2381" t="s">
        <v>23</v>
      </c>
      <c r="C2381" t="s">
        <v>24</v>
      </c>
      <c r="D2381" t="s">
        <v>689</v>
      </c>
      <c r="E2381" t="s">
        <v>772</v>
      </c>
      <c r="F2381">
        <v>7</v>
      </c>
      <c r="G2381" s="308">
        <f>'BECA SUPERIOR'!Y4</f>
        <v>0</v>
      </c>
      <c r="H2381" s="308">
        <f>'BECA SUPERIOR'!Z4</f>
        <v>0</v>
      </c>
    </row>
    <row r="2382" spans="1:8" x14ac:dyDescent="0.3">
      <c r="A2382" t="s">
        <v>690</v>
      </c>
      <c r="B2382" t="s">
        <v>23</v>
      </c>
      <c r="C2382" t="s">
        <v>26</v>
      </c>
      <c r="D2382" t="s">
        <v>689</v>
      </c>
      <c r="E2382" t="s">
        <v>766</v>
      </c>
      <c r="F2382">
        <v>1</v>
      </c>
      <c r="G2382" s="308">
        <f>'BECA SUPERIOR'!G5</f>
        <v>0</v>
      </c>
      <c r="H2382" s="308">
        <f>'BECA SUPERIOR'!H5</f>
        <v>0</v>
      </c>
    </row>
    <row r="2383" spans="1:8" x14ac:dyDescent="0.3">
      <c r="A2383" t="s">
        <v>690</v>
      </c>
      <c r="B2383" t="s">
        <v>23</v>
      </c>
      <c r="C2383" t="s">
        <v>26</v>
      </c>
      <c r="D2383" t="s">
        <v>689</v>
      </c>
      <c r="E2383" t="s">
        <v>767</v>
      </c>
      <c r="F2383">
        <v>2</v>
      </c>
      <c r="G2383" s="308">
        <f>'BECA SUPERIOR'!J5</f>
        <v>0</v>
      </c>
      <c r="H2383" s="308">
        <f>'BECA SUPERIOR'!K5</f>
        <v>0</v>
      </c>
    </row>
    <row r="2384" spans="1:8" x14ac:dyDescent="0.3">
      <c r="A2384" t="s">
        <v>690</v>
      </c>
      <c r="B2384" t="s">
        <v>23</v>
      </c>
      <c r="C2384" t="s">
        <v>26</v>
      </c>
      <c r="D2384" t="s">
        <v>689</v>
      </c>
      <c r="E2384" t="s">
        <v>768</v>
      </c>
      <c r="F2384">
        <v>3</v>
      </c>
      <c r="G2384" s="308">
        <f>'BECA SUPERIOR'!M5</f>
        <v>0</v>
      </c>
      <c r="H2384" s="308">
        <f>'BECA SUPERIOR'!N5</f>
        <v>0</v>
      </c>
    </row>
    <row r="2385" spans="1:8" x14ac:dyDescent="0.3">
      <c r="A2385" t="s">
        <v>690</v>
      </c>
      <c r="B2385" t="s">
        <v>23</v>
      </c>
      <c r="C2385" t="s">
        <v>26</v>
      </c>
      <c r="D2385" t="s">
        <v>689</v>
      </c>
      <c r="E2385" t="s">
        <v>769</v>
      </c>
      <c r="F2385">
        <v>4</v>
      </c>
      <c r="G2385" s="308">
        <f>'BECA SUPERIOR'!P5</f>
        <v>0</v>
      </c>
      <c r="H2385" s="308">
        <f>'BECA SUPERIOR'!Q5</f>
        <v>0</v>
      </c>
    </row>
    <row r="2386" spans="1:8" x14ac:dyDescent="0.3">
      <c r="A2386" t="s">
        <v>690</v>
      </c>
      <c r="B2386" t="s">
        <v>23</v>
      </c>
      <c r="C2386" t="s">
        <v>26</v>
      </c>
      <c r="D2386" t="s">
        <v>689</v>
      </c>
      <c r="E2386" t="s">
        <v>770</v>
      </c>
      <c r="F2386">
        <v>5</v>
      </c>
      <c r="G2386" s="308">
        <f>'BECA SUPERIOR'!S5</f>
        <v>0</v>
      </c>
      <c r="H2386" s="308">
        <f>'BECA SUPERIOR'!T5</f>
        <v>0</v>
      </c>
    </row>
    <row r="2387" spans="1:8" x14ac:dyDescent="0.3">
      <c r="A2387" t="s">
        <v>690</v>
      </c>
      <c r="B2387" t="s">
        <v>23</v>
      </c>
      <c r="C2387" t="s">
        <v>26</v>
      </c>
      <c r="D2387" t="s">
        <v>689</v>
      </c>
      <c r="E2387" t="s">
        <v>771</v>
      </c>
      <c r="F2387">
        <v>6</v>
      </c>
      <c r="G2387" s="308">
        <f>'BECA SUPERIOR'!V5</f>
        <v>0</v>
      </c>
      <c r="H2387" s="308">
        <f>'BECA SUPERIOR'!W5</f>
        <v>0</v>
      </c>
    </row>
    <row r="2388" spans="1:8" x14ac:dyDescent="0.3">
      <c r="A2388" t="s">
        <v>690</v>
      </c>
      <c r="B2388" t="s">
        <v>23</v>
      </c>
      <c r="C2388" t="s">
        <v>26</v>
      </c>
      <c r="D2388" t="s">
        <v>689</v>
      </c>
      <c r="E2388" t="s">
        <v>772</v>
      </c>
      <c r="F2388">
        <v>7</v>
      </c>
      <c r="G2388" s="308">
        <f>'BECA SUPERIOR'!Y5</f>
        <v>0</v>
      </c>
      <c r="H2388" s="308">
        <f>'BECA SUPERIOR'!Z5</f>
        <v>0</v>
      </c>
    </row>
    <row r="2389" spans="1:8" x14ac:dyDescent="0.3">
      <c r="A2389" t="s">
        <v>690</v>
      </c>
      <c r="B2389" t="s">
        <v>23</v>
      </c>
      <c r="C2389" t="s">
        <v>27</v>
      </c>
      <c r="D2389" t="s">
        <v>689</v>
      </c>
      <c r="E2389" t="s">
        <v>766</v>
      </c>
      <c r="F2389">
        <v>1</v>
      </c>
      <c r="G2389" s="308">
        <f>'BECA SUPERIOR'!G6</f>
        <v>0</v>
      </c>
      <c r="H2389" s="308">
        <f>'BECA SUPERIOR'!H6</f>
        <v>0</v>
      </c>
    </row>
    <row r="2390" spans="1:8" x14ac:dyDescent="0.3">
      <c r="A2390" t="s">
        <v>690</v>
      </c>
      <c r="B2390" t="s">
        <v>23</v>
      </c>
      <c r="C2390" t="s">
        <v>27</v>
      </c>
      <c r="D2390" t="s">
        <v>689</v>
      </c>
      <c r="E2390" t="s">
        <v>767</v>
      </c>
      <c r="F2390">
        <v>2</v>
      </c>
      <c r="G2390" s="308">
        <f>'BECA SUPERIOR'!J6</f>
        <v>0</v>
      </c>
      <c r="H2390" s="308">
        <f>'BECA SUPERIOR'!K6</f>
        <v>0</v>
      </c>
    </row>
    <row r="2391" spans="1:8" x14ac:dyDescent="0.3">
      <c r="A2391" t="s">
        <v>690</v>
      </c>
      <c r="B2391" t="s">
        <v>23</v>
      </c>
      <c r="C2391" t="s">
        <v>27</v>
      </c>
      <c r="D2391" t="s">
        <v>689</v>
      </c>
      <c r="E2391" t="s">
        <v>768</v>
      </c>
      <c r="F2391">
        <v>3</v>
      </c>
      <c r="G2391" s="308">
        <f>'BECA SUPERIOR'!M6</f>
        <v>0</v>
      </c>
      <c r="H2391" s="308">
        <f>'BECA SUPERIOR'!N6</f>
        <v>0</v>
      </c>
    </row>
    <row r="2392" spans="1:8" x14ac:dyDescent="0.3">
      <c r="A2392" t="s">
        <v>690</v>
      </c>
      <c r="B2392" t="s">
        <v>23</v>
      </c>
      <c r="C2392" t="s">
        <v>27</v>
      </c>
      <c r="D2392" t="s">
        <v>689</v>
      </c>
      <c r="E2392" t="s">
        <v>769</v>
      </c>
      <c r="F2392">
        <v>4</v>
      </c>
      <c r="G2392" s="308">
        <f>'BECA SUPERIOR'!P6</f>
        <v>0</v>
      </c>
      <c r="H2392" s="308">
        <f>'BECA SUPERIOR'!Q6</f>
        <v>0</v>
      </c>
    </row>
    <row r="2393" spans="1:8" x14ac:dyDescent="0.3">
      <c r="A2393" t="s">
        <v>690</v>
      </c>
      <c r="B2393" t="s">
        <v>23</v>
      </c>
      <c r="C2393" t="s">
        <v>27</v>
      </c>
      <c r="D2393" t="s">
        <v>689</v>
      </c>
      <c r="E2393" t="s">
        <v>770</v>
      </c>
      <c r="F2393">
        <v>5</v>
      </c>
      <c r="G2393" s="308">
        <f>'BECA SUPERIOR'!S6</f>
        <v>0</v>
      </c>
      <c r="H2393" s="308">
        <f>'BECA SUPERIOR'!T6</f>
        <v>0</v>
      </c>
    </row>
    <row r="2394" spans="1:8" x14ac:dyDescent="0.3">
      <c r="A2394" t="s">
        <v>690</v>
      </c>
      <c r="B2394" t="s">
        <v>23</v>
      </c>
      <c r="C2394" t="s">
        <v>27</v>
      </c>
      <c r="D2394" t="s">
        <v>689</v>
      </c>
      <c r="E2394" t="s">
        <v>771</v>
      </c>
      <c r="F2394">
        <v>6</v>
      </c>
      <c r="G2394" s="308">
        <f>'BECA SUPERIOR'!V6</f>
        <v>0</v>
      </c>
      <c r="H2394" s="308">
        <f>'BECA SUPERIOR'!W6</f>
        <v>0</v>
      </c>
    </row>
    <row r="2395" spans="1:8" x14ac:dyDescent="0.3">
      <c r="A2395" t="s">
        <v>690</v>
      </c>
      <c r="B2395" t="s">
        <v>23</v>
      </c>
      <c r="C2395" t="s">
        <v>27</v>
      </c>
      <c r="D2395" t="s">
        <v>689</v>
      </c>
      <c r="E2395" t="s">
        <v>772</v>
      </c>
      <c r="F2395">
        <v>7</v>
      </c>
      <c r="G2395" s="308">
        <f>'BECA SUPERIOR'!Y6</f>
        <v>0</v>
      </c>
      <c r="H2395" s="308">
        <f>'BECA SUPERIOR'!Z6</f>
        <v>0</v>
      </c>
    </row>
    <row r="2396" spans="1:8" x14ac:dyDescent="0.3">
      <c r="A2396" t="s">
        <v>690</v>
      </c>
      <c r="B2396" t="s">
        <v>23</v>
      </c>
      <c r="C2396" t="s">
        <v>28</v>
      </c>
      <c r="D2396" t="s">
        <v>689</v>
      </c>
      <c r="E2396" t="s">
        <v>766</v>
      </c>
      <c r="F2396">
        <v>1</v>
      </c>
      <c r="G2396" s="308">
        <f>'BECA SUPERIOR'!G7</f>
        <v>0</v>
      </c>
      <c r="H2396" s="308">
        <f>'BECA SUPERIOR'!H7</f>
        <v>0</v>
      </c>
    </row>
    <row r="2397" spans="1:8" x14ac:dyDescent="0.3">
      <c r="A2397" t="s">
        <v>690</v>
      </c>
      <c r="B2397" t="s">
        <v>23</v>
      </c>
      <c r="C2397" t="s">
        <v>28</v>
      </c>
      <c r="D2397" t="s">
        <v>689</v>
      </c>
      <c r="E2397" t="s">
        <v>767</v>
      </c>
      <c r="F2397">
        <v>2</v>
      </c>
      <c r="G2397" s="308">
        <f>'BECA SUPERIOR'!J7</f>
        <v>0</v>
      </c>
      <c r="H2397" s="308">
        <f>'BECA SUPERIOR'!K7</f>
        <v>0</v>
      </c>
    </row>
    <row r="2398" spans="1:8" x14ac:dyDescent="0.3">
      <c r="A2398" t="s">
        <v>690</v>
      </c>
      <c r="B2398" t="s">
        <v>23</v>
      </c>
      <c r="C2398" t="s">
        <v>28</v>
      </c>
      <c r="D2398" t="s">
        <v>689</v>
      </c>
      <c r="E2398" t="s">
        <v>768</v>
      </c>
      <c r="F2398">
        <v>3</v>
      </c>
      <c r="G2398" s="308">
        <f>'BECA SUPERIOR'!M7</f>
        <v>0</v>
      </c>
      <c r="H2398" s="308">
        <f>'BECA SUPERIOR'!N7</f>
        <v>0</v>
      </c>
    </row>
    <row r="2399" spans="1:8" x14ac:dyDescent="0.3">
      <c r="A2399" t="s">
        <v>690</v>
      </c>
      <c r="B2399" t="s">
        <v>23</v>
      </c>
      <c r="C2399" t="s">
        <v>28</v>
      </c>
      <c r="D2399" t="s">
        <v>689</v>
      </c>
      <c r="E2399" t="s">
        <v>769</v>
      </c>
      <c r="F2399">
        <v>4</v>
      </c>
      <c r="G2399" s="308">
        <f>'BECA SUPERIOR'!P7</f>
        <v>10.08</v>
      </c>
      <c r="H2399" s="308">
        <f>'BECA SUPERIOR'!Q7</f>
        <v>25200</v>
      </c>
    </row>
    <row r="2400" spans="1:8" x14ac:dyDescent="0.3">
      <c r="A2400" t="s">
        <v>690</v>
      </c>
      <c r="B2400" t="s">
        <v>23</v>
      </c>
      <c r="C2400" t="s">
        <v>28</v>
      </c>
      <c r="D2400" t="s">
        <v>689</v>
      </c>
      <c r="E2400" t="s">
        <v>770</v>
      </c>
      <c r="F2400">
        <v>5</v>
      </c>
      <c r="G2400" s="308">
        <f>'BECA SUPERIOR'!S7</f>
        <v>0</v>
      </c>
      <c r="H2400" s="308">
        <f>'BECA SUPERIOR'!T7</f>
        <v>0</v>
      </c>
    </row>
    <row r="2401" spans="1:8" x14ac:dyDescent="0.3">
      <c r="A2401" t="s">
        <v>690</v>
      </c>
      <c r="B2401" t="s">
        <v>23</v>
      </c>
      <c r="C2401" t="s">
        <v>28</v>
      </c>
      <c r="D2401" t="s">
        <v>689</v>
      </c>
      <c r="E2401" t="s">
        <v>771</v>
      </c>
      <c r="F2401">
        <v>6</v>
      </c>
      <c r="G2401" s="308">
        <f>'BECA SUPERIOR'!V7</f>
        <v>0</v>
      </c>
      <c r="H2401" s="308">
        <f>'BECA SUPERIOR'!W7</f>
        <v>0</v>
      </c>
    </row>
    <row r="2402" spans="1:8" x14ac:dyDescent="0.3">
      <c r="A2402" t="s">
        <v>690</v>
      </c>
      <c r="B2402" t="s">
        <v>23</v>
      </c>
      <c r="C2402" t="s">
        <v>28</v>
      </c>
      <c r="D2402" t="s">
        <v>689</v>
      </c>
      <c r="E2402" t="s">
        <v>772</v>
      </c>
      <c r="F2402">
        <v>7</v>
      </c>
      <c r="G2402" s="308">
        <f>'BECA SUPERIOR'!Y7</f>
        <v>0</v>
      </c>
      <c r="H2402" s="308">
        <f>'BECA SUPERIOR'!Z7</f>
        <v>0</v>
      </c>
    </row>
    <row r="2403" spans="1:8" x14ac:dyDescent="0.3">
      <c r="A2403" t="s">
        <v>690</v>
      </c>
      <c r="B2403" t="s">
        <v>23</v>
      </c>
      <c r="C2403" t="s">
        <v>29</v>
      </c>
      <c r="D2403" t="s">
        <v>689</v>
      </c>
      <c r="E2403" t="s">
        <v>766</v>
      </c>
      <c r="F2403">
        <v>1</v>
      </c>
      <c r="G2403" s="308">
        <f>'BECA SUPERIOR'!G8</f>
        <v>0</v>
      </c>
      <c r="H2403" s="308">
        <f>'BECA SUPERIOR'!H8</f>
        <v>0</v>
      </c>
    </row>
    <row r="2404" spans="1:8" x14ac:dyDescent="0.3">
      <c r="A2404" t="s">
        <v>690</v>
      </c>
      <c r="B2404" t="s">
        <v>23</v>
      </c>
      <c r="C2404" t="s">
        <v>29</v>
      </c>
      <c r="D2404" t="s">
        <v>689</v>
      </c>
      <c r="E2404" t="s">
        <v>767</v>
      </c>
      <c r="F2404">
        <v>2</v>
      </c>
      <c r="G2404" s="308">
        <f>'BECA SUPERIOR'!J8</f>
        <v>0</v>
      </c>
      <c r="H2404" s="308">
        <f>'BECA SUPERIOR'!K8</f>
        <v>0</v>
      </c>
    </row>
    <row r="2405" spans="1:8" x14ac:dyDescent="0.3">
      <c r="A2405" t="s">
        <v>690</v>
      </c>
      <c r="B2405" t="s">
        <v>23</v>
      </c>
      <c r="C2405" t="s">
        <v>29</v>
      </c>
      <c r="D2405" t="s">
        <v>689</v>
      </c>
      <c r="E2405" t="s">
        <v>768</v>
      </c>
      <c r="F2405">
        <v>3</v>
      </c>
      <c r="G2405" s="308">
        <f>'BECA SUPERIOR'!M8</f>
        <v>0</v>
      </c>
      <c r="H2405" s="308">
        <f>'BECA SUPERIOR'!N8</f>
        <v>0</v>
      </c>
    </row>
    <row r="2406" spans="1:8" x14ac:dyDescent="0.3">
      <c r="A2406" t="s">
        <v>690</v>
      </c>
      <c r="B2406" t="s">
        <v>23</v>
      </c>
      <c r="C2406" t="s">
        <v>29</v>
      </c>
      <c r="D2406" t="s">
        <v>689</v>
      </c>
      <c r="E2406" t="s">
        <v>769</v>
      </c>
      <c r="F2406">
        <v>4</v>
      </c>
      <c r="G2406" s="308">
        <f>'BECA SUPERIOR'!P8</f>
        <v>0</v>
      </c>
      <c r="H2406" s="308">
        <f>'BECA SUPERIOR'!Q8</f>
        <v>0</v>
      </c>
    </row>
    <row r="2407" spans="1:8" x14ac:dyDescent="0.3">
      <c r="A2407" t="s">
        <v>690</v>
      </c>
      <c r="B2407" t="s">
        <v>23</v>
      </c>
      <c r="C2407" t="s">
        <v>29</v>
      </c>
      <c r="D2407" t="s">
        <v>689</v>
      </c>
      <c r="E2407" t="s">
        <v>770</v>
      </c>
      <c r="F2407">
        <v>5</v>
      </c>
      <c r="G2407" s="308">
        <f>'BECA SUPERIOR'!S8</f>
        <v>0</v>
      </c>
      <c r="H2407" s="308">
        <f>'BECA SUPERIOR'!T8</f>
        <v>0</v>
      </c>
    </row>
    <row r="2408" spans="1:8" x14ac:dyDescent="0.3">
      <c r="A2408" t="s">
        <v>690</v>
      </c>
      <c r="B2408" t="s">
        <v>23</v>
      </c>
      <c r="C2408" t="s">
        <v>29</v>
      </c>
      <c r="D2408" t="s">
        <v>689</v>
      </c>
      <c r="E2408" t="s">
        <v>771</v>
      </c>
      <c r="F2408">
        <v>6</v>
      </c>
      <c r="G2408" s="308">
        <f>'BECA SUPERIOR'!V8</f>
        <v>0</v>
      </c>
      <c r="H2408" s="308">
        <f>'BECA SUPERIOR'!W8</f>
        <v>0</v>
      </c>
    </row>
    <row r="2409" spans="1:8" x14ac:dyDescent="0.3">
      <c r="A2409" t="s">
        <v>690</v>
      </c>
      <c r="B2409" t="s">
        <v>23</v>
      </c>
      <c r="C2409" t="s">
        <v>29</v>
      </c>
      <c r="D2409" t="s">
        <v>689</v>
      </c>
      <c r="E2409" t="s">
        <v>772</v>
      </c>
      <c r="F2409">
        <v>7</v>
      </c>
      <c r="G2409" s="308">
        <f>'BECA SUPERIOR'!Y8</f>
        <v>0</v>
      </c>
      <c r="H2409" s="308">
        <f>'BECA SUPERIOR'!Z8</f>
        <v>0</v>
      </c>
    </row>
    <row r="2410" spans="1:8" x14ac:dyDescent="0.3">
      <c r="A2410" t="s">
        <v>690</v>
      </c>
      <c r="B2410" t="s">
        <v>23</v>
      </c>
      <c r="C2410" t="s">
        <v>30</v>
      </c>
      <c r="D2410" t="s">
        <v>689</v>
      </c>
      <c r="E2410" t="s">
        <v>766</v>
      </c>
      <c r="F2410">
        <v>1</v>
      </c>
      <c r="G2410" s="308">
        <f>'BECA SUPERIOR'!G9</f>
        <v>0</v>
      </c>
      <c r="H2410" s="308">
        <f>'BECA SUPERIOR'!H9</f>
        <v>0</v>
      </c>
    </row>
    <row r="2411" spans="1:8" x14ac:dyDescent="0.3">
      <c r="A2411" t="s">
        <v>690</v>
      </c>
      <c r="B2411" t="s">
        <v>23</v>
      </c>
      <c r="C2411" t="s">
        <v>30</v>
      </c>
      <c r="D2411" t="s">
        <v>689</v>
      </c>
      <c r="E2411" t="s">
        <v>767</v>
      </c>
      <c r="F2411">
        <v>2</v>
      </c>
      <c r="G2411" s="308">
        <f>'BECA SUPERIOR'!J9</f>
        <v>0</v>
      </c>
      <c r="H2411" s="308">
        <f>'BECA SUPERIOR'!K9</f>
        <v>0</v>
      </c>
    </row>
    <row r="2412" spans="1:8" x14ac:dyDescent="0.3">
      <c r="A2412" t="s">
        <v>690</v>
      </c>
      <c r="B2412" t="s">
        <v>23</v>
      </c>
      <c r="C2412" t="s">
        <v>30</v>
      </c>
      <c r="D2412" t="s">
        <v>689</v>
      </c>
      <c r="E2412" t="s">
        <v>768</v>
      </c>
      <c r="F2412">
        <v>3</v>
      </c>
      <c r="G2412" s="308">
        <f>'BECA SUPERIOR'!M9</f>
        <v>0</v>
      </c>
      <c r="H2412" s="308">
        <f>'BECA SUPERIOR'!N9</f>
        <v>0</v>
      </c>
    </row>
    <row r="2413" spans="1:8" x14ac:dyDescent="0.3">
      <c r="A2413" t="s">
        <v>690</v>
      </c>
      <c r="B2413" t="s">
        <v>23</v>
      </c>
      <c r="C2413" t="s">
        <v>30</v>
      </c>
      <c r="D2413" t="s">
        <v>689</v>
      </c>
      <c r="E2413" t="s">
        <v>769</v>
      </c>
      <c r="F2413">
        <v>4</v>
      </c>
      <c r="G2413" s="308">
        <f>'BECA SUPERIOR'!P9</f>
        <v>5.04</v>
      </c>
      <c r="H2413" s="308">
        <f>'BECA SUPERIOR'!Q9</f>
        <v>12600</v>
      </c>
    </row>
    <row r="2414" spans="1:8" x14ac:dyDescent="0.3">
      <c r="A2414" t="s">
        <v>690</v>
      </c>
      <c r="B2414" t="s">
        <v>23</v>
      </c>
      <c r="C2414" t="s">
        <v>30</v>
      </c>
      <c r="D2414" t="s">
        <v>689</v>
      </c>
      <c r="E2414" t="s">
        <v>770</v>
      </c>
      <c r="F2414">
        <v>5</v>
      </c>
      <c r="G2414" s="308">
        <f>'BECA SUPERIOR'!S9</f>
        <v>0</v>
      </c>
      <c r="H2414" s="308">
        <f>'BECA SUPERIOR'!T9</f>
        <v>0</v>
      </c>
    </row>
    <row r="2415" spans="1:8" x14ac:dyDescent="0.3">
      <c r="A2415" t="s">
        <v>690</v>
      </c>
      <c r="B2415" t="s">
        <v>23</v>
      </c>
      <c r="C2415" t="s">
        <v>30</v>
      </c>
      <c r="D2415" t="s">
        <v>689</v>
      </c>
      <c r="E2415" t="s">
        <v>771</v>
      </c>
      <c r="F2415">
        <v>6</v>
      </c>
      <c r="G2415" s="308">
        <f>'BECA SUPERIOR'!V9</f>
        <v>0</v>
      </c>
      <c r="H2415" s="308">
        <f>'BECA SUPERIOR'!W9</f>
        <v>0</v>
      </c>
    </row>
    <row r="2416" spans="1:8" x14ac:dyDescent="0.3">
      <c r="A2416" t="s">
        <v>690</v>
      </c>
      <c r="B2416" t="s">
        <v>23</v>
      </c>
      <c r="C2416" t="s">
        <v>30</v>
      </c>
      <c r="D2416" t="s">
        <v>689</v>
      </c>
      <c r="E2416" t="s">
        <v>772</v>
      </c>
      <c r="F2416">
        <v>7</v>
      </c>
      <c r="G2416" s="308">
        <f>'BECA SUPERIOR'!Y9</f>
        <v>0</v>
      </c>
      <c r="H2416" s="308">
        <f>'BECA SUPERIOR'!Z9</f>
        <v>0</v>
      </c>
    </row>
    <row r="2417" spans="1:8" x14ac:dyDescent="0.3">
      <c r="A2417" t="s">
        <v>690</v>
      </c>
      <c r="B2417" t="s">
        <v>23</v>
      </c>
      <c r="C2417" t="s">
        <v>31</v>
      </c>
      <c r="D2417" t="s">
        <v>689</v>
      </c>
      <c r="E2417" t="s">
        <v>766</v>
      </c>
      <c r="F2417">
        <v>1</v>
      </c>
      <c r="G2417" s="308">
        <f>'BECA SUPERIOR'!G10</f>
        <v>0</v>
      </c>
      <c r="H2417" s="308">
        <f>'BECA SUPERIOR'!H10</f>
        <v>0</v>
      </c>
    </row>
    <row r="2418" spans="1:8" x14ac:dyDescent="0.3">
      <c r="A2418" t="s">
        <v>690</v>
      </c>
      <c r="B2418" t="s">
        <v>23</v>
      </c>
      <c r="C2418" t="s">
        <v>31</v>
      </c>
      <c r="D2418" t="s">
        <v>689</v>
      </c>
      <c r="E2418" t="s">
        <v>767</v>
      </c>
      <c r="F2418">
        <v>2</v>
      </c>
      <c r="G2418" s="308">
        <f>'BECA SUPERIOR'!J10</f>
        <v>0</v>
      </c>
      <c r="H2418" s="308">
        <f>'BECA SUPERIOR'!K10</f>
        <v>0</v>
      </c>
    </row>
    <row r="2419" spans="1:8" x14ac:dyDescent="0.3">
      <c r="A2419" t="s">
        <v>690</v>
      </c>
      <c r="B2419" t="s">
        <v>23</v>
      </c>
      <c r="C2419" t="s">
        <v>31</v>
      </c>
      <c r="D2419" t="s">
        <v>689</v>
      </c>
      <c r="E2419" t="s">
        <v>768</v>
      </c>
      <c r="F2419">
        <v>3</v>
      </c>
      <c r="G2419" s="308">
        <f>'BECA SUPERIOR'!M10</f>
        <v>0</v>
      </c>
      <c r="H2419" s="308">
        <f>'BECA SUPERIOR'!N10</f>
        <v>0</v>
      </c>
    </row>
    <row r="2420" spans="1:8" x14ac:dyDescent="0.3">
      <c r="A2420" t="s">
        <v>690</v>
      </c>
      <c r="B2420" t="s">
        <v>23</v>
      </c>
      <c r="C2420" t="s">
        <v>31</v>
      </c>
      <c r="D2420" t="s">
        <v>689</v>
      </c>
      <c r="E2420" t="s">
        <v>769</v>
      </c>
      <c r="F2420">
        <v>4</v>
      </c>
      <c r="G2420" s="308">
        <f>'BECA SUPERIOR'!P10</f>
        <v>0</v>
      </c>
      <c r="H2420" s="308">
        <f>'BECA SUPERIOR'!Q10</f>
        <v>0</v>
      </c>
    </row>
    <row r="2421" spans="1:8" x14ac:dyDescent="0.3">
      <c r="A2421" t="s">
        <v>690</v>
      </c>
      <c r="B2421" t="s">
        <v>23</v>
      </c>
      <c r="C2421" t="s">
        <v>31</v>
      </c>
      <c r="D2421" t="s">
        <v>689</v>
      </c>
      <c r="E2421" t="s">
        <v>770</v>
      </c>
      <c r="F2421">
        <v>5</v>
      </c>
      <c r="G2421" s="308">
        <f>'BECA SUPERIOR'!S10</f>
        <v>0</v>
      </c>
      <c r="H2421" s="308">
        <f>'BECA SUPERIOR'!T10</f>
        <v>0</v>
      </c>
    </row>
    <row r="2422" spans="1:8" x14ac:dyDescent="0.3">
      <c r="A2422" t="s">
        <v>690</v>
      </c>
      <c r="B2422" t="s">
        <v>23</v>
      </c>
      <c r="C2422" t="s">
        <v>31</v>
      </c>
      <c r="D2422" t="s">
        <v>689</v>
      </c>
      <c r="E2422" t="s">
        <v>771</v>
      </c>
      <c r="F2422">
        <v>6</v>
      </c>
      <c r="G2422" s="308">
        <f>'BECA SUPERIOR'!V10</f>
        <v>0</v>
      </c>
      <c r="H2422" s="308">
        <f>'BECA SUPERIOR'!W10</f>
        <v>0</v>
      </c>
    </row>
    <row r="2423" spans="1:8" x14ac:dyDescent="0.3">
      <c r="A2423" t="s">
        <v>690</v>
      </c>
      <c r="B2423" t="s">
        <v>23</v>
      </c>
      <c r="C2423" t="s">
        <v>31</v>
      </c>
      <c r="D2423" t="s">
        <v>689</v>
      </c>
      <c r="E2423" t="s">
        <v>772</v>
      </c>
      <c r="F2423">
        <v>7</v>
      </c>
      <c r="G2423" s="308">
        <f>'BECA SUPERIOR'!Y10</f>
        <v>0</v>
      </c>
      <c r="H2423" s="308">
        <f>'BECA SUPERIOR'!Z10</f>
        <v>0</v>
      </c>
    </row>
    <row r="2424" spans="1:8" x14ac:dyDescent="0.3">
      <c r="A2424" t="s">
        <v>690</v>
      </c>
      <c r="B2424" t="s">
        <v>23</v>
      </c>
      <c r="C2424" t="s">
        <v>32</v>
      </c>
      <c r="D2424" t="s">
        <v>689</v>
      </c>
      <c r="E2424" t="s">
        <v>766</v>
      </c>
      <c r="F2424">
        <v>1</v>
      </c>
      <c r="G2424" s="308">
        <f>'BECA SUPERIOR'!G11</f>
        <v>0</v>
      </c>
      <c r="H2424" s="308">
        <f>'BECA SUPERIOR'!H11</f>
        <v>0</v>
      </c>
    </row>
    <row r="2425" spans="1:8" x14ac:dyDescent="0.3">
      <c r="A2425" t="s">
        <v>690</v>
      </c>
      <c r="B2425" t="s">
        <v>23</v>
      </c>
      <c r="C2425" t="s">
        <v>32</v>
      </c>
      <c r="D2425" t="s">
        <v>689</v>
      </c>
      <c r="E2425" t="s">
        <v>767</v>
      </c>
      <c r="F2425">
        <v>2</v>
      </c>
      <c r="G2425" s="308">
        <f>'BECA SUPERIOR'!J11</f>
        <v>0</v>
      </c>
      <c r="H2425" s="308">
        <f>'BECA SUPERIOR'!K11</f>
        <v>0</v>
      </c>
    </row>
    <row r="2426" spans="1:8" x14ac:dyDescent="0.3">
      <c r="A2426" t="s">
        <v>690</v>
      </c>
      <c r="B2426" t="s">
        <v>23</v>
      </c>
      <c r="C2426" t="s">
        <v>32</v>
      </c>
      <c r="D2426" t="s">
        <v>689</v>
      </c>
      <c r="E2426" t="s">
        <v>768</v>
      </c>
      <c r="F2426">
        <v>3</v>
      </c>
      <c r="G2426" s="308">
        <f>'BECA SUPERIOR'!M11</f>
        <v>0</v>
      </c>
      <c r="H2426" s="308">
        <f>'BECA SUPERIOR'!N11</f>
        <v>0</v>
      </c>
    </row>
    <row r="2427" spans="1:8" x14ac:dyDescent="0.3">
      <c r="A2427" t="s">
        <v>690</v>
      </c>
      <c r="B2427" t="s">
        <v>23</v>
      </c>
      <c r="C2427" t="s">
        <v>32</v>
      </c>
      <c r="D2427" t="s">
        <v>689</v>
      </c>
      <c r="E2427" t="s">
        <v>769</v>
      </c>
      <c r="F2427">
        <v>4</v>
      </c>
      <c r="G2427" s="308">
        <f>'BECA SUPERIOR'!P11</f>
        <v>0</v>
      </c>
      <c r="H2427" s="308">
        <f>'BECA SUPERIOR'!Q11</f>
        <v>0</v>
      </c>
    </row>
    <row r="2428" spans="1:8" x14ac:dyDescent="0.3">
      <c r="A2428" t="s">
        <v>690</v>
      </c>
      <c r="B2428" t="s">
        <v>23</v>
      </c>
      <c r="C2428" t="s">
        <v>32</v>
      </c>
      <c r="D2428" t="s">
        <v>689</v>
      </c>
      <c r="E2428" t="s">
        <v>770</v>
      </c>
      <c r="F2428">
        <v>5</v>
      </c>
      <c r="G2428" s="308">
        <f>'BECA SUPERIOR'!S11</f>
        <v>0</v>
      </c>
      <c r="H2428" s="308">
        <f>'BECA SUPERIOR'!T11</f>
        <v>0</v>
      </c>
    </row>
    <row r="2429" spans="1:8" x14ac:dyDescent="0.3">
      <c r="A2429" t="s">
        <v>690</v>
      </c>
      <c r="B2429" t="s">
        <v>23</v>
      </c>
      <c r="C2429" t="s">
        <v>32</v>
      </c>
      <c r="D2429" t="s">
        <v>689</v>
      </c>
      <c r="E2429" t="s">
        <v>771</v>
      </c>
      <c r="F2429">
        <v>6</v>
      </c>
      <c r="G2429" s="308">
        <f>'BECA SUPERIOR'!V11</f>
        <v>0</v>
      </c>
      <c r="H2429" s="308">
        <f>'BECA SUPERIOR'!W11</f>
        <v>0</v>
      </c>
    </row>
    <row r="2430" spans="1:8" x14ac:dyDescent="0.3">
      <c r="A2430" t="s">
        <v>690</v>
      </c>
      <c r="B2430" t="s">
        <v>23</v>
      </c>
      <c r="C2430" t="s">
        <v>32</v>
      </c>
      <c r="D2430" t="s">
        <v>689</v>
      </c>
      <c r="E2430" t="s">
        <v>772</v>
      </c>
      <c r="F2430">
        <v>7</v>
      </c>
      <c r="G2430" s="308">
        <f>'BECA SUPERIOR'!Y11</f>
        <v>0</v>
      </c>
      <c r="H2430" s="308">
        <f>'BECA SUPERIOR'!Z11</f>
        <v>0</v>
      </c>
    </row>
    <row r="2431" spans="1:8" x14ac:dyDescent="0.3">
      <c r="A2431" t="s">
        <v>690</v>
      </c>
      <c r="B2431" t="s">
        <v>23</v>
      </c>
      <c r="C2431" t="s">
        <v>33</v>
      </c>
      <c r="D2431" t="s">
        <v>689</v>
      </c>
      <c r="E2431" t="s">
        <v>766</v>
      </c>
      <c r="F2431">
        <v>1</v>
      </c>
      <c r="G2431" s="308">
        <f>'BECA SUPERIOR'!G12</f>
        <v>0</v>
      </c>
      <c r="H2431" s="308">
        <f>'BECA SUPERIOR'!H12</f>
        <v>0</v>
      </c>
    </row>
    <row r="2432" spans="1:8" x14ac:dyDescent="0.3">
      <c r="A2432" t="s">
        <v>690</v>
      </c>
      <c r="B2432" t="s">
        <v>23</v>
      </c>
      <c r="C2432" t="s">
        <v>33</v>
      </c>
      <c r="D2432" t="s">
        <v>689</v>
      </c>
      <c r="E2432" t="s">
        <v>767</v>
      </c>
      <c r="F2432">
        <v>2</v>
      </c>
      <c r="G2432" s="308">
        <f>'BECA SUPERIOR'!J12</f>
        <v>0</v>
      </c>
      <c r="H2432" s="308">
        <f>'BECA SUPERIOR'!K12</f>
        <v>0</v>
      </c>
    </row>
    <row r="2433" spans="1:8" x14ac:dyDescent="0.3">
      <c r="A2433" t="s">
        <v>690</v>
      </c>
      <c r="B2433" t="s">
        <v>23</v>
      </c>
      <c r="C2433" t="s">
        <v>33</v>
      </c>
      <c r="D2433" t="s">
        <v>689</v>
      </c>
      <c r="E2433" t="s">
        <v>768</v>
      </c>
      <c r="F2433">
        <v>3</v>
      </c>
      <c r="G2433" s="308">
        <f>'BECA SUPERIOR'!M12</f>
        <v>0</v>
      </c>
      <c r="H2433" s="308">
        <f>'BECA SUPERIOR'!N12</f>
        <v>0</v>
      </c>
    </row>
    <row r="2434" spans="1:8" x14ac:dyDescent="0.3">
      <c r="A2434" t="s">
        <v>690</v>
      </c>
      <c r="B2434" t="s">
        <v>23</v>
      </c>
      <c r="C2434" t="s">
        <v>33</v>
      </c>
      <c r="D2434" t="s">
        <v>689</v>
      </c>
      <c r="E2434" t="s">
        <v>769</v>
      </c>
      <c r="F2434">
        <v>4</v>
      </c>
      <c r="G2434" s="308">
        <f>'BECA SUPERIOR'!P12</f>
        <v>2.16</v>
      </c>
      <c r="H2434" s="308">
        <f>'BECA SUPERIOR'!Q12</f>
        <v>5400</v>
      </c>
    </row>
    <row r="2435" spans="1:8" x14ac:dyDescent="0.3">
      <c r="A2435" t="s">
        <v>690</v>
      </c>
      <c r="B2435" t="s">
        <v>23</v>
      </c>
      <c r="C2435" t="s">
        <v>33</v>
      </c>
      <c r="D2435" t="s">
        <v>689</v>
      </c>
      <c r="E2435" t="s">
        <v>770</v>
      </c>
      <c r="F2435">
        <v>5</v>
      </c>
      <c r="G2435" s="308">
        <f>'BECA SUPERIOR'!S12</f>
        <v>0</v>
      </c>
      <c r="H2435" s="308">
        <f>'BECA SUPERIOR'!T12</f>
        <v>0</v>
      </c>
    </row>
    <row r="2436" spans="1:8" x14ac:dyDescent="0.3">
      <c r="A2436" t="s">
        <v>690</v>
      </c>
      <c r="B2436" t="s">
        <v>23</v>
      </c>
      <c r="C2436" t="s">
        <v>33</v>
      </c>
      <c r="D2436" t="s">
        <v>689</v>
      </c>
      <c r="E2436" t="s">
        <v>771</v>
      </c>
      <c r="F2436">
        <v>6</v>
      </c>
      <c r="G2436" s="308">
        <f>'BECA SUPERIOR'!V12</f>
        <v>0</v>
      </c>
      <c r="H2436" s="308">
        <f>'BECA SUPERIOR'!W12</f>
        <v>0</v>
      </c>
    </row>
    <row r="2437" spans="1:8" x14ac:dyDescent="0.3">
      <c r="A2437" t="s">
        <v>690</v>
      </c>
      <c r="B2437" t="s">
        <v>23</v>
      </c>
      <c r="C2437" t="s">
        <v>33</v>
      </c>
      <c r="D2437" t="s">
        <v>689</v>
      </c>
      <c r="E2437" t="s">
        <v>772</v>
      </c>
      <c r="F2437">
        <v>7</v>
      </c>
      <c r="G2437" s="308">
        <f>'BECA SUPERIOR'!Y12</f>
        <v>0</v>
      </c>
      <c r="H2437" s="308">
        <f>'BECA SUPERIOR'!Z12</f>
        <v>0</v>
      </c>
    </row>
    <row r="2438" spans="1:8" x14ac:dyDescent="0.3">
      <c r="A2438" t="s">
        <v>690</v>
      </c>
      <c r="B2438" t="s">
        <v>23</v>
      </c>
      <c r="C2438" t="s">
        <v>34</v>
      </c>
      <c r="D2438" t="s">
        <v>689</v>
      </c>
      <c r="E2438" t="s">
        <v>766</v>
      </c>
      <c r="F2438">
        <v>1</v>
      </c>
      <c r="G2438" s="308">
        <f>'BECA SUPERIOR'!G13</f>
        <v>0</v>
      </c>
      <c r="H2438" s="308">
        <f>'BECA SUPERIOR'!H13</f>
        <v>0</v>
      </c>
    </row>
    <row r="2439" spans="1:8" x14ac:dyDescent="0.3">
      <c r="A2439" t="s">
        <v>690</v>
      </c>
      <c r="B2439" t="s">
        <v>23</v>
      </c>
      <c r="C2439" t="s">
        <v>34</v>
      </c>
      <c r="D2439" t="s">
        <v>689</v>
      </c>
      <c r="E2439" t="s">
        <v>767</v>
      </c>
      <c r="F2439">
        <v>2</v>
      </c>
      <c r="G2439" s="308">
        <f>'BECA SUPERIOR'!J13</f>
        <v>0</v>
      </c>
      <c r="H2439" s="308">
        <f>'BECA SUPERIOR'!K13</f>
        <v>0</v>
      </c>
    </row>
    <row r="2440" spans="1:8" x14ac:dyDescent="0.3">
      <c r="A2440" t="s">
        <v>690</v>
      </c>
      <c r="B2440" t="s">
        <v>23</v>
      </c>
      <c r="C2440" t="s">
        <v>34</v>
      </c>
      <c r="D2440" t="s">
        <v>689</v>
      </c>
      <c r="E2440" t="s">
        <v>768</v>
      </c>
      <c r="F2440">
        <v>3</v>
      </c>
      <c r="G2440" s="308">
        <f>'BECA SUPERIOR'!M13</f>
        <v>0</v>
      </c>
      <c r="H2440" s="308">
        <f>'BECA SUPERIOR'!N13</f>
        <v>0</v>
      </c>
    </row>
    <row r="2441" spans="1:8" x14ac:dyDescent="0.3">
      <c r="A2441" t="s">
        <v>690</v>
      </c>
      <c r="B2441" t="s">
        <v>23</v>
      </c>
      <c r="C2441" t="s">
        <v>34</v>
      </c>
      <c r="D2441" t="s">
        <v>689</v>
      </c>
      <c r="E2441" t="s">
        <v>769</v>
      </c>
      <c r="F2441">
        <v>4</v>
      </c>
      <c r="G2441" s="308">
        <f>'BECA SUPERIOR'!P13</f>
        <v>0</v>
      </c>
      <c r="H2441" s="308">
        <f>'BECA SUPERIOR'!Q13</f>
        <v>0</v>
      </c>
    </row>
    <row r="2442" spans="1:8" x14ac:dyDescent="0.3">
      <c r="A2442" t="s">
        <v>690</v>
      </c>
      <c r="B2442" t="s">
        <v>23</v>
      </c>
      <c r="C2442" t="s">
        <v>34</v>
      </c>
      <c r="D2442" t="s">
        <v>689</v>
      </c>
      <c r="E2442" t="s">
        <v>770</v>
      </c>
      <c r="F2442">
        <v>5</v>
      </c>
      <c r="G2442" s="308">
        <f>'BECA SUPERIOR'!S13</f>
        <v>0</v>
      </c>
      <c r="H2442" s="308">
        <f>'BECA SUPERIOR'!T13</f>
        <v>0</v>
      </c>
    </row>
    <row r="2443" spans="1:8" x14ac:dyDescent="0.3">
      <c r="A2443" t="s">
        <v>690</v>
      </c>
      <c r="B2443" t="s">
        <v>23</v>
      </c>
      <c r="C2443" t="s">
        <v>34</v>
      </c>
      <c r="D2443" t="s">
        <v>689</v>
      </c>
      <c r="E2443" t="s">
        <v>771</v>
      </c>
      <c r="F2443">
        <v>6</v>
      </c>
      <c r="G2443" s="308">
        <f>'BECA SUPERIOR'!V13</f>
        <v>0</v>
      </c>
      <c r="H2443" s="308">
        <f>'BECA SUPERIOR'!W13</f>
        <v>0</v>
      </c>
    </row>
    <row r="2444" spans="1:8" x14ac:dyDescent="0.3">
      <c r="A2444" t="s">
        <v>690</v>
      </c>
      <c r="B2444" t="s">
        <v>23</v>
      </c>
      <c r="C2444" t="s">
        <v>34</v>
      </c>
      <c r="D2444" t="s">
        <v>689</v>
      </c>
      <c r="E2444" t="s">
        <v>772</v>
      </c>
      <c r="F2444">
        <v>7</v>
      </c>
      <c r="G2444" s="308">
        <f>'BECA SUPERIOR'!Y13</f>
        <v>0</v>
      </c>
      <c r="H2444" s="308">
        <f>'BECA SUPERIOR'!Z13</f>
        <v>0</v>
      </c>
    </row>
    <row r="2445" spans="1:8" x14ac:dyDescent="0.3">
      <c r="A2445" t="s">
        <v>690</v>
      </c>
      <c r="B2445" t="s">
        <v>23</v>
      </c>
      <c r="C2445" t="s">
        <v>35</v>
      </c>
      <c r="D2445" t="s">
        <v>689</v>
      </c>
      <c r="E2445" t="s">
        <v>766</v>
      </c>
      <c r="F2445">
        <v>1</v>
      </c>
      <c r="G2445" s="308">
        <f>'BECA SUPERIOR'!G14</f>
        <v>0</v>
      </c>
      <c r="H2445" s="308">
        <f>'BECA SUPERIOR'!H14</f>
        <v>0</v>
      </c>
    </row>
    <row r="2446" spans="1:8" x14ac:dyDescent="0.3">
      <c r="A2446" t="s">
        <v>690</v>
      </c>
      <c r="B2446" t="s">
        <v>23</v>
      </c>
      <c r="C2446" t="s">
        <v>35</v>
      </c>
      <c r="D2446" t="s">
        <v>689</v>
      </c>
      <c r="E2446" t="s">
        <v>767</v>
      </c>
      <c r="F2446">
        <v>2</v>
      </c>
      <c r="G2446" s="308">
        <f>'BECA SUPERIOR'!J14</f>
        <v>0</v>
      </c>
      <c r="H2446" s="308">
        <f>'BECA SUPERIOR'!K14</f>
        <v>0</v>
      </c>
    </row>
    <row r="2447" spans="1:8" x14ac:dyDescent="0.3">
      <c r="A2447" t="s">
        <v>690</v>
      </c>
      <c r="B2447" t="s">
        <v>23</v>
      </c>
      <c r="C2447" t="s">
        <v>35</v>
      </c>
      <c r="D2447" t="s">
        <v>689</v>
      </c>
      <c r="E2447" t="s">
        <v>768</v>
      </c>
      <c r="F2447">
        <v>3</v>
      </c>
      <c r="G2447" s="308">
        <f>'BECA SUPERIOR'!M14</f>
        <v>0</v>
      </c>
      <c r="H2447" s="308">
        <f>'BECA SUPERIOR'!N14</f>
        <v>0</v>
      </c>
    </row>
    <row r="2448" spans="1:8" x14ac:dyDescent="0.3">
      <c r="A2448" t="s">
        <v>690</v>
      </c>
      <c r="B2448" t="s">
        <v>23</v>
      </c>
      <c r="C2448" t="s">
        <v>35</v>
      </c>
      <c r="D2448" t="s">
        <v>689</v>
      </c>
      <c r="E2448" t="s">
        <v>769</v>
      </c>
      <c r="F2448">
        <v>4</v>
      </c>
      <c r="G2448" s="308">
        <f>'BECA SUPERIOR'!P14</f>
        <v>0.72</v>
      </c>
      <c r="H2448" s="308">
        <f>'BECA SUPERIOR'!Q14</f>
        <v>1800</v>
      </c>
    </row>
    <row r="2449" spans="1:8" x14ac:dyDescent="0.3">
      <c r="A2449" t="s">
        <v>690</v>
      </c>
      <c r="B2449" t="s">
        <v>23</v>
      </c>
      <c r="C2449" t="s">
        <v>35</v>
      </c>
      <c r="D2449" t="s">
        <v>689</v>
      </c>
      <c r="E2449" t="s">
        <v>770</v>
      </c>
      <c r="F2449">
        <v>5</v>
      </c>
      <c r="G2449" s="308">
        <f>'BECA SUPERIOR'!S14</f>
        <v>0</v>
      </c>
      <c r="H2449" s="308">
        <f>'BECA SUPERIOR'!T14</f>
        <v>0</v>
      </c>
    </row>
    <row r="2450" spans="1:8" x14ac:dyDescent="0.3">
      <c r="A2450" t="s">
        <v>690</v>
      </c>
      <c r="B2450" t="s">
        <v>23</v>
      </c>
      <c r="C2450" t="s">
        <v>35</v>
      </c>
      <c r="D2450" t="s">
        <v>689</v>
      </c>
      <c r="E2450" t="s">
        <v>771</v>
      </c>
      <c r="F2450">
        <v>6</v>
      </c>
      <c r="G2450" s="308">
        <f>'BECA SUPERIOR'!V14</f>
        <v>0</v>
      </c>
      <c r="H2450" s="308">
        <f>'BECA SUPERIOR'!W14</f>
        <v>0</v>
      </c>
    </row>
    <row r="2451" spans="1:8" x14ac:dyDescent="0.3">
      <c r="A2451" t="s">
        <v>690</v>
      </c>
      <c r="B2451" t="s">
        <v>23</v>
      </c>
      <c r="C2451" t="s">
        <v>35</v>
      </c>
      <c r="D2451" t="s">
        <v>689</v>
      </c>
      <c r="E2451" t="s">
        <v>772</v>
      </c>
      <c r="F2451">
        <v>7</v>
      </c>
      <c r="G2451" s="308">
        <f>'BECA SUPERIOR'!Y14</f>
        <v>0</v>
      </c>
      <c r="H2451" s="308">
        <f>'BECA SUPERIOR'!Z14</f>
        <v>0</v>
      </c>
    </row>
    <row r="2452" spans="1:8" x14ac:dyDescent="0.3">
      <c r="A2452" t="s">
        <v>690</v>
      </c>
      <c r="B2452" t="s">
        <v>23</v>
      </c>
      <c r="C2452" t="s">
        <v>36</v>
      </c>
      <c r="D2452" t="s">
        <v>689</v>
      </c>
      <c r="E2452" t="s">
        <v>766</v>
      </c>
      <c r="F2452">
        <v>1</v>
      </c>
      <c r="G2452" s="308">
        <f>'BECA SUPERIOR'!G15</f>
        <v>0</v>
      </c>
      <c r="H2452" s="308">
        <f>'BECA SUPERIOR'!H15</f>
        <v>0</v>
      </c>
    </row>
    <row r="2453" spans="1:8" x14ac:dyDescent="0.3">
      <c r="A2453" t="s">
        <v>690</v>
      </c>
      <c r="B2453" t="s">
        <v>23</v>
      </c>
      <c r="C2453" t="s">
        <v>36</v>
      </c>
      <c r="D2453" t="s">
        <v>689</v>
      </c>
      <c r="E2453" t="s">
        <v>767</v>
      </c>
      <c r="F2453">
        <v>2</v>
      </c>
      <c r="G2453" s="308">
        <f>'BECA SUPERIOR'!J15</f>
        <v>0</v>
      </c>
      <c r="H2453" s="308">
        <f>'BECA SUPERIOR'!K15</f>
        <v>0</v>
      </c>
    </row>
    <row r="2454" spans="1:8" x14ac:dyDescent="0.3">
      <c r="A2454" t="s">
        <v>690</v>
      </c>
      <c r="B2454" t="s">
        <v>23</v>
      </c>
      <c r="C2454" t="s">
        <v>36</v>
      </c>
      <c r="D2454" t="s">
        <v>689</v>
      </c>
      <c r="E2454" t="s">
        <v>768</v>
      </c>
      <c r="F2454">
        <v>3</v>
      </c>
      <c r="G2454" s="308">
        <f>'BECA SUPERIOR'!M15</f>
        <v>0</v>
      </c>
      <c r="H2454" s="308">
        <f>'BECA SUPERIOR'!N15</f>
        <v>0</v>
      </c>
    </row>
    <row r="2455" spans="1:8" x14ac:dyDescent="0.3">
      <c r="A2455" t="s">
        <v>690</v>
      </c>
      <c r="B2455" t="s">
        <v>23</v>
      </c>
      <c r="C2455" t="s">
        <v>36</v>
      </c>
      <c r="D2455" t="s">
        <v>689</v>
      </c>
      <c r="E2455" t="s">
        <v>769</v>
      </c>
      <c r="F2455">
        <v>4</v>
      </c>
      <c r="G2455" s="308">
        <f>'BECA SUPERIOR'!P15</f>
        <v>0</v>
      </c>
      <c r="H2455" s="308">
        <f>'BECA SUPERIOR'!Q15</f>
        <v>0</v>
      </c>
    </row>
    <row r="2456" spans="1:8" x14ac:dyDescent="0.3">
      <c r="A2456" t="s">
        <v>690</v>
      </c>
      <c r="B2456" t="s">
        <v>23</v>
      </c>
      <c r="C2456" t="s">
        <v>36</v>
      </c>
      <c r="D2456" t="s">
        <v>689</v>
      </c>
      <c r="E2456" t="s">
        <v>770</v>
      </c>
      <c r="F2456">
        <v>5</v>
      </c>
      <c r="G2456" s="308">
        <f>'BECA SUPERIOR'!S15</f>
        <v>0</v>
      </c>
      <c r="H2456" s="308">
        <f>'BECA SUPERIOR'!T15</f>
        <v>0</v>
      </c>
    </row>
    <row r="2457" spans="1:8" x14ac:dyDescent="0.3">
      <c r="A2457" t="s">
        <v>690</v>
      </c>
      <c r="B2457" t="s">
        <v>23</v>
      </c>
      <c r="C2457" t="s">
        <v>36</v>
      </c>
      <c r="D2457" t="s">
        <v>689</v>
      </c>
      <c r="E2457" t="s">
        <v>771</v>
      </c>
      <c r="F2457">
        <v>6</v>
      </c>
      <c r="G2457" s="308">
        <f>'BECA SUPERIOR'!V15</f>
        <v>0</v>
      </c>
      <c r="H2457" s="308">
        <f>'BECA SUPERIOR'!W15</f>
        <v>0</v>
      </c>
    </row>
    <row r="2458" spans="1:8" x14ac:dyDescent="0.3">
      <c r="A2458" t="s">
        <v>690</v>
      </c>
      <c r="B2458" t="s">
        <v>23</v>
      </c>
      <c r="C2458" t="s">
        <v>36</v>
      </c>
      <c r="D2458" t="s">
        <v>689</v>
      </c>
      <c r="E2458" t="s">
        <v>772</v>
      </c>
      <c r="F2458">
        <v>7</v>
      </c>
      <c r="G2458" s="308">
        <f>'BECA SUPERIOR'!Y15</f>
        <v>0</v>
      </c>
      <c r="H2458" s="308">
        <f>'BECA SUPERIOR'!Z15</f>
        <v>0</v>
      </c>
    </row>
    <row r="2459" spans="1:8" x14ac:dyDescent="0.3">
      <c r="A2459" t="s">
        <v>690</v>
      </c>
      <c r="B2459" t="s">
        <v>23</v>
      </c>
      <c r="C2459" t="s">
        <v>37</v>
      </c>
      <c r="D2459" t="s">
        <v>689</v>
      </c>
      <c r="E2459" t="s">
        <v>766</v>
      </c>
      <c r="F2459">
        <v>1</v>
      </c>
      <c r="G2459" s="308">
        <f>'BECA SUPERIOR'!G16</f>
        <v>0</v>
      </c>
      <c r="H2459" s="308">
        <f>'BECA SUPERIOR'!H16</f>
        <v>0</v>
      </c>
    </row>
    <row r="2460" spans="1:8" x14ac:dyDescent="0.3">
      <c r="A2460" t="s">
        <v>690</v>
      </c>
      <c r="B2460" t="s">
        <v>23</v>
      </c>
      <c r="C2460" t="s">
        <v>37</v>
      </c>
      <c r="D2460" t="s">
        <v>689</v>
      </c>
      <c r="E2460" t="s">
        <v>767</v>
      </c>
      <c r="F2460">
        <v>2</v>
      </c>
      <c r="G2460" s="308">
        <f>'BECA SUPERIOR'!J16</f>
        <v>0</v>
      </c>
      <c r="H2460" s="308">
        <f>'BECA SUPERIOR'!K16</f>
        <v>0</v>
      </c>
    </row>
    <row r="2461" spans="1:8" x14ac:dyDescent="0.3">
      <c r="A2461" t="s">
        <v>690</v>
      </c>
      <c r="B2461" t="s">
        <v>23</v>
      </c>
      <c r="C2461" t="s">
        <v>37</v>
      </c>
      <c r="D2461" t="s">
        <v>689</v>
      </c>
      <c r="E2461" t="s">
        <v>768</v>
      </c>
      <c r="F2461">
        <v>3</v>
      </c>
      <c r="G2461" s="308">
        <f>'BECA SUPERIOR'!M16</f>
        <v>0</v>
      </c>
      <c r="H2461" s="308">
        <f>'BECA SUPERIOR'!N16</f>
        <v>0</v>
      </c>
    </row>
    <row r="2462" spans="1:8" x14ac:dyDescent="0.3">
      <c r="A2462" t="s">
        <v>690</v>
      </c>
      <c r="B2462" t="s">
        <v>23</v>
      </c>
      <c r="C2462" t="s">
        <v>37</v>
      </c>
      <c r="D2462" t="s">
        <v>689</v>
      </c>
      <c r="E2462" t="s">
        <v>769</v>
      </c>
      <c r="F2462">
        <v>4</v>
      </c>
      <c r="G2462" s="308">
        <f>'BECA SUPERIOR'!P16</f>
        <v>2.16</v>
      </c>
      <c r="H2462" s="308">
        <f>'BECA SUPERIOR'!Q16</f>
        <v>5400</v>
      </c>
    </row>
    <row r="2463" spans="1:8" x14ac:dyDescent="0.3">
      <c r="A2463" t="s">
        <v>690</v>
      </c>
      <c r="B2463" t="s">
        <v>23</v>
      </c>
      <c r="C2463" t="s">
        <v>37</v>
      </c>
      <c r="D2463" t="s">
        <v>689</v>
      </c>
      <c r="E2463" t="s">
        <v>770</v>
      </c>
      <c r="F2463">
        <v>5</v>
      </c>
      <c r="G2463" s="308">
        <f>'BECA SUPERIOR'!S16</f>
        <v>0</v>
      </c>
      <c r="H2463" s="308">
        <f>'BECA SUPERIOR'!T16</f>
        <v>0</v>
      </c>
    </row>
    <row r="2464" spans="1:8" x14ac:dyDescent="0.3">
      <c r="A2464" t="s">
        <v>690</v>
      </c>
      <c r="B2464" t="s">
        <v>23</v>
      </c>
      <c r="C2464" t="s">
        <v>37</v>
      </c>
      <c r="D2464" t="s">
        <v>689</v>
      </c>
      <c r="E2464" t="s">
        <v>771</v>
      </c>
      <c r="F2464">
        <v>6</v>
      </c>
      <c r="G2464" s="308">
        <f>'BECA SUPERIOR'!V16</f>
        <v>0</v>
      </c>
      <c r="H2464" s="308">
        <f>'BECA SUPERIOR'!W16</f>
        <v>0</v>
      </c>
    </row>
    <row r="2465" spans="1:8" x14ac:dyDescent="0.3">
      <c r="A2465" t="s">
        <v>690</v>
      </c>
      <c r="B2465" t="s">
        <v>23</v>
      </c>
      <c r="C2465" t="s">
        <v>37</v>
      </c>
      <c r="D2465" t="s">
        <v>689</v>
      </c>
      <c r="E2465" t="s">
        <v>772</v>
      </c>
      <c r="F2465">
        <v>7</v>
      </c>
      <c r="G2465" s="308">
        <f>'BECA SUPERIOR'!Y16</f>
        <v>0</v>
      </c>
      <c r="H2465" s="308">
        <f>'BECA SUPERIOR'!Z16</f>
        <v>0</v>
      </c>
    </row>
    <row r="2466" spans="1:8" x14ac:dyDescent="0.3">
      <c r="A2466" t="s">
        <v>690</v>
      </c>
      <c r="B2466" t="s">
        <v>23</v>
      </c>
      <c r="C2466" t="s">
        <v>38</v>
      </c>
      <c r="D2466" t="s">
        <v>689</v>
      </c>
      <c r="E2466" t="s">
        <v>766</v>
      </c>
      <c r="F2466">
        <v>1</v>
      </c>
      <c r="G2466" s="308">
        <f>'BECA SUPERIOR'!G17</f>
        <v>0</v>
      </c>
      <c r="H2466" s="308">
        <f>'BECA SUPERIOR'!H17</f>
        <v>0</v>
      </c>
    </row>
    <row r="2467" spans="1:8" x14ac:dyDescent="0.3">
      <c r="A2467" t="s">
        <v>690</v>
      </c>
      <c r="B2467" t="s">
        <v>23</v>
      </c>
      <c r="C2467" t="s">
        <v>38</v>
      </c>
      <c r="D2467" t="s">
        <v>689</v>
      </c>
      <c r="E2467" t="s">
        <v>767</v>
      </c>
      <c r="F2467">
        <v>2</v>
      </c>
      <c r="G2467" s="308">
        <f>'BECA SUPERIOR'!J17</f>
        <v>0</v>
      </c>
      <c r="H2467" s="308">
        <f>'BECA SUPERIOR'!K17</f>
        <v>0</v>
      </c>
    </row>
    <row r="2468" spans="1:8" x14ac:dyDescent="0.3">
      <c r="A2468" t="s">
        <v>690</v>
      </c>
      <c r="B2468" t="s">
        <v>23</v>
      </c>
      <c r="C2468" t="s">
        <v>38</v>
      </c>
      <c r="D2468" t="s">
        <v>689</v>
      </c>
      <c r="E2468" t="s">
        <v>768</v>
      </c>
      <c r="F2468">
        <v>3</v>
      </c>
      <c r="G2468" s="308">
        <f>'BECA SUPERIOR'!M17</f>
        <v>0</v>
      </c>
      <c r="H2468" s="308">
        <f>'BECA SUPERIOR'!N17</f>
        <v>0</v>
      </c>
    </row>
    <row r="2469" spans="1:8" x14ac:dyDescent="0.3">
      <c r="A2469" t="s">
        <v>690</v>
      </c>
      <c r="B2469" t="s">
        <v>23</v>
      </c>
      <c r="C2469" t="s">
        <v>38</v>
      </c>
      <c r="D2469" t="s">
        <v>689</v>
      </c>
      <c r="E2469" t="s">
        <v>769</v>
      </c>
      <c r="F2469">
        <v>4</v>
      </c>
      <c r="G2469" s="308">
        <f>'BECA SUPERIOR'!P17</f>
        <v>2.16</v>
      </c>
      <c r="H2469" s="308">
        <f>'BECA SUPERIOR'!Q17</f>
        <v>5400</v>
      </c>
    </row>
    <row r="2470" spans="1:8" x14ac:dyDescent="0.3">
      <c r="A2470" t="s">
        <v>690</v>
      </c>
      <c r="B2470" t="s">
        <v>23</v>
      </c>
      <c r="C2470" t="s">
        <v>38</v>
      </c>
      <c r="D2470" t="s">
        <v>689</v>
      </c>
      <c r="E2470" t="s">
        <v>770</v>
      </c>
      <c r="F2470">
        <v>5</v>
      </c>
      <c r="G2470" s="308">
        <f>'BECA SUPERIOR'!S17</f>
        <v>0</v>
      </c>
      <c r="H2470" s="308">
        <f>'BECA SUPERIOR'!T17</f>
        <v>0</v>
      </c>
    </row>
    <row r="2471" spans="1:8" x14ac:dyDescent="0.3">
      <c r="A2471" t="s">
        <v>690</v>
      </c>
      <c r="B2471" t="s">
        <v>23</v>
      </c>
      <c r="C2471" t="s">
        <v>38</v>
      </c>
      <c r="D2471" t="s">
        <v>689</v>
      </c>
      <c r="E2471" t="s">
        <v>771</v>
      </c>
      <c r="F2471">
        <v>6</v>
      </c>
      <c r="G2471" s="308">
        <f>'BECA SUPERIOR'!V17</f>
        <v>0</v>
      </c>
      <c r="H2471" s="308">
        <f>'BECA SUPERIOR'!W17</f>
        <v>0</v>
      </c>
    </row>
    <row r="2472" spans="1:8" x14ac:dyDescent="0.3">
      <c r="A2472" t="s">
        <v>690</v>
      </c>
      <c r="B2472" t="s">
        <v>23</v>
      </c>
      <c r="C2472" t="s">
        <v>38</v>
      </c>
      <c r="D2472" t="s">
        <v>689</v>
      </c>
      <c r="E2472" t="s">
        <v>772</v>
      </c>
      <c r="F2472">
        <v>7</v>
      </c>
      <c r="G2472" s="308">
        <f>'BECA SUPERIOR'!Y17</f>
        <v>0</v>
      </c>
      <c r="H2472" s="308">
        <f>'BECA SUPERIOR'!Z17</f>
        <v>0</v>
      </c>
    </row>
    <row r="2473" spans="1:8" x14ac:dyDescent="0.3">
      <c r="A2473" t="s">
        <v>690</v>
      </c>
      <c r="B2473" t="s">
        <v>23</v>
      </c>
      <c r="C2473" t="s">
        <v>39</v>
      </c>
      <c r="D2473" t="s">
        <v>689</v>
      </c>
      <c r="E2473" t="s">
        <v>766</v>
      </c>
      <c r="F2473">
        <v>1</v>
      </c>
      <c r="G2473" s="308">
        <f>'BECA SUPERIOR'!G18</f>
        <v>0</v>
      </c>
      <c r="H2473" s="308">
        <f>'BECA SUPERIOR'!H18</f>
        <v>0</v>
      </c>
    </row>
    <row r="2474" spans="1:8" x14ac:dyDescent="0.3">
      <c r="A2474" t="s">
        <v>690</v>
      </c>
      <c r="B2474" t="s">
        <v>23</v>
      </c>
      <c r="C2474" t="s">
        <v>39</v>
      </c>
      <c r="D2474" t="s">
        <v>689</v>
      </c>
      <c r="E2474" t="s">
        <v>767</v>
      </c>
      <c r="F2474">
        <v>2</v>
      </c>
      <c r="G2474" s="308">
        <f>'BECA SUPERIOR'!J18</f>
        <v>0</v>
      </c>
      <c r="H2474" s="308">
        <f>'BECA SUPERIOR'!K18</f>
        <v>0</v>
      </c>
    </row>
    <row r="2475" spans="1:8" x14ac:dyDescent="0.3">
      <c r="A2475" t="s">
        <v>690</v>
      </c>
      <c r="B2475" t="s">
        <v>23</v>
      </c>
      <c r="C2475" t="s">
        <v>39</v>
      </c>
      <c r="D2475" t="s">
        <v>689</v>
      </c>
      <c r="E2475" t="s">
        <v>768</v>
      </c>
      <c r="F2475">
        <v>3</v>
      </c>
      <c r="G2475" s="308">
        <f>'BECA SUPERIOR'!M18</f>
        <v>0</v>
      </c>
      <c r="H2475" s="308">
        <f>'BECA SUPERIOR'!N18</f>
        <v>0</v>
      </c>
    </row>
    <row r="2476" spans="1:8" x14ac:dyDescent="0.3">
      <c r="A2476" t="s">
        <v>690</v>
      </c>
      <c r="B2476" t="s">
        <v>23</v>
      </c>
      <c r="C2476" t="s">
        <v>39</v>
      </c>
      <c r="D2476" t="s">
        <v>689</v>
      </c>
      <c r="E2476" t="s">
        <v>769</v>
      </c>
      <c r="F2476">
        <v>4</v>
      </c>
      <c r="G2476" s="308">
        <f>'BECA SUPERIOR'!P18</f>
        <v>0</v>
      </c>
      <c r="H2476" s="308">
        <f>'BECA SUPERIOR'!Q18</f>
        <v>0</v>
      </c>
    </row>
    <row r="2477" spans="1:8" x14ac:dyDescent="0.3">
      <c r="A2477" t="s">
        <v>690</v>
      </c>
      <c r="B2477" t="s">
        <v>23</v>
      </c>
      <c r="C2477" t="s">
        <v>39</v>
      </c>
      <c r="D2477" t="s">
        <v>689</v>
      </c>
      <c r="E2477" t="s">
        <v>770</v>
      </c>
      <c r="F2477">
        <v>5</v>
      </c>
      <c r="G2477" s="308">
        <f>'BECA SUPERIOR'!S18</f>
        <v>0</v>
      </c>
      <c r="H2477" s="308">
        <f>'BECA SUPERIOR'!T18</f>
        <v>0</v>
      </c>
    </row>
    <row r="2478" spans="1:8" x14ac:dyDescent="0.3">
      <c r="A2478" t="s">
        <v>690</v>
      </c>
      <c r="B2478" t="s">
        <v>23</v>
      </c>
      <c r="C2478" t="s">
        <v>39</v>
      </c>
      <c r="D2478" t="s">
        <v>689</v>
      </c>
      <c r="E2478" t="s">
        <v>771</v>
      </c>
      <c r="F2478">
        <v>6</v>
      </c>
      <c r="G2478" s="308">
        <f>'BECA SUPERIOR'!V18</f>
        <v>0</v>
      </c>
      <c r="H2478" s="308">
        <f>'BECA SUPERIOR'!W18</f>
        <v>0</v>
      </c>
    </row>
    <row r="2479" spans="1:8" x14ac:dyDescent="0.3">
      <c r="A2479" t="s">
        <v>690</v>
      </c>
      <c r="B2479" t="s">
        <v>23</v>
      </c>
      <c r="C2479" t="s">
        <v>39</v>
      </c>
      <c r="D2479" t="s">
        <v>689</v>
      </c>
      <c r="E2479" t="s">
        <v>772</v>
      </c>
      <c r="F2479">
        <v>7</v>
      </c>
      <c r="G2479" s="308">
        <f>'BECA SUPERIOR'!Y18</f>
        <v>0</v>
      </c>
      <c r="H2479" s="308">
        <f>'BECA SUPERIOR'!Z18</f>
        <v>0</v>
      </c>
    </row>
    <row r="2480" spans="1:8" x14ac:dyDescent="0.3">
      <c r="A2480" t="s">
        <v>690</v>
      </c>
      <c r="B2480" t="s">
        <v>23</v>
      </c>
      <c r="C2480" t="s">
        <v>40</v>
      </c>
      <c r="D2480" t="s">
        <v>689</v>
      </c>
      <c r="E2480" t="s">
        <v>766</v>
      </c>
      <c r="F2480">
        <v>1</v>
      </c>
      <c r="G2480" s="308">
        <f>'BECA SUPERIOR'!G19</f>
        <v>0</v>
      </c>
      <c r="H2480" s="308">
        <f>'BECA SUPERIOR'!H19</f>
        <v>0</v>
      </c>
    </row>
    <row r="2481" spans="1:8" x14ac:dyDescent="0.3">
      <c r="A2481" t="s">
        <v>690</v>
      </c>
      <c r="B2481" t="s">
        <v>23</v>
      </c>
      <c r="C2481" t="s">
        <v>40</v>
      </c>
      <c r="D2481" t="s">
        <v>689</v>
      </c>
      <c r="E2481" t="s">
        <v>767</v>
      </c>
      <c r="F2481">
        <v>2</v>
      </c>
      <c r="G2481" s="308">
        <f>'BECA SUPERIOR'!J19</f>
        <v>0</v>
      </c>
      <c r="H2481" s="308">
        <f>'BECA SUPERIOR'!K19</f>
        <v>0</v>
      </c>
    </row>
    <row r="2482" spans="1:8" x14ac:dyDescent="0.3">
      <c r="A2482" t="s">
        <v>690</v>
      </c>
      <c r="B2482" t="s">
        <v>23</v>
      </c>
      <c r="C2482" t="s">
        <v>40</v>
      </c>
      <c r="D2482" t="s">
        <v>689</v>
      </c>
      <c r="E2482" t="s">
        <v>768</v>
      </c>
      <c r="F2482">
        <v>3</v>
      </c>
      <c r="G2482" s="308">
        <f>'BECA SUPERIOR'!M19</f>
        <v>0</v>
      </c>
      <c r="H2482" s="308">
        <f>'BECA SUPERIOR'!N19</f>
        <v>0</v>
      </c>
    </row>
    <row r="2483" spans="1:8" x14ac:dyDescent="0.3">
      <c r="A2483" t="s">
        <v>690</v>
      </c>
      <c r="B2483" t="s">
        <v>23</v>
      </c>
      <c r="C2483" t="s">
        <v>40</v>
      </c>
      <c r="D2483" t="s">
        <v>689</v>
      </c>
      <c r="E2483" t="s">
        <v>769</v>
      </c>
      <c r="F2483">
        <v>4</v>
      </c>
      <c r="G2483" s="308">
        <f>'BECA SUPERIOR'!P19</f>
        <v>0</v>
      </c>
      <c r="H2483" s="308">
        <f>'BECA SUPERIOR'!Q19</f>
        <v>0</v>
      </c>
    </row>
    <row r="2484" spans="1:8" x14ac:dyDescent="0.3">
      <c r="A2484" t="s">
        <v>690</v>
      </c>
      <c r="B2484" t="s">
        <v>23</v>
      </c>
      <c r="C2484" t="s">
        <v>40</v>
      </c>
      <c r="D2484" t="s">
        <v>689</v>
      </c>
      <c r="E2484" t="s">
        <v>770</v>
      </c>
      <c r="F2484">
        <v>5</v>
      </c>
      <c r="G2484" s="308">
        <f>'BECA SUPERIOR'!S19</f>
        <v>0</v>
      </c>
      <c r="H2484" s="308">
        <f>'BECA SUPERIOR'!T19</f>
        <v>0</v>
      </c>
    </row>
    <row r="2485" spans="1:8" x14ac:dyDescent="0.3">
      <c r="A2485" t="s">
        <v>690</v>
      </c>
      <c r="B2485" t="s">
        <v>23</v>
      </c>
      <c r="C2485" t="s">
        <v>40</v>
      </c>
      <c r="D2485" t="s">
        <v>689</v>
      </c>
      <c r="E2485" t="s">
        <v>771</v>
      </c>
      <c r="F2485">
        <v>6</v>
      </c>
      <c r="G2485" s="308">
        <f>'BECA SUPERIOR'!V19</f>
        <v>0</v>
      </c>
      <c r="H2485" s="308">
        <f>'BECA SUPERIOR'!W19</f>
        <v>0</v>
      </c>
    </row>
    <row r="2486" spans="1:8" x14ac:dyDescent="0.3">
      <c r="A2486" t="s">
        <v>690</v>
      </c>
      <c r="B2486" t="s">
        <v>23</v>
      </c>
      <c r="C2486" t="s">
        <v>40</v>
      </c>
      <c r="D2486" t="s">
        <v>689</v>
      </c>
      <c r="E2486" t="s">
        <v>772</v>
      </c>
      <c r="F2486">
        <v>7</v>
      </c>
      <c r="G2486" s="308">
        <f>'BECA SUPERIOR'!Y19</f>
        <v>0</v>
      </c>
      <c r="H2486" s="308">
        <f>'BECA SUPERIOR'!Z19</f>
        <v>0</v>
      </c>
    </row>
    <row r="2487" spans="1:8" x14ac:dyDescent="0.3">
      <c r="A2487" t="s">
        <v>690</v>
      </c>
      <c r="B2487" t="s">
        <v>23</v>
      </c>
      <c r="C2487" t="s">
        <v>41</v>
      </c>
      <c r="D2487" t="s">
        <v>689</v>
      </c>
      <c r="E2487" t="s">
        <v>766</v>
      </c>
      <c r="F2487">
        <v>1</v>
      </c>
      <c r="G2487" s="308">
        <f>'BECA SUPERIOR'!G20</f>
        <v>0</v>
      </c>
      <c r="H2487" s="308">
        <f>'BECA SUPERIOR'!H20</f>
        <v>0</v>
      </c>
    </row>
    <row r="2488" spans="1:8" x14ac:dyDescent="0.3">
      <c r="A2488" t="s">
        <v>690</v>
      </c>
      <c r="B2488" t="s">
        <v>23</v>
      </c>
      <c r="C2488" t="s">
        <v>41</v>
      </c>
      <c r="D2488" t="s">
        <v>689</v>
      </c>
      <c r="E2488" t="s">
        <v>767</v>
      </c>
      <c r="F2488">
        <v>2</v>
      </c>
      <c r="G2488" s="308">
        <f>'BECA SUPERIOR'!J20</f>
        <v>0</v>
      </c>
      <c r="H2488" s="308">
        <f>'BECA SUPERIOR'!K20</f>
        <v>0</v>
      </c>
    </row>
    <row r="2489" spans="1:8" x14ac:dyDescent="0.3">
      <c r="A2489" t="s">
        <v>690</v>
      </c>
      <c r="B2489" t="s">
        <v>23</v>
      </c>
      <c r="C2489" t="s">
        <v>41</v>
      </c>
      <c r="D2489" t="s">
        <v>689</v>
      </c>
      <c r="E2489" t="s">
        <v>768</v>
      </c>
      <c r="F2489">
        <v>3</v>
      </c>
      <c r="G2489" s="308">
        <f>'BECA SUPERIOR'!M20</f>
        <v>0</v>
      </c>
      <c r="H2489" s="308">
        <f>'BECA SUPERIOR'!N20</f>
        <v>0</v>
      </c>
    </row>
    <row r="2490" spans="1:8" x14ac:dyDescent="0.3">
      <c r="A2490" t="s">
        <v>690</v>
      </c>
      <c r="B2490" t="s">
        <v>23</v>
      </c>
      <c r="C2490" t="s">
        <v>41</v>
      </c>
      <c r="D2490" t="s">
        <v>689</v>
      </c>
      <c r="E2490" t="s">
        <v>769</v>
      </c>
      <c r="F2490">
        <v>4</v>
      </c>
      <c r="G2490" s="308">
        <f>'BECA SUPERIOR'!P20</f>
        <v>0</v>
      </c>
      <c r="H2490" s="308">
        <f>'BECA SUPERIOR'!Q20</f>
        <v>0</v>
      </c>
    </row>
    <row r="2491" spans="1:8" x14ac:dyDescent="0.3">
      <c r="A2491" t="s">
        <v>690</v>
      </c>
      <c r="B2491" t="s">
        <v>23</v>
      </c>
      <c r="C2491" t="s">
        <v>41</v>
      </c>
      <c r="D2491" t="s">
        <v>689</v>
      </c>
      <c r="E2491" t="s">
        <v>770</v>
      </c>
      <c r="F2491">
        <v>5</v>
      </c>
      <c r="G2491" s="308">
        <f>'BECA SUPERIOR'!S20</f>
        <v>0</v>
      </c>
      <c r="H2491" s="308">
        <f>'BECA SUPERIOR'!T20</f>
        <v>0</v>
      </c>
    </row>
    <row r="2492" spans="1:8" x14ac:dyDescent="0.3">
      <c r="A2492" t="s">
        <v>690</v>
      </c>
      <c r="B2492" t="s">
        <v>23</v>
      </c>
      <c r="C2492" t="s">
        <v>41</v>
      </c>
      <c r="D2492" t="s">
        <v>689</v>
      </c>
      <c r="E2492" t="s">
        <v>771</v>
      </c>
      <c r="F2492">
        <v>6</v>
      </c>
      <c r="G2492" s="308">
        <f>'BECA SUPERIOR'!V20</f>
        <v>0</v>
      </c>
      <c r="H2492" s="308">
        <f>'BECA SUPERIOR'!W20</f>
        <v>0</v>
      </c>
    </row>
    <row r="2493" spans="1:8" x14ac:dyDescent="0.3">
      <c r="A2493" t="s">
        <v>690</v>
      </c>
      <c r="B2493" t="s">
        <v>23</v>
      </c>
      <c r="C2493" t="s">
        <v>41</v>
      </c>
      <c r="D2493" t="s">
        <v>689</v>
      </c>
      <c r="E2493" t="s">
        <v>772</v>
      </c>
      <c r="F2493">
        <v>7</v>
      </c>
      <c r="G2493" s="308">
        <f>'BECA SUPERIOR'!Y20</f>
        <v>0</v>
      </c>
      <c r="H2493" s="308">
        <f>'BECA SUPERIOR'!Z20</f>
        <v>0</v>
      </c>
    </row>
    <row r="2494" spans="1:8" x14ac:dyDescent="0.3">
      <c r="A2494" t="s">
        <v>690</v>
      </c>
      <c r="B2494" t="s">
        <v>42</v>
      </c>
      <c r="C2494" t="s">
        <v>43</v>
      </c>
      <c r="D2494" t="s">
        <v>689</v>
      </c>
      <c r="E2494" t="s">
        <v>766</v>
      </c>
      <c r="F2494">
        <v>1</v>
      </c>
      <c r="G2494" s="308">
        <f>'BECA SUPERIOR'!G21</f>
        <v>0</v>
      </c>
      <c r="H2494" s="308">
        <f>'BECA SUPERIOR'!H21</f>
        <v>0</v>
      </c>
    </row>
    <row r="2495" spans="1:8" x14ac:dyDescent="0.3">
      <c r="A2495" t="s">
        <v>690</v>
      </c>
      <c r="B2495" t="s">
        <v>42</v>
      </c>
      <c r="C2495" t="s">
        <v>43</v>
      </c>
      <c r="D2495" t="s">
        <v>689</v>
      </c>
      <c r="E2495" t="s">
        <v>767</v>
      </c>
      <c r="F2495">
        <v>2</v>
      </c>
      <c r="G2495" s="308">
        <f>'BECA SUPERIOR'!J21</f>
        <v>0</v>
      </c>
      <c r="H2495" s="308">
        <f>'BECA SUPERIOR'!K21</f>
        <v>0</v>
      </c>
    </row>
    <row r="2496" spans="1:8" x14ac:dyDescent="0.3">
      <c r="A2496" t="s">
        <v>690</v>
      </c>
      <c r="B2496" t="s">
        <v>42</v>
      </c>
      <c r="C2496" t="s">
        <v>43</v>
      </c>
      <c r="D2496" t="s">
        <v>689</v>
      </c>
      <c r="E2496" t="s">
        <v>768</v>
      </c>
      <c r="F2496">
        <v>3</v>
      </c>
      <c r="G2496" s="308">
        <f>'BECA SUPERIOR'!M21</f>
        <v>0</v>
      </c>
      <c r="H2496" s="308">
        <f>'BECA SUPERIOR'!N21</f>
        <v>0</v>
      </c>
    </row>
    <row r="2497" spans="1:8" x14ac:dyDescent="0.3">
      <c r="A2497" t="s">
        <v>690</v>
      </c>
      <c r="B2497" t="s">
        <v>42</v>
      </c>
      <c r="C2497" t="s">
        <v>43</v>
      </c>
      <c r="D2497" t="s">
        <v>689</v>
      </c>
      <c r="E2497" t="s">
        <v>769</v>
      </c>
      <c r="F2497">
        <v>4</v>
      </c>
      <c r="G2497" s="308">
        <f>'BECA SUPERIOR'!P21</f>
        <v>5.04</v>
      </c>
      <c r="H2497" s="308">
        <f>'BECA SUPERIOR'!Q21</f>
        <v>12600</v>
      </c>
    </row>
    <row r="2498" spans="1:8" x14ac:dyDescent="0.3">
      <c r="A2498" t="s">
        <v>690</v>
      </c>
      <c r="B2498" t="s">
        <v>42</v>
      </c>
      <c r="C2498" t="s">
        <v>43</v>
      </c>
      <c r="D2498" t="s">
        <v>689</v>
      </c>
      <c r="E2498" t="s">
        <v>770</v>
      </c>
      <c r="F2498">
        <v>5</v>
      </c>
      <c r="G2498" s="308">
        <f>'BECA SUPERIOR'!S21</f>
        <v>0</v>
      </c>
      <c r="H2498" s="308">
        <f>'BECA SUPERIOR'!T21</f>
        <v>0</v>
      </c>
    </row>
    <row r="2499" spans="1:8" x14ac:dyDescent="0.3">
      <c r="A2499" t="s">
        <v>690</v>
      </c>
      <c r="B2499" t="s">
        <v>42</v>
      </c>
      <c r="C2499" t="s">
        <v>43</v>
      </c>
      <c r="D2499" t="s">
        <v>689</v>
      </c>
      <c r="E2499" t="s">
        <v>771</v>
      </c>
      <c r="F2499">
        <v>6</v>
      </c>
      <c r="G2499" s="308">
        <f>'BECA SUPERIOR'!V21</f>
        <v>0</v>
      </c>
      <c r="H2499" s="308">
        <f>'BECA SUPERIOR'!W21</f>
        <v>0</v>
      </c>
    </row>
    <row r="2500" spans="1:8" x14ac:dyDescent="0.3">
      <c r="A2500" t="s">
        <v>690</v>
      </c>
      <c r="B2500" t="s">
        <v>42</v>
      </c>
      <c r="C2500" t="s">
        <v>43</v>
      </c>
      <c r="D2500" t="s">
        <v>689</v>
      </c>
      <c r="E2500" t="s">
        <v>772</v>
      </c>
      <c r="F2500">
        <v>7</v>
      </c>
      <c r="G2500" s="308">
        <f>'BECA SUPERIOR'!Y21</f>
        <v>0</v>
      </c>
      <c r="H2500" s="308">
        <f>'BECA SUPERIOR'!Z21</f>
        <v>0</v>
      </c>
    </row>
    <row r="2501" spans="1:8" x14ac:dyDescent="0.3">
      <c r="A2501" t="s">
        <v>690</v>
      </c>
      <c r="B2501" t="s">
        <v>42</v>
      </c>
      <c r="C2501" t="s">
        <v>44</v>
      </c>
      <c r="D2501" t="s">
        <v>689</v>
      </c>
      <c r="E2501" t="s">
        <v>766</v>
      </c>
      <c r="F2501">
        <v>1</v>
      </c>
      <c r="G2501" s="308">
        <f>'BECA SUPERIOR'!G22</f>
        <v>0</v>
      </c>
      <c r="H2501" s="308">
        <f>'BECA SUPERIOR'!H22</f>
        <v>0</v>
      </c>
    </row>
    <row r="2502" spans="1:8" x14ac:dyDescent="0.3">
      <c r="A2502" t="s">
        <v>690</v>
      </c>
      <c r="B2502" t="s">
        <v>42</v>
      </c>
      <c r="C2502" t="s">
        <v>44</v>
      </c>
      <c r="D2502" t="s">
        <v>689</v>
      </c>
      <c r="E2502" t="s">
        <v>767</v>
      </c>
      <c r="F2502">
        <v>2</v>
      </c>
      <c r="G2502" s="308">
        <f>'BECA SUPERIOR'!J22</f>
        <v>0</v>
      </c>
      <c r="H2502" s="308">
        <f>'BECA SUPERIOR'!K22</f>
        <v>0</v>
      </c>
    </row>
    <row r="2503" spans="1:8" x14ac:dyDescent="0.3">
      <c r="A2503" t="s">
        <v>690</v>
      </c>
      <c r="B2503" t="s">
        <v>42</v>
      </c>
      <c r="C2503" t="s">
        <v>44</v>
      </c>
      <c r="D2503" t="s">
        <v>689</v>
      </c>
      <c r="E2503" t="s">
        <v>768</v>
      </c>
      <c r="F2503">
        <v>3</v>
      </c>
      <c r="G2503" s="308">
        <f>'BECA SUPERIOR'!M22</f>
        <v>0</v>
      </c>
      <c r="H2503" s="308">
        <f>'BECA SUPERIOR'!N22</f>
        <v>0</v>
      </c>
    </row>
    <row r="2504" spans="1:8" x14ac:dyDescent="0.3">
      <c r="A2504" t="s">
        <v>690</v>
      </c>
      <c r="B2504" t="s">
        <v>42</v>
      </c>
      <c r="C2504" t="s">
        <v>44</v>
      </c>
      <c r="D2504" t="s">
        <v>689</v>
      </c>
      <c r="E2504" t="s">
        <v>769</v>
      </c>
      <c r="F2504">
        <v>4</v>
      </c>
      <c r="G2504" s="308">
        <f>'BECA SUPERIOR'!P22</f>
        <v>5.76</v>
      </c>
      <c r="H2504" s="308">
        <f>'BECA SUPERIOR'!Q22</f>
        <v>14400</v>
      </c>
    </row>
    <row r="2505" spans="1:8" x14ac:dyDescent="0.3">
      <c r="A2505" t="s">
        <v>690</v>
      </c>
      <c r="B2505" t="s">
        <v>42</v>
      </c>
      <c r="C2505" t="s">
        <v>44</v>
      </c>
      <c r="D2505" t="s">
        <v>689</v>
      </c>
      <c r="E2505" t="s">
        <v>770</v>
      </c>
      <c r="F2505">
        <v>5</v>
      </c>
      <c r="G2505" s="308">
        <f>'BECA SUPERIOR'!S22</f>
        <v>0</v>
      </c>
      <c r="H2505" s="308">
        <f>'BECA SUPERIOR'!T22</f>
        <v>0</v>
      </c>
    </row>
    <row r="2506" spans="1:8" x14ac:dyDescent="0.3">
      <c r="A2506" t="s">
        <v>690</v>
      </c>
      <c r="B2506" t="s">
        <v>42</v>
      </c>
      <c r="C2506" t="s">
        <v>44</v>
      </c>
      <c r="D2506" t="s">
        <v>689</v>
      </c>
      <c r="E2506" t="s">
        <v>771</v>
      </c>
      <c r="F2506">
        <v>6</v>
      </c>
      <c r="G2506" s="308">
        <f>'BECA SUPERIOR'!V22</f>
        <v>0</v>
      </c>
      <c r="H2506" s="308">
        <f>'BECA SUPERIOR'!W22</f>
        <v>0</v>
      </c>
    </row>
    <row r="2507" spans="1:8" x14ac:dyDescent="0.3">
      <c r="A2507" t="s">
        <v>690</v>
      </c>
      <c r="B2507" t="s">
        <v>42</v>
      </c>
      <c r="C2507" t="s">
        <v>44</v>
      </c>
      <c r="D2507" t="s">
        <v>689</v>
      </c>
      <c r="E2507" t="s">
        <v>772</v>
      </c>
      <c r="F2507">
        <v>7</v>
      </c>
      <c r="G2507" s="308">
        <f>'BECA SUPERIOR'!Y22</f>
        <v>0</v>
      </c>
      <c r="H2507" s="308">
        <f>'BECA SUPERIOR'!Z22</f>
        <v>0</v>
      </c>
    </row>
    <row r="2508" spans="1:8" x14ac:dyDescent="0.3">
      <c r="A2508" t="s">
        <v>690</v>
      </c>
      <c r="B2508" t="s">
        <v>42</v>
      </c>
      <c r="C2508" t="s">
        <v>45</v>
      </c>
      <c r="D2508" t="s">
        <v>689</v>
      </c>
      <c r="E2508" t="s">
        <v>766</v>
      </c>
      <c r="F2508">
        <v>1</v>
      </c>
      <c r="G2508" s="308">
        <f>'BECA SUPERIOR'!G23</f>
        <v>0</v>
      </c>
      <c r="H2508" s="308">
        <f>'BECA SUPERIOR'!H23</f>
        <v>0</v>
      </c>
    </row>
    <row r="2509" spans="1:8" x14ac:dyDescent="0.3">
      <c r="A2509" t="s">
        <v>690</v>
      </c>
      <c r="B2509" t="s">
        <v>42</v>
      </c>
      <c r="C2509" t="s">
        <v>45</v>
      </c>
      <c r="D2509" t="s">
        <v>689</v>
      </c>
      <c r="E2509" t="s">
        <v>767</v>
      </c>
      <c r="F2509">
        <v>2</v>
      </c>
      <c r="G2509" s="308">
        <f>'BECA SUPERIOR'!J23</f>
        <v>0</v>
      </c>
      <c r="H2509" s="308">
        <f>'BECA SUPERIOR'!K23</f>
        <v>0</v>
      </c>
    </row>
    <row r="2510" spans="1:8" x14ac:dyDescent="0.3">
      <c r="A2510" t="s">
        <v>690</v>
      </c>
      <c r="B2510" t="s">
        <v>42</v>
      </c>
      <c r="C2510" t="s">
        <v>45</v>
      </c>
      <c r="D2510" t="s">
        <v>689</v>
      </c>
      <c r="E2510" t="s">
        <v>768</v>
      </c>
      <c r="F2510">
        <v>3</v>
      </c>
      <c r="G2510" s="308">
        <f>'BECA SUPERIOR'!M23</f>
        <v>0</v>
      </c>
      <c r="H2510" s="308">
        <f>'BECA SUPERIOR'!N23</f>
        <v>0</v>
      </c>
    </row>
    <row r="2511" spans="1:8" x14ac:dyDescent="0.3">
      <c r="A2511" t="s">
        <v>690</v>
      </c>
      <c r="B2511" t="s">
        <v>42</v>
      </c>
      <c r="C2511" t="s">
        <v>45</v>
      </c>
      <c r="D2511" t="s">
        <v>689</v>
      </c>
      <c r="E2511" t="s">
        <v>769</v>
      </c>
      <c r="F2511">
        <v>4</v>
      </c>
      <c r="G2511" s="308">
        <f>'BECA SUPERIOR'!P23</f>
        <v>8.64</v>
      </c>
      <c r="H2511" s="308">
        <f>'BECA SUPERIOR'!Q23</f>
        <v>21600</v>
      </c>
    </row>
    <row r="2512" spans="1:8" x14ac:dyDescent="0.3">
      <c r="A2512" t="s">
        <v>690</v>
      </c>
      <c r="B2512" t="s">
        <v>42</v>
      </c>
      <c r="C2512" t="s">
        <v>45</v>
      </c>
      <c r="D2512" t="s">
        <v>689</v>
      </c>
      <c r="E2512" t="s">
        <v>770</v>
      </c>
      <c r="F2512">
        <v>5</v>
      </c>
      <c r="G2512" s="308">
        <f>'BECA SUPERIOR'!S23</f>
        <v>0</v>
      </c>
      <c r="H2512" s="308">
        <f>'BECA SUPERIOR'!T23</f>
        <v>0</v>
      </c>
    </row>
    <row r="2513" spans="1:8" x14ac:dyDescent="0.3">
      <c r="A2513" t="s">
        <v>690</v>
      </c>
      <c r="B2513" t="s">
        <v>42</v>
      </c>
      <c r="C2513" t="s">
        <v>45</v>
      </c>
      <c r="D2513" t="s">
        <v>689</v>
      </c>
      <c r="E2513" t="s">
        <v>771</v>
      </c>
      <c r="F2513">
        <v>6</v>
      </c>
      <c r="G2513" s="308">
        <f>'BECA SUPERIOR'!V23</f>
        <v>0</v>
      </c>
      <c r="H2513" s="308">
        <f>'BECA SUPERIOR'!W23</f>
        <v>0</v>
      </c>
    </row>
    <row r="2514" spans="1:8" x14ac:dyDescent="0.3">
      <c r="A2514" t="s">
        <v>690</v>
      </c>
      <c r="B2514" t="s">
        <v>42</v>
      </c>
      <c r="C2514" t="s">
        <v>45</v>
      </c>
      <c r="D2514" t="s">
        <v>689</v>
      </c>
      <c r="E2514" t="s">
        <v>772</v>
      </c>
      <c r="F2514">
        <v>7</v>
      </c>
      <c r="G2514" s="308">
        <f>'BECA SUPERIOR'!Y23</f>
        <v>0</v>
      </c>
      <c r="H2514" s="308">
        <f>'BECA SUPERIOR'!Z23</f>
        <v>0</v>
      </c>
    </row>
    <row r="2515" spans="1:8" x14ac:dyDescent="0.3">
      <c r="A2515" t="s">
        <v>690</v>
      </c>
      <c r="B2515" t="s">
        <v>42</v>
      </c>
      <c r="C2515" t="s">
        <v>46</v>
      </c>
      <c r="D2515" t="s">
        <v>689</v>
      </c>
      <c r="E2515" t="s">
        <v>766</v>
      </c>
      <c r="F2515">
        <v>1</v>
      </c>
      <c r="G2515" s="308">
        <f>'BECA SUPERIOR'!G24</f>
        <v>0</v>
      </c>
      <c r="H2515" s="308">
        <f>'BECA SUPERIOR'!H24</f>
        <v>0</v>
      </c>
    </row>
    <row r="2516" spans="1:8" x14ac:dyDescent="0.3">
      <c r="A2516" t="s">
        <v>690</v>
      </c>
      <c r="B2516" t="s">
        <v>42</v>
      </c>
      <c r="C2516" t="s">
        <v>46</v>
      </c>
      <c r="D2516" t="s">
        <v>689</v>
      </c>
      <c r="E2516" t="s">
        <v>767</v>
      </c>
      <c r="F2516">
        <v>2</v>
      </c>
      <c r="G2516" s="308">
        <f>'BECA SUPERIOR'!J24</f>
        <v>0</v>
      </c>
      <c r="H2516" s="308">
        <f>'BECA SUPERIOR'!K24</f>
        <v>0</v>
      </c>
    </row>
    <row r="2517" spans="1:8" x14ac:dyDescent="0.3">
      <c r="A2517" t="s">
        <v>690</v>
      </c>
      <c r="B2517" t="s">
        <v>42</v>
      </c>
      <c r="C2517" t="s">
        <v>46</v>
      </c>
      <c r="D2517" t="s">
        <v>689</v>
      </c>
      <c r="E2517" t="s">
        <v>768</v>
      </c>
      <c r="F2517">
        <v>3</v>
      </c>
      <c r="G2517" s="308">
        <f>'BECA SUPERIOR'!M24</f>
        <v>0</v>
      </c>
      <c r="H2517" s="308">
        <f>'BECA SUPERIOR'!N24</f>
        <v>0</v>
      </c>
    </row>
    <row r="2518" spans="1:8" x14ac:dyDescent="0.3">
      <c r="A2518" t="s">
        <v>690</v>
      </c>
      <c r="B2518" t="s">
        <v>42</v>
      </c>
      <c r="C2518" t="s">
        <v>46</v>
      </c>
      <c r="D2518" t="s">
        <v>689</v>
      </c>
      <c r="E2518" t="s">
        <v>769</v>
      </c>
      <c r="F2518">
        <v>4</v>
      </c>
      <c r="G2518" s="308">
        <f>'BECA SUPERIOR'!P24</f>
        <v>7.92</v>
      </c>
      <c r="H2518" s="308">
        <f>'BECA SUPERIOR'!Q24</f>
        <v>19800</v>
      </c>
    </row>
    <row r="2519" spans="1:8" x14ac:dyDescent="0.3">
      <c r="A2519" t="s">
        <v>690</v>
      </c>
      <c r="B2519" t="s">
        <v>42</v>
      </c>
      <c r="C2519" t="s">
        <v>46</v>
      </c>
      <c r="D2519" t="s">
        <v>689</v>
      </c>
      <c r="E2519" t="s">
        <v>770</v>
      </c>
      <c r="F2519">
        <v>5</v>
      </c>
      <c r="G2519" s="308">
        <f>'BECA SUPERIOR'!S24</f>
        <v>0</v>
      </c>
      <c r="H2519" s="308">
        <f>'BECA SUPERIOR'!T24</f>
        <v>0</v>
      </c>
    </row>
    <row r="2520" spans="1:8" x14ac:dyDescent="0.3">
      <c r="A2520" t="s">
        <v>690</v>
      </c>
      <c r="B2520" t="s">
        <v>42</v>
      </c>
      <c r="C2520" t="s">
        <v>46</v>
      </c>
      <c r="D2520" t="s">
        <v>689</v>
      </c>
      <c r="E2520" t="s">
        <v>771</v>
      </c>
      <c r="F2520">
        <v>6</v>
      </c>
      <c r="G2520" s="308">
        <f>'BECA SUPERIOR'!V24</f>
        <v>0</v>
      </c>
      <c r="H2520" s="308">
        <f>'BECA SUPERIOR'!W24</f>
        <v>0</v>
      </c>
    </row>
    <row r="2521" spans="1:8" x14ac:dyDescent="0.3">
      <c r="A2521" t="s">
        <v>690</v>
      </c>
      <c r="B2521" t="s">
        <v>42</v>
      </c>
      <c r="C2521" t="s">
        <v>46</v>
      </c>
      <c r="D2521" t="s">
        <v>689</v>
      </c>
      <c r="E2521" t="s">
        <v>772</v>
      </c>
      <c r="F2521">
        <v>7</v>
      </c>
      <c r="G2521" s="308">
        <f>'BECA SUPERIOR'!Y24</f>
        <v>0</v>
      </c>
      <c r="H2521" s="308">
        <f>'BECA SUPERIOR'!Z24</f>
        <v>0</v>
      </c>
    </row>
    <row r="2522" spans="1:8" x14ac:dyDescent="0.3">
      <c r="A2522" t="s">
        <v>690</v>
      </c>
      <c r="B2522" t="s">
        <v>42</v>
      </c>
      <c r="C2522" t="s">
        <v>47</v>
      </c>
      <c r="D2522" t="s">
        <v>689</v>
      </c>
      <c r="E2522" t="s">
        <v>766</v>
      </c>
      <c r="F2522">
        <v>1</v>
      </c>
      <c r="G2522" s="308">
        <f>'BECA SUPERIOR'!G25</f>
        <v>0</v>
      </c>
      <c r="H2522" s="308">
        <f>'BECA SUPERIOR'!H25</f>
        <v>0</v>
      </c>
    </row>
    <row r="2523" spans="1:8" x14ac:dyDescent="0.3">
      <c r="A2523" t="s">
        <v>690</v>
      </c>
      <c r="B2523" t="s">
        <v>42</v>
      </c>
      <c r="C2523" t="s">
        <v>47</v>
      </c>
      <c r="D2523" t="s">
        <v>689</v>
      </c>
      <c r="E2523" t="s">
        <v>767</v>
      </c>
      <c r="F2523">
        <v>2</v>
      </c>
      <c r="G2523" s="308">
        <f>'BECA SUPERIOR'!J25</f>
        <v>0</v>
      </c>
      <c r="H2523" s="308">
        <f>'BECA SUPERIOR'!K25</f>
        <v>0</v>
      </c>
    </row>
    <row r="2524" spans="1:8" x14ac:dyDescent="0.3">
      <c r="A2524" t="s">
        <v>690</v>
      </c>
      <c r="B2524" t="s">
        <v>42</v>
      </c>
      <c r="C2524" t="s">
        <v>47</v>
      </c>
      <c r="D2524" t="s">
        <v>689</v>
      </c>
      <c r="E2524" t="s">
        <v>768</v>
      </c>
      <c r="F2524">
        <v>3</v>
      </c>
      <c r="G2524" s="308">
        <f>'BECA SUPERIOR'!M25</f>
        <v>0</v>
      </c>
      <c r="H2524" s="308">
        <f>'BECA SUPERIOR'!N25</f>
        <v>0</v>
      </c>
    </row>
    <row r="2525" spans="1:8" x14ac:dyDescent="0.3">
      <c r="A2525" t="s">
        <v>690</v>
      </c>
      <c r="B2525" t="s">
        <v>42</v>
      </c>
      <c r="C2525" t="s">
        <v>47</v>
      </c>
      <c r="D2525" t="s">
        <v>689</v>
      </c>
      <c r="E2525" t="s">
        <v>769</v>
      </c>
      <c r="F2525">
        <v>4</v>
      </c>
      <c r="G2525" s="308">
        <f>'BECA SUPERIOR'!P25</f>
        <v>1.44</v>
      </c>
      <c r="H2525" s="308">
        <f>'BECA SUPERIOR'!Q25</f>
        <v>3600</v>
      </c>
    </row>
    <row r="2526" spans="1:8" x14ac:dyDescent="0.3">
      <c r="A2526" t="s">
        <v>690</v>
      </c>
      <c r="B2526" t="s">
        <v>42</v>
      </c>
      <c r="C2526" t="s">
        <v>47</v>
      </c>
      <c r="D2526" t="s">
        <v>689</v>
      </c>
      <c r="E2526" t="s">
        <v>770</v>
      </c>
      <c r="F2526">
        <v>5</v>
      </c>
      <c r="G2526" s="308">
        <f>'BECA SUPERIOR'!S25</f>
        <v>0</v>
      </c>
      <c r="H2526" s="308">
        <f>'BECA SUPERIOR'!T25</f>
        <v>0</v>
      </c>
    </row>
    <row r="2527" spans="1:8" x14ac:dyDescent="0.3">
      <c r="A2527" t="s">
        <v>690</v>
      </c>
      <c r="B2527" t="s">
        <v>42</v>
      </c>
      <c r="C2527" t="s">
        <v>47</v>
      </c>
      <c r="D2527" t="s">
        <v>689</v>
      </c>
      <c r="E2527" t="s">
        <v>771</v>
      </c>
      <c r="F2527">
        <v>6</v>
      </c>
      <c r="G2527" s="308">
        <f>'BECA SUPERIOR'!V25</f>
        <v>0</v>
      </c>
      <c r="H2527" s="308">
        <f>'BECA SUPERIOR'!W25</f>
        <v>0</v>
      </c>
    </row>
    <row r="2528" spans="1:8" x14ac:dyDescent="0.3">
      <c r="A2528" t="s">
        <v>690</v>
      </c>
      <c r="B2528" t="s">
        <v>42</v>
      </c>
      <c r="C2528" t="s">
        <v>47</v>
      </c>
      <c r="D2528" t="s">
        <v>689</v>
      </c>
      <c r="E2528" t="s">
        <v>772</v>
      </c>
      <c r="F2528">
        <v>7</v>
      </c>
      <c r="G2528" s="308">
        <f>'BECA SUPERIOR'!Y25</f>
        <v>0</v>
      </c>
      <c r="H2528" s="308">
        <f>'BECA SUPERIOR'!Z25</f>
        <v>0</v>
      </c>
    </row>
    <row r="2529" spans="1:8" x14ac:dyDescent="0.3">
      <c r="A2529" t="s">
        <v>690</v>
      </c>
      <c r="B2529" t="s">
        <v>42</v>
      </c>
      <c r="C2529" t="s">
        <v>48</v>
      </c>
      <c r="D2529" t="s">
        <v>689</v>
      </c>
      <c r="E2529" t="s">
        <v>766</v>
      </c>
      <c r="F2529">
        <v>1</v>
      </c>
      <c r="G2529" s="308">
        <f>'BECA SUPERIOR'!G26</f>
        <v>0</v>
      </c>
      <c r="H2529" s="308">
        <f>'BECA SUPERIOR'!H26</f>
        <v>0</v>
      </c>
    </row>
    <row r="2530" spans="1:8" x14ac:dyDescent="0.3">
      <c r="A2530" t="s">
        <v>690</v>
      </c>
      <c r="B2530" t="s">
        <v>42</v>
      </c>
      <c r="C2530" t="s">
        <v>48</v>
      </c>
      <c r="D2530" t="s">
        <v>689</v>
      </c>
      <c r="E2530" t="s">
        <v>767</v>
      </c>
      <c r="F2530">
        <v>2</v>
      </c>
      <c r="G2530" s="308">
        <f>'BECA SUPERIOR'!J26</f>
        <v>0</v>
      </c>
      <c r="H2530" s="308">
        <f>'BECA SUPERIOR'!K26</f>
        <v>0</v>
      </c>
    </row>
    <row r="2531" spans="1:8" x14ac:dyDescent="0.3">
      <c r="A2531" t="s">
        <v>690</v>
      </c>
      <c r="B2531" t="s">
        <v>42</v>
      </c>
      <c r="C2531" t="s">
        <v>48</v>
      </c>
      <c r="D2531" t="s">
        <v>689</v>
      </c>
      <c r="E2531" t="s">
        <v>768</v>
      </c>
      <c r="F2531">
        <v>3</v>
      </c>
      <c r="G2531" s="308">
        <f>'BECA SUPERIOR'!M26</f>
        <v>0</v>
      </c>
      <c r="H2531" s="308">
        <f>'BECA SUPERIOR'!N26</f>
        <v>0</v>
      </c>
    </row>
    <row r="2532" spans="1:8" x14ac:dyDescent="0.3">
      <c r="A2532" t="s">
        <v>690</v>
      </c>
      <c r="B2532" t="s">
        <v>42</v>
      </c>
      <c r="C2532" t="s">
        <v>48</v>
      </c>
      <c r="D2532" t="s">
        <v>689</v>
      </c>
      <c r="E2532" t="s">
        <v>769</v>
      </c>
      <c r="F2532">
        <v>4</v>
      </c>
      <c r="G2532" s="308">
        <f>'BECA SUPERIOR'!P26</f>
        <v>6.48</v>
      </c>
      <c r="H2532" s="308">
        <f>'BECA SUPERIOR'!Q26</f>
        <v>16200</v>
      </c>
    </row>
    <row r="2533" spans="1:8" x14ac:dyDescent="0.3">
      <c r="A2533" t="s">
        <v>690</v>
      </c>
      <c r="B2533" t="s">
        <v>42</v>
      </c>
      <c r="C2533" t="s">
        <v>48</v>
      </c>
      <c r="D2533" t="s">
        <v>689</v>
      </c>
      <c r="E2533" t="s">
        <v>770</v>
      </c>
      <c r="F2533">
        <v>5</v>
      </c>
      <c r="G2533" s="308">
        <f>'BECA SUPERIOR'!S26</f>
        <v>0</v>
      </c>
      <c r="H2533" s="308">
        <f>'BECA SUPERIOR'!T26</f>
        <v>0</v>
      </c>
    </row>
    <row r="2534" spans="1:8" x14ac:dyDescent="0.3">
      <c r="A2534" t="s">
        <v>690</v>
      </c>
      <c r="B2534" t="s">
        <v>42</v>
      </c>
      <c r="C2534" t="s">
        <v>48</v>
      </c>
      <c r="D2534" t="s">
        <v>689</v>
      </c>
      <c r="E2534" t="s">
        <v>771</v>
      </c>
      <c r="F2534">
        <v>6</v>
      </c>
      <c r="G2534" s="308">
        <f>'BECA SUPERIOR'!V26</f>
        <v>0</v>
      </c>
      <c r="H2534" s="308">
        <f>'BECA SUPERIOR'!W26</f>
        <v>0</v>
      </c>
    </row>
    <row r="2535" spans="1:8" x14ac:dyDescent="0.3">
      <c r="A2535" t="s">
        <v>690</v>
      </c>
      <c r="B2535" t="s">
        <v>42</v>
      </c>
      <c r="C2535" t="s">
        <v>48</v>
      </c>
      <c r="D2535" t="s">
        <v>689</v>
      </c>
      <c r="E2535" t="s">
        <v>772</v>
      </c>
      <c r="F2535">
        <v>7</v>
      </c>
      <c r="G2535" s="308">
        <f>'BECA SUPERIOR'!Y26</f>
        <v>0</v>
      </c>
      <c r="H2535" s="308">
        <f>'BECA SUPERIOR'!Z26</f>
        <v>0</v>
      </c>
    </row>
    <row r="2536" spans="1:8" x14ac:dyDescent="0.3">
      <c r="A2536" t="s">
        <v>690</v>
      </c>
      <c r="B2536" t="s">
        <v>42</v>
      </c>
      <c r="C2536" t="s">
        <v>49</v>
      </c>
      <c r="D2536" t="s">
        <v>689</v>
      </c>
      <c r="E2536" t="s">
        <v>766</v>
      </c>
      <c r="F2536">
        <v>1</v>
      </c>
      <c r="G2536" s="308">
        <f>'BECA SUPERIOR'!G27</f>
        <v>0</v>
      </c>
      <c r="H2536" s="308">
        <f>'BECA SUPERIOR'!H27</f>
        <v>0</v>
      </c>
    </row>
    <row r="2537" spans="1:8" x14ac:dyDescent="0.3">
      <c r="A2537" t="s">
        <v>690</v>
      </c>
      <c r="B2537" t="s">
        <v>42</v>
      </c>
      <c r="C2537" t="s">
        <v>49</v>
      </c>
      <c r="D2537" t="s">
        <v>689</v>
      </c>
      <c r="E2537" t="s">
        <v>767</v>
      </c>
      <c r="F2537">
        <v>2</v>
      </c>
      <c r="G2537" s="308">
        <f>'BECA SUPERIOR'!J27</f>
        <v>0</v>
      </c>
      <c r="H2537" s="308">
        <f>'BECA SUPERIOR'!K27</f>
        <v>0</v>
      </c>
    </row>
    <row r="2538" spans="1:8" x14ac:dyDescent="0.3">
      <c r="A2538" t="s">
        <v>690</v>
      </c>
      <c r="B2538" t="s">
        <v>42</v>
      </c>
      <c r="C2538" t="s">
        <v>49</v>
      </c>
      <c r="D2538" t="s">
        <v>689</v>
      </c>
      <c r="E2538" t="s">
        <v>768</v>
      </c>
      <c r="F2538">
        <v>3</v>
      </c>
      <c r="G2538" s="308">
        <f>'BECA SUPERIOR'!M27</f>
        <v>0</v>
      </c>
      <c r="H2538" s="308">
        <f>'BECA SUPERIOR'!N27</f>
        <v>0</v>
      </c>
    </row>
    <row r="2539" spans="1:8" x14ac:dyDescent="0.3">
      <c r="A2539" t="s">
        <v>690</v>
      </c>
      <c r="B2539" t="s">
        <v>42</v>
      </c>
      <c r="C2539" t="s">
        <v>49</v>
      </c>
      <c r="D2539" t="s">
        <v>689</v>
      </c>
      <c r="E2539" t="s">
        <v>769</v>
      </c>
      <c r="F2539">
        <v>4</v>
      </c>
      <c r="G2539" s="308">
        <f>'BECA SUPERIOR'!P27</f>
        <v>4.32</v>
      </c>
      <c r="H2539" s="308">
        <f>'BECA SUPERIOR'!Q27</f>
        <v>10800</v>
      </c>
    </row>
    <row r="2540" spans="1:8" x14ac:dyDescent="0.3">
      <c r="A2540" t="s">
        <v>690</v>
      </c>
      <c r="B2540" t="s">
        <v>42</v>
      </c>
      <c r="C2540" t="s">
        <v>49</v>
      </c>
      <c r="D2540" t="s">
        <v>689</v>
      </c>
      <c r="E2540" t="s">
        <v>770</v>
      </c>
      <c r="F2540">
        <v>5</v>
      </c>
      <c r="G2540" s="308">
        <f>'BECA SUPERIOR'!S27</f>
        <v>0</v>
      </c>
      <c r="H2540" s="308">
        <f>'BECA SUPERIOR'!T27</f>
        <v>0</v>
      </c>
    </row>
    <row r="2541" spans="1:8" x14ac:dyDescent="0.3">
      <c r="A2541" t="s">
        <v>690</v>
      </c>
      <c r="B2541" t="s">
        <v>42</v>
      </c>
      <c r="C2541" t="s">
        <v>49</v>
      </c>
      <c r="D2541" t="s">
        <v>689</v>
      </c>
      <c r="E2541" t="s">
        <v>771</v>
      </c>
      <c r="F2541">
        <v>6</v>
      </c>
      <c r="G2541" s="308">
        <f>'BECA SUPERIOR'!V27</f>
        <v>0</v>
      </c>
      <c r="H2541" s="308">
        <f>'BECA SUPERIOR'!W27</f>
        <v>0</v>
      </c>
    </row>
    <row r="2542" spans="1:8" x14ac:dyDescent="0.3">
      <c r="A2542" t="s">
        <v>690</v>
      </c>
      <c r="B2542" t="s">
        <v>42</v>
      </c>
      <c r="C2542" t="s">
        <v>49</v>
      </c>
      <c r="D2542" t="s">
        <v>689</v>
      </c>
      <c r="E2542" t="s">
        <v>772</v>
      </c>
      <c r="F2542">
        <v>7</v>
      </c>
      <c r="G2542" s="308">
        <f>'BECA SUPERIOR'!Y27</f>
        <v>0</v>
      </c>
      <c r="H2542" s="308">
        <f>'BECA SUPERIOR'!Z27</f>
        <v>0</v>
      </c>
    </row>
    <row r="2543" spans="1:8" x14ac:dyDescent="0.3">
      <c r="A2543" t="s">
        <v>690</v>
      </c>
      <c r="B2543" t="s">
        <v>42</v>
      </c>
      <c r="C2543" t="s">
        <v>50</v>
      </c>
      <c r="D2543" t="s">
        <v>689</v>
      </c>
      <c r="E2543" t="s">
        <v>766</v>
      </c>
      <c r="F2543">
        <v>1</v>
      </c>
      <c r="G2543" s="308">
        <f>'BECA SUPERIOR'!G28</f>
        <v>0</v>
      </c>
      <c r="H2543" s="308">
        <f>'BECA SUPERIOR'!H28</f>
        <v>0</v>
      </c>
    </row>
    <row r="2544" spans="1:8" x14ac:dyDescent="0.3">
      <c r="A2544" t="s">
        <v>690</v>
      </c>
      <c r="B2544" t="s">
        <v>42</v>
      </c>
      <c r="C2544" t="s">
        <v>50</v>
      </c>
      <c r="D2544" t="s">
        <v>689</v>
      </c>
      <c r="E2544" t="s">
        <v>767</v>
      </c>
      <c r="F2544">
        <v>2</v>
      </c>
      <c r="G2544" s="308">
        <f>'BECA SUPERIOR'!J28</f>
        <v>0</v>
      </c>
      <c r="H2544" s="308">
        <f>'BECA SUPERIOR'!K28</f>
        <v>0</v>
      </c>
    </row>
    <row r="2545" spans="1:8" x14ac:dyDescent="0.3">
      <c r="A2545" t="s">
        <v>690</v>
      </c>
      <c r="B2545" t="s">
        <v>42</v>
      </c>
      <c r="C2545" t="s">
        <v>50</v>
      </c>
      <c r="D2545" t="s">
        <v>689</v>
      </c>
      <c r="E2545" t="s">
        <v>768</v>
      </c>
      <c r="F2545">
        <v>3</v>
      </c>
      <c r="G2545" s="308">
        <f>'BECA SUPERIOR'!M28</f>
        <v>0</v>
      </c>
      <c r="H2545" s="308">
        <f>'BECA SUPERIOR'!N28</f>
        <v>0</v>
      </c>
    </row>
    <row r="2546" spans="1:8" x14ac:dyDescent="0.3">
      <c r="A2546" t="s">
        <v>690</v>
      </c>
      <c r="B2546" t="s">
        <v>42</v>
      </c>
      <c r="C2546" t="s">
        <v>50</v>
      </c>
      <c r="D2546" t="s">
        <v>689</v>
      </c>
      <c r="E2546" t="s">
        <v>769</v>
      </c>
      <c r="F2546">
        <v>4</v>
      </c>
      <c r="G2546" s="308">
        <f>'BECA SUPERIOR'!P28</f>
        <v>3.6</v>
      </c>
      <c r="H2546" s="308">
        <f>'BECA SUPERIOR'!Q28</f>
        <v>9000</v>
      </c>
    </row>
    <row r="2547" spans="1:8" x14ac:dyDescent="0.3">
      <c r="A2547" t="s">
        <v>690</v>
      </c>
      <c r="B2547" t="s">
        <v>42</v>
      </c>
      <c r="C2547" t="s">
        <v>50</v>
      </c>
      <c r="D2547" t="s">
        <v>689</v>
      </c>
      <c r="E2547" t="s">
        <v>770</v>
      </c>
      <c r="F2547">
        <v>5</v>
      </c>
      <c r="G2547" s="308">
        <f>'BECA SUPERIOR'!S28</f>
        <v>0</v>
      </c>
      <c r="H2547" s="308">
        <f>'BECA SUPERIOR'!T28</f>
        <v>0</v>
      </c>
    </row>
    <row r="2548" spans="1:8" x14ac:dyDescent="0.3">
      <c r="A2548" t="s">
        <v>690</v>
      </c>
      <c r="B2548" t="s">
        <v>42</v>
      </c>
      <c r="C2548" t="s">
        <v>50</v>
      </c>
      <c r="D2548" t="s">
        <v>689</v>
      </c>
      <c r="E2548" t="s">
        <v>771</v>
      </c>
      <c r="F2548">
        <v>6</v>
      </c>
      <c r="G2548" s="308">
        <f>'BECA SUPERIOR'!V28</f>
        <v>0</v>
      </c>
      <c r="H2548" s="308">
        <f>'BECA SUPERIOR'!W28</f>
        <v>0</v>
      </c>
    </row>
    <row r="2549" spans="1:8" x14ac:dyDescent="0.3">
      <c r="A2549" t="s">
        <v>690</v>
      </c>
      <c r="B2549" t="s">
        <v>42</v>
      </c>
      <c r="C2549" t="s">
        <v>50</v>
      </c>
      <c r="D2549" t="s">
        <v>689</v>
      </c>
      <c r="E2549" t="s">
        <v>772</v>
      </c>
      <c r="F2549">
        <v>7</v>
      </c>
      <c r="G2549" s="308">
        <f>'BECA SUPERIOR'!Y28</f>
        <v>0</v>
      </c>
      <c r="H2549" s="308">
        <f>'BECA SUPERIOR'!Z28</f>
        <v>0</v>
      </c>
    </row>
    <row r="2550" spans="1:8" x14ac:dyDescent="0.3">
      <c r="A2550" t="s">
        <v>690</v>
      </c>
      <c r="B2550" t="s">
        <v>51</v>
      </c>
      <c r="C2550" t="s">
        <v>52</v>
      </c>
      <c r="D2550" t="s">
        <v>689</v>
      </c>
      <c r="E2550" t="s">
        <v>766</v>
      </c>
      <c r="F2550">
        <v>1</v>
      </c>
      <c r="G2550" s="308">
        <f>'BECA SUPERIOR'!G29</f>
        <v>0</v>
      </c>
      <c r="H2550" s="308">
        <f>'BECA SUPERIOR'!H29</f>
        <v>0</v>
      </c>
    </row>
    <row r="2551" spans="1:8" x14ac:dyDescent="0.3">
      <c r="A2551" t="s">
        <v>690</v>
      </c>
      <c r="B2551" t="s">
        <v>51</v>
      </c>
      <c r="C2551" t="s">
        <v>52</v>
      </c>
      <c r="D2551" t="s">
        <v>689</v>
      </c>
      <c r="E2551" t="s">
        <v>767</v>
      </c>
      <c r="F2551">
        <v>2</v>
      </c>
      <c r="G2551" s="308">
        <f>'BECA SUPERIOR'!J29</f>
        <v>0</v>
      </c>
      <c r="H2551" s="308">
        <f>'BECA SUPERIOR'!K29</f>
        <v>0</v>
      </c>
    </row>
    <row r="2552" spans="1:8" x14ac:dyDescent="0.3">
      <c r="A2552" t="s">
        <v>690</v>
      </c>
      <c r="B2552" t="s">
        <v>51</v>
      </c>
      <c r="C2552" t="s">
        <v>52</v>
      </c>
      <c r="D2552" t="s">
        <v>689</v>
      </c>
      <c r="E2552" t="s">
        <v>768</v>
      </c>
      <c r="F2552">
        <v>3</v>
      </c>
      <c r="G2552" s="308">
        <f>'BECA SUPERIOR'!M29</f>
        <v>0</v>
      </c>
      <c r="H2552" s="308">
        <f>'BECA SUPERIOR'!N29</f>
        <v>0</v>
      </c>
    </row>
    <row r="2553" spans="1:8" x14ac:dyDescent="0.3">
      <c r="A2553" t="s">
        <v>690</v>
      </c>
      <c r="B2553" t="s">
        <v>51</v>
      </c>
      <c r="C2553" t="s">
        <v>52</v>
      </c>
      <c r="D2553" t="s">
        <v>689</v>
      </c>
      <c r="E2553" t="s">
        <v>769</v>
      </c>
      <c r="F2553">
        <v>4</v>
      </c>
      <c r="G2553" s="308">
        <f>'BECA SUPERIOR'!P29</f>
        <v>1.44</v>
      </c>
      <c r="H2553" s="308">
        <f>'BECA SUPERIOR'!Q29</f>
        <v>3600</v>
      </c>
    </row>
    <row r="2554" spans="1:8" x14ac:dyDescent="0.3">
      <c r="A2554" t="s">
        <v>690</v>
      </c>
      <c r="B2554" t="s">
        <v>51</v>
      </c>
      <c r="C2554" t="s">
        <v>52</v>
      </c>
      <c r="D2554" t="s">
        <v>689</v>
      </c>
      <c r="E2554" t="s">
        <v>770</v>
      </c>
      <c r="F2554">
        <v>5</v>
      </c>
      <c r="G2554" s="308">
        <f>'BECA SUPERIOR'!S29</f>
        <v>0</v>
      </c>
      <c r="H2554" s="308">
        <f>'BECA SUPERIOR'!T29</f>
        <v>0</v>
      </c>
    </row>
    <row r="2555" spans="1:8" x14ac:dyDescent="0.3">
      <c r="A2555" t="s">
        <v>690</v>
      </c>
      <c r="B2555" t="s">
        <v>51</v>
      </c>
      <c r="C2555" t="s">
        <v>52</v>
      </c>
      <c r="D2555" t="s">
        <v>689</v>
      </c>
      <c r="E2555" t="s">
        <v>771</v>
      </c>
      <c r="F2555">
        <v>6</v>
      </c>
      <c r="G2555" s="308">
        <f>'BECA SUPERIOR'!V29</f>
        <v>0</v>
      </c>
      <c r="H2555" s="308">
        <f>'BECA SUPERIOR'!W29</f>
        <v>0</v>
      </c>
    </row>
    <row r="2556" spans="1:8" x14ac:dyDescent="0.3">
      <c r="A2556" t="s">
        <v>690</v>
      </c>
      <c r="B2556" t="s">
        <v>51</v>
      </c>
      <c r="C2556" t="s">
        <v>52</v>
      </c>
      <c r="D2556" t="s">
        <v>689</v>
      </c>
      <c r="E2556" t="s">
        <v>772</v>
      </c>
      <c r="F2556">
        <v>7</v>
      </c>
      <c r="G2556" s="308">
        <f>'BECA SUPERIOR'!Y29</f>
        <v>0</v>
      </c>
      <c r="H2556" s="308">
        <f>'BECA SUPERIOR'!Z29</f>
        <v>0</v>
      </c>
    </row>
    <row r="2557" spans="1:8" x14ac:dyDescent="0.3">
      <c r="A2557" t="s">
        <v>690</v>
      </c>
      <c r="B2557" t="s">
        <v>51</v>
      </c>
      <c r="C2557" t="s">
        <v>51</v>
      </c>
      <c r="D2557" t="s">
        <v>689</v>
      </c>
      <c r="E2557" t="s">
        <v>766</v>
      </c>
      <c r="F2557">
        <v>1</v>
      </c>
      <c r="G2557" s="308">
        <f>'BECA SUPERIOR'!G30</f>
        <v>0</v>
      </c>
      <c r="H2557" s="308">
        <f>'BECA SUPERIOR'!H30</f>
        <v>0</v>
      </c>
    </row>
    <row r="2558" spans="1:8" x14ac:dyDescent="0.3">
      <c r="A2558" t="s">
        <v>690</v>
      </c>
      <c r="B2558" t="s">
        <v>51</v>
      </c>
      <c r="C2558" t="s">
        <v>51</v>
      </c>
      <c r="D2558" t="s">
        <v>689</v>
      </c>
      <c r="E2558" t="s">
        <v>767</v>
      </c>
      <c r="F2558">
        <v>2</v>
      </c>
      <c r="G2558" s="308">
        <f>'BECA SUPERIOR'!J30</f>
        <v>0</v>
      </c>
      <c r="H2558" s="308">
        <f>'BECA SUPERIOR'!K30</f>
        <v>0</v>
      </c>
    </row>
    <row r="2559" spans="1:8" x14ac:dyDescent="0.3">
      <c r="A2559" t="s">
        <v>690</v>
      </c>
      <c r="B2559" t="s">
        <v>51</v>
      </c>
      <c r="C2559" t="s">
        <v>51</v>
      </c>
      <c r="D2559" t="s">
        <v>689</v>
      </c>
      <c r="E2559" t="s">
        <v>768</v>
      </c>
      <c r="F2559">
        <v>3</v>
      </c>
      <c r="G2559" s="308">
        <f>'BECA SUPERIOR'!M30</f>
        <v>0</v>
      </c>
      <c r="H2559" s="308">
        <f>'BECA SUPERIOR'!N30</f>
        <v>0</v>
      </c>
    </row>
    <row r="2560" spans="1:8" x14ac:dyDescent="0.3">
      <c r="A2560" t="s">
        <v>690</v>
      </c>
      <c r="B2560" t="s">
        <v>51</v>
      </c>
      <c r="C2560" t="s">
        <v>51</v>
      </c>
      <c r="D2560" t="s">
        <v>689</v>
      </c>
      <c r="E2560" t="s">
        <v>769</v>
      </c>
      <c r="F2560">
        <v>4</v>
      </c>
      <c r="G2560" s="308">
        <f>'BECA SUPERIOR'!P30</f>
        <v>4.32</v>
      </c>
      <c r="H2560" s="308">
        <f>'BECA SUPERIOR'!Q30</f>
        <v>10800</v>
      </c>
    </row>
    <row r="2561" spans="1:8" x14ac:dyDescent="0.3">
      <c r="A2561" t="s">
        <v>690</v>
      </c>
      <c r="B2561" t="s">
        <v>51</v>
      </c>
      <c r="C2561" t="s">
        <v>51</v>
      </c>
      <c r="D2561" t="s">
        <v>689</v>
      </c>
      <c r="E2561" t="s">
        <v>770</v>
      </c>
      <c r="F2561">
        <v>5</v>
      </c>
      <c r="G2561" s="308">
        <f>'BECA SUPERIOR'!S30</f>
        <v>0</v>
      </c>
      <c r="H2561" s="308">
        <f>'BECA SUPERIOR'!T30</f>
        <v>0</v>
      </c>
    </row>
    <row r="2562" spans="1:8" x14ac:dyDescent="0.3">
      <c r="A2562" t="s">
        <v>690</v>
      </c>
      <c r="B2562" t="s">
        <v>51</v>
      </c>
      <c r="C2562" t="s">
        <v>51</v>
      </c>
      <c r="D2562" t="s">
        <v>689</v>
      </c>
      <c r="E2562" t="s">
        <v>771</v>
      </c>
      <c r="F2562">
        <v>6</v>
      </c>
      <c r="G2562" s="308">
        <f>'BECA SUPERIOR'!V30</f>
        <v>0</v>
      </c>
      <c r="H2562" s="308">
        <f>'BECA SUPERIOR'!W30</f>
        <v>0</v>
      </c>
    </row>
    <row r="2563" spans="1:8" x14ac:dyDescent="0.3">
      <c r="A2563" t="s">
        <v>690</v>
      </c>
      <c r="B2563" t="s">
        <v>51</v>
      </c>
      <c r="C2563" t="s">
        <v>51</v>
      </c>
      <c r="D2563" t="s">
        <v>689</v>
      </c>
      <c r="E2563" t="s">
        <v>772</v>
      </c>
      <c r="F2563">
        <v>7</v>
      </c>
      <c r="G2563" s="308">
        <f>'BECA SUPERIOR'!Y30</f>
        <v>0</v>
      </c>
      <c r="H2563" s="308">
        <f>'BECA SUPERIOR'!Z30</f>
        <v>0</v>
      </c>
    </row>
    <row r="2564" spans="1:8" x14ac:dyDescent="0.3">
      <c r="A2564" t="s">
        <v>690</v>
      </c>
      <c r="B2564" t="s">
        <v>51</v>
      </c>
      <c r="C2564" t="s">
        <v>53</v>
      </c>
      <c r="D2564" t="s">
        <v>689</v>
      </c>
      <c r="E2564" t="s">
        <v>766</v>
      </c>
      <c r="F2564">
        <v>1</v>
      </c>
      <c r="G2564" s="308">
        <f>'BECA SUPERIOR'!G31</f>
        <v>0</v>
      </c>
      <c r="H2564" s="308">
        <f>'BECA SUPERIOR'!H31</f>
        <v>0</v>
      </c>
    </row>
    <row r="2565" spans="1:8" x14ac:dyDescent="0.3">
      <c r="A2565" t="s">
        <v>690</v>
      </c>
      <c r="B2565" t="s">
        <v>51</v>
      </c>
      <c r="C2565" t="s">
        <v>53</v>
      </c>
      <c r="D2565" t="s">
        <v>689</v>
      </c>
      <c r="E2565" t="s">
        <v>767</v>
      </c>
      <c r="F2565">
        <v>2</v>
      </c>
      <c r="G2565" s="308">
        <f>'BECA SUPERIOR'!J31</f>
        <v>0</v>
      </c>
      <c r="H2565" s="308">
        <f>'BECA SUPERIOR'!K31</f>
        <v>0</v>
      </c>
    </row>
    <row r="2566" spans="1:8" x14ac:dyDescent="0.3">
      <c r="A2566" t="s">
        <v>690</v>
      </c>
      <c r="B2566" t="s">
        <v>51</v>
      </c>
      <c r="C2566" t="s">
        <v>53</v>
      </c>
      <c r="D2566" t="s">
        <v>689</v>
      </c>
      <c r="E2566" t="s">
        <v>768</v>
      </c>
      <c r="F2566">
        <v>3</v>
      </c>
      <c r="G2566" s="308">
        <f>'BECA SUPERIOR'!M31</f>
        <v>0</v>
      </c>
      <c r="H2566" s="308">
        <f>'BECA SUPERIOR'!N31</f>
        <v>0</v>
      </c>
    </row>
    <row r="2567" spans="1:8" x14ac:dyDescent="0.3">
      <c r="A2567" t="s">
        <v>690</v>
      </c>
      <c r="B2567" t="s">
        <v>51</v>
      </c>
      <c r="C2567" t="s">
        <v>53</v>
      </c>
      <c r="D2567" t="s">
        <v>689</v>
      </c>
      <c r="E2567" t="s">
        <v>769</v>
      </c>
      <c r="F2567">
        <v>4</v>
      </c>
      <c r="G2567" s="308">
        <f>'BECA SUPERIOR'!P31</f>
        <v>6.48</v>
      </c>
      <c r="H2567" s="308">
        <f>'BECA SUPERIOR'!Q31</f>
        <v>16200</v>
      </c>
    </row>
    <row r="2568" spans="1:8" x14ac:dyDescent="0.3">
      <c r="A2568" t="s">
        <v>690</v>
      </c>
      <c r="B2568" t="s">
        <v>51</v>
      </c>
      <c r="C2568" t="s">
        <v>53</v>
      </c>
      <c r="D2568" t="s">
        <v>689</v>
      </c>
      <c r="E2568" t="s">
        <v>770</v>
      </c>
      <c r="F2568">
        <v>5</v>
      </c>
      <c r="G2568" s="308">
        <f>'BECA SUPERIOR'!S31</f>
        <v>0</v>
      </c>
      <c r="H2568" s="308">
        <f>'BECA SUPERIOR'!T31</f>
        <v>0</v>
      </c>
    </row>
    <row r="2569" spans="1:8" x14ac:dyDescent="0.3">
      <c r="A2569" t="s">
        <v>690</v>
      </c>
      <c r="B2569" t="s">
        <v>51</v>
      </c>
      <c r="C2569" t="s">
        <v>53</v>
      </c>
      <c r="D2569" t="s">
        <v>689</v>
      </c>
      <c r="E2569" t="s">
        <v>771</v>
      </c>
      <c r="F2569">
        <v>6</v>
      </c>
      <c r="G2569" s="308">
        <f>'BECA SUPERIOR'!V31</f>
        <v>0</v>
      </c>
      <c r="H2569" s="308">
        <f>'BECA SUPERIOR'!W31</f>
        <v>0</v>
      </c>
    </row>
    <row r="2570" spans="1:8" x14ac:dyDescent="0.3">
      <c r="A2570" t="s">
        <v>690</v>
      </c>
      <c r="B2570" t="s">
        <v>51</v>
      </c>
      <c r="C2570" t="s">
        <v>53</v>
      </c>
      <c r="D2570" t="s">
        <v>689</v>
      </c>
      <c r="E2570" t="s">
        <v>772</v>
      </c>
      <c r="F2570">
        <v>7</v>
      </c>
      <c r="G2570" s="308">
        <f>'BECA SUPERIOR'!Y31</f>
        <v>0</v>
      </c>
      <c r="H2570" s="308">
        <f>'BECA SUPERIOR'!Z31</f>
        <v>0</v>
      </c>
    </row>
    <row r="2571" spans="1:8" x14ac:dyDescent="0.3">
      <c r="A2571" t="s">
        <v>690</v>
      </c>
      <c r="B2571" t="s">
        <v>51</v>
      </c>
      <c r="C2571" t="s">
        <v>54</v>
      </c>
      <c r="D2571" t="s">
        <v>689</v>
      </c>
      <c r="E2571" t="s">
        <v>766</v>
      </c>
      <c r="F2571">
        <v>1</v>
      </c>
      <c r="G2571" s="308">
        <f>'BECA SUPERIOR'!G32</f>
        <v>0</v>
      </c>
      <c r="H2571" s="308">
        <f>'BECA SUPERIOR'!H32</f>
        <v>0</v>
      </c>
    </row>
    <row r="2572" spans="1:8" x14ac:dyDescent="0.3">
      <c r="A2572" t="s">
        <v>690</v>
      </c>
      <c r="B2572" t="s">
        <v>51</v>
      </c>
      <c r="C2572" t="s">
        <v>54</v>
      </c>
      <c r="D2572" t="s">
        <v>689</v>
      </c>
      <c r="E2572" t="s">
        <v>767</v>
      </c>
      <c r="F2572">
        <v>2</v>
      </c>
      <c r="G2572" s="308">
        <f>'BECA SUPERIOR'!J32</f>
        <v>0</v>
      </c>
      <c r="H2572" s="308">
        <f>'BECA SUPERIOR'!K32</f>
        <v>0</v>
      </c>
    </row>
    <row r="2573" spans="1:8" x14ac:dyDescent="0.3">
      <c r="A2573" t="s">
        <v>690</v>
      </c>
      <c r="B2573" t="s">
        <v>51</v>
      </c>
      <c r="C2573" t="s">
        <v>54</v>
      </c>
      <c r="D2573" t="s">
        <v>689</v>
      </c>
      <c r="E2573" t="s">
        <v>768</v>
      </c>
      <c r="F2573">
        <v>3</v>
      </c>
      <c r="G2573" s="308">
        <f>'BECA SUPERIOR'!M32</f>
        <v>0</v>
      </c>
      <c r="H2573" s="308">
        <f>'BECA SUPERIOR'!N32</f>
        <v>0</v>
      </c>
    </row>
    <row r="2574" spans="1:8" x14ac:dyDescent="0.3">
      <c r="A2574" t="s">
        <v>690</v>
      </c>
      <c r="B2574" t="s">
        <v>51</v>
      </c>
      <c r="C2574" t="s">
        <v>54</v>
      </c>
      <c r="D2574" t="s">
        <v>689</v>
      </c>
      <c r="E2574" t="s">
        <v>769</v>
      </c>
      <c r="F2574">
        <v>4</v>
      </c>
      <c r="G2574" s="308">
        <f>'BECA SUPERIOR'!P32</f>
        <v>2.16</v>
      </c>
      <c r="H2574" s="308">
        <f>'BECA SUPERIOR'!Q32</f>
        <v>5400</v>
      </c>
    </row>
    <row r="2575" spans="1:8" x14ac:dyDescent="0.3">
      <c r="A2575" t="s">
        <v>690</v>
      </c>
      <c r="B2575" t="s">
        <v>51</v>
      </c>
      <c r="C2575" t="s">
        <v>54</v>
      </c>
      <c r="D2575" t="s">
        <v>689</v>
      </c>
      <c r="E2575" t="s">
        <v>770</v>
      </c>
      <c r="F2575">
        <v>5</v>
      </c>
      <c r="G2575" s="308">
        <f>'BECA SUPERIOR'!S32</f>
        <v>0</v>
      </c>
      <c r="H2575" s="308">
        <f>'BECA SUPERIOR'!T32</f>
        <v>0</v>
      </c>
    </row>
    <row r="2576" spans="1:8" x14ac:dyDescent="0.3">
      <c r="A2576" t="s">
        <v>690</v>
      </c>
      <c r="B2576" t="s">
        <v>51</v>
      </c>
      <c r="C2576" t="s">
        <v>54</v>
      </c>
      <c r="D2576" t="s">
        <v>689</v>
      </c>
      <c r="E2576" t="s">
        <v>771</v>
      </c>
      <c r="F2576">
        <v>6</v>
      </c>
      <c r="G2576" s="308">
        <f>'BECA SUPERIOR'!V32</f>
        <v>0</v>
      </c>
      <c r="H2576" s="308">
        <f>'BECA SUPERIOR'!W32</f>
        <v>0</v>
      </c>
    </row>
    <row r="2577" spans="1:8" x14ac:dyDescent="0.3">
      <c r="A2577" t="s">
        <v>690</v>
      </c>
      <c r="B2577" t="s">
        <v>51</v>
      </c>
      <c r="C2577" t="s">
        <v>54</v>
      </c>
      <c r="D2577" t="s">
        <v>689</v>
      </c>
      <c r="E2577" t="s">
        <v>772</v>
      </c>
      <c r="F2577">
        <v>7</v>
      </c>
      <c r="G2577" s="308">
        <f>'BECA SUPERIOR'!Y32</f>
        <v>0</v>
      </c>
      <c r="H2577" s="308">
        <f>'BECA SUPERIOR'!Z32</f>
        <v>0</v>
      </c>
    </row>
    <row r="2578" spans="1:8" x14ac:dyDescent="0.3">
      <c r="A2578" t="s">
        <v>690</v>
      </c>
      <c r="B2578" t="s">
        <v>51</v>
      </c>
      <c r="C2578" t="s">
        <v>55</v>
      </c>
      <c r="D2578" t="s">
        <v>689</v>
      </c>
      <c r="E2578" t="s">
        <v>766</v>
      </c>
      <c r="F2578">
        <v>1</v>
      </c>
      <c r="G2578" s="308">
        <f>'BECA SUPERIOR'!G33</f>
        <v>0</v>
      </c>
      <c r="H2578" s="308">
        <f>'BECA SUPERIOR'!H33</f>
        <v>0</v>
      </c>
    </row>
    <row r="2579" spans="1:8" x14ac:dyDescent="0.3">
      <c r="A2579" t="s">
        <v>690</v>
      </c>
      <c r="B2579" t="s">
        <v>51</v>
      </c>
      <c r="C2579" t="s">
        <v>55</v>
      </c>
      <c r="D2579" t="s">
        <v>689</v>
      </c>
      <c r="E2579" t="s">
        <v>767</v>
      </c>
      <c r="F2579">
        <v>2</v>
      </c>
      <c r="G2579" s="308">
        <f>'BECA SUPERIOR'!J33</f>
        <v>0</v>
      </c>
      <c r="H2579" s="308">
        <f>'BECA SUPERIOR'!K33</f>
        <v>0</v>
      </c>
    </row>
    <row r="2580" spans="1:8" x14ac:dyDescent="0.3">
      <c r="A2580" t="s">
        <v>690</v>
      </c>
      <c r="B2580" t="s">
        <v>51</v>
      </c>
      <c r="C2580" t="s">
        <v>55</v>
      </c>
      <c r="D2580" t="s">
        <v>689</v>
      </c>
      <c r="E2580" t="s">
        <v>768</v>
      </c>
      <c r="F2580">
        <v>3</v>
      </c>
      <c r="G2580" s="308">
        <f>'BECA SUPERIOR'!M33</f>
        <v>0</v>
      </c>
      <c r="H2580" s="308">
        <f>'BECA SUPERIOR'!N33</f>
        <v>0</v>
      </c>
    </row>
    <row r="2581" spans="1:8" x14ac:dyDescent="0.3">
      <c r="A2581" t="s">
        <v>690</v>
      </c>
      <c r="B2581" t="s">
        <v>51</v>
      </c>
      <c r="C2581" t="s">
        <v>55</v>
      </c>
      <c r="D2581" t="s">
        <v>689</v>
      </c>
      <c r="E2581" t="s">
        <v>769</v>
      </c>
      <c r="F2581">
        <v>4</v>
      </c>
      <c r="G2581" s="308">
        <f>'BECA SUPERIOR'!P33</f>
        <v>2.16</v>
      </c>
      <c r="H2581" s="308">
        <f>'BECA SUPERIOR'!Q33</f>
        <v>5400</v>
      </c>
    </row>
    <row r="2582" spans="1:8" x14ac:dyDescent="0.3">
      <c r="A2582" t="s">
        <v>690</v>
      </c>
      <c r="B2582" t="s">
        <v>51</v>
      </c>
      <c r="C2582" t="s">
        <v>55</v>
      </c>
      <c r="D2582" t="s">
        <v>689</v>
      </c>
      <c r="E2582" t="s">
        <v>770</v>
      </c>
      <c r="F2582">
        <v>5</v>
      </c>
      <c r="G2582" s="308">
        <f>'BECA SUPERIOR'!S33</f>
        <v>0</v>
      </c>
      <c r="H2582" s="308">
        <f>'BECA SUPERIOR'!T33</f>
        <v>0</v>
      </c>
    </row>
    <row r="2583" spans="1:8" x14ac:dyDescent="0.3">
      <c r="A2583" t="s">
        <v>690</v>
      </c>
      <c r="B2583" t="s">
        <v>51</v>
      </c>
      <c r="C2583" t="s">
        <v>55</v>
      </c>
      <c r="D2583" t="s">
        <v>689</v>
      </c>
      <c r="E2583" t="s">
        <v>771</v>
      </c>
      <c r="F2583">
        <v>6</v>
      </c>
      <c r="G2583" s="308">
        <f>'BECA SUPERIOR'!V33</f>
        <v>0</v>
      </c>
      <c r="H2583" s="308">
        <f>'BECA SUPERIOR'!W33</f>
        <v>0</v>
      </c>
    </row>
    <row r="2584" spans="1:8" x14ac:dyDescent="0.3">
      <c r="A2584" t="s">
        <v>690</v>
      </c>
      <c r="B2584" t="s">
        <v>51</v>
      </c>
      <c r="C2584" t="s">
        <v>55</v>
      </c>
      <c r="D2584" t="s">
        <v>689</v>
      </c>
      <c r="E2584" t="s">
        <v>772</v>
      </c>
      <c r="F2584">
        <v>7</v>
      </c>
      <c r="G2584" s="308">
        <f>'BECA SUPERIOR'!Y33</f>
        <v>0</v>
      </c>
      <c r="H2584" s="308">
        <f>'BECA SUPERIOR'!Z33</f>
        <v>0</v>
      </c>
    </row>
    <row r="2585" spans="1:8" x14ac:dyDescent="0.3">
      <c r="A2585" t="s">
        <v>690</v>
      </c>
      <c r="B2585" t="s">
        <v>51</v>
      </c>
      <c r="C2585" t="s">
        <v>56</v>
      </c>
      <c r="D2585" t="s">
        <v>689</v>
      </c>
      <c r="E2585" t="s">
        <v>766</v>
      </c>
      <c r="F2585">
        <v>1</v>
      </c>
      <c r="G2585" s="308">
        <f>'BECA SUPERIOR'!G34</f>
        <v>0</v>
      </c>
      <c r="H2585" s="308">
        <f>'BECA SUPERIOR'!H34</f>
        <v>0</v>
      </c>
    </row>
    <row r="2586" spans="1:8" x14ac:dyDescent="0.3">
      <c r="A2586" t="s">
        <v>690</v>
      </c>
      <c r="B2586" t="s">
        <v>51</v>
      </c>
      <c r="C2586" t="s">
        <v>56</v>
      </c>
      <c r="D2586" t="s">
        <v>689</v>
      </c>
      <c r="E2586" t="s">
        <v>767</v>
      </c>
      <c r="F2586">
        <v>2</v>
      </c>
      <c r="G2586" s="308">
        <f>'BECA SUPERIOR'!J34</f>
        <v>0</v>
      </c>
      <c r="H2586" s="308">
        <f>'BECA SUPERIOR'!K34</f>
        <v>0</v>
      </c>
    </row>
    <row r="2587" spans="1:8" x14ac:dyDescent="0.3">
      <c r="A2587" t="s">
        <v>690</v>
      </c>
      <c r="B2587" t="s">
        <v>51</v>
      </c>
      <c r="C2587" t="s">
        <v>56</v>
      </c>
      <c r="D2587" t="s">
        <v>689</v>
      </c>
      <c r="E2587" t="s">
        <v>768</v>
      </c>
      <c r="F2587">
        <v>3</v>
      </c>
      <c r="G2587" s="308">
        <f>'BECA SUPERIOR'!M34</f>
        <v>0</v>
      </c>
      <c r="H2587" s="308">
        <f>'BECA SUPERIOR'!N34</f>
        <v>0</v>
      </c>
    </row>
    <row r="2588" spans="1:8" x14ac:dyDescent="0.3">
      <c r="A2588" t="s">
        <v>690</v>
      </c>
      <c r="B2588" t="s">
        <v>51</v>
      </c>
      <c r="C2588" t="s">
        <v>56</v>
      </c>
      <c r="D2588" t="s">
        <v>689</v>
      </c>
      <c r="E2588" t="s">
        <v>769</v>
      </c>
      <c r="F2588">
        <v>4</v>
      </c>
      <c r="G2588" s="308">
        <f>'BECA SUPERIOR'!P34</f>
        <v>3.6</v>
      </c>
      <c r="H2588" s="308">
        <f>'BECA SUPERIOR'!Q34</f>
        <v>9000</v>
      </c>
    </row>
    <row r="2589" spans="1:8" x14ac:dyDescent="0.3">
      <c r="A2589" t="s">
        <v>690</v>
      </c>
      <c r="B2589" t="s">
        <v>51</v>
      </c>
      <c r="C2589" t="s">
        <v>56</v>
      </c>
      <c r="D2589" t="s">
        <v>689</v>
      </c>
      <c r="E2589" t="s">
        <v>770</v>
      </c>
      <c r="F2589">
        <v>5</v>
      </c>
      <c r="G2589" s="308">
        <f>'BECA SUPERIOR'!S34</f>
        <v>0</v>
      </c>
      <c r="H2589" s="308">
        <f>'BECA SUPERIOR'!T34</f>
        <v>0</v>
      </c>
    </row>
    <row r="2590" spans="1:8" x14ac:dyDescent="0.3">
      <c r="A2590" t="s">
        <v>690</v>
      </c>
      <c r="B2590" t="s">
        <v>51</v>
      </c>
      <c r="C2590" t="s">
        <v>56</v>
      </c>
      <c r="D2590" t="s">
        <v>689</v>
      </c>
      <c r="E2590" t="s">
        <v>771</v>
      </c>
      <c r="F2590">
        <v>6</v>
      </c>
      <c r="G2590" s="308">
        <f>'BECA SUPERIOR'!V34</f>
        <v>0</v>
      </c>
      <c r="H2590" s="308">
        <f>'BECA SUPERIOR'!W34</f>
        <v>0</v>
      </c>
    </row>
    <row r="2591" spans="1:8" x14ac:dyDescent="0.3">
      <c r="A2591" t="s">
        <v>690</v>
      </c>
      <c r="B2591" t="s">
        <v>51</v>
      </c>
      <c r="C2591" t="s">
        <v>56</v>
      </c>
      <c r="D2591" t="s">
        <v>689</v>
      </c>
      <c r="E2591" t="s">
        <v>772</v>
      </c>
      <c r="F2591">
        <v>7</v>
      </c>
      <c r="G2591" s="308">
        <f>'BECA SUPERIOR'!Y34</f>
        <v>0</v>
      </c>
      <c r="H2591" s="308">
        <f>'BECA SUPERIOR'!Z34</f>
        <v>0</v>
      </c>
    </row>
    <row r="2592" spans="1:8" x14ac:dyDescent="0.3">
      <c r="A2592" t="s">
        <v>690</v>
      </c>
      <c r="B2592" t="s">
        <v>51</v>
      </c>
      <c r="C2592" t="s">
        <v>57</v>
      </c>
      <c r="D2592" t="s">
        <v>689</v>
      </c>
      <c r="E2592" t="s">
        <v>766</v>
      </c>
      <c r="F2592">
        <v>1</v>
      </c>
      <c r="G2592" s="308">
        <f>'BECA SUPERIOR'!G35</f>
        <v>0</v>
      </c>
      <c r="H2592" s="308">
        <f>'BECA SUPERIOR'!H35</f>
        <v>0</v>
      </c>
    </row>
    <row r="2593" spans="1:8" x14ac:dyDescent="0.3">
      <c r="A2593" t="s">
        <v>690</v>
      </c>
      <c r="B2593" t="s">
        <v>51</v>
      </c>
      <c r="C2593" t="s">
        <v>57</v>
      </c>
      <c r="D2593" t="s">
        <v>689</v>
      </c>
      <c r="E2593" t="s">
        <v>767</v>
      </c>
      <c r="F2593">
        <v>2</v>
      </c>
      <c r="G2593" s="308">
        <f>'BECA SUPERIOR'!J35</f>
        <v>0</v>
      </c>
      <c r="H2593" s="308">
        <f>'BECA SUPERIOR'!K35</f>
        <v>0</v>
      </c>
    </row>
    <row r="2594" spans="1:8" x14ac:dyDescent="0.3">
      <c r="A2594" t="s">
        <v>690</v>
      </c>
      <c r="B2594" t="s">
        <v>51</v>
      </c>
      <c r="C2594" t="s">
        <v>57</v>
      </c>
      <c r="D2594" t="s">
        <v>689</v>
      </c>
      <c r="E2594" t="s">
        <v>768</v>
      </c>
      <c r="F2594">
        <v>3</v>
      </c>
      <c r="G2594" s="308">
        <f>'BECA SUPERIOR'!M35</f>
        <v>0</v>
      </c>
      <c r="H2594" s="308">
        <f>'BECA SUPERIOR'!N35</f>
        <v>0</v>
      </c>
    </row>
    <row r="2595" spans="1:8" x14ac:dyDescent="0.3">
      <c r="A2595" t="s">
        <v>690</v>
      </c>
      <c r="B2595" t="s">
        <v>51</v>
      </c>
      <c r="C2595" t="s">
        <v>57</v>
      </c>
      <c r="D2595" t="s">
        <v>689</v>
      </c>
      <c r="E2595" t="s">
        <v>769</v>
      </c>
      <c r="F2595">
        <v>4</v>
      </c>
      <c r="G2595" s="308">
        <f>'BECA SUPERIOR'!P35</f>
        <v>1.44</v>
      </c>
      <c r="H2595" s="308">
        <f>'BECA SUPERIOR'!Q35</f>
        <v>3600</v>
      </c>
    </row>
    <row r="2596" spans="1:8" x14ac:dyDescent="0.3">
      <c r="A2596" t="s">
        <v>690</v>
      </c>
      <c r="B2596" t="s">
        <v>51</v>
      </c>
      <c r="C2596" t="s">
        <v>57</v>
      </c>
      <c r="D2596" t="s">
        <v>689</v>
      </c>
      <c r="E2596" t="s">
        <v>770</v>
      </c>
      <c r="F2596">
        <v>5</v>
      </c>
      <c r="G2596" s="308">
        <f>'BECA SUPERIOR'!S35</f>
        <v>0</v>
      </c>
      <c r="H2596" s="308">
        <f>'BECA SUPERIOR'!T35</f>
        <v>0</v>
      </c>
    </row>
    <row r="2597" spans="1:8" x14ac:dyDescent="0.3">
      <c r="A2597" t="s">
        <v>690</v>
      </c>
      <c r="B2597" t="s">
        <v>51</v>
      </c>
      <c r="C2597" t="s">
        <v>57</v>
      </c>
      <c r="D2597" t="s">
        <v>689</v>
      </c>
      <c r="E2597" t="s">
        <v>771</v>
      </c>
      <c r="F2597">
        <v>6</v>
      </c>
      <c r="G2597" s="308">
        <f>'BECA SUPERIOR'!V35</f>
        <v>0</v>
      </c>
      <c r="H2597" s="308">
        <f>'BECA SUPERIOR'!W35</f>
        <v>0</v>
      </c>
    </row>
    <row r="2598" spans="1:8" x14ac:dyDescent="0.3">
      <c r="A2598" t="s">
        <v>690</v>
      </c>
      <c r="B2598" t="s">
        <v>51</v>
      </c>
      <c r="C2598" t="s">
        <v>57</v>
      </c>
      <c r="D2598" t="s">
        <v>689</v>
      </c>
      <c r="E2598" t="s">
        <v>772</v>
      </c>
      <c r="F2598">
        <v>7</v>
      </c>
      <c r="G2598" s="308">
        <f>'BECA SUPERIOR'!Y35</f>
        <v>0</v>
      </c>
      <c r="H2598" s="308">
        <f>'BECA SUPERIOR'!Z35</f>
        <v>0</v>
      </c>
    </row>
    <row r="2599" spans="1:8" x14ac:dyDescent="0.3">
      <c r="A2599" t="s">
        <v>690</v>
      </c>
      <c r="B2599" t="s">
        <v>51</v>
      </c>
      <c r="C2599" t="s">
        <v>58</v>
      </c>
      <c r="D2599" t="s">
        <v>689</v>
      </c>
      <c r="E2599" t="s">
        <v>766</v>
      </c>
      <c r="F2599">
        <v>1</v>
      </c>
      <c r="G2599" s="308">
        <f>'BECA SUPERIOR'!G36</f>
        <v>0</v>
      </c>
      <c r="H2599" s="308">
        <f>'BECA SUPERIOR'!H36</f>
        <v>0</v>
      </c>
    </row>
    <row r="2600" spans="1:8" x14ac:dyDescent="0.3">
      <c r="A2600" t="s">
        <v>690</v>
      </c>
      <c r="B2600" t="s">
        <v>51</v>
      </c>
      <c r="C2600" t="s">
        <v>58</v>
      </c>
      <c r="D2600" t="s">
        <v>689</v>
      </c>
      <c r="E2600" t="s">
        <v>767</v>
      </c>
      <c r="F2600">
        <v>2</v>
      </c>
      <c r="G2600" s="308">
        <f>'BECA SUPERIOR'!J36</f>
        <v>0</v>
      </c>
      <c r="H2600" s="308">
        <f>'BECA SUPERIOR'!K36</f>
        <v>0</v>
      </c>
    </row>
    <row r="2601" spans="1:8" x14ac:dyDescent="0.3">
      <c r="A2601" t="s">
        <v>690</v>
      </c>
      <c r="B2601" t="s">
        <v>51</v>
      </c>
      <c r="C2601" t="s">
        <v>58</v>
      </c>
      <c r="D2601" t="s">
        <v>689</v>
      </c>
      <c r="E2601" t="s">
        <v>768</v>
      </c>
      <c r="F2601">
        <v>3</v>
      </c>
      <c r="G2601" s="308">
        <f>'BECA SUPERIOR'!M36</f>
        <v>0</v>
      </c>
      <c r="H2601" s="308">
        <f>'BECA SUPERIOR'!N36</f>
        <v>0</v>
      </c>
    </row>
    <row r="2602" spans="1:8" x14ac:dyDescent="0.3">
      <c r="A2602" t="s">
        <v>690</v>
      </c>
      <c r="B2602" t="s">
        <v>51</v>
      </c>
      <c r="C2602" t="s">
        <v>58</v>
      </c>
      <c r="D2602" t="s">
        <v>689</v>
      </c>
      <c r="E2602" t="s">
        <v>769</v>
      </c>
      <c r="F2602">
        <v>4</v>
      </c>
      <c r="G2602" s="308">
        <f>'BECA SUPERIOR'!P36</f>
        <v>4.32</v>
      </c>
      <c r="H2602" s="308">
        <f>'BECA SUPERIOR'!Q36</f>
        <v>10800</v>
      </c>
    </row>
    <row r="2603" spans="1:8" x14ac:dyDescent="0.3">
      <c r="A2603" t="s">
        <v>690</v>
      </c>
      <c r="B2603" t="s">
        <v>51</v>
      </c>
      <c r="C2603" t="s">
        <v>58</v>
      </c>
      <c r="D2603" t="s">
        <v>689</v>
      </c>
      <c r="E2603" t="s">
        <v>770</v>
      </c>
      <c r="F2603">
        <v>5</v>
      </c>
      <c r="G2603" s="308">
        <f>'BECA SUPERIOR'!S36</f>
        <v>0</v>
      </c>
      <c r="H2603" s="308">
        <f>'BECA SUPERIOR'!T36</f>
        <v>0</v>
      </c>
    </row>
    <row r="2604" spans="1:8" x14ac:dyDescent="0.3">
      <c r="A2604" t="s">
        <v>690</v>
      </c>
      <c r="B2604" t="s">
        <v>51</v>
      </c>
      <c r="C2604" t="s">
        <v>58</v>
      </c>
      <c r="D2604" t="s">
        <v>689</v>
      </c>
      <c r="E2604" t="s">
        <v>771</v>
      </c>
      <c r="F2604">
        <v>6</v>
      </c>
      <c r="G2604" s="308">
        <f>'BECA SUPERIOR'!V36</f>
        <v>0</v>
      </c>
      <c r="H2604" s="308">
        <f>'BECA SUPERIOR'!W36</f>
        <v>0</v>
      </c>
    </row>
    <row r="2605" spans="1:8" x14ac:dyDescent="0.3">
      <c r="A2605" t="s">
        <v>690</v>
      </c>
      <c r="B2605" t="s">
        <v>51</v>
      </c>
      <c r="C2605" t="s">
        <v>58</v>
      </c>
      <c r="D2605" t="s">
        <v>689</v>
      </c>
      <c r="E2605" t="s">
        <v>772</v>
      </c>
      <c r="F2605">
        <v>7</v>
      </c>
      <c r="G2605" s="308">
        <f>'BECA SUPERIOR'!Y36</f>
        <v>0</v>
      </c>
      <c r="H2605" s="308">
        <f>'BECA SUPERIOR'!Z36</f>
        <v>0</v>
      </c>
    </row>
    <row r="2606" spans="1:8" x14ac:dyDescent="0.3">
      <c r="A2606" t="s">
        <v>690</v>
      </c>
      <c r="B2606" t="s">
        <v>51</v>
      </c>
      <c r="C2606" t="s">
        <v>59</v>
      </c>
      <c r="D2606" t="s">
        <v>689</v>
      </c>
      <c r="E2606" t="s">
        <v>766</v>
      </c>
      <c r="F2606">
        <v>1</v>
      </c>
      <c r="G2606" s="308">
        <f>'BECA SUPERIOR'!G37</f>
        <v>0</v>
      </c>
      <c r="H2606" s="308">
        <f>'BECA SUPERIOR'!H37</f>
        <v>0</v>
      </c>
    </row>
    <row r="2607" spans="1:8" x14ac:dyDescent="0.3">
      <c r="A2607" t="s">
        <v>690</v>
      </c>
      <c r="B2607" t="s">
        <v>51</v>
      </c>
      <c r="C2607" t="s">
        <v>59</v>
      </c>
      <c r="D2607" t="s">
        <v>689</v>
      </c>
      <c r="E2607" t="s">
        <v>767</v>
      </c>
      <c r="F2607">
        <v>2</v>
      </c>
      <c r="G2607" s="308">
        <f>'BECA SUPERIOR'!J37</f>
        <v>0</v>
      </c>
      <c r="H2607" s="308">
        <f>'BECA SUPERIOR'!K37</f>
        <v>0</v>
      </c>
    </row>
    <row r="2608" spans="1:8" x14ac:dyDescent="0.3">
      <c r="A2608" t="s">
        <v>690</v>
      </c>
      <c r="B2608" t="s">
        <v>51</v>
      </c>
      <c r="C2608" t="s">
        <v>59</v>
      </c>
      <c r="D2608" t="s">
        <v>689</v>
      </c>
      <c r="E2608" t="s">
        <v>768</v>
      </c>
      <c r="F2608">
        <v>3</v>
      </c>
      <c r="G2608" s="308">
        <f>'BECA SUPERIOR'!M37</f>
        <v>0</v>
      </c>
      <c r="H2608" s="308">
        <f>'BECA SUPERIOR'!N37</f>
        <v>0</v>
      </c>
    </row>
    <row r="2609" spans="1:8" x14ac:dyDescent="0.3">
      <c r="A2609" t="s">
        <v>690</v>
      </c>
      <c r="B2609" t="s">
        <v>51</v>
      </c>
      <c r="C2609" t="s">
        <v>59</v>
      </c>
      <c r="D2609" t="s">
        <v>689</v>
      </c>
      <c r="E2609" t="s">
        <v>769</v>
      </c>
      <c r="F2609">
        <v>4</v>
      </c>
      <c r="G2609" s="308">
        <f>'BECA SUPERIOR'!P37</f>
        <v>1.44</v>
      </c>
      <c r="H2609" s="308">
        <f>'BECA SUPERIOR'!Q37</f>
        <v>3600</v>
      </c>
    </row>
    <row r="2610" spans="1:8" x14ac:dyDescent="0.3">
      <c r="A2610" t="s">
        <v>690</v>
      </c>
      <c r="B2610" t="s">
        <v>51</v>
      </c>
      <c r="C2610" t="s">
        <v>59</v>
      </c>
      <c r="D2610" t="s">
        <v>689</v>
      </c>
      <c r="E2610" t="s">
        <v>770</v>
      </c>
      <c r="F2610">
        <v>5</v>
      </c>
      <c r="G2610" s="308">
        <f>'BECA SUPERIOR'!S37</f>
        <v>0</v>
      </c>
      <c r="H2610" s="308">
        <f>'BECA SUPERIOR'!T37</f>
        <v>0</v>
      </c>
    </row>
    <row r="2611" spans="1:8" x14ac:dyDescent="0.3">
      <c r="A2611" t="s">
        <v>690</v>
      </c>
      <c r="B2611" t="s">
        <v>51</v>
      </c>
      <c r="C2611" t="s">
        <v>59</v>
      </c>
      <c r="D2611" t="s">
        <v>689</v>
      </c>
      <c r="E2611" t="s">
        <v>771</v>
      </c>
      <c r="F2611">
        <v>6</v>
      </c>
      <c r="G2611" s="308">
        <f>'BECA SUPERIOR'!V37</f>
        <v>0</v>
      </c>
      <c r="H2611" s="308">
        <f>'BECA SUPERIOR'!W37</f>
        <v>0</v>
      </c>
    </row>
    <row r="2612" spans="1:8" x14ac:dyDescent="0.3">
      <c r="A2612" t="s">
        <v>690</v>
      </c>
      <c r="B2612" t="s">
        <v>51</v>
      </c>
      <c r="C2612" t="s">
        <v>59</v>
      </c>
      <c r="D2612" t="s">
        <v>689</v>
      </c>
      <c r="E2612" t="s">
        <v>772</v>
      </c>
      <c r="F2612">
        <v>7</v>
      </c>
      <c r="G2612" s="308">
        <f>'BECA SUPERIOR'!Y37</f>
        <v>0</v>
      </c>
      <c r="H2612" s="308">
        <f>'BECA SUPERIOR'!Z37</f>
        <v>0</v>
      </c>
    </row>
    <row r="2613" spans="1:8" x14ac:dyDescent="0.3">
      <c r="A2613" t="s">
        <v>690</v>
      </c>
      <c r="B2613" t="s">
        <v>51</v>
      </c>
      <c r="C2613" t="s">
        <v>60</v>
      </c>
      <c r="D2613" t="s">
        <v>689</v>
      </c>
      <c r="E2613" t="s">
        <v>766</v>
      </c>
      <c r="F2613">
        <v>1</v>
      </c>
      <c r="G2613" s="308">
        <f>'BECA SUPERIOR'!G38</f>
        <v>0</v>
      </c>
      <c r="H2613" s="308">
        <f>'BECA SUPERIOR'!H38</f>
        <v>0</v>
      </c>
    </row>
    <row r="2614" spans="1:8" x14ac:dyDescent="0.3">
      <c r="A2614" t="s">
        <v>690</v>
      </c>
      <c r="B2614" t="s">
        <v>51</v>
      </c>
      <c r="C2614" t="s">
        <v>60</v>
      </c>
      <c r="D2614" t="s">
        <v>689</v>
      </c>
      <c r="E2614" t="s">
        <v>767</v>
      </c>
      <c r="F2614">
        <v>2</v>
      </c>
      <c r="G2614" s="308">
        <f>'BECA SUPERIOR'!J38</f>
        <v>0</v>
      </c>
      <c r="H2614" s="308">
        <f>'BECA SUPERIOR'!K38</f>
        <v>0</v>
      </c>
    </row>
    <row r="2615" spans="1:8" x14ac:dyDescent="0.3">
      <c r="A2615" t="s">
        <v>690</v>
      </c>
      <c r="B2615" t="s">
        <v>51</v>
      </c>
      <c r="C2615" t="s">
        <v>60</v>
      </c>
      <c r="D2615" t="s">
        <v>689</v>
      </c>
      <c r="E2615" t="s">
        <v>768</v>
      </c>
      <c r="F2615">
        <v>3</v>
      </c>
      <c r="G2615" s="308">
        <f>'BECA SUPERIOR'!M38</f>
        <v>0</v>
      </c>
      <c r="H2615" s="308">
        <f>'BECA SUPERIOR'!N38</f>
        <v>0</v>
      </c>
    </row>
    <row r="2616" spans="1:8" x14ac:dyDescent="0.3">
      <c r="A2616" t="s">
        <v>690</v>
      </c>
      <c r="B2616" t="s">
        <v>51</v>
      </c>
      <c r="C2616" t="s">
        <v>60</v>
      </c>
      <c r="D2616" t="s">
        <v>689</v>
      </c>
      <c r="E2616" t="s">
        <v>769</v>
      </c>
      <c r="F2616">
        <v>4</v>
      </c>
      <c r="G2616" s="308">
        <f>'BECA SUPERIOR'!P38</f>
        <v>0.72</v>
      </c>
      <c r="H2616" s="308">
        <f>'BECA SUPERIOR'!Q38</f>
        <v>1800</v>
      </c>
    </row>
    <row r="2617" spans="1:8" x14ac:dyDescent="0.3">
      <c r="A2617" t="s">
        <v>690</v>
      </c>
      <c r="B2617" t="s">
        <v>51</v>
      </c>
      <c r="C2617" t="s">
        <v>60</v>
      </c>
      <c r="D2617" t="s">
        <v>689</v>
      </c>
      <c r="E2617" t="s">
        <v>770</v>
      </c>
      <c r="F2617">
        <v>5</v>
      </c>
      <c r="G2617" s="308">
        <f>'BECA SUPERIOR'!S38</f>
        <v>0</v>
      </c>
      <c r="H2617" s="308">
        <f>'BECA SUPERIOR'!T38</f>
        <v>0</v>
      </c>
    </row>
    <row r="2618" spans="1:8" x14ac:dyDescent="0.3">
      <c r="A2618" t="s">
        <v>690</v>
      </c>
      <c r="B2618" t="s">
        <v>51</v>
      </c>
      <c r="C2618" t="s">
        <v>60</v>
      </c>
      <c r="D2618" t="s">
        <v>689</v>
      </c>
      <c r="E2618" t="s">
        <v>771</v>
      </c>
      <c r="F2618">
        <v>6</v>
      </c>
      <c r="G2618" s="308">
        <f>'BECA SUPERIOR'!V38</f>
        <v>0</v>
      </c>
      <c r="H2618" s="308">
        <f>'BECA SUPERIOR'!W38</f>
        <v>0</v>
      </c>
    </row>
    <row r="2619" spans="1:8" x14ac:dyDescent="0.3">
      <c r="A2619" t="s">
        <v>690</v>
      </c>
      <c r="B2619" t="s">
        <v>51</v>
      </c>
      <c r="C2619" t="s">
        <v>60</v>
      </c>
      <c r="D2619" t="s">
        <v>689</v>
      </c>
      <c r="E2619" t="s">
        <v>772</v>
      </c>
      <c r="F2619">
        <v>7</v>
      </c>
      <c r="G2619" s="308">
        <f>'BECA SUPERIOR'!Y38</f>
        <v>0</v>
      </c>
      <c r="H2619" s="308">
        <f>'BECA SUPERIOR'!Z38</f>
        <v>0</v>
      </c>
    </row>
    <row r="2620" spans="1:8" x14ac:dyDescent="0.3">
      <c r="A2620" t="s">
        <v>690</v>
      </c>
      <c r="B2620" t="s">
        <v>51</v>
      </c>
      <c r="C2620" t="s">
        <v>61</v>
      </c>
      <c r="D2620" t="s">
        <v>689</v>
      </c>
      <c r="E2620" t="s">
        <v>766</v>
      </c>
      <c r="F2620">
        <v>1</v>
      </c>
      <c r="G2620" s="308">
        <f>'BECA SUPERIOR'!G39</f>
        <v>0</v>
      </c>
      <c r="H2620" s="308">
        <f>'BECA SUPERIOR'!H39</f>
        <v>0</v>
      </c>
    </row>
    <row r="2621" spans="1:8" x14ac:dyDescent="0.3">
      <c r="A2621" t="s">
        <v>690</v>
      </c>
      <c r="B2621" t="s">
        <v>51</v>
      </c>
      <c r="C2621" t="s">
        <v>61</v>
      </c>
      <c r="D2621" t="s">
        <v>689</v>
      </c>
      <c r="E2621" t="s">
        <v>767</v>
      </c>
      <c r="F2621">
        <v>2</v>
      </c>
      <c r="G2621" s="308">
        <f>'BECA SUPERIOR'!J39</f>
        <v>0</v>
      </c>
      <c r="H2621" s="308">
        <f>'BECA SUPERIOR'!K39</f>
        <v>0</v>
      </c>
    </row>
    <row r="2622" spans="1:8" x14ac:dyDescent="0.3">
      <c r="A2622" t="s">
        <v>690</v>
      </c>
      <c r="B2622" t="s">
        <v>51</v>
      </c>
      <c r="C2622" t="s">
        <v>61</v>
      </c>
      <c r="D2622" t="s">
        <v>689</v>
      </c>
      <c r="E2622" t="s">
        <v>768</v>
      </c>
      <c r="F2622">
        <v>3</v>
      </c>
      <c r="G2622" s="308">
        <f>'BECA SUPERIOR'!M39</f>
        <v>0</v>
      </c>
      <c r="H2622" s="308">
        <f>'BECA SUPERIOR'!N39</f>
        <v>0</v>
      </c>
    </row>
    <row r="2623" spans="1:8" x14ac:dyDescent="0.3">
      <c r="A2623" t="s">
        <v>690</v>
      </c>
      <c r="B2623" t="s">
        <v>51</v>
      </c>
      <c r="C2623" t="s">
        <v>61</v>
      </c>
      <c r="D2623" t="s">
        <v>689</v>
      </c>
      <c r="E2623" t="s">
        <v>769</v>
      </c>
      <c r="F2623">
        <v>4</v>
      </c>
      <c r="G2623" s="308">
        <f>'BECA SUPERIOR'!P39</f>
        <v>0</v>
      </c>
      <c r="H2623" s="308">
        <f>'BECA SUPERIOR'!Q39</f>
        <v>0</v>
      </c>
    </row>
    <row r="2624" spans="1:8" x14ac:dyDescent="0.3">
      <c r="A2624" t="s">
        <v>690</v>
      </c>
      <c r="B2624" t="s">
        <v>51</v>
      </c>
      <c r="C2624" t="s">
        <v>61</v>
      </c>
      <c r="D2624" t="s">
        <v>689</v>
      </c>
      <c r="E2624" t="s">
        <v>770</v>
      </c>
      <c r="F2624">
        <v>5</v>
      </c>
      <c r="G2624" s="308">
        <f>'BECA SUPERIOR'!S39</f>
        <v>0</v>
      </c>
      <c r="H2624" s="308">
        <f>'BECA SUPERIOR'!T39</f>
        <v>0</v>
      </c>
    </row>
    <row r="2625" spans="1:8" x14ac:dyDescent="0.3">
      <c r="A2625" t="s">
        <v>690</v>
      </c>
      <c r="B2625" t="s">
        <v>51</v>
      </c>
      <c r="C2625" t="s">
        <v>61</v>
      </c>
      <c r="D2625" t="s">
        <v>689</v>
      </c>
      <c r="E2625" t="s">
        <v>771</v>
      </c>
      <c r="F2625">
        <v>6</v>
      </c>
      <c r="G2625" s="308">
        <f>'BECA SUPERIOR'!V39</f>
        <v>0</v>
      </c>
      <c r="H2625" s="308">
        <f>'BECA SUPERIOR'!W39</f>
        <v>0</v>
      </c>
    </row>
    <row r="2626" spans="1:8" x14ac:dyDescent="0.3">
      <c r="A2626" t="s">
        <v>690</v>
      </c>
      <c r="B2626" t="s">
        <v>51</v>
      </c>
      <c r="C2626" t="s">
        <v>61</v>
      </c>
      <c r="D2626" t="s">
        <v>689</v>
      </c>
      <c r="E2626" t="s">
        <v>772</v>
      </c>
      <c r="F2626">
        <v>7</v>
      </c>
      <c r="G2626" s="308">
        <f>'BECA SUPERIOR'!Y39</f>
        <v>0</v>
      </c>
      <c r="H2626" s="308">
        <f>'BECA SUPERIOR'!Z39</f>
        <v>0</v>
      </c>
    </row>
    <row r="2627" spans="1:8" x14ac:dyDescent="0.3">
      <c r="A2627" t="s">
        <v>690</v>
      </c>
      <c r="B2627" t="s">
        <v>51</v>
      </c>
      <c r="C2627" t="s">
        <v>62</v>
      </c>
      <c r="D2627" t="s">
        <v>689</v>
      </c>
      <c r="E2627" t="s">
        <v>766</v>
      </c>
      <c r="F2627">
        <v>1</v>
      </c>
      <c r="G2627" s="308">
        <f>'BECA SUPERIOR'!G40</f>
        <v>0</v>
      </c>
      <c r="H2627" s="308">
        <f>'BECA SUPERIOR'!H40</f>
        <v>0</v>
      </c>
    </row>
    <row r="2628" spans="1:8" x14ac:dyDescent="0.3">
      <c r="A2628" t="s">
        <v>690</v>
      </c>
      <c r="B2628" t="s">
        <v>51</v>
      </c>
      <c r="C2628" t="s">
        <v>62</v>
      </c>
      <c r="D2628" t="s">
        <v>689</v>
      </c>
      <c r="E2628" t="s">
        <v>767</v>
      </c>
      <c r="F2628">
        <v>2</v>
      </c>
      <c r="G2628" s="308">
        <f>'BECA SUPERIOR'!J40</f>
        <v>0</v>
      </c>
      <c r="H2628" s="308">
        <f>'BECA SUPERIOR'!K40</f>
        <v>0</v>
      </c>
    </row>
    <row r="2629" spans="1:8" x14ac:dyDescent="0.3">
      <c r="A2629" t="s">
        <v>690</v>
      </c>
      <c r="B2629" t="s">
        <v>51</v>
      </c>
      <c r="C2629" t="s">
        <v>62</v>
      </c>
      <c r="D2629" t="s">
        <v>689</v>
      </c>
      <c r="E2629" t="s">
        <v>768</v>
      </c>
      <c r="F2629">
        <v>3</v>
      </c>
      <c r="G2629" s="308">
        <f>'BECA SUPERIOR'!M40</f>
        <v>0</v>
      </c>
      <c r="H2629" s="308">
        <f>'BECA SUPERIOR'!N40</f>
        <v>0</v>
      </c>
    </row>
    <row r="2630" spans="1:8" x14ac:dyDescent="0.3">
      <c r="A2630" t="s">
        <v>690</v>
      </c>
      <c r="B2630" t="s">
        <v>51</v>
      </c>
      <c r="C2630" t="s">
        <v>62</v>
      </c>
      <c r="D2630" t="s">
        <v>689</v>
      </c>
      <c r="E2630" t="s">
        <v>769</v>
      </c>
      <c r="F2630">
        <v>4</v>
      </c>
      <c r="G2630" s="308">
        <f>'BECA SUPERIOR'!P40</f>
        <v>0.72</v>
      </c>
      <c r="H2630" s="308">
        <f>'BECA SUPERIOR'!Q40</f>
        <v>1800</v>
      </c>
    </row>
    <row r="2631" spans="1:8" x14ac:dyDescent="0.3">
      <c r="A2631" t="s">
        <v>690</v>
      </c>
      <c r="B2631" t="s">
        <v>51</v>
      </c>
      <c r="C2631" t="s">
        <v>62</v>
      </c>
      <c r="D2631" t="s">
        <v>689</v>
      </c>
      <c r="E2631" t="s">
        <v>770</v>
      </c>
      <c r="F2631">
        <v>5</v>
      </c>
      <c r="G2631" s="308">
        <f>'BECA SUPERIOR'!S40</f>
        <v>0</v>
      </c>
      <c r="H2631" s="308">
        <f>'BECA SUPERIOR'!T40</f>
        <v>0</v>
      </c>
    </row>
    <row r="2632" spans="1:8" x14ac:dyDescent="0.3">
      <c r="A2632" t="s">
        <v>690</v>
      </c>
      <c r="B2632" t="s">
        <v>51</v>
      </c>
      <c r="C2632" t="s">
        <v>62</v>
      </c>
      <c r="D2632" t="s">
        <v>689</v>
      </c>
      <c r="E2632" t="s">
        <v>771</v>
      </c>
      <c r="F2632">
        <v>6</v>
      </c>
      <c r="G2632" s="308">
        <f>'BECA SUPERIOR'!V40</f>
        <v>0</v>
      </c>
      <c r="H2632" s="308">
        <f>'BECA SUPERIOR'!W40</f>
        <v>0</v>
      </c>
    </row>
    <row r="2633" spans="1:8" x14ac:dyDescent="0.3">
      <c r="A2633" t="s">
        <v>690</v>
      </c>
      <c r="B2633" t="s">
        <v>51</v>
      </c>
      <c r="C2633" t="s">
        <v>62</v>
      </c>
      <c r="D2633" t="s">
        <v>689</v>
      </c>
      <c r="E2633" t="s">
        <v>772</v>
      </c>
      <c r="F2633">
        <v>7</v>
      </c>
      <c r="G2633" s="308">
        <f>'BECA SUPERIOR'!Y40</f>
        <v>0</v>
      </c>
      <c r="H2633" s="308">
        <f>'BECA SUPERIOR'!Z40</f>
        <v>0</v>
      </c>
    </row>
    <row r="2634" spans="1:8" x14ac:dyDescent="0.3">
      <c r="A2634" t="s">
        <v>690</v>
      </c>
      <c r="B2634" t="s">
        <v>51</v>
      </c>
      <c r="C2634" t="s">
        <v>63</v>
      </c>
      <c r="D2634" t="s">
        <v>689</v>
      </c>
      <c r="E2634" t="s">
        <v>766</v>
      </c>
      <c r="F2634">
        <v>1</v>
      </c>
      <c r="G2634" s="308">
        <f>'BECA SUPERIOR'!G41</f>
        <v>0</v>
      </c>
      <c r="H2634" s="308">
        <f>'BECA SUPERIOR'!H41</f>
        <v>0</v>
      </c>
    </row>
    <row r="2635" spans="1:8" x14ac:dyDescent="0.3">
      <c r="A2635" t="s">
        <v>690</v>
      </c>
      <c r="B2635" t="s">
        <v>51</v>
      </c>
      <c r="C2635" t="s">
        <v>63</v>
      </c>
      <c r="D2635" t="s">
        <v>689</v>
      </c>
      <c r="E2635" t="s">
        <v>767</v>
      </c>
      <c r="F2635">
        <v>2</v>
      </c>
      <c r="G2635" s="308">
        <f>'BECA SUPERIOR'!J41</f>
        <v>0</v>
      </c>
      <c r="H2635" s="308">
        <f>'BECA SUPERIOR'!K41</f>
        <v>0</v>
      </c>
    </row>
    <row r="2636" spans="1:8" x14ac:dyDescent="0.3">
      <c r="A2636" t="s">
        <v>690</v>
      </c>
      <c r="B2636" t="s">
        <v>51</v>
      </c>
      <c r="C2636" t="s">
        <v>63</v>
      </c>
      <c r="D2636" t="s">
        <v>689</v>
      </c>
      <c r="E2636" t="s">
        <v>768</v>
      </c>
      <c r="F2636">
        <v>3</v>
      </c>
      <c r="G2636" s="308">
        <f>'BECA SUPERIOR'!M41</f>
        <v>0</v>
      </c>
      <c r="H2636" s="308">
        <f>'BECA SUPERIOR'!N41</f>
        <v>0</v>
      </c>
    </row>
    <row r="2637" spans="1:8" x14ac:dyDescent="0.3">
      <c r="A2637" t="s">
        <v>690</v>
      </c>
      <c r="B2637" t="s">
        <v>51</v>
      </c>
      <c r="C2637" t="s">
        <v>63</v>
      </c>
      <c r="D2637" t="s">
        <v>689</v>
      </c>
      <c r="E2637" t="s">
        <v>769</v>
      </c>
      <c r="F2637">
        <v>4</v>
      </c>
      <c r="G2637" s="308">
        <f>'BECA SUPERIOR'!P41</f>
        <v>1.44</v>
      </c>
      <c r="H2637" s="308">
        <f>'BECA SUPERIOR'!Q41</f>
        <v>3600</v>
      </c>
    </row>
    <row r="2638" spans="1:8" x14ac:dyDescent="0.3">
      <c r="A2638" t="s">
        <v>690</v>
      </c>
      <c r="B2638" t="s">
        <v>51</v>
      </c>
      <c r="C2638" t="s">
        <v>63</v>
      </c>
      <c r="D2638" t="s">
        <v>689</v>
      </c>
      <c r="E2638" t="s">
        <v>770</v>
      </c>
      <c r="F2638">
        <v>5</v>
      </c>
      <c r="G2638" s="308">
        <f>'BECA SUPERIOR'!S41</f>
        <v>0</v>
      </c>
      <c r="H2638" s="308">
        <f>'BECA SUPERIOR'!T41</f>
        <v>0</v>
      </c>
    </row>
    <row r="2639" spans="1:8" x14ac:dyDescent="0.3">
      <c r="A2639" t="s">
        <v>690</v>
      </c>
      <c r="B2639" t="s">
        <v>51</v>
      </c>
      <c r="C2639" t="s">
        <v>63</v>
      </c>
      <c r="D2639" t="s">
        <v>689</v>
      </c>
      <c r="E2639" t="s">
        <v>771</v>
      </c>
      <c r="F2639">
        <v>6</v>
      </c>
      <c r="G2639" s="308">
        <f>'BECA SUPERIOR'!V41</f>
        <v>0</v>
      </c>
      <c r="H2639" s="308">
        <f>'BECA SUPERIOR'!W41</f>
        <v>0</v>
      </c>
    </row>
    <row r="2640" spans="1:8" x14ac:dyDescent="0.3">
      <c r="A2640" t="s">
        <v>690</v>
      </c>
      <c r="B2640" t="s">
        <v>51</v>
      </c>
      <c r="C2640" t="s">
        <v>63</v>
      </c>
      <c r="D2640" t="s">
        <v>689</v>
      </c>
      <c r="E2640" t="s">
        <v>772</v>
      </c>
      <c r="F2640">
        <v>7</v>
      </c>
      <c r="G2640" s="308">
        <f>'BECA SUPERIOR'!Y41</f>
        <v>0</v>
      </c>
      <c r="H2640" s="308">
        <f>'BECA SUPERIOR'!Z41</f>
        <v>0</v>
      </c>
    </row>
    <row r="2641" spans="1:8" x14ac:dyDescent="0.3">
      <c r="A2641" t="s">
        <v>690</v>
      </c>
      <c r="B2641" t="s">
        <v>51</v>
      </c>
      <c r="C2641" t="s">
        <v>64</v>
      </c>
      <c r="D2641" t="s">
        <v>689</v>
      </c>
      <c r="E2641" t="s">
        <v>766</v>
      </c>
      <c r="F2641">
        <v>1</v>
      </c>
      <c r="G2641" s="308">
        <f>'BECA SUPERIOR'!G42</f>
        <v>0</v>
      </c>
      <c r="H2641" s="308">
        <f>'BECA SUPERIOR'!H42</f>
        <v>0</v>
      </c>
    </row>
    <row r="2642" spans="1:8" x14ac:dyDescent="0.3">
      <c r="A2642" t="s">
        <v>690</v>
      </c>
      <c r="B2642" t="s">
        <v>51</v>
      </c>
      <c r="C2642" t="s">
        <v>64</v>
      </c>
      <c r="D2642" t="s">
        <v>689</v>
      </c>
      <c r="E2642" t="s">
        <v>767</v>
      </c>
      <c r="F2642">
        <v>2</v>
      </c>
      <c r="G2642" s="308">
        <f>'BECA SUPERIOR'!J42</f>
        <v>0</v>
      </c>
      <c r="H2642" s="308">
        <f>'BECA SUPERIOR'!K42</f>
        <v>0</v>
      </c>
    </row>
    <row r="2643" spans="1:8" x14ac:dyDescent="0.3">
      <c r="A2643" t="s">
        <v>690</v>
      </c>
      <c r="B2643" t="s">
        <v>51</v>
      </c>
      <c r="C2643" t="s">
        <v>64</v>
      </c>
      <c r="D2643" t="s">
        <v>689</v>
      </c>
      <c r="E2643" t="s">
        <v>768</v>
      </c>
      <c r="F2643">
        <v>3</v>
      </c>
      <c r="G2643" s="308">
        <f>'BECA SUPERIOR'!M42</f>
        <v>0</v>
      </c>
      <c r="H2643" s="308">
        <f>'BECA SUPERIOR'!N42</f>
        <v>0</v>
      </c>
    </row>
    <row r="2644" spans="1:8" x14ac:dyDescent="0.3">
      <c r="A2644" t="s">
        <v>690</v>
      </c>
      <c r="B2644" t="s">
        <v>51</v>
      </c>
      <c r="C2644" t="s">
        <v>64</v>
      </c>
      <c r="D2644" t="s">
        <v>689</v>
      </c>
      <c r="E2644" t="s">
        <v>769</v>
      </c>
      <c r="F2644">
        <v>4</v>
      </c>
      <c r="G2644" s="308">
        <f>'BECA SUPERIOR'!P42</f>
        <v>2.16</v>
      </c>
      <c r="H2644" s="308">
        <f>'BECA SUPERIOR'!Q42</f>
        <v>5400</v>
      </c>
    </row>
    <row r="2645" spans="1:8" x14ac:dyDescent="0.3">
      <c r="A2645" t="s">
        <v>690</v>
      </c>
      <c r="B2645" t="s">
        <v>51</v>
      </c>
      <c r="C2645" t="s">
        <v>64</v>
      </c>
      <c r="D2645" t="s">
        <v>689</v>
      </c>
      <c r="E2645" t="s">
        <v>770</v>
      </c>
      <c r="F2645">
        <v>5</v>
      </c>
      <c r="G2645" s="308">
        <f>'BECA SUPERIOR'!S42</f>
        <v>0</v>
      </c>
      <c r="H2645" s="308">
        <f>'BECA SUPERIOR'!T42</f>
        <v>0</v>
      </c>
    </row>
    <row r="2646" spans="1:8" x14ac:dyDescent="0.3">
      <c r="A2646" t="s">
        <v>690</v>
      </c>
      <c r="B2646" t="s">
        <v>51</v>
      </c>
      <c r="C2646" t="s">
        <v>64</v>
      </c>
      <c r="D2646" t="s">
        <v>689</v>
      </c>
      <c r="E2646" t="s">
        <v>771</v>
      </c>
      <c r="F2646">
        <v>6</v>
      </c>
      <c r="G2646" s="308">
        <f>'BECA SUPERIOR'!V42</f>
        <v>0</v>
      </c>
      <c r="H2646" s="308">
        <f>'BECA SUPERIOR'!W42</f>
        <v>0</v>
      </c>
    </row>
    <row r="2647" spans="1:8" x14ac:dyDescent="0.3">
      <c r="A2647" t="s">
        <v>690</v>
      </c>
      <c r="B2647" t="s">
        <v>51</v>
      </c>
      <c r="C2647" t="s">
        <v>64</v>
      </c>
      <c r="D2647" t="s">
        <v>689</v>
      </c>
      <c r="E2647" t="s">
        <v>772</v>
      </c>
      <c r="F2647">
        <v>7</v>
      </c>
      <c r="G2647" s="308">
        <f>'BECA SUPERIOR'!Y42</f>
        <v>0</v>
      </c>
      <c r="H2647" s="308">
        <f>'BECA SUPERIOR'!Z42</f>
        <v>0</v>
      </c>
    </row>
    <row r="2648" spans="1:8" x14ac:dyDescent="0.3">
      <c r="A2648" t="s">
        <v>690</v>
      </c>
      <c r="B2648" t="s">
        <v>51</v>
      </c>
      <c r="C2648" t="s">
        <v>65</v>
      </c>
      <c r="D2648" t="s">
        <v>689</v>
      </c>
      <c r="E2648" t="s">
        <v>766</v>
      </c>
      <c r="F2648">
        <v>1</v>
      </c>
      <c r="G2648" s="308">
        <f>'BECA SUPERIOR'!G43</f>
        <v>0</v>
      </c>
      <c r="H2648" s="308">
        <f>'BECA SUPERIOR'!H43</f>
        <v>0</v>
      </c>
    </row>
    <row r="2649" spans="1:8" x14ac:dyDescent="0.3">
      <c r="A2649" t="s">
        <v>690</v>
      </c>
      <c r="B2649" t="s">
        <v>51</v>
      </c>
      <c r="C2649" t="s">
        <v>65</v>
      </c>
      <c r="D2649" t="s">
        <v>689</v>
      </c>
      <c r="E2649" t="s">
        <v>767</v>
      </c>
      <c r="F2649">
        <v>2</v>
      </c>
      <c r="G2649" s="308">
        <f>'BECA SUPERIOR'!J43</f>
        <v>0</v>
      </c>
      <c r="H2649" s="308">
        <f>'BECA SUPERIOR'!K43</f>
        <v>0</v>
      </c>
    </row>
    <row r="2650" spans="1:8" x14ac:dyDescent="0.3">
      <c r="A2650" t="s">
        <v>690</v>
      </c>
      <c r="B2650" t="s">
        <v>51</v>
      </c>
      <c r="C2650" t="s">
        <v>65</v>
      </c>
      <c r="D2650" t="s">
        <v>689</v>
      </c>
      <c r="E2650" t="s">
        <v>768</v>
      </c>
      <c r="F2650">
        <v>3</v>
      </c>
      <c r="G2650" s="308">
        <f>'BECA SUPERIOR'!M43</f>
        <v>0</v>
      </c>
      <c r="H2650" s="308">
        <f>'BECA SUPERIOR'!N43</f>
        <v>0</v>
      </c>
    </row>
    <row r="2651" spans="1:8" x14ac:dyDescent="0.3">
      <c r="A2651" t="s">
        <v>690</v>
      </c>
      <c r="B2651" t="s">
        <v>51</v>
      </c>
      <c r="C2651" t="s">
        <v>65</v>
      </c>
      <c r="D2651" t="s">
        <v>689</v>
      </c>
      <c r="E2651" t="s">
        <v>769</v>
      </c>
      <c r="F2651">
        <v>4</v>
      </c>
      <c r="G2651" s="308">
        <f>'BECA SUPERIOR'!P43</f>
        <v>0</v>
      </c>
      <c r="H2651" s="308">
        <f>'BECA SUPERIOR'!Q43</f>
        <v>0</v>
      </c>
    </row>
    <row r="2652" spans="1:8" x14ac:dyDescent="0.3">
      <c r="A2652" t="s">
        <v>690</v>
      </c>
      <c r="B2652" t="s">
        <v>51</v>
      </c>
      <c r="C2652" t="s">
        <v>65</v>
      </c>
      <c r="D2652" t="s">
        <v>689</v>
      </c>
      <c r="E2652" t="s">
        <v>770</v>
      </c>
      <c r="F2652">
        <v>5</v>
      </c>
      <c r="G2652" s="308">
        <f>'BECA SUPERIOR'!S43</f>
        <v>0</v>
      </c>
      <c r="H2652" s="308">
        <f>'BECA SUPERIOR'!T43</f>
        <v>0</v>
      </c>
    </row>
    <row r="2653" spans="1:8" x14ac:dyDescent="0.3">
      <c r="A2653" t="s">
        <v>690</v>
      </c>
      <c r="B2653" t="s">
        <v>51</v>
      </c>
      <c r="C2653" t="s">
        <v>65</v>
      </c>
      <c r="D2653" t="s">
        <v>689</v>
      </c>
      <c r="E2653" t="s">
        <v>771</v>
      </c>
      <c r="F2653">
        <v>6</v>
      </c>
      <c r="G2653" s="308">
        <f>'BECA SUPERIOR'!V43</f>
        <v>0</v>
      </c>
      <c r="H2653" s="308">
        <f>'BECA SUPERIOR'!W43</f>
        <v>0</v>
      </c>
    </row>
    <row r="2654" spans="1:8" x14ac:dyDescent="0.3">
      <c r="A2654" t="s">
        <v>690</v>
      </c>
      <c r="B2654" t="s">
        <v>51</v>
      </c>
      <c r="C2654" t="s">
        <v>65</v>
      </c>
      <c r="D2654" t="s">
        <v>689</v>
      </c>
      <c r="E2654" t="s">
        <v>772</v>
      </c>
      <c r="F2654">
        <v>7</v>
      </c>
      <c r="G2654" s="308">
        <f>'BECA SUPERIOR'!Y43</f>
        <v>0</v>
      </c>
      <c r="H2654" s="308">
        <f>'BECA SUPERIOR'!Z43</f>
        <v>0</v>
      </c>
    </row>
    <row r="2655" spans="1:8" x14ac:dyDescent="0.3">
      <c r="A2655" t="s">
        <v>690</v>
      </c>
      <c r="B2655" t="s">
        <v>51</v>
      </c>
      <c r="C2655" t="s">
        <v>66</v>
      </c>
      <c r="D2655" t="s">
        <v>689</v>
      </c>
      <c r="E2655" t="s">
        <v>766</v>
      </c>
      <c r="F2655">
        <v>1</v>
      </c>
      <c r="G2655" s="308">
        <f>'BECA SUPERIOR'!G44</f>
        <v>0</v>
      </c>
      <c r="H2655" s="308">
        <f>'BECA SUPERIOR'!H44</f>
        <v>0</v>
      </c>
    </row>
    <row r="2656" spans="1:8" x14ac:dyDescent="0.3">
      <c r="A2656" t="s">
        <v>690</v>
      </c>
      <c r="B2656" t="s">
        <v>51</v>
      </c>
      <c r="C2656" t="s">
        <v>66</v>
      </c>
      <c r="D2656" t="s">
        <v>689</v>
      </c>
      <c r="E2656" t="s">
        <v>767</v>
      </c>
      <c r="F2656">
        <v>2</v>
      </c>
      <c r="G2656" s="308">
        <f>'BECA SUPERIOR'!J44</f>
        <v>0</v>
      </c>
      <c r="H2656" s="308">
        <f>'BECA SUPERIOR'!K44</f>
        <v>0</v>
      </c>
    </row>
    <row r="2657" spans="1:8" x14ac:dyDescent="0.3">
      <c r="A2657" t="s">
        <v>690</v>
      </c>
      <c r="B2657" t="s">
        <v>51</v>
      </c>
      <c r="C2657" t="s">
        <v>66</v>
      </c>
      <c r="D2657" t="s">
        <v>689</v>
      </c>
      <c r="E2657" t="s">
        <v>768</v>
      </c>
      <c r="F2657">
        <v>3</v>
      </c>
      <c r="G2657" s="308">
        <f>'BECA SUPERIOR'!M44</f>
        <v>0</v>
      </c>
      <c r="H2657" s="308">
        <f>'BECA SUPERIOR'!N44</f>
        <v>0</v>
      </c>
    </row>
    <row r="2658" spans="1:8" x14ac:dyDescent="0.3">
      <c r="A2658" t="s">
        <v>690</v>
      </c>
      <c r="B2658" t="s">
        <v>51</v>
      </c>
      <c r="C2658" t="s">
        <v>66</v>
      </c>
      <c r="D2658" t="s">
        <v>689</v>
      </c>
      <c r="E2658" t="s">
        <v>769</v>
      </c>
      <c r="F2658">
        <v>4</v>
      </c>
      <c r="G2658" s="308">
        <f>'BECA SUPERIOR'!P44</f>
        <v>3.6</v>
      </c>
      <c r="H2658" s="308">
        <f>'BECA SUPERIOR'!Q44</f>
        <v>9000</v>
      </c>
    </row>
    <row r="2659" spans="1:8" x14ac:dyDescent="0.3">
      <c r="A2659" t="s">
        <v>690</v>
      </c>
      <c r="B2659" t="s">
        <v>51</v>
      </c>
      <c r="C2659" t="s">
        <v>66</v>
      </c>
      <c r="D2659" t="s">
        <v>689</v>
      </c>
      <c r="E2659" t="s">
        <v>770</v>
      </c>
      <c r="F2659">
        <v>5</v>
      </c>
      <c r="G2659" s="308">
        <f>'BECA SUPERIOR'!S44</f>
        <v>0</v>
      </c>
      <c r="H2659" s="308">
        <f>'BECA SUPERIOR'!T44</f>
        <v>0</v>
      </c>
    </row>
    <row r="2660" spans="1:8" x14ac:dyDescent="0.3">
      <c r="A2660" t="s">
        <v>690</v>
      </c>
      <c r="B2660" t="s">
        <v>51</v>
      </c>
      <c r="C2660" t="s">
        <v>66</v>
      </c>
      <c r="D2660" t="s">
        <v>689</v>
      </c>
      <c r="E2660" t="s">
        <v>771</v>
      </c>
      <c r="F2660">
        <v>6</v>
      </c>
      <c r="G2660" s="308">
        <f>'BECA SUPERIOR'!V44</f>
        <v>0</v>
      </c>
      <c r="H2660" s="308">
        <f>'BECA SUPERIOR'!W44</f>
        <v>0</v>
      </c>
    </row>
    <row r="2661" spans="1:8" x14ac:dyDescent="0.3">
      <c r="A2661" t="s">
        <v>690</v>
      </c>
      <c r="B2661" t="s">
        <v>51</v>
      </c>
      <c r="C2661" t="s">
        <v>66</v>
      </c>
      <c r="D2661" t="s">
        <v>689</v>
      </c>
      <c r="E2661" t="s">
        <v>772</v>
      </c>
      <c r="F2661">
        <v>7</v>
      </c>
      <c r="G2661" s="308">
        <f>'BECA SUPERIOR'!Y44</f>
        <v>0</v>
      </c>
      <c r="H2661" s="308">
        <f>'BECA SUPERIOR'!Z44</f>
        <v>0</v>
      </c>
    </row>
    <row r="2662" spans="1:8" x14ac:dyDescent="0.3">
      <c r="A2662" t="s">
        <v>690</v>
      </c>
      <c r="B2662" t="s">
        <v>67</v>
      </c>
      <c r="C2662" t="s">
        <v>68</v>
      </c>
      <c r="D2662" t="s">
        <v>689</v>
      </c>
      <c r="E2662" t="s">
        <v>766</v>
      </c>
      <c r="F2662">
        <v>1</v>
      </c>
      <c r="G2662" s="308">
        <f>'BECA SUPERIOR'!G45</f>
        <v>0</v>
      </c>
      <c r="H2662" s="308">
        <f>'BECA SUPERIOR'!H45</f>
        <v>0</v>
      </c>
    </row>
    <row r="2663" spans="1:8" x14ac:dyDescent="0.3">
      <c r="A2663" t="s">
        <v>690</v>
      </c>
      <c r="B2663" t="s">
        <v>67</v>
      </c>
      <c r="C2663" t="s">
        <v>68</v>
      </c>
      <c r="D2663" t="s">
        <v>689</v>
      </c>
      <c r="E2663" t="s">
        <v>767</v>
      </c>
      <c r="F2663">
        <v>2</v>
      </c>
      <c r="G2663" s="308">
        <f>'BECA SUPERIOR'!J45</f>
        <v>0</v>
      </c>
      <c r="H2663" s="308">
        <f>'BECA SUPERIOR'!K45</f>
        <v>0</v>
      </c>
    </row>
    <row r="2664" spans="1:8" x14ac:dyDescent="0.3">
      <c r="A2664" t="s">
        <v>690</v>
      </c>
      <c r="B2664" t="s">
        <v>67</v>
      </c>
      <c r="C2664" t="s">
        <v>68</v>
      </c>
      <c r="D2664" t="s">
        <v>689</v>
      </c>
      <c r="E2664" t="s">
        <v>768</v>
      </c>
      <c r="F2664">
        <v>3</v>
      </c>
      <c r="G2664" s="308">
        <f>'BECA SUPERIOR'!M45</f>
        <v>0</v>
      </c>
      <c r="H2664" s="308">
        <f>'BECA SUPERIOR'!N45</f>
        <v>0</v>
      </c>
    </row>
    <row r="2665" spans="1:8" x14ac:dyDescent="0.3">
      <c r="A2665" t="s">
        <v>690</v>
      </c>
      <c r="B2665" t="s">
        <v>67</v>
      </c>
      <c r="C2665" t="s">
        <v>68</v>
      </c>
      <c r="D2665" t="s">
        <v>689</v>
      </c>
      <c r="E2665" t="s">
        <v>769</v>
      </c>
      <c r="F2665">
        <v>4</v>
      </c>
      <c r="G2665" s="308">
        <f>'BECA SUPERIOR'!P45</f>
        <v>0.72</v>
      </c>
      <c r="H2665" s="308">
        <f>'BECA SUPERIOR'!Q45</f>
        <v>1800</v>
      </c>
    </row>
    <row r="2666" spans="1:8" x14ac:dyDescent="0.3">
      <c r="A2666" t="s">
        <v>690</v>
      </c>
      <c r="B2666" t="s">
        <v>67</v>
      </c>
      <c r="C2666" t="s">
        <v>68</v>
      </c>
      <c r="D2666" t="s">
        <v>689</v>
      </c>
      <c r="E2666" t="s">
        <v>770</v>
      </c>
      <c r="F2666">
        <v>5</v>
      </c>
      <c r="G2666" s="308">
        <f>'BECA SUPERIOR'!S45</f>
        <v>0</v>
      </c>
      <c r="H2666" s="308">
        <f>'BECA SUPERIOR'!T45</f>
        <v>0</v>
      </c>
    </row>
    <row r="2667" spans="1:8" x14ac:dyDescent="0.3">
      <c r="A2667" t="s">
        <v>690</v>
      </c>
      <c r="B2667" t="s">
        <v>67</v>
      </c>
      <c r="C2667" t="s">
        <v>68</v>
      </c>
      <c r="D2667" t="s">
        <v>689</v>
      </c>
      <c r="E2667" t="s">
        <v>771</v>
      </c>
      <c r="F2667">
        <v>6</v>
      </c>
      <c r="G2667" s="308">
        <f>'BECA SUPERIOR'!V45</f>
        <v>0</v>
      </c>
      <c r="H2667" s="308">
        <f>'BECA SUPERIOR'!W45</f>
        <v>0</v>
      </c>
    </row>
    <row r="2668" spans="1:8" x14ac:dyDescent="0.3">
      <c r="A2668" t="s">
        <v>690</v>
      </c>
      <c r="B2668" t="s">
        <v>67</v>
      </c>
      <c r="C2668" t="s">
        <v>68</v>
      </c>
      <c r="D2668" t="s">
        <v>689</v>
      </c>
      <c r="E2668" t="s">
        <v>772</v>
      </c>
      <c r="F2668">
        <v>7</v>
      </c>
      <c r="G2668" s="308">
        <f>'BECA SUPERIOR'!Y45</f>
        <v>0</v>
      </c>
      <c r="H2668" s="308">
        <f>'BECA SUPERIOR'!Z45</f>
        <v>0</v>
      </c>
    </row>
    <row r="2669" spans="1:8" x14ac:dyDescent="0.3">
      <c r="A2669" t="s">
        <v>690</v>
      </c>
      <c r="B2669" t="s">
        <v>67</v>
      </c>
      <c r="C2669" t="s">
        <v>67</v>
      </c>
      <c r="D2669" t="s">
        <v>689</v>
      </c>
      <c r="E2669" t="s">
        <v>766</v>
      </c>
      <c r="F2669">
        <v>1</v>
      </c>
      <c r="G2669" s="308">
        <f>'BECA SUPERIOR'!G46</f>
        <v>0</v>
      </c>
      <c r="H2669" s="308">
        <f>'BECA SUPERIOR'!H46</f>
        <v>0</v>
      </c>
    </row>
    <row r="2670" spans="1:8" x14ac:dyDescent="0.3">
      <c r="A2670" t="s">
        <v>690</v>
      </c>
      <c r="B2670" t="s">
        <v>67</v>
      </c>
      <c r="C2670" t="s">
        <v>67</v>
      </c>
      <c r="D2670" t="s">
        <v>689</v>
      </c>
      <c r="E2670" t="s">
        <v>767</v>
      </c>
      <c r="F2670">
        <v>2</v>
      </c>
      <c r="G2670" s="308">
        <f>'BECA SUPERIOR'!J46</f>
        <v>0</v>
      </c>
      <c r="H2670" s="308">
        <f>'BECA SUPERIOR'!K46</f>
        <v>0</v>
      </c>
    </row>
    <row r="2671" spans="1:8" x14ac:dyDescent="0.3">
      <c r="A2671" t="s">
        <v>690</v>
      </c>
      <c r="B2671" t="s">
        <v>67</v>
      </c>
      <c r="C2671" t="s">
        <v>67</v>
      </c>
      <c r="D2671" t="s">
        <v>689</v>
      </c>
      <c r="E2671" t="s">
        <v>768</v>
      </c>
      <c r="F2671">
        <v>3</v>
      </c>
      <c r="G2671" s="308">
        <f>'BECA SUPERIOR'!M46</f>
        <v>0</v>
      </c>
      <c r="H2671" s="308">
        <f>'BECA SUPERIOR'!N46</f>
        <v>0</v>
      </c>
    </row>
    <row r="2672" spans="1:8" x14ac:dyDescent="0.3">
      <c r="A2672" t="s">
        <v>690</v>
      </c>
      <c r="B2672" t="s">
        <v>67</v>
      </c>
      <c r="C2672" t="s">
        <v>67</v>
      </c>
      <c r="D2672" t="s">
        <v>689</v>
      </c>
      <c r="E2672" t="s">
        <v>769</v>
      </c>
      <c r="F2672">
        <v>4</v>
      </c>
      <c r="G2672" s="308">
        <f>'BECA SUPERIOR'!P46</f>
        <v>8.64</v>
      </c>
      <c r="H2672" s="308">
        <f>'BECA SUPERIOR'!Q46</f>
        <v>21600</v>
      </c>
    </row>
    <row r="2673" spans="1:8" x14ac:dyDescent="0.3">
      <c r="A2673" t="s">
        <v>690</v>
      </c>
      <c r="B2673" t="s">
        <v>67</v>
      </c>
      <c r="C2673" t="s">
        <v>67</v>
      </c>
      <c r="D2673" t="s">
        <v>689</v>
      </c>
      <c r="E2673" t="s">
        <v>770</v>
      </c>
      <c r="F2673">
        <v>5</v>
      </c>
      <c r="G2673" s="308">
        <f>'BECA SUPERIOR'!S46</f>
        <v>0</v>
      </c>
      <c r="H2673" s="308">
        <f>'BECA SUPERIOR'!T46</f>
        <v>0</v>
      </c>
    </row>
    <row r="2674" spans="1:8" x14ac:dyDescent="0.3">
      <c r="A2674" t="s">
        <v>690</v>
      </c>
      <c r="B2674" t="s">
        <v>67</v>
      </c>
      <c r="C2674" t="s">
        <v>67</v>
      </c>
      <c r="D2674" t="s">
        <v>689</v>
      </c>
      <c r="E2674" t="s">
        <v>771</v>
      </c>
      <c r="F2674">
        <v>6</v>
      </c>
      <c r="G2674" s="308">
        <f>'BECA SUPERIOR'!V46</f>
        <v>0</v>
      </c>
      <c r="H2674" s="308">
        <f>'BECA SUPERIOR'!W46</f>
        <v>0</v>
      </c>
    </row>
    <row r="2675" spans="1:8" x14ac:dyDescent="0.3">
      <c r="A2675" t="s">
        <v>690</v>
      </c>
      <c r="B2675" t="s">
        <v>67</v>
      </c>
      <c r="C2675" t="s">
        <v>67</v>
      </c>
      <c r="D2675" t="s">
        <v>689</v>
      </c>
      <c r="E2675" t="s">
        <v>772</v>
      </c>
      <c r="F2675">
        <v>7</v>
      </c>
      <c r="G2675" s="308">
        <f>'BECA SUPERIOR'!Y46</f>
        <v>0</v>
      </c>
      <c r="H2675" s="308">
        <f>'BECA SUPERIOR'!Z46</f>
        <v>0</v>
      </c>
    </row>
    <row r="2676" spans="1:8" x14ac:dyDescent="0.3">
      <c r="A2676" t="s">
        <v>690</v>
      </c>
      <c r="B2676" t="s">
        <v>67</v>
      </c>
      <c r="C2676" t="s">
        <v>69</v>
      </c>
      <c r="D2676" t="s">
        <v>689</v>
      </c>
      <c r="E2676" t="s">
        <v>766</v>
      </c>
      <c r="F2676">
        <v>1</v>
      </c>
      <c r="G2676" s="308">
        <f>'BECA SUPERIOR'!G47</f>
        <v>0</v>
      </c>
      <c r="H2676" s="308">
        <f>'BECA SUPERIOR'!H47</f>
        <v>0</v>
      </c>
    </row>
    <row r="2677" spans="1:8" x14ac:dyDescent="0.3">
      <c r="A2677" t="s">
        <v>690</v>
      </c>
      <c r="B2677" t="s">
        <v>67</v>
      </c>
      <c r="C2677" t="s">
        <v>69</v>
      </c>
      <c r="D2677" t="s">
        <v>689</v>
      </c>
      <c r="E2677" t="s">
        <v>767</v>
      </c>
      <c r="F2677">
        <v>2</v>
      </c>
      <c r="G2677" s="308">
        <f>'BECA SUPERIOR'!J47</f>
        <v>0</v>
      </c>
      <c r="H2677" s="308">
        <f>'BECA SUPERIOR'!K47</f>
        <v>0</v>
      </c>
    </row>
    <row r="2678" spans="1:8" x14ac:dyDescent="0.3">
      <c r="A2678" t="s">
        <v>690</v>
      </c>
      <c r="B2678" t="s">
        <v>67</v>
      </c>
      <c r="C2678" t="s">
        <v>69</v>
      </c>
      <c r="D2678" t="s">
        <v>689</v>
      </c>
      <c r="E2678" t="s">
        <v>768</v>
      </c>
      <c r="F2678">
        <v>3</v>
      </c>
      <c r="G2678" s="308">
        <f>'BECA SUPERIOR'!M47</f>
        <v>0</v>
      </c>
      <c r="H2678" s="308">
        <f>'BECA SUPERIOR'!N47</f>
        <v>0</v>
      </c>
    </row>
    <row r="2679" spans="1:8" x14ac:dyDescent="0.3">
      <c r="A2679" t="s">
        <v>690</v>
      </c>
      <c r="B2679" t="s">
        <v>67</v>
      </c>
      <c r="C2679" t="s">
        <v>69</v>
      </c>
      <c r="D2679" t="s">
        <v>689</v>
      </c>
      <c r="E2679" t="s">
        <v>769</v>
      </c>
      <c r="F2679">
        <v>4</v>
      </c>
      <c r="G2679" s="308">
        <f>'BECA SUPERIOR'!P47</f>
        <v>0</v>
      </c>
      <c r="H2679" s="308">
        <f>'BECA SUPERIOR'!Q47</f>
        <v>0</v>
      </c>
    </row>
    <row r="2680" spans="1:8" x14ac:dyDescent="0.3">
      <c r="A2680" t="s">
        <v>690</v>
      </c>
      <c r="B2680" t="s">
        <v>67</v>
      </c>
      <c r="C2680" t="s">
        <v>69</v>
      </c>
      <c r="D2680" t="s">
        <v>689</v>
      </c>
      <c r="E2680" t="s">
        <v>770</v>
      </c>
      <c r="F2680">
        <v>5</v>
      </c>
      <c r="G2680" s="308">
        <f>'BECA SUPERIOR'!S47</f>
        <v>0</v>
      </c>
      <c r="H2680" s="308">
        <f>'BECA SUPERIOR'!T47</f>
        <v>0</v>
      </c>
    </row>
    <row r="2681" spans="1:8" x14ac:dyDescent="0.3">
      <c r="A2681" t="s">
        <v>690</v>
      </c>
      <c r="B2681" t="s">
        <v>67</v>
      </c>
      <c r="C2681" t="s">
        <v>69</v>
      </c>
      <c r="D2681" t="s">
        <v>689</v>
      </c>
      <c r="E2681" t="s">
        <v>771</v>
      </c>
      <c r="F2681">
        <v>6</v>
      </c>
      <c r="G2681" s="308">
        <f>'BECA SUPERIOR'!V47</f>
        <v>0</v>
      </c>
      <c r="H2681" s="308">
        <f>'BECA SUPERIOR'!W47</f>
        <v>0</v>
      </c>
    </row>
    <row r="2682" spans="1:8" x14ac:dyDescent="0.3">
      <c r="A2682" t="s">
        <v>690</v>
      </c>
      <c r="B2682" t="s">
        <v>67</v>
      </c>
      <c r="C2682" t="s">
        <v>69</v>
      </c>
      <c r="D2682" t="s">
        <v>689</v>
      </c>
      <c r="E2682" t="s">
        <v>772</v>
      </c>
      <c r="F2682">
        <v>7</v>
      </c>
      <c r="G2682" s="308">
        <f>'BECA SUPERIOR'!Y47</f>
        <v>0</v>
      </c>
      <c r="H2682" s="308">
        <f>'BECA SUPERIOR'!Z47</f>
        <v>0</v>
      </c>
    </row>
    <row r="2683" spans="1:8" x14ac:dyDescent="0.3">
      <c r="A2683" t="s">
        <v>690</v>
      </c>
      <c r="B2683" t="s">
        <v>67</v>
      </c>
      <c r="C2683" t="s">
        <v>70</v>
      </c>
      <c r="D2683" t="s">
        <v>689</v>
      </c>
      <c r="E2683" t="s">
        <v>766</v>
      </c>
      <c r="F2683">
        <v>1</v>
      </c>
      <c r="G2683" s="308">
        <f>'BECA SUPERIOR'!G48</f>
        <v>0</v>
      </c>
      <c r="H2683" s="308">
        <f>'BECA SUPERIOR'!H48</f>
        <v>0</v>
      </c>
    </row>
    <row r="2684" spans="1:8" x14ac:dyDescent="0.3">
      <c r="A2684" t="s">
        <v>690</v>
      </c>
      <c r="B2684" t="s">
        <v>67</v>
      </c>
      <c r="C2684" t="s">
        <v>70</v>
      </c>
      <c r="D2684" t="s">
        <v>689</v>
      </c>
      <c r="E2684" t="s">
        <v>767</v>
      </c>
      <c r="F2684">
        <v>2</v>
      </c>
      <c r="G2684" s="308">
        <f>'BECA SUPERIOR'!J48</f>
        <v>0</v>
      </c>
      <c r="H2684" s="308">
        <f>'BECA SUPERIOR'!K48</f>
        <v>0</v>
      </c>
    </row>
    <row r="2685" spans="1:8" x14ac:dyDescent="0.3">
      <c r="A2685" t="s">
        <v>690</v>
      </c>
      <c r="B2685" t="s">
        <v>67</v>
      </c>
      <c r="C2685" t="s">
        <v>70</v>
      </c>
      <c r="D2685" t="s">
        <v>689</v>
      </c>
      <c r="E2685" t="s">
        <v>768</v>
      </c>
      <c r="F2685">
        <v>3</v>
      </c>
      <c r="G2685" s="308">
        <f>'BECA SUPERIOR'!M48</f>
        <v>0</v>
      </c>
      <c r="H2685" s="308">
        <f>'BECA SUPERIOR'!N48</f>
        <v>0</v>
      </c>
    </row>
    <row r="2686" spans="1:8" x14ac:dyDescent="0.3">
      <c r="A2686" t="s">
        <v>690</v>
      </c>
      <c r="B2686" t="s">
        <v>67</v>
      </c>
      <c r="C2686" t="s">
        <v>70</v>
      </c>
      <c r="D2686" t="s">
        <v>689</v>
      </c>
      <c r="E2686" t="s">
        <v>769</v>
      </c>
      <c r="F2686">
        <v>4</v>
      </c>
      <c r="G2686" s="308">
        <f>'BECA SUPERIOR'!P48</f>
        <v>0</v>
      </c>
      <c r="H2686" s="308">
        <f>'BECA SUPERIOR'!Q48</f>
        <v>0</v>
      </c>
    </row>
    <row r="2687" spans="1:8" x14ac:dyDescent="0.3">
      <c r="A2687" t="s">
        <v>690</v>
      </c>
      <c r="B2687" t="s">
        <v>67</v>
      </c>
      <c r="C2687" t="s">
        <v>70</v>
      </c>
      <c r="D2687" t="s">
        <v>689</v>
      </c>
      <c r="E2687" t="s">
        <v>770</v>
      </c>
      <c r="F2687">
        <v>5</v>
      </c>
      <c r="G2687" s="308">
        <f>'BECA SUPERIOR'!S48</f>
        <v>0</v>
      </c>
      <c r="H2687" s="308">
        <f>'BECA SUPERIOR'!T48</f>
        <v>0</v>
      </c>
    </row>
    <row r="2688" spans="1:8" x14ac:dyDescent="0.3">
      <c r="A2688" t="s">
        <v>690</v>
      </c>
      <c r="B2688" t="s">
        <v>67</v>
      </c>
      <c r="C2688" t="s">
        <v>70</v>
      </c>
      <c r="D2688" t="s">
        <v>689</v>
      </c>
      <c r="E2688" t="s">
        <v>771</v>
      </c>
      <c r="F2688">
        <v>6</v>
      </c>
      <c r="G2688" s="308">
        <f>'BECA SUPERIOR'!V48</f>
        <v>0</v>
      </c>
      <c r="H2688" s="308">
        <f>'BECA SUPERIOR'!W48</f>
        <v>0</v>
      </c>
    </row>
    <row r="2689" spans="1:8" x14ac:dyDescent="0.3">
      <c r="A2689" t="s">
        <v>690</v>
      </c>
      <c r="B2689" t="s">
        <v>67</v>
      </c>
      <c r="C2689" t="s">
        <v>70</v>
      </c>
      <c r="D2689" t="s">
        <v>689</v>
      </c>
      <c r="E2689" t="s">
        <v>772</v>
      </c>
      <c r="F2689">
        <v>7</v>
      </c>
      <c r="G2689" s="308">
        <f>'BECA SUPERIOR'!Y48</f>
        <v>0</v>
      </c>
      <c r="H2689" s="308">
        <f>'BECA SUPERIOR'!Z48</f>
        <v>0</v>
      </c>
    </row>
    <row r="2690" spans="1:8" x14ac:dyDescent="0.3">
      <c r="A2690" t="s">
        <v>690</v>
      </c>
      <c r="B2690" t="s">
        <v>67</v>
      </c>
      <c r="C2690" t="s">
        <v>71</v>
      </c>
      <c r="D2690" t="s">
        <v>689</v>
      </c>
      <c r="E2690" t="s">
        <v>766</v>
      </c>
      <c r="F2690">
        <v>1</v>
      </c>
      <c r="G2690" s="308">
        <f>'BECA SUPERIOR'!G49</f>
        <v>0</v>
      </c>
      <c r="H2690" s="308">
        <f>'BECA SUPERIOR'!H49</f>
        <v>0</v>
      </c>
    </row>
    <row r="2691" spans="1:8" x14ac:dyDescent="0.3">
      <c r="A2691" t="s">
        <v>690</v>
      </c>
      <c r="B2691" t="s">
        <v>67</v>
      </c>
      <c r="C2691" t="s">
        <v>71</v>
      </c>
      <c r="D2691" t="s">
        <v>689</v>
      </c>
      <c r="E2691" t="s">
        <v>767</v>
      </c>
      <c r="F2691">
        <v>2</v>
      </c>
      <c r="G2691" s="308">
        <f>'BECA SUPERIOR'!J49</f>
        <v>0</v>
      </c>
      <c r="H2691" s="308">
        <f>'BECA SUPERIOR'!K49</f>
        <v>0</v>
      </c>
    </row>
    <row r="2692" spans="1:8" x14ac:dyDescent="0.3">
      <c r="A2692" t="s">
        <v>690</v>
      </c>
      <c r="B2692" t="s">
        <v>67</v>
      </c>
      <c r="C2692" t="s">
        <v>71</v>
      </c>
      <c r="D2692" t="s">
        <v>689</v>
      </c>
      <c r="E2692" t="s">
        <v>768</v>
      </c>
      <c r="F2692">
        <v>3</v>
      </c>
      <c r="G2692" s="308">
        <f>'BECA SUPERIOR'!M49</f>
        <v>0</v>
      </c>
      <c r="H2692" s="308">
        <f>'BECA SUPERIOR'!N49</f>
        <v>0</v>
      </c>
    </row>
    <row r="2693" spans="1:8" x14ac:dyDescent="0.3">
      <c r="A2693" t="s">
        <v>690</v>
      </c>
      <c r="B2693" t="s">
        <v>67</v>
      </c>
      <c r="C2693" t="s">
        <v>71</v>
      </c>
      <c r="D2693" t="s">
        <v>689</v>
      </c>
      <c r="E2693" t="s">
        <v>769</v>
      </c>
      <c r="F2693">
        <v>4</v>
      </c>
      <c r="G2693" s="308">
        <f>'BECA SUPERIOR'!P49</f>
        <v>0.72</v>
      </c>
      <c r="H2693" s="308">
        <f>'BECA SUPERIOR'!Q49</f>
        <v>1800</v>
      </c>
    </row>
    <row r="2694" spans="1:8" x14ac:dyDescent="0.3">
      <c r="A2694" t="s">
        <v>690</v>
      </c>
      <c r="B2694" t="s">
        <v>67</v>
      </c>
      <c r="C2694" t="s">
        <v>71</v>
      </c>
      <c r="D2694" t="s">
        <v>689</v>
      </c>
      <c r="E2694" t="s">
        <v>770</v>
      </c>
      <c r="F2694">
        <v>5</v>
      </c>
      <c r="G2694" s="308">
        <f>'BECA SUPERIOR'!S49</f>
        <v>0</v>
      </c>
      <c r="H2694" s="308">
        <f>'BECA SUPERIOR'!T49</f>
        <v>0</v>
      </c>
    </row>
    <row r="2695" spans="1:8" x14ac:dyDescent="0.3">
      <c r="A2695" t="s">
        <v>690</v>
      </c>
      <c r="B2695" t="s">
        <v>67</v>
      </c>
      <c r="C2695" t="s">
        <v>71</v>
      </c>
      <c r="D2695" t="s">
        <v>689</v>
      </c>
      <c r="E2695" t="s">
        <v>771</v>
      </c>
      <c r="F2695">
        <v>6</v>
      </c>
      <c r="G2695" s="308">
        <f>'BECA SUPERIOR'!V49</f>
        <v>0</v>
      </c>
      <c r="H2695" s="308">
        <f>'BECA SUPERIOR'!W49</f>
        <v>0</v>
      </c>
    </row>
    <row r="2696" spans="1:8" x14ac:dyDescent="0.3">
      <c r="A2696" t="s">
        <v>690</v>
      </c>
      <c r="B2696" t="s">
        <v>67</v>
      </c>
      <c r="C2696" t="s">
        <v>71</v>
      </c>
      <c r="D2696" t="s">
        <v>689</v>
      </c>
      <c r="E2696" t="s">
        <v>772</v>
      </c>
      <c r="F2696">
        <v>7</v>
      </c>
      <c r="G2696" s="308">
        <f>'BECA SUPERIOR'!Y49</f>
        <v>0</v>
      </c>
      <c r="H2696" s="308">
        <f>'BECA SUPERIOR'!Z49</f>
        <v>0</v>
      </c>
    </row>
    <row r="2697" spans="1:8" x14ac:dyDescent="0.3">
      <c r="A2697" t="s">
        <v>690</v>
      </c>
      <c r="B2697" t="s">
        <v>67</v>
      </c>
      <c r="C2697" t="s">
        <v>72</v>
      </c>
      <c r="D2697" t="s">
        <v>689</v>
      </c>
      <c r="E2697" t="s">
        <v>766</v>
      </c>
      <c r="F2697">
        <v>1</v>
      </c>
      <c r="G2697" s="308">
        <f>'BECA SUPERIOR'!G50</f>
        <v>0</v>
      </c>
      <c r="H2697" s="308">
        <f>'BECA SUPERIOR'!H50</f>
        <v>0</v>
      </c>
    </row>
    <row r="2698" spans="1:8" x14ac:dyDescent="0.3">
      <c r="A2698" t="s">
        <v>690</v>
      </c>
      <c r="B2698" t="s">
        <v>67</v>
      </c>
      <c r="C2698" t="s">
        <v>72</v>
      </c>
      <c r="D2698" t="s">
        <v>689</v>
      </c>
      <c r="E2698" t="s">
        <v>767</v>
      </c>
      <c r="F2698">
        <v>2</v>
      </c>
      <c r="G2698" s="308">
        <f>'BECA SUPERIOR'!J50</f>
        <v>0</v>
      </c>
      <c r="H2698" s="308">
        <f>'BECA SUPERIOR'!K50</f>
        <v>0</v>
      </c>
    </row>
    <row r="2699" spans="1:8" x14ac:dyDescent="0.3">
      <c r="A2699" t="s">
        <v>690</v>
      </c>
      <c r="B2699" t="s">
        <v>67</v>
      </c>
      <c r="C2699" t="s">
        <v>72</v>
      </c>
      <c r="D2699" t="s">
        <v>689</v>
      </c>
      <c r="E2699" t="s">
        <v>768</v>
      </c>
      <c r="F2699">
        <v>3</v>
      </c>
      <c r="G2699" s="308">
        <f>'BECA SUPERIOR'!M50</f>
        <v>0</v>
      </c>
      <c r="H2699" s="308">
        <f>'BECA SUPERIOR'!N50</f>
        <v>0</v>
      </c>
    </row>
    <row r="2700" spans="1:8" x14ac:dyDescent="0.3">
      <c r="A2700" t="s">
        <v>690</v>
      </c>
      <c r="B2700" t="s">
        <v>67</v>
      </c>
      <c r="C2700" t="s">
        <v>72</v>
      </c>
      <c r="D2700" t="s">
        <v>689</v>
      </c>
      <c r="E2700" t="s">
        <v>769</v>
      </c>
      <c r="F2700">
        <v>4</v>
      </c>
      <c r="G2700" s="308">
        <f>'BECA SUPERIOR'!P50</f>
        <v>5.04</v>
      </c>
      <c r="H2700" s="308">
        <f>'BECA SUPERIOR'!Q50</f>
        <v>12600</v>
      </c>
    </row>
    <row r="2701" spans="1:8" x14ac:dyDescent="0.3">
      <c r="A2701" t="s">
        <v>690</v>
      </c>
      <c r="B2701" t="s">
        <v>67</v>
      </c>
      <c r="C2701" t="s">
        <v>72</v>
      </c>
      <c r="D2701" t="s">
        <v>689</v>
      </c>
      <c r="E2701" t="s">
        <v>770</v>
      </c>
      <c r="F2701">
        <v>5</v>
      </c>
      <c r="G2701" s="308">
        <f>'BECA SUPERIOR'!S50</f>
        <v>0</v>
      </c>
      <c r="H2701" s="308">
        <f>'BECA SUPERIOR'!T50</f>
        <v>0</v>
      </c>
    </row>
    <row r="2702" spans="1:8" x14ac:dyDescent="0.3">
      <c r="A2702" t="s">
        <v>690</v>
      </c>
      <c r="B2702" t="s">
        <v>67</v>
      </c>
      <c r="C2702" t="s">
        <v>72</v>
      </c>
      <c r="D2702" t="s">
        <v>689</v>
      </c>
      <c r="E2702" t="s">
        <v>771</v>
      </c>
      <c r="F2702">
        <v>6</v>
      </c>
      <c r="G2702" s="308">
        <f>'BECA SUPERIOR'!V50</f>
        <v>0</v>
      </c>
      <c r="H2702" s="308">
        <f>'BECA SUPERIOR'!W50</f>
        <v>0</v>
      </c>
    </row>
    <row r="2703" spans="1:8" x14ac:dyDescent="0.3">
      <c r="A2703" t="s">
        <v>690</v>
      </c>
      <c r="B2703" t="s">
        <v>67</v>
      </c>
      <c r="C2703" t="s">
        <v>72</v>
      </c>
      <c r="D2703" t="s">
        <v>689</v>
      </c>
      <c r="E2703" t="s">
        <v>772</v>
      </c>
      <c r="F2703">
        <v>7</v>
      </c>
      <c r="G2703" s="308">
        <f>'BECA SUPERIOR'!Y50</f>
        <v>0</v>
      </c>
      <c r="H2703" s="308">
        <f>'BECA SUPERIOR'!Z50</f>
        <v>0</v>
      </c>
    </row>
    <row r="2704" spans="1:8" x14ac:dyDescent="0.3">
      <c r="A2704" t="s">
        <v>690</v>
      </c>
      <c r="B2704" t="s">
        <v>67</v>
      </c>
      <c r="C2704" t="s">
        <v>73</v>
      </c>
      <c r="D2704" t="s">
        <v>689</v>
      </c>
      <c r="E2704" t="s">
        <v>766</v>
      </c>
      <c r="F2704">
        <v>1</v>
      </c>
      <c r="G2704" s="308">
        <f>'BECA SUPERIOR'!G51</f>
        <v>0</v>
      </c>
      <c r="H2704" s="308">
        <f>'BECA SUPERIOR'!H51</f>
        <v>0</v>
      </c>
    </row>
    <row r="2705" spans="1:8" x14ac:dyDescent="0.3">
      <c r="A2705" t="s">
        <v>690</v>
      </c>
      <c r="B2705" t="s">
        <v>67</v>
      </c>
      <c r="C2705" t="s">
        <v>73</v>
      </c>
      <c r="D2705" t="s">
        <v>689</v>
      </c>
      <c r="E2705" t="s">
        <v>767</v>
      </c>
      <c r="F2705">
        <v>2</v>
      </c>
      <c r="G2705" s="308">
        <f>'BECA SUPERIOR'!J51</f>
        <v>0</v>
      </c>
      <c r="H2705" s="308">
        <f>'BECA SUPERIOR'!K51</f>
        <v>0</v>
      </c>
    </row>
    <row r="2706" spans="1:8" x14ac:dyDescent="0.3">
      <c r="A2706" t="s">
        <v>690</v>
      </c>
      <c r="B2706" t="s">
        <v>67</v>
      </c>
      <c r="C2706" t="s">
        <v>73</v>
      </c>
      <c r="D2706" t="s">
        <v>689</v>
      </c>
      <c r="E2706" t="s">
        <v>768</v>
      </c>
      <c r="F2706">
        <v>3</v>
      </c>
      <c r="G2706" s="308">
        <f>'BECA SUPERIOR'!M51</f>
        <v>0</v>
      </c>
      <c r="H2706" s="308">
        <f>'BECA SUPERIOR'!N51</f>
        <v>0</v>
      </c>
    </row>
    <row r="2707" spans="1:8" x14ac:dyDescent="0.3">
      <c r="A2707" t="s">
        <v>690</v>
      </c>
      <c r="B2707" t="s">
        <v>67</v>
      </c>
      <c r="C2707" t="s">
        <v>73</v>
      </c>
      <c r="D2707" t="s">
        <v>689</v>
      </c>
      <c r="E2707" t="s">
        <v>769</v>
      </c>
      <c r="F2707">
        <v>4</v>
      </c>
      <c r="G2707" s="308">
        <f>'BECA SUPERIOR'!P51</f>
        <v>1.44</v>
      </c>
      <c r="H2707" s="308">
        <f>'BECA SUPERIOR'!Q51</f>
        <v>3600</v>
      </c>
    </row>
    <row r="2708" spans="1:8" x14ac:dyDescent="0.3">
      <c r="A2708" t="s">
        <v>690</v>
      </c>
      <c r="B2708" t="s">
        <v>67</v>
      </c>
      <c r="C2708" t="s">
        <v>73</v>
      </c>
      <c r="D2708" t="s">
        <v>689</v>
      </c>
      <c r="E2708" t="s">
        <v>770</v>
      </c>
      <c r="F2708">
        <v>5</v>
      </c>
      <c r="G2708" s="308">
        <f>'BECA SUPERIOR'!S51</f>
        <v>0</v>
      </c>
      <c r="H2708" s="308">
        <f>'BECA SUPERIOR'!T51</f>
        <v>0</v>
      </c>
    </row>
    <row r="2709" spans="1:8" x14ac:dyDescent="0.3">
      <c r="A2709" t="s">
        <v>690</v>
      </c>
      <c r="B2709" t="s">
        <v>67</v>
      </c>
      <c r="C2709" t="s">
        <v>73</v>
      </c>
      <c r="D2709" t="s">
        <v>689</v>
      </c>
      <c r="E2709" t="s">
        <v>771</v>
      </c>
      <c r="F2709">
        <v>6</v>
      </c>
      <c r="G2709" s="308">
        <f>'BECA SUPERIOR'!V51</f>
        <v>0</v>
      </c>
      <c r="H2709" s="308">
        <f>'BECA SUPERIOR'!W51</f>
        <v>0</v>
      </c>
    </row>
    <row r="2710" spans="1:8" x14ac:dyDescent="0.3">
      <c r="A2710" t="s">
        <v>690</v>
      </c>
      <c r="B2710" t="s">
        <v>67</v>
      </c>
      <c r="C2710" t="s">
        <v>73</v>
      </c>
      <c r="D2710" t="s">
        <v>689</v>
      </c>
      <c r="E2710" t="s">
        <v>772</v>
      </c>
      <c r="F2710">
        <v>7</v>
      </c>
      <c r="G2710" s="308">
        <f>'BECA SUPERIOR'!Y51</f>
        <v>0</v>
      </c>
      <c r="H2710" s="308">
        <f>'BECA SUPERIOR'!Z51</f>
        <v>0</v>
      </c>
    </row>
    <row r="2711" spans="1:8" x14ac:dyDescent="0.3">
      <c r="A2711" t="s">
        <v>690</v>
      </c>
      <c r="B2711" t="s">
        <v>67</v>
      </c>
      <c r="C2711" t="s">
        <v>74</v>
      </c>
      <c r="D2711" t="s">
        <v>689</v>
      </c>
      <c r="E2711" t="s">
        <v>766</v>
      </c>
      <c r="F2711">
        <v>1</v>
      </c>
      <c r="G2711" s="308">
        <f>'BECA SUPERIOR'!G52</f>
        <v>0</v>
      </c>
      <c r="H2711" s="308">
        <f>'BECA SUPERIOR'!H52</f>
        <v>0</v>
      </c>
    </row>
    <row r="2712" spans="1:8" x14ac:dyDescent="0.3">
      <c r="A2712" t="s">
        <v>690</v>
      </c>
      <c r="B2712" t="s">
        <v>67</v>
      </c>
      <c r="C2712" t="s">
        <v>74</v>
      </c>
      <c r="D2712" t="s">
        <v>689</v>
      </c>
      <c r="E2712" t="s">
        <v>767</v>
      </c>
      <c r="F2712">
        <v>2</v>
      </c>
      <c r="G2712" s="308">
        <f>'BECA SUPERIOR'!J52</f>
        <v>0</v>
      </c>
      <c r="H2712" s="308">
        <f>'BECA SUPERIOR'!K52</f>
        <v>0</v>
      </c>
    </row>
    <row r="2713" spans="1:8" x14ac:dyDescent="0.3">
      <c r="A2713" t="s">
        <v>690</v>
      </c>
      <c r="B2713" t="s">
        <v>67</v>
      </c>
      <c r="C2713" t="s">
        <v>74</v>
      </c>
      <c r="D2713" t="s">
        <v>689</v>
      </c>
      <c r="E2713" t="s">
        <v>768</v>
      </c>
      <c r="F2713">
        <v>3</v>
      </c>
      <c r="G2713" s="308">
        <f>'BECA SUPERIOR'!M52</f>
        <v>0</v>
      </c>
      <c r="H2713" s="308">
        <f>'BECA SUPERIOR'!N52</f>
        <v>0</v>
      </c>
    </row>
    <row r="2714" spans="1:8" x14ac:dyDescent="0.3">
      <c r="A2714" t="s">
        <v>690</v>
      </c>
      <c r="B2714" t="s">
        <v>67</v>
      </c>
      <c r="C2714" t="s">
        <v>74</v>
      </c>
      <c r="D2714" t="s">
        <v>689</v>
      </c>
      <c r="E2714" t="s">
        <v>769</v>
      </c>
      <c r="F2714">
        <v>4</v>
      </c>
      <c r="G2714" s="308">
        <f>'BECA SUPERIOR'!P52</f>
        <v>3.6</v>
      </c>
      <c r="H2714" s="308">
        <f>'BECA SUPERIOR'!Q52</f>
        <v>9000</v>
      </c>
    </row>
    <row r="2715" spans="1:8" x14ac:dyDescent="0.3">
      <c r="A2715" t="s">
        <v>690</v>
      </c>
      <c r="B2715" t="s">
        <v>67</v>
      </c>
      <c r="C2715" t="s">
        <v>74</v>
      </c>
      <c r="D2715" t="s">
        <v>689</v>
      </c>
      <c r="E2715" t="s">
        <v>770</v>
      </c>
      <c r="F2715">
        <v>5</v>
      </c>
      <c r="G2715" s="308">
        <f>'BECA SUPERIOR'!S52</f>
        <v>0</v>
      </c>
      <c r="H2715" s="308">
        <f>'BECA SUPERIOR'!T52</f>
        <v>0</v>
      </c>
    </row>
    <row r="2716" spans="1:8" x14ac:dyDescent="0.3">
      <c r="A2716" t="s">
        <v>690</v>
      </c>
      <c r="B2716" t="s">
        <v>67</v>
      </c>
      <c r="C2716" t="s">
        <v>74</v>
      </c>
      <c r="D2716" t="s">
        <v>689</v>
      </c>
      <c r="E2716" t="s">
        <v>771</v>
      </c>
      <c r="F2716">
        <v>6</v>
      </c>
      <c r="G2716" s="308">
        <f>'BECA SUPERIOR'!V52</f>
        <v>0</v>
      </c>
      <c r="H2716" s="308">
        <f>'BECA SUPERIOR'!W52</f>
        <v>0</v>
      </c>
    </row>
    <row r="2717" spans="1:8" x14ac:dyDescent="0.3">
      <c r="A2717" t="s">
        <v>690</v>
      </c>
      <c r="B2717" t="s">
        <v>67</v>
      </c>
      <c r="C2717" t="s">
        <v>74</v>
      </c>
      <c r="D2717" t="s">
        <v>689</v>
      </c>
      <c r="E2717" t="s">
        <v>772</v>
      </c>
      <c r="F2717">
        <v>7</v>
      </c>
      <c r="G2717" s="308">
        <f>'BECA SUPERIOR'!Y52</f>
        <v>0</v>
      </c>
      <c r="H2717" s="308">
        <f>'BECA SUPERIOR'!Z52</f>
        <v>0</v>
      </c>
    </row>
    <row r="2718" spans="1:8" x14ac:dyDescent="0.3">
      <c r="A2718" t="s">
        <v>690</v>
      </c>
      <c r="B2718" t="s">
        <v>67</v>
      </c>
      <c r="C2718" t="s">
        <v>75</v>
      </c>
      <c r="D2718" t="s">
        <v>689</v>
      </c>
      <c r="E2718" t="s">
        <v>766</v>
      </c>
      <c r="F2718">
        <v>1</v>
      </c>
      <c r="G2718" s="308">
        <f>'BECA SUPERIOR'!G53</f>
        <v>0</v>
      </c>
      <c r="H2718" s="308">
        <f>'BECA SUPERIOR'!H53</f>
        <v>0</v>
      </c>
    </row>
    <row r="2719" spans="1:8" x14ac:dyDescent="0.3">
      <c r="A2719" t="s">
        <v>690</v>
      </c>
      <c r="B2719" t="s">
        <v>67</v>
      </c>
      <c r="C2719" t="s">
        <v>75</v>
      </c>
      <c r="D2719" t="s">
        <v>689</v>
      </c>
      <c r="E2719" t="s">
        <v>767</v>
      </c>
      <c r="F2719">
        <v>2</v>
      </c>
      <c r="G2719" s="308">
        <f>'BECA SUPERIOR'!J53</f>
        <v>0</v>
      </c>
      <c r="H2719" s="308">
        <f>'BECA SUPERIOR'!K53</f>
        <v>0</v>
      </c>
    </row>
    <row r="2720" spans="1:8" x14ac:dyDescent="0.3">
      <c r="A2720" t="s">
        <v>690</v>
      </c>
      <c r="B2720" t="s">
        <v>67</v>
      </c>
      <c r="C2720" t="s">
        <v>75</v>
      </c>
      <c r="D2720" t="s">
        <v>689</v>
      </c>
      <c r="E2720" t="s">
        <v>768</v>
      </c>
      <c r="F2720">
        <v>3</v>
      </c>
      <c r="G2720" s="308">
        <f>'BECA SUPERIOR'!M53</f>
        <v>0</v>
      </c>
      <c r="H2720" s="308">
        <f>'BECA SUPERIOR'!N53</f>
        <v>0</v>
      </c>
    </row>
    <row r="2721" spans="1:8" x14ac:dyDescent="0.3">
      <c r="A2721" t="s">
        <v>690</v>
      </c>
      <c r="B2721" t="s">
        <v>67</v>
      </c>
      <c r="C2721" t="s">
        <v>75</v>
      </c>
      <c r="D2721" t="s">
        <v>689</v>
      </c>
      <c r="E2721" t="s">
        <v>769</v>
      </c>
      <c r="F2721">
        <v>4</v>
      </c>
      <c r="G2721" s="308">
        <f>'BECA SUPERIOR'!P53</f>
        <v>3.6</v>
      </c>
      <c r="H2721" s="308">
        <f>'BECA SUPERIOR'!Q53</f>
        <v>9000</v>
      </c>
    </row>
    <row r="2722" spans="1:8" x14ac:dyDescent="0.3">
      <c r="A2722" t="s">
        <v>690</v>
      </c>
      <c r="B2722" t="s">
        <v>67</v>
      </c>
      <c r="C2722" t="s">
        <v>75</v>
      </c>
      <c r="D2722" t="s">
        <v>689</v>
      </c>
      <c r="E2722" t="s">
        <v>770</v>
      </c>
      <c r="F2722">
        <v>5</v>
      </c>
      <c r="G2722" s="308">
        <f>'BECA SUPERIOR'!S53</f>
        <v>0</v>
      </c>
      <c r="H2722" s="308">
        <f>'BECA SUPERIOR'!T53</f>
        <v>0</v>
      </c>
    </row>
    <row r="2723" spans="1:8" x14ac:dyDescent="0.3">
      <c r="A2723" t="s">
        <v>690</v>
      </c>
      <c r="B2723" t="s">
        <v>67</v>
      </c>
      <c r="C2723" t="s">
        <v>75</v>
      </c>
      <c r="D2723" t="s">
        <v>689</v>
      </c>
      <c r="E2723" t="s">
        <v>771</v>
      </c>
      <c r="F2723">
        <v>6</v>
      </c>
      <c r="G2723" s="308">
        <f>'BECA SUPERIOR'!V53</f>
        <v>0</v>
      </c>
      <c r="H2723" s="308">
        <f>'BECA SUPERIOR'!W53</f>
        <v>0</v>
      </c>
    </row>
    <row r="2724" spans="1:8" x14ac:dyDescent="0.3">
      <c r="A2724" t="s">
        <v>690</v>
      </c>
      <c r="B2724" t="s">
        <v>67</v>
      </c>
      <c r="C2724" t="s">
        <v>75</v>
      </c>
      <c r="D2724" t="s">
        <v>689</v>
      </c>
      <c r="E2724" t="s">
        <v>772</v>
      </c>
      <c r="F2724">
        <v>7</v>
      </c>
      <c r="G2724" s="308">
        <f>'BECA SUPERIOR'!Y53</f>
        <v>0</v>
      </c>
      <c r="H2724" s="308">
        <f>'BECA SUPERIOR'!Z53</f>
        <v>0</v>
      </c>
    </row>
    <row r="2725" spans="1:8" x14ac:dyDescent="0.3">
      <c r="A2725" t="s">
        <v>690</v>
      </c>
      <c r="B2725" t="s">
        <v>67</v>
      </c>
      <c r="C2725" t="s">
        <v>691</v>
      </c>
      <c r="D2725" t="s">
        <v>689</v>
      </c>
      <c r="E2725" t="s">
        <v>766</v>
      </c>
      <c r="F2725">
        <v>1</v>
      </c>
      <c r="G2725" s="308">
        <f>'BECA SUPERIOR'!G54</f>
        <v>0</v>
      </c>
      <c r="H2725" s="308">
        <f>'BECA SUPERIOR'!H54</f>
        <v>0</v>
      </c>
    </row>
    <row r="2726" spans="1:8" x14ac:dyDescent="0.3">
      <c r="A2726" t="s">
        <v>690</v>
      </c>
      <c r="B2726" t="s">
        <v>67</v>
      </c>
      <c r="C2726" t="s">
        <v>691</v>
      </c>
      <c r="D2726" t="s">
        <v>689</v>
      </c>
      <c r="E2726" t="s">
        <v>767</v>
      </c>
      <c r="F2726">
        <v>2</v>
      </c>
      <c r="G2726" s="308">
        <f>'BECA SUPERIOR'!J54</f>
        <v>0</v>
      </c>
      <c r="H2726" s="308">
        <f>'BECA SUPERIOR'!K54</f>
        <v>0</v>
      </c>
    </row>
    <row r="2727" spans="1:8" x14ac:dyDescent="0.3">
      <c r="A2727" t="s">
        <v>690</v>
      </c>
      <c r="B2727" t="s">
        <v>67</v>
      </c>
      <c r="C2727" t="s">
        <v>691</v>
      </c>
      <c r="D2727" t="s">
        <v>689</v>
      </c>
      <c r="E2727" t="s">
        <v>768</v>
      </c>
      <c r="F2727">
        <v>3</v>
      </c>
      <c r="G2727" s="308">
        <f>'BECA SUPERIOR'!M54</f>
        <v>0</v>
      </c>
      <c r="H2727" s="308">
        <f>'BECA SUPERIOR'!N54</f>
        <v>0</v>
      </c>
    </row>
    <row r="2728" spans="1:8" x14ac:dyDescent="0.3">
      <c r="A2728" t="s">
        <v>690</v>
      </c>
      <c r="B2728" t="s">
        <v>67</v>
      </c>
      <c r="C2728" t="s">
        <v>691</v>
      </c>
      <c r="D2728" t="s">
        <v>689</v>
      </c>
      <c r="E2728" t="s">
        <v>769</v>
      </c>
      <c r="F2728">
        <v>4</v>
      </c>
      <c r="G2728" s="308">
        <f>'BECA SUPERIOR'!P54</f>
        <v>1.44</v>
      </c>
      <c r="H2728" s="308">
        <f>'BECA SUPERIOR'!Q54</f>
        <v>3600</v>
      </c>
    </row>
    <row r="2729" spans="1:8" x14ac:dyDescent="0.3">
      <c r="A2729" t="s">
        <v>690</v>
      </c>
      <c r="B2729" t="s">
        <v>67</v>
      </c>
      <c r="C2729" t="s">
        <v>691</v>
      </c>
      <c r="D2729" t="s">
        <v>689</v>
      </c>
      <c r="E2729" t="s">
        <v>770</v>
      </c>
      <c r="F2729">
        <v>5</v>
      </c>
      <c r="G2729" s="308">
        <f>'BECA SUPERIOR'!S54</f>
        <v>0</v>
      </c>
      <c r="H2729" s="308">
        <f>'BECA SUPERIOR'!T54</f>
        <v>0</v>
      </c>
    </row>
    <row r="2730" spans="1:8" x14ac:dyDescent="0.3">
      <c r="A2730" t="s">
        <v>690</v>
      </c>
      <c r="B2730" t="s">
        <v>67</v>
      </c>
      <c r="C2730" t="s">
        <v>691</v>
      </c>
      <c r="D2730" t="s">
        <v>689</v>
      </c>
      <c r="E2730" t="s">
        <v>771</v>
      </c>
      <c r="F2730">
        <v>6</v>
      </c>
      <c r="G2730" s="308">
        <f>'BECA SUPERIOR'!V54</f>
        <v>0</v>
      </c>
      <c r="H2730" s="308">
        <f>'BECA SUPERIOR'!W54</f>
        <v>0</v>
      </c>
    </row>
    <row r="2731" spans="1:8" x14ac:dyDescent="0.3">
      <c r="A2731" t="s">
        <v>690</v>
      </c>
      <c r="B2731" t="s">
        <v>67</v>
      </c>
      <c r="C2731" t="s">
        <v>691</v>
      </c>
      <c r="D2731" t="s">
        <v>689</v>
      </c>
      <c r="E2731" t="s">
        <v>772</v>
      </c>
      <c r="F2731">
        <v>7</v>
      </c>
      <c r="G2731" s="308">
        <f>'BECA SUPERIOR'!Y54</f>
        <v>0</v>
      </c>
      <c r="H2731" s="308">
        <f>'BECA SUPERIOR'!Z54</f>
        <v>0</v>
      </c>
    </row>
    <row r="2732" spans="1:8" x14ac:dyDescent="0.3">
      <c r="A2732" t="s">
        <v>690</v>
      </c>
      <c r="B2732" t="s">
        <v>67</v>
      </c>
      <c r="C2732" t="s">
        <v>76</v>
      </c>
      <c r="D2732" t="s">
        <v>689</v>
      </c>
      <c r="E2732" t="s">
        <v>766</v>
      </c>
      <c r="F2732">
        <v>1</v>
      </c>
      <c r="G2732" s="308">
        <f>'BECA SUPERIOR'!G55</f>
        <v>0</v>
      </c>
      <c r="H2732" s="308">
        <f>'BECA SUPERIOR'!H55</f>
        <v>0</v>
      </c>
    </row>
    <row r="2733" spans="1:8" x14ac:dyDescent="0.3">
      <c r="A2733" t="s">
        <v>690</v>
      </c>
      <c r="B2733" t="s">
        <v>67</v>
      </c>
      <c r="C2733" t="s">
        <v>76</v>
      </c>
      <c r="D2733" t="s">
        <v>689</v>
      </c>
      <c r="E2733" t="s">
        <v>767</v>
      </c>
      <c r="F2733">
        <v>2</v>
      </c>
      <c r="G2733" s="308">
        <f>'BECA SUPERIOR'!J55</f>
        <v>0</v>
      </c>
      <c r="H2733" s="308">
        <f>'BECA SUPERIOR'!K55</f>
        <v>0</v>
      </c>
    </row>
    <row r="2734" spans="1:8" x14ac:dyDescent="0.3">
      <c r="A2734" t="s">
        <v>690</v>
      </c>
      <c r="B2734" t="s">
        <v>67</v>
      </c>
      <c r="C2734" t="s">
        <v>76</v>
      </c>
      <c r="D2734" t="s">
        <v>689</v>
      </c>
      <c r="E2734" t="s">
        <v>768</v>
      </c>
      <c r="F2734">
        <v>3</v>
      </c>
      <c r="G2734" s="308">
        <f>'BECA SUPERIOR'!M55</f>
        <v>0</v>
      </c>
      <c r="H2734" s="308">
        <f>'BECA SUPERIOR'!N55</f>
        <v>0</v>
      </c>
    </row>
    <row r="2735" spans="1:8" x14ac:dyDescent="0.3">
      <c r="A2735" t="s">
        <v>690</v>
      </c>
      <c r="B2735" t="s">
        <v>67</v>
      </c>
      <c r="C2735" t="s">
        <v>76</v>
      </c>
      <c r="D2735" t="s">
        <v>689</v>
      </c>
      <c r="E2735" t="s">
        <v>769</v>
      </c>
      <c r="F2735">
        <v>4</v>
      </c>
      <c r="G2735" s="308">
        <f>'BECA SUPERIOR'!P55</f>
        <v>0</v>
      </c>
      <c r="H2735" s="308">
        <f>'BECA SUPERIOR'!Q55</f>
        <v>0</v>
      </c>
    </row>
    <row r="2736" spans="1:8" x14ac:dyDescent="0.3">
      <c r="A2736" t="s">
        <v>690</v>
      </c>
      <c r="B2736" t="s">
        <v>67</v>
      </c>
      <c r="C2736" t="s">
        <v>76</v>
      </c>
      <c r="D2736" t="s">
        <v>689</v>
      </c>
      <c r="E2736" t="s">
        <v>770</v>
      </c>
      <c r="F2736">
        <v>5</v>
      </c>
      <c r="G2736" s="308">
        <f>'BECA SUPERIOR'!S55</f>
        <v>0</v>
      </c>
      <c r="H2736" s="308">
        <f>'BECA SUPERIOR'!T55</f>
        <v>0</v>
      </c>
    </row>
    <row r="2737" spans="1:8" x14ac:dyDescent="0.3">
      <c r="A2737" t="s">
        <v>690</v>
      </c>
      <c r="B2737" t="s">
        <v>67</v>
      </c>
      <c r="C2737" t="s">
        <v>76</v>
      </c>
      <c r="D2737" t="s">
        <v>689</v>
      </c>
      <c r="E2737" t="s">
        <v>771</v>
      </c>
      <c r="F2737">
        <v>6</v>
      </c>
      <c r="G2737" s="308">
        <f>'BECA SUPERIOR'!V55</f>
        <v>0</v>
      </c>
      <c r="H2737" s="308">
        <f>'BECA SUPERIOR'!W55</f>
        <v>0</v>
      </c>
    </row>
    <row r="2738" spans="1:8" x14ac:dyDescent="0.3">
      <c r="A2738" t="s">
        <v>690</v>
      </c>
      <c r="B2738" t="s">
        <v>67</v>
      </c>
      <c r="C2738" t="s">
        <v>76</v>
      </c>
      <c r="D2738" t="s">
        <v>689</v>
      </c>
      <c r="E2738" t="s">
        <v>772</v>
      </c>
      <c r="F2738">
        <v>7</v>
      </c>
      <c r="G2738" s="308">
        <f>'BECA SUPERIOR'!Y55</f>
        <v>0</v>
      </c>
      <c r="H2738" s="308">
        <f>'BECA SUPERIOR'!Z55</f>
        <v>0</v>
      </c>
    </row>
    <row r="2739" spans="1:8" x14ac:dyDescent="0.3">
      <c r="A2739" t="s">
        <v>690</v>
      </c>
      <c r="B2739" t="s">
        <v>77</v>
      </c>
      <c r="C2739" t="s">
        <v>78</v>
      </c>
      <c r="D2739" t="s">
        <v>689</v>
      </c>
      <c r="E2739" t="s">
        <v>766</v>
      </c>
      <c r="F2739">
        <v>1</v>
      </c>
      <c r="G2739" s="308">
        <f>'BECA SUPERIOR'!G56</f>
        <v>0</v>
      </c>
      <c r="H2739" s="308">
        <f>'BECA SUPERIOR'!H56</f>
        <v>0</v>
      </c>
    </row>
    <row r="2740" spans="1:8" x14ac:dyDescent="0.3">
      <c r="A2740" t="s">
        <v>690</v>
      </c>
      <c r="B2740" t="s">
        <v>77</v>
      </c>
      <c r="C2740" t="s">
        <v>78</v>
      </c>
      <c r="D2740" t="s">
        <v>689</v>
      </c>
      <c r="E2740" t="s">
        <v>767</v>
      </c>
      <c r="F2740">
        <v>2</v>
      </c>
      <c r="G2740" s="308">
        <f>'BECA SUPERIOR'!J56</f>
        <v>0</v>
      </c>
      <c r="H2740" s="308">
        <f>'BECA SUPERIOR'!K56</f>
        <v>0</v>
      </c>
    </row>
    <row r="2741" spans="1:8" x14ac:dyDescent="0.3">
      <c r="A2741" t="s">
        <v>690</v>
      </c>
      <c r="B2741" t="s">
        <v>77</v>
      </c>
      <c r="C2741" t="s">
        <v>78</v>
      </c>
      <c r="D2741" t="s">
        <v>689</v>
      </c>
      <c r="E2741" t="s">
        <v>768</v>
      </c>
      <c r="F2741">
        <v>3</v>
      </c>
      <c r="G2741" s="308">
        <f>'BECA SUPERIOR'!M56</f>
        <v>0</v>
      </c>
      <c r="H2741" s="308">
        <f>'BECA SUPERIOR'!N56</f>
        <v>0</v>
      </c>
    </row>
    <row r="2742" spans="1:8" x14ac:dyDescent="0.3">
      <c r="A2742" t="s">
        <v>690</v>
      </c>
      <c r="B2742" t="s">
        <v>77</v>
      </c>
      <c r="C2742" t="s">
        <v>78</v>
      </c>
      <c r="D2742" t="s">
        <v>689</v>
      </c>
      <c r="E2742" t="s">
        <v>769</v>
      </c>
      <c r="F2742">
        <v>4</v>
      </c>
      <c r="G2742" s="308">
        <f>'BECA SUPERIOR'!P56</f>
        <v>0.72</v>
      </c>
      <c r="H2742" s="308">
        <f>'BECA SUPERIOR'!Q56</f>
        <v>1800</v>
      </c>
    </row>
    <row r="2743" spans="1:8" x14ac:dyDescent="0.3">
      <c r="A2743" t="s">
        <v>690</v>
      </c>
      <c r="B2743" t="s">
        <v>77</v>
      </c>
      <c r="C2743" t="s">
        <v>78</v>
      </c>
      <c r="D2743" t="s">
        <v>689</v>
      </c>
      <c r="E2743" t="s">
        <v>770</v>
      </c>
      <c r="F2743">
        <v>5</v>
      </c>
      <c r="G2743" s="308">
        <f>'BECA SUPERIOR'!S56</f>
        <v>0</v>
      </c>
      <c r="H2743" s="308">
        <f>'BECA SUPERIOR'!T56</f>
        <v>0</v>
      </c>
    </row>
    <row r="2744" spans="1:8" x14ac:dyDescent="0.3">
      <c r="A2744" t="s">
        <v>690</v>
      </c>
      <c r="B2744" t="s">
        <v>77</v>
      </c>
      <c r="C2744" t="s">
        <v>78</v>
      </c>
      <c r="D2744" t="s">
        <v>689</v>
      </c>
      <c r="E2744" t="s">
        <v>771</v>
      </c>
      <c r="F2744">
        <v>6</v>
      </c>
      <c r="G2744" s="308">
        <f>'BECA SUPERIOR'!V56</f>
        <v>0</v>
      </c>
      <c r="H2744" s="308">
        <f>'BECA SUPERIOR'!W56</f>
        <v>0</v>
      </c>
    </row>
    <row r="2745" spans="1:8" x14ac:dyDescent="0.3">
      <c r="A2745" t="s">
        <v>690</v>
      </c>
      <c r="B2745" t="s">
        <v>77</v>
      </c>
      <c r="C2745" t="s">
        <v>78</v>
      </c>
      <c r="D2745" t="s">
        <v>689</v>
      </c>
      <c r="E2745" t="s">
        <v>772</v>
      </c>
      <c r="F2745">
        <v>7</v>
      </c>
      <c r="G2745" s="308">
        <f>'BECA SUPERIOR'!Y56</f>
        <v>0</v>
      </c>
      <c r="H2745" s="308">
        <f>'BECA SUPERIOR'!Z56</f>
        <v>0</v>
      </c>
    </row>
    <row r="2746" spans="1:8" x14ac:dyDescent="0.3">
      <c r="A2746" t="s">
        <v>690</v>
      </c>
      <c r="B2746" t="s">
        <v>77</v>
      </c>
      <c r="C2746" t="s">
        <v>79</v>
      </c>
      <c r="D2746" t="s">
        <v>689</v>
      </c>
      <c r="E2746" t="s">
        <v>766</v>
      </c>
      <c r="F2746">
        <v>1</v>
      </c>
      <c r="G2746" s="308">
        <f>'BECA SUPERIOR'!G57</f>
        <v>0</v>
      </c>
      <c r="H2746" s="308">
        <f>'BECA SUPERIOR'!H57</f>
        <v>0</v>
      </c>
    </row>
    <row r="2747" spans="1:8" x14ac:dyDescent="0.3">
      <c r="A2747" t="s">
        <v>690</v>
      </c>
      <c r="B2747" t="s">
        <v>77</v>
      </c>
      <c r="C2747" t="s">
        <v>79</v>
      </c>
      <c r="D2747" t="s">
        <v>689</v>
      </c>
      <c r="E2747" t="s">
        <v>767</v>
      </c>
      <c r="F2747">
        <v>2</v>
      </c>
      <c r="G2747" s="308">
        <f>'BECA SUPERIOR'!J57</f>
        <v>0</v>
      </c>
      <c r="H2747" s="308">
        <f>'BECA SUPERIOR'!K57</f>
        <v>0</v>
      </c>
    </row>
    <row r="2748" spans="1:8" x14ac:dyDescent="0.3">
      <c r="A2748" t="s">
        <v>690</v>
      </c>
      <c r="B2748" t="s">
        <v>77</v>
      </c>
      <c r="C2748" t="s">
        <v>79</v>
      </c>
      <c r="D2748" t="s">
        <v>689</v>
      </c>
      <c r="E2748" t="s">
        <v>768</v>
      </c>
      <c r="F2748">
        <v>3</v>
      </c>
      <c r="G2748" s="308">
        <f>'BECA SUPERIOR'!M57</f>
        <v>0</v>
      </c>
      <c r="H2748" s="308">
        <f>'BECA SUPERIOR'!N57</f>
        <v>0</v>
      </c>
    </row>
    <row r="2749" spans="1:8" x14ac:dyDescent="0.3">
      <c r="A2749" t="s">
        <v>690</v>
      </c>
      <c r="B2749" t="s">
        <v>77</v>
      </c>
      <c r="C2749" t="s">
        <v>79</v>
      </c>
      <c r="D2749" t="s">
        <v>689</v>
      </c>
      <c r="E2749" t="s">
        <v>769</v>
      </c>
      <c r="F2749">
        <v>4</v>
      </c>
      <c r="G2749" s="308">
        <f>'BECA SUPERIOR'!P57</f>
        <v>3.6</v>
      </c>
      <c r="H2749" s="308">
        <f>'BECA SUPERIOR'!Q57</f>
        <v>9000</v>
      </c>
    </row>
    <row r="2750" spans="1:8" x14ac:dyDescent="0.3">
      <c r="A2750" t="s">
        <v>690</v>
      </c>
      <c r="B2750" t="s">
        <v>77</v>
      </c>
      <c r="C2750" t="s">
        <v>79</v>
      </c>
      <c r="D2750" t="s">
        <v>689</v>
      </c>
      <c r="E2750" t="s">
        <v>770</v>
      </c>
      <c r="F2750">
        <v>5</v>
      </c>
      <c r="G2750" s="308">
        <f>'BECA SUPERIOR'!S57</f>
        <v>0</v>
      </c>
      <c r="H2750" s="308">
        <f>'BECA SUPERIOR'!T57</f>
        <v>0</v>
      </c>
    </row>
    <row r="2751" spans="1:8" x14ac:dyDescent="0.3">
      <c r="A2751" t="s">
        <v>690</v>
      </c>
      <c r="B2751" t="s">
        <v>77</v>
      </c>
      <c r="C2751" t="s">
        <v>79</v>
      </c>
      <c r="D2751" t="s">
        <v>689</v>
      </c>
      <c r="E2751" t="s">
        <v>771</v>
      </c>
      <c r="F2751">
        <v>6</v>
      </c>
      <c r="G2751" s="308">
        <f>'BECA SUPERIOR'!V57</f>
        <v>0</v>
      </c>
      <c r="H2751" s="308">
        <f>'BECA SUPERIOR'!W57</f>
        <v>0</v>
      </c>
    </row>
    <row r="2752" spans="1:8" x14ac:dyDescent="0.3">
      <c r="A2752" t="s">
        <v>690</v>
      </c>
      <c r="B2752" t="s">
        <v>77</v>
      </c>
      <c r="C2752" t="s">
        <v>79</v>
      </c>
      <c r="D2752" t="s">
        <v>689</v>
      </c>
      <c r="E2752" t="s">
        <v>772</v>
      </c>
      <c r="F2752">
        <v>7</v>
      </c>
      <c r="G2752" s="308">
        <f>'BECA SUPERIOR'!Y57</f>
        <v>0</v>
      </c>
      <c r="H2752" s="308">
        <f>'BECA SUPERIOR'!Z57</f>
        <v>0</v>
      </c>
    </row>
    <row r="2753" spans="1:8" x14ac:dyDescent="0.3">
      <c r="A2753" t="s">
        <v>690</v>
      </c>
      <c r="B2753" t="s">
        <v>77</v>
      </c>
      <c r="C2753" t="s">
        <v>80</v>
      </c>
      <c r="D2753" t="s">
        <v>689</v>
      </c>
      <c r="E2753" t="s">
        <v>766</v>
      </c>
      <c r="F2753">
        <v>1</v>
      </c>
      <c r="G2753" s="308">
        <f>'BECA SUPERIOR'!G58</f>
        <v>0</v>
      </c>
      <c r="H2753" s="308">
        <f>'BECA SUPERIOR'!H58</f>
        <v>0</v>
      </c>
    </row>
    <row r="2754" spans="1:8" x14ac:dyDescent="0.3">
      <c r="A2754" t="s">
        <v>690</v>
      </c>
      <c r="B2754" t="s">
        <v>77</v>
      </c>
      <c r="C2754" t="s">
        <v>80</v>
      </c>
      <c r="D2754" t="s">
        <v>689</v>
      </c>
      <c r="E2754" t="s">
        <v>767</v>
      </c>
      <c r="F2754">
        <v>2</v>
      </c>
      <c r="G2754" s="308">
        <f>'BECA SUPERIOR'!J58</f>
        <v>0</v>
      </c>
      <c r="H2754" s="308">
        <f>'BECA SUPERIOR'!K58</f>
        <v>0</v>
      </c>
    </row>
    <row r="2755" spans="1:8" x14ac:dyDescent="0.3">
      <c r="A2755" t="s">
        <v>690</v>
      </c>
      <c r="B2755" t="s">
        <v>77</v>
      </c>
      <c r="C2755" t="s">
        <v>80</v>
      </c>
      <c r="D2755" t="s">
        <v>689</v>
      </c>
      <c r="E2755" t="s">
        <v>768</v>
      </c>
      <c r="F2755">
        <v>3</v>
      </c>
      <c r="G2755" s="308">
        <f>'BECA SUPERIOR'!M58</f>
        <v>0</v>
      </c>
      <c r="H2755" s="308">
        <f>'BECA SUPERIOR'!N58</f>
        <v>0</v>
      </c>
    </row>
    <row r="2756" spans="1:8" x14ac:dyDescent="0.3">
      <c r="A2756" t="s">
        <v>690</v>
      </c>
      <c r="B2756" t="s">
        <v>77</v>
      </c>
      <c r="C2756" t="s">
        <v>80</v>
      </c>
      <c r="D2756" t="s">
        <v>689</v>
      </c>
      <c r="E2756" t="s">
        <v>769</v>
      </c>
      <c r="F2756">
        <v>4</v>
      </c>
      <c r="G2756" s="308">
        <f>'BECA SUPERIOR'!P58</f>
        <v>0.72</v>
      </c>
      <c r="H2756" s="308">
        <f>'BECA SUPERIOR'!Q58</f>
        <v>1800</v>
      </c>
    </row>
    <row r="2757" spans="1:8" x14ac:dyDescent="0.3">
      <c r="A2757" t="s">
        <v>690</v>
      </c>
      <c r="B2757" t="s">
        <v>77</v>
      </c>
      <c r="C2757" t="s">
        <v>80</v>
      </c>
      <c r="D2757" t="s">
        <v>689</v>
      </c>
      <c r="E2757" t="s">
        <v>770</v>
      </c>
      <c r="F2757">
        <v>5</v>
      </c>
      <c r="G2757" s="308">
        <f>'BECA SUPERIOR'!S58</f>
        <v>0</v>
      </c>
      <c r="H2757" s="308">
        <f>'BECA SUPERIOR'!T58</f>
        <v>0</v>
      </c>
    </row>
    <row r="2758" spans="1:8" x14ac:dyDescent="0.3">
      <c r="A2758" t="s">
        <v>690</v>
      </c>
      <c r="B2758" t="s">
        <v>77</v>
      </c>
      <c r="C2758" t="s">
        <v>80</v>
      </c>
      <c r="D2758" t="s">
        <v>689</v>
      </c>
      <c r="E2758" t="s">
        <v>771</v>
      </c>
      <c r="F2758">
        <v>6</v>
      </c>
      <c r="G2758" s="308">
        <f>'BECA SUPERIOR'!V58</f>
        <v>0</v>
      </c>
      <c r="H2758" s="308">
        <f>'BECA SUPERIOR'!W58</f>
        <v>0</v>
      </c>
    </row>
    <row r="2759" spans="1:8" x14ac:dyDescent="0.3">
      <c r="A2759" t="s">
        <v>690</v>
      </c>
      <c r="B2759" t="s">
        <v>77</v>
      </c>
      <c r="C2759" t="s">
        <v>80</v>
      </c>
      <c r="D2759" t="s">
        <v>689</v>
      </c>
      <c r="E2759" t="s">
        <v>772</v>
      </c>
      <c r="F2759">
        <v>7</v>
      </c>
      <c r="G2759" s="308">
        <f>'BECA SUPERIOR'!Y58</f>
        <v>0</v>
      </c>
      <c r="H2759" s="308">
        <f>'BECA SUPERIOR'!Z58</f>
        <v>0</v>
      </c>
    </row>
    <row r="2760" spans="1:8" x14ac:dyDescent="0.3">
      <c r="A2760" t="s">
        <v>690</v>
      </c>
      <c r="B2760" t="s">
        <v>77</v>
      </c>
      <c r="C2760" t="s">
        <v>81</v>
      </c>
      <c r="D2760" t="s">
        <v>689</v>
      </c>
      <c r="E2760" t="s">
        <v>766</v>
      </c>
      <c r="F2760">
        <v>1</v>
      </c>
      <c r="G2760" s="308">
        <f>'BECA SUPERIOR'!G59</f>
        <v>0</v>
      </c>
      <c r="H2760" s="308">
        <f>'BECA SUPERIOR'!H59</f>
        <v>0</v>
      </c>
    </row>
    <row r="2761" spans="1:8" x14ac:dyDescent="0.3">
      <c r="A2761" t="s">
        <v>690</v>
      </c>
      <c r="B2761" t="s">
        <v>77</v>
      </c>
      <c r="C2761" t="s">
        <v>81</v>
      </c>
      <c r="D2761" t="s">
        <v>689</v>
      </c>
      <c r="E2761" t="s">
        <v>767</v>
      </c>
      <c r="F2761">
        <v>2</v>
      </c>
      <c r="G2761" s="308">
        <f>'BECA SUPERIOR'!J59</f>
        <v>0</v>
      </c>
      <c r="H2761" s="308">
        <f>'BECA SUPERIOR'!K59</f>
        <v>0</v>
      </c>
    </row>
    <row r="2762" spans="1:8" x14ac:dyDescent="0.3">
      <c r="A2762" t="s">
        <v>690</v>
      </c>
      <c r="B2762" t="s">
        <v>77</v>
      </c>
      <c r="C2762" t="s">
        <v>81</v>
      </c>
      <c r="D2762" t="s">
        <v>689</v>
      </c>
      <c r="E2762" t="s">
        <v>768</v>
      </c>
      <c r="F2762">
        <v>3</v>
      </c>
      <c r="G2762" s="308">
        <f>'BECA SUPERIOR'!M59</f>
        <v>0</v>
      </c>
      <c r="H2762" s="308">
        <f>'BECA SUPERIOR'!N59</f>
        <v>0</v>
      </c>
    </row>
    <row r="2763" spans="1:8" x14ac:dyDescent="0.3">
      <c r="A2763" t="s">
        <v>690</v>
      </c>
      <c r="B2763" t="s">
        <v>77</v>
      </c>
      <c r="C2763" t="s">
        <v>81</v>
      </c>
      <c r="D2763" t="s">
        <v>689</v>
      </c>
      <c r="E2763" t="s">
        <v>769</v>
      </c>
      <c r="F2763">
        <v>4</v>
      </c>
      <c r="G2763" s="308">
        <f>'BECA SUPERIOR'!P59</f>
        <v>5.76</v>
      </c>
      <c r="H2763" s="308">
        <f>'BECA SUPERIOR'!Q59</f>
        <v>14400</v>
      </c>
    </row>
    <row r="2764" spans="1:8" x14ac:dyDescent="0.3">
      <c r="A2764" t="s">
        <v>690</v>
      </c>
      <c r="B2764" t="s">
        <v>77</v>
      </c>
      <c r="C2764" t="s">
        <v>81</v>
      </c>
      <c r="D2764" t="s">
        <v>689</v>
      </c>
      <c r="E2764" t="s">
        <v>770</v>
      </c>
      <c r="F2764">
        <v>5</v>
      </c>
      <c r="G2764" s="308">
        <f>'BECA SUPERIOR'!S59</f>
        <v>0</v>
      </c>
      <c r="H2764" s="308">
        <f>'BECA SUPERIOR'!T59</f>
        <v>0</v>
      </c>
    </row>
    <row r="2765" spans="1:8" x14ac:dyDescent="0.3">
      <c r="A2765" t="s">
        <v>690</v>
      </c>
      <c r="B2765" t="s">
        <v>77</v>
      </c>
      <c r="C2765" t="s">
        <v>81</v>
      </c>
      <c r="D2765" t="s">
        <v>689</v>
      </c>
      <c r="E2765" t="s">
        <v>771</v>
      </c>
      <c r="F2765">
        <v>6</v>
      </c>
      <c r="G2765" s="308">
        <f>'BECA SUPERIOR'!V59</f>
        <v>0</v>
      </c>
      <c r="H2765" s="308">
        <f>'BECA SUPERIOR'!W59</f>
        <v>0</v>
      </c>
    </row>
    <row r="2766" spans="1:8" x14ac:dyDescent="0.3">
      <c r="A2766" t="s">
        <v>690</v>
      </c>
      <c r="B2766" t="s">
        <v>77</v>
      </c>
      <c r="C2766" t="s">
        <v>81</v>
      </c>
      <c r="D2766" t="s">
        <v>689</v>
      </c>
      <c r="E2766" t="s">
        <v>772</v>
      </c>
      <c r="F2766">
        <v>7</v>
      </c>
      <c r="G2766" s="308">
        <f>'BECA SUPERIOR'!Y59</f>
        <v>0</v>
      </c>
      <c r="H2766" s="308">
        <f>'BECA SUPERIOR'!Z59</f>
        <v>0</v>
      </c>
    </row>
    <row r="2767" spans="1:8" x14ac:dyDescent="0.3">
      <c r="A2767" t="s">
        <v>690</v>
      </c>
      <c r="B2767" t="s">
        <v>77</v>
      </c>
      <c r="C2767" t="s">
        <v>82</v>
      </c>
      <c r="D2767" t="s">
        <v>689</v>
      </c>
      <c r="E2767" t="s">
        <v>766</v>
      </c>
      <c r="F2767">
        <v>1</v>
      </c>
      <c r="G2767" s="308">
        <f>'BECA SUPERIOR'!G60</f>
        <v>0</v>
      </c>
      <c r="H2767" s="308">
        <f>'BECA SUPERIOR'!H60</f>
        <v>0</v>
      </c>
    </row>
    <row r="2768" spans="1:8" x14ac:dyDescent="0.3">
      <c r="A2768" t="s">
        <v>690</v>
      </c>
      <c r="B2768" t="s">
        <v>77</v>
      </c>
      <c r="C2768" t="s">
        <v>82</v>
      </c>
      <c r="D2768" t="s">
        <v>689</v>
      </c>
      <c r="E2768" t="s">
        <v>767</v>
      </c>
      <c r="F2768">
        <v>2</v>
      </c>
      <c r="G2768" s="308">
        <f>'BECA SUPERIOR'!J60</f>
        <v>0</v>
      </c>
      <c r="H2768" s="308">
        <f>'BECA SUPERIOR'!K60</f>
        <v>0</v>
      </c>
    </row>
    <row r="2769" spans="1:8" x14ac:dyDescent="0.3">
      <c r="A2769" t="s">
        <v>690</v>
      </c>
      <c r="B2769" t="s">
        <v>77</v>
      </c>
      <c r="C2769" t="s">
        <v>82</v>
      </c>
      <c r="D2769" t="s">
        <v>689</v>
      </c>
      <c r="E2769" t="s">
        <v>768</v>
      </c>
      <c r="F2769">
        <v>3</v>
      </c>
      <c r="G2769" s="308">
        <f>'BECA SUPERIOR'!M60</f>
        <v>0</v>
      </c>
      <c r="H2769" s="308">
        <f>'BECA SUPERIOR'!N60</f>
        <v>0</v>
      </c>
    </row>
    <row r="2770" spans="1:8" x14ac:dyDescent="0.3">
      <c r="A2770" t="s">
        <v>690</v>
      </c>
      <c r="B2770" t="s">
        <v>77</v>
      </c>
      <c r="C2770" t="s">
        <v>82</v>
      </c>
      <c r="D2770" t="s">
        <v>689</v>
      </c>
      <c r="E2770" t="s">
        <v>769</v>
      </c>
      <c r="F2770">
        <v>4</v>
      </c>
      <c r="G2770" s="308">
        <f>'BECA SUPERIOR'!P60</f>
        <v>2.16</v>
      </c>
      <c r="H2770" s="308">
        <f>'BECA SUPERIOR'!Q60</f>
        <v>5400</v>
      </c>
    </row>
    <row r="2771" spans="1:8" x14ac:dyDescent="0.3">
      <c r="A2771" t="s">
        <v>690</v>
      </c>
      <c r="B2771" t="s">
        <v>77</v>
      </c>
      <c r="C2771" t="s">
        <v>82</v>
      </c>
      <c r="D2771" t="s">
        <v>689</v>
      </c>
      <c r="E2771" t="s">
        <v>770</v>
      </c>
      <c r="F2771">
        <v>5</v>
      </c>
      <c r="G2771" s="308">
        <f>'BECA SUPERIOR'!S60</f>
        <v>0</v>
      </c>
      <c r="H2771" s="308">
        <f>'BECA SUPERIOR'!T60</f>
        <v>0</v>
      </c>
    </row>
    <row r="2772" spans="1:8" x14ac:dyDescent="0.3">
      <c r="A2772" t="s">
        <v>690</v>
      </c>
      <c r="B2772" t="s">
        <v>77</v>
      </c>
      <c r="C2772" t="s">
        <v>82</v>
      </c>
      <c r="D2772" t="s">
        <v>689</v>
      </c>
      <c r="E2772" t="s">
        <v>771</v>
      </c>
      <c r="F2772">
        <v>6</v>
      </c>
      <c r="G2772" s="308">
        <f>'BECA SUPERIOR'!V60</f>
        <v>0</v>
      </c>
      <c r="H2772" s="308">
        <f>'BECA SUPERIOR'!W60</f>
        <v>0</v>
      </c>
    </row>
    <row r="2773" spans="1:8" x14ac:dyDescent="0.3">
      <c r="A2773" t="s">
        <v>690</v>
      </c>
      <c r="B2773" t="s">
        <v>77</v>
      </c>
      <c r="C2773" t="s">
        <v>82</v>
      </c>
      <c r="D2773" t="s">
        <v>689</v>
      </c>
      <c r="E2773" t="s">
        <v>772</v>
      </c>
      <c r="F2773">
        <v>7</v>
      </c>
      <c r="G2773" s="308">
        <f>'BECA SUPERIOR'!Y60</f>
        <v>0</v>
      </c>
      <c r="H2773" s="308">
        <f>'BECA SUPERIOR'!Z60</f>
        <v>0</v>
      </c>
    </row>
    <row r="2774" spans="1:8" x14ac:dyDescent="0.3">
      <c r="A2774" t="s">
        <v>690</v>
      </c>
      <c r="B2774" t="s">
        <v>77</v>
      </c>
      <c r="C2774" t="s">
        <v>83</v>
      </c>
      <c r="D2774" t="s">
        <v>689</v>
      </c>
      <c r="E2774" t="s">
        <v>766</v>
      </c>
      <c r="F2774">
        <v>1</v>
      </c>
      <c r="G2774" s="308">
        <f>'BECA SUPERIOR'!G61</f>
        <v>0</v>
      </c>
      <c r="H2774" s="308">
        <f>'BECA SUPERIOR'!H61</f>
        <v>0</v>
      </c>
    </row>
    <row r="2775" spans="1:8" x14ac:dyDescent="0.3">
      <c r="A2775" t="s">
        <v>690</v>
      </c>
      <c r="B2775" t="s">
        <v>77</v>
      </c>
      <c r="C2775" t="s">
        <v>83</v>
      </c>
      <c r="D2775" t="s">
        <v>689</v>
      </c>
      <c r="E2775" t="s">
        <v>767</v>
      </c>
      <c r="F2775">
        <v>2</v>
      </c>
      <c r="G2775" s="308">
        <f>'BECA SUPERIOR'!J61</f>
        <v>0</v>
      </c>
      <c r="H2775" s="308">
        <f>'BECA SUPERIOR'!K61</f>
        <v>0</v>
      </c>
    </row>
    <row r="2776" spans="1:8" x14ac:dyDescent="0.3">
      <c r="A2776" t="s">
        <v>690</v>
      </c>
      <c r="B2776" t="s">
        <v>77</v>
      </c>
      <c r="C2776" t="s">
        <v>83</v>
      </c>
      <c r="D2776" t="s">
        <v>689</v>
      </c>
      <c r="E2776" t="s">
        <v>768</v>
      </c>
      <c r="F2776">
        <v>3</v>
      </c>
      <c r="G2776" s="308">
        <f>'BECA SUPERIOR'!M61</f>
        <v>0</v>
      </c>
      <c r="H2776" s="308">
        <f>'BECA SUPERIOR'!N61</f>
        <v>0</v>
      </c>
    </row>
    <row r="2777" spans="1:8" x14ac:dyDescent="0.3">
      <c r="A2777" t="s">
        <v>690</v>
      </c>
      <c r="B2777" t="s">
        <v>77</v>
      </c>
      <c r="C2777" t="s">
        <v>83</v>
      </c>
      <c r="D2777" t="s">
        <v>689</v>
      </c>
      <c r="E2777" t="s">
        <v>769</v>
      </c>
      <c r="F2777">
        <v>4</v>
      </c>
      <c r="G2777" s="308">
        <f>'BECA SUPERIOR'!P61</f>
        <v>2.16</v>
      </c>
      <c r="H2777" s="308">
        <f>'BECA SUPERIOR'!Q61</f>
        <v>5400</v>
      </c>
    </row>
    <row r="2778" spans="1:8" x14ac:dyDescent="0.3">
      <c r="A2778" t="s">
        <v>690</v>
      </c>
      <c r="B2778" t="s">
        <v>77</v>
      </c>
      <c r="C2778" t="s">
        <v>83</v>
      </c>
      <c r="D2778" t="s">
        <v>689</v>
      </c>
      <c r="E2778" t="s">
        <v>770</v>
      </c>
      <c r="F2778">
        <v>5</v>
      </c>
      <c r="G2778" s="308">
        <f>'BECA SUPERIOR'!S61</f>
        <v>0</v>
      </c>
      <c r="H2778" s="308">
        <f>'BECA SUPERIOR'!T61</f>
        <v>0</v>
      </c>
    </row>
    <row r="2779" spans="1:8" x14ac:dyDescent="0.3">
      <c r="A2779" t="s">
        <v>690</v>
      </c>
      <c r="B2779" t="s">
        <v>77</v>
      </c>
      <c r="C2779" t="s">
        <v>83</v>
      </c>
      <c r="D2779" t="s">
        <v>689</v>
      </c>
      <c r="E2779" t="s">
        <v>771</v>
      </c>
      <c r="F2779">
        <v>6</v>
      </c>
      <c r="G2779" s="308">
        <f>'BECA SUPERIOR'!V61</f>
        <v>0</v>
      </c>
      <c r="H2779" s="308">
        <f>'BECA SUPERIOR'!W61</f>
        <v>0</v>
      </c>
    </row>
    <row r="2780" spans="1:8" x14ac:dyDescent="0.3">
      <c r="A2780" t="s">
        <v>690</v>
      </c>
      <c r="B2780" t="s">
        <v>77</v>
      </c>
      <c r="C2780" t="s">
        <v>83</v>
      </c>
      <c r="D2780" t="s">
        <v>689</v>
      </c>
      <c r="E2780" t="s">
        <v>772</v>
      </c>
      <c r="F2780">
        <v>7</v>
      </c>
      <c r="G2780" s="308">
        <f>'BECA SUPERIOR'!Y61</f>
        <v>0</v>
      </c>
      <c r="H2780" s="308">
        <f>'BECA SUPERIOR'!Z61</f>
        <v>0</v>
      </c>
    </row>
    <row r="2781" spans="1:8" x14ac:dyDescent="0.3">
      <c r="A2781" t="s">
        <v>690</v>
      </c>
      <c r="B2781" t="s">
        <v>77</v>
      </c>
      <c r="C2781" t="s">
        <v>84</v>
      </c>
      <c r="D2781" t="s">
        <v>689</v>
      </c>
      <c r="E2781" t="s">
        <v>766</v>
      </c>
      <c r="F2781">
        <v>1</v>
      </c>
      <c r="G2781" s="308">
        <f>'BECA SUPERIOR'!G62</f>
        <v>0</v>
      </c>
      <c r="H2781" s="308">
        <f>'BECA SUPERIOR'!H62</f>
        <v>0</v>
      </c>
    </row>
    <row r="2782" spans="1:8" x14ac:dyDescent="0.3">
      <c r="A2782" t="s">
        <v>690</v>
      </c>
      <c r="B2782" t="s">
        <v>77</v>
      </c>
      <c r="C2782" t="s">
        <v>84</v>
      </c>
      <c r="D2782" t="s">
        <v>689</v>
      </c>
      <c r="E2782" t="s">
        <v>767</v>
      </c>
      <c r="F2782">
        <v>2</v>
      </c>
      <c r="G2782" s="308">
        <f>'BECA SUPERIOR'!J62</f>
        <v>0</v>
      </c>
      <c r="H2782" s="308">
        <f>'BECA SUPERIOR'!K62</f>
        <v>0</v>
      </c>
    </row>
    <row r="2783" spans="1:8" x14ac:dyDescent="0.3">
      <c r="A2783" t="s">
        <v>690</v>
      </c>
      <c r="B2783" t="s">
        <v>77</v>
      </c>
      <c r="C2783" t="s">
        <v>84</v>
      </c>
      <c r="D2783" t="s">
        <v>689</v>
      </c>
      <c r="E2783" t="s">
        <v>768</v>
      </c>
      <c r="F2783">
        <v>3</v>
      </c>
      <c r="G2783" s="308">
        <f>'BECA SUPERIOR'!M62</f>
        <v>0</v>
      </c>
      <c r="H2783" s="308">
        <f>'BECA SUPERIOR'!N62</f>
        <v>0</v>
      </c>
    </row>
    <row r="2784" spans="1:8" x14ac:dyDescent="0.3">
      <c r="A2784" t="s">
        <v>690</v>
      </c>
      <c r="B2784" t="s">
        <v>77</v>
      </c>
      <c r="C2784" t="s">
        <v>84</v>
      </c>
      <c r="D2784" t="s">
        <v>689</v>
      </c>
      <c r="E2784" t="s">
        <v>769</v>
      </c>
      <c r="F2784">
        <v>4</v>
      </c>
      <c r="G2784" s="308">
        <f>'BECA SUPERIOR'!P62</f>
        <v>15.12</v>
      </c>
      <c r="H2784" s="308">
        <f>'BECA SUPERIOR'!Q62</f>
        <v>37800</v>
      </c>
    </row>
    <row r="2785" spans="1:8" x14ac:dyDescent="0.3">
      <c r="A2785" t="s">
        <v>690</v>
      </c>
      <c r="B2785" t="s">
        <v>77</v>
      </c>
      <c r="C2785" t="s">
        <v>84</v>
      </c>
      <c r="D2785" t="s">
        <v>689</v>
      </c>
      <c r="E2785" t="s">
        <v>770</v>
      </c>
      <c r="F2785">
        <v>5</v>
      </c>
      <c r="G2785" s="308">
        <f>'BECA SUPERIOR'!S62</f>
        <v>0</v>
      </c>
      <c r="H2785" s="308">
        <f>'BECA SUPERIOR'!T62</f>
        <v>0</v>
      </c>
    </row>
    <row r="2786" spans="1:8" x14ac:dyDescent="0.3">
      <c r="A2786" t="s">
        <v>690</v>
      </c>
      <c r="B2786" t="s">
        <v>77</v>
      </c>
      <c r="C2786" t="s">
        <v>84</v>
      </c>
      <c r="D2786" t="s">
        <v>689</v>
      </c>
      <c r="E2786" t="s">
        <v>771</v>
      </c>
      <c r="F2786">
        <v>6</v>
      </c>
      <c r="G2786" s="308">
        <f>'BECA SUPERIOR'!V62</f>
        <v>0</v>
      </c>
      <c r="H2786" s="308">
        <f>'BECA SUPERIOR'!W62</f>
        <v>0</v>
      </c>
    </row>
    <row r="2787" spans="1:8" x14ac:dyDescent="0.3">
      <c r="A2787" t="s">
        <v>690</v>
      </c>
      <c r="B2787" t="s">
        <v>77</v>
      </c>
      <c r="C2787" t="s">
        <v>84</v>
      </c>
      <c r="D2787" t="s">
        <v>689</v>
      </c>
      <c r="E2787" t="s">
        <v>772</v>
      </c>
      <c r="F2787">
        <v>7</v>
      </c>
      <c r="G2787" s="308">
        <f>'BECA SUPERIOR'!Y62</f>
        <v>0</v>
      </c>
      <c r="H2787" s="308">
        <f>'BECA SUPERIOR'!Z62</f>
        <v>0</v>
      </c>
    </row>
    <row r="2788" spans="1:8" x14ac:dyDescent="0.3">
      <c r="A2788" t="s">
        <v>690</v>
      </c>
      <c r="B2788" t="s">
        <v>77</v>
      </c>
      <c r="C2788" t="s">
        <v>85</v>
      </c>
      <c r="D2788" t="s">
        <v>689</v>
      </c>
      <c r="E2788" t="s">
        <v>766</v>
      </c>
      <c r="F2788">
        <v>1</v>
      </c>
      <c r="G2788" s="308">
        <f>'BECA SUPERIOR'!G63</f>
        <v>0</v>
      </c>
      <c r="H2788" s="308">
        <f>'BECA SUPERIOR'!H63</f>
        <v>0</v>
      </c>
    </row>
    <row r="2789" spans="1:8" x14ac:dyDescent="0.3">
      <c r="A2789" t="s">
        <v>690</v>
      </c>
      <c r="B2789" t="s">
        <v>77</v>
      </c>
      <c r="C2789" t="s">
        <v>85</v>
      </c>
      <c r="D2789" t="s">
        <v>689</v>
      </c>
      <c r="E2789" t="s">
        <v>767</v>
      </c>
      <c r="F2789">
        <v>2</v>
      </c>
      <c r="G2789" s="308">
        <f>'BECA SUPERIOR'!J63</f>
        <v>0</v>
      </c>
      <c r="H2789" s="308">
        <f>'BECA SUPERIOR'!K63</f>
        <v>0</v>
      </c>
    </row>
    <row r="2790" spans="1:8" x14ac:dyDescent="0.3">
      <c r="A2790" t="s">
        <v>690</v>
      </c>
      <c r="B2790" t="s">
        <v>77</v>
      </c>
      <c r="C2790" t="s">
        <v>85</v>
      </c>
      <c r="D2790" t="s">
        <v>689</v>
      </c>
      <c r="E2790" t="s">
        <v>768</v>
      </c>
      <c r="F2790">
        <v>3</v>
      </c>
      <c r="G2790" s="308">
        <f>'BECA SUPERIOR'!M63</f>
        <v>0</v>
      </c>
      <c r="H2790" s="308">
        <f>'BECA SUPERIOR'!N63</f>
        <v>0</v>
      </c>
    </row>
    <row r="2791" spans="1:8" x14ac:dyDescent="0.3">
      <c r="A2791" t="s">
        <v>690</v>
      </c>
      <c r="B2791" t="s">
        <v>77</v>
      </c>
      <c r="C2791" t="s">
        <v>85</v>
      </c>
      <c r="D2791" t="s">
        <v>689</v>
      </c>
      <c r="E2791" t="s">
        <v>769</v>
      </c>
      <c r="F2791">
        <v>4</v>
      </c>
      <c r="G2791" s="308">
        <f>'BECA SUPERIOR'!P63</f>
        <v>5.76</v>
      </c>
      <c r="H2791" s="308">
        <f>'BECA SUPERIOR'!Q63</f>
        <v>14400</v>
      </c>
    </row>
    <row r="2792" spans="1:8" x14ac:dyDescent="0.3">
      <c r="A2792" t="s">
        <v>690</v>
      </c>
      <c r="B2792" t="s">
        <v>77</v>
      </c>
      <c r="C2792" t="s">
        <v>85</v>
      </c>
      <c r="D2792" t="s">
        <v>689</v>
      </c>
      <c r="E2792" t="s">
        <v>770</v>
      </c>
      <c r="F2792">
        <v>5</v>
      </c>
      <c r="G2792" s="308">
        <f>'BECA SUPERIOR'!S63</f>
        <v>0</v>
      </c>
      <c r="H2792" s="308">
        <f>'BECA SUPERIOR'!T63</f>
        <v>0</v>
      </c>
    </row>
    <row r="2793" spans="1:8" x14ac:dyDescent="0.3">
      <c r="A2793" t="s">
        <v>690</v>
      </c>
      <c r="B2793" t="s">
        <v>77</v>
      </c>
      <c r="C2793" t="s">
        <v>85</v>
      </c>
      <c r="D2793" t="s">
        <v>689</v>
      </c>
      <c r="E2793" t="s">
        <v>771</v>
      </c>
      <c r="F2793">
        <v>6</v>
      </c>
      <c r="G2793" s="308">
        <f>'BECA SUPERIOR'!V63</f>
        <v>0</v>
      </c>
      <c r="H2793" s="308">
        <f>'BECA SUPERIOR'!W63</f>
        <v>0</v>
      </c>
    </row>
    <row r="2794" spans="1:8" x14ac:dyDescent="0.3">
      <c r="A2794" t="s">
        <v>690</v>
      </c>
      <c r="B2794" t="s">
        <v>77</v>
      </c>
      <c r="C2794" t="s">
        <v>85</v>
      </c>
      <c r="D2794" t="s">
        <v>689</v>
      </c>
      <c r="E2794" t="s">
        <v>772</v>
      </c>
      <c r="F2794">
        <v>7</v>
      </c>
      <c r="G2794" s="308">
        <f>'BECA SUPERIOR'!Y63</f>
        <v>0</v>
      </c>
      <c r="H2794" s="308">
        <f>'BECA SUPERIOR'!Z63</f>
        <v>0</v>
      </c>
    </row>
    <row r="2795" spans="1:8" x14ac:dyDescent="0.3">
      <c r="A2795" t="s">
        <v>690</v>
      </c>
      <c r="B2795" t="s">
        <v>86</v>
      </c>
      <c r="C2795" t="s">
        <v>86</v>
      </c>
      <c r="D2795" t="s">
        <v>689</v>
      </c>
      <c r="E2795" t="s">
        <v>766</v>
      </c>
      <c r="F2795">
        <v>1</v>
      </c>
      <c r="G2795" s="308">
        <f>'BECA SUPERIOR'!G64</f>
        <v>0</v>
      </c>
      <c r="H2795" s="308">
        <f>'BECA SUPERIOR'!H64</f>
        <v>0</v>
      </c>
    </row>
    <row r="2796" spans="1:8" x14ac:dyDescent="0.3">
      <c r="A2796" t="s">
        <v>690</v>
      </c>
      <c r="B2796" t="s">
        <v>86</v>
      </c>
      <c r="C2796" t="s">
        <v>86</v>
      </c>
      <c r="D2796" t="s">
        <v>689</v>
      </c>
      <c r="E2796" t="s">
        <v>767</v>
      </c>
      <c r="F2796">
        <v>2</v>
      </c>
      <c r="G2796" s="308">
        <f>'BECA SUPERIOR'!J64</f>
        <v>0</v>
      </c>
      <c r="H2796" s="308">
        <f>'BECA SUPERIOR'!K64</f>
        <v>0</v>
      </c>
    </row>
    <row r="2797" spans="1:8" x14ac:dyDescent="0.3">
      <c r="A2797" t="s">
        <v>690</v>
      </c>
      <c r="B2797" t="s">
        <v>86</v>
      </c>
      <c r="C2797" t="s">
        <v>86</v>
      </c>
      <c r="D2797" t="s">
        <v>689</v>
      </c>
      <c r="E2797" t="s">
        <v>768</v>
      </c>
      <c r="F2797">
        <v>3</v>
      </c>
      <c r="G2797" s="308">
        <f>'BECA SUPERIOR'!M64</f>
        <v>0</v>
      </c>
      <c r="H2797" s="308">
        <f>'BECA SUPERIOR'!N64</f>
        <v>0</v>
      </c>
    </row>
    <row r="2798" spans="1:8" x14ac:dyDescent="0.3">
      <c r="A2798" t="s">
        <v>690</v>
      </c>
      <c r="B2798" t="s">
        <v>86</v>
      </c>
      <c r="C2798" t="s">
        <v>86</v>
      </c>
      <c r="D2798" t="s">
        <v>689</v>
      </c>
      <c r="E2798" t="s">
        <v>769</v>
      </c>
      <c r="F2798">
        <v>4</v>
      </c>
      <c r="G2798" s="308">
        <f>'BECA SUPERIOR'!P64</f>
        <v>7.92</v>
      </c>
      <c r="H2798" s="308">
        <f>'BECA SUPERIOR'!Q64</f>
        <v>19800</v>
      </c>
    </row>
    <row r="2799" spans="1:8" x14ac:dyDescent="0.3">
      <c r="A2799" t="s">
        <v>690</v>
      </c>
      <c r="B2799" t="s">
        <v>86</v>
      </c>
      <c r="C2799" t="s">
        <v>86</v>
      </c>
      <c r="D2799" t="s">
        <v>689</v>
      </c>
      <c r="E2799" t="s">
        <v>770</v>
      </c>
      <c r="F2799">
        <v>5</v>
      </c>
      <c r="G2799" s="308">
        <f>'BECA SUPERIOR'!S64</f>
        <v>0</v>
      </c>
      <c r="H2799" s="308">
        <f>'BECA SUPERIOR'!T64</f>
        <v>0</v>
      </c>
    </row>
    <row r="2800" spans="1:8" x14ac:dyDescent="0.3">
      <c r="A2800" t="s">
        <v>690</v>
      </c>
      <c r="B2800" t="s">
        <v>86</v>
      </c>
      <c r="C2800" t="s">
        <v>86</v>
      </c>
      <c r="D2800" t="s">
        <v>689</v>
      </c>
      <c r="E2800" t="s">
        <v>771</v>
      </c>
      <c r="F2800">
        <v>6</v>
      </c>
      <c r="G2800" s="308">
        <f>'BECA SUPERIOR'!V64</f>
        <v>0</v>
      </c>
      <c r="H2800" s="308">
        <f>'BECA SUPERIOR'!W64</f>
        <v>0</v>
      </c>
    </row>
    <row r="2801" spans="1:8" x14ac:dyDescent="0.3">
      <c r="A2801" t="s">
        <v>690</v>
      </c>
      <c r="B2801" t="s">
        <v>86</v>
      </c>
      <c r="C2801" t="s">
        <v>86</v>
      </c>
      <c r="D2801" t="s">
        <v>689</v>
      </c>
      <c r="E2801" t="s">
        <v>772</v>
      </c>
      <c r="F2801">
        <v>7</v>
      </c>
      <c r="G2801" s="308">
        <f>'BECA SUPERIOR'!Y64</f>
        <v>0</v>
      </c>
      <c r="H2801" s="308">
        <f>'BECA SUPERIOR'!Z64</f>
        <v>0</v>
      </c>
    </row>
    <row r="2802" spans="1:8" x14ac:dyDescent="0.3">
      <c r="A2802" t="s">
        <v>690</v>
      </c>
      <c r="B2802" t="s">
        <v>86</v>
      </c>
      <c r="C2802" t="s">
        <v>87</v>
      </c>
      <c r="D2802" t="s">
        <v>689</v>
      </c>
      <c r="E2802" t="s">
        <v>766</v>
      </c>
      <c r="F2802">
        <v>1</v>
      </c>
      <c r="G2802" s="308">
        <f>'BECA SUPERIOR'!G65</f>
        <v>0</v>
      </c>
      <c r="H2802" s="308">
        <f>'BECA SUPERIOR'!H65</f>
        <v>0</v>
      </c>
    </row>
    <row r="2803" spans="1:8" x14ac:dyDescent="0.3">
      <c r="A2803" t="s">
        <v>690</v>
      </c>
      <c r="B2803" t="s">
        <v>86</v>
      </c>
      <c r="C2803" t="s">
        <v>87</v>
      </c>
      <c r="D2803" t="s">
        <v>689</v>
      </c>
      <c r="E2803" t="s">
        <v>767</v>
      </c>
      <c r="F2803">
        <v>2</v>
      </c>
      <c r="G2803" s="308">
        <f>'BECA SUPERIOR'!J65</f>
        <v>0</v>
      </c>
      <c r="H2803" s="308">
        <f>'BECA SUPERIOR'!K65</f>
        <v>0</v>
      </c>
    </row>
    <row r="2804" spans="1:8" x14ac:dyDescent="0.3">
      <c r="A2804" t="s">
        <v>690</v>
      </c>
      <c r="B2804" t="s">
        <v>86</v>
      </c>
      <c r="C2804" t="s">
        <v>87</v>
      </c>
      <c r="D2804" t="s">
        <v>689</v>
      </c>
      <c r="E2804" t="s">
        <v>768</v>
      </c>
      <c r="F2804">
        <v>3</v>
      </c>
      <c r="G2804" s="308">
        <f>'BECA SUPERIOR'!M65</f>
        <v>0</v>
      </c>
      <c r="H2804" s="308">
        <f>'BECA SUPERIOR'!N65</f>
        <v>0</v>
      </c>
    </row>
    <row r="2805" spans="1:8" x14ac:dyDescent="0.3">
      <c r="A2805" t="s">
        <v>690</v>
      </c>
      <c r="B2805" t="s">
        <v>86</v>
      </c>
      <c r="C2805" t="s">
        <v>87</v>
      </c>
      <c r="D2805" t="s">
        <v>689</v>
      </c>
      <c r="E2805" t="s">
        <v>769</v>
      </c>
      <c r="F2805">
        <v>4</v>
      </c>
      <c r="G2805" s="308">
        <f>'BECA SUPERIOR'!P65</f>
        <v>1.44</v>
      </c>
      <c r="H2805" s="308">
        <f>'BECA SUPERIOR'!Q65</f>
        <v>3600</v>
      </c>
    </row>
    <row r="2806" spans="1:8" x14ac:dyDescent="0.3">
      <c r="A2806" t="s">
        <v>690</v>
      </c>
      <c r="B2806" t="s">
        <v>86</v>
      </c>
      <c r="C2806" t="s">
        <v>87</v>
      </c>
      <c r="D2806" t="s">
        <v>689</v>
      </c>
      <c r="E2806" t="s">
        <v>770</v>
      </c>
      <c r="F2806">
        <v>5</v>
      </c>
      <c r="G2806" s="308">
        <f>'BECA SUPERIOR'!S65</f>
        <v>0</v>
      </c>
      <c r="H2806" s="308">
        <f>'BECA SUPERIOR'!T65</f>
        <v>0</v>
      </c>
    </row>
    <row r="2807" spans="1:8" x14ac:dyDescent="0.3">
      <c r="A2807" t="s">
        <v>690</v>
      </c>
      <c r="B2807" t="s">
        <v>86</v>
      </c>
      <c r="C2807" t="s">
        <v>87</v>
      </c>
      <c r="D2807" t="s">
        <v>689</v>
      </c>
      <c r="E2807" t="s">
        <v>771</v>
      </c>
      <c r="F2807">
        <v>6</v>
      </c>
      <c r="G2807" s="308">
        <f>'BECA SUPERIOR'!V65</f>
        <v>0</v>
      </c>
      <c r="H2807" s="308">
        <f>'BECA SUPERIOR'!W65</f>
        <v>0</v>
      </c>
    </row>
    <row r="2808" spans="1:8" x14ac:dyDescent="0.3">
      <c r="A2808" t="s">
        <v>690</v>
      </c>
      <c r="B2808" t="s">
        <v>86</v>
      </c>
      <c r="C2808" t="s">
        <v>87</v>
      </c>
      <c r="D2808" t="s">
        <v>689</v>
      </c>
      <c r="E2808" t="s">
        <v>772</v>
      </c>
      <c r="F2808">
        <v>7</v>
      </c>
      <c r="G2808" s="308">
        <f>'BECA SUPERIOR'!Y65</f>
        <v>0</v>
      </c>
      <c r="H2808" s="308">
        <f>'BECA SUPERIOR'!Z65</f>
        <v>0</v>
      </c>
    </row>
    <row r="2809" spans="1:8" x14ac:dyDescent="0.3">
      <c r="A2809" t="s">
        <v>690</v>
      </c>
      <c r="B2809" t="s">
        <v>86</v>
      </c>
      <c r="C2809" t="s">
        <v>88</v>
      </c>
      <c r="D2809" t="s">
        <v>689</v>
      </c>
      <c r="E2809" t="s">
        <v>766</v>
      </c>
      <c r="F2809">
        <v>1</v>
      </c>
      <c r="G2809" s="308">
        <f>'BECA SUPERIOR'!G66</f>
        <v>0</v>
      </c>
      <c r="H2809" s="308">
        <f>'BECA SUPERIOR'!H66</f>
        <v>0</v>
      </c>
    </row>
    <row r="2810" spans="1:8" x14ac:dyDescent="0.3">
      <c r="A2810" t="s">
        <v>690</v>
      </c>
      <c r="B2810" t="s">
        <v>86</v>
      </c>
      <c r="C2810" t="s">
        <v>88</v>
      </c>
      <c r="D2810" t="s">
        <v>689</v>
      </c>
      <c r="E2810" t="s">
        <v>767</v>
      </c>
      <c r="F2810">
        <v>2</v>
      </c>
      <c r="G2810" s="308">
        <f>'BECA SUPERIOR'!J66</f>
        <v>0</v>
      </c>
      <c r="H2810" s="308">
        <f>'BECA SUPERIOR'!K66</f>
        <v>0</v>
      </c>
    </row>
    <row r="2811" spans="1:8" x14ac:dyDescent="0.3">
      <c r="A2811" t="s">
        <v>690</v>
      </c>
      <c r="B2811" t="s">
        <v>86</v>
      </c>
      <c r="C2811" t="s">
        <v>88</v>
      </c>
      <c r="D2811" t="s">
        <v>689</v>
      </c>
      <c r="E2811" t="s">
        <v>768</v>
      </c>
      <c r="F2811">
        <v>3</v>
      </c>
      <c r="G2811" s="308">
        <f>'BECA SUPERIOR'!M66</f>
        <v>0</v>
      </c>
      <c r="H2811" s="308">
        <f>'BECA SUPERIOR'!N66</f>
        <v>0</v>
      </c>
    </row>
    <row r="2812" spans="1:8" x14ac:dyDescent="0.3">
      <c r="A2812" t="s">
        <v>690</v>
      </c>
      <c r="B2812" t="s">
        <v>86</v>
      </c>
      <c r="C2812" t="s">
        <v>88</v>
      </c>
      <c r="D2812" t="s">
        <v>689</v>
      </c>
      <c r="E2812" t="s">
        <v>769</v>
      </c>
      <c r="F2812">
        <v>4</v>
      </c>
      <c r="G2812" s="308">
        <f>'BECA SUPERIOR'!P66</f>
        <v>2.16</v>
      </c>
      <c r="H2812" s="308">
        <f>'BECA SUPERIOR'!Q66</f>
        <v>5400</v>
      </c>
    </row>
    <row r="2813" spans="1:8" x14ac:dyDescent="0.3">
      <c r="A2813" t="s">
        <v>690</v>
      </c>
      <c r="B2813" t="s">
        <v>86</v>
      </c>
      <c r="C2813" t="s">
        <v>88</v>
      </c>
      <c r="D2813" t="s">
        <v>689</v>
      </c>
      <c r="E2813" t="s">
        <v>770</v>
      </c>
      <c r="F2813">
        <v>5</v>
      </c>
      <c r="G2813" s="308">
        <f>'BECA SUPERIOR'!S66</f>
        <v>0</v>
      </c>
      <c r="H2813" s="308">
        <f>'BECA SUPERIOR'!T66</f>
        <v>0</v>
      </c>
    </row>
    <row r="2814" spans="1:8" x14ac:dyDescent="0.3">
      <c r="A2814" t="s">
        <v>690</v>
      </c>
      <c r="B2814" t="s">
        <v>86</v>
      </c>
      <c r="C2814" t="s">
        <v>88</v>
      </c>
      <c r="D2814" t="s">
        <v>689</v>
      </c>
      <c r="E2814" t="s">
        <v>771</v>
      </c>
      <c r="F2814">
        <v>6</v>
      </c>
      <c r="G2814" s="308">
        <f>'BECA SUPERIOR'!V66</f>
        <v>0</v>
      </c>
      <c r="H2814" s="308">
        <f>'BECA SUPERIOR'!W66</f>
        <v>0</v>
      </c>
    </row>
    <row r="2815" spans="1:8" x14ac:dyDescent="0.3">
      <c r="A2815" t="s">
        <v>690</v>
      </c>
      <c r="B2815" t="s">
        <v>86</v>
      </c>
      <c r="C2815" t="s">
        <v>88</v>
      </c>
      <c r="D2815" t="s">
        <v>689</v>
      </c>
      <c r="E2815" t="s">
        <v>772</v>
      </c>
      <c r="F2815">
        <v>7</v>
      </c>
      <c r="G2815" s="308">
        <f>'BECA SUPERIOR'!Y66</f>
        <v>0</v>
      </c>
      <c r="H2815" s="308">
        <f>'BECA SUPERIOR'!Z66</f>
        <v>0</v>
      </c>
    </row>
    <row r="2816" spans="1:8" x14ac:dyDescent="0.3">
      <c r="A2816" t="s">
        <v>690</v>
      </c>
      <c r="B2816" t="s">
        <v>86</v>
      </c>
      <c r="C2816" t="s">
        <v>89</v>
      </c>
      <c r="D2816" t="s">
        <v>689</v>
      </c>
      <c r="E2816" t="s">
        <v>766</v>
      </c>
      <c r="F2816">
        <v>1</v>
      </c>
      <c r="G2816" s="308">
        <f>'BECA SUPERIOR'!G67</f>
        <v>0</v>
      </c>
      <c r="H2816" s="308">
        <f>'BECA SUPERIOR'!H67</f>
        <v>0</v>
      </c>
    </row>
    <row r="2817" spans="1:8" x14ac:dyDescent="0.3">
      <c r="A2817" t="s">
        <v>690</v>
      </c>
      <c r="B2817" t="s">
        <v>86</v>
      </c>
      <c r="C2817" t="s">
        <v>89</v>
      </c>
      <c r="D2817" t="s">
        <v>689</v>
      </c>
      <c r="E2817" t="s">
        <v>767</v>
      </c>
      <c r="F2817">
        <v>2</v>
      </c>
      <c r="G2817" s="308">
        <f>'BECA SUPERIOR'!J67</f>
        <v>0</v>
      </c>
      <c r="H2817" s="308">
        <f>'BECA SUPERIOR'!K67</f>
        <v>0</v>
      </c>
    </row>
    <row r="2818" spans="1:8" x14ac:dyDescent="0.3">
      <c r="A2818" t="s">
        <v>690</v>
      </c>
      <c r="B2818" t="s">
        <v>86</v>
      </c>
      <c r="C2818" t="s">
        <v>89</v>
      </c>
      <c r="D2818" t="s">
        <v>689</v>
      </c>
      <c r="E2818" t="s">
        <v>768</v>
      </c>
      <c r="F2818">
        <v>3</v>
      </c>
      <c r="G2818" s="308">
        <f>'BECA SUPERIOR'!M67</f>
        <v>0</v>
      </c>
      <c r="H2818" s="308">
        <f>'BECA SUPERIOR'!N67</f>
        <v>0</v>
      </c>
    </row>
    <row r="2819" spans="1:8" x14ac:dyDescent="0.3">
      <c r="A2819" t="s">
        <v>690</v>
      </c>
      <c r="B2819" t="s">
        <v>86</v>
      </c>
      <c r="C2819" t="s">
        <v>89</v>
      </c>
      <c r="D2819" t="s">
        <v>689</v>
      </c>
      <c r="E2819" t="s">
        <v>769</v>
      </c>
      <c r="F2819">
        <v>4</v>
      </c>
      <c r="G2819" s="308">
        <f>'BECA SUPERIOR'!P67</f>
        <v>5.76</v>
      </c>
      <c r="H2819" s="308">
        <f>'BECA SUPERIOR'!Q67</f>
        <v>14400</v>
      </c>
    </row>
    <row r="2820" spans="1:8" x14ac:dyDescent="0.3">
      <c r="A2820" t="s">
        <v>690</v>
      </c>
      <c r="B2820" t="s">
        <v>86</v>
      </c>
      <c r="C2820" t="s">
        <v>89</v>
      </c>
      <c r="D2820" t="s">
        <v>689</v>
      </c>
      <c r="E2820" t="s">
        <v>770</v>
      </c>
      <c r="F2820">
        <v>5</v>
      </c>
      <c r="G2820" s="308">
        <f>'BECA SUPERIOR'!S67</f>
        <v>0</v>
      </c>
      <c r="H2820" s="308">
        <f>'BECA SUPERIOR'!T67</f>
        <v>0</v>
      </c>
    </row>
    <row r="2821" spans="1:8" x14ac:dyDescent="0.3">
      <c r="A2821" t="s">
        <v>690</v>
      </c>
      <c r="B2821" t="s">
        <v>86</v>
      </c>
      <c r="C2821" t="s">
        <v>89</v>
      </c>
      <c r="D2821" t="s">
        <v>689</v>
      </c>
      <c r="E2821" t="s">
        <v>771</v>
      </c>
      <c r="F2821">
        <v>6</v>
      </c>
      <c r="G2821" s="308">
        <f>'BECA SUPERIOR'!V67</f>
        <v>0</v>
      </c>
      <c r="H2821" s="308">
        <f>'BECA SUPERIOR'!W67</f>
        <v>0</v>
      </c>
    </row>
    <row r="2822" spans="1:8" x14ac:dyDescent="0.3">
      <c r="A2822" t="s">
        <v>690</v>
      </c>
      <c r="B2822" t="s">
        <v>86</v>
      </c>
      <c r="C2822" t="s">
        <v>89</v>
      </c>
      <c r="D2822" t="s">
        <v>689</v>
      </c>
      <c r="E2822" t="s">
        <v>772</v>
      </c>
      <c r="F2822">
        <v>7</v>
      </c>
      <c r="G2822" s="308">
        <f>'BECA SUPERIOR'!Y67</f>
        <v>0</v>
      </c>
      <c r="H2822" s="308">
        <f>'BECA SUPERIOR'!Z67</f>
        <v>0</v>
      </c>
    </row>
    <row r="2823" spans="1:8" x14ac:dyDescent="0.3">
      <c r="A2823" t="s">
        <v>690</v>
      </c>
      <c r="B2823" t="s">
        <v>86</v>
      </c>
      <c r="C2823" t="s">
        <v>90</v>
      </c>
      <c r="D2823" t="s">
        <v>689</v>
      </c>
      <c r="E2823" t="s">
        <v>766</v>
      </c>
      <c r="F2823">
        <v>1</v>
      </c>
      <c r="G2823" s="308">
        <f>'BECA SUPERIOR'!G68</f>
        <v>0</v>
      </c>
      <c r="H2823" s="308">
        <f>'BECA SUPERIOR'!H68</f>
        <v>0</v>
      </c>
    </row>
    <row r="2824" spans="1:8" x14ac:dyDescent="0.3">
      <c r="A2824" t="s">
        <v>690</v>
      </c>
      <c r="B2824" t="s">
        <v>86</v>
      </c>
      <c r="C2824" t="s">
        <v>90</v>
      </c>
      <c r="D2824" t="s">
        <v>689</v>
      </c>
      <c r="E2824" t="s">
        <v>767</v>
      </c>
      <c r="F2824">
        <v>2</v>
      </c>
      <c r="G2824" s="308">
        <f>'BECA SUPERIOR'!J68</f>
        <v>0</v>
      </c>
      <c r="H2824" s="308">
        <f>'BECA SUPERIOR'!K68</f>
        <v>0</v>
      </c>
    </row>
    <row r="2825" spans="1:8" x14ac:dyDescent="0.3">
      <c r="A2825" t="s">
        <v>690</v>
      </c>
      <c r="B2825" t="s">
        <v>86</v>
      </c>
      <c r="C2825" t="s">
        <v>90</v>
      </c>
      <c r="D2825" t="s">
        <v>689</v>
      </c>
      <c r="E2825" t="s">
        <v>768</v>
      </c>
      <c r="F2825">
        <v>3</v>
      </c>
      <c r="G2825" s="308">
        <f>'BECA SUPERIOR'!M68</f>
        <v>0</v>
      </c>
      <c r="H2825" s="308">
        <f>'BECA SUPERIOR'!N68</f>
        <v>0</v>
      </c>
    </row>
    <row r="2826" spans="1:8" x14ac:dyDescent="0.3">
      <c r="A2826" t="s">
        <v>690</v>
      </c>
      <c r="B2826" t="s">
        <v>86</v>
      </c>
      <c r="C2826" t="s">
        <v>90</v>
      </c>
      <c r="D2826" t="s">
        <v>689</v>
      </c>
      <c r="E2826" t="s">
        <v>769</v>
      </c>
      <c r="F2826">
        <v>4</v>
      </c>
      <c r="G2826" s="308">
        <f>'BECA SUPERIOR'!P68</f>
        <v>5.76</v>
      </c>
      <c r="H2826" s="308">
        <f>'BECA SUPERIOR'!Q68</f>
        <v>14400</v>
      </c>
    </row>
    <row r="2827" spans="1:8" x14ac:dyDescent="0.3">
      <c r="A2827" t="s">
        <v>690</v>
      </c>
      <c r="B2827" t="s">
        <v>86</v>
      </c>
      <c r="C2827" t="s">
        <v>90</v>
      </c>
      <c r="D2827" t="s">
        <v>689</v>
      </c>
      <c r="E2827" t="s">
        <v>770</v>
      </c>
      <c r="F2827">
        <v>5</v>
      </c>
      <c r="G2827" s="308">
        <f>'BECA SUPERIOR'!S68</f>
        <v>0</v>
      </c>
      <c r="H2827" s="308">
        <f>'BECA SUPERIOR'!T68</f>
        <v>0</v>
      </c>
    </row>
    <row r="2828" spans="1:8" x14ac:dyDescent="0.3">
      <c r="A2828" t="s">
        <v>690</v>
      </c>
      <c r="B2828" t="s">
        <v>86</v>
      </c>
      <c r="C2828" t="s">
        <v>90</v>
      </c>
      <c r="D2828" t="s">
        <v>689</v>
      </c>
      <c r="E2828" t="s">
        <v>771</v>
      </c>
      <c r="F2828">
        <v>6</v>
      </c>
      <c r="G2828" s="308">
        <f>'BECA SUPERIOR'!V68</f>
        <v>0</v>
      </c>
      <c r="H2828" s="308">
        <f>'BECA SUPERIOR'!W68</f>
        <v>0</v>
      </c>
    </row>
    <row r="2829" spans="1:8" x14ac:dyDescent="0.3">
      <c r="A2829" t="s">
        <v>690</v>
      </c>
      <c r="B2829" t="s">
        <v>86</v>
      </c>
      <c r="C2829" t="s">
        <v>90</v>
      </c>
      <c r="D2829" t="s">
        <v>689</v>
      </c>
      <c r="E2829" t="s">
        <v>772</v>
      </c>
      <c r="F2829">
        <v>7</v>
      </c>
      <c r="G2829" s="308">
        <f>'BECA SUPERIOR'!Y68</f>
        <v>0</v>
      </c>
      <c r="H2829" s="308">
        <f>'BECA SUPERIOR'!Z68</f>
        <v>0</v>
      </c>
    </row>
    <row r="2830" spans="1:8" x14ac:dyDescent="0.3">
      <c r="A2830" t="s">
        <v>690</v>
      </c>
      <c r="B2830" t="s">
        <v>86</v>
      </c>
      <c r="C2830" t="s">
        <v>91</v>
      </c>
      <c r="D2830" t="s">
        <v>689</v>
      </c>
      <c r="E2830" t="s">
        <v>766</v>
      </c>
      <c r="F2830">
        <v>1</v>
      </c>
      <c r="G2830" s="308">
        <f>'BECA SUPERIOR'!G69</f>
        <v>0</v>
      </c>
      <c r="H2830" s="308">
        <f>'BECA SUPERIOR'!H69</f>
        <v>0</v>
      </c>
    </row>
    <row r="2831" spans="1:8" x14ac:dyDescent="0.3">
      <c r="A2831" t="s">
        <v>690</v>
      </c>
      <c r="B2831" t="s">
        <v>86</v>
      </c>
      <c r="C2831" t="s">
        <v>91</v>
      </c>
      <c r="D2831" t="s">
        <v>689</v>
      </c>
      <c r="E2831" t="s">
        <v>767</v>
      </c>
      <c r="F2831">
        <v>2</v>
      </c>
      <c r="G2831" s="308">
        <f>'BECA SUPERIOR'!J69</f>
        <v>0</v>
      </c>
      <c r="H2831" s="308">
        <f>'BECA SUPERIOR'!K69</f>
        <v>0</v>
      </c>
    </row>
    <row r="2832" spans="1:8" x14ac:dyDescent="0.3">
      <c r="A2832" t="s">
        <v>690</v>
      </c>
      <c r="B2832" t="s">
        <v>86</v>
      </c>
      <c r="C2832" t="s">
        <v>91</v>
      </c>
      <c r="D2832" t="s">
        <v>689</v>
      </c>
      <c r="E2832" t="s">
        <v>768</v>
      </c>
      <c r="F2832">
        <v>3</v>
      </c>
      <c r="G2832" s="308">
        <f>'BECA SUPERIOR'!M69</f>
        <v>0</v>
      </c>
      <c r="H2832" s="308">
        <f>'BECA SUPERIOR'!N69</f>
        <v>0</v>
      </c>
    </row>
    <row r="2833" spans="1:8" x14ac:dyDescent="0.3">
      <c r="A2833" t="s">
        <v>690</v>
      </c>
      <c r="B2833" t="s">
        <v>86</v>
      </c>
      <c r="C2833" t="s">
        <v>91</v>
      </c>
      <c r="D2833" t="s">
        <v>689</v>
      </c>
      <c r="E2833" t="s">
        <v>769</v>
      </c>
      <c r="F2833">
        <v>4</v>
      </c>
      <c r="G2833" s="308">
        <f>'BECA SUPERIOR'!P69</f>
        <v>10.8</v>
      </c>
      <c r="H2833" s="308">
        <f>'BECA SUPERIOR'!Q69</f>
        <v>27000</v>
      </c>
    </row>
    <row r="2834" spans="1:8" x14ac:dyDescent="0.3">
      <c r="A2834" t="s">
        <v>690</v>
      </c>
      <c r="B2834" t="s">
        <v>86</v>
      </c>
      <c r="C2834" t="s">
        <v>91</v>
      </c>
      <c r="D2834" t="s">
        <v>689</v>
      </c>
      <c r="E2834" t="s">
        <v>770</v>
      </c>
      <c r="F2834">
        <v>5</v>
      </c>
      <c r="G2834" s="308">
        <f>'BECA SUPERIOR'!S69</f>
        <v>0</v>
      </c>
      <c r="H2834" s="308">
        <f>'BECA SUPERIOR'!T69</f>
        <v>0</v>
      </c>
    </row>
    <row r="2835" spans="1:8" x14ac:dyDescent="0.3">
      <c r="A2835" t="s">
        <v>690</v>
      </c>
      <c r="B2835" t="s">
        <v>86</v>
      </c>
      <c r="C2835" t="s">
        <v>91</v>
      </c>
      <c r="D2835" t="s">
        <v>689</v>
      </c>
      <c r="E2835" t="s">
        <v>771</v>
      </c>
      <c r="F2835">
        <v>6</v>
      </c>
      <c r="G2835" s="308">
        <f>'BECA SUPERIOR'!V69</f>
        <v>0</v>
      </c>
      <c r="H2835" s="308">
        <f>'BECA SUPERIOR'!W69</f>
        <v>0</v>
      </c>
    </row>
    <row r="2836" spans="1:8" x14ac:dyDescent="0.3">
      <c r="A2836" t="s">
        <v>690</v>
      </c>
      <c r="B2836" t="s">
        <v>86</v>
      </c>
      <c r="C2836" t="s">
        <v>91</v>
      </c>
      <c r="D2836" t="s">
        <v>689</v>
      </c>
      <c r="E2836" t="s">
        <v>772</v>
      </c>
      <c r="F2836">
        <v>7</v>
      </c>
      <c r="G2836" s="308">
        <f>'BECA SUPERIOR'!Y69</f>
        <v>0</v>
      </c>
      <c r="H2836" s="308">
        <f>'BECA SUPERIOR'!Z69</f>
        <v>0</v>
      </c>
    </row>
    <row r="2837" spans="1:8" x14ac:dyDescent="0.3">
      <c r="A2837" t="s">
        <v>690</v>
      </c>
      <c r="B2837" t="s">
        <v>86</v>
      </c>
      <c r="C2837" t="s">
        <v>92</v>
      </c>
      <c r="D2837" t="s">
        <v>689</v>
      </c>
      <c r="E2837" t="s">
        <v>766</v>
      </c>
      <c r="F2837">
        <v>1</v>
      </c>
      <c r="G2837" s="308">
        <f>'BECA SUPERIOR'!G70</f>
        <v>0</v>
      </c>
      <c r="H2837" s="308">
        <f>'BECA SUPERIOR'!H70</f>
        <v>0</v>
      </c>
    </row>
    <row r="2838" spans="1:8" x14ac:dyDescent="0.3">
      <c r="A2838" t="s">
        <v>690</v>
      </c>
      <c r="B2838" t="s">
        <v>86</v>
      </c>
      <c r="C2838" t="s">
        <v>92</v>
      </c>
      <c r="D2838" t="s">
        <v>689</v>
      </c>
      <c r="E2838" t="s">
        <v>767</v>
      </c>
      <c r="F2838">
        <v>2</v>
      </c>
      <c r="G2838" s="308">
        <f>'BECA SUPERIOR'!J70</f>
        <v>0</v>
      </c>
      <c r="H2838" s="308">
        <f>'BECA SUPERIOR'!K70</f>
        <v>0</v>
      </c>
    </row>
    <row r="2839" spans="1:8" x14ac:dyDescent="0.3">
      <c r="A2839" t="s">
        <v>690</v>
      </c>
      <c r="B2839" t="s">
        <v>86</v>
      </c>
      <c r="C2839" t="s">
        <v>92</v>
      </c>
      <c r="D2839" t="s">
        <v>689</v>
      </c>
      <c r="E2839" t="s">
        <v>768</v>
      </c>
      <c r="F2839">
        <v>3</v>
      </c>
      <c r="G2839" s="308">
        <f>'BECA SUPERIOR'!M70</f>
        <v>0</v>
      </c>
      <c r="H2839" s="308">
        <f>'BECA SUPERIOR'!N70</f>
        <v>0</v>
      </c>
    </row>
    <row r="2840" spans="1:8" x14ac:dyDescent="0.3">
      <c r="A2840" t="s">
        <v>690</v>
      </c>
      <c r="B2840" t="s">
        <v>86</v>
      </c>
      <c r="C2840" t="s">
        <v>92</v>
      </c>
      <c r="D2840" t="s">
        <v>689</v>
      </c>
      <c r="E2840" t="s">
        <v>769</v>
      </c>
      <c r="F2840">
        <v>4</v>
      </c>
      <c r="G2840" s="308">
        <f>'BECA SUPERIOR'!P70</f>
        <v>5.04</v>
      </c>
      <c r="H2840" s="308">
        <f>'BECA SUPERIOR'!Q70</f>
        <v>12600</v>
      </c>
    </row>
    <row r="2841" spans="1:8" x14ac:dyDescent="0.3">
      <c r="A2841" t="s">
        <v>690</v>
      </c>
      <c r="B2841" t="s">
        <v>86</v>
      </c>
      <c r="C2841" t="s">
        <v>92</v>
      </c>
      <c r="D2841" t="s">
        <v>689</v>
      </c>
      <c r="E2841" t="s">
        <v>770</v>
      </c>
      <c r="F2841">
        <v>5</v>
      </c>
      <c r="G2841" s="308">
        <f>'BECA SUPERIOR'!S70</f>
        <v>0</v>
      </c>
      <c r="H2841" s="308">
        <f>'BECA SUPERIOR'!T70</f>
        <v>0</v>
      </c>
    </row>
    <row r="2842" spans="1:8" x14ac:dyDescent="0.3">
      <c r="A2842" t="s">
        <v>690</v>
      </c>
      <c r="B2842" t="s">
        <v>86</v>
      </c>
      <c r="C2842" t="s">
        <v>92</v>
      </c>
      <c r="D2842" t="s">
        <v>689</v>
      </c>
      <c r="E2842" t="s">
        <v>771</v>
      </c>
      <c r="F2842">
        <v>6</v>
      </c>
      <c r="G2842" s="308">
        <f>'BECA SUPERIOR'!V70</f>
        <v>0</v>
      </c>
      <c r="H2842" s="308">
        <f>'BECA SUPERIOR'!W70</f>
        <v>0</v>
      </c>
    </row>
    <row r="2843" spans="1:8" x14ac:dyDescent="0.3">
      <c r="A2843" t="s">
        <v>690</v>
      </c>
      <c r="B2843" t="s">
        <v>86</v>
      </c>
      <c r="C2843" t="s">
        <v>92</v>
      </c>
      <c r="D2843" t="s">
        <v>689</v>
      </c>
      <c r="E2843" t="s">
        <v>772</v>
      </c>
      <c r="F2843">
        <v>7</v>
      </c>
      <c r="G2843" s="308">
        <f>'BECA SUPERIOR'!Y70</f>
        <v>0</v>
      </c>
      <c r="H2843" s="308">
        <f>'BECA SUPERIOR'!Z70</f>
        <v>0</v>
      </c>
    </row>
    <row r="2844" spans="1:8" x14ac:dyDescent="0.3">
      <c r="A2844" t="s">
        <v>690</v>
      </c>
      <c r="B2844" t="s">
        <v>86</v>
      </c>
      <c r="C2844" t="s">
        <v>93</v>
      </c>
      <c r="D2844" t="s">
        <v>689</v>
      </c>
      <c r="E2844" t="s">
        <v>766</v>
      </c>
      <c r="F2844">
        <v>1</v>
      </c>
      <c r="G2844" s="308">
        <f>'BECA SUPERIOR'!G71</f>
        <v>0</v>
      </c>
      <c r="H2844" s="308">
        <f>'BECA SUPERIOR'!H71</f>
        <v>0</v>
      </c>
    </row>
    <row r="2845" spans="1:8" x14ac:dyDescent="0.3">
      <c r="A2845" t="s">
        <v>690</v>
      </c>
      <c r="B2845" t="s">
        <v>86</v>
      </c>
      <c r="C2845" t="s">
        <v>93</v>
      </c>
      <c r="D2845" t="s">
        <v>689</v>
      </c>
      <c r="E2845" t="s">
        <v>767</v>
      </c>
      <c r="F2845">
        <v>2</v>
      </c>
      <c r="G2845" s="308">
        <f>'BECA SUPERIOR'!J71</f>
        <v>0</v>
      </c>
      <c r="H2845" s="308">
        <f>'BECA SUPERIOR'!K71</f>
        <v>0</v>
      </c>
    </row>
    <row r="2846" spans="1:8" x14ac:dyDescent="0.3">
      <c r="A2846" t="s">
        <v>690</v>
      </c>
      <c r="B2846" t="s">
        <v>86</v>
      </c>
      <c r="C2846" t="s">
        <v>93</v>
      </c>
      <c r="D2846" t="s">
        <v>689</v>
      </c>
      <c r="E2846" t="s">
        <v>768</v>
      </c>
      <c r="F2846">
        <v>3</v>
      </c>
      <c r="G2846" s="308">
        <f>'BECA SUPERIOR'!M71</f>
        <v>0</v>
      </c>
      <c r="H2846" s="308">
        <f>'BECA SUPERIOR'!N71</f>
        <v>0</v>
      </c>
    </row>
    <row r="2847" spans="1:8" x14ac:dyDescent="0.3">
      <c r="A2847" t="s">
        <v>690</v>
      </c>
      <c r="B2847" t="s">
        <v>86</v>
      </c>
      <c r="C2847" t="s">
        <v>93</v>
      </c>
      <c r="D2847" t="s">
        <v>689</v>
      </c>
      <c r="E2847" t="s">
        <v>769</v>
      </c>
      <c r="F2847">
        <v>4</v>
      </c>
      <c r="G2847" s="308">
        <f>'BECA SUPERIOR'!P71</f>
        <v>6.48</v>
      </c>
      <c r="H2847" s="308">
        <f>'BECA SUPERIOR'!Q71</f>
        <v>16200</v>
      </c>
    </row>
    <row r="2848" spans="1:8" x14ac:dyDescent="0.3">
      <c r="A2848" t="s">
        <v>690</v>
      </c>
      <c r="B2848" t="s">
        <v>86</v>
      </c>
      <c r="C2848" t="s">
        <v>93</v>
      </c>
      <c r="D2848" t="s">
        <v>689</v>
      </c>
      <c r="E2848" t="s">
        <v>770</v>
      </c>
      <c r="F2848">
        <v>5</v>
      </c>
      <c r="G2848" s="308">
        <f>'BECA SUPERIOR'!S71</f>
        <v>0</v>
      </c>
      <c r="H2848" s="308">
        <f>'BECA SUPERIOR'!T71</f>
        <v>0</v>
      </c>
    </row>
    <row r="2849" spans="1:8" x14ac:dyDescent="0.3">
      <c r="A2849" t="s">
        <v>690</v>
      </c>
      <c r="B2849" t="s">
        <v>86</v>
      </c>
      <c r="C2849" t="s">
        <v>93</v>
      </c>
      <c r="D2849" t="s">
        <v>689</v>
      </c>
      <c r="E2849" t="s">
        <v>771</v>
      </c>
      <c r="F2849">
        <v>6</v>
      </c>
      <c r="G2849" s="308">
        <f>'BECA SUPERIOR'!V71</f>
        <v>0</v>
      </c>
      <c r="H2849" s="308">
        <f>'BECA SUPERIOR'!W71</f>
        <v>0</v>
      </c>
    </row>
    <row r="2850" spans="1:8" x14ac:dyDescent="0.3">
      <c r="A2850" t="s">
        <v>690</v>
      </c>
      <c r="B2850" t="s">
        <v>86</v>
      </c>
      <c r="C2850" t="s">
        <v>93</v>
      </c>
      <c r="D2850" t="s">
        <v>689</v>
      </c>
      <c r="E2850" t="s">
        <v>772</v>
      </c>
      <c r="F2850">
        <v>7</v>
      </c>
      <c r="G2850" s="308">
        <f>'BECA SUPERIOR'!Y71</f>
        <v>0</v>
      </c>
      <c r="H2850" s="308">
        <f>'BECA SUPERIOR'!Z71</f>
        <v>0</v>
      </c>
    </row>
    <row r="2851" spans="1:8" x14ac:dyDescent="0.3">
      <c r="A2851" t="s">
        <v>690</v>
      </c>
      <c r="B2851" t="s">
        <v>86</v>
      </c>
      <c r="C2851" t="s">
        <v>94</v>
      </c>
      <c r="D2851" t="s">
        <v>689</v>
      </c>
      <c r="E2851" t="s">
        <v>766</v>
      </c>
      <c r="F2851">
        <v>1</v>
      </c>
      <c r="G2851" s="308">
        <f>'BECA SUPERIOR'!G72</f>
        <v>0</v>
      </c>
      <c r="H2851" s="308">
        <f>'BECA SUPERIOR'!H72</f>
        <v>0</v>
      </c>
    </row>
    <row r="2852" spans="1:8" x14ac:dyDescent="0.3">
      <c r="A2852" t="s">
        <v>690</v>
      </c>
      <c r="B2852" t="s">
        <v>86</v>
      </c>
      <c r="C2852" t="s">
        <v>94</v>
      </c>
      <c r="D2852" t="s">
        <v>689</v>
      </c>
      <c r="E2852" t="s">
        <v>767</v>
      </c>
      <c r="F2852">
        <v>2</v>
      </c>
      <c r="G2852" s="308">
        <f>'BECA SUPERIOR'!J72</f>
        <v>0</v>
      </c>
      <c r="H2852" s="308">
        <f>'BECA SUPERIOR'!K72</f>
        <v>0</v>
      </c>
    </row>
    <row r="2853" spans="1:8" x14ac:dyDescent="0.3">
      <c r="A2853" t="s">
        <v>690</v>
      </c>
      <c r="B2853" t="s">
        <v>86</v>
      </c>
      <c r="C2853" t="s">
        <v>94</v>
      </c>
      <c r="D2853" t="s">
        <v>689</v>
      </c>
      <c r="E2853" t="s">
        <v>768</v>
      </c>
      <c r="F2853">
        <v>3</v>
      </c>
      <c r="G2853" s="308">
        <f>'BECA SUPERIOR'!M72</f>
        <v>0</v>
      </c>
      <c r="H2853" s="308">
        <f>'BECA SUPERIOR'!N72</f>
        <v>0</v>
      </c>
    </row>
    <row r="2854" spans="1:8" x14ac:dyDescent="0.3">
      <c r="A2854" t="s">
        <v>690</v>
      </c>
      <c r="B2854" t="s">
        <v>86</v>
      </c>
      <c r="C2854" t="s">
        <v>94</v>
      </c>
      <c r="D2854" t="s">
        <v>689</v>
      </c>
      <c r="E2854" t="s">
        <v>769</v>
      </c>
      <c r="F2854">
        <v>4</v>
      </c>
      <c r="G2854" s="308">
        <f>'BECA SUPERIOR'!P72</f>
        <v>5.76</v>
      </c>
      <c r="H2854" s="308">
        <f>'BECA SUPERIOR'!Q72</f>
        <v>14400</v>
      </c>
    </row>
    <row r="2855" spans="1:8" x14ac:dyDescent="0.3">
      <c r="A2855" t="s">
        <v>690</v>
      </c>
      <c r="B2855" t="s">
        <v>86</v>
      </c>
      <c r="C2855" t="s">
        <v>94</v>
      </c>
      <c r="D2855" t="s">
        <v>689</v>
      </c>
      <c r="E2855" t="s">
        <v>770</v>
      </c>
      <c r="F2855">
        <v>5</v>
      </c>
      <c r="G2855" s="308">
        <f>'BECA SUPERIOR'!S72</f>
        <v>0</v>
      </c>
      <c r="H2855" s="308">
        <f>'BECA SUPERIOR'!T72</f>
        <v>0</v>
      </c>
    </row>
    <row r="2856" spans="1:8" x14ac:dyDescent="0.3">
      <c r="A2856" t="s">
        <v>690</v>
      </c>
      <c r="B2856" t="s">
        <v>86</v>
      </c>
      <c r="C2856" t="s">
        <v>94</v>
      </c>
      <c r="D2856" t="s">
        <v>689</v>
      </c>
      <c r="E2856" t="s">
        <v>771</v>
      </c>
      <c r="F2856">
        <v>6</v>
      </c>
      <c r="G2856" s="308">
        <f>'BECA SUPERIOR'!V72</f>
        <v>0</v>
      </c>
      <c r="H2856" s="308">
        <f>'BECA SUPERIOR'!W72</f>
        <v>0</v>
      </c>
    </row>
    <row r="2857" spans="1:8" x14ac:dyDescent="0.3">
      <c r="A2857" t="s">
        <v>690</v>
      </c>
      <c r="B2857" t="s">
        <v>86</v>
      </c>
      <c r="C2857" t="s">
        <v>94</v>
      </c>
      <c r="D2857" t="s">
        <v>689</v>
      </c>
      <c r="E2857" t="s">
        <v>772</v>
      </c>
      <c r="F2857">
        <v>7</v>
      </c>
      <c r="G2857" s="308">
        <f>'BECA SUPERIOR'!Y72</f>
        <v>0</v>
      </c>
      <c r="H2857" s="308">
        <f>'BECA SUPERIOR'!Z72</f>
        <v>0</v>
      </c>
    </row>
    <row r="2858" spans="1:8" x14ac:dyDescent="0.3">
      <c r="A2858" t="s">
        <v>690</v>
      </c>
      <c r="B2858" t="s">
        <v>86</v>
      </c>
      <c r="C2858" t="s">
        <v>95</v>
      </c>
      <c r="D2858" t="s">
        <v>689</v>
      </c>
      <c r="E2858" t="s">
        <v>766</v>
      </c>
      <c r="F2858">
        <v>1</v>
      </c>
      <c r="G2858" s="308">
        <f>'BECA SUPERIOR'!G73</f>
        <v>0</v>
      </c>
      <c r="H2858" s="308">
        <f>'BECA SUPERIOR'!H73</f>
        <v>0</v>
      </c>
    </row>
    <row r="2859" spans="1:8" x14ac:dyDescent="0.3">
      <c r="A2859" t="s">
        <v>690</v>
      </c>
      <c r="B2859" t="s">
        <v>86</v>
      </c>
      <c r="C2859" t="s">
        <v>95</v>
      </c>
      <c r="D2859" t="s">
        <v>689</v>
      </c>
      <c r="E2859" t="s">
        <v>767</v>
      </c>
      <c r="F2859">
        <v>2</v>
      </c>
      <c r="G2859" s="308">
        <f>'BECA SUPERIOR'!J73</f>
        <v>0</v>
      </c>
      <c r="H2859" s="308">
        <f>'BECA SUPERIOR'!K73</f>
        <v>0</v>
      </c>
    </row>
    <row r="2860" spans="1:8" x14ac:dyDescent="0.3">
      <c r="A2860" t="s">
        <v>690</v>
      </c>
      <c r="B2860" t="s">
        <v>86</v>
      </c>
      <c r="C2860" t="s">
        <v>95</v>
      </c>
      <c r="D2860" t="s">
        <v>689</v>
      </c>
      <c r="E2860" t="s">
        <v>768</v>
      </c>
      <c r="F2860">
        <v>3</v>
      </c>
      <c r="G2860" s="308">
        <f>'BECA SUPERIOR'!M73</f>
        <v>0</v>
      </c>
      <c r="H2860" s="308">
        <f>'BECA SUPERIOR'!N73</f>
        <v>0</v>
      </c>
    </row>
    <row r="2861" spans="1:8" x14ac:dyDescent="0.3">
      <c r="A2861" t="s">
        <v>690</v>
      </c>
      <c r="B2861" t="s">
        <v>86</v>
      </c>
      <c r="C2861" t="s">
        <v>95</v>
      </c>
      <c r="D2861" t="s">
        <v>689</v>
      </c>
      <c r="E2861" t="s">
        <v>769</v>
      </c>
      <c r="F2861">
        <v>4</v>
      </c>
      <c r="G2861" s="308">
        <f>'BECA SUPERIOR'!P73</f>
        <v>8.64</v>
      </c>
      <c r="H2861" s="308">
        <f>'BECA SUPERIOR'!Q73</f>
        <v>21600</v>
      </c>
    </row>
    <row r="2862" spans="1:8" x14ac:dyDescent="0.3">
      <c r="A2862" t="s">
        <v>690</v>
      </c>
      <c r="B2862" t="s">
        <v>86</v>
      </c>
      <c r="C2862" t="s">
        <v>95</v>
      </c>
      <c r="D2862" t="s">
        <v>689</v>
      </c>
      <c r="E2862" t="s">
        <v>770</v>
      </c>
      <c r="F2862">
        <v>5</v>
      </c>
      <c r="G2862" s="308">
        <f>'BECA SUPERIOR'!S73</f>
        <v>0</v>
      </c>
      <c r="H2862" s="308">
        <f>'BECA SUPERIOR'!T73</f>
        <v>0</v>
      </c>
    </row>
    <row r="2863" spans="1:8" x14ac:dyDescent="0.3">
      <c r="A2863" t="s">
        <v>690</v>
      </c>
      <c r="B2863" t="s">
        <v>86</v>
      </c>
      <c r="C2863" t="s">
        <v>95</v>
      </c>
      <c r="D2863" t="s">
        <v>689</v>
      </c>
      <c r="E2863" t="s">
        <v>771</v>
      </c>
      <c r="F2863">
        <v>6</v>
      </c>
      <c r="G2863" s="308">
        <f>'BECA SUPERIOR'!V73</f>
        <v>0</v>
      </c>
      <c r="H2863" s="308">
        <f>'BECA SUPERIOR'!W73</f>
        <v>0</v>
      </c>
    </row>
    <row r="2864" spans="1:8" x14ac:dyDescent="0.3">
      <c r="A2864" t="s">
        <v>690</v>
      </c>
      <c r="B2864" t="s">
        <v>86</v>
      </c>
      <c r="C2864" t="s">
        <v>95</v>
      </c>
      <c r="D2864" t="s">
        <v>689</v>
      </c>
      <c r="E2864" t="s">
        <v>772</v>
      </c>
      <c r="F2864">
        <v>7</v>
      </c>
      <c r="G2864" s="308">
        <f>'BECA SUPERIOR'!Y73</f>
        <v>0</v>
      </c>
      <c r="H2864" s="308">
        <f>'BECA SUPERIOR'!Z73</f>
        <v>0</v>
      </c>
    </row>
    <row r="2865" spans="1:8" x14ac:dyDescent="0.3">
      <c r="A2865" t="s">
        <v>690</v>
      </c>
      <c r="B2865" t="s">
        <v>86</v>
      </c>
      <c r="C2865" t="s">
        <v>96</v>
      </c>
      <c r="D2865" t="s">
        <v>689</v>
      </c>
      <c r="E2865" t="s">
        <v>766</v>
      </c>
      <c r="F2865">
        <v>1</v>
      </c>
      <c r="G2865" s="308">
        <f>'BECA SUPERIOR'!G74</f>
        <v>0</v>
      </c>
      <c r="H2865" s="308">
        <f>'BECA SUPERIOR'!H74</f>
        <v>0</v>
      </c>
    </row>
    <row r="2866" spans="1:8" x14ac:dyDescent="0.3">
      <c r="A2866" t="s">
        <v>690</v>
      </c>
      <c r="B2866" t="s">
        <v>86</v>
      </c>
      <c r="C2866" t="s">
        <v>96</v>
      </c>
      <c r="D2866" t="s">
        <v>689</v>
      </c>
      <c r="E2866" t="s">
        <v>767</v>
      </c>
      <c r="F2866">
        <v>2</v>
      </c>
      <c r="G2866" s="308">
        <f>'BECA SUPERIOR'!J74</f>
        <v>0</v>
      </c>
      <c r="H2866" s="308">
        <f>'BECA SUPERIOR'!K74</f>
        <v>0</v>
      </c>
    </row>
    <row r="2867" spans="1:8" x14ac:dyDescent="0.3">
      <c r="A2867" t="s">
        <v>690</v>
      </c>
      <c r="B2867" t="s">
        <v>86</v>
      </c>
      <c r="C2867" t="s">
        <v>96</v>
      </c>
      <c r="D2867" t="s">
        <v>689</v>
      </c>
      <c r="E2867" t="s">
        <v>768</v>
      </c>
      <c r="F2867">
        <v>3</v>
      </c>
      <c r="G2867" s="308">
        <f>'BECA SUPERIOR'!M74</f>
        <v>0</v>
      </c>
      <c r="H2867" s="308">
        <f>'BECA SUPERIOR'!N74</f>
        <v>0</v>
      </c>
    </row>
    <row r="2868" spans="1:8" x14ac:dyDescent="0.3">
      <c r="A2868" t="s">
        <v>690</v>
      </c>
      <c r="B2868" t="s">
        <v>86</v>
      </c>
      <c r="C2868" t="s">
        <v>96</v>
      </c>
      <c r="D2868" t="s">
        <v>689</v>
      </c>
      <c r="E2868" t="s">
        <v>769</v>
      </c>
      <c r="F2868">
        <v>4</v>
      </c>
      <c r="G2868" s="308">
        <f>'BECA SUPERIOR'!P74</f>
        <v>7.92</v>
      </c>
      <c r="H2868" s="308">
        <f>'BECA SUPERIOR'!Q74</f>
        <v>19800</v>
      </c>
    </row>
    <row r="2869" spans="1:8" x14ac:dyDescent="0.3">
      <c r="A2869" t="s">
        <v>690</v>
      </c>
      <c r="B2869" t="s">
        <v>86</v>
      </c>
      <c r="C2869" t="s">
        <v>96</v>
      </c>
      <c r="D2869" t="s">
        <v>689</v>
      </c>
      <c r="E2869" t="s">
        <v>770</v>
      </c>
      <c r="F2869">
        <v>5</v>
      </c>
      <c r="G2869" s="308">
        <f>'BECA SUPERIOR'!S74</f>
        <v>0</v>
      </c>
      <c r="H2869" s="308">
        <f>'BECA SUPERIOR'!T74</f>
        <v>0</v>
      </c>
    </row>
    <row r="2870" spans="1:8" x14ac:dyDescent="0.3">
      <c r="A2870" t="s">
        <v>690</v>
      </c>
      <c r="B2870" t="s">
        <v>86</v>
      </c>
      <c r="C2870" t="s">
        <v>96</v>
      </c>
      <c r="D2870" t="s">
        <v>689</v>
      </c>
      <c r="E2870" t="s">
        <v>771</v>
      </c>
      <c r="F2870">
        <v>6</v>
      </c>
      <c r="G2870" s="308">
        <f>'BECA SUPERIOR'!V74</f>
        <v>0</v>
      </c>
      <c r="H2870" s="308">
        <f>'BECA SUPERIOR'!W74</f>
        <v>0</v>
      </c>
    </row>
    <row r="2871" spans="1:8" x14ac:dyDescent="0.3">
      <c r="A2871" t="s">
        <v>690</v>
      </c>
      <c r="B2871" t="s">
        <v>86</v>
      </c>
      <c r="C2871" t="s">
        <v>96</v>
      </c>
      <c r="D2871" t="s">
        <v>689</v>
      </c>
      <c r="E2871" t="s">
        <v>772</v>
      </c>
      <c r="F2871">
        <v>7</v>
      </c>
      <c r="G2871" s="308">
        <f>'BECA SUPERIOR'!Y74</f>
        <v>0</v>
      </c>
      <c r="H2871" s="308">
        <f>'BECA SUPERIOR'!Z74</f>
        <v>0</v>
      </c>
    </row>
    <row r="2872" spans="1:8" x14ac:dyDescent="0.3">
      <c r="A2872" t="s">
        <v>690</v>
      </c>
      <c r="B2872" t="s">
        <v>86</v>
      </c>
      <c r="C2872" t="s">
        <v>386</v>
      </c>
      <c r="D2872" t="s">
        <v>689</v>
      </c>
      <c r="E2872" t="s">
        <v>766</v>
      </c>
      <c r="F2872">
        <v>1</v>
      </c>
      <c r="G2872" s="308">
        <f>'BECA SUPERIOR'!G75</f>
        <v>0</v>
      </c>
      <c r="H2872" s="308">
        <f>'BECA SUPERIOR'!H75</f>
        <v>0</v>
      </c>
    </row>
    <row r="2873" spans="1:8" x14ac:dyDescent="0.3">
      <c r="A2873" t="s">
        <v>690</v>
      </c>
      <c r="B2873" t="s">
        <v>86</v>
      </c>
      <c r="C2873" t="s">
        <v>386</v>
      </c>
      <c r="D2873" t="s">
        <v>689</v>
      </c>
      <c r="E2873" t="s">
        <v>767</v>
      </c>
      <c r="F2873">
        <v>2</v>
      </c>
      <c r="G2873" s="308">
        <f>'BECA SUPERIOR'!J75</f>
        <v>0</v>
      </c>
      <c r="H2873" s="308">
        <f>'BECA SUPERIOR'!K75</f>
        <v>0</v>
      </c>
    </row>
    <row r="2874" spans="1:8" x14ac:dyDescent="0.3">
      <c r="A2874" t="s">
        <v>690</v>
      </c>
      <c r="B2874" t="s">
        <v>86</v>
      </c>
      <c r="C2874" t="s">
        <v>386</v>
      </c>
      <c r="D2874" t="s">
        <v>689</v>
      </c>
      <c r="E2874" t="s">
        <v>768</v>
      </c>
      <c r="F2874">
        <v>3</v>
      </c>
      <c r="G2874" s="308">
        <f>'BECA SUPERIOR'!M75</f>
        <v>0</v>
      </c>
      <c r="H2874" s="308">
        <f>'BECA SUPERIOR'!N75</f>
        <v>0</v>
      </c>
    </row>
    <row r="2875" spans="1:8" x14ac:dyDescent="0.3">
      <c r="A2875" t="s">
        <v>690</v>
      </c>
      <c r="B2875" t="s">
        <v>86</v>
      </c>
      <c r="C2875" t="s">
        <v>386</v>
      </c>
      <c r="D2875" t="s">
        <v>689</v>
      </c>
      <c r="E2875" t="s">
        <v>769</v>
      </c>
      <c r="F2875">
        <v>4</v>
      </c>
      <c r="G2875" s="308">
        <f>'BECA SUPERIOR'!P75</f>
        <v>2.88</v>
      </c>
      <c r="H2875" s="308">
        <f>'BECA SUPERIOR'!Q75</f>
        <v>7200</v>
      </c>
    </row>
    <row r="2876" spans="1:8" x14ac:dyDescent="0.3">
      <c r="A2876" t="s">
        <v>690</v>
      </c>
      <c r="B2876" t="s">
        <v>86</v>
      </c>
      <c r="C2876" t="s">
        <v>386</v>
      </c>
      <c r="D2876" t="s">
        <v>689</v>
      </c>
      <c r="E2876" t="s">
        <v>770</v>
      </c>
      <c r="F2876">
        <v>5</v>
      </c>
      <c r="G2876" s="308">
        <f>'BECA SUPERIOR'!S75</f>
        <v>0</v>
      </c>
      <c r="H2876" s="308">
        <f>'BECA SUPERIOR'!T75</f>
        <v>0</v>
      </c>
    </row>
    <row r="2877" spans="1:8" x14ac:dyDescent="0.3">
      <c r="A2877" t="s">
        <v>690</v>
      </c>
      <c r="B2877" t="s">
        <v>86</v>
      </c>
      <c r="C2877" t="s">
        <v>386</v>
      </c>
      <c r="D2877" t="s">
        <v>689</v>
      </c>
      <c r="E2877" t="s">
        <v>771</v>
      </c>
      <c r="F2877">
        <v>6</v>
      </c>
      <c r="G2877" s="308">
        <f>'BECA SUPERIOR'!V75</f>
        <v>0</v>
      </c>
      <c r="H2877" s="308">
        <f>'BECA SUPERIOR'!W75</f>
        <v>0</v>
      </c>
    </row>
    <row r="2878" spans="1:8" x14ac:dyDescent="0.3">
      <c r="A2878" t="s">
        <v>690</v>
      </c>
      <c r="B2878" t="s">
        <v>86</v>
      </c>
      <c r="C2878" t="s">
        <v>386</v>
      </c>
      <c r="D2878" t="s">
        <v>689</v>
      </c>
      <c r="E2878" t="s">
        <v>772</v>
      </c>
      <c r="F2878">
        <v>7</v>
      </c>
      <c r="G2878" s="308">
        <f>'BECA SUPERIOR'!Y75</f>
        <v>0</v>
      </c>
      <c r="H2878" s="308">
        <f>'BECA SUPERIOR'!Z75</f>
        <v>0</v>
      </c>
    </row>
    <row r="2879" spans="1:8" x14ac:dyDescent="0.3">
      <c r="A2879" t="s">
        <v>690</v>
      </c>
      <c r="B2879" t="s">
        <v>86</v>
      </c>
      <c r="C2879" t="s">
        <v>98</v>
      </c>
      <c r="D2879" t="s">
        <v>689</v>
      </c>
      <c r="E2879" t="s">
        <v>766</v>
      </c>
      <c r="F2879">
        <v>1</v>
      </c>
      <c r="G2879" s="308">
        <f>'BECA SUPERIOR'!G76</f>
        <v>0</v>
      </c>
      <c r="H2879" s="308">
        <f>'BECA SUPERIOR'!H76</f>
        <v>0</v>
      </c>
    </row>
    <row r="2880" spans="1:8" x14ac:dyDescent="0.3">
      <c r="A2880" t="s">
        <v>690</v>
      </c>
      <c r="B2880" t="s">
        <v>86</v>
      </c>
      <c r="C2880" t="s">
        <v>98</v>
      </c>
      <c r="D2880" t="s">
        <v>689</v>
      </c>
      <c r="E2880" t="s">
        <v>767</v>
      </c>
      <c r="F2880">
        <v>2</v>
      </c>
      <c r="G2880" s="308">
        <f>'BECA SUPERIOR'!J76</f>
        <v>0</v>
      </c>
      <c r="H2880" s="308">
        <f>'BECA SUPERIOR'!K76</f>
        <v>0</v>
      </c>
    </row>
    <row r="2881" spans="1:8" x14ac:dyDescent="0.3">
      <c r="A2881" t="s">
        <v>690</v>
      </c>
      <c r="B2881" t="s">
        <v>86</v>
      </c>
      <c r="C2881" t="s">
        <v>98</v>
      </c>
      <c r="D2881" t="s">
        <v>689</v>
      </c>
      <c r="E2881" t="s">
        <v>768</v>
      </c>
      <c r="F2881">
        <v>3</v>
      </c>
      <c r="G2881" s="308">
        <f>'BECA SUPERIOR'!M76</f>
        <v>0</v>
      </c>
      <c r="H2881" s="308">
        <f>'BECA SUPERIOR'!N76</f>
        <v>0</v>
      </c>
    </row>
    <row r="2882" spans="1:8" x14ac:dyDescent="0.3">
      <c r="A2882" t="s">
        <v>690</v>
      </c>
      <c r="B2882" t="s">
        <v>86</v>
      </c>
      <c r="C2882" t="s">
        <v>98</v>
      </c>
      <c r="D2882" t="s">
        <v>689</v>
      </c>
      <c r="E2882" t="s">
        <v>769</v>
      </c>
      <c r="F2882">
        <v>4</v>
      </c>
      <c r="G2882" s="308">
        <f>'BECA SUPERIOR'!P76</f>
        <v>5.04</v>
      </c>
      <c r="H2882" s="308">
        <f>'BECA SUPERIOR'!Q76</f>
        <v>12600</v>
      </c>
    </row>
    <row r="2883" spans="1:8" x14ac:dyDescent="0.3">
      <c r="A2883" t="s">
        <v>690</v>
      </c>
      <c r="B2883" t="s">
        <v>86</v>
      </c>
      <c r="C2883" t="s">
        <v>98</v>
      </c>
      <c r="D2883" t="s">
        <v>689</v>
      </c>
      <c r="E2883" t="s">
        <v>770</v>
      </c>
      <c r="F2883">
        <v>5</v>
      </c>
      <c r="G2883" s="308">
        <f>'BECA SUPERIOR'!S76</f>
        <v>0</v>
      </c>
      <c r="H2883" s="308">
        <f>'BECA SUPERIOR'!T76</f>
        <v>0</v>
      </c>
    </row>
    <row r="2884" spans="1:8" x14ac:dyDescent="0.3">
      <c r="A2884" t="s">
        <v>690</v>
      </c>
      <c r="B2884" t="s">
        <v>86</v>
      </c>
      <c r="C2884" t="s">
        <v>98</v>
      </c>
      <c r="D2884" t="s">
        <v>689</v>
      </c>
      <c r="E2884" t="s">
        <v>771</v>
      </c>
      <c r="F2884">
        <v>6</v>
      </c>
      <c r="G2884" s="308">
        <f>'BECA SUPERIOR'!V76</f>
        <v>0</v>
      </c>
      <c r="H2884" s="308">
        <f>'BECA SUPERIOR'!W76</f>
        <v>0</v>
      </c>
    </row>
    <row r="2885" spans="1:8" x14ac:dyDescent="0.3">
      <c r="A2885" t="s">
        <v>690</v>
      </c>
      <c r="B2885" t="s">
        <v>86</v>
      </c>
      <c r="C2885" t="s">
        <v>98</v>
      </c>
      <c r="D2885" t="s">
        <v>689</v>
      </c>
      <c r="E2885" t="s">
        <v>772</v>
      </c>
      <c r="F2885">
        <v>7</v>
      </c>
      <c r="G2885" s="308">
        <f>'BECA SUPERIOR'!Y76</f>
        <v>0</v>
      </c>
      <c r="H2885" s="308">
        <f>'BECA SUPERIOR'!Z76</f>
        <v>0</v>
      </c>
    </row>
    <row r="2886" spans="1:8" x14ac:dyDescent="0.3">
      <c r="A2886" t="s">
        <v>690</v>
      </c>
      <c r="B2886" t="s">
        <v>86</v>
      </c>
      <c r="C2886" t="s">
        <v>99</v>
      </c>
      <c r="D2886" t="s">
        <v>689</v>
      </c>
      <c r="E2886" t="s">
        <v>766</v>
      </c>
      <c r="F2886">
        <v>1</v>
      </c>
      <c r="G2886" s="308">
        <f>'BECA SUPERIOR'!G77</f>
        <v>0</v>
      </c>
      <c r="H2886" s="308">
        <f>'BECA SUPERIOR'!H77</f>
        <v>0</v>
      </c>
    </row>
    <row r="2887" spans="1:8" x14ac:dyDescent="0.3">
      <c r="A2887" t="s">
        <v>690</v>
      </c>
      <c r="B2887" t="s">
        <v>86</v>
      </c>
      <c r="C2887" t="s">
        <v>99</v>
      </c>
      <c r="D2887" t="s">
        <v>689</v>
      </c>
      <c r="E2887" t="s">
        <v>767</v>
      </c>
      <c r="F2887">
        <v>2</v>
      </c>
      <c r="G2887" s="308">
        <f>'BECA SUPERIOR'!J77</f>
        <v>0</v>
      </c>
      <c r="H2887" s="308">
        <f>'BECA SUPERIOR'!K77</f>
        <v>0</v>
      </c>
    </row>
    <row r="2888" spans="1:8" x14ac:dyDescent="0.3">
      <c r="A2888" t="s">
        <v>690</v>
      </c>
      <c r="B2888" t="s">
        <v>86</v>
      </c>
      <c r="C2888" t="s">
        <v>99</v>
      </c>
      <c r="D2888" t="s">
        <v>689</v>
      </c>
      <c r="E2888" t="s">
        <v>768</v>
      </c>
      <c r="F2888">
        <v>3</v>
      </c>
      <c r="G2888" s="308">
        <f>'BECA SUPERIOR'!M77</f>
        <v>0</v>
      </c>
      <c r="H2888" s="308">
        <f>'BECA SUPERIOR'!N77</f>
        <v>0</v>
      </c>
    </row>
    <row r="2889" spans="1:8" x14ac:dyDescent="0.3">
      <c r="A2889" t="s">
        <v>690</v>
      </c>
      <c r="B2889" t="s">
        <v>86</v>
      </c>
      <c r="C2889" t="s">
        <v>99</v>
      </c>
      <c r="D2889" t="s">
        <v>689</v>
      </c>
      <c r="E2889" t="s">
        <v>769</v>
      </c>
      <c r="F2889">
        <v>4</v>
      </c>
      <c r="G2889" s="308">
        <f>'BECA SUPERIOR'!P77</f>
        <v>2.16</v>
      </c>
      <c r="H2889" s="308">
        <f>'BECA SUPERIOR'!Q77</f>
        <v>5400</v>
      </c>
    </row>
    <row r="2890" spans="1:8" x14ac:dyDescent="0.3">
      <c r="A2890" t="s">
        <v>690</v>
      </c>
      <c r="B2890" t="s">
        <v>86</v>
      </c>
      <c r="C2890" t="s">
        <v>99</v>
      </c>
      <c r="D2890" t="s">
        <v>689</v>
      </c>
      <c r="E2890" t="s">
        <v>770</v>
      </c>
      <c r="F2890">
        <v>5</v>
      </c>
      <c r="G2890" s="308">
        <f>'BECA SUPERIOR'!S77</f>
        <v>0</v>
      </c>
      <c r="H2890" s="308">
        <f>'BECA SUPERIOR'!T77</f>
        <v>0</v>
      </c>
    </row>
    <row r="2891" spans="1:8" x14ac:dyDescent="0.3">
      <c r="A2891" t="s">
        <v>690</v>
      </c>
      <c r="B2891" t="s">
        <v>86</v>
      </c>
      <c r="C2891" t="s">
        <v>99</v>
      </c>
      <c r="D2891" t="s">
        <v>689</v>
      </c>
      <c r="E2891" t="s">
        <v>771</v>
      </c>
      <c r="F2891">
        <v>6</v>
      </c>
      <c r="G2891" s="308">
        <f>'BECA SUPERIOR'!V77</f>
        <v>0</v>
      </c>
      <c r="H2891" s="308">
        <f>'BECA SUPERIOR'!W77</f>
        <v>0</v>
      </c>
    </row>
    <row r="2892" spans="1:8" x14ac:dyDescent="0.3">
      <c r="A2892" t="s">
        <v>690</v>
      </c>
      <c r="B2892" t="s">
        <v>86</v>
      </c>
      <c r="C2892" t="s">
        <v>99</v>
      </c>
      <c r="D2892" t="s">
        <v>689</v>
      </c>
      <c r="E2892" t="s">
        <v>772</v>
      </c>
      <c r="F2892">
        <v>7</v>
      </c>
      <c r="G2892" s="308">
        <f>'BECA SUPERIOR'!Y77</f>
        <v>0</v>
      </c>
      <c r="H2892" s="308">
        <f>'BECA SUPERIOR'!Z77</f>
        <v>0</v>
      </c>
    </row>
    <row r="2893" spans="1:8" x14ac:dyDescent="0.3">
      <c r="A2893" t="s">
        <v>690</v>
      </c>
      <c r="B2893" t="s">
        <v>100</v>
      </c>
      <c r="C2893" t="s">
        <v>101</v>
      </c>
      <c r="D2893" t="s">
        <v>689</v>
      </c>
      <c r="E2893" t="s">
        <v>766</v>
      </c>
      <c r="F2893">
        <v>1</v>
      </c>
      <c r="G2893" s="308">
        <f>'BECA SUPERIOR'!G78</f>
        <v>0</v>
      </c>
      <c r="H2893" s="308">
        <f>'BECA SUPERIOR'!H78</f>
        <v>0</v>
      </c>
    </row>
    <row r="2894" spans="1:8" x14ac:dyDescent="0.3">
      <c r="A2894" t="s">
        <v>690</v>
      </c>
      <c r="B2894" t="s">
        <v>100</v>
      </c>
      <c r="C2894" t="s">
        <v>101</v>
      </c>
      <c r="D2894" t="s">
        <v>689</v>
      </c>
      <c r="E2894" t="s">
        <v>767</v>
      </c>
      <c r="F2894">
        <v>2</v>
      </c>
      <c r="G2894" s="308">
        <f>'BECA SUPERIOR'!J78</f>
        <v>0</v>
      </c>
      <c r="H2894" s="308">
        <f>'BECA SUPERIOR'!K78</f>
        <v>0</v>
      </c>
    </row>
    <row r="2895" spans="1:8" x14ac:dyDescent="0.3">
      <c r="A2895" t="s">
        <v>690</v>
      </c>
      <c r="B2895" t="s">
        <v>100</v>
      </c>
      <c r="C2895" t="s">
        <v>101</v>
      </c>
      <c r="D2895" t="s">
        <v>689</v>
      </c>
      <c r="E2895" t="s">
        <v>768</v>
      </c>
      <c r="F2895">
        <v>3</v>
      </c>
      <c r="G2895" s="308">
        <f>'BECA SUPERIOR'!M78</f>
        <v>0</v>
      </c>
      <c r="H2895" s="308">
        <f>'BECA SUPERIOR'!N78</f>
        <v>0</v>
      </c>
    </row>
    <row r="2896" spans="1:8" x14ac:dyDescent="0.3">
      <c r="A2896" t="s">
        <v>690</v>
      </c>
      <c r="B2896" t="s">
        <v>100</v>
      </c>
      <c r="C2896" t="s">
        <v>101</v>
      </c>
      <c r="D2896" t="s">
        <v>689</v>
      </c>
      <c r="E2896" t="s">
        <v>769</v>
      </c>
      <c r="F2896">
        <v>4</v>
      </c>
      <c r="G2896" s="308">
        <f>'BECA SUPERIOR'!P78</f>
        <v>3.6</v>
      </c>
      <c r="H2896" s="308">
        <f>'BECA SUPERIOR'!Q78</f>
        <v>9000</v>
      </c>
    </row>
    <row r="2897" spans="1:8" x14ac:dyDescent="0.3">
      <c r="A2897" t="s">
        <v>690</v>
      </c>
      <c r="B2897" t="s">
        <v>100</v>
      </c>
      <c r="C2897" t="s">
        <v>101</v>
      </c>
      <c r="D2897" t="s">
        <v>689</v>
      </c>
      <c r="E2897" t="s">
        <v>770</v>
      </c>
      <c r="F2897">
        <v>5</v>
      </c>
      <c r="G2897" s="308">
        <f>'BECA SUPERIOR'!S78</f>
        <v>0</v>
      </c>
      <c r="H2897" s="308">
        <f>'BECA SUPERIOR'!T78</f>
        <v>0</v>
      </c>
    </row>
    <row r="2898" spans="1:8" x14ac:dyDescent="0.3">
      <c r="A2898" t="s">
        <v>690</v>
      </c>
      <c r="B2898" t="s">
        <v>100</v>
      </c>
      <c r="C2898" t="s">
        <v>101</v>
      </c>
      <c r="D2898" t="s">
        <v>689</v>
      </c>
      <c r="E2898" t="s">
        <v>771</v>
      </c>
      <c r="F2898">
        <v>6</v>
      </c>
      <c r="G2898" s="308">
        <f>'BECA SUPERIOR'!V78</f>
        <v>0</v>
      </c>
      <c r="H2898" s="308">
        <f>'BECA SUPERIOR'!W78</f>
        <v>0</v>
      </c>
    </row>
    <row r="2899" spans="1:8" x14ac:dyDescent="0.3">
      <c r="A2899" t="s">
        <v>690</v>
      </c>
      <c r="B2899" t="s">
        <v>100</v>
      </c>
      <c r="C2899" t="s">
        <v>101</v>
      </c>
      <c r="D2899" t="s">
        <v>689</v>
      </c>
      <c r="E2899" t="s">
        <v>772</v>
      </c>
      <c r="F2899">
        <v>7</v>
      </c>
      <c r="G2899" s="308">
        <f>'BECA SUPERIOR'!Y78</f>
        <v>0</v>
      </c>
      <c r="H2899" s="308">
        <f>'BECA SUPERIOR'!Z78</f>
        <v>0</v>
      </c>
    </row>
    <row r="2900" spans="1:8" x14ac:dyDescent="0.3">
      <c r="A2900" t="s">
        <v>690</v>
      </c>
      <c r="B2900" t="s">
        <v>100</v>
      </c>
      <c r="C2900" t="s">
        <v>102</v>
      </c>
      <c r="D2900" t="s">
        <v>689</v>
      </c>
      <c r="E2900" t="s">
        <v>766</v>
      </c>
      <c r="F2900">
        <v>1</v>
      </c>
      <c r="G2900" s="308">
        <f>'BECA SUPERIOR'!G79</f>
        <v>0</v>
      </c>
      <c r="H2900" s="308">
        <f>'BECA SUPERIOR'!H79</f>
        <v>0</v>
      </c>
    </row>
    <row r="2901" spans="1:8" x14ac:dyDescent="0.3">
      <c r="A2901" t="s">
        <v>690</v>
      </c>
      <c r="B2901" t="s">
        <v>100</v>
      </c>
      <c r="C2901" t="s">
        <v>102</v>
      </c>
      <c r="D2901" t="s">
        <v>689</v>
      </c>
      <c r="E2901" t="s">
        <v>767</v>
      </c>
      <c r="F2901">
        <v>2</v>
      </c>
      <c r="G2901" s="308">
        <f>'BECA SUPERIOR'!J79</f>
        <v>0</v>
      </c>
      <c r="H2901" s="308">
        <f>'BECA SUPERIOR'!K79</f>
        <v>0</v>
      </c>
    </row>
    <row r="2902" spans="1:8" x14ac:dyDescent="0.3">
      <c r="A2902" t="s">
        <v>690</v>
      </c>
      <c r="B2902" t="s">
        <v>100</v>
      </c>
      <c r="C2902" t="s">
        <v>102</v>
      </c>
      <c r="D2902" t="s">
        <v>689</v>
      </c>
      <c r="E2902" t="s">
        <v>768</v>
      </c>
      <c r="F2902">
        <v>3</v>
      </c>
      <c r="G2902" s="308">
        <f>'BECA SUPERIOR'!M79</f>
        <v>0</v>
      </c>
      <c r="H2902" s="308">
        <f>'BECA SUPERIOR'!N79</f>
        <v>0</v>
      </c>
    </row>
    <row r="2903" spans="1:8" x14ac:dyDescent="0.3">
      <c r="A2903" t="s">
        <v>690</v>
      </c>
      <c r="B2903" t="s">
        <v>100</v>
      </c>
      <c r="C2903" t="s">
        <v>102</v>
      </c>
      <c r="D2903" t="s">
        <v>689</v>
      </c>
      <c r="E2903" t="s">
        <v>769</v>
      </c>
      <c r="F2903">
        <v>4</v>
      </c>
      <c r="G2903" s="308">
        <f>'BECA SUPERIOR'!P79</f>
        <v>2.16</v>
      </c>
      <c r="H2903" s="308">
        <f>'BECA SUPERIOR'!Q79</f>
        <v>5400</v>
      </c>
    </row>
    <row r="2904" spans="1:8" x14ac:dyDescent="0.3">
      <c r="A2904" t="s">
        <v>690</v>
      </c>
      <c r="B2904" t="s">
        <v>100</v>
      </c>
      <c r="C2904" t="s">
        <v>102</v>
      </c>
      <c r="D2904" t="s">
        <v>689</v>
      </c>
      <c r="E2904" t="s">
        <v>770</v>
      </c>
      <c r="F2904">
        <v>5</v>
      </c>
      <c r="G2904" s="308">
        <f>'BECA SUPERIOR'!S79</f>
        <v>0</v>
      </c>
      <c r="H2904" s="308">
        <f>'BECA SUPERIOR'!T79</f>
        <v>0</v>
      </c>
    </row>
    <row r="2905" spans="1:8" x14ac:dyDescent="0.3">
      <c r="A2905" t="s">
        <v>690</v>
      </c>
      <c r="B2905" t="s">
        <v>100</v>
      </c>
      <c r="C2905" t="s">
        <v>102</v>
      </c>
      <c r="D2905" t="s">
        <v>689</v>
      </c>
      <c r="E2905" t="s">
        <v>771</v>
      </c>
      <c r="F2905">
        <v>6</v>
      </c>
      <c r="G2905" s="308">
        <f>'BECA SUPERIOR'!V79</f>
        <v>0</v>
      </c>
      <c r="H2905" s="308">
        <f>'BECA SUPERIOR'!W79</f>
        <v>0</v>
      </c>
    </row>
    <row r="2906" spans="1:8" x14ac:dyDescent="0.3">
      <c r="A2906" t="s">
        <v>690</v>
      </c>
      <c r="B2906" t="s">
        <v>100</v>
      </c>
      <c r="C2906" t="s">
        <v>102</v>
      </c>
      <c r="D2906" t="s">
        <v>689</v>
      </c>
      <c r="E2906" t="s">
        <v>772</v>
      </c>
      <c r="F2906">
        <v>7</v>
      </c>
      <c r="G2906" s="308">
        <f>'BECA SUPERIOR'!Y79</f>
        <v>0</v>
      </c>
      <c r="H2906" s="308">
        <f>'BECA SUPERIOR'!Z79</f>
        <v>0</v>
      </c>
    </row>
    <row r="2907" spans="1:8" x14ac:dyDescent="0.3">
      <c r="A2907" t="s">
        <v>690</v>
      </c>
      <c r="B2907" t="s">
        <v>100</v>
      </c>
      <c r="C2907" t="s">
        <v>103</v>
      </c>
      <c r="D2907" t="s">
        <v>689</v>
      </c>
      <c r="E2907" t="s">
        <v>766</v>
      </c>
      <c r="F2907">
        <v>1</v>
      </c>
      <c r="G2907" s="308">
        <f>'BECA SUPERIOR'!G80</f>
        <v>0</v>
      </c>
      <c r="H2907" s="308">
        <f>'BECA SUPERIOR'!H80</f>
        <v>0</v>
      </c>
    </row>
    <row r="2908" spans="1:8" x14ac:dyDescent="0.3">
      <c r="A2908" t="s">
        <v>690</v>
      </c>
      <c r="B2908" t="s">
        <v>100</v>
      </c>
      <c r="C2908" t="s">
        <v>103</v>
      </c>
      <c r="D2908" t="s">
        <v>689</v>
      </c>
      <c r="E2908" t="s">
        <v>767</v>
      </c>
      <c r="F2908">
        <v>2</v>
      </c>
      <c r="G2908" s="308">
        <f>'BECA SUPERIOR'!J80</f>
        <v>0</v>
      </c>
      <c r="H2908" s="308">
        <f>'BECA SUPERIOR'!K80</f>
        <v>0</v>
      </c>
    </row>
    <row r="2909" spans="1:8" x14ac:dyDescent="0.3">
      <c r="A2909" t="s">
        <v>690</v>
      </c>
      <c r="B2909" t="s">
        <v>100</v>
      </c>
      <c r="C2909" t="s">
        <v>103</v>
      </c>
      <c r="D2909" t="s">
        <v>689</v>
      </c>
      <c r="E2909" t="s">
        <v>768</v>
      </c>
      <c r="F2909">
        <v>3</v>
      </c>
      <c r="G2909" s="308">
        <f>'BECA SUPERIOR'!M80</f>
        <v>0</v>
      </c>
      <c r="H2909" s="308">
        <f>'BECA SUPERIOR'!N80</f>
        <v>0</v>
      </c>
    </row>
    <row r="2910" spans="1:8" x14ac:dyDescent="0.3">
      <c r="A2910" t="s">
        <v>690</v>
      </c>
      <c r="B2910" t="s">
        <v>100</v>
      </c>
      <c r="C2910" t="s">
        <v>103</v>
      </c>
      <c r="D2910" t="s">
        <v>689</v>
      </c>
      <c r="E2910" t="s">
        <v>769</v>
      </c>
      <c r="F2910">
        <v>4</v>
      </c>
      <c r="G2910" s="308">
        <f>'BECA SUPERIOR'!P80</f>
        <v>0</v>
      </c>
      <c r="H2910" s="308">
        <f>'BECA SUPERIOR'!Q80</f>
        <v>0</v>
      </c>
    </row>
    <row r="2911" spans="1:8" x14ac:dyDescent="0.3">
      <c r="A2911" t="s">
        <v>690</v>
      </c>
      <c r="B2911" t="s">
        <v>100</v>
      </c>
      <c r="C2911" t="s">
        <v>103</v>
      </c>
      <c r="D2911" t="s">
        <v>689</v>
      </c>
      <c r="E2911" t="s">
        <v>770</v>
      </c>
      <c r="F2911">
        <v>5</v>
      </c>
      <c r="G2911" s="308">
        <f>'BECA SUPERIOR'!S80</f>
        <v>0</v>
      </c>
      <c r="H2911" s="308">
        <f>'BECA SUPERIOR'!T80</f>
        <v>0</v>
      </c>
    </row>
    <row r="2912" spans="1:8" x14ac:dyDescent="0.3">
      <c r="A2912" t="s">
        <v>690</v>
      </c>
      <c r="B2912" t="s">
        <v>100</v>
      </c>
      <c r="C2912" t="s">
        <v>103</v>
      </c>
      <c r="D2912" t="s">
        <v>689</v>
      </c>
      <c r="E2912" t="s">
        <v>771</v>
      </c>
      <c r="F2912">
        <v>6</v>
      </c>
      <c r="G2912" s="308">
        <f>'BECA SUPERIOR'!V80</f>
        <v>0</v>
      </c>
      <c r="H2912" s="308">
        <f>'BECA SUPERIOR'!W80</f>
        <v>0</v>
      </c>
    </row>
    <row r="2913" spans="1:8" x14ac:dyDescent="0.3">
      <c r="A2913" t="s">
        <v>690</v>
      </c>
      <c r="B2913" t="s">
        <v>100</v>
      </c>
      <c r="C2913" t="s">
        <v>103</v>
      </c>
      <c r="D2913" t="s">
        <v>689</v>
      </c>
      <c r="E2913" t="s">
        <v>772</v>
      </c>
      <c r="F2913">
        <v>7</v>
      </c>
      <c r="G2913" s="308">
        <f>'BECA SUPERIOR'!Y80</f>
        <v>0</v>
      </c>
      <c r="H2913" s="308">
        <f>'BECA SUPERIOR'!Z80</f>
        <v>0</v>
      </c>
    </row>
    <row r="2914" spans="1:8" x14ac:dyDescent="0.3">
      <c r="A2914" t="s">
        <v>690</v>
      </c>
      <c r="B2914" t="s">
        <v>100</v>
      </c>
      <c r="C2914" t="s">
        <v>104</v>
      </c>
      <c r="D2914" t="s">
        <v>689</v>
      </c>
      <c r="E2914" t="s">
        <v>766</v>
      </c>
      <c r="F2914">
        <v>1</v>
      </c>
      <c r="G2914" s="308">
        <f>'BECA SUPERIOR'!G81</f>
        <v>0</v>
      </c>
      <c r="H2914" s="308">
        <f>'BECA SUPERIOR'!H81</f>
        <v>0</v>
      </c>
    </row>
    <row r="2915" spans="1:8" x14ac:dyDescent="0.3">
      <c r="A2915" t="s">
        <v>690</v>
      </c>
      <c r="B2915" t="s">
        <v>100</v>
      </c>
      <c r="C2915" t="s">
        <v>104</v>
      </c>
      <c r="D2915" t="s">
        <v>689</v>
      </c>
      <c r="E2915" t="s">
        <v>767</v>
      </c>
      <c r="F2915">
        <v>2</v>
      </c>
      <c r="G2915" s="308">
        <f>'BECA SUPERIOR'!J81</f>
        <v>0</v>
      </c>
      <c r="H2915" s="308">
        <f>'BECA SUPERIOR'!K81</f>
        <v>0</v>
      </c>
    </row>
    <row r="2916" spans="1:8" x14ac:dyDescent="0.3">
      <c r="A2916" t="s">
        <v>690</v>
      </c>
      <c r="B2916" t="s">
        <v>100</v>
      </c>
      <c r="C2916" t="s">
        <v>104</v>
      </c>
      <c r="D2916" t="s">
        <v>689</v>
      </c>
      <c r="E2916" t="s">
        <v>768</v>
      </c>
      <c r="F2916">
        <v>3</v>
      </c>
      <c r="G2916" s="308">
        <f>'BECA SUPERIOR'!M81</f>
        <v>0</v>
      </c>
      <c r="H2916" s="308">
        <f>'BECA SUPERIOR'!N81</f>
        <v>0</v>
      </c>
    </row>
    <row r="2917" spans="1:8" x14ac:dyDescent="0.3">
      <c r="A2917" t="s">
        <v>690</v>
      </c>
      <c r="B2917" t="s">
        <v>100</v>
      </c>
      <c r="C2917" t="s">
        <v>104</v>
      </c>
      <c r="D2917" t="s">
        <v>689</v>
      </c>
      <c r="E2917" t="s">
        <v>769</v>
      </c>
      <c r="F2917">
        <v>4</v>
      </c>
      <c r="G2917" s="308">
        <f>'BECA SUPERIOR'!P81</f>
        <v>2.88</v>
      </c>
      <c r="H2917" s="308">
        <f>'BECA SUPERIOR'!Q81</f>
        <v>7200</v>
      </c>
    </row>
    <row r="2918" spans="1:8" x14ac:dyDescent="0.3">
      <c r="A2918" t="s">
        <v>690</v>
      </c>
      <c r="B2918" t="s">
        <v>100</v>
      </c>
      <c r="C2918" t="s">
        <v>104</v>
      </c>
      <c r="D2918" t="s">
        <v>689</v>
      </c>
      <c r="E2918" t="s">
        <v>770</v>
      </c>
      <c r="F2918">
        <v>5</v>
      </c>
      <c r="G2918" s="308">
        <f>'BECA SUPERIOR'!S81</f>
        <v>0</v>
      </c>
      <c r="H2918" s="308">
        <f>'BECA SUPERIOR'!T81</f>
        <v>0</v>
      </c>
    </row>
    <row r="2919" spans="1:8" x14ac:dyDescent="0.3">
      <c r="A2919" t="s">
        <v>690</v>
      </c>
      <c r="B2919" t="s">
        <v>100</v>
      </c>
      <c r="C2919" t="s">
        <v>104</v>
      </c>
      <c r="D2919" t="s">
        <v>689</v>
      </c>
      <c r="E2919" t="s">
        <v>771</v>
      </c>
      <c r="F2919">
        <v>6</v>
      </c>
      <c r="G2919" s="308">
        <f>'BECA SUPERIOR'!V81</f>
        <v>0</v>
      </c>
      <c r="H2919" s="308">
        <f>'BECA SUPERIOR'!W81</f>
        <v>0</v>
      </c>
    </row>
    <row r="2920" spans="1:8" x14ac:dyDescent="0.3">
      <c r="A2920" t="s">
        <v>690</v>
      </c>
      <c r="B2920" t="s">
        <v>100</v>
      </c>
      <c r="C2920" t="s">
        <v>104</v>
      </c>
      <c r="D2920" t="s">
        <v>689</v>
      </c>
      <c r="E2920" t="s">
        <v>772</v>
      </c>
      <c r="F2920">
        <v>7</v>
      </c>
      <c r="G2920" s="308">
        <f>'BECA SUPERIOR'!Y81</f>
        <v>0</v>
      </c>
      <c r="H2920" s="308">
        <f>'BECA SUPERIOR'!Z81</f>
        <v>0</v>
      </c>
    </row>
    <row r="2921" spans="1:8" x14ac:dyDescent="0.3">
      <c r="A2921" t="s">
        <v>690</v>
      </c>
      <c r="B2921" t="s">
        <v>100</v>
      </c>
      <c r="C2921" t="s">
        <v>100</v>
      </c>
      <c r="D2921" t="s">
        <v>689</v>
      </c>
      <c r="E2921" t="s">
        <v>766</v>
      </c>
      <c r="F2921">
        <v>1</v>
      </c>
      <c r="G2921" s="308">
        <f>'BECA SUPERIOR'!G82</f>
        <v>0</v>
      </c>
      <c r="H2921" s="308">
        <f>'BECA SUPERIOR'!H82</f>
        <v>0</v>
      </c>
    </row>
    <row r="2922" spans="1:8" x14ac:dyDescent="0.3">
      <c r="A2922" t="s">
        <v>690</v>
      </c>
      <c r="B2922" t="s">
        <v>100</v>
      </c>
      <c r="C2922" t="s">
        <v>100</v>
      </c>
      <c r="D2922" t="s">
        <v>689</v>
      </c>
      <c r="E2922" t="s">
        <v>767</v>
      </c>
      <c r="F2922">
        <v>2</v>
      </c>
      <c r="G2922" s="308">
        <f>'BECA SUPERIOR'!J82</f>
        <v>0</v>
      </c>
      <c r="H2922" s="308">
        <f>'BECA SUPERIOR'!K82</f>
        <v>0</v>
      </c>
    </row>
    <row r="2923" spans="1:8" x14ac:dyDescent="0.3">
      <c r="A2923" t="s">
        <v>690</v>
      </c>
      <c r="B2923" t="s">
        <v>100</v>
      </c>
      <c r="C2923" t="s">
        <v>100</v>
      </c>
      <c r="D2923" t="s">
        <v>689</v>
      </c>
      <c r="E2923" t="s">
        <v>768</v>
      </c>
      <c r="F2923">
        <v>3</v>
      </c>
      <c r="G2923" s="308">
        <f>'BECA SUPERIOR'!M82</f>
        <v>0</v>
      </c>
      <c r="H2923" s="308">
        <f>'BECA SUPERIOR'!N82</f>
        <v>0</v>
      </c>
    </row>
    <row r="2924" spans="1:8" x14ac:dyDescent="0.3">
      <c r="A2924" t="s">
        <v>690</v>
      </c>
      <c r="B2924" t="s">
        <v>100</v>
      </c>
      <c r="C2924" t="s">
        <v>100</v>
      </c>
      <c r="D2924" t="s">
        <v>689</v>
      </c>
      <c r="E2924" t="s">
        <v>769</v>
      </c>
      <c r="F2924">
        <v>4</v>
      </c>
      <c r="G2924" s="308">
        <f>'BECA SUPERIOR'!P82</f>
        <v>4.32</v>
      </c>
      <c r="H2924" s="308">
        <f>'BECA SUPERIOR'!Q82</f>
        <v>10800</v>
      </c>
    </row>
    <row r="2925" spans="1:8" x14ac:dyDescent="0.3">
      <c r="A2925" t="s">
        <v>690</v>
      </c>
      <c r="B2925" t="s">
        <v>100</v>
      </c>
      <c r="C2925" t="s">
        <v>100</v>
      </c>
      <c r="D2925" t="s">
        <v>689</v>
      </c>
      <c r="E2925" t="s">
        <v>770</v>
      </c>
      <c r="F2925">
        <v>5</v>
      </c>
      <c r="G2925" s="308">
        <f>'BECA SUPERIOR'!S82</f>
        <v>0</v>
      </c>
      <c r="H2925" s="308">
        <f>'BECA SUPERIOR'!T82</f>
        <v>0</v>
      </c>
    </row>
    <row r="2926" spans="1:8" x14ac:dyDescent="0.3">
      <c r="A2926" t="s">
        <v>690</v>
      </c>
      <c r="B2926" t="s">
        <v>100</v>
      </c>
      <c r="C2926" t="s">
        <v>100</v>
      </c>
      <c r="D2926" t="s">
        <v>689</v>
      </c>
      <c r="E2926" t="s">
        <v>771</v>
      </c>
      <c r="F2926">
        <v>6</v>
      </c>
      <c r="G2926" s="308">
        <f>'BECA SUPERIOR'!V82</f>
        <v>0</v>
      </c>
      <c r="H2926" s="308">
        <f>'BECA SUPERIOR'!W82</f>
        <v>0</v>
      </c>
    </row>
    <row r="2927" spans="1:8" x14ac:dyDescent="0.3">
      <c r="A2927" t="s">
        <v>690</v>
      </c>
      <c r="B2927" t="s">
        <v>100</v>
      </c>
      <c r="C2927" t="s">
        <v>100</v>
      </c>
      <c r="D2927" t="s">
        <v>689</v>
      </c>
      <c r="E2927" t="s">
        <v>772</v>
      </c>
      <c r="F2927">
        <v>7</v>
      </c>
      <c r="G2927" s="308">
        <f>'BECA SUPERIOR'!Y82</f>
        <v>0</v>
      </c>
      <c r="H2927" s="308">
        <f>'BECA SUPERIOR'!Z82</f>
        <v>0</v>
      </c>
    </row>
    <row r="2928" spans="1:8" x14ac:dyDescent="0.3">
      <c r="A2928" t="s">
        <v>690</v>
      </c>
      <c r="B2928" t="s">
        <v>100</v>
      </c>
      <c r="C2928" t="s">
        <v>105</v>
      </c>
      <c r="D2928" t="s">
        <v>689</v>
      </c>
      <c r="E2928" t="s">
        <v>766</v>
      </c>
      <c r="F2928">
        <v>1</v>
      </c>
      <c r="G2928" s="308">
        <f>'BECA SUPERIOR'!G83</f>
        <v>0</v>
      </c>
      <c r="H2928" s="308">
        <f>'BECA SUPERIOR'!H83</f>
        <v>0</v>
      </c>
    </row>
    <row r="2929" spans="1:8" x14ac:dyDescent="0.3">
      <c r="A2929" t="s">
        <v>690</v>
      </c>
      <c r="B2929" t="s">
        <v>100</v>
      </c>
      <c r="C2929" t="s">
        <v>105</v>
      </c>
      <c r="D2929" t="s">
        <v>689</v>
      </c>
      <c r="E2929" t="s">
        <v>767</v>
      </c>
      <c r="F2929">
        <v>2</v>
      </c>
      <c r="G2929" s="308">
        <f>'BECA SUPERIOR'!J83</f>
        <v>0</v>
      </c>
      <c r="H2929" s="308">
        <f>'BECA SUPERIOR'!K83</f>
        <v>0</v>
      </c>
    </row>
    <row r="2930" spans="1:8" x14ac:dyDescent="0.3">
      <c r="A2930" t="s">
        <v>690</v>
      </c>
      <c r="B2930" t="s">
        <v>100</v>
      </c>
      <c r="C2930" t="s">
        <v>105</v>
      </c>
      <c r="D2930" t="s">
        <v>689</v>
      </c>
      <c r="E2930" t="s">
        <v>768</v>
      </c>
      <c r="F2930">
        <v>3</v>
      </c>
      <c r="G2930" s="308">
        <f>'BECA SUPERIOR'!M83</f>
        <v>0</v>
      </c>
      <c r="H2930" s="308">
        <f>'BECA SUPERIOR'!N83</f>
        <v>0</v>
      </c>
    </row>
    <row r="2931" spans="1:8" x14ac:dyDescent="0.3">
      <c r="A2931" t="s">
        <v>690</v>
      </c>
      <c r="B2931" t="s">
        <v>100</v>
      </c>
      <c r="C2931" t="s">
        <v>105</v>
      </c>
      <c r="D2931" t="s">
        <v>689</v>
      </c>
      <c r="E2931" t="s">
        <v>769</v>
      </c>
      <c r="F2931">
        <v>4</v>
      </c>
      <c r="G2931" s="308">
        <f>'BECA SUPERIOR'!P83</f>
        <v>2.16</v>
      </c>
      <c r="H2931" s="308">
        <f>'BECA SUPERIOR'!Q83</f>
        <v>5400</v>
      </c>
    </row>
    <row r="2932" spans="1:8" x14ac:dyDescent="0.3">
      <c r="A2932" t="s">
        <v>690</v>
      </c>
      <c r="B2932" t="s">
        <v>100</v>
      </c>
      <c r="C2932" t="s">
        <v>105</v>
      </c>
      <c r="D2932" t="s">
        <v>689</v>
      </c>
      <c r="E2932" t="s">
        <v>770</v>
      </c>
      <c r="F2932">
        <v>5</v>
      </c>
      <c r="G2932" s="308">
        <f>'BECA SUPERIOR'!S83</f>
        <v>0</v>
      </c>
      <c r="H2932" s="308">
        <f>'BECA SUPERIOR'!T83</f>
        <v>0</v>
      </c>
    </row>
    <row r="2933" spans="1:8" x14ac:dyDescent="0.3">
      <c r="A2933" t="s">
        <v>690</v>
      </c>
      <c r="B2933" t="s">
        <v>100</v>
      </c>
      <c r="C2933" t="s">
        <v>105</v>
      </c>
      <c r="D2933" t="s">
        <v>689</v>
      </c>
      <c r="E2933" t="s">
        <v>771</v>
      </c>
      <c r="F2933">
        <v>6</v>
      </c>
      <c r="G2933" s="308">
        <f>'BECA SUPERIOR'!V83</f>
        <v>0</v>
      </c>
      <c r="H2933" s="308">
        <f>'BECA SUPERIOR'!W83</f>
        <v>0</v>
      </c>
    </row>
    <row r="2934" spans="1:8" x14ac:dyDescent="0.3">
      <c r="A2934" t="s">
        <v>690</v>
      </c>
      <c r="B2934" t="s">
        <v>100</v>
      </c>
      <c r="C2934" t="s">
        <v>105</v>
      </c>
      <c r="D2934" t="s">
        <v>689</v>
      </c>
      <c r="E2934" t="s">
        <v>772</v>
      </c>
      <c r="F2934">
        <v>7</v>
      </c>
      <c r="G2934" s="308">
        <f>'BECA SUPERIOR'!Y83</f>
        <v>0</v>
      </c>
      <c r="H2934" s="308">
        <f>'BECA SUPERIOR'!Z83</f>
        <v>0</v>
      </c>
    </row>
    <row r="2935" spans="1:8" x14ac:dyDescent="0.3">
      <c r="A2935" t="s">
        <v>690</v>
      </c>
      <c r="B2935" t="s">
        <v>100</v>
      </c>
      <c r="C2935" t="s">
        <v>106</v>
      </c>
      <c r="D2935" t="s">
        <v>689</v>
      </c>
      <c r="E2935" t="s">
        <v>766</v>
      </c>
      <c r="F2935">
        <v>1</v>
      </c>
      <c r="G2935" s="308">
        <f>'BECA SUPERIOR'!G84</f>
        <v>0</v>
      </c>
      <c r="H2935" s="308">
        <f>'BECA SUPERIOR'!H84</f>
        <v>0</v>
      </c>
    </row>
    <row r="2936" spans="1:8" x14ac:dyDescent="0.3">
      <c r="A2936" t="s">
        <v>690</v>
      </c>
      <c r="B2936" t="s">
        <v>100</v>
      </c>
      <c r="C2936" t="s">
        <v>106</v>
      </c>
      <c r="D2936" t="s">
        <v>689</v>
      </c>
      <c r="E2936" t="s">
        <v>767</v>
      </c>
      <c r="F2936">
        <v>2</v>
      </c>
      <c r="G2936" s="308">
        <f>'BECA SUPERIOR'!J84</f>
        <v>0</v>
      </c>
      <c r="H2936" s="308">
        <f>'BECA SUPERIOR'!K84</f>
        <v>0</v>
      </c>
    </row>
    <row r="2937" spans="1:8" x14ac:dyDescent="0.3">
      <c r="A2937" t="s">
        <v>690</v>
      </c>
      <c r="B2937" t="s">
        <v>100</v>
      </c>
      <c r="C2937" t="s">
        <v>106</v>
      </c>
      <c r="D2937" t="s">
        <v>689</v>
      </c>
      <c r="E2937" t="s">
        <v>768</v>
      </c>
      <c r="F2937">
        <v>3</v>
      </c>
      <c r="G2937" s="308">
        <f>'BECA SUPERIOR'!M84</f>
        <v>0</v>
      </c>
      <c r="H2937" s="308">
        <f>'BECA SUPERIOR'!N84</f>
        <v>0</v>
      </c>
    </row>
    <row r="2938" spans="1:8" x14ac:dyDescent="0.3">
      <c r="A2938" t="s">
        <v>690</v>
      </c>
      <c r="B2938" t="s">
        <v>100</v>
      </c>
      <c r="C2938" t="s">
        <v>106</v>
      </c>
      <c r="D2938" t="s">
        <v>689</v>
      </c>
      <c r="E2938" t="s">
        <v>769</v>
      </c>
      <c r="F2938">
        <v>4</v>
      </c>
      <c r="G2938" s="308">
        <f>'BECA SUPERIOR'!P84</f>
        <v>7.92</v>
      </c>
      <c r="H2938" s="308">
        <f>'BECA SUPERIOR'!Q84</f>
        <v>19800</v>
      </c>
    </row>
    <row r="2939" spans="1:8" x14ac:dyDescent="0.3">
      <c r="A2939" t="s">
        <v>690</v>
      </c>
      <c r="B2939" t="s">
        <v>100</v>
      </c>
      <c r="C2939" t="s">
        <v>106</v>
      </c>
      <c r="D2939" t="s">
        <v>689</v>
      </c>
      <c r="E2939" t="s">
        <v>770</v>
      </c>
      <c r="F2939">
        <v>5</v>
      </c>
      <c r="G2939" s="308">
        <f>'BECA SUPERIOR'!S84</f>
        <v>0</v>
      </c>
      <c r="H2939" s="308">
        <f>'BECA SUPERIOR'!T84</f>
        <v>0</v>
      </c>
    </row>
    <row r="2940" spans="1:8" x14ac:dyDescent="0.3">
      <c r="A2940" t="s">
        <v>690</v>
      </c>
      <c r="B2940" t="s">
        <v>100</v>
      </c>
      <c r="C2940" t="s">
        <v>106</v>
      </c>
      <c r="D2940" t="s">
        <v>689</v>
      </c>
      <c r="E2940" t="s">
        <v>771</v>
      </c>
      <c r="F2940">
        <v>6</v>
      </c>
      <c r="G2940" s="308">
        <f>'BECA SUPERIOR'!V84</f>
        <v>0</v>
      </c>
      <c r="H2940" s="308">
        <f>'BECA SUPERIOR'!W84</f>
        <v>0</v>
      </c>
    </row>
    <row r="2941" spans="1:8" x14ac:dyDescent="0.3">
      <c r="A2941" t="s">
        <v>690</v>
      </c>
      <c r="B2941" t="s">
        <v>100</v>
      </c>
      <c r="C2941" t="s">
        <v>106</v>
      </c>
      <c r="D2941" t="s">
        <v>689</v>
      </c>
      <c r="E2941" t="s">
        <v>772</v>
      </c>
      <c r="F2941">
        <v>7</v>
      </c>
      <c r="G2941" s="308">
        <f>'BECA SUPERIOR'!Y84</f>
        <v>0</v>
      </c>
      <c r="H2941" s="308">
        <f>'BECA SUPERIOR'!Z84</f>
        <v>0</v>
      </c>
    </row>
    <row r="2942" spans="1:8" x14ac:dyDescent="0.3">
      <c r="A2942" t="s">
        <v>690</v>
      </c>
      <c r="B2942" t="s">
        <v>100</v>
      </c>
      <c r="C2942" t="s">
        <v>107</v>
      </c>
      <c r="D2942" t="s">
        <v>689</v>
      </c>
      <c r="E2942" t="s">
        <v>766</v>
      </c>
      <c r="F2942">
        <v>1</v>
      </c>
      <c r="G2942" s="308">
        <f>'BECA SUPERIOR'!G85</f>
        <v>0</v>
      </c>
      <c r="H2942" s="308">
        <f>'BECA SUPERIOR'!H85</f>
        <v>0</v>
      </c>
    </row>
    <row r="2943" spans="1:8" x14ac:dyDescent="0.3">
      <c r="A2943" t="s">
        <v>690</v>
      </c>
      <c r="B2943" t="s">
        <v>100</v>
      </c>
      <c r="C2943" t="s">
        <v>107</v>
      </c>
      <c r="D2943" t="s">
        <v>689</v>
      </c>
      <c r="E2943" t="s">
        <v>767</v>
      </c>
      <c r="F2943">
        <v>2</v>
      </c>
      <c r="G2943" s="308">
        <f>'BECA SUPERIOR'!J85</f>
        <v>0</v>
      </c>
      <c r="H2943" s="308">
        <f>'BECA SUPERIOR'!K85</f>
        <v>0</v>
      </c>
    </row>
    <row r="2944" spans="1:8" x14ac:dyDescent="0.3">
      <c r="A2944" t="s">
        <v>690</v>
      </c>
      <c r="B2944" t="s">
        <v>100</v>
      </c>
      <c r="C2944" t="s">
        <v>107</v>
      </c>
      <c r="D2944" t="s">
        <v>689</v>
      </c>
      <c r="E2944" t="s">
        <v>768</v>
      </c>
      <c r="F2944">
        <v>3</v>
      </c>
      <c r="G2944" s="308">
        <f>'BECA SUPERIOR'!M85</f>
        <v>0</v>
      </c>
      <c r="H2944" s="308">
        <f>'BECA SUPERIOR'!N85</f>
        <v>0</v>
      </c>
    </row>
    <row r="2945" spans="1:8" x14ac:dyDescent="0.3">
      <c r="A2945" t="s">
        <v>690</v>
      </c>
      <c r="B2945" t="s">
        <v>100</v>
      </c>
      <c r="C2945" t="s">
        <v>107</v>
      </c>
      <c r="D2945" t="s">
        <v>689</v>
      </c>
      <c r="E2945" t="s">
        <v>769</v>
      </c>
      <c r="F2945">
        <v>4</v>
      </c>
      <c r="G2945" s="308">
        <f>'BECA SUPERIOR'!P85</f>
        <v>2.88</v>
      </c>
      <c r="H2945" s="308">
        <f>'BECA SUPERIOR'!Q85</f>
        <v>7200</v>
      </c>
    </row>
    <row r="2946" spans="1:8" x14ac:dyDescent="0.3">
      <c r="A2946" t="s">
        <v>690</v>
      </c>
      <c r="B2946" t="s">
        <v>100</v>
      </c>
      <c r="C2946" t="s">
        <v>107</v>
      </c>
      <c r="D2946" t="s">
        <v>689</v>
      </c>
      <c r="E2946" t="s">
        <v>770</v>
      </c>
      <c r="F2946">
        <v>5</v>
      </c>
      <c r="G2946" s="308">
        <f>'BECA SUPERIOR'!S85</f>
        <v>0</v>
      </c>
      <c r="H2946" s="308">
        <f>'BECA SUPERIOR'!T85</f>
        <v>0</v>
      </c>
    </row>
    <row r="2947" spans="1:8" x14ac:dyDescent="0.3">
      <c r="A2947" t="s">
        <v>690</v>
      </c>
      <c r="B2947" t="s">
        <v>100</v>
      </c>
      <c r="C2947" t="s">
        <v>107</v>
      </c>
      <c r="D2947" t="s">
        <v>689</v>
      </c>
      <c r="E2947" t="s">
        <v>771</v>
      </c>
      <c r="F2947">
        <v>6</v>
      </c>
      <c r="G2947" s="308">
        <f>'BECA SUPERIOR'!V85</f>
        <v>0</v>
      </c>
      <c r="H2947" s="308">
        <f>'BECA SUPERIOR'!W85</f>
        <v>0</v>
      </c>
    </row>
    <row r="2948" spans="1:8" x14ac:dyDescent="0.3">
      <c r="A2948" t="s">
        <v>690</v>
      </c>
      <c r="B2948" t="s">
        <v>100</v>
      </c>
      <c r="C2948" t="s">
        <v>107</v>
      </c>
      <c r="D2948" t="s">
        <v>689</v>
      </c>
      <c r="E2948" t="s">
        <v>772</v>
      </c>
      <c r="F2948">
        <v>7</v>
      </c>
      <c r="G2948" s="308">
        <f>'BECA SUPERIOR'!Y85</f>
        <v>0</v>
      </c>
      <c r="H2948" s="308">
        <f>'BECA SUPERIOR'!Z85</f>
        <v>0</v>
      </c>
    </row>
    <row r="2949" spans="1:8" x14ac:dyDescent="0.3">
      <c r="A2949" t="s">
        <v>690</v>
      </c>
      <c r="B2949" t="s">
        <v>100</v>
      </c>
      <c r="C2949" t="s">
        <v>108</v>
      </c>
      <c r="D2949" t="s">
        <v>689</v>
      </c>
      <c r="E2949" t="s">
        <v>766</v>
      </c>
      <c r="F2949">
        <v>1</v>
      </c>
      <c r="G2949" s="308">
        <f>'BECA SUPERIOR'!G86</f>
        <v>0</v>
      </c>
      <c r="H2949" s="308">
        <f>'BECA SUPERIOR'!H86</f>
        <v>0</v>
      </c>
    </row>
    <row r="2950" spans="1:8" x14ac:dyDescent="0.3">
      <c r="A2950" t="s">
        <v>690</v>
      </c>
      <c r="B2950" t="s">
        <v>100</v>
      </c>
      <c r="C2950" t="s">
        <v>108</v>
      </c>
      <c r="D2950" t="s">
        <v>689</v>
      </c>
      <c r="E2950" t="s">
        <v>767</v>
      </c>
      <c r="F2950">
        <v>2</v>
      </c>
      <c r="G2950" s="308">
        <f>'BECA SUPERIOR'!J86</f>
        <v>0</v>
      </c>
      <c r="H2950" s="308">
        <f>'BECA SUPERIOR'!K86</f>
        <v>0</v>
      </c>
    </row>
    <row r="2951" spans="1:8" x14ac:dyDescent="0.3">
      <c r="A2951" t="s">
        <v>690</v>
      </c>
      <c r="B2951" t="s">
        <v>100</v>
      </c>
      <c r="C2951" t="s">
        <v>108</v>
      </c>
      <c r="D2951" t="s">
        <v>689</v>
      </c>
      <c r="E2951" t="s">
        <v>768</v>
      </c>
      <c r="F2951">
        <v>3</v>
      </c>
      <c r="G2951" s="308">
        <f>'BECA SUPERIOR'!M86</f>
        <v>0</v>
      </c>
      <c r="H2951" s="308">
        <f>'BECA SUPERIOR'!N86</f>
        <v>0</v>
      </c>
    </row>
    <row r="2952" spans="1:8" x14ac:dyDescent="0.3">
      <c r="A2952" t="s">
        <v>690</v>
      </c>
      <c r="B2952" t="s">
        <v>100</v>
      </c>
      <c r="C2952" t="s">
        <v>108</v>
      </c>
      <c r="D2952" t="s">
        <v>689</v>
      </c>
      <c r="E2952" t="s">
        <v>769</v>
      </c>
      <c r="F2952">
        <v>4</v>
      </c>
      <c r="G2952" s="308">
        <f>'BECA SUPERIOR'!P86</f>
        <v>1.44</v>
      </c>
      <c r="H2952" s="308">
        <f>'BECA SUPERIOR'!Q86</f>
        <v>3600</v>
      </c>
    </row>
    <row r="2953" spans="1:8" x14ac:dyDescent="0.3">
      <c r="A2953" t="s">
        <v>690</v>
      </c>
      <c r="B2953" t="s">
        <v>100</v>
      </c>
      <c r="C2953" t="s">
        <v>108</v>
      </c>
      <c r="D2953" t="s">
        <v>689</v>
      </c>
      <c r="E2953" t="s">
        <v>770</v>
      </c>
      <c r="F2953">
        <v>5</v>
      </c>
      <c r="G2953" s="308">
        <f>'BECA SUPERIOR'!S86</f>
        <v>0</v>
      </c>
      <c r="H2953" s="308">
        <f>'BECA SUPERIOR'!T86</f>
        <v>0</v>
      </c>
    </row>
    <row r="2954" spans="1:8" x14ac:dyDescent="0.3">
      <c r="A2954" t="s">
        <v>690</v>
      </c>
      <c r="B2954" t="s">
        <v>100</v>
      </c>
      <c r="C2954" t="s">
        <v>108</v>
      </c>
      <c r="D2954" t="s">
        <v>689</v>
      </c>
      <c r="E2954" t="s">
        <v>771</v>
      </c>
      <c r="F2954">
        <v>6</v>
      </c>
      <c r="G2954" s="308">
        <f>'BECA SUPERIOR'!V86</f>
        <v>0</v>
      </c>
      <c r="H2954" s="308">
        <f>'BECA SUPERIOR'!W86</f>
        <v>0</v>
      </c>
    </row>
    <row r="2955" spans="1:8" x14ac:dyDescent="0.3">
      <c r="A2955" t="s">
        <v>690</v>
      </c>
      <c r="B2955" t="s">
        <v>100</v>
      </c>
      <c r="C2955" t="s">
        <v>108</v>
      </c>
      <c r="D2955" t="s">
        <v>689</v>
      </c>
      <c r="E2955" t="s">
        <v>772</v>
      </c>
      <c r="F2955">
        <v>7</v>
      </c>
      <c r="G2955" s="308">
        <f>'BECA SUPERIOR'!Y86</f>
        <v>0</v>
      </c>
      <c r="H2955" s="308">
        <f>'BECA SUPERIOR'!Z86</f>
        <v>0</v>
      </c>
    </row>
    <row r="2956" spans="1:8" x14ac:dyDescent="0.3">
      <c r="A2956" t="s">
        <v>690</v>
      </c>
      <c r="B2956" t="s">
        <v>100</v>
      </c>
      <c r="C2956" t="s">
        <v>109</v>
      </c>
      <c r="D2956" t="s">
        <v>689</v>
      </c>
      <c r="E2956" t="s">
        <v>766</v>
      </c>
      <c r="F2956">
        <v>1</v>
      </c>
      <c r="G2956" s="308">
        <f>'BECA SUPERIOR'!G87</f>
        <v>0</v>
      </c>
      <c r="H2956" s="308">
        <f>'BECA SUPERIOR'!H87</f>
        <v>0</v>
      </c>
    </row>
    <row r="2957" spans="1:8" x14ac:dyDescent="0.3">
      <c r="A2957" t="s">
        <v>690</v>
      </c>
      <c r="B2957" t="s">
        <v>100</v>
      </c>
      <c r="C2957" t="s">
        <v>109</v>
      </c>
      <c r="D2957" t="s">
        <v>689</v>
      </c>
      <c r="E2957" t="s">
        <v>767</v>
      </c>
      <c r="F2957">
        <v>2</v>
      </c>
      <c r="G2957" s="308">
        <f>'BECA SUPERIOR'!J87</f>
        <v>0</v>
      </c>
      <c r="H2957" s="308">
        <f>'BECA SUPERIOR'!K87</f>
        <v>0</v>
      </c>
    </row>
    <row r="2958" spans="1:8" x14ac:dyDescent="0.3">
      <c r="A2958" t="s">
        <v>690</v>
      </c>
      <c r="B2958" t="s">
        <v>100</v>
      </c>
      <c r="C2958" t="s">
        <v>109</v>
      </c>
      <c r="D2958" t="s">
        <v>689</v>
      </c>
      <c r="E2958" t="s">
        <v>768</v>
      </c>
      <c r="F2958">
        <v>3</v>
      </c>
      <c r="G2958" s="308">
        <f>'BECA SUPERIOR'!M87</f>
        <v>0</v>
      </c>
      <c r="H2958" s="308">
        <f>'BECA SUPERIOR'!N87</f>
        <v>0</v>
      </c>
    </row>
    <row r="2959" spans="1:8" x14ac:dyDescent="0.3">
      <c r="A2959" t="s">
        <v>690</v>
      </c>
      <c r="B2959" t="s">
        <v>100</v>
      </c>
      <c r="C2959" t="s">
        <v>109</v>
      </c>
      <c r="D2959" t="s">
        <v>689</v>
      </c>
      <c r="E2959" t="s">
        <v>769</v>
      </c>
      <c r="F2959">
        <v>4</v>
      </c>
      <c r="G2959" s="308">
        <f>'BECA SUPERIOR'!P87</f>
        <v>5.04</v>
      </c>
      <c r="H2959" s="308">
        <f>'BECA SUPERIOR'!Q87</f>
        <v>12600</v>
      </c>
    </row>
    <row r="2960" spans="1:8" x14ac:dyDescent="0.3">
      <c r="A2960" t="s">
        <v>690</v>
      </c>
      <c r="B2960" t="s">
        <v>100</v>
      </c>
      <c r="C2960" t="s">
        <v>109</v>
      </c>
      <c r="D2960" t="s">
        <v>689</v>
      </c>
      <c r="E2960" t="s">
        <v>770</v>
      </c>
      <c r="F2960">
        <v>5</v>
      </c>
      <c r="G2960" s="308">
        <f>'BECA SUPERIOR'!S87</f>
        <v>0</v>
      </c>
      <c r="H2960" s="308">
        <f>'BECA SUPERIOR'!T87</f>
        <v>0</v>
      </c>
    </row>
    <row r="2961" spans="1:8" x14ac:dyDescent="0.3">
      <c r="A2961" t="s">
        <v>690</v>
      </c>
      <c r="B2961" t="s">
        <v>100</v>
      </c>
      <c r="C2961" t="s">
        <v>109</v>
      </c>
      <c r="D2961" t="s">
        <v>689</v>
      </c>
      <c r="E2961" t="s">
        <v>771</v>
      </c>
      <c r="F2961">
        <v>6</v>
      </c>
      <c r="G2961" s="308">
        <f>'BECA SUPERIOR'!V87</f>
        <v>0</v>
      </c>
      <c r="H2961" s="308">
        <f>'BECA SUPERIOR'!W87</f>
        <v>0</v>
      </c>
    </row>
    <row r="2962" spans="1:8" x14ac:dyDescent="0.3">
      <c r="A2962" t="s">
        <v>690</v>
      </c>
      <c r="B2962" t="s">
        <v>100</v>
      </c>
      <c r="C2962" t="s">
        <v>109</v>
      </c>
      <c r="D2962" t="s">
        <v>689</v>
      </c>
      <c r="E2962" t="s">
        <v>772</v>
      </c>
      <c r="F2962">
        <v>7</v>
      </c>
      <c r="G2962" s="308">
        <f>'BECA SUPERIOR'!Y87</f>
        <v>0</v>
      </c>
      <c r="H2962" s="308">
        <f>'BECA SUPERIOR'!Z87</f>
        <v>0</v>
      </c>
    </row>
    <row r="2963" spans="1:8" x14ac:dyDescent="0.3">
      <c r="A2963" t="s">
        <v>690</v>
      </c>
      <c r="B2963" t="s">
        <v>100</v>
      </c>
      <c r="C2963" t="s">
        <v>110</v>
      </c>
      <c r="D2963" t="s">
        <v>689</v>
      </c>
      <c r="E2963" t="s">
        <v>766</v>
      </c>
      <c r="F2963">
        <v>1</v>
      </c>
      <c r="G2963" s="308">
        <f>'BECA SUPERIOR'!G88</f>
        <v>0</v>
      </c>
      <c r="H2963" s="308">
        <f>'BECA SUPERIOR'!H88</f>
        <v>0</v>
      </c>
    </row>
    <row r="2964" spans="1:8" x14ac:dyDescent="0.3">
      <c r="A2964" t="s">
        <v>690</v>
      </c>
      <c r="B2964" t="s">
        <v>100</v>
      </c>
      <c r="C2964" t="s">
        <v>110</v>
      </c>
      <c r="D2964" t="s">
        <v>689</v>
      </c>
      <c r="E2964" t="s">
        <v>767</v>
      </c>
      <c r="F2964">
        <v>2</v>
      </c>
      <c r="G2964" s="308">
        <f>'BECA SUPERIOR'!J88</f>
        <v>0</v>
      </c>
      <c r="H2964" s="308">
        <f>'BECA SUPERIOR'!K88</f>
        <v>0</v>
      </c>
    </row>
    <row r="2965" spans="1:8" x14ac:dyDescent="0.3">
      <c r="A2965" t="s">
        <v>690</v>
      </c>
      <c r="B2965" t="s">
        <v>100</v>
      </c>
      <c r="C2965" t="s">
        <v>110</v>
      </c>
      <c r="D2965" t="s">
        <v>689</v>
      </c>
      <c r="E2965" t="s">
        <v>768</v>
      </c>
      <c r="F2965">
        <v>3</v>
      </c>
      <c r="G2965" s="308">
        <f>'BECA SUPERIOR'!M88</f>
        <v>0</v>
      </c>
      <c r="H2965" s="308">
        <f>'BECA SUPERIOR'!N88</f>
        <v>0</v>
      </c>
    </row>
    <row r="2966" spans="1:8" x14ac:dyDescent="0.3">
      <c r="A2966" t="s">
        <v>690</v>
      </c>
      <c r="B2966" t="s">
        <v>100</v>
      </c>
      <c r="C2966" t="s">
        <v>110</v>
      </c>
      <c r="D2966" t="s">
        <v>689</v>
      </c>
      <c r="E2966" t="s">
        <v>769</v>
      </c>
      <c r="F2966">
        <v>4</v>
      </c>
      <c r="G2966" s="308">
        <f>'BECA SUPERIOR'!P88</f>
        <v>3.6</v>
      </c>
      <c r="H2966" s="308">
        <f>'BECA SUPERIOR'!Q88</f>
        <v>9000</v>
      </c>
    </row>
    <row r="2967" spans="1:8" x14ac:dyDescent="0.3">
      <c r="A2967" t="s">
        <v>690</v>
      </c>
      <c r="B2967" t="s">
        <v>100</v>
      </c>
      <c r="C2967" t="s">
        <v>110</v>
      </c>
      <c r="D2967" t="s">
        <v>689</v>
      </c>
      <c r="E2967" t="s">
        <v>770</v>
      </c>
      <c r="F2967">
        <v>5</v>
      </c>
      <c r="G2967" s="308">
        <f>'BECA SUPERIOR'!S88</f>
        <v>0</v>
      </c>
      <c r="H2967" s="308">
        <f>'BECA SUPERIOR'!T88</f>
        <v>0</v>
      </c>
    </row>
    <row r="2968" spans="1:8" x14ac:dyDescent="0.3">
      <c r="A2968" t="s">
        <v>690</v>
      </c>
      <c r="B2968" t="s">
        <v>100</v>
      </c>
      <c r="C2968" t="s">
        <v>110</v>
      </c>
      <c r="D2968" t="s">
        <v>689</v>
      </c>
      <c r="E2968" t="s">
        <v>771</v>
      </c>
      <c r="F2968">
        <v>6</v>
      </c>
      <c r="G2968" s="308">
        <f>'BECA SUPERIOR'!V88</f>
        <v>0</v>
      </c>
      <c r="H2968" s="308">
        <f>'BECA SUPERIOR'!W88</f>
        <v>0</v>
      </c>
    </row>
    <row r="2969" spans="1:8" x14ac:dyDescent="0.3">
      <c r="A2969" t="s">
        <v>690</v>
      </c>
      <c r="B2969" t="s">
        <v>100</v>
      </c>
      <c r="C2969" t="s">
        <v>110</v>
      </c>
      <c r="D2969" t="s">
        <v>689</v>
      </c>
      <c r="E2969" t="s">
        <v>772</v>
      </c>
      <c r="F2969">
        <v>7</v>
      </c>
      <c r="G2969" s="308">
        <f>'BECA SUPERIOR'!Y88</f>
        <v>0</v>
      </c>
      <c r="H2969" s="308">
        <f>'BECA SUPERIOR'!Z88</f>
        <v>0</v>
      </c>
    </row>
    <row r="2970" spans="1:8" x14ac:dyDescent="0.3">
      <c r="A2970" t="s">
        <v>690</v>
      </c>
      <c r="B2970" t="s">
        <v>100</v>
      </c>
      <c r="C2970" t="s">
        <v>111</v>
      </c>
      <c r="D2970" t="s">
        <v>689</v>
      </c>
      <c r="E2970" t="s">
        <v>766</v>
      </c>
      <c r="F2970">
        <v>1</v>
      </c>
      <c r="G2970" s="308">
        <f>'BECA SUPERIOR'!G89</f>
        <v>0</v>
      </c>
      <c r="H2970" s="308">
        <f>'BECA SUPERIOR'!H89</f>
        <v>0</v>
      </c>
    </row>
    <row r="2971" spans="1:8" x14ac:dyDescent="0.3">
      <c r="A2971" t="s">
        <v>690</v>
      </c>
      <c r="B2971" t="s">
        <v>100</v>
      </c>
      <c r="C2971" t="s">
        <v>111</v>
      </c>
      <c r="D2971" t="s">
        <v>689</v>
      </c>
      <c r="E2971" t="s">
        <v>767</v>
      </c>
      <c r="F2971">
        <v>2</v>
      </c>
      <c r="G2971" s="308">
        <f>'BECA SUPERIOR'!J89</f>
        <v>0</v>
      </c>
      <c r="H2971" s="308">
        <f>'BECA SUPERIOR'!K89</f>
        <v>0</v>
      </c>
    </row>
    <row r="2972" spans="1:8" x14ac:dyDescent="0.3">
      <c r="A2972" t="s">
        <v>690</v>
      </c>
      <c r="B2972" t="s">
        <v>100</v>
      </c>
      <c r="C2972" t="s">
        <v>111</v>
      </c>
      <c r="D2972" t="s">
        <v>689</v>
      </c>
      <c r="E2972" t="s">
        <v>768</v>
      </c>
      <c r="F2972">
        <v>3</v>
      </c>
      <c r="G2972" s="308">
        <f>'BECA SUPERIOR'!M89</f>
        <v>0</v>
      </c>
      <c r="H2972" s="308">
        <f>'BECA SUPERIOR'!N89</f>
        <v>0</v>
      </c>
    </row>
    <row r="2973" spans="1:8" x14ac:dyDescent="0.3">
      <c r="A2973" t="s">
        <v>690</v>
      </c>
      <c r="B2973" t="s">
        <v>100</v>
      </c>
      <c r="C2973" t="s">
        <v>111</v>
      </c>
      <c r="D2973" t="s">
        <v>689</v>
      </c>
      <c r="E2973" t="s">
        <v>769</v>
      </c>
      <c r="F2973">
        <v>4</v>
      </c>
      <c r="G2973" s="308">
        <f>'BECA SUPERIOR'!P89</f>
        <v>0</v>
      </c>
      <c r="H2973" s="308">
        <f>'BECA SUPERIOR'!Q89</f>
        <v>0</v>
      </c>
    </row>
    <row r="2974" spans="1:8" x14ac:dyDescent="0.3">
      <c r="A2974" t="s">
        <v>690</v>
      </c>
      <c r="B2974" t="s">
        <v>100</v>
      </c>
      <c r="C2974" t="s">
        <v>111</v>
      </c>
      <c r="D2974" t="s">
        <v>689</v>
      </c>
      <c r="E2974" t="s">
        <v>770</v>
      </c>
      <c r="F2974">
        <v>5</v>
      </c>
      <c r="G2974" s="308">
        <f>'BECA SUPERIOR'!S89</f>
        <v>0</v>
      </c>
      <c r="H2974" s="308">
        <f>'BECA SUPERIOR'!T89</f>
        <v>0</v>
      </c>
    </row>
    <row r="2975" spans="1:8" x14ac:dyDescent="0.3">
      <c r="A2975" t="s">
        <v>690</v>
      </c>
      <c r="B2975" t="s">
        <v>100</v>
      </c>
      <c r="C2975" t="s">
        <v>111</v>
      </c>
      <c r="D2975" t="s">
        <v>689</v>
      </c>
      <c r="E2975" t="s">
        <v>771</v>
      </c>
      <c r="F2975">
        <v>6</v>
      </c>
      <c r="G2975" s="308">
        <f>'BECA SUPERIOR'!V89</f>
        <v>0</v>
      </c>
      <c r="H2975" s="308">
        <f>'BECA SUPERIOR'!W89</f>
        <v>0</v>
      </c>
    </row>
    <row r="2976" spans="1:8" x14ac:dyDescent="0.3">
      <c r="A2976" t="s">
        <v>690</v>
      </c>
      <c r="B2976" t="s">
        <v>100</v>
      </c>
      <c r="C2976" t="s">
        <v>111</v>
      </c>
      <c r="D2976" t="s">
        <v>689</v>
      </c>
      <c r="E2976" t="s">
        <v>772</v>
      </c>
      <c r="F2976">
        <v>7</v>
      </c>
      <c r="G2976" s="308">
        <f>'BECA SUPERIOR'!Y89</f>
        <v>0</v>
      </c>
      <c r="H2976" s="308">
        <f>'BECA SUPERIOR'!Z89</f>
        <v>0</v>
      </c>
    </row>
    <row r="2977" spans="1:8" x14ac:dyDescent="0.3">
      <c r="A2977" t="s">
        <v>690</v>
      </c>
      <c r="B2977" t="s">
        <v>100</v>
      </c>
      <c r="C2977" t="s">
        <v>112</v>
      </c>
      <c r="D2977" t="s">
        <v>689</v>
      </c>
      <c r="E2977" t="s">
        <v>766</v>
      </c>
      <c r="F2977">
        <v>1</v>
      </c>
      <c r="G2977" s="308">
        <f>'BECA SUPERIOR'!G90</f>
        <v>0</v>
      </c>
      <c r="H2977" s="308">
        <f>'BECA SUPERIOR'!H90</f>
        <v>0</v>
      </c>
    </row>
    <row r="2978" spans="1:8" x14ac:dyDescent="0.3">
      <c r="A2978" t="s">
        <v>690</v>
      </c>
      <c r="B2978" t="s">
        <v>100</v>
      </c>
      <c r="C2978" t="s">
        <v>112</v>
      </c>
      <c r="D2978" t="s">
        <v>689</v>
      </c>
      <c r="E2978" t="s">
        <v>767</v>
      </c>
      <c r="F2978">
        <v>2</v>
      </c>
      <c r="G2978" s="308">
        <f>'BECA SUPERIOR'!J90</f>
        <v>0</v>
      </c>
      <c r="H2978" s="308">
        <f>'BECA SUPERIOR'!K90</f>
        <v>0</v>
      </c>
    </row>
    <row r="2979" spans="1:8" x14ac:dyDescent="0.3">
      <c r="A2979" t="s">
        <v>690</v>
      </c>
      <c r="B2979" t="s">
        <v>100</v>
      </c>
      <c r="C2979" t="s">
        <v>112</v>
      </c>
      <c r="D2979" t="s">
        <v>689</v>
      </c>
      <c r="E2979" t="s">
        <v>768</v>
      </c>
      <c r="F2979">
        <v>3</v>
      </c>
      <c r="G2979" s="308">
        <f>'BECA SUPERIOR'!M90</f>
        <v>0</v>
      </c>
      <c r="H2979" s="308">
        <f>'BECA SUPERIOR'!N90</f>
        <v>0</v>
      </c>
    </row>
    <row r="2980" spans="1:8" x14ac:dyDescent="0.3">
      <c r="A2980" t="s">
        <v>690</v>
      </c>
      <c r="B2980" t="s">
        <v>100</v>
      </c>
      <c r="C2980" t="s">
        <v>112</v>
      </c>
      <c r="D2980" t="s">
        <v>689</v>
      </c>
      <c r="E2980" t="s">
        <v>769</v>
      </c>
      <c r="F2980">
        <v>4</v>
      </c>
      <c r="G2980" s="308">
        <f>'BECA SUPERIOR'!P90</f>
        <v>9.36</v>
      </c>
      <c r="H2980" s="308">
        <f>'BECA SUPERIOR'!Q90</f>
        <v>23400</v>
      </c>
    </row>
    <row r="2981" spans="1:8" x14ac:dyDescent="0.3">
      <c r="A2981" t="s">
        <v>690</v>
      </c>
      <c r="B2981" t="s">
        <v>100</v>
      </c>
      <c r="C2981" t="s">
        <v>112</v>
      </c>
      <c r="D2981" t="s">
        <v>689</v>
      </c>
      <c r="E2981" t="s">
        <v>770</v>
      </c>
      <c r="F2981">
        <v>5</v>
      </c>
      <c r="G2981" s="308">
        <f>'BECA SUPERIOR'!S90</f>
        <v>0</v>
      </c>
      <c r="H2981" s="308">
        <f>'BECA SUPERIOR'!T90</f>
        <v>0</v>
      </c>
    </row>
    <row r="2982" spans="1:8" x14ac:dyDescent="0.3">
      <c r="A2982" t="s">
        <v>690</v>
      </c>
      <c r="B2982" t="s">
        <v>100</v>
      </c>
      <c r="C2982" t="s">
        <v>112</v>
      </c>
      <c r="D2982" t="s">
        <v>689</v>
      </c>
      <c r="E2982" t="s">
        <v>771</v>
      </c>
      <c r="F2982">
        <v>6</v>
      </c>
      <c r="G2982" s="308">
        <f>'BECA SUPERIOR'!V90</f>
        <v>0</v>
      </c>
      <c r="H2982" s="308">
        <f>'BECA SUPERIOR'!W90</f>
        <v>0</v>
      </c>
    </row>
    <row r="2983" spans="1:8" x14ac:dyDescent="0.3">
      <c r="A2983" t="s">
        <v>690</v>
      </c>
      <c r="B2983" t="s">
        <v>100</v>
      </c>
      <c r="C2983" t="s">
        <v>112</v>
      </c>
      <c r="D2983" t="s">
        <v>689</v>
      </c>
      <c r="E2983" t="s">
        <v>772</v>
      </c>
      <c r="F2983">
        <v>7</v>
      </c>
      <c r="G2983" s="308">
        <f>'BECA SUPERIOR'!Y90</f>
        <v>0</v>
      </c>
      <c r="H2983" s="308">
        <f>'BECA SUPERIOR'!Z90</f>
        <v>0</v>
      </c>
    </row>
    <row r="2984" spans="1:8" x14ac:dyDescent="0.3">
      <c r="A2984" t="s">
        <v>690</v>
      </c>
      <c r="B2984" t="s">
        <v>100</v>
      </c>
      <c r="C2984" t="s">
        <v>113</v>
      </c>
      <c r="D2984" t="s">
        <v>689</v>
      </c>
      <c r="E2984" t="s">
        <v>766</v>
      </c>
      <c r="F2984">
        <v>1</v>
      </c>
      <c r="G2984" s="308">
        <f>'BECA SUPERIOR'!G91</f>
        <v>0</v>
      </c>
      <c r="H2984" s="308">
        <f>'BECA SUPERIOR'!H91</f>
        <v>0</v>
      </c>
    </row>
    <row r="2985" spans="1:8" x14ac:dyDescent="0.3">
      <c r="A2985" t="s">
        <v>690</v>
      </c>
      <c r="B2985" t="s">
        <v>100</v>
      </c>
      <c r="C2985" t="s">
        <v>113</v>
      </c>
      <c r="D2985" t="s">
        <v>689</v>
      </c>
      <c r="E2985" t="s">
        <v>767</v>
      </c>
      <c r="F2985">
        <v>2</v>
      </c>
      <c r="G2985" s="308">
        <f>'BECA SUPERIOR'!J91</f>
        <v>0</v>
      </c>
      <c r="H2985" s="308">
        <f>'BECA SUPERIOR'!K91</f>
        <v>0</v>
      </c>
    </row>
    <row r="2986" spans="1:8" x14ac:dyDescent="0.3">
      <c r="A2986" t="s">
        <v>690</v>
      </c>
      <c r="B2986" t="s">
        <v>100</v>
      </c>
      <c r="C2986" t="s">
        <v>113</v>
      </c>
      <c r="D2986" t="s">
        <v>689</v>
      </c>
      <c r="E2986" t="s">
        <v>768</v>
      </c>
      <c r="F2986">
        <v>3</v>
      </c>
      <c r="G2986" s="308">
        <f>'BECA SUPERIOR'!M91</f>
        <v>0</v>
      </c>
      <c r="H2986" s="308">
        <f>'BECA SUPERIOR'!N91</f>
        <v>0</v>
      </c>
    </row>
    <row r="2987" spans="1:8" x14ac:dyDescent="0.3">
      <c r="A2987" t="s">
        <v>690</v>
      </c>
      <c r="B2987" t="s">
        <v>100</v>
      </c>
      <c r="C2987" t="s">
        <v>113</v>
      </c>
      <c r="D2987" t="s">
        <v>689</v>
      </c>
      <c r="E2987" t="s">
        <v>769</v>
      </c>
      <c r="F2987">
        <v>4</v>
      </c>
      <c r="G2987" s="308">
        <f>'BECA SUPERIOR'!P91</f>
        <v>3.6</v>
      </c>
      <c r="H2987" s="308">
        <f>'BECA SUPERIOR'!Q91</f>
        <v>9000</v>
      </c>
    </row>
    <row r="2988" spans="1:8" x14ac:dyDescent="0.3">
      <c r="A2988" t="s">
        <v>690</v>
      </c>
      <c r="B2988" t="s">
        <v>100</v>
      </c>
      <c r="C2988" t="s">
        <v>113</v>
      </c>
      <c r="D2988" t="s">
        <v>689</v>
      </c>
      <c r="E2988" t="s">
        <v>770</v>
      </c>
      <c r="F2988">
        <v>5</v>
      </c>
      <c r="G2988" s="308">
        <f>'BECA SUPERIOR'!S91</f>
        <v>0</v>
      </c>
      <c r="H2988" s="308">
        <f>'BECA SUPERIOR'!T91</f>
        <v>0</v>
      </c>
    </row>
    <row r="2989" spans="1:8" x14ac:dyDescent="0.3">
      <c r="A2989" t="s">
        <v>690</v>
      </c>
      <c r="B2989" t="s">
        <v>100</v>
      </c>
      <c r="C2989" t="s">
        <v>113</v>
      </c>
      <c r="D2989" t="s">
        <v>689</v>
      </c>
      <c r="E2989" t="s">
        <v>771</v>
      </c>
      <c r="F2989">
        <v>6</v>
      </c>
      <c r="G2989" s="308">
        <f>'BECA SUPERIOR'!V91</f>
        <v>0</v>
      </c>
      <c r="H2989" s="308">
        <f>'BECA SUPERIOR'!W91</f>
        <v>0</v>
      </c>
    </row>
    <row r="2990" spans="1:8" x14ac:dyDescent="0.3">
      <c r="A2990" t="s">
        <v>690</v>
      </c>
      <c r="B2990" t="s">
        <v>100</v>
      </c>
      <c r="C2990" t="s">
        <v>113</v>
      </c>
      <c r="D2990" t="s">
        <v>689</v>
      </c>
      <c r="E2990" t="s">
        <v>772</v>
      </c>
      <c r="F2990">
        <v>7</v>
      </c>
      <c r="G2990" s="308">
        <f>'BECA SUPERIOR'!Y91</f>
        <v>0</v>
      </c>
      <c r="H2990" s="308">
        <f>'BECA SUPERIOR'!Z91</f>
        <v>0</v>
      </c>
    </row>
    <row r="2991" spans="1:8" x14ac:dyDescent="0.3">
      <c r="A2991" t="s">
        <v>690</v>
      </c>
      <c r="B2991" t="s">
        <v>100</v>
      </c>
      <c r="C2991" t="s">
        <v>114</v>
      </c>
      <c r="D2991" t="s">
        <v>689</v>
      </c>
      <c r="E2991" t="s">
        <v>766</v>
      </c>
      <c r="F2991">
        <v>1</v>
      </c>
      <c r="G2991" s="308">
        <f>'BECA SUPERIOR'!G92</f>
        <v>0</v>
      </c>
      <c r="H2991" s="308">
        <f>'BECA SUPERIOR'!H92</f>
        <v>0</v>
      </c>
    </row>
    <row r="2992" spans="1:8" x14ac:dyDescent="0.3">
      <c r="A2992" t="s">
        <v>690</v>
      </c>
      <c r="B2992" t="s">
        <v>100</v>
      </c>
      <c r="C2992" t="s">
        <v>114</v>
      </c>
      <c r="D2992" t="s">
        <v>689</v>
      </c>
      <c r="E2992" t="s">
        <v>767</v>
      </c>
      <c r="F2992">
        <v>2</v>
      </c>
      <c r="G2992" s="308">
        <f>'BECA SUPERIOR'!J92</f>
        <v>0</v>
      </c>
      <c r="H2992" s="308">
        <f>'BECA SUPERIOR'!K92</f>
        <v>0</v>
      </c>
    </row>
    <row r="2993" spans="1:8" x14ac:dyDescent="0.3">
      <c r="A2993" t="s">
        <v>690</v>
      </c>
      <c r="B2993" t="s">
        <v>100</v>
      </c>
      <c r="C2993" t="s">
        <v>114</v>
      </c>
      <c r="D2993" t="s">
        <v>689</v>
      </c>
      <c r="E2993" t="s">
        <v>768</v>
      </c>
      <c r="F2993">
        <v>3</v>
      </c>
      <c r="G2993" s="308">
        <f>'BECA SUPERIOR'!M92</f>
        <v>0</v>
      </c>
      <c r="H2993" s="308">
        <f>'BECA SUPERIOR'!N92</f>
        <v>0</v>
      </c>
    </row>
    <row r="2994" spans="1:8" x14ac:dyDescent="0.3">
      <c r="A2994" t="s">
        <v>690</v>
      </c>
      <c r="B2994" t="s">
        <v>100</v>
      </c>
      <c r="C2994" t="s">
        <v>114</v>
      </c>
      <c r="D2994" t="s">
        <v>689</v>
      </c>
      <c r="E2994" t="s">
        <v>769</v>
      </c>
      <c r="F2994">
        <v>4</v>
      </c>
      <c r="G2994" s="308">
        <f>'BECA SUPERIOR'!P92</f>
        <v>4.32</v>
      </c>
      <c r="H2994" s="308">
        <f>'BECA SUPERIOR'!Q92</f>
        <v>10800</v>
      </c>
    </row>
    <row r="2995" spans="1:8" x14ac:dyDescent="0.3">
      <c r="A2995" t="s">
        <v>690</v>
      </c>
      <c r="B2995" t="s">
        <v>100</v>
      </c>
      <c r="C2995" t="s">
        <v>114</v>
      </c>
      <c r="D2995" t="s">
        <v>689</v>
      </c>
      <c r="E2995" t="s">
        <v>770</v>
      </c>
      <c r="F2995">
        <v>5</v>
      </c>
      <c r="G2995" s="308">
        <f>'BECA SUPERIOR'!S92</f>
        <v>0</v>
      </c>
      <c r="H2995" s="308">
        <f>'BECA SUPERIOR'!T92</f>
        <v>0</v>
      </c>
    </row>
    <row r="2996" spans="1:8" x14ac:dyDescent="0.3">
      <c r="A2996" t="s">
        <v>690</v>
      </c>
      <c r="B2996" t="s">
        <v>100</v>
      </c>
      <c r="C2996" t="s">
        <v>114</v>
      </c>
      <c r="D2996" t="s">
        <v>689</v>
      </c>
      <c r="E2996" t="s">
        <v>771</v>
      </c>
      <c r="F2996">
        <v>6</v>
      </c>
      <c r="G2996" s="308">
        <f>'BECA SUPERIOR'!V92</f>
        <v>0</v>
      </c>
      <c r="H2996" s="308">
        <f>'BECA SUPERIOR'!W92</f>
        <v>0</v>
      </c>
    </row>
    <row r="2997" spans="1:8" x14ac:dyDescent="0.3">
      <c r="A2997" t="s">
        <v>690</v>
      </c>
      <c r="B2997" t="s">
        <v>100</v>
      </c>
      <c r="C2997" t="s">
        <v>114</v>
      </c>
      <c r="D2997" t="s">
        <v>689</v>
      </c>
      <c r="E2997" t="s">
        <v>772</v>
      </c>
      <c r="F2997">
        <v>7</v>
      </c>
      <c r="G2997" s="308">
        <f>'BECA SUPERIOR'!Y92</f>
        <v>0</v>
      </c>
      <c r="H2997" s="308">
        <f>'BECA SUPERIOR'!Z92</f>
        <v>0</v>
      </c>
    </row>
    <row r="2998" spans="1:8" x14ac:dyDescent="0.3">
      <c r="A2998" t="s">
        <v>690</v>
      </c>
      <c r="B2998" t="s">
        <v>100</v>
      </c>
      <c r="C2998" t="s">
        <v>115</v>
      </c>
      <c r="D2998" t="s">
        <v>689</v>
      </c>
      <c r="E2998" t="s">
        <v>766</v>
      </c>
      <c r="F2998">
        <v>1</v>
      </c>
      <c r="G2998" s="308">
        <f>'BECA SUPERIOR'!G93</f>
        <v>0</v>
      </c>
      <c r="H2998" s="308">
        <f>'BECA SUPERIOR'!H93</f>
        <v>0</v>
      </c>
    </row>
    <row r="2999" spans="1:8" x14ac:dyDescent="0.3">
      <c r="A2999" t="s">
        <v>690</v>
      </c>
      <c r="B2999" t="s">
        <v>100</v>
      </c>
      <c r="C2999" t="s">
        <v>115</v>
      </c>
      <c r="D2999" t="s">
        <v>689</v>
      </c>
      <c r="E2999" t="s">
        <v>767</v>
      </c>
      <c r="F2999">
        <v>2</v>
      </c>
      <c r="G2999" s="308">
        <f>'BECA SUPERIOR'!J93</f>
        <v>0</v>
      </c>
      <c r="H2999" s="308">
        <f>'BECA SUPERIOR'!K93</f>
        <v>0</v>
      </c>
    </row>
    <row r="3000" spans="1:8" x14ac:dyDescent="0.3">
      <c r="A3000" t="s">
        <v>690</v>
      </c>
      <c r="B3000" t="s">
        <v>100</v>
      </c>
      <c r="C3000" t="s">
        <v>115</v>
      </c>
      <c r="D3000" t="s">
        <v>689</v>
      </c>
      <c r="E3000" t="s">
        <v>768</v>
      </c>
      <c r="F3000">
        <v>3</v>
      </c>
      <c r="G3000" s="308">
        <f>'BECA SUPERIOR'!M93</f>
        <v>0</v>
      </c>
      <c r="H3000" s="308">
        <f>'BECA SUPERIOR'!N93</f>
        <v>0</v>
      </c>
    </row>
    <row r="3001" spans="1:8" x14ac:dyDescent="0.3">
      <c r="A3001" t="s">
        <v>690</v>
      </c>
      <c r="B3001" t="s">
        <v>100</v>
      </c>
      <c r="C3001" t="s">
        <v>115</v>
      </c>
      <c r="D3001" t="s">
        <v>689</v>
      </c>
      <c r="E3001" t="s">
        <v>769</v>
      </c>
      <c r="F3001">
        <v>4</v>
      </c>
      <c r="G3001" s="308">
        <f>'BECA SUPERIOR'!P93</f>
        <v>2.88</v>
      </c>
      <c r="H3001" s="308">
        <f>'BECA SUPERIOR'!Q93</f>
        <v>7200</v>
      </c>
    </row>
    <row r="3002" spans="1:8" x14ac:dyDescent="0.3">
      <c r="A3002" t="s">
        <v>690</v>
      </c>
      <c r="B3002" t="s">
        <v>100</v>
      </c>
      <c r="C3002" t="s">
        <v>115</v>
      </c>
      <c r="D3002" t="s">
        <v>689</v>
      </c>
      <c r="E3002" t="s">
        <v>770</v>
      </c>
      <c r="F3002">
        <v>5</v>
      </c>
      <c r="G3002" s="308">
        <f>'BECA SUPERIOR'!S93</f>
        <v>0</v>
      </c>
      <c r="H3002" s="308">
        <f>'BECA SUPERIOR'!T93</f>
        <v>0</v>
      </c>
    </row>
    <row r="3003" spans="1:8" x14ac:dyDescent="0.3">
      <c r="A3003" t="s">
        <v>690</v>
      </c>
      <c r="B3003" t="s">
        <v>100</v>
      </c>
      <c r="C3003" t="s">
        <v>115</v>
      </c>
      <c r="D3003" t="s">
        <v>689</v>
      </c>
      <c r="E3003" t="s">
        <v>771</v>
      </c>
      <c r="F3003">
        <v>6</v>
      </c>
      <c r="G3003" s="308">
        <f>'BECA SUPERIOR'!V93</f>
        <v>0</v>
      </c>
      <c r="H3003" s="308">
        <f>'BECA SUPERIOR'!W93</f>
        <v>0</v>
      </c>
    </row>
    <row r="3004" spans="1:8" x14ac:dyDescent="0.3">
      <c r="A3004" t="s">
        <v>690</v>
      </c>
      <c r="B3004" t="s">
        <v>100</v>
      </c>
      <c r="C3004" t="s">
        <v>115</v>
      </c>
      <c r="D3004" t="s">
        <v>689</v>
      </c>
      <c r="E3004" t="s">
        <v>772</v>
      </c>
      <c r="F3004">
        <v>7</v>
      </c>
      <c r="G3004" s="308">
        <f>'BECA SUPERIOR'!Y93</f>
        <v>0</v>
      </c>
      <c r="H3004" s="308">
        <f>'BECA SUPERIOR'!Z93</f>
        <v>0</v>
      </c>
    </row>
    <row r="3005" spans="1:8" x14ac:dyDescent="0.3">
      <c r="A3005" t="s">
        <v>690</v>
      </c>
      <c r="B3005" t="s">
        <v>100</v>
      </c>
      <c r="C3005" t="s">
        <v>116</v>
      </c>
      <c r="D3005" t="s">
        <v>689</v>
      </c>
      <c r="E3005" t="s">
        <v>766</v>
      </c>
      <c r="F3005">
        <v>1</v>
      </c>
      <c r="G3005" s="308">
        <f>'BECA SUPERIOR'!G94</f>
        <v>0</v>
      </c>
      <c r="H3005" s="308">
        <f>'BECA SUPERIOR'!H94</f>
        <v>0</v>
      </c>
    </row>
    <row r="3006" spans="1:8" x14ac:dyDescent="0.3">
      <c r="A3006" t="s">
        <v>690</v>
      </c>
      <c r="B3006" t="s">
        <v>100</v>
      </c>
      <c r="C3006" t="s">
        <v>116</v>
      </c>
      <c r="D3006" t="s">
        <v>689</v>
      </c>
      <c r="E3006" t="s">
        <v>767</v>
      </c>
      <c r="F3006">
        <v>2</v>
      </c>
      <c r="G3006" s="308">
        <f>'BECA SUPERIOR'!J94</f>
        <v>0</v>
      </c>
      <c r="H3006" s="308">
        <f>'BECA SUPERIOR'!K94</f>
        <v>0</v>
      </c>
    </row>
    <row r="3007" spans="1:8" x14ac:dyDescent="0.3">
      <c r="A3007" t="s">
        <v>690</v>
      </c>
      <c r="B3007" t="s">
        <v>100</v>
      </c>
      <c r="C3007" t="s">
        <v>116</v>
      </c>
      <c r="D3007" t="s">
        <v>689</v>
      </c>
      <c r="E3007" t="s">
        <v>768</v>
      </c>
      <c r="F3007">
        <v>3</v>
      </c>
      <c r="G3007" s="308">
        <f>'BECA SUPERIOR'!M94</f>
        <v>0</v>
      </c>
      <c r="H3007" s="308">
        <f>'BECA SUPERIOR'!N94</f>
        <v>0</v>
      </c>
    </row>
    <row r="3008" spans="1:8" x14ac:dyDescent="0.3">
      <c r="A3008" t="s">
        <v>690</v>
      </c>
      <c r="B3008" t="s">
        <v>100</v>
      </c>
      <c r="C3008" t="s">
        <v>116</v>
      </c>
      <c r="D3008" t="s">
        <v>689</v>
      </c>
      <c r="E3008" t="s">
        <v>769</v>
      </c>
      <c r="F3008">
        <v>4</v>
      </c>
      <c r="G3008" s="308">
        <f>'BECA SUPERIOR'!P94</f>
        <v>23.04</v>
      </c>
      <c r="H3008" s="308">
        <f>'BECA SUPERIOR'!Q94</f>
        <v>57600</v>
      </c>
    </row>
    <row r="3009" spans="1:8" x14ac:dyDescent="0.3">
      <c r="A3009" t="s">
        <v>690</v>
      </c>
      <c r="B3009" t="s">
        <v>100</v>
      </c>
      <c r="C3009" t="s">
        <v>116</v>
      </c>
      <c r="D3009" t="s">
        <v>689</v>
      </c>
      <c r="E3009" t="s">
        <v>770</v>
      </c>
      <c r="F3009">
        <v>5</v>
      </c>
      <c r="G3009" s="308">
        <f>'BECA SUPERIOR'!S94</f>
        <v>0</v>
      </c>
      <c r="H3009" s="308">
        <f>'BECA SUPERIOR'!T94</f>
        <v>0</v>
      </c>
    </row>
    <row r="3010" spans="1:8" x14ac:dyDescent="0.3">
      <c r="A3010" t="s">
        <v>690</v>
      </c>
      <c r="B3010" t="s">
        <v>100</v>
      </c>
      <c r="C3010" t="s">
        <v>116</v>
      </c>
      <c r="D3010" t="s">
        <v>689</v>
      </c>
      <c r="E3010" t="s">
        <v>771</v>
      </c>
      <c r="F3010">
        <v>6</v>
      </c>
      <c r="G3010" s="308">
        <f>'BECA SUPERIOR'!V94</f>
        <v>0</v>
      </c>
      <c r="H3010" s="308">
        <f>'BECA SUPERIOR'!W94</f>
        <v>0</v>
      </c>
    </row>
    <row r="3011" spans="1:8" x14ac:dyDescent="0.3">
      <c r="A3011" t="s">
        <v>690</v>
      </c>
      <c r="B3011" t="s">
        <v>100</v>
      </c>
      <c r="C3011" t="s">
        <v>116</v>
      </c>
      <c r="D3011" t="s">
        <v>689</v>
      </c>
      <c r="E3011" t="s">
        <v>772</v>
      </c>
      <c r="F3011">
        <v>7</v>
      </c>
      <c r="G3011" s="308">
        <f>'BECA SUPERIOR'!Y94</f>
        <v>0</v>
      </c>
      <c r="H3011" s="308">
        <f>'BECA SUPERIOR'!Z94</f>
        <v>0</v>
      </c>
    </row>
    <row r="3012" spans="1:8" x14ac:dyDescent="0.3">
      <c r="A3012" t="s">
        <v>690</v>
      </c>
      <c r="B3012" t="s">
        <v>117</v>
      </c>
      <c r="C3012" t="s">
        <v>118</v>
      </c>
      <c r="D3012" t="s">
        <v>689</v>
      </c>
      <c r="E3012" t="s">
        <v>766</v>
      </c>
      <c r="F3012">
        <v>1</v>
      </c>
      <c r="G3012" s="308">
        <f>'BECA SUPERIOR'!G95</f>
        <v>0</v>
      </c>
      <c r="H3012" s="308">
        <f>'BECA SUPERIOR'!H95</f>
        <v>0</v>
      </c>
    </row>
    <row r="3013" spans="1:8" x14ac:dyDescent="0.3">
      <c r="A3013" t="s">
        <v>690</v>
      </c>
      <c r="B3013" t="s">
        <v>117</v>
      </c>
      <c r="C3013" t="s">
        <v>118</v>
      </c>
      <c r="D3013" t="s">
        <v>689</v>
      </c>
      <c r="E3013" t="s">
        <v>767</v>
      </c>
      <c r="F3013">
        <v>2</v>
      </c>
      <c r="G3013" s="308">
        <f>'BECA SUPERIOR'!J95</f>
        <v>0</v>
      </c>
      <c r="H3013" s="308">
        <f>'BECA SUPERIOR'!K95</f>
        <v>0</v>
      </c>
    </row>
    <row r="3014" spans="1:8" x14ac:dyDescent="0.3">
      <c r="A3014" t="s">
        <v>690</v>
      </c>
      <c r="B3014" t="s">
        <v>117</v>
      </c>
      <c r="C3014" t="s">
        <v>118</v>
      </c>
      <c r="D3014" t="s">
        <v>689</v>
      </c>
      <c r="E3014" t="s">
        <v>768</v>
      </c>
      <c r="F3014">
        <v>3</v>
      </c>
      <c r="G3014" s="308">
        <f>'BECA SUPERIOR'!M95</f>
        <v>0</v>
      </c>
      <c r="H3014" s="308">
        <f>'BECA SUPERIOR'!N95</f>
        <v>0</v>
      </c>
    </row>
    <row r="3015" spans="1:8" x14ac:dyDescent="0.3">
      <c r="A3015" t="s">
        <v>690</v>
      </c>
      <c r="B3015" t="s">
        <v>117</v>
      </c>
      <c r="C3015" t="s">
        <v>118</v>
      </c>
      <c r="D3015" t="s">
        <v>689</v>
      </c>
      <c r="E3015" t="s">
        <v>769</v>
      </c>
      <c r="F3015">
        <v>4</v>
      </c>
      <c r="G3015" s="308">
        <f>'BECA SUPERIOR'!P95</f>
        <v>2.88</v>
      </c>
      <c r="H3015" s="308">
        <f>'BECA SUPERIOR'!Q95</f>
        <v>7200</v>
      </c>
    </row>
    <row r="3016" spans="1:8" x14ac:dyDescent="0.3">
      <c r="A3016" t="s">
        <v>690</v>
      </c>
      <c r="B3016" t="s">
        <v>117</v>
      </c>
      <c r="C3016" t="s">
        <v>118</v>
      </c>
      <c r="D3016" t="s">
        <v>689</v>
      </c>
      <c r="E3016" t="s">
        <v>770</v>
      </c>
      <c r="F3016">
        <v>5</v>
      </c>
      <c r="G3016" s="308">
        <f>'BECA SUPERIOR'!S95</f>
        <v>0</v>
      </c>
      <c r="H3016" s="308">
        <f>'BECA SUPERIOR'!T95</f>
        <v>0</v>
      </c>
    </row>
    <row r="3017" spans="1:8" x14ac:dyDescent="0.3">
      <c r="A3017" t="s">
        <v>690</v>
      </c>
      <c r="B3017" t="s">
        <v>117</v>
      </c>
      <c r="C3017" t="s">
        <v>118</v>
      </c>
      <c r="D3017" t="s">
        <v>689</v>
      </c>
      <c r="E3017" t="s">
        <v>771</v>
      </c>
      <c r="F3017">
        <v>6</v>
      </c>
      <c r="G3017" s="308">
        <f>'BECA SUPERIOR'!V95</f>
        <v>0</v>
      </c>
      <c r="H3017" s="308">
        <f>'BECA SUPERIOR'!W95</f>
        <v>0</v>
      </c>
    </row>
    <row r="3018" spans="1:8" x14ac:dyDescent="0.3">
      <c r="A3018" t="s">
        <v>690</v>
      </c>
      <c r="B3018" t="s">
        <v>117</v>
      </c>
      <c r="C3018" t="s">
        <v>118</v>
      </c>
      <c r="D3018" t="s">
        <v>689</v>
      </c>
      <c r="E3018" t="s">
        <v>772</v>
      </c>
      <c r="F3018">
        <v>7</v>
      </c>
      <c r="G3018" s="308">
        <f>'BECA SUPERIOR'!Y95</f>
        <v>0</v>
      </c>
      <c r="H3018" s="308">
        <f>'BECA SUPERIOR'!Z95</f>
        <v>0</v>
      </c>
    </row>
    <row r="3019" spans="1:8" x14ac:dyDescent="0.3">
      <c r="A3019" t="s">
        <v>690</v>
      </c>
      <c r="B3019" t="s">
        <v>117</v>
      </c>
      <c r="C3019" t="s">
        <v>119</v>
      </c>
      <c r="D3019" t="s">
        <v>689</v>
      </c>
      <c r="E3019" t="s">
        <v>766</v>
      </c>
      <c r="F3019">
        <v>1</v>
      </c>
      <c r="G3019" s="308">
        <f>'BECA SUPERIOR'!G96</f>
        <v>0</v>
      </c>
      <c r="H3019" s="308">
        <f>'BECA SUPERIOR'!H96</f>
        <v>0</v>
      </c>
    </row>
    <row r="3020" spans="1:8" x14ac:dyDescent="0.3">
      <c r="A3020" t="s">
        <v>690</v>
      </c>
      <c r="B3020" t="s">
        <v>117</v>
      </c>
      <c r="C3020" t="s">
        <v>119</v>
      </c>
      <c r="D3020" t="s">
        <v>689</v>
      </c>
      <c r="E3020" t="s">
        <v>767</v>
      </c>
      <c r="F3020">
        <v>2</v>
      </c>
      <c r="G3020" s="308">
        <f>'BECA SUPERIOR'!J96</f>
        <v>0</v>
      </c>
      <c r="H3020" s="308">
        <f>'BECA SUPERIOR'!K96</f>
        <v>0</v>
      </c>
    </row>
    <row r="3021" spans="1:8" x14ac:dyDescent="0.3">
      <c r="A3021" t="s">
        <v>690</v>
      </c>
      <c r="B3021" t="s">
        <v>117</v>
      </c>
      <c r="C3021" t="s">
        <v>119</v>
      </c>
      <c r="D3021" t="s">
        <v>689</v>
      </c>
      <c r="E3021" t="s">
        <v>768</v>
      </c>
      <c r="F3021">
        <v>3</v>
      </c>
      <c r="G3021" s="308">
        <f>'BECA SUPERIOR'!M96</f>
        <v>0</v>
      </c>
      <c r="H3021" s="308">
        <f>'BECA SUPERIOR'!N96</f>
        <v>0</v>
      </c>
    </row>
    <row r="3022" spans="1:8" x14ac:dyDescent="0.3">
      <c r="A3022" t="s">
        <v>690</v>
      </c>
      <c r="B3022" t="s">
        <v>117</v>
      </c>
      <c r="C3022" t="s">
        <v>119</v>
      </c>
      <c r="D3022" t="s">
        <v>689</v>
      </c>
      <c r="E3022" t="s">
        <v>769</v>
      </c>
      <c r="F3022">
        <v>4</v>
      </c>
      <c r="G3022" s="308">
        <f>'BECA SUPERIOR'!P96</f>
        <v>2.16</v>
      </c>
      <c r="H3022" s="308">
        <f>'BECA SUPERIOR'!Q96</f>
        <v>5400</v>
      </c>
    </row>
    <row r="3023" spans="1:8" x14ac:dyDescent="0.3">
      <c r="A3023" t="s">
        <v>690</v>
      </c>
      <c r="B3023" t="s">
        <v>117</v>
      </c>
      <c r="C3023" t="s">
        <v>119</v>
      </c>
      <c r="D3023" t="s">
        <v>689</v>
      </c>
      <c r="E3023" t="s">
        <v>770</v>
      </c>
      <c r="F3023">
        <v>5</v>
      </c>
      <c r="G3023" s="308">
        <f>'BECA SUPERIOR'!S96</f>
        <v>0</v>
      </c>
      <c r="H3023" s="308">
        <f>'BECA SUPERIOR'!T96</f>
        <v>0</v>
      </c>
    </row>
    <row r="3024" spans="1:8" x14ac:dyDescent="0.3">
      <c r="A3024" t="s">
        <v>690</v>
      </c>
      <c r="B3024" t="s">
        <v>117</v>
      </c>
      <c r="C3024" t="s">
        <v>119</v>
      </c>
      <c r="D3024" t="s">
        <v>689</v>
      </c>
      <c r="E3024" t="s">
        <v>771</v>
      </c>
      <c r="F3024">
        <v>6</v>
      </c>
      <c r="G3024" s="308">
        <f>'BECA SUPERIOR'!V96</f>
        <v>0</v>
      </c>
      <c r="H3024" s="308">
        <f>'BECA SUPERIOR'!W96</f>
        <v>0</v>
      </c>
    </row>
    <row r="3025" spans="1:8" x14ac:dyDescent="0.3">
      <c r="A3025" t="s">
        <v>690</v>
      </c>
      <c r="B3025" t="s">
        <v>117</v>
      </c>
      <c r="C3025" t="s">
        <v>119</v>
      </c>
      <c r="D3025" t="s">
        <v>689</v>
      </c>
      <c r="E3025" t="s">
        <v>772</v>
      </c>
      <c r="F3025">
        <v>7</v>
      </c>
      <c r="G3025" s="308">
        <f>'BECA SUPERIOR'!Y96</f>
        <v>0</v>
      </c>
      <c r="H3025" s="308">
        <f>'BECA SUPERIOR'!Z96</f>
        <v>0</v>
      </c>
    </row>
    <row r="3026" spans="1:8" x14ac:dyDescent="0.3">
      <c r="A3026" t="s">
        <v>690</v>
      </c>
      <c r="B3026" t="s">
        <v>117</v>
      </c>
      <c r="C3026" t="s">
        <v>120</v>
      </c>
      <c r="D3026" t="s">
        <v>689</v>
      </c>
      <c r="E3026" t="s">
        <v>766</v>
      </c>
      <c r="F3026">
        <v>1</v>
      </c>
      <c r="G3026" s="308">
        <f>'BECA SUPERIOR'!G97</f>
        <v>0</v>
      </c>
      <c r="H3026" s="308">
        <f>'BECA SUPERIOR'!H97</f>
        <v>0</v>
      </c>
    </row>
    <row r="3027" spans="1:8" x14ac:dyDescent="0.3">
      <c r="A3027" t="s">
        <v>690</v>
      </c>
      <c r="B3027" t="s">
        <v>117</v>
      </c>
      <c r="C3027" t="s">
        <v>120</v>
      </c>
      <c r="D3027" t="s">
        <v>689</v>
      </c>
      <c r="E3027" t="s">
        <v>767</v>
      </c>
      <c r="F3027">
        <v>2</v>
      </c>
      <c r="G3027" s="308">
        <f>'BECA SUPERIOR'!J97</f>
        <v>0</v>
      </c>
      <c r="H3027" s="308">
        <f>'BECA SUPERIOR'!K97</f>
        <v>0</v>
      </c>
    </row>
    <row r="3028" spans="1:8" x14ac:dyDescent="0.3">
      <c r="A3028" t="s">
        <v>690</v>
      </c>
      <c r="B3028" t="s">
        <v>117</v>
      </c>
      <c r="C3028" t="s">
        <v>120</v>
      </c>
      <c r="D3028" t="s">
        <v>689</v>
      </c>
      <c r="E3028" t="s">
        <v>768</v>
      </c>
      <c r="F3028">
        <v>3</v>
      </c>
      <c r="G3028" s="308">
        <f>'BECA SUPERIOR'!M97</f>
        <v>0</v>
      </c>
      <c r="H3028" s="308">
        <f>'BECA SUPERIOR'!N97</f>
        <v>0</v>
      </c>
    </row>
    <row r="3029" spans="1:8" x14ac:dyDescent="0.3">
      <c r="A3029" t="s">
        <v>690</v>
      </c>
      <c r="B3029" t="s">
        <v>117</v>
      </c>
      <c r="C3029" t="s">
        <v>120</v>
      </c>
      <c r="D3029" t="s">
        <v>689</v>
      </c>
      <c r="E3029" t="s">
        <v>769</v>
      </c>
      <c r="F3029">
        <v>4</v>
      </c>
      <c r="G3029" s="308">
        <f>'BECA SUPERIOR'!P97</f>
        <v>0.72</v>
      </c>
      <c r="H3029" s="308">
        <f>'BECA SUPERIOR'!Q97</f>
        <v>1800</v>
      </c>
    </row>
    <row r="3030" spans="1:8" x14ac:dyDescent="0.3">
      <c r="A3030" t="s">
        <v>690</v>
      </c>
      <c r="B3030" t="s">
        <v>117</v>
      </c>
      <c r="C3030" t="s">
        <v>120</v>
      </c>
      <c r="D3030" t="s">
        <v>689</v>
      </c>
      <c r="E3030" t="s">
        <v>770</v>
      </c>
      <c r="F3030">
        <v>5</v>
      </c>
      <c r="G3030" s="308">
        <f>'BECA SUPERIOR'!S97</f>
        <v>0</v>
      </c>
      <c r="H3030" s="308">
        <f>'BECA SUPERIOR'!T97</f>
        <v>0</v>
      </c>
    </row>
    <row r="3031" spans="1:8" x14ac:dyDescent="0.3">
      <c r="A3031" t="s">
        <v>690</v>
      </c>
      <c r="B3031" t="s">
        <v>117</v>
      </c>
      <c r="C3031" t="s">
        <v>120</v>
      </c>
      <c r="D3031" t="s">
        <v>689</v>
      </c>
      <c r="E3031" t="s">
        <v>771</v>
      </c>
      <c r="F3031">
        <v>6</v>
      </c>
      <c r="G3031" s="308">
        <f>'BECA SUPERIOR'!V97</f>
        <v>0</v>
      </c>
      <c r="H3031" s="308">
        <f>'BECA SUPERIOR'!W97</f>
        <v>0</v>
      </c>
    </row>
    <row r="3032" spans="1:8" x14ac:dyDescent="0.3">
      <c r="A3032" t="s">
        <v>690</v>
      </c>
      <c r="B3032" t="s">
        <v>117</v>
      </c>
      <c r="C3032" t="s">
        <v>120</v>
      </c>
      <c r="D3032" t="s">
        <v>689</v>
      </c>
      <c r="E3032" t="s">
        <v>772</v>
      </c>
      <c r="F3032">
        <v>7</v>
      </c>
      <c r="G3032" s="308">
        <f>'BECA SUPERIOR'!Y97</f>
        <v>0</v>
      </c>
      <c r="H3032" s="308">
        <f>'BECA SUPERIOR'!Z97</f>
        <v>0</v>
      </c>
    </row>
    <row r="3033" spans="1:8" x14ac:dyDescent="0.3">
      <c r="A3033" t="s">
        <v>690</v>
      </c>
      <c r="B3033" t="s">
        <v>117</v>
      </c>
      <c r="C3033" t="s">
        <v>121</v>
      </c>
      <c r="D3033" t="s">
        <v>689</v>
      </c>
      <c r="E3033" t="s">
        <v>766</v>
      </c>
      <c r="F3033">
        <v>1</v>
      </c>
      <c r="G3033" s="308">
        <f>'BECA SUPERIOR'!G98</f>
        <v>0</v>
      </c>
      <c r="H3033" s="308">
        <f>'BECA SUPERIOR'!H98</f>
        <v>0</v>
      </c>
    </row>
    <row r="3034" spans="1:8" x14ac:dyDescent="0.3">
      <c r="A3034" t="s">
        <v>690</v>
      </c>
      <c r="B3034" t="s">
        <v>117</v>
      </c>
      <c r="C3034" t="s">
        <v>121</v>
      </c>
      <c r="D3034" t="s">
        <v>689</v>
      </c>
      <c r="E3034" t="s">
        <v>767</v>
      </c>
      <c r="F3034">
        <v>2</v>
      </c>
      <c r="G3034" s="308">
        <f>'BECA SUPERIOR'!J98</f>
        <v>0</v>
      </c>
      <c r="H3034" s="308">
        <f>'BECA SUPERIOR'!K98</f>
        <v>0</v>
      </c>
    </row>
    <row r="3035" spans="1:8" x14ac:dyDescent="0.3">
      <c r="A3035" t="s">
        <v>690</v>
      </c>
      <c r="B3035" t="s">
        <v>117</v>
      </c>
      <c r="C3035" t="s">
        <v>121</v>
      </c>
      <c r="D3035" t="s">
        <v>689</v>
      </c>
      <c r="E3035" t="s">
        <v>768</v>
      </c>
      <c r="F3035">
        <v>3</v>
      </c>
      <c r="G3035" s="308">
        <f>'BECA SUPERIOR'!M98</f>
        <v>0</v>
      </c>
      <c r="H3035" s="308">
        <f>'BECA SUPERIOR'!N98</f>
        <v>0</v>
      </c>
    </row>
    <row r="3036" spans="1:8" x14ac:dyDescent="0.3">
      <c r="A3036" t="s">
        <v>690</v>
      </c>
      <c r="B3036" t="s">
        <v>117</v>
      </c>
      <c r="C3036" t="s">
        <v>121</v>
      </c>
      <c r="D3036" t="s">
        <v>689</v>
      </c>
      <c r="E3036" t="s">
        <v>769</v>
      </c>
      <c r="F3036">
        <v>4</v>
      </c>
      <c r="G3036" s="308">
        <f>'BECA SUPERIOR'!P98</f>
        <v>2.88</v>
      </c>
      <c r="H3036" s="308">
        <f>'BECA SUPERIOR'!Q98</f>
        <v>7200</v>
      </c>
    </row>
    <row r="3037" spans="1:8" x14ac:dyDescent="0.3">
      <c r="A3037" t="s">
        <v>690</v>
      </c>
      <c r="B3037" t="s">
        <v>117</v>
      </c>
      <c r="C3037" t="s">
        <v>121</v>
      </c>
      <c r="D3037" t="s">
        <v>689</v>
      </c>
      <c r="E3037" t="s">
        <v>770</v>
      </c>
      <c r="F3037">
        <v>5</v>
      </c>
      <c r="G3037" s="308">
        <f>'BECA SUPERIOR'!S98</f>
        <v>0</v>
      </c>
      <c r="H3037" s="308">
        <f>'BECA SUPERIOR'!T98</f>
        <v>0</v>
      </c>
    </row>
    <row r="3038" spans="1:8" x14ac:dyDescent="0.3">
      <c r="A3038" t="s">
        <v>690</v>
      </c>
      <c r="B3038" t="s">
        <v>117</v>
      </c>
      <c r="C3038" t="s">
        <v>121</v>
      </c>
      <c r="D3038" t="s">
        <v>689</v>
      </c>
      <c r="E3038" t="s">
        <v>771</v>
      </c>
      <c r="F3038">
        <v>6</v>
      </c>
      <c r="G3038" s="308">
        <f>'BECA SUPERIOR'!V98</f>
        <v>0</v>
      </c>
      <c r="H3038" s="308">
        <f>'BECA SUPERIOR'!W98</f>
        <v>0</v>
      </c>
    </row>
    <row r="3039" spans="1:8" x14ac:dyDescent="0.3">
      <c r="A3039" t="s">
        <v>690</v>
      </c>
      <c r="B3039" t="s">
        <v>117</v>
      </c>
      <c r="C3039" t="s">
        <v>121</v>
      </c>
      <c r="D3039" t="s">
        <v>689</v>
      </c>
      <c r="E3039" t="s">
        <v>772</v>
      </c>
      <c r="F3039">
        <v>7</v>
      </c>
      <c r="G3039" s="308">
        <f>'BECA SUPERIOR'!Y98</f>
        <v>0</v>
      </c>
      <c r="H3039" s="308">
        <f>'BECA SUPERIOR'!Z98</f>
        <v>0</v>
      </c>
    </row>
    <row r="3040" spans="1:8" x14ac:dyDescent="0.3">
      <c r="A3040" t="s">
        <v>690</v>
      </c>
      <c r="B3040" t="s">
        <v>117</v>
      </c>
      <c r="C3040" t="s">
        <v>122</v>
      </c>
      <c r="D3040" t="s">
        <v>689</v>
      </c>
      <c r="E3040" t="s">
        <v>766</v>
      </c>
      <c r="F3040">
        <v>1</v>
      </c>
      <c r="G3040" s="308">
        <f>'BECA SUPERIOR'!G99</f>
        <v>0</v>
      </c>
      <c r="H3040" s="308">
        <f>'BECA SUPERIOR'!H99</f>
        <v>0</v>
      </c>
    </row>
    <row r="3041" spans="1:8" x14ac:dyDescent="0.3">
      <c r="A3041" t="s">
        <v>690</v>
      </c>
      <c r="B3041" t="s">
        <v>117</v>
      </c>
      <c r="C3041" t="s">
        <v>122</v>
      </c>
      <c r="D3041" t="s">
        <v>689</v>
      </c>
      <c r="E3041" t="s">
        <v>767</v>
      </c>
      <c r="F3041">
        <v>2</v>
      </c>
      <c r="G3041" s="308">
        <f>'BECA SUPERIOR'!J99</f>
        <v>0</v>
      </c>
      <c r="H3041" s="308">
        <f>'BECA SUPERIOR'!K99</f>
        <v>0</v>
      </c>
    </row>
    <row r="3042" spans="1:8" x14ac:dyDescent="0.3">
      <c r="A3042" t="s">
        <v>690</v>
      </c>
      <c r="B3042" t="s">
        <v>117</v>
      </c>
      <c r="C3042" t="s">
        <v>122</v>
      </c>
      <c r="D3042" t="s">
        <v>689</v>
      </c>
      <c r="E3042" t="s">
        <v>768</v>
      </c>
      <c r="F3042">
        <v>3</v>
      </c>
      <c r="G3042" s="308">
        <f>'BECA SUPERIOR'!M99</f>
        <v>0</v>
      </c>
      <c r="H3042" s="308">
        <f>'BECA SUPERIOR'!N99</f>
        <v>0</v>
      </c>
    </row>
    <row r="3043" spans="1:8" x14ac:dyDescent="0.3">
      <c r="A3043" t="s">
        <v>690</v>
      </c>
      <c r="B3043" t="s">
        <v>117</v>
      </c>
      <c r="C3043" t="s">
        <v>122</v>
      </c>
      <c r="D3043" t="s">
        <v>689</v>
      </c>
      <c r="E3043" t="s">
        <v>769</v>
      </c>
      <c r="F3043">
        <v>4</v>
      </c>
      <c r="G3043" s="308">
        <f>'BECA SUPERIOR'!P99</f>
        <v>2.16</v>
      </c>
      <c r="H3043" s="308">
        <f>'BECA SUPERIOR'!Q99</f>
        <v>5400</v>
      </c>
    </row>
    <row r="3044" spans="1:8" x14ac:dyDescent="0.3">
      <c r="A3044" t="s">
        <v>690</v>
      </c>
      <c r="B3044" t="s">
        <v>117</v>
      </c>
      <c r="C3044" t="s">
        <v>122</v>
      </c>
      <c r="D3044" t="s">
        <v>689</v>
      </c>
      <c r="E3044" t="s">
        <v>770</v>
      </c>
      <c r="F3044">
        <v>5</v>
      </c>
      <c r="G3044" s="308">
        <f>'BECA SUPERIOR'!S99</f>
        <v>0</v>
      </c>
      <c r="H3044" s="308">
        <f>'BECA SUPERIOR'!T99</f>
        <v>0</v>
      </c>
    </row>
    <row r="3045" spans="1:8" x14ac:dyDescent="0.3">
      <c r="A3045" t="s">
        <v>690</v>
      </c>
      <c r="B3045" t="s">
        <v>117</v>
      </c>
      <c r="C3045" t="s">
        <v>122</v>
      </c>
      <c r="D3045" t="s">
        <v>689</v>
      </c>
      <c r="E3045" t="s">
        <v>771</v>
      </c>
      <c r="F3045">
        <v>6</v>
      </c>
      <c r="G3045" s="308">
        <f>'BECA SUPERIOR'!V99</f>
        <v>0</v>
      </c>
      <c r="H3045" s="308">
        <f>'BECA SUPERIOR'!W99</f>
        <v>0</v>
      </c>
    </row>
    <row r="3046" spans="1:8" x14ac:dyDescent="0.3">
      <c r="A3046" t="s">
        <v>690</v>
      </c>
      <c r="B3046" t="s">
        <v>117</v>
      </c>
      <c r="C3046" t="s">
        <v>122</v>
      </c>
      <c r="D3046" t="s">
        <v>689</v>
      </c>
      <c r="E3046" t="s">
        <v>772</v>
      </c>
      <c r="F3046">
        <v>7</v>
      </c>
      <c r="G3046" s="308">
        <f>'BECA SUPERIOR'!Y99</f>
        <v>0</v>
      </c>
      <c r="H3046" s="308">
        <f>'BECA SUPERIOR'!Z99</f>
        <v>0</v>
      </c>
    </row>
    <row r="3047" spans="1:8" x14ac:dyDescent="0.3">
      <c r="A3047" t="s">
        <v>690</v>
      </c>
      <c r="B3047" t="s">
        <v>117</v>
      </c>
      <c r="C3047" t="s">
        <v>123</v>
      </c>
      <c r="D3047" t="s">
        <v>689</v>
      </c>
      <c r="E3047" t="s">
        <v>766</v>
      </c>
      <c r="F3047">
        <v>1</v>
      </c>
      <c r="G3047" s="308">
        <f>'BECA SUPERIOR'!G100</f>
        <v>0</v>
      </c>
      <c r="H3047" s="308">
        <f>'BECA SUPERIOR'!H100</f>
        <v>0</v>
      </c>
    </row>
    <row r="3048" spans="1:8" x14ac:dyDescent="0.3">
      <c r="A3048" t="s">
        <v>690</v>
      </c>
      <c r="B3048" t="s">
        <v>117</v>
      </c>
      <c r="C3048" t="s">
        <v>123</v>
      </c>
      <c r="D3048" t="s">
        <v>689</v>
      </c>
      <c r="E3048" t="s">
        <v>767</v>
      </c>
      <c r="F3048">
        <v>2</v>
      </c>
      <c r="G3048" s="308">
        <f>'BECA SUPERIOR'!J100</f>
        <v>0</v>
      </c>
      <c r="H3048" s="308">
        <f>'BECA SUPERIOR'!K100</f>
        <v>0</v>
      </c>
    </row>
    <row r="3049" spans="1:8" x14ac:dyDescent="0.3">
      <c r="A3049" t="s">
        <v>690</v>
      </c>
      <c r="B3049" t="s">
        <v>117</v>
      </c>
      <c r="C3049" t="s">
        <v>123</v>
      </c>
      <c r="D3049" t="s">
        <v>689</v>
      </c>
      <c r="E3049" t="s">
        <v>768</v>
      </c>
      <c r="F3049">
        <v>3</v>
      </c>
      <c r="G3049" s="308">
        <f>'BECA SUPERIOR'!M100</f>
        <v>0</v>
      </c>
      <c r="H3049" s="308">
        <f>'BECA SUPERIOR'!N100</f>
        <v>0</v>
      </c>
    </row>
    <row r="3050" spans="1:8" x14ac:dyDescent="0.3">
      <c r="A3050" t="s">
        <v>690</v>
      </c>
      <c r="B3050" t="s">
        <v>117</v>
      </c>
      <c r="C3050" t="s">
        <v>123</v>
      </c>
      <c r="D3050" t="s">
        <v>689</v>
      </c>
      <c r="E3050" t="s">
        <v>769</v>
      </c>
      <c r="F3050">
        <v>4</v>
      </c>
      <c r="G3050" s="308">
        <f>'BECA SUPERIOR'!P100</f>
        <v>2.16</v>
      </c>
      <c r="H3050" s="308">
        <f>'BECA SUPERIOR'!Q100</f>
        <v>5400</v>
      </c>
    </row>
    <row r="3051" spans="1:8" x14ac:dyDescent="0.3">
      <c r="A3051" t="s">
        <v>690</v>
      </c>
      <c r="B3051" t="s">
        <v>117</v>
      </c>
      <c r="C3051" t="s">
        <v>123</v>
      </c>
      <c r="D3051" t="s">
        <v>689</v>
      </c>
      <c r="E3051" t="s">
        <v>770</v>
      </c>
      <c r="F3051">
        <v>5</v>
      </c>
      <c r="G3051" s="308">
        <f>'BECA SUPERIOR'!S100</f>
        <v>0</v>
      </c>
      <c r="H3051" s="308">
        <f>'BECA SUPERIOR'!T100</f>
        <v>0</v>
      </c>
    </row>
    <row r="3052" spans="1:8" x14ac:dyDescent="0.3">
      <c r="A3052" t="s">
        <v>690</v>
      </c>
      <c r="B3052" t="s">
        <v>117</v>
      </c>
      <c r="C3052" t="s">
        <v>123</v>
      </c>
      <c r="D3052" t="s">
        <v>689</v>
      </c>
      <c r="E3052" t="s">
        <v>771</v>
      </c>
      <c r="F3052">
        <v>6</v>
      </c>
      <c r="G3052" s="308">
        <f>'BECA SUPERIOR'!V100</f>
        <v>0</v>
      </c>
      <c r="H3052" s="308">
        <f>'BECA SUPERIOR'!W100</f>
        <v>0</v>
      </c>
    </row>
    <row r="3053" spans="1:8" x14ac:dyDescent="0.3">
      <c r="A3053" t="s">
        <v>690</v>
      </c>
      <c r="B3053" t="s">
        <v>117</v>
      </c>
      <c r="C3053" t="s">
        <v>123</v>
      </c>
      <c r="D3053" t="s">
        <v>689</v>
      </c>
      <c r="E3053" t="s">
        <v>772</v>
      </c>
      <c r="F3053">
        <v>7</v>
      </c>
      <c r="G3053" s="308">
        <f>'BECA SUPERIOR'!Y100</f>
        <v>0</v>
      </c>
      <c r="H3053" s="308">
        <f>'BECA SUPERIOR'!Z100</f>
        <v>0</v>
      </c>
    </row>
    <row r="3054" spans="1:8" x14ac:dyDescent="0.3">
      <c r="A3054" t="s">
        <v>690</v>
      </c>
      <c r="B3054" t="s">
        <v>117</v>
      </c>
      <c r="C3054" t="s">
        <v>117</v>
      </c>
      <c r="D3054" t="s">
        <v>689</v>
      </c>
      <c r="E3054" t="s">
        <v>766</v>
      </c>
      <c r="F3054">
        <v>1</v>
      </c>
      <c r="G3054" s="308">
        <f>'BECA SUPERIOR'!G101</f>
        <v>0</v>
      </c>
      <c r="H3054" s="308">
        <f>'BECA SUPERIOR'!H101</f>
        <v>0</v>
      </c>
    </row>
    <row r="3055" spans="1:8" x14ac:dyDescent="0.3">
      <c r="A3055" t="s">
        <v>690</v>
      </c>
      <c r="B3055" t="s">
        <v>117</v>
      </c>
      <c r="C3055" t="s">
        <v>117</v>
      </c>
      <c r="D3055" t="s">
        <v>689</v>
      </c>
      <c r="E3055" t="s">
        <v>767</v>
      </c>
      <c r="F3055">
        <v>2</v>
      </c>
      <c r="G3055" s="308">
        <f>'BECA SUPERIOR'!J101</f>
        <v>0</v>
      </c>
      <c r="H3055" s="308">
        <f>'BECA SUPERIOR'!K101</f>
        <v>0</v>
      </c>
    </row>
    <row r="3056" spans="1:8" x14ac:dyDescent="0.3">
      <c r="A3056" t="s">
        <v>690</v>
      </c>
      <c r="B3056" t="s">
        <v>117</v>
      </c>
      <c r="C3056" t="s">
        <v>117</v>
      </c>
      <c r="D3056" t="s">
        <v>689</v>
      </c>
      <c r="E3056" t="s">
        <v>768</v>
      </c>
      <c r="F3056">
        <v>3</v>
      </c>
      <c r="G3056" s="308">
        <f>'BECA SUPERIOR'!M101</f>
        <v>0</v>
      </c>
      <c r="H3056" s="308">
        <f>'BECA SUPERIOR'!N101</f>
        <v>0</v>
      </c>
    </row>
    <row r="3057" spans="1:8" x14ac:dyDescent="0.3">
      <c r="A3057" t="s">
        <v>690</v>
      </c>
      <c r="B3057" t="s">
        <v>117</v>
      </c>
      <c r="C3057" t="s">
        <v>117</v>
      </c>
      <c r="D3057" t="s">
        <v>689</v>
      </c>
      <c r="E3057" t="s">
        <v>769</v>
      </c>
      <c r="F3057">
        <v>4</v>
      </c>
      <c r="G3057" s="308">
        <f>'BECA SUPERIOR'!P101</f>
        <v>1.44</v>
      </c>
      <c r="H3057" s="308">
        <f>'BECA SUPERIOR'!Q101</f>
        <v>3600</v>
      </c>
    </row>
    <row r="3058" spans="1:8" x14ac:dyDescent="0.3">
      <c r="A3058" t="s">
        <v>690</v>
      </c>
      <c r="B3058" t="s">
        <v>117</v>
      </c>
      <c r="C3058" t="s">
        <v>117</v>
      </c>
      <c r="D3058" t="s">
        <v>689</v>
      </c>
      <c r="E3058" t="s">
        <v>770</v>
      </c>
      <c r="F3058">
        <v>5</v>
      </c>
      <c r="G3058" s="308">
        <f>'BECA SUPERIOR'!S101</f>
        <v>0</v>
      </c>
      <c r="H3058" s="308">
        <f>'BECA SUPERIOR'!T101</f>
        <v>0</v>
      </c>
    </row>
    <row r="3059" spans="1:8" x14ac:dyDescent="0.3">
      <c r="A3059" t="s">
        <v>690</v>
      </c>
      <c r="B3059" t="s">
        <v>117</v>
      </c>
      <c r="C3059" t="s">
        <v>117</v>
      </c>
      <c r="D3059" t="s">
        <v>689</v>
      </c>
      <c r="E3059" t="s">
        <v>771</v>
      </c>
      <c r="F3059">
        <v>6</v>
      </c>
      <c r="G3059" s="308">
        <f>'BECA SUPERIOR'!V101</f>
        <v>0</v>
      </c>
      <c r="H3059" s="308">
        <f>'BECA SUPERIOR'!W101</f>
        <v>0</v>
      </c>
    </row>
    <row r="3060" spans="1:8" x14ac:dyDescent="0.3">
      <c r="A3060" t="s">
        <v>690</v>
      </c>
      <c r="B3060" t="s">
        <v>117</v>
      </c>
      <c r="C3060" t="s">
        <v>117</v>
      </c>
      <c r="D3060" t="s">
        <v>689</v>
      </c>
      <c r="E3060" t="s">
        <v>772</v>
      </c>
      <c r="F3060">
        <v>7</v>
      </c>
      <c r="G3060" s="308">
        <f>'BECA SUPERIOR'!Y101</f>
        <v>0</v>
      </c>
      <c r="H3060" s="308">
        <f>'BECA SUPERIOR'!Z101</f>
        <v>0</v>
      </c>
    </row>
    <row r="3061" spans="1:8" x14ac:dyDescent="0.3">
      <c r="A3061" t="s">
        <v>690</v>
      </c>
      <c r="B3061" t="s">
        <v>117</v>
      </c>
      <c r="C3061" t="s">
        <v>124</v>
      </c>
      <c r="D3061" t="s">
        <v>689</v>
      </c>
      <c r="E3061" t="s">
        <v>766</v>
      </c>
      <c r="F3061">
        <v>1</v>
      </c>
      <c r="G3061" s="308">
        <f>'BECA SUPERIOR'!G102</f>
        <v>0</v>
      </c>
      <c r="H3061" s="308">
        <f>'BECA SUPERIOR'!H102</f>
        <v>0</v>
      </c>
    </row>
    <row r="3062" spans="1:8" x14ac:dyDescent="0.3">
      <c r="A3062" t="s">
        <v>690</v>
      </c>
      <c r="B3062" t="s">
        <v>117</v>
      </c>
      <c r="C3062" t="s">
        <v>124</v>
      </c>
      <c r="D3062" t="s">
        <v>689</v>
      </c>
      <c r="E3062" t="s">
        <v>767</v>
      </c>
      <c r="F3062">
        <v>2</v>
      </c>
      <c r="G3062" s="308">
        <f>'BECA SUPERIOR'!J102</f>
        <v>0</v>
      </c>
      <c r="H3062" s="308">
        <f>'BECA SUPERIOR'!K102</f>
        <v>0</v>
      </c>
    </row>
    <row r="3063" spans="1:8" x14ac:dyDescent="0.3">
      <c r="A3063" t="s">
        <v>690</v>
      </c>
      <c r="B3063" t="s">
        <v>117</v>
      </c>
      <c r="C3063" t="s">
        <v>124</v>
      </c>
      <c r="D3063" t="s">
        <v>689</v>
      </c>
      <c r="E3063" t="s">
        <v>768</v>
      </c>
      <c r="F3063">
        <v>3</v>
      </c>
      <c r="G3063" s="308">
        <f>'BECA SUPERIOR'!M102</f>
        <v>0</v>
      </c>
      <c r="H3063" s="308">
        <f>'BECA SUPERIOR'!N102</f>
        <v>0</v>
      </c>
    </row>
    <row r="3064" spans="1:8" x14ac:dyDescent="0.3">
      <c r="A3064" t="s">
        <v>690</v>
      </c>
      <c r="B3064" t="s">
        <v>117</v>
      </c>
      <c r="C3064" t="s">
        <v>124</v>
      </c>
      <c r="D3064" t="s">
        <v>689</v>
      </c>
      <c r="E3064" t="s">
        <v>769</v>
      </c>
      <c r="F3064">
        <v>4</v>
      </c>
      <c r="G3064" s="308">
        <f>'BECA SUPERIOR'!P102</f>
        <v>2.16</v>
      </c>
      <c r="H3064" s="308">
        <f>'BECA SUPERIOR'!Q102</f>
        <v>5400</v>
      </c>
    </row>
    <row r="3065" spans="1:8" x14ac:dyDescent="0.3">
      <c r="A3065" t="s">
        <v>690</v>
      </c>
      <c r="B3065" t="s">
        <v>117</v>
      </c>
      <c r="C3065" t="s">
        <v>124</v>
      </c>
      <c r="D3065" t="s">
        <v>689</v>
      </c>
      <c r="E3065" t="s">
        <v>770</v>
      </c>
      <c r="F3065">
        <v>5</v>
      </c>
      <c r="G3065" s="308">
        <f>'BECA SUPERIOR'!S102</f>
        <v>0</v>
      </c>
      <c r="H3065" s="308">
        <f>'BECA SUPERIOR'!T102</f>
        <v>0</v>
      </c>
    </row>
    <row r="3066" spans="1:8" x14ac:dyDescent="0.3">
      <c r="A3066" t="s">
        <v>690</v>
      </c>
      <c r="B3066" t="s">
        <v>117</v>
      </c>
      <c r="C3066" t="s">
        <v>124</v>
      </c>
      <c r="D3066" t="s">
        <v>689</v>
      </c>
      <c r="E3066" t="s">
        <v>771</v>
      </c>
      <c r="F3066">
        <v>6</v>
      </c>
      <c r="G3066" s="308">
        <f>'BECA SUPERIOR'!V102</f>
        <v>0</v>
      </c>
      <c r="H3066" s="308">
        <f>'BECA SUPERIOR'!W102</f>
        <v>0</v>
      </c>
    </row>
    <row r="3067" spans="1:8" x14ac:dyDescent="0.3">
      <c r="A3067" t="s">
        <v>690</v>
      </c>
      <c r="B3067" t="s">
        <v>117</v>
      </c>
      <c r="C3067" t="s">
        <v>124</v>
      </c>
      <c r="D3067" t="s">
        <v>689</v>
      </c>
      <c r="E3067" t="s">
        <v>772</v>
      </c>
      <c r="F3067">
        <v>7</v>
      </c>
      <c r="G3067" s="308">
        <f>'BECA SUPERIOR'!Y102</f>
        <v>0</v>
      </c>
      <c r="H3067" s="308">
        <f>'BECA SUPERIOR'!Z102</f>
        <v>0</v>
      </c>
    </row>
    <row r="3068" spans="1:8" x14ac:dyDescent="0.3">
      <c r="A3068" t="s">
        <v>690</v>
      </c>
      <c r="B3068" t="s">
        <v>117</v>
      </c>
      <c r="C3068" t="s">
        <v>89</v>
      </c>
      <c r="D3068" t="s">
        <v>689</v>
      </c>
      <c r="E3068" t="s">
        <v>766</v>
      </c>
      <c r="F3068">
        <v>1</v>
      </c>
      <c r="G3068" s="308">
        <f>'BECA SUPERIOR'!G103</f>
        <v>0</v>
      </c>
      <c r="H3068" s="308">
        <f>'BECA SUPERIOR'!H103</f>
        <v>0</v>
      </c>
    </row>
    <row r="3069" spans="1:8" x14ac:dyDescent="0.3">
      <c r="A3069" t="s">
        <v>690</v>
      </c>
      <c r="B3069" t="s">
        <v>117</v>
      </c>
      <c r="C3069" t="s">
        <v>89</v>
      </c>
      <c r="D3069" t="s">
        <v>689</v>
      </c>
      <c r="E3069" t="s">
        <v>767</v>
      </c>
      <c r="F3069">
        <v>2</v>
      </c>
      <c r="G3069" s="308">
        <f>'BECA SUPERIOR'!J103</f>
        <v>0</v>
      </c>
      <c r="H3069" s="308">
        <f>'BECA SUPERIOR'!K103</f>
        <v>0</v>
      </c>
    </row>
    <row r="3070" spans="1:8" x14ac:dyDescent="0.3">
      <c r="A3070" t="s">
        <v>690</v>
      </c>
      <c r="B3070" t="s">
        <v>117</v>
      </c>
      <c r="C3070" t="s">
        <v>89</v>
      </c>
      <c r="D3070" t="s">
        <v>689</v>
      </c>
      <c r="E3070" t="s">
        <v>768</v>
      </c>
      <c r="F3070">
        <v>3</v>
      </c>
      <c r="G3070" s="308">
        <f>'BECA SUPERIOR'!M103</f>
        <v>0</v>
      </c>
      <c r="H3070" s="308">
        <f>'BECA SUPERIOR'!N103</f>
        <v>0</v>
      </c>
    </row>
    <row r="3071" spans="1:8" x14ac:dyDescent="0.3">
      <c r="A3071" t="s">
        <v>690</v>
      </c>
      <c r="B3071" t="s">
        <v>117</v>
      </c>
      <c r="C3071" t="s">
        <v>89</v>
      </c>
      <c r="D3071" t="s">
        <v>689</v>
      </c>
      <c r="E3071" t="s">
        <v>769</v>
      </c>
      <c r="F3071">
        <v>4</v>
      </c>
      <c r="G3071" s="308">
        <f>'BECA SUPERIOR'!P103</f>
        <v>0</v>
      </c>
      <c r="H3071" s="308">
        <f>'BECA SUPERIOR'!Q103</f>
        <v>0</v>
      </c>
    </row>
    <row r="3072" spans="1:8" x14ac:dyDescent="0.3">
      <c r="A3072" t="s">
        <v>690</v>
      </c>
      <c r="B3072" t="s">
        <v>117</v>
      </c>
      <c r="C3072" t="s">
        <v>89</v>
      </c>
      <c r="D3072" t="s">
        <v>689</v>
      </c>
      <c r="E3072" t="s">
        <v>770</v>
      </c>
      <c r="F3072">
        <v>5</v>
      </c>
      <c r="G3072" s="308">
        <f>'BECA SUPERIOR'!S103</f>
        <v>0</v>
      </c>
      <c r="H3072" s="308">
        <f>'BECA SUPERIOR'!T103</f>
        <v>0</v>
      </c>
    </row>
    <row r="3073" spans="1:8" x14ac:dyDescent="0.3">
      <c r="A3073" t="s">
        <v>690</v>
      </c>
      <c r="B3073" t="s">
        <v>117</v>
      </c>
      <c r="C3073" t="s">
        <v>89</v>
      </c>
      <c r="D3073" t="s">
        <v>689</v>
      </c>
      <c r="E3073" t="s">
        <v>771</v>
      </c>
      <c r="F3073">
        <v>6</v>
      </c>
      <c r="G3073" s="308">
        <f>'BECA SUPERIOR'!V103</f>
        <v>0</v>
      </c>
      <c r="H3073" s="308">
        <f>'BECA SUPERIOR'!W103</f>
        <v>0</v>
      </c>
    </row>
    <row r="3074" spans="1:8" x14ac:dyDescent="0.3">
      <c r="A3074" t="s">
        <v>690</v>
      </c>
      <c r="B3074" t="s">
        <v>117</v>
      </c>
      <c r="C3074" t="s">
        <v>89</v>
      </c>
      <c r="D3074" t="s">
        <v>689</v>
      </c>
      <c r="E3074" t="s">
        <v>772</v>
      </c>
      <c r="F3074">
        <v>7</v>
      </c>
      <c r="G3074" s="308">
        <f>'BECA SUPERIOR'!Y103</f>
        <v>0</v>
      </c>
      <c r="H3074" s="308">
        <f>'BECA SUPERIOR'!Z103</f>
        <v>0</v>
      </c>
    </row>
    <row r="3075" spans="1:8" x14ac:dyDescent="0.3">
      <c r="A3075" t="s">
        <v>690</v>
      </c>
      <c r="B3075" t="s">
        <v>117</v>
      </c>
      <c r="C3075" t="s">
        <v>125</v>
      </c>
      <c r="D3075" t="s">
        <v>689</v>
      </c>
      <c r="E3075" t="s">
        <v>766</v>
      </c>
      <c r="F3075">
        <v>1</v>
      </c>
      <c r="G3075" s="308">
        <f>'BECA SUPERIOR'!G104</f>
        <v>0</v>
      </c>
      <c r="H3075" s="308">
        <f>'BECA SUPERIOR'!H104</f>
        <v>0</v>
      </c>
    </row>
    <row r="3076" spans="1:8" x14ac:dyDescent="0.3">
      <c r="A3076" t="s">
        <v>690</v>
      </c>
      <c r="B3076" t="s">
        <v>117</v>
      </c>
      <c r="C3076" t="s">
        <v>125</v>
      </c>
      <c r="D3076" t="s">
        <v>689</v>
      </c>
      <c r="E3076" t="s">
        <v>767</v>
      </c>
      <c r="F3076">
        <v>2</v>
      </c>
      <c r="G3076" s="308">
        <f>'BECA SUPERIOR'!J104</f>
        <v>0</v>
      </c>
      <c r="H3076" s="308">
        <f>'BECA SUPERIOR'!K104</f>
        <v>0</v>
      </c>
    </row>
    <row r="3077" spans="1:8" x14ac:dyDescent="0.3">
      <c r="A3077" t="s">
        <v>690</v>
      </c>
      <c r="B3077" t="s">
        <v>117</v>
      </c>
      <c r="C3077" t="s">
        <v>125</v>
      </c>
      <c r="D3077" t="s">
        <v>689</v>
      </c>
      <c r="E3077" t="s">
        <v>768</v>
      </c>
      <c r="F3077">
        <v>3</v>
      </c>
      <c r="G3077" s="308">
        <f>'BECA SUPERIOR'!M104</f>
        <v>0</v>
      </c>
      <c r="H3077" s="308">
        <f>'BECA SUPERIOR'!N104</f>
        <v>0</v>
      </c>
    </row>
    <row r="3078" spans="1:8" x14ac:dyDescent="0.3">
      <c r="A3078" t="s">
        <v>690</v>
      </c>
      <c r="B3078" t="s">
        <v>117</v>
      </c>
      <c r="C3078" t="s">
        <v>125</v>
      </c>
      <c r="D3078" t="s">
        <v>689</v>
      </c>
      <c r="E3078" t="s">
        <v>769</v>
      </c>
      <c r="F3078">
        <v>4</v>
      </c>
      <c r="G3078" s="308">
        <f>'BECA SUPERIOR'!P104</f>
        <v>1.44</v>
      </c>
      <c r="H3078" s="308">
        <f>'BECA SUPERIOR'!Q104</f>
        <v>3600</v>
      </c>
    </row>
    <row r="3079" spans="1:8" x14ac:dyDescent="0.3">
      <c r="A3079" t="s">
        <v>690</v>
      </c>
      <c r="B3079" t="s">
        <v>117</v>
      </c>
      <c r="C3079" t="s">
        <v>125</v>
      </c>
      <c r="D3079" t="s">
        <v>689</v>
      </c>
      <c r="E3079" t="s">
        <v>770</v>
      </c>
      <c r="F3079">
        <v>5</v>
      </c>
      <c r="G3079" s="308">
        <f>'BECA SUPERIOR'!S104</f>
        <v>0</v>
      </c>
      <c r="H3079" s="308">
        <f>'BECA SUPERIOR'!T104</f>
        <v>0</v>
      </c>
    </row>
    <row r="3080" spans="1:8" x14ac:dyDescent="0.3">
      <c r="A3080" t="s">
        <v>690</v>
      </c>
      <c r="B3080" t="s">
        <v>117</v>
      </c>
      <c r="C3080" t="s">
        <v>125</v>
      </c>
      <c r="D3080" t="s">
        <v>689</v>
      </c>
      <c r="E3080" t="s">
        <v>771</v>
      </c>
      <c r="F3080">
        <v>6</v>
      </c>
      <c r="G3080" s="308">
        <f>'BECA SUPERIOR'!V104</f>
        <v>0</v>
      </c>
      <c r="H3080" s="308">
        <f>'BECA SUPERIOR'!W104</f>
        <v>0</v>
      </c>
    </row>
    <row r="3081" spans="1:8" x14ac:dyDescent="0.3">
      <c r="A3081" t="s">
        <v>690</v>
      </c>
      <c r="B3081" t="s">
        <v>117</v>
      </c>
      <c r="C3081" t="s">
        <v>125</v>
      </c>
      <c r="D3081" t="s">
        <v>689</v>
      </c>
      <c r="E3081" t="s">
        <v>772</v>
      </c>
      <c r="F3081">
        <v>7</v>
      </c>
      <c r="G3081" s="308">
        <f>'BECA SUPERIOR'!Y104</f>
        <v>0</v>
      </c>
      <c r="H3081" s="308">
        <f>'BECA SUPERIOR'!Z104</f>
        <v>0</v>
      </c>
    </row>
    <row r="3082" spans="1:8" x14ac:dyDescent="0.3">
      <c r="A3082" t="s">
        <v>690</v>
      </c>
      <c r="B3082" t="s">
        <v>117</v>
      </c>
      <c r="C3082" t="s">
        <v>126</v>
      </c>
      <c r="D3082" t="s">
        <v>689</v>
      </c>
      <c r="E3082" t="s">
        <v>766</v>
      </c>
      <c r="F3082">
        <v>1</v>
      </c>
      <c r="G3082" s="308">
        <f>'BECA SUPERIOR'!G105</f>
        <v>0</v>
      </c>
      <c r="H3082" s="308">
        <f>'BECA SUPERIOR'!H105</f>
        <v>0</v>
      </c>
    </row>
    <row r="3083" spans="1:8" x14ac:dyDescent="0.3">
      <c r="A3083" t="s">
        <v>690</v>
      </c>
      <c r="B3083" t="s">
        <v>117</v>
      </c>
      <c r="C3083" t="s">
        <v>126</v>
      </c>
      <c r="D3083" t="s">
        <v>689</v>
      </c>
      <c r="E3083" t="s">
        <v>767</v>
      </c>
      <c r="F3083">
        <v>2</v>
      </c>
      <c r="G3083" s="308">
        <f>'BECA SUPERIOR'!J105</f>
        <v>0</v>
      </c>
      <c r="H3083" s="308">
        <f>'BECA SUPERIOR'!K105</f>
        <v>0</v>
      </c>
    </row>
    <row r="3084" spans="1:8" x14ac:dyDescent="0.3">
      <c r="A3084" t="s">
        <v>690</v>
      </c>
      <c r="B3084" t="s">
        <v>117</v>
      </c>
      <c r="C3084" t="s">
        <v>126</v>
      </c>
      <c r="D3084" t="s">
        <v>689</v>
      </c>
      <c r="E3084" t="s">
        <v>768</v>
      </c>
      <c r="F3084">
        <v>3</v>
      </c>
      <c r="G3084" s="308">
        <f>'BECA SUPERIOR'!M105</f>
        <v>0</v>
      </c>
      <c r="H3084" s="308">
        <f>'BECA SUPERIOR'!N105</f>
        <v>0</v>
      </c>
    </row>
    <row r="3085" spans="1:8" x14ac:dyDescent="0.3">
      <c r="A3085" t="s">
        <v>690</v>
      </c>
      <c r="B3085" t="s">
        <v>117</v>
      </c>
      <c r="C3085" t="s">
        <v>126</v>
      </c>
      <c r="D3085" t="s">
        <v>689</v>
      </c>
      <c r="E3085" t="s">
        <v>769</v>
      </c>
      <c r="F3085">
        <v>4</v>
      </c>
      <c r="G3085" s="308">
        <f>'BECA SUPERIOR'!P105</f>
        <v>0</v>
      </c>
      <c r="H3085" s="308">
        <f>'BECA SUPERIOR'!Q105</f>
        <v>0</v>
      </c>
    </row>
    <row r="3086" spans="1:8" x14ac:dyDescent="0.3">
      <c r="A3086" t="s">
        <v>690</v>
      </c>
      <c r="B3086" t="s">
        <v>117</v>
      </c>
      <c r="C3086" t="s">
        <v>126</v>
      </c>
      <c r="D3086" t="s">
        <v>689</v>
      </c>
      <c r="E3086" t="s">
        <v>770</v>
      </c>
      <c r="F3086">
        <v>5</v>
      </c>
      <c r="G3086" s="308">
        <f>'BECA SUPERIOR'!S105</f>
        <v>0</v>
      </c>
      <c r="H3086" s="308">
        <f>'BECA SUPERIOR'!T105</f>
        <v>0</v>
      </c>
    </row>
    <row r="3087" spans="1:8" x14ac:dyDescent="0.3">
      <c r="A3087" t="s">
        <v>690</v>
      </c>
      <c r="B3087" t="s">
        <v>117</v>
      </c>
      <c r="C3087" t="s">
        <v>126</v>
      </c>
      <c r="D3087" t="s">
        <v>689</v>
      </c>
      <c r="E3087" t="s">
        <v>771</v>
      </c>
      <c r="F3087">
        <v>6</v>
      </c>
      <c r="G3087" s="308">
        <f>'BECA SUPERIOR'!V105</f>
        <v>0</v>
      </c>
      <c r="H3087" s="308">
        <f>'BECA SUPERIOR'!W105</f>
        <v>0</v>
      </c>
    </row>
    <row r="3088" spans="1:8" x14ac:dyDescent="0.3">
      <c r="A3088" t="s">
        <v>690</v>
      </c>
      <c r="B3088" t="s">
        <v>117</v>
      </c>
      <c r="C3088" t="s">
        <v>126</v>
      </c>
      <c r="D3088" t="s">
        <v>689</v>
      </c>
      <c r="E3088" t="s">
        <v>772</v>
      </c>
      <c r="F3088">
        <v>7</v>
      </c>
      <c r="G3088" s="308">
        <f>'BECA SUPERIOR'!Y105</f>
        <v>0</v>
      </c>
      <c r="H3088" s="308">
        <f>'BECA SUPERIOR'!Z105</f>
        <v>0</v>
      </c>
    </row>
    <row r="3089" spans="1:8" x14ac:dyDescent="0.3">
      <c r="A3089" t="s">
        <v>690</v>
      </c>
      <c r="B3089" t="s">
        <v>117</v>
      </c>
      <c r="C3089" t="s">
        <v>127</v>
      </c>
      <c r="D3089" t="s">
        <v>689</v>
      </c>
      <c r="E3089" t="s">
        <v>766</v>
      </c>
      <c r="F3089">
        <v>1</v>
      </c>
      <c r="G3089" s="308">
        <f>'BECA SUPERIOR'!G106</f>
        <v>0</v>
      </c>
      <c r="H3089" s="308">
        <f>'BECA SUPERIOR'!H106</f>
        <v>0</v>
      </c>
    </row>
    <row r="3090" spans="1:8" x14ac:dyDescent="0.3">
      <c r="A3090" t="s">
        <v>690</v>
      </c>
      <c r="B3090" t="s">
        <v>117</v>
      </c>
      <c r="C3090" t="s">
        <v>127</v>
      </c>
      <c r="D3090" t="s">
        <v>689</v>
      </c>
      <c r="E3090" t="s">
        <v>767</v>
      </c>
      <c r="F3090">
        <v>2</v>
      </c>
      <c r="G3090" s="308">
        <f>'BECA SUPERIOR'!J106</f>
        <v>0</v>
      </c>
      <c r="H3090" s="308">
        <f>'BECA SUPERIOR'!K106</f>
        <v>0</v>
      </c>
    </row>
    <row r="3091" spans="1:8" x14ac:dyDescent="0.3">
      <c r="A3091" t="s">
        <v>690</v>
      </c>
      <c r="B3091" t="s">
        <v>117</v>
      </c>
      <c r="C3091" t="s">
        <v>127</v>
      </c>
      <c r="D3091" t="s">
        <v>689</v>
      </c>
      <c r="E3091" t="s">
        <v>768</v>
      </c>
      <c r="F3091">
        <v>3</v>
      </c>
      <c r="G3091" s="308">
        <f>'BECA SUPERIOR'!M106</f>
        <v>0</v>
      </c>
      <c r="H3091" s="308">
        <f>'BECA SUPERIOR'!N106</f>
        <v>0</v>
      </c>
    </row>
    <row r="3092" spans="1:8" x14ac:dyDescent="0.3">
      <c r="A3092" t="s">
        <v>690</v>
      </c>
      <c r="B3092" t="s">
        <v>117</v>
      </c>
      <c r="C3092" t="s">
        <v>127</v>
      </c>
      <c r="D3092" t="s">
        <v>689</v>
      </c>
      <c r="E3092" t="s">
        <v>769</v>
      </c>
      <c r="F3092">
        <v>4</v>
      </c>
      <c r="G3092" s="308">
        <f>'BECA SUPERIOR'!P106</f>
        <v>1.44</v>
      </c>
      <c r="H3092" s="308">
        <f>'BECA SUPERIOR'!Q106</f>
        <v>3600</v>
      </c>
    </row>
    <row r="3093" spans="1:8" x14ac:dyDescent="0.3">
      <c r="A3093" t="s">
        <v>690</v>
      </c>
      <c r="B3093" t="s">
        <v>117</v>
      </c>
      <c r="C3093" t="s">
        <v>127</v>
      </c>
      <c r="D3093" t="s">
        <v>689</v>
      </c>
      <c r="E3093" t="s">
        <v>770</v>
      </c>
      <c r="F3093">
        <v>5</v>
      </c>
      <c r="G3093" s="308">
        <f>'BECA SUPERIOR'!S106</f>
        <v>0</v>
      </c>
      <c r="H3093" s="308">
        <f>'BECA SUPERIOR'!T106</f>
        <v>0</v>
      </c>
    </row>
    <row r="3094" spans="1:8" x14ac:dyDescent="0.3">
      <c r="A3094" t="s">
        <v>690</v>
      </c>
      <c r="B3094" t="s">
        <v>117</v>
      </c>
      <c r="C3094" t="s">
        <v>127</v>
      </c>
      <c r="D3094" t="s">
        <v>689</v>
      </c>
      <c r="E3094" t="s">
        <v>771</v>
      </c>
      <c r="F3094">
        <v>6</v>
      </c>
      <c r="G3094" s="308">
        <f>'BECA SUPERIOR'!V106</f>
        <v>0</v>
      </c>
      <c r="H3094" s="308">
        <f>'BECA SUPERIOR'!W106</f>
        <v>0</v>
      </c>
    </row>
    <row r="3095" spans="1:8" x14ac:dyDescent="0.3">
      <c r="A3095" t="s">
        <v>690</v>
      </c>
      <c r="B3095" t="s">
        <v>117</v>
      </c>
      <c r="C3095" t="s">
        <v>127</v>
      </c>
      <c r="D3095" t="s">
        <v>689</v>
      </c>
      <c r="E3095" t="s">
        <v>772</v>
      </c>
      <c r="F3095">
        <v>7</v>
      </c>
      <c r="G3095" s="308">
        <f>'BECA SUPERIOR'!Y106</f>
        <v>0</v>
      </c>
      <c r="H3095" s="308">
        <f>'BECA SUPERIOR'!Z106</f>
        <v>0</v>
      </c>
    </row>
    <row r="3096" spans="1:8" x14ac:dyDescent="0.3">
      <c r="A3096" t="s">
        <v>690</v>
      </c>
      <c r="B3096" t="s">
        <v>117</v>
      </c>
      <c r="C3096" t="s">
        <v>128</v>
      </c>
      <c r="D3096" t="s">
        <v>689</v>
      </c>
      <c r="E3096" t="s">
        <v>766</v>
      </c>
      <c r="F3096">
        <v>1</v>
      </c>
      <c r="G3096" s="308">
        <f>'BECA SUPERIOR'!G107</f>
        <v>0</v>
      </c>
      <c r="H3096" s="308">
        <f>'BECA SUPERIOR'!H107</f>
        <v>0</v>
      </c>
    </row>
    <row r="3097" spans="1:8" x14ac:dyDescent="0.3">
      <c r="A3097" t="s">
        <v>690</v>
      </c>
      <c r="B3097" t="s">
        <v>117</v>
      </c>
      <c r="C3097" t="s">
        <v>128</v>
      </c>
      <c r="D3097" t="s">
        <v>689</v>
      </c>
      <c r="E3097" t="s">
        <v>767</v>
      </c>
      <c r="F3097">
        <v>2</v>
      </c>
      <c r="G3097" s="308">
        <f>'BECA SUPERIOR'!J107</f>
        <v>0</v>
      </c>
      <c r="H3097" s="308">
        <f>'BECA SUPERIOR'!K107</f>
        <v>0</v>
      </c>
    </row>
    <row r="3098" spans="1:8" x14ac:dyDescent="0.3">
      <c r="A3098" t="s">
        <v>690</v>
      </c>
      <c r="B3098" t="s">
        <v>117</v>
      </c>
      <c r="C3098" t="s">
        <v>128</v>
      </c>
      <c r="D3098" t="s">
        <v>689</v>
      </c>
      <c r="E3098" t="s">
        <v>768</v>
      </c>
      <c r="F3098">
        <v>3</v>
      </c>
      <c r="G3098" s="308">
        <f>'BECA SUPERIOR'!M107</f>
        <v>0</v>
      </c>
      <c r="H3098" s="308">
        <f>'BECA SUPERIOR'!N107</f>
        <v>0</v>
      </c>
    </row>
    <row r="3099" spans="1:8" x14ac:dyDescent="0.3">
      <c r="A3099" t="s">
        <v>690</v>
      </c>
      <c r="B3099" t="s">
        <v>117</v>
      </c>
      <c r="C3099" t="s">
        <v>128</v>
      </c>
      <c r="D3099" t="s">
        <v>689</v>
      </c>
      <c r="E3099" t="s">
        <v>769</v>
      </c>
      <c r="F3099">
        <v>4</v>
      </c>
      <c r="G3099" s="308">
        <f>'BECA SUPERIOR'!P107</f>
        <v>0.72</v>
      </c>
      <c r="H3099" s="308">
        <f>'BECA SUPERIOR'!Q107</f>
        <v>1800</v>
      </c>
    </row>
    <row r="3100" spans="1:8" x14ac:dyDescent="0.3">
      <c r="A3100" t="s">
        <v>690</v>
      </c>
      <c r="B3100" t="s">
        <v>117</v>
      </c>
      <c r="C3100" t="s">
        <v>128</v>
      </c>
      <c r="D3100" t="s">
        <v>689</v>
      </c>
      <c r="E3100" t="s">
        <v>770</v>
      </c>
      <c r="F3100">
        <v>5</v>
      </c>
      <c r="G3100" s="308">
        <f>'BECA SUPERIOR'!S107</f>
        <v>0</v>
      </c>
      <c r="H3100" s="308">
        <f>'BECA SUPERIOR'!T107</f>
        <v>0</v>
      </c>
    </row>
    <row r="3101" spans="1:8" x14ac:dyDescent="0.3">
      <c r="A3101" t="s">
        <v>690</v>
      </c>
      <c r="B3101" t="s">
        <v>117</v>
      </c>
      <c r="C3101" t="s">
        <v>128</v>
      </c>
      <c r="D3101" t="s">
        <v>689</v>
      </c>
      <c r="E3101" t="s">
        <v>771</v>
      </c>
      <c r="F3101">
        <v>6</v>
      </c>
      <c r="G3101" s="308">
        <f>'BECA SUPERIOR'!V107</f>
        <v>0</v>
      </c>
      <c r="H3101" s="308">
        <f>'BECA SUPERIOR'!W107</f>
        <v>0</v>
      </c>
    </row>
    <row r="3102" spans="1:8" x14ac:dyDescent="0.3">
      <c r="A3102" t="s">
        <v>690</v>
      </c>
      <c r="B3102" t="s">
        <v>117</v>
      </c>
      <c r="C3102" t="s">
        <v>128</v>
      </c>
      <c r="D3102" t="s">
        <v>689</v>
      </c>
      <c r="E3102" t="s">
        <v>772</v>
      </c>
      <c r="F3102">
        <v>7</v>
      </c>
      <c r="G3102" s="308">
        <f>'BECA SUPERIOR'!Y107</f>
        <v>0</v>
      </c>
      <c r="H3102" s="308">
        <f>'BECA SUPERIOR'!Z107</f>
        <v>0</v>
      </c>
    </row>
    <row r="3103" spans="1:8" x14ac:dyDescent="0.3">
      <c r="A3103" t="s">
        <v>690</v>
      </c>
      <c r="B3103" t="s">
        <v>117</v>
      </c>
      <c r="C3103" t="s">
        <v>129</v>
      </c>
      <c r="D3103" t="s">
        <v>689</v>
      </c>
      <c r="E3103" t="s">
        <v>766</v>
      </c>
      <c r="F3103">
        <v>1</v>
      </c>
      <c r="G3103" s="308">
        <f>'BECA SUPERIOR'!G108</f>
        <v>0</v>
      </c>
      <c r="H3103" s="308">
        <f>'BECA SUPERIOR'!H108</f>
        <v>0</v>
      </c>
    </row>
    <row r="3104" spans="1:8" x14ac:dyDescent="0.3">
      <c r="A3104" t="s">
        <v>690</v>
      </c>
      <c r="B3104" t="s">
        <v>117</v>
      </c>
      <c r="C3104" t="s">
        <v>129</v>
      </c>
      <c r="D3104" t="s">
        <v>689</v>
      </c>
      <c r="E3104" t="s">
        <v>767</v>
      </c>
      <c r="F3104">
        <v>2</v>
      </c>
      <c r="G3104" s="308">
        <f>'BECA SUPERIOR'!J108</f>
        <v>0</v>
      </c>
      <c r="H3104" s="308">
        <f>'BECA SUPERIOR'!K108</f>
        <v>0</v>
      </c>
    </row>
    <row r="3105" spans="1:8" x14ac:dyDescent="0.3">
      <c r="A3105" t="s">
        <v>690</v>
      </c>
      <c r="B3105" t="s">
        <v>117</v>
      </c>
      <c r="C3105" t="s">
        <v>129</v>
      </c>
      <c r="D3105" t="s">
        <v>689</v>
      </c>
      <c r="E3105" t="s">
        <v>768</v>
      </c>
      <c r="F3105">
        <v>3</v>
      </c>
      <c r="G3105" s="308">
        <f>'BECA SUPERIOR'!M108</f>
        <v>0</v>
      </c>
      <c r="H3105" s="308">
        <f>'BECA SUPERIOR'!N108</f>
        <v>0</v>
      </c>
    </row>
    <row r="3106" spans="1:8" x14ac:dyDescent="0.3">
      <c r="A3106" t="s">
        <v>690</v>
      </c>
      <c r="B3106" t="s">
        <v>117</v>
      </c>
      <c r="C3106" t="s">
        <v>129</v>
      </c>
      <c r="D3106" t="s">
        <v>689</v>
      </c>
      <c r="E3106" t="s">
        <v>769</v>
      </c>
      <c r="F3106">
        <v>4</v>
      </c>
      <c r="G3106" s="308">
        <f>'BECA SUPERIOR'!P108</f>
        <v>0.72</v>
      </c>
      <c r="H3106" s="308">
        <f>'BECA SUPERIOR'!Q108</f>
        <v>1800</v>
      </c>
    </row>
    <row r="3107" spans="1:8" x14ac:dyDescent="0.3">
      <c r="A3107" t="s">
        <v>690</v>
      </c>
      <c r="B3107" t="s">
        <v>117</v>
      </c>
      <c r="C3107" t="s">
        <v>129</v>
      </c>
      <c r="D3107" t="s">
        <v>689</v>
      </c>
      <c r="E3107" t="s">
        <v>770</v>
      </c>
      <c r="F3107">
        <v>5</v>
      </c>
      <c r="G3107" s="308">
        <f>'BECA SUPERIOR'!S108</f>
        <v>0</v>
      </c>
      <c r="H3107" s="308">
        <f>'BECA SUPERIOR'!T108</f>
        <v>0</v>
      </c>
    </row>
    <row r="3108" spans="1:8" x14ac:dyDescent="0.3">
      <c r="A3108" t="s">
        <v>690</v>
      </c>
      <c r="B3108" t="s">
        <v>117</v>
      </c>
      <c r="C3108" t="s">
        <v>129</v>
      </c>
      <c r="D3108" t="s">
        <v>689</v>
      </c>
      <c r="E3108" t="s">
        <v>771</v>
      </c>
      <c r="F3108">
        <v>6</v>
      </c>
      <c r="G3108" s="308">
        <f>'BECA SUPERIOR'!V108</f>
        <v>0</v>
      </c>
      <c r="H3108" s="308">
        <f>'BECA SUPERIOR'!W108</f>
        <v>0</v>
      </c>
    </row>
    <row r="3109" spans="1:8" x14ac:dyDescent="0.3">
      <c r="A3109" t="s">
        <v>690</v>
      </c>
      <c r="B3109" t="s">
        <v>117</v>
      </c>
      <c r="C3109" t="s">
        <v>129</v>
      </c>
      <c r="D3109" t="s">
        <v>689</v>
      </c>
      <c r="E3109" t="s">
        <v>772</v>
      </c>
      <c r="F3109">
        <v>7</v>
      </c>
      <c r="G3109" s="308">
        <f>'BECA SUPERIOR'!Y108</f>
        <v>0</v>
      </c>
      <c r="H3109" s="308">
        <f>'BECA SUPERIOR'!Z108</f>
        <v>0</v>
      </c>
    </row>
    <row r="3110" spans="1:8" x14ac:dyDescent="0.3">
      <c r="A3110" t="s">
        <v>690</v>
      </c>
      <c r="B3110" t="s">
        <v>117</v>
      </c>
      <c r="C3110" t="s">
        <v>130</v>
      </c>
      <c r="D3110" t="s">
        <v>689</v>
      </c>
      <c r="E3110" t="s">
        <v>766</v>
      </c>
      <c r="F3110">
        <v>1</v>
      </c>
      <c r="G3110" s="308">
        <f>'BECA SUPERIOR'!G109</f>
        <v>0</v>
      </c>
      <c r="H3110" s="308">
        <f>'BECA SUPERIOR'!H109</f>
        <v>0</v>
      </c>
    </row>
    <row r="3111" spans="1:8" x14ac:dyDescent="0.3">
      <c r="A3111" t="s">
        <v>690</v>
      </c>
      <c r="B3111" t="s">
        <v>117</v>
      </c>
      <c r="C3111" t="s">
        <v>130</v>
      </c>
      <c r="D3111" t="s">
        <v>689</v>
      </c>
      <c r="E3111" t="s">
        <v>767</v>
      </c>
      <c r="F3111">
        <v>2</v>
      </c>
      <c r="G3111" s="308">
        <f>'BECA SUPERIOR'!J109</f>
        <v>0</v>
      </c>
      <c r="H3111" s="308">
        <f>'BECA SUPERIOR'!K109</f>
        <v>0</v>
      </c>
    </row>
    <row r="3112" spans="1:8" x14ac:dyDescent="0.3">
      <c r="A3112" t="s">
        <v>690</v>
      </c>
      <c r="B3112" t="s">
        <v>117</v>
      </c>
      <c r="C3112" t="s">
        <v>130</v>
      </c>
      <c r="D3112" t="s">
        <v>689</v>
      </c>
      <c r="E3112" t="s">
        <v>768</v>
      </c>
      <c r="F3112">
        <v>3</v>
      </c>
      <c r="G3112" s="308">
        <f>'BECA SUPERIOR'!M109</f>
        <v>0</v>
      </c>
      <c r="H3112" s="308">
        <f>'BECA SUPERIOR'!N109</f>
        <v>0</v>
      </c>
    </row>
    <row r="3113" spans="1:8" x14ac:dyDescent="0.3">
      <c r="A3113" t="s">
        <v>690</v>
      </c>
      <c r="B3113" t="s">
        <v>117</v>
      </c>
      <c r="C3113" t="s">
        <v>130</v>
      </c>
      <c r="D3113" t="s">
        <v>689</v>
      </c>
      <c r="E3113" t="s">
        <v>769</v>
      </c>
      <c r="F3113">
        <v>4</v>
      </c>
      <c r="G3113" s="308">
        <f>'BECA SUPERIOR'!P109</f>
        <v>0.72</v>
      </c>
      <c r="H3113" s="308">
        <f>'BECA SUPERIOR'!Q109</f>
        <v>1800</v>
      </c>
    </row>
    <row r="3114" spans="1:8" x14ac:dyDescent="0.3">
      <c r="A3114" t="s">
        <v>690</v>
      </c>
      <c r="B3114" t="s">
        <v>117</v>
      </c>
      <c r="C3114" t="s">
        <v>130</v>
      </c>
      <c r="D3114" t="s">
        <v>689</v>
      </c>
      <c r="E3114" t="s">
        <v>770</v>
      </c>
      <c r="F3114">
        <v>5</v>
      </c>
      <c r="G3114" s="308">
        <f>'BECA SUPERIOR'!S109</f>
        <v>0</v>
      </c>
      <c r="H3114" s="308">
        <f>'BECA SUPERIOR'!T109</f>
        <v>0</v>
      </c>
    </row>
    <row r="3115" spans="1:8" x14ac:dyDescent="0.3">
      <c r="A3115" t="s">
        <v>690</v>
      </c>
      <c r="B3115" t="s">
        <v>117</v>
      </c>
      <c r="C3115" t="s">
        <v>130</v>
      </c>
      <c r="D3115" t="s">
        <v>689</v>
      </c>
      <c r="E3115" t="s">
        <v>771</v>
      </c>
      <c r="F3115">
        <v>6</v>
      </c>
      <c r="G3115" s="308">
        <f>'BECA SUPERIOR'!V109</f>
        <v>0</v>
      </c>
      <c r="H3115" s="308">
        <f>'BECA SUPERIOR'!W109</f>
        <v>0</v>
      </c>
    </row>
    <row r="3116" spans="1:8" x14ac:dyDescent="0.3">
      <c r="A3116" t="s">
        <v>690</v>
      </c>
      <c r="B3116" t="s">
        <v>117</v>
      </c>
      <c r="C3116" t="s">
        <v>130</v>
      </c>
      <c r="D3116" t="s">
        <v>689</v>
      </c>
      <c r="E3116" t="s">
        <v>772</v>
      </c>
      <c r="F3116">
        <v>7</v>
      </c>
      <c r="G3116" s="308">
        <f>'BECA SUPERIOR'!Y109</f>
        <v>0</v>
      </c>
      <c r="H3116" s="308">
        <f>'BECA SUPERIOR'!Z109</f>
        <v>0</v>
      </c>
    </row>
    <row r="3117" spans="1:8" x14ac:dyDescent="0.3">
      <c r="A3117" t="s">
        <v>690</v>
      </c>
      <c r="B3117" t="s">
        <v>117</v>
      </c>
      <c r="C3117" t="s">
        <v>131</v>
      </c>
      <c r="D3117" t="s">
        <v>689</v>
      </c>
      <c r="E3117" t="s">
        <v>766</v>
      </c>
      <c r="F3117">
        <v>1</v>
      </c>
      <c r="G3117" s="308">
        <f>'BECA SUPERIOR'!G110</f>
        <v>0</v>
      </c>
      <c r="H3117" s="308">
        <f>'BECA SUPERIOR'!H110</f>
        <v>0</v>
      </c>
    </row>
    <row r="3118" spans="1:8" x14ac:dyDescent="0.3">
      <c r="A3118" t="s">
        <v>690</v>
      </c>
      <c r="B3118" t="s">
        <v>117</v>
      </c>
      <c r="C3118" t="s">
        <v>131</v>
      </c>
      <c r="D3118" t="s">
        <v>689</v>
      </c>
      <c r="E3118" t="s">
        <v>767</v>
      </c>
      <c r="F3118">
        <v>2</v>
      </c>
      <c r="G3118" s="308">
        <f>'BECA SUPERIOR'!J110</f>
        <v>0</v>
      </c>
      <c r="H3118" s="308">
        <f>'BECA SUPERIOR'!K110</f>
        <v>0</v>
      </c>
    </row>
    <row r="3119" spans="1:8" x14ac:dyDescent="0.3">
      <c r="A3119" t="s">
        <v>690</v>
      </c>
      <c r="B3119" t="s">
        <v>117</v>
      </c>
      <c r="C3119" t="s">
        <v>131</v>
      </c>
      <c r="D3119" t="s">
        <v>689</v>
      </c>
      <c r="E3119" t="s">
        <v>768</v>
      </c>
      <c r="F3119">
        <v>3</v>
      </c>
      <c r="G3119" s="308">
        <f>'BECA SUPERIOR'!M110</f>
        <v>0</v>
      </c>
      <c r="H3119" s="308">
        <f>'BECA SUPERIOR'!N110</f>
        <v>0</v>
      </c>
    </row>
    <row r="3120" spans="1:8" x14ac:dyDescent="0.3">
      <c r="A3120" t="s">
        <v>690</v>
      </c>
      <c r="B3120" t="s">
        <v>117</v>
      </c>
      <c r="C3120" t="s">
        <v>131</v>
      </c>
      <c r="D3120" t="s">
        <v>689</v>
      </c>
      <c r="E3120" t="s">
        <v>769</v>
      </c>
      <c r="F3120">
        <v>4</v>
      </c>
      <c r="G3120" s="308">
        <f>'BECA SUPERIOR'!P110</f>
        <v>4.32</v>
      </c>
      <c r="H3120" s="308">
        <f>'BECA SUPERIOR'!Q110</f>
        <v>10800</v>
      </c>
    </row>
    <row r="3121" spans="1:8" x14ac:dyDescent="0.3">
      <c r="A3121" t="s">
        <v>690</v>
      </c>
      <c r="B3121" t="s">
        <v>117</v>
      </c>
      <c r="C3121" t="s">
        <v>131</v>
      </c>
      <c r="D3121" t="s">
        <v>689</v>
      </c>
      <c r="E3121" t="s">
        <v>770</v>
      </c>
      <c r="F3121">
        <v>5</v>
      </c>
      <c r="G3121" s="308">
        <f>'BECA SUPERIOR'!S110</f>
        <v>0</v>
      </c>
      <c r="H3121" s="308">
        <f>'BECA SUPERIOR'!T110</f>
        <v>0</v>
      </c>
    </row>
    <row r="3122" spans="1:8" x14ac:dyDescent="0.3">
      <c r="A3122" t="s">
        <v>690</v>
      </c>
      <c r="B3122" t="s">
        <v>117</v>
      </c>
      <c r="C3122" t="s">
        <v>131</v>
      </c>
      <c r="D3122" t="s">
        <v>689</v>
      </c>
      <c r="E3122" t="s">
        <v>771</v>
      </c>
      <c r="F3122">
        <v>6</v>
      </c>
      <c r="G3122" s="308">
        <f>'BECA SUPERIOR'!V110</f>
        <v>0</v>
      </c>
      <c r="H3122" s="308">
        <f>'BECA SUPERIOR'!W110</f>
        <v>0</v>
      </c>
    </row>
    <row r="3123" spans="1:8" x14ac:dyDescent="0.3">
      <c r="A3123" t="s">
        <v>690</v>
      </c>
      <c r="B3123" t="s">
        <v>117</v>
      </c>
      <c r="C3123" t="s">
        <v>131</v>
      </c>
      <c r="D3123" t="s">
        <v>689</v>
      </c>
      <c r="E3123" t="s">
        <v>772</v>
      </c>
      <c r="F3123">
        <v>7</v>
      </c>
      <c r="G3123" s="308">
        <f>'BECA SUPERIOR'!Y110</f>
        <v>0</v>
      </c>
      <c r="H3123" s="308">
        <f>'BECA SUPERIOR'!Z110</f>
        <v>0</v>
      </c>
    </row>
    <row r="3124" spans="1:8" x14ac:dyDescent="0.3">
      <c r="A3124" t="s">
        <v>690</v>
      </c>
      <c r="B3124" t="s">
        <v>117</v>
      </c>
      <c r="C3124" t="s">
        <v>132</v>
      </c>
      <c r="D3124" t="s">
        <v>689</v>
      </c>
      <c r="E3124" t="s">
        <v>766</v>
      </c>
      <c r="F3124">
        <v>1</v>
      </c>
      <c r="G3124" s="308">
        <f>'BECA SUPERIOR'!G111</f>
        <v>0</v>
      </c>
      <c r="H3124" s="308">
        <f>'BECA SUPERIOR'!H111</f>
        <v>0</v>
      </c>
    </row>
    <row r="3125" spans="1:8" x14ac:dyDescent="0.3">
      <c r="A3125" t="s">
        <v>690</v>
      </c>
      <c r="B3125" t="s">
        <v>117</v>
      </c>
      <c r="C3125" t="s">
        <v>132</v>
      </c>
      <c r="D3125" t="s">
        <v>689</v>
      </c>
      <c r="E3125" t="s">
        <v>767</v>
      </c>
      <c r="F3125">
        <v>2</v>
      </c>
      <c r="G3125" s="308">
        <f>'BECA SUPERIOR'!J111</f>
        <v>0</v>
      </c>
      <c r="H3125" s="308">
        <f>'BECA SUPERIOR'!K111</f>
        <v>0</v>
      </c>
    </row>
    <row r="3126" spans="1:8" x14ac:dyDescent="0.3">
      <c r="A3126" t="s">
        <v>690</v>
      </c>
      <c r="B3126" t="s">
        <v>117</v>
      </c>
      <c r="C3126" t="s">
        <v>132</v>
      </c>
      <c r="D3126" t="s">
        <v>689</v>
      </c>
      <c r="E3126" t="s">
        <v>768</v>
      </c>
      <c r="F3126">
        <v>3</v>
      </c>
      <c r="G3126" s="308">
        <f>'BECA SUPERIOR'!M111</f>
        <v>0</v>
      </c>
      <c r="H3126" s="308">
        <f>'BECA SUPERIOR'!N111</f>
        <v>0</v>
      </c>
    </row>
    <row r="3127" spans="1:8" x14ac:dyDescent="0.3">
      <c r="A3127" t="s">
        <v>690</v>
      </c>
      <c r="B3127" t="s">
        <v>117</v>
      </c>
      <c r="C3127" t="s">
        <v>132</v>
      </c>
      <c r="D3127" t="s">
        <v>689</v>
      </c>
      <c r="E3127" t="s">
        <v>769</v>
      </c>
      <c r="F3127">
        <v>4</v>
      </c>
      <c r="G3127" s="308">
        <f>'BECA SUPERIOR'!P111</f>
        <v>0</v>
      </c>
      <c r="H3127" s="308">
        <f>'BECA SUPERIOR'!Q111</f>
        <v>0</v>
      </c>
    </row>
    <row r="3128" spans="1:8" x14ac:dyDescent="0.3">
      <c r="A3128" t="s">
        <v>690</v>
      </c>
      <c r="B3128" t="s">
        <v>117</v>
      </c>
      <c r="C3128" t="s">
        <v>132</v>
      </c>
      <c r="D3128" t="s">
        <v>689</v>
      </c>
      <c r="E3128" t="s">
        <v>770</v>
      </c>
      <c r="F3128">
        <v>5</v>
      </c>
      <c r="G3128" s="308">
        <f>'BECA SUPERIOR'!S111</f>
        <v>0</v>
      </c>
      <c r="H3128" s="308">
        <f>'BECA SUPERIOR'!T111</f>
        <v>0</v>
      </c>
    </row>
    <row r="3129" spans="1:8" x14ac:dyDescent="0.3">
      <c r="A3129" t="s">
        <v>690</v>
      </c>
      <c r="B3129" t="s">
        <v>117</v>
      </c>
      <c r="C3129" t="s">
        <v>132</v>
      </c>
      <c r="D3129" t="s">
        <v>689</v>
      </c>
      <c r="E3129" t="s">
        <v>771</v>
      </c>
      <c r="F3129">
        <v>6</v>
      </c>
      <c r="G3129" s="308">
        <f>'BECA SUPERIOR'!V111</f>
        <v>0</v>
      </c>
      <c r="H3129" s="308">
        <f>'BECA SUPERIOR'!W111</f>
        <v>0</v>
      </c>
    </row>
    <row r="3130" spans="1:8" x14ac:dyDescent="0.3">
      <c r="A3130" t="s">
        <v>690</v>
      </c>
      <c r="B3130" t="s">
        <v>117</v>
      </c>
      <c r="C3130" t="s">
        <v>132</v>
      </c>
      <c r="D3130" t="s">
        <v>689</v>
      </c>
      <c r="E3130" t="s">
        <v>772</v>
      </c>
      <c r="F3130">
        <v>7</v>
      </c>
      <c r="G3130" s="308">
        <f>'BECA SUPERIOR'!Y111</f>
        <v>0</v>
      </c>
      <c r="H3130" s="308">
        <f>'BECA SUPERIOR'!Z111</f>
        <v>0</v>
      </c>
    </row>
    <row r="3131" spans="1:8" x14ac:dyDescent="0.3">
      <c r="A3131" t="s">
        <v>690</v>
      </c>
      <c r="B3131" t="s">
        <v>117</v>
      </c>
      <c r="C3131" t="s">
        <v>133</v>
      </c>
      <c r="D3131" t="s">
        <v>689</v>
      </c>
      <c r="E3131" t="s">
        <v>766</v>
      </c>
      <c r="F3131">
        <v>1</v>
      </c>
      <c r="G3131" s="308">
        <f>'BECA SUPERIOR'!G112</f>
        <v>0</v>
      </c>
      <c r="H3131" s="308">
        <f>'BECA SUPERIOR'!H112</f>
        <v>0</v>
      </c>
    </row>
    <row r="3132" spans="1:8" x14ac:dyDescent="0.3">
      <c r="A3132" t="s">
        <v>690</v>
      </c>
      <c r="B3132" t="s">
        <v>117</v>
      </c>
      <c r="C3132" t="s">
        <v>133</v>
      </c>
      <c r="D3132" t="s">
        <v>689</v>
      </c>
      <c r="E3132" t="s">
        <v>767</v>
      </c>
      <c r="F3132">
        <v>2</v>
      </c>
      <c r="G3132" s="308">
        <f>'BECA SUPERIOR'!J112</f>
        <v>0</v>
      </c>
      <c r="H3132" s="308">
        <f>'BECA SUPERIOR'!K112</f>
        <v>0</v>
      </c>
    </row>
    <row r="3133" spans="1:8" x14ac:dyDescent="0.3">
      <c r="A3133" t="s">
        <v>690</v>
      </c>
      <c r="B3133" t="s">
        <v>117</v>
      </c>
      <c r="C3133" t="s">
        <v>133</v>
      </c>
      <c r="D3133" t="s">
        <v>689</v>
      </c>
      <c r="E3133" t="s">
        <v>768</v>
      </c>
      <c r="F3133">
        <v>3</v>
      </c>
      <c r="G3133" s="308">
        <f>'BECA SUPERIOR'!M112</f>
        <v>0</v>
      </c>
      <c r="H3133" s="308">
        <f>'BECA SUPERIOR'!N112</f>
        <v>0</v>
      </c>
    </row>
    <row r="3134" spans="1:8" x14ac:dyDescent="0.3">
      <c r="A3134" t="s">
        <v>690</v>
      </c>
      <c r="B3134" t="s">
        <v>117</v>
      </c>
      <c r="C3134" t="s">
        <v>133</v>
      </c>
      <c r="D3134" t="s">
        <v>689</v>
      </c>
      <c r="E3134" t="s">
        <v>769</v>
      </c>
      <c r="F3134">
        <v>4</v>
      </c>
      <c r="G3134" s="308">
        <f>'BECA SUPERIOR'!P112</f>
        <v>0</v>
      </c>
      <c r="H3134" s="308">
        <f>'BECA SUPERIOR'!Q112</f>
        <v>0</v>
      </c>
    </row>
    <row r="3135" spans="1:8" x14ac:dyDescent="0.3">
      <c r="A3135" t="s">
        <v>690</v>
      </c>
      <c r="B3135" t="s">
        <v>117</v>
      </c>
      <c r="C3135" t="s">
        <v>133</v>
      </c>
      <c r="D3135" t="s">
        <v>689</v>
      </c>
      <c r="E3135" t="s">
        <v>770</v>
      </c>
      <c r="F3135">
        <v>5</v>
      </c>
      <c r="G3135" s="308">
        <f>'BECA SUPERIOR'!S112</f>
        <v>0</v>
      </c>
      <c r="H3135" s="308">
        <f>'BECA SUPERIOR'!T112</f>
        <v>0</v>
      </c>
    </row>
    <row r="3136" spans="1:8" x14ac:dyDescent="0.3">
      <c r="A3136" t="s">
        <v>690</v>
      </c>
      <c r="B3136" t="s">
        <v>117</v>
      </c>
      <c r="C3136" t="s">
        <v>133</v>
      </c>
      <c r="D3136" t="s">
        <v>689</v>
      </c>
      <c r="E3136" t="s">
        <v>771</v>
      </c>
      <c r="F3136">
        <v>6</v>
      </c>
      <c r="G3136" s="308">
        <f>'BECA SUPERIOR'!V112</f>
        <v>0</v>
      </c>
      <c r="H3136" s="308">
        <f>'BECA SUPERIOR'!W112</f>
        <v>0</v>
      </c>
    </row>
    <row r="3137" spans="1:8" x14ac:dyDescent="0.3">
      <c r="A3137" t="s">
        <v>690</v>
      </c>
      <c r="B3137" t="s">
        <v>117</v>
      </c>
      <c r="C3137" t="s">
        <v>133</v>
      </c>
      <c r="D3137" t="s">
        <v>689</v>
      </c>
      <c r="E3137" t="s">
        <v>772</v>
      </c>
      <c r="F3137">
        <v>7</v>
      </c>
      <c r="G3137" s="308">
        <f>'BECA SUPERIOR'!Y112</f>
        <v>0</v>
      </c>
      <c r="H3137" s="308">
        <f>'BECA SUPERIOR'!Z112</f>
        <v>0</v>
      </c>
    </row>
    <row r="3138" spans="1:8" x14ac:dyDescent="0.3">
      <c r="A3138" t="s">
        <v>690</v>
      </c>
      <c r="B3138" t="s">
        <v>117</v>
      </c>
      <c r="C3138" t="s">
        <v>134</v>
      </c>
      <c r="D3138" t="s">
        <v>689</v>
      </c>
      <c r="E3138" t="s">
        <v>766</v>
      </c>
      <c r="F3138">
        <v>1</v>
      </c>
      <c r="G3138" s="308">
        <f>'BECA SUPERIOR'!G113</f>
        <v>0</v>
      </c>
      <c r="H3138" s="308">
        <f>'BECA SUPERIOR'!H113</f>
        <v>0</v>
      </c>
    </row>
    <row r="3139" spans="1:8" x14ac:dyDescent="0.3">
      <c r="A3139" t="s">
        <v>690</v>
      </c>
      <c r="B3139" t="s">
        <v>117</v>
      </c>
      <c r="C3139" t="s">
        <v>134</v>
      </c>
      <c r="D3139" t="s">
        <v>689</v>
      </c>
      <c r="E3139" t="s">
        <v>767</v>
      </c>
      <c r="F3139">
        <v>2</v>
      </c>
      <c r="G3139" s="308">
        <f>'BECA SUPERIOR'!J113</f>
        <v>0</v>
      </c>
      <c r="H3139" s="308">
        <f>'BECA SUPERIOR'!K113</f>
        <v>0</v>
      </c>
    </row>
    <row r="3140" spans="1:8" x14ac:dyDescent="0.3">
      <c r="A3140" t="s">
        <v>690</v>
      </c>
      <c r="B3140" t="s">
        <v>117</v>
      </c>
      <c r="C3140" t="s">
        <v>134</v>
      </c>
      <c r="D3140" t="s">
        <v>689</v>
      </c>
      <c r="E3140" t="s">
        <v>768</v>
      </c>
      <c r="F3140">
        <v>3</v>
      </c>
      <c r="G3140" s="308">
        <f>'BECA SUPERIOR'!M113</f>
        <v>0</v>
      </c>
      <c r="H3140" s="308">
        <f>'BECA SUPERIOR'!N113</f>
        <v>0</v>
      </c>
    </row>
    <row r="3141" spans="1:8" x14ac:dyDescent="0.3">
      <c r="A3141" t="s">
        <v>690</v>
      </c>
      <c r="B3141" t="s">
        <v>117</v>
      </c>
      <c r="C3141" t="s">
        <v>134</v>
      </c>
      <c r="D3141" t="s">
        <v>689</v>
      </c>
      <c r="E3141" t="s">
        <v>769</v>
      </c>
      <c r="F3141">
        <v>4</v>
      </c>
      <c r="G3141" s="308">
        <f>'BECA SUPERIOR'!P113</f>
        <v>5.04</v>
      </c>
      <c r="H3141" s="308">
        <f>'BECA SUPERIOR'!Q113</f>
        <v>12600</v>
      </c>
    </row>
    <row r="3142" spans="1:8" x14ac:dyDescent="0.3">
      <c r="A3142" t="s">
        <v>690</v>
      </c>
      <c r="B3142" t="s">
        <v>117</v>
      </c>
      <c r="C3142" t="s">
        <v>134</v>
      </c>
      <c r="D3142" t="s">
        <v>689</v>
      </c>
      <c r="E3142" t="s">
        <v>770</v>
      </c>
      <c r="F3142">
        <v>5</v>
      </c>
      <c r="G3142" s="308">
        <f>'BECA SUPERIOR'!S113</f>
        <v>0</v>
      </c>
      <c r="H3142" s="308">
        <f>'BECA SUPERIOR'!T113</f>
        <v>0</v>
      </c>
    </row>
    <row r="3143" spans="1:8" x14ac:dyDescent="0.3">
      <c r="A3143" t="s">
        <v>690</v>
      </c>
      <c r="B3143" t="s">
        <v>117</v>
      </c>
      <c r="C3143" t="s">
        <v>134</v>
      </c>
      <c r="D3143" t="s">
        <v>689</v>
      </c>
      <c r="E3143" t="s">
        <v>771</v>
      </c>
      <c r="F3143">
        <v>6</v>
      </c>
      <c r="G3143" s="308">
        <f>'BECA SUPERIOR'!V113</f>
        <v>0</v>
      </c>
      <c r="H3143" s="308">
        <f>'BECA SUPERIOR'!W113</f>
        <v>0</v>
      </c>
    </row>
    <row r="3144" spans="1:8" x14ac:dyDescent="0.3">
      <c r="A3144" t="s">
        <v>690</v>
      </c>
      <c r="B3144" t="s">
        <v>117</v>
      </c>
      <c r="C3144" t="s">
        <v>134</v>
      </c>
      <c r="D3144" t="s">
        <v>689</v>
      </c>
      <c r="E3144" t="s">
        <v>772</v>
      </c>
      <c r="F3144">
        <v>7</v>
      </c>
      <c r="G3144" s="308">
        <f>'BECA SUPERIOR'!Y113</f>
        <v>0</v>
      </c>
      <c r="H3144" s="308">
        <f>'BECA SUPERIOR'!Z113</f>
        <v>0</v>
      </c>
    </row>
    <row r="3145" spans="1:8" x14ac:dyDescent="0.3">
      <c r="A3145" t="s">
        <v>690</v>
      </c>
      <c r="B3145" t="s">
        <v>117</v>
      </c>
      <c r="C3145" t="s">
        <v>135</v>
      </c>
      <c r="D3145" t="s">
        <v>689</v>
      </c>
      <c r="E3145" t="s">
        <v>766</v>
      </c>
      <c r="F3145">
        <v>1</v>
      </c>
      <c r="G3145" s="308">
        <f>'BECA SUPERIOR'!G114</f>
        <v>0</v>
      </c>
      <c r="H3145" s="308">
        <f>'BECA SUPERIOR'!H114</f>
        <v>0</v>
      </c>
    </row>
    <row r="3146" spans="1:8" x14ac:dyDescent="0.3">
      <c r="A3146" t="s">
        <v>690</v>
      </c>
      <c r="B3146" t="s">
        <v>117</v>
      </c>
      <c r="C3146" t="s">
        <v>135</v>
      </c>
      <c r="D3146" t="s">
        <v>689</v>
      </c>
      <c r="E3146" t="s">
        <v>767</v>
      </c>
      <c r="F3146">
        <v>2</v>
      </c>
      <c r="G3146" s="308">
        <f>'BECA SUPERIOR'!J114</f>
        <v>0</v>
      </c>
      <c r="H3146" s="308">
        <f>'BECA SUPERIOR'!K114</f>
        <v>0</v>
      </c>
    </row>
    <row r="3147" spans="1:8" x14ac:dyDescent="0.3">
      <c r="A3147" t="s">
        <v>690</v>
      </c>
      <c r="B3147" t="s">
        <v>117</v>
      </c>
      <c r="C3147" t="s">
        <v>135</v>
      </c>
      <c r="D3147" t="s">
        <v>689</v>
      </c>
      <c r="E3147" t="s">
        <v>768</v>
      </c>
      <c r="F3147">
        <v>3</v>
      </c>
      <c r="G3147" s="308">
        <f>'BECA SUPERIOR'!M114</f>
        <v>0</v>
      </c>
      <c r="H3147" s="308">
        <f>'BECA SUPERIOR'!N114</f>
        <v>0</v>
      </c>
    </row>
    <row r="3148" spans="1:8" x14ac:dyDescent="0.3">
      <c r="A3148" t="s">
        <v>690</v>
      </c>
      <c r="B3148" t="s">
        <v>117</v>
      </c>
      <c r="C3148" t="s">
        <v>135</v>
      </c>
      <c r="D3148" t="s">
        <v>689</v>
      </c>
      <c r="E3148" t="s">
        <v>769</v>
      </c>
      <c r="F3148">
        <v>4</v>
      </c>
      <c r="G3148" s="308">
        <f>'BECA SUPERIOR'!P114</f>
        <v>0</v>
      </c>
      <c r="H3148" s="308">
        <f>'BECA SUPERIOR'!Q114</f>
        <v>0</v>
      </c>
    </row>
    <row r="3149" spans="1:8" x14ac:dyDescent="0.3">
      <c r="A3149" t="s">
        <v>690</v>
      </c>
      <c r="B3149" t="s">
        <v>117</v>
      </c>
      <c r="C3149" t="s">
        <v>135</v>
      </c>
      <c r="D3149" t="s">
        <v>689</v>
      </c>
      <c r="E3149" t="s">
        <v>770</v>
      </c>
      <c r="F3149">
        <v>5</v>
      </c>
      <c r="G3149" s="308">
        <f>'BECA SUPERIOR'!S114</f>
        <v>0</v>
      </c>
      <c r="H3149" s="308">
        <f>'BECA SUPERIOR'!T114</f>
        <v>0</v>
      </c>
    </row>
    <row r="3150" spans="1:8" x14ac:dyDescent="0.3">
      <c r="A3150" t="s">
        <v>690</v>
      </c>
      <c r="B3150" t="s">
        <v>117</v>
      </c>
      <c r="C3150" t="s">
        <v>135</v>
      </c>
      <c r="D3150" t="s">
        <v>689</v>
      </c>
      <c r="E3150" t="s">
        <v>771</v>
      </c>
      <c r="F3150">
        <v>6</v>
      </c>
      <c r="G3150" s="308">
        <f>'BECA SUPERIOR'!V114</f>
        <v>0</v>
      </c>
      <c r="H3150" s="308">
        <f>'BECA SUPERIOR'!W114</f>
        <v>0</v>
      </c>
    </row>
    <row r="3151" spans="1:8" x14ac:dyDescent="0.3">
      <c r="A3151" t="s">
        <v>690</v>
      </c>
      <c r="B3151" t="s">
        <v>117</v>
      </c>
      <c r="C3151" t="s">
        <v>135</v>
      </c>
      <c r="D3151" t="s">
        <v>689</v>
      </c>
      <c r="E3151" t="s">
        <v>772</v>
      </c>
      <c r="F3151">
        <v>7</v>
      </c>
      <c r="G3151" s="308">
        <f>'BECA SUPERIOR'!Y114</f>
        <v>0</v>
      </c>
      <c r="H3151" s="308">
        <f>'BECA SUPERIOR'!Z114</f>
        <v>0</v>
      </c>
    </row>
    <row r="3152" spans="1:8" x14ac:dyDescent="0.3">
      <c r="A3152" t="s">
        <v>690</v>
      </c>
      <c r="B3152" t="s">
        <v>117</v>
      </c>
      <c r="C3152" t="s">
        <v>136</v>
      </c>
      <c r="D3152" t="s">
        <v>689</v>
      </c>
      <c r="E3152" t="s">
        <v>766</v>
      </c>
      <c r="F3152">
        <v>1</v>
      </c>
      <c r="G3152" s="308">
        <f>'BECA SUPERIOR'!G115</f>
        <v>0</v>
      </c>
      <c r="H3152" s="308">
        <f>'BECA SUPERIOR'!H115</f>
        <v>0</v>
      </c>
    </row>
    <row r="3153" spans="1:8" x14ac:dyDescent="0.3">
      <c r="A3153" t="s">
        <v>690</v>
      </c>
      <c r="B3153" t="s">
        <v>117</v>
      </c>
      <c r="C3153" t="s">
        <v>136</v>
      </c>
      <c r="D3153" t="s">
        <v>689</v>
      </c>
      <c r="E3153" t="s">
        <v>767</v>
      </c>
      <c r="F3153">
        <v>2</v>
      </c>
      <c r="G3153" s="308">
        <f>'BECA SUPERIOR'!J115</f>
        <v>0</v>
      </c>
      <c r="H3153" s="308">
        <f>'BECA SUPERIOR'!K115</f>
        <v>0</v>
      </c>
    </row>
    <row r="3154" spans="1:8" x14ac:dyDescent="0.3">
      <c r="A3154" t="s">
        <v>690</v>
      </c>
      <c r="B3154" t="s">
        <v>117</v>
      </c>
      <c r="C3154" t="s">
        <v>136</v>
      </c>
      <c r="D3154" t="s">
        <v>689</v>
      </c>
      <c r="E3154" t="s">
        <v>768</v>
      </c>
      <c r="F3154">
        <v>3</v>
      </c>
      <c r="G3154" s="308">
        <f>'BECA SUPERIOR'!M115</f>
        <v>0</v>
      </c>
      <c r="H3154" s="308">
        <f>'BECA SUPERIOR'!N115</f>
        <v>0</v>
      </c>
    </row>
    <row r="3155" spans="1:8" x14ac:dyDescent="0.3">
      <c r="A3155" t="s">
        <v>690</v>
      </c>
      <c r="B3155" t="s">
        <v>117</v>
      </c>
      <c r="C3155" t="s">
        <v>136</v>
      </c>
      <c r="D3155" t="s">
        <v>689</v>
      </c>
      <c r="E3155" t="s">
        <v>769</v>
      </c>
      <c r="F3155">
        <v>4</v>
      </c>
      <c r="G3155" s="308">
        <f>'BECA SUPERIOR'!P115</f>
        <v>0</v>
      </c>
      <c r="H3155" s="308">
        <f>'BECA SUPERIOR'!Q115</f>
        <v>0</v>
      </c>
    </row>
    <row r="3156" spans="1:8" x14ac:dyDescent="0.3">
      <c r="A3156" t="s">
        <v>690</v>
      </c>
      <c r="B3156" t="s">
        <v>117</v>
      </c>
      <c r="C3156" t="s">
        <v>136</v>
      </c>
      <c r="D3156" t="s">
        <v>689</v>
      </c>
      <c r="E3156" t="s">
        <v>770</v>
      </c>
      <c r="F3156">
        <v>5</v>
      </c>
      <c r="G3156" s="308">
        <f>'BECA SUPERIOR'!S115</f>
        <v>0</v>
      </c>
      <c r="H3156" s="308">
        <f>'BECA SUPERIOR'!T115</f>
        <v>0</v>
      </c>
    </row>
    <row r="3157" spans="1:8" x14ac:dyDescent="0.3">
      <c r="A3157" t="s">
        <v>690</v>
      </c>
      <c r="B3157" t="s">
        <v>117</v>
      </c>
      <c r="C3157" t="s">
        <v>136</v>
      </c>
      <c r="D3157" t="s">
        <v>689</v>
      </c>
      <c r="E3157" t="s">
        <v>771</v>
      </c>
      <c r="F3157">
        <v>6</v>
      </c>
      <c r="G3157" s="308">
        <f>'BECA SUPERIOR'!V115</f>
        <v>0</v>
      </c>
      <c r="H3157" s="308">
        <f>'BECA SUPERIOR'!W115</f>
        <v>0</v>
      </c>
    </row>
    <row r="3158" spans="1:8" x14ac:dyDescent="0.3">
      <c r="A3158" t="s">
        <v>690</v>
      </c>
      <c r="B3158" t="s">
        <v>117</v>
      </c>
      <c r="C3158" t="s">
        <v>136</v>
      </c>
      <c r="D3158" t="s">
        <v>689</v>
      </c>
      <c r="E3158" t="s">
        <v>772</v>
      </c>
      <c r="F3158">
        <v>7</v>
      </c>
      <c r="G3158" s="308">
        <f>'BECA SUPERIOR'!Y115</f>
        <v>0</v>
      </c>
      <c r="H3158" s="308">
        <f>'BECA SUPERIOR'!Z115</f>
        <v>0</v>
      </c>
    </row>
    <row r="3159" spans="1:8" x14ac:dyDescent="0.3">
      <c r="A3159" t="s">
        <v>690</v>
      </c>
      <c r="B3159" t="s">
        <v>117</v>
      </c>
      <c r="C3159" t="s">
        <v>137</v>
      </c>
      <c r="D3159" t="s">
        <v>689</v>
      </c>
      <c r="E3159" t="s">
        <v>766</v>
      </c>
      <c r="F3159">
        <v>1</v>
      </c>
      <c r="G3159" s="308">
        <f>'BECA SUPERIOR'!G116</f>
        <v>0</v>
      </c>
      <c r="H3159" s="308">
        <f>'BECA SUPERIOR'!H116</f>
        <v>0</v>
      </c>
    </row>
    <row r="3160" spans="1:8" x14ac:dyDescent="0.3">
      <c r="A3160" t="s">
        <v>690</v>
      </c>
      <c r="B3160" t="s">
        <v>117</v>
      </c>
      <c r="C3160" t="s">
        <v>137</v>
      </c>
      <c r="D3160" t="s">
        <v>689</v>
      </c>
      <c r="E3160" t="s">
        <v>767</v>
      </c>
      <c r="F3160">
        <v>2</v>
      </c>
      <c r="G3160" s="308">
        <f>'BECA SUPERIOR'!J116</f>
        <v>0</v>
      </c>
      <c r="H3160" s="308">
        <f>'BECA SUPERIOR'!K116</f>
        <v>0</v>
      </c>
    </row>
    <row r="3161" spans="1:8" x14ac:dyDescent="0.3">
      <c r="A3161" t="s">
        <v>690</v>
      </c>
      <c r="B3161" t="s">
        <v>117</v>
      </c>
      <c r="C3161" t="s">
        <v>137</v>
      </c>
      <c r="D3161" t="s">
        <v>689</v>
      </c>
      <c r="E3161" t="s">
        <v>768</v>
      </c>
      <c r="F3161">
        <v>3</v>
      </c>
      <c r="G3161" s="308">
        <f>'BECA SUPERIOR'!M116</f>
        <v>0</v>
      </c>
      <c r="H3161" s="308">
        <f>'BECA SUPERIOR'!N116</f>
        <v>0</v>
      </c>
    </row>
    <row r="3162" spans="1:8" x14ac:dyDescent="0.3">
      <c r="A3162" t="s">
        <v>690</v>
      </c>
      <c r="B3162" t="s">
        <v>117</v>
      </c>
      <c r="C3162" t="s">
        <v>137</v>
      </c>
      <c r="D3162" t="s">
        <v>689</v>
      </c>
      <c r="E3162" t="s">
        <v>769</v>
      </c>
      <c r="F3162">
        <v>4</v>
      </c>
      <c r="G3162" s="308">
        <f>'BECA SUPERIOR'!P116</f>
        <v>0.72</v>
      </c>
      <c r="H3162" s="308">
        <f>'BECA SUPERIOR'!Q116</f>
        <v>1800</v>
      </c>
    </row>
    <row r="3163" spans="1:8" x14ac:dyDescent="0.3">
      <c r="A3163" t="s">
        <v>690</v>
      </c>
      <c r="B3163" t="s">
        <v>117</v>
      </c>
      <c r="C3163" t="s">
        <v>137</v>
      </c>
      <c r="D3163" t="s">
        <v>689</v>
      </c>
      <c r="E3163" t="s">
        <v>770</v>
      </c>
      <c r="F3163">
        <v>5</v>
      </c>
      <c r="G3163" s="308">
        <f>'BECA SUPERIOR'!S116</f>
        <v>0</v>
      </c>
      <c r="H3163" s="308">
        <f>'BECA SUPERIOR'!T116</f>
        <v>0</v>
      </c>
    </row>
    <row r="3164" spans="1:8" x14ac:dyDescent="0.3">
      <c r="A3164" t="s">
        <v>690</v>
      </c>
      <c r="B3164" t="s">
        <v>117</v>
      </c>
      <c r="C3164" t="s">
        <v>137</v>
      </c>
      <c r="D3164" t="s">
        <v>689</v>
      </c>
      <c r="E3164" t="s">
        <v>771</v>
      </c>
      <c r="F3164">
        <v>6</v>
      </c>
      <c r="G3164" s="308">
        <f>'BECA SUPERIOR'!V116</f>
        <v>0</v>
      </c>
      <c r="H3164" s="308">
        <f>'BECA SUPERIOR'!W116</f>
        <v>0</v>
      </c>
    </row>
    <row r="3165" spans="1:8" x14ac:dyDescent="0.3">
      <c r="A3165" t="s">
        <v>690</v>
      </c>
      <c r="B3165" t="s">
        <v>117</v>
      </c>
      <c r="C3165" t="s">
        <v>137</v>
      </c>
      <c r="D3165" t="s">
        <v>689</v>
      </c>
      <c r="E3165" t="s">
        <v>772</v>
      </c>
      <c r="F3165">
        <v>7</v>
      </c>
      <c r="G3165" s="308">
        <f>'BECA SUPERIOR'!Y116</f>
        <v>0</v>
      </c>
      <c r="H3165" s="308">
        <f>'BECA SUPERIOR'!Z116</f>
        <v>0</v>
      </c>
    </row>
    <row r="3166" spans="1:8" x14ac:dyDescent="0.3">
      <c r="A3166" t="s">
        <v>690</v>
      </c>
      <c r="B3166" t="s">
        <v>117</v>
      </c>
      <c r="C3166" t="s">
        <v>138</v>
      </c>
      <c r="D3166" t="s">
        <v>689</v>
      </c>
      <c r="E3166" t="s">
        <v>766</v>
      </c>
      <c r="F3166">
        <v>1</v>
      </c>
      <c r="G3166" s="308">
        <f>'BECA SUPERIOR'!G117</f>
        <v>0</v>
      </c>
      <c r="H3166" s="308">
        <f>'BECA SUPERIOR'!H117</f>
        <v>0</v>
      </c>
    </row>
    <row r="3167" spans="1:8" x14ac:dyDescent="0.3">
      <c r="A3167" t="s">
        <v>690</v>
      </c>
      <c r="B3167" t="s">
        <v>117</v>
      </c>
      <c r="C3167" t="s">
        <v>138</v>
      </c>
      <c r="D3167" t="s">
        <v>689</v>
      </c>
      <c r="E3167" t="s">
        <v>767</v>
      </c>
      <c r="F3167">
        <v>2</v>
      </c>
      <c r="G3167" s="308">
        <f>'BECA SUPERIOR'!J117</f>
        <v>0</v>
      </c>
      <c r="H3167" s="308">
        <f>'BECA SUPERIOR'!K117</f>
        <v>0</v>
      </c>
    </row>
    <row r="3168" spans="1:8" x14ac:dyDescent="0.3">
      <c r="A3168" t="s">
        <v>690</v>
      </c>
      <c r="B3168" t="s">
        <v>117</v>
      </c>
      <c r="C3168" t="s">
        <v>138</v>
      </c>
      <c r="D3168" t="s">
        <v>689</v>
      </c>
      <c r="E3168" t="s">
        <v>768</v>
      </c>
      <c r="F3168">
        <v>3</v>
      </c>
      <c r="G3168" s="308">
        <f>'BECA SUPERIOR'!M117</f>
        <v>0</v>
      </c>
      <c r="H3168" s="308">
        <f>'BECA SUPERIOR'!N117</f>
        <v>0</v>
      </c>
    </row>
    <row r="3169" spans="1:8" x14ac:dyDescent="0.3">
      <c r="A3169" t="s">
        <v>690</v>
      </c>
      <c r="B3169" t="s">
        <v>117</v>
      </c>
      <c r="C3169" t="s">
        <v>138</v>
      </c>
      <c r="D3169" t="s">
        <v>689</v>
      </c>
      <c r="E3169" t="s">
        <v>769</v>
      </c>
      <c r="F3169">
        <v>4</v>
      </c>
      <c r="G3169" s="308">
        <f>'BECA SUPERIOR'!P117</f>
        <v>0</v>
      </c>
      <c r="H3169" s="308">
        <f>'BECA SUPERIOR'!Q117</f>
        <v>0</v>
      </c>
    </row>
    <row r="3170" spans="1:8" x14ac:dyDescent="0.3">
      <c r="A3170" t="s">
        <v>690</v>
      </c>
      <c r="B3170" t="s">
        <v>117</v>
      </c>
      <c r="C3170" t="s">
        <v>138</v>
      </c>
      <c r="D3170" t="s">
        <v>689</v>
      </c>
      <c r="E3170" t="s">
        <v>770</v>
      </c>
      <c r="F3170">
        <v>5</v>
      </c>
      <c r="G3170" s="308">
        <f>'BECA SUPERIOR'!S117</f>
        <v>0</v>
      </c>
      <c r="H3170" s="308">
        <f>'BECA SUPERIOR'!T117</f>
        <v>0</v>
      </c>
    </row>
    <row r="3171" spans="1:8" x14ac:dyDescent="0.3">
      <c r="A3171" t="s">
        <v>690</v>
      </c>
      <c r="B3171" t="s">
        <v>117</v>
      </c>
      <c r="C3171" t="s">
        <v>138</v>
      </c>
      <c r="D3171" t="s">
        <v>689</v>
      </c>
      <c r="E3171" t="s">
        <v>771</v>
      </c>
      <c r="F3171">
        <v>6</v>
      </c>
      <c r="G3171" s="308">
        <f>'BECA SUPERIOR'!V117</f>
        <v>0</v>
      </c>
      <c r="H3171" s="308">
        <f>'BECA SUPERIOR'!W117</f>
        <v>0</v>
      </c>
    </row>
    <row r="3172" spans="1:8" x14ac:dyDescent="0.3">
      <c r="A3172" t="s">
        <v>690</v>
      </c>
      <c r="B3172" t="s">
        <v>117</v>
      </c>
      <c r="C3172" t="s">
        <v>138</v>
      </c>
      <c r="D3172" t="s">
        <v>689</v>
      </c>
      <c r="E3172" t="s">
        <v>772</v>
      </c>
      <c r="F3172">
        <v>7</v>
      </c>
      <c r="G3172" s="308">
        <f>'BECA SUPERIOR'!Y117</f>
        <v>0</v>
      </c>
      <c r="H3172" s="308">
        <f>'BECA SUPERIOR'!Z117</f>
        <v>0</v>
      </c>
    </row>
    <row r="3173" spans="1:8" x14ac:dyDescent="0.3">
      <c r="A3173" t="s">
        <v>690</v>
      </c>
      <c r="B3173" t="s">
        <v>117</v>
      </c>
      <c r="C3173" t="s">
        <v>139</v>
      </c>
      <c r="D3173" t="s">
        <v>689</v>
      </c>
      <c r="E3173" t="s">
        <v>766</v>
      </c>
      <c r="F3173">
        <v>1</v>
      </c>
      <c r="G3173" s="308">
        <f>'BECA SUPERIOR'!G118</f>
        <v>0</v>
      </c>
      <c r="H3173" s="308">
        <f>'BECA SUPERIOR'!H118</f>
        <v>0</v>
      </c>
    </row>
    <row r="3174" spans="1:8" x14ac:dyDescent="0.3">
      <c r="A3174" t="s">
        <v>690</v>
      </c>
      <c r="B3174" t="s">
        <v>117</v>
      </c>
      <c r="C3174" t="s">
        <v>139</v>
      </c>
      <c r="D3174" t="s">
        <v>689</v>
      </c>
      <c r="E3174" t="s">
        <v>767</v>
      </c>
      <c r="F3174">
        <v>2</v>
      </c>
      <c r="G3174" s="308">
        <f>'BECA SUPERIOR'!J118</f>
        <v>0</v>
      </c>
      <c r="H3174" s="308">
        <f>'BECA SUPERIOR'!K118</f>
        <v>0</v>
      </c>
    </row>
    <row r="3175" spans="1:8" x14ac:dyDescent="0.3">
      <c r="A3175" t="s">
        <v>690</v>
      </c>
      <c r="B3175" t="s">
        <v>117</v>
      </c>
      <c r="C3175" t="s">
        <v>139</v>
      </c>
      <c r="D3175" t="s">
        <v>689</v>
      </c>
      <c r="E3175" t="s">
        <v>768</v>
      </c>
      <c r="F3175">
        <v>3</v>
      </c>
      <c r="G3175" s="308">
        <f>'BECA SUPERIOR'!M118</f>
        <v>0</v>
      </c>
      <c r="H3175" s="308">
        <f>'BECA SUPERIOR'!N118</f>
        <v>0</v>
      </c>
    </row>
    <row r="3176" spans="1:8" x14ac:dyDescent="0.3">
      <c r="A3176" t="s">
        <v>690</v>
      </c>
      <c r="B3176" t="s">
        <v>117</v>
      </c>
      <c r="C3176" t="s">
        <v>139</v>
      </c>
      <c r="D3176" t="s">
        <v>689</v>
      </c>
      <c r="E3176" t="s">
        <v>769</v>
      </c>
      <c r="F3176">
        <v>4</v>
      </c>
      <c r="G3176" s="308">
        <f>'BECA SUPERIOR'!P118</f>
        <v>0</v>
      </c>
      <c r="H3176" s="308">
        <f>'BECA SUPERIOR'!Q118</f>
        <v>0</v>
      </c>
    </row>
    <row r="3177" spans="1:8" x14ac:dyDescent="0.3">
      <c r="A3177" t="s">
        <v>690</v>
      </c>
      <c r="B3177" t="s">
        <v>117</v>
      </c>
      <c r="C3177" t="s">
        <v>139</v>
      </c>
      <c r="D3177" t="s">
        <v>689</v>
      </c>
      <c r="E3177" t="s">
        <v>770</v>
      </c>
      <c r="F3177">
        <v>5</v>
      </c>
      <c r="G3177" s="308">
        <f>'BECA SUPERIOR'!S118</f>
        <v>0</v>
      </c>
      <c r="H3177" s="308">
        <f>'BECA SUPERIOR'!T118</f>
        <v>0</v>
      </c>
    </row>
    <row r="3178" spans="1:8" x14ac:dyDescent="0.3">
      <c r="A3178" t="s">
        <v>690</v>
      </c>
      <c r="B3178" t="s">
        <v>117</v>
      </c>
      <c r="C3178" t="s">
        <v>139</v>
      </c>
      <c r="D3178" t="s">
        <v>689</v>
      </c>
      <c r="E3178" t="s">
        <v>771</v>
      </c>
      <c r="F3178">
        <v>6</v>
      </c>
      <c r="G3178" s="308">
        <f>'BECA SUPERIOR'!V118</f>
        <v>0</v>
      </c>
      <c r="H3178" s="308">
        <f>'BECA SUPERIOR'!W118</f>
        <v>0</v>
      </c>
    </row>
    <row r="3179" spans="1:8" x14ac:dyDescent="0.3">
      <c r="A3179" t="s">
        <v>690</v>
      </c>
      <c r="B3179" t="s">
        <v>117</v>
      </c>
      <c r="C3179" t="s">
        <v>139</v>
      </c>
      <c r="D3179" t="s">
        <v>689</v>
      </c>
      <c r="E3179" t="s">
        <v>772</v>
      </c>
      <c r="F3179">
        <v>7</v>
      </c>
      <c r="G3179" s="308">
        <f>'BECA SUPERIOR'!Y118</f>
        <v>0</v>
      </c>
      <c r="H3179" s="308">
        <f>'BECA SUPERIOR'!Z118</f>
        <v>0</v>
      </c>
    </row>
    <row r="3180" spans="1:8" x14ac:dyDescent="0.3">
      <c r="A3180" t="s">
        <v>690</v>
      </c>
      <c r="B3180" t="s">
        <v>117</v>
      </c>
      <c r="C3180" t="s">
        <v>140</v>
      </c>
      <c r="D3180" t="s">
        <v>689</v>
      </c>
      <c r="E3180" t="s">
        <v>766</v>
      </c>
      <c r="F3180">
        <v>1</v>
      </c>
      <c r="G3180" s="308">
        <f>'BECA SUPERIOR'!G119</f>
        <v>0</v>
      </c>
      <c r="H3180" s="308">
        <f>'BECA SUPERIOR'!H119</f>
        <v>0</v>
      </c>
    </row>
    <row r="3181" spans="1:8" x14ac:dyDescent="0.3">
      <c r="A3181" t="s">
        <v>690</v>
      </c>
      <c r="B3181" t="s">
        <v>117</v>
      </c>
      <c r="C3181" t="s">
        <v>140</v>
      </c>
      <c r="D3181" t="s">
        <v>689</v>
      </c>
      <c r="E3181" t="s">
        <v>767</v>
      </c>
      <c r="F3181">
        <v>2</v>
      </c>
      <c r="G3181" s="308">
        <f>'BECA SUPERIOR'!J119</f>
        <v>0</v>
      </c>
      <c r="H3181" s="308">
        <f>'BECA SUPERIOR'!K119</f>
        <v>0</v>
      </c>
    </row>
    <row r="3182" spans="1:8" x14ac:dyDescent="0.3">
      <c r="A3182" t="s">
        <v>690</v>
      </c>
      <c r="B3182" t="s">
        <v>117</v>
      </c>
      <c r="C3182" t="s">
        <v>140</v>
      </c>
      <c r="D3182" t="s">
        <v>689</v>
      </c>
      <c r="E3182" t="s">
        <v>768</v>
      </c>
      <c r="F3182">
        <v>3</v>
      </c>
      <c r="G3182" s="308">
        <f>'BECA SUPERIOR'!M119</f>
        <v>0</v>
      </c>
      <c r="H3182" s="308">
        <f>'BECA SUPERIOR'!N119</f>
        <v>0</v>
      </c>
    </row>
    <row r="3183" spans="1:8" x14ac:dyDescent="0.3">
      <c r="A3183" t="s">
        <v>690</v>
      </c>
      <c r="B3183" t="s">
        <v>117</v>
      </c>
      <c r="C3183" t="s">
        <v>140</v>
      </c>
      <c r="D3183" t="s">
        <v>689</v>
      </c>
      <c r="E3183" t="s">
        <v>769</v>
      </c>
      <c r="F3183">
        <v>4</v>
      </c>
      <c r="G3183" s="308">
        <f>'BECA SUPERIOR'!P119</f>
        <v>2.88</v>
      </c>
      <c r="H3183" s="308">
        <f>'BECA SUPERIOR'!Q119</f>
        <v>7200</v>
      </c>
    </row>
    <row r="3184" spans="1:8" x14ac:dyDescent="0.3">
      <c r="A3184" t="s">
        <v>690</v>
      </c>
      <c r="B3184" t="s">
        <v>117</v>
      </c>
      <c r="C3184" t="s">
        <v>140</v>
      </c>
      <c r="D3184" t="s">
        <v>689</v>
      </c>
      <c r="E3184" t="s">
        <v>770</v>
      </c>
      <c r="F3184">
        <v>5</v>
      </c>
      <c r="G3184" s="308">
        <f>'BECA SUPERIOR'!S119</f>
        <v>0</v>
      </c>
      <c r="H3184" s="308">
        <f>'BECA SUPERIOR'!T119</f>
        <v>0</v>
      </c>
    </row>
    <row r="3185" spans="1:8" x14ac:dyDescent="0.3">
      <c r="A3185" t="s">
        <v>690</v>
      </c>
      <c r="B3185" t="s">
        <v>117</v>
      </c>
      <c r="C3185" t="s">
        <v>140</v>
      </c>
      <c r="D3185" t="s">
        <v>689</v>
      </c>
      <c r="E3185" t="s">
        <v>771</v>
      </c>
      <c r="F3185">
        <v>6</v>
      </c>
      <c r="G3185" s="308">
        <f>'BECA SUPERIOR'!V119</f>
        <v>0</v>
      </c>
      <c r="H3185" s="308">
        <f>'BECA SUPERIOR'!W119</f>
        <v>0</v>
      </c>
    </row>
    <row r="3186" spans="1:8" x14ac:dyDescent="0.3">
      <c r="A3186" t="s">
        <v>690</v>
      </c>
      <c r="B3186" t="s">
        <v>117</v>
      </c>
      <c r="C3186" t="s">
        <v>140</v>
      </c>
      <c r="D3186" t="s">
        <v>689</v>
      </c>
      <c r="E3186" t="s">
        <v>772</v>
      </c>
      <c r="F3186">
        <v>7</v>
      </c>
      <c r="G3186" s="308">
        <f>'BECA SUPERIOR'!Y119</f>
        <v>0</v>
      </c>
      <c r="H3186" s="308">
        <f>'BECA SUPERIOR'!Z119</f>
        <v>0</v>
      </c>
    </row>
    <row r="3187" spans="1:8" x14ac:dyDescent="0.3">
      <c r="A3187" t="s">
        <v>690</v>
      </c>
      <c r="B3187" t="s">
        <v>117</v>
      </c>
      <c r="C3187" t="s">
        <v>141</v>
      </c>
      <c r="D3187" t="s">
        <v>689</v>
      </c>
      <c r="E3187" t="s">
        <v>766</v>
      </c>
      <c r="F3187">
        <v>1</v>
      </c>
      <c r="G3187" s="308">
        <f>'BECA SUPERIOR'!G120</f>
        <v>0</v>
      </c>
      <c r="H3187" s="308">
        <f>'BECA SUPERIOR'!H120</f>
        <v>0</v>
      </c>
    </row>
    <row r="3188" spans="1:8" x14ac:dyDescent="0.3">
      <c r="A3188" t="s">
        <v>690</v>
      </c>
      <c r="B3188" t="s">
        <v>117</v>
      </c>
      <c r="C3188" t="s">
        <v>141</v>
      </c>
      <c r="D3188" t="s">
        <v>689</v>
      </c>
      <c r="E3188" t="s">
        <v>767</v>
      </c>
      <c r="F3188">
        <v>2</v>
      </c>
      <c r="G3188" s="308">
        <f>'BECA SUPERIOR'!J120</f>
        <v>0</v>
      </c>
      <c r="H3188" s="308">
        <f>'BECA SUPERIOR'!K120</f>
        <v>0</v>
      </c>
    </row>
    <row r="3189" spans="1:8" x14ac:dyDescent="0.3">
      <c r="A3189" t="s">
        <v>690</v>
      </c>
      <c r="B3189" t="s">
        <v>117</v>
      </c>
      <c r="C3189" t="s">
        <v>141</v>
      </c>
      <c r="D3189" t="s">
        <v>689</v>
      </c>
      <c r="E3189" t="s">
        <v>768</v>
      </c>
      <c r="F3189">
        <v>3</v>
      </c>
      <c r="G3189" s="308">
        <f>'BECA SUPERIOR'!M120</f>
        <v>0</v>
      </c>
      <c r="H3189" s="308">
        <f>'BECA SUPERIOR'!N120</f>
        <v>0</v>
      </c>
    </row>
    <row r="3190" spans="1:8" x14ac:dyDescent="0.3">
      <c r="A3190" t="s">
        <v>690</v>
      </c>
      <c r="B3190" t="s">
        <v>117</v>
      </c>
      <c r="C3190" t="s">
        <v>141</v>
      </c>
      <c r="D3190" t="s">
        <v>689</v>
      </c>
      <c r="E3190" t="s">
        <v>769</v>
      </c>
      <c r="F3190">
        <v>4</v>
      </c>
      <c r="G3190" s="308">
        <f>'BECA SUPERIOR'!P120</f>
        <v>0.72</v>
      </c>
      <c r="H3190" s="308">
        <f>'BECA SUPERIOR'!Q120</f>
        <v>1800</v>
      </c>
    </row>
    <row r="3191" spans="1:8" x14ac:dyDescent="0.3">
      <c r="A3191" t="s">
        <v>690</v>
      </c>
      <c r="B3191" t="s">
        <v>117</v>
      </c>
      <c r="C3191" t="s">
        <v>141</v>
      </c>
      <c r="D3191" t="s">
        <v>689</v>
      </c>
      <c r="E3191" t="s">
        <v>770</v>
      </c>
      <c r="F3191">
        <v>5</v>
      </c>
      <c r="G3191" s="308">
        <f>'BECA SUPERIOR'!S120</f>
        <v>0</v>
      </c>
      <c r="H3191" s="308">
        <f>'BECA SUPERIOR'!T120</f>
        <v>0</v>
      </c>
    </row>
    <row r="3192" spans="1:8" x14ac:dyDescent="0.3">
      <c r="A3192" t="s">
        <v>690</v>
      </c>
      <c r="B3192" t="s">
        <v>117</v>
      </c>
      <c r="C3192" t="s">
        <v>141</v>
      </c>
      <c r="D3192" t="s">
        <v>689</v>
      </c>
      <c r="E3192" t="s">
        <v>771</v>
      </c>
      <c r="F3192">
        <v>6</v>
      </c>
      <c r="G3192" s="308">
        <f>'BECA SUPERIOR'!V120</f>
        <v>0</v>
      </c>
      <c r="H3192" s="308">
        <f>'BECA SUPERIOR'!W120</f>
        <v>0</v>
      </c>
    </row>
    <row r="3193" spans="1:8" x14ac:dyDescent="0.3">
      <c r="A3193" t="s">
        <v>690</v>
      </c>
      <c r="B3193" t="s">
        <v>117</v>
      </c>
      <c r="C3193" t="s">
        <v>141</v>
      </c>
      <c r="D3193" t="s">
        <v>689</v>
      </c>
      <c r="E3193" t="s">
        <v>772</v>
      </c>
      <c r="F3193">
        <v>7</v>
      </c>
      <c r="G3193" s="308">
        <f>'BECA SUPERIOR'!Y120</f>
        <v>0</v>
      </c>
      <c r="H3193" s="308">
        <f>'BECA SUPERIOR'!Z120</f>
        <v>0</v>
      </c>
    </row>
    <row r="3194" spans="1:8" x14ac:dyDescent="0.3">
      <c r="A3194" t="s">
        <v>690</v>
      </c>
      <c r="B3194" t="s">
        <v>117</v>
      </c>
      <c r="C3194" t="s">
        <v>142</v>
      </c>
      <c r="D3194" t="s">
        <v>689</v>
      </c>
      <c r="E3194" t="s">
        <v>766</v>
      </c>
      <c r="F3194">
        <v>1</v>
      </c>
      <c r="G3194" s="308">
        <f>'BECA SUPERIOR'!G121</f>
        <v>0</v>
      </c>
      <c r="H3194" s="308">
        <f>'BECA SUPERIOR'!H121</f>
        <v>0</v>
      </c>
    </row>
    <row r="3195" spans="1:8" x14ac:dyDescent="0.3">
      <c r="A3195" t="s">
        <v>690</v>
      </c>
      <c r="B3195" t="s">
        <v>117</v>
      </c>
      <c r="C3195" t="s">
        <v>142</v>
      </c>
      <c r="D3195" t="s">
        <v>689</v>
      </c>
      <c r="E3195" t="s">
        <v>767</v>
      </c>
      <c r="F3195">
        <v>2</v>
      </c>
      <c r="G3195" s="308">
        <f>'BECA SUPERIOR'!J121</f>
        <v>0</v>
      </c>
      <c r="H3195" s="308">
        <f>'BECA SUPERIOR'!K121</f>
        <v>0</v>
      </c>
    </row>
    <row r="3196" spans="1:8" x14ac:dyDescent="0.3">
      <c r="A3196" t="s">
        <v>690</v>
      </c>
      <c r="B3196" t="s">
        <v>117</v>
      </c>
      <c r="C3196" t="s">
        <v>142</v>
      </c>
      <c r="D3196" t="s">
        <v>689</v>
      </c>
      <c r="E3196" t="s">
        <v>768</v>
      </c>
      <c r="F3196">
        <v>3</v>
      </c>
      <c r="G3196" s="308">
        <f>'BECA SUPERIOR'!M121</f>
        <v>0</v>
      </c>
      <c r="H3196" s="308">
        <f>'BECA SUPERIOR'!N121</f>
        <v>0</v>
      </c>
    </row>
    <row r="3197" spans="1:8" x14ac:dyDescent="0.3">
      <c r="A3197" t="s">
        <v>690</v>
      </c>
      <c r="B3197" t="s">
        <v>117</v>
      </c>
      <c r="C3197" t="s">
        <v>142</v>
      </c>
      <c r="D3197" t="s">
        <v>689</v>
      </c>
      <c r="E3197" t="s">
        <v>769</v>
      </c>
      <c r="F3197">
        <v>4</v>
      </c>
      <c r="G3197" s="308">
        <f>'BECA SUPERIOR'!P121</f>
        <v>0</v>
      </c>
      <c r="H3197" s="308">
        <f>'BECA SUPERIOR'!Q121</f>
        <v>0</v>
      </c>
    </row>
    <row r="3198" spans="1:8" x14ac:dyDescent="0.3">
      <c r="A3198" t="s">
        <v>690</v>
      </c>
      <c r="B3198" t="s">
        <v>117</v>
      </c>
      <c r="C3198" t="s">
        <v>142</v>
      </c>
      <c r="D3198" t="s">
        <v>689</v>
      </c>
      <c r="E3198" t="s">
        <v>770</v>
      </c>
      <c r="F3198">
        <v>5</v>
      </c>
      <c r="G3198" s="308">
        <f>'BECA SUPERIOR'!S121</f>
        <v>0</v>
      </c>
      <c r="H3198" s="308">
        <f>'BECA SUPERIOR'!T121</f>
        <v>0</v>
      </c>
    </row>
    <row r="3199" spans="1:8" x14ac:dyDescent="0.3">
      <c r="A3199" t="s">
        <v>690</v>
      </c>
      <c r="B3199" t="s">
        <v>117</v>
      </c>
      <c r="C3199" t="s">
        <v>142</v>
      </c>
      <c r="D3199" t="s">
        <v>689</v>
      </c>
      <c r="E3199" t="s">
        <v>771</v>
      </c>
      <c r="F3199">
        <v>6</v>
      </c>
      <c r="G3199" s="308">
        <f>'BECA SUPERIOR'!V121</f>
        <v>0</v>
      </c>
      <c r="H3199" s="308">
        <f>'BECA SUPERIOR'!W121</f>
        <v>0</v>
      </c>
    </row>
    <row r="3200" spans="1:8" x14ac:dyDescent="0.3">
      <c r="A3200" t="s">
        <v>690</v>
      </c>
      <c r="B3200" t="s">
        <v>117</v>
      </c>
      <c r="C3200" t="s">
        <v>142</v>
      </c>
      <c r="D3200" t="s">
        <v>689</v>
      </c>
      <c r="E3200" t="s">
        <v>772</v>
      </c>
      <c r="F3200">
        <v>7</v>
      </c>
      <c r="G3200" s="308">
        <f>'BECA SUPERIOR'!Y121</f>
        <v>0</v>
      </c>
      <c r="H3200" s="308">
        <f>'BECA SUPERIOR'!Z121</f>
        <v>0</v>
      </c>
    </row>
    <row r="3201" spans="1:8" x14ac:dyDescent="0.3">
      <c r="A3201" t="s">
        <v>690</v>
      </c>
      <c r="B3201" t="s">
        <v>117</v>
      </c>
      <c r="C3201" t="s">
        <v>143</v>
      </c>
      <c r="D3201" t="s">
        <v>689</v>
      </c>
      <c r="E3201" t="s">
        <v>766</v>
      </c>
      <c r="F3201">
        <v>1</v>
      </c>
      <c r="G3201" s="308">
        <f>'BECA SUPERIOR'!G122</f>
        <v>0</v>
      </c>
      <c r="H3201" s="308">
        <f>'BECA SUPERIOR'!H122</f>
        <v>0</v>
      </c>
    </row>
    <row r="3202" spans="1:8" x14ac:dyDescent="0.3">
      <c r="A3202" t="s">
        <v>690</v>
      </c>
      <c r="B3202" t="s">
        <v>117</v>
      </c>
      <c r="C3202" t="s">
        <v>143</v>
      </c>
      <c r="D3202" t="s">
        <v>689</v>
      </c>
      <c r="E3202" t="s">
        <v>767</v>
      </c>
      <c r="F3202">
        <v>2</v>
      </c>
      <c r="G3202" s="308">
        <f>'BECA SUPERIOR'!J122</f>
        <v>0</v>
      </c>
      <c r="H3202" s="308">
        <f>'BECA SUPERIOR'!K122</f>
        <v>0</v>
      </c>
    </row>
    <row r="3203" spans="1:8" x14ac:dyDescent="0.3">
      <c r="A3203" t="s">
        <v>690</v>
      </c>
      <c r="B3203" t="s">
        <v>117</v>
      </c>
      <c r="C3203" t="s">
        <v>143</v>
      </c>
      <c r="D3203" t="s">
        <v>689</v>
      </c>
      <c r="E3203" t="s">
        <v>768</v>
      </c>
      <c r="F3203">
        <v>3</v>
      </c>
      <c r="G3203" s="308">
        <f>'BECA SUPERIOR'!M122</f>
        <v>0</v>
      </c>
      <c r="H3203" s="308">
        <f>'BECA SUPERIOR'!N122</f>
        <v>0</v>
      </c>
    </row>
    <row r="3204" spans="1:8" x14ac:dyDescent="0.3">
      <c r="A3204" t="s">
        <v>690</v>
      </c>
      <c r="B3204" t="s">
        <v>117</v>
      </c>
      <c r="C3204" t="s">
        <v>143</v>
      </c>
      <c r="D3204" t="s">
        <v>689</v>
      </c>
      <c r="E3204" t="s">
        <v>769</v>
      </c>
      <c r="F3204">
        <v>4</v>
      </c>
      <c r="G3204" s="308">
        <f>'BECA SUPERIOR'!P122</f>
        <v>0</v>
      </c>
      <c r="H3204" s="308">
        <f>'BECA SUPERIOR'!Q122</f>
        <v>0</v>
      </c>
    </row>
    <row r="3205" spans="1:8" x14ac:dyDescent="0.3">
      <c r="A3205" t="s">
        <v>690</v>
      </c>
      <c r="B3205" t="s">
        <v>117</v>
      </c>
      <c r="C3205" t="s">
        <v>143</v>
      </c>
      <c r="D3205" t="s">
        <v>689</v>
      </c>
      <c r="E3205" t="s">
        <v>770</v>
      </c>
      <c r="F3205">
        <v>5</v>
      </c>
      <c r="G3205" s="308">
        <f>'BECA SUPERIOR'!S122</f>
        <v>0</v>
      </c>
      <c r="H3205" s="308">
        <f>'BECA SUPERIOR'!T122</f>
        <v>0</v>
      </c>
    </row>
    <row r="3206" spans="1:8" x14ac:dyDescent="0.3">
      <c r="A3206" t="s">
        <v>690</v>
      </c>
      <c r="B3206" t="s">
        <v>117</v>
      </c>
      <c r="C3206" t="s">
        <v>143</v>
      </c>
      <c r="D3206" t="s">
        <v>689</v>
      </c>
      <c r="E3206" t="s">
        <v>771</v>
      </c>
      <c r="F3206">
        <v>6</v>
      </c>
      <c r="G3206" s="308">
        <f>'BECA SUPERIOR'!V122</f>
        <v>0</v>
      </c>
      <c r="H3206" s="308">
        <f>'BECA SUPERIOR'!W122</f>
        <v>0</v>
      </c>
    </row>
    <row r="3207" spans="1:8" x14ac:dyDescent="0.3">
      <c r="A3207" t="s">
        <v>690</v>
      </c>
      <c r="B3207" t="s">
        <v>117</v>
      </c>
      <c r="C3207" t="s">
        <v>143</v>
      </c>
      <c r="D3207" t="s">
        <v>689</v>
      </c>
      <c r="E3207" t="s">
        <v>772</v>
      </c>
      <c r="F3207">
        <v>7</v>
      </c>
      <c r="G3207" s="308">
        <f>'BECA SUPERIOR'!Y122</f>
        <v>0</v>
      </c>
      <c r="H3207" s="308">
        <f>'BECA SUPERIOR'!Z122</f>
        <v>0</v>
      </c>
    </row>
    <row r="3208" spans="1:8" x14ac:dyDescent="0.3">
      <c r="A3208" t="s">
        <v>690</v>
      </c>
      <c r="B3208" t="s">
        <v>117</v>
      </c>
      <c r="C3208" t="s">
        <v>144</v>
      </c>
      <c r="D3208" t="s">
        <v>689</v>
      </c>
      <c r="E3208" t="s">
        <v>766</v>
      </c>
      <c r="F3208">
        <v>1</v>
      </c>
      <c r="G3208" s="308">
        <f>'BECA SUPERIOR'!G123</f>
        <v>0</v>
      </c>
      <c r="H3208" s="308">
        <f>'BECA SUPERIOR'!H123</f>
        <v>0</v>
      </c>
    </row>
    <row r="3209" spans="1:8" x14ac:dyDescent="0.3">
      <c r="A3209" t="s">
        <v>690</v>
      </c>
      <c r="B3209" t="s">
        <v>117</v>
      </c>
      <c r="C3209" t="s">
        <v>144</v>
      </c>
      <c r="D3209" t="s">
        <v>689</v>
      </c>
      <c r="E3209" t="s">
        <v>767</v>
      </c>
      <c r="F3209">
        <v>2</v>
      </c>
      <c r="G3209" s="308">
        <f>'BECA SUPERIOR'!J123</f>
        <v>0</v>
      </c>
      <c r="H3209" s="308">
        <f>'BECA SUPERIOR'!K123</f>
        <v>0</v>
      </c>
    </row>
    <row r="3210" spans="1:8" x14ac:dyDescent="0.3">
      <c r="A3210" t="s">
        <v>690</v>
      </c>
      <c r="B3210" t="s">
        <v>117</v>
      </c>
      <c r="C3210" t="s">
        <v>144</v>
      </c>
      <c r="D3210" t="s">
        <v>689</v>
      </c>
      <c r="E3210" t="s">
        <v>768</v>
      </c>
      <c r="F3210">
        <v>3</v>
      </c>
      <c r="G3210" s="308">
        <f>'BECA SUPERIOR'!M123</f>
        <v>0</v>
      </c>
      <c r="H3210" s="308">
        <f>'BECA SUPERIOR'!N123</f>
        <v>0</v>
      </c>
    </row>
    <row r="3211" spans="1:8" x14ac:dyDescent="0.3">
      <c r="A3211" t="s">
        <v>690</v>
      </c>
      <c r="B3211" t="s">
        <v>117</v>
      </c>
      <c r="C3211" t="s">
        <v>144</v>
      </c>
      <c r="D3211" t="s">
        <v>689</v>
      </c>
      <c r="E3211" t="s">
        <v>769</v>
      </c>
      <c r="F3211">
        <v>4</v>
      </c>
      <c r="G3211" s="308">
        <f>'BECA SUPERIOR'!P123</f>
        <v>0</v>
      </c>
      <c r="H3211" s="308">
        <f>'BECA SUPERIOR'!Q123</f>
        <v>0</v>
      </c>
    </row>
    <row r="3212" spans="1:8" x14ac:dyDescent="0.3">
      <c r="A3212" t="s">
        <v>690</v>
      </c>
      <c r="B3212" t="s">
        <v>117</v>
      </c>
      <c r="C3212" t="s">
        <v>144</v>
      </c>
      <c r="D3212" t="s">
        <v>689</v>
      </c>
      <c r="E3212" t="s">
        <v>770</v>
      </c>
      <c r="F3212">
        <v>5</v>
      </c>
      <c r="G3212" s="308">
        <f>'BECA SUPERIOR'!S123</f>
        <v>0</v>
      </c>
      <c r="H3212" s="308">
        <f>'BECA SUPERIOR'!T123</f>
        <v>0</v>
      </c>
    </row>
    <row r="3213" spans="1:8" x14ac:dyDescent="0.3">
      <c r="A3213" t="s">
        <v>690</v>
      </c>
      <c r="B3213" t="s">
        <v>117</v>
      </c>
      <c r="C3213" t="s">
        <v>144</v>
      </c>
      <c r="D3213" t="s">
        <v>689</v>
      </c>
      <c r="E3213" t="s">
        <v>771</v>
      </c>
      <c r="F3213">
        <v>6</v>
      </c>
      <c r="G3213" s="308">
        <f>'BECA SUPERIOR'!V123</f>
        <v>0</v>
      </c>
      <c r="H3213" s="308">
        <f>'BECA SUPERIOR'!W123</f>
        <v>0</v>
      </c>
    </row>
    <row r="3214" spans="1:8" x14ac:dyDescent="0.3">
      <c r="A3214" t="s">
        <v>690</v>
      </c>
      <c r="B3214" t="s">
        <v>117</v>
      </c>
      <c r="C3214" t="s">
        <v>144</v>
      </c>
      <c r="D3214" t="s">
        <v>689</v>
      </c>
      <c r="E3214" t="s">
        <v>772</v>
      </c>
      <c r="F3214">
        <v>7</v>
      </c>
      <c r="G3214" s="308">
        <f>'BECA SUPERIOR'!Y123</f>
        <v>0</v>
      </c>
      <c r="H3214" s="308">
        <f>'BECA SUPERIOR'!Z123</f>
        <v>0</v>
      </c>
    </row>
    <row r="3215" spans="1:8" x14ac:dyDescent="0.3">
      <c r="A3215" t="s">
        <v>690</v>
      </c>
      <c r="B3215" t="s">
        <v>117</v>
      </c>
      <c r="C3215" t="s">
        <v>145</v>
      </c>
      <c r="D3215" t="s">
        <v>689</v>
      </c>
      <c r="E3215" t="s">
        <v>766</v>
      </c>
      <c r="F3215">
        <v>1</v>
      </c>
      <c r="G3215" s="308">
        <f>'BECA SUPERIOR'!G124</f>
        <v>0</v>
      </c>
      <c r="H3215" s="308">
        <f>'BECA SUPERIOR'!H124</f>
        <v>0</v>
      </c>
    </row>
    <row r="3216" spans="1:8" x14ac:dyDescent="0.3">
      <c r="A3216" t="s">
        <v>690</v>
      </c>
      <c r="B3216" t="s">
        <v>117</v>
      </c>
      <c r="C3216" t="s">
        <v>145</v>
      </c>
      <c r="D3216" t="s">
        <v>689</v>
      </c>
      <c r="E3216" t="s">
        <v>767</v>
      </c>
      <c r="F3216">
        <v>2</v>
      </c>
      <c r="G3216" s="308">
        <f>'BECA SUPERIOR'!J124</f>
        <v>0</v>
      </c>
      <c r="H3216" s="308">
        <f>'BECA SUPERIOR'!K124</f>
        <v>0</v>
      </c>
    </row>
    <row r="3217" spans="1:8" x14ac:dyDescent="0.3">
      <c r="A3217" t="s">
        <v>690</v>
      </c>
      <c r="B3217" t="s">
        <v>117</v>
      </c>
      <c r="C3217" t="s">
        <v>145</v>
      </c>
      <c r="D3217" t="s">
        <v>689</v>
      </c>
      <c r="E3217" t="s">
        <v>768</v>
      </c>
      <c r="F3217">
        <v>3</v>
      </c>
      <c r="G3217" s="308">
        <f>'BECA SUPERIOR'!M124</f>
        <v>0</v>
      </c>
      <c r="H3217" s="308">
        <f>'BECA SUPERIOR'!N124</f>
        <v>0</v>
      </c>
    </row>
    <row r="3218" spans="1:8" x14ac:dyDescent="0.3">
      <c r="A3218" t="s">
        <v>690</v>
      </c>
      <c r="B3218" t="s">
        <v>117</v>
      </c>
      <c r="C3218" t="s">
        <v>145</v>
      </c>
      <c r="D3218" t="s">
        <v>689</v>
      </c>
      <c r="E3218" t="s">
        <v>769</v>
      </c>
      <c r="F3218">
        <v>4</v>
      </c>
      <c r="G3218" s="308">
        <f>'BECA SUPERIOR'!P124</f>
        <v>0.72</v>
      </c>
      <c r="H3218" s="308">
        <f>'BECA SUPERIOR'!Q124</f>
        <v>1800</v>
      </c>
    </row>
    <row r="3219" spans="1:8" x14ac:dyDescent="0.3">
      <c r="A3219" t="s">
        <v>690</v>
      </c>
      <c r="B3219" t="s">
        <v>117</v>
      </c>
      <c r="C3219" t="s">
        <v>145</v>
      </c>
      <c r="D3219" t="s">
        <v>689</v>
      </c>
      <c r="E3219" t="s">
        <v>770</v>
      </c>
      <c r="F3219">
        <v>5</v>
      </c>
      <c r="G3219" s="308">
        <f>'BECA SUPERIOR'!S124</f>
        <v>0</v>
      </c>
      <c r="H3219" s="308">
        <f>'BECA SUPERIOR'!T124</f>
        <v>0</v>
      </c>
    </row>
    <row r="3220" spans="1:8" x14ac:dyDescent="0.3">
      <c r="A3220" t="s">
        <v>690</v>
      </c>
      <c r="B3220" t="s">
        <v>117</v>
      </c>
      <c r="C3220" t="s">
        <v>145</v>
      </c>
      <c r="D3220" t="s">
        <v>689</v>
      </c>
      <c r="E3220" t="s">
        <v>771</v>
      </c>
      <c r="F3220">
        <v>6</v>
      </c>
      <c r="G3220" s="308">
        <f>'BECA SUPERIOR'!V124</f>
        <v>0</v>
      </c>
      <c r="H3220" s="308">
        <f>'BECA SUPERIOR'!W124</f>
        <v>0</v>
      </c>
    </row>
    <row r="3221" spans="1:8" x14ac:dyDescent="0.3">
      <c r="A3221" t="s">
        <v>690</v>
      </c>
      <c r="B3221" t="s">
        <v>117</v>
      </c>
      <c r="C3221" t="s">
        <v>145</v>
      </c>
      <c r="D3221" t="s">
        <v>689</v>
      </c>
      <c r="E3221" t="s">
        <v>772</v>
      </c>
      <c r="F3221">
        <v>7</v>
      </c>
      <c r="G3221" s="308">
        <f>'BECA SUPERIOR'!Y124</f>
        <v>0</v>
      </c>
      <c r="H3221" s="308">
        <f>'BECA SUPERIOR'!Z124</f>
        <v>0</v>
      </c>
    </row>
    <row r="3222" spans="1:8" x14ac:dyDescent="0.3">
      <c r="A3222" t="s">
        <v>690</v>
      </c>
      <c r="B3222" t="s">
        <v>117</v>
      </c>
      <c r="C3222" t="s">
        <v>146</v>
      </c>
      <c r="D3222" t="s">
        <v>689</v>
      </c>
      <c r="E3222" t="s">
        <v>766</v>
      </c>
      <c r="F3222">
        <v>1</v>
      </c>
      <c r="G3222" s="308">
        <f>'BECA SUPERIOR'!G125</f>
        <v>0</v>
      </c>
      <c r="H3222" s="308">
        <f>'BECA SUPERIOR'!H125</f>
        <v>0</v>
      </c>
    </row>
    <row r="3223" spans="1:8" x14ac:dyDescent="0.3">
      <c r="A3223" t="s">
        <v>690</v>
      </c>
      <c r="B3223" t="s">
        <v>117</v>
      </c>
      <c r="C3223" t="s">
        <v>146</v>
      </c>
      <c r="D3223" t="s">
        <v>689</v>
      </c>
      <c r="E3223" t="s">
        <v>767</v>
      </c>
      <c r="F3223">
        <v>2</v>
      </c>
      <c r="G3223" s="308">
        <f>'BECA SUPERIOR'!J125</f>
        <v>0</v>
      </c>
      <c r="H3223" s="308">
        <f>'BECA SUPERIOR'!K125</f>
        <v>0</v>
      </c>
    </row>
    <row r="3224" spans="1:8" x14ac:dyDescent="0.3">
      <c r="A3224" t="s">
        <v>690</v>
      </c>
      <c r="B3224" t="s">
        <v>117</v>
      </c>
      <c r="C3224" t="s">
        <v>146</v>
      </c>
      <c r="D3224" t="s">
        <v>689</v>
      </c>
      <c r="E3224" t="s">
        <v>768</v>
      </c>
      <c r="F3224">
        <v>3</v>
      </c>
      <c r="G3224" s="308">
        <f>'BECA SUPERIOR'!M125</f>
        <v>0</v>
      </c>
      <c r="H3224" s="308">
        <f>'BECA SUPERIOR'!N125</f>
        <v>0</v>
      </c>
    </row>
    <row r="3225" spans="1:8" x14ac:dyDescent="0.3">
      <c r="A3225" t="s">
        <v>690</v>
      </c>
      <c r="B3225" t="s">
        <v>117</v>
      </c>
      <c r="C3225" t="s">
        <v>146</v>
      </c>
      <c r="D3225" t="s">
        <v>689</v>
      </c>
      <c r="E3225" t="s">
        <v>769</v>
      </c>
      <c r="F3225">
        <v>4</v>
      </c>
      <c r="G3225" s="308">
        <f>'BECA SUPERIOR'!P125</f>
        <v>4.32</v>
      </c>
      <c r="H3225" s="308">
        <f>'BECA SUPERIOR'!Q125</f>
        <v>10800</v>
      </c>
    </row>
    <row r="3226" spans="1:8" x14ac:dyDescent="0.3">
      <c r="A3226" t="s">
        <v>690</v>
      </c>
      <c r="B3226" t="s">
        <v>117</v>
      </c>
      <c r="C3226" t="s">
        <v>146</v>
      </c>
      <c r="D3226" t="s">
        <v>689</v>
      </c>
      <c r="E3226" t="s">
        <v>770</v>
      </c>
      <c r="F3226">
        <v>5</v>
      </c>
      <c r="G3226" s="308">
        <f>'BECA SUPERIOR'!S125</f>
        <v>0</v>
      </c>
      <c r="H3226" s="308">
        <f>'BECA SUPERIOR'!T125</f>
        <v>0</v>
      </c>
    </row>
    <row r="3227" spans="1:8" x14ac:dyDescent="0.3">
      <c r="A3227" t="s">
        <v>690</v>
      </c>
      <c r="B3227" t="s">
        <v>117</v>
      </c>
      <c r="C3227" t="s">
        <v>146</v>
      </c>
      <c r="D3227" t="s">
        <v>689</v>
      </c>
      <c r="E3227" t="s">
        <v>771</v>
      </c>
      <c r="F3227">
        <v>6</v>
      </c>
      <c r="G3227" s="308">
        <f>'BECA SUPERIOR'!V125</f>
        <v>0</v>
      </c>
      <c r="H3227" s="308">
        <f>'BECA SUPERIOR'!W125</f>
        <v>0</v>
      </c>
    </row>
    <row r="3228" spans="1:8" x14ac:dyDescent="0.3">
      <c r="A3228" t="s">
        <v>690</v>
      </c>
      <c r="B3228" t="s">
        <v>117</v>
      </c>
      <c r="C3228" t="s">
        <v>146</v>
      </c>
      <c r="D3228" t="s">
        <v>689</v>
      </c>
      <c r="E3228" t="s">
        <v>772</v>
      </c>
      <c r="F3228">
        <v>7</v>
      </c>
      <c r="G3228" s="308">
        <f>'BECA SUPERIOR'!Y125</f>
        <v>0</v>
      </c>
      <c r="H3228" s="308">
        <f>'BECA SUPERIOR'!Z125</f>
        <v>0</v>
      </c>
    </row>
    <row r="3229" spans="1:8" x14ac:dyDescent="0.3">
      <c r="A3229" t="s">
        <v>690</v>
      </c>
      <c r="B3229" t="s">
        <v>117</v>
      </c>
      <c r="C3229" t="s">
        <v>147</v>
      </c>
      <c r="D3229" t="s">
        <v>689</v>
      </c>
      <c r="E3229" t="s">
        <v>766</v>
      </c>
      <c r="F3229">
        <v>1</v>
      </c>
      <c r="G3229" s="308">
        <f>'BECA SUPERIOR'!G126</f>
        <v>0</v>
      </c>
      <c r="H3229" s="308">
        <f>'BECA SUPERIOR'!H126</f>
        <v>0</v>
      </c>
    </row>
    <row r="3230" spans="1:8" x14ac:dyDescent="0.3">
      <c r="A3230" t="s">
        <v>690</v>
      </c>
      <c r="B3230" t="s">
        <v>117</v>
      </c>
      <c r="C3230" t="s">
        <v>147</v>
      </c>
      <c r="D3230" t="s">
        <v>689</v>
      </c>
      <c r="E3230" t="s">
        <v>767</v>
      </c>
      <c r="F3230">
        <v>2</v>
      </c>
      <c r="G3230" s="308">
        <f>'BECA SUPERIOR'!J126</f>
        <v>0</v>
      </c>
      <c r="H3230" s="308">
        <f>'BECA SUPERIOR'!K126</f>
        <v>0</v>
      </c>
    </row>
    <row r="3231" spans="1:8" x14ac:dyDescent="0.3">
      <c r="A3231" t="s">
        <v>690</v>
      </c>
      <c r="B3231" t="s">
        <v>117</v>
      </c>
      <c r="C3231" t="s">
        <v>147</v>
      </c>
      <c r="D3231" t="s">
        <v>689</v>
      </c>
      <c r="E3231" t="s">
        <v>768</v>
      </c>
      <c r="F3231">
        <v>3</v>
      </c>
      <c r="G3231" s="308">
        <f>'BECA SUPERIOR'!M126</f>
        <v>0</v>
      </c>
      <c r="H3231" s="308">
        <f>'BECA SUPERIOR'!N126</f>
        <v>0</v>
      </c>
    </row>
    <row r="3232" spans="1:8" x14ac:dyDescent="0.3">
      <c r="A3232" t="s">
        <v>690</v>
      </c>
      <c r="B3232" t="s">
        <v>117</v>
      </c>
      <c r="C3232" t="s">
        <v>147</v>
      </c>
      <c r="D3232" t="s">
        <v>689</v>
      </c>
      <c r="E3232" t="s">
        <v>769</v>
      </c>
      <c r="F3232">
        <v>4</v>
      </c>
      <c r="G3232" s="308">
        <f>'BECA SUPERIOR'!P126</f>
        <v>0.72</v>
      </c>
      <c r="H3232" s="308">
        <f>'BECA SUPERIOR'!Q126</f>
        <v>1800</v>
      </c>
    </row>
    <row r="3233" spans="1:8" x14ac:dyDescent="0.3">
      <c r="A3233" t="s">
        <v>690</v>
      </c>
      <c r="B3233" t="s">
        <v>117</v>
      </c>
      <c r="C3233" t="s">
        <v>147</v>
      </c>
      <c r="D3233" t="s">
        <v>689</v>
      </c>
      <c r="E3233" t="s">
        <v>770</v>
      </c>
      <c r="F3233">
        <v>5</v>
      </c>
      <c r="G3233" s="308">
        <f>'BECA SUPERIOR'!S126</f>
        <v>0</v>
      </c>
      <c r="H3233" s="308">
        <f>'BECA SUPERIOR'!T126</f>
        <v>0</v>
      </c>
    </row>
    <row r="3234" spans="1:8" x14ac:dyDescent="0.3">
      <c r="A3234" t="s">
        <v>690</v>
      </c>
      <c r="B3234" t="s">
        <v>117</v>
      </c>
      <c r="C3234" t="s">
        <v>147</v>
      </c>
      <c r="D3234" t="s">
        <v>689</v>
      </c>
      <c r="E3234" t="s">
        <v>771</v>
      </c>
      <c r="F3234">
        <v>6</v>
      </c>
      <c r="G3234" s="308">
        <f>'BECA SUPERIOR'!V126</f>
        <v>0</v>
      </c>
      <c r="H3234" s="308">
        <f>'BECA SUPERIOR'!W126</f>
        <v>0</v>
      </c>
    </row>
    <row r="3235" spans="1:8" x14ac:dyDescent="0.3">
      <c r="A3235" t="s">
        <v>690</v>
      </c>
      <c r="B3235" t="s">
        <v>117</v>
      </c>
      <c r="C3235" t="s">
        <v>147</v>
      </c>
      <c r="D3235" t="s">
        <v>689</v>
      </c>
      <c r="E3235" t="s">
        <v>772</v>
      </c>
      <c r="F3235">
        <v>7</v>
      </c>
      <c r="G3235" s="308">
        <f>'BECA SUPERIOR'!Y126</f>
        <v>0</v>
      </c>
      <c r="H3235" s="308">
        <f>'BECA SUPERIOR'!Z126</f>
        <v>0</v>
      </c>
    </row>
    <row r="3236" spans="1:8" x14ac:dyDescent="0.3">
      <c r="A3236" t="s">
        <v>690</v>
      </c>
      <c r="B3236" t="s">
        <v>117</v>
      </c>
      <c r="C3236" t="s">
        <v>148</v>
      </c>
      <c r="D3236" t="s">
        <v>689</v>
      </c>
      <c r="E3236" t="s">
        <v>766</v>
      </c>
      <c r="F3236">
        <v>1</v>
      </c>
      <c r="G3236" s="308">
        <f>'BECA SUPERIOR'!G127</f>
        <v>0</v>
      </c>
      <c r="H3236" s="308">
        <f>'BECA SUPERIOR'!H127</f>
        <v>0</v>
      </c>
    </row>
    <row r="3237" spans="1:8" x14ac:dyDescent="0.3">
      <c r="A3237" t="s">
        <v>690</v>
      </c>
      <c r="B3237" t="s">
        <v>117</v>
      </c>
      <c r="C3237" t="s">
        <v>148</v>
      </c>
      <c r="D3237" t="s">
        <v>689</v>
      </c>
      <c r="E3237" t="s">
        <v>767</v>
      </c>
      <c r="F3237">
        <v>2</v>
      </c>
      <c r="G3237" s="308">
        <f>'BECA SUPERIOR'!J127</f>
        <v>0</v>
      </c>
      <c r="H3237" s="308">
        <f>'BECA SUPERIOR'!K127</f>
        <v>0</v>
      </c>
    </row>
    <row r="3238" spans="1:8" x14ac:dyDescent="0.3">
      <c r="A3238" t="s">
        <v>690</v>
      </c>
      <c r="B3238" t="s">
        <v>117</v>
      </c>
      <c r="C3238" t="s">
        <v>148</v>
      </c>
      <c r="D3238" t="s">
        <v>689</v>
      </c>
      <c r="E3238" t="s">
        <v>768</v>
      </c>
      <c r="F3238">
        <v>3</v>
      </c>
      <c r="G3238" s="308">
        <f>'BECA SUPERIOR'!M127</f>
        <v>0</v>
      </c>
      <c r="H3238" s="308">
        <f>'BECA SUPERIOR'!N127</f>
        <v>0</v>
      </c>
    </row>
    <row r="3239" spans="1:8" x14ac:dyDescent="0.3">
      <c r="A3239" t="s">
        <v>690</v>
      </c>
      <c r="B3239" t="s">
        <v>117</v>
      </c>
      <c r="C3239" t="s">
        <v>148</v>
      </c>
      <c r="D3239" t="s">
        <v>689</v>
      </c>
      <c r="E3239" t="s">
        <v>769</v>
      </c>
      <c r="F3239">
        <v>4</v>
      </c>
      <c r="G3239" s="308">
        <f>'BECA SUPERIOR'!P127</f>
        <v>2.16</v>
      </c>
      <c r="H3239" s="308">
        <f>'BECA SUPERIOR'!Q127</f>
        <v>5400</v>
      </c>
    </row>
    <row r="3240" spans="1:8" x14ac:dyDescent="0.3">
      <c r="A3240" t="s">
        <v>690</v>
      </c>
      <c r="B3240" t="s">
        <v>117</v>
      </c>
      <c r="C3240" t="s">
        <v>148</v>
      </c>
      <c r="D3240" t="s">
        <v>689</v>
      </c>
      <c r="E3240" t="s">
        <v>770</v>
      </c>
      <c r="F3240">
        <v>5</v>
      </c>
      <c r="G3240" s="308">
        <f>'BECA SUPERIOR'!S127</f>
        <v>0</v>
      </c>
      <c r="H3240" s="308">
        <f>'BECA SUPERIOR'!T127</f>
        <v>0</v>
      </c>
    </row>
    <row r="3241" spans="1:8" x14ac:dyDescent="0.3">
      <c r="A3241" t="s">
        <v>690</v>
      </c>
      <c r="B3241" t="s">
        <v>117</v>
      </c>
      <c r="C3241" t="s">
        <v>148</v>
      </c>
      <c r="D3241" t="s">
        <v>689</v>
      </c>
      <c r="E3241" t="s">
        <v>771</v>
      </c>
      <c r="F3241">
        <v>6</v>
      </c>
      <c r="G3241" s="308">
        <f>'BECA SUPERIOR'!V127</f>
        <v>0</v>
      </c>
      <c r="H3241" s="308">
        <f>'BECA SUPERIOR'!W127</f>
        <v>0</v>
      </c>
    </row>
    <row r="3242" spans="1:8" x14ac:dyDescent="0.3">
      <c r="A3242" t="s">
        <v>690</v>
      </c>
      <c r="B3242" t="s">
        <v>117</v>
      </c>
      <c r="C3242" t="s">
        <v>148</v>
      </c>
      <c r="D3242" t="s">
        <v>689</v>
      </c>
      <c r="E3242" t="s">
        <v>772</v>
      </c>
      <c r="F3242">
        <v>7</v>
      </c>
      <c r="G3242" s="308">
        <f>'BECA SUPERIOR'!Y127</f>
        <v>0</v>
      </c>
      <c r="H3242" s="308">
        <f>'BECA SUPERIOR'!Z127</f>
        <v>0</v>
      </c>
    </row>
    <row r="3243" spans="1:8" x14ac:dyDescent="0.3">
      <c r="A3243" t="s">
        <v>690</v>
      </c>
      <c r="B3243" t="s">
        <v>149</v>
      </c>
      <c r="C3243" t="s">
        <v>150</v>
      </c>
      <c r="D3243" t="s">
        <v>689</v>
      </c>
      <c r="E3243" t="s">
        <v>766</v>
      </c>
      <c r="F3243">
        <v>1</v>
      </c>
      <c r="G3243" s="308">
        <f>'BECA SUPERIOR'!G128</f>
        <v>0</v>
      </c>
      <c r="H3243" s="308">
        <f>'BECA SUPERIOR'!H128</f>
        <v>0</v>
      </c>
    </row>
    <row r="3244" spans="1:8" x14ac:dyDescent="0.3">
      <c r="A3244" t="s">
        <v>690</v>
      </c>
      <c r="B3244" t="s">
        <v>149</v>
      </c>
      <c r="C3244" t="s">
        <v>150</v>
      </c>
      <c r="D3244" t="s">
        <v>689</v>
      </c>
      <c r="E3244" t="s">
        <v>767</v>
      </c>
      <c r="F3244">
        <v>2</v>
      </c>
      <c r="G3244" s="308">
        <f>'BECA SUPERIOR'!J128</f>
        <v>0</v>
      </c>
      <c r="H3244" s="308">
        <f>'BECA SUPERIOR'!K128</f>
        <v>0</v>
      </c>
    </row>
    <row r="3245" spans="1:8" x14ac:dyDescent="0.3">
      <c r="A3245" t="s">
        <v>690</v>
      </c>
      <c r="B3245" t="s">
        <v>149</v>
      </c>
      <c r="C3245" t="s">
        <v>150</v>
      </c>
      <c r="D3245" t="s">
        <v>689</v>
      </c>
      <c r="E3245" t="s">
        <v>768</v>
      </c>
      <c r="F3245">
        <v>3</v>
      </c>
      <c r="G3245" s="308">
        <f>'BECA SUPERIOR'!M128</f>
        <v>0</v>
      </c>
      <c r="H3245" s="308">
        <f>'BECA SUPERIOR'!N128</f>
        <v>0</v>
      </c>
    </row>
    <row r="3246" spans="1:8" x14ac:dyDescent="0.3">
      <c r="A3246" t="s">
        <v>690</v>
      </c>
      <c r="B3246" t="s">
        <v>149</v>
      </c>
      <c r="C3246" t="s">
        <v>150</v>
      </c>
      <c r="D3246" t="s">
        <v>689</v>
      </c>
      <c r="E3246" t="s">
        <v>769</v>
      </c>
      <c r="F3246">
        <v>4</v>
      </c>
      <c r="G3246" s="308">
        <f>'BECA SUPERIOR'!P128</f>
        <v>13.68</v>
      </c>
      <c r="H3246" s="308">
        <f>'BECA SUPERIOR'!Q128</f>
        <v>34200</v>
      </c>
    </row>
    <row r="3247" spans="1:8" x14ac:dyDescent="0.3">
      <c r="A3247" t="s">
        <v>690</v>
      </c>
      <c r="B3247" t="s">
        <v>149</v>
      </c>
      <c r="C3247" t="s">
        <v>150</v>
      </c>
      <c r="D3247" t="s">
        <v>689</v>
      </c>
      <c r="E3247" t="s">
        <v>770</v>
      </c>
      <c r="F3247">
        <v>5</v>
      </c>
      <c r="G3247" s="308">
        <f>'BECA SUPERIOR'!S128</f>
        <v>0</v>
      </c>
      <c r="H3247" s="308">
        <f>'BECA SUPERIOR'!T128</f>
        <v>0</v>
      </c>
    </row>
    <row r="3248" spans="1:8" x14ac:dyDescent="0.3">
      <c r="A3248" t="s">
        <v>690</v>
      </c>
      <c r="B3248" t="s">
        <v>149</v>
      </c>
      <c r="C3248" t="s">
        <v>150</v>
      </c>
      <c r="D3248" t="s">
        <v>689</v>
      </c>
      <c r="E3248" t="s">
        <v>771</v>
      </c>
      <c r="F3248">
        <v>6</v>
      </c>
      <c r="G3248" s="308">
        <f>'BECA SUPERIOR'!V128</f>
        <v>0</v>
      </c>
      <c r="H3248" s="308">
        <f>'BECA SUPERIOR'!W128</f>
        <v>0</v>
      </c>
    </row>
    <row r="3249" spans="1:8" x14ac:dyDescent="0.3">
      <c r="A3249" t="s">
        <v>690</v>
      </c>
      <c r="B3249" t="s">
        <v>149</v>
      </c>
      <c r="C3249" t="s">
        <v>150</v>
      </c>
      <c r="D3249" t="s">
        <v>689</v>
      </c>
      <c r="E3249" t="s">
        <v>772</v>
      </c>
      <c r="F3249">
        <v>7</v>
      </c>
      <c r="G3249" s="308">
        <f>'BECA SUPERIOR'!Y128</f>
        <v>0</v>
      </c>
      <c r="H3249" s="308">
        <f>'BECA SUPERIOR'!Z128</f>
        <v>0</v>
      </c>
    </row>
    <row r="3250" spans="1:8" x14ac:dyDescent="0.3">
      <c r="A3250" t="s">
        <v>690</v>
      </c>
      <c r="B3250" t="s">
        <v>149</v>
      </c>
      <c r="C3250" t="s">
        <v>151</v>
      </c>
      <c r="D3250" t="s">
        <v>689</v>
      </c>
      <c r="E3250" t="s">
        <v>766</v>
      </c>
      <c r="F3250">
        <v>1</v>
      </c>
      <c r="G3250" s="308">
        <f>'BECA SUPERIOR'!G129</f>
        <v>0</v>
      </c>
      <c r="H3250" s="308">
        <f>'BECA SUPERIOR'!H129</f>
        <v>0</v>
      </c>
    </row>
    <row r="3251" spans="1:8" x14ac:dyDescent="0.3">
      <c r="A3251" t="s">
        <v>690</v>
      </c>
      <c r="B3251" t="s">
        <v>149</v>
      </c>
      <c r="C3251" t="s">
        <v>151</v>
      </c>
      <c r="D3251" t="s">
        <v>689</v>
      </c>
      <c r="E3251" t="s">
        <v>767</v>
      </c>
      <c r="F3251">
        <v>2</v>
      </c>
      <c r="G3251" s="308">
        <f>'BECA SUPERIOR'!J129</f>
        <v>0</v>
      </c>
      <c r="H3251" s="308">
        <f>'BECA SUPERIOR'!K129</f>
        <v>0</v>
      </c>
    </row>
    <row r="3252" spans="1:8" x14ac:dyDescent="0.3">
      <c r="A3252" t="s">
        <v>690</v>
      </c>
      <c r="B3252" t="s">
        <v>149</v>
      </c>
      <c r="C3252" t="s">
        <v>151</v>
      </c>
      <c r="D3252" t="s">
        <v>689</v>
      </c>
      <c r="E3252" t="s">
        <v>768</v>
      </c>
      <c r="F3252">
        <v>3</v>
      </c>
      <c r="G3252" s="308">
        <f>'BECA SUPERIOR'!M129</f>
        <v>0</v>
      </c>
      <c r="H3252" s="308">
        <f>'BECA SUPERIOR'!N129</f>
        <v>0</v>
      </c>
    </row>
    <row r="3253" spans="1:8" x14ac:dyDescent="0.3">
      <c r="A3253" t="s">
        <v>690</v>
      </c>
      <c r="B3253" t="s">
        <v>149</v>
      </c>
      <c r="C3253" t="s">
        <v>151</v>
      </c>
      <c r="D3253" t="s">
        <v>689</v>
      </c>
      <c r="E3253" t="s">
        <v>769</v>
      </c>
      <c r="F3253">
        <v>4</v>
      </c>
      <c r="G3253" s="308">
        <f>'BECA SUPERIOR'!P129</f>
        <v>19.440000000000001</v>
      </c>
      <c r="H3253" s="308">
        <f>'BECA SUPERIOR'!Q129</f>
        <v>48600</v>
      </c>
    </row>
    <row r="3254" spans="1:8" x14ac:dyDescent="0.3">
      <c r="A3254" t="s">
        <v>690</v>
      </c>
      <c r="B3254" t="s">
        <v>149</v>
      </c>
      <c r="C3254" t="s">
        <v>151</v>
      </c>
      <c r="D3254" t="s">
        <v>689</v>
      </c>
      <c r="E3254" t="s">
        <v>770</v>
      </c>
      <c r="F3254">
        <v>5</v>
      </c>
      <c r="G3254" s="308">
        <f>'BECA SUPERIOR'!S129</f>
        <v>0</v>
      </c>
      <c r="H3254" s="308">
        <f>'BECA SUPERIOR'!T129</f>
        <v>0</v>
      </c>
    </row>
    <row r="3255" spans="1:8" x14ac:dyDescent="0.3">
      <c r="A3255" t="s">
        <v>690</v>
      </c>
      <c r="B3255" t="s">
        <v>149</v>
      </c>
      <c r="C3255" t="s">
        <v>151</v>
      </c>
      <c r="D3255" t="s">
        <v>689</v>
      </c>
      <c r="E3255" t="s">
        <v>771</v>
      </c>
      <c r="F3255">
        <v>6</v>
      </c>
      <c r="G3255" s="308">
        <f>'BECA SUPERIOR'!V129</f>
        <v>0</v>
      </c>
      <c r="H3255" s="308">
        <f>'BECA SUPERIOR'!W129</f>
        <v>0</v>
      </c>
    </row>
    <row r="3256" spans="1:8" x14ac:dyDescent="0.3">
      <c r="A3256" t="s">
        <v>690</v>
      </c>
      <c r="B3256" t="s">
        <v>149</v>
      </c>
      <c r="C3256" t="s">
        <v>151</v>
      </c>
      <c r="D3256" t="s">
        <v>689</v>
      </c>
      <c r="E3256" t="s">
        <v>772</v>
      </c>
      <c r="F3256">
        <v>7</v>
      </c>
      <c r="G3256" s="308">
        <f>'BECA SUPERIOR'!Y129</f>
        <v>0</v>
      </c>
      <c r="H3256" s="308">
        <f>'BECA SUPERIOR'!Z129</f>
        <v>0</v>
      </c>
    </row>
    <row r="3257" spans="1:8" x14ac:dyDescent="0.3">
      <c r="A3257" t="s">
        <v>690</v>
      </c>
      <c r="B3257" t="s">
        <v>149</v>
      </c>
      <c r="C3257" t="s">
        <v>152</v>
      </c>
      <c r="D3257" t="s">
        <v>689</v>
      </c>
      <c r="E3257" t="s">
        <v>766</v>
      </c>
      <c r="F3257">
        <v>1</v>
      </c>
      <c r="G3257" s="308">
        <f>'BECA SUPERIOR'!G130</f>
        <v>0</v>
      </c>
      <c r="H3257" s="308">
        <f>'BECA SUPERIOR'!H130</f>
        <v>0</v>
      </c>
    </row>
    <row r="3258" spans="1:8" x14ac:dyDescent="0.3">
      <c r="A3258" t="s">
        <v>690</v>
      </c>
      <c r="B3258" t="s">
        <v>149</v>
      </c>
      <c r="C3258" t="s">
        <v>152</v>
      </c>
      <c r="D3258" t="s">
        <v>689</v>
      </c>
      <c r="E3258" t="s">
        <v>767</v>
      </c>
      <c r="F3258">
        <v>2</v>
      </c>
      <c r="G3258" s="308">
        <f>'BECA SUPERIOR'!J130</f>
        <v>0</v>
      </c>
      <c r="H3258" s="308">
        <f>'BECA SUPERIOR'!K130</f>
        <v>0</v>
      </c>
    </row>
    <row r="3259" spans="1:8" x14ac:dyDescent="0.3">
      <c r="A3259" t="s">
        <v>690</v>
      </c>
      <c r="B3259" t="s">
        <v>149</v>
      </c>
      <c r="C3259" t="s">
        <v>152</v>
      </c>
      <c r="D3259" t="s">
        <v>689</v>
      </c>
      <c r="E3259" t="s">
        <v>768</v>
      </c>
      <c r="F3259">
        <v>3</v>
      </c>
      <c r="G3259" s="308">
        <f>'BECA SUPERIOR'!M130</f>
        <v>0</v>
      </c>
      <c r="H3259" s="308">
        <f>'BECA SUPERIOR'!N130</f>
        <v>0</v>
      </c>
    </row>
    <row r="3260" spans="1:8" x14ac:dyDescent="0.3">
      <c r="A3260" t="s">
        <v>690</v>
      </c>
      <c r="B3260" t="s">
        <v>149</v>
      </c>
      <c r="C3260" t="s">
        <v>152</v>
      </c>
      <c r="D3260" t="s">
        <v>689</v>
      </c>
      <c r="E3260" t="s">
        <v>769</v>
      </c>
      <c r="F3260">
        <v>4</v>
      </c>
      <c r="G3260" s="308">
        <f>'BECA SUPERIOR'!P130</f>
        <v>9.36</v>
      </c>
      <c r="H3260" s="308">
        <f>'BECA SUPERIOR'!Q130</f>
        <v>23400</v>
      </c>
    </row>
    <row r="3261" spans="1:8" x14ac:dyDescent="0.3">
      <c r="A3261" t="s">
        <v>690</v>
      </c>
      <c r="B3261" t="s">
        <v>149</v>
      </c>
      <c r="C3261" t="s">
        <v>152</v>
      </c>
      <c r="D3261" t="s">
        <v>689</v>
      </c>
      <c r="E3261" t="s">
        <v>770</v>
      </c>
      <c r="F3261">
        <v>5</v>
      </c>
      <c r="G3261" s="308">
        <f>'BECA SUPERIOR'!S130</f>
        <v>0</v>
      </c>
      <c r="H3261" s="308">
        <f>'BECA SUPERIOR'!T130</f>
        <v>0</v>
      </c>
    </row>
    <row r="3262" spans="1:8" x14ac:dyDescent="0.3">
      <c r="A3262" t="s">
        <v>690</v>
      </c>
      <c r="B3262" t="s">
        <v>149</v>
      </c>
      <c r="C3262" t="s">
        <v>152</v>
      </c>
      <c r="D3262" t="s">
        <v>689</v>
      </c>
      <c r="E3262" t="s">
        <v>771</v>
      </c>
      <c r="F3262">
        <v>6</v>
      </c>
      <c r="G3262" s="308">
        <f>'BECA SUPERIOR'!V130</f>
        <v>0</v>
      </c>
      <c r="H3262" s="308">
        <f>'BECA SUPERIOR'!W130</f>
        <v>0</v>
      </c>
    </row>
    <row r="3263" spans="1:8" x14ac:dyDescent="0.3">
      <c r="A3263" t="s">
        <v>690</v>
      </c>
      <c r="B3263" t="s">
        <v>149</v>
      </c>
      <c r="C3263" t="s">
        <v>152</v>
      </c>
      <c r="D3263" t="s">
        <v>689</v>
      </c>
      <c r="E3263" t="s">
        <v>772</v>
      </c>
      <c r="F3263">
        <v>7</v>
      </c>
      <c r="G3263" s="308">
        <f>'BECA SUPERIOR'!Y130</f>
        <v>0</v>
      </c>
      <c r="H3263" s="308">
        <f>'BECA SUPERIOR'!Z130</f>
        <v>0</v>
      </c>
    </row>
    <row r="3264" spans="1:8" x14ac:dyDescent="0.3">
      <c r="A3264" t="s">
        <v>690</v>
      </c>
      <c r="B3264" t="s">
        <v>149</v>
      </c>
      <c r="C3264" t="s">
        <v>153</v>
      </c>
      <c r="D3264" t="s">
        <v>689</v>
      </c>
      <c r="E3264" t="s">
        <v>766</v>
      </c>
      <c r="F3264">
        <v>1</v>
      </c>
      <c r="G3264" s="308">
        <f>'BECA SUPERIOR'!G131</f>
        <v>0</v>
      </c>
      <c r="H3264" s="308">
        <f>'BECA SUPERIOR'!H131</f>
        <v>0</v>
      </c>
    </row>
    <row r="3265" spans="1:8" x14ac:dyDescent="0.3">
      <c r="A3265" t="s">
        <v>690</v>
      </c>
      <c r="B3265" t="s">
        <v>149</v>
      </c>
      <c r="C3265" t="s">
        <v>153</v>
      </c>
      <c r="D3265" t="s">
        <v>689</v>
      </c>
      <c r="E3265" t="s">
        <v>767</v>
      </c>
      <c r="F3265">
        <v>2</v>
      </c>
      <c r="G3265" s="308">
        <f>'BECA SUPERIOR'!J131</f>
        <v>0</v>
      </c>
      <c r="H3265" s="308">
        <f>'BECA SUPERIOR'!K131</f>
        <v>0</v>
      </c>
    </row>
    <row r="3266" spans="1:8" x14ac:dyDescent="0.3">
      <c r="A3266" t="s">
        <v>690</v>
      </c>
      <c r="B3266" t="s">
        <v>149</v>
      </c>
      <c r="C3266" t="s">
        <v>153</v>
      </c>
      <c r="D3266" t="s">
        <v>689</v>
      </c>
      <c r="E3266" t="s">
        <v>768</v>
      </c>
      <c r="F3266">
        <v>3</v>
      </c>
      <c r="G3266" s="308">
        <f>'BECA SUPERIOR'!M131</f>
        <v>0</v>
      </c>
      <c r="H3266" s="308">
        <f>'BECA SUPERIOR'!N131</f>
        <v>0</v>
      </c>
    </row>
    <row r="3267" spans="1:8" x14ac:dyDescent="0.3">
      <c r="A3267" t="s">
        <v>690</v>
      </c>
      <c r="B3267" t="s">
        <v>149</v>
      </c>
      <c r="C3267" t="s">
        <v>153</v>
      </c>
      <c r="D3267" t="s">
        <v>689</v>
      </c>
      <c r="E3267" t="s">
        <v>769</v>
      </c>
      <c r="F3267">
        <v>4</v>
      </c>
      <c r="G3267" s="308">
        <f>'BECA SUPERIOR'!P131</f>
        <v>9.36</v>
      </c>
      <c r="H3267" s="308">
        <f>'BECA SUPERIOR'!Q131</f>
        <v>23400</v>
      </c>
    </row>
    <row r="3268" spans="1:8" x14ac:dyDescent="0.3">
      <c r="A3268" t="s">
        <v>690</v>
      </c>
      <c r="B3268" t="s">
        <v>149</v>
      </c>
      <c r="C3268" t="s">
        <v>153</v>
      </c>
      <c r="D3268" t="s">
        <v>689</v>
      </c>
      <c r="E3268" t="s">
        <v>770</v>
      </c>
      <c r="F3268">
        <v>5</v>
      </c>
      <c r="G3268" s="308">
        <f>'BECA SUPERIOR'!S131</f>
        <v>0</v>
      </c>
      <c r="H3268" s="308">
        <f>'BECA SUPERIOR'!T131</f>
        <v>0</v>
      </c>
    </row>
    <row r="3269" spans="1:8" x14ac:dyDescent="0.3">
      <c r="A3269" t="s">
        <v>690</v>
      </c>
      <c r="B3269" t="s">
        <v>149</v>
      </c>
      <c r="C3269" t="s">
        <v>153</v>
      </c>
      <c r="D3269" t="s">
        <v>689</v>
      </c>
      <c r="E3269" t="s">
        <v>771</v>
      </c>
      <c r="F3269">
        <v>6</v>
      </c>
      <c r="G3269" s="308">
        <f>'BECA SUPERIOR'!V131</f>
        <v>0</v>
      </c>
      <c r="H3269" s="308">
        <f>'BECA SUPERIOR'!W131</f>
        <v>0</v>
      </c>
    </row>
    <row r="3270" spans="1:8" x14ac:dyDescent="0.3">
      <c r="A3270" t="s">
        <v>690</v>
      </c>
      <c r="B3270" t="s">
        <v>149</v>
      </c>
      <c r="C3270" t="s">
        <v>153</v>
      </c>
      <c r="D3270" t="s">
        <v>689</v>
      </c>
      <c r="E3270" t="s">
        <v>772</v>
      </c>
      <c r="F3270">
        <v>7</v>
      </c>
      <c r="G3270" s="308">
        <f>'BECA SUPERIOR'!Y131</f>
        <v>0</v>
      </c>
      <c r="H3270" s="308">
        <f>'BECA SUPERIOR'!Z131</f>
        <v>0</v>
      </c>
    </row>
    <row r="3271" spans="1:8" x14ac:dyDescent="0.3">
      <c r="A3271" t="s">
        <v>690</v>
      </c>
      <c r="B3271" t="s">
        <v>149</v>
      </c>
      <c r="C3271" t="s">
        <v>154</v>
      </c>
      <c r="D3271" t="s">
        <v>689</v>
      </c>
      <c r="E3271" t="s">
        <v>766</v>
      </c>
      <c r="F3271">
        <v>1</v>
      </c>
      <c r="G3271" s="308">
        <f>'BECA SUPERIOR'!G132</f>
        <v>0</v>
      </c>
      <c r="H3271" s="308">
        <f>'BECA SUPERIOR'!H132</f>
        <v>0</v>
      </c>
    </row>
    <row r="3272" spans="1:8" x14ac:dyDescent="0.3">
      <c r="A3272" t="s">
        <v>690</v>
      </c>
      <c r="B3272" t="s">
        <v>149</v>
      </c>
      <c r="C3272" t="s">
        <v>154</v>
      </c>
      <c r="D3272" t="s">
        <v>689</v>
      </c>
      <c r="E3272" t="s">
        <v>767</v>
      </c>
      <c r="F3272">
        <v>2</v>
      </c>
      <c r="G3272" s="308">
        <f>'BECA SUPERIOR'!J132</f>
        <v>0</v>
      </c>
      <c r="H3272" s="308">
        <f>'BECA SUPERIOR'!K132</f>
        <v>0</v>
      </c>
    </row>
    <row r="3273" spans="1:8" x14ac:dyDescent="0.3">
      <c r="A3273" t="s">
        <v>690</v>
      </c>
      <c r="B3273" t="s">
        <v>149</v>
      </c>
      <c r="C3273" t="s">
        <v>154</v>
      </c>
      <c r="D3273" t="s">
        <v>689</v>
      </c>
      <c r="E3273" t="s">
        <v>768</v>
      </c>
      <c r="F3273">
        <v>3</v>
      </c>
      <c r="G3273" s="308">
        <f>'BECA SUPERIOR'!M132</f>
        <v>0</v>
      </c>
      <c r="H3273" s="308">
        <f>'BECA SUPERIOR'!N132</f>
        <v>0</v>
      </c>
    </row>
    <row r="3274" spans="1:8" x14ac:dyDescent="0.3">
      <c r="A3274" t="s">
        <v>690</v>
      </c>
      <c r="B3274" t="s">
        <v>149</v>
      </c>
      <c r="C3274" t="s">
        <v>154</v>
      </c>
      <c r="D3274" t="s">
        <v>689</v>
      </c>
      <c r="E3274" t="s">
        <v>769</v>
      </c>
      <c r="F3274">
        <v>4</v>
      </c>
      <c r="G3274" s="308">
        <f>'BECA SUPERIOR'!P132</f>
        <v>5.76</v>
      </c>
      <c r="H3274" s="308">
        <f>'BECA SUPERIOR'!Q132</f>
        <v>14400</v>
      </c>
    </row>
    <row r="3275" spans="1:8" x14ac:dyDescent="0.3">
      <c r="A3275" t="s">
        <v>690</v>
      </c>
      <c r="B3275" t="s">
        <v>149</v>
      </c>
      <c r="C3275" t="s">
        <v>154</v>
      </c>
      <c r="D3275" t="s">
        <v>689</v>
      </c>
      <c r="E3275" t="s">
        <v>770</v>
      </c>
      <c r="F3275">
        <v>5</v>
      </c>
      <c r="G3275" s="308">
        <f>'BECA SUPERIOR'!S132</f>
        <v>0</v>
      </c>
      <c r="H3275" s="308">
        <f>'BECA SUPERIOR'!T132</f>
        <v>0</v>
      </c>
    </row>
    <row r="3276" spans="1:8" x14ac:dyDescent="0.3">
      <c r="A3276" t="s">
        <v>690</v>
      </c>
      <c r="B3276" t="s">
        <v>149</v>
      </c>
      <c r="C3276" t="s">
        <v>154</v>
      </c>
      <c r="D3276" t="s">
        <v>689</v>
      </c>
      <c r="E3276" t="s">
        <v>771</v>
      </c>
      <c r="F3276">
        <v>6</v>
      </c>
      <c r="G3276" s="308">
        <f>'BECA SUPERIOR'!V132</f>
        <v>0</v>
      </c>
      <c r="H3276" s="308">
        <f>'BECA SUPERIOR'!W132</f>
        <v>0</v>
      </c>
    </row>
    <row r="3277" spans="1:8" x14ac:dyDescent="0.3">
      <c r="A3277" t="s">
        <v>690</v>
      </c>
      <c r="B3277" t="s">
        <v>149</v>
      </c>
      <c r="C3277" t="s">
        <v>154</v>
      </c>
      <c r="D3277" t="s">
        <v>689</v>
      </c>
      <c r="E3277" t="s">
        <v>772</v>
      </c>
      <c r="F3277">
        <v>7</v>
      </c>
      <c r="G3277" s="308">
        <f>'BECA SUPERIOR'!Y132</f>
        <v>0</v>
      </c>
      <c r="H3277" s="308">
        <f>'BECA SUPERIOR'!Z132</f>
        <v>0</v>
      </c>
    </row>
    <row r="3278" spans="1:8" x14ac:dyDescent="0.3">
      <c r="A3278" t="s">
        <v>690</v>
      </c>
      <c r="B3278" t="s">
        <v>155</v>
      </c>
      <c r="C3278" t="s">
        <v>155</v>
      </c>
      <c r="D3278" t="s">
        <v>689</v>
      </c>
      <c r="E3278" t="s">
        <v>766</v>
      </c>
      <c r="F3278">
        <v>1</v>
      </c>
      <c r="G3278" s="308">
        <f>'BECA SUPERIOR'!G133</f>
        <v>0</v>
      </c>
      <c r="H3278" s="308">
        <f>'BECA SUPERIOR'!H133</f>
        <v>0</v>
      </c>
    </row>
    <row r="3279" spans="1:8" x14ac:dyDescent="0.3">
      <c r="A3279" t="s">
        <v>690</v>
      </c>
      <c r="B3279" t="s">
        <v>155</v>
      </c>
      <c r="C3279" t="s">
        <v>155</v>
      </c>
      <c r="D3279" t="s">
        <v>689</v>
      </c>
      <c r="E3279" t="s">
        <v>767</v>
      </c>
      <c r="F3279">
        <v>2</v>
      </c>
      <c r="G3279" s="308">
        <f>'BECA SUPERIOR'!J133</f>
        <v>0</v>
      </c>
      <c r="H3279" s="308">
        <f>'BECA SUPERIOR'!K133</f>
        <v>0</v>
      </c>
    </row>
    <row r="3280" spans="1:8" x14ac:dyDescent="0.3">
      <c r="A3280" t="s">
        <v>690</v>
      </c>
      <c r="B3280" t="s">
        <v>155</v>
      </c>
      <c r="C3280" t="s">
        <v>155</v>
      </c>
      <c r="D3280" t="s">
        <v>689</v>
      </c>
      <c r="E3280" t="s">
        <v>768</v>
      </c>
      <c r="F3280">
        <v>3</v>
      </c>
      <c r="G3280" s="308">
        <f>'BECA SUPERIOR'!M133</f>
        <v>0</v>
      </c>
      <c r="H3280" s="308">
        <f>'BECA SUPERIOR'!N133</f>
        <v>0</v>
      </c>
    </row>
    <row r="3281" spans="1:8" x14ac:dyDescent="0.3">
      <c r="A3281" t="s">
        <v>690</v>
      </c>
      <c r="B3281" t="s">
        <v>155</v>
      </c>
      <c r="C3281" t="s">
        <v>155</v>
      </c>
      <c r="D3281" t="s">
        <v>689</v>
      </c>
      <c r="E3281" t="s">
        <v>769</v>
      </c>
      <c r="F3281">
        <v>4</v>
      </c>
      <c r="G3281" s="308">
        <f>'BECA SUPERIOR'!P133</f>
        <v>16.559999999999999</v>
      </c>
      <c r="H3281" s="308">
        <f>'BECA SUPERIOR'!Q133</f>
        <v>41400</v>
      </c>
    </row>
    <row r="3282" spans="1:8" x14ac:dyDescent="0.3">
      <c r="A3282" t="s">
        <v>690</v>
      </c>
      <c r="B3282" t="s">
        <v>155</v>
      </c>
      <c r="C3282" t="s">
        <v>155</v>
      </c>
      <c r="D3282" t="s">
        <v>689</v>
      </c>
      <c r="E3282" t="s">
        <v>770</v>
      </c>
      <c r="F3282">
        <v>5</v>
      </c>
      <c r="G3282" s="308">
        <f>'BECA SUPERIOR'!S133</f>
        <v>0</v>
      </c>
      <c r="H3282" s="308">
        <f>'BECA SUPERIOR'!T133</f>
        <v>0</v>
      </c>
    </row>
    <row r="3283" spans="1:8" x14ac:dyDescent="0.3">
      <c r="A3283" t="s">
        <v>690</v>
      </c>
      <c r="B3283" t="s">
        <v>155</v>
      </c>
      <c r="C3283" t="s">
        <v>155</v>
      </c>
      <c r="D3283" t="s">
        <v>689</v>
      </c>
      <c r="E3283" t="s">
        <v>771</v>
      </c>
      <c r="F3283">
        <v>6</v>
      </c>
      <c r="G3283" s="308">
        <f>'BECA SUPERIOR'!V133</f>
        <v>0</v>
      </c>
      <c r="H3283" s="308">
        <f>'BECA SUPERIOR'!W133</f>
        <v>0</v>
      </c>
    </row>
    <row r="3284" spans="1:8" x14ac:dyDescent="0.3">
      <c r="A3284" t="s">
        <v>690</v>
      </c>
      <c r="B3284" t="s">
        <v>155</v>
      </c>
      <c r="C3284" t="s">
        <v>155</v>
      </c>
      <c r="D3284" t="s">
        <v>689</v>
      </c>
      <c r="E3284" t="s">
        <v>772</v>
      </c>
      <c r="F3284">
        <v>7</v>
      </c>
      <c r="G3284" s="308">
        <f>'BECA SUPERIOR'!Y133</f>
        <v>0</v>
      </c>
      <c r="H3284" s="308">
        <f>'BECA SUPERIOR'!Z133</f>
        <v>0</v>
      </c>
    </row>
    <row r="3285" spans="1:8" x14ac:dyDescent="0.3">
      <c r="A3285" t="s">
        <v>690</v>
      </c>
      <c r="B3285" t="s">
        <v>155</v>
      </c>
      <c r="C3285" t="s">
        <v>156</v>
      </c>
      <c r="D3285" t="s">
        <v>689</v>
      </c>
      <c r="E3285" t="s">
        <v>766</v>
      </c>
      <c r="F3285">
        <v>1</v>
      </c>
      <c r="G3285" s="308">
        <f>'BECA SUPERIOR'!G134</f>
        <v>0</v>
      </c>
      <c r="H3285" s="308">
        <f>'BECA SUPERIOR'!H134</f>
        <v>0</v>
      </c>
    </row>
    <row r="3286" spans="1:8" x14ac:dyDescent="0.3">
      <c r="A3286" t="s">
        <v>690</v>
      </c>
      <c r="B3286" t="s">
        <v>155</v>
      </c>
      <c r="C3286" t="s">
        <v>156</v>
      </c>
      <c r="D3286" t="s">
        <v>689</v>
      </c>
      <c r="E3286" t="s">
        <v>767</v>
      </c>
      <c r="F3286">
        <v>2</v>
      </c>
      <c r="G3286" s="308">
        <f>'BECA SUPERIOR'!J134</f>
        <v>0</v>
      </c>
      <c r="H3286" s="308">
        <f>'BECA SUPERIOR'!K134</f>
        <v>0</v>
      </c>
    </row>
    <row r="3287" spans="1:8" x14ac:dyDescent="0.3">
      <c r="A3287" t="s">
        <v>690</v>
      </c>
      <c r="B3287" t="s">
        <v>155</v>
      </c>
      <c r="C3287" t="s">
        <v>156</v>
      </c>
      <c r="D3287" t="s">
        <v>689</v>
      </c>
      <c r="E3287" t="s">
        <v>768</v>
      </c>
      <c r="F3287">
        <v>3</v>
      </c>
      <c r="G3287" s="308">
        <f>'BECA SUPERIOR'!M134</f>
        <v>0</v>
      </c>
      <c r="H3287" s="308">
        <f>'BECA SUPERIOR'!N134</f>
        <v>0</v>
      </c>
    </row>
    <row r="3288" spans="1:8" x14ac:dyDescent="0.3">
      <c r="A3288" t="s">
        <v>690</v>
      </c>
      <c r="B3288" t="s">
        <v>155</v>
      </c>
      <c r="C3288" t="s">
        <v>156</v>
      </c>
      <c r="D3288" t="s">
        <v>689</v>
      </c>
      <c r="E3288" t="s">
        <v>769</v>
      </c>
      <c r="F3288">
        <v>4</v>
      </c>
      <c r="G3288" s="308">
        <f>'BECA SUPERIOR'!P134</f>
        <v>12.96</v>
      </c>
      <c r="H3288" s="308">
        <f>'BECA SUPERIOR'!Q134</f>
        <v>32400</v>
      </c>
    </row>
    <row r="3289" spans="1:8" x14ac:dyDescent="0.3">
      <c r="A3289" t="s">
        <v>690</v>
      </c>
      <c r="B3289" t="s">
        <v>155</v>
      </c>
      <c r="C3289" t="s">
        <v>156</v>
      </c>
      <c r="D3289" t="s">
        <v>689</v>
      </c>
      <c r="E3289" t="s">
        <v>770</v>
      </c>
      <c r="F3289">
        <v>5</v>
      </c>
      <c r="G3289" s="308">
        <f>'BECA SUPERIOR'!S134</f>
        <v>0</v>
      </c>
      <c r="H3289" s="308">
        <f>'BECA SUPERIOR'!T134</f>
        <v>0</v>
      </c>
    </row>
    <row r="3290" spans="1:8" x14ac:dyDescent="0.3">
      <c r="A3290" t="s">
        <v>690</v>
      </c>
      <c r="B3290" t="s">
        <v>155</v>
      </c>
      <c r="C3290" t="s">
        <v>156</v>
      </c>
      <c r="D3290" t="s">
        <v>689</v>
      </c>
      <c r="E3290" t="s">
        <v>771</v>
      </c>
      <c r="F3290">
        <v>6</v>
      </c>
      <c r="G3290" s="308">
        <f>'BECA SUPERIOR'!V134</f>
        <v>0</v>
      </c>
      <c r="H3290" s="308">
        <f>'BECA SUPERIOR'!W134</f>
        <v>0</v>
      </c>
    </row>
    <row r="3291" spans="1:8" x14ac:dyDescent="0.3">
      <c r="A3291" t="s">
        <v>690</v>
      </c>
      <c r="B3291" t="s">
        <v>155</v>
      </c>
      <c r="C3291" t="s">
        <v>156</v>
      </c>
      <c r="D3291" t="s">
        <v>689</v>
      </c>
      <c r="E3291" t="s">
        <v>772</v>
      </c>
      <c r="F3291">
        <v>7</v>
      </c>
      <c r="G3291" s="308">
        <f>'BECA SUPERIOR'!Y134</f>
        <v>0</v>
      </c>
      <c r="H3291" s="308">
        <f>'BECA SUPERIOR'!Z134</f>
        <v>0</v>
      </c>
    </row>
    <row r="3292" spans="1:8" x14ac:dyDescent="0.3">
      <c r="A3292" t="s">
        <v>690</v>
      </c>
      <c r="B3292" t="s">
        <v>155</v>
      </c>
      <c r="C3292" t="s">
        <v>157</v>
      </c>
      <c r="D3292" t="s">
        <v>689</v>
      </c>
      <c r="E3292" t="s">
        <v>766</v>
      </c>
      <c r="F3292">
        <v>1</v>
      </c>
      <c r="G3292" s="308">
        <f>'BECA SUPERIOR'!G135</f>
        <v>0</v>
      </c>
      <c r="H3292" s="308">
        <f>'BECA SUPERIOR'!H135</f>
        <v>0</v>
      </c>
    </row>
    <row r="3293" spans="1:8" x14ac:dyDescent="0.3">
      <c r="A3293" t="s">
        <v>690</v>
      </c>
      <c r="B3293" t="s">
        <v>155</v>
      </c>
      <c r="C3293" t="s">
        <v>157</v>
      </c>
      <c r="D3293" t="s">
        <v>689</v>
      </c>
      <c r="E3293" t="s">
        <v>767</v>
      </c>
      <c r="F3293">
        <v>2</v>
      </c>
      <c r="G3293" s="308">
        <f>'BECA SUPERIOR'!J135</f>
        <v>0</v>
      </c>
      <c r="H3293" s="308">
        <f>'BECA SUPERIOR'!K135</f>
        <v>0</v>
      </c>
    </row>
    <row r="3294" spans="1:8" x14ac:dyDescent="0.3">
      <c r="A3294" t="s">
        <v>690</v>
      </c>
      <c r="B3294" t="s">
        <v>155</v>
      </c>
      <c r="C3294" t="s">
        <v>157</v>
      </c>
      <c r="D3294" t="s">
        <v>689</v>
      </c>
      <c r="E3294" t="s">
        <v>768</v>
      </c>
      <c r="F3294">
        <v>3</v>
      </c>
      <c r="G3294" s="308">
        <f>'BECA SUPERIOR'!M135</f>
        <v>0</v>
      </c>
      <c r="H3294" s="308">
        <f>'BECA SUPERIOR'!N135</f>
        <v>0</v>
      </c>
    </row>
    <row r="3295" spans="1:8" x14ac:dyDescent="0.3">
      <c r="A3295" t="s">
        <v>690</v>
      </c>
      <c r="B3295" t="s">
        <v>155</v>
      </c>
      <c r="C3295" t="s">
        <v>157</v>
      </c>
      <c r="D3295" t="s">
        <v>689</v>
      </c>
      <c r="E3295" t="s">
        <v>769</v>
      </c>
      <c r="F3295">
        <v>4</v>
      </c>
      <c r="G3295" s="308">
        <f>'BECA SUPERIOR'!P135</f>
        <v>9.36</v>
      </c>
      <c r="H3295" s="308">
        <f>'BECA SUPERIOR'!Q135</f>
        <v>23400</v>
      </c>
    </row>
    <row r="3296" spans="1:8" x14ac:dyDescent="0.3">
      <c r="A3296" t="s">
        <v>690</v>
      </c>
      <c r="B3296" t="s">
        <v>155</v>
      </c>
      <c r="C3296" t="s">
        <v>157</v>
      </c>
      <c r="D3296" t="s">
        <v>689</v>
      </c>
      <c r="E3296" t="s">
        <v>770</v>
      </c>
      <c r="F3296">
        <v>5</v>
      </c>
      <c r="G3296" s="308">
        <f>'BECA SUPERIOR'!S135</f>
        <v>0</v>
      </c>
      <c r="H3296" s="308">
        <f>'BECA SUPERIOR'!T135</f>
        <v>0</v>
      </c>
    </row>
    <row r="3297" spans="1:8" x14ac:dyDescent="0.3">
      <c r="A3297" t="s">
        <v>690</v>
      </c>
      <c r="B3297" t="s">
        <v>155</v>
      </c>
      <c r="C3297" t="s">
        <v>157</v>
      </c>
      <c r="D3297" t="s">
        <v>689</v>
      </c>
      <c r="E3297" t="s">
        <v>771</v>
      </c>
      <c r="F3297">
        <v>6</v>
      </c>
      <c r="G3297" s="308">
        <f>'BECA SUPERIOR'!V135</f>
        <v>0</v>
      </c>
      <c r="H3297" s="308">
        <f>'BECA SUPERIOR'!W135</f>
        <v>0</v>
      </c>
    </row>
    <row r="3298" spans="1:8" x14ac:dyDescent="0.3">
      <c r="A3298" t="s">
        <v>690</v>
      </c>
      <c r="B3298" t="s">
        <v>155</v>
      </c>
      <c r="C3298" t="s">
        <v>157</v>
      </c>
      <c r="D3298" t="s">
        <v>689</v>
      </c>
      <c r="E3298" t="s">
        <v>772</v>
      </c>
      <c r="F3298">
        <v>7</v>
      </c>
      <c r="G3298" s="308">
        <f>'BECA SUPERIOR'!Y135</f>
        <v>0</v>
      </c>
      <c r="H3298" s="308">
        <f>'BECA SUPERIOR'!Z135</f>
        <v>0</v>
      </c>
    </row>
    <row r="3299" spans="1:8" x14ac:dyDescent="0.3">
      <c r="A3299" t="s">
        <v>690</v>
      </c>
      <c r="B3299" t="s">
        <v>155</v>
      </c>
      <c r="C3299" t="s">
        <v>158</v>
      </c>
      <c r="D3299" t="s">
        <v>689</v>
      </c>
      <c r="E3299" t="s">
        <v>766</v>
      </c>
      <c r="F3299">
        <v>1</v>
      </c>
      <c r="G3299" s="308">
        <f>'BECA SUPERIOR'!G136</f>
        <v>0</v>
      </c>
      <c r="H3299" s="308">
        <f>'BECA SUPERIOR'!H136</f>
        <v>0</v>
      </c>
    </row>
    <row r="3300" spans="1:8" x14ac:dyDescent="0.3">
      <c r="A3300" t="s">
        <v>690</v>
      </c>
      <c r="B3300" t="s">
        <v>155</v>
      </c>
      <c r="C3300" t="s">
        <v>158</v>
      </c>
      <c r="D3300" t="s">
        <v>689</v>
      </c>
      <c r="E3300" t="s">
        <v>767</v>
      </c>
      <c r="F3300">
        <v>2</v>
      </c>
      <c r="G3300" s="308">
        <f>'BECA SUPERIOR'!J136</f>
        <v>0</v>
      </c>
      <c r="H3300" s="308">
        <f>'BECA SUPERIOR'!K136</f>
        <v>0</v>
      </c>
    </row>
    <row r="3301" spans="1:8" x14ac:dyDescent="0.3">
      <c r="A3301" t="s">
        <v>690</v>
      </c>
      <c r="B3301" t="s">
        <v>155</v>
      </c>
      <c r="C3301" t="s">
        <v>158</v>
      </c>
      <c r="D3301" t="s">
        <v>689</v>
      </c>
      <c r="E3301" t="s">
        <v>768</v>
      </c>
      <c r="F3301">
        <v>3</v>
      </c>
      <c r="G3301" s="308">
        <f>'BECA SUPERIOR'!M136</f>
        <v>0</v>
      </c>
      <c r="H3301" s="308">
        <f>'BECA SUPERIOR'!N136</f>
        <v>0</v>
      </c>
    </row>
    <row r="3302" spans="1:8" x14ac:dyDescent="0.3">
      <c r="A3302" t="s">
        <v>690</v>
      </c>
      <c r="B3302" t="s">
        <v>155</v>
      </c>
      <c r="C3302" t="s">
        <v>158</v>
      </c>
      <c r="D3302" t="s">
        <v>689</v>
      </c>
      <c r="E3302" t="s">
        <v>769</v>
      </c>
      <c r="F3302">
        <v>4</v>
      </c>
      <c r="G3302" s="308">
        <f>'BECA SUPERIOR'!P136</f>
        <v>7.92</v>
      </c>
      <c r="H3302" s="308">
        <f>'BECA SUPERIOR'!Q136</f>
        <v>19800</v>
      </c>
    </row>
    <row r="3303" spans="1:8" x14ac:dyDescent="0.3">
      <c r="A3303" t="s">
        <v>690</v>
      </c>
      <c r="B3303" t="s">
        <v>155</v>
      </c>
      <c r="C3303" t="s">
        <v>158</v>
      </c>
      <c r="D3303" t="s">
        <v>689</v>
      </c>
      <c r="E3303" t="s">
        <v>770</v>
      </c>
      <c r="F3303">
        <v>5</v>
      </c>
      <c r="G3303" s="308">
        <f>'BECA SUPERIOR'!S136</f>
        <v>0</v>
      </c>
      <c r="H3303" s="308">
        <f>'BECA SUPERIOR'!T136</f>
        <v>0</v>
      </c>
    </row>
    <row r="3304" spans="1:8" x14ac:dyDescent="0.3">
      <c r="A3304" t="s">
        <v>690</v>
      </c>
      <c r="B3304" t="s">
        <v>155</v>
      </c>
      <c r="C3304" t="s">
        <v>158</v>
      </c>
      <c r="D3304" t="s">
        <v>689</v>
      </c>
      <c r="E3304" t="s">
        <v>771</v>
      </c>
      <c r="F3304">
        <v>6</v>
      </c>
      <c r="G3304" s="308">
        <f>'BECA SUPERIOR'!V136</f>
        <v>0</v>
      </c>
      <c r="H3304" s="308">
        <f>'BECA SUPERIOR'!W136</f>
        <v>0</v>
      </c>
    </row>
    <row r="3305" spans="1:8" x14ac:dyDescent="0.3">
      <c r="A3305" t="s">
        <v>690</v>
      </c>
      <c r="B3305" t="s">
        <v>155</v>
      </c>
      <c r="C3305" t="s">
        <v>158</v>
      </c>
      <c r="D3305" t="s">
        <v>689</v>
      </c>
      <c r="E3305" t="s">
        <v>772</v>
      </c>
      <c r="F3305">
        <v>7</v>
      </c>
      <c r="G3305" s="308">
        <f>'BECA SUPERIOR'!Y136</f>
        <v>0</v>
      </c>
      <c r="H3305" s="308">
        <f>'BECA SUPERIOR'!Z136</f>
        <v>0</v>
      </c>
    </row>
    <row r="3306" spans="1:8" x14ac:dyDescent="0.3">
      <c r="A3306" t="s">
        <v>690</v>
      </c>
      <c r="B3306" t="s">
        <v>155</v>
      </c>
      <c r="C3306" t="s">
        <v>159</v>
      </c>
      <c r="D3306" t="s">
        <v>689</v>
      </c>
      <c r="E3306" t="s">
        <v>766</v>
      </c>
      <c r="F3306">
        <v>1</v>
      </c>
      <c r="G3306" s="308">
        <f>'BECA SUPERIOR'!G137</f>
        <v>0</v>
      </c>
      <c r="H3306" s="308">
        <f>'BECA SUPERIOR'!H137</f>
        <v>0</v>
      </c>
    </row>
    <row r="3307" spans="1:8" x14ac:dyDescent="0.3">
      <c r="A3307" t="s">
        <v>690</v>
      </c>
      <c r="B3307" t="s">
        <v>155</v>
      </c>
      <c r="C3307" t="s">
        <v>159</v>
      </c>
      <c r="D3307" t="s">
        <v>689</v>
      </c>
      <c r="E3307" t="s">
        <v>767</v>
      </c>
      <c r="F3307">
        <v>2</v>
      </c>
      <c r="G3307" s="308">
        <f>'BECA SUPERIOR'!J137</f>
        <v>0</v>
      </c>
      <c r="H3307" s="308">
        <f>'BECA SUPERIOR'!K137</f>
        <v>0</v>
      </c>
    </row>
    <row r="3308" spans="1:8" x14ac:dyDescent="0.3">
      <c r="A3308" t="s">
        <v>690</v>
      </c>
      <c r="B3308" t="s">
        <v>155</v>
      </c>
      <c r="C3308" t="s">
        <v>159</v>
      </c>
      <c r="D3308" t="s">
        <v>689</v>
      </c>
      <c r="E3308" t="s">
        <v>768</v>
      </c>
      <c r="F3308">
        <v>3</v>
      </c>
      <c r="G3308" s="308">
        <f>'BECA SUPERIOR'!M137</f>
        <v>0</v>
      </c>
      <c r="H3308" s="308">
        <f>'BECA SUPERIOR'!N137</f>
        <v>0</v>
      </c>
    </row>
    <row r="3309" spans="1:8" x14ac:dyDescent="0.3">
      <c r="A3309" t="s">
        <v>690</v>
      </c>
      <c r="B3309" t="s">
        <v>155</v>
      </c>
      <c r="C3309" t="s">
        <v>159</v>
      </c>
      <c r="D3309" t="s">
        <v>689</v>
      </c>
      <c r="E3309" t="s">
        <v>769</v>
      </c>
      <c r="F3309">
        <v>4</v>
      </c>
      <c r="G3309" s="308">
        <f>'BECA SUPERIOR'!P137</f>
        <v>5.76</v>
      </c>
      <c r="H3309" s="308">
        <f>'BECA SUPERIOR'!Q137</f>
        <v>14400</v>
      </c>
    </row>
    <row r="3310" spans="1:8" x14ac:dyDescent="0.3">
      <c r="A3310" t="s">
        <v>690</v>
      </c>
      <c r="B3310" t="s">
        <v>155</v>
      </c>
      <c r="C3310" t="s">
        <v>159</v>
      </c>
      <c r="D3310" t="s">
        <v>689</v>
      </c>
      <c r="E3310" t="s">
        <v>770</v>
      </c>
      <c r="F3310">
        <v>5</v>
      </c>
      <c r="G3310" s="308">
        <f>'BECA SUPERIOR'!S137</f>
        <v>0</v>
      </c>
      <c r="H3310" s="308">
        <f>'BECA SUPERIOR'!T137</f>
        <v>0</v>
      </c>
    </row>
    <row r="3311" spans="1:8" x14ac:dyDescent="0.3">
      <c r="A3311" t="s">
        <v>690</v>
      </c>
      <c r="B3311" t="s">
        <v>155</v>
      </c>
      <c r="C3311" t="s">
        <v>159</v>
      </c>
      <c r="D3311" t="s">
        <v>689</v>
      </c>
      <c r="E3311" t="s">
        <v>771</v>
      </c>
      <c r="F3311">
        <v>6</v>
      </c>
      <c r="G3311" s="308">
        <f>'BECA SUPERIOR'!V137</f>
        <v>0</v>
      </c>
      <c r="H3311" s="308">
        <f>'BECA SUPERIOR'!W137</f>
        <v>0</v>
      </c>
    </row>
    <row r="3312" spans="1:8" x14ac:dyDescent="0.3">
      <c r="A3312" t="s">
        <v>690</v>
      </c>
      <c r="B3312" t="s">
        <v>155</v>
      </c>
      <c r="C3312" t="s">
        <v>159</v>
      </c>
      <c r="D3312" t="s">
        <v>689</v>
      </c>
      <c r="E3312" t="s">
        <v>772</v>
      </c>
      <c r="F3312">
        <v>7</v>
      </c>
      <c r="G3312" s="308">
        <f>'BECA SUPERIOR'!Y137</f>
        <v>0</v>
      </c>
      <c r="H3312" s="308">
        <f>'BECA SUPERIOR'!Z137</f>
        <v>0</v>
      </c>
    </row>
    <row r="3313" spans="1:8" x14ac:dyDescent="0.3">
      <c r="A3313" t="s">
        <v>690</v>
      </c>
      <c r="B3313" t="s">
        <v>155</v>
      </c>
      <c r="C3313" t="s">
        <v>160</v>
      </c>
      <c r="D3313" t="s">
        <v>689</v>
      </c>
      <c r="E3313" t="s">
        <v>766</v>
      </c>
      <c r="F3313">
        <v>1</v>
      </c>
      <c r="G3313" s="308">
        <f>'BECA SUPERIOR'!G138</f>
        <v>0</v>
      </c>
      <c r="H3313" s="308">
        <f>'BECA SUPERIOR'!H138</f>
        <v>0</v>
      </c>
    </row>
    <row r="3314" spans="1:8" x14ac:dyDescent="0.3">
      <c r="A3314" t="s">
        <v>690</v>
      </c>
      <c r="B3314" t="s">
        <v>155</v>
      </c>
      <c r="C3314" t="s">
        <v>160</v>
      </c>
      <c r="D3314" t="s">
        <v>689</v>
      </c>
      <c r="E3314" t="s">
        <v>767</v>
      </c>
      <c r="F3314">
        <v>2</v>
      </c>
      <c r="G3314" s="308">
        <f>'BECA SUPERIOR'!J138</f>
        <v>0</v>
      </c>
      <c r="H3314" s="308">
        <f>'BECA SUPERIOR'!K138</f>
        <v>0</v>
      </c>
    </row>
    <row r="3315" spans="1:8" x14ac:dyDescent="0.3">
      <c r="A3315" t="s">
        <v>690</v>
      </c>
      <c r="B3315" t="s">
        <v>155</v>
      </c>
      <c r="C3315" t="s">
        <v>160</v>
      </c>
      <c r="D3315" t="s">
        <v>689</v>
      </c>
      <c r="E3315" t="s">
        <v>768</v>
      </c>
      <c r="F3315">
        <v>3</v>
      </c>
      <c r="G3315" s="308">
        <f>'BECA SUPERIOR'!M138</f>
        <v>0</v>
      </c>
      <c r="H3315" s="308">
        <f>'BECA SUPERIOR'!N138</f>
        <v>0</v>
      </c>
    </row>
    <row r="3316" spans="1:8" x14ac:dyDescent="0.3">
      <c r="A3316" t="s">
        <v>690</v>
      </c>
      <c r="B3316" t="s">
        <v>155</v>
      </c>
      <c r="C3316" t="s">
        <v>160</v>
      </c>
      <c r="D3316" t="s">
        <v>689</v>
      </c>
      <c r="E3316" t="s">
        <v>769</v>
      </c>
      <c r="F3316">
        <v>4</v>
      </c>
      <c r="G3316" s="308">
        <f>'BECA SUPERIOR'!P138</f>
        <v>7.2</v>
      </c>
      <c r="H3316" s="308">
        <f>'BECA SUPERIOR'!Q138</f>
        <v>18000</v>
      </c>
    </row>
    <row r="3317" spans="1:8" x14ac:dyDescent="0.3">
      <c r="A3317" t="s">
        <v>690</v>
      </c>
      <c r="B3317" t="s">
        <v>155</v>
      </c>
      <c r="C3317" t="s">
        <v>160</v>
      </c>
      <c r="D3317" t="s">
        <v>689</v>
      </c>
      <c r="E3317" t="s">
        <v>770</v>
      </c>
      <c r="F3317">
        <v>5</v>
      </c>
      <c r="G3317" s="308">
        <f>'BECA SUPERIOR'!S138</f>
        <v>0</v>
      </c>
      <c r="H3317" s="308">
        <f>'BECA SUPERIOR'!T138</f>
        <v>0</v>
      </c>
    </row>
    <row r="3318" spans="1:8" x14ac:dyDescent="0.3">
      <c r="A3318" t="s">
        <v>690</v>
      </c>
      <c r="B3318" t="s">
        <v>155</v>
      </c>
      <c r="C3318" t="s">
        <v>160</v>
      </c>
      <c r="D3318" t="s">
        <v>689</v>
      </c>
      <c r="E3318" t="s">
        <v>771</v>
      </c>
      <c r="F3318">
        <v>6</v>
      </c>
      <c r="G3318" s="308">
        <f>'BECA SUPERIOR'!V138</f>
        <v>0</v>
      </c>
      <c r="H3318" s="308">
        <f>'BECA SUPERIOR'!W138</f>
        <v>0</v>
      </c>
    </row>
    <row r="3319" spans="1:8" x14ac:dyDescent="0.3">
      <c r="A3319" t="s">
        <v>690</v>
      </c>
      <c r="B3319" t="s">
        <v>155</v>
      </c>
      <c r="C3319" t="s">
        <v>160</v>
      </c>
      <c r="D3319" t="s">
        <v>689</v>
      </c>
      <c r="E3319" t="s">
        <v>772</v>
      </c>
      <c r="F3319">
        <v>7</v>
      </c>
      <c r="G3319" s="308">
        <f>'BECA SUPERIOR'!Y138</f>
        <v>0</v>
      </c>
      <c r="H3319" s="308">
        <f>'BECA SUPERIOR'!Z138</f>
        <v>0</v>
      </c>
    </row>
    <row r="3320" spans="1:8" x14ac:dyDescent="0.3">
      <c r="A3320" t="s">
        <v>690</v>
      </c>
      <c r="B3320" t="s">
        <v>155</v>
      </c>
      <c r="C3320" t="s">
        <v>161</v>
      </c>
      <c r="D3320" t="s">
        <v>689</v>
      </c>
      <c r="E3320" t="s">
        <v>766</v>
      </c>
      <c r="F3320">
        <v>1</v>
      </c>
      <c r="G3320" s="308">
        <f>'BECA SUPERIOR'!G139</f>
        <v>0</v>
      </c>
      <c r="H3320" s="308">
        <f>'BECA SUPERIOR'!H139</f>
        <v>0</v>
      </c>
    </row>
    <row r="3321" spans="1:8" x14ac:dyDescent="0.3">
      <c r="A3321" t="s">
        <v>690</v>
      </c>
      <c r="B3321" t="s">
        <v>155</v>
      </c>
      <c r="C3321" t="s">
        <v>161</v>
      </c>
      <c r="D3321" t="s">
        <v>689</v>
      </c>
      <c r="E3321" t="s">
        <v>767</v>
      </c>
      <c r="F3321">
        <v>2</v>
      </c>
      <c r="G3321" s="308">
        <f>'BECA SUPERIOR'!J139</f>
        <v>0</v>
      </c>
      <c r="H3321" s="308">
        <f>'BECA SUPERIOR'!K139</f>
        <v>0</v>
      </c>
    </row>
    <row r="3322" spans="1:8" x14ac:dyDescent="0.3">
      <c r="A3322" t="s">
        <v>690</v>
      </c>
      <c r="B3322" t="s">
        <v>155</v>
      </c>
      <c r="C3322" t="s">
        <v>161</v>
      </c>
      <c r="D3322" t="s">
        <v>689</v>
      </c>
      <c r="E3322" t="s">
        <v>768</v>
      </c>
      <c r="F3322">
        <v>3</v>
      </c>
      <c r="G3322" s="308">
        <f>'BECA SUPERIOR'!M139</f>
        <v>0</v>
      </c>
      <c r="H3322" s="308">
        <f>'BECA SUPERIOR'!N139</f>
        <v>0</v>
      </c>
    </row>
    <row r="3323" spans="1:8" x14ac:dyDescent="0.3">
      <c r="A3323" t="s">
        <v>690</v>
      </c>
      <c r="B3323" t="s">
        <v>155</v>
      </c>
      <c r="C3323" t="s">
        <v>161</v>
      </c>
      <c r="D3323" t="s">
        <v>689</v>
      </c>
      <c r="E3323" t="s">
        <v>769</v>
      </c>
      <c r="F3323">
        <v>4</v>
      </c>
      <c r="G3323" s="308">
        <f>'BECA SUPERIOR'!P139</f>
        <v>11.52</v>
      </c>
      <c r="H3323" s="308">
        <f>'BECA SUPERIOR'!Q139</f>
        <v>28800</v>
      </c>
    </row>
    <row r="3324" spans="1:8" x14ac:dyDescent="0.3">
      <c r="A3324" t="s">
        <v>690</v>
      </c>
      <c r="B3324" t="s">
        <v>155</v>
      </c>
      <c r="C3324" t="s">
        <v>161</v>
      </c>
      <c r="D3324" t="s">
        <v>689</v>
      </c>
      <c r="E3324" t="s">
        <v>770</v>
      </c>
      <c r="F3324">
        <v>5</v>
      </c>
      <c r="G3324" s="308">
        <f>'BECA SUPERIOR'!S139</f>
        <v>0</v>
      </c>
      <c r="H3324" s="308">
        <f>'BECA SUPERIOR'!T139</f>
        <v>0</v>
      </c>
    </row>
    <row r="3325" spans="1:8" x14ac:dyDescent="0.3">
      <c r="A3325" t="s">
        <v>690</v>
      </c>
      <c r="B3325" t="s">
        <v>155</v>
      </c>
      <c r="C3325" t="s">
        <v>161</v>
      </c>
      <c r="D3325" t="s">
        <v>689</v>
      </c>
      <c r="E3325" t="s">
        <v>771</v>
      </c>
      <c r="F3325">
        <v>6</v>
      </c>
      <c r="G3325" s="308">
        <f>'BECA SUPERIOR'!V139</f>
        <v>0</v>
      </c>
      <c r="H3325" s="308">
        <f>'BECA SUPERIOR'!W139</f>
        <v>0</v>
      </c>
    </row>
    <row r="3326" spans="1:8" x14ac:dyDescent="0.3">
      <c r="A3326" t="s">
        <v>690</v>
      </c>
      <c r="B3326" t="s">
        <v>155</v>
      </c>
      <c r="C3326" t="s">
        <v>161</v>
      </c>
      <c r="D3326" t="s">
        <v>689</v>
      </c>
      <c r="E3326" t="s">
        <v>772</v>
      </c>
      <c r="F3326">
        <v>7</v>
      </c>
      <c r="G3326" s="308">
        <f>'BECA SUPERIOR'!Y139</f>
        <v>0</v>
      </c>
      <c r="H3326" s="308">
        <f>'BECA SUPERIOR'!Z139</f>
        <v>0</v>
      </c>
    </row>
    <row r="3327" spans="1:8" x14ac:dyDescent="0.3">
      <c r="A3327" t="s">
        <v>690</v>
      </c>
      <c r="B3327" t="s">
        <v>162</v>
      </c>
      <c r="C3327" t="s">
        <v>163</v>
      </c>
      <c r="D3327" t="s">
        <v>689</v>
      </c>
      <c r="E3327" t="s">
        <v>766</v>
      </c>
      <c r="F3327">
        <v>1</v>
      </c>
      <c r="G3327" s="308">
        <f>'BECA SUPERIOR'!G140</f>
        <v>0</v>
      </c>
      <c r="H3327" s="308">
        <f>'BECA SUPERIOR'!H140</f>
        <v>0</v>
      </c>
    </row>
    <row r="3328" spans="1:8" x14ac:dyDescent="0.3">
      <c r="A3328" t="s">
        <v>690</v>
      </c>
      <c r="B3328" t="s">
        <v>162</v>
      </c>
      <c r="C3328" t="s">
        <v>163</v>
      </c>
      <c r="D3328" t="s">
        <v>689</v>
      </c>
      <c r="E3328" t="s">
        <v>767</v>
      </c>
      <c r="F3328">
        <v>2</v>
      </c>
      <c r="G3328" s="308">
        <f>'BECA SUPERIOR'!J140</f>
        <v>0</v>
      </c>
      <c r="H3328" s="308">
        <f>'BECA SUPERIOR'!K140</f>
        <v>0</v>
      </c>
    </row>
    <row r="3329" spans="1:8" x14ac:dyDescent="0.3">
      <c r="A3329" t="s">
        <v>690</v>
      </c>
      <c r="B3329" t="s">
        <v>162</v>
      </c>
      <c r="C3329" t="s">
        <v>163</v>
      </c>
      <c r="D3329" t="s">
        <v>689</v>
      </c>
      <c r="E3329" t="s">
        <v>768</v>
      </c>
      <c r="F3329">
        <v>3</v>
      </c>
      <c r="G3329" s="308">
        <f>'BECA SUPERIOR'!M140</f>
        <v>0</v>
      </c>
      <c r="H3329" s="308">
        <f>'BECA SUPERIOR'!N140</f>
        <v>0</v>
      </c>
    </row>
    <row r="3330" spans="1:8" x14ac:dyDescent="0.3">
      <c r="A3330" t="s">
        <v>690</v>
      </c>
      <c r="B3330" t="s">
        <v>162</v>
      </c>
      <c r="C3330" t="s">
        <v>163</v>
      </c>
      <c r="D3330" t="s">
        <v>689</v>
      </c>
      <c r="E3330" t="s">
        <v>769</v>
      </c>
      <c r="F3330">
        <v>4</v>
      </c>
      <c r="G3330" s="308">
        <f>'BECA SUPERIOR'!P140</f>
        <v>6.48</v>
      </c>
      <c r="H3330" s="308">
        <f>'BECA SUPERIOR'!Q140</f>
        <v>16200</v>
      </c>
    </row>
    <row r="3331" spans="1:8" x14ac:dyDescent="0.3">
      <c r="A3331" t="s">
        <v>690</v>
      </c>
      <c r="B3331" t="s">
        <v>162</v>
      </c>
      <c r="C3331" t="s">
        <v>163</v>
      </c>
      <c r="D3331" t="s">
        <v>689</v>
      </c>
      <c r="E3331" t="s">
        <v>770</v>
      </c>
      <c r="F3331">
        <v>5</v>
      </c>
      <c r="G3331" s="308">
        <f>'BECA SUPERIOR'!S140</f>
        <v>0</v>
      </c>
      <c r="H3331" s="308">
        <f>'BECA SUPERIOR'!T140</f>
        <v>0</v>
      </c>
    </row>
    <row r="3332" spans="1:8" x14ac:dyDescent="0.3">
      <c r="A3332" t="s">
        <v>690</v>
      </c>
      <c r="B3332" t="s">
        <v>162</v>
      </c>
      <c r="C3332" t="s">
        <v>163</v>
      </c>
      <c r="D3332" t="s">
        <v>689</v>
      </c>
      <c r="E3332" t="s">
        <v>771</v>
      </c>
      <c r="F3332">
        <v>6</v>
      </c>
      <c r="G3332" s="308">
        <f>'BECA SUPERIOR'!V140</f>
        <v>0</v>
      </c>
      <c r="H3332" s="308">
        <f>'BECA SUPERIOR'!W140</f>
        <v>0</v>
      </c>
    </row>
    <row r="3333" spans="1:8" x14ac:dyDescent="0.3">
      <c r="A3333" t="s">
        <v>690</v>
      </c>
      <c r="B3333" t="s">
        <v>162</v>
      </c>
      <c r="C3333" t="s">
        <v>163</v>
      </c>
      <c r="D3333" t="s">
        <v>689</v>
      </c>
      <c r="E3333" t="s">
        <v>772</v>
      </c>
      <c r="F3333">
        <v>7</v>
      </c>
      <c r="G3333" s="308">
        <f>'BECA SUPERIOR'!Y140</f>
        <v>0</v>
      </c>
      <c r="H3333" s="308">
        <f>'BECA SUPERIOR'!Z140</f>
        <v>0</v>
      </c>
    </row>
    <row r="3334" spans="1:8" x14ac:dyDescent="0.3">
      <c r="A3334" t="s">
        <v>690</v>
      </c>
      <c r="B3334" t="s">
        <v>162</v>
      </c>
      <c r="C3334" t="s">
        <v>164</v>
      </c>
      <c r="D3334" t="s">
        <v>689</v>
      </c>
      <c r="E3334" t="s">
        <v>766</v>
      </c>
      <c r="F3334">
        <v>1</v>
      </c>
      <c r="G3334" s="308">
        <f>'BECA SUPERIOR'!G141</f>
        <v>0</v>
      </c>
      <c r="H3334" s="308">
        <f>'BECA SUPERIOR'!H141</f>
        <v>0</v>
      </c>
    </row>
    <row r="3335" spans="1:8" x14ac:dyDescent="0.3">
      <c r="A3335" t="s">
        <v>690</v>
      </c>
      <c r="B3335" t="s">
        <v>162</v>
      </c>
      <c r="C3335" t="s">
        <v>164</v>
      </c>
      <c r="D3335" t="s">
        <v>689</v>
      </c>
      <c r="E3335" t="s">
        <v>767</v>
      </c>
      <c r="F3335">
        <v>2</v>
      </c>
      <c r="G3335" s="308">
        <f>'BECA SUPERIOR'!J141</f>
        <v>0</v>
      </c>
      <c r="H3335" s="308">
        <f>'BECA SUPERIOR'!K141</f>
        <v>0</v>
      </c>
    </row>
    <row r="3336" spans="1:8" x14ac:dyDescent="0.3">
      <c r="A3336" t="s">
        <v>690</v>
      </c>
      <c r="B3336" t="s">
        <v>162</v>
      </c>
      <c r="C3336" t="s">
        <v>164</v>
      </c>
      <c r="D3336" t="s">
        <v>689</v>
      </c>
      <c r="E3336" t="s">
        <v>768</v>
      </c>
      <c r="F3336">
        <v>3</v>
      </c>
      <c r="G3336" s="308">
        <f>'BECA SUPERIOR'!M141</f>
        <v>0</v>
      </c>
      <c r="H3336" s="308">
        <f>'BECA SUPERIOR'!N141</f>
        <v>0</v>
      </c>
    </row>
    <row r="3337" spans="1:8" x14ac:dyDescent="0.3">
      <c r="A3337" t="s">
        <v>690</v>
      </c>
      <c r="B3337" t="s">
        <v>162</v>
      </c>
      <c r="C3337" t="s">
        <v>164</v>
      </c>
      <c r="D3337" t="s">
        <v>689</v>
      </c>
      <c r="E3337" t="s">
        <v>769</v>
      </c>
      <c r="F3337">
        <v>4</v>
      </c>
      <c r="G3337" s="308">
        <f>'BECA SUPERIOR'!P141</f>
        <v>3.6</v>
      </c>
      <c r="H3337" s="308">
        <f>'BECA SUPERIOR'!Q141</f>
        <v>9000</v>
      </c>
    </row>
    <row r="3338" spans="1:8" x14ac:dyDescent="0.3">
      <c r="A3338" t="s">
        <v>690</v>
      </c>
      <c r="B3338" t="s">
        <v>162</v>
      </c>
      <c r="C3338" t="s">
        <v>164</v>
      </c>
      <c r="D3338" t="s">
        <v>689</v>
      </c>
      <c r="E3338" t="s">
        <v>770</v>
      </c>
      <c r="F3338">
        <v>5</v>
      </c>
      <c r="G3338" s="308">
        <f>'BECA SUPERIOR'!S141</f>
        <v>0</v>
      </c>
      <c r="H3338" s="308">
        <f>'BECA SUPERIOR'!T141</f>
        <v>0</v>
      </c>
    </row>
    <row r="3339" spans="1:8" x14ac:dyDescent="0.3">
      <c r="A3339" t="s">
        <v>690</v>
      </c>
      <c r="B3339" t="s">
        <v>162</v>
      </c>
      <c r="C3339" t="s">
        <v>164</v>
      </c>
      <c r="D3339" t="s">
        <v>689</v>
      </c>
      <c r="E3339" t="s">
        <v>771</v>
      </c>
      <c r="F3339">
        <v>6</v>
      </c>
      <c r="G3339" s="308">
        <f>'BECA SUPERIOR'!V141</f>
        <v>0</v>
      </c>
      <c r="H3339" s="308">
        <f>'BECA SUPERIOR'!W141</f>
        <v>0</v>
      </c>
    </row>
    <row r="3340" spans="1:8" x14ac:dyDescent="0.3">
      <c r="A3340" t="s">
        <v>690</v>
      </c>
      <c r="B3340" t="s">
        <v>162</v>
      </c>
      <c r="C3340" t="s">
        <v>164</v>
      </c>
      <c r="D3340" t="s">
        <v>689</v>
      </c>
      <c r="E3340" t="s">
        <v>772</v>
      </c>
      <c r="F3340">
        <v>7</v>
      </c>
      <c r="G3340" s="308">
        <f>'BECA SUPERIOR'!Y141</f>
        <v>0</v>
      </c>
      <c r="H3340" s="308">
        <f>'BECA SUPERIOR'!Z141</f>
        <v>0</v>
      </c>
    </row>
    <row r="3341" spans="1:8" x14ac:dyDescent="0.3">
      <c r="A3341" t="s">
        <v>690</v>
      </c>
      <c r="B3341" t="s">
        <v>162</v>
      </c>
      <c r="C3341" t="s">
        <v>165</v>
      </c>
      <c r="D3341" t="s">
        <v>689</v>
      </c>
      <c r="E3341" t="s">
        <v>766</v>
      </c>
      <c r="F3341">
        <v>1</v>
      </c>
      <c r="G3341" s="308">
        <f>'BECA SUPERIOR'!G142</f>
        <v>0</v>
      </c>
      <c r="H3341" s="308">
        <f>'BECA SUPERIOR'!H142</f>
        <v>0</v>
      </c>
    </row>
    <row r="3342" spans="1:8" x14ac:dyDescent="0.3">
      <c r="A3342" t="s">
        <v>690</v>
      </c>
      <c r="B3342" t="s">
        <v>162</v>
      </c>
      <c r="C3342" t="s">
        <v>165</v>
      </c>
      <c r="D3342" t="s">
        <v>689</v>
      </c>
      <c r="E3342" t="s">
        <v>767</v>
      </c>
      <c r="F3342">
        <v>2</v>
      </c>
      <c r="G3342" s="308">
        <f>'BECA SUPERIOR'!J142</f>
        <v>0</v>
      </c>
      <c r="H3342" s="308">
        <f>'BECA SUPERIOR'!K142</f>
        <v>0</v>
      </c>
    </row>
    <row r="3343" spans="1:8" x14ac:dyDescent="0.3">
      <c r="A3343" t="s">
        <v>690</v>
      </c>
      <c r="B3343" t="s">
        <v>162</v>
      </c>
      <c r="C3343" t="s">
        <v>165</v>
      </c>
      <c r="D3343" t="s">
        <v>689</v>
      </c>
      <c r="E3343" t="s">
        <v>768</v>
      </c>
      <c r="F3343">
        <v>3</v>
      </c>
      <c r="G3343" s="308">
        <f>'BECA SUPERIOR'!M142</f>
        <v>0</v>
      </c>
      <c r="H3343" s="308">
        <f>'BECA SUPERIOR'!N142</f>
        <v>0</v>
      </c>
    </row>
    <row r="3344" spans="1:8" x14ac:dyDescent="0.3">
      <c r="A3344" t="s">
        <v>690</v>
      </c>
      <c r="B3344" t="s">
        <v>162</v>
      </c>
      <c r="C3344" t="s">
        <v>165</v>
      </c>
      <c r="D3344" t="s">
        <v>689</v>
      </c>
      <c r="E3344" t="s">
        <v>769</v>
      </c>
      <c r="F3344">
        <v>4</v>
      </c>
      <c r="G3344" s="308">
        <f>'BECA SUPERIOR'!P142</f>
        <v>12.24</v>
      </c>
      <c r="H3344" s="308">
        <f>'BECA SUPERIOR'!Q142</f>
        <v>30600</v>
      </c>
    </row>
    <row r="3345" spans="1:8" x14ac:dyDescent="0.3">
      <c r="A3345" t="s">
        <v>690</v>
      </c>
      <c r="B3345" t="s">
        <v>162</v>
      </c>
      <c r="C3345" t="s">
        <v>165</v>
      </c>
      <c r="D3345" t="s">
        <v>689</v>
      </c>
      <c r="E3345" t="s">
        <v>770</v>
      </c>
      <c r="F3345">
        <v>5</v>
      </c>
      <c r="G3345" s="308">
        <f>'BECA SUPERIOR'!S142</f>
        <v>0</v>
      </c>
      <c r="H3345" s="308">
        <f>'BECA SUPERIOR'!T142</f>
        <v>0</v>
      </c>
    </row>
    <row r="3346" spans="1:8" x14ac:dyDescent="0.3">
      <c r="A3346" t="s">
        <v>690</v>
      </c>
      <c r="B3346" t="s">
        <v>162</v>
      </c>
      <c r="C3346" t="s">
        <v>165</v>
      </c>
      <c r="D3346" t="s">
        <v>689</v>
      </c>
      <c r="E3346" t="s">
        <v>771</v>
      </c>
      <c r="F3346">
        <v>6</v>
      </c>
      <c r="G3346" s="308">
        <f>'BECA SUPERIOR'!V142</f>
        <v>0</v>
      </c>
      <c r="H3346" s="308">
        <f>'BECA SUPERIOR'!W142</f>
        <v>0</v>
      </c>
    </row>
    <row r="3347" spans="1:8" x14ac:dyDescent="0.3">
      <c r="A3347" t="s">
        <v>690</v>
      </c>
      <c r="B3347" t="s">
        <v>162</v>
      </c>
      <c r="C3347" t="s">
        <v>165</v>
      </c>
      <c r="D3347" t="s">
        <v>689</v>
      </c>
      <c r="E3347" t="s">
        <v>772</v>
      </c>
      <c r="F3347">
        <v>7</v>
      </c>
      <c r="G3347" s="308">
        <f>'BECA SUPERIOR'!Y142</f>
        <v>0</v>
      </c>
      <c r="H3347" s="308">
        <f>'BECA SUPERIOR'!Z142</f>
        <v>0</v>
      </c>
    </row>
    <row r="3348" spans="1:8" x14ac:dyDescent="0.3">
      <c r="A3348" t="s">
        <v>690</v>
      </c>
      <c r="B3348" t="s">
        <v>162</v>
      </c>
      <c r="C3348" t="s">
        <v>166</v>
      </c>
      <c r="D3348" t="s">
        <v>689</v>
      </c>
      <c r="E3348" t="s">
        <v>766</v>
      </c>
      <c r="F3348">
        <v>1</v>
      </c>
      <c r="G3348" s="308">
        <f>'BECA SUPERIOR'!G143</f>
        <v>0</v>
      </c>
      <c r="H3348" s="308">
        <f>'BECA SUPERIOR'!H143</f>
        <v>0</v>
      </c>
    </row>
    <row r="3349" spans="1:8" x14ac:dyDescent="0.3">
      <c r="A3349" t="s">
        <v>690</v>
      </c>
      <c r="B3349" t="s">
        <v>162</v>
      </c>
      <c r="C3349" t="s">
        <v>166</v>
      </c>
      <c r="D3349" t="s">
        <v>689</v>
      </c>
      <c r="E3349" t="s">
        <v>767</v>
      </c>
      <c r="F3349">
        <v>2</v>
      </c>
      <c r="G3349" s="308">
        <f>'BECA SUPERIOR'!J143</f>
        <v>0</v>
      </c>
      <c r="H3349" s="308">
        <f>'BECA SUPERIOR'!K143</f>
        <v>0</v>
      </c>
    </row>
    <row r="3350" spans="1:8" x14ac:dyDescent="0.3">
      <c r="A3350" t="s">
        <v>690</v>
      </c>
      <c r="B3350" t="s">
        <v>162</v>
      </c>
      <c r="C3350" t="s">
        <v>166</v>
      </c>
      <c r="D3350" t="s">
        <v>689</v>
      </c>
      <c r="E3350" t="s">
        <v>768</v>
      </c>
      <c r="F3350">
        <v>3</v>
      </c>
      <c r="G3350" s="308">
        <f>'BECA SUPERIOR'!M143</f>
        <v>0</v>
      </c>
      <c r="H3350" s="308">
        <f>'BECA SUPERIOR'!N143</f>
        <v>0</v>
      </c>
    </row>
    <row r="3351" spans="1:8" x14ac:dyDescent="0.3">
      <c r="A3351" t="s">
        <v>690</v>
      </c>
      <c r="B3351" t="s">
        <v>162</v>
      </c>
      <c r="C3351" t="s">
        <v>166</v>
      </c>
      <c r="D3351" t="s">
        <v>689</v>
      </c>
      <c r="E3351" t="s">
        <v>769</v>
      </c>
      <c r="F3351">
        <v>4</v>
      </c>
      <c r="G3351" s="308">
        <f>'BECA SUPERIOR'!P143</f>
        <v>3.6</v>
      </c>
      <c r="H3351" s="308">
        <f>'BECA SUPERIOR'!Q143</f>
        <v>9000</v>
      </c>
    </row>
    <row r="3352" spans="1:8" x14ac:dyDescent="0.3">
      <c r="A3352" t="s">
        <v>690</v>
      </c>
      <c r="B3352" t="s">
        <v>162</v>
      </c>
      <c r="C3352" t="s">
        <v>166</v>
      </c>
      <c r="D3352" t="s">
        <v>689</v>
      </c>
      <c r="E3352" t="s">
        <v>770</v>
      </c>
      <c r="F3352">
        <v>5</v>
      </c>
      <c r="G3352" s="308">
        <f>'BECA SUPERIOR'!S143</f>
        <v>0</v>
      </c>
      <c r="H3352" s="308">
        <f>'BECA SUPERIOR'!T143</f>
        <v>0</v>
      </c>
    </row>
    <row r="3353" spans="1:8" x14ac:dyDescent="0.3">
      <c r="A3353" t="s">
        <v>690</v>
      </c>
      <c r="B3353" t="s">
        <v>162</v>
      </c>
      <c r="C3353" t="s">
        <v>166</v>
      </c>
      <c r="D3353" t="s">
        <v>689</v>
      </c>
      <c r="E3353" t="s">
        <v>771</v>
      </c>
      <c r="F3353">
        <v>6</v>
      </c>
      <c r="G3353" s="308">
        <f>'BECA SUPERIOR'!V143</f>
        <v>0</v>
      </c>
      <c r="H3353" s="308">
        <f>'BECA SUPERIOR'!W143</f>
        <v>0</v>
      </c>
    </row>
    <row r="3354" spans="1:8" x14ac:dyDescent="0.3">
      <c r="A3354" t="s">
        <v>690</v>
      </c>
      <c r="B3354" t="s">
        <v>162</v>
      </c>
      <c r="C3354" t="s">
        <v>166</v>
      </c>
      <c r="D3354" t="s">
        <v>689</v>
      </c>
      <c r="E3354" t="s">
        <v>772</v>
      </c>
      <c r="F3354">
        <v>7</v>
      </c>
      <c r="G3354" s="308">
        <f>'BECA SUPERIOR'!Y143</f>
        <v>0</v>
      </c>
      <c r="H3354" s="308">
        <f>'BECA SUPERIOR'!Z143</f>
        <v>0</v>
      </c>
    </row>
    <row r="3355" spans="1:8" x14ac:dyDescent="0.3">
      <c r="A3355" t="s">
        <v>690</v>
      </c>
      <c r="B3355" t="s">
        <v>162</v>
      </c>
      <c r="C3355" t="s">
        <v>167</v>
      </c>
      <c r="D3355" t="s">
        <v>689</v>
      </c>
      <c r="E3355" t="s">
        <v>766</v>
      </c>
      <c r="F3355">
        <v>1</v>
      </c>
      <c r="G3355" s="308">
        <f>'BECA SUPERIOR'!G144</f>
        <v>0</v>
      </c>
      <c r="H3355" s="308">
        <f>'BECA SUPERIOR'!H144</f>
        <v>0</v>
      </c>
    </row>
    <row r="3356" spans="1:8" x14ac:dyDescent="0.3">
      <c r="A3356" t="s">
        <v>690</v>
      </c>
      <c r="B3356" t="s">
        <v>162</v>
      </c>
      <c r="C3356" t="s">
        <v>167</v>
      </c>
      <c r="D3356" t="s">
        <v>689</v>
      </c>
      <c r="E3356" t="s">
        <v>767</v>
      </c>
      <c r="F3356">
        <v>2</v>
      </c>
      <c r="G3356" s="308">
        <f>'BECA SUPERIOR'!J144</f>
        <v>0</v>
      </c>
      <c r="H3356" s="308">
        <f>'BECA SUPERIOR'!K144</f>
        <v>0</v>
      </c>
    </row>
    <row r="3357" spans="1:8" x14ac:dyDescent="0.3">
      <c r="A3357" t="s">
        <v>690</v>
      </c>
      <c r="B3357" t="s">
        <v>162</v>
      </c>
      <c r="C3357" t="s">
        <v>167</v>
      </c>
      <c r="D3357" t="s">
        <v>689</v>
      </c>
      <c r="E3357" t="s">
        <v>768</v>
      </c>
      <c r="F3357">
        <v>3</v>
      </c>
      <c r="G3357" s="308">
        <f>'BECA SUPERIOR'!M144</f>
        <v>0</v>
      </c>
      <c r="H3357" s="308">
        <f>'BECA SUPERIOR'!N144</f>
        <v>0</v>
      </c>
    </row>
    <row r="3358" spans="1:8" x14ac:dyDescent="0.3">
      <c r="A3358" t="s">
        <v>690</v>
      </c>
      <c r="B3358" t="s">
        <v>162</v>
      </c>
      <c r="C3358" t="s">
        <v>167</v>
      </c>
      <c r="D3358" t="s">
        <v>689</v>
      </c>
      <c r="E3358" t="s">
        <v>769</v>
      </c>
      <c r="F3358">
        <v>4</v>
      </c>
      <c r="G3358" s="308">
        <f>'BECA SUPERIOR'!P144</f>
        <v>3.6</v>
      </c>
      <c r="H3358" s="308">
        <f>'BECA SUPERIOR'!Q144</f>
        <v>9000</v>
      </c>
    </row>
    <row r="3359" spans="1:8" x14ac:dyDescent="0.3">
      <c r="A3359" t="s">
        <v>690</v>
      </c>
      <c r="B3359" t="s">
        <v>162</v>
      </c>
      <c r="C3359" t="s">
        <v>167</v>
      </c>
      <c r="D3359" t="s">
        <v>689</v>
      </c>
      <c r="E3359" t="s">
        <v>770</v>
      </c>
      <c r="F3359">
        <v>5</v>
      </c>
      <c r="G3359" s="308">
        <f>'BECA SUPERIOR'!S144</f>
        <v>0</v>
      </c>
      <c r="H3359" s="308">
        <f>'BECA SUPERIOR'!T144</f>
        <v>0</v>
      </c>
    </row>
    <row r="3360" spans="1:8" x14ac:dyDescent="0.3">
      <c r="A3360" t="s">
        <v>690</v>
      </c>
      <c r="B3360" t="s">
        <v>162</v>
      </c>
      <c r="C3360" t="s">
        <v>167</v>
      </c>
      <c r="D3360" t="s">
        <v>689</v>
      </c>
      <c r="E3360" t="s">
        <v>771</v>
      </c>
      <c r="F3360">
        <v>6</v>
      </c>
      <c r="G3360" s="308">
        <f>'BECA SUPERIOR'!V144</f>
        <v>0</v>
      </c>
      <c r="H3360" s="308">
        <f>'BECA SUPERIOR'!W144</f>
        <v>0</v>
      </c>
    </row>
    <row r="3361" spans="1:8" x14ac:dyDescent="0.3">
      <c r="A3361" t="s">
        <v>690</v>
      </c>
      <c r="B3361" t="s">
        <v>162</v>
      </c>
      <c r="C3361" t="s">
        <v>167</v>
      </c>
      <c r="D3361" t="s">
        <v>689</v>
      </c>
      <c r="E3361" t="s">
        <v>772</v>
      </c>
      <c r="F3361">
        <v>7</v>
      </c>
      <c r="G3361" s="308">
        <f>'BECA SUPERIOR'!Y144</f>
        <v>0</v>
      </c>
      <c r="H3361" s="308">
        <f>'BECA SUPERIOR'!Z144</f>
        <v>0</v>
      </c>
    </row>
    <row r="3362" spans="1:8" x14ac:dyDescent="0.3">
      <c r="A3362" t="s">
        <v>690</v>
      </c>
      <c r="B3362" t="s">
        <v>162</v>
      </c>
      <c r="C3362" t="s">
        <v>168</v>
      </c>
      <c r="D3362" t="s">
        <v>689</v>
      </c>
      <c r="E3362" t="s">
        <v>766</v>
      </c>
      <c r="F3362">
        <v>1</v>
      </c>
      <c r="G3362" s="308">
        <f>'BECA SUPERIOR'!G145</f>
        <v>0</v>
      </c>
      <c r="H3362" s="308">
        <f>'BECA SUPERIOR'!H145</f>
        <v>0</v>
      </c>
    </row>
    <row r="3363" spans="1:8" x14ac:dyDescent="0.3">
      <c r="A3363" t="s">
        <v>690</v>
      </c>
      <c r="B3363" t="s">
        <v>162</v>
      </c>
      <c r="C3363" t="s">
        <v>168</v>
      </c>
      <c r="D3363" t="s">
        <v>689</v>
      </c>
      <c r="E3363" t="s">
        <v>767</v>
      </c>
      <c r="F3363">
        <v>2</v>
      </c>
      <c r="G3363" s="308">
        <f>'BECA SUPERIOR'!J145</f>
        <v>0</v>
      </c>
      <c r="H3363" s="308">
        <f>'BECA SUPERIOR'!K145</f>
        <v>0</v>
      </c>
    </row>
    <row r="3364" spans="1:8" x14ac:dyDescent="0.3">
      <c r="A3364" t="s">
        <v>690</v>
      </c>
      <c r="B3364" t="s">
        <v>162</v>
      </c>
      <c r="C3364" t="s">
        <v>168</v>
      </c>
      <c r="D3364" t="s">
        <v>689</v>
      </c>
      <c r="E3364" t="s">
        <v>768</v>
      </c>
      <c r="F3364">
        <v>3</v>
      </c>
      <c r="G3364" s="308">
        <f>'BECA SUPERIOR'!M145</f>
        <v>0</v>
      </c>
      <c r="H3364" s="308">
        <f>'BECA SUPERIOR'!N145</f>
        <v>0</v>
      </c>
    </row>
    <row r="3365" spans="1:8" x14ac:dyDescent="0.3">
      <c r="A3365" t="s">
        <v>690</v>
      </c>
      <c r="B3365" t="s">
        <v>162</v>
      </c>
      <c r="C3365" t="s">
        <v>168</v>
      </c>
      <c r="D3365" t="s">
        <v>689</v>
      </c>
      <c r="E3365" t="s">
        <v>769</v>
      </c>
      <c r="F3365">
        <v>4</v>
      </c>
      <c r="G3365" s="308">
        <f>'BECA SUPERIOR'!P145</f>
        <v>4.32</v>
      </c>
      <c r="H3365" s="308">
        <f>'BECA SUPERIOR'!Q145</f>
        <v>10800</v>
      </c>
    </row>
    <row r="3366" spans="1:8" x14ac:dyDescent="0.3">
      <c r="A3366" t="s">
        <v>690</v>
      </c>
      <c r="B3366" t="s">
        <v>162</v>
      </c>
      <c r="C3366" t="s">
        <v>168</v>
      </c>
      <c r="D3366" t="s">
        <v>689</v>
      </c>
      <c r="E3366" t="s">
        <v>770</v>
      </c>
      <c r="F3366">
        <v>5</v>
      </c>
      <c r="G3366" s="308">
        <f>'BECA SUPERIOR'!S145</f>
        <v>0</v>
      </c>
      <c r="H3366" s="308">
        <f>'BECA SUPERIOR'!T145</f>
        <v>0</v>
      </c>
    </row>
    <row r="3367" spans="1:8" x14ac:dyDescent="0.3">
      <c r="A3367" t="s">
        <v>690</v>
      </c>
      <c r="B3367" t="s">
        <v>162</v>
      </c>
      <c r="C3367" t="s">
        <v>168</v>
      </c>
      <c r="D3367" t="s">
        <v>689</v>
      </c>
      <c r="E3367" t="s">
        <v>771</v>
      </c>
      <c r="F3367">
        <v>6</v>
      </c>
      <c r="G3367" s="308">
        <f>'BECA SUPERIOR'!V145</f>
        <v>0</v>
      </c>
      <c r="H3367" s="308">
        <f>'BECA SUPERIOR'!W145</f>
        <v>0</v>
      </c>
    </row>
    <row r="3368" spans="1:8" x14ac:dyDescent="0.3">
      <c r="A3368" t="s">
        <v>690</v>
      </c>
      <c r="B3368" t="s">
        <v>162</v>
      </c>
      <c r="C3368" t="s">
        <v>168</v>
      </c>
      <c r="D3368" t="s">
        <v>689</v>
      </c>
      <c r="E3368" t="s">
        <v>772</v>
      </c>
      <c r="F3368">
        <v>7</v>
      </c>
      <c r="G3368" s="308">
        <f>'BECA SUPERIOR'!Y145</f>
        <v>0</v>
      </c>
      <c r="H3368" s="308">
        <f>'BECA SUPERIOR'!Z145</f>
        <v>0</v>
      </c>
    </row>
    <row r="3369" spans="1:8" x14ac:dyDescent="0.3">
      <c r="A3369" t="s">
        <v>690</v>
      </c>
      <c r="B3369" t="s">
        <v>162</v>
      </c>
      <c r="C3369" t="s">
        <v>77</v>
      </c>
      <c r="D3369" t="s">
        <v>689</v>
      </c>
      <c r="E3369" t="s">
        <v>766</v>
      </c>
      <c r="F3369">
        <v>1</v>
      </c>
      <c r="G3369" s="308">
        <f>'BECA SUPERIOR'!G146</f>
        <v>0</v>
      </c>
      <c r="H3369" s="308">
        <f>'BECA SUPERIOR'!H146</f>
        <v>0</v>
      </c>
    </row>
    <row r="3370" spans="1:8" x14ac:dyDescent="0.3">
      <c r="A3370" t="s">
        <v>690</v>
      </c>
      <c r="B3370" t="s">
        <v>162</v>
      </c>
      <c r="C3370" t="s">
        <v>77</v>
      </c>
      <c r="D3370" t="s">
        <v>689</v>
      </c>
      <c r="E3370" t="s">
        <v>767</v>
      </c>
      <c r="F3370">
        <v>2</v>
      </c>
      <c r="G3370" s="308">
        <f>'BECA SUPERIOR'!J146</f>
        <v>0</v>
      </c>
      <c r="H3370" s="308">
        <f>'BECA SUPERIOR'!K146</f>
        <v>0</v>
      </c>
    </row>
    <row r="3371" spans="1:8" x14ac:dyDescent="0.3">
      <c r="A3371" t="s">
        <v>690</v>
      </c>
      <c r="B3371" t="s">
        <v>162</v>
      </c>
      <c r="C3371" t="s">
        <v>77</v>
      </c>
      <c r="D3371" t="s">
        <v>689</v>
      </c>
      <c r="E3371" t="s">
        <v>768</v>
      </c>
      <c r="F3371">
        <v>3</v>
      </c>
      <c r="G3371" s="308">
        <f>'BECA SUPERIOR'!M146</f>
        <v>0</v>
      </c>
      <c r="H3371" s="308">
        <f>'BECA SUPERIOR'!N146</f>
        <v>0</v>
      </c>
    </row>
    <row r="3372" spans="1:8" x14ac:dyDescent="0.3">
      <c r="A3372" t="s">
        <v>690</v>
      </c>
      <c r="B3372" t="s">
        <v>162</v>
      </c>
      <c r="C3372" t="s">
        <v>77</v>
      </c>
      <c r="D3372" t="s">
        <v>689</v>
      </c>
      <c r="E3372" t="s">
        <v>769</v>
      </c>
      <c r="F3372">
        <v>4</v>
      </c>
      <c r="G3372" s="308">
        <f>'BECA SUPERIOR'!P146</f>
        <v>2.16</v>
      </c>
      <c r="H3372" s="308">
        <f>'BECA SUPERIOR'!Q146</f>
        <v>5400</v>
      </c>
    </row>
    <row r="3373" spans="1:8" x14ac:dyDescent="0.3">
      <c r="A3373" t="s">
        <v>690</v>
      </c>
      <c r="B3373" t="s">
        <v>162</v>
      </c>
      <c r="C3373" t="s">
        <v>77</v>
      </c>
      <c r="D3373" t="s">
        <v>689</v>
      </c>
      <c r="E3373" t="s">
        <v>770</v>
      </c>
      <c r="F3373">
        <v>5</v>
      </c>
      <c r="G3373" s="308">
        <f>'BECA SUPERIOR'!S146</f>
        <v>0</v>
      </c>
      <c r="H3373" s="308">
        <f>'BECA SUPERIOR'!T146</f>
        <v>0</v>
      </c>
    </row>
    <row r="3374" spans="1:8" x14ac:dyDescent="0.3">
      <c r="A3374" t="s">
        <v>690</v>
      </c>
      <c r="B3374" t="s">
        <v>162</v>
      </c>
      <c r="C3374" t="s">
        <v>77</v>
      </c>
      <c r="D3374" t="s">
        <v>689</v>
      </c>
      <c r="E3374" t="s">
        <v>771</v>
      </c>
      <c r="F3374">
        <v>6</v>
      </c>
      <c r="G3374" s="308">
        <f>'BECA SUPERIOR'!V146</f>
        <v>0</v>
      </c>
      <c r="H3374" s="308">
        <f>'BECA SUPERIOR'!W146</f>
        <v>0</v>
      </c>
    </row>
    <row r="3375" spans="1:8" x14ac:dyDescent="0.3">
      <c r="A3375" t="s">
        <v>690</v>
      </c>
      <c r="B3375" t="s">
        <v>162</v>
      </c>
      <c r="C3375" t="s">
        <v>77</v>
      </c>
      <c r="D3375" t="s">
        <v>689</v>
      </c>
      <c r="E3375" t="s">
        <v>772</v>
      </c>
      <c r="F3375">
        <v>7</v>
      </c>
      <c r="G3375" s="308">
        <f>'BECA SUPERIOR'!Y146</f>
        <v>0</v>
      </c>
      <c r="H3375" s="308">
        <f>'BECA SUPERIOR'!Z146</f>
        <v>0</v>
      </c>
    </row>
    <row r="3376" spans="1:8" x14ac:dyDescent="0.3">
      <c r="A3376" t="s">
        <v>690</v>
      </c>
      <c r="B3376" t="s">
        <v>162</v>
      </c>
      <c r="C3376" t="s">
        <v>169</v>
      </c>
      <c r="D3376" t="s">
        <v>689</v>
      </c>
      <c r="E3376" t="s">
        <v>766</v>
      </c>
      <c r="F3376">
        <v>1</v>
      </c>
      <c r="G3376" s="308">
        <f>'BECA SUPERIOR'!G147</f>
        <v>0</v>
      </c>
      <c r="H3376" s="308">
        <f>'BECA SUPERIOR'!H147</f>
        <v>0</v>
      </c>
    </row>
    <row r="3377" spans="1:8" x14ac:dyDescent="0.3">
      <c r="A3377" t="s">
        <v>690</v>
      </c>
      <c r="B3377" t="s">
        <v>162</v>
      </c>
      <c r="C3377" t="s">
        <v>169</v>
      </c>
      <c r="D3377" t="s">
        <v>689</v>
      </c>
      <c r="E3377" t="s">
        <v>767</v>
      </c>
      <c r="F3377">
        <v>2</v>
      </c>
      <c r="G3377" s="308">
        <f>'BECA SUPERIOR'!J147</f>
        <v>0</v>
      </c>
      <c r="H3377" s="308">
        <f>'BECA SUPERIOR'!K147</f>
        <v>0</v>
      </c>
    </row>
    <row r="3378" spans="1:8" x14ac:dyDescent="0.3">
      <c r="A3378" t="s">
        <v>690</v>
      </c>
      <c r="B3378" t="s">
        <v>162</v>
      </c>
      <c r="C3378" t="s">
        <v>169</v>
      </c>
      <c r="D3378" t="s">
        <v>689</v>
      </c>
      <c r="E3378" t="s">
        <v>768</v>
      </c>
      <c r="F3378">
        <v>3</v>
      </c>
      <c r="G3378" s="308">
        <f>'BECA SUPERIOR'!M147</f>
        <v>0</v>
      </c>
      <c r="H3378" s="308">
        <f>'BECA SUPERIOR'!N147</f>
        <v>0</v>
      </c>
    </row>
    <row r="3379" spans="1:8" x14ac:dyDescent="0.3">
      <c r="A3379" t="s">
        <v>690</v>
      </c>
      <c r="B3379" t="s">
        <v>162</v>
      </c>
      <c r="C3379" t="s">
        <v>169</v>
      </c>
      <c r="D3379" t="s">
        <v>689</v>
      </c>
      <c r="E3379" t="s">
        <v>769</v>
      </c>
      <c r="F3379">
        <v>4</v>
      </c>
      <c r="G3379" s="308">
        <f>'BECA SUPERIOR'!P147</f>
        <v>5.04</v>
      </c>
      <c r="H3379" s="308">
        <f>'BECA SUPERIOR'!Q147</f>
        <v>12600</v>
      </c>
    </row>
    <row r="3380" spans="1:8" x14ac:dyDescent="0.3">
      <c r="A3380" t="s">
        <v>690</v>
      </c>
      <c r="B3380" t="s">
        <v>162</v>
      </c>
      <c r="C3380" t="s">
        <v>169</v>
      </c>
      <c r="D3380" t="s">
        <v>689</v>
      </c>
      <c r="E3380" t="s">
        <v>770</v>
      </c>
      <c r="F3380">
        <v>5</v>
      </c>
      <c r="G3380" s="308">
        <f>'BECA SUPERIOR'!S147</f>
        <v>0</v>
      </c>
      <c r="H3380" s="308">
        <f>'BECA SUPERIOR'!T147</f>
        <v>0</v>
      </c>
    </row>
    <row r="3381" spans="1:8" x14ac:dyDescent="0.3">
      <c r="A3381" t="s">
        <v>690</v>
      </c>
      <c r="B3381" t="s">
        <v>162</v>
      </c>
      <c r="C3381" t="s">
        <v>169</v>
      </c>
      <c r="D3381" t="s">
        <v>689</v>
      </c>
      <c r="E3381" t="s">
        <v>771</v>
      </c>
      <c r="F3381">
        <v>6</v>
      </c>
      <c r="G3381" s="308">
        <f>'BECA SUPERIOR'!V147</f>
        <v>0</v>
      </c>
      <c r="H3381" s="308">
        <f>'BECA SUPERIOR'!W147</f>
        <v>0</v>
      </c>
    </row>
    <row r="3382" spans="1:8" x14ac:dyDescent="0.3">
      <c r="A3382" t="s">
        <v>690</v>
      </c>
      <c r="B3382" t="s">
        <v>162</v>
      </c>
      <c r="C3382" t="s">
        <v>169</v>
      </c>
      <c r="D3382" t="s">
        <v>689</v>
      </c>
      <c r="E3382" t="s">
        <v>772</v>
      </c>
      <c r="F3382">
        <v>7</v>
      </c>
      <c r="G3382" s="308">
        <f>'BECA SUPERIOR'!Y147</f>
        <v>0</v>
      </c>
      <c r="H3382" s="308">
        <f>'BECA SUPERIOR'!Z147</f>
        <v>0</v>
      </c>
    </row>
    <row r="3383" spans="1:8" x14ac:dyDescent="0.3">
      <c r="A3383" t="s">
        <v>690</v>
      </c>
      <c r="B3383" t="s">
        <v>162</v>
      </c>
      <c r="C3383" t="s">
        <v>170</v>
      </c>
      <c r="D3383" t="s">
        <v>689</v>
      </c>
      <c r="E3383" t="s">
        <v>766</v>
      </c>
      <c r="F3383">
        <v>1</v>
      </c>
      <c r="G3383" s="308">
        <f>'BECA SUPERIOR'!G148</f>
        <v>0</v>
      </c>
      <c r="H3383" s="308">
        <f>'BECA SUPERIOR'!H148</f>
        <v>0</v>
      </c>
    </row>
    <row r="3384" spans="1:8" x14ac:dyDescent="0.3">
      <c r="A3384" t="s">
        <v>690</v>
      </c>
      <c r="B3384" t="s">
        <v>162</v>
      </c>
      <c r="C3384" t="s">
        <v>170</v>
      </c>
      <c r="D3384" t="s">
        <v>689</v>
      </c>
      <c r="E3384" t="s">
        <v>767</v>
      </c>
      <c r="F3384">
        <v>2</v>
      </c>
      <c r="G3384" s="308">
        <f>'BECA SUPERIOR'!J148</f>
        <v>0</v>
      </c>
      <c r="H3384" s="308">
        <f>'BECA SUPERIOR'!K148</f>
        <v>0</v>
      </c>
    </row>
    <row r="3385" spans="1:8" x14ac:dyDescent="0.3">
      <c r="A3385" t="s">
        <v>690</v>
      </c>
      <c r="B3385" t="s">
        <v>162</v>
      </c>
      <c r="C3385" t="s">
        <v>170</v>
      </c>
      <c r="D3385" t="s">
        <v>689</v>
      </c>
      <c r="E3385" t="s">
        <v>768</v>
      </c>
      <c r="F3385">
        <v>3</v>
      </c>
      <c r="G3385" s="308">
        <f>'BECA SUPERIOR'!M148</f>
        <v>0</v>
      </c>
      <c r="H3385" s="308">
        <f>'BECA SUPERIOR'!N148</f>
        <v>0</v>
      </c>
    </row>
    <row r="3386" spans="1:8" x14ac:dyDescent="0.3">
      <c r="A3386" t="s">
        <v>690</v>
      </c>
      <c r="B3386" t="s">
        <v>162</v>
      </c>
      <c r="C3386" t="s">
        <v>170</v>
      </c>
      <c r="D3386" t="s">
        <v>689</v>
      </c>
      <c r="E3386" t="s">
        <v>769</v>
      </c>
      <c r="F3386">
        <v>4</v>
      </c>
      <c r="G3386" s="308">
        <f>'BECA SUPERIOR'!P148</f>
        <v>5.76</v>
      </c>
      <c r="H3386" s="308">
        <f>'BECA SUPERIOR'!Q148</f>
        <v>14400</v>
      </c>
    </row>
    <row r="3387" spans="1:8" x14ac:dyDescent="0.3">
      <c r="A3387" t="s">
        <v>690</v>
      </c>
      <c r="B3387" t="s">
        <v>162</v>
      </c>
      <c r="C3387" t="s">
        <v>170</v>
      </c>
      <c r="D3387" t="s">
        <v>689</v>
      </c>
      <c r="E3387" t="s">
        <v>770</v>
      </c>
      <c r="F3387">
        <v>5</v>
      </c>
      <c r="G3387" s="308">
        <f>'BECA SUPERIOR'!S148</f>
        <v>0</v>
      </c>
      <c r="H3387" s="308">
        <f>'BECA SUPERIOR'!T148</f>
        <v>0</v>
      </c>
    </row>
    <row r="3388" spans="1:8" x14ac:dyDescent="0.3">
      <c r="A3388" t="s">
        <v>690</v>
      </c>
      <c r="B3388" t="s">
        <v>162</v>
      </c>
      <c r="C3388" t="s">
        <v>170</v>
      </c>
      <c r="D3388" t="s">
        <v>689</v>
      </c>
      <c r="E3388" t="s">
        <v>771</v>
      </c>
      <c r="F3388">
        <v>6</v>
      </c>
      <c r="G3388" s="308">
        <f>'BECA SUPERIOR'!V148</f>
        <v>0</v>
      </c>
      <c r="H3388" s="308">
        <f>'BECA SUPERIOR'!W148</f>
        <v>0</v>
      </c>
    </row>
    <row r="3389" spans="1:8" x14ac:dyDescent="0.3">
      <c r="A3389" t="s">
        <v>690</v>
      </c>
      <c r="B3389" t="s">
        <v>162</v>
      </c>
      <c r="C3389" t="s">
        <v>170</v>
      </c>
      <c r="D3389" t="s">
        <v>689</v>
      </c>
      <c r="E3389" t="s">
        <v>772</v>
      </c>
      <c r="F3389">
        <v>7</v>
      </c>
      <c r="G3389" s="308">
        <f>'BECA SUPERIOR'!Y148</f>
        <v>0</v>
      </c>
      <c r="H3389" s="308">
        <f>'BECA SUPERIOR'!Z148</f>
        <v>0</v>
      </c>
    </row>
    <row r="3390" spans="1:8" x14ac:dyDescent="0.3">
      <c r="A3390" t="s">
        <v>690</v>
      </c>
      <c r="B3390" t="s">
        <v>162</v>
      </c>
      <c r="C3390" t="s">
        <v>162</v>
      </c>
      <c r="D3390" t="s">
        <v>689</v>
      </c>
      <c r="E3390" t="s">
        <v>766</v>
      </c>
      <c r="F3390">
        <v>1</v>
      </c>
      <c r="G3390" s="308">
        <f>'BECA SUPERIOR'!G149</f>
        <v>0</v>
      </c>
      <c r="H3390" s="308">
        <f>'BECA SUPERIOR'!H149</f>
        <v>0</v>
      </c>
    </row>
    <row r="3391" spans="1:8" x14ac:dyDescent="0.3">
      <c r="A3391" t="s">
        <v>690</v>
      </c>
      <c r="B3391" t="s">
        <v>162</v>
      </c>
      <c r="C3391" t="s">
        <v>162</v>
      </c>
      <c r="D3391" t="s">
        <v>689</v>
      </c>
      <c r="E3391" t="s">
        <v>767</v>
      </c>
      <c r="F3391">
        <v>2</v>
      </c>
      <c r="G3391" s="308">
        <f>'BECA SUPERIOR'!J149</f>
        <v>0</v>
      </c>
      <c r="H3391" s="308">
        <f>'BECA SUPERIOR'!K149</f>
        <v>0</v>
      </c>
    </row>
    <row r="3392" spans="1:8" x14ac:dyDescent="0.3">
      <c r="A3392" t="s">
        <v>690</v>
      </c>
      <c r="B3392" t="s">
        <v>162</v>
      </c>
      <c r="C3392" t="s">
        <v>162</v>
      </c>
      <c r="D3392" t="s">
        <v>689</v>
      </c>
      <c r="E3392" t="s">
        <v>768</v>
      </c>
      <c r="F3392">
        <v>3</v>
      </c>
      <c r="G3392" s="308">
        <f>'BECA SUPERIOR'!M149</f>
        <v>0</v>
      </c>
      <c r="H3392" s="308">
        <f>'BECA SUPERIOR'!N149</f>
        <v>0</v>
      </c>
    </row>
    <row r="3393" spans="1:8" x14ac:dyDescent="0.3">
      <c r="A3393" t="s">
        <v>690</v>
      </c>
      <c r="B3393" t="s">
        <v>162</v>
      </c>
      <c r="C3393" t="s">
        <v>162</v>
      </c>
      <c r="D3393" t="s">
        <v>689</v>
      </c>
      <c r="E3393" t="s">
        <v>769</v>
      </c>
      <c r="F3393">
        <v>4</v>
      </c>
      <c r="G3393" s="308">
        <f>'BECA SUPERIOR'!P149</f>
        <v>14.4</v>
      </c>
      <c r="H3393" s="308">
        <f>'BECA SUPERIOR'!Q149</f>
        <v>36000</v>
      </c>
    </row>
    <row r="3394" spans="1:8" x14ac:dyDescent="0.3">
      <c r="A3394" t="s">
        <v>690</v>
      </c>
      <c r="B3394" t="s">
        <v>162</v>
      </c>
      <c r="C3394" t="s">
        <v>162</v>
      </c>
      <c r="D3394" t="s">
        <v>689</v>
      </c>
      <c r="E3394" t="s">
        <v>770</v>
      </c>
      <c r="F3394">
        <v>5</v>
      </c>
      <c r="G3394" s="308">
        <f>'BECA SUPERIOR'!S149</f>
        <v>0</v>
      </c>
      <c r="H3394" s="308">
        <f>'BECA SUPERIOR'!T149</f>
        <v>0</v>
      </c>
    </row>
    <row r="3395" spans="1:8" x14ac:dyDescent="0.3">
      <c r="A3395" t="s">
        <v>690</v>
      </c>
      <c r="B3395" t="s">
        <v>162</v>
      </c>
      <c r="C3395" t="s">
        <v>162</v>
      </c>
      <c r="D3395" t="s">
        <v>689</v>
      </c>
      <c r="E3395" t="s">
        <v>771</v>
      </c>
      <c r="F3395">
        <v>6</v>
      </c>
      <c r="G3395" s="308">
        <f>'BECA SUPERIOR'!V149</f>
        <v>0</v>
      </c>
      <c r="H3395" s="308">
        <f>'BECA SUPERIOR'!W149</f>
        <v>0</v>
      </c>
    </row>
    <row r="3396" spans="1:8" x14ac:dyDescent="0.3">
      <c r="A3396" t="s">
        <v>690</v>
      </c>
      <c r="B3396" t="s">
        <v>162</v>
      </c>
      <c r="C3396" t="s">
        <v>162</v>
      </c>
      <c r="D3396" t="s">
        <v>689</v>
      </c>
      <c r="E3396" t="s">
        <v>772</v>
      </c>
      <c r="F3396">
        <v>7</v>
      </c>
      <c r="G3396" s="308">
        <f>'BECA SUPERIOR'!Y149</f>
        <v>0</v>
      </c>
      <c r="H3396" s="308">
        <f>'BECA SUPERIOR'!Z149</f>
        <v>0</v>
      </c>
    </row>
    <row r="3397" spans="1:8" x14ac:dyDescent="0.3">
      <c r="A3397" t="s">
        <v>690</v>
      </c>
      <c r="B3397" t="s">
        <v>162</v>
      </c>
      <c r="C3397" t="s">
        <v>171</v>
      </c>
      <c r="D3397" t="s">
        <v>689</v>
      </c>
      <c r="E3397" t="s">
        <v>766</v>
      </c>
      <c r="F3397">
        <v>1</v>
      </c>
      <c r="G3397" s="308">
        <f>'BECA SUPERIOR'!G150</f>
        <v>0</v>
      </c>
      <c r="H3397" s="308">
        <f>'BECA SUPERIOR'!H150</f>
        <v>0</v>
      </c>
    </row>
    <row r="3398" spans="1:8" x14ac:dyDescent="0.3">
      <c r="A3398" t="s">
        <v>690</v>
      </c>
      <c r="B3398" t="s">
        <v>162</v>
      </c>
      <c r="C3398" t="s">
        <v>171</v>
      </c>
      <c r="D3398" t="s">
        <v>689</v>
      </c>
      <c r="E3398" t="s">
        <v>767</v>
      </c>
      <c r="F3398">
        <v>2</v>
      </c>
      <c r="G3398" s="308">
        <f>'BECA SUPERIOR'!J150</f>
        <v>0</v>
      </c>
      <c r="H3398" s="308">
        <f>'BECA SUPERIOR'!K150</f>
        <v>0</v>
      </c>
    </row>
    <row r="3399" spans="1:8" x14ac:dyDescent="0.3">
      <c r="A3399" t="s">
        <v>690</v>
      </c>
      <c r="B3399" t="s">
        <v>162</v>
      </c>
      <c r="C3399" t="s">
        <v>171</v>
      </c>
      <c r="D3399" t="s">
        <v>689</v>
      </c>
      <c r="E3399" t="s">
        <v>768</v>
      </c>
      <c r="F3399">
        <v>3</v>
      </c>
      <c r="G3399" s="308">
        <f>'BECA SUPERIOR'!M150</f>
        <v>0</v>
      </c>
      <c r="H3399" s="308">
        <f>'BECA SUPERIOR'!N150</f>
        <v>0</v>
      </c>
    </row>
    <row r="3400" spans="1:8" x14ac:dyDescent="0.3">
      <c r="A3400" t="s">
        <v>690</v>
      </c>
      <c r="B3400" t="s">
        <v>162</v>
      </c>
      <c r="C3400" t="s">
        <v>171</v>
      </c>
      <c r="D3400" t="s">
        <v>689</v>
      </c>
      <c r="E3400" t="s">
        <v>769</v>
      </c>
      <c r="F3400">
        <v>4</v>
      </c>
      <c r="G3400" s="308">
        <f>'BECA SUPERIOR'!P150</f>
        <v>0.72</v>
      </c>
      <c r="H3400" s="308">
        <f>'BECA SUPERIOR'!Q150</f>
        <v>1800</v>
      </c>
    </row>
    <row r="3401" spans="1:8" x14ac:dyDescent="0.3">
      <c r="A3401" t="s">
        <v>690</v>
      </c>
      <c r="B3401" t="s">
        <v>162</v>
      </c>
      <c r="C3401" t="s">
        <v>171</v>
      </c>
      <c r="D3401" t="s">
        <v>689</v>
      </c>
      <c r="E3401" t="s">
        <v>770</v>
      </c>
      <c r="F3401">
        <v>5</v>
      </c>
      <c r="G3401" s="308">
        <f>'BECA SUPERIOR'!S150</f>
        <v>0</v>
      </c>
      <c r="H3401" s="308">
        <f>'BECA SUPERIOR'!T150</f>
        <v>0</v>
      </c>
    </row>
    <row r="3402" spans="1:8" x14ac:dyDescent="0.3">
      <c r="A3402" t="s">
        <v>690</v>
      </c>
      <c r="B3402" t="s">
        <v>162</v>
      </c>
      <c r="C3402" t="s">
        <v>171</v>
      </c>
      <c r="D3402" t="s">
        <v>689</v>
      </c>
      <c r="E3402" t="s">
        <v>771</v>
      </c>
      <c r="F3402">
        <v>6</v>
      </c>
      <c r="G3402" s="308">
        <f>'BECA SUPERIOR'!V150</f>
        <v>0</v>
      </c>
      <c r="H3402" s="308">
        <f>'BECA SUPERIOR'!W150</f>
        <v>0</v>
      </c>
    </row>
    <row r="3403" spans="1:8" x14ac:dyDescent="0.3">
      <c r="A3403" t="s">
        <v>690</v>
      </c>
      <c r="B3403" t="s">
        <v>162</v>
      </c>
      <c r="C3403" t="s">
        <v>171</v>
      </c>
      <c r="D3403" t="s">
        <v>689</v>
      </c>
      <c r="E3403" t="s">
        <v>772</v>
      </c>
      <c r="F3403">
        <v>7</v>
      </c>
      <c r="G3403" s="308">
        <f>'BECA SUPERIOR'!Y150</f>
        <v>0</v>
      </c>
      <c r="H3403" s="308">
        <f>'BECA SUPERIOR'!Z150</f>
        <v>0</v>
      </c>
    </row>
    <row r="3404" spans="1:8" x14ac:dyDescent="0.3">
      <c r="A3404" t="s">
        <v>690</v>
      </c>
      <c r="B3404" t="s">
        <v>162</v>
      </c>
      <c r="C3404" t="s">
        <v>172</v>
      </c>
      <c r="D3404" t="s">
        <v>689</v>
      </c>
      <c r="E3404" t="s">
        <v>766</v>
      </c>
      <c r="F3404">
        <v>1</v>
      </c>
      <c r="G3404" s="308">
        <f>'BECA SUPERIOR'!G151</f>
        <v>0</v>
      </c>
      <c r="H3404" s="308">
        <f>'BECA SUPERIOR'!H151</f>
        <v>0</v>
      </c>
    </row>
    <row r="3405" spans="1:8" x14ac:dyDescent="0.3">
      <c r="A3405" t="s">
        <v>690</v>
      </c>
      <c r="B3405" t="s">
        <v>162</v>
      </c>
      <c r="C3405" t="s">
        <v>172</v>
      </c>
      <c r="D3405" t="s">
        <v>689</v>
      </c>
      <c r="E3405" t="s">
        <v>767</v>
      </c>
      <c r="F3405">
        <v>2</v>
      </c>
      <c r="G3405" s="308">
        <f>'BECA SUPERIOR'!J151</f>
        <v>0</v>
      </c>
      <c r="H3405" s="308">
        <f>'BECA SUPERIOR'!K151</f>
        <v>0</v>
      </c>
    </row>
    <row r="3406" spans="1:8" x14ac:dyDescent="0.3">
      <c r="A3406" t="s">
        <v>690</v>
      </c>
      <c r="B3406" t="s">
        <v>162</v>
      </c>
      <c r="C3406" t="s">
        <v>172</v>
      </c>
      <c r="D3406" t="s">
        <v>689</v>
      </c>
      <c r="E3406" t="s">
        <v>768</v>
      </c>
      <c r="F3406">
        <v>3</v>
      </c>
      <c r="G3406" s="308">
        <f>'BECA SUPERIOR'!M151</f>
        <v>0</v>
      </c>
      <c r="H3406" s="308">
        <f>'BECA SUPERIOR'!N151</f>
        <v>0</v>
      </c>
    </row>
    <row r="3407" spans="1:8" x14ac:dyDescent="0.3">
      <c r="A3407" t="s">
        <v>690</v>
      </c>
      <c r="B3407" t="s">
        <v>162</v>
      </c>
      <c r="C3407" t="s">
        <v>172</v>
      </c>
      <c r="D3407" t="s">
        <v>689</v>
      </c>
      <c r="E3407" t="s">
        <v>769</v>
      </c>
      <c r="F3407">
        <v>4</v>
      </c>
      <c r="G3407" s="308">
        <f>'BECA SUPERIOR'!P151</f>
        <v>3.6</v>
      </c>
      <c r="H3407" s="308">
        <f>'BECA SUPERIOR'!Q151</f>
        <v>9000</v>
      </c>
    </row>
    <row r="3408" spans="1:8" x14ac:dyDescent="0.3">
      <c r="A3408" t="s">
        <v>690</v>
      </c>
      <c r="B3408" t="s">
        <v>162</v>
      </c>
      <c r="C3408" t="s">
        <v>172</v>
      </c>
      <c r="D3408" t="s">
        <v>689</v>
      </c>
      <c r="E3408" t="s">
        <v>770</v>
      </c>
      <c r="F3408">
        <v>5</v>
      </c>
      <c r="G3408" s="308">
        <f>'BECA SUPERIOR'!S151</f>
        <v>0</v>
      </c>
      <c r="H3408" s="308">
        <f>'BECA SUPERIOR'!T151</f>
        <v>0</v>
      </c>
    </row>
    <row r="3409" spans="1:8" x14ac:dyDescent="0.3">
      <c r="A3409" t="s">
        <v>690</v>
      </c>
      <c r="B3409" t="s">
        <v>162</v>
      </c>
      <c r="C3409" t="s">
        <v>172</v>
      </c>
      <c r="D3409" t="s">
        <v>689</v>
      </c>
      <c r="E3409" t="s">
        <v>771</v>
      </c>
      <c r="F3409">
        <v>6</v>
      </c>
      <c r="G3409" s="308">
        <f>'BECA SUPERIOR'!V151</f>
        <v>0</v>
      </c>
      <c r="H3409" s="308">
        <f>'BECA SUPERIOR'!W151</f>
        <v>0</v>
      </c>
    </row>
    <row r="3410" spans="1:8" x14ac:dyDescent="0.3">
      <c r="A3410" t="s">
        <v>690</v>
      </c>
      <c r="B3410" t="s">
        <v>162</v>
      </c>
      <c r="C3410" t="s">
        <v>172</v>
      </c>
      <c r="D3410" t="s">
        <v>689</v>
      </c>
      <c r="E3410" t="s">
        <v>772</v>
      </c>
      <c r="F3410">
        <v>7</v>
      </c>
      <c r="G3410" s="308">
        <f>'BECA SUPERIOR'!Y151</f>
        <v>0</v>
      </c>
      <c r="H3410" s="308">
        <f>'BECA SUPERIOR'!Z151</f>
        <v>0</v>
      </c>
    </row>
    <row r="3411" spans="1:8" x14ac:dyDescent="0.3">
      <c r="A3411" t="s">
        <v>690</v>
      </c>
      <c r="B3411" t="s">
        <v>162</v>
      </c>
      <c r="C3411" t="s">
        <v>173</v>
      </c>
      <c r="D3411" t="s">
        <v>689</v>
      </c>
      <c r="E3411" t="s">
        <v>766</v>
      </c>
      <c r="F3411">
        <v>1</v>
      </c>
      <c r="G3411" s="308">
        <f>'BECA SUPERIOR'!G152</f>
        <v>0</v>
      </c>
      <c r="H3411" s="308">
        <f>'BECA SUPERIOR'!H152</f>
        <v>0</v>
      </c>
    </row>
    <row r="3412" spans="1:8" x14ac:dyDescent="0.3">
      <c r="A3412" t="s">
        <v>690</v>
      </c>
      <c r="B3412" t="s">
        <v>162</v>
      </c>
      <c r="C3412" t="s">
        <v>173</v>
      </c>
      <c r="D3412" t="s">
        <v>689</v>
      </c>
      <c r="E3412" t="s">
        <v>767</v>
      </c>
      <c r="F3412">
        <v>2</v>
      </c>
      <c r="G3412" s="308">
        <f>'BECA SUPERIOR'!J152</f>
        <v>0</v>
      </c>
      <c r="H3412" s="308">
        <f>'BECA SUPERIOR'!K152</f>
        <v>0</v>
      </c>
    </row>
    <row r="3413" spans="1:8" x14ac:dyDescent="0.3">
      <c r="A3413" t="s">
        <v>690</v>
      </c>
      <c r="B3413" t="s">
        <v>162</v>
      </c>
      <c r="C3413" t="s">
        <v>173</v>
      </c>
      <c r="D3413" t="s">
        <v>689</v>
      </c>
      <c r="E3413" t="s">
        <v>768</v>
      </c>
      <c r="F3413">
        <v>3</v>
      </c>
      <c r="G3413" s="308">
        <f>'BECA SUPERIOR'!M152</f>
        <v>0</v>
      </c>
      <c r="H3413" s="308">
        <f>'BECA SUPERIOR'!N152</f>
        <v>0</v>
      </c>
    </row>
    <row r="3414" spans="1:8" x14ac:dyDescent="0.3">
      <c r="A3414" t="s">
        <v>690</v>
      </c>
      <c r="B3414" t="s">
        <v>162</v>
      </c>
      <c r="C3414" t="s">
        <v>173</v>
      </c>
      <c r="D3414" t="s">
        <v>689</v>
      </c>
      <c r="E3414" t="s">
        <v>769</v>
      </c>
      <c r="F3414">
        <v>4</v>
      </c>
      <c r="G3414" s="308">
        <f>'BECA SUPERIOR'!P152</f>
        <v>2.88</v>
      </c>
      <c r="H3414" s="308">
        <f>'BECA SUPERIOR'!Q152</f>
        <v>7200</v>
      </c>
    </row>
    <row r="3415" spans="1:8" x14ac:dyDescent="0.3">
      <c r="A3415" t="s">
        <v>690</v>
      </c>
      <c r="B3415" t="s">
        <v>162</v>
      </c>
      <c r="C3415" t="s">
        <v>173</v>
      </c>
      <c r="D3415" t="s">
        <v>689</v>
      </c>
      <c r="E3415" t="s">
        <v>770</v>
      </c>
      <c r="F3415">
        <v>5</v>
      </c>
      <c r="G3415" s="308">
        <f>'BECA SUPERIOR'!S152</f>
        <v>0</v>
      </c>
      <c r="H3415" s="308">
        <f>'BECA SUPERIOR'!T152</f>
        <v>0</v>
      </c>
    </row>
    <row r="3416" spans="1:8" x14ac:dyDescent="0.3">
      <c r="A3416" t="s">
        <v>690</v>
      </c>
      <c r="B3416" t="s">
        <v>162</v>
      </c>
      <c r="C3416" t="s">
        <v>173</v>
      </c>
      <c r="D3416" t="s">
        <v>689</v>
      </c>
      <c r="E3416" t="s">
        <v>771</v>
      </c>
      <c r="F3416">
        <v>6</v>
      </c>
      <c r="G3416" s="308">
        <f>'BECA SUPERIOR'!V152</f>
        <v>0</v>
      </c>
      <c r="H3416" s="308">
        <f>'BECA SUPERIOR'!W152</f>
        <v>0</v>
      </c>
    </row>
    <row r="3417" spans="1:8" x14ac:dyDescent="0.3">
      <c r="A3417" t="s">
        <v>690</v>
      </c>
      <c r="B3417" t="s">
        <v>162</v>
      </c>
      <c r="C3417" t="s">
        <v>173</v>
      </c>
      <c r="D3417" t="s">
        <v>689</v>
      </c>
      <c r="E3417" t="s">
        <v>772</v>
      </c>
      <c r="F3417">
        <v>7</v>
      </c>
      <c r="G3417" s="308">
        <f>'BECA SUPERIOR'!Y152</f>
        <v>0</v>
      </c>
      <c r="H3417" s="308">
        <f>'BECA SUPERIOR'!Z152</f>
        <v>0</v>
      </c>
    </row>
    <row r="3418" spans="1:8" x14ac:dyDescent="0.3">
      <c r="A3418" t="s">
        <v>690</v>
      </c>
      <c r="B3418" t="s">
        <v>162</v>
      </c>
      <c r="C3418" t="s">
        <v>174</v>
      </c>
      <c r="D3418" t="s">
        <v>689</v>
      </c>
      <c r="E3418" t="s">
        <v>766</v>
      </c>
      <c r="F3418">
        <v>1</v>
      </c>
      <c r="G3418" s="308">
        <f>'BECA SUPERIOR'!G153</f>
        <v>0</v>
      </c>
      <c r="H3418" s="308">
        <f>'BECA SUPERIOR'!H153</f>
        <v>0</v>
      </c>
    </row>
    <row r="3419" spans="1:8" x14ac:dyDescent="0.3">
      <c r="A3419" t="s">
        <v>690</v>
      </c>
      <c r="B3419" t="s">
        <v>162</v>
      </c>
      <c r="C3419" t="s">
        <v>174</v>
      </c>
      <c r="D3419" t="s">
        <v>689</v>
      </c>
      <c r="E3419" t="s">
        <v>767</v>
      </c>
      <c r="F3419">
        <v>2</v>
      </c>
      <c r="G3419" s="308">
        <f>'BECA SUPERIOR'!J153</f>
        <v>0</v>
      </c>
      <c r="H3419" s="308">
        <f>'BECA SUPERIOR'!K153</f>
        <v>0</v>
      </c>
    </row>
    <row r="3420" spans="1:8" x14ac:dyDescent="0.3">
      <c r="A3420" t="s">
        <v>690</v>
      </c>
      <c r="B3420" t="s">
        <v>162</v>
      </c>
      <c r="C3420" t="s">
        <v>174</v>
      </c>
      <c r="D3420" t="s">
        <v>689</v>
      </c>
      <c r="E3420" t="s">
        <v>768</v>
      </c>
      <c r="F3420">
        <v>3</v>
      </c>
      <c r="G3420" s="308">
        <f>'BECA SUPERIOR'!M153</f>
        <v>0</v>
      </c>
      <c r="H3420" s="308">
        <f>'BECA SUPERIOR'!N153</f>
        <v>0</v>
      </c>
    </row>
    <row r="3421" spans="1:8" x14ac:dyDescent="0.3">
      <c r="A3421" t="s">
        <v>690</v>
      </c>
      <c r="B3421" t="s">
        <v>162</v>
      </c>
      <c r="C3421" t="s">
        <v>174</v>
      </c>
      <c r="D3421" t="s">
        <v>689</v>
      </c>
      <c r="E3421" t="s">
        <v>769</v>
      </c>
      <c r="F3421">
        <v>4</v>
      </c>
      <c r="G3421" s="308">
        <f>'BECA SUPERIOR'!P153</f>
        <v>2.16</v>
      </c>
      <c r="H3421" s="308">
        <f>'BECA SUPERIOR'!Q153</f>
        <v>5400</v>
      </c>
    </row>
    <row r="3422" spans="1:8" x14ac:dyDescent="0.3">
      <c r="A3422" t="s">
        <v>690</v>
      </c>
      <c r="B3422" t="s">
        <v>162</v>
      </c>
      <c r="C3422" t="s">
        <v>174</v>
      </c>
      <c r="D3422" t="s">
        <v>689</v>
      </c>
      <c r="E3422" t="s">
        <v>770</v>
      </c>
      <c r="F3422">
        <v>5</v>
      </c>
      <c r="G3422" s="308">
        <f>'BECA SUPERIOR'!S153</f>
        <v>0</v>
      </c>
      <c r="H3422" s="308">
        <f>'BECA SUPERIOR'!T153</f>
        <v>0</v>
      </c>
    </row>
    <row r="3423" spans="1:8" x14ac:dyDescent="0.3">
      <c r="A3423" t="s">
        <v>690</v>
      </c>
      <c r="B3423" t="s">
        <v>162</v>
      </c>
      <c r="C3423" t="s">
        <v>174</v>
      </c>
      <c r="D3423" t="s">
        <v>689</v>
      </c>
      <c r="E3423" t="s">
        <v>771</v>
      </c>
      <c r="F3423">
        <v>6</v>
      </c>
      <c r="G3423" s="308">
        <f>'BECA SUPERIOR'!V153</f>
        <v>0</v>
      </c>
      <c r="H3423" s="308">
        <f>'BECA SUPERIOR'!W153</f>
        <v>0</v>
      </c>
    </row>
    <row r="3424" spans="1:8" x14ac:dyDescent="0.3">
      <c r="A3424" t="s">
        <v>690</v>
      </c>
      <c r="B3424" t="s">
        <v>162</v>
      </c>
      <c r="C3424" t="s">
        <v>174</v>
      </c>
      <c r="D3424" t="s">
        <v>689</v>
      </c>
      <c r="E3424" t="s">
        <v>772</v>
      </c>
      <c r="F3424">
        <v>7</v>
      </c>
      <c r="G3424" s="308">
        <f>'BECA SUPERIOR'!Y153</f>
        <v>0</v>
      </c>
      <c r="H3424" s="308">
        <f>'BECA SUPERIOR'!Z153</f>
        <v>0</v>
      </c>
    </row>
    <row r="3425" spans="1:8" x14ac:dyDescent="0.3">
      <c r="A3425" t="s">
        <v>690</v>
      </c>
      <c r="B3425" t="s">
        <v>162</v>
      </c>
      <c r="C3425" t="s">
        <v>175</v>
      </c>
      <c r="D3425" t="s">
        <v>689</v>
      </c>
      <c r="E3425" t="s">
        <v>766</v>
      </c>
      <c r="F3425">
        <v>1</v>
      </c>
      <c r="G3425" s="308">
        <f>'BECA SUPERIOR'!G154</f>
        <v>0</v>
      </c>
      <c r="H3425" s="308">
        <f>'BECA SUPERIOR'!H154</f>
        <v>0</v>
      </c>
    </row>
    <row r="3426" spans="1:8" x14ac:dyDescent="0.3">
      <c r="A3426" t="s">
        <v>690</v>
      </c>
      <c r="B3426" t="s">
        <v>162</v>
      </c>
      <c r="C3426" t="s">
        <v>175</v>
      </c>
      <c r="D3426" t="s">
        <v>689</v>
      </c>
      <c r="E3426" t="s">
        <v>767</v>
      </c>
      <c r="F3426">
        <v>2</v>
      </c>
      <c r="G3426" s="308">
        <f>'BECA SUPERIOR'!J154</f>
        <v>0</v>
      </c>
      <c r="H3426" s="308">
        <f>'BECA SUPERIOR'!K154</f>
        <v>0</v>
      </c>
    </row>
    <row r="3427" spans="1:8" x14ac:dyDescent="0.3">
      <c r="A3427" t="s">
        <v>690</v>
      </c>
      <c r="B3427" t="s">
        <v>162</v>
      </c>
      <c r="C3427" t="s">
        <v>175</v>
      </c>
      <c r="D3427" t="s">
        <v>689</v>
      </c>
      <c r="E3427" t="s">
        <v>768</v>
      </c>
      <c r="F3427">
        <v>3</v>
      </c>
      <c r="G3427" s="308">
        <f>'BECA SUPERIOR'!M154</f>
        <v>0</v>
      </c>
      <c r="H3427" s="308">
        <f>'BECA SUPERIOR'!N154</f>
        <v>0</v>
      </c>
    </row>
    <row r="3428" spans="1:8" x14ac:dyDescent="0.3">
      <c r="A3428" t="s">
        <v>690</v>
      </c>
      <c r="B3428" t="s">
        <v>162</v>
      </c>
      <c r="C3428" t="s">
        <v>175</v>
      </c>
      <c r="D3428" t="s">
        <v>689</v>
      </c>
      <c r="E3428" t="s">
        <v>769</v>
      </c>
      <c r="F3428">
        <v>4</v>
      </c>
      <c r="G3428" s="308">
        <f>'BECA SUPERIOR'!P154</f>
        <v>1.44</v>
      </c>
      <c r="H3428" s="308">
        <f>'BECA SUPERIOR'!Q154</f>
        <v>3600</v>
      </c>
    </row>
    <row r="3429" spans="1:8" x14ac:dyDescent="0.3">
      <c r="A3429" t="s">
        <v>690</v>
      </c>
      <c r="B3429" t="s">
        <v>162</v>
      </c>
      <c r="C3429" t="s">
        <v>175</v>
      </c>
      <c r="D3429" t="s">
        <v>689</v>
      </c>
      <c r="E3429" t="s">
        <v>770</v>
      </c>
      <c r="F3429">
        <v>5</v>
      </c>
      <c r="G3429" s="308">
        <f>'BECA SUPERIOR'!S154</f>
        <v>0</v>
      </c>
      <c r="H3429" s="308">
        <f>'BECA SUPERIOR'!T154</f>
        <v>0</v>
      </c>
    </row>
    <row r="3430" spans="1:8" x14ac:dyDescent="0.3">
      <c r="A3430" t="s">
        <v>690</v>
      </c>
      <c r="B3430" t="s">
        <v>162</v>
      </c>
      <c r="C3430" t="s">
        <v>175</v>
      </c>
      <c r="D3430" t="s">
        <v>689</v>
      </c>
      <c r="E3430" t="s">
        <v>771</v>
      </c>
      <c r="F3430">
        <v>6</v>
      </c>
      <c r="G3430" s="308">
        <f>'BECA SUPERIOR'!V154</f>
        <v>0</v>
      </c>
      <c r="H3430" s="308">
        <f>'BECA SUPERIOR'!W154</f>
        <v>0</v>
      </c>
    </row>
    <row r="3431" spans="1:8" x14ac:dyDescent="0.3">
      <c r="A3431" t="s">
        <v>690</v>
      </c>
      <c r="B3431" t="s">
        <v>162</v>
      </c>
      <c r="C3431" t="s">
        <v>175</v>
      </c>
      <c r="D3431" t="s">
        <v>689</v>
      </c>
      <c r="E3431" t="s">
        <v>772</v>
      </c>
      <c r="F3431">
        <v>7</v>
      </c>
      <c r="G3431" s="308">
        <f>'BECA SUPERIOR'!Y154</f>
        <v>0</v>
      </c>
      <c r="H3431" s="308">
        <f>'BECA SUPERIOR'!Z154</f>
        <v>0</v>
      </c>
    </row>
    <row r="3432" spans="1:8" x14ac:dyDescent="0.3">
      <c r="A3432" t="s">
        <v>690</v>
      </c>
      <c r="B3432" t="s">
        <v>162</v>
      </c>
      <c r="C3432" t="s">
        <v>176</v>
      </c>
      <c r="D3432" t="s">
        <v>689</v>
      </c>
      <c r="E3432" t="s">
        <v>766</v>
      </c>
      <c r="F3432">
        <v>1</v>
      </c>
      <c r="G3432" s="308">
        <f>'BECA SUPERIOR'!G155</f>
        <v>0</v>
      </c>
      <c r="H3432" s="308">
        <f>'BECA SUPERIOR'!H155</f>
        <v>0</v>
      </c>
    </row>
    <row r="3433" spans="1:8" x14ac:dyDescent="0.3">
      <c r="A3433" t="s">
        <v>690</v>
      </c>
      <c r="B3433" t="s">
        <v>162</v>
      </c>
      <c r="C3433" t="s">
        <v>176</v>
      </c>
      <c r="D3433" t="s">
        <v>689</v>
      </c>
      <c r="E3433" t="s">
        <v>767</v>
      </c>
      <c r="F3433">
        <v>2</v>
      </c>
      <c r="G3433" s="308">
        <f>'BECA SUPERIOR'!J155</f>
        <v>0</v>
      </c>
      <c r="H3433" s="308">
        <f>'BECA SUPERIOR'!K155</f>
        <v>0</v>
      </c>
    </row>
    <row r="3434" spans="1:8" x14ac:dyDescent="0.3">
      <c r="A3434" t="s">
        <v>690</v>
      </c>
      <c r="B3434" t="s">
        <v>162</v>
      </c>
      <c r="C3434" t="s">
        <v>176</v>
      </c>
      <c r="D3434" t="s">
        <v>689</v>
      </c>
      <c r="E3434" t="s">
        <v>768</v>
      </c>
      <c r="F3434">
        <v>3</v>
      </c>
      <c r="G3434" s="308">
        <f>'BECA SUPERIOR'!M155</f>
        <v>0</v>
      </c>
      <c r="H3434" s="308">
        <f>'BECA SUPERIOR'!N155</f>
        <v>0</v>
      </c>
    </row>
    <row r="3435" spans="1:8" x14ac:dyDescent="0.3">
      <c r="A3435" t="s">
        <v>690</v>
      </c>
      <c r="B3435" t="s">
        <v>162</v>
      </c>
      <c r="C3435" t="s">
        <v>176</v>
      </c>
      <c r="D3435" t="s">
        <v>689</v>
      </c>
      <c r="E3435" t="s">
        <v>769</v>
      </c>
      <c r="F3435">
        <v>4</v>
      </c>
      <c r="G3435" s="308">
        <f>'BECA SUPERIOR'!P155</f>
        <v>2.88</v>
      </c>
      <c r="H3435" s="308">
        <f>'BECA SUPERIOR'!Q155</f>
        <v>7200</v>
      </c>
    </row>
    <row r="3436" spans="1:8" x14ac:dyDescent="0.3">
      <c r="A3436" t="s">
        <v>690</v>
      </c>
      <c r="B3436" t="s">
        <v>162</v>
      </c>
      <c r="C3436" t="s">
        <v>176</v>
      </c>
      <c r="D3436" t="s">
        <v>689</v>
      </c>
      <c r="E3436" t="s">
        <v>770</v>
      </c>
      <c r="F3436">
        <v>5</v>
      </c>
      <c r="G3436" s="308">
        <f>'BECA SUPERIOR'!S155</f>
        <v>0</v>
      </c>
      <c r="H3436" s="308">
        <f>'BECA SUPERIOR'!T155</f>
        <v>0</v>
      </c>
    </row>
    <row r="3437" spans="1:8" x14ac:dyDescent="0.3">
      <c r="A3437" t="s">
        <v>690</v>
      </c>
      <c r="B3437" t="s">
        <v>162</v>
      </c>
      <c r="C3437" t="s">
        <v>176</v>
      </c>
      <c r="D3437" t="s">
        <v>689</v>
      </c>
      <c r="E3437" t="s">
        <v>771</v>
      </c>
      <c r="F3437">
        <v>6</v>
      </c>
      <c r="G3437" s="308">
        <f>'BECA SUPERIOR'!V155</f>
        <v>0</v>
      </c>
      <c r="H3437" s="308">
        <f>'BECA SUPERIOR'!W155</f>
        <v>0</v>
      </c>
    </row>
    <row r="3438" spans="1:8" x14ac:dyDescent="0.3">
      <c r="A3438" t="s">
        <v>690</v>
      </c>
      <c r="B3438" t="s">
        <v>162</v>
      </c>
      <c r="C3438" t="s">
        <v>176</v>
      </c>
      <c r="D3438" t="s">
        <v>689</v>
      </c>
      <c r="E3438" t="s">
        <v>772</v>
      </c>
      <c r="F3438">
        <v>7</v>
      </c>
      <c r="G3438" s="308">
        <f>'BECA SUPERIOR'!Y155</f>
        <v>0</v>
      </c>
      <c r="H3438" s="308">
        <f>'BECA SUPERIOR'!Z155</f>
        <v>0</v>
      </c>
    </row>
    <row r="3439" spans="1:8" x14ac:dyDescent="0.3">
      <c r="A3439" t="s">
        <v>690</v>
      </c>
      <c r="B3439" t="s">
        <v>162</v>
      </c>
      <c r="C3439" t="s">
        <v>177</v>
      </c>
      <c r="D3439" t="s">
        <v>689</v>
      </c>
      <c r="E3439" t="s">
        <v>766</v>
      </c>
      <c r="F3439">
        <v>1</v>
      </c>
      <c r="G3439" s="308">
        <f>'BECA SUPERIOR'!G156</f>
        <v>0</v>
      </c>
      <c r="H3439" s="308">
        <f>'BECA SUPERIOR'!H156</f>
        <v>0</v>
      </c>
    </row>
    <row r="3440" spans="1:8" x14ac:dyDescent="0.3">
      <c r="A3440" t="s">
        <v>690</v>
      </c>
      <c r="B3440" t="s">
        <v>162</v>
      </c>
      <c r="C3440" t="s">
        <v>177</v>
      </c>
      <c r="D3440" t="s">
        <v>689</v>
      </c>
      <c r="E3440" t="s">
        <v>767</v>
      </c>
      <c r="F3440">
        <v>2</v>
      </c>
      <c r="G3440" s="308">
        <f>'BECA SUPERIOR'!J156</f>
        <v>0</v>
      </c>
      <c r="H3440" s="308">
        <f>'BECA SUPERIOR'!K156</f>
        <v>0</v>
      </c>
    </row>
    <row r="3441" spans="1:8" x14ac:dyDescent="0.3">
      <c r="A3441" t="s">
        <v>690</v>
      </c>
      <c r="B3441" t="s">
        <v>162</v>
      </c>
      <c r="C3441" t="s">
        <v>177</v>
      </c>
      <c r="D3441" t="s">
        <v>689</v>
      </c>
      <c r="E3441" t="s">
        <v>768</v>
      </c>
      <c r="F3441">
        <v>3</v>
      </c>
      <c r="G3441" s="308">
        <f>'BECA SUPERIOR'!M156</f>
        <v>0</v>
      </c>
      <c r="H3441" s="308">
        <f>'BECA SUPERIOR'!N156</f>
        <v>0</v>
      </c>
    </row>
    <row r="3442" spans="1:8" x14ac:dyDescent="0.3">
      <c r="A3442" t="s">
        <v>690</v>
      </c>
      <c r="B3442" t="s">
        <v>162</v>
      </c>
      <c r="C3442" t="s">
        <v>177</v>
      </c>
      <c r="D3442" t="s">
        <v>689</v>
      </c>
      <c r="E3442" t="s">
        <v>769</v>
      </c>
      <c r="F3442">
        <v>4</v>
      </c>
      <c r="G3442" s="308">
        <f>'BECA SUPERIOR'!P156</f>
        <v>5.04</v>
      </c>
      <c r="H3442" s="308">
        <f>'BECA SUPERIOR'!Q156</f>
        <v>12600</v>
      </c>
    </row>
    <row r="3443" spans="1:8" x14ac:dyDescent="0.3">
      <c r="A3443" t="s">
        <v>690</v>
      </c>
      <c r="B3443" t="s">
        <v>162</v>
      </c>
      <c r="C3443" t="s">
        <v>177</v>
      </c>
      <c r="D3443" t="s">
        <v>689</v>
      </c>
      <c r="E3443" t="s">
        <v>770</v>
      </c>
      <c r="F3443">
        <v>5</v>
      </c>
      <c r="G3443" s="308">
        <f>'BECA SUPERIOR'!S156</f>
        <v>0</v>
      </c>
      <c r="H3443" s="308">
        <f>'BECA SUPERIOR'!T156</f>
        <v>0</v>
      </c>
    </row>
    <row r="3444" spans="1:8" x14ac:dyDescent="0.3">
      <c r="A3444" t="s">
        <v>690</v>
      </c>
      <c r="B3444" t="s">
        <v>162</v>
      </c>
      <c r="C3444" t="s">
        <v>177</v>
      </c>
      <c r="D3444" t="s">
        <v>689</v>
      </c>
      <c r="E3444" t="s">
        <v>771</v>
      </c>
      <c r="F3444">
        <v>6</v>
      </c>
      <c r="G3444" s="308">
        <f>'BECA SUPERIOR'!V156</f>
        <v>0</v>
      </c>
      <c r="H3444" s="308">
        <f>'BECA SUPERIOR'!W156</f>
        <v>0</v>
      </c>
    </row>
    <row r="3445" spans="1:8" x14ac:dyDescent="0.3">
      <c r="A3445" t="s">
        <v>690</v>
      </c>
      <c r="B3445" t="s">
        <v>162</v>
      </c>
      <c r="C3445" t="s">
        <v>177</v>
      </c>
      <c r="D3445" t="s">
        <v>689</v>
      </c>
      <c r="E3445" t="s">
        <v>772</v>
      </c>
      <c r="F3445">
        <v>7</v>
      </c>
      <c r="G3445" s="308">
        <f>'BECA SUPERIOR'!Y156</f>
        <v>0</v>
      </c>
      <c r="H3445" s="308">
        <f>'BECA SUPERIOR'!Z156</f>
        <v>0</v>
      </c>
    </row>
    <row r="3446" spans="1:8" x14ac:dyDescent="0.3">
      <c r="A3446" t="s">
        <v>690</v>
      </c>
      <c r="B3446" t="s">
        <v>178</v>
      </c>
      <c r="C3446" t="s">
        <v>179</v>
      </c>
      <c r="D3446" t="s">
        <v>689</v>
      </c>
      <c r="E3446" t="s">
        <v>766</v>
      </c>
      <c r="F3446">
        <v>1</v>
      </c>
      <c r="G3446" s="308">
        <f>'BECA SUPERIOR'!G157</f>
        <v>0</v>
      </c>
      <c r="H3446" s="308">
        <f>'BECA SUPERIOR'!H157</f>
        <v>0</v>
      </c>
    </row>
    <row r="3447" spans="1:8" x14ac:dyDescent="0.3">
      <c r="A3447" t="s">
        <v>690</v>
      </c>
      <c r="B3447" t="s">
        <v>178</v>
      </c>
      <c r="C3447" t="s">
        <v>179</v>
      </c>
      <c r="D3447" t="s">
        <v>689</v>
      </c>
      <c r="E3447" t="s">
        <v>767</v>
      </c>
      <c r="F3447">
        <v>2</v>
      </c>
      <c r="G3447" s="308">
        <f>'BECA SUPERIOR'!J157</f>
        <v>0</v>
      </c>
      <c r="H3447" s="308">
        <f>'BECA SUPERIOR'!K157</f>
        <v>0</v>
      </c>
    </row>
    <row r="3448" spans="1:8" x14ac:dyDescent="0.3">
      <c r="A3448" t="s">
        <v>690</v>
      </c>
      <c r="B3448" t="s">
        <v>178</v>
      </c>
      <c r="C3448" t="s">
        <v>179</v>
      </c>
      <c r="D3448" t="s">
        <v>689</v>
      </c>
      <c r="E3448" t="s">
        <v>768</v>
      </c>
      <c r="F3448">
        <v>3</v>
      </c>
      <c r="G3448" s="308">
        <f>'BECA SUPERIOR'!M157</f>
        <v>0</v>
      </c>
      <c r="H3448" s="308">
        <f>'BECA SUPERIOR'!N157</f>
        <v>0</v>
      </c>
    </row>
    <row r="3449" spans="1:8" x14ac:dyDescent="0.3">
      <c r="A3449" t="s">
        <v>690</v>
      </c>
      <c r="B3449" t="s">
        <v>178</v>
      </c>
      <c r="C3449" t="s">
        <v>179</v>
      </c>
      <c r="D3449" t="s">
        <v>689</v>
      </c>
      <c r="E3449" t="s">
        <v>769</v>
      </c>
      <c r="F3449">
        <v>4</v>
      </c>
      <c r="G3449" s="308">
        <f>'BECA SUPERIOR'!P157</f>
        <v>4.32</v>
      </c>
      <c r="H3449" s="308">
        <f>'BECA SUPERIOR'!Q157</f>
        <v>10800</v>
      </c>
    </row>
    <row r="3450" spans="1:8" x14ac:dyDescent="0.3">
      <c r="A3450" t="s">
        <v>690</v>
      </c>
      <c r="B3450" t="s">
        <v>178</v>
      </c>
      <c r="C3450" t="s">
        <v>179</v>
      </c>
      <c r="D3450" t="s">
        <v>689</v>
      </c>
      <c r="E3450" t="s">
        <v>770</v>
      </c>
      <c r="F3450">
        <v>5</v>
      </c>
      <c r="G3450" s="308">
        <f>'BECA SUPERIOR'!S157</f>
        <v>0</v>
      </c>
      <c r="H3450" s="308">
        <f>'BECA SUPERIOR'!T157</f>
        <v>0</v>
      </c>
    </row>
    <row r="3451" spans="1:8" x14ac:dyDescent="0.3">
      <c r="A3451" t="s">
        <v>690</v>
      </c>
      <c r="B3451" t="s">
        <v>178</v>
      </c>
      <c r="C3451" t="s">
        <v>179</v>
      </c>
      <c r="D3451" t="s">
        <v>689</v>
      </c>
      <c r="E3451" t="s">
        <v>771</v>
      </c>
      <c r="F3451">
        <v>6</v>
      </c>
      <c r="G3451" s="308">
        <f>'BECA SUPERIOR'!V157</f>
        <v>0</v>
      </c>
      <c r="H3451" s="308">
        <f>'BECA SUPERIOR'!W157</f>
        <v>0</v>
      </c>
    </row>
    <row r="3452" spans="1:8" x14ac:dyDescent="0.3">
      <c r="A3452" t="s">
        <v>690</v>
      </c>
      <c r="B3452" t="s">
        <v>178</v>
      </c>
      <c r="C3452" t="s">
        <v>179</v>
      </c>
      <c r="D3452" t="s">
        <v>689</v>
      </c>
      <c r="E3452" t="s">
        <v>772</v>
      </c>
      <c r="F3452">
        <v>7</v>
      </c>
      <c r="G3452" s="308">
        <f>'BECA SUPERIOR'!Y157</f>
        <v>0</v>
      </c>
      <c r="H3452" s="308">
        <f>'BECA SUPERIOR'!Z157</f>
        <v>0</v>
      </c>
    </row>
    <row r="3453" spans="1:8" x14ac:dyDescent="0.3">
      <c r="A3453" t="s">
        <v>690</v>
      </c>
      <c r="B3453" t="s">
        <v>178</v>
      </c>
      <c r="C3453" t="s">
        <v>180</v>
      </c>
      <c r="D3453" t="s">
        <v>689</v>
      </c>
      <c r="E3453" t="s">
        <v>766</v>
      </c>
      <c r="F3453">
        <v>1</v>
      </c>
      <c r="G3453" s="308">
        <f>'BECA SUPERIOR'!G158</f>
        <v>0</v>
      </c>
      <c r="H3453" s="308">
        <f>'BECA SUPERIOR'!H158</f>
        <v>0</v>
      </c>
    </row>
    <row r="3454" spans="1:8" x14ac:dyDescent="0.3">
      <c r="A3454" t="s">
        <v>690</v>
      </c>
      <c r="B3454" t="s">
        <v>178</v>
      </c>
      <c r="C3454" t="s">
        <v>180</v>
      </c>
      <c r="D3454" t="s">
        <v>689</v>
      </c>
      <c r="E3454" t="s">
        <v>767</v>
      </c>
      <c r="F3454">
        <v>2</v>
      </c>
      <c r="G3454" s="308">
        <f>'BECA SUPERIOR'!J158</f>
        <v>0</v>
      </c>
      <c r="H3454" s="308">
        <f>'BECA SUPERIOR'!K158</f>
        <v>0</v>
      </c>
    </row>
    <row r="3455" spans="1:8" x14ac:dyDescent="0.3">
      <c r="A3455" t="s">
        <v>690</v>
      </c>
      <c r="B3455" t="s">
        <v>178</v>
      </c>
      <c r="C3455" t="s">
        <v>180</v>
      </c>
      <c r="D3455" t="s">
        <v>689</v>
      </c>
      <c r="E3455" t="s">
        <v>768</v>
      </c>
      <c r="F3455">
        <v>3</v>
      </c>
      <c r="G3455" s="308">
        <f>'BECA SUPERIOR'!M158</f>
        <v>0</v>
      </c>
      <c r="H3455" s="308">
        <f>'BECA SUPERIOR'!N158</f>
        <v>0</v>
      </c>
    </row>
    <row r="3456" spans="1:8" x14ac:dyDescent="0.3">
      <c r="A3456" t="s">
        <v>690</v>
      </c>
      <c r="B3456" t="s">
        <v>178</v>
      </c>
      <c r="C3456" t="s">
        <v>180</v>
      </c>
      <c r="D3456" t="s">
        <v>689</v>
      </c>
      <c r="E3456" t="s">
        <v>769</v>
      </c>
      <c r="F3456">
        <v>4</v>
      </c>
      <c r="G3456" s="308">
        <f>'BECA SUPERIOR'!P158</f>
        <v>1.44</v>
      </c>
      <c r="H3456" s="308">
        <f>'BECA SUPERIOR'!Q158</f>
        <v>3600</v>
      </c>
    </row>
    <row r="3457" spans="1:8" x14ac:dyDescent="0.3">
      <c r="A3457" t="s">
        <v>690</v>
      </c>
      <c r="B3457" t="s">
        <v>178</v>
      </c>
      <c r="C3457" t="s">
        <v>180</v>
      </c>
      <c r="D3457" t="s">
        <v>689</v>
      </c>
      <c r="E3457" t="s">
        <v>770</v>
      </c>
      <c r="F3457">
        <v>5</v>
      </c>
      <c r="G3457" s="308">
        <f>'BECA SUPERIOR'!S158</f>
        <v>0</v>
      </c>
      <c r="H3457" s="308">
        <f>'BECA SUPERIOR'!T158</f>
        <v>0</v>
      </c>
    </row>
    <row r="3458" spans="1:8" x14ac:dyDescent="0.3">
      <c r="A3458" t="s">
        <v>690</v>
      </c>
      <c r="B3458" t="s">
        <v>178</v>
      </c>
      <c r="C3458" t="s">
        <v>180</v>
      </c>
      <c r="D3458" t="s">
        <v>689</v>
      </c>
      <c r="E3458" t="s">
        <v>771</v>
      </c>
      <c r="F3458">
        <v>6</v>
      </c>
      <c r="G3458" s="308">
        <f>'BECA SUPERIOR'!V158</f>
        <v>0</v>
      </c>
      <c r="H3458" s="308">
        <f>'BECA SUPERIOR'!W158</f>
        <v>0</v>
      </c>
    </row>
    <row r="3459" spans="1:8" x14ac:dyDescent="0.3">
      <c r="A3459" t="s">
        <v>690</v>
      </c>
      <c r="B3459" t="s">
        <v>178</v>
      </c>
      <c r="C3459" t="s">
        <v>180</v>
      </c>
      <c r="D3459" t="s">
        <v>689</v>
      </c>
      <c r="E3459" t="s">
        <v>772</v>
      </c>
      <c r="F3459">
        <v>7</v>
      </c>
      <c r="G3459" s="308">
        <f>'BECA SUPERIOR'!Y158</f>
        <v>0</v>
      </c>
      <c r="H3459" s="308">
        <f>'BECA SUPERIOR'!Z158</f>
        <v>0</v>
      </c>
    </row>
    <row r="3460" spans="1:8" x14ac:dyDescent="0.3">
      <c r="A3460" t="s">
        <v>690</v>
      </c>
      <c r="B3460" t="s">
        <v>178</v>
      </c>
      <c r="C3460" t="s">
        <v>181</v>
      </c>
      <c r="D3460" t="s">
        <v>689</v>
      </c>
      <c r="E3460" t="s">
        <v>766</v>
      </c>
      <c r="F3460">
        <v>1</v>
      </c>
      <c r="G3460" s="308">
        <f>'BECA SUPERIOR'!G159</f>
        <v>0</v>
      </c>
      <c r="H3460" s="308">
        <f>'BECA SUPERIOR'!H159</f>
        <v>0</v>
      </c>
    </row>
    <row r="3461" spans="1:8" x14ac:dyDescent="0.3">
      <c r="A3461" t="s">
        <v>690</v>
      </c>
      <c r="B3461" t="s">
        <v>178</v>
      </c>
      <c r="C3461" t="s">
        <v>181</v>
      </c>
      <c r="D3461" t="s">
        <v>689</v>
      </c>
      <c r="E3461" t="s">
        <v>767</v>
      </c>
      <c r="F3461">
        <v>2</v>
      </c>
      <c r="G3461" s="308">
        <f>'BECA SUPERIOR'!J159</f>
        <v>0</v>
      </c>
      <c r="H3461" s="308">
        <f>'BECA SUPERIOR'!K159</f>
        <v>0</v>
      </c>
    </row>
    <row r="3462" spans="1:8" x14ac:dyDescent="0.3">
      <c r="A3462" t="s">
        <v>690</v>
      </c>
      <c r="B3462" t="s">
        <v>178</v>
      </c>
      <c r="C3462" t="s">
        <v>181</v>
      </c>
      <c r="D3462" t="s">
        <v>689</v>
      </c>
      <c r="E3462" t="s">
        <v>768</v>
      </c>
      <c r="F3462">
        <v>3</v>
      </c>
      <c r="G3462" s="308">
        <f>'BECA SUPERIOR'!M159</f>
        <v>0</v>
      </c>
      <c r="H3462" s="308">
        <f>'BECA SUPERIOR'!N159</f>
        <v>0</v>
      </c>
    </row>
    <row r="3463" spans="1:8" x14ac:dyDescent="0.3">
      <c r="A3463" t="s">
        <v>690</v>
      </c>
      <c r="B3463" t="s">
        <v>178</v>
      </c>
      <c r="C3463" t="s">
        <v>181</v>
      </c>
      <c r="D3463" t="s">
        <v>689</v>
      </c>
      <c r="E3463" t="s">
        <v>769</v>
      </c>
      <c r="F3463">
        <v>4</v>
      </c>
      <c r="G3463" s="308">
        <f>'BECA SUPERIOR'!P159</f>
        <v>4.32</v>
      </c>
      <c r="H3463" s="308">
        <f>'BECA SUPERIOR'!Q159</f>
        <v>10800</v>
      </c>
    </row>
    <row r="3464" spans="1:8" x14ac:dyDescent="0.3">
      <c r="A3464" t="s">
        <v>690</v>
      </c>
      <c r="B3464" t="s">
        <v>178</v>
      </c>
      <c r="C3464" t="s">
        <v>181</v>
      </c>
      <c r="D3464" t="s">
        <v>689</v>
      </c>
      <c r="E3464" t="s">
        <v>770</v>
      </c>
      <c r="F3464">
        <v>5</v>
      </c>
      <c r="G3464" s="308">
        <f>'BECA SUPERIOR'!S159</f>
        <v>0</v>
      </c>
      <c r="H3464" s="308">
        <f>'BECA SUPERIOR'!T159</f>
        <v>0</v>
      </c>
    </row>
    <row r="3465" spans="1:8" x14ac:dyDescent="0.3">
      <c r="A3465" t="s">
        <v>690</v>
      </c>
      <c r="B3465" t="s">
        <v>178</v>
      </c>
      <c r="C3465" t="s">
        <v>181</v>
      </c>
      <c r="D3465" t="s">
        <v>689</v>
      </c>
      <c r="E3465" t="s">
        <v>771</v>
      </c>
      <c r="F3465">
        <v>6</v>
      </c>
      <c r="G3465" s="308">
        <f>'BECA SUPERIOR'!V159</f>
        <v>0</v>
      </c>
      <c r="H3465" s="308">
        <f>'BECA SUPERIOR'!W159</f>
        <v>0</v>
      </c>
    </row>
    <row r="3466" spans="1:8" x14ac:dyDescent="0.3">
      <c r="A3466" t="s">
        <v>690</v>
      </c>
      <c r="B3466" t="s">
        <v>178</v>
      </c>
      <c r="C3466" t="s">
        <v>181</v>
      </c>
      <c r="D3466" t="s">
        <v>689</v>
      </c>
      <c r="E3466" t="s">
        <v>772</v>
      </c>
      <c r="F3466">
        <v>7</v>
      </c>
      <c r="G3466" s="308">
        <f>'BECA SUPERIOR'!Y159</f>
        <v>0</v>
      </c>
      <c r="H3466" s="308">
        <f>'BECA SUPERIOR'!Z159</f>
        <v>0</v>
      </c>
    </row>
    <row r="3467" spans="1:8" x14ac:dyDescent="0.3">
      <c r="A3467" t="s">
        <v>690</v>
      </c>
      <c r="B3467" t="s">
        <v>178</v>
      </c>
      <c r="C3467" t="s">
        <v>125</v>
      </c>
      <c r="D3467" t="s">
        <v>689</v>
      </c>
      <c r="E3467" t="s">
        <v>766</v>
      </c>
      <c r="F3467">
        <v>1</v>
      </c>
      <c r="G3467" s="308">
        <f>'BECA SUPERIOR'!G160</f>
        <v>0</v>
      </c>
      <c r="H3467" s="308">
        <f>'BECA SUPERIOR'!H160</f>
        <v>0</v>
      </c>
    </row>
    <row r="3468" spans="1:8" x14ac:dyDescent="0.3">
      <c r="A3468" t="s">
        <v>690</v>
      </c>
      <c r="B3468" t="s">
        <v>178</v>
      </c>
      <c r="C3468" t="s">
        <v>125</v>
      </c>
      <c r="D3468" t="s">
        <v>689</v>
      </c>
      <c r="E3468" t="s">
        <v>767</v>
      </c>
      <c r="F3468">
        <v>2</v>
      </c>
      <c r="G3468" s="308">
        <f>'BECA SUPERIOR'!J160</f>
        <v>0</v>
      </c>
      <c r="H3468" s="308">
        <f>'BECA SUPERIOR'!K160</f>
        <v>0</v>
      </c>
    </row>
    <row r="3469" spans="1:8" x14ac:dyDescent="0.3">
      <c r="A3469" t="s">
        <v>690</v>
      </c>
      <c r="B3469" t="s">
        <v>178</v>
      </c>
      <c r="C3469" t="s">
        <v>125</v>
      </c>
      <c r="D3469" t="s">
        <v>689</v>
      </c>
      <c r="E3469" t="s">
        <v>768</v>
      </c>
      <c r="F3469">
        <v>3</v>
      </c>
      <c r="G3469" s="308">
        <f>'BECA SUPERIOR'!M160</f>
        <v>0</v>
      </c>
      <c r="H3469" s="308">
        <f>'BECA SUPERIOR'!N160</f>
        <v>0</v>
      </c>
    </row>
    <row r="3470" spans="1:8" x14ac:dyDescent="0.3">
      <c r="A3470" t="s">
        <v>690</v>
      </c>
      <c r="B3470" t="s">
        <v>178</v>
      </c>
      <c r="C3470" t="s">
        <v>125</v>
      </c>
      <c r="D3470" t="s">
        <v>689</v>
      </c>
      <c r="E3470" t="s">
        <v>769</v>
      </c>
      <c r="F3470">
        <v>4</v>
      </c>
      <c r="G3470" s="308">
        <f>'BECA SUPERIOR'!P160</f>
        <v>5.76</v>
      </c>
      <c r="H3470" s="308">
        <f>'BECA SUPERIOR'!Q160</f>
        <v>14400</v>
      </c>
    </row>
    <row r="3471" spans="1:8" x14ac:dyDescent="0.3">
      <c r="A3471" t="s">
        <v>690</v>
      </c>
      <c r="B3471" t="s">
        <v>178</v>
      </c>
      <c r="C3471" t="s">
        <v>125</v>
      </c>
      <c r="D3471" t="s">
        <v>689</v>
      </c>
      <c r="E3471" t="s">
        <v>770</v>
      </c>
      <c r="F3471">
        <v>5</v>
      </c>
      <c r="G3471" s="308">
        <f>'BECA SUPERIOR'!S160</f>
        <v>0</v>
      </c>
      <c r="H3471" s="308">
        <f>'BECA SUPERIOR'!T160</f>
        <v>0</v>
      </c>
    </row>
    <row r="3472" spans="1:8" x14ac:dyDescent="0.3">
      <c r="A3472" t="s">
        <v>690</v>
      </c>
      <c r="B3472" t="s">
        <v>178</v>
      </c>
      <c r="C3472" t="s">
        <v>125</v>
      </c>
      <c r="D3472" t="s">
        <v>689</v>
      </c>
      <c r="E3472" t="s">
        <v>771</v>
      </c>
      <c r="F3472">
        <v>6</v>
      </c>
      <c r="G3472" s="308">
        <f>'BECA SUPERIOR'!V160</f>
        <v>0</v>
      </c>
      <c r="H3472" s="308">
        <f>'BECA SUPERIOR'!W160</f>
        <v>0</v>
      </c>
    </row>
    <row r="3473" spans="1:8" x14ac:dyDescent="0.3">
      <c r="A3473" t="s">
        <v>690</v>
      </c>
      <c r="B3473" t="s">
        <v>178</v>
      </c>
      <c r="C3473" t="s">
        <v>125</v>
      </c>
      <c r="D3473" t="s">
        <v>689</v>
      </c>
      <c r="E3473" t="s">
        <v>772</v>
      </c>
      <c r="F3473">
        <v>7</v>
      </c>
      <c r="G3473" s="308">
        <f>'BECA SUPERIOR'!Y160</f>
        <v>0</v>
      </c>
      <c r="H3473" s="308">
        <f>'BECA SUPERIOR'!Z160</f>
        <v>0</v>
      </c>
    </row>
    <row r="3474" spans="1:8" x14ac:dyDescent="0.3">
      <c r="A3474" t="s">
        <v>690</v>
      </c>
      <c r="B3474" t="s">
        <v>178</v>
      </c>
      <c r="C3474" t="s">
        <v>182</v>
      </c>
      <c r="D3474" t="s">
        <v>689</v>
      </c>
      <c r="E3474" t="s">
        <v>766</v>
      </c>
      <c r="F3474">
        <v>1</v>
      </c>
      <c r="G3474" s="308">
        <f>'BECA SUPERIOR'!G161</f>
        <v>0</v>
      </c>
      <c r="H3474" s="308">
        <f>'BECA SUPERIOR'!H161</f>
        <v>0</v>
      </c>
    </row>
    <row r="3475" spans="1:8" x14ac:dyDescent="0.3">
      <c r="A3475" t="s">
        <v>690</v>
      </c>
      <c r="B3475" t="s">
        <v>178</v>
      </c>
      <c r="C3475" t="s">
        <v>182</v>
      </c>
      <c r="D3475" t="s">
        <v>689</v>
      </c>
      <c r="E3475" t="s">
        <v>767</v>
      </c>
      <c r="F3475">
        <v>2</v>
      </c>
      <c r="G3475" s="308">
        <f>'BECA SUPERIOR'!J161</f>
        <v>0</v>
      </c>
      <c r="H3475" s="308">
        <f>'BECA SUPERIOR'!K161</f>
        <v>0</v>
      </c>
    </row>
    <row r="3476" spans="1:8" x14ac:dyDescent="0.3">
      <c r="A3476" t="s">
        <v>690</v>
      </c>
      <c r="B3476" t="s">
        <v>178</v>
      </c>
      <c r="C3476" t="s">
        <v>182</v>
      </c>
      <c r="D3476" t="s">
        <v>689</v>
      </c>
      <c r="E3476" t="s">
        <v>768</v>
      </c>
      <c r="F3476">
        <v>3</v>
      </c>
      <c r="G3476" s="308">
        <f>'BECA SUPERIOR'!M161</f>
        <v>0</v>
      </c>
      <c r="H3476" s="308">
        <f>'BECA SUPERIOR'!N161</f>
        <v>0</v>
      </c>
    </row>
    <row r="3477" spans="1:8" x14ac:dyDescent="0.3">
      <c r="A3477" t="s">
        <v>690</v>
      </c>
      <c r="B3477" t="s">
        <v>178</v>
      </c>
      <c r="C3477" t="s">
        <v>182</v>
      </c>
      <c r="D3477" t="s">
        <v>689</v>
      </c>
      <c r="E3477" t="s">
        <v>769</v>
      </c>
      <c r="F3477">
        <v>4</v>
      </c>
      <c r="G3477" s="308">
        <f>'BECA SUPERIOR'!P161</f>
        <v>1.44</v>
      </c>
      <c r="H3477" s="308">
        <f>'BECA SUPERIOR'!Q161</f>
        <v>3600</v>
      </c>
    </row>
    <row r="3478" spans="1:8" x14ac:dyDescent="0.3">
      <c r="A3478" t="s">
        <v>690</v>
      </c>
      <c r="B3478" t="s">
        <v>178</v>
      </c>
      <c r="C3478" t="s">
        <v>182</v>
      </c>
      <c r="D3478" t="s">
        <v>689</v>
      </c>
      <c r="E3478" t="s">
        <v>770</v>
      </c>
      <c r="F3478">
        <v>5</v>
      </c>
      <c r="G3478" s="308">
        <f>'BECA SUPERIOR'!S161</f>
        <v>0</v>
      </c>
      <c r="H3478" s="308">
        <f>'BECA SUPERIOR'!T161</f>
        <v>0</v>
      </c>
    </row>
    <row r="3479" spans="1:8" x14ac:dyDescent="0.3">
      <c r="A3479" t="s">
        <v>690</v>
      </c>
      <c r="B3479" t="s">
        <v>178</v>
      </c>
      <c r="C3479" t="s">
        <v>182</v>
      </c>
      <c r="D3479" t="s">
        <v>689</v>
      </c>
      <c r="E3479" t="s">
        <v>771</v>
      </c>
      <c r="F3479">
        <v>6</v>
      </c>
      <c r="G3479" s="308">
        <f>'BECA SUPERIOR'!V161</f>
        <v>0</v>
      </c>
      <c r="H3479" s="308">
        <f>'BECA SUPERIOR'!W161</f>
        <v>0</v>
      </c>
    </row>
    <row r="3480" spans="1:8" x14ac:dyDescent="0.3">
      <c r="A3480" t="s">
        <v>690</v>
      </c>
      <c r="B3480" t="s">
        <v>178</v>
      </c>
      <c r="C3480" t="s">
        <v>182</v>
      </c>
      <c r="D3480" t="s">
        <v>689</v>
      </c>
      <c r="E3480" t="s">
        <v>772</v>
      </c>
      <c r="F3480">
        <v>7</v>
      </c>
      <c r="G3480" s="308">
        <f>'BECA SUPERIOR'!Y161</f>
        <v>0</v>
      </c>
      <c r="H3480" s="308">
        <f>'BECA SUPERIOR'!Z161</f>
        <v>0</v>
      </c>
    </row>
    <row r="3481" spans="1:8" x14ac:dyDescent="0.3">
      <c r="A3481" t="s">
        <v>690</v>
      </c>
      <c r="B3481" t="s">
        <v>178</v>
      </c>
      <c r="C3481" t="s">
        <v>183</v>
      </c>
      <c r="D3481" t="s">
        <v>689</v>
      </c>
      <c r="E3481" t="s">
        <v>766</v>
      </c>
      <c r="F3481">
        <v>1</v>
      </c>
      <c r="G3481" s="308">
        <f>'BECA SUPERIOR'!G162</f>
        <v>0</v>
      </c>
      <c r="H3481" s="308">
        <f>'BECA SUPERIOR'!H162</f>
        <v>0</v>
      </c>
    </row>
    <row r="3482" spans="1:8" x14ac:dyDescent="0.3">
      <c r="A3482" t="s">
        <v>690</v>
      </c>
      <c r="B3482" t="s">
        <v>178</v>
      </c>
      <c r="C3482" t="s">
        <v>183</v>
      </c>
      <c r="D3482" t="s">
        <v>689</v>
      </c>
      <c r="E3482" t="s">
        <v>767</v>
      </c>
      <c r="F3482">
        <v>2</v>
      </c>
      <c r="G3482" s="308">
        <f>'BECA SUPERIOR'!J162</f>
        <v>0</v>
      </c>
      <c r="H3482" s="308">
        <f>'BECA SUPERIOR'!K162</f>
        <v>0</v>
      </c>
    </row>
    <row r="3483" spans="1:8" x14ac:dyDescent="0.3">
      <c r="A3483" t="s">
        <v>690</v>
      </c>
      <c r="B3483" t="s">
        <v>178</v>
      </c>
      <c r="C3483" t="s">
        <v>183</v>
      </c>
      <c r="D3483" t="s">
        <v>689</v>
      </c>
      <c r="E3483" t="s">
        <v>768</v>
      </c>
      <c r="F3483">
        <v>3</v>
      </c>
      <c r="G3483" s="308">
        <f>'BECA SUPERIOR'!M162</f>
        <v>0</v>
      </c>
      <c r="H3483" s="308">
        <f>'BECA SUPERIOR'!N162</f>
        <v>0</v>
      </c>
    </row>
    <row r="3484" spans="1:8" x14ac:dyDescent="0.3">
      <c r="A3484" t="s">
        <v>690</v>
      </c>
      <c r="B3484" t="s">
        <v>178</v>
      </c>
      <c r="C3484" t="s">
        <v>183</v>
      </c>
      <c r="D3484" t="s">
        <v>689</v>
      </c>
      <c r="E3484" t="s">
        <v>769</v>
      </c>
      <c r="F3484">
        <v>4</v>
      </c>
      <c r="G3484" s="308">
        <f>'BECA SUPERIOR'!P162</f>
        <v>3.6</v>
      </c>
      <c r="H3484" s="308">
        <f>'BECA SUPERIOR'!Q162</f>
        <v>9000</v>
      </c>
    </row>
    <row r="3485" spans="1:8" x14ac:dyDescent="0.3">
      <c r="A3485" t="s">
        <v>690</v>
      </c>
      <c r="B3485" t="s">
        <v>178</v>
      </c>
      <c r="C3485" t="s">
        <v>183</v>
      </c>
      <c r="D3485" t="s">
        <v>689</v>
      </c>
      <c r="E3485" t="s">
        <v>770</v>
      </c>
      <c r="F3485">
        <v>5</v>
      </c>
      <c r="G3485" s="308">
        <f>'BECA SUPERIOR'!S162</f>
        <v>0</v>
      </c>
      <c r="H3485" s="308">
        <f>'BECA SUPERIOR'!T162</f>
        <v>0</v>
      </c>
    </row>
    <row r="3486" spans="1:8" x14ac:dyDescent="0.3">
      <c r="A3486" t="s">
        <v>690</v>
      </c>
      <c r="B3486" t="s">
        <v>178</v>
      </c>
      <c r="C3486" t="s">
        <v>183</v>
      </c>
      <c r="D3486" t="s">
        <v>689</v>
      </c>
      <c r="E3486" t="s">
        <v>771</v>
      </c>
      <c r="F3486">
        <v>6</v>
      </c>
      <c r="G3486" s="308">
        <f>'BECA SUPERIOR'!V162</f>
        <v>0</v>
      </c>
      <c r="H3486" s="308">
        <f>'BECA SUPERIOR'!W162</f>
        <v>0</v>
      </c>
    </row>
    <row r="3487" spans="1:8" x14ac:dyDescent="0.3">
      <c r="A3487" t="s">
        <v>690</v>
      </c>
      <c r="B3487" t="s">
        <v>178</v>
      </c>
      <c r="C3487" t="s">
        <v>183</v>
      </c>
      <c r="D3487" t="s">
        <v>689</v>
      </c>
      <c r="E3487" t="s">
        <v>772</v>
      </c>
      <c r="F3487">
        <v>7</v>
      </c>
      <c r="G3487" s="308">
        <f>'BECA SUPERIOR'!Y162</f>
        <v>0</v>
      </c>
      <c r="H3487" s="308">
        <f>'BECA SUPERIOR'!Z162</f>
        <v>0</v>
      </c>
    </row>
    <row r="3488" spans="1:8" x14ac:dyDescent="0.3">
      <c r="A3488" t="s">
        <v>690</v>
      </c>
      <c r="B3488" t="s">
        <v>178</v>
      </c>
      <c r="C3488" t="s">
        <v>184</v>
      </c>
      <c r="D3488" t="s">
        <v>689</v>
      </c>
      <c r="E3488" t="s">
        <v>766</v>
      </c>
      <c r="F3488">
        <v>1</v>
      </c>
      <c r="G3488" s="308">
        <f>'BECA SUPERIOR'!G163</f>
        <v>0</v>
      </c>
      <c r="H3488" s="308">
        <f>'BECA SUPERIOR'!H163</f>
        <v>0</v>
      </c>
    </row>
    <row r="3489" spans="1:8" x14ac:dyDescent="0.3">
      <c r="A3489" t="s">
        <v>690</v>
      </c>
      <c r="B3489" t="s">
        <v>178</v>
      </c>
      <c r="C3489" t="s">
        <v>184</v>
      </c>
      <c r="D3489" t="s">
        <v>689</v>
      </c>
      <c r="E3489" t="s">
        <v>767</v>
      </c>
      <c r="F3489">
        <v>2</v>
      </c>
      <c r="G3489" s="308">
        <f>'BECA SUPERIOR'!J163</f>
        <v>0</v>
      </c>
      <c r="H3489" s="308">
        <f>'BECA SUPERIOR'!K163</f>
        <v>0</v>
      </c>
    </row>
    <row r="3490" spans="1:8" x14ac:dyDescent="0.3">
      <c r="A3490" t="s">
        <v>690</v>
      </c>
      <c r="B3490" t="s">
        <v>178</v>
      </c>
      <c r="C3490" t="s">
        <v>184</v>
      </c>
      <c r="D3490" t="s">
        <v>689</v>
      </c>
      <c r="E3490" t="s">
        <v>768</v>
      </c>
      <c r="F3490">
        <v>3</v>
      </c>
      <c r="G3490" s="308">
        <f>'BECA SUPERIOR'!M163</f>
        <v>0</v>
      </c>
      <c r="H3490" s="308">
        <f>'BECA SUPERIOR'!N163</f>
        <v>0</v>
      </c>
    </row>
    <row r="3491" spans="1:8" x14ac:dyDescent="0.3">
      <c r="A3491" t="s">
        <v>690</v>
      </c>
      <c r="B3491" t="s">
        <v>178</v>
      </c>
      <c r="C3491" t="s">
        <v>184</v>
      </c>
      <c r="D3491" t="s">
        <v>689</v>
      </c>
      <c r="E3491" t="s">
        <v>769</v>
      </c>
      <c r="F3491">
        <v>4</v>
      </c>
      <c r="G3491" s="308">
        <f>'BECA SUPERIOR'!P163</f>
        <v>6.48</v>
      </c>
      <c r="H3491" s="308">
        <f>'BECA SUPERIOR'!Q163</f>
        <v>16200</v>
      </c>
    </row>
    <row r="3492" spans="1:8" x14ac:dyDescent="0.3">
      <c r="A3492" t="s">
        <v>690</v>
      </c>
      <c r="B3492" t="s">
        <v>178</v>
      </c>
      <c r="C3492" t="s">
        <v>184</v>
      </c>
      <c r="D3492" t="s">
        <v>689</v>
      </c>
      <c r="E3492" t="s">
        <v>770</v>
      </c>
      <c r="F3492">
        <v>5</v>
      </c>
      <c r="G3492" s="308">
        <f>'BECA SUPERIOR'!S163</f>
        <v>0</v>
      </c>
      <c r="H3492" s="308">
        <f>'BECA SUPERIOR'!T163</f>
        <v>0</v>
      </c>
    </row>
    <row r="3493" spans="1:8" x14ac:dyDescent="0.3">
      <c r="A3493" t="s">
        <v>690</v>
      </c>
      <c r="B3493" t="s">
        <v>178</v>
      </c>
      <c r="C3493" t="s">
        <v>184</v>
      </c>
      <c r="D3493" t="s">
        <v>689</v>
      </c>
      <c r="E3493" t="s">
        <v>771</v>
      </c>
      <c r="F3493">
        <v>6</v>
      </c>
      <c r="G3493" s="308">
        <f>'BECA SUPERIOR'!V163</f>
        <v>0</v>
      </c>
      <c r="H3493" s="308">
        <f>'BECA SUPERIOR'!W163</f>
        <v>0</v>
      </c>
    </row>
    <row r="3494" spans="1:8" x14ac:dyDescent="0.3">
      <c r="A3494" t="s">
        <v>690</v>
      </c>
      <c r="B3494" t="s">
        <v>178</v>
      </c>
      <c r="C3494" t="s">
        <v>184</v>
      </c>
      <c r="D3494" t="s">
        <v>689</v>
      </c>
      <c r="E3494" t="s">
        <v>772</v>
      </c>
      <c r="F3494">
        <v>7</v>
      </c>
      <c r="G3494" s="308">
        <f>'BECA SUPERIOR'!Y163</f>
        <v>0</v>
      </c>
      <c r="H3494" s="308">
        <f>'BECA SUPERIOR'!Z163</f>
        <v>0</v>
      </c>
    </row>
    <row r="3495" spans="1:8" x14ac:dyDescent="0.3">
      <c r="A3495" t="s">
        <v>690</v>
      </c>
      <c r="B3495" t="s">
        <v>178</v>
      </c>
      <c r="C3495" t="s">
        <v>185</v>
      </c>
      <c r="D3495" t="s">
        <v>689</v>
      </c>
      <c r="E3495" t="s">
        <v>766</v>
      </c>
      <c r="F3495">
        <v>1</v>
      </c>
      <c r="G3495" s="308">
        <f>'BECA SUPERIOR'!G164</f>
        <v>0</v>
      </c>
      <c r="H3495" s="308">
        <f>'BECA SUPERIOR'!H164</f>
        <v>0</v>
      </c>
    </row>
    <row r="3496" spans="1:8" x14ac:dyDescent="0.3">
      <c r="A3496" t="s">
        <v>690</v>
      </c>
      <c r="B3496" t="s">
        <v>178</v>
      </c>
      <c r="C3496" t="s">
        <v>185</v>
      </c>
      <c r="D3496" t="s">
        <v>689</v>
      </c>
      <c r="E3496" t="s">
        <v>767</v>
      </c>
      <c r="F3496">
        <v>2</v>
      </c>
      <c r="G3496" s="308">
        <f>'BECA SUPERIOR'!J164</f>
        <v>0</v>
      </c>
      <c r="H3496" s="308">
        <f>'BECA SUPERIOR'!K164</f>
        <v>0</v>
      </c>
    </row>
    <row r="3497" spans="1:8" x14ac:dyDescent="0.3">
      <c r="A3497" t="s">
        <v>690</v>
      </c>
      <c r="B3497" t="s">
        <v>178</v>
      </c>
      <c r="C3497" t="s">
        <v>185</v>
      </c>
      <c r="D3497" t="s">
        <v>689</v>
      </c>
      <c r="E3497" t="s">
        <v>768</v>
      </c>
      <c r="F3497">
        <v>3</v>
      </c>
      <c r="G3497" s="308">
        <f>'BECA SUPERIOR'!M164</f>
        <v>0</v>
      </c>
      <c r="H3497" s="308">
        <f>'BECA SUPERIOR'!N164</f>
        <v>0</v>
      </c>
    </row>
    <row r="3498" spans="1:8" x14ac:dyDescent="0.3">
      <c r="A3498" t="s">
        <v>690</v>
      </c>
      <c r="B3498" t="s">
        <v>178</v>
      </c>
      <c r="C3498" t="s">
        <v>185</v>
      </c>
      <c r="D3498" t="s">
        <v>689</v>
      </c>
      <c r="E3498" t="s">
        <v>769</v>
      </c>
      <c r="F3498">
        <v>4</v>
      </c>
      <c r="G3498" s="308">
        <f>'BECA SUPERIOR'!P164</f>
        <v>0.72</v>
      </c>
      <c r="H3498" s="308">
        <f>'BECA SUPERIOR'!Q164</f>
        <v>1800</v>
      </c>
    </row>
    <row r="3499" spans="1:8" x14ac:dyDescent="0.3">
      <c r="A3499" t="s">
        <v>690</v>
      </c>
      <c r="B3499" t="s">
        <v>178</v>
      </c>
      <c r="C3499" t="s">
        <v>185</v>
      </c>
      <c r="D3499" t="s">
        <v>689</v>
      </c>
      <c r="E3499" t="s">
        <v>770</v>
      </c>
      <c r="F3499">
        <v>5</v>
      </c>
      <c r="G3499" s="308">
        <f>'BECA SUPERIOR'!S164</f>
        <v>0</v>
      </c>
      <c r="H3499" s="308">
        <f>'BECA SUPERIOR'!T164</f>
        <v>0</v>
      </c>
    </row>
    <row r="3500" spans="1:8" x14ac:dyDescent="0.3">
      <c r="A3500" t="s">
        <v>690</v>
      </c>
      <c r="B3500" t="s">
        <v>178</v>
      </c>
      <c r="C3500" t="s">
        <v>185</v>
      </c>
      <c r="D3500" t="s">
        <v>689</v>
      </c>
      <c r="E3500" t="s">
        <v>771</v>
      </c>
      <c r="F3500">
        <v>6</v>
      </c>
      <c r="G3500" s="308">
        <f>'BECA SUPERIOR'!V164</f>
        <v>0</v>
      </c>
      <c r="H3500" s="308">
        <f>'BECA SUPERIOR'!W164</f>
        <v>0</v>
      </c>
    </row>
    <row r="3501" spans="1:8" x14ac:dyDescent="0.3">
      <c r="A3501" t="s">
        <v>690</v>
      </c>
      <c r="B3501" t="s">
        <v>178</v>
      </c>
      <c r="C3501" t="s">
        <v>185</v>
      </c>
      <c r="D3501" t="s">
        <v>689</v>
      </c>
      <c r="E3501" t="s">
        <v>772</v>
      </c>
      <c r="F3501">
        <v>7</v>
      </c>
      <c r="G3501" s="308">
        <f>'BECA SUPERIOR'!Y164</f>
        <v>0</v>
      </c>
      <c r="H3501" s="308">
        <f>'BECA SUPERIOR'!Z164</f>
        <v>0</v>
      </c>
    </row>
    <row r="3502" spans="1:8" x14ac:dyDescent="0.3">
      <c r="A3502" t="s">
        <v>690</v>
      </c>
      <c r="B3502" t="s">
        <v>178</v>
      </c>
      <c r="C3502" t="s">
        <v>186</v>
      </c>
      <c r="D3502" t="s">
        <v>689</v>
      </c>
      <c r="E3502" t="s">
        <v>766</v>
      </c>
      <c r="F3502">
        <v>1</v>
      </c>
      <c r="G3502" s="308">
        <f>'BECA SUPERIOR'!G165</f>
        <v>0</v>
      </c>
      <c r="H3502" s="308">
        <f>'BECA SUPERIOR'!H165</f>
        <v>0</v>
      </c>
    </row>
    <row r="3503" spans="1:8" x14ac:dyDescent="0.3">
      <c r="A3503" t="s">
        <v>690</v>
      </c>
      <c r="B3503" t="s">
        <v>178</v>
      </c>
      <c r="C3503" t="s">
        <v>186</v>
      </c>
      <c r="D3503" t="s">
        <v>689</v>
      </c>
      <c r="E3503" t="s">
        <v>767</v>
      </c>
      <c r="F3503">
        <v>2</v>
      </c>
      <c r="G3503" s="308">
        <f>'BECA SUPERIOR'!J165</f>
        <v>0</v>
      </c>
      <c r="H3503" s="308">
        <f>'BECA SUPERIOR'!K165</f>
        <v>0</v>
      </c>
    </row>
    <row r="3504" spans="1:8" x14ac:dyDescent="0.3">
      <c r="A3504" t="s">
        <v>690</v>
      </c>
      <c r="B3504" t="s">
        <v>178</v>
      </c>
      <c r="C3504" t="s">
        <v>186</v>
      </c>
      <c r="D3504" t="s">
        <v>689</v>
      </c>
      <c r="E3504" t="s">
        <v>768</v>
      </c>
      <c r="F3504">
        <v>3</v>
      </c>
      <c r="G3504" s="308">
        <f>'BECA SUPERIOR'!M165</f>
        <v>0</v>
      </c>
      <c r="H3504" s="308">
        <f>'BECA SUPERIOR'!N165</f>
        <v>0</v>
      </c>
    </row>
    <row r="3505" spans="1:8" x14ac:dyDescent="0.3">
      <c r="A3505" t="s">
        <v>690</v>
      </c>
      <c r="B3505" t="s">
        <v>178</v>
      </c>
      <c r="C3505" t="s">
        <v>186</v>
      </c>
      <c r="D3505" t="s">
        <v>689</v>
      </c>
      <c r="E3505" t="s">
        <v>769</v>
      </c>
      <c r="F3505">
        <v>4</v>
      </c>
      <c r="G3505" s="308">
        <f>'BECA SUPERIOR'!P165</f>
        <v>7.2</v>
      </c>
      <c r="H3505" s="308">
        <f>'BECA SUPERIOR'!Q165</f>
        <v>18000</v>
      </c>
    </row>
    <row r="3506" spans="1:8" x14ac:dyDescent="0.3">
      <c r="A3506" t="s">
        <v>690</v>
      </c>
      <c r="B3506" t="s">
        <v>178</v>
      </c>
      <c r="C3506" t="s">
        <v>186</v>
      </c>
      <c r="D3506" t="s">
        <v>689</v>
      </c>
      <c r="E3506" t="s">
        <v>770</v>
      </c>
      <c r="F3506">
        <v>5</v>
      </c>
      <c r="G3506" s="308">
        <f>'BECA SUPERIOR'!S165</f>
        <v>0</v>
      </c>
      <c r="H3506" s="308">
        <f>'BECA SUPERIOR'!T165</f>
        <v>0</v>
      </c>
    </row>
    <row r="3507" spans="1:8" x14ac:dyDescent="0.3">
      <c r="A3507" t="s">
        <v>690</v>
      </c>
      <c r="B3507" t="s">
        <v>178</v>
      </c>
      <c r="C3507" t="s">
        <v>186</v>
      </c>
      <c r="D3507" t="s">
        <v>689</v>
      </c>
      <c r="E3507" t="s">
        <v>771</v>
      </c>
      <c r="F3507">
        <v>6</v>
      </c>
      <c r="G3507" s="308">
        <f>'BECA SUPERIOR'!V165</f>
        <v>0</v>
      </c>
      <c r="H3507" s="308">
        <f>'BECA SUPERIOR'!W165</f>
        <v>0</v>
      </c>
    </row>
    <row r="3508" spans="1:8" x14ac:dyDescent="0.3">
      <c r="A3508" t="s">
        <v>690</v>
      </c>
      <c r="B3508" t="s">
        <v>178</v>
      </c>
      <c r="C3508" t="s">
        <v>186</v>
      </c>
      <c r="D3508" t="s">
        <v>689</v>
      </c>
      <c r="E3508" t="s">
        <v>772</v>
      </c>
      <c r="F3508">
        <v>7</v>
      </c>
      <c r="G3508" s="308">
        <f>'BECA SUPERIOR'!Y165</f>
        <v>0</v>
      </c>
      <c r="H3508" s="308">
        <f>'BECA SUPERIOR'!Z165</f>
        <v>0</v>
      </c>
    </row>
    <row r="3509" spans="1:8" x14ac:dyDescent="0.3">
      <c r="A3509" t="s">
        <v>690</v>
      </c>
      <c r="B3509" t="s">
        <v>178</v>
      </c>
      <c r="C3509" t="s">
        <v>187</v>
      </c>
      <c r="D3509" t="s">
        <v>689</v>
      </c>
      <c r="E3509" t="s">
        <v>766</v>
      </c>
      <c r="F3509">
        <v>1</v>
      </c>
      <c r="G3509" s="308">
        <f>'BECA SUPERIOR'!G166</f>
        <v>0</v>
      </c>
      <c r="H3509" s="308">
        <f>'BECA SUPERIOR'!H166</f>
        <v>0</v>
      </c>
    </row>
    <row r="3510" spans="1:8" x14ac:dyDescent="0.3">
      <c r="A3510" t="s">
        <v>690</v>
      </c>
      <c r="B3510" t="s">
        <v>178</v>
      </c>
      <c r="C3510" t="s">
        <v>187</v>
      </c>
      <c r="D3510" t="s">
        <v>689</v>
      </c>
      <c r="E3510" t="s">
        <v>767</v>
      </c>
      <c r="F3510">
        <v>2</v>
      </c>
      <c r="G3510" s="308">
        <f>'BECA SUPERIOR'!J166</f>
        <v>0</v>
      </c>
      <c r="H3510" s="308">
        <f>'BECA SUPERIOR'!K166</f>
        <v>0</v>
      </c>
    </row>
    <row r="3511" spans="1:8" x14ac:dyDescent="0.3">
      <c r="A3511" t="s">
        <v>690</v>
      </c>
      <c r="B3511" t="s">
        <v>178</v>
      </c>
      <c r="C3511" t="s">
        <v>187</v>
      </c>
      <c r="D3511" t="s">
        <v>689</v>
      </c>
      <c r="E3511" t="s">
        <v>768</v>
      </c>
      <c r="F3511">
        <v>3</v>
      </c>
      <c r="G3511" s="308">
        <f>'BECA SUPERIOR'!M166</f>
        <v>0</v>
      </c>
      <c r="H3511" s="308">
        <f>'BECA SUPERIOR'!N166</f>
        <v>0</v>
      </c>
    </row>
    <row r="3512" spans="1:8" x14ac:dyDescent="0.3">
      <c r="A3512" t="s">
        <v>690</v>
      </c>
      <c r="B3512" t="s">
        <v>178</v>
      </c>
      <c r="C3512" t="s">
        <v>187</v>
      </c>
      <c r="D3512" t="s">
        <v>689</v>
      </c>
      <c r="E3512" t="s">
        <v>769</v>
      </c>
      <c r="F3512">
        <v>4</v>
      </c>
      <c r="G3512" s="308">
        <f>'BECA SUPERIOR'!P166</f>
        <v>5.04</v>
      </c>
      <c r="H3512" s="308">
        <f>'BECA SUPERIOR'!Q166</f>
        <v>12600</v>
      </c>
    </row>
    <row r="3513" spans="1:8" x14ac:dyDescent="0.3">
      <c r="A3513" t="s">
        <v>690</v>
      </c>
      <c r="B3513" t="s">
        <v>178</v>
      </c>
      <c r="C3513" t="s">
        <v>187</v>
      </c>
      <c r="D3513" t="s">
        <v>689</v>
      </c>
      <c r="E3513" t="s">
        <v>770</v>
      </c>
      <c r="F3513">
        <v>5</v>
      </c>
      <c r="G3513" s="308">
        <f>'BECA SUPERIOR'!S166</f>
        <v>0</v>
      </c>
      <c r="H3513" s="308">
        <f>'BECA SUPERIOR'!T166</f>
        <v>0</v>
      </c>
    </row>
    <row r="3514" spans="1:8" x14ac:dyDescent="0.3">
      <c r="A3514" t="s">
        <v>690</v>
      </c>
      <c r="B3514" t="s">
        <v>178</v>
      </c>
      <c r="C3514" t="s">
        <v>187</v>
      </c>
      <c r="D3514" t="s">
        <v>689</v>
      </c>
      <c r="E3514" t="s">
        <v>771</v>
      </c>
      <c r="F3514">
        <v>6</v>
      </c>
      <c r="G3514" s="308">
        <f>'BECA SUPERIOR'!V166</f>
        <v>0</v>
      </c>
      <c r="H3514" s="308">
        <f>'BECA SUPERIOR'!W166</f>
        <v>0</v>
      </c>
    </row>
    <row r="3515" spans="1:8" x14ac:dyDescent="0.3">
      <c r="A3515" t="s">
        <v>690</v>
      </c>
      <c r="B3515" t="s">
        <v>178</v>
      </c>
      <c r="C3515" t="s">
        <v>187</v>
      </c>
      <c r="D3515" t="s">
        <v>689</v>
      </c>
      <c r="E3515" t="s">
        <v>772</v>
      </c>
      <c r="F3515">
        <v>7</v>
      </c>
      <c r="G3515" s="308">
        <f>'BECA SUPERIOR'!Y166</f>
        <v>0</v>
      </c>
      <c r="H3515" s="308">
        <f>'BECA SUPERIOR'!Z166</f>
        <v>0</v>
      </c>
    </row>
    <row r="3516" spans="1:8" x14ac:dyDescent="0.3">
      <c r="A3516" t="s">
        <v>690</v>
      </c>
      <c r="B3516" t="s">
        <v>178</v>
      </c>
      <c r="C3516" t="s">
        <v>94</v>
      </c>
      <c r="D3516" t="s">
        <v>689</v>
      </c>
      <c r="E3516" t="s">
        <v>766</v>
      </c>
      <c r="F3516">
        <v>1</v>
      </c>
      <c r="G3516" s="308">
        <f>'BECA SUPERIOR'!G167</f>
        <v>0</v>
      </c>
      <c r="H3516" s="308">
        <f>'BECA SUPERIOR'!H167</f>
        <v>0</v>
      </c>
    </row>
    <row r="3517" spans="1:8" x14ac:dyDescent="0.3">
      <c r="A3517" t="s">
        <v>690</v>
      </c>
      <c r="B3517" t="s">
        <v>178</v>
      </c>
      <c r="C3517" t="s">
        <v>94</v>
      </c>
      <c r="D3517" t="s">
        <v>689</v>
      </c>
      <c r="E3517" t="s">
        <v>767</v>
      </c>
      <c r="F3517">
        <v>2</v>
      </c>
      <c r="G3517" s="308">
        <f>'BECA SUPERIOR'!J167</f>
        <v>0</v>
      </c>
      <c r="H3517" s="308">
        <f>'BECA SUPERIOR'!K167</f>
        <v>0</v>
      </c>
    </row>
    <row r="3518" spans="1:8" x14ac:dyDescent="0.3">
      <c r="A3518" t="s">
        <v>690</v>
      </c>
      <c r="B3518" t="s">
        <v>178</v>
      </c>
      <c r="C3518" t="s">
        <v>94</v>
      </c>
      <c r="D3518" t="s">
        <v>689</v>
      </c>
      <c r="E3518" t="s">
        <v>768</v>
      </c>
      <c r="F3518">
        <v>3</v>
      </c>
      <c r="G3518" s="308">
        <f>'BECA SUPERIOR'!M167</f>
        <v>0</v>
      </c>
      <c r="H3518" s="308">
        <f>'BECA SUPERIOR'!N167</f>
        <v>0</v>
      </c>
    </row>
    <row r="3519" spans="1:8" x14ac:dyDescent="0.3">
      <c r="A3519" t="s">
        <v>690</v>
      </c>
      <c r="B3519" t="s">
        <v>178</v>
      </c>
      <c r="C3519" t="s">
        <v>94</v>
      </c>
      <c r="D3519" t="s">
        <v>689</v>
      </c>
      <c r="E3519" t="s">
        <v>769</v>
      </c>
      <c r="F3519">
        <v>4</v>
      </c>
      <c r="G3519" s="308">
        <f>'BECA SUPERIOR'!P167</f>
        <v>0</v>
      </c>
      <c r="H3519" s="308">
        <f>'BECA SUPERIOR'!Q167</f>
        <v>0</v>
      </c>
    </row>
    <row r="3520" spans="1:8" x14ac:dyDescent="0.3">
      <c r="A3520" t="s">
        <v>690</v>
      </c>
      <c r="B3520" t="s">
        <v>178</v>
      </c>
      <c r="C3520" t="s">
        <v>94</v>
      </c>
      <c r="D3520" t="s">
        <v>689</v>
      </c>
      <c r="E3520" t="s">
        <v>770</v>
      </c>
      <c r="F3520">
        <v>5</v>
      </c>
      <c r="G3520" s="308">
        <f>'BECA SUPERIOR'!S167</f>
        <v>0</v>
      </c>
      <c r="H3520" s="308">
        <f>'BECA SUPERIOR'!T167</f>
        <v>0</v>
      </c>
    </row>
    <row r="3521" spans="1:8" x14ac:dyDescent="0.3">
      <c r="A3521" t="s">
        <v>690</v>
      </c>
      <c r="B3521" t="s">
        <v>178</v>
      </c>
      <c r="C3521" t="s">
        <v>94</v>
      </c>
      <c r="D3521" t="s">
        <v>689</v>
      </c>
      <c r="E3521" t="s">
        <v>771</v>
      </c>
      <c r="F3521">
        <v>6</v>
      </c>
      <c r="G3521" s="308">
        <f>'BECA SUPERIOR'!V167</f>
        <v>0</v>
      </c>
      <c r="H3521" s="308">
        <f>'BECA SUPERIOR'!W167</f>
        <v>0</v>
      </c>
    </row>
    <row r="3522" spans="1:8" x14ac:dyDescent="0.3">
      <c r="A3522" t="s">
        <v>690</v>
      </c>
      <c r="B3522" t="s">
        <v>178</v>
      </c>
      <c r="C3522" t="s">
        <v>94</v>
      </c>
      <c r="D3522" t="s">
        <v>689</v>
      </c>
      <c r="E3522" t="s">
        <v>772</v>
      </c>
      <c r="F3522">
        <v>7</v>
      </c>
      <c r="G3522" s="308">
        <f>'BECA SUPERIOR'!Y167</f>
        <v>0</v>
      </c>
      <c r="H3522" s="308">
        <f>'BECA SUPERIOR'!Z167</f>
        <v>0</v>
      </c>
    </row>
    <row r="3523" spans="1:8" x14ac:dyDescent="0.3">
      <c r="A3523" t="s">
        <v>690</v>
      </c>
      <c r="B3523" t="s">
        <v>178</v>
      </c>
      <c r="C3523" t="s">
        <v>188</v>
      </c>
      <c r="D3523" t="s">
        <v>689</v>
      </c>
      <c r="E3523" t="s">
        <v>766</v>
      </c>
      <c r="F3523">
        <v>1</v>
      </c>
      <c r="G3523" s="308">
        <f>'BECA SUPERIOR'!G168</f>
        <v>0</v>
      </c>
      <c r="H3523" s="308">
        <f>'BECA SUPERIOR'!H168</f>
        <v>0</v>
      </c>
    </row>
    <row r="3524" spans="1:8" x14ac:dyDescent="0.3">
      <c r="A3524" t="s">
        <v>690</v>
      </c>
      <c r="B3524" t="s">
        <v>178</v>
      </c>
      <c r="C3524" t="s">
        <v>188</v>
      </c>
      <c r="D3524" t="s">
        <v>689</v>
      </c>
      <c r="E3524" t="s">
        <v>767</v>
      </c>
      <c r="F3524">
        <v>2</v>
      </c>
      <c r="G3524" s="308">
        <f>'BECA SUPERIOR'!J168</f>
        <v>0</v>
      </c>
      <c r="H3524" s="308">
        <f>'BECA SUPERIOR'!K168</f>
        <v>0</v>
      </c>
    </row>
    <row r="3525" spans="1:8" x14ac:dyDescent="0.3">
      <c r="A3525" t="s">
        <v>690</v>
      </c>
      <c r="B3525" t="s">
        <v>178</v>
      </c>
      <c r="C3525" t="s">
        <v>188</v>
      </c>
      <c r="D3525" t="s">
        <v>689</v>
      </c>
      <c r="E3525" t="s">
        <v>768</v>
      </c>
      <c r="F3525">
        <v>3</v>
      </c>
      <c r="G3525" s="308">
        <f>'BECA SUPERIOR'!M168</f>
        <v>0</v>
      </c>
      <c r="H3525" s="308">
        <f>'BECA SUPERIOR'!N168</f>
        <v>0</v>
      </c>
    </row>
    <row r="3526" spans="1:8" x14ac:dyDescent="0.3">
      <c r="A3526" t="s">
        <v>690</v>
      </c>
      <c r="B3526" t="s">
        <v>178</v>
      </c>
      <c r="C3526" t="s">
        <v>188</v>
      </c>
      <c r="D3526" t="s">
        <v>689</v>
      </c>
      <c r="E3526" t="s">
        <v>769</v>
      </c>
      <c r="F3526">
        <v>4</v>
      </c>
      <c r="G3526" s="308">
        <f>'BECA SUPERIOR'!P168</f>
        <v>11.52</v>
      </c>
      <c r="H3526" s="308">
        <f>'BECA SUPERIOR'!Q168</f>
        <v>28800</v>
      </c>
    </row>
    <row r="3527" spans="1:8" x14ac:dyDescent="0.3">
      <c r="A3527" t="s">
        <v>690</v>
      </c>
      <c r="B3527" t="s">
        <v>178</v>
      </c>
      <c r="C3527" t="s">
        <v>188</v>
      </c>
      <c r="D3527" t="s">
        <v>689</v>
      </c>
      <c r="E3527" t="s">
        <v>770</v>
      </c>
      <c r="F3527">
        <v>5</v>
      </c>
      <c r="G3527" s="308">
        <f>'BECA SUPERIOR'!S168</f>
        <v>0</v>
      </c>
      <c r="H3527" s="308">
        <f>'BECA SUPERIOR'!T168</f>
        <v>0</v>
      </c>
    </row>
    <row r="3528" spans="1:8" x14ac:dyDescent="0.3">
      <c r="A3528" t="s">
        <v>690</v>
      </c>
      <c r="B3528" t="s">
        <v>178</v>
      </c>
      <c r="C3528" t="s">
        <v>188</v>
      </c>
      <c r="D3528" t="s">
        <v>689</v>
      </c>
      <c r="E3528" t="s">
        <v>771</v>
      </c>
      <c r="F3528">
        <v>6</v>
      </c>
      <c r="G3528" s="308">
        <f>'BECA SUPERIOR'!V168</f>
        <v>0</v>
      </c>
      <c r="H3528" s="308">
        <f>'BECA SUPERIOR'!W168</f>
        <v>0</v>
      </c>
    </row>
    <row r="3529" spans="1:8" x14ac:dyDescent="0.3">
      <c r="A3529" t="s">
        <v>690</v>
      </c>
      <c r="B3529" t="s">
        <v>178</v>
      </c>
      <c r="C3529" t="s">
        <v>188</v>
      </c>
      <c r="D3529" t="s">
        <v>689</v>
      </c>
      <c r="E3529" t="s">
        <v>772</v>
      </c>
      <c r="F3529">
        <v>7</v>
      </c>
      <c r="G3529" s="308">
        <f>'BECA SUPERIOR'!Y168</f>
        <v>0</v>
      </c>
      <c r="H3529" s="308">
        <f>'BECA SUPERIOR'!Z168</f>
        <v>0</v>
      </c>
    </row>
    <row r="3530" spans="1:8" x14ac:dyDescent="0.3">
      <c r="A3530" t="s">
        <v>690</v>
      </c>
      <c r="B3530" t="s">
        <v>178</v>
      </c>
      <c r="C3530" t="s">
        <v>189</v>
      </c>
      <c r="D3530" t="s">
        <v>689</v>
      </c>
      <c r="E3530" t="s">
        <v>766</v>
      </c>
      <c r="F3530">
        <v>1</v>
      </c>
      <c r="G3530" s="308">
        <f>'BECA SUPERIOR'!G169</f>
        <v>0</v>
      </c>
      <c r="H3530" s="308">
        <f>'BECA SUPERIOR'!H169</f>
        <v>0</v>
      </c>
    </row>
    <row r="3531" spans="1:8" x14ac:dyDescent="0.3">
      <c r="A3531" t="s">
        <v>690</v>
      </c>
      <c r="B3531" t="s">
        <v>178</v>
      </c>
      <c r="C3531" t="s">
        <v>189</v>
      </c>
      <c r="D3531" t="s">
        <v>689</v>
      </c>
      <c r="E3531" t="s">
        <v>767</v>
      </c>
      <c r="F3531">
        <v>2</v>
      </c>
      <c r="G3531" s="308">
        <f>'BECA SUPERIOR'!J169</f>
        <v>0</v>
      </c>
      <c r="H3531" s="308">
        <f>'BECA SUPERIOR'!K169</f>
        <v>0</v>
      </c>
    </row>
    <row r="3532" spans="1:8" x14ac:dyDescent="0.3">
      <c r="A3532" t="s">
        <v>690</v>
      </c>
      <c r="B3532" t="s">
        <v>178</v>
      </c>
      <c r="C3532" t="s">
        <v>189</v>
      </c>
      <c r="D3532" t="s">
        <v>689</v>
      </c>
      <c r="E3532" t="s">
        <v>768</v>
      </c>
      <c r="F3532">
        <v>3</v>
      </c>
      <c r="G3532" s="308">
        <f>'BECA SUPERIOR'!M169</f>
        <v>0</v>
      </c>
      <c r="H3532" s="308">
        <f>'BECA SUPERIOR'!N169</f>
        <v>0</v>
      </c>
    </row>
    <row r="3533" spans="1:8" x14ac:dyDescent="0.3">
      <c r="A3533" t="s">
        <v>690</v>
      </c>
      <c r="B3533" t="s">
        <v>178</v>
      </c>
      <c r="C3533" t="s">
        <v>189</v>
      </c>
      <c r="D3533" t="s">
        <v>689</v>
      </c>
      <c r="E3533" t="s">
        <v>769</v>
      </c>
      <c r="F3533">
        <v>4</v>
      </c>
      <c r="G3533" s="308">
        <f>'BECA SUPERIOR'!P169</f>
        <v>0.72</v>
      </c>
      <c r="H3533" s="308">
        <f>'BECA SUPERIOR'!Q169</f>
        <v>1800</v>
      </c>
    </row>
    <row r="3534" spans="1:8" x14ac:dyDescent="0.3">
      <c r="A3534" t="s">
        <v>690</v>
      </c>
      <c r="B3534" t="s">
        <v>178</v>
      </c>
      <c r="C3534" t="s">
        <v>189</v>
      </c>
      <c r="D3534" t="s">
        <v>689</v>
      </c>
      <c r="E3534" t="s">
        <v>770</v>
      </c>
      <c r="F3534">
        <v>5</v>
      </c>
      <c r="G3534" s="308">
        <f>'BECA SUPERIOR'!S169</f>
        <v>0</v>
      </c>
      <c r="H3534" s="308">
        <f>'BECA SUPERIOR'!T169</f>
        <v>0</v>
      </c>
    </row>
    <row r="3535" spans="1:8" x14ac:dyDescent="0.3">
      <c r="A3535" t="s">
        <v>690</v>
      </c>
      <c r="B3535" t="s">
        <v>178</v>
      </c>
      <c r="C3535" t="s">
        <v>189</v>
      </c>
      <c r="D3535" t="s">
        <v>689</v>
      </c>
      <c r="E3535" t="s">
        <v>771</v>
      </c>
      <c r="F3535">
        <v>6</v>
      </c>
      <c r="G3535" s="308">
        <f>'BECA SUPERIOR'!V169</f>
        <v>0</v>
      </c>
      <c r="H3535" s="308">
        <f>'BECA SUPERIOR'!W169</f>
        <v>0</v>
      </c>
    </row>
    <row r="3536" spans="1:8" x14ac:dyDescent="0.3">
      <c r="A3536" t="s">
        <v>690</v>
      </c>
      <c r="B3536" t="s">
        <v>178</v>
      </c>
      <c r="C3536" t="s">
        <v>189</v>
      </c>
      <c r="D3536" t="s">
        <v>689</v>
      </c>
      <c r="E3536" t="s">
        <v>772</v>
      </c>
      <c r="F3536">
        <v>7</v>
      </c>
      <c r="G3536" s="308">
        <f>'BECA SUPERIOR'!Y169</f>
        <v>0</v>
      </c>
      <c r="H3536" s="308">
        <f>'BECA SUPERIOR'!Z169</f>
        <v>0</v>
      </c>
    </row>
    <row r="3537" spans="1:8" x14ac:dyDescent="0.3">
      <c r="A3537" t="s">
        <v>690</v>
      </c>
      <c r="B3537" t="s">
        <v>178</v>
      </c>
      <c r="C3537" t="s">
        <v>190</v>
      </c>
      <c r="D3537" t="s">
        <v>689</v>
      </c>
      <c r="E3537" t="s">
        <v>766</v>
      </c>
      <c r="F3537">
        <v>1</v>
      </c>
      <c r="G3537" s="308">
        <f>'BECA SUPERIOR'!G170</f>
        <v>0</v>
      </c>
      <c r="H3537" s="308">
        <f>'BECA SUPERIOR'!H170</f>
        <v>0</v>
      </c>
    </row>
    <row r="3538" spans="1:8" x14ac:dyDescent="0.3">
      <c r="A3538" t="s">
        <v>690</v>
      </c>
      <c r="B3538" t="s">
        <v>178</v>
      </c>
      <c r="C3538" t="s">
        <v>190</v>
      </c>
      <c r="D3538" t="s">
        <v>689</v>
      </c>
      <c r="E3538" t="s">
        <v>767</v>
      </c>
      <c r="F3538">
        <v>2</v>
      </c>
      <c r="G3538" s="308">
        <f>'BECA SUPERIOR'!J170</f>
        <v>0</v>
      </c>
      <c r="H3538" s="308">
        <f>'BECA SUPERIOR'!K170</f>
        <v>0</v>
      </c>
    </row>
    <row r="3539" spans="1:8" x14ac:dyDescent="0.3">
      <c r="A3539" t="s">
        <v>690</v>
      </c>
      <c r="B3539" t="s">
        <v>178</v>
      </c>
      <c r="C3539" t="s">
        <v>190</v>
      </c>
      <c r="D3539" t="s">
        <v>689</v>
      </c>
      <c r="E3539" t="s">
        <v>768</v>
      </c>
      <c r="F3539">
        <v>3</v>
      </c>
      <c r="G3539" s="308">
        <f>'BECA SUPERIOR'!M170</f>
        <v>0</v>
      </c>
      <c r="H3539" s="308">
        <f>'BECA SUPERIOR'!N170</f>
        <v>0</v>
      </c>
    </row>
    <row r="3540" spans="1:8" x14ac:dyDescent="0.3">
      <c r="A3540" t="s">
        <v>690</v>
      </c>
      <c r="B3540" t="s">
        <v>178</v>
      </c>
      <c r="C3540" t="s">
        <v>190</v>
      </c>
      <c r="D3540" t="s">
        <v>689</v>
      </c>
      <c r="E3540" t="s">
        <v>769</v>
      </c>
      <c r="F3540">
        <v>4</v>
      </c>
      <c r="G3540" s="308">
        <f>'BECA SUPERIOR'!P170</f>
        <v>2.16</v>
      </c>
      <c r="H3540" s="308">
        <f>'BECA SUPERIOR'!Q170</f>
        <v>5400</v>
      </c>
    </row>
    <row r="3541" spans="1:8" x14ac:dyDescent="0.3">
      <c r="A3541" t="s">
        <v>690</v>
      </c>
      <c r="B3541" t="s">
        <v>178</v>
      </c>
      <c r="C3541" t="s">
        <v>190</v>
      </c>
      <c r="D3541" t="s">
        <v>689</v>
      </c>
      <c r="E3541" t="s">
        <v>770</v>
      </c>
      <c r="F3541">
        <v>5</v>
      </c>
      <c r="G3541" s="308">
        <f>'BECA SUPERIOR'!S170</f>
        <v>0</v>
      </c>
      <c r="H3541" s="308">
        <f>'BECA SUPERIOR'!T170</f>
        <v>0</v>
      </c>
    </row>
    <row r="3542" spans="1:8" x14ac:dyDescent="0.3">
      <c r="A3542" t="s">
        <v>690</v>
      </c>
      <c r="B3542" t="s">
        <v>178</v>
      </c>
      <c r="C3542" t="s">
        <v>190</v>
      </c>
      <c r="D3542" t="s">
        <v>689</v>
      </c>
      <c r="E3542" t="s">
        <v>771</v>
      </c>
      <c r="F3542">
        <v>6</v>
      </c>
      <c r="G3542" s="308">
        <f>'BECA SUPERIOR'!V170</f>
        <v>0</v>
      </c>
      <c r="H3542" s="308">
        <f>'BECA SUPERIOR'!W170</f>
        <v>0</v>
      </c>
    </row>
    <row r="3543" spans="1:8" x14ac:dyDescent="0.3">
      <c r="A3543" t="s">
        <v>690</v>
      </c>
      <c r="B3543" t="s">
        <v>178</v>
      </c>
      <c r="C3543" t="s">
        <v>190</v>
      </c>
      <c r="D3543" t="s">
        <v>689</v>
      </c>
      <c r="E3543" t="s">
        <v>772</v>
      </c>
      <c r="F3543">
        <v>7</v>
      </c>
      <c r="G3543" s="308">
        <f>'BECA SUPERIOR'!Y170</f>
        <v>0</v>
      </c>
      <c r="H3543" s="308">
        <f>'BECA SUPERIOR'!Z170</f>
        <v>0</v>
      </c>
    </row>
    <row r="3544" spans="1:8" x14ac:dyDescent="0.3">
      <c r="A3544" t="s">
        <v>690</v>
      </c>
      <c r="B3544" t="s">
        <v>191</v>
      </c>
      <c r="C3544" t="s">
        <v>192</v>
      </c>
      <c r="D3544" t="s">
        <v>689</v>
      </c>
      <c r="E3544" t="s">
        <v>766</v>
      </c>
      <c r="F3544">
        <v>1</v>
      </c>
      <c r="G3544" s="308">
        <f>'BECA SUPERIOR'!G171</f>
        <v>0</v>
      </c>
      <c r="H3544" s="308">
        <f>'BECA SUPERIOR'!H171</f>
        <v>0</v>
      </c>
    </row>
    <row r="3545" spans="1:8" x14ac:dyDescent="0.3">
      <c r="A3545" t="s">
        <v>690</v>
      </c>
      <c r="B3545" t="s">
        <v>191</v>
      </c>
      <c r="C3545" t="s">
        <v>192</v>
      </c>
      <c r="D3545" t="s">
        <v>689</v>
      </c>
      <c r="E3545" t="s">
        <v>767</v>
      </c>
      <c r="F3545">
        <v>2</v>
      </c>
      <c r="G3545" s="308">
        <f>'BECA SUPERIOR'!J171</f>
        <v>0</v>
      </c>
      <c r="H3545" s="308">
        <f>'BECA SUPERIOR'!K171</f>
        <v>0</v>
      </c>
    </row>
    <row r="3546" spans="1:8" x14ac:dyDescent="0.3">
      <c r="A3546" t="s">
        <v>690</v>
      </c>
      <c r="B3546" t="s">
        <v>191</v>
      </c>
      <c r="C3546" t="s">
        <v>192</v>
      </c>
      <c r="D3546" t="s">
        <v>689</v>
      </c>
      <c r="E3546" t="s">
        <v>768</v>
      </c>
      <c r="F3546">
        <v>3</v>
      </c>
      <c r="G3546" s="308">
        <f>'BECA SUPERIOR'!M171</f>
        <v>0</v>
      </c>
      <c r="H3546" s="308">
        <f>'BECA SUPERIOR'!N171</f>
        <v>0</v>
      </c>
    </row>
    <row r="3547" spans="1:8" x14ac:dyDescent="0.3">
      <c r="A3547" t="s">
        <v>690</v>
      </c>
      <c r="B3547" t="s">
        <v>191</v>
      </c>
      <c r="C3547" t="s">
        <v>192</v>
      </c>
      <c r="D3547" t="s">
        <v>689</v>
      </c>
      <c r="E3547" t="s">
        <v>769</v>
      </c>
      <c r="F3547">
        <v>4</v>
      </c>
      <c r="G3547" s="308">
        <f>'BECA SUPERIOR'!P171</f>
        <v>0</v>
      </c>
      <c r="H3547" s="308">
        <f>'BECA SUPERIOR'!Q171</f>
        <v>0</v>
      </c>
    </row>
    <row r="3548" spans="1:8" x14ac:dyDescent="0.3">
      <c r="A3548" t="s">
        <v>690</v>
      </c>
      <c r="B3548" t="s">
        <v>191</v>
      </c>
      <c r="C3548" t="s">
        <v>192</v>
      </c>
      <c r="D3548" t="s">
        <v>689</v>
      </c>
      <c r="E3548" t="s">
        <v>770</v>
      </c>
      <c r="F3548">
        <v>5</v>
      </c>
      <c r="G3548" s="308">
        <f>'BECA SUPERIOR'!S171</f>
        <v>0</v>
      </c>
      <c r="H3548" s="308">
        <f>'BECA SUPERIOR'!T171</f>
        <v>0</v>
      </c>
    </row>
    <row r="3549" spans="1:8" x14ac:dyDescent="0.3">
      <c r="A3549" t="s">
        <v>690</v>
      </c>
      <c r="B3549" t="s">
        <v>191</v>
      </c>
      <c r="C3549" t="s">
        <v>192</v>
      </c>
      <c r="D3549" t="s">
        <v>689</v>
      </c>
      <c r="E3549" t="s">
        <v>771</v>
      </c>
      <c r="F3549">
        <v>6</v>
      </c>
      <c r="G3549" s="308">
        <f>'BECA SUPERIOR'!V171</f>
        <v>0</v>
      </c>
      <c r="H3549" s="308">
        <f>'BECA SUPERIOR'!W171</f>
        <v>0</v>
      </c>
    </row>
    <row r="3550" spans="1:8" x14ac:dyDescent="0.3">
      <c r="A3550" t="s">
        <v>690</v>
      </c>
      <c r="B3550" t="s">
        <v>191</v>
      </c>
      <c r="C3550" t="s">
        <v>192</v>
      </c>
      <c r="D3550" t="s">
        <v>689</v>
      </c>
      <c r="E3550" t="s">
        <v>772</v>
      </c>
      <c r="F3550">
        <v>7</v>
      </c>
      <c r="G3550" s="308">
        <f>'BECA SUPERIOR'!Y171</f>
        <v>0</v>
      </c>
      <c r="H3550" s="308">
        <f>'BECA SUPERIOR'!Z171</f>
        <v>0</v>
      </c>
    </row>
    <row r="3551" spans="1:8" x14ac:dyDescent="0.3">
      <c r="A3551" t="s">
        <v>690</v>
      </c>
      <c r="B3551" t="s">
        <v>191</v>
      </c>
      <c r="C3551" t="s">
        <v>193</v>
      </c>
      <c r="D3551" t="s">
        <v>689</v>
      </c>
      <c r="E3551" t="s">
        <v>766</v>
      </c>
      <c r="F3551">
        <v>1</v>
      </c>
      <c r="G3551" s="308">
        <f>'BECA SUPERIOR'!G172</f>
        <v>0</v>
      </c>
      <c r="H3551" s="308">
        <f>'BECA SUPERIOR'!H172</f>
        <v>0</v>
      </c>
    </row>
    <row r="3552" spans="1:8" x14ac:dyDescent="0.3">
      <c r="A3552" t="s">
        <v>690</v>
      </c>
      <c r="B3552" t="s">
        <v>191</v>
      </c>
      <c r="C3552" t="s">
        <v>193</v>
      </c>
      <c r="D3552" t="s">
        <v>689</v>
      </c>
      <c r="E3552" t="s">
        <v>767</v>
      </c>
      <c r="F3552">
        <v>2</v>
      </c>
      <c r="G3552" s="308">
        <f>'BECA SUPERIOR'!J172</f>
        <v>0</v>
      </c>
      <c r="H3552" s="308">
        <f>'BECA SUPERIOR'!K172</f>
        <v>0</v>
      </c>
    </row>
    <row r="3553" spans="1:8" x14ac:dyDescent="0.3">
      <c r="A3553" t="s">
        <v>690</v>
      </c>
      <c r="B3553" t="s">
        <v>191</v>
      </c>
      <c r="C3553" t="s">
        <v>193</v>
      </c>
      <c r="D3553" t="s">
        <v>689</v>
      </c>
      <c r="E3553" t="s">
        <v>768</v>
      </c>
      <c r="F3553">
        <v>3</v>
      </c>
      <c r="G3553" s="308">
        <f>'BECA SUPERIOR'!M172</f>
        <v>0</v>
      </c>
      <c r="H3553" s="308">
        <f>'BECA SUPERIOR'!N172</f>
        <v>0</v>
      </c>
    </row>
    <row r="3554" spans="1:8" x14ac:dyDescent="0.3">
      <c r="A3554" t="s">
        <v>690</v>
      </c>
      <c r="B3554" t="s">
        <v>191</v>
      </c>
      <c r="C3554" t="s">
        <v>193</v>
      </c>
      <c r="D3554" t="s">
        <v>689</v>
      </c>
      <c r="E3554" t="s">
        <v>769</v>
      </c>
      <c r="F3554">
        <v>4</v>
      </c>
      <c r="G3554" s="308">
        <f>'BECA SUPERIOR'!P172</f>
        <v>0</v>
      </c>
      <c r="H3554" s="308">
        <f>'BECA SUPERIOR'!Q172</f>
        <v>0</v>
      </c>
    </row>
    <row r="3555" spans="1:8" x14ac:dyDescent="0.3">
      <c r="A3555" t="s">
        <v>690</v>
      </c>
      <c r="B3555" t="s">
        <v>191</v>
      </c>
      <c r="C3555" t="s">
        <v>193</v>
      </c>
      <c r="D3555" t="s">
        <v>689</v>
      </c>
      <c r="E3555" t="s">
        <v>770</v>
      </c>
      <c r="F3555">
        <v>5</v>
      </c>
      <c r="G3555" s="308">
        <f>'BECA SUPERIOR'!S172</f>
        <v>0</v>
      </c>
      <c r="H3555" s="308">
        <f>'BECA SUPERIOR'!T172</f>
        <v>0</v>
      </c>
    </row>
    <row r="3556" spans="1:8" x14ac:dyDescent="0.3">
      <c r="A3556" t="s">
        <v>690</v>
      </c>
      <c r="B3556" t="s">
        <v>191</v>
      </c>
      <c r="C3556" t="s">
        <v>193</v>
      </c>
      <c r="D3556" t="s">
        <v>689</v>
      </c>
      <c r="E3556" t="s">
        <v>771</v>
      </c>
      <c r="F3556">
        <v>6</v>
      </c>
      <c r="G3556" s="308">
        <f>'BECA SUPERIOR'!V172</f>
        <v>0</v>
      </c>
      <c r="H3556" s="308">
        <f>'BECA SUPERIOR'!W172</f>
        <v>0</v>
      </c>
    </row>
    <row r="3557" spans="1:8" x14ac:dyDescent="0.3">
      <c r="A3557" t="s">
        <v>690</v>
      </c>
      <c r="B3557" t="s">
        <v>191</v>
      </c>
      <c r="C3557" t="s">
        <v>193</v>
      </c>
      <c r="D3557" t="s">
        <v>689</v>
      </c>
      <c r="E3557" t="s">
        <v>772</v>
      </c>
      <c r="F3557">
        <v>7</v>
      </c>
      <c r="G3557" s="308">
        <f>'BECA SUPERIOR'!Y172</f>
        <v>0</v>
      </c>
      <c r="H3557" s="308">
        <f>'BECA SUPERIOR'!Z172</f>
        <v>0</v>
      </c>
    </row>
    <row r="3558" spans="1:8" x14ac:dyDescent="0.3">
      <c r="A3558" t="s">
        <v>690</v>
      </c>
      <c r="B3558" t="s">
        <v>191</v>
      </c>
      <c r="C3558" t="s">
        <v>194</v>
      </c>
      <c r="D3558" t="s">
        <v>689</v>
      </c>
      <c r="E3558" t="s">
        <v>766</v>
      </c>
      <c r="F3558">
        <v>1</v>
      </c>
      <c r="G3558" s="308">
        <f>'BECA SUPERIOR'!G173</f>
        <v>0</v>
      </c>
      <c r="H3558" s="308">
        <f>'BECA SUPERIOR'!H173</f>
        <v>0</v>
      </c>
    </row>
    <row r="3559" spans="1:8" x14ac:dyDescent="0.3">
      <c r="A3559" t="s">
        <v>690</v>
      </c>
      <c r="B3559" t="s">
        <v>191</v>
      </c>
      <c r="C3559" t="s">
        <v>194</v>
      </c>
      <c r="D3559" t="s">
        <v>689</v>
      </c>
      <c r="E3559" t="s">
        <v>767</v>
      </c>
      <c r="F3559">
        <v>2</v>
      </c>
      <c r="G3559" s="308">
        <f>'BECA SUPERIOR'!J173</f>
        <v>0</v>
      </c>
      <c r="H3559" s="308">
        <f>'BECA SUPERIOR'!K173</f>
        <v>0</v>
      </c>
    </row>
    <row r="3560" spans="1:8" x14ac:dyDescent="0.3">
      <c r="A3560" t="s">
        <v>690</v>
      </c>
      <c r="B3560" t="s">
        <v>191</v>
      </c>
      <c r="C3560" t="s">
        <v>194</v>
      </c>
      <c r="D3560" t="s">
        <v>689</v>
      </c>
      <c r="E3560" t="s">
        <v>768</v>
      </c>
      <c r="F3560">
        <v>3</v>
      </c>
      <c r="G3560" s="308">
        <f>'BECA SUPERIOR'!M173</f>
        <v>0</v>
      </c>
      <c r="H3560" s="308">
        <f>'BECA SUPERIOR'!N173</f>
        <v>0</v>
      </c>
    </row>
    <row r="3561" spans="1:8" x14ac:dyDescent="0.3">
      <c r="A3561" t="s">
        <v>690</v>
      </c>
      <c r="B3561" t="s">
        <v>191</v>
      </c>
      <c r="C3561" t="s">
        <v>194</v>
      </c>
      <c r="D3561" t="s">
        <v>689</v>
      </c>
      <c r="E3561" t="s">
        <v>769</v>
      </c>
      <c r="F3561">
        <v>4</v>
      </c>
      <c r="G3561" s="308">
        <f>'BECA SUPERIOR'!P173</f>
        <v>0.72</v>
      </c>
      <c r="H3561" s="308">
        <f>'BECA SUPERIOR'!Q173</f>
        <v>1800</v>
      </c>
    </row>
    <row r="3562" spans="1:8" x14ac:dyDescent="0.3">
      <c r="A3562" t="s">
        <v>690</v>
      </c>
      <c r="B3562" t="s">
        <v>191</v>
      </c>
      <c r="C3562" t="s">
        <v>194</v>
      </c>
      <c r="D3562" t="s">
        <v>689</v>
      </c>
      <c r="E3562" t="s">
        <v>770</v>
      </c>
      <c r="F3562">
        <v>5</v>
      </c>
      <c r="G3562" s="308">
        <f>'BECA SUPERIOR'!S173</f>
        <v>0</v>
      </c>
      <c r="H3562" s="308">
        <f>'BECA SUPERIOR'!T173</f>
        <v>0</v>
      </c>
    </row>
    <row r="3563" spans="1:8" x14ac:dyDescent="0.3">
      <c r="A3563" t="s">
        <v>690</v>
      </c>
      <c r="B3563" t="s">
        <v>191</v>
      </c>
      <c r="C3563" t="s">
        <v>194</v>
      </c>
      <c r="D3563" t="s">
        <v>689</v>
      </c>
      <c r="E3563" t="s">
        <v>771</v>
      </c>
      <c r="F3563">
        <v>6</v>
      </c>
      <c r="G3563" s="308">
        <f>'BECA SUPERIOR'!V173</f>
        <v>0</v>
      </c>
      <c r="H3563" s="308">
        <f>'BECA SUPERIOR'!W173</f>
        <v>0</v>
      </c>
    </row>
    <row r="3564" spans="1:8" x14ac:dyDescent="0.3">
      <c r="A3564" t="s">
        <v>690</v>
      </c>
      <c r="B3564" t="s">
        <v>191</v>
      </c>
      <c r="C3564" t="s">
        <v>194</v>
      </c>
      <c r="D3564" t="s">
        <v>689</v>
      </c>
      <c r="E3564" t="s">
        <v>772</v>
      </c>
      <c r="F3564">
        <v>7</v>
      </c>
      <c r="G3564" s="308">
        <f>'BECA SUPERIOR'!Y173</f>
        <v>0</v>
      </c>
      <c r="H3564" s="308">
        <f>'BECA SUPERIOR'!Z173</f>
        <v>0</v>
      </c>
    </row>
    <row r="3565" spans="1:8" x14ac:dyDescent="0.3">
      <c r="A3565" t="s">
        <v>690</v>
      </c>
      <c r="B3565" t="s">
        <v>191</v>
      </c>
      <c r="C3565" t="s">
        <v>195</v>
      </c>
      <c r="D3565" t="s">
        <v>689</v>
      </c>
      <c r="E3565" t="s">
        <v>766</v>
      </c>
      <c r="F3565">
        <v>1</v>
      </c>
      <c r="G3565" s="308">
        <f>'BECA SUPERIOR'!G174</f>
        <v>0</v>
      </c>
      <c r="H3565" s="308">
        <f>'BECA SUPERIOR'!H174</f>
        <v>0</v>
      </c>
    </row>
    <row r="3566" spans="1:8" x14ac:dyDescent="0.3">
      <c r="A3566" t="s">
        <v>690</v>
      </c>
      <c r="B3566" t="s">
        <v>191</v>
      </c>
      <c r="C3566" t="s">
        <v>195</v>
      </c>
      <c r="D3566" t="s">
        <v>689</v>
      </c>
      <c r="E3566" t="s">
        <v>767</v>
      </c>
      <c r="F3566">
        <v>2</v>
      </c>
      <c r="G3566" s="308">
        <f>'BECA SUPERIOR'!J174</f>
        <v>0</v>
      </c>
      <c r="H3566" s="308">
        <f>'BECA SUPERIOR'!K174</f>
        <v>0</v>
      </c>
    </row>
    <row r="3567" spans="1:8" x14ac:dyDescent="0.3">
      <c r="A3567" t="s">
        <v>690</v>
      </c>
      <c r="B3567" t="s">
        <v>191</v>
      </c>
      <c r="C3567" t="s">
        <v>195</v>
      </c>
      <c r="D3567" t="s">
        <v>689</v>
      </c>
      <c r="E3567" t="s">
        <v>768</v>
      </c>
      <c r="F3567">
        <v>3</v>
      </c>
      <c r="G3567" s="308">
        <f>'BECA SUPERIOR'!M174</f>
        <v>0</v>
      </c>
      <c r="H3567" s="308">
        <f>'BECA SUPERIOR'!N174</f>
        <v>0</v>
      </c>
    </row>
    <row r="3568" spans="1:8" x14ac:dyDescent="0.3">
      <c r="A3568" t="s">
        <v>690</v>
      </c>
      <c r="B3568" t="s">
        <v>191</v>
      </c>
      <c r="C3568" t="s">
        <v>195</v>
      </c>
      <c r="D3568" t="s">
        <v>689</v>
      </c>
      <c r="E3568" t="s">
        <v>769</v>
      </c>
      <c r="F3568">
        <v>4</v>
      </c>
      <c r="G3568" s="308">
        <f>'BECA SUPERIOR'!P174</f>
        <v>2.88</v>
      </c>
      <c r="H3568" s="308">
        <f>'BECA SUPERIOR'!Q174</f>
        <v>7200</v>
      </c>
    </row>
    <row r="3569" spans="1:8" x14ac:dyDescent="0.3">
      <c r="A3569" t="s">
        <v>690</v>
      </c>
      <c r="B3569" t="s">
        <v>191</v>
      </c>
      <c r="C3569" t="s">
        <v>195</v>
      </c>
      <c r="D3569" t="s">
        <v>689</v>
      </c>
      <c r="E3569" t="s">
        <v>770</v>
      </c>
      <c r="F3569">
        <v>5</v>
      </c>
      <c r="G3569" s="308">
        <f>'BECA SUPERIOR'!S174</f>
        <v>0</v>
      </c>
      <c r="H3569" s="308">
        <f>'BECA SUPERIOR'!T174</f>
        <v>0</v>
      </c>
    </row>
    <row r="3570" spans="1:8" x14ac:dyDescent="0.3">
      <c r="A3570" t="s">
        <v>690</v>
      </c>
      <c r="B3570" t="s">
        <v>191</v>
      </c>
      <c r="C3570" t="s">
        <v>195</v>
      </c>
      <c r="D3570" t="s">
        <v>689</v>
      </c>
      <c r="E3570" t="s">
        <v>771</v>
      </c>
      <c r="F3570">
        <v>6</v>
      </c>
      <c r="G3570" s="308">
        <f>'BECA SUPERIOR'!V174</f>
        <v>0</v>
      </c>
      <c r="H3570" s="308">
        <f>'BECA SUPERIOR'!W174</f>
        <v>0</v>
      </c>
    </row>
    <row r="3571" spans="1:8" x14ac:dyDescent="0.3">
      <c r="A3571" t="s">
        <v>690</v>
      </c>
      <c r="B3571" t="s">
        <v>191</v>
      </c>
      <c r="C3571" t="s">
        <v>195</v>
      </c>
      <c r="D3571" t="s">
        <v>689</v>
      </c>
      <c r="E3571" t="s">
        <v>772</v>
      </c>
      <c r="F3571">
        <v>7</v>
      </c>
      <c r="G3571" s="308">
        <f>'BECA SUPERIOR'!Y174</f>
        <v>0</v>
      </c>
      <c r="H3571" s="308">
        <f>'BECA SUPERIOR'!Z174</f>
        <v>0</v>
      </c>
    </row>
    <row r="3572" spans="1:8" x14ac:dyDescent="0.3">
      <c r="A3572" t="s">
        <v>690</v>
      </c>
      <c r="B3572" t="s">
        <v>191</v>
      </c>
      <c r="C3572" t="s">
        <v>196</v>
      </c>
      <c r="D3572" t="s">
        <v>689</v>
      </c>
      <c r="E3572" t="s">
        <v>766</v>
      </c>
      <c r="F3572">
        <v>1</v>
      </c>
      <c r="G3572" s="308">
        <f>'BECA SUPERIOR'!G175</f>
        <v>0</v>
      </c>
      <c r="H3572" s="308">
        <f>'BECA SUPERIOR'!H175</f>
        <v>0</v>
      </c>
    </row>
    <row r="3573" spans="1:8" x14ac:dyDescent="0.3">
      <c r="A3573" t="s">
        <v>690</v>
      </c>
      <c r="B3573" t="s">
        <v>191</v>
      </c>
      <c r="C3573" t="s">
        <v>196</v>
      </c>
      <c r="D3573" t="s">
        <v>689</v>
      </c>
      <c r="E3573" t="s">
        <v>767</v>
      </c>
      <c r="F3573">
        <v>2</v>
      </c>
      <c r="G3573" s="308">
        <f>'BECA SUPERIOR'!J175</f>
        <v>0</v>
      </c>
      <c r="H3573" s="308">
        <f>'BECA SUPERIOR'!K175</f>
        <v>0</v>
      </c>
    </row>
    <row r="3574" spans="1:8" x14ac:dyDescent="0.3">
      <c r="A3574" t="s">
        <v>690</v>
      </c>
      <c r="B3574" t="s">
        <v>191</v>
      </c>
      <c r="C3574" t="s">
        <v>196</v>
      </c>
      <c r="D3574" t="s">
        <v>689</v>
      </c>
      <c r="E3574" t="s">
        <v>768</v>
      </c>
      <c r="F3574">
        <v>3</v>
      </c>
      <c r="G3574" s="308">
        <f>'BECA SUPERIOR'!M175</f>
        <v>0</v>
      </c>
      <c r="H3574" s="308">
        <f>'BECA SUPERIOR'!N175</f>
        <v>0</v>
      </c>
    </row>
    <row r="3575" spans="1:8" x14ac:dyDescent="0.3">
      <c r="A3575" t="s">
        <v>690</v>
      </c>
      <c r="B3575" t="s">
        <v>191</v>
      </c>
      <c r="C3575" t="s">
        <v>196</v>
      </c>
      <c r="D3575" t="s">
        <v>689</v>
      </c>
      <c r="E3575" t="s">
        <v>769</v>
      </c>
      <c r="F3575">
        <v>4</v>
      </c>
      <c r="G3575" s="308">
        <f>'BECA SUPERIOR'!P175</f>
        <v>7.2</v>
      </c>
      <c r="H3575" s="308">
        <f>'BECA SUPERIOR'!Q175</f>
        <v>18000</v>
      </c>
    </row>
    <row r="3576" spans="1:8" x14ac:dyDescent="0.3">
      <c r="A3576" t="s">
        <v>690</v>
      </c>
      <c r="B3576" t="s">
        <v>191</v>
      </c>
      <c r="C3576" t="s">
        <v>196</v>
      </c>
      <c r="D3576" t="s">
        <v>689</v>
      </c>
      <c r="E3576" t="s">
        <v>770</v>
      </c>
      <c r="F3576">
        <v>5</v>
      </c>
      <c r="G3576" s="308">
        <f>'BECA SUPERIOR'!S175</f>
        <v>0</v>
      </c>
      <c r="H3576" s="308">
        <f>'BECA SUPERIOR'!T175</f>
        <v>0</v>
      </c>
    </row>
    <row r="3577" spans="1:8" x14ac:dyDescent="0.3">
      <c r="A3577" t="s">
        <v>690</v>
      </c>
      <c r="B3577" t="s">
        <v>191</v>
      </c>
      <c r="C3577" t="s">
        <v>196</v>
      </c>
      <c r="D3577" t="s">
        <v>689</v>
      </c>
      <c r="E3577" t="s">
        <v>771</v>
      </c>
      <c r="F3577">
        <v>6</v>
      </c>
      <c r="G3577" s="308">
        <f>'BECA SUPERIOR'!V175</f>
        <v>0</v>
      </c>
      <c r="H3577" s="308">
        <f>'BECA SUPERIOR'!W175</f>
        <v>0</v>
      </c>
    </row>
    <row r="3578" spans="1:8" x14ac:dyDescent="0.3">
      <c r="A3578" t="s">
        <v>690</v>
      </c>
      <c r="B3578" t="s">
        <v>191</v>
      </c>
      <c r="C3578" t="s">
        <v>196</v>
      </c>
      <c r="D3578" t="s">
        <v>689</v>
      </c>
      <c r="E3578" t="s">
        <v>772</v>
      </c>
      <c r="F3578">
        <v>7</v>
      </c>
      <c r="G3578" s="308">
        <f>'BECA SUPERIOR'!Y175</f>
        <v>0</v>
      </c>
      <c r="H3578" s="308">
        <f>'BECA SUPERIOR'!Z175</f>
        <v>0</v>
      </c>
    </row>
    <row r="3579" spans="1:8" x14ac:dyDescent="0.3">
      <c r="A3579" t="s">
        <v>690</v>
      </c>
      <c r="B3579" t="s">
        <v>191</v>
      </c>
      <c r="C3579" t="s">
        <v>197</v>
      </c>
      <c r="D3579" t="s">
        <v>689</v>
      </c>
      <c r="E3579" t="s">
        <v>766</v>
      </c>
      <c r="F3579">
        <v>1</v>
      </c>
      <c r="G3579" s="308">
        <f>'BECA SUPERIOR'!G176</f>
        <v>0</v>
      </c>
      <c r="H3579" s="308">
        <f>'BECA SUPERIOR'!H176</f>
        <v>0</v>
      </c>
    </row>
    <row r="3580" spans="1:8" x14ac:dyDescent="0.3">
      <c r="A3580" t="s">
        <v>690</v>
      </c>
      <c r="B3580" t="s">
        <v>191</v>
      </c>
      <c r="C3580" t="s">
        <v>197</v>
      </c>
      <c r="D3580" t="s">
        <v>689</v>
      </c>
      <c r="E3580" t="s">
        <v>767</v>
      </c>
      <c r="F3580">
        <v>2</v>
      </c>
      <c r="G3580" s="308">
        <f>'BECA SUPERIOR'!J176</f>
        <v>0</v>
      </c>
      <c r="H3580" s="308">
        <f>'BECA SUPERIOR'!K176</f>
        <v>0</v>
      </c>
    </row>
    <row r="3581" spans="1:8" x14ac:dyDescent="0.3">
      <c r="A3581" t="s">
        <v>690</v>
      </c>
      <c r="B3581" t="s">
        <v>191</v>
      </c>
      <c r="C3581" t="s">
        <v>197</v>
      </c>
      <c r="D3581" t="s">
        <v>689</v>
      </c>
      <c r="E3581" t="s">
        <v>768</v>
      </c>
      <c r="F3581">
        <v>3</v>
      </c>
      <c r="G3581" s="308">
        <f>'BECA SUPERIOR'!M176</f>
        <v>0</v>
      </c>
      <c r="H3581" s="308">
        <f>'BECA SUPERIOR'!N176</f>
        <v>0</v>
      </c>
    </row>
    <row r="3582" spans="1:8" x14ac:dyDescent="0.3">
      <c r="A3582" t="s">
        <v>690</v>
      </c>
      <c r="B3582" t="s">
        <v>191</v>
      </c>
      <c r="C3582" t="s">
        <v>197</v>
      </c>
      <c r="D3582" t="s">
        <v>689</v>
      </c>
      <c r="E3582" t="s">
        <v>769</v>
      </c>
      <c r="F3582">
        <v>4</v>
      </c>
      <c r="G3582" s="308">
        <f>'BECA SUPERIOR'!P176</f>
        <v>3.6</v>
      </c>
      <c r="H3582" s="308">
        <f>'BECA SUPERIOR'!Q176</f>
        <v>9000</v>
      </c>
    </row>
    <row r="3583" spans="1:8" x14ac:dyDescent="0.3">
      <c r="A3583" t="s">
        <v>690</v>
      </c>
      <c r="B3583" t="s">
        <v>191</v>
      </c>
      <c r="C3583" t="s">
        <v>197</v>
      </c>
      <c r="D3583" t="s">
        <v>689</v>
      </c>
      <c r="E3583" t="s">
        <v>770</v>
      </c>
      <c r="F3583">
        <v>5</v>
      </c>
      <c r="G3583" s="308">
        <f>'BECA SUPERIOR'!S176</f>
        <v>0</v>
      </c>
      <c r="H3583" s="308">
        <f>'BECA SUPERIOR'!T176</f>
        <v>0</v>
      </c>
    </row>
    <row r="3584" spans="1:8" x14ac:dyDescent="0.3">
      <c r="A3584" t="s">
        <v>690</v>
      </c>
      <c r="B3584" t="s">
        <v>191</v>
      </c>
      <c r="C3584" t="s">
        <v>197</v>
      </c>
      <c r="D3584" t="s">
        <v>689</v>
      </c>
      <c r="E3584" t="s">
        <v>771</v>
      </c>
      <c r="F3584">
        <v>6</v>
      </c>
      <c r="G3584" s="308">
        <f>'BECA SUPERIOR'!V176</f>
        <v>0</v>
      </c>
      <c r="H3584" s="308">
        <f>'BECA SUPERIOR'!W176</f>
        <v>0</v>
      </c>
    </row>
    <row r="3585" spans="1:8" x14ac:dyDescent="0.3">
      <c r="A3585" t="s">
        <v>690</v>
      </c>
      <c r="B3585" t="s">
        <v>191</v>
      </c>
      <c r="C3585" t="s">
        <v>197</v>
      </c>
      <c r="D3585" t="s">
        <v>689</v>
      </c>
      <c r="E3585" t="s">
        <v>772</v>
      </c>
      <c r="F3585">
        <v>7</v>
      </c>
      <c r="G3585" s="308">
        <f>'BECA SUPERIOR'!Y176</f>
        <v>0</v>
      </c>
      <c r="H3585" s="308">
        <f>'BECA SUPERIOR'!Z176</f>
        <v>0</v>
      </c>
    </row>
    <row r="3586" spans="1:8" x14ac:dyDescent="0.3">
      <c r="A3586" t="s">
        <v>690</v>
      </c>
      <c r="B3586" t="s">
        <v>191</v>
      </c>
      <c r="C3586" t="s">
        <v>198</v>
      </c>
      <c r="D3586" t="s">
        <v>689</v>
      </c>
      <c r="E3586" t="s">
        <v>766</v>
      </c>
      <c r="F3586">
        <v>1</v>
      </c>
      <c r="G3586" s="308">
        <f>'BECA SUPERIOR'!G177</f>
        <v>0</v>
      </c>
      <c r="H3586" s="308">
        <f>'BECA SUPERIOR'!H177</f>
        <v>0</v>
      </c>
    </row>
    <row r="3587" spans="1:8" x14ac:dyDescent="0.3">
      <c r="A3587" t="s">
        <v>690</v>
      </c>
      <c r="B3587" t="s">
        <v>191</v>
      </c>
      <c r="C3587" t="s">
        <v>198</v>
      </c>
      <c r="D3587" t="s">
        <v>689</v>
      </c>
      <c r="E3587" t="s">
        <v>767</v>
      </c>
      <c r="F3587">
        <v>2</v>
      </c>
      <c r="G3587" s="308">
        <f>'BECA SUPERIOR'!J177</f>
        <v>0</v>
      </c>
      <c r="H3587" s="308">
        <f>'BECA SUPERIOR'!K177</f>
        <v>0</v>
      </c>
    </row>
    <row r="3588" spans="1:8" x14ac:dyDescent="0.3">
      <c r="A3588" t="s">
        <v>690</v>
      </c>
      <c r="B3588" t="s">
        <v>191</v>
      </c>
      <c r="C3588" t="s">
        <v>198</v>
      </c>
      <c r="D3588" t="s">
        <v>689</v>
      </c>
      <c r="E3588" t="s">
        <v>768</v>
      </c>
      <c r="F3588">
        <v>3</v>
      </c>
      <c r="G3588" s="308">
        <f>'BECA SUPERIOR'!M177</f>
        <v>0</v>
      </c>
      <c r="H3588" s="308">
        <f>'BECA SUPERIOR'!N177</f>
        <v>0</v>
      </c>
    </row>
    <row r="3589" spans="1:8" x14ac:dyDescent="0.3">
      <c r="A3589" t="s">
        <v>690</v>
      </c>
      <c r="B3589" t="s">
        <v>191</v>
      </c>
      <c r="C3589" t="s">
        <v>198</v>
      </c>
      <c r="D3589" t="s">
        <v>689</v>
      </c>
      <c r="E3589" t="s">
        <v>769</v>
      </c>
      <c r="F3589">
        <v>4</v>
      </c>
      <c r="G3589" s="308">
        <f>'BECA SUPERIOR'!P177</f>
        <v>0</v>
      </c>
      <c r="H3589" s="308">
        <f>'BECA SUPERIOR'!Q177</f>
        <v>0</v>
      </c>
    </row>
    <row r="3590" spans="1:8" x14ac:dyDescent="0.3">
      <c r="A3590" t="s">
        <v>690</v>
      </c>
      <c r="B3590" t="s">
        <v>191</v>
      </c>
      <c r="C3590" t="s">
        <v>198</v>
      </c>
      <c r="D3590" t="s">
        <v>689</v>
      </c>
      <c r="E3590" t="s">
        <v>770</v>
      </c>
      <c r="F3590">
        <v>5</v>
      </c>
      <c r="G3590" s="308">
        <f>'BECA SUPERIOR'!S177</f>
        <v>0</v>
      </c>
      <c r="H3590" s="308">
        <f>'BECA SUPERIOR'!T177</f>
        <v>0</v>
      </c>
    </row>
    <row r="3591" spans="1:8" x14ac:dyDescent="0.3">
      <c r="A3591" t="s">
        <v>690</v>
      </c>
      <c r="B3591" t="s">
        <v>191</v>
      </c>
      <c r="C3591" t="s">
        <v>198</v>
      </c>
      <c r="D3591" t="s">
        <v>689</v>
      </c>
      <c r="E3591" t="s">
        <v>771</v>
      </c>
      <c r="F3591">
        <v>6</v>
      </c>
      <c r="G3591" s="308">
        <f>'BECA SUPERIOR'!V177</f>
        <v>0</v>
      </c>
      <c r="H3591" s="308">
        <f>'BECA SUPERIOR'!W177</f>
        <v>0</v>
      </c>
    </row>
    <row r="3592" spans="1:8" x14ac:dyDescent="0.3">
      <c r="A3592" t="s">
        <v>690</v>
      </c>
      <c r="B3592" t="s">
        <v>191</v>
      </c>
      <c r="C3592" t="s">
        <v>198</v>
      </c>
      <c r="D3592" t="s">
        <v>689</v>
      </c>
      <c r="E3592" t="s">
        <v>772</v>
      </c>
      <c r="F3592">
        <v>7</v>
      </c>
      <c r="G3592" s="308">
        <f>'BECA SUPERIOR'!Y177</f>
        <v>0</v>
      </c>
      <c r="H3592" s="308">
        <f>'BECA SUPERIOR'!Z177</f>
        <v>0</v>
      </c>
    </row>
    <row r="3593" spans="1:8" x14ac:dyDescent="0.3">
      <c r="A3593" t="s">
        <v>690</v>
      </c>
      <c r="B3593" t="s">
        <v>191</v>
      </c>
      <c r="C3593" t="s">
        <v>199</v>
      </c>
      <c r="D3593" t="s">
        <v>689</v>
      </c>
      <c r="E3593" t="s">
        <v>766</v>
      </c>
      <c r="F3593">
        <v>1</v>
      </c>
      <c r="G3593" s="308">
        <f>'BECA SUPERIOR'!G178</f>
        <v>0</v>
      </c>
      <c r="H3593" s="308">
        <f>'BECA SUPERIOR'!H178</f>
        <v>0</v>
      </c>
    </row>
    <row r="3594" spans="1:8" x14ac:dyDescent="0.3">
      <c r="A3594" t="s">
        <v>690</v>
      </c>
      <c r="B3594" t="s">
        <v>191</v>
      </c>
      <c r="C3594" t="s">
        <v>199</v>
      </c>
      <c r="D3594" t="s">
        <v>689</v>
      </c>
      <c r="E3594" t="s">
        <v>767</v>
      </c>
      <c r="F3594">
        <v>2</v>
      </c>
      <c r="G3594" s="308">
        <f>'BECA SUPERIOR'!J178</f>
        <v>0</v>
      </c>
      <c r="H3594" s="308">
        <f>'BECA SUPERIOR'!K178</f>
        <v>0</v>
      </c>
    </row>
    <row r="3595" spans="1:8" x14ac:dyDescent="0.3">
      <c r="A3595" t="s">
        <v>690</v>
      </c>
      <c r="B3595" t="s">
        <v>191</v>
      </c>
      <c r="C3595" t="s">
        <v>199</v>
      </c>
      <c r="D3595" t="s">
        <v>689</v>
      </c>
      <c r="E3595" t="s">
        <v>768</v>
      </c>
      <c r="F3595">
        <v>3</v>
      </c>
      <c r="G3595" s="308">
        <f>'BECA SUPERIOR'!M178</f>
        <v>0</v>
      </c>
      <c r="H3595" s="308">
        <f>'BECA SUPERIOR'!N178</f>
        <v>0</v>
      </c>
    </row>
    <row r="3596" spans="1:8" x14ac:dyDescent="0.3">
      <c r="A3596" t="s">
        <v>690</v>
      </c>
      <c r="B3596" t="s">
        <v>191</v>
      </c>
      <c r="C3596" t="s">
        <v>199</v>
      </c>
      <c r="D3596" t="s">
        <v>689</v>
      </c>
      <c r="E3596" t="s">
        <v>769</v>
      </c>
      <c r="F3596">
        <v>4</v>
      </c>
      <c r="G3596" s="308">
        <f>'BECA SUPERIOR'!P178</f>
        <v>10.8</v>
      </c>
      <c r="H3596" s="308">
        <f>'BECA SUPERIOR'!Q178</f>
        <v>27000</v>
      </c>
    </row>
    <row r="3597" spans="1:8" x14ac:dyDescent="0.3">
      <c r="A3597" t="s">
        <v>690</v>
      </c>
      <c r="B3597" t="s">
        <v>191</v>
      </c>
      <c r="C3597" t="s">
        <v>199</v>
      </c>
      <c r="D3597" t="s">
        <v>689</v>
      </c>
      <c r="E3597" t="s">
        <v>770</v>
      </c>
      <c r="F3597">
        <v>5</v>
      </c>
      <c r="G3597" s="308">
        <f>'BECA SUPERIOR'!S178</f>
        <v>0</v>
      </c>
      <c r="H3597" s="308">
        <f>'BECA SUPERIOR'!T178</f>
        <v>0</v>
      </c>
    </row>
    <row r="3598" spans="1:8" x14ac:dyDescent="0.3">
      <c r="A3598" t="s">
        <v>690</v>
      </c>
      <c r="B3598" t="s">
        <v>191</v>
      </c>
      <c r="C3598" t="s">
        <v>199</v>
      </c>
      <c r="D3598" t="s">
        <v>689</v>
      </c>
      <c r="E3598" t="s">
        <v>771</v>
      </c>
      <c r="F3598">
        <v>6</v>
      </c>
      <c r="G3598" s="308">
        <f>'BECA SUPERIOR'!V178</f>
        <v>0</v>
      </c>
      <c r="H3598" s="308">
        <f>'BECA SUPERIOR'!W178</f>
        <v>0</v>
      </c>
    </row>
    <row r="3599" spans="1:8" x14ac:dyDescent="0.3">
      <c r="A3599" t="s">
        <v>690</v>
      </c>
      <c r="B3599" t="s">
        <v>191</v>
      </c>
      <c r="C3599" t="s">
        <v>199</v>
      </c>
      <c r="D3599" t="s">
        <v>689</v>
      </c>
      <c r="E3599" t="s">
        <v>772</v>
      </c>
      <c r="F3599">
        <v>7</v>
      </c>
      <c r="G3599" s="308">
        <f>'BECA SUPERIOR'!Y178</f>
        <v>0</v>
      </c>
      <c r="H3599" s="308">
        <f>'BECA SUPERIOR'!Z178</f>
        <v>0</v>
      </c>
    </row>
    <row r="3600" spans="1:8" x14ac:dyDescent="0.3">
      <c r="A3600" t="s">
        <v>690</v>
      </c>
      <c r="B3600" t="s">
        <v>191</v>
      </c>
      <c r="C3600" t="s">
        <v>200</v>
      </c>
      <c r="D3600" t="s">
        <v>689</v>
      </c>
      <c r="E3600" t="s">
        <v>766</v>
      </c>
      <c r="F3600">
        <v>1</v>
      </c>
      <c r="G3600" s="308">
        <f>'BECA SUPERIOR'!G179</f>
        <v>0</v>
      </c>
      <c r="H3600" s="308">
        <f>'BECA SUPERIOR'!H179</f>
        <v>0</v>
      </c>
    </row>
    <row r="3601" spans="1:8" x14ac:dyDescent="0.3">
      <c r="A3601" t="s">
        <v>690</v>
      </c>
      <c r="B3601" t="s">
        <v>191</v>
      </c>
      <c r="C3601" t="s">
        <v>200</v>
      </c>
      <c r="D3601" t="s">
        <v>689</v>
      </c>
      <c r="E3601" t="s">
        <v>767</v>
      </c>
      <c r="F3601">
        <v>2</v>
      </c>
      <c r="G3601" s="308">
        <f>'BECA SUPERIOR'!J179</f>
        <v>0</v>
      </c>
      <c r="H3601" s="308">
        <f>'BECA SUPERIOR'!K179</f>
        <v>0</v>
      </c>
    </row>
    <row r="3602" spans="1:8" x14ac:dyDescent="0.3">
      <c r="A3602" t="s">
        <v>690</v>
      </c>
      <c r="B3602" t="s">
        <v>191</v>
      </c>
      <c r="C3602" t="s">
        <v>200</v>
      </c>
      <c r="D3602" t="s">
        <v>689</v>
      </c>
      <c r="E3602" t="s">
        <v>768</v>
      </c>
      <c r="F3602">
        <v>3</v>
      </c>
      <c r="G3602" s="308">
        <f>'BECA SUPERIOR'!M179</f>
        <v>0</v>
      </c>
      <c r="H3602" s="308">
        <f>'BECA SUPERIOR'!N179</f>
        <v>0</v>
      </c>
    </row>
    <row r="3603" spans="1:8" x14ac:dyDescent="0.3">
      <c r="A3603" t="s">
        <v>690</v>
      </c>
      <c r="B3603" t="s">
        <v>191</v>
      </c>
      <c r="C3603" t="s">
        <v>200</v>
      </c>
      <c r="D3603" t="s">
        <v>689</v>
      </c>
      <c r="E3603" t="s">
        <v>769</v>
      </c>
      <c r="F3603">
        <v>4</v>
      </c>
      <c r="G3603" s="308">
        <f>'BECA SUPERIOR'!P179</f>
        <v>2.16</v>
      </c>
      <c r="H3603" s="308">
        <f>'BECA SUPERIOR'!Q179</f>
        <v>5400</v>
      </c>
    </row>
    <row r="3604" spans="1:8" x14ac:dyDescent="0.3">
      <c r="A3604" t="s">
        <v>690</v>
      </c>
      <c r="B3604" t="s">
        <v>191</v>
      </c>
      <c r="C3604" t="s">
        <v>200</v>
      </c>
      <c r="D3604" t="s">
        <v>689</v>
      </c>
      <c r="E3604" t="s">
        <v>770</v>
      </c>
      <c r="F3604">
        <v>5</v>
      </c>
      <c r="G3604" s="308">
        <f>'BECA SUPERIOR'!S179</f>
        <v>0</v>
      </c>
      <c r="H3604" s="308">
        <f>'BECA SUPERIOR'!T179</f>
        <v>0</v>
      </c>
    </row>
    <row r="3605" spans="1:8" x14ac:dyDescent="0.3">
      <c r="A3605" t="s">
        <v>690</v>
      </c>
      <c r="B3605" t="s">
        <v>191</v>
      </c>
      <c r="C3605" t="s">
        <v>200</v>
      </c>
      <c r="D3605" t="s">
        <v>689</v>
      </c>
      <c r="E3605" t="s">
        <v>771</v>
      </c>
      <c r="F3605">
        <v>6</v>
      </c>
      <c r="G3605" s="308">
        <f>'BECA SUPERIOR'!V179</f>
        <v>0</v>
      </c>
      <c r="H3605" s="308">
        <f>'BECA SUPERIOR'!W179</f>
        <v>0</v>
      </c>
    </row>
    <row r="3606" spans="1:8" x14ac:dyDescent="0.3">
      <c r="A3606" t="s">
        <v>690</v>
      </c>
      <c r="B3606" t="s">
        <v>191</v>
      </c>
      <c r="C3606" t="s">
        <v>200</v>
      </c>
      <c r="D3606" t="s">
        <v>689</v>
      </c>
      <c r="E3606" t="s">
        <v>772</v>
      </c>
      <c r="F3606">
        <v>7</v>
      </c>
      <c r="G3606" s="308">
        <f>'BECA SUPERIOR'!Y179</f>
        <v>0</v>
      </c>
      <c r="H3606" s="308">
        <f>'BECA SUPERIOR'!Z179</f>
        <v>0</v>
      </c>
    </row>
    <row r="3607" spans="1:8" x14ac:dyDescent="0.3">
      <c r="A3607" t="s">
        <v>690</v>
      </c>
      <c r="B3607" t="s">
        <v>191</v>
      </c>
      <c r="C3607" t="s">
        <v>201</v>
      </c>
      <c r="D3607" t="s">
        <v>689</v>
      </c>
      <c r="E3607" t="s">
        <v>766</v>
      </c>
      <c r="F3607">
        <v>1</v>
      </c>
      <c r="G3607" s="308">
        <f>'BECA SUPERIOR'!G180</f>
        <v>0</v>
      </c>
      <c r="H3607" s="308">
        <f>'BECA SUPERIOR'!H180</f>
        <v>0</v>
      </c>
    </row>
    <row r="3608" spans="1:8" x14ac:dyDescent="0.3">
      <c r="A3608" t="s">
        <v>690</v>
      </c>
      <c r="B3608" t="s">
        <v>191</v>
      </c>
      <c r="C3608" t="s">
        <v>201</v>
      </c>
      <c r="D3608" t="s">
        <v>689</v>
      </c>
      <c r="E3608" t="s">
        <v>767</v>
      </c>
      <c r="F3608">
        <v>2</v>
      </c>
      <c r="G3608" s="308">
        <f>'BECA SUPERIOR'!J180</f>
        <v>0</v>
      </c>
      <c r="H3608" s="308">
        <f>'BECA SUPERIOR'!K180</f>
        <v>0</v>
      </c>
    </row>
    <row r="3609" spans="1:8" x14ac:dyDescent="0.3">
      <c r="A3609" t="s">
        <v>690</v>
      </c>
      <c r="B3609" t="s">
        <v>191</v>
      </c>
      <c r="C3609" t="s">
        <v>201</v>
      </c>
      <c r="D3609" t="s">
        <v>689</v>
      </c>
      <c r="E3609" t="s">
        <v>768</v>
      </c>
      <c r="F3609">
        <v>3</v>
      </c>
      <c r="G3609" s="308">
        <f>'BECA SUPERIOR'!M180</f>
        <v>0</v>
      </c>
      <c r="H3609" s="308">
        <f>'BECA SUPERIOR'!N180</f>
        <v>0</v>
      </c>
    </row>
    <row r="3610" spans="1:8" x14ac:dyDescent="0.3">
      <c r="A3610" t="s">
        <v>690</v>
      </c>
      <c r="B3610" t="s">
        <v>191</v>
      </c>
      <c r="C3610" t="s">
        <v>201</v>
      </c>
      <c r="D3610" t="s">
        <v>689</v>
      </c>
      <c r="E3610" t="s">
        <v>769</v>
      </c>
      <c r="F3610">
        <v>4</v>
      </c>
      <c r="G3610" s="308">
        <f>'BECA SUPERIOR'!P180</f>
        <v>3.6</v>
      </c>
      <c r="H3610" s="308">
        <f>'BECA SUPERIOR'!Q180</f>
        <v>9000</v>
      </c>
    </row>
    <row r="3611" spans="1:8" x14ac:dyDescent="0.3">
      <c r="A3611" t="s">
        <v>690</v>
      </c>
      <c r="B3611" t="s">
        <v>191</v>
      </c>
      <c r="C3611" t="s">
        <v>201</v>
      </c>
      <c r="D3611" t="s">
        <v>689</v>
      </c>
      <c r="E3611" t="s">
        <v>770</v>
      </c>
      <c r="F3611">
        <v>5</v>
      </c>
      <c r="G3611" s="308">
        <f>'BECA SUPERIOR'!S180</f>
        <v>0</v>
      </c>
      <c r="H3611" s="308">
        <f>'BECA SUPERIOR'!T180</f>
        <v>0</v>
      </c>
    </row>
    <row r="3612" spans="1:8" x14ac:dyDescent="0.3">
      <c r="A3612" t="s">
        <v>690</v>
      </c>
      <c r="B3612" t="s">
        <v>191</v>
      </c>
      <c r="C3612" t="s">
        <v>201</v>
      </c>
      <c r="D3612" t="s">
        <v>689</v>
      </c>
      <c r="E3612" t="s">
        <v>771</v>
      </c>
      <c r="F3612">
        <v>6</v>
      </c>
      <c r="G3612" s="308">
        <f>'BECA SUPERIOR'!V180</f>
        <v>0</v>
      </c>
      <c r="H3612" s="308">
        <f>'BECA SUPERIOR'!W180</f>
        <v>0</v>
      </c>
    </row>
    <row r="3613" spans="1:8" x14ac:dyDescent="0.3">
      <c r="A3613" t="s">
        <v>690</v>
      </c>
      <c r="B3613" t="s">
        <v>191</v>
      </c>
      <c r="C3613" t="s">
        <v>201</v>
      </c>
      <c r="D3613" t="s">
        <v>689</v>
      </c>
      <c r="E3613" t="s">
        <v>772</v>
      </c>
      <c r="F3613">
        <v>7</v>
      </c>
      <c r="G3613" s="308">
        <f>'BECA SUPERIOR'!Y180</f>
        <v>0</v>
      </c>
      <c r="H3613" s="308">
        <f>'BECA SUPERIOR'!Z180</f>
        <v>0</v>
      </c>
    </row>
    <row r="3614" spans="1:8" x14ac:dyDescent="0.3">
      <c r="A3614" t="s">
        <v>690</v>
      </c>
      <c r="B3614" t="s">
        <v>191</v>
      </c>
      <c r="C3614" t="s">
        <v>202</v>
      </c>
      <c r="D3614" t="s">
        <v>689</v>
      </c>
      <c r="E3614" t="s">
        <v>766</v>
      </c>
      <c r="F3614">
        <v>1</v>
      </c>
      <c r="G3614" s="308">
        <f>'BECA SUPERIOR'!G181</f>
        <v>0</v>
      </c>
      <c r="H3614" s="308">
        <f>'BECA SUPERIOR'!H181</f>
        <v>0</v>
      </c>
    </row>
    <row r="3615" spans="1:8" x14ac:dyDescent="0.3">
      <c r="A3615" t="s">
        <v>690</v>
      </c>
      <c r="B3615" t="s">
        <v>191</v>
      </c>
      <c r="C3615" t="s">
        <v>202</v>
      </c>
      <c r="D3615" t="s">
        <v>689</v>
      </c>
      <c r="E3615" t="s">
        <v>767</v>
      </c>
      <c r="F3615">
        <v>2</v>
      </c>
      <c r="G3615" s="308">
        <f>'BECA SUPERIOR'!J181</f>
        <v>0</v>
      </c>
      <c r="H3615" s="308">
        <f>'BECA SUPERIOR'!K181</f>
        <v>0</v>
      </c>
    </row>
    <row r="3616" spans="1:8" x14ac:dyDescent="0.3">
      <c r="A3616" t="s">
        <v>690</v>
      </c>
      <c r="B3616" t="s">
        <v>191</v>
      </c>
      <c r="C3616" t="s">
        <v>202</v>
      </c>
      <c r="D3616" t="s">
        <v>689</v>
      </c>
      <c r="E3616" t="s">
        <v>768</v>
      </c>
      <c r="F3616">
        <v>3</v>
      </c>
      <c r="G3616" s="308">
        <f>'BECA SUPERIOR'!M181</f>
        <v>0</v>
      </c>
      <c r="H3616" s="308">
        <f>'BECA SUPERIOR'!N181</f>
        <v>0</v>
      </c>
    </row>
    <row r="3617" spans="1:8" x14ac:dyDescent="0.3">
      <c r="A3617" t="s">
        <v>690</v>
      </c>
      <c r="B3617" t="s">
        <v>191</v>
      </c>
      <c r="C3617" t="s">
        <v>202</v>
      </c>
      <c r="D3617" t="s">
        <v>689</v>
      </c>
      <c r="E3617" t="s">
        <v>769</v>
      </c>
      <c r="F3617">
        <v>4</v>
      </c>
      <c r="G3617" s="308">
        <f>'BECA SUPERIOR'!P181</f>
        <v>0</v>
      </c>
      <c r="H3617" s="308">
        <f>'BECA SUPERIOR'!Q181</f>
        <v>0</v>
      </c>
    </row>
    <row r="3618" spans="1:8" x14ac:dyDescent="0.3">
      <c r="A3618" t="s">
        <v>690</v>
      </c>
      <c r="B3618" t="s">
        <v>191</v>
      </c>
      <c r="C3618" t="s">
        <v>202</v>
      </c>
      <c r="D3618" t="s">
        <v>689</v>
      </c>
      <c r="E3618" t="s">
        <v>770</v>
      </c>
      <c r="F3618">
        <v>5</v>
      </c>
      <c r="G3618" s="308">
        <f>'BECA SUPERIOR'!S181</f>
        <v>0</v>
      </c>
      <c r="H3618" s="308">
        <f>'BECA SUPERIOR'!T181</f>
        <v>0</v>
      </c>
    </row>
    <row r="3619" spans="1:8" x14ac:dyDescent="0.3">
      <c r="A3619" t="s">
        <v>690</v>
      </c>
      <c r="B3619" t="s">
        <v>191</v>
      </c>
      <c r="C3619" t="s">
        <v>202</v>
      </c>
      <c r="D3619" t="s">
        <v>689</v>
      </c>
      <c r="E3619" t="s">
        <v>771</v>
      </c>
      <c r="F3619">
        <v>6</v>
      </c>
      <c r="G3619" s="308">
        <f>'BECA SUPERIOR'!V181</f>
        <v>0</v>
      </c>
      <c r="H3619" s="308">
        <f>'BECA SUPERIOR'!W181</f>
        <v>0</v>
      </c>
    </row>
    <row r="3620" spans="1:8" x14ac:dyDescent="0.3">
      <c r="A3620" t="s">
        <v>690</v>
      </c>
      <c r="B3620" t="s">
        <v>191</v>
      </c>
      <c r="C3620" t="s">
        <v>202</v>
      </c>
      <c r="D3620" t="s">
        <v>689</v>
      </c>
      <c r="E3620" t="s">
        <v>772</v>
      </c>
      <c r="F3620">
        <v>7</v>
      </c>
      <c r="G3620" s="308">
        <f>'BECA SUPERIOR'!Y181</f>
        <v>0</v>
      </c>
      <c r="H3620" s="308">
        <f>'BECA SUPERIOR'!Z181</f>
        <v>0</v>
      </c>
    </row>
    <row r="3621" spans="1:8" x14ac:dyDescent="0.3">
      <c r="A3621" t="s">
        <v>690</v>
      </c>
      <c r="B3621" t="s">
        <v>191</v>
      </c>
      <c r="C3621" t="s">
        <v>203</v>
      </c>
      <c r="D3621" t="s">
        <v>689</v>
      </c>
      <c r="E3621" t="s">
        <v>766</v>
      </c>
      <c r="F3621">
        <v>1</v>
      </c>
      <c r="G3621" s="308">
        <f>'BECA SUPERIOR'!G182</f>
        <v>0</v>
      </c>
      <c r="H3621" s="308">
        <f>'BECA SUPERIOR'!H182</f>
        <v>0</v>
      </c>
    </row>
    <row r="3622" spans="1:8" x14ac:dyDescent="0.3">
      <c r="A3622" t="s">
        <v>690</v>
      </c>
      <c r="B3622" t="s">
        <v>191</v>
      </c>
      <c r="C3622" t="s">
        <v>203</v>
      </c>
      <c r="D3622" t="s">
        <v>689</v>
      </c>
      <c r="E3622" t="s">
        <v>767</v>
      </c>
      <c r="F3622">
        <v>2</v>
      </c>
      <c r="G3622" s="308">
        <f>'BECA SUPERIOR'!J182</f>
        <v>0</v>
      </c>
      <c r="H3622" s="308">
        <f>'BECA SUPERIOR'!K182</f>
        <v>0</v>
      </c>
    </row>
    <row r="3623" spans="1:8" x14ac:dyDescent="0.3">
      <c r="A3623" t="s">
        <v>690</v>
      </c>
      <c r="B3623" t="s">
        <v>191</v>
      </c>
      <c r="C3623" t="s">
        <v>203</v>
      </c>
      <c r="D3623" t="s">
        <v>689</v>
      </c>
      <c r="E3623" t="s">
        <v>768</v>
      </c>
      <c r="F3623">
        <v>3</v>
      </c>
      <c r="G3623" s="308">
        <f>'BECA SUPERIOR'!M182</f>
        <v>0</v>
      </c>
      <c r="H3623" s="308">
        <f>'BECA SUPERIOR'!N182</f>
        <v>0</v>
      </c>
    </row>
    <row r="3624" spans="1:8" x14ac:dyDescent="0.3">
      <c r="A3624" t="s">
        <v>690</v>
      </c>
      <c r="B3624" t="s">
        <v>191</v>
      </c>
      <c r="C3624" t="s">
        <v>203</v>
      </c>
      <c r="D3624" t="s">
        <v>689</v>
      </c>
      <c r="E3624" t="s">
        <v>769</v>
      </c>
      <c r="F3624">
        <v>4</v>
      </c>
      <c r="G3624" s="308">
        <f>'BECA SUPERIOR'!P182</f>
        <v>0.72</v>
      </c>
      <c r="H3624" s="308">
        <f>'BECA SUPERIOR'!Q182</f>
        <v>1800</v>
      </c>
    </row>
    <row r="3625" spans="1:8" x14ac:dyDescent="0.3">
      <c r="A3625" t="s">
        <v>690</v>
      </c>
      <c r="B3625" t="s">
        <v>191</v>
      </c>
      <c r="C3625" t="s">
        <v>203</v>
      </c>
      <c r="D3625" t="s">
        <v>689</v>
      </c>
      <c r="E3625" t="s">
        <v>770</v>
      </c>
      <c r="F3625">
        <v>5</v>
      </c>
      <c r="G3625" s="308">
        <f>'BECA SUPERIOR'!S182</f>
        <v>0</v>
      </c>
      <c r="H3625" s="308">
        <f>'BECA SUPERIOR'!T182</f>
        <v>0</v>
      </c>
    </row>
    <row r="3626" spans="1:8" x14ac:dyDescent="0.3">
      <c r="A3626" t="s">
        <v>690</v>
      </c>
      <c r="B3626" t="s">
        <v>191</v>
      </c>
      <c r="C3626" t="s">
        <v>203</v>
      </c>
      <c r="D3626" t="s">
        <v>689</v>
      </c>
      <c r="E3626" t="s">
        <v>771</v>
      </c>
      <c r="F3626">
        <v>6</v>
      </c>
      <c r="G3626" s="308">
        <f>'BECA SUPERIOR'!V182</f>
        <v>0</v>
      </c>
      <c r="H3626" s="308">
        <f>'BECA SUPERIOR'!W182</f>
        <v>0</v>
      </c>
    </row>
    <row r="3627" spans="1:8" x14ac:dyDescent="0.3">
      <c r="A3627" t="s">
        <v>690</v>
      </c>
      <c r="B3627" t="s">
        <v>191</v>
      </c>
      <c r="C3627" t="s">
        <v>203</v>
      </c>
      <c r="D3627" t="s">
        <v>689</v>
      </c>
      <c r="E3627" t="s">
        <v>772</v>
      </c>
      <c r="F3627">
        <v>7</v>
      </c>
      <c r="G3627" s="308">
        <f>'BECA SUPERIOR'!Y182</f>
        <v>0</v>
      </c>
      <c r="H3627" s="308">
        <f>'BECA SUPERIOR'!Z182</f>
        <v>0</v>
      </c>
    </row>
    <row r="3628" spans="1:8" x14ac:dyDescent="0.3">
      <c r="A3628" t="s">
        <v>690</v>
      </c>
      <c r="B3628" t="s">
        <v>191</v>
      </c>
      <c r="C3628" t="s">
        <v>204</v>
      </c>
      <c r="D3628" t="s">
        <v>689</v>
      </c>
      <c r="E3628" t="s">
        <v>766</v>
      </c>
      <c r="F3628">
        <v>1</v>
      </c>
      <c r="G3628" s="308">
        <f>'BECA SUPERIOR'!G183</f>
        <v>0</v>
      </c>
      <c r="H3628" s="308">
        <f>'BECA SUPERIOR'!H183</f>
        <v>0</v>
      </c>
    </row>
    <row r="3629" spans="1:8" x14ac:dyDescent="0.3">
      <c r="A3629" t="s">
        <v>690</v>
      </c>
      <c r="B3629" t="s">
        <v>191</v>
      </c>
      <c r="C3629" t="s">
        <v>204</v>
      </c>
      <c r="D3629" t="s">
        <v>689</v>
      </c>
      <c r="E3629" t="s">
        <v>767</v>
      </c>
      <c r="F3629">
        <v>2</v>
      </c>
      <c r="G3629" s="308">
        <f>'BECA SUPERIOR'!J183</f>
        <v>0</v>
      </c>
      <c r="H3629" s="308">
        <f>'BECA SUPERIOR'!K183</f>
        <v>0</v>
      </c>
    </row>
    <row r="3630" spans="1:8" x14ac:dyDescent="0.3">
      <c r="A3630" t="s">
        <v>690</v>
      </c>
      <c r="B3630" t="s">
        <v>191</v>
      </c>
      <c r="C3630" t="s">
        <v>204</v>
      </c>
      <c r="D3630" t="s">
        <v>689</v>
      </c>
      <c r="E3630" t="s">
        <v>768</v>
      </c>
      <c r="F3630">
        <v>3</v>
      </c>
      <c r="G3630" s="308">
        <f>'BECA SUPERIOR'!M183</f>
        <v>0</v>
      </c>
      <c r="H3630" s="308">
        <f>'BECA SUPERIOR'!N183</f>
        <v>0</v>
      </c>
    </row>
    <row r="3631" spans="1:8" x14ac:dyDescent="0.3">
      <c r="A3631" t="s">
        <v>690</v>
      </c>
      <c r="B3631" t="s">
        <v>191</v>
      </c>
      <c r="C3631" t="s">
        <v>204</v>
      </c>
      <c r="D3631" t="s">
        <v>689</v>
      </c>
      <c r="E3631" t="s">
        <v>769</v>
      </c>
      <c r="F3631">
        <v>4</v>
      </c>
      <c r="G3631" s="308">
        <f>'BECA SUPERIOR'!P183</f>
        <v>0.72</v>
      </c>
      <c r="H3631" s="308">
        <f>'BECA SUPERIOR'!Q183</f>
        <v>1800</v>
      </c>
    </row>
    <row r="3632" spans="1:8" x14ac:dyDescent="0.3">
      <c r="A3632" t="s">
        <v>690</v>
      </c>
      <c r="B3632" t="s">
        <v>191</v>
      </c>
      <c r="C3632" t="s">
        <v>204</v>
      </c>
      <c r="D3632" t="s">
        <v>689</v>
      </c>
      <c r="E3632" t="s">
        <v>770</v>
      </c>
      <c r="F3632">
        <v>5</v>
      </c>
      <c r="G3632" s="308">
        <f>'BECA SUPERIOR'!S183</f>
        <v>0</v>
      </c>
      <c r="H3632" s="308">
        <f>'BECA SUPERIOR'!T183</f>
        <v>0</v>
      </c>
    </row>
    <row r="3633" spans="1:8" x14ac:dyDescent="0.3">
      <c r="A3633" t="s">
        <v>690</v>
      </c>
      <c r="B3633" t="s">
        <v>191</v>
      </c>
      <c r="C3633" t="s">
        <v>204</v>
      </c>
      <c r="D3633" t="s">
        <v>689</v>
      </c>
      <c r="E3633" t="s">
        <v>771</v>
      </c>
      <c r="F3633">
        <v>6</v>
      </c>
      <c r="G3633" s="308">
        <f>'BECA SUPERIOR'!V183</f>
        <v>0</v>
      </c>
      <c r="H3633" s="308">
        <f>'BECA SUPERIOR'!W183</f>
        <v>0</v>
      </c>
    </row>
    <row r="3634" spans="1:8" x14ac:dyDescent="0.3">
      <c r="A3634" t="s">
        <v>690</v>
      </c>
      <c r="B3634" t="s">
        <v>191</v>
      </c>
      <c r="C3634" t="s">
        <v>204</v>
      </c>
      <c r="D3634" t="s">
        <v>689</v>
      </c>
      <c r="E3634" t="s">
        <v>772</v>
      </c>
      <c r="F3634">
        <v>7</v>
      </c>
      <c r="G3634" s="308">
        <f>'BECA SUPERIOR'!Y183</f>
        <v>0</v>
      </c>
      <c r="H3634" s="308">
        <f>'BECA SUPERIOR'!Z183</f>
        <v>0</v>
      </c>
    </row>
    <row r="3635" spans="1:8" x14ac:dyDescent="0.3">
      <c r="A3635" t="s">
        <v>690</v>
      </c>
      <c r="B3635" t="s">
        <v>191</v>
      </c>
      <c r="C3635" t="s">
        <v>205</v>
      </c>
      <c r="D3635" t="s">
        <v>689</v>
      </c>
      <c r="E3635" t="s">
        <v>766</v>
      </c>
      <c r="F3635">
        <v>1</v>
      </c>
      <c r="G3635" s="308">
        <f>'BECA SUPERIOR'!G184</f>
        <v>0</v>
      </c>
      <c r="H3635" s="308">
        <f>'BECA SUPERIOR'!H184</f>
        <v>0</v>
      </c>
    </row>
    <row r="3636" spans="1:8" x14ac:dyDescent="0.3">
      <c r="A3636" t="s">
        <v>690</v>
      </c>
      <c r="B3636" t="s">
        <v>191</v>
      </c>
      <c r="C3636" t="s">
        <v>205</v>
      </c>
      <c r="D3636" t="s">
        <v>689</v>
      </c>
      <c r="E3636" t="s">
        <v>767</v>
      </c>
      <c r="F3636">
        <v>2</v>
      </c>
      <c r="G3636" s="308">
        <f>'BECA SUPERIOR'!J184</f>
        <v>0</v>
      </c>
      <c r="H3636" s="308">
        <f>'BECA SUPERIOR'!K184</f>
        <v>0</v>
      </c>
    </row>
    <row r="3637" spans="1:8" x14ac:dyDescent="0.3">
      <c r="A3637" t="s">
        <v>690</v>
      </c>
      <c r="B3637" t="s">
        <v>191</v>
      </c>
      <c r="C3637" t="s">
        <v>205</v>
      </c>
      <c r="D3637" t="s">
        <v>689</v>
      </c>
      <c r="E3637" t="s">
        <v>768</v>
      </c>
      <c r="F3637">
        <v>3</v>
      </c>
      <c r="G3637" s="308">
        <f>'BECA SUPERIOR'!M184</f>
        <v>0</v>
      </c>
      <c r="H3637" s="308">
        <f>'BECA SUPERIOR'!N184</f>
        <v>0</v>
      </c>
    </row>
    <row r="3638" spans="1:8" x14ac:dyDescent="0.3">
      <c r="A3638" t="s">
        <v>690</v>
      </c>
      <c r="B3638" t="s">
        <v>191</v>
      </c>
      <c r="C3638" t="s">
        <v>205</v>
      </c>
      <c r="D3638" t="s">
        <v>689</v>
      </c>
      <c r="E3638" t="s">
        <v>769</v>
      </c>
      <c r="F3638">
        <v>4</v>
      </c>
      <c r="G3638" s="308">
        <f>'BECA SUPERIOR'!P184</f>
        <v>0</v>
      </c>
      <c r="H3638" s="308">
        <f>'BECA SUPERIOR'!Q184</f>
        <v>0</v>
      </c>
    </row>
    <row r="3639" spans="1:8" x14ac:dyDescent="0.3">
      <c r="A3639" t="s">
        <v>690</v>
      </c>
      <c r="B3639" t="s">
        <v>191</v>
      </c>
      <c r="C3639" t="s">
        <v>205</v>
      </c>
      <c r="D3639" t="s">
        <v>689</v>
      </c>
      <c r="E3639" t="s">
        <v>770</v>
      </c>
      <c r="F3639">
        <v>5</v>
      </c>
      <c r="G3639" s="308">
        <f>'BECA SUPERIOR'!S184</f>
        <v>0</v>
      </c>
      <c r="H3639" s="308">
        <f>'BECA SUPERIOR'!T184</f>
        <v>0</v>
      </c>
    </row>
    <row r="3640" spans="1:8" x14ac:dyDescent="0.3">
      <c r="A3640" t="s">
        <v>690</v>
      </c>
      <c r="B3640" t="s">
        <v>191</v>
      </c>
      <c r="C3640" t="s">
        <v>205</v>
      </c>
      <c r="D3640" t="s">
        <v>689</v>
      </c>
      <c r="E3640" t="s">
        <v>771</v>
      </c>
      <c r="F3640">
        <v>6</v>
      </c>
      <c r="G3640" s="308">
        <f>'BECA SUPERIOR'!V184</f>
        <v>0</v>
      </c>
      <c r="H3640" s="308">
        <f>'BECA SUPERIOR'!W184</f>
        <v>0</v>
      </c>
    </row>
    <row r="3641" spans="1:8" x14ac:dyDescent="0.3">
      <c r="A3641" t="s">
        <v>690</v>
      </c>
      <c r="B3641" t="s">
        <v>191</v>
      </c>
      <c r="C3641" t="s">
        <v>205</v>
      </c>
      <c r="D3641" t="s">
        <v>689</v>
      </c>
      <c r="E3641" t="s">
        <v>772</v>
      </c>
      <c r="F3641">
        <v>7</v>
      </c>
      <c r="G3641" s="308">
        <f>'BECA SUPERIOR'!Y184</f>
        <v>0</v>
      </c>
      <c r="H3641" s="308">
        <f>'BECA SUPERIOR'!Z184</f>
        <v>0</v>
      </c>
    </row>
    <row r="3642" spans="1:8" x14ac:dyDescent="0.3">
      <c r="A3642" t="s">
        <v>690</v>
      </c>
      <c r="B3642" t="s">
        <v>191</v>
      </c>
      <c r="C3642" t="s">
        <v>191</v>
      </c>
      <c r="D3642" t="s">
        <v>689</v>
      </c>
      <c r="E3642" t="s">
        <v>766</v>
      </c>
      <c r="F3642">
        <v>1</v>
      </c>
      <c r="G3642" s="308">
        <f>'BECA SUPERIOR'!G185</f>
        <v>0</v>
      </c>
      <c r="H3642" s="308">
        <f>'BECA SUPERIOR'!H185</f>
        <v>0</v>
      </c>
    </row>
    <row r="3643" spans="1:8" x14ac:dyDescent="0.3">
      <c r="A3643" t="s">
        <v>690</v>
      </c>
      <c r="B3643" t="s">
        <v>191</v>
      </c>
      <c r="C3643" t="s">
        <v>191</v>
      </c>
      <c r="D3643" t="s">
        <v>689</v>
      </c>
      <c r="E3643" t="s">
        <v>767</v>
      </c>
      <c r="F3643">
        <v>2</v>
      </c>
      <c r="G3643" s="308">
        <f>'BECA SUPERIOR'!J185</f>
        <v>0</v>
      </c>
      <c r="H3643" s="308">
        <f>'BECA SUPERIOR'!K185</f>
        <v>0</v>
      </c>
    </row>
    <row r="3644" spans="1:8" x14ac:dyDescent="0.3">
      <c r="A3644" t="s">
        <v>690</v>
      </c>
      <c r="B3644" t="s">
        <v>191</v>
      </c>
      <c r="C3644" t="s">
        <v>191</v>
      </c>
      <c r="D3644" t="s">
        <v>689</v>
      </c>
      <c r="E3644" t="s">
        <v>768</v>
      </c>
      <c r="F3644">
        <v>3</v>
      </c>
      <c r="G3644" s="308">
        <f>'BECA SUPERIOR'!M185</f>
        <v>0</v>
      </c>
      <c r="H3644" s="308">
        <f>'BECA SUPERIOR'!N185</f>
        <v>0</v>
      </c>
    </row>
    <row r="3645" spans="1:8" x14ac:dyDescent="0.3">
      <c r="A3645" t="s">
        <v>690</v>
      </c>
      <c r="B3645" t="s">
        <v>191</v>
      </c>
      <c r="C3645" t="s">
        <v>191</v>
      </c>
      <c r="D3645" t="s">
        <v>689</v>
      </c>
      <c r="E3645" t="s">
        <v>769</v>
      </c>
      <c r="F3645">
        <v>4</v>
      </c>
      <c r="G3645" s="308">
        <f>'BECA SUPERIOR'!P185</f>
        <v>5.76</v>
      </c>
      <c r="H3645" s="308">
        <f>'BECA SUPERIOR'!Q185</f>
        <v>14400</v>
      </c>
    </row>
    <row r="3646" spans="1:8" x14ac:dyDescent="0.3">
      <c r="A3646" t="s">
        <v>690</v>
      </c>
      <c r="B3646" t="s">
        <v>191</v>
      </c>
      <c r="C3646" t="s">
        <v>191</v>
      </c>
      <c r="D3646" t="s">
        <v>689</v>
      </c>
      <c r="E3646" t="s">
        <v>770</v>
      </c>
      <c r="F3646">
        <v>5</v>
      </c>
      <c r="G3646" s="308">
        <f>'BECA SUPERIOR'!S185</f>
        <v>0</v>
      </c>
      <c r="H3646" s="308">
        <f>'BECA SUPERIOR'!T185</f>
        <v>0</v>
      </c>
    </row>
    <row r="3647" spans="1:8" x14ac:dyDescent="0.3">
      <c r="A3647" t="s">
        <v>690</v>
      </c>
      <c r="B3647" t="s">
        <v>191</v>
      </c>
      <c r="C3647" t="s">
        <v>191</v>
      </c>
      <c r="D3647" t="s">
        <v>689</v>
      </c>
      <c r="E3647" t="s">
        <v>771</v>
      </c>
      <c r="F3647">
        <v>6</v>
      </c>
      <c r="G3647" s="308">
        <f>'BECA SUPERIOR'!V185</f>
        <v>0</v>
      </c>
      <c r="H3647" s="308">
        <f>'BECA SUPERIOR'!W185</f>
        <v>0</v>
      </c>
    </row>
    <row r="3648" spans="1:8" x14ac:dyDescent="0.3">
      <c r="A3648" t="s">
        <v>690</v>
      </c>
      <c r="B3648" t="s">
        <v>191</v>
      </c>
      <c r="C3648" t="s">
        <v>191</v>
      </c>
      <c r="D3648" t="s">
        <v>689</v>
      </c>
      <c r="E3648" t="s">
        <v>772</v>
      </c>
      <c r="F3648">
        <v>7</v>
      </c>
      <c r="G3648" s="308">
        <f>'BECA SUPERIOR'!Y185</f>
        <v>0</v>
      </c>
      <c r="H3648" s="308">
        <f>'BECA SUPERIOR'!Z185</f>
        <v>0</v>
      </c>
    </row>
    <row r="3649" spans="1:8" x14ac:dyDescent="0.3">
      <c r="A3649" t="s">
        <v>690</v>
      </c>
      <c r="B3649" t="s">
        <v>191</v>
      </c>
      <c r="C3649" t="s">
        <v>206</v>
      </c>
      <c r="D3649" t="s">
        <v>689</v>
      </c>
      <c r="E3649" t="s">
        <v>766</v>
      </c>
      <c r="F3649">
        <v>1</v>
      </c>
      <c r="G3649" s="308">
        <f>'BECA SUPERIOR'!G186</f>
        <v>0</v>
      </c>
      <c r="H3649" s="308">
        <f>'BECA SUPERIOR'!H186</f>
        <v>0</v>
      </c>
    </row>
    <row r="3650" spans="1:8" x14ac:dyDescent="0.3">
      <c r="A3650" t="s">
        <v>690</v>
      </c>
      <c r="B3650" t="s">
        <v>191</v>
      </c>
      <c r="C3650" t="s">
        <v>206</v>
      </c>
      <c r="D3650" t="s">
        <v>689</v>
      </c>
      <c r="E3650" t="s">
        <v>767</v>
      </c>
      <c r="F3650">
        <v>2</v>
      </c>
      <c r="G3650" s="308">
        <f>'BECA SUPERIOR'!J186</f>
        <v>0</v>
      </c>
      <c r="H3650" s="308">
        <f>'BECA SUPERIOR'!K186</f>
        <v>0</v>
      </c>
    </row>
    <row r="3651" spans="1:8" x14ac:dyDescent="0.3">
      <c r="A3651" t="s">
        <v>690</v>
      </c>
      <c r="B3651" t="s">
        <v>191</v>
      </c>
      <c r="C3651" t="s">
        <v>206</v>
      </c>
      <c r="D3651" t="s">
        <v>689</v>
      </c>
      <c r="E3651" t="s">
        <v>768</v>
      </c>
      <c r="F3651">
        <v>3</v>
      </c>
      <c r="G3651" s="308">
        <f>'BECA SUPERIOR'!M186</f>
        <v>0</v>
      </c>
      <c r="H3651" s="308">
        <f>'BECA SUPERIOR'!N186</f>
        <v>0</v>
      </c>
    </row>
    <row r="3652" spans="1:8" x14ac:dyDescent="0.3">
      <c r="A3652" t="s">
        <v>690</v>
      </c>
      <c r="B3652" t="s">
        <v>191</v>
      </c>
      <c r="C3652" t="s">
        <v>206</v>
      </c>
      <c r="D3652" t="s">
        <v>689</v>
      </c>
      <c r="E3652" t="s">
        <v>769</v>
      </c>
      <c r="F3652">
        <v>4</v>
      </c>
      <c r="G3652" s="308">
        <f>'BECA SUPERIOR'!P186</f>
        <v>4.32</v>
      </c>
      <c r="H3652" s="308">
        <f>'BECA SUPERIOR'!Q186</f>
        <v>10800</v>
      </c>
    </row>
    <row r="3653" spans="1:8" x14ac:dyDescent="0.3">
      <c r="A3653" t="s">
        <v>690</v>
      </c>
      <c r="B3653" t="s">
        <v>191</v>
      </c>
      <c r="C3653" t="s">
        <v>206</v>
      </c>
      <c r="D3653" t="s">
        <v>689</v>
      </c>
      <c r="E3653" t="s">
        <v>770</v>
      </c>
      <c r="F3653">
        <v>5</v>
      </c>
      <c r="G3653" s="308">
        <f>'BECA SUPERIOR'!S186</f>
        <v>0</v>
      </c>
      <c r="H3653" s="308">
        <f>'BECA SUPERIOR'!T186</f>
        <v>0</v>
      </c>
    </row>
    <row r="3654" spans="1:8" x14ac:dyDescent="0.3">
      <c r="A3654" t="s">
        <v>690</v>
      </c>
      <c r="B3654" t="s">
        <v>191</v>
      </c>
      <c r="C3654" t="s">
        <v>206</v>
      </c>
      <c r="D3654" t="s">
        <v>689</v>
      </c>
      <c r="E3654" t="s">
        <v>771</v>
      </c>
      <c r="F3654">
        <v>6</v>
      </c>
      <c r="G3654" s="308">
        <f>'BECA SUPERIOR'!V186</f>
        <v>0</v>
      </c>
      <c r="H3654" s="308">
        <f>'BECA SUPERIOR'!W186</f>
        <v>0</v>
      </c>
    </row>
    <row r="3655" spans="1:8" x14ac:dyDescent="0.3">
      <c r="A3655" t="s">
        <v>690</v>
      </c>
      <c r="B3655" t="s">
        <v>191</v>
      </c>
      <c r="C3655" t="s">
        <v>206</v>
      </c>
      <c r="D3655" t="s">
        <v>689</v>
      </c>
      <c r="E3655" t="s">
        <v>772</v>
      </c>
      <c r="F3655">
        <v>7</v>
      </c>
      <c r="G3655" s="308">
        <f>'BECA SUPERIOR'!Y186</f>
        <v>0</v>
      </c>
      <c r="H3655" s="308">
        <f>'BECA SUPERIOR'!Z186</f>
        <v>0</v>
      </c>
    </row>
    <row r="3656" spans="1:8" x14ac:dyDescent="0.3">
      <c r="A3656" t="s">
        <v>690</v>
      </c>
      <c r="B3656" t="s">
        <v>191</v>
      </c>
      <c r="C3656" t="s">
        <v>207</v>
      </c>
      <c r="D3656" t="s">
        <v>689</v>
      </c>
      <c r="E3656" t="s">
        <v>766</v>
      </c>
      <c r="F3656">
        <v>1</v>
      </c>
      <c r="G3656" s="308">
        <f>'BECA SUPERIOR'!G187</f>
        <v>0</v>
      </c>
      <c r="H3656" s="308">
        <f>'BECA SUPERIOR'!H187</f>
        <v>0</v>
      </c>
    </row>
    <row r="3657" spans="1:8" x14ac:dyDescent="0.3">
      <c r="A3657" t="s">
        <v>690</v>
      </c>
      <c r="B3657" t="s">
        <v>191</v>
      </c>
      <c r="C3657" t="s">
        <v>207</v>
      </c>
      <c r="D3657" t="s">
        <v>689</v>
      </c>
      <c r="E3657" t="s">
        <v>767</v>
      </c>
      <c r="F3657">
        <v>2</v>
      </c>
      <c r="G3657" s="308">
        <f>'BECA SUPERIOR'!J187</f>
        <v>0</v>
      </c>
      <c r="H3657" s="308">
        <f>'BECA SUPERIOR'!K187</f>
        <v>0</v>
      </c>
    </row>
    <row r="3658" spans="1:8" x14ac:dyDescent="0.3">
      <c r="A3658" t="s">
        <v>690</v>
      </c>
      <c r="B3658" t="s">
        <v>191</v>
      </c>
      <c r="C3658" t="s">
        <v>207</v>
      </c>
      <c r="D3658" t="s">
        <v>689</v>
      </c>
      <c r="E3658" t="s">
        <v>768</v>
      </c>
      <c r="F3658">
        <v>3</v>
      </c>
      <c r="G3658" s="308">
        <f>'BECA SUPERIOR'!M187</f>
        <v>0</v>
      </c>
      <c r="H3658" s="308">
        <f>'BECA SUPERIOR'!N187</f>
        <v>0</v>
      </c>
    </row>
    <row r="3659" spans="1:8" x14ac:dyDescent="0.3">
      <c r="A3659" t="s">
        <v>690</v>
      </c>
      <c r="B3659" t="s">
        <v>191</v>
      </c>
      <c r="C3659" t="s">
        <v>207</v>
      </c>
      <c r="D3659" t="s">
        <v>689</v>
      </c>
      <c r="E3659" t="s">
        <v>769</v>
      </c>
      <c r="F3659">
        <v>4</v>
      </c>
      <c r="G3659" s="308">
        <f>'BECA SUPERIOR'!P187</f>
        <v>2.16</v>
      </c>
      <c r="H3659" s="308">
        <f>'BECA SUPERIOR'!Q187</f>
        <v>5400</v>
      </c>
    </row>
    <row r="3660" spans="1:8" x14ac:dyDescent="0.3">
      <c r="A3660" t="s">
        <v>690</v>
      </c>
      <c r="B3660" t="s">
        <v>191</v>
      </c>
      <c r="C3660" t="s">
        <v>207</v>
      </c>
      <c r="D3660" t="s">
        <v>689</v>
      </c>
      <c r="E3660" t="s">
        <v>770</v>
      </c>
      <c r="F3660">
        <v>5</v>
      </c>
      <c r="G3660" s="308">
        <f>'BECA SUPERIOR'!S187</f>
        <v>0</v>
      </c>
      <c r="H3660" s="308">
        <f>'BECA SUPERIOR'!T187</f>
        <v>0</v>
      </c>
    </row>
    <row r="3661" spans="1:8" x14ac:dyDescent="0.3">
      <c r="A3661" t="s">
        <v>690</v>
      </c>
      <c r="B3661" t="s">
        <v>191</v>
      </c>
      <c r="C3661" t="s">
        <v>207</v>
      </c>
      <c r="D3661" t="s">
        <v>689</v>
      </c>
      <c r="E3661" t="s">
        <v>771</v>
      </c>
      <c r="F3661">
        <v>6</v>
      </c>
      <c r="G3661" s="308">
        <f>'BECA SUPERIOR'!V187</f>
        <v>0</v>
      </c>
      <c r="H3661" s="308">
        <f>'BECA SUPERIOR'!W187</f>
        <v>0</v>
      </c>
    </row>
    <row r="3662" spans="1:8" x14ac:dyDescent="0.3">
      <c r="A3662" t="s">
        <v>690</v>
      </c>
      <c r="B3662" t="s">
        <v>191</v>
      </c>
      <c r="C3662" t="s">
        <v>207</v>
      </c>
      <c r="D3662" t="s">
        <v>689</v>
      </c>
      <c r="E3662" t="s">
        <v>772</v>
      </c>
      <c r="F3662">
        <v>7</v>
      </c>
      <c r="G3662" s="308">
        <f>'BECA SUPERIOR'!Y187</f>
        <v>0</v>
      </c>
      <c r="H3662" s="308">
        <f>'BECA SUPERIOR'!Z187</f>
        <v>0</v>
      </c>
    </row>
    <row r="3663" spans="1:8" x14ac:dyDescent="0.3">
      <c r="A3663" t="s">
        <v>690</v>
      </c>
      <c r="B3663" t="s">
        <v>191</v>
      </c>
      <c r="C3663" t="s">
        <v>208</v>
      </c>
      <c r="D3663" t="s">
        <v>689</v>
      </c>
      <c r="E3663" t="s">
        <v>766</v>
      </c>
      <c r="F3663">
        <v>1</v>
      </c>
      <c r="G3663" s="308">
        <f>'BECA SUPERIOR'!G188</f>
        <v>0</v>
      </c>
      <c r="H3663" s="308">
        <f>'BECA SUPERIOR'!H188</f>
        <v>0</v>
      </c>
    </row>
    <row r="3664" spans="1:8" x14ac:dyDescent="0.3">
      <c r="A3664" t="s">
        <v>690</v>
      </c>
      <c r="B3664" t="s">
        <v>191</v>
      </c>
      <c r="C3664" t="s">
        <v>208</v>
      </c>
      <c r="D3664" t="s">
        <v>689</v>
      </c>
      <c r="E3664" t="s">
        <v>767</v>
      </c>
      <c r="F3664">
        <v>2</v>
      </c>
      <c r="G3664" s="308">
        <f>'BECA SUPERIOR'!J188</f>
        <v>0</v>
      </c>
      <c r="H3664" s="308">
        <f>'BECA SUPERIOR'!K188</f>
        <v>0</v>
      </c>
    </row>
    <row r="3665" spans="1:8" x14ac:dyDescent="0.3">
      <c r="A3665" t="s">
        <v>690</v>
      </c>
      <c r="B3665" t="s">
        <v>191</v>
      </c>
      <c r="C3665" t="s">
        <v>208</v>
      </c>
      <c r="D3665" t="s">
        <v>689</v>
      </c>
      <c r="E3665" t="s">
        <v>768</v>
      </c>
      <c r="F3665">
        <v>3</v>
      </c>
      <c r="G3665" s="308">
        <f>'BECA SUPERIOR'!M188</f>
        <v>0</v>
      </c>
      <c r="H3665" s="308">
        <f>'BECA SUPERIOR'!N188</f>
        <v>0</v>
      </c>
    </row>
    <row r="3666" spans="1:8" x14ac:dyDescent="0.3">
      <c r="A3666" t="s">
        <v>690</v>
      </c>
      <c r="B3666" t="s">
        <v>191</v>
      </c>
      <c r="C3666" t="s">
        <v>208</v>
      </c>
      <c r="D3666" t="s">
        <v>689</v>
      </c>
      <c r="E3666" t="s">
        <v>769</v>
      </c>
      <c r="F3666">
        <v>4</v>
      </c>
      <c r="G3666" s="308">
        <f>'BECA SUPERIOR'!P188</f>
        <v>0</v>
      </c>
      <c r="H3666" s="308">
        <f>'BECA SUPERIOR'!Q188</f>
        <v>0</v>
      </c>
    </row>
    <row r="3667" spans="1:8" x14ac:dyDescent="0.3">
      <c r="A3667" t="s">
        <v>690</v>
      </c>
      <c r="B3667" t="s">
        <v>191</v>
      </c>
      <c r="C3667" t="s">
        <v>208</v>
      </c>
      <c r="D3667" t="s">
        <v>689</v>
      </c>
      <c r="E3667" t="s">
        <v>770</v>
      </c>
      <c r="F3667">
        <v>5</v>
      </c>
      <c r="G3667" s="308">
        <f>'BECA SUPERIOR'!S188</f>
        <v>0</v>
      </c>
      <c r="H3667" s="308">
        <f>'BECA SUPERIOR'!T188</f>
        <v>0</v>
      </c>
    </row>
    <row r="3668" spans="1:8" x14ac:dyDescent="0.3">
      <c r="A3668" t="s">
        <v>690</v>
      </c>
      <c r="B3668" t="s">
        <v>191</v>
      </c>
      <c r="C3668" t="s">
        <v>208</v>
      </c>
      <c r="D3668" t="s">
        <v>689</v>
      </c>
      <c r="E3668" t="s">
        <v>771</v>
      </c>
      <c r="F3668">
        <v>6</v>
      </c>
      <c r="G3668" s="308">
        <f>'BECA SUPERIOR'!V188</f>
        <v>0</v>
      </c>
      <c r="H3668" s="308">
        <f>'BECA SUPERIOR'!W188</f>
        <v>0</v>
      </c>
    </row>
    <row r="3669" spans="1:8" x14ac:dyDescent="0.3">
      <c r="A3669" t="s">
        <v>690</v>
      </c>
      <c r="B3669" t="s">
        <v>191</v>
      </c>
      <c r="C3669" t="s">
        <v>208</v>
      </c>
      <c r="D3669" t="s">
        <v>689</v>
      </c>
      <c r="E3669" t="s">
        <v>772</v>
      </c>
      <c r="F3669">
        <v>7</v>
      </c>
      <c r="G3669" s="308">
        <f>'BECA SUPERIOR'!Y188</f>
        <v>0</v>
      </c>
      <c r="H3669" s="308">
        <f>'BECA SUPERIOR'!Z188</f>
        <v>0</v>
      </c>
    </row>
    <row r="3670" spans="1:8" x14ac:dyDescent="0.3">
      <c r="A3670" t="s">
        <v>690</v>
      </c>
      <c r="B3670" t="s">
        <v>191</v>
      </c>
      <c r="C3670" t="s">
        <v>209</v>
      </c>
      <c r="D3670" t="s">
        <v>689</v>
      </c>
      <c r="E3670" t="s">
        <v>766</v>
      </c>
      <c r="F3670">
        <v>1</v>
      </c>
      <c r="G3670" s="308">
        <f>'BECA SUPERIOR'!G189</f>
        <v>0</v>
      </c>
      <c r="H3670" s="308">
        <f>'BECA SUPERIOR'!H189</f>
        <v>0</v>
      </c>
    </row>
    <row r="3671" spans="1:8" x14ac:dyDescent="0.3">
      <c r="A3671" t="s">
        <v>690</v>
      </c>
      <c r="B3671" t="s">
        <v>191</v>
      </c>
      <c r="C3671" t="s">
        <v>209</v>
      </c>
      <c r="D3671" t="s">
        <v>689</v>
      </c>
      <c r="E3671" t="s">
        <v>767</v>
      </c>
      <c r="F3671">
        <v>2</v>
      </c>
      <c r="G3671" s="308">
        <f>'BECA SUPERIOR'!J189</f>
        <v>0</v>
      </c>
      <c r="H3671" s="308">
        <f>'BECA SUPERIOR'!K189</f>
        <v>0</v>
      </c>
    </row>
    <row r="3672" spans="1:8" x14ac:dyDescent="0.3">
      <c r="A3672" t="s">
        <v>690</v>
      </c>
      <c r="B3672" t="s">
        <v>191</v>
      </c>
      <c r="C3672" t="s">
        <v>209</v>
      </c>
      <c r="D3672" t="s">
        <v>689</v>
      </c>
      <c r="E3672" t="s">
        <v>768</v>
      </c>
      <c r="F3672">
        <v>3</v>
      </c>
      <c r="G3672" s="308">
        <f>'BECA SUPERIOR'!M189</f>
        <v>0</v>
      </c>
      <c r="H3672" s="308">
        <f>'BECA SUPERIOR'!N189</f>
        <v>0</v>
      </c>
    </row>
    <row r="3673" spans="1:8" x14ac:dyDescent="0.3">
      <c r="A3673" t="s">
        <v>690</v>
      </c>
      <c r="B3673" t="s">
        <v>191</v>
      </c>
      <c r="C3673" t="s">
        <v>209</v>
      </c>
      <c r="D3673" t="s">
        <v>689</v>
      </c>
      <c r="E3673" t="s">
        <v>769</v>
      </c>
      <c r="F3673">
        <v>4</v>
      </c>
      <c r="G3673" s="308">
        <f>'BECA SUPERIOR'!P189</f>
        <v>2.88</v>
      </c>
      <c r="H3673" s="308">
        <f>'BECA SUPERIOR'!Q189</f>
        <v>7200</v>
      </c>
    </row>
    <row r="3674" spans="1:8" x14ac:dyDescent="0.3">
      <c r="A3674" t="s">
        <v>690</v>
      </c>
      <c r="B3674" t="s">
        <v>191</v>
      </c>
      <c r="C3674" t="s">
        <v>209</v>
      </c>
      <c r="D3674" t="s">
        <v>689</v>
      </c>
      <c r="E3674" t="s">
        <v>770</v>
      </c>
      <c r="F3674">
        <v>5</v>
      </c>
      <c r="G3674" s="308">
        <f>'BECA SUPERIOR'!S189</f>
        <v>0</v>
      </c>
      <c r="H3674" s="308">
        <f>'BECA SUPERIOR'!T189</f>
        <v>0</v>
      </c>
    </row>
    <row r="3675" spans="1:8" x14ac:dyDescent="0.3">
      <c r="A3675" t="s">
        <v>690</v>
      </c>
      <c r="B3675" t="s">
        <v>191</v>
      </c>
      <c r="C3675" t="s">
        <v>209</v>
      </c>
      <c r="D3675" t="s">
        <v>689</v>
      </c>
      <c r="E3675" t="s">
        <v>771</v>
      </c>
      <c r="F3675">
        <v>6</v>
      </c>
      <c r="G3675" s="308">
        <f>'BECA SUPERIOR'!V189</f>
        <v>0</v>
      </c>
      <c r="H3675" s="308">
        <f>'BECA SUPERIOR'!W189</f>
        <v>0</v>
      </c>
    </row>
    <row r="3676" spans="1:8" x14ac:dyDescent="0.3">
      <c r="A3676" t="s">
        <v>690</v>
      </c>
      <c r="B3676" t="s">
        <v>191</v>
      </c>
      <c r="C3676" t="s">
        <v>209</v>
      </c>
      <c r="D3676" t="s">
        <v>689</v>
      </c>
      <c r="E3676" t="s">
        <v>772</v>
      </c>
      <c r="F3676">
        <v>7</v>
      </c>
      <c r="G3676" s="308">
        <f>'BECA SUPERIOR'!Y189</f>
        <v>0</v>
      </c>
      <c r="H3676" s="308">
        <f>'BECA SUPERIOR'!Z189</f>
        <v>0</v>
      </c>
    </row>
    <row r="3677" spans="1:8" x14ac:dyDescent="0.3">
      <c r="A3677" t="s">
        <v>690</v>
      </c>
      <c r="B3677" t="s">
        <v>191</v>
      </c>
      <c r="C3677" t="s">
        <v>210</v>
      </c>
      <c r="D3677" t="s">
        <v>689</v>
      </c>
      <c r="E3677" t="s">
        <v>766</v>
      </c>
      <c r="F3677">
        <v>1</v>
      </c>
      <c r="G3677" s="308">
        <f>'BECA SUPERIOR'!G190</f>
        <v>0</v>
      </c>
      <c r="H3677" s="308">
        <f>'BECA SUPERIOR'!H190</f>
        <v>0</v>
      </c>
    </row>
    <row r="3678" spans="1:8" x14ac:dyDescent="0.3">
      <c r="A3678" t="s">
        <v>690</v>
      </c>
      <c r="B3678" t="s">
        <v>191</v>
      </c>
      <c r="C3678" t="s">
        <v>210</v>
      </c>
      <c r="D3678" t="s">
        <v>689</v>
      </c>
      <c r="E3678" t="s">
        <v>767</v>
      </c>
      <c r="F3678">
        <v>2</v>
      </c>
      <c r="G3678" s="308">
        <f>'BECA SUPERIOR'!J190</f>
        <v>0</v>
      </c>
      <c r="H3678" s="308">
        <f>'BECA SUPERIOR'!K190</f>
        <v>0</v>
      </c>
    </row>
    <row r="3679" spans="1:8" x14ac:dyDescent="0.3">
      <c r="A3679" t="s">
        <v>690</v>
      </c>
      <c r="B3679" t="s">
        <v>191</v>
      </c>
      <c r="C3679" t="s">
        <v>210</v>
      </c>
      <c r="D3679" t="s">
        <v>689</v>
      </c>
      <c r="E3679" t="s">
        <v>768</v>
      </c>
      <c r="F3679">
        <v>3</v>
      </c>
      <c r="G3679" s="308">
        <f>'BECA SUPERIOR'!M190</f>
        <v>0</v>
      </c>
      <c r="H3679" s="308">
        <f>'BECA SUPERIOR'!N190</f>
        <v>0</v>
      </c>
    </row>
    <row r="3680" spans="1:8" x14ac:dyDescent="0.3">
      <c r="A3680" t="s">
        <v>690</v>
      </c>
      <c r="B3680" t="s">
        <v>191</v>
      </c>
      <c r="C3680" t="s">
        <v>210</v>
      </c>
      <c r="D3680" t="s">
        <v>689</v>
      </c>
      <c r="E3680" t="s">
        <v>769</v>
      </c>
      <c r="F3680">
        <v>4</v>
      </c>
      <c r="G3680" s="308">
        <f>'BECA SUPERIOR'!P190</f>
        <v>0</v>
      </c>
      <c r="H3680" s="308">
        <f>'BECA SUPERIOR'!Q190</f>
        <v>0</v>
      </c>
    </row>
    <row r="3681" spans="1:8" x14ac:dyDescent="0.3">
      <c r="A3681" t="s">
        <v>690</v>
      </c>
      <c r="B3681" t="s">
        <v>191</v>
      </c>
      <c r="C3681" t="s">
        <v>210</v>
      </c>
      <c r="D3681" t="s">
        <v>689</v>
      </c>
      <c r="E3681" t="s">
        <v>770</v>
      </c>
      <c r="F3681">
        <v>5</v>
      </c>
      <c r="G3681" s="308">
        <f>'BECA SUPERIOR'!S190</f>
        <v>0</v>
      </c>
      <c r="H3681" s="308">
        <f>'BECA SUPERIOR'!T190</f>
        <v>0</v>
      </c>
    </row>
    <row r="3682" spans="1:8" x14ac:dyDescent="0.3">
      <c r="A3682" t="s">
        <v>690</v>
      </c>
      <c r="B3682" t="s">
        <v>191</v>
      </c>
      <c r="C3682" t="s">
        <v>210</v>
      </c>
      <c r="D3682" t="s">
        <v>689</v>
      </c>
      <c r="E3682" t="s">
        <v>771</v>
      </c>
      <c r="F3682">
        <v>6</v>
      </c>
      <c r="G3682" s="308">
        <f>'BECA SUPERIOR'!V190</f>
        <v>0</v>
      </c>
      <c r="H3682" s="308">
        <f>'BECA SUPERIOR'!W190</f>
        <v>0</v>
      </c>
    </row>
    <row r="3683" spans="1:8" x14ac:dyDescent="0.3">
      <c r="A3683" t="s">
        <v>690</v>
      </c>
      <c r="B3683" t="s">
        <v>191</v>
      </c>
      <c r="C3683" t="s">
        <v>210</v>
      </c>
      <c r="D3683" t="s">
        <v>689</v>
      </c>
      <c r="E3683" t="s">
        <v>772</v>
      </c>
      <c r="F3683">
        <v>7</v>
      </c>
      <c r="G3683" s="308">
        <f>'BECA SUPERIOR'!Y190</f>
        <v>0</v>
      </c>
      <c r="H3683" s="308">
        <f>'BECA SUPERIOR'!Z190</f>
        <v>0</v>
      </c>
    </row>
    <row r="3684" spans="1:8" x14ac:dyDescent="0.3">
      <c r="A3684" t="s">
        <v>690</v>
      </c>
      <c r="B3684" t="s">
        <v>191</v>
      </c>
      <c r="C3684" t="s">
        <v>211</v>
      </c>
      <c r="D3684" t="s">
        <v>689</v>
      </c>
      <c r="E3684" t="s">
        <v>766</v>
      </c>
      <c r="F3684">
        <v>1</v>
      </c>
      <c r="G3684" s="308">
        <f>'BECA SUPERIOR'!G191</f>
        <v>0</v>
      </c>
      <c r="H3684" s="308">
        <f>'BECA SUPERIOR'!H191</f>
        <v>0</v>
      </c>
    </row>
    <row r="3685" spans="1:8" x14ac:dyDescent="0.3">
      <c r="A3685" t="s">
        <v>690</v>
      </c>
      <c r="B3685" t="s">
        <v>191</v>
      </c>
      <c r="C3685" t="s">
        <v>211</v>
      </c>
      <c r="D3685" t="s">
        <v>689</v>
      </c>
      <c r="E3685" t="s">
        <v>767</v>
      </c>
      <c r="F3685">
        <v>2</v>
      </c>
      <c r="G3685" s="308">
        <f>'BECA SUPERIOR'!J191</f>
        <v>0</v>
      </c>
      <c r="H3685" s="308">
        <f>'BECA SUPERIOR'!K191</f>
        <v>0</v>
      </c>
    </row>
    <row r="3686" spans="1:8" x14ac:dyDescent="0.3">
      <c r="A3686" t="s">
        <v>690</v>
      </c>
      <c r="B3686" t="s">
        <v>191</v>
      </c>
      <c r="C3686" t="s">
        <v>211</v>
      </c>
      <c r="D3686" t="s">
        <v>689</v>
      </c>
      <c r="E3686" t="s">
        <v>768</v>
      </c>
      <c r="F3686">
        <v>3</v>
      </c>
      <c r="G3686" s="308">
        <f>'BECA SUPERIOR'!M191</f>
        <v>0</v>
      </c>
      <c r="H3686" s="308">
        <f>'BECA SUPERIOR'!N191</f>
        <v>0</v>
      </c>
    </row>
    <row r="3687" spans="1:8" x14ac:dyDescent="0.3">
      <c r="A3687" t="s">
        <v>690</v>
      </c>
      <c r="B3687" t="s">
        <v>191</v>
      </c>
      <c r="C3687" t="s">
        <v>211</v>
      </c>
      <c r="D3687" t="s">
        <v>689</v>
      </c>
      <c r="E3687" t="s">
        <v>769</v>
      </c>
      <c r="F3687">
        <v>4</v>
      </c>
      <c r="G3687" s="308">
        <f>'BECA SUPERIOR'!P191</f>
        <v>0</v>
      </c>
      <c r="H3687" s="308">
        <f>'BECA SUPERIOR'!Q191</f>
        <v>0</v>
      </c>
    </row>
    <row r="3688" spans="1:8" x14ac:dyDescent="0.3">
      <c r="A3688" t="s">
        <v>690</v>
      </c>
      <c r="B3688" t="s">
        <v>191</v>
      </c>
      <c r="C3688" t="s">
        <v>211</v>
      </c>
      <c r="D3688" t="s">
        <v>689</v>
      </c>
      <c r="E3688" t="s">
        <v>770</v>
      </c>
      <c r="F3688">
        <v>5</v>
      </c>
      <c r="G3688" s="308">
        <f>'BECA SUPERIOR'!S191</f>
        <v>0</v>
      </c>
      <c r="H3688" s="308">
        <f>'BECA SUPERIOR'!T191</f>
        <v>0</v>
      </c>
    </row>
    <row r="3689" spans="1:8" x14ac:dyDescent="0.3">
      <c r="A3689" t="s">
        <v>690</v>
      </c>
      <c r="B3689" t="s">
        <v>191</v>
      </c>
      <c r="C3689" t="s">
        <v>211</v>
      </c>
      <c r="D3689" t="s">
        <v>689</v>
      </c>
      <c r="E3689" t="s">
        <v>771</v>
      </c>
      <c r="F3689">
        <v>6</v>
      </c>
      <c r="G3689" s="308">
        <f>'BECA SUPERIOR'!V191</f>
        <v>0</v>
      </c>
      <c r="H3689" s="308">
        <f>'BECA SUPERIOR'!W191</f>
        <v>0</v>
      </c>
    </row>
    <row r="3690" spans="1:8" x14ac:dyDescent="0.3">
      <c r="A3690" t="s">
        <v>690</v>
      </c>
      <c r="B3690" t="s">
        <v>191</v>
      </c>
      <c r="C3690" t="s">
        <v>211</v>
      </c>
      <c r="D3690" t="s">
        <v>689</v>
      </c>
      <c r="E3690" t="s">
        <v>772</v>
      </c>
      <c r="F3690">
        <v>7</v>
      </c>
      <c r="G3690" s="308">
        <f>'BECA SUPERIOR'!Y191</f>
        <v>0</v>
      </c>
      <c r="H3690" s="308">
        <f>'BECA SUPERIOR'!Z191</f>
        <v>0</v>
      </c>
    </row>
    <row r="3691" spans="1:8" x14ac:dyDescent="0.3">
      <c r="A3691" t="s">
        <v>690</v>
      </c>
      <c r="B3691" t="s">
        <v>191</v>
      </c>
      <c r="C3691" t="s">
        <v>212</v>
      </c>
      <c r="D3691" t="s">
        <v>689</v>
      </c>
      <c r="E3691" t="s">
        <v>766</v>
      </c>
      <c r="F3691">
        <v>1</v>
      </c>
      <c r="G3691" s="308">
        <f>'BECA SUPERIOR'!G192</f>
        <v>0</v>
      </c>
      <c r="H3691" s="308">
        <f>'BECA SUPERIOR'!H192</f>
        <v>0</v>
      </c>
    </row>
    <row r="3692" spans="1:8" x14ac:dyDescent="0.3">
      <c r="A3692" t="s">
        <v>690</v>
      </c>
      <c r="B3692" t="s">
        <v>191</v>
      </c>
      <c r="C3692" t="s">
        <v>212</v>
      </c>
      <c r="D3692" t="s">
        <v>689</v>
      </c>
      <c r="E3692" t="s">
        <v>767</v>
      </c>
      <c r="F3692">
        <v>2</v>
      </c>
      <c r="G3692" s="308">
        <f>'BECA SUPERIOR'!J192</f>
        <v>0</v>
      </c>
      <c r="H3692" s="308">
        <f>'BECA SUPERIOR'!K192</f>
        <v>0</v>
      </c>
    </row>
    <row r="3693" spans="1:8" x14ac:dyDescent="0.3">
      <c r="A3693" t="s">
        <v>690</v>
      </c>
      <c r="B3693" t="s">
        <v>191</v>
      </c>
      <c r="C3693" t="s">
        <v>212</v>
      </c>
      <c r="D3693" t="s">
        <v>689</v>
      </c>
      <c r="E3693" t="s">
        <v>768</v>
      </c>
      <c r="F3693">
        <v>3</v>
      </c>
      <c r="G3693" s="308">
        <f>'BECA SUPERIOR'!M192</f>
        <v>0</v>
      </c>
      <c r="H3693" s="308">
        <f>'BECA SUPERIOR'!N192</f>
        <v>0</v>
      </c>
    </row>
    <row r="3694" spans="1:8" x14ac:dyDescent="0.3">
      <c r="A3694" t="s">
        <v>690</v>
      </c>
      <c r="B3694" t="s">
        <v>191</v>
      </c>
      <c r="C3694" t="s">
        <v>212</v>
      </c>
      <c r="D3694" t="s">
        <v>689</v>
      </c>
      <c r="E3694" t="s">
        <v>769</v>
      </c>
      <c r="F3694">
        <v>4</v>
      </c>
      <c r="G3694" s="308">
        <f>'BECA SUPERIOR'!P192</f>
        <v>0</v>
      </c>
      <c r="H3694" s="308">
        <f>'BECA SUPERIOR'!Q192</f>
        <v>0</v>
      </c>
    </row>
    <row r="3695" spans="1:8" x14ac:dyDescent="0.3">
      <c r="A3695" t="s">
        <v>690</v>
      </c>
      <c r="B3695" t="s">
        <v>191</v>
      </c>
      <c r="C3695" t="s">
        <v>212</v>
      </c>
      <c r="D3695" t="s">
        <v>689</v>
      </c>
      <c r="E3695" t="s">
        <v>770</v>
      </c>
      <c r="F3695">
        <v>5</v>
      </c>
      <c r="G3695" s="308">
        <f>'BECA SUPERIOR'!S192</f>
        <v>0</v>
      </c>
      <c r="H3695" s="308">
        <f>'BECA SUPERIOR'!T192</f>
        <v>0</v>
      </c>
    </row>
    <row r="3696" spans="1:8" x14ac:dyDescent="0.3">
      <c r="A3696" t="s">
        <v>690</v>
      </c>
      <c r="B3696" t="s">
        <v>191</v>
      </c>
      <c r="C3696" t="s">
        <v>212</v>
      </c>
      <c r="D3696" t="s">
        <v>689</v>
      </c>
      <c r="E3696" t="s">
        <v>771</v>
      </c>
      <c r="F3696">
        <v>6</v>
      </c>
      <c r="G3696" s="308">
        <f>'BECA SUPERIOR'!V192</f>
        <v>0</v>
      </c>
      <c r="H3696" s="308">
        <f>'BECA SUPERIOR'!W192</f>
        <v>0</v>
      </c>
    </row>
    <row r="3697" spans="1:8" x14ac:dyDescent="0.3">
      <c r="A3697" t="s">
        <v>690</v>
      </c>
      <c r="B3697" t="s">
        <v>191</v>
      </c>
      <c r="C3697" t="s">
        <v>212</v>
      </c>
      <c r="D3697" t="s">
        <v>689</v>
      </c>
      <c r="E3697" t="s">
        <v>772</v>
      </c>
      <c r="F3697">
        <v>7</v>
      </c>
      <c r="G3697" s="308">
        <f>'BECA SUPERIOR'!Y192</f>
        <v>0</v>
      </c>
      <c r="H3697" s="308">
        <f>'BECA SUPERIOR'!Z192</f>
        <v>0</v>
      </c>
    </row>
    <row r="3698" spans="1:8" x14ac:dyDescent="0.3">
      <c r="A3698" t="s">
        <v>690</v>
      </c>
      <c r="B3698" t="s">
        <v>191</v>
      </c>
      <c r="C3698" t="s">
        <v>213</v>
      </c>
      <c r="D3698" t="s">
        <v>689</v>
      </c>
      <c r="E3698" t="s">
        <v>766</v>
      </c>
      <c r="F3698">
        <v>1</v>
      </c>
      <c r="G3698" s="308">
        <f>'BECA SUPERIOR'!G193</f>
        <v>0</v>
      </c>
      <c r="H3698" s="308">
        <f>'BECA SUPERIOR'!H193</f>
        <v>0</v>
      </c>
    </row>
    <row r="3699" spans="1:8" x14ac:dyDescent="0.3">
      <c r="A3699" t="s">
        <v>690</v>
      </c>
      <c r="B3699" t="s">
        <v>191</v>
      </c>
      <c r="C3699" t="s">
        <v>213</v>
      </c>
      <c r="D3699" t="s">
        <v>689</v>
      </c>
      <c r="E3699" t="s">
        <v>767</v>
      </c>
      <c r="F3699">
        <v>2</v>
      </c>
      <c r="G3699" s="308">
        <f>'BECA SUPERIOR'!J193</f>
        <v>0</v>
      </c>
      <c r="H3699" s="308">
        <f>'BECA SUPERIOR'!K193</f>
        <v>0</v>
      </c>
    </row>
    <row r="3700" spans="1:8" x14ac:dyDescent="0.3">
      <c r="A3700" t="s">
        <v>690</v>
      </c>
      <c r="B3700" t="s">
        <v>191</v>
      </c>
      <c r="C3700" t="s">
        <v>213</v>
      </c>
      <c r="D3700" t="s">
        <v>689</v>
      </c>
      <c r="E3700" t="s">
        <v>768</v>
      </c>
      <c r="F3700">
        <v>3</v>
      </c>
      <c r="G3700" s="308">
        <f>'BECA SUPERIOR'!M193</f>
        <v>0</v>
      </c>
      <c r="H3700" s="308">
        <f>'BECA SUPERIOR'!N193</f>
        <v>0</v>
      </c>
    </row>
    <row r="3701" spans="1:8" x14ac:dyDescent="0.3">
      <c r="A3701" t="s">
        <v>690</v>
      </c>
      <c r="B3701" t="s">
        <v>191</v>
      </c>
      <c r="C3701" t="s">
        <v>213</v>
      </c>
      <c r="D3701" t="s">
        <v>689</v>
      </c>
      <c r="E3701" t="s">
        <v>769</v>
      </c>
      <c r="F3701">
        <v>4</v>
      </c>
      <c r="G3701" s="308">
        <f>'BECA SUPERIOR'!P193</f>
        <v>0</v>
      </c>
      <c r="H3701" s="308">
        <f>'BECA SUPERIOR'!Q193</f>
        <v>0</v>
      </c>
    </row>
    <row r="3702" spans="1:8" x14ac:dyDescent="0.3">
      <c r="A3702" t="s">
        <v>690</v>
      </c>
      <c r="B3702" t="s">
        <v>191</v>
      </c>
      <c r="C3702" t="s">
        <v>213</v>
      </c>
      <c r="D3702" t="s">
        <v>689</v>
      </c>
      <c r="E3702" t="s">
        <v>770</v>
      </c>
      <c r="F3702">
        <v>5</v>
      </c>
      <c r="G3702" s="308">
        <f>'BECA SUPERIOR'!S193</f>
        <v>0</v>
      </c>
      <c r="H3702" s="308">
        <f>'BECA SUPERIOR'!T193</f>
        <v>0</v>
      </c>
    </row>
    <row r="3703" spans="1:8" x14ac:dyDescent="0.3">
      <c r="A3703" t="s">
        <v>690</v>
      </c>
      <c r="B3703" t="s">
        <v>191</v>
      </c>
      <c r="C3703" t="s">
        <v>213</v>
      </c>
      <c r="D3703" t="s">
        <v>689</v>
      </c>
      <c r="E3703" t="s">
        <v>771</v>
      </c>
      <c r="F3703">
        <v>6</v>
      </c>
      <c r="G3703" s="308">
        <f>'BECA SUPERIOR'!V193</f>
        <v>0</v>
      </c>
      <c r="H3703" s="308">
        <f>'BECA SUPERIOR'!W193</f>
        <v>0</v>
      </c>
    </row>
    <row r="3704" spans="1:8" x14ac:dyDescent="0.3">
      <c r="A3704" t="s">
        <v>690</v>
      </c>
      <c r="B3704" t="s">
        <v>191</v>
      </c>
      <c r="C3704" t="s">
        <v>213</v>
      </c>
      <c r="D3704" t="s">
        <v>689</v>
      </c>
      <c r="E3704" t="s">
        <v>772</v>
      </c>
      <c r="F3704">
        <v>7</v>
      </c>
      <c r="G3704" s="308">
        <f>'BECA SUPERIOR'!Y193</f>
        <v>0</v>
      </c>
      <c r="H3704" s="308">
        <f>'BECA SUPERIOR'!Z193</f>
        <v>0</v>
      </c>
    </row>
    <row r="3705" spans="1:8" x14ac:dyDescent="0.3">
      <c r="A3705" t="s">
        <v>690</v>
      </c>
      <c r="B3705" t="s">
        <v>191</v>
      </c>
      <c r="C3705" t="s">
        <v>214</v>
      </c>
      <c r="D3705" t="s">
        <v>689</v>
      </c>
      <c r="E3705" t="s">
        <v>766</v>
      </c>
      <c r="F3705">
        <v>1</v>
      </c>
      <c r="G3705" s="308">
        <f>'BECA SUPERIOR'!G194</f>
        <v>0</v>
      </c>
      <c r="H3705" s="308">
        <f>'BECA SUPERIOR'!H194</f>
        <v>0</v>
      </c>
    </row>
    <row r="3706" spans="1:8" x14ac:dyDescent="0.3">
      <c r="A3706" t="s">
        <v>690</v>
      </c>
      <c r="B3706" t="s">
        <v>191</v>
      </c>
      <c r="C3706" t="s">
        <v>214</v>
      </c>
      <c r="D3706" t="s">
        <v>689</v>
      </c>
      <c r="E3706" t="s">
        <v>767</v>
      </c>
      <c r="F3706">
        <v>2</v>
      </c>
      <c r="G3706" s="308">
        <f>'BECA SUPERIOR'!J194</f>
        <v>0</v>
      </c>
      <c r="H3706" s="308">
        <f>'BECA SUPERIOR'!K194</f>
        <v>0</v>
      </c>
    </row>
    <row r="3707" spans="1:8" x14ac:dyDescent="0.3">
      <c r="A3707" t="s">
        <v>690</v>
      </c>
      <c r="B3707" t="s">
        <v>191</v>
      </c>
      <c r="C3707" t="s">
        <v>214</v>
      </c>
      <c r="D3707" t="s">
        <v>689</v>
      </c>
      <c r="E3707" t="s">
        <v>768</v>
      </c>
      <c r="F3707">
        <v>3</v>
      </c>
      <c r="G3707" s="308">
        <f>'BECA SUPERIOR'!M194</f>
        <v>0</v>
      </c>
      <c r="H3707" s="308">
        <f>'BECA SUPERIOR'!N194</f>
        <v>0</v>
      </c>
    </row>
    <row r="3708" spans="1:8" x14ac:dyDescent="0.3">
      <c r="A3708" t="s">
        <v>690</v>
      </c>
      <c r="B3708" t="s">
        <v>191</v>
      </c>
      <c r="C3708" t="s">
        <v>214</v>
      </c>
      <c r="D3708" t="s">
        <v>689</v>
      </c>
      <c r="E3708" t="s">
        <v>769</v>
      </c>
      <c r="F3708">
        <v>4</v>
      </c>
      <c r="G3708" s="308">
        <f>'BECA SUPERIOR'!P194</f>
        <v>0.72</v>
      </c>
      <c r="H3708" s="308">
        <f>'BECA SUPERIOR'!Q194</f>
        <v>1800</v>
      </c>
    </row>
    <row r="3709" spans="1:8" x14ac:dyDescent="0.3">
      <c r="A3709" t="s">
        <v>690</v>
      </c>
      <c r="B3709" t="s">
        <v>191</v>
      </c>
      <c r="C3709" t="s">
        <v>214</v>
      </c>
      <c r="D3709" t="s">
        <v>689</v>
      </c>
      <c r="E3709" t="s">
        <v>770</v>
      </c>
      <c r="F3709">
        <v>5</v>
      </c>
      <c r="G3709" s="308">
        <f>'BECA SUPERIOR'!S194</f>
        <v>0</v>
      </c>
      <c r="H3709" s="308">
        <f>'BECA SUPERIOR'!T194</f>
        <v>0</v>
      </c>
    </row>
    <row r="3710" spans="1:8" x14ac:dyDescent="0.3">
      <c r="A3710" t="s">
        <v>690</v>
      </c>
      <c r="B3710" t="s">
        <v>191</v>
      </c>
      <c r="C3710" t="s">
        <v>214</v>
      </c>
      <c r="D3710" t="s">
        <v>689</v>
      </c>
      <c r="E3710" t="s">
        <v>771</v>
      </c>
      <c r="F3710">
        <v>6</v>
      </c>
      <c r="G3710" s="308">
        <f>'BECA SUPERIOR'!V194</f>
        <v>0</v>
      </c>
      <c r="H3710" s="308">
        <f>'BECA SUPERIOR'!W194</f>
        <v>0</v>
      </c>
    </row>
    <row r="3711" spans="1:8" x14ac:dyDescent="0.3">
      <c r="A3711" t="s">
        <v>690</v>
      </c>
      <c r="B3711" t="s">
        <v>191</v>
      </c>
      <c r="C3711" t="s">
        <v>214</v>
      </c>
      <c r="D3711" t="s">
        <v>689</v>
      </c>
      <c r="E3711" t="s">
        <v>772</v>
      </c>
      <c r="F3711">
        <v>7</v>
      </c>
      <c r="G3711" s="308">
        <f>'BECA SUPERIOR'!Y194</f>
        <v>0</v>
      </c>
      <c r="H3711" s="308">
        <f>'BECA SUPERIOR'!Z194</f>
        <v>0</v>
      </c>
    </row>
    <row r="3712" spans="1:8" x14ac:dyDescent="0.3">
      <c r="A3712" t="s">
        <v>690</v>
      </c>
      <c r="B3712" t="s">
        <v>215</v>
      </c>
      <c r="C3712" t="s">
        <v>216</v>
      </c>
      <c r="D3712" t="s">
        <v>689</v>
      </c>
      <c r="E3712" t="s">
        <v>766</v>
      </c>
      <c r="F3712">
        <v>1</v>
      </c>
      <c r="G3712" s="308">
        <f>'BECA SUPERIOR'!G195</f>
        <v>0</v>
      </c>
      <c r="H3712" s="308">
        <f>'BECA SUPERIOR'!H195</f>
        <v>0</v>
      </c>
    </row>
    <row r="3713" spans="1:8" x14ac:dyDescent="0.3">
      <c r="A3713" t="s">
        <v>690</v>
      </c>
      <c r="B3713" t="s">
        <v>215</v>
      </c>
      <c r="C3713" t="s">
        <v>216</v>
      </c>
      <c r="D3713" t="s">
        <v>689</v>
      </c>
      <c r="E3713" t="s">
        <v>767</v>
      </c>
      <c r="F3713">
        <v>2</v>
      </c>
      <c r="G3713" s="308">
        <f>'BECA SUPERIOR'!J195</f>
        <v>0</v>
      </c>
      <c r="H3713" s="308">
        <f>'BECA SUPERIOR'!K195</f>
        <v>0</v>
      </c>
    </row>
    <row r="3714" spans="1:8" x14ac:dyDescent="0.3">
      <c r="A3714" t="s">
        <v>690</v>
      </c>
      <c r="B3714" t="s">
        <v>215</v>
      </c>
      <c r="C3714" t="s">
        <v>216</v>
      </c>
      <c r="D3714" t="s">
        <v>689</v>
      </c>
      <c r="E3714" t="s">
        <v>768</v>
      </c>
      <c r="F3714">
        <v>3</v>
      </c>
      <c r="G3714" s="308">
        <f>'BECA SUPERIOR'!M195</f>
        <v>0</v>
      </c>
      <c r="H3714" s="308">
        <f>'BECA SUPERIOR'!N195</f>
        <v>0</v>
      </c>
    </row>
    <row r="3715" spans="1:8" x14ac:dyDescent="0.3">
      <c r="A3715" t="s">
        <v>690</v>
      </c>
      <c r="B3715" t="s">
        <v>215</v>
      </c>
      <c r="C3715" t="s">
        <v>216</v>
      </c>
      <c r="D3715" t="s">
        <v>689</v>
      </c>
      <c r="E3715" t="s">
        <v>769</v>
      </c>
      <c r="F3715">
        <v>4</v>
      </c>
      <c r="G3715" s="308">
        <f>'BECA SUPERIOR'!P195</f>
        <v>2.16</v>
      </c>
      <c r="H3715" s="308">
        <f>'BECA SUPERIOR'!Q195</f>
        <v>5400</v>
      </c>
    </row>
    <row r="3716" spans="1:8" x14ac:dyDescent="0.3">
      <c r="A3716" t="s">
        <v>690</v>
      </c>
      <c r="B3716" t="s">
        <v>215</v>
      </c>
      <c r="C3716" t="s">
        <v>216</v>
      </c>
      <c r="D3716" t="s">
        <v>689</v>
      </c>
      <c r="E3716" t="s">
        <v>770</v>
      </c>
      <c r="F3716">
        <v>5</v>
      </c>
      <c r="G3716" s="308">
        <f>'BECA SUPERIOR'!S195</f>
        <v>0</v>
      </c>
      <c r="H3716" s="308">
        <f>'BECA SUPERIOR'!T195</f>
        <v>0</v>
      </c>
    </row>
    <row r="3717" spans="1:8" x14ac:dyDescent="0.3">
      <c r="A3717" t="s">
        <v>690</v>
      </c>
      <c r="B3717" t="s">
        <v>215</v>
      </c>
      <c r="C3717" t="s">
        <v>216</v>
      </c>
      <c r="D3717" t="s">
        <v>689</v>
      </c>
      <c r="E3717" t="s">
        <v>771</v>
      </c>
      <c r="F3717">
        <v>6</v>
      </c>
      <c r="G3717" s="308">
        <f>'BECA SUPERIOR'!V195</f>
        <v>0</v>
      </c>
      <c r="H3717" s="308">
        <f>'BECA SUPERIOR'!W195</f>
        <v>0</v>
      </c>
    </row>
    <row r="3718" spans="1:8" x14ac:dyDescent="0.3">
      <c r="A3718" t="s">
        <v>690</v>
      </c>
      <c r="B3718" t="s">
        <v>215</v>
      </c>
      <c r="C3718" t="s">
        <v>216</v>
      </c>
      <c r="D3718" t="s">
        <v>689</v>
      </c>
      <c r="E3718" t="s">
        <v>772</v>
      </c>
      <c r="F3718">
        <v>7</v>
      </c>
      <c r="G3718" s="308">
        <f>'BECA SUPERIOR'!Y195</f>
        <v>0</v>
      </c>
      <c r="H3718" s="308">
        <f>'BECA SUPERIOR'!Z195</f>
        <v>0</v>
      </c>
    </row>
    <row r="3719" spans="1:8" x14ac:dyDescent="0.3">
      <c r="A3719" t="s">
        <v>690</v>
      </c>
      <c r="B3719" t="s">
        <v>215</v>
      </c>
      <c r="C3719" t="s">
        <v>217</v>
      </c>
      <c r="D3719" t="s">
        <v>689</v>
      </c>
      <c r="E3719" t="s">
        <v>766</v>
      </c>
      <c r="F3719">
        <v>1</v>
      </c>
      <c r="G3719" s="308">
        <f>'BECA SUPERIOR'!G196</f>
        <v>0</v>
      </c>
      <c r="H3719" s="308">
        <f>'BECA SUPERIOR'!H196</f>
        <v>0</v>
      </c>
    </row>
    <row r="3720" spans="1:8" x14ac:dyDescent="0.3">
      <c r="A3720" t="s">
        <v>690</v>
      </c>
      <c r="B3720" t="s">
        <v>215</v>
      </c>
      <c r="C3720" t="s">
        <v>217</v>
      </c>
      <c r="D3720" t="s">
        <v>689</v>
      </c>
      <c r="E3720" t="s">
        <v>767</v>
      </c>
      <c r="F3720">
        <v>2</v>
      </c>
      <c r="G3720" s="308">
        <f>'BECA SUPERIOR'!J196</f>
        <v>0</v>
      </c>
      <c r="H3720" s="308">
        <f>'BECA SUPERIOR'!K196</f>
        <v>0</v>
      </c>
    </row>
    <row r="3721" spans="1:8" x14ac:dyDescent="0.3">
      <c r="A3721" t="s">
        <v>690</v>
      </c>
      <c r="B3721" t="s">
        <v>215</v>
      </c>
      <c r="C3721" t="s">
        <v>217</v>
      </c>
      <c r="D3721" t="s">
        <v>689</v>
      </c>
      <c r="E3721" t="s">
        <v>768</v>
      </c>
      <c r="F3721">
        <v>3</v>
      </c>
      <c r="G3721" s="308">
        <f>'BECA SUPERIOR'!M196</f>
        <v>0</v>
      </c>
      <c r="H3721" s="308">
        <f>'BECA SUPERIOR'!N196</f>
        <v>0</v>
      </c>
    </row>
    <row r="3722" spans="1:8" x14ac:dyDescent="0.3">
      <c r="A3722" t="s">
        <v>690</v>
      </c>
      <c r="B3722" t="s">
        <v>215</v>
      </c>
      <c r="C3722" t="s">
        <v>217</v>
      </c>
      <c r="D3722" t="s">
        <v>689</v>
      </c>
      <c r="E3722" t="s">
        <v>769</v>
      </c>
      <c r="F3722">
        <v>4</v>
      </c>
      <c r="G3722" s="308">
        <f>'BECA SUPERIOR'!P196</f>
        <v>0</v>
      </c>
      <c r="H3722" s="308">
        <f>'BECA SUPERIOR'!Q196</f>
        <v>0</v>
      </c>
    </row>
    <row r="3723" spans="1:8" x14ac:dyDescent="0.3">
      <c r="A3723" t="s">
        <v>690</v>
      </c>
      <c r="B3723" t="s">
        <v>215</v>
      </c>
      <c r="C3723" t="s">
        <v>217</v>
      </c>
      <c r="D3723" t="s">
        <v>689</v>
      </c>
      <c r="E3723" t="s">
        <v>770</v>
      </c>
      <c r="F3723">
        <v>5</v>
      </c>
      <c r="G3723" s="308">
        <f>'BECA SUPERIOR'!S196</f>
        <v>0</v>
      </c>
      <c r="H3723" s="308">
        <f>'BECA SUPERIOR'!T196</f>
        <v>0</v>
      </c>
    </row>
    <row r="3724" spans="1:8" x14ac:dyDescent="0.3">
      <c r="A3724" t="s">
        <v>690</v>
      </c>
      <c r="B3724" t="s">
        <v>215</v>
      </c>
      <c r="C3724" t="s">
        <v>217</v>
      </c>
      <c r="D3724" t="s">
        <v>689</v>
      </c>
      <c r="E3724" t="s">
        <v>771</v>
      </c>
      <c r="F3724">
        <v>6</v>
      </c>
      <c r="G3724" s="308">
        <f>'BECA SUPERIOR'!V196</f>
        <v>0</v>
      </c>
      <c r="H3724" s="308">
        <f>'BECA SUPERIOR'!W196</f>
        <v>0</v>
      </c>
    </row>
    <row r="3725" spans="1:8" x14ac:dyDescent="0.3">
      <c r="A3725" t="s">
        <v>690</v>
      </c>
      <c r="B3725" t="s">
        <v>215</v>
      </c>
      <c r="C3725" t="s">
        <v>217</v>
      </c>
      <c r="D3725" t="s">
        <v>689</v>
      </c>
      <c r="E3725" t="s">
        <v>772</v>
      </c>
      <c r="F3725">
        <v>7</v>
      </c>
      <c r="G3725" s="308">
        <f>'BECA SUPERIOR'!Y196</f>
        <v>0</v>
      </c>
      <c r="H3725" s="308">
        <f>'BECA SUPERIOR'!Z196</f>
        <v>0</v>
      </c>
    </row>
    <row r="3726" spans="1:8" x14ac:dyDescent="0.3">
      <c r="A3726" t="s">
        <v>690</v>
      </c>
      <c r="B3726" t="s">
        <v>215</v>
      </c>
      <c r="C3726" t="s">
        <v>218</v>
      </c>
      <c r="D3726" t="s">
        <v>689</v>
      </c>
      <c r="E3726" t="s">
        <v>766</v>
      </c>
      <c r="F3726">
        <v>1</v>
      </c>
      <c r="G3726" s="308">
        <f>'BECA SUPERIOR'!G197</f>
        <v>0</v>
      </c>
      <c r="H3726" s="308">
        <f>'BECA SUPERIOR'!H197</f>
        <v>0</v>
      </c>
    </row>
    <row r="3727" spans="1:8" x14ac:dyDescent="0.3">
      <c r="A3727" t="s">
        <v>690</v>
      </c>
      <c r="B3727" t="s">
        <v>215</v>
      </c>
      <c r="C3727" t="s">
        <v>218</v>
      </c>
      <c r="D3727" t="s">
        <v>689</v>
      </c>
      <c r="E3727" t="s">
        <v>767</v>
      </c>
      <c r="F3727">
        <v>2</v>
      </c>
      <c r="G3727" s="308">
        <f>'BECA SUPERIOR'!J197</f>
        <v>0</v>
      </c>
      <c r="H3727" s="308">
        <f>'BECA SUPERIOR'!K197</f>
        <v>0</v>
      </c>
    </row>
    <row r="3728" spans="1:8" x14ac:dyDescent="0.3">
      <c r="A3728" t="s">
        <v>690</v>
      </c>
      <c r="B3728" t="s">
        <v>215</v>
      </c>
      <c r="C3728" t="s">
        <v>218</v>
      </c>
      <c r="D3728" t="s">
        <v>689</v>
      </c>
      <c r="E3728" t="s">
        <v>768</v>
      </c>
      <c r="F3728">
        <v>3</v>
      </c>
      <c r="G3728" s="308">
        <f>'BECA SUPERIOR'!M197</f>
        <v>0</v>
      </c>
      <c r="H3728" s="308">
        <f>'BECA SUPERIOR'!N197</f>
        <v>0</v>
      </c>
    </row>
    <row r="3729" spans="1:8" x14ac:dyDescent="0.3">
      <c r="A3729" t="s">
        <v>690</v>
      </c>
      <c r="B3729" t="s">
        <v>215</v>
      </c>
      <c r="C3729" t="s">
        <v>218</v>
      </c>
      <c r="D3729" t="s">
        <v>689</v>
      </c>
      <c r="E3729" t="s">
        <v>769</v>
      </c>
      <c r="F3729">
        <v>4</v>
      </c>
      <c r="G3729" s="308">
        <f>'BECA SUPERIOR'!P197</f>
        <v>5.04</v>
      </c>
      <c r="H3729" s="308">
        <f>'BECA SUPERIOR'!Q197</f>
        <v>12600</v>
      </c>
    </row>
    <row r="3730" spans="1:8" x14ac:dyDescent="0.3">
      <c r="A3730" t="s">
        <v>690</v>
      </c>
      <c r="B3730" t="s">
        <v>215</v>
      </c>
      <c r="C3730" t="s">
        <v>218</v>
      </c>
      <c r="D3730" t="s">
        <v>689</v>
      </c>
      <c r="E3730" t="s">
        <v>770</v>
      </c>
      <c r="F3730">
        <v>5</v>
      </c>
      <c r="G3730" s="308">
        <f>'BECA SUPERIOR'!S197</f>
        <v>0</v>
      </c>
      <c r="H3730" s="308">
        <f>'BECA SUPERIOR'!T197</f>
        <v>0</v>
      </c>
    </row>
    <row r="3731" spans="1:8" x14ac:dyDescent="0.3">
      <c r="A3731" t="s">
        <v>690</v>
      </c>
      <c r="B3731" t="s">
        <v>215</v>
      </c>
      <c r="C3731" t="s">
        <v>218</v>
      </c>
      <c r="D3731" t="s">
        <v>689</v>
      </c>
      <c r="E3731" t="s">
        <v>771</v>
      </c>
      <c r="F3731">
        <v>6</v>
      </c>
      <c r="G3731" s="308">
        <f>'BECA SUPERIOR'!V197</f>
        <v>0</v>
      </c>
      <c r="H3731" s="308">
        <f>'BECA SUPERIOR'!W197</f>
        <v>0</v>
      </c>
    </row>
    <row r="3732" spans="1:8" x14ac:dyDescent="0.3">
      <c r="A3732" t="s">
        <v>690</v>
      </c>
      <c r="B3732" t="s">
        <v>215</v>
      </c>
      <c r="C3732" t="s">
        <v>218</v>
      </c>
      <c r="D3732" t="s">
        <v>689</v>
      </c>
      <c r="E3732" t="s">
        <v>772</v>
      </c>
      <c r="F3732">
        <v>7</v>
      </c>
      <c r="G3732" s="308">
        <f>'BECA SUPERIOR'!Y197</f>
        <v>0</v>
      </c>
      <c r="H3732" s="308">
        <f>'BECA SUPERIOR'!Z197</f>
        <v>0</v>
      </c>
    </row>
    <row r="3733" spans="1:8" x14ac:dyDescent="0.3">
      <c r="A3733" t="s">
        <v>690</v>
      </c>
      <c r="B3733" t="s">
        <v>215</v>
      </c>
      <c r="C3733" t="s">
        <v>219</v>
      </c>
      <c r="D3733" t="s">
        <v>689</v>
      </c>
      <c r="E3733" t="s">
        <v>766</v>
      </c>
      <c r="F3733">
        <v>1</v>
      </c>
      <c r="G3733" s="308">
        <f>'BECA SUPERIOR'!G198</f>
        <v>0</v>
      </c>
      <c r="H3733" s="308">
        <f>'BECA SUPERIOR'!H198</f>
        <v>0</v>
      </c>
    </row>
    <row r="3734" spans="1:8" x14ac:dyDescent="0.3">
      <c r="A3734" t="s">
        <v>690</v>
      </c>
      <c r="B3734" t="s">
        <v>215</v>
      </c>
      <c r="C3734" t="s">
        <v>219</v>
      </c>
      <c r="D3734" t="s">
        <v>689</v>
      </c>
      <c r="E3734" t="s">
        <v>767</v>
      </c>
      <c r="F3734">
        <v>2</v>
      </c>
      <c r="G3734" s="308">
        <f>'BECA SUPERIOR'!J198</f>
        <v>0</v>
      </c>
      <c r="H3734" s="308">
        <f>'BECA SUPERIOR'!K198</f>
        <v>0</v>
      </c>
    </row>
    <row r="3735" spans="1:8" x14ac:dyDescent="0.3">
      <c r="A3735" t="s">
        <v>690</v>
      </c>
      <c r="B3735" t="s">
        <v>215</v>
      </c>
      <c r="C3735" t="s">
        <v>219</v>
      </c>
      <c r="D3735" t="s">
        <v>689</v>
      </c>
      <c r="E3735" t="s">
        <v>768</v>
      </c>
      <c r="F3735">
        <v>3</v>
      </c>
      <c r="G3735" s="308">
        <f>'BECA SUPERIOR'!M198</f>
        <v>0</v>
      </c>
      <c r="H3735" s="308">
        <f>'BECA SUPERIOR'!N198</f>
        <v>0</v>
      </c>
    </row>
    <row r="3736" spans="1:8" x14ac:dyDescent="0.3">
      <c r="A3736" t="s">
        <v>690</v>
      </c>
      <c r="B3736" t="s">
        <v>215</v>
      </c>
      <c r="C3736" t="s">
        <v>219</v>
      </c>
      <c r="D3736" t="s">
        <v>689</v>
      </c>
      <c r="E3736" t="s">
        <v>769</v>
      </c>
      <c r="F3736">
        <v>4</v>
      </c>
      <c r="G3736" s="308">
        <f>'BECA SUPERIOR'!P198</f>
        <v>1.44</v>
      </c>
      <c r="H3736" s="308">
        <f>'BECA SUPERIOR'!Q198</f>
        <v>3600</v>
      </c>
    </row>
    <row r="3737" spans="1:8" x14ac:dyDescent="0.3">
      <c r="A3737" t="s">
        <v>690</v>
      </c>
      <c r="B3737" t="s">
        <v>215</v>
      </c>
      <c r="C3737" t="s">
        <v>219</v>
      </c>
      <c r="D3737" t="s">
        <v>689</v>
      </c>
      <c r="E3737" t="s">
        <v>770</v>
      </c>
      <c r="F3737">
        <v>5</v>
      </c>
      <c r="G3737" s="308">
        <f>'BECA SUPERIOR'!S198</f>
        <v>0</v>
      </c>
      <c r="H3737" s="308">
        <f>'BECA SUPERIOR'!T198</f>
        <v>0</v>
      </c>
    </row>
    <row r="3738" spans="1:8" x14ac:dyDescent="0.3">
      <c r="A3738" t="s">
        <v>690</v>
      </c>
      <c r="B3738" t="s">
        <v>215</v>
      </c>
      <c r="C3738" t="s">
        <v>219</v>
      </c>
      <c r="D3738" t="s">
        <v>689</v>
      </c>
      <c r="E3738" t="s">
        <v>771</v>
      </c>
      <c r="F3738">
        <v>6</v>
      </c>
      <c r="G3738" s="308">
        <f>'BECA SUPERIOR'!V198</f>
        <v>0</v>
      </c>
      <c r="H3738" s="308">
        <f>'BECA SUPERIOR'!W198</f>
        <v>0</v>
      </c>
    </row>
    <row r="3739" spans="1:8" x14ac:dyDescent="0.3">
      <c r="A3739" t="s">
        <v>690</v>
      </c>
      <c r="B3739" t="s">
        <v>215</v>
      </c>
      <c r="C3739" t="s">
        <v>219</v>
      </c>
      <c r="D3739" t="s">
        <v>689</v>
      </c>
      <c r="E3739" t="s">
        <v>772</v>
      </c>
      <c r="F3739">
        <v>7</v>
      </c>
      <c r="G3739" s="308">
        <f>'BECA SUPERIOR'!Y198</f>
        <v>0</v>
      </c>
      <c r="H3739" s="308">
        <f>'BECA SUPERIOR'!Z198</f>
        <v>0</v>
      </c>
    </row>
    <row r="3740" spans="1:8" x14ac:dyDescent="0.3">
      <c r="A3740" t="s">
        <v>690</v>
      </c>
      <c r="B3740" t="s">
        <v>215</v>
      </c>
      <c r="C3740" t="s">
        <v>220</v>
      </c>
      <c r="D3740" t="s">
        <v>689</v>
      </c>
      <c r="E3740" t="s">
        <v>766</v>
      </c>
      <c r="F3740">
        <v>1</v>
      </c>
      <c r="G3740" s="308">
        <f>'BECA SUPERIOR'!G199</f>
        <v>0</v>
      </c>
      <c r="H3740" s="308">
        <f>'BECA SUPERIOR'!H199</f>
        <v>0</v>
      </c>
    </row>
    <row r="3741" spans="1:8" x14ac:dyDescent="0.3">
      <c r="A3741" t="s">
        <v>690</v>
      </c>
      <c r="B3741" t="s">
        <v>215</v>
      </c>
      <c r="C3741" t="s">
        <v>220</v>
      </c>
      <c r="D3741" t="s">
        <v>689</v>
      </c>
      <c r="E3741" t="s">
        <v>767</v>
      </c>
      <c r="F3741">
        <v>2</v>
      </c>
      <c r="G3741" s="308">
        <f>'BECA SUPERIOR'!J199</f>
        <v>0</v>
      </c>
      <c r="H3741" s="308">
        <f>'BECA SUPERIOR'!K199</f>
        <v>0</v>
      </c>
    </row>
    <row r="3742" spans="1:8" x14ac:dyDescent="0.3">
      <c r="A3742" t="s">
        <v>690</v>
      </c>
      <c r="B3742" t="s">
        <v>215</v>
      </c>
      <c r="C3742" t="s">
        <v>220</v>
      </c>
      <c r="D3742" t="s">
        <v>689</v>
      </c>
      <c r="E3742" t="s">
        <v>768</v>
      </c>
      <c r="F3742">
        <v>3</v>
      </c>
      <c r="G3742" s="308">
        <f>'BECA SUPERIOR'!M199</f>
        <v>0</v>
      </c>
      <c r="H3742" s="308">
        <f>'BECA SUPERIOR'!N199</f>
        <v>0</v>
      </c>
    </row>
    <row r="3743" spans="1:8" x14ac:dyDescent="0.3">
      <c r="A3743" t="s">
        <v>690</v>
      </c>
      <c r="B3743" t="s">
        <v>215</v>
      </c>
      <c r="C3743" t="s">
        <v>220</v>
      </c>
      <c r="D3743" t="s">
        <v>689</v>
      </c>
      <c r="E3743" t="s">
        <v>769</v>
      </c>
      <c r="F3743">
        <v>4</v>
      </c>
      <c r="G3743" s="308">
        <f>'BECA SUPERIOR'!P199</f>
        <v>3.6</v>
      </c>
      <c r="H3743" s="308">
        <f>'BECA SUPERIOR'!Q199</f>
        <v>9000</v>
      </c>
    </row>
    <row r="3744" spans="1:8" x14ac:dyDescent="0.3">
      <c r="A3744" t="s">
        <v>690</v>
      </c>
      <c r="B3744" t="s">
        <v>215</v>
      </c>
      <c r="C3744" t="s">
        <v>220</v>
      </c>
      <c r="D3744" t="s">
        <v>689</v>
      </c>
      <c r="E3744" t="s">
        <v>770</v>
      </c>
      <c r="F3744">
        <v>5</v>
      </c>
      <c r="G3744" s="308">
        <f>'BECA SUPERIOR'!S199</f>
        <v>0</v>
      </c>
      <c r="H3744" s="308">
        <f>'BECA SUPERIOR'!T199</f>
        <v>0</v>
      </c>
    </row>
    <row r="3745" spans="1:8" x14ac:dyDescent="0.3">
      <c r="A3745" t="s">
        <v>690</v>
      </c>
      <c r="B3745" t="s">
        <v>215</v>
      </c>
      <c r="C3745" t="s">
        <v>220</v>
      </c>
      <c r="D3745" t="s">
        <v>689</v>
      </c>
      <c r="E3745" t="s">
        <v>771</v>
      </c>
      <c r="F3745">
        <v>6</v>
      </c>
      <c r="G3745" s="308">
        <f>'BECA SUPERIOR'!V199</f>
        <v>0</v>
      </c>
      <c r="H3745" s="308">
        <f>'BECA SUPERIOR'!W199</f>
        <v>0</v>
      </c>
    </row>
    <row r="3746" spans="1:8" x14ac:dyDescent="0.3">
      <c r="A3746" t="s">
        <v>690</v>
      </c>
      <c r="B3746" t="s">
        <v>215</v>
      </c>
      <c r="C3746" t="s">
        <v>220</v>
      </c>
      <c r="D3746" t="s">
        <v>689</v>
      </c>
      <c r="E3746" t="s">
        <v>772</v>
      </c>
      <c r="F3746">
        <v>7</v>
      </c>
      <c r="G3746" s="308">
        <f>'BECA SUPERIOR'!Y199</f>
        <v>0</v>
      </c>
      <c r="H3746" s="308">
        <f>'BECA SUPERIOR'!Z199</f>
        <v>0</v>
      </c>
    </row>
    <row r="3747" spans="1:8" x14ac:dyDescent="0.3">
      <c r="A3747" t="s">
        <v>690</v>
      </c>
      <c r="B3747" t="s">
        <v>215</v>
      </c>
      <c r="C3747" t="s">
        <v>221</v>
      </c>
      <c r="D3747" t="s">
        <v>689</v>
      </c>
      <c r="E3747" t="s">
        <v>766</v>
      </c>
      <c r="F3747">
        <v>1</v>
      </c>
      <c r="G3747" s="308">
        <f>'BECA SUPERIOR'!G200</f>
        <v>0</v>
      </c>
      <c r="H3747" s="308">
        <f>'BECA SUPERIOR'!H200</f>
        <v>0</v>
      </c>
    </row>
    <row r="3748" spans="1:8" x14ac:dyDescent="0.3">
      <c r="A3748" t="s">
        <v>690</v>
      </c>
      <c r="B3748" t="s">
        <v>215</v>
      </c>
      <c r="C3748" t="s">
        <v>221</v>
      </c>
      <c r="D3748" t="s">
        <v>689</v>
      </c>
      <c r="E3748" t="s">
        <v>767</v>
      </c>
      <c r="F3748">
        <v>2</v>
      </c>
      <c r="G3748" s="308">
        <f>'BECA SUPERIOR'!J200</f>
        <v>0</v>
      </c>
      <c r="H3748" s="308">
        <f>'BECA SUPERIOR'!K200</f>
        <v>0</v>
      </c>
    </row>
    <row r="3749" spans="1:8" x14ac:dyDescent="0.3">
      <c r="A3749" t="s">
        <v>690</v>
      </c>
      <c r="B3749" t="s">
        <v>215</v>
      </c>
      <c r="C3749" t="s">
        <v>221</v>
      </c>
      <c r="D3749" t="s">
        <v>689</v>
      </c>
      <c r="E3749" t="s">
        <v>768</v>
      </c>
      <c r="F3749">
        <v>3</v>
      </c>
      <c r="G3749" s="308">
        <f>'BECA SUPERIOR'!M200</f>
        <v>0</v>
      </c>
      <c r="H3749" s="308">
        <f>'BECA SUPERIOR'!N200</f>
        <v>0</v>
      </c>
    </row>
    <row r="3750" spans="1:8" x14ac:dyDescent="0.3">
      <c r="A3750" t="s">
        <v>690</v>
      </c>
      <c r="B3750" t="s">
        <v>215</v>
      </c>
      <c r="C3750" t="s">
        <v>221</v>
      </c>
      <c r="D3750" t="s">
        <v>689</v>
      </c>
      <c r="E3750" t="s">
        <v>769</v>
      </c>
      <c r="F3750">
        <v>4</v>
      </c>
      <c r="G3750" s="308">
        <f>'BECA SUPERIOR'!P200</f>
        <v>0</v>
      </c>
      <c r="H3750" s="308">
        <f>'BECA SUPERIOR'!Q200</f>
        <v>0</v>
      </c>
    </row>
    <row r="3751" spans="1:8" x14ac:dyDescent="0.3">
      <c r="A3751" t="s">
        <v>690</v>
      </c>
      <c r="B3751" t="s">
        <v>215</v>
      </c>
      <c r="C3751" t="s">
        <v>221</v>
      </c>
      <c r="D3751" t="s">
        <v>689</v>
      </c>
      <c r="E3751" t="s">
        <v>770</v>
      </c>
      <c r="F3751">
        <v>5</v>
      </c>
      <c r="G3751" s="308">
        <f>'BECA SUPERIOR'!S200</f>
        <v>0</v>
      </c>
      <c r="H3751" s="308">
        <f>'BECA SUPERIOR'!T200</f>
        <v>0</v>
      </c>
    </row>
    <row r="3752" spans="1:8" x14ac:dyDescent="0.3">
      <c r="A3752" t="s">
        <v>690</v>
      </c>
      <c r="B3752" t="s">
        <v>215</v>
      </c>
      <c r="C3752" t="s">
        <v>221</v>
      </c>
      <c r="D3752" t="s">
        <v>689</v>
      </c>
      <c r="E3752" t="s">
        <v>771</v>
      </c>
      <c r="F3752">
        <v>6</v>
      </c>
      <c r="G3752" s="308">
        <f>'BECA SUPERIOR'!V200</f>
        <v>0</v>
      </c>
      <c r="H3752" s="308">
        <f>'BECA SUPERIOR'!W200</f>
        <v>0</v>
      </c>
    </row>
    <row r="3753" spans="1:8" x14ac:dyDescent="0.3">
      <c r="A3753" t="s">
        <v>690</v>
      </c>
      <c r="B3753" t="s">
        <v>215</v>
      </c>
      <c r="C3753" t="s">
        <v>221</v>
      </c>
      <c r="D3753" t="s">
        <v>689</v>
      </c>
      <c r="E3753" t="s">
        <v>772</v>
      </c>
      <c r="F3753">
        <v>7</v>
      </c>
      <c r="G3753" s="308">
        <f>'BECA SUPERIOR'!Y200</f>
        <v>0</v>
      </c>
      <c r="H3753" s="308">
        <f>'BECA SUPERIOR'!Z200</f>
        <v>0</v>
      </c>
    </row>
    <row r="3754" spans="1:8" x14ac:dyDescent="0.3">
      <c r="A3754" t="s">
        <v>690</v>
      </c>
      <c r="B3754" t="s">
        <v>215</v>
      </c>
      <c r="C3754" t="s">
        <v>222</v>
      </c>
      <c r="D3754" t="s">
        <v>689</v>
      </c>
      <c r="E3754" t="s">
        <v>766</v>
      </c>
      <c r="F3754">
        <v>1</v>
      </c>
      <c r="G3754" s="308">
        <f>'BECA SUPERIOR'!G201</f>
        <v>0</v>
      </c>
      <c r="H3754" s="308">
        <f>'BECA SUPERIOR'!H201</f>
        <v>0</v>
      </c>
    </row>
    <row r="3755" spans="1:8" x14ac:dyDescent="0.3">
      <c r="A3755" t="s">
        <v>690</v>
      </c>
      <c r="B3755" t="s">
        <v>215</v>
      </c>
      <c r="C3755" t="s">
        <v>222</v>
      </c>
      <c r="D3755" t="s">
        <v>689</v>
      </c>
      <c r="E3755" t="s">
        <v>767</v>
      </c>
      <c r="F3755">
        <v>2</v>
      </c>
      <c r="G3755" s="308">
        <f>'BECA SUPERIOR'!J201</f>
        <v>0</v>
      </c>
      <c r="H3755" s="308">
        <f>'BECA SUPERIOR'!K201</f>
        <v>0</v>
      </c>
    </row>
    <row r="3756" spans="1:8" x14ac:dyDescent="0.3">
      <c r="A3756" t="s">
        <v>690</v>
      </c>
      <c r="B3756" t="s">
        <v>215</v>
      </c>
      <c r="C3756" t="s">
        <v>222</v>
      </c>
      <c r="D3756" t="s">
        <v>689</v>
      </c>
      <c r="E3756" t="s">
        <v>768</v>
      </c>
      <c r="F3756">
        <v>3</v>
      </c>
      <c r="G3756" s="308">
        <f>'BECA SUPERIOR'!M201</f>
        <v>0</v>
      </c>
      <c r="H3756" s="308">
        <f>'BECA SUPERIOR'!N201</f>
        <v>0</v>
      </c>
    </row>
    <row r="3757" spans="1:8" x14ac:dyDescent="0.3">
      <c r="A3757" t="s">
        <v>690</v>
      </c>
      <c r="B3757" t="s">
        <v>215</v>
      </c>
      <c r="C3757" t="s">
        <v>222</v>
      </c>
      <c r="D3757" t="s">
        <v>689</v>
      </c>
      <c r="E3757" t="s">
        <v>769</v>
      </c>
      <c r="F3757">
        <v>4</v>
      </c>
      <c r="G3757" s="308">
        <f>'BECA SUPERIOR'!P201</f>
        <v>1.44</v>
      </c>
      <c r="H3757" s="308">
        <f>'BECA SUPERIOR'!Q201</f>
        <v>3600</v>
      </c>
    </row>
    <row r="3758" spans="1:8" x14ac:dyDescent="0.3">
      <c r="A3758" t="s">
        <v>690</v>
      </c>
      <c r="B3758" t="s">
        <v>215</v>
      </c>
      <c r="C3758" t="s">
        <v>222</v>
      </c>
      <c r="D3758" t="s">
        <v>689</v>
      </c>
      <c r="E3758" t="s">
        <v>770</v>
      </c>
      <c r="F3758">
        <v>5</v>
      </c>
      <c r="G3758" s="308">
        <f>'BECA SUPERIOR'!S201</f>
        <v>0</v>
      </c>
      <c r="H3758" s="308">
        <f>'BECA SUPERIOR'!T201</f>
        <v>0</v>
      </c>
    </row>
    <row r="3759" spans="1:8" x14ac:dyDescent="0.3">
      <c r="A3759" t="s">
        <v>690</v>
      </c>
      <c r="B3759" t="s">
        <v>215</v>
      </c>
      <c r="C3759" t="s">
        <v>222</v>
      </c>
      <c r="D3759" t="s">
        <v>689</v>
      </c>
      <c r="E3759" t="s">
        <v>771</v>
      </c>
      <c r="F3759">
        <v>6</v>
      </c>
      <c r="G3759" s="308">
        <f>'BECA SUPERIOR'!V201</f>
        <v>0</v>
      </c>
      <c r="H3759" s="308">
        <f>'BECA SUPERIOR'!W201</f>
        <v>0</v>
      </c>
    </row>
    <row r="3760" spans="1:8" x14ac:dyDescent="0.3">
      <c r="A3760" t="s">
        <v>690</v>
      </c>
      <c r="B3760" t="s">
        <v>215</v>
      </c>
      <c r="C3760" t="s">
        <v>222</v>
      </c>
      <c r="D3760" t="s">
        <v>689</v>
      </c>
      <c r="E3760" t="s">
        <v>772</v>
      </c>
      <c r="F3760">
        <v>7</v>
      </c>
      <c r="G3760" s="308">
        <f>'BECA SUPERIOR'!Y201</f>
        <v>0</v>
      </c>
      <c r="H3760" s="308">
        <f>'BECA SUPERIOR'!Z201</f>
        <v>0</v>
      </c>
    </row>
    <row r="3761" spans="1:8" x14ac:dyDescent="0.3">
      <c r="A3761" t="s">
        <v>690</v>
      </c>
      <c r="B3761" t="s">
        <v>215</v>
      </c>
      <c r="C3761" t="s">
        <v>223</v>
      </c>
      <c r="D3761" t="s">
        <v>689</v>
      </c>
      <c r="E3761" t="s">
        <v>766</v>
      </c>
      <c r="F3761">
        <v>1</v>
      </c>
      <c r="G3761" s="308">
        <f>'BECA SUPERIOR'!G202</f>
        <v>0</v>
      </c>
      <c r="H3761" s="308">
        <f>'BECA SUPERIOR'!H202</f>
        <v>0</v>
      </c>
    </row>
    <row r="3762" spans="1:8" x14ac:dyDescent="0.3">
      <c r="A3762" t="s">
        <v>690</v>
      </c>
      <c r="B3762" t="s">
        <v>215</v>
      </c>
      <c r="C3762" t="s">
        <v>223</v>
      </c>
      <c r="D3762" t="s">
        <v>689</v>
      </c>
      <c r="E3762" t="s">
        <v>767</v>
      </c>
      <c r="F3762">
        <v>2</v>
      </c>
      <c r="G3762" s="308">
        <f>'BECA SUPERIOR'!J202</f>
        <v>0</v>
      </c>
      <c r="H3762" s="308">
        <f>'BECA SUPERIOR'!K202</f>
        <v>0</v>
      </c>
    </row>
    <row r="3763" spans="1:8" x14ac:dyDescent="0.3">
      <c r="A3763" t="s">
        <v>690</v>
      </c>
      <c r="B3763" t="s">
        <v>215</v>
      </c>
      <c r="C3763" t="s">
        <v>223</v>
      </c>
      <c r="D3763" t="s">
        <v>689</v>
      </c>
      <c r="E3763" t="s">
        <v>768</v>
      </c>
      <c r="F3763">
        <v>3</v>
      </c>
      <c r="G3763" s="308">
        <f>'BECA SUPERIOR'!M202</f>
        <v>0</v>
      </c>
      <c r="H3763" s="308">
        <f>'BECA SUPERIOR'!N202</f>
        <v>0</v>
      </c>
    </row>
    <row r="3764" spans="1:8" x14ac:dyDescent="0.3">
      <c r="A3764" t="s">
        <v>690</v>
      </c>
      <c r="B3764" t="s">
        <v>215</v>
      </c>
      <c r="C3764" t="s">
        <v>223</v>
      </c>
      <c r="D3764" t="s">
        <v>689</v>
      </c>
      <c r="E3764" t="s">
        <v>769</v>
      </c>
      <c r="F3764">
        <v>4</v>
      </c>
      <c r="G3764" s="308">
        <f>'BECA SUPERIOR'!P202</f>
        <v>10.08</v>
      </c>
      <c r="H3764" s="308">
        <f>'BECA SUPERIOR'!Q202</f>
        <v>25200</v>
      </c>
    </row>
    <row r="3765" spans="1:8" x14ac:dyDescent="0.3">
      <c r="A3765" t="s">
        <v>690</v>
      </c>
      <c r="B3765" t="s">
        <v>215</v>
      </c>
      <c r="C3765" t="s">
        <v>223</v>
      </c>
      <c r="D3765" t="s">
        <v>689</v>
      </c>
      <c r="E3765" t="s">
        <v>770</v>
      </c>
      <c r="F3765">
        <v>5</v>
      </c>
      <c r="G3765" s="308">
        <f>'BECA SUPERIOR'!S202</f>
        <v>0</v>
      </c>
      <c r="H3765" s="308">
        <f>'BECA SUPERIOR'!T202</f>
        <v>0</v>
      </c>
    </row>
    <row r="3766" spans="1:8" x14ac:dyDescent="0.3">
      <c r="A3766" t="s">
        <v>690</v>
      </c>
      <c r="B3766" t="s">
        <v>215</v>
      </c>
      <c r="C3766" t="s">
        <v>223</v>
      </c>
      <c r="D3766" t="s">
        <v>689</v>
      </c>
      <c r="E3766" t="s">
        <v>771</v>
      </c>
      <c r="F3766">
        <v>6</v>
      </c>
      <c r="G3766" s="308">
        <f>'BECA SUPERIOR'!V202</f>
        <v>0</v>
      </c>
      <c r="H3766" s="308">
        <f>'BECA SUPERIOR'!W202</f>
        <v>0</v>
      </c>
    </row>
    <row r="3767" spans="1:8" x14ac:dyDescent="0.3">
      <c r="A3767" t="s">
        <v>690</v>
      </c>
      <c r="B3767" t="s">
        <v>215</v>
      </c>
      <c r="C3767" t="s">
        <v>223</v>
      </c>
      <c r="D3767" t="s">
        <v>689</v>
      </c>
      <c r="E3767" t="s">
        <v>772</v>
      </c>
      <c r="F3767">
        <v>7</v>
      </c>
      <c r="G3767" s="308">
        <f>'BECA SUPERIOR'!Y202</f>
        <v>0</v>
      </c>
      <c r="H3767" s="308">
        <f>'BECA SUPERIOR'!Z202</f>
        <v>0</v>
      </c>
    </row>
    <row r="3768" spans="1:8" x14ac:dyDescent="0.3">
      <c r="A3768" t="s">
        <v>690</v>
      </c>
      <c r="B3768" t="s">
        <v>215</v>
      </c>
      <c r="C3768" t="s">
        <v>224</v>
      </c>
      <c r="D3768" t="s">
        <v>689</v>
      </c>
      <c r="E3768" t="s">
        <v>766</v>
      </c>
      <c r="F3768">
        <v>1</v>
      </c>
      <c r="G3768" s="308">
        <f>'BECA SUPERIOR'!G203</f>
        <v>0</v>
      </c>
      <c r="H3768" s="308">
        <f>'BECA SUPERIOR'!H203</f>
        <v>0</v>
      </c>
    </row>
    <row r="3769" spans="1:8" x14ac:dyDescent="0.3">
      <c r="A3769" t="s">
        <v>690</v>
      </c>
      <c r="B3769" t="s">
        <v>215</v>
      </c>
      <c r="C3769" t="s">
        <v>224</v>
      </c>
      <c r="D3769" t="s">
        <v>689</v>
      </c>
      <c r="E3769" t="s">
        <v>767</v>
      </c>
      <c r="F3769">
        <v>2</v>
      </c>
      <c r="G3769" s="308">
        <f>'BECA SUPERIOR'!J203</f>
        <v>0</v>
      </c>
      <c r="H3769" s="308">
        <f>'BECA SUPERIOR'!K203</f>
        <v>0</v>
      </c>
    </row>
    <row r="3770" spans="1:8" x14ac:dyDescent="0.3">
      <c r="A3770" t="s">
        <v>690</v>
      </c>
      <c r="B3770" t="s">
        <v>215</v>
      </c>
      <c r="C3770" t="s">
        <v>224</v>
      </c>
      <c r="D3770" t="s">
        <v>689</v>
      </c>
      <c r="E3770" t="s">
        <v>768</v>
      </c>
      <c r="F3770">
        <v>3</v>
      </c>
      <c r="G3770" s="308">
        <f>'BECA SUPERIOR'!M203</f>
        <v>0</v>
      </c>
      <c r="H3770" s="308">
        <f>'BECA SUPERIOR'!N203</f>
        <v>0</v>
      </c>
    </row>
    <row r="3771" spans="1:8" x14ac:dyDescent="0.3">
      <c r="A3771" t="s">
        <v>690</v>
      </c>
      <c r="B3771" t="s">
        <v>215</v>
      </c>
      <c r="C3771" t="s">
        <v>224</v>
      </c>
      <c r="D3771" t="s">
        <v>689</v>
      </c>
      <c r="E3771" t="s">
        <v>769</v>
      </c>
      <c r="F3771">
        <v>4</v>
      </c>
      <c r="G3771" s="308">
        <f>'BECA SUPERIOR'!P203</f>
        <v>5.76</v>
      </c>
      <c r="H3771" s="308">
        <f>'BECA SUPERIOR'!Q203</f>
        <v>14400</v>
      </c>
    </row>
    <row r="3772" spans="1:8" x14ac:dyDescent="0.3">
      <c r="A3772" t="s">
        <v>690</v>
      </c>
      <c r="B3772" t="s">
        <v>215</v>
      </c>
      <c r="C3772" t="s">
        <v>224</v>
      </c>
      <c r="D3772" t="s">
        <v>689</v>
      </c>
      <c r="E3772" t="s">
        <v>770</v>
      </c>
      <c r="F3772">
        <v>5</v>
      </c>
      <c r="G3772" s="308">
        <f>'BECA SUPERIOR'!S203</f>
        <v>0</v>
      </c>
      <c r="H3772" s="308">
        <f>'BECA SUPERIOR'!T203</f>
        <v>0</v>
      </c>
    </row>
    <row r="3773" spans="1:8" x14ac:dyDescent="0.3">
      <c r="A3773" t="s">
        <v>690</v>
      </c>
      <c r="B3773" t="s">
        <v>215</v>
      </c>
      <c r="C3773" t="s">
        <v>224</v>
      </c>
      <c r="D3773" t="s">
        <v>689</v>
      </c>
      <c r="E3773" t="s">
        <v>771</v>
      </c>
      <c r="F3773">
        <v>6</v>
      </c>
      <c r="G3773" s="308">
        <f>'BECA SUPERIOR'!V203</f>
        <v>0</v>
      </c>
      <c r="H3773" s="308">
        <f>'BECA SUPERIOR'!W203</f>
        <v>0</v>
      </c>
    </row>
    <row r="3774" spans="1:8" x14ac:dyDescent="0.3">
      <c r="A3774" t="s">
        <v>690</v>
      </c>
      <c r="B3774" t="s">
        <v>215</v>
      </c>
      <c r="C3774" t="s">
        <v>224</v>
      </c>
      <c r="D3774" t="s">
        <v>689</v>
      </c>
      <c r="E3774" t="s">
        <v>772</v>
      </c>
      <c r="F3774">
        <v>7</v>
      </c>
      <c r="G3774" s="308">
        <f>'BECA SUPERIOR'!Y203</f>
        <v>0</v>
      </c>
      <c r="H3774" s="308">
        <f>'BECA SUPERIOR'!Z203</f>
        <v>0</v>
      </c>
    </row>
    <row r="3775" spans="1:8" x14ac:dyDescent="0.3">
      <c r="A3775" t="s">
        <v>690</v>
      </c>
      <c r="B3775" t="s">
        <v>215</v>
      </c>
      <c r="C3775" t="s">
        <v>225</v>
      </c>
      <c r="D3775" t="s">
        <v>689</v>
      </c>
      <c r="E3775" t="s">
        <v>766</v>
      </c>
      <c r="F3775">
        <v>1</v>
      </c>
      <c r="G3775" s="308">
        <f>'BECA SUPERIOR'!G204</f>
        <v>0</v>
      </c>
      <c r="H3775" s="308">
        <f>'BECA SUPERIOR'!H204</f>
        <v>0</v>
      </c>
    </row>
    <row r="3776" spans="1:8" x14ac:dyDescent="0.3">
      <c r="A3776" t="s">
        <v>690</v>
      </c>
      <c r="B3776" t="s">
        <v>215</v>
      </c>
      <c r="C3776" t="s">
        <v>225</v>
      </c>
      <c r="D3776" t="s">
        <v>689</v>
      </c>
      <c r="E3776" t="s">
        <v>767</v>
      </c>
      <c r="F3776">
        <v>2</v>
      </c>
      <c r="G3776" s="308">
        <f>'BECA SUPERIOR'!J204</f>
        <v>0</v>
      </c>
      <c r="H3776" s="308">
        <f>'BECA SUPERIOR'!K204</f>
        <v>0</v>
      </c>
    </row>
    <row r="3777" spans="1:8" x14ac:dyDescent="0.3">
      <c r="A3777" t="s">
        <v>690</v>
      </c>
      <c r="B3777" t="s">
        <v>215</v>
      </c>
      <c r="C3777" t="s">
        <v>225</v>
      </c>
      <c r="D3777" t="s">
        <v>689</v>
      </c>
      <c r="E3777" t="s">
        <v>768</v>
      </c>
      <c r="F3777">
        <v>3</v>
      </c>
      <c r="G3777" s="308">
        <f>'BECA SUPERIOR'!M204</f>
        <v>0</v>
      </c>
      <c r="H3777" s="308">
        <f>'BECA SUPERIOR'!N204</f>
        <v>0</v>
      </c>
    </row>
    <row r="3778" spans="1:8" x14ac:dyDescent="0.3">
      <c r="A3778" t="s">
        <v>690</v>
      </c>
      <c r="B3778" t="s">
        <v>215</v>
      </c>
      <c r="C3778" t="s">
        <v>225</v>
      </c>
      <c r="D3778" t="s">
        <v>689</v>
      </c>
      <c r="E3778" t="s">
        <v>769</v>
      </c>
      <c r="F3778">
        <v>4</v>
      </c>
      <c r="G3778" s="308">
        <f>'BECA SUPERIOR'!P204</f>
        <v>3.6</v>
      </c>
      <c r="H3778" s="308">
        <f>'BECA SUPERIOR'!Q204</f>
        <v>9000</v>
      </c>
    </row>
    <row r="3779" spans="1:8" x14ac:dyDescent="0.3">
      <c r="A3779" t="s">
        <v>690</v>
      </c>
      <c r="B3779" t="s">
        <v>215</v>
      </c>
      <c r="C3779" t="s">
        <v>225</v>
      </c>
      <c r="D3779" t="s">
        <v>689</v>
      </c>
      <c r="E3779" t="s">
        <v>770</v>
      </c>
      <c r="F3779">
        <v>5</v>
      </c>
      <c r="G3779" s="308">
        <f>'BECA SUPERIOR'!S204</f>
        <v>0</v>
      </c>
      <c r="H3779" s="308">
        <f>'BECA SUPERIOR'!T204</f>
        <v>0</v>
      </c>
    </row>
    <row r="3780" spans="1:8" x14ac:dyDescent="0.3">
      <c r="A3780" t="s">
        <v>690</v>
      </c>
      <c r="B3780" t="s">
        <v>215</v>
      </c>
      <c r="C3780" t="s">
        <v>225</v>
      </c>
      <c r="D3780" t="s">
        <v>689</v>
      </c>
      <c r="E3780" t="s">
        <v>771</v>
      </c>
      <c r="F3780">
        <v>6</v>
      </c>
      <c r="G3780" s="308">
        <f>'BECA SUPERIOR'!V204</f>
        <v>0</v>
      </c>
      <c r="H3780" s="308">
        <f>'BECA SUPERIOR'!W204</f>
        <v>0</v>
      </c>
    </row>
    <row r="3781" spans="1:8" x14ac:dyDescent="0.3">
      <c r="A3781" t="s">
        <v>690</v>
      </c>
      <c r="B3781" t="s">
        <v>215</v>
      </c>
      <c r="C3781" t="s">
        <v>225</v>
      </c>
      <c r="D3781" t="s">
        <v>689</v>
      </c>
      <c r="E3781" t="s">
        <v>772</v>
      </c>
      <c r="F3781">
        <v>7</v>
      </c>
      <c r="G3781" s="308">
        <f>'BECA SUPERIOR'!Y204</f>
        <v>0</v>
      </c>
      <c r="H3781" s="308">
        <f>'BECA SUPERIOR'!Z204</f>
        <v>0</v>
      </c>
    </row>
    <row r="3782" spans="1:8" x14ac:dyDescent="0.3">
      <c r="A3782" t="s">
        <v>690</v>
      </c>
      <c r="B3782" t="s">
        <v>215</v>
      </c>
      <c r="C3782" t="s">
        <v>226</v>
      </c>
      <c r="D3782" t="s">
        <v>689</v>
      </c>
      <c r="E3782" t="s">
        <v>766</v>
      </c>
      <c r="F3782">
        <v>1</v>
      </c>
      <c r="G3782" s="308">
        <f>'BECA SUPERIOR'!G205</f>
        <v>0</v>
      </c>
      <c r="H3782" s="308">
        <f>'BECA SUPERIOR'!H205</f>
        <v>0</v>
      </c>
    </row>
    <row r="3783" spans="1:8" x14ac:dyDescent="0.3">
      <c r="A3783" t="s">
        <v>690</v>
      </c>
      <c r="B3783" t="s">
        <v>215</v>
      </c>
      <c r="C3783" t="s">
        <v>226</v>
      </c>
      <c r="D3783" t="s">
        <v>689</v>
      </c>
      <c r="E3783" t="s">
        <v>767</v>
      </c>
      <c r="F3783">
        <v>2</v>
      </c>
      <c r="G3783" s="308">
        <f>'BECA SUPERIOR'!J205</f>
        <v>0</v>
      </c>
      <c r="H3783" s="308">
        <f>'BECA SUPERIOR'!K205</f>
        <v>0</v>
      </c>
    </row>
    <row r="3784" spans="1:8" x14ac:dyDescent="0.3">
      <c r="A3784" t="s">
        <v>690</v>
      </c>
      <c r="B3784" t="s">
        <v>215</v>
      </c>
      <c r="C3784" t="s">
        <v>226</v>
      </c>
      <c r="D3784" t="s">
        <v>689</v>
      </c>
      <c r="E3784" t="s">
        <v>768</v>
      </c>
      <c r="F3784">
        <v>3</v>
      </c>
      <c r="G3784" s="308">
        <f>'BECA SUPERIOR'!M205</f>
        <v>0</v>
      </c>
      <c r="H3784" s="308">
        <f>'BECA SUPERIOR'!N205</f>
        <v>0</v>
      </c>
    </row>
    <row r="3785" spans="1:8" x14ac:dyDescent="0.3">
      <c r="A3785" t="s">
        <v>690</v>
      </c>
      <c r="B3785" t="s">
        <v>215</v>
      </c>
      <c r="C3785" t="s">
        <v>226</v>
      </c>
      <c r="D3785" t="s">
        <v>689</v>
      </c>
      <c r="E3785" t="s">
        <v>769</v>
      </c>
      <c r="F3785">
        <v>4</v>
      </c>
      <c r="G3785" s="308">
        <f>'BECA SUPERIOR'!P205</f>
        <v>8.64</v>
      </c>
      <c r="H3785" s="308">
        <f>'BECA SUPERIOR'!Q205</f>
        <v>21600</v>
      </c>
    </row>
    <row r="3786" spans="1:8" x14ac:dyDescent="0.3">
      <c r="A3786" t="s">
        <v>690</v>
      </c>
      <c r="B3786" t="s">
        <v>215</v>
      </c>
      <c r="C3786" t="s">
        <v>226</v>
      </c>
      <c r="D3786" t="s">
        <v>689</v>
      </c>
      <c r="E3786" t="s">
        <v>770</v>
      </c>
      <c r="F3786">
        <v>5</v>
      </c>
      <c r="G3786" s="308">
        <f>'BECA SUPERIOR'!S205</f>
        <v>0</v>
      </c>
      <c r="H3786" s="308">
        <f>'BECA SUPERIOR'!T205</f>
        <v>0</v>
      </c>
    </row>
    <row r="3787" spans="1:8" x14ac:dyDescent="0.3">
      <c r="A3787" t="s">
        <v>690</v>
      </c>
      <c r="B3787" t="s">
        <v>215</v>
      </c>
      <c r="C3787" t="s">
        <v>226</v>
      </c>
      <c r="D3787" t="s">
        <v>689</v>
      </c>
      <c r="E3787" t="s">
        <v>771</v>
      </c>
      <c r="F3787">
        <v>6</v>
      </c>
      <c r="G3787" s="308">
        <f>'BECA SUPERIOR'!V205</f>
        <v>0</v>
      </c>
      <c r="H3787" s="308">
        <f>'BECA SUPERIOR'!W205</f>
        <v>0</v>
      </c>
    </row>
    <row r="3788" spans="1:8" x14ac:dyDescent="0.3">
      <c r="A3788" t="s">
        <v>690</v>
      </c>
      <c r="B3788" t="s">
        <v>215</v>
      </c>
      <c r="C3788" t="s">
        <v>226</v>
      </c>
      <c r="D3788" t="s">
        <v>689</v>
      </c>
      <c r="E3788" t="s">
        <v>772</v>
      </c>
      <c r="F3788">
        <v>7</v>
      </c>
      <c r="G3788" s="308">
        <f>'BECA SUPERIOR'!Y205</f>
        <v>0</v>
      </c>
      <c r="H3788" s="308">
        <f>'BECA SUPERIOR'!Z205</f>
        <v>0</v>
      </c>
    </row>
    <row r="3789" spans="1:8" x14ac:dyDescent="0.3">
      <c r="A3789" t="s">
        <v>690</v>
      </c>
      <c r="B3789" t="s">
        <v>215</v>
      </c>
      <c r="C3789" t="s">
        <v>227</v>
      </c>
      <c r="D3789" t="s">
        <v>689</v>
      </c>
      <c r="E3789" t="s">
        <v>766</v>
      </c>
      <c r="F3789">
        <v>1</v>
      </c>
      <c r="G3789" s="308">
        <f>'BECA SUPERIOR'!G206</f>
        <v>0</v>
      </c>
      <c r="H3789" s="308">
        <f>'BECA SUPERIOR'!H206</f>
        <v>0</v>
      </c>
    </row>
    <row r="3790" spans="1:8" x14ac:dyDescent="0.3">
      <c r="A3790" t="s">
        <v>690</v>
      </c>
      <c r="B3790" t="s">
        <v>215</v>
      </c>
      <c r="C3790" t="s">
        <v>227</v>
      </c>
      <c r="D3790" t="s">
        <v>689</v>
      </c>
      <c r="E3790" t="s">
        <v>767</v>
      </c>
      <c r="F3790">
        <v>2</v>
      </c>
      <c r="G3790" s="308">
        <f>'BECA SUPERIOR'!J206</f>
        <v>0</v>
      </c>
      <c r="H3790" s="308">
        <f>'BECA SUPERIOR'!K206</f>
        <v>0</v>
      </c>
    </row>
    <row r="3791" spans="1:8" x14ac:dyDescent="0.3">
      <c r="A3791" t="s">
        <v>690</v>
      </c>
      <c r="B3791" t="s">
        <v>215</v>
      </c>
      <c r="C3791" t="s">
        <v>227</v>
      </c>
      <c r="D3791" t="s">
        <v>689</v>
      </c>
      <c r="E3791" t="s">
        <v>768</v>
      </c>
      <c r="F3791">
        <v>3</v>
      </c>
      <c r="G3791" s="308">
        <f>'BECA SUPERIOR'!M206</f>
        <v>0</v>
      </c>
      <c r="H3791" s="308">
        <f>'BECA SUPERIOR'!N206</f>
        <v>0</v>
      </c>
    </row>
    <row r="3792" spans="1:8" x14ac:dyDescent="0.3">
      <c r="A3792" t="s">
        <v>690</v>
      </c>
      <c r="B3792" t="s">
        <v>215</v>
      </c>
      <c r="C3792" t="s">
        <v>227</v>
      </c>
      <c r="D3792" t="s">
        <v>689</v>
      </c>
      <c r="E3792" t="s">
        <v>769</v>
      </c>
      <c r="F3792">
        <v>4</v>
      </c>
      <c r="G3792" s="308">
        <f>'BECA SUPERIOR'!P206</f>
        <v>0.72</v>
      </c>
      <c r="H3792" s="308">
        <f>'BECA SUPERIOR'!Q206</f>
        <v>1800</v>
      </c>
    </row>
    <row r="3793" spans="1:8" x14ac:dyDescent="0.3">
      <c r="A3793" t="s">
        <v>690</v>
      </c>
      <c r="B3793" t="s">
        <v>215</v>
      </c>
      <c r="C3793" t="s">
        <v>227</v>
      </c>
      <c r="D3793" t="s">
        <v>689</v>
      </c>
      <c r="E3793" t="s">
        <v>770</v>
      </c>
      <c r="F3793">
        <v>5</v>
      </c>
      <c r="G3793" s="308">
        <f>'BECA SUPERIOR'!S206</f>
        <v>0</v>
      </c>
      <c r="H3793" s="308">
        <f>'BECA SUPERIOR'!T206</f>
        <v>0</v>
      </c>
    </row>
    <row r="3794" spans="1:8" x14ac:dyDescent="0.3">
      <c r="A3794" t="s">
        <v>690</v>
      </c>
      <c r="B3794" t="s">
        <v>215</v>
      </c>
      <c r="C3794" t="s">
        <v>227</v>
      </c>
      <c r="D3794" t="s">
        <v>689</v>
      </c>
      <c r="E3794" t="s">
        <v>771</v>
      </c>
      <c r="F3794">
        <v>6</v>
      </c>
      <c r="G3794" s="308">
        <f>'BECA SUPERIOR'!V206</f>
        <v>0</v>
      </c>
      <c r="H3794" s="308">
        <f>'BECA SUPERIOR'!W206</f>
        <v>0</v>
      </c>
    </row>
    <row r="3795" spans="1:8" x14ac:dyDescent="0.3">
      <c r="A3795" t="s">
        <v>690</v>
      </c>
      <c r="B3795" t="s">
        <v>215</v>
      </c>
      <c r="C3795" t="s">
        <v>227</v>
      </c>
      <c r="D3795" t="s">
        <v>689</v>
      </c>
      <c r="E3795" t="s">
        <v>772</v>
      </c>
      <c r="F3795">
        <v>7</v>
      </c>
      <c r="G3795" s="308">
        <f>'BECA SUPERIOR'!Y206</f>
        <v>0</v>
      </c>
      <c r="H3795" s="308">
        <f>'BECA SUPERIOR'!Z206</f>
        <v>0</v>
      </c>
    </row>
    <row r="3796" spans="1:8" x14ac:dyDescent="0.3">
      <c r="A3796" t="s">
        <v>690</v>
      </c>
      <c r="B3796" t="s">
        <v>215</v>
      </c>
      <c r="C3796" t="s">
        <v>228</v>
      </c>
      <c r="D3796" t="s">
        <v>689</v>
      </c>
      <c r="E3796" t="s">
        <v>766</v>
      </c>
      <c r="F3796">
        <v>1</v>
      </c>
      <c r="G3796" s="308">
        <f>'BECA SUPERIOR'!G207</f>
        <v>0</v>
      </c>
      <c r="H3796" s="308">
        <f>'BECA SUPERIOR'!H207</f>
        <v>0</v>
      </c>
    </row>
    <row r="3797" spans="1:8" x14ac:dyDescent="0.3">
      <c r="A3797" t="s">
        <v>690</v>
      </c>
      <c r="B3797" t="s">
        <v>215</v>
      </c>
      <c r="C3797" t="s">
        <v>228</v>
      </c>
      <c r="D3797" t="s">
        <v>689</v>
      </c>
      <c r="E3797" t="s">
        <v>767</v>
      </c>
      <c r="F3797">
        <v>2</v>
      </c>
      <c r="G3797" s="308">
        <f>'BECA SUPERIOR'!J207</f>
        <v>0</v>
      </c>
      <c r="H3797" s="308">
        <f>'BECA SUPERIOR'!K207</f>
        <v>0</v>
      </c>
    </row>
    <row r="3798" spans="1:8" x14ac:dyDescent="0.3">
      <c r="A3798" t="s">
        <v>690</v>
      </c>
      <c r="B3798" t="s">
        <v>215</v>
      </c>
      <c r="C3798" t="s">
        <v>228</v>
      </c>
      <c r="D3798" t="s">
        <v>689</v>
      </c>
      <c r="E3798" t="s">
        <v>768</v>
      </c>
      <c r="F3798">
        <v>3</v>
      </c>
      <c r="G3798" s="308">
        <f>'BECA SUPERIOR'!M207</f>
        <v>0</v>
      </c>
      <c r="H3798" s="308">
        <f>'BECA SUPERIOR'!N207</f>
        <v>0</v>
      </c>
    </row>
    <row r="3799" spans="1:8" x14ac:dyDescent="0.3">
      <c r="A3799" t="s">
        <v>690</v>
      </c>
      <c r="B3799" t="s">
        <v>215</v>
      </c>
      <c r="C3799" t="s">
        <v>228</v>
      </c>
      <c r="D3799" t="s">
        <v>689</v>
      </c>
      <c r="E3799" t="s">
        <v>769</v>
      </c>
      <c r="F3799">
        <v>4</v>
      </c>
      <c r="G3799" s="308">
        <f>'BECA SUPERIOR'!P207</f>
        <v>1.44</v>
      </c>
      <c r="H3799" s="308">
        <f>'BECA SUPERIOR'!Q207</f>
        <v>3600</v>
      </c>
    </row>
    <row r="3800" spans="1:8" x14ac:dyDescent="0.3">
      <c r="A3800" t="s">
        <v>690</v>
      </c>
      <c r="B3800" t="s">
        <v>215</v>
      </c>
      <c r="C3800" t="s">
        <v>228</v>
      </c>
      <c r="D3800" t="s">
        <v>689</v>
      </c>
      <c r="E3800" t="s">
        <v>770</v>
      </c>
      <c r="F3800">
        <v>5</v>
      </c>
      <c r="G3800" s="308">
        <f>'BECA SUPERIOR'!S207</f>
        <v>0</v>
      </c>
      <c r="H3800" s="308">
        <f>'BECA SUPERIOR'!T207</f>
        <v>0</v>
      </c>
    </row>
    <row r="3801" spans="1:8" x14ac:dyDescent="0.3">
      <c r="A3801" t="s">
        <v>690</v>
      </c>
      <c r="B3801" t="s">
        <v>215</v>
      </c>
      <c r="C3801" t="s">
        <v>228</v>
      </c>
      <c r="D3801" t="s">
        <v>689</v>
      </c>
      <c r="E3801" t="s">
        <v>771</v>
      </c>
      <c r="F3801">
        <v>6</v>
      </c>
      <c r="G3801" s="308">
        <f>'BECA SUPERIOR'!V207</f>
        <v>0</v>
      </c>
      <c r="H3801" s="308">
        <f>'BECA SUPERIOR'!W207</f>
        <v>0</v>
      </c>
    </row>
    <row r="3802" spans="1:8" x14ac:dyDescent="0.3">
      <c r="A3802" t="s">
        <v>690</v>
      </c>
      <c r="B3802" t="s">
        <v>215</v>
      </c>
      <c r="C3802" t="s">
        <v>228</v>
      </c>
      <c r="D3802" t="s">
        <v>689</v>
      </c>
      <c r="E3802" t="s">
        <v>772</v>
      </c>
      <c r="F3802">
        <v>7</v>
      </c>
      <c r="G3802" s="308">
        <f>'BECA SUPERIOR'!Y207</f>
        <v>0</v>
      </c>
      <c r="H3802" s="308">
        <f>'BECA SUPERIOR'!Z207</f>
        <v>0</v>
      </c>
    </row>
    <row r="3803" spans="1:8" x14ac:dyDescent="0.3">
      <c r="A3803" t="s">
        <v>690</v>
      </c>
      <c r="B3803" t="s">
        <v>215</v>
      </c>
      <c r="C3803" t="s">
        <v>229</v>
      </c>
      <c r="D3803" t="s">
        <v>689</v>
      </c>
      <c r="E3803" t="s">
        <v>766</v>
      </c>
      <c r="F3803">
        <v>1</v>
      </c>
      <c r="G3803" s="308">
        <f>'BECA SUPERIOR'!G208</f>
        <v>0</v>
      </c>
      <c r="H3803" s="308">
        <f>'BECA SUPERIOR'!H208</f>
        <v>0</v>
      </c>
    </row>
    <row r="3804" spans="1:8" x14ac:dyDescent="0.3">
      <c r="A3804" t="s">
        <v>690</v>
      </c>
      <c r="B3804" t="s">
        <v>215</v>
      </c>
      <c r="C3804" t="s">
        <v>229</v>
      </c>
      <c r="D3804" t="s">
        <v>689</v>
      </c>
      <c r="E3804" t="s">
        <v>767</v>
      </c>
      <c r="F3804">
        <v>2</v>
      </c>
      <c r="G3804" s="308">
        <f>'BECA SUPERIOR'!J208</f>
        <v>0</v>
      </c>
      <c r="H3804" s="308">
        <f>'BECA SUPERIOR'!K208</f>
        <v>0</v>
      </c>
    </row>
    <row r="3805" spans="1:8" x14ac:dyDescent="0.3">
      <c r="A3805" t="s">
        <v>690</v>
      </c>
      <c r="B3805" t="s">
        <v>215</v>
      </c>
      <c r="C3805" t="s">
        <v>229</v>
      </c>
      <c r="D3805" t="s">
        <v>689</v>
      </c>
      <c r="E3805" t="s">
        <v>768</v>
      </c>
      <c r="F3805">
        <v>3</v>
      </c>
      <c r="G3805" s="308">
        <f>'BECA SUPERIOR'!M208</f>
        <v>0</v>
      </c>
      <c r="H3805" s="308">
        <f>'BECA SUPERIOR'!N208</f>
        <v>0</v>
      </c>
    </row>
    <row r="3806" spans="1:8" x14ac:dyDescent="0.3">
      <c r="A3806" t="s">
        <v>690</v>
      </c>
      <c r="B3806" t="s">
        <v>215</v>
      </c>
      <c r="C3806" t="s">
        <v>229</v>
      </c>
      <c r="D3806" t="s">
        <v>689</v>
      </c>
      <c r="E3806" t="s">
        <v>769</v>
      </c>
      <c r="F3806">
        <v>4</v>
      </c>
      <c r="G3806" s="308">
        <f>'BECA SUPERIOR'!P208</f>
        <v>7.2</v>
      </c>
      <c r="H3806" s="308">
        <f>'BECA SUPERIOR'!Q208</f>
        <v>18000</v>
      </c>
    </row>
    <row r="3807" spans="1:8" x14ac:dyDescent="0.3">
      <c r="A3807" t="s">
        <v>690</v>
      </c>
      <c r="B3807" t="s">
        <v>215</v>
      </c>
      <c r="C3807" t="s">
        <v>229</v>
      </c>
      <c r="D3807" t="s">
        <v>689</v>
      </c>
      <c r="E3807" t="s">
        <v>770</v>
      </c>
      <c r="F3807">
        <v>5</v>
      </c>
      <c r="G3807" s="308">
        <f>'BECA SUPERIOR'!S208</f>
        <v>0</v>
      </c>
      <c r="H3807" s="308">
        <f>'BECA SUPERIOR'!T208</f>
        <v>0</v>
      </c>
    </row>
    <row r="3808" spans="1:8" x14ac:dyDescent="0.3">
      <c r="A3808" t="s">
        <v>690</v>
      </c>
      <c r="B3808" t="s">
        <v>215</v>
      </c>
      <c r="C3808" t="s">
        <v>229</v>
      </c>
      <c r="D3808" t="s">
        <v>689</v>
      </c>
      <c r="E3808" t="s">
        <v>771</v>
      </c>
      <c r="F3808">
        <v>6</v>
      </c>
      <c r="G3808" s="308">
        <f>'BECA SUPERIOR'!V208</f>
        <v>0</v>
      </c>
      <c r="H3808" s="308">
        <f>'BECA SUPERIOR'!W208</f>
        <v>0</v>
      </c>
    </row>
    <row r="3809" spans="1:8" x14ac:dyDescent="0.3">
      <c r="A3809" t="s">
        <v>690</v>
      </c>
      <c r="B3809" t="s">
        <v>215</v>
      </c>
      <c r="C3809" t="s">
        <v>229</v>
      </c>
      <c r="D3809" t="s">
        <v>689</v>
      </c>
      <c r="E3809" t="s">
        <v>772</v>
      </c>
      <c r="F3809">
        <v>7</v>
      </c>
      <c r="G3809" s="308">
        <f>'BECA SUPERIOR'!Y208</f>
        <v>0</v>
      </c>
      <c r="H3809" s="308">
        <f>'BECA SUPERIOR'!Z208</f>
        <v>0</v>
      </c>
    </row>
    <row r="3810" spans="1:8" x14ac:dyDescent="0.3">
      <c r="A3810" t="s">
        <v>690</v>
      </c>
      <c r="B3810" t="s">
        <v>215</v>
      </c>
      <c r="C3810" t="s">
        <v>230</v>
      </c>
      <c r="D3810" t="s">
        <v>689</v>
      </c>
      <c r="E3810" t="s">
        <v>766</v>
      </c>
      <c r="F3810">
        <v>1</v>
      </c>
      <c r="G3810" s="308">
        <f>'BECA SUPERIOR'!G209</f>
        <v>0</v>
      </c>
      <c r="H3810" s="308">
        <f>'BECA SUPERIOR'!H209</f>
        <v>0</v>
      </c>
    </row>
    <row r="3811" spans="1:8" x14ac:dyDescent="0.3">
      <c r="A3811" t="s">
        <v>690</v>
      </c>
      <c r="B3811" t="s">
        <v>215</v>
      </c>
      <c r="C3811" t="s">
        <v>230</v>
      </c>
      <c r="D3811" t="s">
        <v>689</v>
      </c>
      <c r="E3811" t="s">
        <v>767</v>
      </c>
      <c r="F3811">
        <v>2</v>
      </c>
      <c r="G3811" s="308">
        <f>'BECA SUPERIOR'!J209</f>
        <v>0</v>
      </c>
      <c r="H3811" s="308">
        <f>'BECA SUPERIOR'!K209</f>
        <v>0</v>
      </c>
    </row>
    <row r="3812" spans="1:8" x14ac:dyDescent="0.3">
      <c r="A3812" t="s">
        <v>690</v>
      </c>
      <c r="B3812" t="s">
        <v>215</v>
      </c>
      <c r="C3812" t="s">
        <v>230</v>
      </c>
      <c r="D3812" t="s">
        <v>689</v>
      </c>
      <c r="E3812" t="s">
        <v>768</v>
      </c>
      <c r="F3812">
        <v>3</v>
      </c>
      <c r="G3812" s="308">
        <f>'BECA SUPERIOR'!M209</f>
        <v>0</v>
      </c>
      <c r="H3812" s="308">
        <f>'BECA SUPERIOR'!N209</f>
        <v>0</v>
      </c>
    </row>
    <row r="3813" spans="1:8" x14ac:dyDescent="0.3">
      <c r="A3813" t="s">
        <v>690</v>
      </c>
      <c r="B3813" t="s">
        <v>215</v>
      </c>
      <c r="C3813" t="s">
        <v>230</v>
      </c>
      <c r="D3813" t="s">
        <v>689</v>
      </c>
      <c r="E3813" t="s">
        <v>769</v>
      </c>
      <c r="F3813">
        <v>4</v>
      </c>
      <c r="G3813" s="308">
        <f>'BECA SUPERIOR'!P209</f>
        <v>2.16</v>
      </c>
      <c r="H3813" s="308">
        <f>'BECA SUPERIOR'!Q209</f>
        <v>5400</v>
      </c>
    </row>
    <row r="3814" spans="1:8" x14ac:dyDescent="0.3">
      <c r="A3814" t="s">
        <v>690</v>
      </c>
      <c r="B3814" t="s">
        <v>215</v>
      </c>
      <c r="C3814" t="s">
        <v>230</v>
      </c>
      <c r="D3814" t="s">
        <v>689</v>
      </c>
      <c r="E3814" t="s">
        <v>770</v>
      </c>
      <c r="F3814">
        <v>5</v>
      </c>
      <c r="G3814" s="308">
        <f>'BECA SUPERIOR'!S209</f>
        <v>0</v>
      </c>
      <c r="H3814" s="308">
        <f>'BECA SUPERIOR'!T209</f>
        <v>0</v>
      </c>
    </row>
    <row r="3815" spans="1:8" x14ac:dyDescent="0.3">
      <c r="A3815" t="s">
        <v>690</v>
      </c>
      <c r="B3815" t="s">
        <v>215</v>
      </c>
      <c r="C3815" t="s">
        <v>230</v>
      </c>
      <c r="D3815" t="s">
        <v>689</v>
      </c>
      <c r="E3815" t="s">
        <v>771</v>
      </c>
      <c r="F3815">
        <v>6</v>
      </c>
      <c r="G3815" s="308">
        <f>'BECA SUPERIOR'!V209</f>
        <v>0</v>
      </c>
      <c r="H3815" s="308">
        <f>'BECA SUPERIOR'!W209</f>
        <v>0</v>
      </c>
    </row>
    <row r="3816" spans="1:8" x14ac:dyDescent="0.3">
      <c r="A3816" t="s">
        <v>690</v>
      </c>
      <c r="B3816" t="s">
        <v>215</v>
      </c>
      <c r="C3816" t="s">
        <v>230</v>
      </c>
      <c r="D3816" t="s">
        <v>689</v>
      </c>
      <c r="E3816" t="s">
        <v>772</v>
      </c>
      <c r="F3816">
        <v>7</v>
      </c>
      <c r="G3816" s="308">
        <f>'BECA SUPERIOR'!Y209</f>
        <v>0</v>
      </c>
      <c r="H3816" s="308">
        <f>'BECA SUPERIOR'!Z209</f>
        <v>0</v>
      </c>
    </row>
    <row r="3817" spans="1:8" x14ac:dyDescent="0.3">
      <c r="A3817" t="s">
        <v>690</v>
      </c>
      <c r="B3817" t="s">
        <v>215</v>
      </c>
      <c r="C3817" t="s">
        <v>231</v>
      </c>
      <c r="D3817" t="s">
        <v>689</v>
      </c>
      <c r="E3817" t="s">
        <v>766</v>
      </c>
      <c r="F3817">
        <v>1</v>
      </c>
      <c r="G3817" s="308">
        <f>'BECA SUPERIOR'!G210</f>
        <v>0</v>
      </c>
      <c r="H3817" s="308">
        <f>'BECA SUPERIOR'!H210</f>
        <v>0</v>
      </c>
    </row>
    <row r="3818" spans="1:8" x14ac:dyDescent="0.3">
      <c r="A3818" t="s">
        <v>690</v>
      </c>
      <c r="B3818" t="s">
        <v>215</v>
      </c>
      <c r="C3818" t="s">
        <v>231</v>
      </c>
      <c r="D3818" t="s">
        <v>689</v>
      </c>
      <c r="E3818" t="s">
        <v>767</v>
      </c>
      <c r="F3818">
        <v>2</v>
      </c>
      <c r="G3818" s="308">
        <f>'BECA SUPERIOR'!J210</f>
        <v>0</v>
      </c>
      <c r="H3818" s="308">
        <f>'BECA SUPERIOR'!K210</f>
        <v>0</v>
      </c>
    </row>
    <row r="3819" spans="1:8" x14ac:dyDescent="0.3">
      <c r="A3819" t="s">
        <v>690</v>
      </c>
      <c r="B3819" t="s">
        <v>215</v>
      </c>
      <c r="C3819" t="s">
        <v>231</v>
      </c>
      <c r="D3819" t="s">
        <v>689</v>
      </c>
      <c r="E3819" t="s">
        <v>768</v>
      </c>
      <c r="F3819">
        <v>3</v>
      </c>
      <c r="G3819" s="308">
        <f>'BECA SUPERIOR'!M210</f>
        <v>0</v>
      </c>
      <c r="H3819" s="308">
        <f>'BECA SUPERIOR'!N210</f>
        <v>0</v>
      </c>
    </row>
    <row r="3820" spans="1:8" x14ac:dyDescent="0.3">
      <c r="A3820" t="s">
        <v>690</v>
      </c>
      <c r="B3820" t="s">
        <v>215</v>
      </c>
      <c r="C3820" t="s">
        <v>231</v>
      </c>
      <c r="D3820" t="s">
        <v>689</v>
      </c>
      <c r="E3820" t="s">
        <v>769</v>
      </c>
      <c r="F3820">
        <v>4</v>
      </c>
      <c r="G3820" s="308">
        <f>'BECA SUPERIOR'!P210</f>
        <v>0</v>
      </c>
      <c r="H3820" s="308">
        <f>'BECA SUPERIOR'!Q210</f>
        <v>0</v>
      </c>
    </row>
    <row r="3821" spans="1:8" x14ac:dyDescent="0.3">
      <c r="A3821" t="s">
        <v>690</v>
      </c>
      <c r="B3821" t="s">
        <v>215</v>
      </c>
      <c r="C3821" t="s">
        <v>231</v>
      </c>
      <c r="D3821" t="s">
        <v>689</v>
      </c>
      <c r="E3821" t="s">
        <v>770</v>
      </c>
      <c r="F3821">
        <v>5</v>
      </c>
      <c r="G3821" s="308">
        <f>'BECA SUPERIOR'!S210</f>
        <v>0</v>
      </c>
      <c r="H3821" s="308">
        <f>'BECA SUPERIOR'!T210</f>
        <v>0</v>
      </c>
    </row>
    <row r="3822" spans="1:8" x14ac:dyDescent="0.3">
      <c r="A3822" t="s">
        <v>690</v>
      </c>
      <c r="B3822" t="s">
        <v>215</v>
      </c>
      <c r="C3822" t="s">
        <v>231</v>
      </c>
      <c r="D3822" t="s">
        <v>689</v>
      </c>
      <c r="E3822" t="s">
        <v>771</v>
      </c>
      <c r="F3822">
        <v>6</v>
      </c>
      <c r="G3822" s="308">
        <f>'BECA SUPERIOR'!V210</f>
        <v>0</v>
      </c>
      <c r="H3822" s="308">
        <f>'BECA SUPERIOR'!W210</f>
        <v>0</v>
      </c>
    </row>
    <row r="3823" spans="1:8" x14ac:dyDescent="0.3">
      <c r="A3823" t="s">
        <v>690</v>
      </c>
      <c r="B3823" t="s">
        <v>215</v>
      </c>
      <c r="C3823" t="s">
        <v>231</v>
      </c>
      <c r="D3823" t="s">
        <v>689</v>
      </c>
      <c r="E3823" t="s">
        <v>772</v>
      </c>
      <c r="F3823">
        <v>7</v>
      </c>
      <c r="G3823" s="308">
        <f>'BECA SUPERIOR'!Y210</f>
        <v>0</v>
      </c>
      <c r="H3823" s="308">
        <f>'BECA SUPERIOR'!Z210</f>
        <v>0</v>
      </c>
    </row>
    <row r="3824" spans="1:8" x14ac:dyDescent="0.3">
      <c r="A3824" t="s">
        <v>690</v>
      </c>
      <c r="B3824" t="s">
        <v>215</v>
      </c>
      <c r="C3824" t="s">
        <v>232</v>
      </c>
      <c r="D3824" t="s">
        <v>689</v>
      </c>
      <c r="E3824" t="s">
        <v>766</v>
      </c>
      <c r="F3824">
        <v>1</v>
      </c>
      <c r="G3824" s="308">
        <f>'BECA SUPERIOR'!G211</f>
        <v>0</v>
      </c>
      <c r="H3824" s="308">
        <f>'BECA SUPERIOR'!H211</f>
        <v>0</v>
      </c>
    </row>
    <row r="3825" spans="1:8" x14ac:dyDescent="0.3">
      <c r="A3825" t="s">
        <v>690</v>
      </c>
      <c r="B3825" t="s">
        <v>215</v>
      </c>
      <c r="C3825" t="s">
        <v>232</v>
      </c>
      <c r="D3825" t="s">
        <v>689</v>
      </c>
      <c r="E3825" t="s">
        <v>767</v>
      </c>
      <c r="F3825">
        <v>2</v>
      </c>
      <c r="G3825" s="308">
        <f>'BECA SUPERIOR'!J211</f>
        <v>0</v>
      </c>
      <c r="H3825" s="308">
        <f>'BECA SUPERIOR'!K211</f>
        <v>0</v>
      </c>
    </row>
    <row r="3826" spans="1:8" x14ac:dyDescent="0.3">
      <c r="A3826" t="s">
        <v>690</v>
      </c>
      <c r="B3826" t="s">
        <v>215</v>
      </c>
      <c r="C3826" t="s">
        <v>232</v>
      </c>
      <c r="D3826" t="s">
        <v>689</v>
      </c>
      <c r="E3826" t="s">
        <v>768</v>
      </c>
      <c r="F3826">
        <v>3</v>
      </c>
      <c r="G3826" s="308">
        <f>'BECA SUPERIOR'!M211</f>
        <v>0</v>
      </c>
      <c r="H3826" s="308">
        <f>'BECA SUPERIOR'!N211</f>
        <v>0</v>
      </c>
    </row>
    <row r="3827" spans="1:8" x14ac:dyDescent="0.3">
      <c r="A3827" t="s">
        <v>690</v>
      </c>
      <c r="B3827" t="s">
        <v>215</v>
      </c>
      <c r="C3827" t="s">
        <v>232</v>
      </c>
      <c r="D3827" t="s">
        <v>689</v>
      </c>
      <c r="E3827" t="s">
        <v>769</v>
      </c>
      <c r="F3827">
        <v>4</v>
      </c>
      <c r="G3827" s="308">
        <f>'BECA SUPERIOR'!P211</f>
        <v>2.16</v>
      </c>
      <c r="H3827" s="308">
        <f>'BECA SUPERIOR'!Q211</f>
        <v>5400</v>
      </c>
    </row>
    <row r="3828" spans="1:8" x14ac:dyDescent="0.3">
      <c r="A3828" t="s">
        <v>690</v>
      </c>
      <c r="B3828" t="s">
        <v>215</v>
      </c>
      <c r="C3828" t="s">
        <v>232</v>
      </c>
      <c r="D3828" t="s">
        <v>689</v>
      </c>
      <c r="E3828" t="s">
        <v>770</v>
      </c>
      <c r="F3828">
        <v>5</v>
      </c>
      <c r="G3828" s="308">
        <f>'BECA SUPERIOR'!S211</f>
        <v>0</v>
      </c>
      <c r="H3828" s="308">
        <f>'BECA SUPERIOR'!T211</f>
        <v>0</v>
      </c>
    </row>
    <row r="3829" spans="1:8" x14ac:dyDescent="0.3">
      <c r="A3829" t="s">
        <v>690</v>
      </c>
      <c r="B3829" t="s">
        <v>215</v>
      </c>
      <c r="C3829" t="s">
        <v>232</v>
      </c>
      <c r="D3829" t="s">
        <v>689</v>
      </c>
      <c r="E3829" t="s">
        <v>771</v>
      </c>
      <c r="F3829">
        <v>6</v>
      </c>
      <c r="G3829" s="308">
        <f>'BECA SUPERIOR'!V211</f>
        <v>0</v>
      </c>
      <c r="H3829" s="308">
        <f>'BECA SUPERIOR'!W211</f>
        <v>0</v>
      </c>
    </row>
    <row r="3830" spans="1:8" x14ac:dyDescent="0.3">
      <c r="A3830" t="s">
        <v>690</v>
      </c>
      <c r="B3830" t="s">
        <v>215</v>
      </c>
      <c r="C3830" t="s">
        <v>232</v>
      </c>
      <c r="D3830" t="s">
        <v>689</v>
      </c>
      <c r="E3830" t="s">
        <v>772</v>
      </c>
      <c r="F3830">
        <v>7</v>
      </c>
      <c r="G3830" s="308">
        <f>'BECA SUPERIOR'!Y211</f>
        <v>0</v>
      </c>
      <c r="H3830" s="308">
        <f>'BECA SUPERIOR'!Z211</f>
        <v>0</v>
      </c>
    </row>
    <row r="3831" spans="1:8" x14ac:dyDescent="0.3">
      <c r="A3831" t="s">
        <v>690</v>
      </c>
      <c r="B3831" t="s">
        <v>215</v>
      </c>
      <c r="C3831" t="s">
        <v>233</v>
      </c>
      <c r="D3831" t="s">
        <v>689</v>
      </c>
      <c r="E3831" t="s">
        <v>766</v>
      </c>
      <c r="F3831">
        <v>1</v>
      </c>
      <c r="G3831" s="308">
        <f>'BECA SUPERIOR'!G212</f>
        <v>0</v>
      </c>
      <c r="H3831" s="308">
        <f>'BECA SUPERIOR'!H212</f>
        <v>0</v>
      </c>
    </row>
    <row r="3832" spans="1:8" x14ac:dyDescent="0.3">
      <c r="A3832" t="s">
        <v>690</v>
      </c>
      <c r="B3832" t="s">
        <v>215</v>
      </c>
      <c r="C3832" t="s">
        <v>233</v>
      </c>
      <c r="D3832" t="s">
        <v>689</v>
      </c>
      <c r="E3832" t="s">
        <v>767</v>
      </c>
      <c r="F3832">
        <v>2</v>
      </c>
      <c r="G3832" s="308">
        <f>'BECA SUPERIOR'!J212</f>
        <v>0</v>
      </c>
      <c r="H3832" s="308">
        <f>'BECA SUPERIOR'!K212</f>
        <v>0</v>
      </c>
    </row>
    <row r="3833" spans="1:8" x14ac:dyDescent="0.3">
      <c r="A3833" t="s">
        <v>690</v>
      </c>
      <c r="B3833" t="s">
        <v>215</v>
      </c>
      <c r="C3833" t="s">
        <v>233</v>
      </c>
      <c r="D3833" t="s">
        <v>689</v>
      </c>
      <c r="E3833" t="s">
        <v>768</v>
      </c>
      <c r="F3833">
        <v>3</v>
      </c>
      <c r="G3833" s="308">
        <f>'BECA SUPERIOR'!M212</f>
        <v>0</v>
      </c>
      <c r="H3833" s="308">
        <f>'BECA SUPERIOR'!N212</f>
        <v>0</v>
      </c>
    </row>
    <row r="3834" spans="1:8" x14ac:dyDescent="0.3">
      <c r="A3834" t="s">
        <v>690</v>
      </c>
      <c r="B3834" t="s">
        <v>215</v>
      </c>
      <c r="C3834" t="s">
        <v>233</v>
      </c>
      <c r="D3834" t="s">
        <v>689</v>
      </c>
      <c r="E3834" t="s">
        <v>769</v>
      </c>
      <c r="F3834">
        <v>4</v>
      </c>
      <c r="G3834" s="308">
        <f>'BECA SUPERIOR'!P212</f>
        <v>0.72</v>
      </c>
      <c r="H3834" s="308">
        <f>'BECA SUPERIOR'!Q212</f>
        <v>1800</v>
      </c>
    </row>
    <row r="3835" spans="1:8" x14ac:dyDescent="0.3">
      <c r="A3835" t="s">
        <v>690</v>
      </c>
      <c r="B3835" t="s">
        <v>215</v>
      </c>
      <c r="C3835" t="s">
        <v>233</v>
      </c>
      <c r="D3835" t="s">
        <v>689</v>
      </c>
      <c r="E3835" t="s">
        <v>770</v>
      </c>
      <c r="F3835">
        <v>5</v>
      </c>
      <c r="G3835" s="308">
        <f>'BECA SUPERIOR'!S212</f>
        <v>0</v>
      </c>
      <c r="H3835" s="308">
        <f>'BECA SUPERIOR'!T212</f>
        <v>0</v>
      </c>
    </row>
    <row r="3836" spans="1:8" x14ac:dyDescent="0.3">
      <c r="A3836" t="s">
        <v>690</v>
      </c>
      <c r="B3836" t="s">
        <v>215</v>
      </c>
      <c r="C3836" t="s">
        <v>233</v>
      </c>
      <c r="D3836" t="s">
        <v>689</v>
      </c>
      <c r="E3836" t="s">
        <v>771</v>
      </c>
      <c r="F3836">
        <v>6</v>
      </c>
      <c r="G3836" s="308">
        <f>'BECA SUPERIOR'!V212</f>
        <v>0</v>
      </c>
      <c r="H3836" s="308">
        <f>'BECA SUPERIOR'!W212</f>
        <v>0</v>
      </c>
    </row>
    <row r="3837" spans="1:8" x14ac:dyDescent="0.3">
      <c r="A3837" t="s">
        <v>690</v>
      </c>
      <c r="B3837" t="s">
        <v>215</v>
      </c>
      <c r="C3837" t="s">
        <v>233</v>
      </c>
      <c r="D3837" t="s">
        <v>689</v>
      </c>
      <c r="E3837" t="s">
        <v>772</v>
      </c>
      <c r="F3837">
        <v>7</v>
      </c>
      <c r="G3837" s="308">
        <f>'BECA SUPERIOR'!Y212</f>
        <v>0</v>
      </c>
      <c r="H3837" s="308">
        <f>'BECA SUPERIOR'!Z212</f>
        <v>0</v>
      </c>
    </row>
    <row r="3838" spans="1:8" x14ac:dyDescent="0.3">
      <c r="A3838" t="s">
        <v>690</v>
      </c>
      <c r="B3838" t="s">
        <v>215</v>
      </c>
      <c r="C3838" t="s">
        <v>234</v>
      </c>
      <c r="D3838" t="s">
        <v>689</v>
      </c>
      <c r="E3838" t="s">
        <v>766</v>
      </c>
      <c r="F3838">
        <v>1</v>
      </c>
      <c r="G3838" s="308">
        <f>'BECA SUPERIOR'!G213</f>
        <v>0</v>
      </c>
      <c r="H3838" s="308">
        <f>'BECA SUPERIOR'!H213</f>
        <v>0</v>
      </c>
    </row>
    <row r="3839" spans="1:8" x14ac:dyDescent="0.3">
      <c r="A3839" t="s">
        <v>690</v>
      </c>
      <c r="B3839" t="s">
        <v>215</v>
      </c>
      <c r="C3839" t="s">
        <v>234</v>
      </c>
      <c r="D3839" t="s">
        <v>689</v>
      </c>
      <c r="E3839" t="s">
        <v>767</v>
      </c>
      <c r="F3839">
        <v>2</v>
      </c>
      <c r="G3839" s="308">
        <f>'BECA SUPERIOR'!J213</f>
        <v>0</v>
      </c>
      <c r="H3839" s="308">
        <f>'BECA SUPERIOR'!K213</f>
        <v>0</v>
      </c>
    </row>
    <row r="3840" spans="1:8" x14ac:dyDescent="0.3">
      <c r="A3840" t="s">
        <v>690</v>
      </c>
      <c r="B3840" t="s">
        <v>215</v>
      </c>
      <c r="C3840" t="s">
        <v>234</v>
      </c>
      <c r="D3840" t="s">
        <v>689</v>
      </c>
      <c r="E3840" t="s">
        <v>768</v>
      </c>
      <c r="F3840">
        <v>3</v>
      </c>
      <c r="G3840" s="308">
        <f>'BECA SUPERIOR'!M213</f>
        <v>0</v>
      </c>
      <c r="H3840" s="308">
        <f>'BECA SUPERIOR'!N213</f>
        <v>0</v>
      </c>
    </row>
    <row r="3841" spans="1:8" x14ac:dyDescent="0.3">
      <c r="A3841" t="s">
        <v>690</v>
      </c>
      <c r="B3841" t="s">
        <v>215</v>
      </c>
      <c r="C3841" t="s">
        <v>234</v>
      </c>
      <c r="D3841" t="s">
        <v>689</v>
      </c>
      <c r="E3841" t="s">
        <v>769</v>
      </c>
      <c r="F3841">
        <v>4</v>
      </c>
      <c r="G3841" s="308">
        <f>'BECA SUPERIOR'!P213</f>
        <v>2.88</v>
      </c>
      <c r="H3841" s="308">
        <f>'BECA SUPERIOR'!Q213</f>
        <v>7200</v>
      </c>
    </row>
    <row r="3842" spans="1:8" x14ac:dyDescent="0.3">
      <c r="A3842" t="s">
        <v>690</v>
      </c>
      <c r="B3842" t="s">
        <v>215</v>
      </c>
      <c r="C3842" t="s">
        <v>234</v>
      </c>
      <c r="D3842" t="s">
        <v>689</v>
      </c>
      <c r="E3842" t="s">
        <v>770</v>
      </c>
      <c r="F3842">
        <v>5</v>
      </c>
      <c r="G3842" s="308">
        <f>'BECA SUPERIOR'!S213</f>
        <v>0</v>
      </c>
      <c r="H3842" s="308">
        <f>'BECA SUPERIOR'!T213</f>
        <v>0</v>
      </c>
    </row>
    <row r="3843" spans="1:8" x14ac:dyDescent="0.3">
      <c r="A3843" t="s">
        <v>690</v>
      </c>
      <c r="B3843" t="s">
        <v>215</v>
      </c>
      <c r="C3843" t="s">
        <v>234</v>
      </c>
      <c r="D3843" t="s">
        <v>689</v>
      </c>
      <c r="E3843" t="s">
        <v>771</v>
      </c>
      <c r="F3843">
        <v>6</v>
      </c>
      <c r="G3843" s="308">
        <f>'BECA SUPERIOR'!V213</f>
        <v>0</v>
      </c>
      <c r="H3843" s="308">
        <f>'BECA SUPERIOR'!W213</f>
        <v>0</v>
      </c>
    </row>
    <row r="3844" spans="1:8" x14ac:dyDescent="0.3">
      <c r="A3844" t="s">
        <v>690</v>
      </c>
      <c r="B3844" t="s">
        <v>215</v>
      </c>
      <c r="C3844" t="s">
        <v>234</v>
      </c>
      <c r="D3844" t="s">
        <v>689</v>
      </c>
      <c r="E3844" t="s">
        <v>772</v>
      </c>
      <c r="F3844">
        <v>7</v>
      </c>
      <c r="G3844" s="308">
        <f>'BECA SUPERIOR'!Y213</f>
        <v>0</v>
      </c>
      <c r="H3844" s="308">
        <f>'BECA SUPERIOR'!Z213</f>
        <v>0</v>
      </c>
    </row>
    <row r="3845" spans="1:8" x14ac:dyDescent="0.3">
      <c r="A3845" t="s">
        <v>690</v>
      </c>
      <c r="B3845" t="s">
        <v>215</v>
      </c>
      <c r="C3845" t="s">
        <v>235</v>
      </c>
      <c r="D3845" t="s">
        <v>689</v>
      </c>
      <c r="E3845" t="s">
        <v>766</v>
      </c>
      <c r="F3845">
        <v>1</v>
      </c>
      <c r="G3845" s="308">
        <f>'BECA SUPERIOR'!G214</f>
        <v>0</v>
      </c>
      <c r="H3845" s="308">
        <f>'BECA SUPERIOR'!H214</f>
        <v>0</v>
      </c>
    </row>
    <row r="3846" spans="1:8" x14ac:dyDescent="0.3">
      <c r="A3846" t="s">
        <v>690</v>
      </c>
      <c r="B3846" t="s">
        <v>215</v>
      </c>
      <c r="C3846" t="s">
        <v>235</v>
      </c>
      <c r="D3846" t="s">
        <v>689</v>
      </c>
      <c r="E3846" t="s">
        <v>767</v>
      </c>
      <c r="F3846">
        <v>2</v>
      </c>
      <c r="G3846" s="308">
        <f>'BECA SUPERIOR'!J214</f>
        <v>0</v>
      </c>
      <c r="H3846" s="308">
        <f>'BECA SUPERIOR'!K214</f>
        <v>0</v>
      </c>
    </row>
    <row r="3847" spans="1:8" x14ac:dyDescent="0.3">
      <c r="A3847" t="s">
        <v>690</v>
      </c>
      <c r="B3847" t="s">
        <v>215</v>
      </c>
      <c r="C3847" t="s">
        <v>235</v>
      </c>
      <c r="D3847" t="s">
        <v>689</v>
      </c>
      <c r="E3847" t="s">
        <v>768</v>
      </c>
      <c r="F3847">
        <v>3</v>
      </c>
      <c r="G3847" s="308">
        <f>'BECA SUPERIOR'!M214</f>
        <v>0</v>
      </c>
      <c r="H3847" s="308">
        <f>'BECA SUPERIOR'!N214</f>
        <v>0</v>
      </c>
    </row>
    <row r="3848" spans="1:8" x14ac:dyDescent="0.3">
      <c r="A3848" t="s">
        <v>690</v>
      </c>
      <c r="B3848" t="s">
        <v>215</v>
      </c>
      <c r="C3848" t="s">
        <v>235</v>
      </c>
      <c r="D3848" t="s">
        <v>689</v>
      </c>
      <c r="E3848" t="s">
        <v>769</v>
      </c>
      <c r="F3848">
        <v>4</v>
      </c>
      <c r="G3848" s="308">
        <f>'BECA SUPERIOR'!P214</f>
        <v>0</v>
      </c>
      <c r="H3848" s="308">
        <f>'BECA SUPERIOR'!Q214</f>
        <v>0</v>
      </c>
    </row>
    <row r="3849" spans="1:8" x14ac:dyDescent="0.3">
      <c r="A3849" t="s">
        <v>690</v>
      </c>
      <c r="B3849" t="s">
        <v>215</v>
      </c>
      <c r="C3849" t="s">
        <v>235</v>
      </c>
      <c r="D3849" t="s">
        <v>689</v>
      </c>
      <c r="E3849" t="s">
        <v>770</v>
      </c>
      <c r="F3849">
        <v>5</v>
      </c>
      <c r="G3849" s="308">
        <f>'BECA SUPERIOR'!S214</f>
        <v>0</v>
      </c>
      <c r="H3849" s="308">
        <f>'BECA SUPERIOR'!T214</f>
        <v>0</v>
      </c>
    </row>
    <row r="3850" spans="1:8" x14ac:dyDescent="0.3">
      <c r="A3850" t="s">
        <v>690</v>
      </c>
      <c r="B3850" t="s">
        <v>215</v>
      </c>
      <c r="C3850" t="s">
        <v>235</v>
      </c>
      <c r="D3850" t="s">
        <v>689</v>
      </c>
      <c r="E3850" t="s">
        <v>771</v>
      </c>
      <c r="F3850">
        <v>6</v>
      </c>
      <c r="G3850" s="308">
        <f>'BECA SUPERIOR'!V214</f>
        <v>0</v>
      </c>
      <c r="H3850" s="308">
        <f>'BECA SUPERIOR'!W214</f>
        <v>0</v>
      </c>
    </row>
    <row r="3851" spans="1:8" x14ac:dyDescent="0.3">
      <c r="A3851" t="s">
        <v>690</v>
      </c>
      <c r="B3851" t="s">
        <v>215</v>
      </c>
      <c r="C3851" t="s">
        <v>235</v>
      </c>
      <c r="D3851" t="s">
        <v>689</v>
      </c>
      <c r="E3851" t="s">
        <v>772</v>
      </c>
      <c r="F3851">
        <v>7</v>
      </c>
      <c r="G3851" s="308">
        <f>'BECA SUPERIOR'!Y214</f>
        <v>0</v>
      </c>
      <c r="H3851" s="308">
        <f>'BECA SUPERIOR'!Z214</f>
        <v>0</v>
      </c>
    </row>
    <row r="3852" spans="1:8" x14ac:dyDescent="0.3">
      <c r="A3852" t="s">
        <v>690</v>
      </c>
      <c r="B3852" t="s">
        <v>215</v>
      </c>
      <c r="C3852" t="s">
        <v>236</v>
      </c>
      <c r="D3852" t="s">
        <v>689</v>
      </c>
      <c r="E3852" t="s">
        <v>766</v>
      </c>
      <c r="F3852">
        <v>1</v>
      </c>
      <c r="G3852" s="308">
        <f>'BECA SUPERIOR'!G215</f>
        <v>0</v>
      </c>
      <c r="H3852" s="308">
        <f>'BECA SUPERIOR'!H215</f>
        <v>0</v>
      </c>
    </row>
    <row r="3853" spans="1:8" x14ac:dyDescent="0.3">
      <c r="A3853" t="s">
        <v>690</v>
      </c>
      <c r="B3853" t="s">
        <v>215</v>
      </c>
      <c r="C3853" t="s">
        <v>236</v>
      </c>
      <c r="D3853" t="s">
        <v>689</v>
      </c>
      <c r="E3853" t="s">
        <v>767</v>
      </c>
      <c r="F3853">
        <v>2</v>
      </c>
      <c r="G3853" s="308">
        <f>'BECA SUPERIOR'!J215</f>
        <v>0</v>
      </c>
      <c r="H3853" s="308">
        <f>'BECA SUPERIOR'!K215</f>
        <v>0</v>
      </c>
    </row>
    <row r="3854" spans="1:8" x14ac:dyDescent="0.3">
      <c r="A3854" t="s">
        <v>690</v>
      </c>
      <c r="B3854" t="s">
        <v>215</v>
      </c>
      <c r="C3854" t="s">
        <v>236</v>
      </c>
      <c r="D3854" t="s">
        <v>689</v>
      </c>
      <c r="E3854" t="s">
        <v>768</v>
      </c>
      <c r="F3854">
        <v>3</v>
      </c>
      <c r="G3854" s="308">
        <f>'BECA SUPERIOR'!M215</f>
        <v>0</v>
      </c>
      <c r="H3854" s="308">
        <f>'BECA SUPERIOR'!N215</f>
        <v>0</v>
      </c>
    </row>
    <row r="3855" spans="1:8" x14ac:dyDescent="0.3">
      <c r="A3855" t="s">
        <v>690</v>
      </c>
      <c r="B3855" t="s">
        <v>215</v>
      </c>
      <c r="C3855" t="s">
        <v>236</v>
      </c>
      <c r="D3855" t="s">
        <v>689</v>
      </c>
      <c r="E3855" t="s">
        <v>769</v>
      </c>
      <c r="F3855">
        <v>4</v>
      </c>
      <c r="G3855" s="308">
        <f>'BECA SUPERIOR'!P215</f>
        <v>2.16</v>
      </c>
      <c r="H3855" s="308">
        <f>'BECA SUPERIOR'!Q215</f>
        <v>5400</v>
      </c>
    </row>
    <row r="3856" spans="1:8" x14ac:dyDescent="0.3">
      <c r="A3856" t="s">
        <v>690</v>
      </c>
      <c r="B3856" t="s">
        <v>215</v>
      </c>
      <c r="C3856" t="s">
        <v>236</v>
      </c>
      <c r="D3856" t="s">
        <v>689</v>
      </c>
      <c r="E3856" t="s">
        <v>770</v>
      </c>
      <c r="F3856">
        <v>5</v>
      </c>
      <c r="G3856" s="308">
        <f>'BECA SUPERIOR'!S215</f>
        <v>0</v>
      </c>
      <c r="H3856" s="308">
        <f>'BECA SUPERIOR'!T215</f>
        <v>0</v>
      </c>
    </row>
    <row r="3857" spans="1:8" x14ac:dyDescent="0.3">
      <c r="A3857" t="s">
        <v>690</v>
      </c>
      <c r="B3857" t="s">
        <v>215</v>
      </c>
      <c r="C3857" t="s">
        <v>236</v>
      </c>
      <c r="D3857" t="s">
        <v>689</v>
      </c>
      <c r="E3857" t="s">
        <v>771</v>
      </c>
      <c r="F3857">
        <v>6</v>
      </c>
      <c r="G3857" s="308">
        <f>'BECA SUPERIOR'!V215</f>
        <v>0</v>
      </c>
      <c r="H3857" s="308">
        <f>'BECA SUPERIOR'!W215</f>
        <v>0</v>
      </c>
    </row>
    <row r="3858" spans="1:8" x14ac:dyDescent="0.3">
      <c r="A3858" t="s">
        <v>690</v>
      </c>
      <c r="B3858" t="s">
        <v>215</v>
      </c>
      <c r="C3858" t="s">
        <v>236</v>
      </c>
      <c r="D3858" t="s">
        <v>689</v>
      </c>
      <c r="E3858" t="s">
        <v>772</v>
      </c>
      <c r="F3858">
        <v>7</v>
      </c>
      <c r="G3858" s="308">
        <f>'BECA SUPERIOR'!Y215</f>
        <v>0</v>
      </c>
      <c r="H3858" s="308">
        <f>'BECA SUPERIOR'!Z215</f>
        <v>0</v>
      </c>
    </row>
    <row r="3859" spans="1:8" x14ac:dyDescent="0.3">
      <c r="A3859" t="s">
        <v>690</v>
      </c>
      <c r="B3859" t="s">
        <v>237</v>
      </c>
      <c r="C3859" t="s">
        <v>238</v>
      </c>
      <c r="D3859" t="s">
        <v>689</v>
      </c>
      <c r="E3859" t="s">
        <v>766</v>
      </c>
      <c r="F3859">
        <v>1</v>
      </c>
      <c r="G3859" s="308">
        <f>'BECA SUPERIOR'!G216</f>
        <v>0</v>
      </c>
      <c r="H3859" s="308">
        <f>'BECA SUPERIOR'!H216</f>
        <v>0</v>
      </c>
    </row>
    <row r="3860" spans="1:8" x14ac:dyDescent="0.3">
      <c r="A3860" t="s">
        <v>690</v>
      </c>
      <c r="B3860" t="s">
        <v>237</v>
      </c>
      <c r="C3860" t="s">
        <v>238</v>
      </c>
      <c r="D3860" t="s">
        <v>689</v>
      </c>
      <c r="E3860" t="s">
        <v>767</v>
      </c>
      <c r="F3860">
        <v>2</v>
      </c>
      <c r="G3860" s="308">
        <f>'BECA SUPERIOR'!J216</f>
        <v>0</v>
      </c>
      <c r="H3860" s="308">
        <f>'BECA SUPERIOR'!K216</f>
        <v>0</v>
      </c>
    </row>
    <row r="3861" spans="1:8" x14ac:dyDescent="0.3">
      <c r="A3861" t="s">
        <v>690</v>
      </c>
      <c r="B3861" t="s">
        <v>237</v>
      </c>
      <c r="C3861" t="s">
        <v>238</v>
      </c>
      <c r="D3861" t="s">
        <v>689</v>
      </c>
      <c r="E3861" t="s">
        <v>768</v>
      </c>
      <c r="F3861">
        <v>3</v>
      </c>
      <c r="G3861" s="308">
        <f>'BECA SUPERIOR'!M216</f>
        <v>0</v>
      </c>
      <c r="H3861" s="308">
        <f>'BECA SUPERIOR'!N216</f>
        <v>0</v>
      </c>
    </row>
    <row r="3862" spans="1:8" x14ac:dyDescent="0.3">
      <c r="A3862" t="s">
        <v>690</v>
      </c>
      <c r="B3862" t="s">
        <v>237</v>
      </c>
      <c r="C3862" t="s">
        <v>238</v>
      </c>
      <c r="D3862" t="s">
        <v>689</v>
      </c>
      <c r="E3862" t="s">
        <v>769</v>
      </c>
      <c r="F3862">
        <v>4</v>
      </c>
      <c r="G3862" s="308">
        <f>'BECA SUPERIOR'!P216</f>
        <v>3.6</v>
      </c>
      <c r="H3862" s="308">
        <f>'BECA SUPERIOR'!Q216</f>
        <v>9000</v>
      </c>
    </row>
    <row r="3863" spans="1:8" x14ac:dyDescent="0.3">
      <c r="A3863" t="s">
        <v>690</v>
      </c>
      <c r="B3863" t="s">
        <v>237</v>
      </c>
      <c r="C3863" t="s">
        <v>238</v>
      </c>
      <c r="D3863" t="s">
        <v>689</v>
      </c>
      <c r="E3863" t="s">
        <v>770</v>
      </c>
      <c r="F3863">
        <v>5</v>
      </c>
      <c r="G3863" s="308">
        <f>'BECA SUPERIOR'!S216</f>
        <v>0</v>
      </c>
      <c r="H3863" s="308">
        <f>'BECA SUPERIOR'!T216</f>
        <v>0</v>
      </c>
    </row>
    <row r="3864" spans="1:8" x14ac:dyDescent="0.3">
      <c r="A3864" t="s">
        <v>690</v>
      </c>
      <c r="B3864" t="s">
        <v>237</v>
      </c>
      <c r="C3864" t="s">
        <v>238</v>
      </c>
      <c r="D3864" t="s">
        <v>689</v>
      </c>
      <c r="E3864" t="s">
        <v>771</v>
      </c>
      <c r="F3864">
        <v>6</v>
      </c>
      <c r="G3864" s="308">
        <f>'BECA SUPERIOR'!V216</f>
        <v>0</v>
      </c>
      <c r="H3864" s="308">
        <f>'BECA SUPERIOR'!W216</f>
        <v>0</v>
      </c>
    </row>
    <row r="3865" spans="1:8" x14ac:dyDescent="0.3">
      <c r="A3865" t="s">
        <v>690</v>
      </c>
      <c r="B3865" t="s">
        <v>237</v>
      </c>
      <c r="C3865" t="s">
        <v>238</v>
      </c>
      <c r="D3865" t="s">
        <v>689</v>
      </c>
      <c r="E3865" t="s">
        <v>772</v>
      </c>
      <c r="F3865">
        <v>7</v>
      </c>
      <c r="G3865" s="308">
        <f>'BECA SUPERIOR'!Y216</f>
        <v>0</v>
      </c>
      <c r="H3865" s="308">
        <f>'BECA SUPERIOR'!Z216</f>
        <v>0</v>
      </c>
    </row>
    <row r="3866" spans="1:8" x14ac:dyDescent="0.3">
      <c r="A3866" t="s">
        <v>690</v>
      </c>
      <c r="B3866" t="s">
        <v>237</v>
      </c>
      <c r="C3866" t="s">
        <v>239</v>
      </c>
      <c r="D3866" t="s">
        <v>689</v>
      </c>
      <c r="E3866" t="s">
        <v>766</v>
      </c>
      <c r="F3866">
        <v>1</v>
      </c>
      <c r="G3866" s="308">
        <f>'BECA SUPERIOR'!G217</f>
        <v>0</v>
      </c>
      <c r="H3866" s="308">
        <f>'BECA SUPERIOR'!H217</f>
        <v>0</v>
      </c>
    </row>
    <row r="3867" spans="1:8" x14ac:dyDescent="0.3">
      <c r="A3867" t="s">
        <v>690</v>
      </c>
      <c r="B3867" t="s">
        <v>237</v>
      </c>
      <c r="C3867" t="s">
        <v>239</v>
      </c>
      <c r="D3867" t="s">
        <v>689</v>
      </c>
      <c r="E3867" t="s">
        <v>767</v>
      </c>
      <c r="F3867">
        <v>2</v>
      </c>
      <c r="G3867" s="308">
        <f>'BECA SUPERIOR'!J217</f>
        <v>0</v>
      </c>
      <c r="H3867" s="308">
        <f>'BECA SUPERIOR'!K217</f>
        <v>0</v>
      </c>
    </row>
    <row r="3868" spans="1:8" x14ac:dyDescent="0.3">
      <c r="A3868" t="s">
        <v>690</v>
      </c>
      <c r="B3868" t="s">
        <v>237</v>
      </c>
      <c r="C3868" t="s">
        <v>239</v>
      </c>
      <c r="D3868" t="s">
        <v>689</v>
      </c>
      <c r="E3868" t="s">
        <v>768</v>
      </c>
      <c r="F3868">
        <v>3</v>
      </c>
      <c r="G3868" s="308">
        <f>'BECA SUPERIOR'!M217</f>
        <v>0</v>
      </c>
      <c r="H3868" s="308">
        <f>'BECA SUPERIOR'!N217</f>
        <v>0</v>
      </c>
    </row>
    <row r="3869" spans="1:8" x14ac:dyDescent="0.3">
      <c r="A3869" t="s">
        <v>690</v>
      </c>
      <c r="B3869" t="s">
        <v>237</v>
      </c>
      <c r="C3869" t="s">
        <v>239</v>
      </c>
      <c r="D3869" t="s">
        <v>689</v>
      </c>
      <c r="E3869" t="s">
        <v>769</v>
      </c>
      <c r="F3869">
        <v>4</v>
      </c>
      <c r="G3869" s="308">
        <f>'BECA SUPERIOR'!P217</f>
        <v>3.6</v>
      </c>
      <c r="H3869" s="308">
        <f>'BECA SUPERIOR'!Q217</f>
        <v>9000</v>
      </c>
    </row>
    <row r="3870" spans="1:8" x14ac:dyDescent="0.3">
      <c r="A3870" t="s">
        <v>690</v>
      </c>
      <c r="B3870" t="s">
        <v>237</v>
      </c>
      <c r="C3870" t="s">
        <v>239</v>
      </c>
      <c r="D3870" t="s">
        <v>689</v>
      </c>
      <c r="E3870" t="s">
        <v>770</v>
      </c>
      <c r="F3870">
        <v>5</v>
      </c>
      <c r="G3870" s="308">
        <f>'BECA SUPERIOR'!S217</f>
        <v>0</v>
      </c>
      <c r="H3870" s="308">
        <f>'BECA SUPERIOR'!T217</f>
        <v>0</v>
      </c>
    </row>
    <row r="3871" spans="1:8" x14ac:dyDescent="0.3">
      <c r="A3871" t="s">
        <v>690</v>
      </c>
      <c r="B3871" t="s">
        <v>237</v>
      </c>
      <c r="C3871" t="s">
        <v>239</v>
      </c>
      <c r="D3871" t="s">
        <v>689</v>
      </c>
      <c r="E3871" t="s">
        <v>771</v>
      </c>
      <c r="F3871">
        <v>6</v>
      </c>
      <c r="G3871" s="308">
        <f>'BECA SUPERIOR'!V217</f>
        <v>0</v>
      </c>
      <c r="H3871" s="308">
        <f>'BECA SUPERIOR'!W217</f>
        <v>0</v>
      </c>
    </row>
    <row r="3872" spans="1:8" x14ac:dyDescent="0.3">
      <c r="A3872" t="s">
        <v>690</v>
      </c>
      <c r="B3872" t="s">
        <v>237</v>
      </c>
      <c r="C3872" t="s">
        <v>239</v>
      </c>
      <c r="D3872" t="s">
        <v>689</v>
      </c>
      <c r="E3872" t="s">
        <v>772</v>
      </c>
      <c r="F3872">
        <v>7</v>
      </c>
      <c r="G3872" s="308">
        <f>'BECA SUPERIOR'!Y217</f>
        <v>0</v>
      </c>
      <c r="H3872" s="308">
        <f>'BECA SUPERIOR'!Z217</f>
        <v>0</v>
      </c>
    </row>
    <row r="3873" spans="1:8" x14ac:dyDescent="0.3">
      <c r="A3873" t="s">
        <v>690</v>
      </c>
      <c r="B3873" t="s">
        <v>237</v>
      </c>
      <c r="C3873" t="s">
        <v>240</v>
      </c>
      <c r="D3873" t="s">
        <v>689</v>
      </c>
      <c r="E3873" t="s">
        <v>766</v>
      </c>
      <c r="F3873">
        <v>1</v>
      </c>
      <c r="G3873" s="308">
        <f>'BECA SUPERIOR'!G218</f>
        <v>0</v>
      </c>
      <c r="H3873" s="308">
        <f>'BECA SUPERIOR'!H218</f>
        <v>0</v>
      </c>
    </row>
    <row r="3874" spans="1:8" x14ac:dyDescent="0.3">
      <c r="A3874" t="s">
        <v>690</v>
      </c>
      <c r="B3874" t="s">
        <v>237</v>
      </c>
      <c r="C3874" t="s">
        <v>240</v>
      </c>
      <c r="D3874" t="s">
        <v>689</v>
      </c>
      <c r="E3874" t="s">
        <v>767</v>
      </c>
      <c r="F3874">
        <v>2</v>
      </c>
      <c r="G3874" s="308">
        <f>'BECA SUPERIOR'!J218</f>
        <v>0</v>
      </c>
      <c r="H3874" s="308">
        <f>'BECA SUPERIOR'!K218</f>
        <v>0</v>
      </c>
    </row>
    <row r="3875" spans="1:8" x14ac:dyDescent="0.3">
      <c r="A3875" t="s">
        <v>690</v>
      </c>
      <c r="B3875" t="s">
        <v>237</v>
      </c>
      <c r="C3875" t="s">
        <v>240</v>
      </c>
      <c r="D3875" t="s">
        <v>689</v>
      </c>
      <c r="E3875" t="s">
        <v>768</v>
      </c>
      <c r="F3875">
        <v>3</v>
      </c>
      <c r="G3875" s="308">
        <f>'BECA SUPERIOR'!M218</f>
        <v>0</v>
      </c>
      <c r="H3875" s="308">
        <f>'BECA SUPERIOR'!N218</f>
        <v>0</v>
      </c>
    </row>
    <row r="3876" spans="1:8" x14ac:dyDescent="0.3">
      <c r="A3876" t="s">
        <v>690</v>
      </c>
      <c r="B3876" t="s">
        <v>237</v>
      </c>
      <c r="C3876" t="s">
        <v>240</v>
      </c>
      <c r="D3876" t="s">
        <v>689</v>
      </c>
      <c r="E3876" t="s">
        <v>769</v>
      </c>
      <c r="F3876">
        <v>4</v>
      </c>
      <c r="G3876" s="308">
        <f>'BECA SUPERIOR'!P218</f>
        <v>6.48</v>
      </c>
      <c r="H3876" s="308">
        <f>'BECA SUPERIOR'!Q218</f>
        <v>16200</v>
      </c>
    </row>
    <row r="3877" spans="1:8" x14ac:dyDescent="0.3">
      <c r="A3877" t="s">
        <v>690</v>
      </c>
      <c r="B3877" t="s">
        <v>237</v>
      </c>
      <c r="C3877" t="s">
        <v>240</v>
      </c>
      <c r="D3877" t="s">
        <v>689</v>
      </c>
      <c r="E3877" t="s">
        <v>770</v>
      </c>
      <c r="F3877">
        <v>5</v>
      </c>
      <c r="G3877" s="308">
        <f>'BECA SUPERIOR'!S218</f>
        <v>0</v>
      </c>
      <c r="H3877" s="308">
        <f>'BECA SUPERIOR'!T218</f>
        <v>0</v>
      </c>
    </row>
    <row r="3878" spans="1:8" x14ac:dyDescent="0.3">
      <c r="A3878" t="s">
        <v>690</v>
      </c>
      <c r="B3878" t="s">
        <v>237</v>
      </c>
      <c r="C3878" t="s">
        <v>240</v>
      </c>
      <c r="D3878" t="s">
        <v>689</v>
      </c>
      <c r="E3878" t="s">
        <v>771</v>
      </c>
      <c r="F3878">
        <v>6</v>
      </c>
      <c r="G3878" s="308">
        <f>'BECA SUPERIOR'!V218</f>
        <v>0</v>
      </c>
      <c r="H3878" s="308">
        <f>'BECA SUPERIOR'!W218</f>
        <v>0</v>
      </c>
    </row>
    <row r="3879" spans="1:8" x14ac:dyDescent="0.3">
      <c r="A3879" t="s">
        <v>690</v>
      </c>
      <c r="B3879" t="s">
        <v>237</v>
      </c>
      <c r="C3879" t="s">
        <v>240</v>
      </c>
      <c r="D3879" t="s">
        <v>689</v>
      </c>
      <c r="E3879" t="s">
        <v>772</v>
      </c>
      <c r="F3879">
        <v>7</v>
      </c>
      <c r="G3879" s="308">
        <f>'BECA SUPERIOR'!Y218</f>
        <v>0</v>
      </c>
      <c r="H3879" s="308">
        <f>'BECA SUPERIOR'!Z218</f>
        <v>0</v>
      </c>
    </row>
    <row r="3880" spans="1:8" x14ac:dyDescent="0.3">
      <c r="A3880" t="s">
        <v>690</v>
      </c>
      <c r="B3880" t="s">
        <v>237</v>
      </c>
      <c r="C3880" t="s">
        <v>237</v>
      </c>
      <c r="D3880" t="s">
        <v>689</v>
      </c>
      <c r="E3880" t="s">
        <v>766</v>
      </c>
      <c r="F3880">
        <v>1</v>
      </c>
      <c r="G3880" s="308">
        <f>'BECA SUPERIOR'!G219</f>
        <v>0</v>
      </c>
      <c r="H3880" s="308">
        <f>'BECA SUPERIOR'!H219</f>
        <v>0</v>
      </c>
    </row>
    <row r="3881" spans="1:8" x14ac:dyDescent="0.3">
      <c r="A3881" t="s">
        <v>690</v>
      </c>
      <c r="B3881" t="s">
        <v>237</v>
      </c>
      <c r="C3881" t="s">
        <v>237</v>
      </c>
      <c r="D3881" t="s">
        <v>689</v>
      </c>
      <c r="E3881" t="s">
        <v>767</v>
      </c>
      <c r="F3881">
        <v>2</v>
      </c>
      <c r="G3881" s="308">
        <f>'BECA SUPERIOR'!J219</f>
        <v>0</v>
      </c>
      <c r="H3881" s="308">
        <f>'BECA SUPERIOR'!K219</f>
        <v>0</v>
      </c>
    </row>
    <row r="3882" spans="1:8" x14ac:dyDescent="0.3">
      <c r="A3882" t="s">
        <v>690</v>
      </c>
      <c r="B3882" t="s">
        <v>237</v>
      </c>
      <c r="C3882" t="s">
        <v>237</v>
      </c>
      <c r="D3882" t="s">
        <v>689</v>
      </c>
      <c r="E3882" t="s">
        <v>768</v>
      </c>
      <c r="F3882">
        <v>3</v>
      </c>
      <c r="G3882" s="308">
        <f>'BECA SUPERIOR'!M219</f>
        <v>0</v>
      </c>
      <c r="H3882" s="308">
        <f>'BECA SUPERIOR'!N219</f>
        <v>0</v>
      </c>
    </row>
    <row r="3883" spans="1:8" x14ac:dyDescent="0.3">
      <c r="A3883" t="s">
        <v>690</v>
      </c>
      <c r="B3883" t="s">
        <v>237</v>
      </c>
      <c r="C3883" t="s">
        <v>237</v>
      </c>
      <c r="D3883" t="s">
        <v>689</v>
      </c>
      <c r="E3883" t="s">
        <v>769</v>
      </c>
      <c r="F3883">
        <v>4</v>
      </c>
      <c r="G3883" s="308">
        <f>'BECA SUPERIOR'!P219</f>
        <v>8.64</v>
      </c>
      <c r="H3883" s="308">
        <f>'BECA SUPERIOR'!Q219</f>
        <v>21600</v>
      </c>
    </row>
    <row r="3884" spans="1:8" x14ac:dyDescent="0.3">
      <c r="A3884" t="s">
        <v>690</v>
      </c>
      <c r="B3884" t="s">
        <v>237</v>
      </c>
      <c r="C3884" t="s">
        <v>237</v>
      </c>
      <c r="D3884" t="s">
        <v>689</v>
      </c>
      <c r="E3884" t="s">
        <v>770</v>
      </c>
      <c r="F3884">
        <v>5</v>
      </c>
      <c r="G3884" s="308">
        <f>'BECA SUPERIOR'!S219</f>
        <v>0</v>
      </c>
      <c r="H3884" s="308">
        <f>'BECA SUPERIOR'!T219</f>
        <v>0</v>
      </c>
    </row>
    <row r="3885" spans="1:8" x14ac:dyDescent="0.3">
      <c r="A3885" t="s">
        <v>690</v>
      </c>
      <c r="B3885" t="s">
        <v>237</v>
      </c>
      <c r="C3885" t="s">
        <v>237</v>
      </c>
      <c r="D3885" t="s">
        <v>689</v>
      </c>
      <c r="E3885" t="s">
        <v>771</v>
      </c>
      <c r="F3885">
        <v>6</v>
      </c>
      <c r="G3885" s="308">
        <f>'BECA SUPERIOR'!V219</f>
        <v>0</v>
      </c>
      <c r="H3885" s="308">
        <f>'BECA SUPERIOR'!W219</f>
        <v>0</v>
      </c>
    </row>
    <row r="3886" spans="1:8" x14ac:dyDescent="0.3">
      <c r="A3886" t="s">
        <v>690</v>
      </c>
      <c r="B3886" t="s">
        <v>237</v>
      </c>
      <c r="C3886" t="s">
        <v>237</v>
      </c>
      <c r="D3886" t="s">
        <v>689</v>
      </c>
      <c r="E3886" t="s">
        <v>772</v>
      </c>
      <c r="F3886">
        <v>7</v>
      </c>
      <c r="G3886" s="308">
        <f>'BECA SUPERIOR'!Y219</f>
        <v>0</v>
      </c>
      <c r="H3886" s="308">
        <f>'BECA SUPERIOR'!Z219</f>
        <v>0</v>
      </c>
    </row>
    <row r="3887" spans="1:8" x14ac:dyDescent="0.3">
      <c r="A3887" t="s">
        <v>690</v>
      </c>
      <c r="B3887" t="s">
        <v>237</v>
      </c>
      <c r="C3887" t="s">
        <v>241</v>
      </c>
      <c r="D3887" t="s">
        <v>689</v>
      </c>
      <c r="E3887" t="s">
        <v>766</v>
      </c>
      <c r="F3887">
        <v>1</v>
      </c>
      <c r="G3887" s="308">
        <f>'BECA SUPERIOR'!G220</f>
        <v>0</v>
      </c>
      <c r="H3887" s="308">
        <f>'BECA SUPERIOR'!H220</f>
        <v>0</v>
      </c>
    </row>
    <row r="3888" spans="1:8" x14ac:dyDescent="0.3">
      <c r="A3888" t="s">
        <v>690</v>
      </c>
      <c r="B3888" t="s">
        <v>237</v>
      </c>
      <c r="C3888" t="s">
        <v>241</v>
      </c>
      <c r="D3888" t="s">
        <v>689</v>
      </c>
      <c r="E3888" t="s">
        <v>767</v>
      </c>
      <c r="F3888">
        <v>2</v>
      </c>
      <c r="G3888" s="308">
        <f>'BECA SUPERIOR'!J220</f>
        <v>0</v>
      </c>
      <c r="H3888" s="308">
        <f>'BECA SUPERIOR'!K220</f>
        <v>0</v>
      </c>
    </row>
    <row r="3889" spans="1:8" x14ac:dyDescent="0.3">
      <c r="A3889" t="s">
        <v>690</v>
      </c>
      <c r="B3889" t="s">
        <v>237</v>
      </c>
      <c r="C3889" t="s">
        <v>241</v>
      </c>
      <c r="D3889" t="s">
        <v>689</v>
      </c>
      <c r="E3889" t="s">
        <v>768</v>
      </c>
      <c r="F3889">
        <v>3</v>
      </c>
      <c r="G3889" s="308">
        <f>'BECA SUPERIOR'!M220</f>
        <v>0</v>
      </c>
      <c r="H3889" s="308">
        <f>'BECA SUPERIOR'!N220</f>
        <v>0</v>
      </c>
    </row>
    <row r="3890" spans="1:8" x14ac:dyDescent="0.3">
      <c r="A3890" t="s">
        <v>690</v>
      </c>
      <c r="B3890" t="s">
        <v>237</v>
      </c>
      <c r="C3890" t="s">
        <v>241</v>
      </c>
      <c r="D3890" t="s">
        <v>689</v>
      </c>
      <c r="E3890" t="s">
        <v>769</v>
      </c>
      <c r="F3890">
        <v>4</v>
      </c>
      <c r="G3890" s="308">
        <f>'BECA SUPERIOR'!P220</f>
        <v>7.92</v>
      </c>
      <c r="H3890" s="308">
        <f>'BECA SUPERIOR'!Q220</f>
        <v>19800</v>
      </c>
    </row>
    <row r="3891" spans="1:8" x14ac:dyDescent="0.3">
      <c r="A3891" t="s">
        <v>690</v>
      </c>
      <c r="B3891" t="s">
        <v>237</v>
      </c>
      <c r="C3891" t="s">
        <v>241</v>
      </c>
      <c r="D3891" t="s">
        <v>689</v>
      </c>
      <c r="E3891" t="s">
        <v>770</v>
      </c>
      <c r="F3891">
        <v>5</v>
      </c>
      <c r="G3891" s="308">
        <f>'BECA SUPERIOR'!S220</f>
        <v>0</v>
      </c>
      <c r="H3891" s="308">
        <f>'BECA SUPERIOR'!T220</f>
        <v>0</v>
      </c>
    </row>
    <row r="3892" spans="1:8" x14ac:dyDescent="0.3">
      <c r="A3892" t="s">
        <v>690</v>
      </c>
      <c r="B3892" t="s">
        <v>237</v>
      </c>
      <c r="C3892" t="s">
        <v>241</v>
      </c>
      <c r="D3892" t="s">
        <v>689</v>
      </c>
      <c r="E3892" t="s">
        <v>771</v>
      </c>
      <c r="F3892">
        <v>6</v>
      </c>
      <c r="G3892" s="308">
        <f>'BECA SUPERIOR'!V220</f>
        <v>0</v>
      </c>
      <c r="H3892" s="308">
        <f>'BECA SUPERIOR'!W220</f>
        <v>0</v>
      </c>
    </row>
    <row r="3893" spans="1:8" x14ac:dyDescent="0.3">
      <c r="A3893" t="s">
        <v>690</v>
      </c>
      <c r="B3893" t="s">
        <v>237</v>
      </c>
      <c r="C3893" t="s">
        <v>241</v>
      </c>
      <c r="D3893" t="s">
        <v>689</v>
      </c>
      <c r="E3893" t="s">
        <v>772</v>
      </c>
      <c r="F3893">
        <v>7</v>
      </c>
      <c r="G3893" s="308">
        <f>'BECA SUPERIOR'!Y220</f>
        <v>0</v>
      </c>
      <c r="H3893" s="308">
        <f>'BECA SUPERIOR'!Z220</f>
        <v>0</v>
      </c>
    </row>
    <row r="3894" spans="1:8" x14ac:dyDescent="0.3">
      <c r="A3894" t="s">
        <v>690</v>
      </c>
      <c r="B3894" t="s">
        <v>237</v>
      </c>
      <c r="C3894" t="s">
        <v>242</v>
      </c>
      <c r="D3894" t="s">
        <v>689</v>
      </c>
      <c r="E3894" t="s">
        <v>766</v>
      </c>
      <c r="F3894">
        <v>1</v>
      </c>
      <c r="G3894" s="308">
        <f>'BECA SUPERIOR'!G221</f>
        <v>0</v>
      </c>
      <c r="H3894" s="308">
        <f>'BECA SUPERIOR'!H221</f>
        <v>0</v>
      </c>
    </row>
    <row r="3895" spans="1:8" x14ac:dyDescent="0.3">
      <c r="A3895" t="s">
        <v>690</v>
      </c>
      <c r="B3895" t="s">
        <v>237</v>
      </c>
      <c r="C3895" t="s">
        <v>242</v>
      </c>
      <c r="D3895" t="s">
        <v>689</v>
      </c>
      <c r="E3895" t="s">
        <v>767</v>
      </c>
      <c r="F3895">
        <v>2</v>
      </c>
      <c r="G3895" s="308">
        <f>'BECA SUPERIOR'!J221</f>
        <v>0</v>
      </c>
      <c r="H3895" s="308">
        <f>'BECA SUPERIOR'!K221</f>
        <v>0</v>
      </c>
    </row>
    <row r="3896" spans="1:8" x14ac:dyDescent="0.3">
      <c r="A3896" t="s">
        <v>690</v>
      </c>
      <c r="B3896" t="s">
        <v>237</v>
      </c>
      <c r="C3896" t="s">
        <v>242</v>
      </c>
      <c r="D3896" t="s">
        <v>689</v>
      </c>
      <c r="E3896" t="s">
        <v>768</v>
      </c>
      <c r="F3896">
        <v>3</v>
      </c>
      <c r="G3896" s="308">
        <f>'BECA SUPERIOR'!M221</f>
        <v>0</v>
      </c>
      <c r="H3896" s="308">
        <f>'BECA SUPERIOR'!N221</f>
        <v>0</v>
      </c>
    </row>
    <row r="3897" spans="1:8" x14ac:dyDescent="0.3">
      <c r="A3897" t="s">
        <v>690</v>
      </c>
      <c r="B3897" t="s">
        <v>237</v>
      </c>
      <c r="C3897" t="s">
        <v>242</v>
      </c>
      <c r="D3897" t="s">
        <v>689</v>
      </c>
      <c r="E3897" t="s">
        <v>769</v>
      </c>
      <c r="F3897">
        <v>4</v>
      </c>
      <c r="G3897" s="308">
        <f>'BECA SUPERIOR'!P221</f>
        <v>3.6</v>
      </c>
      <c r="H3897" s="308">
        <f>'BECA SUPERIOR'!Q221</f>
        <v>9000</v>
      </c>
    </row>
    <row r="3898" spans="1:8" x14ac:dyDescent="0.3">
      <c r="A3898" t="s">
        <v>690</v>
      </c>
      <c r="B3898" t="s">
        <v>237</v>
      </c>
      <c r="C3898" t="s">
        <v>242</v>
      </c>
      <c r="D3898" t="s">
        <v>689</v>
      </c>
      <c r="E3898" t="s">
        <v>770</v>
      </c>
      <c r="F3898">
        <v>5</v>
      </c>
      <c r="G3898" s="308">
        <f>'BECA SUPERIOR'!S221</f>
        <v>0</v>
      </c>
      <c r="H3898" s="308">
        <f>'BECA SUPERIOR'!T221</f>
        <v>0</v>
      </c>
    </row>
    <row r="3899" spans="1:8" x14ac:dyDescent="0.3">
      <c r="A3899" t="s">
        <v>690</v>
      </c>
      <c r="B3899" t="s">
        <v>237</v>
      </c>
      <c r="C3899" t="s">
        <v>242</v>
      </c>
      <c r="D3899" t="s">
        <v>689</v>
      </c>
      <c r="E3899" t="s">
        <v>771</v>
      </c>
      <c r="F3899">
        <v>6</v>
      </c>
      <c r="G3899" s="308">
        <f>'BECA SUPERIOR'!V221</f>
        <v>0</v>
      </c>
      <c r="H3899" s="308">
        <f>'BECA SUPERIOR'!W221</f>
        <v>0</v>
      </c>
    </row>
    <row r="3900" spans="1:8" x14ac:dyDescent="0.3">
      <c r="A3900" t="s">
        <v>690</v>
      </c>
      <c r="B3900" t="s">
        <v>237</v>
      </c>
      <c r="C3900" t="s">
        <v>242</v>
      </c>
      <c r="D3900" t="s">
        <v>689</v>
      </c>
      <c r="E3900" t="s">
        <v>772</v>
      </c>
      <c r="F3900">
        <v>7</v>
      </c>
      <c r="G3900" s="308">
        <f>'BECA SUPERIOR'!Y221</f>
        <v>0</v>
      </c>
      <c r="H3900" s="308">
        <f>'BECA SUPERIOR'!Z221</f>
        <v>0</v>
      </c>
    </row>
    <row r="3901" spans="1:8" x14ac:dyDescent="0.3">
      <c r="A3901" t="s">
        <v>690</v>
      </c>
      <c r="B3901" t="s">
        <v>237</v>
      </c>
      <c r="C3901" t="s">
        <v>243</v>
      </c>
      <c r="D3901" t="s">
        <v>689</v>
      </c>
      <c r="E3901" t="s">
        <v>766</v>
      </c>
      <c r="F3901">
        <v>1</v>
      </c>
      <c r="G3901" s="308">
        <f>'BECA SUPERIOR'!G222</f>
        <v>0</v>
      </c>
      <c r="H3901" s="308">
        <f>'BECA SUPERIOR'!H222</f>
        <v>0</v>
      </c>
    </row>
    <row r="3902" spans="1:8" x14ac:dyDescent="0.3">
      <c r="A3902" t="s">
        <v>690</v>
      </c>
      <c r="B3902" t="s">
        <v>237</v>
      </c>
      <c r="C3902" t="s">
        <v>243</v>
      </c>
      <c r="D3902" t="s">
        <v>689</v>
      </c>
      <c r="E3902" t="s">
        <v>767</v>
      </c>
      <c r="F3902">
        <v>2</v>
      </c>
      <c r="G3902" s="308">
        <f>'BECA SUPERIOR'!J222</f>
        <v>0</v>
      </c>
      <c r="H3902" s="308">
        <f>'BECA SUPERIOR'!K222</f>
        <v>0</v>
      </c>
    </row>
    <row r="3903" spans="1:8" x14ac:dyDescent="0.3">
      <c r="A3903" t="s">
        <v>690</v>
      </c>
      <c r="B3903" t="s">
        <v>237</v>
      </c>
      <c r="C3903" t="s">
        <v>243</v>
      </c>
      <c r="D3903" t="s">
        <v>689</v>
      </c>
      <c r="E3903" t="s">
        <v>768</v>
      </c>
      <c r="F3903">
        <v>3</v>
      </c>
      <c r="G3903" s="308">
        <f>'BECA SUPERIOR'!M222</f>
        <v>0</v>
      </c>
      <c r="H3903" s="308">
        <f>'BECA SUPERIOR'!N222</f>
        <v>0</v>
      </c>
    </row>
    <row r="3904" spans="1:8" x14ac:dyDescent="0.3">
      <c r="A3904" t="s">
        <v>690</v>
      </c>
      <c r="B3904" t="s">
        <v>237</v>
      </c>
      <c r="C3904" t="s">
        <v>243</v>
      </c>
      <c r="D3904" t="s">
        <v>689</v>
      </c>
      <c r="E3904" t="s">
        <v>769</v>
      </c>
      <c r="F3904">
        <v>4</v>
      </c>
      <c r="G3904" s="308">
        <f>'BECA SUPERIOR'!P222</f>
        <v>2.16</v>
      </c>
      <c r="H3904" s="308">
        <f>'BECA SUPERIOR'!Q222</f>
        <v>5400</v>
      </c>
    </row>
    <row r="3905" spans="1:8" x14ac:dyDescent="0.3">
      <c r="A3905" t="s">
        <v>690</v>
      </c>
      <c r="B3905" t="s">
        <v>237</v>
      </c>
      <c r="C3905" t="s">
        <v>243</v>
      </c>
      <c r="D3905" t="s">
        <v>689</v>
      </c>
      <c r="E3905" t="s">
        <v>770</v>
      </c>
      <c r="F3905">
        <v>5</v>
      </c>
      <c r="G3905" s="308">
        <f>'BECA SUPERIOR'!S222</f>
        <v>0</v>
      </c>
      <c r="H3905" s="308">
        <f>'BECA SUPERIOR'!T222</f>
        <v>0</v>
      </c>
    </row>
    <row r="3906" spans="1:8" x14ac:dyDescent="0.3">
      <c r="A3906" t="s">
        <v>690</v>
      </c>
      <c r="B3906" t="s">
        <v>237</v>
      </c>
      <c r="C3906" t="s">
        <v>243</v>
      </c>
      <c r="D3906" t="s">
        <v>689</v>
      </c>
      <c r="E3906" t="s">
        <v>771</v>
      </c>
      <c r="F3906">
        <v>6</v>
      </c>
      <c r="G3906" s="308">
        <f>'BECA SUPERIOR'!V222</f>
        <v>0</v>
      </c>
      <c r="H3906" s="308">
        <f>'BECA SUPERIOR'!W222</f>
        <v>0</v>
      </c>
    </row>
    <row r="3907" spans="1:8" x14ac:dyDescent="0.3">
      <c r="A3907" t="s">
        <v>690</v>
      </c>
      <c r="B3907" t="s">
        <v>237</v>
      </c>
      <c r="C3907" t="s">
        <v>243</v>
      </c>
      <c r="D3907" t="s">
        <v>689</v>
      </c>
      <c r="E3907" t="s">
        <v>772</v>
      </c>
      <c r="F3907">
        <v>7</v>
      </c>
      <c r="G3907" s="308">
        <f>'BECA SUPERIOR'!Y222</f>
        <v>0</v>
      </c>
      <c r="H3907" s="308">
        <f>'BECA SUPERIOR'!Z222</f>
        <v>0</v>
      </c>
    </row>
    <row r="3908" spans="1:8" x14ac:dyDescent="0.3">
      <c r="A3908" t="s">
        <v>690</v>
      </c>
      <c r="B3908" t="s">
        <v>237</v>
      </c>
      <c r="C3908" t="s">
        <v>244</v>
      </c>
      <c r="D3908" t="s">
        <v>689</v>
      </c>
      <c r="E3908" t="s">
        <v>766</v>
      </c>
      <c r="F3908">
        <v>1</v>
      </c>
      <c r="G3908" s="308">
        <f>'BECA SUPERIOR'!G223</f>
        <v>0</v>
      </c>
      <c r="H3908" s="308">
        <f>'BECA SUPERIOR'!H223</f>
        <v>0</v>
      </c>
    </row>
    <row r="3909" spans="1:8" x14ac:dyDescent="0.3">
      <c r="A3909" t="s">
        <v>690</v>
      </c>
      <c r="B3909" t="s">
        <v>237</v>
      </c>
      <c r="C3909" t="s">
        <v>244</v>
      </c>
      <c r="D3909" t="s">
        <v>689</v>
      </c>
      <c r="E3909" t="s">
        <v>767</v>
      </c>
      <c r="F3909">
        <v>2</v>
      </c>
      <c r="G3909" s="308">
        <f>'BECA SUPERIOR'!J223</f>
        <v>0</v>
      </c>
      <c r="H3909" s="308">
        <f>'BECA SUPERIOR'!K223</f>
        <v>0</v>
      </c>
    </row>
    <row r="3910" spans="1:8" x14ac:dyDescent="0.3">
      <c r="A3910" t="s">
        <v>690</v>
      </c>
      <c r="B3910" t="s">
        <v>237</v>
      </c>
      <c r="C3910" t="s">
        <v>244</v>
      </c>
      <c r="D3910" t="s">
        <v>689</v>
      </c>
      <c r="E3910" t="s">
        <v>768</v>
      </c>
      <c r="F3910">
        <v>3</v>
      </c>
      <c r="G3910" s="308">
        <f>'BECA SUPERIOR'!M223</f>
        <v>0</v>
      </c>
      <c r="H3910" s="308">
        <f>'BECA SUPERIOR'!N223</f>
        <v>0</v>
      </c>
    </row>
    <row r="3911" spans="1:8" x14ac:dyDescent="0.3">
      <c r="A3911" t="s">
        <v>690</v>
      </c>
      <c r="B3911" t="s">
        <v>237</v>
      </c>
      <c r="C3911" t="s">
        <v>244</v>
      </c>
      <c r="D3911" t="s">
        <v>689</v>
      </c>
      <c r="E3911" t="s">
        <v>769</v>
      </c>
      <c r="F3911">
        <v>4</v>
      </c>
      <c r="G3911" s="308">
        <f>'BECA SUPERIOR'!P223</f>
        <v>2.16</v>
      </c>
      <c r="H3911" s="308">
        <f>'BECA SUPERIOR'!Q223</f>
        <v>5400</v>
      </c>
    </row>
    <row r="3912" spans="1:8" x14ac:dyDescent="0.3">
      <c r="A3912" t="s">
        <v>690</v>
      </c>
      <c r="B3912" t="s">
        <v>237</v>
      </c>
      <c r="C3912" t="s">
        <v>244</v>
      </c>
      <c r="D3912" t="s">
        <v>689</v>
      </c>
      <c r="E3912" t="s">
        <v>770</v>
      </c>
      <c r="F3912">
        <v>5</v>
      </c>
      <c r="G3912" s="308">
        <f>'BECA SUPERIOR'!S223</f>
        <v>0</v>
      </c>
      <c r="H3912" s="308">
        <f>'BECA SUPERIOR'!T223</f>
        <v>0</v>
      </c>
    </row>
    <row r="3913" spans="1:8" x14ac:dyDescent="0.3">
      <c r="A3913" t="s">
        <v>690</v>
      </c>
      <c r="B3913" t="s">
        <v>237</v>
      </c>
      <c r="C3913" t="s">
        <v>244</v>
      </c>
      <c r="D3913" t="s">
        <v>689</v>
      </c>
      <c r="E3913" t="s">
        <v>771</v>
      </c>
      <c r="F3913">
        <v>6</v>
      </c>
      <c r="G3913" s="308">
        <f>'BECA SUPERIOR'!V223</f>
        <v>0</v>
      </c>
      <c r="H3913" s="308">
        <f>'BECA SUPERIOR'!W223</f>
        <v>0</v>
      </c>
    </row>
    <row r="3914" spans="1:8" x14ac:dyDescent="0.3">
      <c r="A3914" t="s">
        <v>690</v>
      </c>
      <c r="B3914" t="s">
        <v>237</v>
      </c>
      <c r="C3914" t="s">
        <v>244</v>
      </c>
      <c r="D3914" t="s">
        <v>689</v>
      </c>
      <c r="E3914" t="s">
        <v>772</v>
      </c>
      <c r="F3914">
        <v>7</v>
      </c>
      <c r="G3914" s="308">
        <f>'BECA SUPERIOR'!Y223</f>
        <v>0</v>
      </c>
      <c r="H3914" s="308">
        <f>'BECA SUPERIOR'!Z223</f>
        <v>0</v>
      </c>
    </row>
    <row r="3915" spans="1:8" x14ac:dyDescent="0.3">
      <c r="A3915" t="s">
        <v>690</v>
      </c>
      <c r="B3915" t="s">
        <v>237</v>
      </c>
      <c r="C3915" t="s">
        <v>245</v>
      </c>
      <c r="D3915" t="s">
        <v>689</v>
      </c>
      <c r="E3915" t="s">
        <v>766</v>
      </c>
      <c r="F3915">
        <v>1</v>
      </c>
      <c r="G3915" s="308">
        <f>'BECA SUPERIOR'!G224</f>
        <v>0</v>
      </c>
      <c r="H3915" s="308">
        <f>'BECA SUPERIOR'!H224</f>
        <v>0</v>
      </c>
    </row>
    <row r="3916" spans="1:8" x14ac:dyDescent="0.3">
      <c r="A3916" t="s">
        <v>690</v>
      </c>
      <c r="B3916" t="s">
        <v>237</v>
      </c>
      <c r="C3916" t="s">
        <v>245</v>
      </c>
      <c r="D3916" t="s">
        <v>689</v>
      </c>
      <c r="E3916" t="s">
        <v>767</v>
      </c>
      <c r="F3916">
        <v>2</v>
      </c>
      <c r="G3916" s="308">
        <f>'BECA SUPERIOR'!J224</f>
        <v>0</v>
      </c>
      <c r="H3916" s="308">
        <f>'BECA SUPERIOR'!K224</f>
        <v>0</v>
      </c>
    </row>
    <row r="3917" spans="1:8" x14ac:dyDescent="0.3">
      <c r="A3917" t="s">
        <v>690</v>
      </c>
      <c r="B3917" t="s">
        <v>237</v>
      </c>
      <c r="C3917" t="s">
        <v>245</v>
      </c>
      <c r="D3917" t="s">
        <v>689</v>
      </c>
      <c r="E3917" t="s">
        <v>768</v>
      </c>
      <c r="F3917">
        <v>3</v>
      </c>
      <c r="G3917" s="308">
        <f>'BECA SUPERIOR'!M224</f>
        <v>0</v>
      </c>
      <c r="H3917" s="308">
        <f>'BECA SUPERIOR'!N224</f>
        <v>0</v>
      </c>
    </row>
    <row r="3918" spans="1:8" x14ac:dyDescent="0.3">
      <c r="A3918" t="s">
        <v>690</v>
      </c>
      <c r="B3918" t="s">
        <v>237</v>
      </c>
      <c r="C3918" t="s">
        <v>245</v>
      </c>
      <c r="D3918" t="s">
        <v>689</v>
      </c>
      <c r="E3918" t="s">
        <v>769</v>
      </c>
      <c r="F3918">
        <v>4</v>
      </c>
      <c r="G3918" s="308">
        <f>'BECA SUPERIOR'!P224</f>
        <v>6.48</v>
      </c>
      <c r="H3918" s="308">
        <f>'BECA SUPERIOR'!Q224</f>
        <v>16200</v>
      </c>
    </row>
    <row r="3919" spans="1:8" x14ac:dyDescent="0.3">
      <c r="A3919" t="s">
        <v>690</v>
      </c>
      <c r="B3919" t="s">
        <v>237</v>
      </c>
      <c r="C3919" t="s">
        <v>245</v>
      </c>
      <c r="D3919" t="s">
        <v>689</v>
      </c>
      <c r="E3919" t="s">
        <v>770</v>
      </c>
      <c r="F3919">
        <v>5</v>
      </c>
      <c r="G3919" s="308">
        <f>'BECA SUPERIOR'!S224</f>
        <v>0</v>
      </c>
      <c r="H3919" s="308">
        <f>'BECA SUPERIOR'!T224</f>
        <v>0</v>
      </c>
    </row>
    <row r="3920" spans="1:8" x14ac:dyDescent="0.3">
      <c r="A3920" t="s">
        <v>690</v>
      </c>
      <c r="B3920" t="s">
        <v>237</v>
      </c>
      <c r="C3920" t="s">
        <v>245</v>
      </c>
      <c r="D3920" t="s">
        <v>689</v>
      </c>
      <c r="E3920" t="s">
        <v>771</v>
      </c>
      <c r="F3920">
        <v>6</v>
      </c>
      <c r="G3920" s="308">
        <f>'BECA SUPERIOR'!V224</f>
        <v>0</v>
      </c>
      <c r="H3920" s="308">
        <f>'BECA SUPERIOR'!W224</f>
        <v>0</v>
      </c>
    </row>
    <row r="3921" spans="1:8" x14ac:dyDescent="0.3">
      <c r="A3921" t="s">
        <v>690</v>
      </c>
      <c r="B3921" t="s">
        <v>237</v>
      </c>
      <c r="C3921" t="s">
        <v>245</v>
      </c>
      <c r="D3921" t="s">
        <v>689</v>
      </c>
      <c r="E3921" t="s">
        <v>772</v>
      </c>
      <c r="F3921">
        <v>7</v>
      </c>
      <c r="G3921" s="308">
        <f>'BECA SUPERIOR'!Y224</f>
        <v>0</v>
      </c>
      <c r="H3921" s="308">
        <f>'BECA SUPERIOR'!Z224</f>
        <v>0</v>
      </c>
    </row>
    <row r="3922" spans="1:8" x14ac:dyDescent="0.3">
      <c r="A3922" t="s">
        <v>690</v>
      </c>
      <c r="B3922" t="s">
        <v>246</v>
      </c>
      <c r="C3922" t="s">
        <v>247</v>
      </c>
      <c r="D3922" t="s">
        <v>689</v>
      </c>
      <c r="E3922" t="s">
        <v>766</v>
      </c>
      <c r="F3922">
        <v>1</v>
      </c>
      <c r="G3922" s="308">
        <f>'BECA SUPERIOR'!G225</f>
        <v>0</v>
      </c>
      <c r="H3922" s="308">
        <f>'BECA SUPERIOR'!H225</f>
        <v>0</v>
      </c>
    </row>
    <row r="3923" spans="1:8" x14ac:dyDescent="0.3">
      <c r="A3923" t="s">
        <v>690</v>
      </c>
      <c r="B3923" t="s">
        <v>246</v>
      </c>
      <c r="C3923" t="s">
        <v>247</v>
      </c>
      <c r="D3923" t="s">
        <v>689</v>
      </c>
      <c r="E3923" t="s">
        <v>767</v>
      </c>
      <c r="F3923">
        <v>2</v>
      </c>
      <c r="G3923" s="308">
        <f>'BECA SUPERIOR'!J225</f>
        <v>0</v>
      </c>
      <c r="H3923" s="308">
        <f>'BECA SUPERIOR'!K225</f>
        <v>0</v>
      </c>
    </row>
    <row r="3924" spans="1:8" x14ac:dyDescent="0.3">
      <c r="A3924" t="s">
        <v>690</v>
      </c>
      <c r="B3924" t="s">
        <v>246</v>
      </c>
      <c r="C3924" t="s">
        <v>247</v>
      </c>
      <c r="D3924" t="s">
        <v>689</v>
      </c>
      <c r="E3924" t="s">
        <v>768</v>
      </c>
      <c r="F3924">
        <v>3</v>
      </c>
      <c r="G3924" s="308">
        <f>'BECA SUPERIOR'!M225</f>
        <v>0</v>
      </c>
      <c r="H3924" s="308">
        <f>'BECA SUPERIOR'!N225</f>
        <v>0</v>
      </c>
    </row>
    <row r="3925" spans="1:8" x14ac:dyDescent="0.3">
      <c r="A3925" t="s">
        <v>690</v>
      </c>
      <c r="B3925" t="s">
        <v>246</v>
      </c>
      <c r="C3925" t="s">
        <v>247</v>
      </c>
      <c r="D3925" t="s">
        <v>689</v>
      </c>
      <c r="E3925" t="s">
        <v>769</v>
      </c>
      <c r="F3925">
        <v>4</v>
      </c>
      <c r="G3925" s="308">
        <f>'BECA SUPERIOR'!P225</f>
        <v>1.44</v>
      </c>
      <c r="H3925" s="308">
        <f>'BECA SUPERIOR'!Q225</f>
        <v>3600</v>
      </c>
    </row>
    <row r="3926" spans="1:8" x14ac:dyDescent="0.3">
      <c r="A3926" t="s">
        <v>690</v>
      </c>
      <c r="B3926" t="s">
        <v>246</v>
      </c>
      <c r="C3926" t="s">
        <v>247</v>
      </c>
      <c r="D3926" t="s">
        <v>689</v>
      </c>
      <c r="E3926" t="s">
        <v>770</v>
      </c>
      <c r="F3926">
        <v>5</v>
      </c>
      <c r="G3926" s="308">
        <f>'BECA SUPERIOR'!S225</f>
        <v>0</v>
      </c>
      <c r="H3926" s="308">
        <f>'BECA SUPERIOR'!T225</f>
        <v>0</v>
      </c>
    </row>
    <row r="3927" spans="1:8" x14ac:dyDescent="0.3">
      <c r="A3927" t="s">
        <v>690</v>
      </c>
      <c r="B3927" t="s">
        <v>246</v>
      </c>
      <c r="C3927" t="s">
        <v>247</v>
      </c>
      <c r="D3927" t="s">
        <v>689</v>
      </c>
      <c r="E3927" t="s">
        <v>771</v>
      </c>
      <c r="F3927">
        <v>6</v>
      </c>
      <c r="G3927" s="308">
        <f>'BECA SUPERIOR'!V225</f>
        <v>0</v>
      </c>
      <c r="H3927" s="308">
        <f>'BECA SUPERIOR'!W225</f>
        <v>0</v>
      </c>
    </row>
    <row r="3928" spans="1:8" x14ac:dyDescent="0.3">
      <c r="A3928" t="s">
        <v>690</v>
      </c>
      <c r="B3928" t="s">
        <v>246</v>
      </c>
      <c r="C3928" t="s">
        <v>247</v>
      </c>
      <c r="D3928" t="s">
        <v>689</v>
      </c>
      <c r="E3928" t="s">
        <v>772</v>
      </c>
      <c r="F3928">
        <v>7</v>
      </c>
      <c r="G3928" s="308">
        <f>'BECA SUPERIOR'!Y225</f>
        <v>0</v>
      </c>
      <c r="H3928" s="308">
        <f>'BECA SUPERIOR'!Z225</f>
        <v>0</v>
      </c>
    </row>
    <row r="3929" spans="1:8" x14ac:dyDescent="0.3">
      <c r="A3929" t="s">
        <v>690</v>
      </c>
      <c r="B3929" t="s">
        <v>246</v>
      </c>
      <c r="C3929" t="s">
        <v>248</v>
      </c>
      <c r="D3929" t="s">
        <v>689</v>
      </c>
      <c r="E3929" t="s">
        <v>766</v>
      </c>
      <c r="F3929">
        <v>1</v>
      </c>
      <c r="G3929" s="308">
        <f>'BECA SUPERIOR'!G226</f>
        <v>0</v>
      </c>
      <c r="H3929" s="308">
        <f>'BECA SUPERIOR'!H226</f>
        <v>0</v>
      </c>
    </row>
    <row r="3930" spans="1:8" x14ac:dyDescent="0.3">
      <c r="A3930" t="s">
        <v>690</v>
      </c>
      <c r="B3930" t="s">
        <v>246</v>
      </c>
      <c r="C3930" t="s">
        <v>248</v>
      </c>
      <c r="D3930" t="s">
        <v>689</v>
      </c>
      <c r="E3930" t="s">
        <v>767</v>
      </c>
      <c r="F3930">
        <v>2</v>
      </c>
      <c r="G3930" s="308">
        <f>'BECA SUPERIOR'!J226</f>
        <v>0</v>
      </c>
      <c r="H3930" s="308">
        <f>'BECA SUPERIOR'!K226</f>
        <v>0</v>
      </c>
    </row>
    <row r="3931" spans="1:8" x14ac:dyDescent="0.3">
      <c r="A3931" t="s">
        <v>690</v>
      </c>
      <c r="B3931" t="s">
        <v>246</v>
      </c>
      <c r="C3931" t="s">
        <v>248</v>
      </c>
      <c r="D3931" t="s">
        <v>689</v>
      </c>
      <c r="E3931" t="s">
        <v>768</v>
      </c>
      <c r="F3931">
        <v>3</v>
      </c>
      <c r="G3931" s="308">
        <f>'BECA SUPERIOR'!M226</f>
        <v>0</v>
      </c>
      <c r="H3931" s="308">
        <f>'BECA SUPERIOR'!N226</f>
        <v>0</v>
      </c>
    </row>
    <row r="3932" spans="1:8" x14ac:dyDescent="0.3">
      <c r="A3932" t="s">
        <v>690</v>
      </c>
      <c r="B3932" t="s">
        <v>246</v>
      </c>
      <c r="C3932" t="s">
        <v>248</v>
      </c>
      <c r="D3932" t="s">
        <v>689</v>
      </c>
      <c r="E3932" t="s">
        <v>769</v>
      </c>
      <c r="F3932">
        <v>4</v>
      </c>
      <c r="G3932" s="308">
        <f>'BECA SUPERIOR'!P226</f>
        <v>2.16</v>
      </c>
      <c r="H3932" s="308">
        <f>'BECA SUPERIOR'!Q226</f>
        <v>5400</v>
      </c>
    </row>
    <row r="3933" spans="1:8" x14ac:dyDescent="0.3">
      <c r="A3933" t="s">
        <v>690</v>
      </c>
      <c r="B3933" t="s">
        <v>246</v>
      </c>
      <c r="C3933" t="s">
        <v>248</v>
      </c>
      <c r="D3933" t="s">
        <v>689</v>
      </c>
      <c r="E3933" t="s">
        <v>770</v>
      </c>
      <c r="F3933">
        <v>5</v>
      </c>
      <c r="G3933" s="308">
        <f>'BECA SUPERIOR'!S226</f>
        <v>0</v>
      </c>
      <c r="H3933" s="308">
        <f>'BECA SUPERIOR'!T226</f>
        <v>0</v>
      </c>
    </row>
    <row r="3934" spans="1:8" x14ac:dyDescent="0.3">
      <c r="A3934" t="s">
        <v>690</v>
      </c>
      <c r="B3934" t="s">
        <v>246</v>
      </c>
      <c r="C3934" t="s">
        <v>248</v>
      </c>
      <c r="D3934" t="s">
        <v>689</v>
      </c>
      <c r="E3934" t="s">
        <v>771</v>
      </c>
      <c r="F3934">
        <v>6</v>
      </c>
      <c r="G3934" s="308">
        <f>'BECA SUPERIOR'!V226</f>
        <v>0</v>
      </c>
      <c r="H3934" s="308">
        <f>'BECA SUPERIOR'!W226</f>
        <v>0</v>
      </c>
    </row>
    <row r="3935" spans="1:8" x14ac:dyDescent="0.3">
      <c r="A3935" t="s">
        <v>690</v>
      </c>
      <c r="B3935" t="s">
        <v>246</v>
      </c>
      <c r="C3935" t="s">
        <v>248</v>
      </c>
      <c r="D3935" t="s">
        <v>689</v>
      </c>
      <c r="E3935" t="s">
        <v>772</v>
      </c>
      <c r="F3935">
        <v>7</v>
      </c>
      <c r="G3935" s="308">
        <f>'BECA SUPERIOR'!Y226</f>
        <v>0</v>
      </c>
      <c r="H3935" s="308">
        <f>'BECA SUPERIOR'!Z226</f>
        <v>0</v>
      </c>
    </row>
    <row r="3936" spans="1:8" x14ac:dyDescent="0.3">
      <c r="A3936" t="s">
        <v>690</v>
      </c>
      <c r="B3936" t="s">
        <v>246</v>
      </c>
      <c r="C3936" t="s">
        <v>249</v>
      </c>
      <c r="D3936" t="s">
        <v>689</v>
      </c>
      <c r="E3936" t="s">
        <v>766</v>
      </c>
      <c r="F3936">
        <v>1</v>
      </c>
      <c r="G3936" s="308">
        <f>'BECA SUPERIOR'!G227</f>
        <v>0</v>
      </c>
      <c r="H3936" s="308">
        <f>'BECA SUPERIOR'!H227</f>
        <v>0</v>
      </c>
    </row>
    <row r="3937" spans="1:8" x14ac:dyDescent="0.3">
      <c r="A3937" t="s">
        <v>690</v>
      </c>
      <c r="B3937" t="s">
        <v>246</v>
      </c>
      <c r="C3937" t="s">
        <v>249</v>
      </c>
      <c r="D3937" t="s">
        <v>689</v>
      </c>
      <c r="E3937" t="s">
        <v>767</v>
      </c>
      <c r="F3937">
        <v>2</v>
      </c>
      <c r="G3937" s="308">
        <f>'BECA SUPERIOR'!J227</f>
        <v>0</v>
      </c>
      <c r="H3937" s="308">
        <f>'BECA SUPERIOR'!K227</f>
        <v>0</v>
      </c>
    </row>
    <row r="3938" spans="1:8" x14ac:dyDescent="0.3">
      <c r="A3938" t="s">
        <v>690</v>
      </c>
      <c r="B3938" t="s">
        <v>246</v>
      </c>
      <c r="C3938" t="s">
        <v>249</v>
      </c>
      <c r="D3938" t="s">
        <v>689</v>
      </c>
      <c r="E3938" t="s">
        <v>768</v>
      </c>
      <c r="F3938">
        <v>3</v>
      </c>
      <c r="G3938" s="308">
        <f>'BECA SUPERIOR'!M227</f>
        <v>0</v>
      </c>
      <c r="H3938" s="308">
        <f>'BECA SUPERIOR'!N227</f>
        <v>0</v>
      </c>
    </row>
    <row r="3939" spans="1:8" x14ac:dyDescent="0.3">
      <c r="A3939" t="s">
        <v>690</v>
      </c>
      <c r="B3939" t="s">
        <v>246</v>
      </c>
      <c r="C3939" t="s">
        <v>249</v>
      </c>
      <c r="D3939" t="s">
        <v>689</v>
      </c>
      <c r="E3939" t="s">
        <v>769</v>
      </c>
      <c r="F3939">
        <v>4</v>
      </c>
      <c r="G3939" s="308">
        <f>'BECA SUPERIOR'!P227</f>
        <v>2.16</v>
      </c>
      <c r="H3939" s="308">
        <f>'BECA SUPERIOR'!Q227</f>
        <v>5400</v>
      </c>
    </row>
    <row r="3940" spans="1:8" x14ac:dyDescent="0.3">
      <c r="A3940" t="s">
        <v>690</v>
      </c>
      <c r="B3940" t="s">
        <v>246</v>
      </c>
      <c r="C3940" t="s">
        <v>249</v>
      </c>
      <c r="D3940" t="s">
        <v>689</v>
      </c>
      <c r="E3940" t="s">
        <v>770</v>
      </c>
      <c r="F3940">
        <v>5</v>
      </c>
      <c r="G3940" s="308">
        <f>'BECA SUPERIOR'!S227</f>
        <v>0</v>
      </c>
      <c r="H3940" s="308">
        <f>'BECA SUPERIOR'!T227</f>
        <v>0</v>
      </c>
    </row>
    <row r="3941" spans="1:8" x14ac:dyDescent="0.3">
      <c r="A3941" t="s">
        <v>690</v>
      </c>
      <c r="B3941" t="s">
        <v>246</v>
      </c>
      <c r="C3941" t="s">
        <v>249</v>
      </c>
      <c r="D3941" t="s">
        <v>689</v>
      </c>
      <c r="E3941" t="s">
        <v>771</v>
      </c>
      <c r="F3941">
        <v>6</v>
      </c>
      <c r="G3941" s="308">
        <f>'BECA SUPERIOR'!V227</f>
        <v>0</v>
      </c>
      <c r="H3941" s="308">
        <f>'BECA SUPERIOR'!W227</f>
        <v>0</v>
      </c>
    </row>
    <row r="3942" spans="1:8" x14ac:dyDescent="0.3">
      <c r="A3942" t="s">
        <v>690</v>
      </c>
      <c r="B3942" t="s">
        <v>246</v>
      </c>
      <c r="C3942" t="s">
        <v>249</v>
      </c>
      <c r="D3942" t="s">
        <v>689</v>
      </c>
      <c r="E3942" t="s">
        <v>772</v>
      </c>
      <c r="F3942">
        <v>7</v>
      </c>
      <c r="G3942" s="308">
        <f>'BECA SUPERIOR'!Y227</f>
        <v>0</v>
      </c>
      <c r="H3942" s="308">
        <f>'BECA SUPERIOR'!Z227</f>
        <v>0</v>
      </c>
    </row>
    <row r="3943" spans="1:8" x14ac:dyDescent="0.3">
      <c r="A3943" t="s">
        <v>690</v>
      </c>
      <c r="B3943" t="s">
        <v>246</v>
      </c>
      <c r="C3943" t="s">
        <v>250</v>
      </c>
      <c r="D3943" t="s">
        <v>689</v>
      </c>
      <c r="E3943" t="s">
        <v>766</v>
      </c>
      <c r="F3943">
        <v>1</v>
      </c>
      <c r="G3943" s="308">
        <f>'BECA SUPERIOR'!G228</f>
        <v>0</v>
      </c>
      <c r="H3943" s="308">
        <f>'BECA SUPERIOR'!H228</f>
        <v>0</v>
      </c>
    </row>
    <row r="3944" spans="1:8" x14ac:dyDescent="0.3">
      <c r="A3944" t="s">
        <v>690</v>
      </c>
      <c r="B3944" t="s">
        <v>246</v>
      </c>
      <c r="C3944" t="s">
        <v>250</v>
      </c>
      <c r="D3944" t="s">
        <v>689</v>
      </c>
      <c r="E3944" t="s">
        <v>767</v>
      </c>
      <c r="F3944">
        <v>2</v>
      </c>
      <c r="G3944" s="308">
        <f>'BECA SUPERIOR'!J228</f>
        <v>0</v>
      </c>
      <c r="H3944" s="308">
        <f>'BECA SUPERIOR'!K228</f>
        <v>0</v>
      </c>
    </row>
    <row r="3945" spans="1:8" x14ac:dyDescent="0.3">
      <c r="A3945" t="s">
        <v>690</v>
      </c>
      <c r="B3945" t="s">
        <v>246</v>
      </c>
      <c r="C3945" t="s">
        <v>250</v>
      </c>
      <c r="D3945" t="s">
        <v>689</v>
      </c>
      <c r="E3945" t="s">
        <v>768</v>
      </c>
      <c r="F3945">
        <v>3</v>
      </c>
      <c r="G3945" s="308">
        <f>'BECA SUPERIOR'!M228</f>
        <v>0</v>
      </c>
      <c r="H3945" s="308">
        <f>'BECA SUPERIOR'!N228</f>
        <v>0</v>
      </c>
    </row>
    <row r="3946" spans="1:8" x14ac:dyDescent="0.3">
      <c r="A3946" t="s">
        <v>690</v>
      </c>
      <c r="B3946" t="s">
        <v>246</v>
      </c>
      <c r="C3946" t="s">
        <v>250</v>
      </c>
      <c r="D3946" t="s">
        <v>689</v>
      </c>
      <c r="E3946" t="s">
        <v>769</v>
      </c>
      <c r="F3946">
        <v>4</v>
      </c>
      <c r="G3946" s="308">
        <f>'BECA SUPERIOR'!P228</f>
        <v>1.44</v>
      </c>
      <c r="H3946" s="308">
        <f>'BECA SUPERIOR'!Q228</f>
        <v>3600</v>
      </c>
    </row>
    <row r="3947" spans="1:8" x14ac:dyDescent="0.3">
      <c r="A3947" t="s">
        <v>690</v>
      </c>
      <c r="B3947" t="s">
        <v>246</v>
      </c>
      <c r="C3947" t="s">
        <v>250</v>
      </c>
      <c r="D3947" t="s">
        <v>689</v>
      </c>
      <c r="E3947" t="s">
        <v>770</v>
      </c>
      <c r="F3947">
        <v>5</v>
      </c>
      <c r="G3947" s="308">
        <f>'BECA SUPERIOR'!S228</f>
        <v>0</v>
      </c>
      <c r="H3947" s="308">
        <f>'BECA SUPERIOR'!T228</f>
        <v>0</v>
      </c>
    </row>
    <row r="3948" spans="1:8" x14ac:dyDescent="0.3">
      <c r="A3948" t="s">
        <v>690</v>
      </c>
      <c r="B3948" t="s">
        <v>246</v>
      </c>
      <c r="C3948" t="s">
        <v>250</v>
      </c>
      <c r="D3948" t="s">
        <v>689</v>
      </c>
      <c r="E3948" t="s">
        <v>771</v>
      </c>
      <c r="F3948">
        <v>6</v>
      </c>
      <c r="G3948" s="308">
        <f>'BECA SUPERIOR'!V228</f>
        <v>0</v>
      </c>
      <c r="H3948" s="308">
        <f>'BECA SUPERIOR'!W228</f>
        <v>0</v>
      </c>
    </row>
    <row r="3949" spans="1:8" x14ac:dyDescent="0.3">
      <c r="A3949" t="s">
        <v>690</v>
      </c>
      <c r="B3949" t="s">
        <v>246</v>
      </c>
      <c r="C3949" t="s">
        <v>250</v>
      </c>
      <c r="D3949" t="s">
        <v>689</v>
      </c>
      <c r="E3949" t="s">
        <v>772</v>
      </c>
      <c r="F3949">
        <v>7</v>
      </c>
      <c r="G3949" s="308">
        <f>'BECA SUPERIOR'!Y228</f>
        <v>0</v>
      </c>
      <c r="H3949" s="308">
        <f>'BECA SUPERIOR'!Z228</f>
        <v>0</v>
      </c>
    </row>
    <row r="3950" spans="1:8" x14ac:dyDescent="0.3">
      <c r="A3950" t="s">
        <v>690</v>
      </c>
      <c r="B3950" t="s">
        <v>246</v>
      </c>
      <c r="C3950" t="s">
        <v>251</v>
      </c>
      <c r="D3950" t="s">
        <v>689</v>
      </c>
      <c r="E3950" t="s">
        <v>766</v>
      </c>
      <c r="F3950">
        <v>1</v>
      </c>
      <c r="G3950" s="308">
        <f>'BECA SUPERIOR'!G229</f>
        <v>0</v>
      </c>
      <c r="H3950" s="308">
        <f>'BECA SUPERIOR'!H229</f>
        <v>0</v>
      </c>
    </row>
    <row r="3951" spans="1:8" x14ac:dyDescent="0.3">
      <c r="A3951" t="s">
        <v>690</v>
      </c>
      <c r="B3951" t="s">
        <v>246</v>
      </c>
      <c r="C3951" t="s">
        <v>251</v>
      </c>
      <c r="D3951" t="s">
        <v>689</v>
      </c>
      <c r="E3951" t="s">
        <v>767</v>
      </c>
      <c r="F3951">
        <v>2</v>
      </c>
      <c r="G3951" s="308">
        <f>'BECA SUPERIOR'!J229</f>
        <v>0</v>
      </c>
      <c r="H3951" s="308">
        <f>'BECA SUPERIOR'!K229</f>
        <v>0</v>
      </c>
    </row>
    <row r="3952" spans="1:8" x14ac:dyDescent="0.3">
      <c r="A3952" t="s">
        <v>690</v>
      </c>
      <c r="B3952" t="s">
        <v>246</v>
      </c>
      <c r="C3952" t="s">
        <v>251</v>
      </c>
      <c r="D3952" t="s">
        <v>689</v>
      </c>
      <c r="E3952" t="s">
        <v>768</v>
      </c>
      <c r="F3952">
        <v>3</v>
      </c>
      <c r="G3952" s="308">
        <f>'BECA SUPERIOR'!M229</f>
        <v>0</v>
      </c>
      <c r="H3952" s="308">
        <f>'BECA SUPERIOR'!N229</f>
        <v>0</v>
      </c>
    </row>
    <row r="3953" spans="1:8" x14ac:dyDescent="0.3">
      <c r="A3953" t="s">
        <v>690</v>
      </c>
      <c r="B3953" t="s">
        <v>246</v>
      </c>
      <c r="C3953" t="s">
        <v>251</v>
      </c>
      <c r="D3953" t="s">
        <v>689</v>
      </c>
      <c r="E3953" t="s">
        <v>769</v>
      </c>
      <c r="F3953">
        <v>4</v>
      </c>
      <c r="G3953" s="308">
        <f>'BECA SUPERIOR'!P229</f>
        <v>1.44</v>
      </c>
      <c r="H3953" s="308">
        <f>'BECA SUPERIOR'!Q229</f>
        <v>3600</v>
      </c>
    </row>
    <row r="3954" spans="1:8" x14ac:dyDescent="0.3">
      <c r="A3954" t="s">
        <v>690</v>
      </c>
      <c r="B3954" t="s">
        <v>246</v>
      </c>
      <c r="C3954" t="s">
        <v>251</v>
      </c>
      <c r="D3954" t="s">
        <v>689</v>
      </c>
      <c r="E3954" t="s">
        <v>770</v>
      </c>
      <c r="F3954">
        <v>5</v>
      </c>
      <c r="G3954" s="308">
        <f>'BECA SUPERIOR'!S229</f>
        <v>0</v>
      </c>
      <c r="H3954" s="308">
        <f>'BECA SUPERIOR'!T229</f>
        <v>0</v>
      </c>
    </row>
    <row r="3955" spans="1:8" x14ac:dyDescent="0.3">
      <c r="A3955" t="s">
        <v>690</v>
      </c>
      <c r="B3955" t="s">
        <v>246</v>
      </c>
      <c r="C3955" t="s">
        <v>251</v>
      </c>
      <c r="D3955" t="s">
        <v>689</v>
      </c>
      <c r="E3955" t="s">
        <v>771</v>
      </c>
      <c r="F3955">
        <v>6</v>
      </c>
      <c r="G3955" s="308">
        <f>'BECA SUPERIOR'!V229</f>
        <v>0</v>
      </c>
      <c r="H3955" s="308">
        <f>'BECA SUPERIOR'!W229</f>
        <v>0</v>
      </c>
    </row>
    <row r="3956" spans="1:8" x14ac:dyDescent="0.3">
      <c r="A3956" t="s">
        <v>690</v>
      </c>
      <c r="B3956" t="s">
        <v>246</v>
      </c>
      <c r="C3956" t="s">
        <v>251</v>
      </c>
      <c r="D3956" t="s">
        <v>689</v>
      </c>
      <c r="E3956" t="s">
        <v>772</v>
      </c>
      <c r="F3956">
        <v>7</v>
      </c>
      <c r="G3956" s="308">
        <f>'BECA SUPERIOR'!Y229</f>
        <v>0</v>
      </c>
      <c r="H3956" s="308">
        <f>'BECA SUPERIOR'!Z229</f>
        <v>0</v>
      </c>
    </row>
    <row r="3957" spans="1:8" x14ac:dyDescent="0.3">
      <c r="A3957" t="s">
        <v>690</v>
      </c>
      <c r="B3957" t="s">
        <v>246</v>
      </c>
      <c r="C3957" t="s">
        <v>252</v>
      </c>
      <c r="D3957" t="s">
        <v>689</v>
      </c>
      <c r="E3957" t="s">
        <v>766</v>
      </c>
      <c r="F3957">
        <v>1</v>
      </c>
      <c r="G3957" s="308">
        <f>'BECA SUPERIOR'!G230</f>
        <v>0</v>
      </c>
      <c r="H3957" s="308">
        <f>'BECA SUPERIOR'!H230</f>
        <v>0</v>
      </c>
    </row>
    <row r="3958" spans="1:8" x14ac:dyDescent="0.3">
      <c r="A3958" t="s">
        <v>690</v>
      </c>
      <c r="B3958" t="s">
        <v>246</v>
      </c>
      <c r="C3958" t="s">
        <v>252</v>
      </c>
      <c r="D3958" t="s">
        <v>689</v>
      </c>
      <c r="E3958" t="s">
        <v>767</v>
      </c>
      <c r="F3958">
        <v>2</v>
      </c>
      <c r="G3958" s="308">
        <f>'BECA SUPERIOR'!J230</f>
        <v>0</v>
      </c>
      <c r="H3958" s="308">
        <f>'BECA SUPERIOR'!K230</f>
        <v>0</v>
      </c>
    </row>
    <row r="3959" spans="1:8" x14ac:dyDescent="0.3">
      <c r="A3959" t="s">
        <v>690</v>
      </c>
      <c r="B3959" t="s">
        <v>246</v>
      </c>
      <c r="C3959" t="s">
        <v>252</v>
      </c>
      <c r="D3959" t="s">
        <v>689</v>
      </c>
      <c r="E3959" t="s">
        <v>768</v>
      </c>
      <c r="F3959">
        <v>3</v>
      </c>
      <c r="G3959" s="308">
        <f>'BECA SUPERIOR'!M230</f>
        <v>0</v>
      </c>
      <c r="H3959" s="308">
        <f>'BECA SUPERIOR'!N230</f>
        <v>0</v>
      </c>
    </row>
    <row r="3960" spans="1:8" x14ac:dyDescent="0.3">
      <c r="A3960" t="s">
        <v>690</v>
      </c>
      <c r="B3960" t="s">
        <v>246</v>
      </c>
      <c r="C3960" t="s">
        <v>252</v>
      </c>
      <c r="D3960" t="s">
        <v>689</v>
      </c>
      <c r="E3960" t="s">
        <v>769</v>
      </c>
      <c r="F3960">
        <v>4</v>
      </c>
      <c r="G3960" s="308">
        <f>'BECA SUPERIOR'!P230</f>
        <v>0.72</v>
      </c>
      <c r="H3960" s="308">
        <f>'BECA SUPERIOR'!Q230</f>
        <v>1800</v>
      </c>
    </row>
    <row r="3961" spans="1:8" x14ac:dyDescent="0.3">
      <c r="A3961" t="s">
        <v>690</v>
      </c>
      <c r="B3961" t="s">
        <v>246</v>
      </c>
      <c r="C3961" t="s">
        <v>252</v>
      </c>
      <c r="D3961" t="s">
        <v>689</v>
      </c>
      <c r="E3961" t="s">
        <v>770</v>
      </c>
      <c r="F3961">
        <v>5</v>
      </c>
      <c r="G3961" s="308">
        <f>'BECA SUPERIOR'!S230</f>
        <v>0</v>
      </c>
      <c r="H3961" s="308">
        <f>'BECA SUPERIOR'!T230</f>
        <v>0</v>
      </c>
    </row>
    <row r="3962" spans="1:8" x14ac:dyDescent="0.3">
      <c r="A3962" t="s">
        <v>690</v>
      </c>
      <c r="B3962" t="s">
        <v>246</v>
      </c>
      <c r="C3962" t="s">
        <v>252</v>
      </c>
      <c r="D3962" t="s">
        <v>689</v>
      </c>
      <c r="E3962" t="s">
        <v>771</v>
      </c>
      <c r="F3962">
        <v>6</v>
      </c>
      <c r="G3962" s="308">
        <f>'BECA SUPERIOR'!V230</f>
        <v>0</v>
      </c>
      <c r="H3962" s="308">
        <f>'BECA SUPERIOR'!W230</f>
        <v>0</v>
      </c>
    </row>
    <row r="3963" spans="1:8" x14ac:dyDescent="0.3">
      <c r="A3963" t="s">
        <v>690</v>
      </c>
      <c r="B3963" t="s">
        <v>246</v>
      </c>
      <c r="C3963" t="s">
        <v>252</v>
      </c>
      <c r="D3963" t="s">
        <v>689</v>
      </c>
      <c r="E3963" t="s">
        <v>772</v>
      </c>
      <c r="F3963">
        <v>7</v>
      </c>
      <c r="G3963" s="308">
        <f>'BECA SUPERIOR'!Y230</f>
        <v>0</v>
      </c>
      <c r="H3963" s="308">
        <f>'BECA SUPERIOR'!Z230</f>
        <v>0</v>
      </c>
    </row>
    <row r="3964" spans="1:8" x14ac:dyDescent="0.3">
      <c r="A3964" t="s">
        <v>690</v>
      </c>
      <c r="B3964" t="s">
        <v>246</v>
      </c>
      <c r="C3964" t="s">
        <v>253</v>
      </c>
      <c r="D3964" t="s">
        <v>689</v>
      </c>
      <c r="E3964" t="s">
        <v>766</v>
      </c>
      <c r="F3964">
        <v>1</v>
      </c>
      <c r="G3964" s="308">
        <f>'BECA SUPERIOR'!G231</f>
        <v>0</v>
      </c>
      <c r="H3964" s="308">
        <f>'BECA SUPERIOR'!H231</f>
        <v>0</v>
      </c>
    </row>
    <row r="3965" spans="1:8" x14ac:dyDescent="0.3">
      <c r="A3965" t="s">
        <v>690</v>
      </c>
      <c r="B3965" t="s">
        <v>246</v>
      </c>
      <c r="C3965" t="s">
        <v>253</v>
      </c>
      <c r="D3965" t="s">
        <v>689</v>
      </c>
      <c r="E3965" t="s">
        <v>767</v>
      </c>
      <c r="F3965">
        <v>2</v>
      </c>
      <c r="G3965" s="308">
        <f>'BECA SUPERIOR'!J231</f>
        <v>0</v>
      </c>
      <c r="H3965" s="308">
        <f>'BECA SUPERIOR'!K231</f>
        <v>0</v>
      </c>
    </row>
    <row r="3966" spans="1:8" x14ac:dyDescent="0.3">
      <c r="A3966" t="s">
        <v>690</v>
      </c>
      <c r="B3966" t="s">
        <v>246</v>
      </c>
      <c r="C3966" t="s">
        <v>253</v>
      </c>
      <c r="D3966" t="s">
        <v>689</v>
      </c>
      <c r="E3966" t="s">
        <v>768</v>
      </c>
      <c r="F3966">
        <v>3</v>
      </c>
      <c r="G3966" s="308">
        <f>'BECA SUPERIOR'!M231</f>
        <v>0</v>
      </c>
      <c r="H3966" s="308">
        <f>'BECA SUPERIOR'!N231</f>
        <v>0</v>
      </c>
    </row>
    <row r="3967" spans="1:8" x14ac:dyDescent="0.3">
      <c r="A3967" t="s">
        <v>690</v>
      </c>
      <c r="B3967" t="s">
        <v>246</v>
      </c>
      <c r="C3967" t="s">
        <v>253</v>
      </c>
      <c r="D3967" t="s">
        <v>689</v>
      </c>
      <c r="E3967" t="s">
        <v>769</v>
      </c>
      <c r="F3967">
        <v>4</v>
      </c>
      <c r="G3967" s="308">
        <f>'BECA SUPERIOR'!P231</f>
        <v>2.16</v>
      </c>
      <c r="H3967" s="308">
        <f>'BECA SUPERIOR'!Q231</f>
        <v>5400</v>
      </c>
    </row>
    <row r="3968" spans="1:8" x14ac:dyDescent="0.3">
      <c r="A3968" t="s">
        <v>690</v>
      </c>
      <c r="B3968" t="s">
        <v>246</v>
      </c>
      <c r="C3968" t="s">
        <v>253</v>
      </c>
      <c r="D3968" t="s">
        <v>689</v>
      </c>
      <c r="E3968" t="s">
        <v>770</v>
      </c>
      <c r="F3968">
        <v>5</v>
      </c>
      <c r="G3968" s="308">
        <f>'BECA SUPERIOR'!S231</f>
        <v>0</v>
      </c>
      <c r="H3968" s="308">
        <f>'BECA SUPERIOR'!T231</f>
        <v>0</v>
      </c>
    </row>
    <row r="3969" spans="1:8" x14ac:dyDescent="0.3">
      <c r="A3969" t="s">
        <v>690</v>
      </c>
      <c r="B3969" t="s">
        <v>246</v>
      </c>
      <c r="C3969" t="s">
        <v>253</v>
      </c>
      <c r="D3969" t="s">
        <v>689</v>
      </c>
      <c r="E3969" t="s">
        <v>771</v>
      </c>
      <c r="F3969">
        <v>6</v>
      </c>
      <c r="G3969" s="308">
        <f>'BECA SUPERIOR'!V231</f>
        <v>0</v>
      </c>
      <c r="H3969" s="308">
        <f>'BECA SUPERIOR'!W231</f>
        <v>0</v>
      </c>
    </row>
    <row r="3970" spans="1:8" x14ac:dyDescent="0.3">
      <c r="A3970" t="s">
        <v>690</v>
      </c>
      <c r="B3970" t="s">
        <v>246</v>
      </c>
      <c r="C3970" t="s">
        <v>253</v>
      </c>
      <c r="D3970" t="s">
        <v>689</v>
      </c>
      <c r="E3970" t="s">
        <v>772</v>
      </c>
      <c r="F3970">
        <v>7</v>
      </c>
      <c r="G3970" s="308">
        <f>'BECA SUPERIOR'!Y231</f>
        <v>0</v>
      </c>
      <c r="H3970" s="308">
        <f>'BECA SUPERIOR'!Z231</f>
        <v>0</v>
      </c>
    </row>
    <row r="3971" spans="1:8" x14ac:dyDescent="0.3">
      <c r="A3971" t="s">
        <v>690</v>
      </c>
      <c r="B3971" t="s">
        <v>246</v>
      </c>
      <c r="C3971" t="s">
        <v>254</v>
      </c>
      <c r="D3971" t="s">
        <v>689</v>
      </c>
      <c r="E3971" t="s">
        <v>766</v>
      </c>
      <c r="F3971">
        <v>1</v>
      </c>
      <c r="G3971" s="308">
        <f>'BECA SUPERIOR'!G232</f>
        <v>0</v>
      </c>
      <c r="H3971" s="308">
        <f>'BECA SUPERIOR'!H232</f>
        <v>0</v>
      </c>
    </row>
    <row r="3972" spans="1:8" x14ac:dyDescent="0.3">
      <c r="A3972" t="s">
        <v>690</v>
      </c>
      <c r="B3972" t="s">
        <v>246</v>
      </c>
      <c r="C3972" t="s">
        <v>254</v>
      </c>
      <c r="D3972" t="s">
        <v>689</v>
      </c>
      <c r="E3972" t="s">
        <v>767</v>
      </c>
      <c r="F3972">
        <v>2</v>
      </c>
      <c r="G3972" s="308">
        <f>'BECA SUPERIOR'!J232</f>
        <v>0</v>
      </c>
      <c r="H3972" s="308">
        <f>'BECA SUPERIOR'!K232</f>
        <v>0</v>
      </c>
    </row>
    <row r="3973" spans="1:8" x14ac:dyDescent="0.3">
      <c r="A3973" t="s">
        <v>690</v>
      </c>
      <c r="B3973" t="s">
        <v>246</v>
      </c>
      <c r="C3973" t="s">
        <v>254</v>
      </c>
      <c r="D3973" t="s">
        <v>689</v>
      </c>
      <c r="E3973" t="s">
        <v>768</v>
      </c>
      <c r="F3973">
        <v>3</v>
      </c>
      <c r="G3973" s="308">
        <f>'BECA SUPERIOR'!M232</f>
        <v>0</v>
      </c>
      <c r="H3973" s="308">
        <f>'BECA SUPERIOR'!N232</f>
        <v>0</v>
      </c>
    </row>
    <row r="3974" spans="1:8" x14ac:dyDescent="0.3">
      <c r="A3974" t="s">
        <v>690</v>
      </c>
      <c r="B3974" t="s">
        <v>246</v>
      </c>
      <c r="C3974" t="s">
        <v>254</v>
      </c>
      <c r="D3974" t="s">
        <v>689</v>
      </c>
      <c r="E3974" t="s">
        <v>769</v>
      </c>
      <c r="F3974">
        <v>4</v>
      </c>
      <c r="G3974" s="308">
        <f>'BECA SUPERIOR'!P232</f>
        <v>2.88</v>
      </c>
      <c r="H3974" s="308">
        <f>'BECA SUPERIOR'!Q232</f>
        <v>7200</v>
      </c>
    </row>
    <row r="3975" spans="1:8" x14ac:dyDescent="0.3">
      <c r="A3975" t="s">
        <v>690</v>
      </c>
      <c r="B3975" t="s">
        <v>246</v>
      </c>
      <c r="C3975" t="s">
        <v>254</v>
      </c>
      <c r="D3975" t="s">
        <v>689</v>
      </c>
      <c r="E3975" t="s">
        <v>770</v>
      </c>
      <c r="F3975">
        <v>5</v>
      </c>
      <c r="G3975" s="308">
        <f>'BECA SUPERIOR'!S232</f>
        <v>0</v>
      </c>
      <c r="H3975" s="308">
        <f>'BECA SUPERIOR'!T232</f>
        <v>0</v>
      </c>
    </row>
    <row r="3976" spans="1:8" x14ac:dyDescent="0.3">
      <c r="A3976" t="s">
        <v>690</v>
      </c>
      <c r="B3976" t="s">
        <v>246</v>
      </c>
      <c r="C3976" t="s">
        <v>254</v>
      </c>
      <c r="D3976" t="s">
        <v>689</v>
      </c>
      <c r="E3976" t="s">
        <v>771</v>
      </c>
      <c r="F3976">
        <v>6</v>
      </c>
      <c r="G3976" s="308">
        <f>'BECA SUPERIOR'!V232</f>
        <v>0</v>
      </c>
      <c r="H3976" s="308">
        <f>'BECA SUPERIOR'!W232</f>
        <v>0</v>
      </c>
    </row>
    <row r="3977" spans="1:8" x14ac:dyDescent="0.3">
      <c r="A3977" t="s">
        <v>690</v>
      </c>
      <c r="B3977" t="s">
        <v>246</v>
      </c>
      <c r="C3977" t="s">
        <v>254</v>
      </c>
      <c r="D3977" t="s">
        <v>689</v>
      </c>
      <c r="E3977" t="s">
        <v>772</v>
      </c>
      <c r="F3977">
        <v>7</v>
      </c>
      <c r="G3977" s="308">
        <f>'BECA SUPERIOR'!Y232</f>
        <v>0</v>
      </c>
      <c r="H3977" s="308">
        <f>'BECA SUPERIOR'!Z232</f>
        <v>0</v>
      </c>
    </row>
    <row r="3978" spans="1:8" x14ac:dyDescent="0.3">
      <c r="A3978" t="s">
        <v>690</v>
      </c>
      <c r="B3978" t="s">
        <v>246</v>
      </c>
      <c r="C3978" t="s">
        <v>255</v>
      </c>
      <c r="D3978" t="s">
        <v>689</v>
      </c>
      <c r="E3978" t="s">
        <v>766</v>
      </c>
      <c r="F3978">
        <v>1</v>
      </c>
      <c r="G3978" s="308">
        <f>'BECA SUPERIOR'!G233</f>
        <v>0</v>
      </c>
      <c r="H3978" s="308">
        <f>'BECA SUPERIOR'!H233</f>
        <v>0</v>
      </c>
    </row>
    <row r="3979" spans="1:8" x14ac:dyDescent="0.3">
      <c r="A3979" t="s">
        <v>690</v>
      </c>
      <c r="B3979" t="s">
        <v>246</v>
      </c>
      <c r="C3979" t="s">
        <v>255</v>
      </c>
      <c r="D3979" t="s">
        <v>689</v>
      </c>
      <c r="E3979" t="s">
        <v>767</v>
      </c>
      <c r="F3979">
        <v>2</v>
      </c>
      <c r="G3979" s="308">
        <f>'BECA SUPERIOR'!J233</f>
        <v>0</v>
      </c>
      <c r="H3979" s="308">
        <f>'BECA SUPERIOR'!K233</f>
        <v>0</v>
      </c>
    </row>
    <row r="3980" spans="1:8" x14ac:dyDescent="0.3">
      <c r="A3980" t="s">
        <v>690</v>
      </c>
      <c r="B3980" t="s">
        <v>246</v>
      </c>
      <c r="C3980" t="s">
        <v>255</v>
      </c>
      <c r="D3980" t="s">
        <v>689</v>
      </c>
      <c r="E3980" t="s">
        <v>768</v>
      </c>
      <c r="F3980">
        <v>3</v>
      </c>
      <c r="G3980" s="308">
        <f>'BECA SUPERIOR'!M233</f>
        <v>0</v>
      </c>
      <c r="H3980" s="308">
        <f>'BECA SUPERIOR'!N233</f>
        <v>0</v>
      </c>
    </row>
    <row r="3981" spans="1:8" x14ac:dyDescent="0.3">
      <c r="A3981" t="s">
        <v>690</v>
      </c>
      <c r="B3981" t="s">
        <v>246</v>
      </c>
      <c r="C3981" t="s">
        <v>255</v>
      </c>
      <c r="D3981" t="s">
        <v>689</v>
      </c>
      <c r="E3981" t="s">
        <v>769</v>
      </c>
      <c r="F3981">
        <v>4</v>
      </c>
      <c r="G3981" s="308">
        <f>'BECA SUPERIOR'!P233</f>
        <v>2.16</v>
      </c>
      <c r="H3981" s="308">
        <f>'BECA SUPERIOR'!Q233</f>
        <v>5400</v>
      </c>
    </row>
    <row r="3982" spans="1:8" x14ac:dyDescent="0.3">
      <c r="A3982" t="s">
        <v>690</v>
      </c>
      <c r="B3982" t="s">
        <v>246</v>
      </c>
      <c r="C3982" t="s">
        <v>255</v>
      </c>
      <c r="D3982" t="s">
        <v>689</v>
      </c>
      <c r="E3982" t="s">
        <v>770</v>
      </c>
      <c r="F3982">
        <v>5</v>
      </c>
      <c r="G3982" s="308">
        <f>'BECA SUPERIOR'!S233</f>
        <v>0</v>
      </c>
      <c r="H3982" s="308">
        <f>'BECA SUPERIOR'!T233</f>
        <v>0</v>
      </c>
    </row>
    <row r="3983" spans="1:8" x14ac:dyDescent="0.3">
      <c r="A3983" t="s">
        <v>690</v>
      </c>
      <c r="B3983" t="s">
        <v>246</v>
      </c>
      <c r="C3983" t="s">
        <v>255</v>
      </c>
      <c r="D3983" t="s">
        <v>689</v>
      </c>
      <c r="E3983" t="s">
        <v>771</v>
      </c>
      <c r="F3983">
        <v>6</v>
      </c>
      <c r="G3983" s="308">
        <f>'BECA SUPERIOR'!V233</f>
        <v>0</v>
      </c>
      <c r="H3983" s="308">
        <f>'BECA SUPERIOR'!W233</f>
        <v>0</v>
      </c>
    </row>
    <row r="3984" spans="1:8" x14ac:dyDescent="0.3">
      <c r="A3984" t="s">
        <v>690</v>
      </c>
      <c r="B3984" t="s">
        <v>246</v>
      </c>
      <c r="C3984" t="s">
        <v>255</v>
      </c>
      <c r="D3984" t="s">
        <v>689</v>
      </c>
      <c r="E3984" t="s">
        <v>772</v>
      </c>
      <c r="F3984">
        <v>7</v>
      </c>
      <c r="G3984" s="308">
        <f>'BECA SUPERIOR'!Y233</f>
        <v>0</v>
      </c>
      <c r="H3984" s="308">
        <f>'BECA SUPERIOR'!Z233</f>
        <v>0</v>
      </c>
    </row>
    <row r="3985" spans="1:8" x14ac:dyDescent="0.3">
      <c r="A3985" t="s">
        <v>690</v>
      </c>
      <c r="B3985" t="s">
        <v>246</v>
      </c>
      <c r="C3985" t="s">
        <v>256</v>
      </c>
      <c r="D3985" t="s">
        <v>689</v>
      </c>
      <c r="E3985" t="s">
        <v>766</v>
      </c>
      <c r="F3985">
        <v>1</v>
      </c>
      <c r="G3985" s="308">
        <f>'BECA SUPERIOR'!G234</f>
        <v>0</v>
      </c>
      <c r="H3985" s="308">
        <f>'BECA SUPERIOR'!H234</f>
        <v>0</v>
      </c>
    </row>
    <row r="3986" spans="1:8" x14ac:dyDescent="0.3">
      <c r="A3986" t="s">
        <v>690</v>
      </c>
      <c r="B3986" t="s">
        <v>246</v>
      </c>
      <c r="C3986" t="s">
        <v>256</v>
      </c>
      <c r="D3986" t="s">
        <v>689</v>
      </c>
      <c r="E3986" t="s">
        <v>767</v>
      </c>
      <c r="F3986">
        <v>2</v>
      </c>
      <c r="G3986" s="308">
        <f>'BECA SUPERIOR'!J234</f>
        <v>0</v>
      </c>
      <c r="H3986" s="308">
        <f>'BECA SUPERIOR'!K234</f>
        <v>0</v>
      </c>
    </row>
    <row r="3987" spans="1:8" x14ac:dyDescent="0.3">
      <c r="A3987" t="s">
        <v>690</v>
      </c>
      <c r="B3987" t="s">
        <v>246</v>
      </c>
      <c r="C3987" t="s">
        <v>256</v>
      </c>
      <c r="D3987" t="s">
        <v>689</v>
      </c>
      <c r="E3987" t="s">
        <v>768</v>
      </c>
      <c r="F3987">
        <v>3</v>
      </c>
      <c r="G3987" s="308">
        <f>'BECA SUPERIOR'!M234</f>
        <v>0</v>
      </c>
      <c r="H3987" s="308">
        <f>'BECA SUPERIOR'!N234</f>
        <v>0</v>
      </c>
    </row>
    <row r="3988" spans="1:8" x14ac:dyDescent="0.3">
      <c r="A3988" t="s">
        <v>690</v>
      </c>
      <c r="B3988" t="s">
        <v>246</v>
      </c>
      <c r="C3988" t="s">
        <v>256</v>
      </c>
      <c r="D3988" t="s">
        <v>689</v>
      </c>
      <c r="E3988" t="s">
        <v>769</v>
      </c>
      <c r="F3988">
        <v>4</v>
      </c>
      <c r="G3988" s="308">
        <f>'BECA SUPERIOR'!P234</f>
        <v>2.16</v>
      </c>
      <c r="H3988" s="308">
        <f>'BECA SUPERIOR'!Q234</f>
        <v>5400</v>
      </c>
    </row>
    <row r="3989" spans="1:8" x14ac:dyDescent="0.3">
      <c r="A3989" t="s">
        <v>690</v>
      </c>
      <c r="B3989" t="s">
        <v>246</v>
      </c>
      <c r="C3989" t="s">
        <v>256</v>
      </c>
      <c r="D3989" t="s">
        <v>689</v>
      </c>
      <c r="E3989" t="s">
        <v>770</v>
      </c>
      <c r="F3989">
        <v>5</v>
      </c>
      <c r="G3989" s="308">
        <f>'BECA SUPERIOR'!S234</f>
        <v>0</v>
      </c>
      <c r="H3989" s="308">
        <f>'BECA SUPERIOR'!T234</f>
        <v>0</v>
      </c>
    </row>
    <row r="3990" spans="1:8" x14ac:dyDescent="0.3">
      <c r="A3990" t="s">
        <v>690</v>
      </c>
      <c r="B3990" t="s">
        <v>246</v>
      </c>
      <c r="C3990" t="s">
        <v>256</v>
      </c>
      <c r="D3990" t="s">
        <v>689</v>
      </c>
      <c r="E3990" t="s">
        <v>771</v>
      </c>
      <c r="F3990">
        <v>6</v>
      </c>
      <c r="G3990" s="308">
        <f>'BECA SUPERIOR'!V234</f>
        <v>0</v>
      </c>
      <c r="H3990" s="308">
        <f>'BECA SUPERIOR'!W234</f>
        <v>0</v>
      </c>
    </row>
    <row r="3991" spans="1:8" x14ac:dyDescent="0.3">
      <c r="A3991" t="s">
        <v>690</v>
      </c>
      <c r="B3991" t="s">
        <v>246</v>
      </c>
      <c r="C3991" t="s">
        <v>256</v>
      </c>
      <c r="D3991" t="s">
        <v>689</v>
      </c>
      <c r="E3991" t="s">
        <v>772</v>
      </c>
      <c r="F3991">
        <v>7</v>
      </c>
      <c r="G3991" s="308">
        <f>'BECA SUPERIOR'!Y234</f>
        <v>0</v>
      </c>
      <c r="H3991" s="308">
        <f>'BECA SUPERIOR'!Z234</f>
        <v>0</v>
      </c>
    </row>
    <row r="3992" spans="1:8" x14ac:dyDescent="0.3">
      <c r="A3992" t="s">
        <v>690</v>
      </c>
      <c r="B3992" t="s">
        <v>246</v>
      </c>
      <c r="C3992" t="s">
        <v>257</v>
      </c>
      <c r="D3992" t="s">
        <v>689</v>
      </c>
      <c r="E3992" t="s">
        <v>766</v>
      </c>
      <c r="F3992">
        <v>1</v>
      </c>
      <c r="G3992" s="308">
        <f>'BECA SUPERIOR'!G235</f>
        <v>0</v>
      </c>
      <c r="H3992" s="308">
        <f>'BECA SUPERIOR'!H235</f>
        <v>0</v>
      </c>
    </row>
    <row r="3993" spans="1:8" x14ac:dyDescent="0.3">
      <c r="A3993" t="s">
        <v>690</v>
      </c>
      <c r="B3993" t="s">
        <v>246</v>
      </c>
      <c r="C3993" t="s">
        <v>257</v>
      </c>
      <c r="D3993" t="s">
        <v>689</v>
      </c>
      <c r="E3993" t="s">
        <v>767</v>
      </c>
      <c r="F3993">
        <v>2</v>
      </c>
      <c r="G3993" s="308">
        <f>'BECA SUPERIOR'!J235</f>
        <v>0</v>
      </c>
      <c r="H3993" s="308">
        <f>'BECA SUPERIOR'!K235</f>
        <v>0</v>
      </c>
    </row>
    <row r="3994" spans="1:8" x14ac:dyDescent="0.3">
      <c r="A3994" t="s">
        <v>690</v>
      </c>
      <c r="B3994" t="s">
        <v>246</v>
      </c>
      <c r="C3994" t="s">
        <v>257</v>
      </c>
      <c r="D3994" t="s">
        <v>689</v>
      </c>
      <c r="E3994" t="s">
        <v>768</v>
      </c>
      <c r="F3994">
        <v>3</v>
      </c>
      <c r="G3994" s="308">
        <f>'BECA SUPERIOR'!M235</f>
        <v>0</v>
      </c>
      <c r="H3994" s="308">
        <f>'BECA SUPERIOR'!N235</f>
        <v>0</v>
      </c>
    </row>
    <row r="3995" spans="1:8" x14ac:dyDescent="0.3">
      <c r="A3995" t="s">
        <v>690</v>
      </c>
      <c r="B3995" t="s">
        <v>246</v>
      </c>
      <c r="C3995" t="s">
        <v>257</v>
      </c>
      <c r="D3995" t="s">
        <v>689</v>
      </c>
      <c r="E3995" t="s">
        <v>769</v>
      </c>
      <c r="F3995">
        <v>4</v>
      </c>
      <c r="G3995" s="308">
        <f>'BECA SUPERIOR'!P235</f>
        <v>2.88</v>
      </c>
      <c r="H3995" s="308">
        <f>'BECA SUPERIOR'!Q235</f>
        <v>7200</v>
      </c>
    </row>
    <row r="3996" spans="1:8" x14ac:dyDescent="0.3">
      <c r="A3996" t="s">
        <v>690</v>
      </c>
      <c r="B3996" t="s">
        <v>246</v>
      </c>
      <c r="C3996" t="s">
        <v>257</v>
      </c>
      <c r="D3996" t="s">
        <v>689</v>
      </c>
      <c r="E3996" t="s">
        <v>770</v>
      </c>
      <c r="F3996">
        <v>5</v>
      </c>
      <c r="G3996" s="308">
        <f>'BECA SUPERIOR'!S235</f>
        <v>0</v>
      </c>
      <c r="H3996" s="308">
        <f>'BECA SUPERIOR'!T235</f>
        <v>0</v>
      </c>
    </row>
    <row r="3997" spans="1:8" x14ac:dyDescent="0.3">
      <c r="A3997" t="s">
        <v>690</v>
      </c>
      <c r="B3997" t="s">
        <v>246</v>
      </c>
      <c r="C3997" t="s">
        <v>257</v>
      </c>
      <c r="D3997" t="s">
        <v>689</v>
      </c>
      <c r="E3997" t="s">
        <v>771</v>
      </c>
      <c r="F3997">
        <v>6</v>
      </c>
      <c r="G3997" s="308">
        <f>'BECA SUPERIOR'!V235</f>
        <v>0</v>
      </c>
      <c r="H3997" s="308">
        <f>'BECA SUPERIOR'!W235</f>
        <v>0</v>
      </c>
    </row>
    <row r="3998" spans="1:8" x14ac:dyDescent="0.3">
      <c r="A3998" t="s">
        <v>690</v>
      </c>
      <c r="B3998" t="s">
        <v>246</v>
      </c>
      <c r="C3998" t="s">
        <v>257</v>
      </c>
      <c r="D3998" t="s">
        <v>689</v>
      </c>
      <c r="E3998" t="s">
        <v>772</v>
      </c>
      <c r="F3998">
        <v>7</v>
      </c>
      <c r="G3998" s="308">
        <f>'BECA SUPERIOR'!Y235</f>
        <v>0</v>
      </c>
      <c r="H3998" s="308">
        <f>'BECA SUPERIOR'!Z235</f>
        <v>0</v>
      </c>
    </row>
    <row r="3999" spans="1:8" x14ac:dyDescent="0.3">
      <c r="A3999" t="s">
        <v>690</v>
      </c>
      <c r="B3999" t="s">
        <v>246</v>
      </c>
      <c r="C3999" t="s">
        <v>258</v>
      </c>
      <c r="D3999" t="s">
        <v>689</v>
      </c>
      <c r="E3999" t="s">
        <v>766</v>
      </c>
      <c r="F3999">
        <v>1</v>
      </c>
      <c r="G3999" s="308">
        <f>'BECA SUPERIOR'!G236</f>
        <v>0</v>
      </c>
      <c r="H3999" s="308">
        <f>'BECA SUPERIOR'!H236</f>
        <v>0</v>
      </c>
    </row>
    <row r="4000" spans="1:8" x14ac:dyDescent="0.3">
      <c r="A4000" t="s">
        <v>690</v>
      </c>
      <c r="B4000" t="s">
        <v>246</v>
      </c>
      <c r="C4000" t="s">
        <v>258</v>
      </c>
      <c r="D4000" t="s">
        <v>689</v>
      </c>
      <c r="E4000" t="s">
        <v>767</v>
      </c>
      <c r="F4000">
        <v>2</v>
      </c>
      <c r="G4000" s="308">
        <f>'BECA SUPERIOR'!J236</f>
        <v>0</v>
      </c>
      <c r="H4000" s="308">
        <f>'BECA SUPERIOR'!K236</f>
        <v>0</v>
      </c>
    </row>
    <row r="4001" spans="1:8" x14ac:dyDescent="0.3">
      <c r="A4001" t="s">
        <v>690</v>
      </c>
      <c r="B4001" t="s">
        <v>246</v>
      </c>
      <c r="C4001" t="s">
        <v>258</v>
      </c>
      <c r="D4001" t="s">
        <v>689</v>
      </c>
      <c r="E4001" t="s">
        <v>768</v>
      </c>
      <c r="F4001">
        <v>3</v>
      </c>
      <c r="G4001" s="308">
        <f>'BECA SUPERIOR'!M236</f>
        <v>0</v>
      </c>
      <c r="H4001" s="308">
        <f>'BECA SUPERIOR'!N236</f>
        <v>0</v>
      </c>
    </row>
    <row r="4002" spans="1:8" x14ac:dyDescent="0.3">
      <c r="A4002" t="s">
        <v>690</v>
      </c>
      <c r="B4002" t="s">
        <v>246</v>
      </c>
      <c r="C4002" t="s">
        <v>258</v>
      </c>
      <c r="D4002" t="s">
        <v>689</v>
      </c>
      <c r="E4002" t="s">
        <v>769</v>
      </c>
      <c r="F4002">
        <v>4</v>
      </c>
      <c r="G4002" s="308">
        <f>'BECA SUPERIOR'!P236</f>
        <v>2.88</v>
      </c>
      <c r="H4002" s="308">
        <f>'BECA SUPERIOR'!Q236</f>
        <v>7200</v>
      </c>
    </row>
    <row r="4003" spans="1:8" x14ac:dyDescent="0.3">
      <c r="A4003" t="s">
        <v>690</v>
      </c>
      <c r="B4003" t="s">
        <v>246</v>
      </c>
      <c r="C4003" t="s">
        <v>258</v>
      </c>
      <c r="D4003" t="s">
        <v>689</v>
      </c>
      <c r="E4003" t="s">
        <v>770</v>
      </c>
      <c r="F4003">
        <v>5</v>
      </c>
      <c r="G4003" s="308">
        <f>'BECA SUPERIOR'!S236</f>
        <v>0</v>
      </c>
      <c r="H4003" s="308">
        <f>'BECA SUPERIOR'!T236</f>
        <v>0</v>
      </c>
    </row>
    <row r="4004" spans="1:8" x14ac:dyDescent="0.3">
      <c r="A4004" t="s">
        <v>690</v>
      </c>
      <c r="B4004" t="s">
        <v>246</v>
      </c>
      <c r="C4004" t="s">
        <v>258</v>
      </c>
      <c r="D4004" t="s">
        <v>689</v>
      </c>
      <c r="E4004" t="s">
        <v>771</v>
      </c>
      <c r="F4004">
        <v>6</v>
      </c>
      <c r="G4004" s="308">
        <f>'BECA SUPERIOR'!V236</f>
        <v>0</v>
      </c>
      <c r="H4004" s="308">
        <f>'BECA SUPERIOR'!W236</f>
        <v>0</v>
      </c>
    </row>
    <row r="4005" spans="1:8" x14ac:dyDescent="0.3">
      <c r="A4005" t="s">
        <v>690</v>
      </c>
      <c r="B4005" t="s">
        <v>246</v>
      </c>
      <c r="C4005" t="s">
        <v>258</v>
      </c>
      <c r="D4005" t="s">
        <v>689</v>
      </c>
      <c r="E4005" t="s">
        <v>772</v>
      </c>
      <c r="F4005">
        <v>7</v>
      </c>
      <c r="G4005" s="308">
        <f>'BECA SUPERIOR'!Y236</f>
        <v>0</v>
      </c>
      <c r="H4005" s="308">
        <f>'BECA SUPERIOR'!Z236</f>
        <v>0</v>
      </c>
    </row>
    <row r="4006" spans="1:8" x14ac:dyDescent="0.3">
      <c r="A4006" t="s">
        <v>690</v>
      </c>
      <c r="B4006" t="s">
        <v>246</v>
      </c>
      <c r="C4006" t="s">
        <v>259</v>
      </c>
      <c r="D4006" t="s">
        <v>689</v>
      </c>
      <c r="E4006" t="s">
        <v>766</v>
      </c>
      <c r="F4006">
        <v>1</v>
      </c>
      <c r="G4006" s="308">
        <f>'BECA SUPERIOR'!G237</f>
        <v>0</v>
      </c>
      <c r="H4006" s="308">
        <f>'BECA SUPERIOR'!H237</f>
        <v>0</v>
      </c>
    </row>
    <row r="4007" spans="1:8" x14ac:dyDescent="0.3">
      <c r="A4007" t="s">
        <v>690</v>
      </c>
      <c r="B4007" t="s">
        <v>246</v>
      </c>
      <c r="C4007" t="s">
        <v>259</v>
      </c>
      <c r="D4007" t="s">
        <v>689</v>
      </c>
      <c r="E4007" t="s">
        <v>767</v>
      </c>
      <c r="F4007">
        <v>2</v>
      </c>
      <c r="G4007" s="308">
        <f>'BECA SUPERIOR'!J237</f>
        <v>0</v>
      </c>
      <c r="H4007" s="308">
        <f>'BECA SUPERIOR'!K237</f>
        <v>0</v>
      </c>
    </row>
    <row r="4008" spans="1:8" x14ac:dyDescent="0.3">
      <c r="A4008" t="s">
        <v>690</v>
      </c>
      <c r="B4008" t="s">
        <v>246</v>
      </c>
      <c r="C4008" t="s">
        <v>259</v>
      </c>
      <c r="D4008" t="s">
        <v>689</v>
      </c>
      <c r="E4008" t="s">
        <v>768</v>
      </c>
      <c r="F4008">
        <v>3</v>
      </c>
      <c r="G4008" s="308">
        <f>'BECA SUPERIOR'!M237</f>
        <v>0</v>
      </c>
      <c r="H4008" s="308">
        <f>'BECA SUPERIOR'!N237</f>
        <v>0</v>
      </c>
    </row>
    <row r="4009" spans="1:8" x14ac:dyDescent="0.3">
      <c r="A4009" t="s">
        <v>690</v>
      </c>
      <c r="B4009" t="s">
        <v>246</v>
      </c>
      <c r="C4009" t="s">
        <v>259</v>
      </c>
      <c r="D4009" t="s">
        <v>689</v>
      </c>
      <c r="E4009" t="s">
        <v>769</v>
      </c>
      <c r="F4009">
        <v>4</v>
      </c>
      <c r="G4009" s="308">
        <f>'BECA SUPERIOR'!P237</f>
        <v>0.72</v>
      </c>
      <c r="H4009" s="308">
        <f>'BECA SUPERIOR'!Q237</f>
        <v>1800</v>
      </c>
    </row>
    <row r="4010" spans="1:8" x14ac:dyDescent="0.3">
      <c r="A4010" t="s">
        <v>690</v>
      </c>
      <c r="B4010" t="s">
        <v>246</v>
      </c>
      <c r="C4010" t="s">
        <v>259</v>
      </c>
      <c r="D4010" t="s">
        <v>689</v>
      </c>
      <c r="E4010" t="s">
        <v>770</v>
      </c>
      <c r="F4010">
        <v>5</v>
      </c>
      <c r="G4010" s="308">
        <f>'BECA SUPERIOR'!S237</f>
        <v>0</v>
      </c>
      <c r="H4010" s="308">
        <f>'BECA SUPERIOR'!T237</f>
        <v>0</v>
      </c>
    </row>
    <row r="4011" spans="1:8" x14ac:dyDescent="0.3">
      <c r="A4011" t="s">
        <v>690</v>
      </c>
      <c r="B4011" t="s">
        <v>246</v>
      </c>
      <c r="C4011" t="s">
        <v>259</v>
      </c>
      <c r="D4011" t="s">
        <v>689</v>
      </c>
      <c r="E4011" t="s">
        <v>771</v>
      </c>
      <c r="F4011">
        <v>6</v>
      </c>
      <c r="G4011" s="308">
        <f>'BECA SUPERIOR'!V237</f>
        <v>0</v>
      </c>
      <c r="H4011" s="308">
        <f>'BECA SUPERIOR'!W237</f>
        <v>0</v>
      </c>
    </row>
    <row r="4012" spans="1:8" x14ac:dyDescent="0.3">
      <c r="A4012" t="s">
        <v>690</v>
      </c>
      <c r="B4012" t="s">
        <v>246</v>
      </c>
      <c r="C4012" t="s">
        <v>259</v>
      </c>
      <c r="D4012" t="s">
        <v>689</v>
      </c>
      <c r="E4012" t="s">
        <v>772</v>
      </c>
      <c r="F4012">
        <v>7</v>
      </c>
      <c r="G4012" s="308">
        <f>'BECA SUPERIOR'!Y237</f>
        <v>0</v>
      </c>
      <c r="H4012" s="308">
        <f>'BECA SUPERIOR'!Z237</f>
        <v>0</v>
      </c>
    </row>
    <row r="4013" spans="1:8" x14ac:dyDescent="0.3">
      <c r="A4013" t="s">
        <v>690</v>
      </c>
      <c r="B4013" t="s">
        <v>246</v>
      </c>
      <c r="C4013" t="s">
        <v>260</v>
      </c>
      <c r="D4013" t="s">
        <v>689</v>
      </c>
      <c r="E4013" t="s">
        <v>766</v>
      </c>
      <c r="F4013">
        <v>1</v>
      </c>
      <c r="G4013" s="308">
        <f>'BECA SUPERIOR'!G238</f>
        <v>0</v>
      </c>
      <c r="H4013" s="308">
        <f>'BECA SUPERIOR'!H238</f>
        <v>0</v>
      </c>
    </row>
    <row r="4014" spans="1:8" x14ac:dyDescent="0.3">
      <c r="A4014" t="s">
        <v>690</v>
      </c>
      <c r="B4014" t="s">
        <v>246</v>
      </c>
      <c r="C4014" t="s">
        <v>260</v>
      </c>
      <c r="D4014" t="s">
        <v>689</v>
      </c>
      <c r="E4014" t="s">
        <v>767</v>
      </c>
      <c r="F4014">
        <v>2</v>
      </c>
      <c r="G4014" s="308">
        <f>'BECA SUPERIOR'!J238</f>
        <v>0</v>
      </c>
      <c r="H4014" s="308">
        <f>'BECA SUPERIOR'!K238</f>
        <v>0</v>
      </c>
    </row>
    <row r="4015" spans="1:8" x14ac:dyDescent="0.3">
      <c r="A4015" t="s">
        <v>690</v>
      </c>
      <c r="B4015" t="s">
        <v>246</v>
      </c>
      <c r="C4015" t="s">
        <v>260</v>
      </c>
      <c r="D4015" t="s">
        <v>689</v>
      </c>
      <c r="E4015" t="s">
        <v>768</v>
      </c>
      <c r="F4015">
        <v>3</v>
      </c>
      <c r="G4015" s="308">
        <f>'BECA SUPERIOR'!M238</f>
        <v>0</v>
      </c>
      <c r="H4015" s="308">
        <f>'BECA SUPERIOR'!N238</f>
        <v>0</v>
      </c>
    </row>
    <row r="4016" spans="1:8" x14ac:dyDescent="0.3">
      <c r="A4016" t="s">
        <v>690</v>
      </c>
      <c r="B4016" t="s">
        <v>246</v>
      </c>
      <c r="C4016" t="s">
        <v>260</v>
      </c>
      <c r="D4016" t="s">
        <v>689</v>
      </c>
      <c r="E4016" t="s">
        <v>769</v>
      </c>
      <c r="F4016">
        <v>4</v>
      </c>
      <c r="G4016" s="308">
        <f>'BECA SUPERIOR'!P238</f>
        <v>2.16</v>
      </c>
      <c r="H4016" s="308">
        <f>'BECA SUPERIOR'!Q238</f>
        <v>5400</v>
      </c>
    </row>
    <row r="4017" spans="1:8" x14ac:dyDescent="0.3">
      <c r="A4017" t="s">
        <v>690</v>
      </c>
      <c r="B4017" t="s">
        <v>246</v>
      </c>
      <c r="C4017" t="s">
        <v>260</v>
      </c>
      <c r="D4017" t="s">
        <v>689</v>
      </c>
      <c r="E4017" t="s">
        <v>770</v>
      </c>
      <c r="F4017">
        <v>5</v>
      </c>
      <c r="G4017" s="308">
        <f>'BECA SUPERIOR'!S238</f>
        <v>0</v>
      </c>
      <c r="H4017" s="308">
        <f>'BECA SUPERIOR'!T238</f>
        <v>0</v>
      </c>
    </row>
    <row r="4018" spans="1:8" x14ac:dyDescent="0.3">
      <c r="A4018" t="s">
        <v>690</v>
      </c>
      <c r="B4018" t="s">
        <v>246</v>
      </c>
      <c r="C4018" t="s">
        <v>260</v>
      </c>
      <c r="D4018" t="s">
        <v>689</v>
      </c>
      <c r="E4018" t="s">
        <v>771</v>
      </c>
      <c r="F4018">
        <v>6</v>
      </c>
      <c r="G4018" s="308">
        <f>'BECA SUPERIOR'!V238</f>
        <v>0</v>
      </c>
      <c r="H4018" s="308">
        <f>'BECA SUPERIOR'!W238</f>
        <v>0</v>
      </c>
    </row>
    <row r="4019" spans="1:8" x14ac:dyDescent="0.3">
      <c r="A4019" t="s">
        <v>690</v>
      </c>
      <c r="B4019" t="s">
        <v>246</v>
      </c>
      <c r="C4019" t="s">
        <v>260</v>
      </c>
      <c r="D4019" t="s">
        <v>689</v>
      </c>
      <c r="E4019" t="s">
        <v>772</v>
      </c>
      <c r="F4019">
        <v>7</v>
      </c>
      <c r="G4019" s="308">
        <f>'BECA SUPERIOR'!Y238</f>
        <v>0</v>
      </c>
      <c r="H4019" s="308">
        <f>'BECA SUPERIOR'!Z238</f>
        <v>0</v>
      </c>
    </row>
    <row r="4020" spans="1:8" x14ac:dyDescent="0.3">
      <c r="A4020" t="s">
        <v>690</v>
      </c>
      <c r="B4020" t="s">
        <v>246</v>
      </c>
      <c r="C4020" t="s">
        <v>261</v>
      </c>
      <c r="D4020" t="s">
        <v>689</v>
      </c>
      <c r="E4020" t="s">
        <v>766</v>
      </c>
      <c r="F4020">
        <v>1</v>
      </c>
      <c r="G4020" s="308">
        <f>'BECA SUPERIOR'!G239</f>
        <v>0</v>
      </c>
      <c r="H4020" s="308">
        <f>'BECA SUPERIOR'!H239</f>
        <v>0</v>
      </c>
    </row>
    <row r="4021" spans="1:8" x14ac:dyDescent="0.3">
      <c r="A4021" t="s">
        <v>690</v>
      </c>
      <c r="B4021" t="s">
        <v>246</v>
      </c>
      <c r="C4021" t="s">
        <v>261</v>
      </c>
      <c r="D4021" t="s">
        <v>689</v>
      </c>
      <c r="E4021" t="s">
        <v>767</v>
      </c>
      <c r="F4021">
        <v>2</v>
      </c>
      <c r="G4021" s="308">
        <f>'BECA SUPERIOR'!J239</f>
        <v>0</v>
      </c>
      <c r="H4021" s="308">
        <f>'BECA SUPERIOR'!K239</f>
        <v>0</v>
      </c>
    </row>
    <row r="4022" spans="1:8" x14ac:dyDescent="0.3">
      <c r="A4022" t="s">
        <v>690</v>
      </c>
      <c r="B4022" t="s">
        <v>246</v>
      </c>
      <c r="C4022" t="s">
        <v>261</v>
      </c>
      <c r="D4022" t="s">
        <v>689</v>
      </c>
      <c r="E4022" t="s">
        <v>768</v>
      </c>
      <c r="F4022">
        <v>3</v>
      </c>
      <c r="G4022" s="308">
        <f>'BECA SUPERIOR'!M239</f>
        <v>0</v>
      </c>
      <c r="H4022" s="308">
        <f>'BECA SUPERIOR'!N239</f>
        <v>0</v>
      </c>
    </row>
    <row r="4023" spans="1:8" x14ac:dyDescent="0.3">
      <c r="A4023" t="s">
        <v>690</v>
      </c>
      <c r="B4023" t="s">
        <v>246</v>
      </c>
      <c r="C4023" t="s">
        <v>261</v>
      </c>
      <c r="D4023" t="s">
        <v>689</v>
      </c>
      <c r="E4023" t="s">
        <v>769</v>
      </c>
      <c r="F4023">
        <v>4</v>
      </c>
      <c r="G4023" s="308">
        <f>'BECA SUPERIOR'!P239</f>
        <v>2.16</v>
      </c>
      <c r="H4023" s="308">
        <f>'BECA SUPERIOR'!Q239</f>
        <v>5400</v>
      </c>
    </row>
    <row r="4024" spans="1:8" x14ac:dyDescent="0.3">
      <c r="A4024" t="s">
        <v>690</v>
      </c>
      <c r="B4024" t="s">
        <v>246</v>
      </c>
      <c r="C4024" t="s">
        <v>261</v>
      </c>
      <c r="D4024" t="s">
        <v>689</v>
      </c>
      <c r="E4024" t="s">
        <v>770</v>
      </c>
      <c r="F4024">
        <v>5</v>
      </c>
      <c r="G4024" s="308">
        <f>'BECA SUPERIOR'!S239</f>
        <v>0</v>
      </c>
      <c r="H4024" s="308">
        <f>'BECA SUPERIOR'!T239</f>
        <v>0</v>
      </c>
    </row>
    <row r="4025" spans="1:8" x14ac:dyDescent="0.3">
      <c r="A4025" t="s">
        <v>690</v>
      </c>
      <c r="B4025" t="s">
        <v>246</v>
      </c>
      <c r="C4025" t="s">
        <v>261</v>
      </c>
      <c r="D4025" t="s">
        <v>689</v>
      </c>
      <c r="E4025" t="s">
        <v>771</v>
      </c>
      <c r="F4025">
        <v>6</v>
      </c>
      <c r="G4025" s="308">
        <f>'BECA SUPERIOR'!V239</f>
        <v>0</v>
      </c>
      <c r="H4025" s="308">
        <f>'BECA SUPERIOR'!W239</f>
        <v>0</v>
      </c>
    </row>
    <row r="4026" spans="1:8" x14ac:dyDescent="0.3">
      <c r="A4026" t="s">
        <v>690</v>
      </c>
      <c r="B4026" t="s">
        <v>246</v>
      </c>
      <c r="C4026" t="s">
        <v>261</v>
      </c>
      <c r="D4026" t="s">
        <v>689</v>
      </c>
      <c r="E4026" t="s">
        <v>772</v>
      </c>
      <c r="F4026">
        <v>7</v>
      </c>
      <c r="G4026" s="308">
        <f>'BECA SUPERIOR'!Y239</f>
        <v>0</v>
      </c>
      <c r="H4026" s="308">
        <f>'BECA SUPERIOR'!Z239</f>
        <v>0</v>
      </c>
    </row>
    <row r="4027" spans="1:8" x14ac:dyDescent="0.3">
      <c r="A4027" t="s">
        <v>690</v>
      </c>
      <c r="B4027" t="s">
        <v>246</v>
      </c>
      <c r="C4027" t="s">
        <v>262</v>
      </c>
      <c r="D4027" t="s">
        <v>689</v>
      </c>
      <c r="E4027" t="s">
        <v>766</v>
      </c>
      <c r="F4027">
        <v>1</v>
      </c>
      <c r="G4027" s="308">
        <f>'BECA SUPERIOR'!G240</f>
        <v>0</v>
      </c>
      <c r="H4027" s="308">
        <f>'BECA SUPERIOR'!H240</f>
        <v>0</v>
      </c>
    </row>
    <row r="4028" spans="1:8" x14ac:dyDescent="0.3">
      <c r="A4028" t="s">
        <v>690</v>
      </c>
      <c r="B4028" t="s">
        <v>246</v>
      </c>
      <c r="C4028" t="s">
        <v>262</v>
      </c>
      <c r="D4028" t="s">
        <v>689</v>
      </c>
      <c r="E4028" t="s">
        <v>767</v>
      </c>
      <c r="F4028">
        <v>2</v>
      </c>
      <c r="G4028" s="308">
        <f>'BECA SUPERIOR'!J240</f>
        <v>0</v>
      </c>
      <c r="H4028" s="308">
        <f>'BECA SUPERIOR'!K240</f>
        <v>0</v>
      </c>
    </row>
    <row r="4029" spans="1:8" x14ac:dyDescent="0.3">
      <c r="A4029" t="s">
        <v>690</v>
      </c>
      <c r="B4029" t="s">
        <v>246</v>
      </c>
      <c r="C4029" t="s">
        <v>262</v>
      </c>
      <c r="D4029" t="s">
        <v>689</v>
      </c>
      <c r="E4029" t="s">
        <v>768</v>
      </c>
      <c r="F4029">
        <v>3</v>
      </c>
      <c r="G4029" s="308">
        <f>'BECA SUPERIOR'!M240</f>
        <v>0</v>
      </c>
      <c r="H4029" s="308">
        <f>'BECA SUPERIOR'!N240</f>
        <v>0</v>
      </c>
    </row>
    <row r="4030" spans="1:8" x14ac:dyDescent="0.3">
      <c r="A4030" t="s">
        <v>690</v>
      </c>
      <c r="B4030" t="s">
        <v>246</v>
      </c>
      <c r="C4030" t="s">
        <v>262</v>
      </c>
      <c r="D4030" t="s">
        <v>689</v>
      </c>
      <c r="E4030" t="s">
        <v>769</v>
      </c>
      <c r="F4030">
        <v>4</v>
      </c>
      <c r="G4030" s="308">
        <f>'BECA SUPERIOR'!P240</f>
        <v>4.32</v>
      </c>
      <c r="H4030" s="308">
        <f>'BECA SUPERIOR'!Q240</f>
        <v>10800</v>
      </c>
    </row>
    <row r="4031" spans="1:8" x14ac:dyDescent="0.3">
      <c r="A4031" t="s">
        <v>690</v>
      </c>
      <c r="B4031" t="s">
        <v>246</v>
      </c>
      <c r="C4031" t="s">
        <v>262</v>
      </c>
      <c r="D4031" t="s">
        <v>689</v>
      </c>
      <c r="E4031" t="s">
        <v>770</v>
      </c>
      <c r="F4031">
        <v>5</v>
      </c>
      <c r="G4031" s="308">
        <f>'BECA SUPERIOR'!S240</f>
        <v>0</v>
      </c>
      <c r="H4031" s="308">
        <f>'BECA SUPERIOR'!T240</f>
        <v>0</v>
      </c>
    </row>
    <row r="4032" spans="1:8" x14ac:dyDescent="0.3">
      <c r="A4032" t="s">
        <v>690</v>
      </c>
      <c r="B4032" t="s">
        <v>246</v>
      </c>
      <c r="C4032" t="s">
        <v>262</v>
      </c>
      <c r="D4032" t="s">
        <v>689</v>
      </c>
      <c r="E4032" t="s">
        <v>771</v>
      </c>
      <c r="F4032">
        <v>6</v>
      </c>
      <c r="G4032" s="308">
        <f>'BECA SUPERIOR'!V240</f>
        <v>0</v>
      </c>
      <c r="H4032" s="308">
        <f>'BECA SUPERIOR'!W240</f>
        <v>0</v>
      </c>
    </row>
    <row r="4033" spans="1:8" x14ac:dyDescent="0.3">
      <c r="A4033" t="s">
        <v>690</v>
      </c>
      <c r="B4033" t="s">
        <v>246</v>
      </c>
      <c r="C4033" t="s">
        <v>262</v>
      </c>
      <c r="D4033" t="s">
        <v>689</v>
      </c>
      <c r="E4033" t="s">
        <v>772</v>
      </c>
      <c r="F4033">
        <v>7</v>
      </c>
      <c r="G4033" s="308">
        <f>'BECA SUPERIOR'!Y240</f>
        <v>0</v>
      </c>
      <c r="H4033" s="308">
        <f>'BECA SUPERIOR'!Z240</f>
        <v>0</v>
      </c>
    </row>
    <row r="4034" spans="1:8" x14ac:dyDescent="0.3">
      <c r="A4034" t="s">
        <v>690</v>
      </c>
      <c r="B4034" t="s">
        <v>263</v>
      </c>
      <c r="C4034" t="s">
        <v>264</v>
      </c>
      <c r="D4034" t="s">
        <v>689</v>
      </c>
      <c r="E4034" t="s">
        <v>766</v>
      </c>
      <c r="F4034">
        <v>1</v>
      </c>
      <c r="G4034" s="308">
        <f>'BECA SUPERIOR'!G241</f>
        <v>0</v>
      </c>
      <c r="H4034" s="308">
        <f>'BECA SUPERIOR'!H241</f>
        <v>0</v>
      </c>
    </row>
    <row r="4035" spans="1:8" x14ac:dyDescent="0.3">
      <c r="A4035" t="s">
        <v>690</v>
      </c>
      <c r="B4035" t="s">
        <v>263</v>
      </c>
      <c r="C4035" t="s">
        <v>264</v>
      </c>
      <c r="D4035" t="s">
        <v>689</v>
      </c>
      <c r="E4035" t="s">
        <v>767</v>
      </c>
      <c r="F4035">
        <v>2</v>
      </c>
      <c r="G4035" s="308">
        <f>'BECA SUPERIOR'!J241</f>
        <v>0</v>
      </c>
      <c r="H4035" s="308">
        <f>'BECA SUPERIOR'!K241</f>
        <v>0</v>
      </c>
    </row>
    <row r="4036" spans="1:8" x14ac:dyDescent="0.3">
      <c r="A4036" t="s">
        <v>690</v>
      </c>
      <c r="B4036" t="s">
        <v>263</v>
      </c>
      <c r="C4036" t="s">
        <v>264</v>
      </c>
      <c r="D4036" t="s">
        <v>689</v>
      </c>
      <c r="E4036" t="s">
        <v>768</v>
      </c>
      <c r="F4036">
        <v>3</v>
      </c>
      <c r="G4036" s="308">
        <f>'BECA SUPERIOR'!M241</f>
        <v>0</v>
      </c>
      <c r="H4036" s="308">
        <f>'BECA SUPERIOR'!N241</f>
        <v>0</v>
      </c>
    </row>
    <row r="4037" spans="1:8" x14ac:dyDescent="0.3">
      <c r="A4037" t="s">
        <v>690</v>
      </c>
      <c r="B4037" t="s">
        <v>263</v>
      </c>
      <c r="C4037" t="s">
        <v>264</v>
      </c>
      <c r="D4037" t="s">
        <v>689</v>
      </c>
      <c r="E4037" t="s">
        <v>769</v>
      </c>
      <c r="F4037">
        <v>4</v>
      </c>
      <c r="G4037" s="308">
        <f>'BECA SUPERIOR'!P241</f>
        <v>1.44</v>
      </c>
      <c r="H4037" s="308">
        <f>'BECA SUPERIOR'!Q241</f>
        <v>3600</v>
      </c>
    </row>
    <row r="4038" spans="1:8" x14ac:dyDescent="0.3">
      <c r="A4038" t="s">
        <v>690</v>
      </c>
      <c r="B4038" t="s">
        <v>263</v>
      </c>
      <c r="C4038" t="s">
        <v>264</v>
      </c>
      <c r="D4038" t="s">
        <v>689</v>
      </c>
      <c r="E4038" t="s">
        <v>770</v>
      </c>
      <c r="F4038">
        <v>5</v>
      </c>
      <c r="G4038" s="308">
        <f>'BECA SUPERIOR'!S241</f>
        <v>0</v>
      </c>
      <c r="H4038" s="308">
        <f>'BECA SUPERIOR'!T241</f>
        <v>0</v>
      </c>
    </row>
    <row r="4039" spans="1:8" x14ac:dyDescent="0.3">
      <c r="A4039" t="s">
        <v>690</v>
      </c>
      <c r="B4039" t="s">
        <v>263</v>
      </c>
      <c r="C4039" t="s">
        <v>264</v>
      </c>
      <c r="D4039" t="s">
        <v>689</v>
      </c>
      <c r="E4039" t="s">
        <v>771</v>
      </c>
      <c r="F4039">
        <v>6</v>
      </c>
      <c r="G4039" s="308">
        <f>'BECA SUPERIOR'!V241</f>
        <v>0</v>
      </c>
      <c r="H4039" s="308">
        <f>'BECA SUPERIOR'!W241</f>
        <v>0</v>
      </c>
    </row>
    <row r="4040" spans="1:8" x14ac:dyDescent="0.3">
      <c r="A4040" t="s">
        <v>690</v>
      </c>
      <c r="B4040" t="s">
        <v>263</v>
      </c>
      <c r="C4040" t="s">
        <v>264</v>
      </c>
      <c r="D4040" t="s">
        <v>689</v>
      </c>
      <c r="E4040" t="s">
        <v>772</v>
      </c>
      <c r="F4040">
        <v>7</v>
      </c>
      <c r="G4040" s="308">
        <f>'BECA SUPERIOR'!Y241</f>
        <v>0</v>
      </c>
      <c r="H4040" s="308">
        <f>'BECA SUPERIOR'!Z241</f>
        <v>0</v>
      </c>
    </row>
    <row r="4041" spans="1:8" x14ac:dyDescent="0.3">
      <c r="A4041" t="s">
        <v>690</v>
      </c>
      <c r="B4041" t="s">
        <v>263</v>
      </c>
      <c r="C4041" t="s">
        <v>265</v>
      </c>
      <c r="D4041" t="s">
        <v>689</v>
      </c>
      <c r="E4041" t="s">
        <v>766</v>
      </c>
      <c r="F4041">
        <v>1</v>
      </c>
      <c r="G4041" s="308">
        <f>'BECA SUPERIOR'!G242</f>
        <v>0</v>
      </c>
      <c r="H4041" s="308">
        <f>'BECA SUPERIOR'!H242</f>
        <v>0</v>
      </c>
    </row>
    <row r="4042" spans="1:8" x14ac:dyDescent="0.3">
      <c r="A4042" t="s">
        <v>690</v>
      </c>
      <c r="B4042" t="s">
        <v>263</v>
      </c>
      <c r="C4042" t="s">
        <v>265</v>
      </c>
      <c r="D4042" t="s">
        <v>689</v>
      </c>
      <c r="E4042" t="s">
        <v>767</v>
      </c>
      <c r="F4042">
        <v>2</v>
      </c>
      <c r="G4042" s="308">
        <f>'BECA SUPERIOR'!J242</f>
        <v>0</v>
      </c>
      <c r="H4042" s="308">
        <f>'BECA SUPERIOR'!K242</f>
        <v>0</v>
      </c>
    </row>
    <row r="4043" spans="1:8" x14ac:dyDescent="0.3">
      <c r="A4043" t="s">
        <v>690</v>
      </c>
      <c r="B4043" t="s">
        <v>263</v>
      </c>
      <c r="C4043" t="s">
        <v>265</v>
      </c>
      <c r="D4043" t="s">
        <v>689</v>
      </c>
      <c r="E4043" t="s">
        <v>768</v>
      </c>
      <c r="F4043">
        <v>3</v>
      </c>
      <c r="G4043" s="308">
        <f>'BECA SUPERIOR'!M242</f>
        <v>0</v>
      </c>
      <c r="H4043" s="308">
        <f>'BECA SUPERIOR'!N242</f>
        <v>0</v>
      </c>
    </row>
    <row r="4044" spans="1:8" x14ac:dyDescent="0.3">
      <c r="A4044" t="s">
        <v>690</v>
      </c>
      <c r="B4044" t="s">
        <v>263</v>
      </c>
      <c r="C4044" t="s">
        <v>265</v>
      </c>
      <c r="D4044" t="s">
        <v>689</v>
      </c>
      <c r="E4044" t="s">
        <v>769</v>
      </c>
      <c r="F4044">
        <v>4</v>
      </c>
      <c r="G4044" s="308">
        <f>'BECA SUPERIOR'!P242</f>
        <v>4.32</v>
      </c>
      <c r="H4044" s="308">
        <f>'BECA SUPERIOR'!Q242</f>
        <v>10800</v>
      </c>
    </row>
    <row r="4045" spans="1:8" x14ac:dyDescent="0.3">
      <c r="A4045" t="s">
        <v>690</v>
      </c>
      <c r="B4045" t="s">
        <v>263</v>
      </c>
      <c r="C4045" t="s">
        <v>265</v>
      </c>
      <c r="D4045" t="s">
        <v>689</v>
      </c>
      <c r="E4045" t="s">
        <v>770</v>
      </c>
      <c r="F4045">
        <v>5</v>
      </c>
      <c r="G4045" s="308">
        <f>'BECA SUPERIOR'!S242</f>
        <v>0</v>
      </c>
      <c r="H4045" s="308">
        <f>'BECA SUPERIOR'!T242</f>
        <v>0</v>
      </c>
    </row>
    <row r="4046" spans="1:8" x14ac:dyDescent="0.3">
      <c r="A4046" t="s">
        <v>690</v>
      </c>
      <c r="B4046" t="s">
        <v>263</v>
      </c>
      <c r="C4046" t="s">
        <v>265</v>
      </c>
      <c r="D4046" t="s">
        <v>689</v>
      </c>
      <c r="E4046" t="s">
        <v>771</v>
      </c>
      <c r="F4046">
        <v>6</v>
      </c>
      <c r="G4046" s="308">
        <f>'BECA SUPERIOR'!V242</f>
        <v>0</v>
      </c>
      <c r="H4046" s="308">
        <f>'BECA SUPERIOR'!W242</f>
        <v>0</v>
      </c>
    </row>
    <row r="4047" spans="1:8" x14ac:dyDescent="0.3">
      <c r="A4047" t="s">
        <v>690</v>
      </c>
      <c r="B4047" t="s">
        <v>263</v>
      </c>
      <c r="C4047" t="s">
        <v>265</v>
      </c>
      <c r="D4047" t="s">
        <v>689</v>
      </c>
      <c r="E4047" t="s">
        <v>772</v>
      </c>
      <c r="F4047">
        <v>7</v>
      </c>
      <c r="G4047" s="308">
        <f>'BECA SUPERIOR'!Y242</f>
        <v>0</v>
      </c>
      <c r="H4047" s="308">
        <f>'BECA SUPERIOR'!Z242</f>
        <v>0</v>
      </c>
    </row>
    <row r="4048" spans="1:8" x14ac:dyDescent="0.3">
      <c r="A4048" t="s">
        <v>690</v>
      </c>
      <c r="B4048" t="s">
        <v>263</v>
      </c>
      <c r="C4048" t="s">
        <v>266</v>
      </c>
      <c r="D4048" t="s">
        <v>689</v>
      </c>
      <c r="E4048" t="s">
        <v>766</v>
      </c>
      <c r="F4048">
        <v>1</v>
      </c>
      <c r="G4048" s="308">
        <f>'BECA SUPERIOR'!G243</f>
        <v>0</v>
      </c>
      <c r="H4048" s="308">
        <f>'BECA SUPERIOR'!H243</f>
        <v>0</v>
      </c>
    </row>
    <row r="4049" spans="1:8" x14ac:dyDescent="0.3">
      <c r="A4049" t="s">
        <v>690</v>
      </c>
      <c r="B4049" t="s">
        <v>263</v>
      </c>
      <c r="C4049" t="s">
        <v>266</v>
      </c>
      <c r="D4049" t="s">
        <v>689</v>
      </c>
      <c r="E4049" t="s">
        <v>767</v>
      </c>
      <c r="F4049">
        <v>2</v>
      </c>
      <c r="G4049" s="308">
        <f>'BECA SUPERIOR'!J243</f>
        <v>0</v>
      </c>
      <c r="H4049" s="308">
        <f>'BECA SUPERIOR'!K243</f>
        <v>0</v>
      </c>
    </row>
    <row r="4050" spans="1:8" x14ac:dyDescent="0.3">
      <c r="A4050" t="s">
        <v>690</v>
      </c>
      <c r="B4050" t="s">
        <v>263</v>
      </c>
      <c r="C4050" t="s">
        <v>266</v>
      </c>
      <c r="D4050" t="s">
        <v>689</v>
      </c>
      <c r="E4050" t="s">
        <v>768</v>
      </c>
      <c r="F4050">
        <v>3</v>
      </c>
      <c r="G4050" s="308">
        <f>'BECA SUPERIOR'!M243</f>
        <v>0</v>
      </c>
      <c r="H4050" s="308">
        <f>'BECA SUPERIOR'!N243</f>
        <v>0</v>
      </c>
    </row>
    <row r="4051" spans="1:8" x14ac:dyDescent="0.3">
      <c r="A4051" t="s">
        <v>690</v>
      </c>
      <c r="B4051" t="s">
        <v>263</v>
      </c>
      <c r="C4051" t="s">
        <v>266</v>
      </c>
      <c r="D4051" t="s">
        <v>689</v>
      </c>
      <c r="E4051" t="s">
        <v>769</v>
      </c>
      <c r="F4051">
        <v>4</v>
      </c>
      <c r="G4051" s="308">
        <f>'BECA SUPERIOR'!P243</f>
        <v>0.72</v>
      </c>
      <c r="H4051" s="308">
        <f>'BECA SUPERIOR'!Q243</f>
        <v>1800</v>
      </c>
    </row>
    <row r="4052" spans="1:8" x14ac:dyDescent="0.3">
      <c r="A4052" t="s">
        <v>690</v>
      </c>
      <c r="B4052" t="s">
        <v>263</v>
      </c>
      <c r="C4052" t="s">
        <v>266</v>
      </c>
      <c r="D4052" t="s">
        <v>689</v>
      </c>
      <c r="E4052" t="s">
        <v>770</v>
      </c>
      <c r="F4052">
        <v>5</v>
      </c>
      <c r="G4052" s="308">
        <f>'BECA SUPERIOR'!S243</f>
        <v>0</v>
      </c>
      <c r="H4052" s="308">
        <f>'BECA SUPERIOR'!T243</f>
        <v>0</v>
      </c>
    </row>
    <row r="4053" spans="1:8" x14ac:dyDescent="0.3">
      <c r="A4053" t="s">
        <v>690</v>
      </c>
      <c r="B4053" t="s">
        <v>263</v>
      </c>
      <c r="C4053" t="s">
        <v>266</v>
      </c>
      <c r="D4053" t="s">
        <v>689</v>
      </c>
      <c r="E4053" t="s">
        <v>771</v>
      </c>
      <c r="F4053">
        <v>6</v>
      </c>
      <c r="G4053" s="308">
        <f>'BECA SUPERIOR'!V243</f>
        <v>0</v>
      </c>
      <c r="H4053" s="308">
        <f>'BECA SUPERIOR'!W243</f>
        <v>0</v>
      </c>
    </row>
    <row r="4054" spans="1:8" x14ac:dyDescent="0.3">
      <c r="A4054" t="s">
        <v>690</v>
      </c>
      <c r="B4054" t="s">
        <v>263</v>
      </c>
      <c r="C4054" t="s">
        <v>266</v>
      </c>
      <c r="D4054" t="s">
        <v>689</v>
      </c>
      <c r="E4054" t="s">
        <v>772</v>
      </c>
      <c r="F4054">
        <v>7</v>
      </c>
      <c r="G4054" s="308">
        <f>'BECA SUPERIOR'!Y243</f>
        <v>0</v>
      </c>
      <c r="H4054" s="308">
        <f>'BECA SUPERIOR'!Z243</f>
        <v>0</v>
      </c>
    </row>
    <row r="4055" spans="1:8" x14ac:dyDescent="0.3">
      <c r="A4055" t="s">
        <v>690</v>
      </c>
      <c r="B4055" t="s">
        <v>263</v>
      </c>
      <c r="C4055" t="s">
        <v>267</v>
      </c>
      <c r="D4055" t="s">
        <v>689</v>
      </c>
      <c r="E4055" t="s">
        <v>766</v>
      </c>
      <c r="F4055">
        <v>1</v>
      </c>
      <c r="G4055" s="308">
        <f>'BECA SUPERIOR'!G244</f>
        <v>0</v>
      </c>
      <c r="H4055" s="308">
        <f>'BECA SUPERIOR'!H244</f>
        <v>0</v>
      </c>
    </row>
    <row r="4056" spans="1:8" x14ac:dyDescent="0.3">
      <c r="A4056" t="s">
        <v>690</v>
      </c>
      <c r="B4056" t="s">
        <v>263</v>
      </c>
      <c r="C4056" t="s">
        <v>267</v>
      </c>
      <c r="D4056" t="s">
        <v>689</v>
      </c>
      <c r="E4056" t="s">
        <v>767</v>
      </c>
      <c r="F4056">
        <v>2</v>
      </c>
      <c r="G4056" s="308">
        <f>'BECA SUPERIOR'!J244</f>
        <v>0</v>
      </c>
      <c r="H4056" s="308">
        <f>'BECA SUPERIOR'!K244</f>
        <v>0</v>
      </c>
    </row>
    <row r="4057" spans="1:8" x14ac:dyDescent="0.3">
      <c r="A4057" t="s">
        <v>690</v>
      </c>
      <c r="B4057" t="s">
        <v>263</v>
      </c>
      <c r="C4057" t="s">
        <v>267</v>
      </c>
      <c r="D4057" t="s">
        <v>689</v>
      </c>
      <c r="E4057" t="s">
        <v>768</v>
      </c>
      <c r="F4057">
        <v>3</v>
      </c>
      <c r="G4057" s="308">
        <f>'BECA SUPERIOR'!M244</f>
        <v>0</v>
      </c>
      <c r="H4057" s="308">
        <f>'BECA SUPERIOR'!N244</f>
        <v>0</v>
      </c>
    </row>
    <row r="4058" spans="1:8" x14ac:dyDescent="0.3">
      <c r="A4058" t="s">
        <v>690</v>
      </c>
      <c r="B4058" t="s">
        <v>263</v>
      </c>
      <c r="C4058" t="s">
        <v>267</v>
      </c>
      <c r="D4058" t="s">
        <v>689</v>
      </c>
      <c r="E4058" t="s">
        <v>769</v>
      </c>
      <c r="F4058">
        <v>4</v>
      </c>
      <c r="G4058" s="308">
        <f>'BECA SUPERIOR'!P244</f>
        <v>1.44</v>
      </c>
      <c r="H4058" s="308">
        <f>'BECA SUPERIOR'!Q244</f>
        <v>3600</v>
      </c>
    </row>
    <row r="4059" spans="1:8" x14ac:dyDescent="0.3">
      <c r="A4059" t="s">
        <v>690</v>
      </c>
      <c r="B4059" t="s">
        <v>263</v>
      </c>
      <c r="C4059" t="s">
        <v>267</v>
      </c>
      <c r="D4059" t="s">
        <v>689</v>
      </c>
      <c r="E4059" t="s">
        <v>770</v>
      </c>
      <c r="F4059">
        <v>5</v>
      </c>
      <c r="G4059" s="308">
        <f>'BECA SUPERIOR'!S244</f>
        <v>0</v>
      </c>
      <c r="H4059" s="308">
        <f>'BECA SUPERIOR'!T244</f>
        <v>0</v>
      </c>
    </row>
    <row r="4060" spans="1:8" x14ac:dyDescent="0.3">
      <c r="A4060" t="s">
        <v>690</v>
      </c>
      <c r="B4060" t="s">
        <v>263</v>
      </c>
      <c r="C4060" t="s">
        <v>267</v>
      </c>
      <c r="D4060" t="s">
        <v>689</v>
      </c>
      <c r="E4060" t="s">
        <v>771</v>
      </c>
      <c r="F4060">
        <v>6</v>
      </c>
      <c r="G4060" s="308">
        <f>'BECA SUPERIOR'!V244</f>
        <v>0</v>
      </c>
      <c r="H4060" s="308">
        <f>'BECA SUPERIOR'!W244</f>
        <v>0</v>
      </c>
    </row>
    <row r="4061" spans="1:8" x14ac:dyDescent="0.3">
      <c r="A4061" t="s">
        <v>690</v>
      </c>
      <c r="B4061" t="s">
        <v>263</v>
      </c>
      <c r="C4061" t="s">
        <v>267</v>
      </c>
      <c r="D4061" t="s">
        <v>689</v>
      </c>
      <c r="E4061" t="s">
        <v>772</v>
      </c>
      <c r="F4061">
        <v>7</v>
      </c>
      <c r="G4061" s="308">
        <f>'BECA SUPERIOR'!Y244</f>
        <v>0</v>
      </c>
      <c r="H4061" s="308">
        <f>'BECA SUPERIOR'!Z244</f>
        <v>0</v>
      </c>
    </row>
    <row r="4062" spans="1:8" x14ac:dyDescent="0.3">
      <c r="A4062" t="s">
        <v>690</v>
      </c>
      <c r="B4062" t="s">
        <v>263</v>
      </c>
      <c r="C4062" t="s">
        <v>268</v>
      </c>
      <c r="D4062" t="s">
        <v>689</v>
      </c>
      <c r="E4062" t="s">
        <v>766</v>
      </c>
      <c r="F4062">
        <v>1</v>
      </c>
      <c r="G4062" s="308">
        <f>'BECA SUPERIOR'!G245</f>
        <v>0</v>
      </c>
      <c r="H4062" s="308">
        <f>'BECA SUPERIOR'!H245</f>
        <v>0</v>
      </c>
    </row>
    <row r="4063" spans="1:8" x14ac:dyDescent="0.3">
      <c r="A4063" t="s">
        <v>690</v>
      </c>
      <c r="B4063" t="s">
        <v>263</v>
      </c>
      <c r="C4063" t="s">
        <v>268</v>
      </c>
      <c r="D4063" t="s">
        <v>689</v>
      </c>
      <c r="E4063" t="s">
        <v>767</v>
      </c>
      <c r="F4063">
        <v>2</v>
      </c>
      <c r="G4063" s="308">
        <f>'BECA SUPERIOR'!J245</f>
        <v>0</v>
      </c>
      <c r="H4063" s="308">
        <f>'BECA SUPERIOR'!K245</f>
        <v>0</v>
      </c>
    </row>
    <row r="4064" spans="1:8" x14ac:dyDescent="0.3">
      <c r="A4064" t="s">
        <v>690</v>
      </c>
      <c r="B4064" t="s">
        <v>263</v>
      </c>
      <c r="C4064" t="s">
        <v>268</v>
      </c>
      <c r="D4064" t="s">
        <v>689</v>
      </c>
      <c r="E4064" t="s">
        <v>768</v>
      </c>
      <c r="F4064">
        <v>3</v>
      </c>
      <c r="G4064" s="308">
        <f>'BECA SUPERIOR'!M245</f>
        <v>0</v>
      </c>
      <c r="H4064" s="308">
        <f>'BECA SUPERIOR'!N245</f>
        <v>0</v>
      </c>
    </row>
    <row r="4065" spans="1:8" x14ac:dyDescent="0.3">
      <c r="A4065" t="s">
        <v>690</v>
      </c>
      <c r="B4065" t="s">
        <v>263</v>
      </c>
      <c r="C4065" t="s">
        <v>268</v>
      </c>
      <c r="D4065" t="s">
        <v>689</v>
      </c>
      <c r="E4065" t="s">
        <v>769</v>
      </c>
      <c r="F4065">
        <v>4</v>
      </c>
      <c r="G4065" s="308">
        <f>'BECA SUPERIOR'!P245</f>
        <v>0.72</v>
      </c>
      <c r="H4065" s="308">
        <f>'BECA SUPERIOR'!Q245</f>
        <v>1800</v>
      </c>
    </row>
    <row r="4066" spans="1:8" x14ac:dyDescent="0.3">
      <c r="A4066" t="s">
        <v>690</v>
      </c>
      <c r="B4066" t="s">
        <v>263</v>
      </c>
      <c r="C4066" t="s">
        <v>268</v>
      </c>
      <c r="D4066" t="s">
        <v>689</v>
      </c>
      <c r="E4066" t="s">
        <v>770</v>
      </c>
      <c r="F4066">
        <v>5</v>
      </c>
      <c r="G4066" s="308">
        <f>'BECA SUPERIOR'!S245</f>
        <v>0</v>
      </c>
      <c r="H4066" s="308">
        <f>'BECA SUPERIOR'!T245</f>
        <v>0</v>
      </c>
    </row>
    <row r="4067" spans="1:8" x14ac:dyDescent="0.3">
      <c r="A4067" t="s">
        <v>690</v>
      </c>
      <c r="B4067" t="s">
        <v>263</v>
      </c>
      <c r="C4067" t="s">
        <v>268</v>
      </c>
      <c r="D4067" t="s">
        <v>689</v>
      </c>
      <c r="E4067" t="s">
        <v>771</v>
      </c>
      <c r="F4067">
        <v>6</v>
      </c>
      <c r="G4067" s="308">
        <f>'BECA SUPERIOR'!V245</f>
        <v>0</v>
      </c>
      <c r="H4067" s="308">
        <f>'BECA SUPERIOR'!W245</f>
        <v>0</v>
      </c>
    </row>
    <row r="4068" spans="1:8" x14ac:dyDescent="0.3">
      <c r="A4068" t="s">
        <v>690</v>
      </c>
      <c r="B4068" t="s">
        <v>263</v>
      </c>
      <c r="C4068" t="s">
        <v>268</v>
      </c>
      <c r="D4068" t="s">
        <v>689</v>
      </c>
      <c r="E4068" t="s">
        <v>772</v>
      </c>
      <c r="F4068">
        <v>7</v>
      </c>
      <c r="G4068" s="308">
        <f>'BECA SUPERIOR'!Y245</f>
        <v>0</v>
      </c>
      <c r="H4068" s="308">
        <f>'BECA SUPERIOR'!Z245</f>
        <v>0</v>
      </c>
    </row>
    <row r="4069" spans="1:8" x14ac:dyDescent="0.3">
      <c r="A4069" t="s">
        <v>690</v>
      </c>
      <c r="B4069" t="s">
        <v>263</v>
      </c>
      <c r="C4069" t="s">
        <v>269</v>
      </c>
      <c r="D4069" t="s">
        <v>689</v>
      </c>
      <c r="E4069" t="s">
        <v>766</v>
      </c>
      <c r="F4069">
        <v>1</v>
      </c>
      <c r="G4069" s="308">
        <f>'BECA SUPERIOR'!G246</f>
        <v>0</v>
      </c>
      <c r="H4069" s="308">
        <f>'BECA SUPERIOR'!H246</f>
        <v>0</v>
      </c>
    </row>
    <row r="4070" spans="1:8" x14ac:dyDescent="0.3">
      <c r="A4070" t="s">
        <v>690</v>
      </c>
      <c r="B4070" t="s">
        <v>263</v>
      </c>
      <c r="C4070" t="s">
        <v>269</v>
      </c>
      <c r="D4070" t="s">
        <v>689</v>
      </c>
      <c r="E4070" t="s">
        <v>767</v>
      </c>
      <c r="F4070">
        <v>2</v>
      </c>
      <c r="G4070" s="308">
        <f>'BECA SUPERIOR'!J246</f>
        <v>0</v>
      </c>
      <c r="H4070" s="308">
        <f>'BECA SUPERIOR'!K246</f>
        <v>0</v>
      </c>
    </row>
    <row r="4071" spans="1:8" x14ac:dyDescent="0.3">
      <c r="A4071" t="s">
        <v>690</v>
      </c>
      <c r="B4071" t="s">
        <v>263</v>
      </c>
      <c r="C4071" t="s">
        <v>269</v>
      </c>
      <c r="D4071" t="s">
        <v>689</v>
      </c>
      <c r="E4071" t="s">
        <v>768</v>
      </c>
      <c r="F4071">
        <v>3</v>
      </c>
      <c r="G4071" s="308">
        <f>'BECA SUPERIOR'!M246</f>
        <v>0</v>
      </c>
      <c r="H4071" s="308">
        <f>'BECA SUPERIOR'!N246</f>
        <v>0</v>
      </c>
    </row>
    <row r="4072" spans="1:8" x14ac:dyDescent="0.3">
      <c r="A4072" t="s">
        <v>690</v>
      </c>
      <c r="B4072" t="s">
        <v>263</v>
      </c>
      <c r="C4072" t="s">
        <v>269</v>
      </c>
      <c r="D4072" t="s">
        <v>689</v>
      </c>
      <c r="E4072" t="s">
        <v>769</v>
      </c>
      <c r="F4072">
        <v>4</v>
      </c>
      <c r="G4072" s="308">
        <f>'BECA SUPERIOR'!P246</f>
        <v>0</v>
      </c>
      <c r="H4072" s="308">
        <f>'BECA SUPERIOR'!Q246</f>
        <v>0</v>
      </c>
    </row>
    <row r="4073" spans="1:8" x14ac:dyDescent="0.3">
      <c r="A4073" t="s">
        <v>690</v>
      </c>
      <c r="B4073" t="s">
        <v>263</v>
      </c>
      <c r="C4073" t="s">
        <v>269</v>
      </c>
      <c r="D4073" t="s">
        <v>689</v>
      </c>
      <c r="E4073" t="s">
        <v>770</v>
      </c>
      <c r="F4073">
        <v>5</v>
      </c>
      <c r="G4073" s="308">
        <f>'BECA SUPERIOR'!S246</f>
        <v>0</v>
      </c>
      <c r="H4073" s="308">
        <f>'BECA SUPERIOR'!T246</f>
        <v>0</v>
      </c>
    </row>
    <row r="4074" spans="1:8" x14ac:dyDescent="0.3">
      <c r="A4074" t="s">
        <v>690</v>
      </c>
      <c r="B4074" t="s">
        <v>263</v>
      </c>
      <c r="C4074" t="s">
        <v>269</v>
      </c>
      <c r="D4074" t="s">
        <v>689</v>
      </c>
      <c r="E4074" t="s">
        <v>771</v>
      </c>
      <c r="F4074">
        <v>6</v>
      </c>
      <c r="G4074" s="308">
        <f>'BECA SUPERIOR'!V246</f>
        <v>0</v>
      </c>
      <c r="H4074" s="308">
        <f>'BECA SUPERIOR'!W246</f>
        <v>0</v>
      </c>
    </row>
    <row r="4075" spans="1:8" x14ac:dyDescent="0.3">
      <c r="A4075" t="s">
        <v>690</v>
      </c>
      <c r="B4075" t="s">
        <v>263</v>
      </c>
      <c r="C4075" t="s">
        <v>269</v>
      </c>
      <c r="D4075" t="s">
        <v>689</v>
      </c>
      <c r="E4075" t="s">
        <v>772</v>
      </c>
      <c r="F4075">
        <v>7</v>
      </c>
      <c r="G4075" s="308">
        <f>'BECA SUPERIOR'!Y246</f>
        <v>0</v>
      </c>
      <c r="H4075" s="308">
        <f>'BECA SUPERIOR'!Z246</f>
        <v>0</v>
      </c>
    </row>
    <row r="4076" spans="1:8" x14ac:dyDescent="0.3">
      <c r="A4076" t="s">
        <v>690</v>
      </c>
      <c r="B4076" t="s">
        <v>263</v>
      </c>
      <c r="C4076" t="s">
        <v>270</v>
      </c>
      <c r="D4076" t="s">
        <v>689</v>
      </c>
      <c r="E4076" t="s">
        <v>766</v>
      </c>
      <c r="F4076">
        <v>1</v>
      </c>
      <c r="G4076" s="308">
        <f>'BECA SUPERIOR'!G247</f>
        <v>0</v>
      </c>
      <c r="H4076" s="308">
        <f>'BECA SUPERIOR'!H247</f>
        <v>0</v>
      </c>
    </row>
    <row r="4077" spans="1:8" x14ac:dyDescent="0.3">
      <c r="A4077" t="s">
        <v>690</v>
      </c>
      <c r="B4077" t="s">
        <v>263</v>
      </c>
      <c r="C4077" t="s">
        <v>270</v>
      </c>
      <c r="D4077" t="s">
        <v>689</v>
      </c>
      <c r="E4077" t="s">
        <v>767</v>
      </c>
      <c r="F4077">
        <v>2</v>
      </c>
      <c r="G4077" s="308">
        <f>'BECA SUPERIOR'!J247</f>
        <v>0</v>
      </c>
      <c r="H4077" s="308">
        <f>'BECA SUPERIOR'!K247</f>
        <v>0</v>
      </c>
    </row>
    <row r="4078" spans="1:8" x14ac:dyDescent="0.3">
      <c r="A4078" t="s">
        <v>690</v>
      </c>
      <c r="B4078" t="s">
        <v>263</v>
      </c>
      <c r="C4078" t="s">
        <v>270</v>
      </c>
      <c r="D4078" t="s">
        <v>689</v>
      </c>
      <c r="E4078" t="s">
        <v>768</v>
      </c>
      <c r="F4078">
        <v>3</v>
      </c>
      <c r="G4078" s="308">
        <f>'BECA SUPERIOR'!M247</f>
        <v>0</v>
      </c>
      <c r="H4078" s="308">
        <f>'BECA SUPERIOR'!N247</f>
        <v>0</v>
      </c>
    </row>
    <row r="4079" spans="1:8" x14ac:dyDescent="0.3">
      <c r="A4079" t="s">
        <v>690</v>
      </c>
      <c r="B4079" t="s">
        <v>263</v>
      </c>
      <c r="C4079" t="s">
        <v>270</v>
      </c>
      <c r="D4079" t="s">
        <v>689</v>
      </c>
      <c r="E4079" t="s">
        <v>769</v>
      </c>
      <c r="F4079">
        <v>4</v>
      </c>
      <c r="G4079" s="308">
        <f>'BECA SUPERIOR'!P247</f>
        <v>0</v>
      </c>
      <c r="H4079" s="308">
        <f>'BECA SUPERIOR'!Q247</f>
        <v>0</v>
      </c>
    </row>
    <row r="4080" spans="1:8" x14ac:dyDescent="0.3">
      <c r="A4080" t="s">
        <v>690</v>
      </c>
      <c r="B4080" t="s">
        <v>263</v>
      </c>
      <c r="C4080" t="s">
        <v>270</v>
      </c>
      <c r="D4080" t="s">
        <v>689</v>
      </c>
      <c r="E4080" t="s">
        <v>770</v>
      </c>
      <c r="F4080">
        <v>5</v>
      </c>
      <c r="G4080" s="308">
        <f>'BECA SUPERIOR'!S247</f>
        <v>0</v>
      </c>
      <c r="H4080" s="308">
        <f>'BECA SUPERIOR'!T247</f>
        <v>0</v>
      </c>
    </row>
    <row r="4081" spans="1:8" x14ac:dyDescent="0.3">
      <c r="A4081" t="s">
        <v>690</v>
      </c>
      <c r="B4081" t="s">
        <v>263</v>
      </c>
      <c r="C4081" t="s">
        <v>270</v>
      </c>
      <c r="D4081" t="s">
        <v>689</v>
      </c>
      <c r="E4081" t="s">
        <v>771</v>
      </c>
      <c r="F4081">
        <v>6</v>
      </c>
      <c r="G4081" s="308">
        <f>'BECA SUPERIOR'!V247</f>
        <v>0</v>
      </c>
      <c r="H4081" s="308">
        <f>'BECA SUPERIOR'!W247</f>
        <v>0</v>
      </c>
    </row>
    <row r="4082" spans="1:8" x14ac:dyDescent="0.3">
      <c r="A4082" t="s">
        <v>690</v>
      </c>
      <c r="B4082" t="s">
        <v>263</v>
      </c>
      <c r="C4082" t="s">
        <v>270</v>
      </c>
      <c r="D4082" t="s">
        <v>689</v>
      </c>
      <c r="E4082" t="s">
        <v>772</v>
      </c>
      <c r="F4082">
        <v>7</v>
      </c>
      <c r="G4082" s="308">
        <f>'BECA SUPERIOR'!Y247</f>
        <v>0</v>
      </c>
      <c r="H4082" s="308">
        <f>'BECA SUPERIOR'!Z247</f>
        <v>0</v>
      </c>
    </row>
    <row r="4083" spans="1:8" x14ac:dyDescent="0.3">
      <c r="A4083" t="s">
        <v>690</v>
      </c>
      <c r="B4083" t="s">
        <v>263</v>
      </c>
      <c r="C4083" t="s">
        <v>271</v>
      </c>
      <c r="D4083" t="s">
        <v>689</v>
      </c>
      <c r="E4083" t="s">
        <v>766</v>
      </c>
      <c r="F4083">
        <v>1</v>
      </c>
      <c r="G4083" s="308">
        <f>'BECA SUPERIOR'!G248</f>
        <v>0</v>
      </c>
      <c r="H4083" s="308">
        <f>'BECA SUPERIOR'!H248</f>
        <v>0</v>
      </c>
    </row>
    <row r="4084" spans="1:8" x14ac:dyDescent="0.3">
      <c r="A4084" t="s">
        <v>690</v>
      </c>
      <c r="B4084" t="s">
        <v>263</v>
      </c>
      <c r="C4084" t="s">
        <v>271</v>
      </c>
      <c r="D4084" t="s">
        <v>689</v>
      </c>
      <c r="E4084" t="s">
        <v>767</v>
      </c>
      <c r="F4084">
        <v>2</v>
      </c>
      <c r="G4084" s="308">
        <f>'BECA SUPERIOR'!J248</f>
        <v>0</v>
      </c>
      <c r="H4084" s="308">
        <f>'BECA SUPERIOR'!K248</f>
        <v>0</v>
      </c>
    </row>
    <row r="4085" spans="1:8" x14ac:dyDescent="0.3">
      <c r="A4085" t="s">
        <v>690</v>
      </c>
      <c r="B4085" t="s">
        <v>263</v>
      </c>
      <c r="C4085" t="s">
        <v>271</v>
      </c>
      <c r="D4085" t="s">
        <v>689</v>
      </c>
      <c r="E4085" t="s">
        <v>768</v>
      </c>
      <c r="F4085">
        <v>3</v>
      </c>
      <c r="G4085" s="308">
        <f>'BECA SUPERIOR'!M248</f>
        <v>0</v>
      </c>
      <c r="H4085" s="308">
        <f>'BECA SUPERIOR'!N248</f>
        <v>0</v>
      </c>
    </row>
    <row r="4086" spans="1:8" x14ac:dyDescent="0.3">
      <c r="A4086" t="s">
        <v>690</v>
      </c>
      <c r="B4086" t="s">
        <v>263</v>
      </c>
      <c r="C4086" t="s">
        <v>271</v>
      </c>
      <c r="D4086" t="s">
        <v>689</v>
      </c>
      <c r="E4086" t="s">
        <v>769</v>
      </c>
      <c r="F4086">
        <v>4</v>
      </c>
      <c r="G4086" s="308">
        <f>'BECA SUPERIOR'!P248</f>
        <v>1.44</v>
      </c>
      <c r="H4086" s="308">
        <f>'BECA SUPERIOR'!Q248</f>
        <v>3600</v>
      </c>
    </row>
    <row r="4087" spans="1:8" x14ac:dyDescent="0.3">
      <c r="A4087" t="s">
        <v>690</v>
      </c>
      <c r="B4087" t="s">
        <v>263</v>
      </c>
      <c r="C4087" t="s">
        <v>271</v>
      </c>
      <c r="D4087" t="s">
        <v>689</v>
      </c>
      <c r="E4087" t="s">
        <v>770</v>
      </c>
      <c r="F4087">
        <v>5</v>
      </c>
      <c r="G4087" s="308">
        <f>'BECA SUPERIOR'!S248</f>
        <v>0</v>
      </c>
      <c r="H4087" s="308">
        <f>'BECA SUPERIOR'!T248</f>
        <v>0</v>
      </c>
    </row>
    <row r="4088" spans="1:8" x14ac:dyDescent="0.3">
      <c r="A4088" t="s">
        <v>690</v>
      </c>
      <c r="B4088" t="s">
        <v>263</v>
      </c>
      <c r="C4088" t="s">
        <v>271</v>
      </c>
      <c r="D4088" t="s">
        <v>689</v>
      </c>
      <c r="E4088" t="s">
        <v>771</v>
      </c>
      <c r="F4088">
        <v>6</v>
      </c>
      <c r="G4088" s="308">
        <f>'BECA SUPERIOR'!V248</f>
        <v>0</v>
      </c>
      <c r="H4088" s="308">
        <f>'BECA SUPERIOR'!W248</f>
        <v>0</v>
      </c>
    </row>
    <row r="4089" spans="1:8" x14ac:dyDescent="0.3">
      <c r="A4089" t="s">
        <v>690</v>
      </c>
      <c r="B4089" t="s">
        <v>263</v>
      </c>
      <c r="C4089" t="s">
        <v>271</v>
      </c>
      <c r="D4089" t="s">
        <v>689</v>
      </c>
      <c r="E4089" t="s">
        <v>772</v>
      </c>
      <c r="F4089">
        <v>7</v>
      </c>
      <c r="G4089" s="308">
        <f>'BECA SUPERIOR'!Y248</f>
        <v>0</v>
      </c>
      <c r="H4089" s="308">
        <f>'BECA SUPERIOR'!Z248</f>
        <v>0</v>
      </c>
    </row>
    <row r="4090" spans="1:8" x14ac:dyDescent="0.3">
      <c r="A4090" t="s">
        <v>690</v>
      </c>
      <c r="B4090" t="s">
        <v>263</v>
      </c>
      <c r="C4090" t="s">
        <v>272</v>
      </c>
      <c r="D4090" t="s">
        <v>689</v>
      </c>
      <c r="E4090" t="s">
        <v>766</v>
      </c>
      <c r="F4090">
        <v>1</v>
      </c>
      <c r="G4090" s="308">
        <f>'BECA SUPERIOR'!G249</f>
        <v>0</v>
      </c>
      <c r="H4090" s="308">
        <f>'BECA SUPERIOR'!H249</f>
        <v>0</v>
      </c>
    </row>
    <row r="4091" spans="1:8" x14ac:dyDescent="0.3">
      <c r="A4091" t="s">
        <v>690</v>
      </c>
      <c r="B4091" t="s">
        <v>263</v>
      </c>
      <c r="C4091" t="s">
        <v>272</v>
      </c>
      <c r="D4091" t="s">
        <v>689</v>
      </c>
      <c r="E4091" t="s">
        <v>767</v>
      </c>
      <c r="F4091">
        <v>2</v>
      </c>
      <c r="G4091" s="308">
        <f>'BECA SUPERIOR'!J249</f>
        <v>0</v>
      </c>
      <c r="H4091" s="308">
        <f>'BECA SUPERIOR'!K249</f>
        <v>0</v>
      </c>
    </row>
    <row r="4092" spans="1:8" x14ac:dyDescent="0.3">
      <c r="A4092" t="s">
        <v>690</v>
      </c>
      <c r="B4092" t="s">
        <v>263</v>
      </c>
      <c r="C4092" t="s">
        <v>272</v>
      </c>
      <c r="D4092" t="s">
        <v>689</v>
      </c>
      <c r="E4092" t="s">
        <v>768</v>
      </c>
      <c r="F4092">
        <v>3</v>
      </c>
      <c r="G4092" s="308">
        <f>'BECA SUPERIOR'!M249</f>
        <v>0</v>
      </c>
      <c r="H4092" s="308">
        <f>'BECA SUPERIOR'!N249</f>
        <v>0</v>
      </c>
    </row>
    <row r="4093" spans="1:8" x14ac:dyDescent="0.3">
      <c r="A4093" t="s">
        <v>690</v>
      </c>
      <c r="B4093" t="s">
        <v>263</v>
      </c>
      <c r="C4093" t="s">
        <v>272</v>
      </c>
      <c r="D4093" t="s">
        <v>689</v>
      </c>
      <c r="E4093" t="s">
        <v>769</v>
      </c>
      <c r="F4093">
        <v>4</v>
      </c>
      <c r="G4093" s="308">
        <f>'BECA SUPERIOR'!P249</f>
        <v>0</v>
      </c>
      <c r="H4093" s="308">
        <f>'BECA SUPERIOR'!Q249</f>
        <v>0</v>
      </c>
    </row>
    <row r="4094" spans="1:8" x14ac:dyDescent="0.3">
      <c r="A4094" t="s">
        <v>690</v>
      </c>
      <c r="B4094" t="s">
        <v>263</v>
      </c>
      <c r="C4094" t="s">
        <v>272</v>
      </c>
      <c r="D4094" t="s">
        <v>689</v>
      </c>
      <c r="E4094" t="s">
        <v>770</v>
      </c>
      <c r="F4094">
        <v>5</v>
      </c>
      <c r="G4094" s="308">
        <f>'BECA SUPERIOR'!S249</f>
        <v>0</v>
      </c>
      <c r="H4094" s="308">
        <f>'BECA SUPERIOR'!T249</f>
        <v>0</v>
      </c>
    </row>
    <row r="4095" spans="1:8" x14ac:dyDescent="0.3">
      <c r="A4095" t="s">
        <v>690</v>
      </c>
      <c r="B4095" t="s">
        <v>263</v>
      </c>
      <c r="C4095" t="s">
        <v>272</v>
      </c>
      <c r="D4095" t="s">
        <v>689</v>
      </c>
      <c r="E4095" t="s">
        <v>771</v>
      </c>
      <c r="F4095">
        <v>6</v>
      </c>
      <c r="G4095" s="308">
        <f>'BECA SUPERIOR'!V249</f>
        <v>0</v>
      </c>
      <c r="H4095" s="308">
        <f>'BECA SUPERIOR'!W249</f>
        <v>0</v>
      </c>
    </row>
    <row r="4096" spans="1:8" x14ac:dyDescent="0.3">
      <c r="A4096" t="s">
        <v>690</v>
      </c>
      <c r="B4096" t="s">
        <v>263</v>
      </c>
      <c r="C4096" t="s">
        <v>272</v>
      </c>
      <c r="D4096" t="s">
        <v>689</v>
      </c>
      <c r="E4096" t="s">
        <v>772</v>
      </c>
      <c r="F4096">
        <v>7</v>
      </c>
      <c r="G4096" s="308">
        <f>'BECA SUPERIOR'!Y249</f>
        <v>0</v>
      </c>
      <c r="H4096" s="308">
        <f>'BECA SUPERIOR'!Z249</f>
        <v>0</v>
      </c>
    </row>
    <row r="4097" spans="1:8" x14ac:dyDescent="0.3">
      <c r="A4097" t="s">
        <v>690</v>
      </c>
      <c r="B4097" t="s">
        <v>263</v>
      </c>
      <c r="C4097" t="s">
        <v>273</v>
      </c>
      <c r="D4097" t="s">
        <v>689</v>
      </c>
      <c r="E4097" t="s">
        <v>766</v>
      </c>
      <c r="F4097">
        <v>1</v>
      </c>
      <c r="G4097" s="308">
        <f>'BECA SUPERIOR'!G250</f>
        <v>0</v>
      </c>
      <c r="H4097" s="308">
        <f>'BECA SUPERIOR'!H250</f>
        <v>0</v>
      </c>
    </row>
    <row r="4098" spans="1:8" x14ac:dyDescent="0.3">
      <c r="A4098" t="s">
        <v>690</v>
      </c>
      <c r="B4098" t="s">
        <v>263</v>
      </c>
      <c r="C4098" t="s">
        <v>273</v>
      </c>
      <c r="D4098" t="s">
        <v>689</v>
      </c>
      <c r="E4098" t="s">
        <v>767</v>
      </c>
      <c r="F4098">
        <v>2</v>
      </c>
      <c r="G4098" s="308">
        <f>'BECA SUPERIOR'!J250</f>
        <v>0</v>
      </c>
      <c r="H4098" s="308">
        <f>'BECA SUPERIOR'!K250</f>
        <v>0</v>
      </c>
    </row>
    <row r="4099" spans="1:8" x14ac:dyDescent="0.3">
      <c r="A4099" t="s">
        <v>690</v>
      </c>
      <c r="B4099" t="s">
        <v>263</v>
      </c>
      <c r="C4099" t="s">
        <v>273</v>
      </c>
      <c r="D4099" t="s">
        <v>689</v>
      </c>
      <c r="E4099" t="s">
        <v>768</v>
      </c>
      <c r="F4099">
        <v>3</v>
      </c>
      <c r="G4099" s="308">
        <f>'BECA SUPERIOR'!M250</f>
        <v>0</v>
      </c>
      <c r="H4099" s="308">
        <f>'BECA SUPERIOR'!N250</f>
        <v>0</v>
      </c>
    </row>
    <row r="4100" spans="1:8" x14ac:dyDescent="0.3">
      <c r="A4100" t="s">
        <v>690</v>
      </c>
      <c r="B4100" t="s">
        <v>263</v>
      </c>
      <c r="C4100" t="s">
        <v>273</v>
      </c>
      <c r="D4100" t="s">
        <v>689</v>
      </c>
      <c r="E4100" t="s">
        <v>769</v>
      </c>
      <c r="F4100">
        <v>4</v>
      </c>
      <c r="G4100" s="308">
        <f>'BECA SUPERIOR'!P250</f>
        <v>0</v>
      </c>
      <c r="H4100" s="308">
        <f>'BECA SUPERIOR'!Q250</f>
        <v>0</v>
      </c>
    </row>
    <row r="4101" spans="1:8" x14ac:dyDescent="0.3">
      <c r="A4101" t="s">
        <v>690</v>
      </c>
      <c r="B4101" t="s">
        <v>263</v>
      </c>
      <c r="C4101" t="s">
        <v>273</v>
      </c>
      <c r="D4101" t="s">
        <v>689</v>
      </c>
      <c r="E4101" t="s">
        <v>770</v>
      </c>
      <c r="F4101">
        <v>5</v>
      </c>
      <c r="G4101" s="308">
        <f>'BECA SUPERIOR'!S250</f>
        <v>0</v>
      </c>
      <c r="H4101" s="308">
        <f>'BECA SUPERIOR'!T250</f>
        <v>0</v>
      </c>
    </row>
    <row r="4102" spans="1:8" x14ac:dyDescent="0.3">
      <c r="A4102" t="s">
        <v>690</v>
      </c>
      <c r="B4102" t="s">
        <v>263</v>
      </c>
      <c r="C4102" t="s">
        <v>273</v>
      </c>
      <c r="D4102" t="s">
        <v>689</v>
      </c>
      <c r="E4102" t="s">
        <v>771</v>
      </c>
      <c r="F4102">
        <v>6</v>
      </c>
      <c r="G4102" s="308">
        <f>'BECA SUPERIOR'!V250</f>
        <v>0</v>
      </c>
      <c r="H4102" s="308">
        <f>'BECA SUPERIOR'!W250</f>
        <v>0</v>
      </c>
    </row>
    <row r="4103" spans="1:8" x14ac:dyDescent="0.3">
      <c r="A4103" t="s">
        <v>690</v>
      </c>
      <c r="B4103" t="s">
        <v>263</v>
      </c>
      <c r="C4103" t="s">
        <v>273</v>
      </c>
      <c r="D4103" t="s">
        <v>689</v>
      </c>
      <c r="E4103" t="s">
        <v>772</v>
      </c>
      <c r="F4103">
        <v>7</v>
      </c>
      <c r="G4103" s="308">
        <f>'BECA SUPERIOR'!Y250</f>
        <v>0</v>
      </c>
      <c r="H4103" s="308">
        <f>'BECA SUPERIOR'!Z250</f>
        <v>0</v>
      </c>
    </row>
    <row r="4104" spans="1:8" x14ac:dyDescent="0.3">
      <c r="A4104" t="s">
        <v>690</v>
      </c>
      <c r="B4104" t="s">
        <v>263</v>
      </c>
      <c r="C4104" t="s">
        <v>274</v>
      </c>
      <c r="D4104" t="s">
        <v>689</v>
      </c>
      <c r="E4104" t="s">
        <v>766</v>
      </c>
      <c r="F4104">
        <v>1</v>
      </c>
      <c r="G4104" s="308">
        <f>'BECA SUPERIOR'!G251</f>
        <v>0</v>
      </c>
      <c r="H4104" s="308">
        <f>'BECA SUPERIOR'!H251</f>
        <v>0</v>
      </c>
    </row>
    <row r="4105" spans="1:8" x14ac:dyDescent="0.3">
      <c r="A4105" t="s">
        <v>690</v>
      </c>
      <c r="B4105" t="s">
        <v>263</v>
      </c>
      <c r="C4105" t="s">
        <v>274</v>
      </c>
      <c r="D4105" t="s">
        <v>689</v>
      </c>
      <c r="E4105" t="s">
        <v>767</v>
      </c>
      <c r="F4105">
        <v>2</v>
      </c>
      <c r="G4105" s="308">
        <f>'BECA SUPERIOR'!J251</f>
        <v>0</v>
      </c>
      <c r="H4105" s="308">
        <f>'BECA SUPERIOR'!K251</f>
        <v>0</v>
      </c>
    </row>
    <row r="4106" spans="1:8" x14ac:dyDescent="0.3">
      <c r="A4106" t="s">
        <v>690</v>
      </c>
      <c r="B4106" t="s">
        <v>263</v>
      </c>
      <c r="C4106" t="s">
        <v>274</v>
      </c>
      <c r="D4106" t="s">
        <v>689</v>
      </c>
      <c r="E4106" t="s">
        <v>768</v>
      </c>
      <c r="F4106">
        <v>3</v>
      </c>
      <c r="G4106" s="308">
        <f>'BECA SUPERIOR'!M251</f>
        <v>0</v>
      </c>
      <c r="H4106" s="308">
        <f>'BECA SUPERIOR'!N251</f>
        <v>0</v>
      </c>
    </row>
    <row r="4107" spans="1:8" x14ac:dyDescent="0.3">
      <c r="A4107" t="s">
        <v>690</v>
      </c>
      <c r="B4107" t="s">
        <v>263</v>
      </c>
      <c r="C4107" t="s">
        <v>274</v>
      </c>
      <c r="D4107" t="s">
        <v>689</v>
      </c>
      <c r="E4107" t="s">
        <v>769</v>
      </c>
      <c r="F4107">
        <v>4</v>
      </c>
      <c r="G4107" s="308">
        <f>'BECA SUPERIOR'!P251</f>
        <v>0</v>
      </c>
      <c r="H4107" s="308">
        <f>'BECA SUPERIOR'!Q251</f>
        <v>0</v>
      </c>
    </row>
    <row r="4108" spans="1:8" x14ac:dyDescent="0.3">
      <c r="A4108" t="s">
        <v>690</v>
      </c>
      <c r="B4108" t="s">
        <v>263</v>
      </c>
      <c r="C4108" t="s">
        <v>274</v>
      </c>
      <c r="D4108" t="s">
        <v>689</v>
      </c>
      <c r="E4108" t="s">
        <v>770</v>
      </c>
      <c r="F4108">
        <v>5</v>
      </c>
      <c r="G4108" s="308">
        <f>'BECA SUPERIOR'!S251</f>
        <v>0</v>
      </c>
      <c r="H4108" s="308">
        <f>'BECA SUPERIOR'!T251</f>
        <v>0</v>
      </c>
    </row>
    <row r="4109" spans="1:8" x14ac:dyDescent="0.3">
      <c r="A4109" t="s">
        <v>690</v>
      </c>
      <c r="B4109" t="s">
        <v>263</v>
      </c>
      <c r="C4109" t="s">
        <v>274</v>
      </c>
      <c r="D4109" t="s">
        <v>689</v>
      </c>
      <c r="E4109" t="s">
        <v>771</v>
      </c>
      <c r="F4109">
        <v>6</v>
      </c>
      <c r="G4109" s="308">
        <f>'BECA SUPERIOR'!V251</f>
        <v>0</v>
      </c>
      <c r="H4109" s="308">
        <f>'BECA SUPERIOR'!W251</f>
        <v>0</v>
      </c>
    </row>
    <row r="4110" spans="1:8" x14ac:dyDescent="0.3">
      <c r="A4110" t="s">
        <v>690</v>
      </c>
      <c r="B4110" t="s">
        <v>263</v>
      </c>
      <c r="C4110" t="s">
        <v>274</v>
      </c>
      <c r="D4110" t="s">
        <v>689</v>
      </c>
      <c r="E4110" t="s">
        <v>772</v>
      </c>
      <c r="F4110">
        <v>7</v>
      </c>
      <c r="G4110" s="308">
        <f>'BECA SUPERIOR'!Y251</f>
        <v>0</v>
      </c>
      <c r="H4110" s="308">
        <f>'BECA SUPERIOR'!Z251</f>
        <v>0</v>
      </c>
    </row>
    <row r="4111" spans="1:8" x14ac:dyDescent="0.3">
      <c r="A4111" t="s">
        <v>690</v>
      </c>
      <c r="B4111" t="s">
        <v>263</v>
      </c>
      <c r="C4111" t="s">
        <v>275</v>
      </c>
      <c r="D4111" t="s">
        <v>689</v>
      </c>
      <c r="E4111" t="s">
        <v>766</v>
      </c>
      <c r="F4111">
        <v>1</v>
      </c>
      <c r="G4111" s="308">
        <f>'BECA SUPERIOR'!G252</f>
        <v>0</v>
      </c>
      <c r="H4111" s="308">
        <f>'BECA SUPERIOR'!H252</f>
        <v>0</v>
      </c>
    </row>
    <row r="4112" spans="1:8" x14ac:dyDescent="0.3">
      <c r="A4112" t="s">
        <v>690</v>
      </c>
      <c r="B4112" t="s">
        <v>263</v>
      </c>
      <c r="C4112" t="s">
        <v>275</v>
      </c>
      <c r="D4112" t="s">
        <v>689</v>
      </c>
      <c r="E4112" t="s">
        <v>767</v>
      </c>
      <c r="F4112">
        <v>2</v>
      </c>
      <c r="G4112" s="308">
        <f>'BECA SUPERIOR'!J252</f>
        <v>0</v>
      </c>
      <c r="H4112" s="308">
        <f>'BECA SUPERIOR'!K252</f>
        <v>0</v>
      </c>
    </row>
    <row r="4113" spans="1:8" x14ac:dyDescent="0.3">
      <c r="A4113" t="s">
        <v>690</v>
      </c>
      <c r="B4113" t="s">
        <v>263</v>
      </c>
      <c r="C4113" t="s">
        <v>275</v>
      </c>
      <c r="D4113" t="s">
        <v>689</v>
      </c>
      <c r="E4113" t="s">
        <v>768</v>
      </c>
      <c r="F4113">
        <v>3</v>
      </c>
      <c r="G4113" s="308">
        <f>'BECA SUPERIOR'!M252</f>
        <v>0</v>
      </c>
      <c r="H4113" s="308">
        <f>'BECA SUPERIOR'!N252</f>
        <v>0</v>
      </c>
    </row>
    <row r="4114" spans="1:8" x14ac:dyDescent="0.3">
      <c r="A4114" t="s">
        <v>690</v>
      </c>
      <c r="B4114" t="s">
        <v>263</v>
      </c>
      <c r="C4114" t="s">
        <v>275</v>
      </c>
      <c r="D4114" t="s">
        <v>689</v>
      </c>
      <c r="E4114" t="s">
        <v>769</v>
      </c>
      <c r="F4114">
        <v>4</v>
      </c>
      <c r="G4114" s="308">
        <f>'BECA SUPERIOR'!P252</f>
        <v>0</v>
      </c>
      <c r="H4114" s="308">
        <f>'BECA SUPERIOR'!Q252</f>
        <v>0</v>
      </c>
    </row>
    <row r="4115" spans="1:8" x14ac:dyDescent="0.3">
      <c r="A4115" t="s">
        <v>690</v>
      </c>
      <c r="B4115" t="s">
        <v>263</v>
      </c>
      <c r="C4115" t="s">
        <v>275</v>
      </c>
      <c r="D4115" t="s">
        <v>689</v>
      </c>
      <c r="E4115" t="s">
        <v>770</v>
      </c>
      <c r="F4115">
        <v>5</v>
      </c>
      <c r="G4115" s="308">
        <f>'BECA SUPERIOR'!S252</f>
        <v>0</v>
      </c>
      <c r="H4115" s="308">
        <f>'BECA SUPERIOR'!T252</f>
        <v>0</v>
      </c>
    </row>
    <row r="4116" spans="1:8" x14ac:dyDescent="0.3">
      <c r="A4116" t="s">
        <v>690</v>
      </c>
      <c r="B4116" t="s">
        <v>263</v>
      </c>
      <c r="C4116" t="s">
        <v>275</v>
      </c>
      <c r="D4116" t="s">
        <v>689</v>
      </c>
      <c r="E4116" t="s">
        <v>771</v>
      </c>
      <c r="F4116">
        <v>6</v>
      </c>
      <c r="G4116" s="308">
        <f>'BECA SUPERIOR'!V252</f>
        <v>0</v>
      </c>
      <c r="H4116" s="308">
        <f>'BECA SUPERIOR'!W252</f>
        <v>0</v>
      </c>
    </row>
    <row r="4117" spans="1:8" x14ac:dyDescent="0.3">
      <c r="A4117" t="s">
        <v>690</v>
      </c>
      <c r="B4117" t="s">
        <v>263</v>
      </c>
      <c r="C4117" t="s">
        <v>275</v>
      </c>
      <c r="D4117" t="s">
        <v>689</v>
      </c>
      <c r="E4117" t="s">
        <v>772</v>
      </c>
      <c r="F4117">
        <v>7</v>
      </c>
      <c r="G4117" s="308">
        <f>'BECA SUPERIOR'!Y252</f>
        <v>0</v>
      </c>
      <c r="H4117" s="308">
        <f>'BECA SUPERIOR'!Z252</f>
        <v>0</v>
      </c>
    </row>
    <row r="4118" spans="1:8" x14ac:dyDescent="0.3">
      <c r="A4118" t="s">
        <v>690</v>
      </c>
      <c r="B4118" t="s">
        <v>263</v>
      </c>
      <c r="C4118" t="s">
        <v>276</v>
      </c>
      <c r="D4118" t="s">
        <v>689</v>
      </c>
      <c r="E4118" t="s">
        <v>766</v>
      </c>
      <c r="F4118">
        <v>1</v>
      </c>
      <c r="G4118" s="308">
        <f>'BECA SUPERIOR'!G253</f>
        <v>0</v>
      </c>
      <c r="H4118" s="308">
        <f>'BECA SUPERIOR'!H253</f>
        <v>0</v>
      </c>
    </row>
    <row r="4119" spans="1:8" x14ac:dyDescent="0.3">
      <c r="A4119" t="s">
        <v>690</v>
      </c>
      <c r="B4119" t="s">
        <v>263</v>
      </c>
      <c r="C4119" t="s">
        <v>276</v>
      </c>
      <c r="D4119" t="s">
        <v>689</v>
      </c>
      <c r="E4119" t="s">
        <v>767</v>
      </c>
      <c r="F4119">
        <v>2</v>
      </c>
      <c r="G4119" s="308">
        <f>'BECA SUPERIOR'!J253</f>
        <v>0</v>
      </c>
      <c r="H4119" s="308">
        <f>'BECA SUPERIOR'!K253</f>
        <v>0</v>
      </c>
    </row>
    <row r="4120" spans="1:8" x14ac:dyDescent="0.3">
      <c r="A4120" t="s">
        <v>690</v>
      </c>
      <c r="B4120" t="s">
        <v>263</v>
      </c>
      <c r="C4120" t="s">
        <v>276</v>
      </c>
      <c r="D4120" t="s">
        <v>689</v>
      </c>
      <c r="E4120" t="s">
        <v>768</v>
      </c>
      <c r="F4120">
        <v>3</v>
      </c>
      <c r="G4120" s="308">
        <f>'BECA SUPERIOR'!M253</f>
        <v>0</v>
      </c>
      <c r="H4120" s="308">
        <f>'BECA SUPERIOR'!N253</f>
        <v>0</v>
      </c>
    </row>
    <row r="4121" spans="1:8" x14ac:dyDescent="0.3">
      <c r="A4121" t="s">
        <v>690</v>
      </c>
      <c r="B4121" t="s">
        <v>263</v>
      </c>
      <c r="C4121" t="s">
        <v>276</v>
      </c>
      <c r="D4121" t="s">
        <v>689</v>
      </c>
      <c r="E4121" t="s">
        <v>769</v>
      </c>
      <c r="F4121">
        <v>4</v>
      </c>
      <c r="G4121" s="308">
        <f>'BECA SUPERIOR'!P253</f>
        <v>2.16</v>
      </c>
      <c r="H4121" s="308">
        <f>'BECA SUPERIOR'!Q253</f>
        <v>5400</v>
      </c>
    </row>
    <row r="4122" spans="1:8" x14ac:dyDescent="0.3">
      <c r="A4122" t="s">
        <v>690</v>
      </c>
      <c r="B4122" t="s">
        <v>263</v>
      </c>
      <c r="C4122" t="s">
        <v>276</v>
      </c>
      <c r="D4122" t="s">
        <v>689</v>
      </c>
      <c r="E4122" t="s">
        <v>770</v>
      </c>
      <c r="F4122">
        <v>5</v>
      </c>
      <c r="G4122" s="308">
        <f>'BECA SUPERIOR'!S253</f>
        <v>0</v>
      </c>
      <c r="H4122" s="308">
        <f>'BECA SUPERIOR'!T253</f>
        <v>0</v>
      </c>
    </row>
    <row r="4123" spans="1:8" x14ac:dyDescent="0.3">
      <c r="A4123" t="s">
        <v>690</v>
      </c>
      <c r="B4123" t="s">
        <v>263</v>
      </c>
      <c r="C4123" t="s">
        <v>276</v>
      </c>
      <c r="D4123" t="s">
        <v>689</v>
      </c>
      <c r="E4123" t="s">
        <v>771</v>
      </c>
      <c r="F4123">
        <v>6</v>
      </c>
      <c r="G4123" s="308">
        <f>'BECA SUPERIOR'!V253</f>
        <v>0</v>
      </c>
      <c r="H4123" s="308">
        <f>'BECA SUPERIOR'!W253</f>
        <v>0</v>
      </c>
    </row>
    <row r="4124" spans="1:8" x14ac:dyDescent="0.3">
      <c r="A4124" t="s">
        <v>690</v>
      </c>
      <c r="B4124" t="s">
        <v>263</v>
      </c>
      <c r="C4124" t="s">
        <v>276</v>
      </c>
      <c r="D4124" t="s">
        <v>689</v>
      </c>
      <c r="E4124" t="s">
        <v>772</v>
      </c>
      <c r="F4124">
        <v>7</v>
      </c>
      <c r="G4124" s="308">
        <f>'BECA SUPERIOR'!Y253</f>
        <v>0</v>
      </c>
      <c r="H4124" s="308">
        <f>'BECA SUPERIOR'!Z253</f>
        <v>0</v>
      </c>
    </row>
    <row r="4125" spans="1:8" x14ac:dyDescent="0.3">
      <c r="A4125" t="s">
        <v>690</v>
      </c>
      <c r="B4125" t="s">
        <v>263</v>
      </c>
      <c r="C4125" t="s">
        <v>277</v>
      </c>
      <c r="D4125" t="s">
        <v>689</v>
      </c>
      <c r="E4125" t="s">
        <v>766</v>
      </c>
      <c r="F4125">
        <v>1</v>
      </c>
      <c r="G4125" s="308">
        <f>'BECA SUPERIOR'!G254</f>
        <v>0</v>
      </c>
      <c r="H4125" s="308">
        <f>'BECA SUPERIOR'!H254</f>
        <v>0</v>
      </c>
    </row>
    <row r="4126" spans="1:8" x14ac:dyDescent="0.3">
      <c r="A4126" t="s">
        <v>690</v>
      </c>
      <c r="B4126" t="s">
        <v>263</v>
      </c>
      <c r="C4126" t="s">
        <v>277</v>
      </c>
      <c r="D4126" t="s">
        <v>689</v>
      </c>
      <c r="E4126" t="s">
        <v>767</v>
      </c>
      <c r="F4126">
        <v>2</v>
      </c>
      <c r="G4126" s="308">
        <f>'BECA SUPERIOR'!J254</f>
        <v>0</v>
      </c>
      <c r="H4126" s="308">
        <f>'BECA SUPERIOR'!K254</f>
        <v>0</v>
      </c>
    </row>
    <row r="4127" spans="1:8" x14ac:dyDescent="0.3">
      <c r="A4127" t="s">
        <v>690</v>
      </c>
      <c r="B4127" t="s">
        <v>263</v>
      </c>
      <c r="C4127" t="s">
        <v>277</v>
      </c>
      <c r="D4127" t="s">
        <v>689</v>
      </c>
      <c r="E4127" t="s">
        <v>768</v>
      </c>
      <c r="F4127">
        <v>3</v>
      </c>
      <c r="G4127" s="308">
        <f>'BECA SUPERIOR'!M254</f>
        <v>0</v>
      </c>
      <c r="H4127" s="308">
        <f>'BECA SUPERIOR'!N254</f>
        <v>0</v>
      </c>
    </row>
    <row r="4128" spans="1:8" x14ac:dyDescent="0.3">
      <c r="A4128" t="s">
        <v>690</v>
      </c>
      <c r="B4128" t="s">
        <v>263</v>
      </c>
      <c r="C4128" t="s">
        <v>277</v>
      </c>
      <c r="D4128" t="s">
        <v>689</v>
      </c>
      <c r="E4128" t="s">
        <v>769</v>
      </c>
      <c r="F4128">
        <v>4</v>
      </c>
      <c r="G4128" s="308">
        <f>'BECA SUPERIOR'!P254</f>
        <v>2.16</v>
      </c>
      <c r="H4128" s="308">
        <f>'BECA SUPERIOR'!Q254</f>
        <v>5400</v>
      </c>
    </row>
    <row r="4129" spans="1:8" x14ac:dyDescent="0.3">
      <c r="A4129" t="s">
        <v>690</v>
      </c>
      <c r="B4129" t="s">
        <v>263</v>
      </c>
      <c r="C4129" t="s">
        <v>277</v>
      </c>
      <c r="D4129" t="s">
        <v>689</v>
      </c>
      <c r="E4129" t="s">
        <v>770</v>
      </c>
      <c r="F4129">
        <v>5</v>
      </c>
      <c r="G4129" s="308">
        <f>'BECA SUPERIOR'!S254</f>
        <v>0</v>
      </c>
      <c r="H4129" s="308">
        <f>'BECA SUPERIOR'!T254</f>
        <v>0</v>
      </c>
    </row>
    <row r="4130" spans="1:8" x14ac:dyDescent="0.3">
      <c r="A4130" t="s">
        <v>690</v>
      </c>
      <c r="B4130" t="s">
        <v>263</v>
      </c>
      <c r="C4130" t="s">
        <v>277</v>
      </c>
      <c r="D4130" t="s">
        <v>689</v>
      </c>
      <c r="E4130" t="s">
        <v>771</v>
      </c>
      <c r="F4130">
        <v>6</v>
      </c>
      <c r="G4130" s="308">
        <f>'BECA SUPERIOR'!V254</f>
        <v>0</v>
      </c>
      <c r="H4130" s="308">
        <f>'BECA SUPERIOR'!W254</f>
        <v>0</v>
      </c>
    </row>
    <row r="4131" spans="1:8" x14ac:dyDescent="0.3">
      <c r="A4131" t="s">
        <v>690</v>
      </c>
      <c r="B4131" t="s">
        <v>263</v>
      </c>
      <c r="C4131" t="s">
        <v>277</v>
      </c>
      <c r="D4131" t="s">
        <v>689</v>
      </c>
      <c r="E4131" t="s">
        <v>772</v>
      </c>
      <c r="F4131">
        <v>7</v>
      </c>
      <c r="G4131" s="308">
        <f>'BECA SUPERIOR'!Y254</f>
        <v>0</v>
      </c>
      <c r="H4131" s="308">
        <f>'BECA SUPERIOR'!Z254</f>
        <v>0</v>
      </c>
    </row>
    <row r="4132" spans="1:8" x14ac:dyDescent="0.3">
      <c r="A4132" t="s">
        <v>690</v>
      </c>
      <c r="B4132" t="s">
        <v>263</v>
      </c>
      <c r="C4132" t="s">
        <v>278</v>
      </c>
      <c r="D4132" t="s">
        <v>689</v>
      </c>
      <c r="E4132" t="s">
        <v>766</v>
      </c>
      <c r="F4132">
        <v>1</v>
      </c>
      <c r="G4132" s="308">
        <f>'BECA SUPERIOR'!G255</f>
        <v>0</v>
      </c>
      <c r="H4132" s="308">
        <f>'BECA SUPERIOR'!H255</f>
        <v>0</v>
      </c>
    </row>
    <row r="4133" spans="1:8" x14ac:dyDescent="0.3">
      <c r="A4133" t="s">
        <v>690</v>
      </c>
      <c r="B4133" t="s">
        <v>263</v>
      </c>
      <c r="C4133" t="s">
        <v>278</v>
      </c>
      <c r="D4133" t="s">
        <v>689</v>
      </c>
      <c r="E4133" t="s">
        <v>767</v>
      </c>
      <c r="F4133">
        <v>2</v>
      </c>
      <c r="G4133" s="308">
        <f>'BECA SUPERIOR'!J255</f>
        <v>0</v>
      </c>
      <c r="H4133" s="308">
        <f>'BECA SUPERIOR'!K255</f>
        <v>0</v>
      </c>
    </row>
    <row r="4134" spans="1:8" x14ac:dyDescent="0.3">
      <c r="A4134" t="s">
        <v>690</v>
      </c>
      <c r="B4134" t="s">
        <v>263</v>
      </c>
      <c r="C4134" t="s">
        <v>278</v>
      </c>
      <c r="D4134" t="s">
        <v>689</v>
      </c>
      <c r="E4134" t="s">
        <v>768</v>
      </c>
      <c r="F4134">
        <v>3</v>
      </c>
      <c r="G4134" s="308">
        <f>'BECA SUPERIOR'!M255</f>
        <v>0</v>
      </c>
      <c r="H4134" s="308">
        <f>'BECA SUPERIOR'!N255</f>
        <v>0</v>
      </c>
    </row>
    <row r="4135" spans="1:8" x14ac:dyDescent="0.3">
      <c r="A4135" t="s">
        <v>690</v>
      </c>
      <c r="B4135" t="s">
        <v>263</v>
      </c>
      <c r="C4135" t="s">
        <v>278</v>
      </c>
      <c r="D4135" t="s">
        <v>689</v>
      </c>
      <c r="E4135" t="s">
        <v>769</v>
      </c>
      <c r="F4135">
        <v>4</v>
      </c>
      <c r="G4135" s="308">
        <f>'BECA SUPERIOR'!P255</f>
        <v>0</v>
      </c>
      <c r="H4135" s="308">
        <f>'BECA SUPERIOR'!Q255</f>
        <v>0</v>
      </c>
    </row>
    <row r="4136" spans="1:8" x14ac:dyDescent="0.3">
      <c r="A4136" t="s">
        <v>690</v>
      </c>
      <c r="B4136" t="s">
        <v>263</v>
      </c>
      <c r="C4136" t="s">
        <v>278</v>
      </c>
      <c r="D4136" t="s">
        <v>689</v>
      </c>
      <c r="E4136" t="s">
        <v>770</v>
      </c>
      <c r="F4136">
        <v>5</v>
      </c>
      <c r="G4136" s="308">
        <f>'BECA SUPERIOR'!S255</f>
        <v>0</v>
      </c>
      <c r="H4136" s="308">
        <f>'BECA SUPERIOR'!T255</f>
        <v>0</v>
      </c>
    </row>
    <row r="4137" spans="1:8" x14ac:dyDescent="0.3">
      <c r="A4137" t="s">
        <v>690</v>
      </c>
      <c r="B4137" t="s">
        <v>263</v>
      </c>
      <c r="C4137" t="s">
        <v>278</v>
      </c>
      <c r="D4137" t="s">
        <v>689</v>
      </c>
      <c r="E4137" t="s">
        <v>771</v>
      </c>
      <c r="F4137">
        <v>6</v>
      </c>
      <c r="G4137" s="308">
        <f>'BECA SUPERIOR'!V255</f>
        <v>0</v>
      </c>
      <c r="H4137" s="308">
        <f>'BECA SUPERIOR'!W255</f>
        <v>0</v>
      </c>
    </row>
    <row r="4138" spans="1:8" x14ac:dyDescent="0.3">
      <c r="A4138" t="s">
        <v>690</v>
      </c>
      <c r="B4138" t="s">
        <v>263</v>
      </c>
      <c r="C4138" t="s">
        <v>278</v>
      </c>
      <c r="D4138" t="s">
        <v>689</v>
      </c>
      <c r="E4138" t="s">
        <v>772</v>
      </c>
      <c r="F4138">
        <v>7</v>
      </c>
      <c r="G4138" s="308">
        <f>'BECA SUPERIOR'!Y255</f>
        <v>0</v>
      </c>
      <c r="H4138" s="308">
        <f>'BECA SUPERIOR'!Z255</f>
        <v>0</v>
      </c>
    </row>
    <row r="4139" spans="1:8" x14ac:dyDescent="0.3">
      <c r="A4139" t="s">
        <v>690</v>
      </c>
      <c r="B4139" t="s">
        <v>263</v>
      </c>
      <c r="C4139" t="s">
        <v>279</v>
      </c>
      <c r="D4139" t="s">
        <v>689</v>
      </c>
      <c r="E4139" t="s">
        <v>766</v>
      </c>
      <c r="F4139">
        <v>1</v>
      </c>
      <c r="G4139" s="308">
        <f>'BECA SUPERIOR'!G256</f>
        <v>0</v>
      </c>
      <c r="H4139" s="308">
        <f>'BECA SUPERIOR'!H256</f>
        <v>0</v>
      </c>
    </row>
    <row r="4140" spans="1:8" x14ac:dyDescent="0.3">
      <c r="A4140" t="s">
        <v>690</v>
      </c>
      <c r="B4140" t="s">
        <v>263</v>
      </c>
      <c r="C4140" t="s">
        <v>279</v>
      </c>
      <c r="D4140" t="s">
        <v>689</v>
      </c>
      <c r="E4140" t="s">
        <v>767</v>
      </c>
      <c r="F4140">
        <v>2</v>
      </c>
      <c r="G4140" s="308">
        <f>'BECA SUPERIOR'!J256</f>
        <v>0</v>
      </c>
      <c r="H4140" s="308">
        <f>'BECA SUPERIOR'!K256</f>
        <v>0</v>
      </c>
    </row>
    <row r="4141" spans="1:8" x14ac:dyDescent="0.3">
      <c r="A4141" t="s">
        <v>690</v>
      </c>
      <c r="B4141" t="s">
        <v>263</v>
      </c>
      <c r="C4141" t="s">
        <v>279</v>
      </c>
      <c r="D4141" t="s">
        <v>689</v>
      </c>
      <c r="E4141" t="s">
        <v>768</v>
      </c>
      <c r="F4141">
        <v>3</v>
      </c>
      <c r="G4141" s="308">
        <f>'BECA SUPERIOR'!M256</f>
        <v>0</v>
      </c>
      <c r="H4141" s="308">
        <f>'BECA SUPERIOR'!N256</f>
        <v>0</v>
      </c>
    </row>
    <row r="4142" spans="1:8" x14ac:dyDescent="0.3">
      <c r="A4142" t="s">
        <v>690</v>
      </c>
      <c r="B4142" t="s">
        <v>263</v>
      </c>
      <c r="C4142" t="s">
        <v>279</v>
      </c>
      <c r="D4142" t="s">
        <v>689</v>
      </c>
      <c r="E4142" t="s">
        <v>769</v>
      </c>
      <c r="F4142">
        <v>4</v>
      </c>
      <c r="G4142" s="308">
        <f>'BECA SUPERIOR'!P256</f>
        <v>0</v>
      </c>
      <c r="H4142" s="308">
        <f>'BECA SUPERIOR'!Q256</f>
        <v>0</v>
      </c>
    </row>
    <row r="4143" spans="1:8" x14ac:dyDescent="0.3">
      <c r="A4143" t="s">
        <v>690</v>
      </c>
      <c r="B4143" t="s">
        <v>263</v>
      </c>
      <c r="C4143" t="s">
        <v>279</v>
      </c>
      <c r="D4143" t="s">
        <v>689</v>
      </c>
      <c r="E4143" t="s">
        <v>770</v>
      </c>
      <c r="F4143">
        <v>5</v>
      </c>
      <c r="G4143" s="308">
        <f>'BECA SUPERIOR'!S256</f>
        <v>0</v>
      </c>
      <c r="H4143" s="308">
        <f>'BECA SUPERIOR'!T256</f>
        <v>0</v>
      </c>
    </row>
    <row r="4144" spans="1:8" x14ac:dyDescent="0.3">
      <c r="A4144" t="s">
        <v>690</v>
      </c>
      <c r="B4144" t="s">
        <v>263</v>
      </c>
      <c r="C4144" t="s">
        <v>279</v>
      </c>
      <c r="D4144" t="s">
        <v>689</v>
      </c>
      <c r="E4144" t="s">
        <v>771</v>
      </c>
      <c r="F4144">
        <v>6</v>
      </c>
      <c r="G4144" s="308">
        <f>'BECA SUPERIOR'!V256</f>
        <v>0</v>
      </c>
      <c r="H4144" s="308">
        <f>'BECA SUPERIOR'!W256</f>
        <v>0</v>
      </c>
    </row>
    <row r="4145" spans="1:8" x14ac:dyDescent="0.3">
      <c r="A4145" t="s">
        <v>690</v>
      </c>
      <c r="B4145" t="s">
        <v>263</v>
      </c>
      <c r="C4145" t="s">
        <v>279</v>
      </c>
      <c r="D4145" t="s">
        <v>689</v>
      </c>
      <c r="E4145" t="s">
        <v>772</v>
      </c>
      <c r="F4145">
        <v>7</v>
      </c>
      <c r="G4145" s="308">
        <f>'BECA SUPERIOR'!Y256</f>
        <v>0</v>
      </c>
      <c r="H4145" s="308">
        <f>'BECA SUPERIOR'!Z256</f>
        <v>0</v>
      </c>
    </row>
    <row r="4146" spans="1:8" x14ac:dyDescent="0.3">
      <c r="A4146" t="s">
        <v>690</v>
      </c>
      <c r="B4146" t="s">
        <v>263</v>
      </c>
      <c r="C4146" t="s">
        <v>280</v>
      </c>
      <c r="D4146" t="s">
        <v>689</v>
      </c>
      <c r="E4146" t="s">
        <v>766</v>
      </c>
      <c r="F4146">
        <v>1</v>
      </c>
      <c r="G4146" s="308">
        <f>'BECA SUPERIOR'!G257</f>
        <v>0</v>
      </c>
      <c r="H4146" s="308">
        <f>'BECA SUPERIOR'!H257</f>
        <v>0</v>
      </c>
    </row>
    <row r="4147" spans="1:8" x14ac:dyDescent="0.3">
      <c r="A4147" t="s">
        <v>690</v>
      </c>
      <c r="B4147" t="s">
        <v>263</v>
      </c>
      <c r="C4147" t="s">
        <v>280</v>
      </c>
      <c r="D4147" t="s">
        <v>689</v>
      </c>
      <c r="E4147" t="s">
        <v>767</v>
      </c>
      <c r="F4147">
        <v>2</v>
      </c>
      <c r="G4147" s="308">
        <f>'BECA SUPERIOR'!J257</f>
        <v>0</v>
      </c>
      <c r="H4147" s="308">
        <f>'BECA SUPERIOR'!K257</f>
        <v>0</v>
      </c>
    </row>
    <row r="4148" spans="1:8" x14ac:dyDescent="0.3">
      <c r="A4148" t="s">
        <v>690</v>
      </c>
      <c r="B4148" t="s">
        <v>263</v>
      </c>
      <c r="C4148" t="s">
        <v>280</v>
      </c>
      <c r="D4148" t="s">
        <v>689</v>
      </c>
      <c r="E4148" t="s">
        <v>768</v>
      </c>
      <c r="F4148">
        <v>3</v>
      </c>
      <c r="G4148" s="308">
        <f>'BECA SUPERIOR'!M257</f>
        <v>0</v>
      </c>
      <c r="H4148" s="308">
        <f>'BECA SUPERIOR'!N257</f>
        <v>0</v>
      </c>
    </row>
    <row r="4149" spans="1:8" x14ac:dyDescent="0.3">
      <c r="A4149" t="s">
        <v>690</v>
      </c>
      <c r="B4149" t="s">
        <v>263</v>
      </c>
      <c r="C4149" t="s">
        <v>280</v>
      </c>
      <c r="D4149" t="s">
        <v>689</v>
      </c>
      <c r="E4149" t="s">
        <v>769</v>
      </c>
      <c r="F4149">
        <v>4</v>
      </c>
      <c r="G4149" s="308">
        <f>'BECA SUPERIOR'!P257</f>
        <v>2.16</v>
      </c>
      <c r="H4149" s="308">
        <f>'BECA SUPERIOR'!Q257</f>
        <v>5400</v>
      </c>
    </row>
    <row r="4150" spans="1:8" x14ac:dyDescent="0.3">
      <c r="A4150" t="s">
        <v>690</v>
      </c>
      <c r="B4150" t="s">
        <v>263</v>
      </c>
      <c r="C4150" t="s">
        <v>280</v>
      </c>
      <c r="D4150" t="s">
        <v>689</v>
      </c>
      <c r="E4150" t="s">
        <v>770</v>
      </c>
      <c r="F4150">
        <v>5</v>
      </c>
      <c r="G4150" s="308">
        <f>'BECA SUPERIOR'!S257</f>
        <v>0</v>
      </c>
      <c r="H4150" s="308">
        <f>'BECA SUPERIOR'!T257</f>
        <v>0</v>
      </c>
    </row>
    <row r="4151" spans="1:8" x14ac:dyDescent="0.3">
      <c r="A4151" t="s">
        <v>690</v>
      </c>
      <c r="B4151" t="s">
        <v>263</v>
      </c>
      <c r="C4151" t="s">
        <v>280</v>
      </c>
      <c r="D4151" t="s">
        <v>689</v>
      </c>
      <c r="E4151" t="s">
        <v>771</v>
      </c>
      <c r="F4151">
        <v>6</v>
      </c>
      <c r="G4151" s="308">
        <f>'BECA SUPERIOR'!V257</f>
        <v>0</v>
      </c>
      <c r="H4151" s="308">
        <f>'BECA SUPERIOR'!W257</f>
        <v>0</v>
      </c>
    </row>
    <row r="4152" spans="1:8" x14ac:dyDescent="0.3">
      <c r="A4152" t="s">
        <v>690</v>
      </c>
      <c r="B4152" t="s">
        <v>263</v>
      </c>
      <c r="C4152" t="s">
        <v>280</v>
      </c>
      <c r="D4152" t="s">
        <v>689</v>
      </c>
      <c r="E4152" t="s">
        <v>772</v>
      </c>
      <c r="F4152">
        <v>7</v>
      </c>
      <c r="G4152" s="308">
        <f>'BECA SUPERIOR'!Y257</f>
        <v>0</v>
      </c>
      <c r="H4152" s="308">
        <f>'BECA SUPERIOR'!Z257</f>
        <v>0</v>
      </c>
    </row>
    <row r="4153" spans="1:8" x14ac:dyDescent="0.3">
      <c r="A4153" t="s">
        <v>690</v>
      </c>
      <c r="B4153" t="s">
        <v>263</v>
      </c>
      <c r="C4153" t="s">
        <v>281</v>
      </c>
      <c r="D4153" t="s">
        <v>689</v>
      </c>
      <c r="E4153" t="s">
        <v>766</v>
      </c>
      <c r="F4153">
        <v>1</v>
      </c>
      <c r="G4153" s="308">
        <f>'BECA SUPERIOR'!G258</f>
        <v>0</v>
      </c>
      <c r="H4153" s="308">
        <f>'BECA SUPERIOR'!H258</f>
        <v>0</v>
      </c>
    </row>
    <row r="4154" spans="1:8" x14ac:dyDescent="0.3">
      <c r="A4154" t="s">
        <v>690</v>
      </c>
      <c r="B4154" t="s">
        <v>263</v>
      </c>
      <c r="C4154" t="s">
        <v>281</v>
      </c>
      <c r="D4154" t="s">
        <v>689</v>
      </c>
      <c r="E4154" t="s">
        <v>767</v>
      </c>
      <c r="F4154">
        <v>2</v>
      </c>
      <c r="G4154" s="308">
        <f>'BECA SUPERIOR'!J258</f>
        <v>0</v>
      </c>
      <c r="H4154" s="308">
        <f>'BECA SUPERIOR'!K258</f>
        <v>0</v>
      </c>
    </row>
    <row r="4155" spans="1:8" x14ac:dyDescent="0.3">
      <c r="A4155" t="s">
        <v>690</v>
      </c>
      <c r="B4155" t="s">
        <v>263</v>
      </c>
      <c r="C4155" t="s">
        <v>281</v>
      </c>
      <c r="D4155" t="s">
        <v>689</v>
      </c>
      <c r="E4155" t="s">
        <v>768</v>
      </c>
      <c r="F4155">
        <v>3</v>
      </c>
      <c r="G4155" s="308">
        <f>'BECA SUPERIOR'!M258</f>
        <v>0</v>
      </c>
      <c r="H4155" s="308">
        <f>'BECA SUPERIOR'!N258</f>
        <v>0</v>
      </c>
    </row>
    <row r="4156" spans="1:8" x14ac:dyDescent="0.3">
      <c r="A4156" t="s">
        <v>690</v>
      </c>
      <c r="B4156" t="s">
        <v>263</v>
      </c>
      <c r="C4156" t="s">
        <v>281</v>
      </c>
      <c r="D4156" t="s">
        <v>689</v>
      </c>
      <c r="E4156" t="s">
        <v>769</v>
      </c>
      <c r="F4156">
        <v>4</v>
      </c>
      <c r="G4156" s="308">
        <f>'BECA SUPERIOR'!P258</f>
        <v>0</v>
      </c>
      <c r="H4156" s="308">
        <f>'BECA SUPERIOR'!Q258</f>
        <v>0</v>
      </c>
    </row>
    <row r="4157" spans="1:8" x14ac:dyDescent="0.3">
      <c r="A4157" t="s">
        <v>690</v>
      </c>
      <c r="B4157" t="s">
        <v>263</v>
      </c>
      <c r="C4157" t="s">
        <v>281</v>
      </c>
      <c r="D4157" t="s">
        <v>689</v>
      </c>
      <c r="E4157" t="s">
        <v>770</v>
      </c>
      <c r="F4157">
        <v>5</v>
      </c>
      <c r="G4157" s="308">
        <f>'BECA SUPERIOR'!S258</f>
        <v>0</v>
      </c>
      <c r="H4157" s="308">
        <f>'BECA SUPERIOR'!T258</f>
        <v>0</v>
      </c>
    </row>
    <row r="4158" spans="1:8" x14ac:dyDescent="0.3">
      <c r="A4158" t="s">
        <v>690</v>
      </c>
      <c r="B4158" t="s">
        <v>263</v>
      </c>
      <c r="C4158" t="s">
        <v>281</v>
      </c>
      <c r="D4158" t="s">
        <v>689</v>
      </c>
      <c r="E4158" t="s">
        <v>771</v>
      </c>
      <c r="F4158">
        <v>6</v>
      </c>
      <c r="G4158" s="308">
        <f>'BECA SUPERIOR'!V258</f>
        <v>0</v>
      </c>
      <c r="H4158" s="308">
        <f>'BECA SUPERIOR'!W258</f>
        <v>0</v>
      </c>
    </row>
    <row r="4159" spans="1:8" x14ac:dyDescent="0.3">
      <c r="A4159" t="s">
        <v>690</v>
      </c>
      <c r="B4159" t="s">
        <v>263</v>
      </c>
      <c r="C4159" t="s">
        <v>281</v>
      </c>
      <c r="D4159" t="s">
        <v>689</v>
      </c>
      <c r="E4159" t="s">
        <v>772</v>
      </c>
      <c r="F4159">
        <v>7</v>
      </c>
      <c r="G4159" s="308">
        <f>'BECA SUPERIOR'!Y258</f>
        <v>0</v>
      </c>
      <c r="H4159" s="308">
        <f>'BECA SUPERIOR'!Z258</f>
        <v>0</v>
      </c>
    </row>
    <row r="4160" spans="1:8" x14ac:dyDescent="0.3">
      <c r="A4160" t="s">
        <v>690</v>
      </c>
      <c r="B4160" t="s">
        <v>263</v>
      </c>
      <c r="C4160" t="s">
        <v>282</v>
      </c>
      <c r="D4160" t="s">
        <v>689</v>
      </c>
      <c r="E4160" t="s">
        <v>766</v>
      </c>
      <c r="F4160">
        <v>1</v>
      </c>
      <c r="G4160" s="308">
        <f>'BECA SUPERIOR'!G259</f>
        <v>0</v>
      </c>
      <c r="H4160" s="308">
        <f>'BECA SUPERIOR'!H259</f>
        <v>0</v>
      </c>
    </row>
    <row r="4161" spans="1:8" x14ac:dyDescent="0.3">
      <c r="A4161" t="s">
        <v>690</v>
      </c>
      <c r="B4161" t="s">
        <v>263</v>
      </c>
      <c r="C4161" t="s">
        <v>282</v>
      </c>
      <c r="D4161" t="s">
        <v>689</v>
      </c>
      <c r="E4161" t="s">
        <v>767</v>
      </c>
      <c r="F4161">
        <v>2</v>
      </c>
      <c r="G4161" s="308">
        <f>'BECA SUPERIOR'!J259</f>
        <v>0</v>
      </c>
      <c r="H4161" s="308">
        <f>'BECA SUPERIOR'!K259</f>
        <v>0</v>
      </c>
    </row>
    <row r="4162" spans="1:8" x14ac:dyDescent="0.3">
      <c r="A4162" t="s">
        <v>690</v>
      </c>
      <c r="B4162" t="s">
        <v>263</v>
      </c>
      <c r="C4162" t="s">
        <v>282</v>
      </c>
      <c r="D4162" t="s">
        <v>689</v>
      </c>
      <c r="E4162" t="s">
        <v>768</v>
      </c>
      <c r="F4162">
        <v>3</v>
      </c>
      <c r="G4162" s="308">
        <f>'BECA SUPERIOR'!M259</f>
        <v>0</v>
      </c>
      <c r="H4162" s="308">
        <f>'BECA SUPERIOR'!N259</f>
        <v>0</v>
      </c>
    </row>
    <row r="4163" spans="1:8" x14ac:dyDescent="0.3">
      <c r="A4163" t="s">
        <v>690</v>
      </c>
      <c r="B4163" t="s">
        <v>263</v>
      </c>
      <c r="C4163" t="s">
        <v>282</v>
      </c>
      <c r="D4163" t="s">
        <v>689</v>
      </c>
      <c r="E4163" t="s">
        <v>769</v>
      </c>
      <c r="F4163">
        <v>4</v>
      </c>
      <c r="G4163" s="308">
        <f>'BECA SUPERIOR'!P259</f>
        <v>0</v>
      </c>
      <c r="H4163" s="308">
        <f>'BECA SUPERIOR'!Q259</f>
        <v>0</v>
      </c>
    </row>
    <row r="4164" spans="1:8" x14ac:dyDescent="0.3">
      <c r="A4164" t="s">
        <v>690</v>
      </c>
      <c r="B4164" t="s">
        <v>263</v>
      </c>
      <c r="C4164" t="s">
        <v>282</v>
      </c>
      <c r="D4164" t="s">
        <v>689</v>
      </c>
      <c r="E4164" t="s">
        <v>770</v>
      </c>
      <c r="F4164">
        <v>5</v>
      </c>
      <c r="G4164" s="308">
        <f>'BECA SUPERIOR'!S259</f>
        <v>0</v>
      </c>
      <c r="H4164" s="308">
        <f>'BECA SUPERIOR'!T259</f>
        <v>0</v>
      </c>
    </row>
    <row r="4165" spans="1:8" x14ac:dyDescent="0.3">
      <c r="A4165" t="s">
        <v>690</v>
      </c>
      <c r="B4165" t="s">
        <v>263</v>
      </c>
      <c r="C4165" t="s">
        <v>282</v>
      </c>
      <c r="D4165" t="s">
        <v>689</v>
      </c>
      <c r="E4165" t="s">
        <v>771</v>
      </c>
      <c r="F4165">
        <v>6</v>
      </c>
      <c r="G4165" s="308">
        <f>'BECA SUPERIOR'!V259</f>
        <v>0</v>
      </c>
      <c r="H4165" s="308">
        <f>'BECA SUPERIOR'!W259</f>
        <v>0</v>
      </c>
    </row>
    <row r="4166" spans="1:8" x14ac:dyDescent="0.3">
      <c r="A4166" t="s">
        <v>690</v>
      </c>
      <c r="B4166" t="s">
        <v>263</v>
      </c>
      <c r="C4166" t="s">
        <v>282</v>
      </c>
      <c r="D4166" t="s">
        <v>689</v>
      </c>
      <c r="E4166" t="s">
        <v>772</v>
      </c>
      <c r="F4166">
        <v>7</v>
      </c>
      <c r="G4166" s="308">
        <f>'BECA SUPERIOR'!Y259</f>
        <v>0</v>
      </c>
      <c r="H4166" s="308">
        <f>'BECA SUPERIOR'!Z259</f>
        <v>0</v>
      </c>
    </row>
    <row r="4167" spans="1:8" x14ac:dyDescent="0.3">
      <c r="A4167" t="s">
        <v>690</v>
      </c>
      <c r="B4167" t="s">
        <v>263</v>
      </c>
      <c r="C4167" t="s">
        <v>283</v>
      </c>
      <c r="D4167" t="s">
        <v>689</v>
      </c>
      <c r="E4167" t="s">
        <v>766</v>
      </c>
      <c r="F4167">
        <v>1</v>
      </c>
      <c r="G4167" s="308">
        <f>'BECA SUPERIOR'!G260</f>
        <v>0</v>
      </c>
      <c r="H4167" s="308">
        <f>'BECA SUPERIOR'!H260</f>
        <v>0</v>
      </c>
    </row>
    <row r="4168" spans="1:8" x14ac:dyDescent="0.3">
      <c r="A4168" t="s">
        <v>690</v>
      </c>
      <c r="B4168" t="s">
        <v>263</v>
      </c>
      <c r="C4168" t="s">
        <v>283</v>
      </c>
      <c r="D4168" t="s">
        <v>689</v>
      </c>
      <c r="E4168" t="s">
        <v>767</v>
      </c>
      <c r="F4168">
        <v>2</v>
      </c>
      <c r="G4168" s="308">
        <f>'BECA SUPERIOR'!J260</f>
        <v>0</v>
      </c>
      <c r="H4168" s="308">
        <f>'BECA SUPERIOR'!K260</f>
        <v>0</v>
      </c>
    </row>
    <row r="4169" spans="1:8" x14ac:dyDescent="0.3">
      <c r="A4169" t="s">
        <v>690</v>
      </c>
      <c r="B4169" t="s">
        <v>263</v>
      </c>
      <c r="C4169" t="s">
        <v>283</v>
      </c>
      <c r="D4169" t="s">
        <v>689</v>
      </c>
      <c r="E4169" t="s">
        <v>768</v>
      </c>
      <c r="F4169">
        <v>3</v>
      </c>
      <c r="G4169" s="308">
        <f>'BECA SUPERIOR'!M260</f>
        <v>0</v>
      </c>
      <c r="H4169" s="308">
        <f>'BECA SUPERIOR'!N260</f>
        <v>0</v>
      </c>
    </row>
    <row r="4170" spans="1:8" x14ac:dyDescent="0.3">
      <c r="A4170" t="s">
        <v>690</v>
      </c>
      <c r="B4170" t="s">
        <v>263</v>
      </c>
      <c r="C4170" t="s">
        <v>283</v>
      </c>
      <c r="D4170" t="s">
        <v>689</v>
      </c>
      <c r="E4170" t="s">
        <v>769</v>
      </c>
      <c r="F4170">
        <v>4</v>
      </c>
      <c r="G4170" s="308">
        <f>'BECA SUPERIOR'!P260</f>
        <v>0</v>
      </c>
      <c r="H4170" s="308">
        <f>'BECA SUPERIOR'!Q260</f>
        <v>0</v>
      </c>
    </row>
    <row r="4171" spans="1:8" x14ac:dyDescent="0.3">
      <c r="A4171" t="s">
        <v>690</v>
      </c>
      <c r="B4171" t="s">
        <v>263</v>
      </c>
      <c r="C4171" t="s">
        <v>283</v>
      </c>
      <c r="D4171" t="s">
        <v>689</v>
      </c>
      <c r="E4171" t="s">
        <v>770</v>
      </c>
      <c r="F4171">
        <v>5</v>
      </c>
      <c r="G4171" s="308">
        <f>'BECA SUPERIOR'!S260</f>
        <v>0</v>
      </c>
      <c r="H4171" s="308">
        <f>'BECA SUPERIOR'!T260</f>
        <v>0</v>
      </c>
    </row>
    <row r="4172" spans="1:8" x14ac:dyDescent="0.3">
      <c r="A4172" t="s">
        <v>690</v>
      </c>
      <c r="B4172" t="s">
        <v>263</v>
      </c>
      <c r="C4172" t="s">
        <v>283</v>
      </c>
      <c r="D4172" t="s">
        <v>689</v>
      </c>
      <c r="E4172" t="s">
        <v>771</v>
      </c>
      <c r="F4172">
        <v>6</v>
      </c>
      <c r="G4172" s="308">
        <f>'BECA SUPERIOR'!V260</f>
        <v>0</v>
      </c>
      <c r="H4172" s="308">
        <f>'BECA SUPERIOR'!W260</f>
        <v>0</v>
      </c>
    </row>
    <row r="4173" spans="1:8" x14ac:dyDescent="0.3">
      <c r="A4173" t="s">
        <v>690</v>
      </c>
      <c r="B4173" t="s">
        <v>263</v>
      </c>
      <c r="C4173" t="s">
        <v>283</v>
      </c>
      <c r="D4173" t="s">
        <v>689</v>
      </c>
      <c r="E4173" t="s">
        <v>772</v>
      </c>
      <c r="F4173">
        <v>7</v>
      </c>
      <c r="G4173" s="308">
        <f>'BECA SUPERIOR'!Y260</f>
        <v>0</v>
      </c>
      <c r="H4173" s="308">
        <f>'BECA SUPERIOR'!Z260</f>
        <v>0</v>
      </c>
    </row>
    <row r="4174" spans="1:8" x14ac:dyDescent="0.3">
      <c r="A4174" t="s">
        <v>690</v>
      </c>
      <c r="B4174" t="s">
        <v>263</v>
      </c>
      <c r="C4174" t="s">
        <v>263</v>
      </c>
      <c r="D4174" t="s">
        <v>689</v>
      </c>
      <c r="E4174" t="s">
        <v>766</v>
      </c>
      <c r="F4174">
        <v>1</v>
      </c>
      <c r="G4174" s="308">
        <f>'BECA SUPERIOR'!G261</f>
        <v>0</v>
      </c>
      <c r="H4174" s="308">
        <f>'BECA SUPERIOR'!H261</f>
        <v>0</v>
      </c>
    </row>
    <row r="4175" spans="1:8" x14ac:dyDescent="0.3">
      <c r="A4175" t="s">
        <v>690</v>
      </c>
      <c r="B4175" t="s">
        <v>263</v>
      </c>
      <c r="C4175" t="s">
        <v>263</v>
      </c>
      <c r="D4175" t="s">
        <v>689</v>
      </c>
      <c r="E4175" t="s">
        <v>767</v>
      </c>
      <c r="F4175">
        <v>2</v>
      </c>
      <c r="G4175" s="308">
        <f>'BECA SUPERIOR'!J261</f>
        <v>0</v>
      </c>
      <c r="H4175" s="308">
        <f>'BECA SUPERIOR'!K261</f>
        <v>0</v>
      </c>
    </row>
    <row r="4176" spans="1:8" x14ac:dyDescent="0.3">
      <c r="A4176" t="s">
        <v>690</v>
      </c>
      <c r="B4176" t="s">
        <v>263</v>
      </c>
      <c r="C4176" t="s">
        <v>263</v>
      </c>
      <c r="D4176" t="s">
        <v>689</v>
      </c>
      <c r="E4176" t="s">
        <v>768</v>
      </c>
      <c r="F4176">
        <v>3</v>
      </c>
      <c r="G4176" s="308">
        <f>'BECA SUPERIOR'!M261</f>
        <v>0</v>
      </c>
      <c r="H4176" s="308">
        <f>'BECA SUPERIOR'!N261</f>
        <v>0</v>
      </c>
    </row>
    <row r="4177" spans="1:8" x14ac:dyDescent="0.3">
      <c r="A4177" t="s">
        <v>690</v>
      </c>
      <c r="B4177" t="s">
        <v>263</v>
      </c>
      <c r="C4177" t="s">
        <v>263</v>
      </c>
      <c r="D4177" t="s">
        <v>689</v>
      </c>
      <c r="E4177" t="s">
        <v>769</v>
      </c>
      <c r="F4177">
        <v>4</v>
      </c>
      <c r="G4177" s="308">
        <f>'BECA SUPERIOR'!P261</f>
        <v>5.04</v>
      </c>
      <c r="H4177" s="308">
        <f>'BECA SUPERIOR'!Q261</f>
        <v>12600</v>
      </c>
    </row>
    <row r="4178" spans="1:8" x14ac:dyDescent="0.3">
      <c r="A4178" t="s">
        <v>690</v>
      </c>
      <c r="B4178" t="s">
        <v>263</v>
      </c>
      <c r="C4178" t="s">
        <v>263</v>
      </c>
      <c r="D4178" t="s">
        <v>689</v>
      </c>
      <c r="E4178" t="s">
        <v>770</v>
      </c>
      <c r="F4178">
        <v>5</v>
      </c>
      <c r="G4178" s="308">
        <f>'BECA SUPERIOR'!S261</f>
        <v>0</v>
      </c>
      <c r="H4178" s="308">
        <f>'BECA SUPERIOR'!T261</f>
        <v>0</v>
      </c>
    </row>
    <row r="4179" spans="1:8" x14ac:dyDescent="0.3">
      <c r="A4179" t="s">
        <v>690</v>
      </c>
      <c r="B4179" t="s">
        <v>263</v>
      </c>
      <c r="C4179" t="s">
        <v>263</v>
      </c>
      <c r="D4179" t="s">
        <v>689</v>
      </c>
      <c r="E4179" t="s">
        <v>771</v>
      </c>
      <c r="F4179">
        <v>6</v>
      </c>
      <c r="G4179" s="308">
        <f>'BECA SUPERIOR'!V261</f>
        <v>0</v>
      </c>
      <c r="H4179" s="308">
        <f>'BECA SUPERIOR'!W261</f>
        <v>0</v>
      </c>
    </row>
    <row r="4180" spans="1:8" x14ac:dyDescent="0.3">
      <c r="A4180" t="s">
        <v>690</v>
      </c>
      <c r="B4180" t="s">
        <v>263</v>
      </c>
      <c r="C4180" t="s">
        <v>263</v>
      </c>
      <c r="D4180" t="s">
        <v>689</v>
      </c>
      <c r="E4180" t="s">
        <v>772</v>
      </c>
      <c r="F4180">
        <v>7</v>
      </c>
      <c r="G4180" s="308">
        <f>'BECA SUPERIOR'!Y261</f>
        <v>0</v>
      </c>
      <c r="H4180" s="308">
        <f>'BECA SUPERIOR'!Z261</f>
        <v>0</v>
      </c>
    </row>
    <row r="4181" spans="1:8" x14ac:dyDescent="0.3">
      <c r="A4181" t="s">
        <v>690</v>
      </c>
      <c r="B4181" t="s">
        <v>263</v>
      </c>
      <c r="C4181" t="s">
        <v>284</v>
      </c>
      <c r="D4181" t="s">
        <v>689</v>
      </c>
      <c r="E4181" t="s">
        <v>766</v>
      </c>
      <c r="F4181">
        <v>1</v>
      </c>
      <c r="G4181" s="308">
        <f>'BECA SUPERIOR'!G262</f>
        <v>0</v>
      </c>
      <c r="H4181" s="308">
        <f>'BECA SUPERIOR'!H262</f>
        <v>0</v>
      </c>
    </row>
    <row r="4182" spans="1:8" x14ac:dyDescent="0.3">
      <c r="A4182" t="s">
        <v>690</v>
      </c>
      <c r="B4182" t="s">
        <v>263</v>
      </c>
      <c r="C4182" t="s">
        <v>284</v>
      </c>
      <c r="D4182" t="s">
        <v>689</v>
      </c>
      <c r="E4182" t="s">
        <v>767</v>
      </c>
      <c r="F4182">
        <v>2</v>
      </c>
      <c r="G4182" s="308">
        <f>'BECA SUPERIOR'!J262</f>
        <v>0</v>
      </c>
      <c r="H4182" s="308">
        <f>'BECA SUPERIOR'!K262</f>
        <v>0</v>
      </c>
    </row>
    <row r="4183" spans="1:8" x14ac:dyDescent="0.3">
      <c r="A4183" t="s">
        <v>690</v>
      </c>
      <c r="B4183" t="s">
        <v>263</v>
      </c>
      <c r="C4183" t="s">
        <v>284</v>
      </c>
      <c r="D4183" t="s">
        <v>689</v>
      </c>
      <c r="E4183" t="s">
        <v>768</v>
      </c>
      <c r="F4183">
        <v>3</v>
      </c>
      <c r="G4183" s="308">
        <f>'BECA SUPERIOR'!M262</f>
        <v>0</v>
      </c>
      <c r="H4183" s="308">
        <f>'BECA SUPERIOR'!N262</f>
        <v>0</v>
      </c>
    </row>
    <row r="4184" spans="1:8" x14ac:dyDescent="0.3">
      <c r="A4184" t="s">
        <v>690</v>
      </c>
      <c r="B4184" t="s">
        <v>263</v>
      </c>
      <c r="C4184" t="s">
        <v>284</v>
      </c>
      <c r="D4184" t="s">
        <v>689</v>
      </c>
      <c r="E4184" t="s">
        <v>769</v>
      </c>
      <c r="F4184">
        <v>4</v>
      </c>
      <c r="G4184" s="308">
        <f>'BECA SUPERIOR'!P262</f>
        <v>3.6</v>
      </c>
      <c r="H4184" s="308">
        <f>'BECA SUPERIOR'!Q262</f>
        <v>9000</v>
      </c>
    </row>
    <row r="4185" spans="1:8" x14ac:dyDescent="0.3">
      <c r="A4185" t="s">
        <v>690</v>
      </c>
      <c r="B4185" t="s">
        <v>263</v>
      </c>
      <c r="C4185" t="s">
        <v>284</v>
      </c>
      <c r="D4185" t="s">
        <v>689</v>
      </c>
      <c r="E4185" t="s">
        <v>770</v>
      </c>
      <c r="F4185">
        <v>5</v>
      </c>
      <c r="G4185" s="308">
        <f>'BECA SUPERIOR'!S262</f>
        <v>0</v>
      </c>
      <c r="H4185" s="308">
        <f>'BECA SUPERIOR'!T262</f>
        <v>0</v>
      </c>
    </row>
    <row r="4186" spans="1:8" x14ac:dyDescent="0.3">
      <c r="A4186" t="s">
        <v>690</v>
      </c>
      <c r="B4186" t="s">
        <v>263</v>
      </c>
      <c r="C4186" t="s">
        <v>284</v>
      </c>
      <c r="D4186" t="s">
        <v>689</v>
      </c>
      <c r="E4186" t="s">
        <v>771</v>
      </c>
      <c r="F4186">
        <v>6</v>
      </c>
      <c r="G4186" s="308">
        <f>'BECA SUPERIOR'!V262</f>
        <v>0</v>
      </c>
      <c r="H4186" s="308">
        <f>'BECA SUPERIOR'!W262</f>
        <v>0</v>
      </c>
    </row>
    <row r="4187" spans="1:8" x14ac:dyDescent="0.3">
      <c r="A4187" t="s">
        <v>690</v>
      </c>
      <c r="B4187" t="s">
        <v>263</v>
      </c>
      <c r="C4187" t="s">
        <v>284</v>
      </c>
      <c r="D4187" t="s">
        <v>689</v>
      </c>
      <c r="E4187" t="s">
        <v>772</v>
      </c>
      <c r="F4187">
        <v>7</v>
      </c>
      <c r="G4187" s="308">
        <f>'BECA SUPERIOR'!Y262</f>
        <v>0</v>
      </c>
      <c r="H4187" s="308">
        <f>'BECA SUPERIOR'!Z262</f>
        <v>0</v>
      </c>
    </row>
    <row r="4188" spans="1:8" x14ac:dyDescent="0.3">
      <c r="A4188" t="s">
        <v>690</v>
      </c>
      <c r="B4188" t="s">
        <v>263</v>
      </c>
      <c r="C4188" t="s">
        <v>285</v>
      </c>
      <c r="D4188" t="s">
        <v>689</v>
      </c>
      <c r="E4188" t="s">
        <v>766</v>
      </c>
      <c r="F4188">
        <v>1</v>
      </c>
      <c r="G4188" s="308">
        <f>'BECA SUPERIOR'!G263</f>
        <v>0</v>
      </c>
      <c r="H4188" s="308">
        <f>'BECA SUPERIOR'!H263</f>
        <v>0</v>
      </c>
    </row>
    <row r="4189" spans="1:8" x14ac:dyDescent="0.3">
      <c r="A4189" t="s">
        <v>690</v>
      </c>
      <c r="B4189" t="s">
        <v>263</v>
      </c>
      <c r="C4189" t="s">
        <v>285</v>
      </c>
      <c r="D4189" t="s">
        <v>689</v>
      </c>
      <c r="E4189" t="s">
        <v>767</v>
      </c>
      <c r="F4189">
        <v>2</v>
      </c>
      <c r="G4189" s="308">
        <f>'BECA SUPERIOR'!J263</f>
        <v>0</v>
      </c>
      <c r="H4189" s="308">
        <f>'BECA SUPERIOR'!K263</f>
        <v>0</v>
      </c>
    </row>
    <row r="4190" spans="1:8" x14ac:dyDescent="0.3">
      <c r="A4190" t="s">
        <v>690</v>
      </c>
      <c r="B4190" t="s">
        <v>263</v>
      </c>
      <c r="C4190" t="s">
        <v>285</v>
      </c>
      <c r="D4190" t="s">
        <v>689</v>
      </c>
      <c r="E4190" t="s">
        <v>768</v>
      </c>
      <c r="F4190">
        <v>3</v>
      </c>
      <c r="G4190" s="308">
        <f>'BECA SUPERIOR'!M263</f>
        <v>0</v>
      </c>
      <c r="H4190" s="308">
        <f>'BECA SUPERIOR'!N263</f>
        <v>0</v>
      </c>
    </row>
    <row r="4191" spans="1:8" x14ac:dyDescent="0.3">
      <c r="A4191" t="s">
        <v>690</v>
      </c>
      <c r="B4191" t="s">
        <v>263</v>
      </c>
      <c r="C4191" t="s">
        <v>285</v>
      </c>
      <c r="D4191" t="s">
        <v>689</v>
      </c>
      <c r="E4191" t="s">
        <v>769</v>
      </c>
      <c r="F4191">
        <v>4</v>
      </c>
      <c r="G4191" s="308">
        <f>'BECA SUPERIOR'!P263</f>
        <v>1.44</v>
      </c>
      <c r="H4191" s="308">
        <f>'BECA SUPERIOR'!Q263</f>
        <v>3600</v>
      </c>
    </row>
    <row r="4192" spans="1:8" x14ac:dyDescent="0.3">
      <c r="A4192" t="s">
        <v>690</v>
      </c>
      <c r="B4192" t="s">
        <v>263</v>
      </c>
      <c r="C4192" t="s">
        <v>285</v>
      </c>
      <c r="D4192" t="s">
        <v>689</v>
      </c>
      <c r="E4192" t="s">
        <v>770</v>
      </c>
      <c r="F4192">
        <v>5</v>
      </c>
      <c r="G4192" s="308">
        <f>'BECA SUPERIOR'!S263</f>
        <v>0</v>
      </c>
      <c r="H4192" s="308">
        <f>'BECA SUPERIOR'!T263</f>
        <v>0</v>
      </c>
    </row>
    <row r="4193" spans="1:8" x14ac:dyDescent="0.3">
      <c r="A4193" t="s">
        <v>690</v>
      </c>
      <c r="B4193" t="s">
        <v>263</v>
      </c>
      <c r="C4193" t="s">
        <v>285</v>
      </c>
      <c r="D4193" t="s">
        <v>689</v>
      </c>
      <c r="E4193" t="s">
        <v>771</v>
      </c>
      <c r="F4193">
        <v>6</v>
      </c>
      <c r="G4193" s="308">
        <f>'BECA SUPERIOR'!V263</f>
        <v>0</v>
      </c>
      <c r="H4193" s="308">
        <f>'BECA SUPERIOR'!W263</f>
        <v>0</v>
      </c>
    </row>
    <row r="4194" spans="1:8" x14ac:dyDescent="0.3">
      <c r="A4194" t="s">
        <v>690</v>
      </c>
      <c r="B4194" t="s">
        <v>263</v>
      </c>
      <c r="C4194" t="s">
        <v>285</v>
      </c>
      <c r="D4194" t="s">
        <v>689</v>
      </c>
      <c r="E4194" t="s">
        <v>772</v>
      </c>
      <c r="F4194">
        <v>7</v>
      </c>
      <c r="G4194" s="308">
        <f>'BECA SUPERIOR'!Y263</f>
        <v>0</v>
      </c>
      <c r="H4194" s="308">
        <f>'BECA SUPERIOR'!Z263</f>
        <v>0</v>
      </c>
    </row>
    <row r="4195" spans="1:8" x14ac:dyDescent="0.3">
      <c r="A4195" t="s">
        <v>690</v>
      </c>
      <c r="B4195" t="s">
        <v>263</v>
      </c>
      <c r="C4195" t="s">
        <v>112</v>
      </c>
      <c r="D4195" t="s">
        <v>689</v>
      </c>
      <c r="E4195" t="s">
        <v>766</v>
      </c>
      <c r="F4195">
        <v>1</v>
      </c>
      <c r="G4195" s="308">
        <f>'BECA SUPERIOR'!G264</f>
        <v>0</v>
      </c>
      <c r="H4195" s="308">
        <f>'BECA SUPERIOR'!H264</f>
        <v>0</v>
      </c>
    </row>
    <row r="4196" spans="1:8" x14ac:dyDescent="0.3">
      <c r="A4196" t="s">
        <v>690</v>
      </c>
      <c r="B4196" t="s">
        <v>263</v>
      </c>
      <c r="C4196" t="s">
        <v>112</v>
      </c>
      <c r="D4196" t="s">
        <v>689</v>
      </c>
      <c r="E4196" t="s">
        <v>767</v>
      </c>
      <c r="F4196">
        <v>2</v>
      </c>
      <c r="G4196" s="308">
        <f>'BECA SUPERIOR'!J264</f>
        <v>0</v>
      </c>
      <c r="H4196" s="308">
        <f>'BECA SUPERIOR'!K264</f>
        <v>0</v>
      </c>
    </row>
    <row r="4197" spans="1:8" x14ac:dyDescent="0.3">
      <c r="A4197" t="s">
        <v>690</v>
      </c>
      <c r="B4197" t="s">
        <v>263</v>
      </c>
      <c r="C4197" t="s">
        <v>112</v>
      </c>
      <c r="D4197" t="s">
        <v>689</v>
      </c>
      <c r="E4197" t="s">
        <v>768</v>
      </c>
      <c r="F4197">
        <v>3</v>
      </c>
      <c r="G4197" s="308">
        <f>'BECA SUPERIOR'!M264</f>
        <v>0</v>
      </c>
      <c r="H4197" s="308">
        <f>'BECA SUPERIOR'!N264</f>
        <v>0</v>
      </c>
    </row>
    <row r="4198" spans="1:8" x14ac:dyDescent="0.3">
      <c r="A4198" t="s">
        <v>690</v>
      </c>
      <c r="B4198" t="s">
        <v>263</v>
      </c>
      <c r="C4198" t="s">
        <v>112</v>
      </c>
      <c r="D4198" t="s">
        <v>689</v>
      </c>
      <c r="E4198" t="s">
        <v>769</v>
      </c>
      <c r="F4198">
        <v>4</v>
      </c>
      <c r="G4198" s="308">
        <f>'BECA SUPERIOR'!P264</f>
        <v>4.32</v>
      </c>
      <c r="H4198" s="308">
        <f>'BECA SUPERIOR'!Q264</f>
        <v>10800</v>
      </c>
    </row>
    <row r="4199" spans="1:8" x14ac:dyDescent="0.3">
      <c r="A4199" t="s">
        <v>690</v>
      </c>
      <c r="B4199" t="s">
        <v>263</v>
      </c>
      <c r="C4199" t="s">
        <v>112</v>
      </c>
      <c r="D4199" t="s">
        <v>689</v>
      </c>
      <c r="E4199" t="s">
        <v>770</v>
      </c>
      <c r="F4199">
        <v>5</v>
      </c>
      <c r="G4199" s="308">
        <f>'BECA SUPERIOR'!S264</f>
        <v>0</v>
      </c>
      <c r="H4199" s="308">
        <f>'BECA SUPERIOR'!T264</f>
        <v>0</v>
      </c>
    </row>
    <row r="4200" spans="1:8" x14ac:dyDescent="0.3">
      <c r="A4200" t="s">
        <v>690</v>
      </c>
      <c r="B4200" t="s">
        <v>263</v>
      </c>
      <c r="C4200" t="s">
        <v>112</v>
      </c>
      <c r="D4200" t="s">
        <v>689</v>
      </c>
      <c r="E4200" t="s">
        <v>771</v>
      </c>
      <c r="F4200">
        <v>6</v>
      </c>
      <c r="G4200" s="308">
        <f>'BECA SUPERIOR'!V264</f>
        <v>0</v>
      </c>
      <c r="H4200" s="308">
        <f>'BECA SUPERIOR'!W264</f>
        <v>0</v>
      </c>
    </row>
    <row r="4201" spans="1:8" x14ac:dyDescent="0.3">
      <c r="A4201" t="s">
        <v>690</v>
      </c>
      <c r="B4201" t="s">
        <v>263</v>
      </c>
      <c r="C4201" t="s">
        <v>112</v>
      </c>
      <c r="D4201" t="s">
        <v>689</v>
      </c>
      <c r="E4201" t="s">
        <v>772</v>
      </c>
      <c r="F4201">
        <v>7</v>
      </c>
      <c r="G4201" s="308">
        <f>'BECA SUPERIOR'!Y264</f>
        <v>0</v>
      </c>
      <c r="H4201" s="308">
        <f>'BECA SUPERIOR'!Z264</f>
        <v>0</v>
      </c>
    </row>
    <row r="4202" spans="1:8" x14ac:dyDescent="0.3">
      <c r="A4202" t="s">
        <v>690</v>
      </c>
      <c r="B4202" t="s">
        <v>263</v>
      </c>
      <c r="C4202" t="s">
        <v>286</v>
      </c>
      <c r="D4202" t="s">
        <v>689</v>
      </c>
      <c r="E4202" t="s">
        <v>766</v>
      </c>
      <c r="F4202">
        <v>1</v>
      </c>
      <c r="G4202" s="308">
        <f>'BECA SUPERIOR'!G265</f>
        <v>0</v>
      </c>
      <c r="H4202" s="308">
        <f>'BECA SUPERIOR'!H265</f>
        <v>0</v>
      </c>
    </row>
    <row r="4203" spans="1:8" x14ac:dyDescent="0.3">
      <c r="A4203" t="s">
        <v>690</v>
      </c>
      <c r="B4203" t="s">
        <v>263</v>
      </c>
      <c r="C4203" t="s">
        <v>286</v>
      </c>
      <c r="D4203" t="s">
        <v>689</v>
      </c>
      <c r="E4203" t="s">
        <v>767</v>
      </c>
      <c r="F4203">
        <v>2</v>
      </c>
      <c r="G4203" s="308">
        <f>'BECA SUPERIOR'!J265</f>
        <v>0</v>
      </c>
      <c r="H4203" s="308">
        <f>'BECA SUPERIOR'!K265</f>
        <v>0</v>
      </c>
    </row>
    <row r="4204" spans="1:8" x14ac:dyDescent="0.3">
      <c r="A4204" t="s">
        <v>690</v>
      </c>
      <c r="B4204" t="s">
        <v>263</v>
      </c>
      <c r="C4204" t="s">
        <v>286</v>
      </c>
      <c r="D4204" t="s">
        <v>689</v>
      </c>
      <c r="E4204" t="s">
        <v>768</v>
      </c>
      <c r="F4204">
        <v>3</v>
      </c>
      <c r="G4204" s="308">
        <f>'BECA SUPERIOR'!M265</f>
        <v>0</v>
      </c>
      <c r="H4204" s="308">
        <f>'BECA SUPERIOR'!N265</f>
        <v>0</v>
      </c>
    </row>
    <row r="4205" spans="1:8" x14ac:dyDescent="0.3">
      <c r="A4205" t="s">
        <v>690</v>
      </c>
      <c r="B4205" t="s">
        <v>263</v>
      </c>
      <c r="C4205" t="s">
        <v>286</v>
      </c>
      <c r="D4205" t="s">
        <v>689</v>
      </c>
      <c r="E4205" t="s">
        <v>769</v>
      </c>
      <c r="F4205">
        <v>4</v>
      </c>
      <c r="G4205" s="308">
        <f>'BECA SUPERIOR'!P265</f>
        <v>0.72</v>
      </c>
      <c r="H4205" s="308">
        <f>'BECA SUPERIOR'!Q265</f>
        <v>1800</v>
      </c>
    </row>
    <row r="4206" spans="1:8" x14ac:dyDescent="0.3">
      <c r="A4206" t="s">
        <v>690</v>
      </c>
      <c r="B4206" t="s">
        <v>263</v>
      </c>
      <c r="C4206" t="s">
        <v>286</v>
      </c>
      <c r="D4206" t="s">
        <v>689</v>
      </c>
      <c r="E4206" t="s">
        <v>770</v>
      </c>
      <c r="F4206">
        <v>5</v>
      </c>
      <c r="G4206" s="308">
        <f>'BECA SUPERIOR'!S265</f>
        <v>0</v>
      </c>
      <c r="H4206" s="308">
        <f>'BECA SUPERIOR'!T265</f>
        <v>0</v>
      </c>
    </row>
    <row r="4207" spans="1:8" x14ac:dyDescent="0.3">
      <c r="A4207" t="s">
        <v>690</v>
      </c>
      <c r="B4207" t="s">
        <v>263</v>
      </c>
      <c r="C4207" t="s">
        <v>286</v>
      </c>
      <c r="D4207" t="s">
        <v>689</v>
      </c>
      <c r="E4207" t="s">
        <v>771</v>
      </c>
      <c r="F4207">
        <v>6</v>
      </c>
      <c r="G4207" s="308">
        <f>'BECA SUPERIOR'!V265</f>
        <v>0</v>
      </c>
      <c r="H4207" s="308">
        <f>'BECA SUPERIOR'!W265</f>
        <v>0</v>
      </c>
    </row>
    <row r="4208" spans="1:8" x14ac:dyDescent="0.3">
      <c r="A4208" t="s">
        <v>690</v>
      </c>
      <c r="B4208" t="s">
        <v>263</v>
      </c>
      <c r="C4208" t="s">
        <v>286</v>
      </c>
      <c r="D4208" t="s">
        <v>689</v>
      </c>
      <c r="E4208" t="s">
        <v>772</v>
      </c>
      <c r="F4208">
        <v>7</v>
      </c>
      <c r="G4208" s="308">
        <f>'BECA SUPERIOR'!Y265</f>
        <v>0</v>
      </c>
      <c r="H4208" s="308">
        <f>'BECA SUPERIOR'!Z265</f>
        <v>0</v>
      </c>
    </row>
    <row r="4209" spans="1:8" x14ac:dyDescent="0.3">
      <c r="A4209" t="s">
        <v>690</v>
      </c>
      <c r="B4209" t="s">
        <v>263</v>
      </c>
      <c r="C4209" t="s">
        <v>287</v>
      </c>
      <c r="D4209" t="s">
        <v>689</v>
      </c>
      <c r="E4209" t="s">
        <v>766</v>
      </c>
      <c r="F4209">
        <v>1</v>
      </c>
      <c r="G4209" s="308">
        <f>'BECA SUPERIOR'!G266</f>
        <v>0</v>
      </c>
      <c r="H4209" s="308">
        <f>'BECA SUPERIOR'!H266</f>
        <v>0</v>
      </c>
    </row>
    <row r="4210" spans="1:8" x14ac:dyDescent="0.3">
      <c r="A4210" t="s">
        <v>690</v>
      </c>
      <c r="B4210" t="s">
        <v>263</v>
      </c>
      <c r="C4210" t="s">
        <v>287</v>
      </c>
      <c r="D4210" t="s">
        <v>689</v>
      </c>
      <c r="E4210" t="s">
        <v>767</v>
      </c>
      <c r="F4210">
        <v>2</v>
      </c>
      <c r="G4210" s="308">
        <f>'BECA SUPERIOR'!J266</f>
        <v>0</v>
      </c>
      <c r="H4210" s="308">
        <f>'BECA SUPERIOR'!K266</f>
        <v>0</v>
      </c>
    </row>
    <row r="4211" spans="1:8" x14ac:dyDescent="0.3">
      <c r="A4211" t="s">
        <v>690</v>
      </c>
      <c r="B4211" t="s">
        <v>263</v>
      </c>
      <c r="C4211" t="s">
        <v>287</v>
      </c>
      <c r="D4211" t="s">
        <v>689</v>
      </c>
      <c r="E4211" t="s">
        <v>768</v>
      </c>
      <c r="F4211">
        <v>3</v>
      </c>
      <c r="G4211" s="308">
        <f>'BECA SUPERIOR'!M266</f>
        <v>0</v>
      </c>
      <c r="H4211" s="308">
        <f>'BECA SUPERIOR'!N266</f>
        <v>0</v>
      </c>
    </row>
    <row r="4212" spans="1:8" x14ac:dyDescent="0.3">
      <c r="A4212" t="s">
        <v>690</v>
      </c>
      <c r="B4212" t="s">
        <v>263</v>
      </c>
      <c r="C4212" t="s">
        <v>287</v>
      </c>
      <c r="D4212" t="s">
        <v>689</v>
      </c>
      <c r="E4212" t="s">
        <v>769</v>
      </c>
      <c r="F4212">
        <v>4</v>
      </c>
      <c r="G4212" s="308">
        <f>'BECA SUPERIOR'!P266</f>
        <v>0</v>
      </c>
      <c r="H4212" s="308">
        <f>'BECA SUPERIOR'!Q266</f>
        <v>0</v>
      </c>
    </row>
    <row r="4213" spans="1:8" x14ac:dyDescent="0.3">
      <c r="A4213" t="s">
        <v>690</v>
      </c>
      <c r="B4213" t="s">
        <v>263</v>
      </c>
      <c r="C4213" t="s">
        <v>287</v>
      </c>
      <c r="D4213" t="s">
        <v>689</v>
      </c>
      <c r="E4213" t="s">
        <v>770</v>
      </c>
      <c r="F4213">
        <v>5</v>
      </c>
      <c r="G4213" s="308">
        <f>'BECA SUPERIOR'!S266</f>
        <v>0</v>
      </c>
      <c r="H4213" s="308">
        <f>'BECA SUPERIOR'!T266</f>
        <v>0</v>
      </c>
    </row>
    <row r="4214" spans="1:8" x14ac:dyDescent="0.3">
      <c r="A4214" t="s">
        <v>690</v>
      </c>
      <c r="B4214" t="s">
        <v>263</v>
      </c>
      <c r="C4214" t="s">
        <v>287</v>
      </c>
      <c r="D4214" t="s">
        <v>689</v>
      </c>
      <c r="E4214" t="s">
        <v>771</v>
      </c>
      <c r="F4214">
        <v>6</v>
      </c>
      <c r="G4214" s="308">
        <f>'BECA SUPERIOR'!V266</f>
        <v>0</v>
      </c>
      <c r="H4214" s="308">
        <f>'BECA SUPERIOR'!W266</f>
        <v>0</v>
      </c>
    </row>
    <row r="4215" spans="1:8" x14ac:dyDescent="0.3">
      <c r="A4215" t="s">
        <v>690</v>
      </c>
      <c r="B4215" t="s">
        <v>263</v>
      </c>
      <c r="C4215" t="s">
        <v>287</v>
      </c>
      <c r="D4215" t="s">
        <v>689</v>
      </c>
      <c r="E4215" t="s">
        <v>772</v>
      </c>
      <c r="F4215">
        <v>7</v>
      </c>
      <c r="G4215" s="308">
        <f>'BECA SUPERIOR'!Y266</f>
        <v>0</v>
      </c>
      <c r="H4215" s="308">
        <f>'BECA SUPERIOR'!Z266</f>
        <v>0</v>
      </c>
    </row>
    <row r="4216" spans="1:8" x14ac:dyDescent="0.3">
      <c r="A4216" t="s">
        <v>690</v>
      </c>
      <c r="B4216" t="s">
        <v>263</v>
      </c>
      <c r="C4216" t="s">
        <v>288</v>
      </c>
      <c r="D4216" t="s">
        <v>689</v>
      </c>
      <c r="E4216" t="s">
        <v>766</v>
      </c>
      <c r="F4216">
        <v>1</v>
      </c>
      <c r="G4216" s="308">
        <f>'BECA SUPERIOR'!G267</f>
        <v>0</v>
      </c>
      <c r="H4216" s="308">
        <f>'BECA SUPERIOR'!H267</f>
        <v>0</v>
      </c>
    </row>
    <row r="4217" spans="1:8" x14ac:dyDescent="0.3">
      <c r="A4217" t="s">
        <v>690</v>
      </c>
      <c r="B4217" t="s">
        <v>263</v>
      </c>
      <c r="C4217" t="s">
        <v>288</v>
      </c>
      <c r="D4217" t="s">
        <v>689</v>
      </c>
      <c r="E4217" t="s">
        <v>767</v>
      </c>
      <c r="F4217">
        <v>2</v>
      </c>
      <c r="G4217" s="308">
        <f>'BECA SUPERIOR'!J267</f>
        <v>0</v>
      </c>
      <c r="H4217" s="308">
        <f>'BECA SUPERIOR'!K267</f>
        <v>0</v>
      </c>
    </row>
    <row r="4218" spans="1:8" x14ac:dyDescent="0.3">
      <c r="A4218" t="s">
        <v>690</v>
      </c>
      <c r="B4218" t="s">
        <v>263</v>
      </c>
      <c r="C4218" t="s">
        <v>288</v>
      </c>
      <c r="D4218" t="s">
        <v>689</v>
      </c>
      <c r="E4218" t="s">
        <v>768</v>
      </c>
      <c r="F4218">
        <v>3</v>
      </c>
      <c r="G4218" s="308">
        <f>'BECA SUPERIOR'!M267</f>
        <v>0</v>
      </c>
      <c r="H4218" s="308">
        <f>'BECA SUPERIOR'!N267</f>
        <v>0</v>
      </c>
    </row>
    <row r="4219" spans="1:8" x14ac:dyDescent="0.3">
      <c r="A4219" t="s">
        <v>690</v>
      </c>
      <c r="B4219" t="s">
        <v>263</v>
      </c>
      <c r="C4219" t="s">
        <v>288</v>
      </c>
      <c r="D4219" t="s">
        <v>689</v>
      </c>
      <c r="E4219" t="s">
        <v>769</v>
      </c>
      <c r="F4219">
        <v>4</v>
      </c>
      <c r="G4219" s="308">
        <f>'BECA SUPERIOR'!P267</f>
        <v>0</v>
      </c>
      <c r="H4219" s="308">
        <f>'BECA SUPERIOR'!Q267</f>
        <v>0</v>
      </c>
    </row>
    <row r="4220" spans="1:8" x14ac:dyDescent="0.3">
      <c r="A4220" t="s">
        <v>690</v>
      </c>
      <c r="B4220" t="s">
        <v>263</v>
      </c>
      <c r="C4220" t="s">
        <v>288</v>
      </c>
      <c r="D4220" t="s">
        <v>689</v>
      </c>
      <c r="E4220" t="s">
        <v>770</v>
      </c>
      <c r="F4220">
        <v>5</v>
      </c>
      <c r="G4220" s="308">
        <f>'BECA SUPERIOR'!S267</f>
        <v>0</v>
      </c>
      <c r="H4220" s="308">
        <f>'BECA SUPERIOR'!T267</f>
        <v>0</v>
      </c>
    </row>
    <row r="4221" spans="1:8" x14ac:dyDescent="0.3">
      <c r="A4221" t="s">
        <v>690</v>
      </c>
      <c r="B4221" t="s">
        <v>263</v>
      </c>
      <c r="C4221" t="s">
        <v>288</v>
      </c>
      <c r="D4221" t="s">
        <v>689</v>
      </c>
      <c r="E4221" t="s">
        <v>771</v>
      </c>
      <c r="F4221">
        <v>6</v>
      </c>
      <c r="G4221" s="308">
        <f>'BECA SUPERIOR'!V267</f>
        <v>0</v>
      </c>
      <c r="H4221" s="308">
        <f>'BECA SUPERIOR'!W267</f>
        <v>0</v>
      </c>
    </row>
    <row r="4222" spans="1:8" x14ac:dyDescent="0.3">
      <c r="A4222" t="s">
        <v>690</v>
      </c>
      <c r="B4222" t="s">
        <v>263</v>
      </c>
      <c r="C4222" t="s">
        <v>288</v>
      </c>
      <c r="D4222" t="s">
        <v>689</v>
      </c>
      <c r="E4222" t="s">
        <v>772</v>
      </c>
      <c r="F4222">
        <v>7</v>
      </c>
      <c r="G4222" s="308">
        <f>'BECA SUPERIOR'!Y267</f>
        <v>0</v>
      </c>
      <c r="H4222" s="308">
        <f>'BECA SUPERIOR'!Z267</f>
        <v>0</v>
      </c>
    </row>
    <row r="4223" spans="1:8" x14ac:dyDescent="0.3">
      <c r="A4223" t="s">
        <v>690</v>
      </c>
      <c r="B4223" t="s">
        <v>263</v>
      </c>
      <c r="C4223" t="s">
        <v>289</v>
      </c>
      <c r="D4223" t="s">
        <v>689</v>
      </c>
      <c r="E4223" t="s">
        <v>766</v>
      </c>
      <c r="F4223">
        <v>1</v>
      </c>
      <c r="G4223" s="308">
        <f>'BECA SUPERIOR'!G268</f>
        <v>0</v>
      </c>
      <c r="H4223" s="308">
        <f>'BECA SUPERIOR'!H268</f>
        <v>0</v>
      </c>
    </row>
    <row r="4224" spans="1:8" x14ac:dyDescent="0.3">
      <c r="A4224" t="s">
        <v>690</v>
      </c>
      <c r="B4224" t="s">
        <v>263</v>
      </c>
      <c r="C4224" t="s">
        <v>289</v>
      </c>
      <c r="D4224" t="s">
        <v>689</v>
      </c>
      <c r="E4224" t="s">
        <v>767</v>
      </c>
      <c r="F4224">
        <v>2</v>
      </c>
      <c r="G4224" s="308">
        <f>'BECA SUPERIOR'!J268</f>
        <v>0</v>
      </c>
      <c r="H4224" s="308">
        <f>'BECA SUPERIOR'!K268</f>
        <v>0</v>
      </c>
    </row>
    <row r="4225" spans="1:8" x14ac:dyDescent="0.3">
      <c r="A4225" t="s">
        <v>690</v>
      </c>
      <c r="B4225" t="s">
        <v>263</v>
      </c>
      <c r="C4225" t="s">
        <v>289</v>
      </c>
      <c r="D4225" t="s">
        <v>689</v>
      </c>
      <c r="E4225" t="s">
        <v>768</v>
      </c>
      <c r="F4225">
        <v>3</v>
      </c>
      <c r="G4225" s="308">
        <f>'BECA SUPERIOR'!M268</f>
        <v>0</v>
      </c>
      <c r="H4225" s="308">
        <f>'BECA SUPERIOR'!N268</f>
        <v>0</v>
      </c>
    </row>
    <row r="4226" spans="1:8" x14ac:dyDescent="0.3">
      <c r="A4226" t="s">
        <v>690</v>
      </c>
      <c r="B4226" t="s">
        <v>263</v>
      </c>
      <c r="C4226" t="s">
        <v>289</v>
      </c>
      <c r="D4226" t="s">
        <v>689</v>
      </c>
      <c r="E4226" t="s">
        <v>769</v>
      </c>
      <c r="F4226">
        <v>4</v>
      </c>
      <c r="G4226" s="308">
        <f>'BECA SUPERIOR'!P268</f>
        <v>0</v>
      </c>
      <c r="H4226" s="308">
        <f>'BECA SUPERIOR'!Q268</f>
        <v>0</v>
      </c>
    </row>
    <row r="4227" spans="1:8" x14ac:dyDescent="0.3">
      <c r="A4227" t="s">
        <v>690</v>
      </c>
      <c r="B4227" t="s">
        <v>263</v>
      </c>
      <c r="C4227" t="s">
        <v>289</v>
      </c>
      <c r="D4227" t="s">
        <v>689</v>
      </c>
      <c r="E4227" t="s">
        <v>770</v>
      </c>
      <c r="F4227">
        <v>5</v>
      </c>
      <c r="G4227" s="308">
        <f>'BECA SUPERIOR'!S268</f>
        <v>0</v>
      </c>
      <c r="H4227" s="308">
        <f>'BECA SUPERIOR'!T268</f>
        <v>0</v>
      </c>
    </row>
    <row r="4228" spans="1:8" x14ac:dyDescent="0.3">
      <c r="A4228" t="s">
        <v>690</v>
      </c>
      <c r="B4228" t="s">
        <v>263</v>
      </c>
      <c r="C4228" t="s">
        <v>289</v>
      </c>
      <c r="D4228" t="s">
        <v>689</v>
      </c>
      <c r="E4228" t="s">
        <v>771</v>
      </c>
      <c r="F4228">
        <v>6</v>
      </c>
      <c r="G4228" s="308">
        <f>'BECA SUPERIOR'!V268</f>
        <v>0</v>
      </c>
      <c r="H4228" s="308">
        <f>'BECA SUPERIOR'!W268</f>
        <v>0</v>
      </c>
    </row>
    <row r="4229" spans="1:8" x14ac:dyDescent="0.3">
      <c r="A4229" t="s">
        <v>690</v>
      </c>
      <c r="B4229" t="s">
        <v>263</v>
      </c>
      <c r="C4229" t="s">
        <v>289</v>
      </c>
      <c r="D4229" t="s">
        <v>689</v>
      </c>
      <c r="E4229" t="s">
        <v>772</v>
      </c>
      <c r="F4229">
        <v>7</v>
      </c>
      <c r="G4229" s="308">
        <f>'BECA SUPERIOR'!Y268</f>
        <v>0</v>
      </c>
      <c r="H4229" s="308">
        <f>'BECA SUPERIOR'!Z268</f>
        <v>0</v>
      </c>
    </row>
    <row r="4230" spans="1:8" x14ac:dyDescent="0.3">
      <c r="A4230" t="s">
        <v>690</v>
      </c>
      <c r="B4230" t="s">
        <v>263</v>
      </c>
      <c r="C4230" t="s">
        <v>290</v>
      </c>
      <c r="D4230" t="s">
        <v>689</v>
      </c>
      <c r="E4230" t="s">
        <v>766</v>
      </c>
      <c r="F4230">
        <v>1</v>
      </c>
      <c r="G4230" s="308">
        <f>'BECA SUPERIOR'!G269</f>
        <v>0</v>
      </c>
      <c r="H4230" s="308">
        <f>'BECA SUPERIOR'!H269</f>
        <v>0</v>
      </c>
    </row>
    <row r="4231" spans="1:8" x14ac:dyDescent="0.3">
      <c r="A4231" t="s">
        <v>690</v>
      </c>
      <c r="B4231" t="s">
        <v>263</v>
      </c>
      <c r="C4231" t="s">
        <v>290</v>
      </c>
      <c r="D4231" t="s">
        <v>689</v>
      </c>
      <c r="E4231" t="s">
        <v>767</v>
      </c>
      <c r="F4231">
        <v>2</v>
      </c>
      <c r="G4231" s="308">
        <f>'BECA SUPERIOR'!J269</f>
        <v>0</v>
      </c>
      <c r="H4231" s="308">
        <f>'BECA SUPERIOR'!K269</f>
        <v>0</v>
      </c>
    </row>
    <row r="4232" spans="1:8" x14ac:dyDescent="0.3">
      <c r="A4232" t="s">
        <v>690</v>
      </c>
      <c r="B4232" t="s">
        <v>263</v>
      </c>
      <c r="C4232" t="s">
        <v>290</v>
      </c>
      <c r="D4232" t="s">
        <v>689</v>
      </c>
      <c r="E4232" t="s">
        <v>768</v>
      </c>
      <c r="F4232">
        <v>3</v>
      </c>
      <c r="G4232" s="308">
        <f>'BECA SUPERIOR'!M269</f>
        <v>0</v>
      </c>
      <c r="H4232" s="308">
        <f>'BECA SUPERIOR'!N269</f>
        <v>0</v>
      </c>
    </row>
    <row r="4233" spans="1:8" x14ac:dyDescent="0.3">
      <c r="A4233" t="s">
        <v>690</v>
      </c>
      <c r="B4233" t="s">
        <v>263</v>
      </c>
      <c r="C4233" t="s">
        <v>290</v>
      </c>
      <c r="D4233" t="s">
        <v>689</v>
      </c>
      <c r="E4233" t="s">
        <v>769</v>
      </c>
      <c r="F4233">
        <v>4</v>
      </c>
      <c r="G4233" s="308">
        <f>'BECA SUPERIOR'!P269</f>
        <v>0</v>
      </c>
      <c r="H4233" s="308">
        <f>'BECA SUPERIOR'!Q269</f>
        <v>0</v>
      </c>
    </row>
    <row r="4234" spans="1:8" x14ac:dyDescent="0.3">
      <c r="A4234" t="s">
        <v>690</v>
      </c>
      <c r="B4234" t="s">
        <v>263</v>
      </c>
      <c r="C4234" t="s">
        <v>290</v>
      </c>
      <c r="D4234" t="s">
        <v>689</v>
      </c>
      <c r="E4234" t="s">
        <v>770</v>
      </c>
      <c r="F4234">
        <v>5</v>
      </c>
      <c r="G4234" s="308">
        <f>'BECA SUPERIOR'!S269</f>
        <v>0</v>
      </c>
      <c r="H4234" s="308">
        <f>'BECA SUPERIOR'!T269</f>
        <v>0</v>
      </c>
    </row>
    <row r="4235" spans="1:8" x14ac:dyDescent="0.3">
      <c r="A4235" t="s">
        <v>690</v>
      </c>
      <c r="B4235" t="s">
        <v>263</v>
      </c>
      <c r="C4235" t="s">
        <v>290</v>
      </c>
      <c r="D4235" t="s">
        <v>689</v>
      </c>
      <c r="E4235" t="s">
        <v>771</v>
      </c>
      <c r="F4235">
        <v>6</v>
      </c>
      <c r="G4235" s="308">
        <f>'BECA SUPERIOR'!V269</f>
        <v>0</v>
      </c>
      <c r="H4235" s="308">
        <f>'BECA SUPERIOR'!W269</f>
        <v>0</v>
      </c>
    </row>
    <row r="4236" spans="1:8" x14ac:dyDescent="0.3">
      <c r="A4236" t="s">
        <v>690</v>
      </c>
      <c r="B4236" t="s">
        <v>263</v>
      </c>
      <c r="C4236" t="s">
        <v>290</v>
      </c>
      <c r="D4236" t="s">
        <v>689</v>
      </c>
      <c r="E4236" t="s">
        <v>772</v>
      </c>
      <c r="F4236">
        <v>7</v>
      </c>
      <c r="G4236" s="308">
        <f>'BECA SUPERIOR'!Y269</f>
        <v>0</v>
      </c>
      <c r="H4236" s="308">
        <f>'BECA SUPERIOR'!Z269</f>
        <v>0</v>
      </c>
    </row>
    <row r="4237" spans="1:8" x14ac:dyDescent="0.3">
      <c r="A4237" t="s">
        <v>690</v>
      </c>
      <c r="B4237" t="s">
        <v>263</v>
      </c>
      <c r="C4237" t="s">
        <v>291</v>
      </c>
      <c r="D4237" t="s">
        <v>689</v>
      </c>
      <c r="E4237" t="s">
        <v>766</v>
      </c>
      <c r="F4237">
        <v>1</v>
      </c>
      <c r="G4237" s="308">
        <f>'BECA SUPERIOR'!G270</f>
        <v>0</v>
      </c>
      <c r="H4237" s="308">
        <f>'BECA SUPERIOR'!H270</f>
        <v>0</v>
      </c>
    </row>
    <row r="4238" spans="1:8" x14ac:dyDescent="0.3">
      <c r="A4238" t="s">
        <v>690</v>
      </c>
      <c r="B4238" t="s">
        <v>263</v>
      </c>
      <c r="C4238" t="s">
        <v>291</v>
      </c>
      <c r="D4238" t="s">
        <v>689</v>
      </c>
      <c r="E4238" t="s">
        <v>767</v>
      </c>
      <c r="F4238">
        <v>2</v>
      </c>
      <c r="G4238" s="308">
        <f>'BECA SUPERIOR'!J270</f>
        <v>0</v>
      </c>
      <c r="H4238" s="308">
        <f>'BECA SUPERIOR'!K270</f>
        <v>0</v>
      </c>
    </row>
    <row r="4239" spans="1:8" x14ac:dyDescent="0.3">
      <c r="A4239" t="s">
        <v>690</v>
      </c>
      <c r="B4239" t="s">
        <v>263</v>
      </c>
      <c r="C4239" t="s">
        <v>291</v>
      </c>
      <c r="D4239" t="s">
        <v>689</v>
      </c>
      <c r="E4239" t="s">
        <v>768</v>
      </c>
      <c r="F4239">
        <v>3</v>
      </c>
      <c r="G4239" s="308">
        <f>'BECA SUPERIOR'!M270</f>
        <v>0</v>
      </c>
      <c r="H4239" s="308">
        <f>'BECA SUPERIOR'!N270</f>
        <v>0</v>
      </c>
    </row>
    <row r="4240" spans="1:8" x14ac:dyDescent="0.3">
      <c r="A4240" t="s">
        <v>690</v>
      </c>
      <c r="B4240" t="s">
        <v>263</v>
      </c>
      <c r="C4240" t="s">
        <v>291</v>
      </c>
      <c r="D4240" t="s">
        <v>689</v>
      </c>
      <c r="E4240" t="s">
        <v>769</v>
      </c>
      <c r="F4240">
        <v>4</v>
      </c>
      <c r="G4240" s="308">
        <f>'BECA SUPERIOR'!P270</f>
        <v>4.32</v>
      </c>
      <c r="H4240" s="308">
        <f>'BECA SUPERIOR'!Q270</f>
        <v>10800</v>
      </c>
    </row>
    <row r="4241" spans="1:8" x14ac:dyDescent="0.3">
      <c r="A4241" t="s">
        <v>690</v>
      </c>
      <c r="B4241" t="s">
        <v>263</v>
      </c>
      <c r="C4241" t="s">
        <v>291</v>
      </c>
      <c r="D4241" t="s">
        <v>689</v>
      </c>
      <c r="E4241" t="s">
        <v>770</v>
      </c>
      <c r="F4241">
        <v>5</v>
      </c>
      <c r="G4241" s="308">
        <f>'BECA SUPERIOR'!S270</f>
        <v>0</v>
      </c>
      <c r="H4241" s="308">
        <f>'BECA SUPERIOR'!T270</f>
        <v>0</v>
      </c>
    </row>
    <row r="4242" spans="1:8" x14ac:dyDescent="0.3">
      <c r="A4242" t="s">
        <v>690</v>
      </c>
      <c r="B4242" t="s">
        <v>263</v>
      </c>
      <c r="C4242" t="s">
        <v>291</v>
      </c>
      <c r="D4242" t="s">
        <v>689</v>
      </c>
      <c r="E4242" t="s">
        <v>771</v>
      </c>
      <c r="F4242">
        <v>6</v>
      </c>
      <c r="G4242" s="308">
        <f>'BECA SUPERIOR'!V270</f>
        <v>0</v>
      </c>
      <c r="H4242" s="308">
        <f>'BECA SUPERIOR'!W270</f>
        <v>0</v>
      </c>
    </row>
    <row r="4243" spans="1:8" x14ac:dyDescent="0.3">
      <c r="A4243" t="s">
        <v>690</v>
      </c>
      <c r="B4243" t="s">
        <v>263</v>
      </c>
      <c r="C4243" t="s">
        <v>291</v>
      </c>
      <c r="D4243" t="s">
        <v>689</v>
      </c>
      <c r="E4243" t="s">
        <v>772</v>
      </c>
      <c r="F4243">
        <v>7</v>
      </c>
      <c r="G4243" s="308">
        <f>'BECA SUPERIOR'!Y270</f>
        <v>0</v>
      </c>
      <c r="H4243" s="308">
        <f>'BECA SUPERIOR'!Z270</f>
        <v>0</v>
      </c>
    </row>
    <row r="4244" spans="1:8" x14ac:dyDescent="0.3">
      <c r="A4244" t="s">
        <v>690</v>
      </c>
      <c r="B4244" t="s">
        <v>292</v>
      </c>
      <c r="C4244" t="s">
        <v>293</v>
      </c>
      <c r="D4244" t="s">
        <v>689</v>
      </c>
      <c r="E4244" t="s">
        <v>766</v>
      </c>
      <c r="F4244">
        <v>1</v>
      </c>
      <c r="G4244" s="308">
        <f>'BECA SUPERIOR'!G271</f>
        <v>0</v>
      </c>
      <c r="H4244" s="308">
        <f>'BECA SUPERIOR'!H271</f>
        <v>0</v>
      </c>
    </row>
    <row r="4245" spans="1:8" x14ac:dyDescent="0.3">
      <c r="A4245" t="s">
        <v>690</v>
      </c>
      <c r="B4245" t="s">
        <v>292</v>
      </c>
      <c r="C4245" t="s">
        <v>293</v>
      </c>
      <c r="D4245" t="s">
        <v>689</v>
      </c>
      <c r="E4245" t="s">
        <v>767</v>
      </c>
      <c r="F4245">
        <v>2</v>
      </c>
      <c r="G4245" s="308">
        <f>'BECA SUPERIOR'!J271</f>
        <v>0</v>
      </c>
      <c r="H4245" s="308">
        <f>'BECA SUPERIOR'!K271</f>
        <v>0</v>
      </c>
    </row>
    <row r="4246" spans="1:8" x14ac:dyDescent="0.3">
      <c r="A4246" t="s">
        <v>690</v>
      </c>
      <c r="B4246" t="s">
        <v>292</v>
      </c>
      <c r="C4246" t="s">
        <v>293</v>
      </c>
      <c r="D4246" t="s">
        <v>689</v>
      </c>
      <c r="E4246" t="s">
        <v>768</v>
      </c>
      <c r="F4246">
        <v>3</v>
      </c>
      <c r="G4246" s="308">
        <f>'BECA SUPERIOR'!M271</f>
        <v>0</v>
      </c>
      <c r="H4246" s="308">
        <f>'BECA SUPERIOR'!N271</f>
        <v>0</v>
      </c>
    </row>
    <row r="4247" spans="1:8" x14ac:dyDescent="0.3">
      <c r="A4247" t="s">
        <v>690</v>
      </c>
      <c r="B4247" t="s">
        <v>292</v>
      </c>
      <c r="C4247" t="s">
        <v>293</v>
      </c>
      <c r="D4247" t="s">
        <v>689</v>
      </c>
      <c r="E4247" t="s">
        <v>769</v>
      </c>
      <c r="F4247">
        <v>4</v>
      </c>
      <c r="G4247" s="308">
        <f>'BECA SUPERIOR'!P271</f>
        <v>1.44</v>
      </c>
      <c r="H4247" s="308">
        <f>'BECA SUPERIOR'!Q271</f>
        <v>3600</v>
      </c>
    </row>
    <row r="4248" spans="1:8" x14ac:dyDescent="0.3">
      <c r="A4248" t="s">
        <v>690</v>
      </c>
      <c r="B4248" t="s">
        <v>292</v>
      </c>
      <c r="C4248" t="s">
        <v>293</v>
      </c>
      <c r="D4248" t="s">
        <v>689</v>
      </c>
      <c r="E4248" t="s">
        <v>770</v>
      </c>
      <c r="F4248">
        <v>5</v>
      </c>
      <c r="G4248" s="308">
        <f>'BECA SUPERIOR'!S271</f>
        <v>0</v>
      </c>
      <c r="H4248" s="308">
        <f>'BECA SUPERIOR'!T271</f>
        <v>0</v>
      </c>
    </row>
    <row r="4249" spans="1:8" x14ac:dyDescent="0.3">
      <c r="A4249" t="s">
        <v>690</v>
      </c>
      <c r="B4249" t="s">
        <v>292</v>
      </c>
      <c r="C4249" t="s">
        <v>293</v>
      </c>
      <c r="D4249" t="s">
        <v>689</v>
      </c>
      <c r="E4249" t="s">
        <v>771</v>
      </c>
      <c r="F4249">
        <v>6</v>
      </c>
      <c r="G4249" s="308">
        <f>'BECA SUPERIOR'!V271</f>
        <v>0</v>
      </c>
      <c r="H4249" s="308">
        <f>'BECA SUPERIOR'!W271</f>
        <v>0</v>
      </c>
    </row>
    <row r="4250" spans="1:8" x14ac:dyDescent="0.3">
      <c r="A4250" t="s">
        <v>690</v>
      </c>
      <c r="B4250" t="s">
        <v>292</v>
      </c>
      <c r="C4250" t="s">
        <v>293</v>
      </c>
      <c r="D4250" t="s">
        <v>689</v>
      </c>
      <c r="E4250" t="s">
        <v>772</v>
      </c>
      <c r="F4250">
        <v>7</v>
      </c>
      <c r="G4250" s="308">
        <f>'BECA SUPERIOR'!Y271</f>
        <v>0</v>
      </c>
      <c r="H4250" s="308">
        <f>'BECA SUPERIOR'!Z271</f>
        <v>0</v>
      </c>
    </row>
    <row r="4251" spans="1:8" x14ac:dyDescent="0.3">
      <c r="A4251" t="s">
        <v>690</v>
      </c>
      <c r="B4251" t="s">
        <v>292</v>
      </c>
      <c r="C4251" t="s">
        <v>294</v>
      </c>
      <c r="D4251" t="s">
        <v>689</v>
      </c>
      <c r="E4251" t="s">
        <v>766</v>
      </c>
      <c r="F4251">
        <v>1</v>
      </c>
      <c r="G4251" s="308">
        <f>'BECA SUPERIOR'!G272</f>
        <v>0</v>
      </c>
      <c r="H4251" s="308">
        <f>'BECA SUPERIOR'!H272</f>
        <v>0</v>
      </c>
    </row>
    <row r="4252" spans="1:8" x14ac:dyDescent="0.3">
      <c r="A4252" t="s">
        <v>690</v>
      </c>
      <c r="B4252" t="s">
        <v>292</v>
      </c>
      <c r="C4252" t="s">
        <v>294</v>
      </c>
      <c r="D4252" t="s">
        <v>689</v>
      </c>
      <c r="E4252" t="s">
        <v>767</v>
      </c>
      <c r="F4252">
        <v>2</v>
      </c>
      <c r="G4252" s="308">
        <f>'BECA SUPERIOR'!J272</f>
        <v>0</v>
      </c>
      <c r="H4252" s="308">
        <f>'BECA SUPERIOR'!K272</f>
        <v>0</v>
      </c>
    </row>
    <row r="4253" spans="1:8" x14ac:dyDescent="0.3">
      <c r="A4253" t="s">
        <v>690</v>
      </c>
      <c r="B4253" t="s">
        <v>292</v>
      </c>
      <c r="C4253" t="s">
        <v>294</v>
      </c>
      <c r="D4253" t="s">
        <v>689</v>
      </c>
      <c r="E4253" t="s">
        <v>768</v>
      </c>
      <c r="F4253">
        <v>3</v>
      </c>
      <c r="G4253" s="308">
        <f>'BECA SUPERIOR'!M272</f>
        <v>0</v>
      </c>
      <c r="H4253" s="308">
        <f>'BECA SUPERIOR'!N272</f>
        <v>0</v>
      </c>
    </row>
    <row r="4254" spans="1:8" x14ac:dyDescent="0.3">
      <c r="A4254" t="s">
        <v>690</v>
      </c>
      <c r="B4254" t="s">
        <v>292</v>
      </c>
      <c r="C4254" t="s">
        <v>294</v>
      </c>
      <c r="D4254" t="s">
        <v>689</v>
      </c>
      <c r="E4254" t="s">
        <v>769</v>
      </c>
      <c r="F4254">
        <v>4</v>
      </c>
      <c r="G4254" s="308">
        <f>'BECA SUPERIOR'!P272</f>
        <v>3.6</v>
      </c>
      <c r="H4254" s="308">
        <f>'BECA SUPERIOR'!Q272</f>
        <v>9000</v>
      </c>
    </row>
    <row r="4255" spans="1:8" x14ac:dyDescent="0.3">
      <c r="A4255" t="s">
        <v>690</v>
      </c>
      <c r="B4255" t="s">
        <v>292</v>
      </c>
      <c r="C4255" t="s">
        <v>294</v>
      </c>
      <c r="D4255" t="s">
        <v>689</v>
      </c>
      <c r="E4255" t="s">
        <v>770</v>
      </c>
      <c r="F4255">
        <v>5</v>
      </c>
      <c r="G4255" s="308">
        <f>'BECA SUPERIOR'!S272</f>
        <v>0</v>
      </c>
      <c r="H4255" s="308">
        <f>'BECA SUPERIOR'!T272</f>
        <v>0</v>
      </c>
    </row>
    <row r="4256" spans="1:8" x14ac:dyDescent="0.3">
      <c r="A4256" t="s">
        <v>690</v>
      </c>
      <c r="B4256" t="s">
        <v>292</v>
      </c>
      <c r="C4256" t="s">
        <v>294</v>
      </c>
      <c r="D4256" t="s">
        <v>689</v>
      </c>
      <c r="E4256" t="s">
        <v>771</v>
      </c>
      <c r="F4256">
        <v>6</v>
      </c>
      <c r="G4256" s="308">
        <f>'BECA SUPERIOR'!V272</f>
        <v>0</v>
      </c>
      <c r="H4256" s="308">
        <f>'BECA SUPERIOR'!W272</f>
        <v>0</v>
      </c>
    </row>
    <row r="4257" spans="1:8" x14ac:dyDescent="0.3">
      <c r="A4257" t="s">
        <v>690</v>
      </c>
      <c r="B4257" t="s">
        <v>292</v>
      </c>
      <c r="C4257" t="s">
        <v>294</v>
      </c>
      <c r="D4257" t="s">
        <v>689</v>
      </c>
      <c r="E4257" t="s">
        <v>772</v>
      </c>
      <c r="F4257">
        <v>7</v>
      </c>
      <c r="G4257" s="308">
        <f>'BECA SUPERIOR'!Y272</f>
        <v>0</v>
      </c>
      <c r="H4257" s="308">
        <f>'BECA SUPERIOR'!Z272</f>
        <v>0</v>
      </c>
    </row>
    <row r="4258" spans="1:8" x14ac:dyDescent="0.3">
      <c r="A4258" t="s">
        <v>690</v>
      </c>
      <c r="B4258" t="s">
        <v>292</v>
      </c>
      <c r="C4258" t="s">
        <v>295</v>
      </c>
      <c r="D4258" t="s">
        <v>689</v>
      </c>
      <c r="E4258" t="s">
        <v>766</v>
      </c>
      <c r="F4258">
        <v>1</v>
      </c>
      <c r="G4258" s="308">
        <f>'BECA SUPERIOR'!G273</f>
        <v>0</v>
      </c>
      <c r="H4258" s="308">
        <f>'BECA SUPERIOR'!H273</f>
        <v>0</v>
      </c>
    </row>
    <row r="4259" spans="1:8" x14ac:dyDescent="0.3">
      <c r="A4259" t="s">
        <v>690</v>
      </c>
      <c r="B4259" t="s">
        <v>292</v>
      </c>
      <c r="C4259" t="s">
        <v>295</v>
      </c>
      <c r="D4259" t="s">
        <v>689</v>
      </c>
      <c r="E4259" t="s">
        <v>767</v>
      </c>
      <c r="F4259">
        <v>2</v>
      </c>
      <c r="G4259" s="308">
        <f>'BECA SUPERIOR'!J273</f>
        <v>0</v>
      </c>
      <c r="H4259" s="308">
        <f>'BECA SUPERIOR'!K273</f>
        <v>0</v>
      </c>
    </row>
    <row r="4260" spans="1:8" x14ac:dyDescent="0.3">
      <c r="A4260" t="s">
        <v>690</v>
      </c>
      <c r="B4260" t="s">
        <v>292</v>
      </c>
      <c r="C4260" t="s">
        <v>295</v>
      </c>
      <c r="D4260" t="s">
        <v>689</v>
      </c>
      <c r="E4260" t="s">
        <v>768</v>
      </c>
      <c r="F4260">
        <v>3</v>
      </c>
      <c r="G4260" s="308">
        <f>'BECA SUPERIOR'!M273</f>
        <v>0</v>
      </c>
      <c r="H4260" s="308">
        <f>'BECA SUPERIOR'!N273</f>
        <v>0</v>
      </c>
    </row>
    <row r="4261" spans="1:8" x14ac:dyDescent="0.3">
      <c r="A4261" t="s">
        <v>690</v>
      </c>
      <c r="B4261" t="s">
        <v>292</v>
      </c>
      <c r="C4261" t="s">
        <v>295</v>
      </c>
      <c r="D4261" t="s">
        <v>689</v>
      </c>
      <c r="E4261" t="s">
        <v>769</v>
      </c>
      <c r="F4261">
        <v>4</v>
      </c>
      <c r="G4261" s="308">
        <f>'BECA SUPERIOR'!P273</f>
        <v>7.2</v>
      </c>
      <c r="H4261" s="308">
        <f>'BECA SUPERIOR'!Q273</f>
        <v>18000</v>
      </c>
    </row>
    <row r="4262" spans="1:8" x14ac:dyDescent="0.3">
      <c r="A4262" t="s">
        <v>690</v>
      </c>
      <c r="B4262" t="s">
        <v>292</v>
      </c>
      <c r="C4262" t="s">
        <v>295</v>
      </c>
      <c r="D4262" t="s">
        <v>689</v>
      </c>
      <c r="E4262" t="s">
        <v>770</v>
      </c>
      <c r="F4262">
        <v>5</v>
      </c>
      <c r="G4262" s="308">
        <f>'BECA SUPERIOR'!S273</f>
        <v>0</v>
      </c>
      <c r="H4262" s="308">
        <f>'BECA SUPERIOR'!T273</f>
        <v>0</v>
      </c>
    </row>
    <row r="4263" spans="1:8" x14ac:dyDescent="0.3">
      <c r="A4263" t="s">
        <v>690</v>
      </c>
      <c r="B4263" t="s">
        <v>292</v>
      </c>
      <c r="C4263" t="s">
        <v>295</v>
      </c>
      <c r="D4263" t="s">
        <v>689</v>
      </c>
      <c r="E4263" t="s">
        <v>771</v>
      </c>
      <c r="F4263">
        <v>6</v>
      </c>
      <c r="G4263" s="308">
        <f>'BECA SUPERIOR'!V273</f>
        <v>0</v>
      </c>
      <c r="H4263" s="308">
        <f>'BECA SUPERIOR'!W273</f>
        <v>0</v>
      </c>
    </row>
    <row r="4264" spans="1:8" x14ac:dyDescent="0.3">
      <c r="A4264" t="s">
        <v>690</v>
      </c>
      <c r="B4264" t="s">
        <v>292</v>
      </c>
      <c r="C4264" t="s">
        <v>295</v>
      </c>
      <c r="D4264" t="s">
        <v>689</v>
      </c>
      <c r="E4264" t="s">
        <v>772</v>
      </c>
      <c r="F4264">
        <v>7</v>
      </c>
      <c r="G4264" s="308">
        <f>'BECA SUPERIOR'!Y273</f>
        <v>0</v>
      </c>
      <c r="H4264" s="308">
        <f>'BECA SUPERIOR'!Z273</f>
        <v>0</v>
      </c>
    </row>
    <row r="4265" spans="1:8" x14ac:dyDescent="0.3">
      <c r="A4265" t="s">
        <v>690</v>
      </c>
      <c r="B4265" t="s">
        <v>292</v>
      </c>
      <c r="C4265" t="s">
        <v>296</v>
      </c>
      <c r="D4265" t="s">
        <v>689</v>
      </c>
      <c r="E4265" t="s">
        <v>766</v>
      </c>
      <c r="F4265">
        <v>1</v>
      </c>
      <c r="G4265" s="308">
        <f>'BECA SUPERIOR'!G274</f>
        <v>0</v>
      </c>
      <c r="H4265" s="308">
        <f>'BECA SUPERIOR'!H274</f>
        <v>0</v>
      </c>
    </row>
    <row r="4266" spans="1:8" x14ac:dyDescent="0.3">
      <c r="A4266" t="s">
        <v>690</v>
      </c>
      <c r="B4266" t="s">
        <v>292</v>
      </c>
      <c r="C4266" t="s">
        <v>296</v>
      </c>
      <c r="D4266" t="s">
        <v>689</v>
      </c>
      <c r="E4266" t="s">
        <v>767</v>
      </c>
      <c r="F4266">
        <v>2</v>
      </c>
      <c r="G4266" s="308">
        <f>'BECA SUPERIOR'!J274</f>
        <v>0</v>
      </c>
      <c r="H4266" s="308">
        <f>'BECA SUPERIOR'!K274</f>
        <v>0</v>
      </c>
    </row>
    <row r="4267" spans="1:8" x14ac:dyDescent="0.3">
      <c r="A4267" t="s">
        <v>690</v>
      </c>
      <c r="B4267" t="s">
        <v>292</v>
      </c>
      <c r="C4267" t="s">
        <v>296</v>
      </c>
      <c r="D4267" t="s">
        <v>689</v>
      </c>
      <c r="E4267" t="s">
        <v>768</v>
      </c>
      <c r="F4267">
        <v>3</v>
      </c>
      <c r="G4267" s="308">
        <f>'BECA SUPERIOR'!M274</f>
        <v>0</v>
      </c>
      <c r="H4267" s="308">
        <f>'BECA SUPERIOR'!N274</f>
        <v>0</v>
      </c>
    </row>
    <row r="4268" spans="1:8" x14ac:dyDescent="0.3">
      <c r="A4268" t="s">
        <v>690</v>
      </c>
      <c r="B4268" t="s">
        <v>292</v>
      </c>
      <c r="C4268" t="s">
        <v>296</v>
      </c>
      <c r="D4268" t="s">
        <v>689</v>
      </c>
      <c r="E4268" t="s">
        <v>769</v>
      </c>
      <c r="F4268">
        <v>4</v>
      </c>
      <c r="G4268" s="308">
        <f>'BECA SUPERIOR'!P274</f>
        <v>7.92</v>
      </c>
      <c r="H4268" s="308">
        <f>'BECA SUPERIOR'!Q274</f>
        <v>19800</v>
      </c>
    </row>
    <row r="4269" spans="1:8" x14ac:dyDescent="0.3">
      <c r="A4269" t="s">
        <v>690</v>
      </c>
      <c r="B4269" t="s">
        <v>292</v>
      </c>
      <c r="C4269" t="s">
        <v>296</v>
      </c>
      <c r="D4269" t="s">
        <v>689</v>
      </c>
      <c r="E4269" t="s">
        <v>770</v>
      </c>
      <c r="F4269">
        <v>5</v>
      </c>
      <c r="G4269" s="308">
        <f>'BECA SUPERIOR'!S274</f>
        <v>0</v>
      </c>
      <c r="H4269" s="308">
        <f>'BECA SUPERIOR'!T274</f>
        <v>0</v>
      </c>
    </row>
    <row r="4270" spans="1:8" x14ac:dyDescent="0.3">
      <c r="A4270" t="s">
        <v>690</v>
      </c>
      <c r="B4270" t="s">
        <v>292</v>
      </c>
      <c r="C4270" t="s">
        <v>296</v>
      </c>
      <c r="D4270" t="s">
        <v>689</v>
      </c>
      <c r="E4270" t="s">
        <v>771</v>
      </c>
      <c r="F4270">
        <v>6</v>
      </c>
      <c r="G4270" s="308">
        <f>'BECA SUPERIOR'!V274</f>
        <v>0</v>
      </c>
      <c r="H4270" s="308">
        <f>'BECA SUPERIOR'!W274</f>
        <v>0</v>
      </c>
    </row>
    <row r="4271" spans="1:8" x14ac:dyDescent="0.3">
      <c r="A4271" t="s">
        <v>690</v>
      </c>
      <c r="B4271" t="s">
        <v>292</v>
      </c>
      <c r="C4271" t="s">
        <v>296</v>
      </c>
      <c r="D4271" t="s">
        <v>689</v>
      </c>
      <c r="E4271" t="s">
        <v>772</v>
      </c>
      <c r="F4271">
        <v>7</v>
      </c>
      <c r="G4271" s="308">
        <f>'BECA SUPERIOR'!Y274</f>
        <v>0</v>
      </c>
      <c r="H4271" s="308">
        <f>'BECA SUPERIOR'!Z274</f>
        <v>0</v>
      </c>
    </row>
    <row r="4272" spans="1:8" x14ac:dyDescent="0.3">
      <c r="A4272" t="s">
        <v>690</v>
      </c>
      <c r="B4272" t="s">
        <v>292</v>
      </c>
      <c r="C4272" t="s">
        <v>297</v>
      </c>
      <c r="D4272" t="s">
        <v>689</v>
      </c>
      <c r="E4272" t="s">
        <v>766</v>
      </c>
      <c r="F4272">
        <v>1</v>
      </c>
      <c r="G4272" s="308">
        <f>'BECA SUPERIOR'!G275</f>
        <v>0</v>
      </c>
      <c r="H4272" s="308">
        <f>'BECA SUPERIOR'!H275</f>
        <v>0</v>
      </c>
    </row>
    <row r="4273" spans="1:8" x14ac:dyDescent="0.3">
      <c r="A4273" t="s">
        <v>690</v>
      </c>
      <c r="B4273" t="s">
        <v>292</v>
      </c>
      <c r="C4273" t="s">
        <v>297</v>
      </c>
      <c r="D4273" t="s">
        <v>689</v>
      </c>
      <c r="E4273" t="s">
        <v>767</v>
      </c>
      <c r="F4273">
        <v>2</v>
      </c>
      <c r="G4273" s="308">
        <f>'BECA SUPERIOR'!J275</f>
        <v>0</v>
      </c>
      <c r="H4273" s="308">
        <f>'BECA SUPERIOR'!K275</f>
        <v>0</v>
      </c>
    </row>
    <row r="4274" spans="1:8" x14ac:dyDescent="0.3">
      <c r="A4274" t="s">
        <v>690</v>
      </c>
      <c r="B4274" t="s">
        <v>292</v>
      </c>
      <c r="C4274" t="s">
        <v>297</v>
      </c>
      <c r="D4274" t="s">
        <v>689</v>
      </c>
      <c r="E4274" t="s">
        <v>768</v>
      </c>
      <c r="F4274">
        <v>3</v>
      </c>
      <c r="G4274" s="308">
        <f>'BECA SUPERIOR'!M275</f>
        <v>0</v>
      </c>
      <c r="H4274" s="308">
        <f>'BECA SUPERIOR'!N275</f>
        <v>0</v>
      </c>
    </row>
    <row r="4275" spans="1:8" x14ac:dyDescent="0.3">
      <c r="A4275" t="s">
        <v>690</v>
      </c>
      <c r="B4275" t="s">
        <v>292</v>
      </c>
      <c r="C4275" t="s">
        <v>297</v>
      </c>
      <c r="D4275" t="s">
        <v>689</v>
      </c>
      <c r="E4275" t="s">
        <v>769</v>
      </c>
      <c r="F4275">
        <v>4</v>
      </c>
      <c r="G4275" s="308">
        <f>'BECA SUPERIOR'!P275</f>
        <v>0.72</v>
      </c>
      <c r="H4275" s="308">
        <f>'BECA SUPERIOR'!Q275</f>
        <v>1800</v>
      </c>
    </row>
    <row r="4276" spans="1:8" x14ac:dyDescent="0.3">
      <c r="A4276" t="s">
        <v>690</v>
      </c>
      <c r="B4276" t="s">
        <v>292</v>
      </c>
      <c r="C4276" t="s">
        <v>297</v>
      </c>
      <c r="D4276" t="s">
        <v>689</v>
      </c>
      <c r="E4276" t="s">
        <v>770</v>
      </c>
      <c r="F4276">
        <v>5</v>
      </c>
      <c r="G4276" s="308">
        <f>'BECA SUPERIOR'!S275</f>
        <v>0</v>
      </c>
      <c r="H4276" s="308">
        <f>'BECA SUPERIOR'!T275</f>
        <v>0</v>
      </c>
    </row>
    <row r="4277" spans="1:8" x14ac:dyDescent="0.3">
      <c r="A4277" t="s">
        <v>690</v>
      </c>
      <c r="B4277" t="s">
        <v>292</v>
      </c>
      <c r="C4277" t="s">
        <v>297</v>
      </c>
      <c r="D4277" t="s">
        <v>689</v>
      </c>
      <c r="E4277" t="s">
        <v>771</v>
      </c>
      <c r="F4277">
        <v>6</v>
      </c>
      <c r="G4277" s="308">
        <f>'BECA SUPERIOR'!V275</f>
        <v>0</v>
      </c>
      <c r="H4277" s="308">
        <f>'BECA SUPERIOR'!W275</f>
        <v>0</v>
      </c>
    </row>
    <row r="4278" spans="1:8" x14ac:dyDescent="0.3">
      <c r="A4278" t="s">
        <v>690</v>
      </c>
      <c r="B4278" t="s">
        <v>292</v>
      </c>
      <c r="C4278" t="s">
        <v>297</v>
      </c>
      <c r="D4278" t="s">
        <v>689</v>
      </c>
      <c r="E4278" t="s">
        <v>772</v>
      </c>
      <c r="F4278">
        <v>7</v>
      </c>
      <c r="G4278" s="308">
        <f>'BECA SUPERIOR'!Y275</f>
        <v>0</v>
      </c>
      <c r="H4278" s="308">
        <f>'BECA SUPERIOR'!Z275</f>
        <v>0</v>
      </c>
    </row>
    <row r="4279" spans="1:8" x14ac:dyDescent="0.3">
      <c r="A4279" t="s">
        <v>690</v>
      </c>
      <c r="B4279" t="s">
        <v>292</v>
      </c>
      <c r="C4279" t="s">
        <v>298</v>
      </c>
      <c r="D4279" t="s">
        <v>689</v>
      </c>
      <c r="E4279" t="s">
        <v>766</v>
      </c>
      <c r="F4279">
        <v>1</v>
      </c>
      <c r="G4279" s="308">
        <f>'BECA SUPERIOR'!G276</f>
        <v>0</v>
      </c>
      <c r="H4279" s="308">
        <f>'BECA SUPERIOR'!H276</f>
        <v>0</v>
      </c>
    </row>
    <row r="4280" spans="1:8" x14ac:dyDescent="0.3">
      <c r="A4280" t="s">
        <v>690</v>
      </c>
      <c r="B4280" t="s">
        <v>292</v>
      </c>
      <c r="C4280" t="s">
        <v>298</v>
      </c>
      <c r="D4280" t="s">
        <v>689</v>
      </c>
      <c r="E4280" t="s">
        <v>767</v>
      </c>
      <c r="F4280">
        <v>2</v>
      </c>
      <c r="G4280" s="308">
        <f>'BECA SUPERIOR'!J276</f>
        <v>0</v>
      </c>
      <c r="H4280" s="308">
        <f>'BECA SUPERIOR'!K276</f>
        <v>0</v>
      </c>
    </row>
    <row r="4281" spans="1:8" x14ac:dyDescent="0.3">
      <c r="A4281" t="s">
        <v>690</v>
      </c>
      <c r="B4281" t="s">
        <v>292</v>
      </c>
      <c r="C4281" t="s">
        <v>298</v>
      </c>
      <c r="D4281" t="s">
        <v>689</v>
      </c>
      <c r="E4281" t="s">
        <v>768</v>
      </c>
      <c r="F4281">
        <v>3</v>
      </c>
      <c r="G4281" s="308">
        <f>'BECA SUPERIOR'!M276</f>
        <v>0</v>
      </c>
      <c r="H4281" s="308">
        <f>'BECA SUPERIOR'!N276</f>
        <v>0</v>
      </c>
    </row>
    <row r="4282" spans="1:8" x14ac:dyDescent="0.3">
      <c r="A4282" t="s">
        <v>690</v>
      </c>
      <c r="B4282" t="s">
        <v>292</v>
      </c>
      <c r="C4282" t="s">
        <v>298</v>
      </c>
      <c r="D4282" t="s">
        <v>689</v>
      </c>
      <c r="E4282" t="s">
        <v>769</v>
      </c>
      <c r="F4282">
        <v>4</v>
      </c>
      <c r="G4282" s="308">
        <f>'BECA SUPERIOR'!P276</f>
        <v>2.88</v>
      </c>
      <c r="H4282" s="308">
        <f>'BECA SUPERIOR'!Q276</f>
        <v>7200</v>
      </c>
    </row>
    <row r="4283" spans="1:8" x14ac:dyDescent="0.3">
      <c r="A4283" t="s">
        <v>690</v>
      </c>
      <c r="B4283" t="s">
        <v>292</v>
      </c>
      <c r="C4283" t="s">
        <v>298</v>
      </c>
      <c r="D4283" t="s">
        <v>689</v>
      </c>
      <c r="E4283" t="s">
        <v>770</v>
      </c>
      <c r="F4283">
        <v>5</v>
      </c>
      <c r="G4283" s="308">
        <f>'BECA SUPERIOR'!S276</f>
        <v>0</v>
      </c>
      <c r="H4283" s="308">
        <f>'BECA SUPERIOR'!T276</f>
        <v>0</v>
      </c>
    </row>
    <row r="4284" spans="1:8" x14ac:dyDescent="0.3">
      <c r="A4284" t="s">
        <v>690</v>
      </c>
      <c r="B4284" t="s">
        <v>292</v>
      </c>
      <c r="C4284" t="s">
        <v>298</v>
      </c>
      <c r="D4284" t="s">
        <v>689</v>
      </c>
      <c r="E4284" t="s">
        <v>771</v>
      </c>
      <c r="F4284">
        <v>6</v>
      </c>
      <c r="G4284" s="308">
        <f>'BECA SUPERIOR'!V276</f>
        <v>0</v>
      </c>
      <c r="H4284" s="308">
        <f>'BECA SUPERIOR'!W276</f>
        <v>0</v>
      </c>
    </row>
    <row r="4285" spans="1:8" x14ac:dyDescent="0.3">
      <c r="A4285" t="s">
        <v>690</v>
      </c>
      <c r="B4285" t="s">
        <v>292</v>
      </c>
      <c r="C4285" t="s">
        <v>298</v>
      </c>
      <c r="D4285" t="s">
        <v>689</v>
      </c>
      <c r="E4285" t="s">
        <v>772</v>
      </c>
      <c r="F4285">
        <v>7</v>
      </c>
      <c r="G4285" s="308">
        <f>'BECA SUPERIOR'!Y276</f>
        <v>0</v>
      </c>
      <c r="H4285" s="308">
        <f>'BECA SUPERIOR'!Z276</f>
        <v>0</v>
      </c>
    </row>
    <row r="4286" spans="1:8" x14ac:dyDescent="0.3">
      <c r="A4286" t="s">
        <v>690</v>
      </c>
      <c r="B4286" t="s">
        <v>292</v>
      </c>
      <c r="C4286" t="s">
        <v>299</v>
      </c>
      <c r="D4286" t="s">
        <v>689</v>
      </c>
      <c r="E4286" t="s">
        <v>766</v>
      </c>
      <c r="F4286">
        <v>1</v>
      </c>
      <c r="G4286" s="308">
        <f>'BECA SUPERIOR'!G277</f>
        <v>0</v>
      </c>
      <c r="H4286" s="308">
        <f>'BECA SUPERIOR'!H277</f>
        <v>0</v>
      </c>
    </row>
    <row r="4287" spans="1:8" x14ac:dyDescent="0.3">
      <c r="A4287" t="s">
        <v>690</v>
      </c>
      <c r="B4287" t="s">
        <v>292</v>
      </c>
      <c r="C4287" t="s">
        <v>299</v>
      </c>
      <c r="D4287" t="s">
        <v>689</v>
      </c>
      <c r="E4287" t="s">
        <v>767</v>
      </c>
      <c r="F4287">
        <v>2</v>
      </c>
      <c r="G4287" s="308">
        <f>'BECA SUPERIOR'!J277</f>
        <v>0</v>
      </c>
      <c r="H4287" s="308">
        <f>'BECA SUPERIOR'!K277</f>
        <v>0</v>
      </c>
    </row>
    <row r="4288" spans="1:8" x14ac:dyDescent="0.3">
      <c r="A4288" t="s">
        <v>690</v>
      </c>
      <c r="B4288" t="s">
        <v>292</v>
      </c>
      <c r="C4288" t="s">
        <v>299</v>
      </c>
      <c r="D4288" t="s">
        <v>689</v>
      </c>
      <c r="E4288" t="s">
        <v>768</v>
      </c>
      <c r="F4288">
        <v>3</v>
      </c>
      <c r="G4288" s="308">
        <f>'BECA SUPERIOR'!M277</f>
        <v>0</v>
      </c>
      <c r="H4288" s="308">
        <f>'BECA SUPERIOR'!N277</f>
        <v>0</v>
      </c>
    </row>
    <row r="4289" spans="1:8" x14ac:dyDescent="0.3">
      <c r="A4289" t="s">
        <v>690</v>
      </c>
      <c r="B4289" t="s">
        <v>292</v>
      </c>
      <c r="C4289" t="s">
        <v>299</v>
      </c>
      <c r="D4289" t="s">
        <v>689</v>
      </c>
      <c r="E4289" t="s">
        <v>769</v>
      </c>
      <c r="F4289">
        <v>4</v>
      </c>
      <c r="G4289" s="308">
        <f>'BECA SUPERIOR'!P277</f>
        <v>1.44</v>
      </c>
      <c r="H4289" s="308">
        <f>'BECA SUPERIOR'!Q277</f>
        <v>3600</v>
      </c>
    </row>
    <row r="4290" spans="1:8" x14ac:dyDescent="0.3">
      <c r="A4290" t="s">
        <v>690</v>
      </c>
      <c r="B4290" t="s">
        <v>292</v>
      </c>
      <c r="C4290" t="s">
        <v>299</v>
      </c>
      <c r="D4290" t="s">
        <v>689</v>
      </c>
      <c r="E4290" t="s">
        <v>770</v>
      </c>
      <c r="F4290">
        <v>5</v>
      </c>
      <c r="G4290" s="308">
        <f>'BECA SUPERIOR'!S277</f>
        <v>0</v>
      </c>
      <c r="H4290" s="308">
        <f>'BECA SUPERIOR'!T277</f>
        <v>0</v>
      </c>
    </row>
    <row r="4291" spans="1:8" x14ac:dyDescent="0.3">
      <c r="A4291" t="s">
        <v>690</v>
      </c>
      <c r="B4291" t="s">
        <v>292</v>
      </c>
      <c r="C4291" t="s">
        <v>299</v>
      </c>
      <c r="D4291" t="s">
        <v>689</v>
      </c>
      <c r="E4291" t="s">
        <v>771</v>
      </c>
      <c r="F4291">
        <v>6</v>
      </c>
      <c r="G4291" s="308">
        <f>'BECA SUPERIOR'!V277</f>
        <v>0</v>
      </c>
      <c r="H4291" s="308">
        <f>'BECA SUPERIOR'!W277</f>
        <v>0</v>
      </c>
    </row>
    <row r="4292" spans="1:8" x14ac:dyDescent="0.3">
      <c r="A4292" t="s">
        <v>690</v>
      </c>
      <c r="B4292" t="s">
        <v>292</v>
      </c>
      <c r="C4292" t="s">
        <v>299</v>
      </c>
      <c r="D4292" t="s">
        <v>689</v>
      </c>
      <c r="E4292" t="s">
        <v>772</v>
      </c>
      <c r="F4292">
        <v>7</v>
      </c>
      <c r="G4292" s="308">
        <f>'BECA SUPERIOR'!Y277</f>
        <v>0</v>
      </c>
      <c r="H4292" s="308">
        <f>'BECA SUPERIOR'!Z277</f>
        <v>0</v>
      </c>
    </row>
    <row r="4293" spans="1:8" x14ac:dyDescent="0.3">
      <c r="A4293" t="s">
        <v>690</v>
      </c>
      <c r="B4293" t="s">
        <v>292</v>
      </c>
      <c r="C4293" t="s">
        <v>300</v>
      </c>
      <c r="D4293" t="s">
        <v>689</v>
      </c>
      <c r="E4293" t="s">
        <v>766</v>
      </c>
      <c r="F4293">
        <v>1</v>
      </c>
      <c r="G4293" s="308">
        <f>'BECA SUPERIOR'!G278</f>
        <v>0</v>
      </c>
      <c r="H4293" s="308">
        <f>'BECA SUPERIOR'!H278</f>
        <v>0</v>
      </c>
    </row>
    <row r="4294" spans="1:8" x14ac:dyDescent="0.3">
      <c r="A4294" t="s">
        <v>690</v>
      </c>
      <c r="B4294" t="s">
        <v>292</v>
      </c>
      <c r="C4294" t="s">
        <v>300</v>
      </c>
      <c r="D4294" t="s">
        <v>689</v>
      </c>
      <c r="E4294" t="s">
        <v>767</v>
      </c>
      <c r="F4294">
        <v>2</v>
      </c>
      <c r="G4294" s="308">
        <f>'BECA SUPERIOR'!J278</f>
        <v>0</v>
      </c>
      <c r="H4294" s="308">
        <f>'BECA SUPERIOR'!K278</f>
        <v>0</v>
      </c>
    </row>
    <row r="4295" spans="1:8" x14ac:dyDescent="0.3">
      <c r="A4295" t="s">
        <v>690</v>
      </c>
      <c r="B4295" t="s">
        <v>292</v>
      </c>
      <c r="C4295" t="s">
        <v>300</v>
      </c>
      <c r="D4295" t="s">
        <v>689</v>
      </c>
      <c r="E4295" t="s">
        <v>768</v>
      </c>
      <c r="F4295">
        <v>3</v>
      </c>
      <c r="G4295" s="308">
        <f>'BECA SUPERIOR'!M278</f>
        <v>0</v>
      </c>
      <c r="H4295" s="308">
        <f>'BECA SUPERIOR'!N278</f>
        <v>0</v>
      </c>
    </row>
    <row r="4296" spans="1:8" x14ac:dyDescent="0.3">
      <c r="A4296" t="s">
        <v>690</v>
      </c>
      <c r="B4296" t="s">
        <v>292</v>
      </c>
      <c r="C4296" t="s">
        <v>300</v>
      </c>
      <c r="D4296" t="s">
        <v>689</v>
      </c>
      <c r="E4296" t="s">
        <v>769</v>
      </c>
      <c r="F4296">
        <v>4</v>
      </c>
      <c r="G4296" s="308">
        <f>'BECA SUPERIOR'!P278</f>
        <v>0</v>
      </c>
      <c r="H4296" s="308">
        <f>'BECA SUPERIOR'!Q278</f>
        <v>0</v>
      </c>
    </row>
    <row r="4297" spans="1:8" x14ac:dyDescent="0.3">
      <c r="A4297" t="s">
        <v>690</v>
      </c>
      <c r="B4297" t="s">
        <v>292</v>
      </c>
      <c r="C4297" t="s">
        <v>300</v>
      </c>
      <c r="D4297" t="s">
        <v>689</v>
      </c>
      <c r="E4297" t="s">
        <v>770</v>
      </c>
      <c r="F4297">
        <v>5</v>
      </c>
      <c r="G4297" s="308">
        <f>'BECA SUPERIOR'!S278</f>
        <v>0</v>
      </c>
      <c r="H4297" s="308">
        <f>'BECA SUPERIOR'!T278</f>
        <v>0</v>
      </c>
    </row>
    <row r="4298" spans="1:8" x14ac:dyDescent="0.3">
      <c r="A4298" t="s">
        <v>690</v>
      </c>
      <c r="B4298" t="s">
        <v>292</v>
      </c>
      <c r="C4298" t="s">
        <v>300</v>
      </c>
      <c r="D4298" t="s">
        <v>689</v>
      </c>
      <c r="E4298" t="s">
        <v>771</v>
      </c>
      <c r="F4298">
        <v>6</v>
      </c>
      <c r="G4298" s="308">
        <f>'BECA SUPERIOR'!V278</f>
        <v>0</v>
      </c>
      <c r="H4298" s="308">
        <f>'BECA SUPERIOR'!W278</f>
        <v>0</v>
      </c>
    </row>
    <row r="4299" spans="1:8" x14ac:dyDescent="0.3">
      <c r="A4299" t="s">
        <v>690</v>
      </c>
      <c r="B4299" t="s">
        <v>292</v>
      </c>
      <c r="C4299" t="s">
        <v>300</v>
      </c>
      <c r="D4299" t="s">
        <v>689</v>
      </c>
      <c r="E4299" t="s">
        <v>772</v>
      </c>
      <c r="F4299">
        <v>7</v>
      </c>
      <c r="G4299" s="308">
        <f>'BECA SUPERIOR'!Y278</f>
        <v>0</v>
      </c>
      <c r="H4299" s="308">
        <f>'BECA SUPERIOR'!Z278</f>
        <v>0</v>
      </c>
    </row>
    <row r="4300" spans="1:8" x14ac:dyDescent="0.3">
      <c r="A4300" t="s">
        <v>690</v>
      </c>
      <c r="B4300" t="s">
        <v>292</v>
      </c>
      <c r="C4300" t="s">
        <v>301</v>
      </c>
      <c r="D4300" t="s">
        <v>689</v>
      </c>
      <c r="E4300" t="s">
        <v>766</v>
      </c>
      <c r="F4300">
        <v>1</v>
      </c>
      <c r="G4300" s="308">
        <f>'BECA SUPERIOR'!G279</f>
        <v>0</v>
      </c>
      <c r="H4300" s="308">
        <f>'BECA SUPERIOR'!H279</f>
        <v>0</v>
      </c>
    </row>
    <row r="4301" spans="1:8" x14ac:dyDescent="0.3">
      <c r="A4301" t="s">
        <v>690</v>
      </c>
      <c r="B4301" t="s">
        <v>292</v>
      </c>
      <c r="C4301" t="s">
        <v>301</v>
      </c>
      <c r="D4301" t="s">
        <v>689</v>
      </c>
      <c r="E4301" t="s">
        <v>767</v>
      </c>
      <c r="F4301">
        <v>2</v>
      </c>
      <c r="G4301" s="308">
        <f>'BECA SUPERIOR'!J279</f>
        <v>0</v>
      </c>
      <c r="H4301" s="308">
        <f>'BECA SUPERIOR'!K279</f>
        <v>0</v>
      </c>
    </row>
    <row r="4302" spans="1:8" x14ac:dyDescent="0.3">
      <c r="A4302" t="s">
        <v>690</v>
      </c>
      <c r="B4302" t="s">
        <v>292</v>
      </c>
      <c r="C4302" t="s">
        <v>301</v>
      </c>
      <c r="D4302" t="s">
        <v>689</v>
      </c>
      <c r="E4302" t="s">
        <v>768</v>
      </c>
      <c r="F4302">
        <v>3</v>
      </c>
      <c r="G4302" s="308">
        <f>'BECA SUPERIOR'!M279</f>
        <v>0</v>
      </c>
      <c r="H4302" s="308">
        <f>'BECA SUPERIOR'!N279</f>
        <v>0</v>
      </c>
    </row>
    <row r="4303" spans="1:8" x14ac:dyDescent="0.3">
      <c r="A4303" t="s">
        <v>690</v>
      </c>
      <c r="B4303" t="s">
        <v>292</v>
      </c>
      <c r="C4303" t="s">
        <v>301</v>
      </c>
      <c r="D4303" t="s">
        <v>689</v>
      </c>
      <c r="E4303" t="s">
        <v>769</v>
      </c>
      <c r="F4303">
        <v>4</v>
      </c>
      <c r="G4303" s="308">
        <f>'BECA SUPERIOR'!P279</f>
        <v>5.04</v>
      </c>
      <c r="H4303" s="308">
        <f>'BECA SUPERIOR'!Q279</f>
        <v>12600</v>
      </c>
    </row>
    <row r="4304" spans="1:8" x14ac:dyDescent="0.3">
      <c r="A4304" t="s">
        <v>690</v>
      </c>
      <c r="B4304" t="s">
        <v>292</v>
      </c>
      <c r="C4304" t="s">
        <v>301</v>
      </c>
      <c r="D4304" t="s">
        <v>689</v>
      </c>
      <c r="E4304" t="s">
        <v>770</v>
      </c>
      <c r="F4304">
        <v>5</v>
      </c>
      <c r="G4304" s="308">
        <f>'BECA SUPERIOR'!S279</f>
        <v>0</v>
      </c>
      <c r="H4304" s="308">
        <f>'BECA SUPERIOR'!T279</f>
        <v>0</v>
      </c>
    </row>
    <row r="4305" spans="1:8" x14ac:dyDescent="0.3">
      <c r="A4305" t="s">
        <v>690</v>
      </c>
      <c r="B4305" t="s">
        <v>292</v>
      </c>
      <c r="C4305" t="s">
        <v>301</v>
      </c>
      <c r="D4305" t="s">
        <v>689</v>
      </c>
      <c r="E4305" t="s">
        <v>771</v>
      </c>
      <c r="F4305">
        <v>6</v>
      </c>
      <c r="G4305" s="308">
        <f>'BECA SUPERIOR'!V279</f>
        <v>0</v>
      </c>
      <c r="H4305" s="308">
        <f>'BECA SUPERIOR'!W279</f>
        <v>0</v>
      </c>
    </row>
    <row r="4306" spans="1:8" x14ac:dyDescent="0.3">
      <c r="A4306" t="s">
        <v>690</v>
      </c>
      <c r="B4306" t="s">
        <v>292</v>
      </c>
      <c r="C4306" t="s">
        <v>301</v>
      </c>
      <c r="D4306" t="s">
        <v>689</v>
      </c>
      <c r="E4306" t="s">
        <v>772</v>
      </c>
      <c r="F4306">
        <v>7</v>
      </c>
      <c r="G4306" s="308">
        <f>'BECA SUPERIOR'!Y279</f>
        <v>0</v>
      </c>
      <c r="H4306" s="308">
        <f>'BECA SUPERIOR'!Z279</f>
        <v>0</v>
      </c>
    </row>
    <row r="4307" spans="1:8" x14ac:dyDescent="0.3">
      <c r="A4307" t="s">
        <v>690</v>
      </c>
      <c r="B4307" t="s">
        <v>292</v>
      </c>
      <c r="C4307" t="s">
        <v>302</v>
      </c>
      <c r="D4307" t="s">
        <v>689</v>
      </c>
      <c r="E4307" t="s">
        <v>766</v>
      </c>
      <c r="F4307">
        <v>1</v>
      </c>
      <c r="G4307" s="308">
        <f>'BECA SUPERIOR'!G280</f>
        <v>0</v>
      </c>
      <c r="H4307" s="308">
        <f>'BECA SUPERIOR'!H280</f>
        <v>0</v>
      </c>
    </row>
    <row r="4308" spans="1:8" x14ac:dyDescent="0.3">
      <c r="A4308" t="s">
        <v>690</v>
      </c>
      <c r="B4308" t="s">
        <v>292</v>
      </c>
      <c r="C4308" t="s">
        <v>302</v>
      </c>
      <c r="D4308" t="s">
        <v>689</v>
      </c>
      <c r="E4308" t="s">
        <v>767</v>
      </c>
      <c r="F4308">
        <v>2</v>
      </c>
      <c r="G4308" s="308">
        <f>'BECA SUPERIOR'!J280</f>
        <v>0</v>
      </c>
      <c r="H4308" s="308">
        <f>'BECA SUPERIOR'!K280</f>
        <v>0</v>
      </c>
    </row>
    <row r="4309" spans="1:8" x14ac:dyDescent="0.3">
      <c r="A4309" t="s">
        <v>690</v>
      </c>
      <c r="B4309" t="s">
        <v>292</v>
      </c>
      <c r="C4309" t="s">
        <v>302</v>
      </c>
      <c r="D4309" t="s">
        <v>689</v>
      </c>
      <c r="E4309" t="s">
        <v>768</v>
      </c>
      <c r="F4309">
        <v>3</v>
      </c>
      <c r="G4309" s="308">
        <f>'BECA SUPERIOR'!M280</f>
        <v>0</v>
      </c>
      <c r="H4309" s="308">
        <f>'BECA SUPERIOR'!N280</f>
        <v>0</v>
      </c>
    </row>
    <row r="4310" spans="1:8" x14ac:dyDescent="0.3">
      <c r="A4310" t="s">
        <v>690</v>
      </c>
      <c r="B4310" t="s">
        <v>292</v>
      </c>
      <c r="C4310" t="s">
        <v>302</v>
      </c>
      <c r="D4310" t="s">
        <v>689</v>
      </c>
      <c r="E4310" t="s">
        <v>769</v>
      </c>
      <c r="F4310">
        <v>4</v>
      </c>
      <c r="G4310" s="308">
        <f>'BECA SUPERIOR'!P280</f>
        <v>2.16</v>
      </c>
      <c r="H4310" s="308">
        <f>'BECA SUPERIOR'!Q280</f>
        <v>5400</v>
      </c>
    </row>
    <row r="4311" spans="1:8" x14ac:dyDescent="0.3">
      <c r="A4311" t="s">
        <v>690</v>
      </c>
      <c r="B4311" t="s">
        <v>292</v>
      </c>
      <c r="C4311" t="s">
        <v>302</v>
      </c>
      <c r="D4311" t="s">
        <v>689</v>
      </c>
      <c r="E4311" t="s">
        <v>770</v>
      </c>
      <c r="F4311">
        <v>5</v>
      </c>
      <c r="G4311" s="308">
        <f>'BECA SUPERIOR'!S280</f>
        <v>0</v>
      </c>
      <c r="H4311" s="308">
        <f>'BECA SUPERIOR'!T280</f>
        <v>0</v>
      </c>
    </row>
    <row r="4312" spans="1:8" x14ac:dyDescent="0.3">
      <c r="A4312" t="s">
        <v>690</v>
      </c>
      <c r="B4312" t="s">
        <v>292</v>
      </c>
      <c r="C4312" t="s">
        <v>302</v>
      </c>
      <c r="D4312" t="s">
        <v>689</v>
      </c>
      <c r="E4312" t="s">
        <v>771</v>
      </c>
      <c r="F4312">
        <v>6</v>
      </c>
      <c r="G4312" s="308">
        <f>'BECA SUPERIOR'!V280</f>
        <v>0</v>
      </c>
      <c r="H4312" s="308">
        <f>'BECA SUPERIOR'!W280</f>
        <v>0</v>
      </c>
    </row>
    <row r="4313" spans="1:8" x14ac:dyDescent="0.3">
      <c r="A4313" t="s">
        <v>690</v>
      </c>
      <c r="B4313" t="s">
        <v>292</v>
      </c>
      <c r="C4313" t="s">
        <v>302</v>
      </c>
      <c r="D4313" t="s">
        <v>689</v>
      </c>
      <c r="E4313" t="s">
        <v>772</v>
      </c>
      <c r="F4313">
        <v>7</v>
      </c>
      <c r="G4313" s="308">
        <f>'BECA SUPERIOR'!Y280</f>
        <v>0</v>
      </c>
      <c r="H4313" s="308">
        <f>'BECA SUPERIOR'!Z280</f>
        <v>0</v>
      </c>
    </row>
    <row r="4314" spans="1:8" x14ac:dyDescent="0.3">
      <c r="A4314" t="s">
        <v>690</v>
      </c>
      <c r="B4314" t="s">
        <v>292</v>
      </c>
      <c r="C4314" t="s">
        <v>303</v>
      </c>
      <c r="D4314" t="s">
        <v>689</v>
      </c>
      <c r="E4314" t="s">
        <v>766</v>
      </c>
      <c r="F4314">
        <v>1</v>
      </c>
      <c r="G4314" s="308">
        <f>'BECA SUPERIOR'!G281</f>
        <v>0</v>
      </c>
      <c r="H4314" s="308">
        <f>'BECA SUPERIOR'!H281</f>
        <v>0</v>
      </c>
    </row>
    <row r="4315" spans="1:8" x14ac:dyDescent="0.3">
      <c r="A4315" t="s">
        <v>690</v>
      </c>
      <c r="B4315" t="s">
        <v>292</v>
      </c>
      <c r="C4315" t="s">
        <v>303</v>
      </c>
      <c r="D4315" t="s">
        <v>689</v>
      </c>
      <c r="E4315" t="s">
        <v>767</v>
      </c>
      <c r="F4315">
        <v>2</v>
      </c>
      <c r="G4315" s="308">
        <f>'BECA SUPERIOR'!J281</f>
        <v>0</v>
      </c>
      <c r="H4315" s="308">
        <f>'BECA SUPERIOR'!K281</f>
        <v>0</v>
      </c>
    </row>
    <row r="4316" spans="1:8" x14ac:dyDescent="0.3">
      <c r="A4316" t="s">
        <v>690</v>
      </c>
      <c r="B4316" t="s">
        <v>292</v>
      </c>
      <c r="C4316" t="s">
        <v>303</v>
      </c>
      <c r="D4316" t="s">
        <v>689</v>
      </c>
      <c r="E4316" t="s">
        <v>768</v>
      </c>
      <c r="F4316">
        <v>3</v>
      </c>
      <c r="G4316" s="308">
        <f>'BECA SUPERIOR'!M281</f>
        <v>0</v>
      </c>
      <c r="H4316" s="308">
        <f>'BECA SUPERIOR'!N281</f>
        <v>0</v>
      </c>
    </row>
    <row r="4317" spans="1:8" x14ac:dyDescent="0.3">
      <c r="A4317" t="s">
        <v>690</v>
      </c>
      <c r="B4317" t="s">
        <v>292</v>
      </c>
      <c r="C4317" t="s">
        <v>303</v>
      </c>
      <c r="D4317" t="s">
        <v>689</v>
      </c>
      <c r="E4317" t="s">
        <v>769</v>
      </c>
      <c r="F4317">
        <v>4</v>
      </c>
      <c r="G4317" s="308">
        <f>'BECA SUPERIOR'!P281</f>
        <v>4.32</v>
      </c>
      <c r="H4317" s="308">
        <f>'BECA SUPERIOR'!Q281</f>
        <v>10800</v>
      </c>
    </row>
    <row r="4318" spans="1:8" x14ac:dyDescent="0.3">
      <c r="A4318" t="s">
        <v>690</v>
      </c>
      <c r="B4318" t="s">
        <v>292</v>
      </c>
      <c r="C4318" t="s">
        <v>303</v>
      </c>
      <c r="D4318" t="s">
        <v>689</v>
      </c>
      <c r="E4318" t="s">
        <v>770</v>
      </c>
      <c r="F4318">
        <v>5</v>
      </c>
      <c r="G4318" s="308">
        <f>'BECA SUPERIOR'!S281</f>
        <v>0</v>
      </c>
      <c r="H4318" s="308">
        <f>'BECA SUPERIOR'!T281</f>
        <v>0</v>
      </c>
    </row>
    <row r="4319" spans="1:8" x14ac:dyDescent="0.3">
      <c r="A4319" t="s">
        <v>690</v>
      </c>
      <c r="B4319" t="s">
        <v>292</v>
      </c>
      <c r="C4319" t="s">
        <v>303</v>
      </c>
      <c r="D4319" t="s">
        <v>689</v>
      </c>
      <c r="E4319" t="s">
        <v>771</v>
      </c>
      <c r="F4319">
        <v>6</v>
      </c>
      <c r="G4319" s="308">
        <f>'BECA SUPERIOR'!V281</f>
        <v>0</v>
      </c>
      <c r="H4319" s="308">
        <f>'BECA SUPERIOR'!W281</f>
        <v>0</v>
      </c>
    </row>
    <row r="4320" spans="1:8" x14ac:dyDescent="0.3">
      <c r="A4320" t="s">
        <v>690</v>
      </c>
      <c r="B4320" t="s">
        <v>292</v>
      </c>
      <c r="C4320" t="s">
        <v>303</v>
      </c>
      <c r="D4320" t="s">
        <v>689</v>
      </c>
      <c r="E4320" t="s">
        <v>772</v>
      </c>
      <c r="F4320">
        <v>7</v>
      </c>
      <c r="G4320" s="308">
        <f>'BECA SUPERIOR'!Y281</f>
        <v>0</v>
      </c>
      <c r="H4320" s="308">
        <f>'BECA SUPERIOR'!Z281</f>
        <v>0</v>
      </c>
    </row>
    <row r="4321" spans="1:8" x14ac:dyDescent="0.3">
      <c r="A4321" t="s">
        <v>690</v>
      </c>
      <c r="B4321" t="s">
        <v>292</v>
      </c>
      <c r="C4321" t="s">
        <v>304</v>
      </c>
      <c r="D4321" t="s">
        <v>689</v>
      </c>
      <c r="E4321" t="s">
        <v>766</v>
      </c>
      <c r="F4321">
        <v>1</v>
      </c>
      <c r="G4321" s="308">
        <f>'BECA SUPERIOR'!G282</f>
        <v>0</v>
      </c>
      <c r="H4321" s="308">
        <f>'BECA SUPERIOR'!H282</f>
        <v>0</v>
      </c>
    </row>
    <row r="4322" spans="1:8" x14ac:dyDescent="0.3">
      <c r="A4322" t="s">
        <v>690</v>
      </c>
      <c r="B4322" t="s">
        <v>292</v>
      </c>
      <c r="C4322" t="s">
        <v>304</v>
      </c>
      <c r="D4322" t="s">
        <v>689</v>
      </c>
      <c r="E4322" t="s">
        <v>767</v>
      </c>
      <c r="F4322">
        <v>2</v>
      </c>
      <c r="G4322" s="308">
        <f>'BECA SUPERIOR'!J282</f>
        <v>0</v>
      </c>
      <c r="H4322" s="308">
        <f>'BECA SUPERIOR'!K282</f>
        <v>0</v>
      </c>
    </row>
    <row r="4323" spans="1:8" x14ac:dyDescent="0.3">
      <c r="A4323" t="s">
        <v>690</v>
      </c>
      <c r="B4323" t="s">
        <v>292</v>
      </c>
      <c r="C4323" t="s">
        <v>304</v>
      </c>
      <c r="D4323" t="s">
        <v>689</v>
      </c>
      <c r="E4323" t="s">
        <v>768</v>
      </c>
      <c r="F4323">
        <v>3</v>
      </c>
      <c r="G4323" s="308">
        <f>'BECA SUPERIOR'!M282</f>
        <v>0</v>
      </c>
      <c r="H4323" s="308">
        <f>'BECA SUPERIOR'!N282</f>
        <v>0</v>
      </c>
    </row>
    <row r="4324" spans="1:8" x14ac:dyDescent="0.3">
      <c r="A4324" t="s">
        <v>690</v>
      </c>
      <c r="B4324" t="s">
        <v>292</v>
      </c>
      <c r="C4324" t="s">
        <v>304</v>
      </c>
      <c r="D4324" t="s">
        <v>689</v>
      </c>
      <c r="E4324" t="s">
        <v>769</v>
      </c>
      <c r="F4324">
        <v>4</v>
      </c>
      <c r="G4324" s="308">
        <f>'BECA SUPERIOR'!P282</f>
        <v>2.88</v>
      </c>
      <c r="H4324" s="308">
        <f>'BECA SUPERIOR'!Q282</f>
        <v>7200</v>
      </c>
    </row>
    <row r="4325" spans="1:8" x14ac:dyDescent="0.3">
      <c r="A4325" t="s">
        <v>690</v>
      </c>
      <c r="B4325" t="s">
        <v>292</v>
      </c>
      <c r="C4325" t="s">
        <v>304</v>
      </c>
      <c r="D4325" t="s">
        <v>689</v>
      </c>
      <c r="E4325" t="s">
        <v>770</v>
      </c>
      <c r="F4325">
        <v>5</v>
      </c>
      <c r="G4325" s="308">
        <f>'BECA SUPERIOR'!S282</f>
        <v>0</v>
      </c>
      <c r="H4325" s="308">
        <f>'BECA SUPERIOR'!T282</f>
        <v>0</v>
      </c>
    </row>
    <row r="4326" spans="1:8" x14ac:dyDescent="0.3">
      <c r="A4326" t="s">
        <v>690</v>
      </c>
      <c r="B4326" t="s">
        <v>292</v>
      </c>
      <c r="C4326" t="s">
        <v>304</v>
      </c>
      <c r="D4326" t="s">
        <v>689</v>
      </c>
      <c r="E4326" t="s">
        <v>771</v>
      </c>
      <c r="F4326">
        <v>6</v>
      </c>
      <c r="G4326" s="308">
        <f>'BECA SUPERIOR'!V282</f>
        <v>0</v>
      </c>
      <c r="H4326" s="308">
        <f>'BECA SUPERIOR'!W282</f>
        <v>0</v>
      </c>
    </row>
    <row r="4327" spans="1:8" x14ac:dyDescent="0.3">
      <c r="A4327" t="s">
        <v>690</v>
      </c>
      <c r="B4327" t="s">
        <v>292</v>
      </c>
      <c r="C4327" t="s">
        <v>304</v>
      </c>
      <c r="D4327" t="s">
        <v>689</v>
      </c>
      <c r="E4327" t="s">
        <v>772</v>
      </c>
      <c r="F4327">
        <v>7</v>
      </c>
      <c r="G4327" s="308">
        <f>'BECA SUPERIOR'!Y282</f>
        <v>0</v>
      </c>
      <c r="H4327" s="308">
        <f>'BECA SUPERIOR'!Z282</f>
        <v>0</v>
      </c>
    </row>
    <row r="4328" spans="1:8" x14ac:dyDescent="0.3">
      <c r="A4328" t="s">
        <v>690</v>
      </c>
      <c r="B4328" t="s">
        <v>292</v>
      </c>
      <c r="C4328" t="s">
        <v>305</v>
      </c>
      <c r="D4328" t="s">
        <v>689</v>
      </c>
      <c r="E4328" t="s">
        <v>766</v>
      </c>
      <c r="F4328">
        <v>1</v>
      </c>
      <c r="G4328" s="308">
        <f>'BECA SUPERIOR'!G283</f>
        <v>0</v>
      </c>
      <c r="H4328" s="308">
        <f>'BECA SUPERIOR'!H283</f>
        <v>0</v>
      </c>
    </row>
    <row r="4329" spans="1:8" x14ac:dyDescent="0.3">
      <c r="A4329" t="s">
        <v>690</v>
      </c>
      <c r="B4329" t="s">
        <v>292</v>
      </c>
      <c r="C4329" t="s">
        <v>305</v>
      </c>
      <c r="D4329" t="s">
        <v>689</v>
      </c>
      <c r="E4329" t="s">
        <v>767</v>
      </c>
      <c r="F4329">
        <v>2</v>
      </c>
      <c r="G4329" s="308">
        <f>'BECA SUPERIOR'!J283</f>
        <v>0</v>
      </c>
      <c r="H4329" s="308">
        <f>'BECA SUPERIOR'!K283</f>
        <v>0</v>
      </c>
    </row>
    <row r="4330" spans="1:8" x14ac:dyDescent="0.3">
      <c r="A4330" t="s">
        <v>690</v>
      </c>
      <c r="B4330" t="s">
        <v>292</v>
      </c>
      <c r="C4330" t="s">
        <v>305</v>
      </c>
      <c r="D4330" t="s">
        <v>689</v>
      </c>
      <c r="E4330" t="s">
        <v>768</v>
      </c>
      <c r="F4330">
        <v>3</v>
      </c>
      <c r="G4330" s="308">
        <f>'BECA SUPERIOR'!M283</f>
        <v>0</v>
      </c>
      <c r="H4330" s="308">
        <f>'BECA SUPERIOR'!N283</f>
        <v>0</v>
      </c>
    </row>
    <row r="4331" spans="1:8" x14ac:dyDescent="0.3">
      <c r="A4331" t="s">
        <v>690</v>
      </c>
      <c r="B4331" t="s">
        <v>292</v>
      </c>
      <c r="C4331" t="s">
        <v>305</v>
      </c>
      <c r="D4331" t="s">
        <v>689</v>
      </c>
      <c r="E4331" t="s">
        <v>769</v>
      </c>
      <c r="F4331">
        <v>4</v>
      </c>
      <c r="G4331" s="308">
        <f>'BECA SUPERIOR'!P283</f>
        <v>0</v>
      </c>
      <c r="H4331" s="308">
        <f>'BECA SUPERIOR'!Q283</f>
        <v>0</v>
      </c>
    </row>
    <row r="4332" spans="1:8" x14ac:dyDescent="0.3">
      <c r="A4332" t="s">
        <v>690</v>
      </c>
      <c r="B4332" t="s">
        <v>292</v>
      </c>
      <c r="C4332" t="s">
        <v>305</v>
      </c>
      <c r="D4332" t="s">
        <v>689</v>
      </c>
      <c r="E4332" t="s">
        <v>770</v>
      </c>
      <c r="F4332">
        <v>5</v>
      </c>
      <c r="G4332" s="308">
        <f>'BECA SUPERIOR'!S283</f>
        <v>0</v>
      </c>
      <c r="H4332" s="308">
        <f>'BECA SUPERIOR'!T283</f>
        <v>0</v>
      </c>
    </row>
    <row r="4333" spans="1:8" x14ac:dyDescent="0.3">
      <c r="A4333" t="s">
        <v>690</v>
      </c>
      <c r="B4333" t="s">
        <v>292</v>
      </c>
      <c r="C4333" t="s">
        <v>305</v>
      </c>
      <c r="D4333" t="s">
        <v>689</v>
      </c>
      <c r="E4333" t="s">
        <v>771</v>
      </c>
      <c r="F4333">
        <v>6</v>
      </c>
      <c r="G4333" s="308">
        <f>'BECA SUPERIOR'!V283</f>
        <v>0</v>
      </c>
      <c r="H4333" s="308">
        <f>'BECA SUPERIOR'!W283</f>
        <v>0</v>
      </c>
    </row>
    <row r="4334" spans="1:8" x14ac:dyDescent="0.3">
      <c r="A4334" t="s">
        <v>690</v>
      </c>
      <c r="B4334" t="s">
        <v>292</v>
      </c>
      <c r="C4334" t="s">
        <v>305</v>
      </c>
      <c r="D4334" t="s">
        <v>689</v>
      </c>
      <c r="E4334" t="s">
        <v>772</v>
      </c>
      <c r="F4334">
        <v>7</v>
      </c>
      <c r="G4334" s="308">
        <f>'BECA SUPERIOR'!Y283</f>
        <v>0</v>
      </c>
      <c r="H4334" s="308">
        <f>'BECA SUPERIOR'!Z283</f>
        <v>0</v>
      </c>
    </row>
    <row r="4335" spans="1:8" x14ac:dyDescent="0.3">
      <c r="A4335" t="s">
        <v>690</v>
      </c>
      <c r="B4335" t="s">
        <v>292</v>
      </c>
      <c r="C4335" t="s">
        <v>306</v>
      </c>
      <c r="D4335" t="s">
        <v>689</v>
      </c>
      <c r="E4335" t="s">
        <v>766</v>
      </c>
      <c r="F4335">
        <v>1</v>
      </c>
      <c r="G4335" s="308">
        <f>'BECA SUPERIOR'!G284</f>
        <v>0</v>
      </c>
      <c r="H4335" s="308">
        <f>'BECA SUPERIOR'!H284</f>
        <v>0</v>
      </c>
    </row>
    <row r="4336" spans="1:8" x14ac:dyDescent="0.3">
      <c r="A4336" t="s">
        <v>690</v>
      </c>
      <c r="B4336" t="s">
        <v>292</v>
      </c>
      <c r="C4336" t="s">
        <v>306</v>
      </c>
      <c r="D4336" t="s">
        <v>689</v>
      </c>
      <c r="E4336" t="s">
        <v>767</v>
      </c>
      <c r="F4336">
        <v>2</v>
      </c>
      <c r="G4336" s="308">
        <f>'BECA SUPERIOR'!J284</f>
        <v>0</v>
      </c>
      <c r="H4336" s="308">
        <f>'BECA SUPERIOR'!K284</f>
        <v>0</v>
      </c>
    </row>
    <row r="4337" spans="1:8" x14ac:dyDescent="0.3">
      <c r="A4337" t="s">
        <v>690</v>
      </c>
      <c r="B4337" t="s">
        <v>292</v>
      </c>
      <c r="C4337" t="s">
        <v>306</v>
      </c>
      <c r="D4337" t="s">
        <v>689</v>
      </c>
      <c r="E4337" t="s">
        <v>768</v>
      </c>
      <c r="F4337">
        <v>3</v>
      </c>
      <c r="G4337" s="308">
        <f>'BECA SUPERIOR'!M284</f>
        <v>0</v>
      </c>
      <c r="H4337" s="308">
        <f>'BECA SUPERIOR'!N284</f>
        <v>0</v>
      </c>
    </row>
    <row r="4338" spans="1:8" x14ac:dyDescent="0.3">
      <c r="A4338" t="s">
        <v>690</v>
      </c>
      <c r="B4338" t="s">
        <v>292</v>
      </c>
      <c r="C4338" t="s">
        <v>306</v>
      </c>
      <c r="D4338" t="s">
        <v>689</v>
      </c>
      <c r="E4338" t="s">
        <v>769</v>
      </c>
      <c r="F4338">
        <v>4</v>
      </c>
      <c r="G4338" s="308">
        <f>'BECA SUPERIOR'!P284</f>
        <v>15.12</v>
      </c>
      <c r="H4338" s="308">
        <f>'BECA SUPERIOR'!Q284</f>
        <v>37800</v>
      </c>
    </row>
    <row r="4339" spans="1:8" x14ac:dyDescent="0.3">
      <c r="A4339" t="s">
        <v>690</v>
      </c>
      <c r="B4339" t="s">
        <v>292</v>
      </c>
      <c r="C4339" t="s">
        <v>306</v>
      </c>
      <c r="D4339" t="s">
        <v>689</v>
      </c>
      <c r="E4339" t="s">
        <v>770</v>
      </c>
      <c r="F4339">
        <v>5</v>
      </c>
      <c r="G4339" s="308">
        <f>'BECA SUPERIOR'!S284</f>
        <v>0</v>
      </c>
      <c r="H4339" s="308">
        <f>'BECA SUPERIOR'!T284</f>
        <v>0</v>
      </c>
    </row>
    <row r="4340" spans="1:8" x14ac:dyDescent="0.3">
      <c r="A4340" t="s">
        <v>690</v>
      </c>
      <c r="B4340" t="s">
        <v>292</v>
      </c>
      <c r="C4340" t="s">
        <v>306</v>
      </c>
      <c r="D4340" t="s">
        <v>689</v>
      </c>
      <c r="E4340" t="s">
        <v>771</v>
      </c>
      <c r="F4340">
        <v>6</v>
      </c>
      <c r="G4340" s="308">
        <f>'BECA SUPERIOR'!V284</f>
        <v>0</v>
      </c>
      <c r="H4340" s="308">
        <f>'BECA SUPERIOR'!W284</f>
        <v>0</v>
      </c>
    </row>
    <row r="4341" spans="1:8" x14ac:dyDescent="0.3">
      <c r="A4341" t="s">
        <v>690</v>
      </c>
      <c r="B4341" t="s">
        <v>292</v>
      </c>
      <c r="C4341" t="s">
        <v>306</v>
      </c>
      <c r="D4341" t="s">
        <v>689</v>
      </c>
      <c r="E4341" t="s">
        <v>772</v>
      </c>
      <c r="F4341">
        <v>7</v>
      </c>
      <c r="G4341" s="308">
        <f>'BECA SUPERIOR'!Y284</f>
        <v>0</v>
      </c>
      <c r="H4341" s="308">
        <f>'BECA SUPERIOR'!Z284</f>
        <v>0</v>
      </c>
    </row>
    <row r="4342" spans="1:8" x14ac:dyDescent="0.3">
      <c r="A4342" t="s">
        <v>690</v>
      </c>
      <c r="B4342" t="s">
        <v>307</v>
      </c>
      <c r="C4342" t="s">
        <v>308</v>
      </c>
      <c r="D4342" t="s">
        <v>689</v>
      </c>
      <c r="E4342" t="s">
        <v>766</v>
      </c>
      <c r="F4342">
        <v>1</v>
      </c>
      <c r="G4342" s="308">
        <f>'BECA SUPERIOR'!G285</f>
        <v>0</v>
      </c>
      <c r="H4342" s="308">
        <f>'BECA SUPERIOR'!H285</f>
        <v>0</v>
      </c>
    </row>
    <row r="4343" spans="1:8" x14ac:dyDescent="0.3">
      <c r="A4343" t="s">
        <v>690</v>
      </c>
      <c r="B4343" t="s">
        <v>307</v>
      </c>
      <c r="C4343" t="s">
        <v>308</v>
      </c>
      <c r="D4343" t="s">
        <v>689</v>
      </c>
      <c r="E4343" t="s">
        <v>767</v>
      </c>
      <c r="F4343">
        <v>2</v>
      </c>
      <c r="G4343" s="308">
        <f>'BECA SUPERIOR'!J285</f>
        <v>0</v>
      </c>
      <c r="H4343" s="308">
        <f>'BECA SUPERIOR'!K285</f>
        <v>0</v>
      </c>
    </row>
    <row r="4344" spans="1:8" x14ac:dyDescent="0.3">
      <c r="A4344" t="s">
        <v>690</v>
      </c>
      <c r="B4344" t="s">
        <v>307</v>
      </c>
      <c r="C4344" t="s">
        <v>308</v>
      </c>
      <c r="D4344" t="s">
        <v>689</v>
      </c>
      <c r="E4344" t="s">
        <v>768</v>
      </c>
      <c r="F4344">
        <v>3</v>
      </c>
      <c r="G4344" s="308">
        <f>'BECA SUPERIOR'!M285</f>
        <v>0</v>
      </c>
      <c r="H4344" s="308">
        <f>'BECA SUPERIOR'!N285</f>
        <v>0</v>
      </c>
    </row>
    <row r="4345" spans="1:8" x14ac:dyDescent="0.3">
      <c r="A4345" t="s">
        <v>690</v>
      </c>
      <c r="B4345" t="s">
        <v>307</v>
      </c>
      <c r="C4345" t="s">
        <v>308</v>
      </c>
      <c r="D4345" t="s">
        <v>689</v>
      </c>
      <c r="E4345" t="s">
        <v>769</v>
      </c>
      <c r="F4345">
        <v>4</v>
      </c>
      <c r="G4345" s="308">
        <f>'BECA SUPERIOR'!P285</f>
        <v>0.72</v>
      </c>
      <c r="H4345" s="308">
        <f>'BECA SUPERIOR'!Q285</f>
        <v>1800</v>
      </c>
    </row>
    <row r="4346" spans="1:8" x14ac:dyDescent="0.3">
      <c r="A4346" t="s">
        <v>690</v>
      </c>
      <c r="B4346" t="s">
        <v>307</v>
      </c>
      <c r="C4346" t="s">
        <v>308</v>
      </c>
      <c r="D4346" t="s">
        <v>689</v>
      </c>
      <c r="E4346" t="s">
        <v>770</v>
      </c>
      <c r="F4346">
        <v>5</v>
      </c>
      <c r="G4346" s="308">
        <f>'BECA SUPERIOR'!S285</f>
        <v>0</v>
      </c>
      <c r="H4346" s="308">
        <f>'BECA SUPERIOR'!T285</f>
        <v>0</v>
      </c>
    </row>
    <row r="4347" spans="1:8" x14ac:dyDescent="0.3">
      <c r="A4347" t="s">
        <v>690</v>
      </c>
      <c r="B4347" t="s">
        <v>307</v>
      </c>
      <c r="C4347" t="s">
        <v>308</v>
      </c>
      <c r="D4347" t="s">
        <v>689</v>
      </c>
      <c r="E4347" t="s">
        <v>771</v>
      </c>
      <c r="F4347">
        <v>6</v>
      </c>
      <c r="G4347" s="308">
        <f>'BECA SUPERIOR'!V285</f>
        <v>0</v>
      </c>
      <c r="H4347" s="308">
        <f>'BECA SUPERIOR'!W285</f>
        <v>0</v>
      </c>
    </row>
    <row r="4348" spans="1:8" x14ac:dyDescent="0.3">
      <c r="A4348" t="s">
        <v>690</v>
      </c>
      <c r="B4348" t="s">
        <v>307</v>
      </c>
      <c r="C4348" t="s">
        <v>308</v>
      </c>
      <c r="D4348" t="s">
        <v>689</v>
      </c>
      <c r="E4348" t="s">
        <v>772</v>
      </c>
      <c r="F4348">
        <v>7</v>
      </c>
      <c r="G4348" s="308">
        <f>'BECA SUPERIOR'!Y285</f>
        <v>0</v>
      </c>
      <c r="H4348" s="308">
        <f>'BECA SUPERIOR'!Z285</f>
        <v>0</v>
      </c>
    </row>
    <row r="4349" spans="1:8" x14ac:dyDescent="0.3">
      <c r="A4349" t="s">
        <v>690</v>
      </c>
      <c r="B4349" t="s">
        <v>307</v>
      </c>
      <c r="C4349" t="s">
        <v>309</v>
      </c>
      <c r="D4349" t="s">
        <v>689</v>
      </c>
      <c r="E4349" t="s">
        <v>766</v>
      </c>
      <c r="F4349">
        <v>1</v>
      </c>
      <c r="G4349" s="308">
        <f>'BECA SUPERIOR'!G286</f>
        <v>0</v>
      </c>
      <c r="H4349" s="308">
        <f>'BECA SUPERIOR'!H286</f>
        <v>0</v>
      </c>
    </row>
    <row r="4350" spans="1:8" x14ac:dyDescent="0.3">
      <c r="A4350" t="s">
        <v>690</v>
      </c>
      <c r="B4350" t="s">
        <v>307</v>
      </c>
      <c r="C4350" t="s">
        <v>309</v>
      </c>
      <c r="D4350" t="s">
        <v>689</v>
      </c>
      <c r="E4350" t="s">
        <v>767</v>
      </c>
      <c r="F4350">
        <v>2</v>
      </c>
      <c r="G4350" s="308">
        <f>'BECA SUPERIOR'!J286</f>
        <v>0</v>
      </c>
      <c r="H4350" s="308">
        <f>'BECA SUPERIOR'!K286</f>
        <v>0</v>
      </c>
    </row>
    <row r="4351" spans="1:8" x14ac:dyDescent="0.3">
      <c r="A4351" t="s">
        <v>690</v>
      </c>
      <c r="B4351" t="s">
        <v>307</v>
      </c>
      <c r="C4351" t="s">
        <v>309</v>
      </c>
      <c r="D4351" t="s">
        <v>689</v>
      </c>
      <c r="E4351" t="s">
        <v>768</v>
      </c>
      <c r="F4351">
        <v>3</v>
      </c>
      <c r="G4351" s="308">
        <f>'BECA SUPERIOR'!M286</f>
        <v>0</v>
      </c>
      <c r="H4351" s="308">
        <f>'BECA SUPERIOR'!N286</f>
        <v>0</v>
      </c>
    </row>
    <row r="4352" spans="1:8" x14ac:dyDescent="0.3">
      <c r="A4352" t="s">
        <v>690</v>
      </c>
      <c r="B4352" t="s">
        <v>307</v>
      </c>
      <c r="C4352" t="s">
        <v>309</v>
      </c>
      <c r="D4352" t="s">
        <v>689</v>
      </c>
      <c r="E4352" t="s">
        <v>769</v>
      </c>
      <c r="F4352">
        <v>4</v>
      </c>
      <c r="G4352" s="308">
        <f>'BECA SUPERIOR'!P286</f>
        <v>2.16</v>
      </c>
      <c r="H4352" s="308">
        <f>'BECA SUPERIOR'!Q286</f>
        <v>5400</v>
      </c>
    </row>
    <row r="4353" spans="1:8" x14ac:dyDescent="0.3">
      <c r="A4353" t="s">
        <v>690</v>
      </c>
      <c r="B4353" t="s">
        <v>307</v>
      </c>
      <c r="C4353" t="s">
        <v>309</v>
      </c>
      <c r="D4353" t="s">
        <v>689</v>
      </c>
      <c r="E4353" t="s">
        <v>770</v>
      </c>
      <c r="F4353">
        <v>5</v>
      </c>
      <c r="G4353" s="308">
        <f>'BECA SUPERIOR'!S286</f>
        <v>0</v>
      </c>
      <c r="H4353" s="308">
        <f>'BECA SUPERIOR'!T286</f>
        <v>0</v>
      </c>
    </row>
    <row r="4354" spans="1:8" x14ac:dyDescent="0.3">
      <c r="A4354" t="s">
        <v>690</v>
      </c>
      <c r="B4354" t="s">
        <v>307</v>
      </c>
      <c r="C4354" t="s">
        <v>309</v>
      </c>
      <c r="D4354" t="s">
        <v>689</v>
      </c>
      <c r="E4354" t="s">
        <v>771</v>
      </c>
      <c r="F4354">
        <v>6</v>
      </c>
      <c r="G4354" s="308">
        <f>'BECA SUPERIOR'!V286</f>
        <v>0</v>
      </c>
      <c r="H4354" s="308">
        <f>'BECA SUPERIOR'!W286</f>
        <v>0</v>
      </c>
    </row>
    <row r="4355" spans="1:8" x14ac:dyDescent="0.3">
      <c r="A4355" t="s">
        <v>690</v>
      </c>
      <c r="B4355" t="s">
        <v>307</v>
      </c>
      <c r="C4355" t="s">
        <v>309</v>
      </c>
      <c r="D4355" t="s">
        <v>689</v>
      </c>
      <c r="E4355" t="s">
        <v>772</v>
      </c>
      <c r="F4355">
        <v>7</v>
      </c>
      <c r="G4355" s="308">
        <f>'BECA SUPERIOR'!Y286</f>
        <v>0</v>
      </c>
      <c r="H4355" s="308">
        <f>'BECA SUPERIOR'!Z286</f>
        <v>0</v>
      </c>
    </row>
    <row r="4356" spans="1:8" x14ac:dyDescent="0.3">
      <c r="A4356" t="s">
        <v>690</v>
      </c>
      <c r="B4356" t="s">
        <v>307</v>
      </c>
      <c r="C4356" t="s">
        <v>310</v>
      </c>
      <c r="D4356" t="s">
        <v>689</v>
      </c>
      <c r="E4356" t="s">
        <v>766</v>
      </c>
      <c r="F4356">
        <v>1</v>
      </c>
      <c r="G4356" s="308">
        <f>'BECA SUPERIOR'!G287</f>
        <v>0</v>
      </c>
      <c r="H4356" s="308">
        <f>'BECA SUPERIOR'!H287</f>
        <v>0</v>
      </c>
    </row>
    <row r="4357" spans="1:8" x14ac:dyDescent="0.3">
      <c r="A4357" t="s">
        <v>690</v>
      </c>
      <c r="B4357" t="s">
        <v>307</v>
      </c>
      <c r="C4357" t="s">
        <v>310</v>
      </c>
      <c r="D4357" t="s">
        <v>689</v>
      </c>
      <c r="E4357" t="s">
        <v>767</v>
      </c>
      <c r="F4357">
        <v>2</v>
      </c>
      <c r="G4357" s="308">
        <f>'BECA SUPERIOR'!J287</f>
        <v>0</v>
      </c>
      <c r="H4357" s="308">
        <f>'BECA SUPERIOR'!K287</f>
        <v>0</v>
      </c>
    </row>
    <row r="4358" spans="1:8" x14ac:dyDescent="0.3">
      <c r="A4358" t="s">
        <v>690</v>
      </c>
      <c r="B4358" t="s">
        <v>307</v>
      </c>
      <c r="C4358" t="s">
        <v>310</v>
      </c>
      <c r="D4358" t="s">
        <v>689</v>
      </c>
      <c r="E4358" t="s">
        <v>768</v>
      </c>
      <c r="F4358">
        <v>3</v>
      </c>
      <c r="G4358" s="308">
        <f>'BECA SUPERIOR'!M287</f>
        <v>0</v>
      </c>
      <c r="H4358" s="308">
        <f>'BECA SUPERIOR'!N287</f>
        <v>0</v>
      </c>
    </row>
    <row r="4359" spans="1:8" x14ac:dyDescent="0.3">
      <c r="A4359" t="s">
        <v>690</v>
      </c>
      <c r="B4359" t="s">
        <v>307</v>
      </c>
      <c r="C4359" t="s">
        <v>310</v>
      </c>
      <c r="D4359" t="s">
        <v>689</v>
      </c>
      <c r="E4359" t="s">
        <v>769</v>
      </c>
      <c r="F4359">
        <v>4</v>
      </c>
      <c r="G4359" s="308">
        <f>'BECA SUPERIOR'!P287</f>
        <v>0.72</v>
      </c>
      <c r="H4359" s="308">
        <f>'BECA SUPERIOR'!Q287</f>
        <v>1800</v>
      </c>
    </row>
    <row r="4360" spans="1:8" x14ac:dyDescent="0.3">
      <c r="A4360" t="s">
        <v>690</v>
      </c>
      <c r="B4360" t="s">
        <v>307</v>
      </c>
      <c r="C4360" t="s">
        <v>310</v>
      </c>
      <c r="D4360" t="s">
        <v>689</v>
      </c>
      <c r="E4360" t="s">
        <v>770</v>
      </c>
      <c r="F4360">
        <v>5</v>
      </c>
      <c r="G4360" s="308">
        <f>'BECA SUPERIOR'!S287</f>
        <v>0</v>
      </c>
      <c r="H4360" s="308">
        <f>'BECA SUPERIOR'!T287</f>
        <v>0</v>
      </c>
    </row>
    <row r="4361" spans="1:8" x14ac:dyDescent="0.3">
      <c r="A4361" t="s">
        <v>690</v>
      </c>
      <c r="B4361" t="s">
        <v>307</v>
      </c>
      <c r="C4361" t="s">
        <v>310</v>
      </c>
      <c r="D4361" t="s">
        <v>689</v>
      </c>
      <c r="E4361" t="s">
        <v>771</v>
      </c>
      <c r="F4361">
        <v>6</v>
      </c>
      <c r="G4361" s="308">
        <f>'BECA SUPERIOR'!V287</f>
        <v>0</v>
      </c>
      <c r="H4361" s="308">
        <f>'BECA SUPERIOR'!W287</f>
        <v>0</v>
      </c>
    </row>
    <row r="4362" spans="1:8" x14ac:dyDescent="0.3">
      <c r="A4362" t="s">
        <v>690</v>
      </c>
      <c r="B4362" t="s">
        <v>307</v>
      </c>
      <c r="C4362" t="s">
        <v>310</v>
      </c>
      <c r="D4362" t="s">
        <v>689</v>
      </c>
      <c r="E4362" t="s">
        <v>772</v>
      </c>
      <c r="F4362">
        <v>7</v>
      </c>
      <c r="G4362" s="308">
        <f>'BECA SUPERIOR'!Y287</f>
        <v>0</v>
      </c>
      <c r="H4362" s="308">
        <f>'BECA SUPERIOR'!Z287</f>
        <v>0</v>
      </c>
    </row>
    <row r="4363" spans="1:8" x14ac:dyDescent="0.3">
      <c r="A4363" t="s">
        <v>690</v>
      </c>
      <c r="B4363" t="s">
        <v>307</v>
      </c>
      <c r="C4363" t="s">
        <v>311</v>
      </c>
      <c r="D4363" t="s">
        <v>689</v>
      </c>
      <c r="E4363" t="s">
        <v>766</v>
      </c>
      <c r="F4363">
        <v>1</v>
      </c>
      <c r="G4363" s="308">
        <f>'BECA SUPERIOR'!G288</f>
        <v>0</v>
      </c>
      <c r="H4363" s="308">
        <f>'BECA SUPERIOR'!H288</f>
        <v>0</v>
      </c>
    </row>
    <row r="4364" spans="1:8" x14ac:dyDescent="0.3">
      <c r="A4364" t="s">
        <v>690</v>
      </c>
      <c r="B4364" t="s">
        <v>307</v>
      </c>
      <c r="C4364" t="s">
        <v>311</v>
      </c>
      <c r="D4364" t="s">
        <v>689</v>
      </c>
      <c r="E4364" t="s">
        <v>767</v>
      </c>
      <c r="F4364">
        <v>2</v>
      </c>
      <c r="G4364" s="308">
        <f>'BECA SUPERIOR'!J288</f>
        <v>0</v>
      </c>
      <c r="H4364" s="308">
        <f>'BECA SUPERIOR'!K288</f>
        <v>0</v>
      </c>
    </row>
    <row r="4365" spans="1:8" x14ac:dyDescent="0.3">
      <c r="A4365" t="s">
        <v>690</v>
      </c>
      <c r="B4365" t="s">
        <v>307</v>
      </c>
      <c r="C4365" t="s">
        <v>311</v>
      </c>
      <c r="D4365" t="s">
        <v>689</v>
      </c>
      <c r="E4365" t="s">
        <v>768</v>
      </c>
      <c r="F4365">
        <v>3</v>
      </c>
      <c r="G4365" s="308">
        <f>'BECA SUPERIOR'!M288</f>
        <v>0</v>
      </c>
      <c r="H4365" s="308">
        <f>'BECA SUPERIOR'!N288</f>
        <v>0</v>
      </c>
    </row>
    <row r="4366" spans="1:8" x14ac:dyDescent="0.3">
      <c r="A4366" t="s">
        <v>690</v>
      </c>
      <c r="B4366" t="s">
        <v>307</v>
      </c>
      <c r="C4366" t="s">
        <v>311</v>
      </c>
      <c r="D4366" t="s">
        <v>689</v>
      </c>
      <c r="E4366" t="s">
        <v>769</v>
      </c>
      <c r="F4366">
        <v>4</v>
      </c>
      <c r="G4366" s="308">
        <f>'BECA SUPERIOR'!P288</f>
        <v>2.16</v>
      </c>
      <c r="H4366" s="308">
        <f>'BECA SUPERIOR'!Q288</f>
        <v>5400</v>
      </c>
    </row>
    <row r="4367" spans="1:8" x14ac:dyDescent="0.3">
      <c r="A4367" t="s">
        <v>690</v>
      </c>
      <c r="B4367" t="s">
        <v>307</v>
      </c>
      <c r="C4367" t="s">
        <v>311</v>
      </c>
      <c r="D4367" t="s">
        <v>689</v>
      </c>
      <c r="E4367" t="s">
        <v>770</v>
      </c>
      <c r="F4367">
        <v>5</v>
      </c>
      <c r="G4367" s="308">
        <f>'BECA SUPERIOR'!S288</f>
        <v>0</v>
      </c>
      <c r="H4367" s="308">
        <f>'BECA SUPERIOR'!T288</f>
        <v>0</v>
      </c>
    </row>
    <row r="4368" spans="1:8" x14ac:dyDescent="0.3">
      <c r="A4368" t="s">
        <v>690</v>
      </c>
      <c r="B4368" t="s">
        <v>307</v>
      </c>
      <c r="C4368" t="s">
        <v>311</v>
      </c>
      <c r="D4368" t="s">
        <v>689</v>
      </c>
      <c r="E4368" t="s">
        <v>771</v>
      </c>
      <c r="F4368">
        <v>6</v>
      </c>
      <c r="G4368" s="308">
        <f>'BECA SUPERIOR'!V288</f>
        <v>0</v>
      </c>
      <c r="H4368" s="308">
        <f>'BECA SUPERIOR'!W288</f>
        <v>0</v>
      </c>
    </row>
    <row r="4369" spans="1:8" x14ac:dyDescent="0.3">
      <c r="A4369" t="s">
        <v>690</v>
      </c>
      <c r="B4369" t="s">
        <v>307</v>
      </c>
      <c r="C4369" t="s">
        <v>311</v>
      </c>
      <c r="D4369" t="s">
        <v>689</v>
      </c>
      <c r="E4369" t="s">
        <v>772</v>
      </c>
      <c r="F4369">
        <v>7</v>
      </c>
      <c r="G4369" s="308">
        <f>'BECA SUPERIOR'!Y288</f>
        <v>0</v>
      </c>
      <c r="H4369" s="308">
        <f>'BECA SUPERIOR'!Z288</f>
        <v>0</v>
      </c>
    </row>
    <row r="4370" spans="1:8" x14ac:dyDescent="0.3">
      <c r="A4370" t="s">
        <v>690</v>
      </c>
      <c r="B4370" t="s">
        <v>307</v>
      </c>
      <c r="C4370" t="s">
        <v>312</v>
      </c>
      <c r="D4370" t="s">
        <v>689</v>
      </c>
      <c r="E4370" t="s">
        <v>766</v>
      </c>
      <c r="F4370">
        <v>1</v>
      </c>
      <c r="G4370" s="308">
        <f>'BECA SUPERIOR'!G289</f>
        <v>0</v>
      </c>
      <c r="H4370" s="308">
        <f>'BECA SUPERIOR'!H289</f>
        <v>0</v>
      </c>
    </row>
    <row r="4371" spans="1:8" x14ac:dyDescent="0.3">
      <c r="A4371" t="s">
        <v>690</v>
      </c>
      <c r="B4371" t="s">
        <v>307</v>
      </c>
      <c r="C4371" t="s">
        <v>312</v>
      </c>
      <c r="D4371" t="s">
        <v>689</v>
      </c>
      <c r="E4371" t="s">
        <v>767</v>
      </c>
      <c r="F4371">
        <v>2</v>
      </c>
      <c r="G4371" s="308">
        <f>'BECA SUPERIOR'!J289</f>
        <v>0</v>
      </c>
      <c r="H4371" s="308">
        <f>'BECA SUPERIOR'!K289</f>
        <v>0</v>
      </c>
    </row>
    <row r="4372" spans="1:8" x14ac:dyDescent="0.3">
      <c r="A4372" t="s">
        <v>690</v>
      </c>
      <c r="B4372" t="s">
        <v>307</v>
      </c>
      <c r="C4372" t="s">
        <v>312</v>
      </c>
      <c r="D4372" t="s">
        <v>689</v>
      </c>
      <c r="E4372" t="s">
        <v>768</v>
      </c>
      <c r="F4372">
        <v>3</v>
      </c>
      <c r="G4372" s="308">
        <f>'BECA SUPERIOR'!M289</f>
        <v>0</v>
      </c>
      <c r="H4372" s="308">
        <f>'BECA SUPERIOR'!N289</f>
        <v>0</v>
      </c>
    </row>
    <row r="4373" spans="1:8" x14ac:dyDescent="0.3">
      <c r="A4373" t="s">
        <v>690</v>
      </c>
      <c r="B4373" t="s">
        <v>307</v>
      </c>
      <c r="C4373" t="s">
        <v>312</v>
      </c>
      <c r="D4373" t="s">
        <v>689</v>
      </c>
      <c r="E4373" t="s">
        <v>769</v>
      </c>
      <c r="F4373">
        <v>4</v>
      </c>
      <c r="G4373" s="308">
        <f>'BECA SUPERIOR'!P289</f>
        <v>0.72</v>
      </c>
      <c r="H4373" s="308">
        <f>'BECA SUPERIOR'!Q289</f>
        <v>1800</v>
      </c>
    </row>
    <row r="4374" spans="1:8" x14ac:dyDescent="0.3">
      <c r="A4374" t="s">
        <v>690</v>
      </c>
      <c r="B4374" t="s">
        <v>307</v>
      </c>
      <c r="C4374" t="s">
        <v>312</v>
      </c>
      <c r="D4374" t="s">
        <v>689</v>
      </c>
      <c r="E4374" t="s">
        <v>770</v>
      </c>
      <c r="F4374">
        <v>5</v>
      </c>
      <c r="G4374" s="308">
        <f>'BECA SUPERIOR'!S289</f>
        <v>0</v>
      </c>
      <c r="H4374" s="308">
        <f>'BECA SUPERIOR'!T289</f>
        <v>0</v>
      </c>
    </row>
    <row r="4375" spans="1:8" x14ac:dyDescent="0.3">
      <c r="A4375" t="s">
        <v>690</v>
      </c>
      <c r="B4375" t="s">
        <v>307</v>
      </c>
      <c r="C4375" t="s">
        <v>312</v>
      </c>
      <c r="D4375" t="s">
        <v>689</v>
      </c>
      <c r="E4375" t="s">
        <v>771</v>
      </c>
      <c r="F4375">
        <v>6</v>
      </c>
      <c r="G4375" s="308">
        <f>'BECA SUPERIOR'!V289</f>
        <v>0</v>
      </c>
      <c r="H4375" s="308">
        <f>'BECA SUPERIOR'!W289</f>
        <v>0</v>
      </c>
    </row>
    <row r="4376" spans="1:8" x14ac:dyDescent="0.3">
      <c r="A4376" t="s">
        <v>690</v>
      </c>
      <c r="B4376" t="s">
        <v>307</v>
      </c>
      <c r="C4376" t="s">
        <v>312</v>
      </c>
      <c r="D4376" t="s">
        <v>689</v>
      </c>
      <c r="E4376" t="s">
        <v>772</v>
      </c>
      <c r="F4376">
        <v>7</v>
      </c>
      <c r="G4376" s="308">
        <f>'BECA SUPERIOR'!Y289</f>
        <v>0</v>
      </c>
      <c r="H4376" s="308">
        <f>'BECA SUPERIOR'!Z289</f>
        <v>0</v>
      </c>
    </row>
    <row r="4377" spans="1:8" x14ac:dyDescent="0.3">
      <c r="A4377" t="s">
        <v>690</v>
      </c>
      <c r="B4377" t="s">
        <v>307</v>
      </c>
      <c r="C4377" t="s">
        <v>313</v>
      </c>
      <c r="D4377" t="s">
        <v>689</v>
      </c>
      <c r="E4377" t="s">
        <v>766</v>
      </c>
      <c r="F4377">
        <v>1</v>
      </c>
      <c r="G4377" s="308">
        <f>'BECA SUPERIOR'!G290</f>
        <v>0</v>
      </c>
      <c r="H4377" s="308">
        <f>'BECA SUPERIOR'!H290</f>
        <v>0</v>
      </c>
    </row>
    <row r="4378" spans="1:8" x14ac:dyDescent="0.3">
      <c r="A4378" t="s">
        <v>690</v>
      </c>
      <c r="B4378" t="s">
        <v>307</v>
      </c>
      <c r="C4378" t="s">
        <v>313</v>
      </c>
      <c r="D4378" t="s">
        <v>689</v>
      </c>
      <c r="E4378" t="s">
        <v>767</v>
      </c>
      <c r="F4378">
        <v>2</v>
      </c>
      <c r="G4378" s="308">
        <f>'BECA SUPERIOR'!J290</f>
        <v>0</v>
      </c>
      <c r="H4378" s="308">
        <f>'BECA SUPERIOR'!K290</f>
        <v>0</v>
      </c>
    </row>
    <row r="4379" spans="1:8" x14ac:dyDescent="0.3">
      <c r="A4379" t="s">
        <v>690</v>
      </c>
      <c r="B4379" t="s">
        <v>307</v>
      </c>
      <c r="C4379" t="s">
        <v>313</v>
      </c>
      <c r="D4379" t="s">
        <v>689</v>
      </c>
      <c r="E4379" t="s">
        <v>768</v>
      </c>
      <c r="F4379">
        <v>3</v>
      </c>
      <c r="G4379" s="308">
        <f>'BECA SUPERIOR'!M290</f>
        <v>0</v>
      </c>
      <c r="H4379" s="308">
        <f>'BECA SUPERIOR'!N290</f>
        <v>0</v>
      </c>
    </row>
    <row r="4380" spans="1:8" x14ac:dyDescent="0.3">
      <c r="A4380" t="s">
        <v>690</v>
      </c>
      <c r="B4380" t="s">
        <v>307</v>
      </c>
      <c r="C4380" t="s">
        <v>313</v>
      </c>
      <c r="D4380" t="s">
        <v>689</v>
      </c>
      <c r="E4380" t="s">
        <v>769</v>
      </c>
      <c r="F4380">
        <v>4</v>
      </c>
      <c r="G4380" s="308">
        <f>'BECA SUPERIOR'!P290</f>
        <v>1.44</v>
      </c>
      <c r="H4380" s="308">
        <f>'BECA SUPERIOR'!Q290</f>
        <v>3600</v>
      </c>
    </row>
    <row r="4381" spans="1:8" x14ac:dyDescent="0.3">
      <c r="A4381" t="s">
        <v>690</v>
      </c>
      <c r="B4381" t="s">
        <v>307</v>
      </c>
      <c r="C4381" t="s">
        <v>313</v>
      </c>
      <c r="D4381" t="s">
        <v>689</v>
      </c>
      <c r="E4381" t="s">
        <v>770</v>
      </c>
      <c r="F4381">
        <v>5</v>
      </c>
      <c r="G4381" s="308">
        <f>'BECA SUPERIOR'!S290</f>
        <v>0</v>
      </c>
      <c r="H4381" s="308">
        <f>'BECA SUPERIOR'!T290</f>
        <v>0</v>
      </c>
    </row>
    <row r="4382" spans="1:8" x14ac:dyDescent="0.3">
      <c r="A4382" t="s">
        <v>690</v>
      </c>
      <c r="B4382" t="s">
        <v>307</v>
      </c>
      <c r="C4382" t="s">
        <v>313</v>
      </c>
      <c r="D4382" t="s">
        <v>689</v>
      </c>
      <c r="E4382" t="s">
        <v>771</v>
      </c>
      <c r="F4382">
        <v>6</v>
      </c>
      <c r="G4382" s="308">
        <f>'BECA SUPERIOR'!V290</f>
        <v>0</v>
      </c>
      <c r="H4382" s="308">
        <f>'BECA SUPERIOR'!W290</f>
        <v>0</v>
      </c>
    </row>
    <row r="4383" spans="1:8" x14ac:dyDescent="0.3">
      <c r="A4383" t="s">
        <v>690</v>
      </c>
      <c r="B4383" t="s">
        <v>307</v>
      </c>
      <c r="C4383" t="s">
        <v>313</v>
      </c>
      <c r="D4383" t="s">
        <v>689</v>
      </c>
      <c r="E4383" t="s">
        <v>772</v>
      </c>
      <c r="F4383">
        <v>7</v>
      </c>
      <c r="G4383" s="308">
        <f>'BECA SUPERIOR'!Y290</f>
        <v>0</v>
      </c>
      <c r="H4383" s="308">
        <f>'BECA SUPERIOR'!Z290</f>
        <v>0</v>
      </c>
    </row>
    <row r="4384" spans="1:8" x14ac:dyDescent="0.3">
      <c r="A4384" t="s">
        <v>690</v>
      </c>
      <c r="B4384" t="s">
        <v>307</v>
      </c>
      <c r="C4384" t="s">
        <v>314</v>
      </c>
      <c r="D4384" t="s">
        <v>689</v>
      </c>
      <c r="E4384" t="s">
        <v>766</v>
      </c>
      <c r="F4384">
        <v>1</v>
      </c>
      <c r="G4384" s="308">
        <f>'BECA SUPERIOR'!G291</f>
        <v>0</v>
      </c>
      <c r="H4384" s="308">
        <f>'BECA SUPERIOR'!H291</f>
        <v>0</v>
      </c>
    </row>
    <row r="4385" spans="1:8" x14ac:dyDescent="0.3">
      <c r="A4385" t="s">
        <v>690</v>
      </c>
      <c r="B4385" t="s">
        <v>307</v>
      </c>
      <c r="C4385" t="s">
        <v>314</v>
      </c>
      <c r="D4385" t="s">
        <v>689</v>
      </c>
      <c r="E4385" t="s">
        <v>767</v>
      </c>
      <c r="F4385">
        <v>2</v>
      </c>
      <c r="G4385" s="308">
        <f>'BECA SUPERIOR'!J291</f>
        <v>0</v>
      </c>
      <c r="H4385" s="308">
        <f>'BECA SUPERIOR'!K291</f>
        <v>0</v>
      </c>
    </row>
    <row r="4386" spans="1:8" x14ac:dyDescent="0.3">
      <c r="A4386" t="s">
        <v>690</v>
      </c>
      <c r="B4386" t="s">
        <v>307</v>
      </c>
      <c r="C4386" t="s">
        <v>314</v>
      </c>
      <c r="D4386" t="s">
        <v>689</v>
      </c>
      <c r="E4386" t="s">
        <v>768</v>
      </c>
      <c r="F4386">
        <v>3</v>
      </c>
      <c r="G4386" s="308">
        <f>'BECA SUPERIOR'!M291</f>
        <v>0</v>
      </c>
      <c r="H4386" s="308">
        <f>'BECA SUPERIOR'!N291</f>
        <v>0</v>
      </c>
    </row>
    <row r="4387" spans="1:8" x14ac:dyDescent="0.3">
      <c r="A4387" t="s">
        <v>690</v>
      </c>
      <c r="B4387" t="s">
        <v>307</v>
      </c>
      <c r="C4387" t="s">
        <v>314</v>
      </c>
      <c r="D4387" t="s">
        <v>689</v>
      </c>
      <c r="E4387" t="s">
        <v>769</v>
      </c>
      <c r="F4387">
        <v>4</v>
      </c>
      <c r="G4387" s="308">
        <f>'BECA SUPERIOR'!P291</f>
        <v>2.88</v>
      </c>
      <c r="H4387" s="308">
        <f>'BECA SUPERIOR'!Q291</f>
        <v>7200</v>
      </c>
    </row>
    <row r="4388" spans="1:8" x14ac:dyDescent="0.3">
      <c r="A4388" t="s">
        <v>690</v>
      </c>
      <c r="B4388" t="s">
        <v>307</v>
      </c>
      <c r="C4388" t="s">
        <v>314</v>
      </c>
      <c r="D4388" t="s">
        <v>689</v>
      </c>
      <c r="E4388" t="s">
        <v>770</v>
      </c>
      <c r="F4388">
        <v>5</v>
      </c>
      <c r="G4388" s="308">
        <f>'BECA SUPERIOR'!S291</f>
        <v>0</v>
      </c>
      <c r="H4388" s="308">
        <f>'BECA SUPERIOR'!T291</f>
        <v>0</v>
      </c>
    </row>
    <row r="4389" spans="1:8" x14ac:dyDescent="0.3">
      <c r="A4389" t="s">
        <v>690</v>
      </c>
      <c r="B4389" t="s">
        <v>307</v>
      </c>
      <c r="C4389" t="s">
        <v>314</v>
      </c>
      <c r="D4389" t="s">
        <v>689</v>
      </c>
      <c r="E4389" t="s">
        <v>771</v>
      </c>
      <c r="F4389">
        <v>6</v>
      </c>
      <c r="G4389" s="308">
        <f>'BECA SUPERIOR'!V291</f>
        <v>0</v>
      </c>
      <c r="H4389" s="308">
        <f>'BECA SUPERIOR'!W291</f>
        <v>0</v>
      </c>
    </row>
    <row r="4390" spans="1:8" x14ac:dyDescent="0.3">
      <c r="A4390" t="s">
        <v>690</v>
      </c>
      <c r="B4390" t="s">
        <v>307</v>
      </c>
      <c r="C4390" t="s">
        <v>314</v>
      </c>
      <c r="D4390" t="s">
        <v>689</v>
      </c>
      <c r="E4390" t="s">
        <v>772</v>
      </c>
      <c r="F4390">
        <v>7</v>
      </c>
      <c r="G4390" s="308">
        <f>'BECA SUPERIOR'!Y291</f>
        <v>0</v>
      </c>
      <c r="H4390" s="308">
        <f>'BECA SUPERIOR'!Z291</f>
        <v>0</v>
      </c>
    </row>
    <row r="4391" spans="1:8" x14ac:dyDescent="0.3">
      <c r="A4391" t="s">
        <v>690</v>
      </c>
      <c r="B4391" t="s">
        <v>307</v>
      </c>
      <c r="C4391" t="s">
        <v>315</v>
      </c>
      <c r="D4391" t="s">
        <v>689</v>
      </c>
      <c r="E4391" t="s">
        <v>766</v>
      </c>
      <c r="F4391">
        <v>1</v>
      </c>
      <c r="G4391" s="308">
        <f>'BECA SUPERIOR'!G292</f>
        <v>0</v>
      </c>
      <c r="H4391" s="308">
        <f>'BECA SUPERIOR'!H292</f>
        <v>0</v>
      </c>
    </row>
    <row r="4392" spans="1:8" x14ac:dyDescent="0.3">
      <c r="A4392" t="s">
        <v>690</v>
      </c>
      <c r="B4392" t="s">
        <v>307</v>
      </c>
      <c r="C4392" t="s">
        <v>315</v>
      </c>
      <c r="D4392" t="s">
        <v>689</v>
      </c>
      <c r="E4392" t="s">
        <v>767</v>
      </c>
      <c r="F4392">
        <v>2</v>
      </c>
      <c r="G4392" s="308">
        <f>'BECA SUPERIOR'!J292</f>
        <v>0</v>
      </c>
      <c r="H4392" s="308">
        <f>'BECA SUPERIOR'!K292</f>
        <v>0</v>
      </c>
    </row>
    <row r="4393" spans="1:8" x14ac:dyDescent="0.3">
      <c r="A4393" t="s">
        <v>690</v>
      </c>
      <c r="B4393" t="s">
        <v>307</v>
      </c>
      <c r="C4393" t="s">
        <v>315</v>
      </c>
      <c r="D4393" t="s">
        <v>689</v>
      </c>
      <c r="E4393" t="s">
        <v>768</v>
      </c>
      <c r="F4393">
        <v>3</v>
      </c>
      <c r="G4393" s="308">
        <f>'BECA SUPERIOR'!M292</f>
        <v>0</v>
      </c>
      <c r="H4393" s="308">
        <f>'BECA SUPERIOR'!N292</f>
        <v>0</v>
      </c>
    </row>
    <row r="4394" spans="1:8" x14ac:dyDescent="0.3">
      <c r="A4394" t="s">
        <v>690</v>
      </c>
      <c r="B4394" t="s">
        <v>307</v>
      </c>
      <c r="C4394" t="s">
        <v>315</v>
      </c>
      <c r="D4394" t="s">
        <v>689</v>
      </c>
      <c r="E4394" t="s">
        <v>769</v>
      </c>
      <c r="F4394">
        <v>4</v>
      </c>
      <c r="G4394" s="308">
        <f>'BECA SUPERIOR'!P292</f>
        <v>10.08</v>
      </c>
      <c r="H4394" s="308">
        <f>'BECA SUPERIOR'!Q292</f>
        <v>25200</v>
      </c>
    </row>
    <row r="4395" spans="1:8" x14ac:dyDescent="0.3">
      <c r="A4395" t="s">
        <v>690</v>
      </c>
      <c r="B4395" t="s">
        <v>307</v>
      </c>
      <c r="C4395" t="s">
        <v>315</v>
      </c>
      <c r="D4395" t="s">
        <v>689</v>
      </c>
      <c r="E4395" t="s">
        <v>770</v>
      </c>
      <c r="F4395">
        <v>5</v>
      </c>
      <c r="G4395" s="308">
        <f>'BECA SUPERIOR'!S292</f>
        <v>0</v>
      </c>
      <c r="H4395" s="308">
        <f>'BECA SUPERIOR'!T292</f>
        <v>0</v>
      </c>
    </row>
    <row r="4396" spans="1:8" x14ac:dyDescent="0.3">
      <c r="A4396" t="s">
        <v>690</v>
      </c>
      <c r="B4396" t="s">
        <v>307</v>
      </c>
      <c r="C4396" t="s">
        <v>315</v>
      </c>
      <c r="D4396" t="s">
        <v>689</v>
      </c>
      <c r="E4396" t="s">
        <v>771</v>
      </c>
      <c r="F4396">
        <v>6</v>
      </c>
      <c r="G4396" s="308">
        <f>'BECA SUPERIOR'!V292</f>
        <v>0</v>
      </c>
      <c r="H4396" s="308">
        <f>'BECA SUPERIOR'!W292</f>
        <v>0</v>
      </c>
    </row>
    <row r="4397" spans="1:8" x14ac:dyDescent="0.3">
      <c r="A4397" t="s">
        <v>690</v>
      </c>
      <c r="B4397" t="s">
        <v>307</v>
      </c>
      <c r="C4397" t="s">
        <v>315</v>
      </c>
      <c r="D4397" t="s">
        <v>689</v>
      </c>
      <c r="E4397" t="s">
        <v>772</v>
      </c>
      <c r="F4397">
        <v>7</v>
      </c>
      <c r="G4397" s="308">
        <f>'BECA SUPERIOR'!Y292</f>
        <v>0</v>
      </c>
      <c r="H4397" s="308">
        <f>'BECA SUPERIOR'!Z292</f>
        <v>0</v>
      </c>
    </row>
    <row r="4398" spans="1:8" x14ac:dyDescent="0.3">
      <c r="A4398" t="s">
        <v>690</v>
      </c>
      <c r="B4398" t="s">
        <v>307</v>
      </c>
      <c r="C4398" t="s">
        <v>316</v>
      </c>
      <c r="D4398" t="s">
        <v>689</v>
      </c>
      <c r="E4398" t="s">
        <v>766</v>
      </c>
      <c r="F4398">
        <v>1</v>
      </c>
      <c r="G4398" s="308">
        <f>'BECA SUPERIOR'!G293</f>
        <v>0</v>
      </c>
      <c r="H4398" s="308">
        <f>'BECA SUPERIOR'!H293</f>
        <v>0</v>
      </c>
    </row>
    <row r="4399" spans="1:8" x14ac:dyDescent="0.3">
      <c r="A4399" t="s">
        <v>690</v>
      </c>
      <c r="B4399" t="s">
        <v>307</v>
      </c>
      <c r="C4399" t="s">
        <v>316</v>
      </c>
      <c r="D4399" t="s">
        <v>689</v>
      </c>
      <c r="E4399" t="s">
        <v>767</v>
      </c>
      <c r="F4399">
        <v>2</v>
      </c>
      <c r="G4399" s="308">
        <f>'BECA SUPERIOR'!J293</f>
        <v>0</v>
      </c>
      <c r="H4399" s="308">
        <f>'BECA SUPERIOR'!K293</f>
        <v>0</v>
      </c>
    </row>
    <row r="4400" spans="1:8" x14ac:dyDescent="0.3">
      <c r="A4400" t="s">
        <v>690</v>
      </c>
      <c r="B4400" t="s">
        <v>307</v>
      </c>
      <c r="C4400" t="s">
        <v>316</v>
      </c>
      <c r="D4400" t="s">
        <v>689</v>
      </c>
      <c r="E4400" t="s">
        <v>768</v>
      </c>
      <c r="F4400">
        <v>3</v>
      </c>
      <c r="G4400" s="308">
        <f>'BECA SUPERIOR'!M293</f>
        <v>0</v>
      </c>
      <c r="H4400" s="308">
        <f>'BECA SUPERIOR'!N293</f>
        <v>0</v>
      </c>
    </row>
    <row r="4401" spans="1:8" x14ac:dyDescent="0.3">
      <c r="A4401" t="s">
        <v>690</v>
      </c>
      <c r="B4401" t="s">
        <v>307</v>
      </c>
      <c r="C4401" t="s">
        <v>316</v>
      </c>
      <c r="D4401" t="s">
        <v>689</v>
      </c>
      <c r="E4401" t="s">
        <v>769</v>
      </c>
      <c r="F4401">
        <v>4</v>
      </c>
      <c r="G4401" s="308">
        <f>'BECA SUPERIOR'!P293</f>
        <v>0</v>
      </c>
      <c r="H4401" s="308">
        <f>'BECA SUPERIOR'!Q293</f>
        <v>0</v>
      </c>
    </row>
    <row r="4402" spans="1:8" x14ac:dyDescent="0.3">
      <c r="A4402" t="s">
        <v>690</v>
      </c>
      <c r="B4402" t="s">
        <v>307</v>
      </c>
      <c r="C4402" t="s">
        <v>316</v>
      </c>
      <c r="D4402" t="s">
        <v>689</v>
      </c>
      <c r="E4402" t="s">
        <v>770</v>
      </c>
      <c r="F4402">
        <v>5</v>
      </c>
      <c r="G4402" s="308">
        <f>'BECA SUPERIOR'!S293</f>
        <v>0</v>
      </c>
      <c r="H4402" s="308">
        <f>'BECA SUPERIOR'!T293</f>
        <v>0</v>
      </c>
    </row>
    <row r="4403" spans="1:8" x14ac:dyDescent="0.3">
      <c r="A4403" t="s">
        <v>690</v>
      </c>
      <c r="B4403" t="s">
        <v>307</v>
      </c>
      <c r="C4403" t="s">
        <v>316</v>
      </c>
      <c r="D4403" t="s">
        <v>689</v>
      </c>
      <c r="E4403" t="s">
        <v>771</v>
      </c>
      <c r="F4403">
        <v>6</v>
      </c>
      <c r="G4403" s="308">
        <f>'BECA SUPERIOR'!V293</f>
        <v>0</v>
      </c>
      <c r="H4403" s="308">
        <f>'BECA SUPERIOR'!W293</f>
        <v>0</v>
      </c>
    </row>
    <row r="4404" spans="1:8" x14ac:dyDescent="0.3">
      <c r="A4404" t="s">
        <v>690</v>
      </c>
      <c r="B4404" t="s">
        <v>307</v>
      </c>
      <c r="C4404" t="s">
        <v>316</v>
      </c>
      <c r="D4404" t="s">
        <v>689</v>
      </c>
      <c r="E4404" t="s">
        <v>772</v>
      </c>
      <c r="F4404">
        <v>7</v>
      </c>
      <c r="G4404" s="308">
        <f>'BECA SUPERIOR'!Y293</f>
        <v>0</v>
      </c>
      <c r="H4404" s="308">
        <f>'BECA SUPERIOR'!Z293</f>
        <v>0</v>
      </c>
    </row>
    <row r="4405" spans="1:8" x14ac:dyDescent="0.3">
      <c r="A4405" t="s">
        <v>690</v>
      </c>
      <c r="B4405" t="s">
        <v>307</v>
      </c>
      <c r="C4405" t="s">
        <v>317</v>
      </c>
      <c r="D4405" t="s">
        <v>689</v>
      </c>
      <c r="E4405" t="s">
        <v>766</v>
      </c>
      <c r="F4405">
        <v>1</v>
      </c>
      <c r="G4405" s="308">
        <f>'BECA SUPERIOR'!G294</f>
        <v>0</v>
      </c>
      <c r="H4405" s="308">
        <f>'BECA SUPERIOR'!H294</f>
        <v>0</v>
      </c>
    </row>
    <row r="4406" spans="1:8" x14ac:dyDescent="0.3">
      <c r="A4406" t="s">
        <v>690</v>
      </c>
      <c r="B4406" t="s">
        <v>307</v>
      </c>
      <c r="C4406" t="s">
        <v>317</v>
      </c>
      <c r="D4406" t="s">
        <v>689</v>
      </c>
      <c r="E4406" t="s">
        <v>767</v>
      </c>
      <c r="F4406">
        <v>2</v>
      </c>
      <c r="G4406" s="308">
        <f>'BECA SUPERIOR'!J294</f>
        <v>0</v>
      </c>
      <c r="H4406" s="308">
        <f>'BECA SUPERIOR'!K294</f>
        <v>0</v>
      </c>
    </row>
    <row r="4407" spans="1:8" x14ac:dyDescent="0.3">
      <c r="A4407" t="s">
        <v>690</v>
      </c>
      <c r="B4407" t="s">
        <v>307</v>
      </c>
      <c r="C4407" t="s">
        <v>317</v>
      </c>
      <c r="D4407" t="s">
        <v>689</v>
      </c>
      <c r="E4407" t="s">
        <v>768</v>
      </c>
      <c r="F4407">
        <v>3</v>
      </c>
      <c r="G4407" s="308">
        <f>'BECA SUPERIOR'!M294</f>
        <v>0</v>
      </c>
      <c r="H4407" s="308">
        <f>'BECA SUPERIOR'!N294</f>
        <v>0</v>
      </c>
    </row>
    <row r="4408" spans="1:8" x14ac:dyDescent="0.3">
      <c r="A4408" t="s">
        <v>690</v>
      </c>
      <c r="B4408" t="s">
        <v>307</v>
      </c>
      <c r="C4408" t="s">
        <v>317</v>
      </c>
      <c r="D4408" t="s">
        <v>689</v>
      </c>
      <c r="E4408" t="s">
        <v>769</v>
      </c>
      <c r="F4408">
        <v>4</v>
      </c>
      <c r="G4408" s="308">
        <f>'BECA SUPERIOR'!P294</f>
        <v>1.44</v>
      </c>
      <c r="H4408" s="308">
        <f>'BECA SUPERIOR'!Q294</f>
        <v>3600</v>
      </c>
    </row>
    <row r="4409" spans="1:8" x14ac:dyDescent="0.3">
      <c r="A4409" t="s">
        <v>690</v>
      </c>
      <c r="B4409" t="s">
        <v>307</v>
      </c>
      <c r="C4409" t="s">
        <v>317</v>
      </c>
      <c r="D4409" t="s">
        <v>689</v>
      </c>
      <c r="E4409" t="s">
        <v>770</v>
      </c>
      <c r="F4409">
        <v>5</v>
      </c>
      <c r="G4409" s="308">
        <f>'BECA SUPERIOR'!S294</f>
        <v>0</v>
      </c>
      <c r="H4409" s="308">
        <f>'BECA SUPERIOR'!T294</f>
        <v>0</v>
      </c>
    </row>
    <row r="4410" spans="1:8" x14ac:dyDescent="0.3">
      <c r="A4410" t="s">
        <v>690</v>
      </c>
      <c r="B4410" t="s">
        <v>307</v>
      </c>
      <c r="C4410" t="s">
        <v>317</v>
      </c>
      <c r="D4410" t="s">
        <v>689</v>
      </c>
      <c r="E4410" t="s">
        <v>771</v>
      </c>
      <c r="F4410">
        <v>6</v>
      </c>
      <c r="G4410" s="308">
        <f>'BECA SUPERIOR'!V294</f>
        <v>0</v>
      </c>
      <c r="H4410" s="308">
        <f>'BECA SUPERIOR'!W294</f>
        <v>0</v>
      </c>
    </row>
    <row r="4411" spans="1:8" x14ac:dyDescent="0.3">
      <c r="A4411" t="s">
        <v>690</v>
      </c>
      <c r="B4411" t="s">
        <v>307</v>
      </c>
      <c r="C4411" t="s">
        <v>317</v>
      </c>
      <c r="D4411" t="s">
        <v>689</v>
      </c>
      <c r="E4411" t="s">
        <v>772</v>
      </c>
      <c r="F4411">
        <v>7</v>
      </c>
      <c r="G4411" s="308">
        <f>'BECA SUPERIOR'!Y294</f>
        <v>0</v>
      </c>
      <c r="H4411" s="308">
        <f>'BECA SUPERIOR'!Z294</f>
        <v>0</v>
      </c>
    </row>
    <row r="4412" spans="1:8" x14ac:dyDescent="0.3">
      <c r="A4412" t="s">
        <v>690</v>
      </c>
      <c r="B4412" t="s">
        <v>307</v>
      </c>
      <c r="C4412" t="s">
        <v>318</v>
      </c>
      <c r="D4412" t="s">
        <v>689</v>
      </c>
      <c r="E4412" t="s">
        <v>766</v>
      </c>
      <c r="F4412">
        <v>1</v>
      </c>
      <c r="G4412" s="308">
        <f>'BECA SUPERIOR'!G295</f>
        <v>0</v>
      </c>
      <c r="H4412" s="308">
        <f>'BECA SUPERIOR'!H295</f>
        <v>0</v>
      </c>
    </row>
    <row r="4413" spans="1:8" x14ac:dyDescent="0.3">
      <c r="A4413" t="s">
        <v>690</v>
      </c>
      <c r="B4413" t="s">
        <v>307</v>
      </c>
      <c r="C4413" t="s">
        <v>318</v>
      </c>
      <c r="D4413" t="s">
        <v>689</v>
      </c>
      <c r="E4413" t="s">
        <v>767</v>
      </c>
      <c r="F4413">
        <v>2</v>
      </c>
      <c r="G4413" s="308">
        <f>'BECA SUPERIOR'!J295</f>
        <v>0</v>
      </c>
      <c r="H4413" s="308">
        <f>'BECA SUPERIOR'!K295</f>
        <v>0</v>
      </c>
    </row>
    <row r="4414" spans="1:8" x14ac:dyDescent="0.3">
      <c r="A4414" t="s">
        <v>690</v>
      </c>
      <c r="B4414" t="s">
        <v>307</v>
      </c>
      <c r="C4414" t="s">
        <v>318</v>
      </c>
      <c r="D4414" t="s">
        <v>689</v>
      </c>
      <c r="E4414" t="s">
        <v>768</v>
      </c>
      <c r="F4414">
        <v>3</v>
      </c>
      <c r="G4414" s="308">
        <f>'BECA SUPERIOR'!M295</f>
        <v>0</v>
      </c>
      <c r="H4414" s="308">
        <f>'BECA SUPERIOR'!N295</f>
        <v>0</v>
      </c>
    </row>
    <row r="4415" spans="1:8" x14ac:dyDescent="0.3">
      <c r="A4415" t="s">
        <v>690</v>
      </c>
      <c r="B4415" t="s">
        <v>307</v>
      </c>
      <c r="C4415" t="s">
        <v>318</v>
      </c>
      <c r="D4415" t="s">
        <v>689</v>
      </c>
      <c r="E4415" t="s">
        <v>769</v>
      </c>
      <c r="F4415">
        <v>4</v>
      </c>
      <c r="G4415" s="308">
        <f>'BECA SUPERIOR'!P295</f>
        <v>2.16</v>
      </c>
      <c r="H4415" s="308">
        <f>'BECA SUPERIOR'!Q295</f>
        <v>5400</v>
      </c>
    </row>
    <row r="4416" spans="1:8" x14ac:dyDescent="0.3">
      <c r="A4416" t="s">
        <v>690</v>
      </c>
      <c r="B4416" t="s">
        <v>307</v>
      </c>
      <c r="C4416" t="s">
        <v>318</v>
      </c>
      <c r="D4416" t="s">
        <v>689</v>
      </c>
      <c r="E4416" t="s">
        <v>770</v>
      </c>
      <c r="F4416">
        <v>5</v>
      </c>
      <c r="G4416" s="308">
        <f>'BECA SUPERIOR'!S295</f>
        <v>0</v>
      </c>
      <c r="H4416" s="308">
        <f>'BECA SUPERIOR'!T295</f>
        <v>0</v>
      </c>
    </row>
    <row r="4417" spans="1:8" x14ac:dyDescent="0.3">
      <c r="A4417" t="s">
        <v>690</v>
      </c>
      <c r="B4417" t="s">
        <v>307</v>
      </c>
      <c r="C4417" t="s">
        <v>318</v>
      </c>
      <c r="D4417" t="s">
        <v>689</v>
      </c>
      <c r="E4417" t="s">
        <v>771</v>
      </c>
      <c r="F4417">
        <v>6</v>
      </c>
      <c r="G4417" s="308">
        <f>'BECA SUPERIOR'!V295</f>
        <v>0</v>
      </c>
      <c r="H4417" s="308">
        <f>'BECA SUPERIOR'!W295</f>
        <v>0</v>
      </c>
    </row>
    <row r="4418" spans="1:8" x14ac:dyDescent="0.3">
      <c r="A4418" t="s">
        <v>690</v>
      </c>
      <c r="B4418" t="s">
        <v>307</v>
      </c>
      <c r="C4418" t="s">
        <v>318</v>
      </c>
      <c r="D4418" t="s">
        <v>689</v>
      </c>
      <c r="E4418" t="s">
        <v>772</v>
      </c>
      <c r="F4418">
        <v>7</v>
      </c>
      <c r="G4418" s="308">
        <f>'BECA SUPERIOR'!Y295</f>
        <v>0</v>
      </c>
      <c r="H4418" s="308">
        <f>'BECA SUPERIOR'!Z295</f>
        <v>0</v>
      </c>
    </row>
    <row r="4419" spans="1:8" x14ac:dyDescent="0.3">
      <c r="A4419" t="s">
        <v>690</v>
      </c>
      <c r="B4419" t="s">
        <v>307</v>
      </c>
      <c r="C4419" t="s">
        <v>319</v>
      </c>
      <c r="D4419" t="s">
        <v>689</v>
      </c>
      <c r="E4419" t="s">
        <v>766</v>
      </c>
      <c r="F4419">
        <v>1</v>
      </c>
      <c r="G4419" s="308">
        <f>'BECA SUPERIOR'!G296</f>
        <v>0</v>
      </c>
      <c r="H4419" s="308">
        <f>'BECA SUPERIOR'!H296</f>
        <v>0</v>
      </c>
    </row>
    <row r="4420" spans="1:8" x14ac:dyDescent="0.3">
      <c r="A4420" t="s">
        <v>690</v>
      </c>
      <c r="B4420" t="s">
        <v>307</v>
      </c>
      <c r="C4420" t="s">
        <v>319</v>
      </c>
      <c r="D4420" t="s">
        <v>689</v>
      </c>
      <c r="E4420" t="s">
        <v>767</v>
      </c>
      <c r="F4420">
        <v>2</v>
      </c>
      <c r="G4420" s="308">
        <f>'BECA SUPERIOR'!J296</f>
        <v>0</v>
      </c>
      <c r="H4420" s="308">
        <f>'BECA SUPERIOR'!K296</f>
        <v>0</v>
      </c>
    </row>
    <row r="4421" spans="1:8" x14ac:dyDescent="0.3">
      <c r="A4421" t="s">
        <v>690</v>
      </c>
      <c r="B4421" t="s">
        <v>307</v>
      </c>
      <c r="C4421" t="s">
        <v>319</v>
      </c>
      <c r="D4421" t="s">
        <v>689</v>
      </c>
      <c r="E4421" t="s">
        <v>768</v>
      </c>
      <c r="F4421">
        <v>3</v>
      </c>
      <c r="G4421" s="308">
        <f>'BECA SUPERIOR'!M296</f>
        <v>0</v>
      </c>
      <c r="H4421" s="308">
        <f>'BECA SUPERIOR'!N296</f>
        <v>0</v>
      </c>
    </row>
    <row r="4422" spans="1:8" x14ac:dyDescent="0.3">
      <c r="A4422" t="s">
        <v>690</v>
      </c>
      <c r="B4422" t="s">
        <v>307</v>
      </c>
      <c r="C4422" t="s">
        <v>319</v>
      </c>
      <c r="D4422" t="s">
        <v>689</v>
      </c>
      <c r="E4422" t="s">
        <v>769</v>
      </c>
      <c r="F4422">
        <v>4</v>
      </c>
      <c r="G4422" s="308">
        <f>'BECA SUPERIOR'!P296</f>
        <v>0</v>
      </c>
      <c r="H4422" s="308">
        <f>'BECA SUPERIOR'!Q296</f>
        <v>0</v>
      </c>
    </row>
    <row r="4423" spans="1:8" x14ac:dyDescent="0.3">
      <c r="A4423" t="s">
        <v>690</v>
      </c>
      <c r="B4423" t="s">
        <v>307</v>
      </c>
      <c r="C4423" t="s">
        <v>319</v>
      </c>
      <c r="D4423" t="s">
        <v>689</v>
      </c>
      <c r="E4423" t="s">
        <v>770</v>
      </c>
      <c r="F4423">
        <v>5</v>
      </c>
      <c r="G4423" s="308">
        <f>'BECA SUPERIOR'!S296</f>
        <v>0</v>
      </c>
      <c r="H4423" s="308">
        <f>'BECA SUPERIOR'!T296</f>
        <v>0</v>
      </c>
    </row>
    <row r="4424" spans="1:8" x14ac:dyDescent="0.3">
      <c r="A4424" t="s">
        <v>690</v>
      </c>
      <c r="B4424" t="s">
        <v>307</v>
      </c>
      <c r="C4424" t="s">
        <v>319</v>
      </c>
      <c r="D4424" t="s">
        <v>689</v>
      </c>
      <c r="E4424" t="s">
        <v>771</v>
      </c>
      <c r="F4424">
        <v>6</v>
      </c>
      <c r="G4424" s="308">
        <f>'BECA SUPERIOR'!V296</f>
        <v>0</v>
      </c>
      <c r="H4424" s="308">
        <f>'BECA SUPERIOR'!W296</f>
        <v>0</v>
      </c>
    </row>
    <row r="4425" spans="1:8" x14ac:dyDescent="0.3">
      <c r="A4425" t="s">
        <v>690</v>
      </c>
      <c r="B4425" t="s">
        <v>307</v>
      </c>
      <c r="C4425" t="s">
        <v>319</v>
      </c>
      <c r="D4425" t="s">
        <v>689</v>
      </c>
      <c r="E4425" t="s">
        <v>772</v>
      </c>
      <c r="F4425">
        <v>7</v>
      </c>
      <c r="G4425" s="308">
        <f>'BECA SUPERIOR'!Y296</f>
        <v>0</v>
      </c>
      <c r="H4425" s="308">
        <f>'BECA SUPERIOR'!Z296</f>
        <v>0</v>
      </c>
    </row>
    <row r="4426" spans="1:8" x14ac:dyDescent="0.3">
      <c r="A4426" t="s">
        <v>690</v>
      </c>
      <c r="B4426" t="s">
        <v>307</v>
      </c>
      <c r="C4426" t="s">
        <v>320</v>
      </c>
      <c r="D4426" t="s">
        <v>689</v>
      </c>
      <c r="E4426" t="s">
        <v>766</v>
      </c>
      <c r="F4426">
        <v>1</v>
      </c>
      <c r="G4426" s="308">
        <f>'BECA SUPERIOR'!G297</f>
        <v>0</v>
      </c>
      <c r="H4426" s="308">
        <f>'BECA SUPERIOR'!H297</f>
        <v>0</v>
      </c>
    </row>
    <row r="4427" spans="1:8" x14ac:dyDescent="0.3">
      <c r="A4427" t="s">
        <v>690</v>
      </c>
      <c r="B4427" t="s">
        <v>307</v>
      </c>
      <c r="C4427" t="s">
        <v>320</v>
      </c>
      <c r="D4427" t="s">
        <v>689</v>
      </c>
      <c r="E4427" t="s">
        <v>767</v>
      </c>
      <c r="F4427">
        <v>2</v>
      </c>
      <c r="G4427" s="308">
        <f>'BECA SUPERIOR'!J297</f>
        <v>0</v>
      </c>
      <c r="H4427" s="308">
        <f>'BECA SUPERIOR'!K297</f>
        <v>0</v>
      </c>
    </row>
    <row r="4428" spans="1:8" x14ac:dyDescent="0.3">
      <c r="A4428" t="s">
        <v>690</v>
      </c>
      <c r="B4428" t="s">
        <v>307</v>
      </c>
      <c r="C4428" t="s">
        <v>320</v>
      </c>
      <c r="D4428" t="s">
        <v>689</v>
      </c>
      <c r="E4428" t="s">
        <v>768</v>
      </c>
      <c r="F4428">
        <v>3</v>
      </c>
      <c r="G4428" s="308">
        <f>'BECA SUPERIOR'!M297</f>
        <v>0</v>
      </c>
      <c r="H4428" s="308">
        <f>'BECA SUPERIOR'!N297</f>
        <v>0</v>
      </c>
    </row>
    <row r="4429" spans="1:8" x14ac:dyDescent="0.3">
      <c r="A4429" t="s">
        <v>690</v>
      </c>
      <c r="B4429" t="s">
        <v>307</v>
      </c>
      <c r="C4429" t="s">
        <v>320</v>
      </c>
      <c r="D4429" t="s">
        <v>689</v>
      </c>
      <c r="E4429" t="s">
        <v>769</v>
      </c>
      <c r="F4429">
        <v>4</v>
      </c>
      <c r="G4429" s="308">
        <f>'BECA SUPERIOR'!P297</f>
        <v>1.44</v>
      </c>
      <c r="H4429" s="308">
        <f>'BECA SUPERIOR'!Q297</f>
        <v>3600</v>
      </c>
    </row>
    <row r="4430" spans="1:8" x14ac:dyDescent="0.3">
      <c r="A4430" t="s">
        <v>690</v>
      </c>
      <c r="B4430" t="s">
        <v>307</v>
      </c>
      <c r="C4430" t="s">
        <v>320</v>
      </c>
      <c r="D4430" t="s">
        <v>689</v>
      </c>
      <c r="E4430" t="s">
        <v>770</v>
      </c>
      <c r="F4430">
        <v>5</v>
      </c>
      <c r="G4430" s="308">
        <f>'BECA SUPERIOR'!S297</f>
        <v>0</v>
      </c>
      <c r="H4430" s="308">
        <f>'BECA SUPERIOR'!T297</f>
        <v>0</v>
      </c>
    </row>
    <row r="4431" spans="1:8" x14ac:dyDescent="0.3">
      <c r="A4431" t="s">
        <v>690</v>
      </c>
      <c r="B4431" t="s">
        <v>307</v>
      </c>
      <c r="C4431" t="s">
        <v>320</v>
      </c>
      <c r="D4431" t="s">
        <v>689</v>
      </c>
      <c r="E4431" t="s">
        <v>771</v>
      </c>
      <c r="F4431">
        <v>6</v>
      </c>
      <c r="G4431" s="308">
        <f>'BECA SUPERIOR'!V297</f>
        <v>0</v>
      </c>
      <c r="H4431" s="308">
        <f>'BECA SUPERIOR'!W297</f>
        <v>0</v>
      </c>
    </row>
    <row r="4432" spans="1:8" x14ac:dyDescent="0.3">
      <c r="A4432" t="s">
        <v>690</v>
      </c>
      <c r="B4432" t="s">
        <v>307</v>
      </c>
      <c r="C4432" t="s">
        <v>320</v>
      </c>
      <c r="D4432" t="s">
        <v>689</v>
      </c>
      <c r="E4432" t="s">
        <v>772</v>
      </c>
      <c r="F4432">
        <v>7</v>
      </c>
      <c r="G4432" s="308">
        <f>'BECA SUPERIOR'!Y297</f>
        <v>0</v>
      </c>
      <c r="H4432" s="308">
        <f>'BECA SUPERIOR'!Z297</f>
        <v>0</v>
      </c>
    </row>
    <row r="4433" spans="1:8" x14ac:dyDescent="0.3">
      <c r="A4433" t="s">
        <v>690</v>
      </c>
      <c r="B4433" t="s">
        <v>307</v>
      </c>
      <c r="C4433" t="s">
        <v>321</v>
      </c>
      <c r="D4433" t="s">
        <v>689</v>
      </c>
      <c r="E4433" t="s">
        <v>766</v>
      </c>
      <c r="F4433">
        <v>1</v>
      </c>
      <c r="G4433" s="308">
        <f>'BECA SUPERIOR'!G298</f>
        <v>0</v>
      </c>
      <c r="H4433" s="308">
        <f>'BECA SUPERIOR'!H298</f>
        <v>0</v>
      </c>
    </row>
    <row r="4434" spans="1:8" x14ac:dyDescent="0.3">
      <c r="A4434" t="s">
        <v>690</v>
      </c>
      <c r="B4434" t="s">
        <v>307</v>
      </c>
      <c r="C4434" t="s">
        <v>321</v>
      </c>
      <c r="D4434" t="s">
        <v>689</v>
      </c>
      <c r="E4434" t="s">
        <v>767</v>
      </c>
      <c r="F4434">
        <v>2</v>
      </c>
      <c r="G4434" s="308">
        <f>'BECA SUPERIOR'!J298</f>
        <v>0</v>
      </c>
      <c r="H4434" s="308">
        <f>'BECA SUPERIOR'!K298</f>
        <v>0</v>
      </c>
    </row>
    <row r="4435" spans="1:8" x14ac:dyDescent="0.3">
      <c r="A4435" t="s">
        <v>690</v>
      </c>
      <c r="B4435" t="s">
        <v>307</v>
      </c>
      <c r="C4435" t="s">
        <v>321</v>
      </c>
      <c r="D4435" t="s">
        <v>689</v>
      </c>
      <c r="E4435" t="s">
        <v>768</v>
      </c>
      <c r="F4435">
        <v>3</v>
      </c>
      <c r="G4435" s="308">
        <f>'BECA SUPERIOR'!M298</f>
        <v>0</v>
      </c>
      <c r="H4435" s="308">
        <f>'BECA SUPERIOR'!N298</f>
        <v>0</v>
      </c>
    </row>
    <row r="4436" spans="1:8" x14ac:dyDescent="0.3">
      <c r="A4436" t="s">
        <v>690</v>
      </c>
      <c r="B4436" t="s">
        <v>307</v>
      </c>
      <c r="C4436" t="s">
        <v>321</v>
      </c>
      <c r="D4436" t="s">
        <v>689</v>
      </c>
      <c r="E4436" t="s">
        <v>769</v>
      </c>
      <c r="F4436">
        <v>4</v>
      </c>
      <c r="G4436" s="308">
        <f>'BECA SUPERIOR'!P298</f>
        <v>2.88</v>
      </c>
      <c r="H4436" s="308">
        <f>'BECA SUPERIOR'!Q298</f>
        <v>7200</v>
      </c>
    </row>
    <row r="4437" spans="1:8" x14ac:dyDescent="0.3">
      <c r="A4437" t="s">
        <v>690</v>
      </c>
      <c r="B4437" t="s">
        <v>307</v>
      </c>
      <c r="C4437" t="s">
        <v>321</v>
      </c>
      <c r="D4437" t="s">
        <v>689</v>
      </c>
      <c r="E4437" t="s">
        <v>770</v>
      </c>
      <c r="F4437">
        <v>5</v>
      </c>
      <c r="G4437" s="308">
        <f>'BECA SUPERIOR'!S298</f>
        <v>0</v>
      </c>
      <c r="H4437" s="308">
        <f>'BECA SUPERIOR'!T298</f>
        <v>0</v>
      </c>
    </row>
    <row r="4438" spans="1:8" x14ac:dyDescent="0.3">
      <c r="A4438" t="s">
        <v>690</v>
      </c>
      <c r="B4438" t="s">
        <v>307</v>
      </c>
      <c r="C4438" t="s">
        <v>321</v>
      </c>
      <c r="D4438" t="s">
        <v>689</v>
      </c>
      <c r="E4438" t="s">
        <v>771</v>
      </c>
      <c r="F4438">
        <v>6</v>
      </c>
      <c r="G4438" s="308">
        <f>'BECA SUPERIOR'!V298</f>
        <v>0</v>
      </c>
      <c r="H4438" s="308">
        <f>'BECA SUPERIOR'!W298</f>
        <v>0</v>
      </c>
    </row>
    <row r="4439" spans="1:8" x14ac:dyDescent="0.3">
      <c r="A4439" t="s">
        <v>690</v>
      </c>
      <c r="B4439" t="s">
        <v>307</v>
      </c>
      <c r="C4439" t="s">
        <v>321</v>
      </c>
      <c r="D4439" t="s">
        <v>689</v>
      </c>
      <c r="E4439" t="s">
        <v>772</v>
      </c>
      <c r="F4439">
        <v>7</v>
      </c>
      <c r="G4439" s="308">
        <f>'BECA SUPERIOR'!Y298</f>
        <v>0</v>
      </c>
      <c r="H4439" s="308">
        <f>'BECA SUPERIOR'!Z298</f>
        <v>0</v>
      </c>
    </row>
    <row r="4440" spans="1:8" x14ac:dyDescent="0.3">
      <c r="A4440" t="s">
        <v>690</v>
      </c>
      <c r="B4440" t="s">
        <v>307</v>
      </c>
      <c r="C4440" t="s">
        <v>322</v>
      </c>
      <c r="D4440" t="s">
        <v>689</v>
      </c>
      <c r="E4440" t="s">
        <v>766</v>
      </c>
      <c r="F4440">
        <v>1</v>
      </c>
      <c r="G4440" s="308">
        <f>'BECA SUPERIOR'!G299</f>
        <v>0</v>
      </c>
      <c r="H4440" s="308">
        <f>'BECA SUPERIOR'!H299</f>
        <v>0</v>
      </c>
    </row>
    <row r="4441" spans="1:8" x14ac:dyDescent="0.3">
      <c r="A4441" t="s">
        <v>690</v>
      </c>
      <c r="B4441" t="s">
        <v>307</v>
      </c>
      <c r="C4441" t="s">
        <v>322</v>
      </c>
      <c r="D4441" t="s">
        <v>689</v>
      </c>
      <c r="E4441" t="s">
        <v>767</v>
      </c>
      <c r="F4441">
        <v>2</v>
      </c>
      <c r="G4441" s="308">
        <f>'BECA SUPERIOR'!J299</f>
        <v>0</v>
      </c>
      <c r="H4441" s="308">
        <f>'BECA SUPERIOR'!K299</f>
        <v>0</v>
      </c>
    </row>
    <row r="4442" spans="1:8" x14ac:dyDescent="0.3">
      <c r="A4442" t="s">
        <v>690</v>
      </c>
      <c r="B4442" t="s">
        <v>307</v>
      </c>
      <c r="C4442" t="s">
        <v>322</v>
      </c>
      <c r="D4442" t="s">
        <v>689</v>
      </c>
      <c r="E4442" t="s">
        <v>768</v>
      </c>
      <c r="F4442">
        <v>3</v>
      </c>
      <c r="G4442" s="308">
        <f>'BECA SUPERIOR'!M299</f>
        <v>0</v>
      </c>
      <c r="H4442" s="308">
        <f>'BECA SUPERIOR'!N299</f>
        <v>0</v>
      </c>
    </row>
    <row r="4443" spans="1:8" x14ac:dyDescent="0.3">
      <c r="A4443" t="s">
        <v>690</v>
      </c>
      <c r="B4443" t="s">
        <v>307</v>
      </c>
      <c r="C4443" t="s">
        <v>322</v>
      </c>
      <c r="D4443" t="s">
        <v>689</v>
      </c>
      <c r="E4443" t="s">
        <v>769</v>
      </c>
      <c r="F4443">
        <v>4</v>
      </c>
      <c r="G4443" s="308">
        <f>'BECA SUPERIOR'!P299</f>
        <v>0.72</v>
      </c>
      <c r="H4443" s="308">
        <f>'BECA SUPERIOR'!Q299</f>
        <v>1800</v>
      </c>
    </row>
    <row r="4444" spans="1:8" x14ac:dyDescent="0.3">
      <c r="A4444" t="s">
        <v>690</v>
      </c>
      <c r="B4444" t="s">
        <v>307</v>
      </c>
      <c r="C4444" t="s">
        <v>322</v>
      </c>
      <c r="D4444" t="s">
        <v>689</v>
      </c>
      <c r="E4444" t="s">
        <v>770</v>
      </c>
      <c r="F4444">
        <v>5</v>
      </c>
      <c r="G4444" s="308">
        <f>'BECA SUPERIOR'!S299</f>
        <v>0</v>
      </c>
      <c r="H4444" s="308">
        <f>'BECA SUPERIOR'!T299</f>
        <v>0</v>
      </c>
    </row>
    <row r="4445" spans="1:8" x14ac:dyDescent="0.3">
      <c r="A4445" t="s">
        <v>690</v>
      </c>
      <c r="B4445" t="s">
        <v>307</v>
      </c>
      <c r="C4445" t="s">
        <v>322</v>
      </c>
      <c r="D4445" t="s">
        <v>689</v>
      </c>
      <c r="E4445" t="s">
        <v>771</v>
      </c>
      <c r="F4445">
        <v>6</v>
      </c>
      <c r="G4445" s="308">
        <f>'BECA SUPERIOR'!V299</f>
        <v>0</v>
      </c>
      <c r="H4445" s="308">
        <f>'BECA SUPERIOR'!W299</f>
        <v>0</v>
      </c>
    </row>
    <row r="4446" spans="1:8" x14ac:dyDescent="0.3">
      <c r="A4446" t="s">
        <v>690</v>
      </c>
      <c r="B4446" t="s">
        <v>307</v>
      </c>
      <c r="C4446" t="s">
        <v>322</v>
      </c>
      <c r="D4446" t="s">
        <v>689</v>
      </c>
      <c r="E4446" t="s">
        <v>772</v>
      </c>
      <c r="F4446">
        <v>7</v>
      </c>
      <c r="G4446" s="308">
        <f>'BECA SUPERIOR'!Y299</f>
        <v>0</v>
      </c>
      <c r="H4446" s="308">
        <f>'BECA SUPERIOR'!Z299</f>
        <v>0</v>
      </c>
    </row>
    <row r="4447" spans="1:8" x14ac:dyDescent="0.3">
      <c r="A4447" t="s">
        <v>690</v>
      </c>
      <c r="B4447" t="s">
        <v>307</v>
      </c>
      <c r="C4447" t="s">
        <v>323</v>
      </c>
      <c r="D4447" t="s">
        <v>689</v>
      </c>
      <c r="E4447" t="s">
        <v>766</v>
      </c>
      <c r="F4447">
        <v>1</v>
      </c>
      <c r="G4447" s="308">
        <f>'BECA SUPERIOR'!G300</f>
        <v>0</v>
      </c>
      <c r="H4447" s="308">
        <f>'BECA SUPERIOR'!H300</f>
        <v>0</v>
      </c>
    </row>
    <row r="4448" spans="1:8" x14ac:dyDescent="0.3">
      <c r="A4448" t="s">
        <v>690</v>
      </c>
      <c r="B4448" t="s">
        <v>307</v>
      </c>
      <c r="C4448" t="s">
        <v>323</v>
      </c>
      <c r="D4448" t="s">
        <v>689</v>
      </c>
      <c r="E4448" t="s">
        <v>767</v>
      </c>
      <c r="F4448">
        <v>2</v>
      </c>
      <c r="G4448" s="308">
        <f>'BECA SUPERIOR'!J300</f>
        <v>0</v>
      </c>
      <c r="H4448" s="308">
        <f>'BECA SUPERIOR'!K300</f>
        <v>0</v>
      </c>
    </row>
    <row r="4449" spans="1:8" x14ac:dyDescent="0.3">
      <c r="A4449" t="s">
        <v>690</v>
      </c>
      <c r="B4449" t="s">
        <v>307</v>
      </c>
      <c r="C4449" t="s">
        <v>323</v>
      </c>
      <c r="D4449" t="s">
        <v>689</v>
      </c>
      <c r="E4449" t="s">
        <v>768</v>
      </c>
      <c r="F4449">
        <v>3</v>
      </c>
      <c r="G4449" s="308">
        <f>'BECA SUPERIOR'!M300</f>
        <v>0</v>
      </c>
      <c r="H4449" s="308">
        <f>'BECA SUPERIOR'!N300</f>
        <v>0</v>
      </c>
    </row>
    <row r="4450" spans="1:8" x14ac:dyDescent="0.3">
      <c r="A4450" t="s">
        <v>690</v>
      </c>
      <c r="B4450" t="s">
        <v>307</v>
      </c>
      <c r="C4450" t="s">
        <v>323</v>
      </c>
      <c r="D4450" t="s">
        <v>689</v>
      </c>
      <c r="E4450" t="s">
        <v>769</v>
      </c>
      <c r="F4450">
        <v>4</v>
      </c>
      <c r="G4450" s="308">
        <f>'BECA SUPERIOR'!P300</f>
        <v>3.6</v>
      </c>
      <c r="H4450" s="308">
        <f>'BECA SUPERIOR'!Q300</f>
        <v>9000</v>
      </c>
    </row>
    <row r="4451" spans="1:8" x14ac:dyDescent="0.3">
      <c r="A4451" t="s">
        <v>690</v>
      </c>
      <c r="B4451" t="s">
        <v>307</v>
      </c>
      <c r="C4451" t="s">
        <v>323</v>
      </c>
      <c r="D4451" t="s">
        <v>689</v>
      </c>
      <c r="E4451" t="s">
        <v>770</v>
      </c>
      <c r="F4451">
        <v>5</v>
      </c>
      <c r="G4451" s="308">
        <f>'BECA SUPERIOR'!S300</f>
        <v>0</v>
      </c>
      <c r="H4451" s="308">
        <f>'BECA SUPERIOR'!T300</f>
        <v>0</v>
      </c>
    </row>
    <row r="4452" spans="1:8" x14ac:dyDescent="0.3">
      <c r="A4452" t="s">
        <v>690</v>
      </c>
      <c r="B4452" t="s">
        <v>307</v>
      </c>
      <c r="C4452" t="s">
        <v>323</v>
      </c>
      <c r="D4452" t="s">
        <v>689</v>
      </c>
      <c r="E4452" t="s">
        <v>771</v>
      </c>
      <c r="F4452">
        <v>6</v>
      </c>
      <c r="G4452" s="308">
        <f>'BECA SUPERIOR'!V300</f>
        <v>0</v>
      </c>
      <c r="H4452" s="308">
        <f>'BECA SUPERIOR'!W300</f>
        <v>0</v>
      </c>
    </row>
    <row r="4453" spans="1:8" x14ac:dyDescent="0.3">
      <c r="A4453" t="s">
        <v>690</v>
      </c>
      <c r="B4453" t="s">
        <v>307</v>
      </c>
      <c r="C4453" t="s">
        <v>323</v>
      </c>
      <c r="D4453" t="s">
        <v>689</v>
      </c>
      <c r="E4453" t="s">
        <v>772</v>
      </c>
      <c r="F4453">
        <v>7</v>
      </c>
      <c r="G4453" s="308">
        <f>'BECA SUPERIOR'!Y300</f>
        <v>0</v>
      </c>
      <c r="H4453" s="308">
        <f>'BECA SUPERIOR'!Z300</f>
        <v>0</v>
      </c>
    </row>
    <row r="4454" spans="1:8" x14ac:dyDescent="0.3">
      <c r="A4454" t="s">
        <v>690</v>
      </c>
      <c r="B4454" t="s">
        <v>307</v>
      </c>
      <c r="C4454" t="s">
        <v>324</v>
      </c>
      <c r="D4454" t="s">
        <v>689</v>
      </c>
      <c r="E4454" t="s">
        <v>766</v>
      </c>
      <c r="F4454">
        <v>1</v>
      </c>
      <c r="G4454" s="308">
        <f>'BECA SUPERIOR'!G301</f>
        <v>0</v>
      </c>
      <c r="H4454" s="308">
        <f>'BECA SUPERIOR'!H301</f>
        <v>0</v>
      </c>
    </row>
    <row r="4455" spans="1:8" x14ac:dyDescent="0.3">
      <c r="A4455" t="s">
        <v>690</v>
      </c>
      <c r="B4455" t="s">
        <v>307</v>
      </c>
      <c r="C4455" t="s">
        <v>324</v>
      </c>
      <c r="D4455" t="s">
        <v>689</v>
      </c>
      <c r="E4455" t="s">
        <v>767</v>
      </c>
      <c r="F4455">
        <v>2</v>
      </c>
      <c r="G4455" s="308">
        <f>'BECA SUPERIOR'!J301</f>
        <v>0</v>
      </c>
      <c r="H4455" s="308">
        <f>'BECA SUPERIOR'!K301</f>
        <v>0</v>
      </c>
    </row>
    <row r="4456" spans="1:8" x14ac:dyDescent="0.3">
      <c r="A4456" t="s">
        <v>690</v>
      </c>
      <c r="B4456" t="s">
        <v>307</v>
      </c>
      <c r="C4456" t="s">
        <v>324</v>
      </c>
      <c r="D4456" t="s">
        <v>689</v>
      </c>
      <c r="E4456" t="s">
        <v>768</v>
      </c>
      <c r="F4456">
        <v>3</v>
      </c>
      <c r="G4456" s="308">
        <f>'BECA SUPERIOR'!M301</f>
        <v>0</v>
      </c>
      <c r="H4456" s="308">
        <f>'BECA SUPERIOR'!N301</f>
        <v>0</v>
      </c>
    </row>
    <row r="4457" spans="1:8" x14ac:dyDescent="0.3">
      <c r="A4457" t="s">
        <v>690</v>
      </c>
      <c r="B4457" t="s">
        <v>307</v>
      </c>
      <c r="C4457" t="s">
        <v>324</v>
      </c>
      <c r="D4457" t="s">
        <v>689</v>
      </c>
      <c r="E4457" t="s">
        <v>769</v>
      </c>
      <c r="F4457">
        <v>4</v>
      </c>
      <c r="G4457" s="308">
        <f>'BECA SUPERIOR'!P301</f>
        <v>2.88</v>
      </c>
      <c r="H4457" s="308">
        <f>'BECA SUPERIOR'!Q301</f>
        <v>7200</v>
      </c>
    </row>
    <row r="4458" spans="1:8" x14ac:dyDescent="0.3">
      <c r="A4458" t="s">
        <v>690</v>
      </c>
      <c r="B4458" t="s">
        <v>307</v>
      </c>
      <c r="C4458" t="s">
        <v>324</v>
      </c>
      <c r="D4458" t="s">
        <v>689</v>
      </c>
      <c r="E4458" t="s">
        <v>770</v>
      </c>
      <c r="F4458">
        <v>5</v>
      </c>
      <c r="G4458" s="308">
        <f>'BECA SUPERIOR'!S301</f>
        <v>0</v>
      </c>
      <c r="H4458" s="308">
        <f>'BECA SUPERIOR'!T301</f>
        <v>0</v>
      </c>
    </row>
    <row r="4459" spans="1:8" x14ac:dyDescent="0.3">
      <c r="A4459" t="s">
        <v>690</v>
      </c>
      <c r="B4459" t="s">
        <v>307</v>
      </c>
      <c r="C4459" t="s">
        <v>324</v>
      </c>
      <c r="D4459" t="s">
        <v>689</v>
      </c>
      <c r="E4459" t="s">
        <v>771</v>
      </c>
      <c r="F4459">
        <v>6</v>
      </c>
      <c r="G4459" s="308">
        <f>'BECA SUPERIOR'!V301</f>
        <v>0</v>
      </c>
      <c r="H4459" s="308">
        <f>'BECA SUPERIOR'!W301</f>
        <v>0</v>
      </c>
    </row>
    <row r="4460" spans="1:8" x14ac:dyDescent="0.3">
      <c r="A4460" t="s">
        <v>690</v>
      </c>
      <c r="B4460" t="s">
        <v>307</v>
      </c>
      <c r="C4460" t="s">
        <v>324</v>
      </c>
      <c r="D4460" t="s">
        <v>689</v>
      </c>
      <c r="E4460" t="s">
        <v>772</v>
      </c>
      <c r="F4460">
        <v>7</v>
      </c>
      <c r="G4460" s="308">
        <f>'BECA SUPERIOR'!Y301</f>
        <v>0</v>
      </c>
      <c r="H4460" s="308">
        <f>'BECA SUPERIOR'!Z301</f>
        <v>0</v>
      </c>
    </row>
    <row r="4461" spans="1:8" x14ac:dyDescent="0.3">
      <c r="A4461" t="s">
        <v>690</v>
      </c>
      <c r="B4461" t="s">
        <v>307</v>
      </c>
      <c r="C4461" t="s">
        <v>325</v>
      </c>
      <c r="D4461" t="s">
        <v>689</v>
      </c>
      <c r="E4461" t="s">
        <v>766</v>
      </c>
      <c r="F4461">
        <v>1</v>
      </c>
      <c r="G4461" s="308">
        <f>'BECA SUPERIOR'!G302</f>
        <v>0</v>
      </c>
      <c r="H4461" s="308">
        <f>'BECA SUPERIOR'!H302</f>
        <v>0</v>
      </c>
    </row>
    <row r="4462" spans="1:8" x14ac:dyDescent="0.3">
      <c r="A4462" t="s">
        <v>690</v>
      </c>
      <c r="B4462" t="s">
        <v>307</v>
      </c>
      <c r="C4462" t="s">
        <v>325</v>
      </c>
      <c r="D4462" t="s">
        <v>689</v>
      </c>
      <c r="E4462" t="s">
        <v>767</v>
      </c>
      <c r="F4462">
        <v>2</v>
      </c>
      <c r="G4462" s="308">
        <f>'BECA SUPERIOR'!J302</f>
        <v>0</v>
      </c>
      <c r="H4462" s="308">
        <f>'BECA SUPERIOR'!K302</f>
        <v>0</v>
      </c>
    </row>
    <row r="4463" spans="1:8" x14ac:dyDescent="0.3">
      <c r="A4463" t="s">
        <v>690</v>
      </c>
      <c r="B4463" t="s">
        <v>307</v>
      </c>
      <c r="C4463" t="s">
        <v>325</v>
      </c>
      <c r="D4463" t="s">
        <v>689</v>
      </c>
      <c r="E4463" t="s">
        <v>768</v>
      </c>
      <c r="F4463">
        <v>3</v>
      </c>
      <c r="G4463" s="308">
        <f>'BECA SUPERIOR'!M302</f>
        <v>0</v>
      </c>
      <c r="H4463" s="308">
        <f>'BECA SUPERIOR'!N302</f>
        <v>0</v>
      </c>
    </row>
    <row r="4464" spans="1:8" x14ac:dyDescent="0.3">
      <c r="A4464" t="s">
        <v>690</v>
      </c>
      <c r="B4464" t="s">
        <v>307</v>
      </c>
      <c r="C4464" t="s">
        <v>325</v>
      </c>
      <c r="D4464" t="s">
        <v>689</v>
      </c>
      <c r="E4464" t="s">
        <v>769</v>
      </c>
      <c r="F4464">
        <v>4</v>
      </c>
      <c r="G4464" s="308">
        <f>'BECA SUPERIOR'!P302</f>
        <v>8.64</v>
      </c>
      <c r="H4464" s="308">
        <f>'BECA SUPERIOR'!Q302</f>
        <v>21600</v>
      </c>
    </row>
    <row r="4465" spans="1:8" x14ac:dyDescent="0.3">
      <c r="A4465" t="s">
        <v>690</v>
      </c>
      <c r="B4465" t="s">
        <v>307</v>
      </c>
      <c r="C4465" t="s">
        <v>325</v>
      </c>
      <c r="D4465" t="s">
        <v>689</v>
      </c>
      <c r="E4465" t="s">
        <v>770</v>
      </c>
      <c r="F4465">
        <v>5</v>
      </c>
      <c r="G4465" s="308">
        <f>'BECA SUPERIOR'!S302</f>
        <v>0</v>
      </c>
      <c r="H4465" s="308">
        <f>'BECA SUPERIOR'!T302</f>
        <v>0</v>
      </c>
    </row>
    <row r="4466" spans="1:8" x14ac:dyDescent="0.3">
      <c r="A4466" t="s">
        <v>690</v>
      </c>
      <c r="B4466" t="s">
        <v>307</v>
      </c>
      <c r="C4466" t="s">
        <v>325</v>
      </c>
      <c r="D4466" t="s">
        <v>689</v>
      </c>
      <c r="E4466" t="s">
        <v>771</v>
      </c>
      <c r="F4466">
        <v>6</v>
      </c>
      <c r="G4466" s="308">
        <f>'BECA SUPERIOR'!V302</f>
        <v>0</v>
      </c>
      <c r="H4466" s="308">
        <f>'BECA SUPERIOR'!W302</f>
        <v>0</v>
      </c>
    </row>
    <row r="4467" spans="1:8" x14ac:dyDescent="0.3">
      <c r="A4467" t="s">
        <v>690</v>
      </c>
      <c r="B4467" t="s">
        <v>307</v>
      </c>
      <c r="C4467" t="s">
        <v>325</v>
      </c>
      <c r="D4467" t="s">
        <v>689</v>
      </c>
      <c r="E4467" t="s">
        <v>772</v>
      </c>
      <c r="F4467">
        <v>7</v>
      </c>
      <c r="G4467" s="308">
        <f>'BECA SUPERIOR'!Y302</f>
        <v>0</v>
      </c>
      <c r="H4467" s="308">
        <f>'BECA SUPERIOR'!Z302</f>
        <v>0</v>
      </c>
    </row>
    <row r="4468" spans="1:8" x14ac:dyDescent="0.3">
      <c r="A4468" t="s">
        <v>690</v>
      </c>
      <c r="B4468" t="s">
        <v>307</v>
      </c>
      <c r="C4468" t="s">
        <v>326</v>
      </c>
      <c r="D4468" t="s">
        <v>689</v>
      </c>
      <c r="E4468" t="s">
        <v>766</v>
      </c>
      <c r="F4468">
        <v>1</v>
      </c>
      <c r="G4468" s="308">
        <f>'BECA SUPERIOR'!G303</f>
        <v>0</v>
      </c>
      <c r="H4468" s="308">
        <f>'BECA SUPERIOR'!H303</f>
        <v>0</v>
      </c>
    </row>
    <row r="4469" spans="1:8" x14ac:dyDescent="0.3">
      <c r="A4469" t="s">
        <v>690</v>
      </c>
      <c r="B4469" t="s">
        <v>307</v>
      </c>
      <c r="C4469" t="s">
        <v>326</v>
      </c>
      <c r="D4469" t="s">
        <v>689</v>
      </c>
      <c r="E4469" t="s">
        <v>767</v>
      </c>
      <c r="F4469">
        <v>2</v>
      </c>
      <c r="G4469" s="308">
        <f>'BECA SUPERIOR'!J303</f>
        <v>0</v>
      </c>
      <c r="H4469" s="308">
        <f>'BECA SUPERIOR'!K303</f>
        <v>0</v>
      </c>
    </row>
    <row r="4470" spans="1:8" x14ac:dyDescent="0.3">
      <c r="A4470" t="s">
        <v>690</v>
      </c>
      <c r="B4470" t="s">
        <v>307</v>
      </c>
      <c r="C4470" t="s">
        <v>326</v>
      </c>
      <c r="D4470" t="s">
        <v>689</v>
      </c>
      <c r="E4470" t="s">
        <v>768</v>
      </c>
      <c r="F4470">
        <v>3</v>
      </c>
      <c r="G4470" s="308">
        <f>'BECA SUPERIOR'!M303</f>
        <v>0</v>
      </c>
      <c r="H4470" s="308">
        <f>'BECA SUPERIOR'!N303</f>
        <v>0</v>
      </c>
    </row>
    <row r="4471" spans="1:8" x14ac:dyDescent="0.3">
      <c r="A4471" t="s">
        <v>690</v>
      </c>
      <c r="B4471" t="s">
        <v>307</v>
      </c>
      <c r="C4471" t="s">
        <v>326</v>
      </c>
      <c r="D4471" t="s">
        <v>689</v>
      </c>
      <c r="E4471" t="s">
        <v>769</v>
      </c>
      <c r="F4471">
        <v>4</v>
      </c>
      <c r="G4471" s="308">
        <f>'BECA SUPERIOR'!P303</f>
        <v>0</v>
      </c>
      <c r="H4471" s="308">
        <f>'BECA SUPERIOR'!Q303</f>
        <v>0</v>
      </c>
    </row>
    <row r="4472" spans="1:8" x14ac:dyDescent="0.3">
      <c r="A4472" t="s">
        <v>690</v>
      </c>
      <c r="B4472" t="s">
        <v>307</v>
      </c>
      <c r="C4472" t="s">
        <v>326</v>
      </c>
      <c r="D4472" t="s">
        <v>689</v>
      </c>
      <c r="E4472" t="s">
        <v>770</v>
      </c>
      <c r="F4472">
        <v>5</v>
      </c>
      <c r="G4472" s="308">
        <f>'BECA SUPERIOR'!S303</f>
        <v>0</v>
      </c>
      <c r="H4472" s="308">
        <f>'BECA SUPERIOR'!T303</f>
        <v>0</v>
      </c>
    </row>
    <row r="4473" spans="1:8" x14ac:dyDescent="0.3">
      <c r="A4473" t="s">
        <v>690</v>
      </c>
      <c r="B4473" t="s">
        <v>307</v>
      </c>
      <c r="C4473" t="s">
        <v>326</v>
      </c>
      <c r="D4473" t="s">
        <v>689</v>
      </c>
      <c r="E4473" t="s">
        <v>771</v>
      </c>
      <c r="F4473">
        <v>6</v>
      </c>
      <c r="G4473" s="308">
        <f>'BECA SUPERIOR'!V303</f>
        <v>0</v>
      </c>
      <c r="H4473" s="308">
        <f>'BECA SUPERIOR'!W303</f>
        <v>0</v>
      </c>
    </row>
    <row r="4474" spans="1:8" x14ac:dyDescent="0.3">
      <c r="A4474" t="s">
        <v>690</v>
      </c>
      <c r="B4474" t="s">
        <v>307</v>
      </c>
      <c r="C4474" t="s">
        <v>326</v>
      </c>
      <c r="D4474" t="s">
        <v>689</v>
      </c>
      <c r="E4474" t="s">
        <v>772</v>
      </c>
      <c r="F4474">
        <v>7</v>
      </c>
      <c r="G4474" s="308">
        <f>'BECA SUPERIOR'!Y303</f>
        <v>0</v>
      </c>
      <c r="H4474" s="308">
        <f>'BECA SUPERIOR'!Z303</f>
        <v>0</v>
      </c>
    </row>
    <row r="4475" spans="1:8" x14ac:dyDescent="0.3">
      <c r="A4475" t="s">
        <v>690</v>
      </c>
      <c r="B4475" t="s">
        <v>327</v>
      </c>
      <c r="C4475" t="s">
        <v>328</v>
      </c>
      <c r="D4475" t="s">
        <v>689</v>
      </c>
      <c r="E4475" t="s">
        <v>766</v>
      </c>
      <c r="F4475">
        <v>1</v>
      </c>
      <c r="G4475" s="308">
        <f>'BECA SUPERIOR'!G304</f>
        <v>0</v>
      </c>
      <c r="H4475" s="308">
        <f>'BECA SUPERIOR'!H304</f>
        <v>0</v>
      </c>
    </row>
    <row r="4476" spans="1:8" x14ac:dyDescent="0.3">
      <c r="A4476" t="s">
        <v>690</v>
      </c>
      <c r="B4476" t="s">
        <v>327</v>
      </c>
      <c r="C4476" t="s">
        <v>328</v>
      </c>
      <c r="D4476" t="s">
        <v>689</v>
      </c>
      <c r="E4476" t="s">
        <v>767</v>
      </c>
      <c r="F4476">
        <v>2</v>
      </c>
      <c r="G4476" s="308">
        <f>'BECA SUPERIOR'!J304</f>
        <v>0</v>
      </c>
      <c r="H4476" s="308">
        <f>'BECA SUPERIOR'!K304</f>
        <v>0</v>
      </c>
    </row>
    <row r="4477" spans="1:8" x14ac:dyDescent="0.3">
      <c r="A4477" t="s">
        <v>690</v>
      </c>
      <c r="B4477" t="s">
        <v>327</v>
      </c>
      <c r="C4477" t="s">
        <v>328</v>
      </c>
      <c r="D4477" t="s">
        <v>689</v>
      </c>
      <c r="E4477" t="s">
        <v>768</v>
      </c>
      <c r="F4477">
        <v>3</v>
      </c>
      <c r="G4477" s="308">
        <f>'BECA SUPERIOR'!M304</f>
        <v>0</v>
      </c>
      <c r="H4477" s="308">
        <f>'BECA SUPERIOR'!N304</f>
        <v>0</v>
      </c>
    </row>
    <row r="4478" spans="1:8" x14ac:dyDescent="0.3">
      <c r="A4478" t="s">
        <v>690</v>
      </c>
      <c r="B4478" t="s">
        <v>327</v>
      </c>
      <c r="C4478" t="s">
        <v>328</v>
      </c>
      <c r="D4478" t="s">
        <v>689</v>
      </c>
      <c r="E4478" t="s">
        <v>769</v>
      </c>
      <c r="F4478">
        <v>4</v>
      </c>
      <c r="G4478" s="308">
        <f>'BECA SUPERIOR'!P304</f>
        <v>1.44</v>
      </c>
      <c r="H4478" s="308">
        <f>'BECA SUPERIOR'!Q304</f>
        <v>3600</v>
      </c>
    </row>
    <row r="4479" spans="1:8" x14ac:dyDescent="0.3">
      <c r="A4479" t="s">
        <v>690</v>
      </c>
      <c r="B4479" t="s">
        <v>327</v>
      </c>
      <c r="C4479" t="s">
        <v>328</v>
      </c>
      <c r="D4479" t="s">
        <v>689</v>
      </c>
      <c r="E4479" t="s">
        <v>770</v>
      </c>
      <c r="F4479">
        <v>5</v>
      </c>
      <c r="G4479" s="308">
        <f>'BECA SUPERIOR'!S304</f>
        <v>0</v>
      </c>
      <c r="H4479" s="308">
        <f>'BECA SUPERIOR'!T304</f>
        <v>0</v>
      </c>
    </row>
    <row r="4480" spans="1:8" x14ac:dyDescent="0.3">
      <c r="A4480" t="s">
        <v>690</v>
      </c>
      <c r="B4480" t="s">
        <v>327</v>
      </c>
      <c r="C4480" t="s">
        <v>328</v>
      </c>
      <c r="D4480" t="s">
        <v>689</v>
      </c>
      <c r="E4480" t="s">
        <v>771</v>
      </c>
      <c r="F4480">
        <v>6</v>
      </c>
      <c r="G4480" s="308">
        <f>'BECA SUPERIOR'!V304</f>
        <v>0</v>
      </c>
      <c r="H4480" s="308">
        <f>'BECA SUPERIOR'!W304</f>
        <v>0</v>
      </c>
    </row>
    <row r="4481" spans="1:8" x14ac:dyDescent="0.3">
      <c r="A4481" t="s">
        <v>690</v>
      </c>
      <c r="B4481" t="s">
        <v>327</v>
      </c>
      <c r="C4481" t="s">
        <v>328</v>
      </c>
      <c r="D4481" t="s">
        <v>689</v>
      </c>
      <c r="E4481" t="s">
        <v>772</v>
      </c>
      <c r="F4481">
        <v>7</v>
      </c>
      <c r="G4481" s="308">
        <f>'BECA SUPERIOR'!Y304</f>
        <v>0</v>
      </c>
      <c r="H4481" s="308">
        <f>'BECA SUPERIOR'!Z304</f>
        <v>0</v>
      </c>
    </row>
    <row r="4482" spans="1:8" x14ac:dyDescent="0.3">
      <c r="A4482" t="s">
        <v>690</v>
      </c>
      <c r="B4482" t="s">
        <v>327</v>
      </c>
      <c r="C4482" t="s">
        <v>329</v>
      </c>
      <c r="D4482" t="s">
        <v>689</v>
      </c>
      <c r="E4482" t="s">
        <v>766</v>
      </c>
      <c r="F4482">
        <v>1</v>
      </c>
      <c r="G4482" s="308">
        <f>'BECA SUPERIOR'!G305</f>
        <v>0</v>
      </c>
      <c r="H4482" s="308">
        <f>'BECA SUPERIOR'!H305</f>
        <v>0</v>
      </c>
    </row>
    <row r="4483" spans="1:8" x14ac:dyDescent="0.3">
      <c r="A4483" t="s">
        <v>690</v>
      </c>
      <c r="B4483" t="s">
        <v>327</v>
      </c>
      <c r="C4483" t="s">
        <v>329</v>
      </c>
      <c r="D4483" t="s">
        <v>689</v>
      </c>
      <c r="E4483" t="s">
        <v>767</v>
      </c>
      <c r="F4483">
        <v>2</v>
      </c>
      <c r="G4483" s="308">
        <f>'BECA SUPERIOR'!J305</f>
        <v>0</v>
      </c>
      <c r="H4483" s="308">
        <f>'BECA SUPERIOR'!K305</f>
        <v>0</v>
      </c>
    </row>
    <row r="4484" spans="1:8" x14ac:dyDescent="0.3">
      <c r="A4484" t="s">
        <v>690</v>
      </c>
      <c r="B4484" t="s">
        <v>327</v>
      </c>
      <c r="C4484" t="s">
        <v>329</v>
      </c>
      <c r="D4484" t="s">
        <v>689</v>
      </c>
      <c r="E4484" t="s">
        <v>768</v>
      </c>
      <c r="F4484">
        <v>3</v>
      </c>
      <c r="G4484" s="308">
        <f>'BECA SUPERIOR'!M305</f>
        <v>0</v>
      </c>
      <c r="H4484" s="308">
        <f>'BECA SUPERIOR'!N305</f>
        <v>0</v>
      </c>
    </row>
    <row r="4485" spans="1:8" x14ac:dyDescent="0.3">
      <c r="A4485" t="s">
        <v>690</v>
      </c>
      <c r="B4485" t="s">
        <v>327</v>
      </c>
      <c r="C4485" t="s">
        <v>329</v>
      </c>
      <c r="D4485" t="s">
        <v>689</v>
      </c>
      <c r="E4485" t="s">
        <v>769</v>
      </c>
      <c r="F4485">
        <v>4</v>
      </c>
      <c r="G4485" s="308">
        <f>'BECA SUPERIOR'!P305</f>
        <v>3.6</v>
      </c>
      <c r="H4485" s="308">
        <f>'BECA SUPERIOR'!Q305</f>
        <v>9000</v>
      </c>
    </row>
    <row r="4486" spans="1:8" x14ac:dyDescent="0.3">
      <c r="A4486" t="s">
        <v>690</v>
      </c>
      <c r="B4486" t="s">
        <v>327</v>
      </c>
      <c r="C4486" t="s">
        <v>329</v>
      </c>
      <c r="D4486" t="s">
        <v>689</v>
      </c>
      <c r="E4486" t="s">
        <v>770</v>
      </c>
      <c r="F4486">
        <v>5</v>
      </c>
      <c r="G4486" s="308">
        <f>'BECA SUPERIOR'!S305</f>
        <v>0</v>
      </c>
      <c r="H4486" s="308">
        <f>'BECA SUPERIOR'!T305</f>
        <v>0</v>
      </c>
    </row>
    <row r="4487" spans="1:8" x14ac:dyDescent="0.3">
      <c r="A4487" t="s">
        <v>690</v>
      </c>
      <c r="B4487" t="s">
        <v>327</v>
      </c>
      <c r="C4487" t="s">
        <v>329</v>
      </c>
      <c r="D4487" t="s">
        <v>689</v>
      </c>
      <c r="E4487" t="s">
        <v>771</v>
      </c>
      <c r="F4487">
        <v>6</v>
      </c>
      <c r="G4487" s="308">
        <f>'BECA SUPERIOR'!V305</f>
        <v>0</v>
      </c>
      <c r="H4487" s="308">
        <f>'BECA SUPERIOR'!W305</f>
        <v>0</v>
      </c>
    </row>
    <row r="4488" spans="1:8" x14ac:dyDescent="0.3">
      <c r="A4488" t="s">
        <v>690</v>
      </c>
      <c r="B4488" t="s">
        <v>327</v>
      </c>
      <c r="C4488" t="s">
        <v>329</v>
      </c>
      <c r="D4488" t="s">
        <v>689</v>
      </c>
      <c r="E4488" t="s">
        <v>772</v>
      </c>
      <c r="F4488">
        <v>7</v>
      </c>
      <c r="G4488" s="308">
        <f>'BECA SUPERIOR'!Y305</f>
        <v>0</v>
      </c>
      <c r="H4488" s="308">
        <f>'BECA SUPERIOR'!Z305</f>
        <v>0</v>
      </c>
    </row>
    <row r="4489" spans="1:8" x14ac:dyDescent="0.3">
      <c r="A4489" t="s">
        <v>690</v>
      </c>
      <c r="B4489" t="s">
        <v>327</v>
      </c>
      <c r="C4489" t="s">
        <v>330</v>
      </c>
      <c r="D4489" t="s">
        <v>689</v>
      </c>
      <c r="E4489" t="s">
        <v>766</v>
      </c>
      <c r="F4489">
        <v>1</v>
      </c>
      <c r="G4489" s="308">
        <f>'BECA SUPERIOR'!G306</f>
        <v>0</v>
      </c>
      <c r="H4489" s="308">
        <f>'BECA SUPERIOR'!H306</f>
        <v>0</v>
      </c>
    </row>
    <row r="4490" spans="1:8" x14ac:dyDescent="0.3">
      <c r="A4490" t="s">
        <v>690</v>
      </c>
      <c r="B4490" t="s">
        <v>327</v>
      </c>
      <c r="C4490" t="s">
        <v>330</v>
      </c>
      <c r="D4490" t="s">
        <v>689</v>
      </c>
      <c r="E4490" t="s">
        <v>767</v>
      </c>
      <c r="F4490">
        <v>2</v>
      </c>
      <c r="G4490" s="308">
        <f>'BECA SUPERIOR'!J306</f>
        <v>0</v>
      </c>
      <c r="H4490" s="308">
        <f>'BECA SUPERIOR'!K306</f>
        <v>0</v>
      </c>
    </row>
    <row r="4491" spans="1:8" x14ac:dyDescent="0.3">
      <c r="A4491" t="s">
        <v>690</v>
      </c>
      <c r="B4491" t="s">
        <v>327</v>
      </c>
      <c r="C4491" t="s">
        <v>330</v>
      </c>
      <c r="D4491" t="s">
        <v>689</v>
      </c>
      <c r="E4491" t="s">
        <v>768</v>
      </c>
      <c r="F4491">
        <v>3</v>
      </c>
      <c r="G4491" s="308">
        <f>'BECA SUPERIOR'!M306</f>
        <v>0</v>
      </c>
      <c r="H4491" s="308">
        <f>'BECA SUPERIOR'!N306</f>
        <v>0</v>
      </c>
    </row>
    <row r="4492" spans="1:8" x14ac:dyDescent="0.3">
      <c r="A4492" t="s">
        <v>690</v>
      </c>
      <c r="B4492" t="s">
        <v>327</v>
      </c>
      <c r="C4492" t="s">
        <v>330</v>
      </c>
      <c r="D4492" t="s">
        <v>689</v>
      </c>
      <c r="E4492" t="s">
        <v>769</v>
      </c>
      <c r="F4492">
        <v>4</v>
      </c>
      <c r="G4492" s="308">
        <f>'BECA SUPERIOR'!P306</f>
        <v>2.88</v>
      </c>
      <c r="H4492" s="308">
        <f>'BECA SUPERIOR'!Q306</f>
        <v>7200</v>
      </c>
    </row>
    <row r="4493" spans="1:8" x14ac:dyDescent="0.3">
      <c r="A4493" t="s">
        <v>690</v>
      </c>
      <c r="B4493" t="s">
        <v>327</v>
      </c>
      <c r="C4493" t="s">
        <v>330</v>
      </c>
      <c r="D4493" t="s">
        <v>689</v>
      </c>
      <c r="E4493" t="s">
        <v>770</v>
      </c>
      <c r="F4493">
        <v>5</v>
      </c>
      <c r="G4493" s="308">
        <f>'BECA SUPERIOR'!S306</f>
        <v>0</v>
      </c>
      <c r="H4493" s="308">
        <f>'BECA SUPERIOR'!T306</f>
        <v>0</v>
      </c>
    </row>
    <row r="4494" spans="1:8" x14ac:dyDescent="0.3">
      <c r="A4494" t="s">
        <v>690</v>
      </c>
      <c r="B4494" t="s">
        <v>327</v>
      </c>
      <c r="C4494" t="s">
        <v>330</v>
      </c>
      <c r="D4494" t="s">
        <v>689</v>
      </c>
      <c r="E4494" t="s">
        <v>771</v>
      </c>
      <c r="F4494">
        <v>6</v>
      </c>
      <c r="G4494" s="308">
        <f>'BECA SUPERIOR'!V306</f>
        <v>0</v>
      </c>
      <c r="H4494" s="308">
        <f>'BECA SUPERIOR'!W306</f>
        <v>0</v>
      </c>
    </row>
    <row r="4495" spans="1:8" x14ac:dyDescent="0.3">
      <c r="A4495" t="s">
        <v>690</v>
      </c>
      <c r="B4495" t="s">
        <v>327</v>
      </c>
      <c r="C4495" t="s">
        <v>330</v>
      </c>
      <c r="D4495" t="s">
        <v>689</v>
      </c>
      <c r="E4495" t="s">
        <v>772</v>
      </c>
      <c r="F4495">
        <v>7</v>
      </c>
      <c r="G4495" s="308">
        <f>'BECA SUPERIOR'!Y306</f>
        <v>0</v>
      </c>
      <c r="H4495" s="308">
        <f>'BECA SUPERIOR'!Z306</f>
        <v>0</v>
      </c>
    </row>
    <row r="4496" spans="1:8" x14ac:dyDescent="0.3">
      <c r="A4496" t="s">
        <v>690</v>
      </c>
      <c r="B4496" t="s">
        <v>327</v>
      </c>
      <c r="C4496" t="s">
        <v>331</v>
      </c>
      <c r="D4496" t="s">
        <v>689</v>
      </c>
      <c r="E4496" t="s">
        <v>766</v>
      </c>
      <c r="F4496">
        <v>1</v>
      </c>
      <c r="G4496" s="308">
        <f>'BECA SUPERIOR'!G307</f>
        <v>0</v>
      </c>
      <c r="H4496" s="308">
        <f>'BECA SUPERIOR'!H307</f>
        <v>0</v>
      </c>
    </row>
    <row r="4497" spans="1:8" x14ac:dyDescent="0.3">
      <c r="A4497" t="s">
        <v>690</v>
      </c>
      <c r="B4497" t="s">
        <v>327</v>
      </c>
      <c r="C4497" t="s">
        <v>331</v>
      </c>
      <c r="D4497" t="s">
        <v>689</v>
      </c>
      <c r="E4497" t="s">
        <v>767</v>
      </c>
      <c r="F4497">
        <v>2</v>
      </c>
      <c r="G4497" s="308">
        <f>'BECA SUPERIOR'!J307</f>
        <v>0</v>
      </c>
      <c r="H4497" s="308">
        <f>'BECA SUPERIOR'!K307</f>
        <v>0</v>
      </c>
    </row>
    <row r="4498" spans="1:8" x14ac:dyDescent="0.3">
      <c r="A4498" t="s">
        <v>690</v>
      </c>
      <c r="B4498" t="s">
        <v>327</v>
      </c>
      <c r="C4498" t="s">
        <v>331</v>
      </c>
      <c r="D4498" t="s">
        <v>689</v>
      </c>
      <c r="E4498" t="s">
        <v>768</v>
      </c>
      <c r="F4498">
        <v>3</v>
      </c>
      <c r="G4498" s="308">
        <f>'BECA SUPERIOR'!M307</f>
        <v>0</v>
      </c>
      <c r="H4498" s="308">
        <f>'BECA SUPERIOR'!N307</f>
        <v>0</v>
      </c>
    </row>
    <row r="4499" spans="1:8" x14ac:dyDescent="0.3">
      <c r="A4499" t="s">
        <v>690</v>
      </c>
      <c r="B4499" t="s">
        <v>327</v>
      </c>
      <c r="C4499" t="s">
        <v>331</v>
      </c>
      <c r="D4499" t="s">
        <v>689</v>
      </c>
      <c r="E4499" t="s">
        <v>769</v>
      </c>
      <c r="F4499">
        <v>4</v>
      </c>
      <c r="G4499" s="308">
        <f>'BECA SUPERIOR'!P307</f>
        <v>5.04</v>
      </c>
      <c r="H4499" s="308">
        <f>'BECA SUPERIOR'!Q307</f>
        <v>12600</v>
      </c>
    </row>
    <row r="4500" spans="1:8" x14ac:dyDescent="0.3">
      <c r="A4500" t="s">
        <v>690</v>
      </c>
      <c r="B4500" t="s">
        <v>327</v>
      </c>
      <c r="C4500" t="s">
        <v>331</v>
      </c>
      <c r="D4500" t="s">
        <v>689</v>
      </c>
      <c r="E4500" t="s">
        <v>770</v>
      </c>
      <c r="F4500">
        <v>5</v>
      </c>
      <c r="G4500" s="308">
        <f>'BECA SUPERIOR'!S307</f>
        <v>0</v>
      </c>
      <c r="H4500" s="308">
        <f>'BECA SUPERIOR'!T307</f>
        <v>0</v>
      </c>
    </row>
    <row r="4501" spans="1:8" x14ac:dyDescent="0.3">
      <c r="A4501" t="s">
        <v>690</v>
      </c>
      <c r="B4501" t="s">
        <v>327</v>
      </c>
      <c r="C4501" t="s">
        <v>331</v>
      </c>
      <c r="D4501" t="s">
        <v>689</v>
      </c>
      <c r="E4501" t="s">
        <v>771</v>
      </c>
      <c r="F4501">
        <v>6</v>
      </c>
      <c r="G4501" s="308">
        <f>'BECA SUPERIOR'!V307</f>
        <v>0</v>
      </c>
      <c r="H4501" s="308">
        <f>'BECA SUPERIOR'!W307</f>
        <v>0</v>
      </c>
    </row>
    <row r="4502" spans="1:8" x14ac:dyDescent="0.3">
      <c r="A4502" t="s">
        <v>690</v>
      </c>
      <c r="B4502" t="s">
        <v>327</v>
      </c>
      <c r="C4502" t="s">
        <v>331</v>
      </c>
      <c r="D4502" t="s">
        <v>689</v>
      </c>
      <c r="E4502" t="s">
        <v>772</v>
      </c>
      <c r="F4502">
        <v>7</v>
      </c>
      <c r="G4502" s="308">
        <f>'BECA SUPERIOR'!Y307</f>
        <v>0</v>
      </c>
      <c r="H4502" s="308">
        <f>'BECA SUPERIOR'!Z307</f>
        <v>0</v>
      </c>
    </row>
    <row r="4503" spans="1:8" x14ac:dyDescent="0.3">
      <c r="A4503" t="s">
        <v>690</v>
      </c>
      <c r="B4503" t="s">
        <v>327</v>
      </c>
      <c r="C4503" t="s">
        <v>332</v>
      </c>
      <c r="D4503" t="s">
        <v>689</v>
      </c>
      <c r="E4503" t="s">
        <v>766</v>
      </c>
      <c r="F4503">
        <v>1</v>
      </c>
      <c r="G4503" s="308">
        <f>'BECA SUPERIOR'!G308</f>
        <v>0</v>
      </c>
      <c r="H4503" s="308">
        <f>'BECA SUPERIOR'!H308</f>
        <v>0</v>
      </c>
    </row>
    <row r="4504" spans="1:8" x14ac:dyDescent="0.3">
      <c r="A4504" t="s">
        <v>690</v>
      </c>
      <c r="B4504" t="s">
        <v>327</v>
      </c>
      <c r="C4504" t="s">
        <v>332</v>
      </c>
      <c r="D4504" t="s">
        <v>689</v>
      </c>
      <c r="E4504" t="s">
        <v>767</v>
      </c>
      <c r="F4504">
        <v>2</v>
      </c>
      <c r="G4504" s="308">
        <f>'BECA SUPERIOR'!J308</f>
        <v>0</v>
      </c>
      <c r="H4504" s="308">
        <f>'BECA SUPERIOR'!K308</f>
        <v>0</v>
      </c>
    </row>
    <row r="4505" spans="1:8" x14ac:dyDescent="0.3">
      <c r="A4505" t="s">
        <v>690</v>
      </c>
      <c r="B4505" t="s">
        <v>327</v>
      </c>
      <c r="C4505" t="s">
        <v>332</v>
      </c>
      <c r="D4505" t="s">
        <v>689</v>
      </c>
      <c r="E4505" t="s">
        <v>768</v>
      </c>
      <c r="F4505">
        <v>3</v>
      </c>
      <c r="G4505" s="308">
        <f>'BECA SUPERIOR'!M308</f>
        <v>0</v>
      </c>
      <c r="H4505" s="308">
        <f>'BECA SUPERIOR'!N308</f>
        <v>0</v>
      </c>
    </row>
    <row r="4506" spans="1:8" x14ac:dyDescent="0.3">
      <c r="A4506" t="s">
        <v>690</v>
      </c>
      <c r="B4506" t="s">
        <v>327</v>
      </c>
      <c r="C4506" t="s">
        <v>332</v>
      </c>
      <c r="D4506" t="s">
        <v>689</v>
      </c>
      <c r="E4506" t="s">
        <v>769</v>
      </c>
      <c r="F4506">
        <v>4</v>
      </c>
      <c r="G4506" s="308">
        <f>'BECA SUPERIOR'!P308</f>
        <v>2.88</v>
      </c>
      <c r="H4506" s="308">
        <f>'BECA SUPERIOR'!Q308</f>
        <v>7200</v>
      </c>
    </row>
    <row r="4507" spans="1:8" x14ac:dyDescent="0.3">
      <c r="A4507" t="s">
        <v>690</v>
      </c>
      <c r="B4507" t="s">
        <v>327</v>
      </c>
      <c r="C4507" t="s">
        <v>332</v>
      </c>
      <c r="D4507" t="s">
        <v>689</v>
      </c>
      <c r="E4507" t="s">
        <v>770</v>
      </c>
      <c r="F4507">
        <v>5</v>
      </c>
      <c r="G4507" s="308">
        <f>'BECA SUPERIOR'!S308</f>
        <v>0</v>
      </c>
      <c r="H4507" s="308">
        <f>'BECA SUPERIOR'!T308</f>
        <v>0</v>
      </c>
    </row>
    <row r="4508" spans="1:8" x14ac:dyDescent="0.3">
      <c r="A4508" t="s">
        <v>690</v>
      </c>
      <c r="B4508" t="s">
        <v>327</v>
      </c>
      <c r="C4508" t="s">
        <v>332</v>
      </c>
      <c r="D4508" t="s">
        <v>689</v>
      </c>
      <c r="E4508" t="s">
        <v>771</v>
      </c>
      <c r="F4508">
        <v>6</v>
      </c>
      <c r="G4508" s="308">
        <f>'BECA SUPERIOR'!V308</f>
        <v>0</v>
      </c>
      <c r="H4508" s="308">
        <f>'BECA SUPERIOR'!W308</f>
        <v>0</v>
      </c>
    </row>
    <row r="4509" spans="1:8" x14ac:dyDescent="0.3">
      <c r="A4509" t="s">
        <v>690</v>
      </c>
      <c r="B4509" t="s">
        <v>327</v>
      </c>
      <c r="C4509" t="s">
        <v>332</v>
      </c>
      <c r="D4509" t="s">
        <v>689</v>
      </c>
      <c r="E4509" t="s">
        <v>772</v>
      </c>
      <c r="F4509">
        <v>7</v>
      </c>
      <c r="G4509" s="308">
        <f>'BECA SUPERIOR'!Y308</f>
        <v>0</v>
      </c>
      <c r="H4509" s="308">
        <f>'BECA SUPERIOR'!Z308</f>
        <v>0</v>
      </c>
    </row>
    <row r="4510" spans="1:8" x14ac:dyDescent="0.3">
      <c r="A4510" t="s">
        <v>690</v>
      </c>
      <c r="B4510" t="s">
        <v>327</v>
      </c>
      <c r="C4510" t="s">
        <v>333</v>
      </c>
      <c r="D4510" t="s">
        <v>689</v>
      </c>
      <c r="E4510" t="s">
        <v>766</v>
      </c>
      <c r="F4510">
        <v>1</v>
      </c>
      <c r="G4510" s="308">
        <f>'BECA SUPERIOR'!G309</f>
        <v>0</v>
      </c>
      <c r="H4510" s="308">
        <f>'BECA SUPERIOR'!H309</f>
        <v>0</v>
      </c>
    </row>
    <row r="4511" spans="1:8" x14ac:dyDescent="0.3">
      <c r="A4511" t="s">
        <v>690</v>
      </c>
      <c r="B4511" t="s">
        <v>327</v>
      </c>
      <c r="C4511" t="s">
        <v>333</v>
      </c>
      <c r="D4511" t="s">
        <v>689</v>
      </c>
      <c r="E4511" t="s">
        <v>767</v>
      </c>
      <c r="F4511">
        <v>2</v>
      </c>
      <c r="G4511" s="308">
        <f>'BECA SUPERIOR'!J309</f>
        <v>0</v>
      </c>
      <c r="H4511" s="308">
        <f>'BECA SUPERIOR'!K309</f>
        <v>0</v>
      </c>
    </row>
    <row r="4512" spans="1:8" x14ac:dyDescent="0.3">
      <c r="A4512" t="s">
        <v>690</v>
      </c>
      <c r="B4512" t="s">
        <v>327</v>
      </c>
      <c r="C4512" t="s">
        <v>333</v>
      </c>
      <c r="D4512" t="s">
        <v>689</v>
      </c>
      <c r="E4512" t="s">
        <v>768</v>
      </c>
      <c r="F4512">
        <v>3</v>
      </c>
      <c r="G4512" s="308">
        <f>'BECA SUPERIOR'!M309</f>
        <v>0</v>
      </c>
      <c r="H4512" s="308">
        <f>'BECA SUPERIOR'!N309</f>
        <v>0</v>
      </c>
    </row>
    <row r="4513" spans="1:8" x14ac:dyDescent="0.3">
      <c r="A4513" t="s">
        <v>690</v>
      </c>
      <c r="B4513" t="s">
        <v>327</v>
      </c>
      <c r="C4513" t="s">
        <v>333</v>
      </c>
      <c r="D4513" t="s">
        <v>689</v>
      </c>
      <c r="E4513" t="s">
        <v>769</v>
      </c>
      <c r="F4513">
        <v>4</v>
      </c>
      <c r="G4513" s="308">
        <f>'BECA SUPERIOR'!P309</f>
        <v>0.72</v>
      </c>
      <c r="H4513" s="308">
        <f>'BECA SUPERIOR'!Q309</f>
        <v>1800</v>
      </c>
    </row>
    <row r="4514" spans="1:8" x14ac:dyDescent="0.3">
      <c r="A4514" t="s">
        <v>690</v>
      </c>
      <c r="B4514" t="s">
        <v>327</v>
      </c>
      <c r="C4514" t="s">
        <v>333</v>
      </c>
      <c r="D4514" t="s">
        <v>689</v>
      </c>
      <c r="E4514" t="s">
        <v>770</v>
      </c>
      <c r="F4514">
        <v>5</v>
      </c>
      <c r="G4514" s="308">
        <f>'BECA SUPERIOR'!S309</f>
        <v>0</v>
      </c>
      <c r="H4514" s="308">
        <f>'BECA SUPERIOR'!T309</f>
        <v>0</v>
      </c>
    </row>
    <row r="4515" spans="1:8" x14ac:dyDescent="0.3">
      <c r="A4515" t="s">
        <v>690</v>
      </c>
      <c r="B4515" t="s">
        <v>327</v>
      </c>
      <c r="C4515" t="s">
        <v>333</v>
      </c>
      <c r="D4515" t="s">
        <v>689</v>
      </c>
      <c r="E4515" t="s">
        <v>771</v>
      </c>
      <c r="F4515">
        <v>6</v>
      </c>
      <c r="G4515" s="308">
        <f>'BECA SUPERIOR'!V309</f>
        <v>0</v>
      </c>
      <c r="H4515" s="308">
        <f>'BECA SUPERIOR'!W309</f>
        <v>0</v>
      </c>
    </row>
    <row r="4516" spans="1:8" x14ac:dyDescent="0.3">
      <c r="A4516" t="s">
        <v>690</v>
      </c>
      <c r="B4516" t="s">
        <v>327</v>
      </c>
      <c r="C4516" t="s">
        <v>333</v>
      </c>
      <c r="D4516" t="s">
        <v>689</v>
      </c>
      <c r="E4516" t="s">
        <v>772</v>
      </c>
      <c r="F4516">
        <v>7</v>
      </c>
      <c r="G4516" s="308">
        <f>'BECA SUPERIOR'!Y309</f>
        <v>0</v>
      </c>
      <c r="H4516" s="308">
        <f>'BECA SUPERIOR'!Z309</f>
        <v>0</v>
      </c>
    </row>
    <row r="4517" spans="1:8" x14ac:dyDescent="0.3">
      <c r="A4517" t="s">
        <v>690</v>
      </c>
      <c r="B4517" t="s">
        <v>327</v>
      </c>
      <c r="C4517" t="s">
        <v>334</v>
      </c>
      <c r="D4517" t="s">
        <v>689</v>
      </c>
      <c r="E4517" t="s">
        <v>766</v>
      </c>
      <c r="F4517">
        <v>1</v>
      </c>
      <c r="G4517" s="308">
        <f>'BECA SUPERIOR'!G310</f>
        <v>0</v>
      </c>
      <c r="H4517" s="308">
        <f>'BECA SUPERIOR'!H310</f>
        <v>0</v>
      </c>
    </row>
    <row r="4518" spans="1:8" x14ac:dyDescent="0.3">
      <c r="A4518" t="s">
        <v>690</v>
      </c>
      <c r="B4518" t="s">
        <v>327</v>
      </c>
      <c r="C4518" t="s">
        <v>334</v>
      </c>
      <c r="D4518" t="s">
        <v>689</v>
      </c>
      <c r="E4518" t="s">
        <v>767</v>
      </c>
      <c r="F4518">
        <v>2</v>
      </c>
      <c r="G4518" s="308">
        <f>'BECA SUPERIOR'!J310</f>
        <v>0</v>
      </c>
      <c r="H4518" s="308">
        <f>'BECA SUPERIOR'!K310</f>
        <v>0</v>
      </c>
    </row>
    <row r="4519" spans="1:8" x14ac:dyDescent="0.3">
      <c r="A4519" t="s">
        <v>690</v>
      </c>
      <c r="B4519" t="s">
        <v>327</v>
      </c>
      <c r="C4519" t="s">
        <v>334</v>
      </c>
      <c r="D4519" t="s">
        <v>689</v>
      </c>
      <c r="E4519" t="s">
        <v>768</v>
      </c>
      <c r="F4519">
        <v>3</v>
      </c>
      <c r="G4519" s="308">
        <f>'BECA SUPERIOR'!M310</f>
        <v>0</v>
      </c>
      <c r="H4519" s="308">
        <f>'BECA SUPERIOR'!N310</f>
        <v>0</v>
      </c>
    </row>
    <row r="4520" spans="1:8" x14ac:dyDescent="0.3">
      <c r="A4520" t="s">
        <v>690</v>
      </c>
      <c r="B4520" t="s">
        <v>327</v>
      </c>
      <c r="C4520" t="s">
        <v>334</v>
      </c>
      <c r="D4520" t="s">
        <v>689</v>
      </c>
      <c r="E4520" t="s">
        <v>769</v>
      </c>
      <c r="F4520">
        <v>4</v>
      </c>
      <c r="G4520" s="308">
        <f>'BECA SUPERIOR'!P310</f>
        <v>2.88</v>
      </c>
      <c r="H4520" s="308">
        <f>'BECA SUPERIOR'!Q310</f>
        <v>7200</v>
      </c>
    </row>
    <row r="4521" spans="1:8" x14ac:dyDescent="0.3">
      <c r="A4521" t="s">
        <v>690</v>
      </c>
      <c r="B4521" t="s">
        <v>327</v>
      </c>
      <c r="C4521" t="s">
        <v>334</v>
      </c>
      <c r="D4521" t="s">
        <v>689</v>
      </c>
      <c r="E4521" t="s">
        <v>770</v>
      </c>
      <c r="F4521">
        <v>5</v>
      </c>
      <c r="G4521" s="308">
        <f>'BECA SUPERIOR'!S310</f>
        <v>0</v>
      </c>
      <c r="H4521" s="308">
        <f>'BECA SUPERIOR'!T310</f>
        <v>0</v>
      </c>
    </row>
    <row r="4522" spans="1:8" x14ac:dyDescent="0.3">
      <c r="A4522" t="s">
        <v>690</v>
      </c>
      <c r="B4522" t="s">
        <v>327</v>
      </c>
      <c r="C4522" t="s">
        <v>334</v>
      </c>
      <c r="D4522" t="s">
        <v>689</v>
      </c>
      <c r="E4522" t="s">
        <v>771</v>
      </c>
      <c r="F4522">
        <v>6</v>
      </c>
      <c r="G4522" s="308">
        <f>'BECA SUPERIOR'!V310</f>
        <v>0</v>
      </c>
      <c r="H4522" s="308">
        <f>'BECA SUPERIOR'!W310</f>
        <v>0</v>
      </c>
    </row>
    <row r="4523" spans="1:8" x14ac:dyDescent="0.3">
      <c r="A4523" t="s">
        <v>690</v>
      </c>
      <c r="B4523" t="s">
        <v>327</v>
      </c>
      <c r="C4523" t="s">
        <v>334</v>
      </c>
      <c r="D4523" t="s">
        <v>689</v>
      </c>
      <c r="E4523" t="s">
        <v>772</v>
      </c>
      <c r="F4523">
        <v>7</v>
      </c>
      <c r="G4523" s="308">
        <f>'BECA SUPERIOR'!Y310</f>
        <v>0</v>
      </c>
      <c r="H4523" s="308">
        <f>'BECA SUPERIOR'!Z310</f>
        <v>0</v>
      </c>
    </row>
    <row r="4524" spans="1:8" x14ac:dyDescent="0.3">
      <c r="A4524" t="s">
        <v>690</v>
      </c>
      <c r="B4524" t="s">
        <v>327</v>
      </c>
      <c r="C4524" t="s">
        <v>335</v>
      </c>
      <c r="D4524" t="s">
        <v>689</v>
      </c>
      <c r="E4524" t="s">
        <v>766</v>
      </c>
      <c r="F4524">
        <v>1</v>
      </c>
      <c r="G4524" s="308">
        <f>'BECA SUPERIOR'!G311</f>
        <v>0</v>
      </c>
      <c r="H4524" s="308">
        <f>'BECA SUPERIOR'!H311</f>
        <v>0</v>
      </c>
    </row>
    <row r="4525" spans="1:8" x14ac:dyDescent="0.3">
      <c r="A4525" t="s">
        <v>690</v>
      </c>
      <c r="B4525" t="s">
        <v>327</v>
      </c>
      <c r="C4525" t="s">
        <v>335</v>
      </c>
      <c r="D4525" t="s">
        <v>689</v>
      </c>
      <c r="E4525" t="s">
        <v>767</v>
      </c>
      <c r="F4525">
        <v>2</v>
      </c>
      <c r="G4525" s="308">
        <f>'BECA SUPERIOR'!J311</f>
        <v>0</v>
      </c>
      <c r="H4525" s="308">
        <f>'BECA SUPERIOR'!K311</f>
        <v>0</v>
      </c>
    </row>
    <row r="4526" spans="1:8" x14ac:dyDescent="0.3">
      <c r="A4526" t="s">
        <v>690</v>
      </c>
      <c r="B4526" t="s">
        <v>327</v>
      </c>
      <c r="C4526" t="s">
        <v>335</v>
      </c>
      <c r="D4526" t="s">
        <v>689</v>
      </c>
      <c r="E4526" t="s">
        <v>768</v>
      </c>
      <c r="F4526">
        <v>3</v>
      </c>
      <c r="G4526" s="308">
        <f>'BECA SUPERIOR'!M311</f>
        <v>0</v>
      </c>
      <c r="H4526" s="308">
        <f>'BECA SUPERIOR'!N311</f>
        <v>0</v>
      </c>
    </row>
    <row r="4527" spans="1:8" x14ac:dyDescent="0.3">
      <c r="A4527" t="s">
        <v>690</v>
      </c>
      <c r="B4527" t="s">
        <v>327</v>
      </c>
      <c r="C4527" t="s">
        <v>335</v>
      </c>
      <c r="D4527" t="s">
        <v>689</v>
      </c>
      <c r="E4527" t="s">
        <v>769</v>
      </c>
      <c r="F4527">
        <v>4</v>
      </c>
      <c r="G4527" s="308">
        <f>'BECA SUPERIOR'!P311</f>
        <v>4.32</v>
      </c>
      <c r="H4527" s="308">
        <f>'BECA SUPERIOR'!Q311</f>
        <v>10800</v>
      </c>
    </row>
    <row r="4528" spans="1:8" x14ac:dyDescent="0.3">
      <c r="A4528" t="s">
        <v>690</v>
      </c>
      <c r="B4528" t="s">
        <v>327</v>
      </c>
      <c r="C4528" t="s">
        <v>335</v>
      </c>
      <c r="D4528" t="s">
        <v>689</v>
      </c>
      <c r="E4528" t="s">
        <v>770</v>
      </c>
      <c r="F4528">
        <v>5</v>
      </c>
      <c r="G4528" s="308">
        <f>'BECA SUPERIOR'!S311</f>
        <v>0</v>
      </c>
      <c r="H4528" s="308">
        <f>'BECA SUPERIOR'!T311</f>
        <v>0</v>
      </c>
    </row>
    <row r="4529" spans="1:8" x14ac:dyDescent="0.3">
      <c r="A4529" t="s">
        <v>690</v>
      </c>
      <c r="B4529" t="s">
        <v>327</v>
      </c>
      <c r="C4529" t="s">
        <v>335</v>
      </c>
      <c r="D4529" t="s">
        <v>689</v>
      </c>
      <c r="E4529" t="s">
        <v>771</v>
      </c>
      <c r="F4529">
        <v>6</v>
      </c>
      <c r="G4529" s="308">
        <f>'BECA SUPERIOR'!V311</f>
        <v>0</v>
      </c>
      <c r="H4529" s="308">
        <f>'BECA SUPERIOR'!W311</f>
        <v>0</v>
      </c>
    </row>
    <row r="4530" spans="1:8" x14ac:dyDescent="0.3">
      <c r="A4530" t="s">
        <v>690</v>
      </c>
      <c r="B4530" t="s">
        <v>327</v>
      </c>
      <c r="C4530" t="s">
        <v>335</v>
      </c>
      <c r="D4530" t="s">
        <v>689</v>
      </c>
      <c r="E4530" t="s">
        <v>772</v>
      </c>
      <c r="F4530">
        <v>7</v>
      </c>
      <c r="G4530" s="308">
        <f>'BECA SUPERIOR'!Y311</f>
        <v>0</v>
      </c>
      <c r="H4530" s="308">
        <f>'BECA SUPERIOR'!Z311</f>
        <v>0</v>
      </c>
    </row>
    <row r="4531" spans="1:8" x14ac:dyDescent="0.3">
      <c r="A4531" t="s">
        <v>690</v>
      </c>
      <c r="B4531" t="s">
        <v>327</v>
      </c>
      <c r="C4531" t="s">
        <v>336</v>
      </c>
      <c r="D4531" t="s">
        <v>689</v>
      </c>
      <c r="E4531" t="s">
        <v>766</v>
      </c>
      <c r="F4531">
        <v>1</v>
      </c>
      <c r="G4531" s="308">
        <f>'BECA SUPERIOR'!G312</f>
        <v>0</v>
      </c>
      <c r="H4531" s="308">
        <f>'BECA SUPERIOR'!H312</f>
        <v>0</v>
      </c>
    </row>
    <row r="4532" spans="1:8" x14ac:dyDescent="0.3">
      <c r="A4532" t="s">
        <v>690</v>
      </c>
      <c r="B4532" t="s">
        <v>327</v>
      </c>
      <c r="C4532" t="s">
        <v>336</v>
      </c>
      <c r="D4532" t="s">
        <v>689</v>
      </c>
      <c r="E4532" t="s">
        <v>767</v>
      </c>
      <c r="F4532">
        <v>2</v>
      </c>
      <c r="G4532" s="308">
        <f>'BECA SUPERIOR'!J312</f>
        <v>0</v>
      </c>
      <c r="H4532" s="308">
        <f>'BECA SUPERIOR'!K312</f>
        <v>0</v>
      </c>
    </row>
    <row r="4533" spans="1:8" x14ac:dyDescent="0.3">
      <c r="A4533" t="s">
        <v>690</v>
      </c>
      <c r="B4533" t="s">
        <v>327</v>
      </c>
      <c r="C4533" t="s">
        <v>336</v>
      </c>
      <c r="D4533" t="s">
        <v>689</v>
      </c>
      <c r="E4533" t="s">
        <v>768</v>
      </c>
      <c r="F4533">
        <v>3</v>
      </c>
      <c r="G4533" s="308">
        <f>'BECA SUPERIOR'!M312</f>
        <v>0</v>
      </c>
      <c r="H4533" s="308">
        <f>'BECA SUPERIOR'!N312</f>
        <v>0</v>
      </c>
    </row>
    <row r="4534" spans="1:8" x14ac:dyDescent="0.3">
      <c r="A4534" t="s">
        <v>690</v>
      </c>
      <c r="B4534" t="s">
        <v>327</v>
      </c>
      <c r="C4534" t="s">
        <v>336</v>
      </c>
      <c r="D4534" t="s">
        <v>689</v>
      </c>
      <c r="E4534" t="s">
        <v>769</v>
      </c>
      <c r="F4534">
        <v>4</v>
      </c>
      <c r="G4534" s="308">
        <f>'BECA SUPERIOR'!P312</f>
        <v>1.44</v>
      </c>
      <c r="H4534" s="308">
        <f>'BECA SUPERIOR'!Q312</f>
        <v>3600</v>
      </c>
    </row>
    <row r="4535" spans="1:8" x14ac:dyDescent="0.3">
      <c r="A4535" t="s">
        <v>690</v>
      </c>
      <c r="B4535" t="s">
        <v>327</v>
      </c>
      <c r="C4535" t="s">
        <v>336</v>
      </c>
      <c r="D4535" t="s">
        <v>689</v>
      </c>
      <c r="E4535" t="s">
        <v>770</v>
      </c>
      <c r="F4535">
        <v>5</v>
      </c>
      <c r="G4535" s="308">
        <f>'BECA SUPERIOR'!S312</f>
        <v>0</v>
      </c>
      <c r="H4535" s="308">
        <f>'BECA SUPERIOR'!T312</f>
        <v>0</v>
      </c>
    </row>
    <row r="4536" spans="1:8" x14ac:dyDescent="0.3">
      <c r="A4536" t="s">
        <v>690</v>
      </c>
      <c r="B4536" t="s">
        <v>327</v>
      </c>
      <c r="C4536" t="s">
        <v>336</v>
      </c>
      <c r="D4536" t="s">
        <v>689</v>
      </c>
      <c r="E4536" t="s">
        <v>771</v>
      </c>
      <c r="F4536">
        <v>6</v>
      </c>
      <c r="G4536" s="308">
        <f>'BECA SUPERIOR'!V312</f>
        <v>0</v>
      </c>
      <c r="H4536" s="308">
        <f>'BECA SUPERIOR'!W312</f>
        <v>0</v>
      </c>
    </row>
    <row r="4537" spans="1:8" x14ac:dyDescent="0.3">
      <c r="A4537" t="s">
        <v>690</v>
      </c>
      <c r="B4537" t="s">
        <v>327</v>
      </c>
      <c r="C4537" t="s">
        <v>336</v>
      </c>
      <c r="D4537" t="s">
        <v>689</v>
      </c>
      <c r="E4537" t="s">
        <v>772</v>
      </c>
      <c r="F4537">
        <v>7</v>
      </c>
      <c r="G4537" s="308">
        <f>'BECA SUPERIOR'!Y312</f>
        <v>0</v>
      </c>
      <c r="H4537" s="308">
        <f>'BECA SUPERIOR'!Z312</f>
        <v>0</v>
      </c>
    </row>
    <row r="4538" spans="1:8" x14ac:dyDescent="0.3">
      <c r="A4538" t="s">
        <v>690</v>
      </c>
      <c r="B4538" t="s">
        <v>327</v>
      </c>
      <c r="C4538" t="s">
        <v>337</v>
      </c>
      <c r="D4538" t="s">
        <v>689</v>
      </c>
      <c r="E4538" t="s">
        <v>766</v>
      </c>
      <c r="F4538">
        <v>1</v>
      </c>
      <c r="G4538" s="308">
        <f>'BECA SUPERIOR'!G313</f>
        <v>0</v>
      </c>
      <c r="H4538" s="308">
        <f>'BECA SUPERIOR'!H313</f>
        <v>0</v>
      </c>
    </row>
    <row r="4539" spans="1:8" x14ac:dyDescent="0.3">
      <c r="A4539" t="s">
        <v>690</v>
      </c>
      <c r="B4539" t="s">
        <v>327</v>
      </c>
      <c r="C4539" t="s">
        <v>337</v>
      </c>
      <c r="D4539" t="s">
        <v>689</v>
      </c>
      <c r="E4539" t="s">
        <v>767</v>
      </c>
      <c r="F4539">
        <v>2</v>
      </c>
      <c r="G4539" s="308">
        <f>'BECA SUPERIOR'!J313</f>
        <v>0</v>
      </c>
      <c r="H4539" s="308">
        <f>'BECA SUPERIOR'!K313</f>
        <v>0</v>
      </c>
    </row>
    <row r="4540" spans="1:8" x14ac:dyDescent="0.3">
      <c r="A4540" t="s">
        <v>690</v>
      </c>
      <c r="B4540" t="s">
        <v>327</v>
      </c>
      <c r="C4540" t="s">
        <v>337</v>
      </c>
      <c r="D4540" t="s">
        <v>689</v>
      </c>
      <c r="E4540" t="s">
        <v>768</v>
      </c>
      <c r="F4540">
        <v>3</v>
      </c>
      <c r="G4540" s="308">
        <f>'BECA SUPERIOR'!M313</f>
        <v>0</v>
      </c>
      <c r="H4540" s="308">
        <f>'BECA SUPERIOR'!N313</f>
        <v>0</v>
      </c>
    </row>
    <row r="4541" spans="1:8" x14ac:dyDescent="0.3">
      <c r="A4541" t="s">
        <v>690</v>
      </c>
      <c r="B4541" t="s">
        <v>327</v>
      </c>
      <c r="C4541" t="s">
        <v>337</v>
      </c>
      <c r="D4541" t="s">
        <v>689</v>
      </c>
      <c r="E4541" t="s">
        <v>769</v>
      </c>
      <c r="F4541">
        <v>4</v>
      </c>
      <c r="G4541" s="308">
        <f>'BECA SUPERIOR'!P313</f>
        <v>6.48</v>
      </c>
      <c r="H4541" s="308">
        <f>'BECA SUPERIOR'!Q313</f>
        <v>16200</v>
      </c>
    </row>
    <row r="4542" spans="1:8" x14ac:dyDescent="0.3">
      <c r="A4542" t="s">
        <v>690</v>
      </c>
      <c r="B4542" t="s">
        <v>327</v>
      </c>
      <c r="C4542" t="s">
        <v>337</v>
      </c>
      <c r="D4542" t="s">
        <v>689</v>
      </c>
      <c r="E4542" t="s">
        <v>770</v>
      </c>
      <c r="F4542">
        <v>5</v>
      </c>
      <c r="G4542" s="308">
        <f>'BECA SUPERIOR'!S313</f>
        <v>0</v>
      </c>
      <c r="H4542" s="308">
        <f>'BECA SUPERIOR'!T313</f>
        <v>0</v>
      </c>
    </row>
    <row r="4543" spans="1:8" x14ac:dyDescent="0.3">
      <c r="A4543" t="s">
        <v>690</v>
      </c>
      <c r="B4543" t="s">
        <v>327</v>
      </c>
      <c r="C4543" t="s">
        <v>337</v>
      </c>
      <c r="D4543" t="s">
        <v>689</v>
      </c>
      <c r="E4543" t="s">
        <v>771</v>
      </c>
      <c r="F4543">
        <v>6</v>
      </c>
      <c r="G4543" s="308">
        <f>'BECA SUPERIOR'!V313</f>
        <v>0</v>
      </c>
      <c r="H4543" s="308">
        <f>'BECA SUPERIOR'!W313</f>
        <v>0</v>
      </c>
    </row>
    <row r="4544" spans="1:8" x14ac:dyDescent="0.3">
      <c r="A4544" t="s">
        <v>690</v>
      </c>
      <c r="B4544" t="s">
        <v>327</v>
      </c>
      <c r="C4544" t="s">
        <v>337</v>
      </c>
      <c r="D4544" t="s">
        <v>689</v>
      </c>
      <c r="E4544" t="s">
        <v>772</v>
      </c>
      <c r="F4544">
        <v>7</v>
      </c>
      <c r="G4544" s="308">
        <f>'BECA SUPERIOR'!Y313</f>
        <v>0</v>
      </c>
      <c r="H4544" s="308">
        <f>'BECA SUPERIOR'!Z313</f>
        <v>0</v>
      </c>
    </row>
    <row r="4545" spans="1:8" x14ac:dyDescent="0.3">
      <c r="A4545" t="s">
        <v>690</v>
      </c>
      <c r="B4545" t="s">
        <v>327</v>
      </c>
      <c r="C4545" t="s">
        <v>338</v>
      </c>
      <c r="D4545" t="s">
        <v>689</v>
      </c>
      <c r="E4545" t="s">
        <v>766</v>
      </c>
      <c r="F4545">
        <v>1</v>
      </c>
      <c r="G4545" s="308">
        <f>'BECA SUPERIOR'!G314</f>
        <v>0</v>
      </c>
      <c r="H4545" s="308">
        <f>'BECA SUPERIOR'!H314</f>
        <v>0</v>
      </c>
    </row>
    <row r="4546" spans="1:8" x14ac:dyDescent="0.3">
      <c r="A4546" t="s">
        <v>690</v>
      </c>
      <c r="B4546" t="s">
        <v>327</v>
      </c>
      <c r="C4546" t="s">
        <v>338</v>
      </c>
      <c r="D4546" t="s">
        <v>689</v>
      </c>
      <c r="E4546" t="s">
        <v>767</v>
      </c>
      <c r="F4546">
        <v>2</v>
      </c>
      <c r="G4546" s="308">
        <f>'BECA SUPERIOR'!J314</f>
        <v>0</v>
      </c>
      <c r="H4546" s="308">
        <f>'BECA SUPERIOR'!K314</f>
        <v>0</v>
      </c>
    </row>
    <row r="4547" spans="1:8" x14ac:dyDescent="0.3">
      <c r="A4547" t="s">
        <v>690</v>
      </c>
      <c r="B4547" t="s">
        <v>327</v>
      </c>
      <c r="C4547" t="s">
        <v>338</v>
      </c>
      <c r="D4547" t="s">
        <v>689</v>
      </c>
      <c r="E4547" t="s">
        <v>768</v>
      </c>
      <c r="F4547">
        <v>3</v>
      </c>
      <c r="G4547" s="308">
        <f>'BECA SUPERIOR'!M314</f>
        <v>0</v>
      </c>
      <c r="H4547" s="308">
        <f>'BECA SUPERIOR'!N314</f>
        <v>0</v>
      </c>
    </row>
    <row r="4548" spans="1:8" x14ac:dyDescent="0.3">
      <c r="A4548" t="s">
        <v>690</v>
      </c>
      <c r="B4548" t="s">
        <v>327</v>
      </c>
      <c r="C4548" t="s">
        <v>338</v>
      </c>
      <c r="D4548" t="s">
        <v>689</v>
      </c>
      <c r="E4548" t="s">
        <v>769</v>
      </c>
      <c r="F4548">
        <v>4</v>
      </c>
      <c r="G4548" s="308">
        <f>'BECA SUPERIOR'!P314</f>
        <v>0.72</v>
      </c>
      <c r="H4548" s="308">
        <f>'BECA SUPERIOR'!Q314</f>
        <v>1800</v>
      </c>
    </row>
    <row r="4549" spans="1:8" x14ac:dyDescent="0.3">
      <c r="A4549" t="s">
        <v>690</v>
      </c>
      <c r="B4549" t="s">
        <v>327</v>
      </c>
      <c r="C4549" t="s">
        <v>338</v>
      </c>
      <c r="D4549" t="s">
        <v>689</v>
      </c>
      <c r="E4549" t="s">
        <v>770</v>
      </c>
      <c r="F4549">
        <v>5</v>
      </c>
      <c r="G4549" s="308">
        <f>'BECA SUPERIOR'!S314</f>
        <v>0</v>
      </c>
      <c r="H4549" s="308">
        <f>'BECA SUPERIOR'!T314</f>
        <v>0</v>
      </c>
    </row>
    <row r="4550" spans="1:8" x14ac:dyDescent="0.3">
      <c r="A4550" t="s">
        <v>690</v>
      </c>
      <c r="B4550" t="s">
        <v>327</v>
      </c>
      <c r="C4550" t="s">
        <v>338</v>
      </c>
      <c r="D4550" t="s">
        <v>689</v>
      </c>
      <c r="E4550" t="s">
        <v>771</v>
      </c>
      <c r="F4550">
        <v>6</v>
      </c>
      <c r="G4550" s="308">
        <f>'BECA SUPERIOR'!V314</f>
        <v>0</v>
      </c>
      <c r="H4550" s="308">
        <f>'BECA SUPERIOR'!W314</f>
        <v>0</v>
      </c>
    </row>
    <row r="4551" spans="1:8" x14ac:dyDescent="0.3">
      <c r="A4551" t="s">
        <v>690</v>
      </c>
      <c r="B4551" t="s">
        <v>327</v>
      </c>
      <c r="C4551" t="s">
        <v>338</v>
      </c>
      <c r="D4551" t="s">
        <v>689</v>
      </c>
      <c r="E4551" t="s">
        <v>772</v>
      </c>
      <c r="F4551">
        <v>7</v>
      </c>
      <c r="G4551" s="308">
        <f>'BECA SUPERIOR'!Y314</f>
        <v>0</v>
      </c>
      <c r="H4551" s="308">
        <f>'BECA SUPERIOR'!Z314</f>
        <v>0</v>
      </c>
    </row>
    <row r="4552" spans="1:8" x14ac:dyDescent="0.3">
      <c r="A4552" t="s">
        <v>690</v>
      </c>
      <c r="B4552" t="s">
        <v>327</v>
      </c>
      <c r="C4552" t="s">
        <v>339</v>
      </c>
      <c r="D4552" t="s">
        <v>689</v>
      </c>
      <c r="E4552" t="s">
        <v>766</v>
      </c>
      <c r="F4552">
        <v>1</v>
      </c>
      <c r="G4552" s="308">
        <f>'BECA SUPERIOR'!G315</f>
        <v>0</v>
      </c>
      <c r="H4552" s="308">
        <f>'BECA SUPERIOR'!H315</f>
        <v>0</v>
      </c>
    </row>
    <row r="4553" spans="1:8" x14ac:dyDescent="0.3">
      <c r="A4553" t="s">
        <v>690</v>
      </c>
      <c r="B4553" t="s">
        <v>327</v>
      </c>
      <c r="C4553" t="s">
        <v>339</v>
      </c>
      <c r="D4553" t="s">
        <v>689</v>
      </c>
      <c r="E4553" t="s">
        <v>767</v>
      </c>
      <c r="F4553">
        <v>2</v>
      </c>
      <c r="G4553" s="308">
        <f>'BECA SUPERIOR'!J315</f>
        <v>0</v>
      </c>
      <c r="H4553" s="308">
        <f>'BECA SUPERIOR'!K315</f>
        <v>0</v>
      </c>
    </row>
    <row r="4554" spans="1:8" x14ac:dyDescent="0.3">
      <c r="A4554" t="s">
        <v>690</v>
      </c>
      <c r="B4554" t="s">
        <v>327</v>
      </c>
      <c r="C4554" t="s">
        <v>339</v>
      </c>
      <c r="D4554" t="s">
        <v>689</v>
      </c>
      <c r="E4554" t="s">
        <v>768</v>
      </c>
      <c r="F4554">
        <v>3</v>
      </c>
      <c r="G4554" s="308">
        <f>'BECA SUPERIOR'!M315</f>
        <v>0</v>
      </c>
      <c r="H4554" s="308">
        <f>'BECA SUPERIOR'!N315</f>
        <v>0</v>
      </c>
    </row>
    <row r="4555" spans="1:8" x14ac:dyDescent="0.3">
      <c r="A4555" t="s">
        <v>690</v>
      </c>
      <c r="B4555" t="s">
        <v>327</v>
      </c>
      <c r="C4555" t="s">
        <v>339</v>
      </c>
      <c r="D4555" t="s">
        <v>689</v>
      </c>
      <c r="E4555" t="s">
        <v>769</v>
      </c>
      <c r="F4555">
        <v>4</v>
      </c>
      <c r="G4555" s="308">
        <f>'BECA SUPERIOR'!P315</f>
        <v>2.16</v>
      </c>
      <c r="H4555" s="308">
        <f>'BECA SUPERIOR'!Q315</f>
        <v>5400</v>
      </c>
    </row>
    <row r="4556" spans="1:8" x14ac:dyDescent="0.3">
      <c r="A4556" t="s">
        <v>690</v>
      </c>
      <c r="B4556" t="s">
        <v>327</v>
      </c>
      <c r="C4556" t="s">
        <v>339</v>
      </c>
      <c r="D4556" t="s">
        <v>689</v>
      </c>
      <c r="E4556" t="s">
        <v>770</v>
      </c>
      <c r="F4556">
        <v>5</v>
      </c>
      <c r="G4556" s="308">
        <f>'BECA SUPERIOR'!S315</f>
        <v>0</v>
      </c>
      <c r="H4556" s="308">
        <f>'BECA SUPERIOR'!T315</f>
        <v>0</v>
      </c>
    </row>
    <row r="4557" spans="1:8" x14ac:dyDescent="0.3">
      <c r="A4557" t="s">
        <v>690</v>
      </c>
      <c r="B4557" t="s">
        <v>327</v>
      </c>
      <c r="C4557" t="s">
        <v>339</v>
      </c>
      <c r="D4557" t="s">
        <v>689</v>
      </c>
      <c r="E4557" t="s">
        <v>771</v>
      </c>
      <c r="F4557">
        <v>6</v>
      </c>
      <c r="G4557" s="308">
        <f>'BECA SUPERIOR'!V315</f>
        <v>0</v>
      </c>
      <c r="H4557" s="308">
        <f>'BECA SUPERIOR'!W315</f>
        <v>0</v>
      </c>
    </row>
    <row r="4558" spans="1:8" x14ac:dyDescent="0.3">
      <c r="A4558" t="s">
        <v>690</v>
      </c>
      <c r="B4558" t="s">
        <v>327</v>
      </c>
      <c r="C4558" t="s">
        <v>339</v>
      </c>
      <c r="D4558" t="s">
        <v>689</v>
      </c>
      <c r="E4558" t="s">
        <v>772</v>
      </c>
      <c r="F4558">
        <v>7</v>
      </c>
      <c r="G4558" s="308">
        <f>'BECA SUPERIOR'!Y315</f>
        <v>0</v>
      </c>
      <c r="H4558" s="308">
        <f>'BECA SUPERIOR'!Z315</f>
        <v>0</v>
      </c>
    </row>
    <row r="4559" spans="1:8" x14ac:dyDescent="0.3">
      <c r="A4559" t="s">
        <v>690</v>
      </c>
      <c r="B4559" t="s">
        <v>327</v>
      </c>
      <c r="C4559" t="s">
        <v>340</v>
      </c>
      <c r="D4559" t="s">
        <v>689</v>
      </c>
      <c r="E4559" t="s">
        <v>766</v>
      </c>
      <c r="F4559">
        <v>1</v>
      </c>
      <c r="G4559" s="308">
        <f>'BECA SUPERIOR'!G316</f>
        <v>0</v>
      </c>
      <c r="H4559" s="308">
        <f>'BECA SUPERIOR'!H316</f>
        <v>0</v>
      </c>
    </row>
    <row r="4560" spans="1:8" x14ac:dyDescent="0.3">
      <c r="A4560" t="s">
        <v>690</v>
      </c>
      <c r="B4560" t="s">
        <v>327</v>
      </c>
      <c r="C4560" t="s">
        <v>340</v>
      </c>
      <c r="D4560" t="s">
        <v>689</v>
      </c>
      <c r="E4560" t="s">
        <v>767</v>
      </c>
      <c r="F4560">
        <v>2</v>
      </c>
      <c r="G4560" s="308">
        <f>'BECA SUPERIOR'!J316</f>
        <v>0</v>
      </c>
      <c r="H4560" s="308">
        <f>'BECA SUPERIOR'!K316</f>
        <v>0</v>
      </c>
    </row>
    <row r="4561" spans="1:8" x14ac:dyDescent="0.3">
      <c r="A4561" t="s">
        <v>690</v>
      </c>
      <c r="B4561" t="s">
        <v>327</v>
      </c>
      <c r="C4561" t="s">
        <v>340</v>
      </c>
      <c r="D4561" t="s">
        <v>689</v>
      </c>
      <c r="E4561" t="s">
        <v>768</v>
      </c>
      <c r="F4561">
        <v>3</v>
      </c>
      <c r="G4561" s="308">
        <f>'BECA SUPERIOR'!M316</f>
        <v>0</v>
      </c>
      <c r="H4561" s="308">
        <f>'BECA SUPERIOR'!N316</f>
        <v>0</v>
      </c>
    </row>
    <row r="4562" spans="1:8" x14ac:dyDescent="0.3">
      <c r="A4562" t="s">
        <v>690</v>
      </c>
      <c r="B4562" t="s">
        <v>327</v>
      </c>
      <c r="C4562" t="s">
        <v>340</v>
      </c>
      <c r="D4562" t="s">
        <v>689</v>
      </c>
      <c r="E4562" t="s">
        <v>769</v>
      </c>
      <c r="F4562">
        <v>4</v>
      </c>
      <c r="G4562" s="308">
        <f>'BECA SUPERIOR'!P316</f>
        <v>2.16</v>
      </c>
      <c r="H4562" s="308">
        <f>'BECA SUPERIOR'!Q316</f>
        <v>5400</v>
      </c>
    </row>
    <row r="4563" spans="1:8" x14ac:dyDescent="0.3">
      <c r="A4563" t="s">
        <v>690</v>
      </c>
      <c r="B4563" t="s">
        <v>327</v>
      </c>
      <c r="C4563" t="s">
        <v>340</v>
      </c>
      <c r="D4563" t="s">
        <v>689</v>
      </c>
      <c r="E4563" t="s">
        <v>770</v>
      </c>
      <c r="F4563">
        <v>5</v>
      </c>
      <c r="G4563" s="308">
        <f>'BECA SUPERIOR'!S316</f>
        <v>0</v>
      </c>
      <c r="H4563" s="308">
        <f>'BECA SUPERIOR'!T316</f>
        <v>0</v>
      </c>
    </row>
    <row r="4564" spans="1:8" x14ac:dyDescent="0.3">
      <c r="A4564" t="s">
        <v>690</v>
      </c>
      <c r="B4564" t="s">
        <v>327</v>
      </c>
      <c r="C4564" t="s">
        <v>340</v>
      </c>
      <c r="D4564" t="s">
        <v>689</v>
      </c>
      <c r="E4564" t="s">
        <v>771</v>
      </c>
      <c r="F4564">
        <v>6</v>
      </c>
      <c r="G4564" s="308">
        <f>'BECA SUPERIOR'!V316</f>
        <v>0</v>
      </c>
      <c r="H4564" s="308">
        <f>'BECA SUPERIOR'!W316</f>
        <v>0</v>
      </c>
    </row>
    <row r="4565" spans="1:8" x14ac:dyDescent="0.3">
      <c r="A4565" t="s">
        <v>690</v>
      </c>
      <c r="B4565" t="s">
        <v>327</v>
      </c>
      <c r="C4565" t="s">
        <v>340</v>
      </c>
      <c r="D4565" t="s">
        <v>689</v>
      </c>
      <c r="E4565" t="s">
        <v>772</v>
      </c>
      <c r="F4565">
        <v>7</v>
      </c>
      <c r="G4565" s="308">
        <f>'BECA SUPERIOR'!Y316</f>
        <v>0</v>
      </c>
      <c r="H4565" s="308">
        <f>'BECA SUPERIOR'!Z316</f>
        <v>0</v>
      </c>
    </row>
    <row r="4566" spans="1:8" x14ac:dyDescent="0.3">
      <c r="A4566" t="s">
        <v>690</v>
      </c>
      <c r="B4566" t="s">
        <v>327</v>
      </c>
      <c r="C4566" t="s">
        <v>341</v>
      </c>
      <c r="D4566" t="s">
        <v>689</v>
      </c>
      <c r="E4566" t="s">
        <v>766</v>
      </c>
      <c r="F4566">
        <v>1</v>
      </c>
      <c r="G4566" s="308">
        <f>'BECA SUPERIOR'!G317</f>
        <v>0</v>
      </c>
      <c r="H4566" s="308">
        <f>'BECA SUPERIOR'!H317</f>
        <v>0</v>
      </c>
    </row>
    <row r="4567" spans="1:8" x14ac:dyDescent="0.3">
      <c r="A4567" t="s">
        <v>690</v>
      </c>
      <c r="B4567" t="s">
        <v>327</v>
      </c>
      <c r="C4567" t="s">
        <v>341</v>
      </c>
      <c r="D4567" t="s">
        <v>689</v>
      </c>
      <c r="E4567" t="s">
        <v>767</v>
      </c>
      <c r="F4567">
        <v>2</v>
      </c>
      <c r="G4567" s="308">
        <f>'BECA SUPERIOR'!J317</f>
        <v>0</v>
      </c>
      <c r="H4567" s="308">
        <f>'BECA SUPERIOR'!K317</f>
        <v>0</v>
      </c>
    </row>
    <row r="4568" spans="1:8" x14ac:dyDescent="0.3">
      <c r="A4568" t="s">
        <v>690</v>
      </c>
      <c r="B4568" t="s">
        <v>327</v>
      </c>
      <c r="C4568" t="s">
        <v>341</v>
      </c>
      <c r="D4568" t="s">
        <v>689</v>
      </c>
      <c r="E4568" t="s">
        <v>768</v>
      </c>
      <c r="F4568">
        <v>3</v>
      </c>
      <c r="G4568" s="308">
        <f>'BECA SUPERIOR'!M317</f>
        <v>0</v>
      </c>
      <c r="H4568" s="308">
        <f>'BECA SUPERIOR'!N317</f>
        <v>0</v>
      </c>
    </row>
    <row r="4569" spans="1:8" x14ac:dyDescent="0.3">
      <c r="A4569" t="s">
        <v>690</v>
      </c>
      <c r="B4569" t="s">
        <v>327</v>
      </c>
      <c r="C4569" t="s">
        <v>341</v>
      </c>
      <c r="D4569" t="s">
        <v>689</v>
      </c>
      <c r="E4569" t="s">
        <v>769</v>
      </c>
      <c r="F4569">
        <v>4</v>
      </c>
      <c r="G4569" s="308">
        <f>'BECA SUPERIOR'!P317</f>
        <v>3.6</v>
      </c>
      <c r="H4569" s="308">
        <f>'BECA SUPERIOR'!Q317</f>
        <v>9000</v>
      </c>
    </row>
    <row r="4570" spans="1:8" x14ac:dyDescent="0.3">
      <c r="A4570" t="s">
        <v>690</v>
      </c>
      <c r="B4570" t="s">
        <v>327</v>
      </c>
      <c r="C4570" t="s">
        <v>341</v>
      </c>
      <c r="D4570" t="s">
        <v>689</v>
      </c>
      <c r="E4570" t="s">
        <v>770</v>
      </c>
      <c r="F4570">
        <v>5</v>
      </c>
      <c r="G4570" s="308">
        <f>'BECA SUPERIOR'!S317</f>
        <v>0</v>
      </c>
      <c r="H4570" s="308">
        <f>'BECA SUPERIOR'!T317</f>
        <v>0</v>
      </c>
    </row>
    <row r="4571" spans="1:8" x14ac:dyDescent="0.3">
      <c r="A4571" t="s">
        <v>690</v>
      </c>
      <c r="B4571" t="s">
        <v>327</v>
      </c>
      <c r="C4571" t="s">
        <v>341</v>
      </c>
      <c r="D4571" t="s">
        <v>689</v>
      </c>
      <c r="E4571" t="s">
        <v>771</v>
      </c>
      <c r="F4571">
        <v>6</v>
      </c>
      <c r="G4571" s="308">
        <f>'BECA SUPERIOR'!V317</f>
        <v>0</v>
      </c>
      <c r="H4571" s="308">
        <f>'BECA SUPERIOR'!W317</f>
        <v>0</v>
      </c>
    </row>
    <row r="4572" spans="1:8" x14ac:dyDescent="0.3">
      <c r="A4572" t="s">
        <v>690</v>
      </c>
      <c r="B4572" t="s">
        <v>327</v>
      </c>
      <c r="C4572" t="s">
        <v>341</v>
      </c>
      <c r="D4572" t="s">
        <v>689</v>
      </c>
      <c r="E4572" t="s">
        <v>772</v>
      </c>
      <c r="F4572">
        <v>7</v>
      </c>
      <c r="G4572" s="308">
        <f>'BECA SUPERIOR'!Y317</f>
        <v>0</v>
      </c>
      <c r="H4572" s="308">
        <f>'BECA SUPERIOR'!Z317</f>
        <v>0</v>
      </c>
    </row>
    <row r="4573" spans="1:8" x14ac:dyDescent="0.3">
      <c r="A4573" t="s">
        <v>690</v>
      </c>
      <c r="B4573" t="s">
        <v>327</v>
      </c>
      <c r="C4573" t="s">
        <v>283</v>
      </c>
      <c r="D4573" t="s">
        <v>689</v>
      </c>
      <c r="E4573" t="s">
        <v>766</v>
      </c>
      <c r="F4573">
        <v>1</v>
      </c>
      <c r="G4573" s="308">
        <f>'BECA SUPERIOR'!G318</f>
        <v>0</v>
      </c>
      <c r="H4573" s="308">
        <f>'BECA SUPERIOR'!H318</f>
        <v>0</v>
      </c>
    </row>
    <row r="4574" spans="1:8" x14ac:dyDescent="0.3">
      <c r="A4574" t="s">
        <v>690</v>
      </c>
      <c r="B4574" t="s">
        <v>327</v>
      </c>
      <c r="C4574" t="s">
        <v>283</v>
      </c>
      <c r="D4574" t="s">
        <v>689</v>
      </c>
      <c r="E4574" t="s">
        <v>767</v>
      </c>
      <c r="F4574">
        <v>2</v>
      </c>
      <c r="G4574" s="308">
        <f>'BECA SUPERIOR'!J318</f>
        <v>0</v>
      </c>
      <c r="H4574" s="308">
        <f>'BECA SUPERIOR'!K318</f>
        <v>0</v>
      </c>
    </row>
    <row r="4575" spans="1:8" x14ac:dyDescent="0.3">
      <c r="A4575" t="s">
        <v>690</v>
      </c>
      <c r="B4575" t="s">
        <v>327</v>
      </c>
      <c r="C4575" t="s">
        <v>283</v>
      </c>
      <c r="D4575" t="s">
        <v>689</v>
      </c>
      <c r="E4575" t="s">
        <v>768</v>
      </c>
      <c r="F4575">
        <v>3</v>
      </c>
      <c r="G4575" s="308">
        <f>'BECA SUPERIOR'!M318</f>
        <v>0</v>
      </c>
      <c r="H4575" s="308">
        <f>'BECA SUPERIOR'!N318</f>
        <v>0</v>
      </c>
    </row>
    <row r="4576" spans="1:8" x14ac:dyDescent="0.3">
      <c r="A4576" t="s">
        <v>690</v>
      </c>
      <c r="B4576" t="s">
        <v>327</v>
      </c>
      <c r="C4576" t="s">
        <v>283</v>
      </c>
      <c r="D4576" t="s">
        <v>689</v>
      </c>
      <c r="E4576" t="s">
        <v>769</v>
      </c>
      <c r="F4576">
        <v>4</v>
      </c>
      <c r="G4576" s="308">
        <f>'BECA SUPERIOR'!P318</f>
        <v>0</v>
      </c>
      <c r="H4576" s="308">
        <f>'BECA SUPERIOR'!Q318</f>
        <v>0</v>
      </c>
    </row>
    <row r="4577" spans="1:8" x14ac:dyDescent="0.3">
      <c r="A4577" t="s">
        <v>690</v>
      </c>
      <c r="B4577" t="s">
        <v>327</v>
      </c>
      <c r="C4577" t="s">
        <v>283</v>
      </c>
      <c r="D4577" t="s">
        <v>689</v>
      </c>
      <c r="E4577" t="s">
        <v>770</v>
      </c>
      <c r="F4577">
        <v>5</v>
      </c>
      <c r="G4577" s="308">
        <f>'BECA SUPERIOR'!S318</f>
        <v>0</v>
      </c>
      <c r="H4577" s="308">
        <f>'BECA SUPERIOR'!T318</f>
        <v>0</v>
      </c>
    </row>
    <row r="4578" spans="1:8" x14ac:dyDescent="0.3">
      <c r="A4578" t="s">
        <v>690</v>
      </c>
      <c r="B4578" t="s">
        <v>327</v>
      </c>
      <c r="C4578" t="s">
        <v>283</v>
      </c>
      <c r="D4578" t="s">
        <v>689</v>
      </c>
      <c r="E4578" t="s">
        <v>771</v>
      </c>
      <c r="F4578">
        <v>6</v>
      </c>
      <c r="G4578" s="308">
        <f>'BECA SUPERIOR'!V318</f>
        <v>0</v>
      </c>
      <c r="H4578" s="308">
        <f>'BECA SUPERIOR'!W318</f>
        <v>0</v>
      </c>
    </row>
    <row r="4579" spans="1:8" x14ac:dyDescent="0.3">
      <c r="A4579" t="s">
        <v>690</v>
      </c>
      <c r="B4579" t="s">
        <v>327</v>
      </c>
      <c r="C4579" t="s">
        <v>283</v>
      </c>
      <c r="D4579" t="s">
        <v>689</v>
      </c>
      <c r="E4579" t="s">
        <v>772</v>
      </c>
      <c r="F4579">
        <v>7</v>
      </c>
      <c r="G4579" s="308">
        <f>'BECA SUPERIOR'!Y318</f>
        <v>0</v>
      </c>
      <c r="H4579" s="308">
        <f>'BECA SUPERIOR'!Z318</f>
        <v>0</v>
      </c>
    </row>
    <row r="4580" spans="1:8" x14ac:dyDescent="0.3">
      <c r="A4580" t="s">
        <v>690</v>
      </c>
      <c r="B4580" t="s">
        <v>327</v>
      </c>
      <c r="C4580" t="s">
        <v>342</v>
      </c>
      <c r="D4580" t="s">
        <v>689</v>
      </c>
      <c r="E4580" t="s">
        <v>766</v>
      </c>
      <c r="F4580">
        <v>1</v>
      </c>
      <c r="G4580" s="308">
        <f>'BECA SUPERIOR'!G319</f>
        <v>0</v>
      </c>
      <c r="H4580" s="308">
        <f>'BECA SUPERIOR'!H319</f>
        <v>0</v>
      </c>
    </row>
    <row r="4581" spans="1:8" x14ac:dyDescent="0.3">
      <c r="A4581" t="s">
        <v>690</v>
      </c>
      <c r="B4581" t="s">
        <v>327</v>
      </c>
      <c r="C4581" t="s">
        <v>342</v>
      </c>
      <c r="D4581" t="s">
        <v>689</v>
      </c>
      <c r="E4581" t="s">
        <v>767</v>
      </c>
      <c r="F4581">
        <v>2</v>
      </c>
      <c r="G4581" s="308">
        <f>'BECA SUPERIOR'!J319</f>
        <v>0</v>
      </c>
      <c r="H4581" s="308">
        <f>'BECA SUPERIOR'!K319</f>
        <v>0</v>
      </c>
    </row>
    <row r="4582" spans="1:8" x14ac:dyDescent="0.3">
      <c r="A4582" t="s">
        <v>690</v>
      </c>
      <c r="B4582" t="s">
        <v>327</v>
      </c>
      <c r="C4582" t="s">
        <v>342</v>
      </c>
      <c r="D4582" t="s">
        <v>689</v>
      </c>
      <c r="E4582" t="s">
        <v>768</v>
      </c>
      <c r="F4582">
        <v>3</v>
      </c>
      <c r="G4582" s="308">
        <f>'BECA SUPERIOR'!M319</f>
        <v>0</v>
      </c>
      <c r="H4582" s="308">
        <f>'BECA SUPERIOR'!N319</f>
        <v>0</v>
      </c>
    </row>
    <row r="4583" spans="1:8" x14ac:dyDescent="0.3">
      <c r="A4583" t="s">
        <v>690</v>
      </c>
      <c r="B4583" t="s">
        <v>327</v>
      </c>
      <c r="C4583" t="s">
        <v>342</v>
      </c>
      <c r="D4583" t="s">
        <v>689</v>
      </c>
      <c r="E4583" t="s">
        <v>769</v>
      </c>
      <c r="F4583">
        <v>4</v>
      </c>
      <c r="G4583" s="308">
        <f>'BECA SUPERIOR'!P319</f>
        <v>2.88</v>
      </c>
      <c r="H4583" s="308">
        <f>'BECA SUPERIOR'!Q319</f>
        <v>7200</v>
      </c>
    </row>
    <row r="4584" spans="1:8" x14ac:dyDescent="0.3">
      <c r="A4584" t="s">
        <v>690</v>
      </c>
      <c r="B4584" t="s">
        <v>327</v>
      </c>
      <c r="C4584" t="s">
        <v>342</v>
      </c>
      <c r="D4584" t="s">
        <v>689</v>
      </c>
      <c r="E4584" t="s">
        <v>770</v>
      </c>
      <c r="F4584">
        <v>5</v>
      </c>
      <c r="G4584" s="308">
        <f>'BECA SUPERIOR'!S319</f>
        <v>0</v>
      </c>
      <c r="H4584" s="308">
        <f>'BECA SUPERIOR'!T319</f>
        <v>0</v>
      </c>
    </row>
    <row r="4585" spans="1:8" x14ac:dyDescent="0.3">
      <c r="A4585" t="s">
        <v>690</v>
      </c>
      <c r="B4585" t="s">
        <v>327</v>
      </c>
      <c r="C4585" t="s">
        <v>342</v>
      </c>
      <c r="D4585" t="s">
        <v>689</v>
      </c>
      <c r="E4585" t="s">
        <v>771</v>
      </c>
      <c r="F4585">
        <v>6</v>
      </c>
      <c r="G4585" s="308">
        <f>'BECA SUPERIOR'!V319</f>
        <v>0</v>
      </c>
      <c r="H4585" s="308">
        <f>'BECA SUPERIOR'!W319</f>
        <v>0</v>
      </c>
    </row>
    <row r="4586" spans="1:8" x14ac:dyDescent="0.3">
      <c r="A4586" t="s">
        <v>690</v>
      </c>
      <c r="B4586" t="s">
        <v>327</v>
      </c>
      <c r="C4586" t="s">
        <v>342</v>
      </c>
      <c r="D4586" t="s">
        <v>689</v>
      </c>
      <c r="E4586" t="s">
        <v>772</v>
      </c>
      <c r="F4586">
        <v>7</v>
      </c>
      <c r="G4586" s="308">
        <f>'BECA SUPERIOR'!Y319</f>
        <v>0</v>
      </c>
      <c r="H4586" s="308">
        <f>'BECA SUPERIOR'!Z319</f>
        <v>0</v>
      </c>
    </row>
    <row r="4587" spans="1:8" x14ac:dyDescent="0.3">
      <c r="A4587" t="s">
        <v>690</v>
      </c>
      <c r="B4587" t="s">
        <v>327</v>
      </c>
      <c r="C4587" t="s">
        <v>343</v>
      </c>
      <c r="D4587" t="s">
        <v>689</v>
      </c>
      <c r="E4587" t="s">
        <v>766</v>
      </c>
      <c r="F4587">
        <v>1</v>
      </c>
      <c r="G4587" s="308">
        <f>'BECA SUPERIOR'!G320</f>
        <v>0</v>
      </c>
      <c r="H4587" s="308">
        <f>'BECA SUPERIOR'!H320</f>
        <v>0</v>
      </c>
    </row>
    <row r="4588" spans="1:8" x14ac:dyDescent="0.3">
      <c r="A4588" t="s">
        <v>690</v>
      </c>
      <c r="B4588" t="s">
        <v>327</v>
      </c>
      <c r="C4588" t="s">
        <v>343</v>
      </c>
      <c r="D4588" t="s">
        <v>689</v>
      </c>
      <c r="E4588" t="s">
        <v>767</v>
      </c>
      <c r="F4588">
        <v>2</v>
      </c>
      <c r="G4588" s="308">
        <f>'BECA SUPERIOR'!J320</f>
        <v>0</v>
      </c>
      <c r="H4588" s="308">
        <f>'BECA SUPERIOR'!K320</f>
        <v>0</v>
      </c>
    </row>
    <row r="4589" spans="1:8" x14ac:dyDescent="0.3">
      <c r="A4589" t="s">
        <v>690</v>
      </c>
      <c r="B4589" t="s">
        <v>327</v>
      </c>
      <c r="C4589" t="s">
        <v>343</v>
      </c>
      <c r="D4589" t="s">
        <v>689</v>
      </c>
      <c r="E4589" t="s">
        <v>768</v>
      </c>
      <c r="F4589">
        <v>3</v>
      </c>
      <c r="G4589" s="308">
        <f>'BECA SUPERIOR'!M320</f>
        <v>0</v>
      </c>
      <c r="H4589" s="308">
        <f>'BECA SUPERIOR'!N320</f>
        <v>0</v>
      </c>
    </row>
    <row r="4590" spans="1:8" x14ac:dyDescent="0.3">
      <c r="A4590" t="s">
        <v>690</v>
      </c>
      <c r="B4590" t="s">
        <v>327</v>
      </c>
      <c r="C4590" t="s">
        <v>343</v>
      </c>
      <c r="D4590" t="s">
        <v>689</v>
      </c>
      <c r="E4590" t="s">
        <v>769</v>
      </c>
      <c r="F4590">
        <v>4</v>
      </c>
      <c r="G4590" s="308">
        <f>'BECA SUPERIOR'!P320</f>
        <v>1.44</v>
      </c>
      <c r="H4590" s="308">
        <f>'BECA SUPERIOR'!Q320</f>
        <v>3600</v>
      </c>
    </row>
    <row r="4591" spans="1:8" x14ac:dyDescent="0.3">
      <c r="A4591" t="s">
        <v>690</v>
      </c>
      <c r="B4591" t="s">
        <v>327</v>
      </c>
      <c r="C4591" t="s">
        <v>343</v>
      </c>
      <c r="D4591" t="s">
        <v>689</v>
      </c>
      <c r="E4591" t="s">
        <v>770</v>
      </c>
      <c r="F4591">
        <v>5</v>
      </c>
      <c r="G4591" s="308">
        <f>'BECA SUPERIOR'!S320</f>
        <v>0</v>
      </c>
      <c r="H4591" s="308">
        <f>'BECA SUPERIOR'!T320</f>
        <v>0</v>
      </c>
    </row>
    <row r="4592" spans="1:8" x14ac:dyDescent="0.3">
      <c r="A4592" t="s">
        <v>690</v>
      </c>
      <c r="B4592" t="s">
        <v>327</v>
      </c>
      <c r="C4592" t="s">
        <v>343</v>
      </c>
      <c r="D4592" t="s">
        <v>689</v>
      </c>
      <c r="E4592" t="s">
        <v>771</v>
      </c>
      <c r="F4592">
        <v>6</v>
      </c>
      <c r="G4592" s="308">
        <f>'BECA SUPERIOR'!V320</f>
        <v>0</v>
      </c>
      <c r="H4592" s="308">
        <f>'BECA SUPERIOR'!W320</f>
        <v>0</v>
      </c>
    </row>
    <row r="4593" spans="1:8" x14ac:dyDescent="0.3">
      <c r="A4593" t="s">
        <v>690</v>
      </c>
      <c r="B4593" t="s">
        <v>327</v>
      </c>
      <c r="C4593" t="s">
        <v>343</v>
      </c>
      <c r="D4593" t="s">
        <v>689</v>
      </c>
      <c r="E4593" t="s">
        <v>772</v>
      </c>
      <c r="F4593">
        <v>7</v>
      </c>
      <c r="G4593" s="308">
        <f>'BECA SUPERIOR'!Y320</f>
        <v>0</v>
      </c>
      <c r="H4593" s="308">
        <f>'BECA SUPERIOR'!Z320</f>
        <v>0</v>
      </c>
    </row>
    <row r="4594" spans="1:8" x14ac:dyDescent="0.3">
      <c r="A4594" t="s">
        <v>690</v>
      </c>
      <c r="B4594" t="s">
        <v>327</v>
      </c>
      <c r="C4594" t="s">
        <v>142</v>
      </c>
      <c r="D4594" t="s">
        <v>689</v>
      </c>
      <c r="E4594" t="s">
        <v>766</v>
      </c>
      <c r="F4594">
        <v>1</v>
      </c>
      <c r="G4594" s="308">
        <f>'BECA SUPERIOR'!G321</f>
        <v>0</v>
      </c>
      <c r="H4594" s="308">
        <f>'BECA SUPERIOR'!H321</f>
        <v>0</v>
      </c>
    </row>
    <row r="4595" spans="1:8" x14ac:dyDescent="0.3">
      <c r="A4595" t="s">
        <v>690</v>
      </c>
      <c r="B4595" t="s">
        <v>327</v>
      </c>
      <c r="C4595" t="s">
        <v>142</v>
      </c>
      <c r="D4595" t="s">
        <v>689</v>
      </c>
      <c r="E4595" t="s">
        <v>767</v>
      </c>
      <c r="F4595">
        <v>2</v>
      </c>
      <c r="G4595" s="308">
        <f>'BECA SUPERIOR'!J321</f>
        <v>0</v>
      </c>
      <c r="H4595" s="308">
        <f>'BECA SUPERIOR'!K321</f>
        <v>0</v>
      </c>
    </row>
    <row r="4596" spans="1:8" x14ac:dyDescent="0.3">
      <c r="A4596" t="s">
        <v>690</v>
      </c>
      <c r="B4596" t="s">
        <v>327</v>
      </c>
      <c r="C4596" t="s">
        <v>142</v>
      </c>
      <c r="D4596" t="s">
        <v>689</v>
      </c>
      <c r="E4596" t="s">
        <v>768</v>
      </c>
      <c r="F4596">
        <v>3</v>
      </c>
      <c r="G4596" s="308">
        <f>'BECA SUPERIOR'!M321</f>
        <v>0</v>
      </c>
      <c r="H4596" s="308">
        <f>'BECA SUPERIOR'!N321</f>
        <v>0</v>
      </c>
    </row>
    <row r="4597" spans="1:8" x14ac:dyDescent="0.3">
      <c r="A4597" t="s">
        <v>690</v>
      </c>
      <c r="B4597" t="s">
        <v>327</v>
      </c>
      <c r="C4597" t="s">
        <v>142</v>
      </c>
      <c r="D4597" t="s">
        <v>689</v>
      </c>
      <c r="E4597" t="s">
        <v>769</v>
      </c>
      <c r="F4597">
        <v>4</v>
      </c>
      <c r="G4597" s="308">
        <f>'BECA SUPERIOR'!P321</f>
        <v>4.32</v>
      </c>
      <c r="H4597" s="308">
        <f>'BECA SUPERIOR'!Q321</f>
        <v>10800</v>
      </c>
    </row>
    <row r="4598" spans="1:8" x14ac:dyDescent="0.3">
      <c r="A4598" t="s">
        <v>690</v>
      </c>
      <c r="B4598" t="s">
        <v>327</v>
      </c>
      <c r="C4598" t="s">
        <v>142</v>
      </c>
      <c r="D4598" t="s">
        <v>689</v>
      </c>
      <c r="E4598" t="s">
        <v>770</v>
      </c>
      <c r="F4598">
        <v>5</v>
      </c>
      <c r="G4598" s="308">
        <f>'BECA SUPERIOR'!S321</f>
        <v>0</v>
      </c>
      <c r="H4598" s="308">
        <f>'BECA SUPERIOR'!T321</f>
        <v>0</v>
      </c>
    </row>
    <row r="4599" spans="1:8" x14ac:dyDescent="0.3">
      <c r="A4599" t="s">
        <v>690</v>
      </c>
      <c r="B4599" t="s">
        <v>327</v>
      </c>
      <c r="C4599" t="s">
        <v>142</v>
      </c>
      <c r="D4599" t="s">
        <v>689</v>
      </c>
      <c r="E4599" t="s">
        <v>771</v>
      </c>
      <c r="F4599">
        <v>6</v>
      </c>
      <c r="G4599" s="308">
        <f>'BECA SUPERIOR'!V321</f>
        <v>0</v>
      </c>
      <c r="H4599" s="308">
        <f>'BECA SUPERIOR'!W321</f>
        <v>0</v>
      </c>
    </row>
    <row r="4600" spans="1:8" x14ac:dyDescent="0.3">
      <c r="A4600" t="s">
        <v>690</v>
      </c>
      <c r="B4600" t="s">
        <v>327</v>
      </c>
      <c r="C4600" t="s">
        <v>142</v>
      </c>
      <c r="D4600" t="s">
        <v>689</v>
      </c>
      <c r="E4600" t="s">
        <v>772</v>
      </c>
      <c r="F4600">
        <v>7</v>
      </c>
      <c r="G4600" s="308">
        <f>'BECA SUPERIOR'!Y321</f>
        <v>0</v>
      </c>
      <c r="H4600" s="308">
        <f>'BECA SUPERIOR'!Z321</f>
        <v>0</v>
      </c>
    </row>
    <row r="4601" spans="1:8" x14ac:dyDescent="0.3">
      <c r="A4601" t="s">
        <v>690</v>
      </c>
      <c r="B4601" t="s">
        <v>327</v>
      </c>
      <c r="C4601" t="s">
        <v>344</v>
      </c>
      <c r="D4601" t="s">
        <v>689</v>
      </c>
      <c r="E4601" t="s">
        <v>766</v>
      </c>
      <c r="F4601">
        <v>1</v>
      </c>
      <c r="G4601" s="308">
        <f>'BECA SUPERIOR'!G322</f>
        <v>0</v>
      </c>
      <c r="H4601" s="308">
        <f>'BECA SUPERIOR'!H322</f>
        <v>0</v>
      </c>
    </row>
    <row r="4602" spans="1:8" x14ac:dyDescent="0.3">
      <c r="A4602" t="s">
        <v>690</v>
      </c>
      <c r="B4602" t="s">
        <v>327</v>
      </c>
      <c r="C4602" t="s">
        <v>344</v>
      </c>
      <c r="D4602" t="s">
        <v>689</v>
      </c>
      <c r="E4602" t="s">
        <v>767</v>
      </c>
      <c r="F4602">
        <v>2</v>
      </c>
      <c r="G4602" s="308">
        <f>'BECA SUPERIOR'!J322</f>
        <v>0</v>
      </c>
      <c r="H4602" s="308">
        <f>'BECA SUPERIOR'!K322</f>
        <v>0</v>
      </c>
    </row>
    <row r="4603" spans="1:8" x14ac:dyDescent="0.3">
      <c r="A4603" t="s">
        <v>690</v>
      </c>
      <c r="B4603" t="s">
        <v>327</v>
      </c>
      <c r="C4603" t="s">
        <v>344</v>
      </c>
      <c r="D4603" t="s">
        <v>689</v>
      </c>
      <c r="E4603" t="s">
        <v>768</v>
      </c>
      <c r="F4603">
        <v>3</v>
      </c>
      <c r="G4603" s="308">
        <f>'BECA SUPERIOR'!M322</f>
        <v>0</v>
      </c>
      <c r="H4603" s="308">
        <f>'BECA SUPERIOR'!N322</f>
        <v>0</v>
      </c>
    </row>
    <row r="4604" spans="1:8" x14ac:dyDescent="0.3">
      <c r="A4604" t="s">
        <v>690</v>
      </c>
      <c r="B4604" t="s">
        <v>327</v>
      </c>
      <c r="C4604" t="s">
        <v>344</v>
      </c>
      <c r="D4604" t="s">
        <v>689</v>
      </c>
      <c r="E4604" t="s">
        <v>769</v>
      </c>
      <c r="F4604">
        <v>4</v>
      </c>
      <c r="G4604" s="308">
        <f>'BECA SUPERIOR'!P322</f>
        <v>2.88</v>
      </c>
      <c r="H4604" s="308">
        <f>'BECA SUPERIOR'!Q322</f>
        <v>7200</v>
      </c>
    </row>
    <row r="4605" spans="1:8" x14ac:dyDescent="0.3">
      <c r="A4605" t="s">
        <v>690</v>
      </c>
      <c r="B4605" t="s">
        <v>327</v>
      </c>
      <c r="C4605" t="s">
        <v>344</v>
      </c>
      <c r="D4605" t="s">
        <v>689</v>
      </c>
      <c r="E4605" t="s">
        <v>770</v>
      </c>
      <c r="F4605">
        <v>5</v>
      </c>
      <c r="G4605" s="308">
        <f>'BECA SUPERIOR'!S322</f>
        <v>0</v>
      </c>
      <c r="H4605" s="308">
        <f>'BECA SUPERIOR'!T322</f>
        <v>0</v>
      </c>
    </row>
    <row r="4606" spans="1:8" x14ac:dyDescent="0.3">
      <c r="A4606" t="s">
        <v>690</v>
      </c>
      <c r="B4606" t="s">
        <v>327</v>
      </c>
      <c r="C4606" t="s">
        <v>344</v>
      </c>
      <c r="D4606" t="s">
        <v>689</v>
      </c>
      <c r="E4606" t="s">
        <v>771</v>
      </c>
      <c r="F4606">
        <v>6</v>
      </c>
      <c r="G4606" s="308">
        <f>'BECA SUPERIOR'!V322</f>
        <v>0</v>
      </c>
      <c r="H4606" s="308">
        <f>'BECA SUPERIOR'!W322</f>
        <v>0</v>
      </c>
    </row>
    <row r="4607" spans="1:8" x14ac:dyDescent="0.3">
      <c r="A4607" t="s">
        <v>690</v>
      </c>
      <c r="B4607" t="s">
        <v>327</v>
      </c>
      <c r="C4607" t="s">
        <v>344</v>
      </c>
      <c r="D4607" t="s">
        <v>689</v>
      </c>
      <c r="E4607" t="s">
        <v>772</v>
      </c>
      <c r="F4607">
        <v>7</v>
      </c>
      <c r="G4607" s="308">
        <f>'BECA SUPERIOR'!Y322</f>
        <v>0</v>
      </c>
      <c r="H4607" s="308">
        <f>'BECA SUPERIOR'!Z322</f>
        <v>0</v>
      </c>
    </row>
    <row r="4608" spans="1:8" x14ac:dyDescent="0.3">
      <c r="A4608" t="s">
        <v>690</v>
      </c>
      <c r="B4608" t="s">
        <v>327</v>
      </c>
      <c r="C4608" t="s">
        <v>345</v>
      </c>
      <c r="D4608" t="s">
        <v>689</v>
      </c>
      <c r="E4608" t="s">
        <v>766</v>
      </c>
      <c r="F4608">
        <v>1</v>
      </c>
      <c r="G4608" s="308">
        <f>'BECA SUPERIOR'!G323</f>
        <v>0</v>
      </c>
      <c r="H4608" s="308">
        <f>'BECA SUPERIOR'!H323</f>
        <v>0</v>
      </c>
    </row>
    <row r="4609" spans="1:8" x14ac:dyDescent="0.3">
      <c r="A4609" t="s">
        <v>690</v>
      </c>
      <c r="B4609" t="s">
        <v>327</v>
      </c>
      <c r="C4609" t="s">
        <v>345</v>
      </c>
      <c r="D4609" t="s">
        <v>689</v>
      </c>
      <c r="E4609" t="s">
        <v>767</v>
      </c>
      <c r="F4609">
        <v>2</v>
      </c>
      <c r="G4609" s="308">
        <f>'BECA SUPERIOR'!J323</f>
        <v>0</v>
      </c>
      <c r="H4609" s="308">
        <f>'BECA SUPERIOR'!K323</f>
        <v>0</v>
      </c>
    </row>
    <row r="4610" spans="1:8" x14ac:dyDescent="0.3">
      <c r="A4610" t="s">
        <v>690</v>
      </c>
      <c r="B4610" t="s">
        <v>327</v>
      </c>
      <c r="C4610" t="s">
        <v>345</v>
      </c>
      <c r="D4610" t="s">
        <v>689</v>
      </c>
      <c r="E4610" t="s">
        <v>768</v>
      </c>
      <c r="F4610">
        <v>3</v>
      </c>
      <c r="G4610" s="308">
        <f>'BECA SUPERIOR'!M323</f>
        <v>0</v>
      </c>
      <c r="H4610" s="308">
        <f>'BECA SUPERIOR'!N323</f>
        <v>0</v>
      </c>
    </row>
    <row r="4611" spans="1:8" x14ac:dyDescent="0.3">
      <c r="A4611" t="s">
        <v>690</v>
      </c>
      <c r="B4611" t="s">
        <v>327</v>
      </c>
      <c r="C4611" t="s">
        <v>345</v>
      </c>
      <c r="D4611" t="s">
        <v>689</v>
      </c>
      <c r="E4611" t="s">
        <v>769</v>
      </c>
      <c r="F4611">
        <v>4</v>
      </c>
      <c r="G4611" s="308">
        <f>'BECA SUPERIOR'!P323</f>
        <v>0.72</v>
      </c>
      <c r="H4611" s="308">
        <f>'BECA SUPERIOR'!Q323</f>
        <v>1800</v>
      </c>
    </row>
    <row r="4612" spans="1:8" x14ac:dyDescent="0.3">
      <c r="A4612" t="s">
        <v>690</v>
      </c>
      <c r="B4612" t="s">
        <v>327</v>
      </c>
      <c r="C4612" t="s">
        <v>345</v>
      </c>
      <c r="D4612" t="s">
        <v>689</v>
      </c>
      <c r="E4612" t="s">
        <v>770</v>
      </c>
      <c r="F4612">
        <v>5</v>
      </c>
      <c r="G4612" s="308">
        <f>'BECA SUPERIOR'!S323</f>
        <v>0</v>
      </c>
      <c r="H4612" s="308">
        <f>'BECA SUPERIOR'!T323</f>
        <v>0</v>
      </c>
    </row>
    <row r="4613" spans="1:8" x14ac:dyDescent="0.3">
      <c r="A4613" t="s">
        <v>690</v>
      </c>
      <c r="B4613" t="s">
        <v>327</v>
      </c>
      <c r="C4613" t="s">
        <v>345</v>
      </c>
      <c r="D4613" t="s">
        <v>689</v>
      </c>
      <c r="E4613" t="s">
        <v>771</v>
      </c>
      <c r="F4613">
        <v>6</v>
      </c>
      <c r="G4613" s="308">
        <f>'BECA SUPERIOR'!V323</f>
        <v>0</v>
      </c>
      <c r="H4613" s="308">
        <f>'BECA SUPERIOR'!W323</f>
        <v>0</v>
      </c>
    </row>
    <row r="4614" spans="1:8" x14ac:dyDescent="0.3">
      <c r="A4614" t="s">
        <v>690</v>
      </c>
      <c r="B4614" t="s">
        <v>327</v>
      </c>
      <c r="C4614" t="s">
        <v>345</v>
      </c>
      <c r="D4614" t="s">
        <v>689</v>
      </c>
      <c r="E4614" t="s">
        <v>772</v>
      </c>
      <c r="F4614">
        <v>7</v>
      </c>
      <c r="G4614" s="308">
        <f>'BECA SUPERIOR'!Y323</f>
        <v>0</v>
      </c>
      <c r="H4614" s="308">
        <f>'BECA SUPERIOR'!Z323</f>
        <v>0</v>
      </c>
    </row>
    <row r="4615" spans="1:8" x14ac:dyDescent="0.3">
      <c r="A4615" t="s">
        <v>690</v>
      </c>
      <c r="B4615" t="s">
        <v>327</v>
      </c>
      <c r="C4615" t="s">
        <v>346</v>
      </c>
      <c r="D4615" t="s">
        <v>689</v>
      </c>
      <c r="E4615" t="s">
        <v>766</v>
      </c>
      <c r="F4615">
        <v>1</v>
      </c>
      <c r="G4615" s="308">
        <f>'BECA SUPERIOR'!G324</f>
        <v>0</v>
      </c>
      <c r="H4615" s="308">
        <f>'BECA SUPERIOR'!H324</f>
        <v>0</v>
      </c>
    </row>
    <row r="4616" spans="1:8" x14ac:dyDescent="0.3">
      <c r="A4616" t="s">
        <v>690</v>
      </c>
      <c r="B4616" t="s">
        <v>327</v>
      </c>
      <c r="C4616" t="s">
        <v>346</v>
      </c>
      <c r="D4616" t="s">
        <v>689</v>
      </c>
      <c r="E4616" t="s">
        <v>767</v>
      </c>
      <c r="F4616">
        <v>2</v>
      </c>
      <c r="G4616" s="308">
        <f>'BECA SUPERIOR'!J324</f>
        <v>0</v>
      </c>
      <c r="H4616" s="308">
        <f>'BECA SUPERIOR'!K324</f>
        <v>0</v>
      </c>
    </row>
    <row r="4617" spans="1:8" x14ac:dyDescent="0.3">
      <c r="A4617" t="s">
        <v>690</v>
      </c>
      <c r="B4617" t="s">
        <v>327</v>
      </c>
      <c r="C4617" t="s">
        <v>346</v>
      </c>
      <c r="D4617" t="s">
        <v>689</v>
      </c>
      <c r="E4617" t="s">
        <v>768</v>
      </c>
      <c r="F4617">
        <v>3</v>
      </c>
      <c r="G4617" s="308">
        <f>'BECA SUPERIOR'!M324</f>
        <v>0</v>
      </c>
      <c r="H4617" s="308">
        <f>'BECA SUPERIOR'!N324</f>
        <v>0</v>
      </c>
    </row>
    <row r="4618" spans="1:8" x14ac:dyDescent="0.3">
      <c r="A4618" t="s">
        <v>690</v>
      </c>
      <c r="B4618" t="s">
        <v>327</v>
      </c>
      <c r="C4618" t="s">
        <v>346</v>
      </c>
      <c r="D4618" t="s">
        <v>689</v>
      </c>
      <c r="E4618" t="s">
        <v>769</v>
      </c>
      <c r="F4618">
        <v>4</v>
      </c>
      <c r="G4618" s="308">
        <f>'BECA SUPERIOR'!P324</f>
        <v>2.88</v>
      </c>
      <c r="H4618" s="308">
        <f>'BECA SUPERIOR'!Q324</f>
        <v>7200</v>
      </c>
    </row>
    <row r="4619" spans="1:8" x14ac:dyDescent="0.3">
      <c r="A4619" t="s">
        <v>690</v>
      </c>
      <c r="B4619" t="s">
        <v>327</v>
      </c>
      <c r="C4619" t="s">
        <v>346</v>
      </c>
      <c r="D4619" t="s">
        <v>689</v>
      </c>
      <c r="E4619" t="s">
        <v>770</v>
      </c>
      <c r="F4619">
        <v>5</v>
      </c>
      <c r="G4619" s="308">
        <f>'BECA SUPERIOR'!S324</f>
        <v>0</v>
      </c>
      <c r="H4619" s="308">
        <f>'BECA SUPERIOR'!T324</f>
        <v>0</v>
      </c>
    </row>
    <row r="4620" spans="1:8" x14ac:dyDescent="0.3">
      <c r="A4620" t="s">
        <v>690</v>
      </c>
      <c r="B4620" t="s">
        <v>327</v>
      </c>
      <c r="C4620" t="s">
        <v>346</v>
      </c>
      <c r="D4620" t="s">
        <v>689</v>
      </c>
      <c r="E4620" t="s">
        <v>771</v>
      </c>
      <c r="F4620">
        <v>6</v>
      </c>
      <c r="G4620" s="308">
        <f>'BECA SUPERIOR'!V324</f>
        <v>0</v>
      </c>
      <c r="H4620" s="308">
        <f>'BECA SUPERIOR'!W324</f>
        <v>0</v>
      </c>
    </row>
    <row r="4621" spans="1:8" x14ac:dyDescent="0.3">
      <c r="A4621" t="s">
        <v>690</v>
      </c>
      <c r="B4621" t="s">
        <v>327</v>
      </c>
      <c r="C4621" t="s">
        <v>346</v>
      </c>
      <c r="D4621" t="s">
        <v>689</v>
      </c>
      <c r="E4621" t="s">
        <v>772</v>
      </c>
      <c r="F4621">
        <v>7</v>
      </c>
      <c r="G4621" s="308">
        <f>'BECA SUPERIOR'!Y324</f>
        <v>0</v>
      </c>
      <c r="H4621" s="308">
        <f>'BECA SUPERIOR'!Z324</f>
        <v>0</v>
      </c>
    </row>
    <row r="4622" spans="1:8" x14ac:dyDescent="0.3">
      <c r="A4622" t="s">
        <v>690</v>
      </c>
      <c r="B4622" t="s">
        <v>347</v>
      </c>
      <c r="C4622" t="s">
        <v>348</v>
      </c>
      <c r="D4622" t="s">
        <v>689</v>
      </c>
      <c r="E4622" t="s">
        <v>766</v>
      </c>
      <c r="F4622">
        <v>1</v>
      </c>
      <c r="G4622" s="308">
        <f>'BECA SUPERIOR'!G325</f>
        <v>0</v>
      </c>
      <c r="H4622" s="308">
        <f>'BECA SUPERIOR'!H325</f>
        <v>0</v>
      </c>
    </row>
    <row r="4623" spans="1:8" x14ac:dyDescent="0.3">
      <c r="A4623" t="s">
        <v>690</v>
      </c>
      <c r="B4623" t="s">
        <v>347</v>
      </c>
      <c r="C4623" t="s">
        <v>348</v>
      </c>
      <c r="D4623" t="s">
        <v>689</v>
      </c>
      <c r="E4623" t="s">
        <v>767</v>
      </c>
      <c r="F4623">
        <v>2</v>
      </c>
      <c r="G4623" s="308">
        <f>'BECA SUPERIOR'!J325</f>
        <v>0</v>
      </c>
      <c r="H4623" s="308">
        <f>'BECA SUPERIOR'!K325</f>
        <v>0</v>
      </c>
    </row>
    <row r="4624" spans="1:8" x14ac:dyDescent="0.3">
      <c r="A4624" t="s">
        <v>690</v>
      </c>
      <c r="B4624" t="s">
        <v>347</v>
      </c>
      <c r="C4624" t="s">
        <v>348</v>
      </c>
      <c r="D4624" t="s">
        <v>689</v>
      </c>
      <c r="E4624" t="s">
        <v>768</v>
      </c>
      <c r="F4624">
        <v>3</v>
      </c>
      <c r="G4624" s="308">
        <f>'BECA SUPERIOR'!M325</f>
        <v>0</v>
      </c>
      <c r="H4624" s="308">
        <f>'BECA SUPERIOR'!N325</f>
        <v>0</v>
      </c>
    </row>
    <row r="4625" spans="1:8" x14ac:dyDescent="0.3">
      <c r="A4625" t="s">
        <v>690</v>
      </c>
      <c r="B4625" t="s">
        <v>347</v>
      </c>
      <c r="C4625" t="s">
        <v>348</v>
      </c>
      <c r="D4625" t="s">
        <v>689</v>
      </c>
      <c r="E4625" t="s">
        <v>769</v>
      </c>
      <c r="F4625">
        <v>4</v>
      </c>
      <c r="G4625" s="308">
        <f>'BECA SUPERIOR'!P325</f>
        <v>1.44</v>
      </c>
      <c r="H4625" s="308">
        <f>'BECA SUPERIOR'!Q325</f>
        <v>3600</v>
      </c>
    </row>
    <row r="4626" spans="1:8" x14ac:dyDescent="0.3">
      <c r="A4626" t="s">
        <v>690</v>
      </c>
      <c r="B4626" t="s">
        <v>347</v>
      </c>
      <c r="C4626" t="s">
        <v>348</v>
      </c>
      <c r="D4626" t="s">
        <v>689</v>
      </c>
      <c r="E4626" t="s">
        <v>770</v>
      </c>
      <c r="F4626">
        <v>5</v>
      </c>
      <c r="G4626" s="308">
        <f>'BECA SUPERIOR'!S325</f>
        <v>0</v>
      </c>
      <c r="H4626" s="308">
        <f>'BECA SUPERIOR'!T325</f>
        <v>0</v>
      </c>
    </row>
    <row r="4627" spans="1:8" x14ac:dyDescent="0.3">
      <c r="A4627" t="s">
        <v>690</v>
      </c>
      <c r="B4627" t="s">
        <v>347</v>
      </c>
      <c r="C4627" t="s">
        <v>348</v>
      </c>
      <c r="D4627" t="s">
        <v>689</v>
      </c>
      <c r="E4627" t="s">
        <v>771</v>
      </c>
      <c r="F4627">
        <v>6</v>
      </c>
      <c r="G4627" s="308">
        <f>'BECA SUPERIOR'!V325</f>
        <v>0</v>
      </c>
      <c r="H4627" s="308">
        <f>'BECA SUPERIOR'!W325</f>
        <v>0</v>
      </c>
    </row>
    <row r="4628" spans="1:8" x14ac:dyDescent="0.3">
      <c r="A4628" t="s">
        <v>690</v>
      </c>
      <c r="B4628" t="s">
        <v>347</v>
      </c>
      <c r="C4628" t="s">
        <v>348</v>
      </c>
      <c r="D4628" t="s">
        <v>689</v>
      </c>
      <c r="E4628" t="s">
        <v>772</v>
      </c>
      <c r="F4628">
        <v>7</v>
      </c>
      <c r="G4628" s="308">
        <f>'BECA SUPERIOR'!Y325</f>
        <v>0</v>
      </c>
      <c r="H4628" s="308">
        <f>'BECA SUPERIOR'!Z325</f>
        <v>0</v>
      </c>
    </row>
    <row r="4629" spans="1:8" x14ac:dyDescent="0.3">
      <c r="A4629" t="s">
        <v>690</v>
      </c>
      <c r="B4629" t="s">
        <v>347</v>
      </c>
      <c r="C4629" t="s">
        <v>349</v>
      </c>
      <c r="D4629" t="s">
        <v>689</v>
      </c>
      <c r="E4629" t="s">
        <v>766</v>
      </c>
      <c r="F4629">
        <v>1</v>
      </c>
      <c r="G4629" s="308">
        <f>'BECA SUPERIOR'!G326</f>
        <v>0</v>
      </c>
      <c r="H4629" s="308">
        <f>'BECA SUPERIOR'!H326</f>
        <v>0</v>
      </c>
    </row>
    <row r="4630" spans="1:8" x14ac:dyDescent="0.3">
      <c r="A4630" t="s">
        <v>690</v>
      </c>
      <c r="B4630" t="s">
        <v>347</v>
      </c>
      <c r="C4630" t="s">
        <v>349</v>
      </c>
      <c r="D4630" t="s">
        <v>689</v>
      </c>
      <c r="E4630" t="s">
        <v>767</v>
      </c>
      <c r="F4630">
        <v>2</v>
      </c>
      <c r="G4630" s="308">
        <f>'BECA SUPERIOR'!J326</f>
        <v>0</v>
      </c>
      <c r="H4630" s="308">
        <f>'BECA SUPERIOR'!K326</f>
        <v>0</v>
      </c>
    </row>
    <row r="4631" spans="1:8" x14ac:dyDescent="0.3">
      <c r="A4631" t="s">
        <v>690</v>
      </c>
      <c r="B4631" t="s">
        <v>347</v>
      </c>
      <c r="C4631" t="s">
        <v>349</v>
      </c>
      <c r="D4631" t="s">
        <v>689</v>
      </c>
      <c r="E4631" t="s">
        <v>768</v>
      </c>
      <c r="F4631">
        <v>3</v>
      </c>
      <c r="G4631" s="308">
        <f>'BECA SUPERIOR'!M326</f>
        <v>0</v>
      </c>
      <c r="H4631" s="308">
        <f>'BECA SUPERIOR'!N326</f>
        <v>0</v>
      </c>
    </row>
    <row r="4632" spans="1:8" x14ac:dyDescent="0.3">
      <c r="A4632" t="s">
        <v>690</v>
      </c>
      <c r="B4632" t="s">
        <v>347</v>
      </c>
      <c r="C4632" t="s">
        <v>349</v>
      </c>
      <c r="D4632" t="s">
        <v>689</v>
      </c>
      <c r="E4632" t="s">
        <v>769</v>
      </c>
      <c r="F4632">
        <v>4</v>
      </c>
      <c r="G4632" s="308">
        <f>'BECA SUPERIOR'!P326</f>
        <v>1.44</v>
      </c>
      <c r="H4632" s="308">
        <f>'BECA SUPERIOR'!Q326</f>
        <v>3600</v>
      </c>
    </row>
    <row r="4633" spans="1:8" x14ac:dyDescent="0.3">
      <c r="A4633" t="s">
        <v>690</v>
      </c>
      <c r="B4633" t="s">
        <v>347</v>
      </c>
      <c r="C4633" t="s">
        <v>349</v>
      </c>
      <c r="D4633" t="s">
        <v>689</v>
      </c>
      <c r="E4633" t="s">
        <v>770</v>
      </c>
      <c r="F4633">
        <v>5</v>
      </c>
      <c r="G4633" s="308">
        <f>'BECA SUPERIOR'!S326</f>
        <v>0</v>
      </c>
      <c r="H4633" s="308">
        <f>'BECA SUPERIOR'!T326</f>
        <v>0</v>
      </c>
    </row>
    <row r="4634" spans="1:8" x14ac:dyDescent="0.3">
      <c r="A4634" t="s">
        <v>690</v>
      </c>
      <c r="B4634" t="s">
        <v>347</v>
      </c>
      <c r="C4634" t="s">
        <v>349</v>
      </c>
      <c r="D4634" t="s">
        <v>689</v>
      </c>
      <c r="E4634" t="s">
        <v>771</v>
      </c>
      <c r="F4634">
        <v>6</v>
      </c>
      <c r="G4634" s="308">
        <f>'BECA SUPERIOR'!V326</f>
        <v>0</v>
      </c>
      <c r="H4634" s="308">
        <f>'BECA SUPERIOR'!W326</f>
        <v>0</v>
      </c>
    </row>
    <row r="4635" spans="1:8" x14ac:dyDescent="0.3">
      <c r="A4635" t="s">
        <v>690</v>
      </c>
      <c r="B4635" t="s">
        <v>347</v>
      </c>
      <c r="C4635" t="s">
        <v>349</v>
      </c>
      <c r="D4635" t="s">
        <v>689</v>
      </c>
      <c r="E4635" t="s">
        <v>772</v>
      </c>
      <c r="F4635">
        <v>7</v>
      </c>
      <c r="G4635" s="308">
        <f>'BECA SUPERIOR'!Y326</f>
        <v>0</v>
      </c>
      <c r="H4635" s="308">
        <f>'BECA SUPERIOR'!Z326</f>
        <v>0</v>
      </c>
    </row>
    <row r="4636" spans="1:8" x14ac:dyDescent="0.3">
      <c r="A4636" t="s">
        <v>690</v>
      </c>
      <c r="B4636" t="s">
        <v>347</v>
      </c>
      <c r="C4636" t="s">
        <v>350</v>
      </c>
      <c r="D4636" t="s">
        <v>689</v>
      </c>
      <c r="E4636" t="s">
        <v>766</v>
      </c>
      <c r="F4636">
        <v>1</v>
      </c>
      <c r="G4636" s="308">
        <f>'BECA SUPERIOR'!G327</f>
        <v>0</v>
      </c>
      <c r="H4636" s="308">
        <f>'BECA SUPERIOR'!H327</f>
        <v>0</v>
      </c>
    </row>
    <row r="4637" spans="1:8" x14ac:dyDescent="0.3">
      <c r="A4637" t="s">
        <v>690</v>
      </c>
      <c r="B4637" t="s">
        <v>347</v>
      </c>
      <c r="C4637" t="s">
        <v>350</v>
      </c>
      <c r="D4637" t="s">
        <v>689</v>
      </c>
      <c r="E4637" t="s">
        <v>767</v>
      </c>
      <c r="F4637">
        <v>2</v>
      </c>
      <c r="G4637" s="308">
        <f>'BECA SUPERIOR'!J327</f>
        <v>0</v>
      </c>
      <c r="H4637" s="308">
        <f>'BECA SUPERIOR'!K327</f>
        <v>0</v>
      </c>
    </row>
    <row r="4638" spans="1:8" x14ac:dyDescent="0.3">
      <c r="A4638" t="s">
        <v>690</v>
      </c>
      <c r="B4638" t="s">
        <v>347</v>
      </c>
      <c r="C4638" t="s">
        <v>350</v>
      </c>
      <c r="D4638" t="s">
        <v>689</v>
      </c>
      <c r="E4638" t="s">
        <v>768</v>
      </c>
      <c r="F4638">
        <v>3</v>
      </c>
      <c r="G4638" s="308">
        <f>'BECA SUPERIOR'!M327</f>
        <v>0</v>
      </c>
      <c r="H4638" s="308">
        <f>'BECA SUPERIOR'!N327</f>
        <v>0</v>
      </c>
    </row>
    <row r="4639" spans="1:8" x14ac:dyDescent="0.3">
      <c r="A4639" t="s">
        <v>690</v>
      </c>
      <c r="B4639" t="s">
        <v>347</v>
      </c>
      <c r="C4639" t="s">
        <v>350</v>
      </c>
      <c r="D4639" t="s">
        <v>689</v>
      </c>
      <c r="E4639" t="s">
        <v>769</v>
      </c>
      <c r="F4639">
        <v>4</v>
      </c>
      <c r="G4639" s="308">
        <f>'BECA SUPERIOR'!P327</f>
        <v>5.76</v>
      </c>
      <c r="H4639" s="308">
        <f>'BECA SUPERIOR'!Q327</f>
        <v>14400</v>
      </c>
    </row>
    <row r="4640" spans="1:8" x14ac:dyDescent="0.3">
      <c r="A4640" t="s">
        <v>690</v>
      </c>
      <c r="B4640" t="s">
        <v>347</v>
      </c>
      <c r="C4640" t="s">
        <v>350</v>
      </c>
      <c r="D4640" t="s">
        <v>689</v>
      </c>
      <c r="E4640" t="s">
        <v>770</v>
      </c>
      <c r="F4640">
        <v>5</v>
      </c>
      <c r="G4640" s="308">
        <f>'BECA SUPERIOR'!S327</f>
        <v>0</v>
      </c>
      <c r="H4640" s="308">
        <f>'BECA SUPERIOR'!T327</f>
        <v>0</v>
      </c>
    </row>
    <row r="4641" spans="1:8" x14ac:dyDescent="0.3">
      <c r="A4641" t="s">
        <v>690</v>
      </c>
      <c r="B4641" t="s">
        <v>347</v>
      </c>
      <c r="C4641" t="s">
        <v>350</v>
      </c>
      <c r="D4641" t="s">
        <v>689</v>
      </c>
      <c r="E4641" t="s">
        <v>771</v>
      </c>
      <c r="F4641">
        <v>6</v>
      </c>
      <c r="G4641" s="308">
        <f>'BECA SUPERIOR'!V327</f>
        <v>0</v>
      </c>
      <c r="H4641" s="308">
        <f>'BECA SUPERIOR'!W327</f>
        <v>0</v>
      </c>
    </row>
    <row r="4642" spans="1:8" x14ac:dyDescent="0.3">
      <c r="A4642" t="s">
        <v>690</v>
      </c>
      <c r="B4642" t="s">
        <v>347</v>
      </c>
      <c r="C4642" t="s">
        <v>350</v>
      </c>
      <c r="D4642" t="s">
        <v>689</v>
      </c>
      <c r="E4642" t="s">
        <v>772</v>
      </c>
      <c r="F4642">
        <v>7</v>
      </c>
      <c r="G4642" s="308">
        <f>'BECA SUPERIOR'!Y327</f>
        <v>0</v>
      </c>
      <c r="H4642" s="308">
        <f>'BECA SUPERIOR'!Z327</f>
        <v>0</v>
      </c>
    </row>
    <row r="4643" spans="1:8" x14ac:dyDescent="0.3">
      <c r="A4643" t="s">
        <v>690</v>
      </c>
      <c r="B4643" t="s">
        <v>347</v>
      </c>
      <c r="C4643" t="s">
        <v>351</v>
      </c>
      <c r="D4643" t="s">
        <v>689</v>
      </c>
      <c r="E4643" t="s">
        <v>766</v>
      </c>
      <c r="F4643">
        <v>1</v>
      </c>
      <c r="G4643" s="308">
        <f>'BECA SUPERIOR'!G328</f>
        <v>0</v>
      </c>
      <c r="H4643" s="308">
        <f>'BECA SUPERIOR'!H328</f>
        <v>0</v>
      </c>
    </row>
    <row r="4644" spans="1:8" x14ac:dyDescent="0.3">
      <c r="A4644" t="s">
        <v>690</v>
      </c>
      <c r="B4644" t="s">
        <v>347</v>
      </c>
      <c r="C4644" t="s">
        <v>351</v>
      </c>
      <c r="D4644" t="s">
        <v>689</v>
      </c>
      <c r="E4644" t="s">
        <v>767</v>
      </c>
      <c r="F4644">
        <v>2</v>
      </c>
      <c r="G4644" s="308">
        <f>'BECA SUPERIOR'!J328</f>
        <v>0</v>
      </c>
      <c r="H4644" s="308">
        <f>'BECA SUPERIOR'!K328</f>
        <v>0</v>
      </c>
    </row>
    <row r="4645" spans="1:8" x14ac:dyDescent="0.3">
      <c r="A4645" t="s">
        <v>690</v>
      </c>
      <c r="B4645" t="s">
        <v>347</v>
      </c>
      <c r="C4645" t="s">
        <v>351</v>
      </c>
      <c r="D4645" t="s">
        <v>689</v>
      </c>
      <c r="E4645" t="s">
        <v>768</v>
      </c>
      <c r="F4645">
        <v>3</v>
      </c>
      <c r="G4645" s="308">
        <f>'BECA SUPERIOR'!M328</f>
        <v>0</v>
      </c>
      <c r="H4645" s="308">
        <f>'BECA SUPERIOR'!N328</f>
        <v>0</v>
      </c>
    </row>
    <row r="4646" spans="1:8" x14ac:dyDescent="0.3">
      <c r="A4646" t="s">
        <v>690</v>
      </c>
      <c r="B4646" t="s">
        <v>347</v>
      </c>
      <c r="C4646" t="s">
        <v>351</v>
      </c>
      <c r="D4646" t="s">
        <v>689</v>
      </c>
      <c r="E4646" t="s">
        <v>769</v>
      </c>
      <c r="F4646">
        <v>4</v>
      </c>
      <c r="G4646" s="308">
        <f>'BECA SUPERIOR'!P328</f>
        <v>1.44</v>
      </c>
      <c r="H4646" s="308">
        <f>'BECA SUPERIOR'!Q328</f>
        <v>3600</v>
      </c>
    </row>
    <row r="4647" spans="1:8" x14ac:dyDescent="0.3">
      <c r="A4647" t="s">
        <v>690</v>
      </c>
      <c r="B4647" t="s">
        <v>347</v>
      </c>
      <c r="C4647" t="s">
        <v>351</v>
      </c>
      <c r="D4647" t="s">
        <v>689</v>
      </c>
      <c r="E4647" t="s">
        <v>770</v>
      </c>
      <c r="F4647">
        <v>5</v>
      </c>
      <c r="G4647" s="308">
        <f>'BECA SUPERIOR'!S328</f>
        <v>0</v>
      </c>
      <c r="H4647" s="308">
        <f>'BECA SUPERIOR'!T328</f>
        <v>0</v>
      </c>
    </row>
    <row r="4648" spans="1:8" x14ac:dyDescent="0.3">
      <c r="A4648" t="s">
        <v>690</v>
      </c>
      <c r="B4648" t="s">
        <v>347</v>
      </c>
      <c r="C4648" t="s">
        <v>351</v>
      </c>
      <c r="D4648" t="s">
        <v>689</v>
      </c>
      <c r="E4648" t="s">
        <v>771</v>
      </c>
      <c r="F4648">
        <v>6</v>
      </c>
      <c r="G4648" s="308">
        <f>'BECA SUPERIOR'!V328</f>
        <v>0</v>
      </c>
      <c r="H4648" s="308">
        <f>'BECA SUPERIOR'!W328</f>
        <v>0</v>
      </c>
    </row>
    <row r="4649" spans="1:8" x14ac:dyDescent="0.3">
      <c r="A4649" t="s">
        <v>690</v>
      </c>
      <c r="B4649" t="s">
        <v>347</v>
      </c>
      <c r="C4649" t="s">
        <v>351</v>
      </c>
      <c r="D4649" t="s">
        <v>689</v>
      </c>
      <c r="E4649" t="s">
        <v>772</v>
      </c>
      <c r="F4649">
        <v>7</v>
      </c>
      <c r="G4649" s="308">
        <f>'BECA SUPERIOR'!Y328</f>
        <v>0</v>
      </c>
      <c r="H4649" s="308">
        <f>'BECA SUPERIOR'!Z328</f>
        <v>0</v>
      </c>
    </row>
    <row r="4650" spans="1:8" x14ac:dyDescent="0.3">
      <c r="A4650" t="s">
        <v>690</v>
      </c>
      <c r="B4650" t="s">
        <v>347</v>
      </c>
      <c r="C4650" t="s">
        <v>352</v>
      </c>
      <c r="D4650" t="s">
        <v>689</v>
      </c>
      <c r="E4650" t="s">
        <v>766</v>
      </c>
      <c r="F4650">
        <v>1</v>
      </c>
      <c r="G4650" s="308">
        <f>'BECA SUPERIOR'!G329</f>
        <v>0</v>
      </c>
      <c r="H4650" s="308">
        <f>'BECA SUPERIOR'!H329</f>
        <v>0</v>
      </c>
    </row>
    <row r="4651" spans="1:8" x14ac:dyDescent="0.3">
      <c r="A4651" t="s">
        <v>690</v>
      </c>
      <c r="B4651" t="s">
        <v>347</v>
      </c>
      <c r="C4651" t="s">
        <v>352</v>
      </c>
      <c r="D4651" t="s">
        <v>689</v>
      </c>
      <c r="E4651" t="s">
        <v>767</v>
      </c>
      <c r="F4651">
        <v>2</v>
      </c>
      <c r="G4651" s="308">
        <f>'BECA SUPERIOR'!J329</f>
        <v>0</v>
      </c>
      <c r="H4651" s="308">
        <f>'BECA SUPERIOR'!K329</f>
        <v>0</v>
      </c>
    </row>
    <row r="4652" spans="1:8" x14ac:dyDescent="0.3">
      <c r="A4652" t="s">
        <v>690</v>
      </c>
      <c r="B4652" t="s">
        <v>347</v>
      </c>
      <c r="C4652" t="s">
        <v>352</v>
      </c>
      <c r="D4652" t="s">
        <v>689</v>
      </c>
      <c r="E4652" t="s">
        <v>768</v>
      </c>
      <c r="F4652">
        <v>3</v>
      </c>
      <c r="G4652" s="308">
        <f>'BECA SUPERIOR'!M329</f>
        <v>0</v>
      </c>
      <c r="H4652" s="308">
        <f>'BECA SUPERIOR'!N329</f>
        <v>0</v>
      </c>
    </row>
    <row r="4653" spans="1:8" x14ac:dyDescent="0.3">
      <c r="A4653" t="s">
        <v>690</v>
      </c>
      <c r="B4653" t="s">
        <v>347</v>
      </c>
      <c r="C4653" t="s">
        <v>352</v>
      </c>
      <c r="D4653" t="s">
        <v>689</v>
      </c>
      <c r="E4653" t="s">
        <v>769</v>
      </c>
      <c r="F4653">
        <v>4</v>
      </c>
      <c r="G4653" s="308">
        <f>'BECA SUPERIOR'!P329</f>
        <v>0.72</v>
      </c>
      <c r="H4653" s="308">
        <f>'BECA SUPERIOR'!Q329</f>
        <v>1800</v>
      </c>
    </row>
    <row r="4654" spans="1:8" x14ac:dyDescent="0.3">
      <c r="A4654" t="s">
        <v>690</v>
      </c>
      <c r="B4654" t="s">
        <v>347</v>
      </c>
      <c r="C4654" t="s">
        <v>352</v>
      </c>
      <c r="D4654" t="s">
        <v>689</v>
      </c>
      <c r="E4654" t="s">
        <v>770</v>
      </c>
      <c r="F4654">
        <v>5</v>
      </c>
      <c r="G4654" s="308">
        <f>'BECA SUPERIOR'!S329</f>
        <v>0</v>
      </c>
      <c r="H4654" s="308">
        <f>'BECA SUPERIOR'!T329</f>
        <v>0</v>
      </c>
    </row>
    <row r="4655" spans="1:8" x14ac:dyDescent="0.3">
      <c r="A4655" t="s">
        <v>690</v>
      </c>
      <c r="B4655" t="s">
        <v>347</v>
      </c>
      <c r="C4655" t="s">
        <v>352</v>
      </c>
      <c r="D4655" t="s">
        <v>689</v>
      </c>
      <c r="E4655" t="s">
        <v>771</v>
      </c>
      <c r="F4655">
        <v>6</v>
      </c>
      <c r="G4655" s="308">
        <f>'BECA SUPERIOR'!V329</f>
        <v>0</v>
      </c>
      <c r="H4655" s="308">
        <f>'BECA SUPERIOR'!W329</f>
        <v>0</v>
      </c>
    </row>
    <row r="4656" spans="1:8" x14ac:dyDescent="0.3">
      <c r="A4656" t="s">
        <v>690</v>
      </c>
      <c r="B4656" t="s">
        <v>347</v>
      </c>
      <c r="C4656" t="s">
        <v>352</v>
      </c>
      <c r="D4656" t="s">
        <v>689</v>
      </c>
      <c r="E4656" t="s">
        <v>772</v>
      </c>
      <c r="F4656">
        <v>7</v>
      </c>
      <c r="G4656" s="308">
        <f>'BECA SUPERIOR'!Y329</f>
        <v>0</v>
      </c>
      <c r="H4656" s="308">
        <f>'BECA SUPERIOR'!Z329</f>
        <v>0</v>
      </c>
    </row>
    <row r="4657" spans="1:8" x14ac:dyDescent="0.3">
      <c r="A4657" t="s">
        <v>690</v>
      </c>
      <c r="B4657" t="s">
        <v>347</v>
      </c>
      <c r="C4657" t="s">
        <v>353</v>
      </c>
      <c r="D4657" t="s">
        <v>689</v>
      </c>
      <c r="E4657" t="s">
        <v>766</v>
      </c>
      <c r="F4657">
        <v>1</v>
      </c>
      <c r="G4657" s="308">
        <f>'BECA SUPERIOR'!G330</f>
        <v>0</v>
      </c>
      <c r="H4657" s="308">
        <f>'BECA SUPERIOR'!H330</f>
        <v>0</v>
      </c>
    </row>
    <row r="4658" spans="1:8" x14ac:dyDescent="0.3">
      <c r="A4658" t="s">
        <v>690</v>
      </c>
      <c r="B4658" t="s">
        <v>347</v>
      </c>
      <c r="C4658" t="s">
        <v>353</v>
      </c>
      <c r="D4658" t="s">
        <v>689</v>
      </c>
      <c r="E4658" t="s">
        <v>767</v>
      </c>
      <c r="F4658">
        <v>2</v>
      </c>
      <c r="G4658" s="308">
        <f>'BECA SUPERIOR'!J330</f>
        <v>0</v>
      </c>
      <c r="H4658" s="308">
        <f>'BECA SUPERIOR'!K330</f>
        <v>0</v>
      </c>
    </row>
    <row r="4659" spans="1:8" x14ac:dyDescent="0.3">
      <c r="A4659" t="s">
        <v>690</v>
      </c>
      <c r="B4659" t="s">
        <v>347</v>
      </c>
      <c r="C4659" t="s">
        <v>353</v>
      </c>
      <c r="D4659" t="s">
        <v>689</v>
      </c>
      <c r="E4659" t="s">
        <v>768</v>
      </c>
      <c r="F4659">
        <v>3</v>
      </c>
      <c r="G4659" s="308">
        <f>'BECA SUPERIOR'!M330</f>
        <v>0</v>
      </c>
      <c r="H4659" s="308">
        <f>'BECA SUPERIOR'!N330</f>
        <v>0</v>
      </c>
    </row>
    <row r="4660" spans="1:8" x14ac:dyDescent="0.3">
      <c r="A4660" t="s">
        <v>690</v>
      </c>
      <c r="B4660" t="s">
        <v>347</v>
      </c>
      <c r="C4660" t="s">
        <v>353</v>
      </c>
      <c r="D4660" t="s">
        <v>689</v>
      </c>
      <c r="E4660" t="s">
        <v>769</v>
      </c>
      <c r="F4660">
        <v>4</v>
      </c>
      <c r="G4660" s="308">
        <f>'BECA SUPERIOR'!P330</f>
        <v>0</v>
      </c>
      <c r="H4660" s="308">
        <f>'BECA SUPERIOR'!Q330</f>
        <v>0</v>
      </c>
    </row>
    <row r="4661" spans="1:8" x14ac:dyDescent="0.3">
      <c r="A4661" t="s">
        <v>690</v>
      </c>
      <c r="B4661" t="s">
        <v>347</v>
      </c>
      <c r="C4661" t="s">
        <v>353</v>
      </c>
      <c r="D4661" t="s">
        <v>689</v>
      </c>
      <c r="E4661" t="s">
        <v>770</v>
      </c>
      <c r="F4661">
        <v>5</v>
      </c>
      <c r="G4661" s="308">
        <f>'BECA SUPERIOR'!S330</f>
        <v>0</v>
      </c>
      <c r="H4661" s="308">
        <f>'BECA SUPERIOR'!T330</f>
        <v>0</v>
      </c>
    </row>
    <row r="4662" spans="1:8" x14ac:dyDescent="0.3">
      <c r="A4662" t="s">
        <v>690</v>
      </c>
      <c r="B4662" t="s">
        <v>347</v>
      </c>
      <c r="C4662" t="s">
        <v>353</v>
      </c>
      <c r="D4662" t="s">
        <v>689</v>
      </c>
      <c r="E4662" t="s">
        <v>771</v>
      </c>
      <c r="F4662">
        <v>6</v>
      </c>
      <c r="G4662" s="308">
        <f>'BECA SUPERIOR'!V330</f>
        <v>0</v>
      </c>
      <c r="H4662" s="308">
        <f>'BECA SUPERIOR'!W330</f>
        <v>0</v>
      </c>
    </row>
    <row r="4663" spans="1:8" x14ac:dyDescent="0.3">
      <c r="A4663" t="s">
        <v>690</v>
      </c>
      <c r="B4663" t="s">
        <v>347</v>
      </c>
      <c r="C4663" t="s">
        <v>353</v>
      </c>
      <c r="D4663" t="s">
        <v>689</v>
      </c>
      <c r="E4663" t="s">
        <v>772</v>
      </c>
      <c r="F4663">
        <v>7</v>
      </c>
      <c r="G4663" s="308">
        <f>'BECA SUPERIOR'!Y330</f>
        <v>0</v>
      </c>
      <c r="H4663" s="308">
        <f>'BECA SUPERIOR'!Z330</f>
        <v>0</v>
      </c>
    </row>
    <row r="4664" spans="1:8" x14ac:dyDescent="0.3">
      <c r="A4664" t="s">
        <v>690</v>
      </c>
      <c r="B4664" t="s">
        <v>347</v>
      </c>
      <c r="C4664" t="s">
        <v>354</v>
      </c>
      <c r="D4664" t="s">
        <v>689</v>
      </c>
      <c r="E4664" t="s">
        <v>766</v>
      </c>
      <c r="F4664">
        <v>1</v>
      </c>
      <c r="G4664" s="308">
        <f>'BECA SUPERIOR'!G331</f>
        <v>0</v>
      </c>
      <c r="H4664" s="308">
        <f>'BECA SUPERIOR'!H331</f>
        <v>0</v>
      </c>
    </row>
    <row r="4665" spans="1:8" x14ac:dyDescent="0.3">
      <c r="A4665" t="s">
        <v>690</v>
      </c>
      <c r="B4665" t="s">
        <v>347</v>
      </c>
      <c r="C4665" t="s">
        <v>354</v>
      </c>
      <c r="D4665" t="s">
        <v>689</v>
      </c>
      <c r="E4665" t="s">
        <v>767</v>
      </c>
      <c r="F4665">
        <v>2</v>
      </c>
      <c r="G4665" s="308">
        <f>'BECA SUPERIOR'!J331</f>
        <v>0</v>
      </c>
      <c r="H4665" s="308">
        <f>'BECA SUPERIOR'!K331</f>
        <v>0</v>
      </c>
    </row>
    <row r="4666" spans="1:8" x14ac:dyDescent="0.3">
      <c r="A4666" t="s">
        <v>690</v>
      </c>
      <c r="B4666" t="s">
        <v>347</v>
      </c>
      <c r="C4666" t="s">
        <v>354</v>
      </c>
      <c r="D4666" t="s">
        <v>689</v>
      </c>
      <c r="E4666" t="s">
        <v>768</v>
      </c>
      <c r="F4666">
        <v>3</v>
      </c>
      <c r="G4666" s="308">
        <f>'BECA SUPERIOR'!M331</f>
        <v>0</v>
      </c>
      <c r="H4666" s="308">
        <f>'BECA SUPERIOR'!N331</f>
        <v>0</v>
      </c>
    </row>
    <row r="4667" spans="1:8" x14ac:dyDescent="0.3">
      <c r="A4667" t="s">
        <v>690</v>
      </c>
      <c r="B4667" t="s">
        <v>347</v>
      </c>
      <c r="C4667" t="s">
        <v>354</v>
      </c>
      <c r="D4667" t="s">
        <v>689</v>
      </c>
      <c r="E4667" t="s">
        <v>769</v>
      </c>
      <c r="F4667">
        <v>4</v>
      </c>
      <c r="G4667" s="308">
        <f>'BECA SUPERIOR'!P331</f>
        <v>3.6</v>
      </c>
      <c r="H4667" s="308">
        <f>'BECA SUPERIOR'!Q331</f>
        <v>9000</v>
      </c>
    </row>
    <row r="4668" spans="1:8" x14ac:dyDescent="0.3">
      <c r="A4668" t="s">
        <v>690</v>
      </c>
      <c r="B4668" t="s">
        <v>347</v>
      </c>
      <c r="C4668" t="s">
        <v>354</v>
      </c>
      <c r="D4668" t="s">
        <v>689</v>
      </c>
      <c r="E4668" t="s">
        <v>770</v>
      </c>
      <c r="F4668">
        <v>5</v>
      </c>
      <c r="G4668" s="308">
        <f>'BECA SUPERIOR'!S331</f>
        <v>0</v>
      </c>
      <c r="H4668" s="308">
        <f>'BECA SUPERIOR'!T331</f>
        <v>0</v>
      </c>
    </row>
    <row r="4669" spans="1:8" x14ac:dyDescent="0.3">
      <c r="A4669" t="s">
        <v>690</v>
      </c>
      <c r="B4669" t="s">
        <v>347</v>
      </c>
      <c r="C4669" t="s">
        <v>354</v>
      </c>
      <c r="D4669" t="s">
        <v>689</v>
      </c>
      <c r="E4669" t="s">
        <v>771</v>
      </c>
      <c r="F4669">
        <v>6</v>
      </c>
      <c r="G4669" s="308">
        <f>'BECA SUPERIOR'!V331</f>
        <v>0</v>
      </c>
      <c r="H4669" s="308">
        <f>'BECA SUPERIOR'!W331</f>
        <v>0</v>
      </c>
    </row>
    <row r="4670" spans="1:8" x14ac:dyDescent="0.3">
      <c r="A4670" t="s">
        <v>690</v>
      </c>
      <c r="B4670" t="s">
        <v>347</v>
      </c>
      <c r="C4670" t="s">
        <v>354</v>
      </c>
      <c r="D4670" t="s">
        <v>689</v>
      </c>
      <c r="E4670" t="s">
        <v>772</v>
      </c>
      <c r="F4670">
        <v>7</v>
      </c>
      <c r="G4670" s="308">
        <f>'BECA SUPERIOR'!Y331</f>
        <v>0</v>
      </c>
      <c r="H4670" s="308">
        <f>'BECA SUPERIOR'!Z331</f>
        <v>0</v>
      </c>
    </row>
    <row r="4671" spans="1:8" x14ac:dyDescent="0.3">
      <c r="A4671" t="s">
        <v>690</v>
      </c>
      <c r="B4671" t="s">
        <v>347</v>
      </c>
      <c r="C4671" t="s">
        <v>355</v>
      </c>
      <c r="D4671" t="s">
        <v>689</v>
      </c>
      <c r="E4671" t="s">
        <v>766</v>
      </c>
      <c r="F4671">
        <v>1</v>
      </c>
      <c r="G4671" s="308">
        <f>'BECA SUPERIOR'!G332</f>
        <v>0</v>
      </c>
      <c r="H4671" s="308">
        <f>'BECA SUPERIOR'!H332</f>
        <v>0</v>
      </c>
    </row>
    <row r="4672" spans="1:8" x14ac:dyDescent="0.3">
      <c r="A4672" t="s">
        <v>690</v>
      </c>
      <c r="B4672" t="s">
        <v>347</v>
      </c>
      <c r="C4672" t="s">
        <v>355</v>
      </c>
      <c r="D4672" t="s">
        <v>689</v>
      </c>
      <c r="E4672" t="s">
        <v>767</v>
      </c>
      <c r="F4672">
        <v>2</v>
      </c>
      <c r="G4672" s="308">
        <f>'BECA SUPERIOR'!J332</f>
        <v>0</v>
      </c>
      <c r="H4672" s="308">
        <f>'BECA SUPERIOR'!K332</f>
        <v>0</v>
      </c>
    </row>
    <row r="4673" spans="1:8" x14ac:dyDescent="0.3">
      <c r="A4673" t="s">
        <v>690</v>
      </c>
      <c r="B4673" t="s">
        <v>347</v>
      </c>
      <c r="C4673" t="s">
        <v>355</v>
      </c>
      <c r="D4673" t="s">
        <v>689</v>
      </c>
      <c r="E4673" t="s">
        <v>768</v>
      </c>
      <c r="F4673">
        <v>3</v>
      </c>
      <c r="G4673" s="308">
        <f>'BECA SUPERIOR'!M332</f>
        <v>0</v>
      </c>
      <c r="H4673" s="308">
        <f>'BECA SUPERIOR'!N332</f>
        <v>0</v>
      </c>
    </row>
    <row r="4674" spans="1:8" x14ac:dyDescent="0.3">
      <c r="A4674" t="s">
        <v>690</v>
      </c>
      <c r="B4674" t="s">
        <v>347</v>
      </c>
      <c r="C4674" t="s">
        <v>355</v>
      </c>
      <c r="D4674" t="s">
        <v>689</v>
      </c>
      <c r="E4674" t="s">
        <v>769</v>
      </c>
      <c r="F4674">
        <v>4</v>
      </c>
      <c r="G4674" s="308">
        <f>'BECA SUPERIOR'!P332</f>
        <v>15.84</v>
      </c>
      <c r="H4674" s="308">
        <f>'BECA SUPERIOR'!Q332</f>
        <v>39600</v>
      </c>
    </row>
    <row r="4675" spans="1:8" x14ac:dyDescent="0.3">
      <c r="A4675" t="s">
        <v>690</v>
      </c>
      <c r="B4675" t="s">
        <v>347</v>
      </c>
      <c r="C4675" t="s">
        <v>355</v>
      </c>
      <c r="D4675" t="s">
        <v>689</v>
      </c>
      <c r="E4675" t="s">
        <v>770</v>
      </c>
      <c r="F4675">
        <v>5</v>
      </c>
      <c r="G4675" s="308">
        <f>'BECA SUPERIOR'!S332</f>
        <v>0</v>
      </c>
      <c r="H4675" s="308">
        <f>'BECA SUPERIOR'!T332</f>
        <v>0</v>
      </c>
    </row>
    <row r="4676" spans="1:8" x14ac:dyDescent="0.3">
      <c r="A4676" t="s">
        <v>690</v>
      </c>
      <c r="B4676" t="s">
        <v>347</v>
      </c>
      <c r="C4676" t="s">
        <v>355</v>
      </c>
      <c r="D4676" t="s">
        <v>689</v>
      </c>
      <c r="E4676" t="s">
        <v>771</v>
      </c>
      <c r="F4676">
        <v>6</v>
      </c>
      <c r="G4676" s="308">
        <f>'BECA SUPERIOR'!V332</f>
        <v>0</v>
      </c>
      <c r="H4676" s="308">
        <f>'BECA SUPERIOR'!W332</f>
        <v>0</v>
      </c>
    </row>
    <row r="4677" spans="1:8" x14ac:dyDescent="0.3">
      <c r="A4677" t="s">
        <v>690</v>
      </c>
      <c r="B4677" t="s">
        <v>347</v>
      </c>
      <c r="C4677" t="s">
        <v>355</v>
      </c>
      <c r="D4677" t="s">
        <v>689</v>
      </c>
      <c r="E4677" t="s">
        <v>772</v>
      </c>
      <c r="F4677">
        <v>7</v>
      </c>
      <c r="G4677" s="308">
        <f>'BECA SUPERIOR'!Y332</f>
        <v>0</v>
      </c>
      <c r="H4677" s="308">
        <f>'BECA SUPERIOR'!Z332</f>
        <v>0</v>
      </c>
    </row>
    <row r="4678" spans="1:8" x14ac:dyDescent="0.3">
      <c r="A4678" t="s">
        <v>690</v>
      </c>
      <c r="B4678" t="s">
        <v>356</v>
      </c>
      <c r="C4678" t="s">
        <v>357</v>
      </c>
      <c r="D4678" t="s">
        <v>689</v>
      </c>
      <c r="E4678" t="s">
        <v>766</v>
      </c>
      <c r="F4678">
        <v>1</v>
      </c>
      <c r="G4678" s="308">
        <f>'BECA SUPERIOR'!G333</f>
        <v>0</v>
      </c>
      <c r="H4678" s="308">
        <f>'BECA SUPERIOR'!H333</f>
        <v>0</v>
      </c>
    </row>
    <row r="4679" spans="1:8" x14ac:dyDescent="0.3">
      <c r="A4679" t="s">
        <v>690</v>
      </c>
      <c r="B4679" t="s">
        <v>356</v>
      </c>
      <c r="C4679" t="s">
        <v>357</v>
      </c>
      <c r="D4679" t="s">
        <v>689</v>
      </c>
      <c r="E4679" t="s">
        <v>767</v>
      </c>
      <c r="F4679">
        <v>2</v>
      </c>
      <c r="G4679" s="308">
        <f>'BECA SUPERIOR'!J333</f>
        <v>0</v>
      </c>
      <c r="H4679" s="308">
        <f>'BECA SUPERIOR'!K333</f>
        <v>0</v>
      </c>
    </row>
    <row r="4680" spans="1:8" x14ac:dyDescent="0.3">
      <c r="A4680" t="s">
        <v>690</v>
      </c>
      <c r="B4680" t="s">
        <v>356</v>
      </c>
      <c r="C4680" t="s">
        <v>357</v>
      </c>
      <c r="D4680" t="s">
        <v>689</v>
      </c>
      <c r="E4680" t="s">
        <v>768</v>
      </c>
      <c r="F4680">
        <v>3</v>
      </c>
      <c r="G4680" s="308">
        <f>'BECA SUPERIOR'!M333</f>
        <v>0</v>
      </c>
      <c r="H4680" s="308">
        <f>'BECA SUPERIOR'!N333</f>
        <v>0</v>
      </c>
    </row>
    <row r="4681" spans="1:8" x14ac:dyDescent="0.3">
      <c r="A4681" t="s">
        <v>690</v>
      </c>
      <c r="B4681" t="s">
        <v>356</v>
      </c>
      <c r="C4681" t="s">
        <v>357</v>
      </c>
      <c r="D4681" t="s">
        <v>689</v>
      </c>
      <c r="E4681" t="s">
        <v>769</v>
      </c>
      <c r="F4681">
        <v>4</v>
      </c>
      <c r="G4681" s="308">
        <f>'BECA SUPERIOR'!P333</f>
        <v>2.88</v>
      </c>
      <c r="H4681" s="308">
        <f>'BECA SUPERIOR'!Q333</f>
        <v>7200</v>
      </c>
    </row>
    <row r="4682" spans="1:8" x14ac:dyDescent="0.3">
      <c r="A4682" t="s">
        <v>690</v>
      </c>
      <c r="B4682" t="s">
        <v>356</v>
      </c>
      <c r="C4682" t="s">
        <v>357</v>
      </c>
      <c r="D4682" t="s">
        <v>689</v>
      </c>
      <c r="E4682" t="s">
        <v>770</v>
      </c>
      <c r="F4682">
        <v>5</v>
      </c>
      <c r="G4682" s="308">
        <f>'BECA SUPERIOR'!S333</f>
        <v>0</v>
      </c>
      <c r="H4682" s="308">
        <f>'BECA SUPERIOR'!T333</f>
        <v>0</v>
      </c>
    </row>
    <row r="4683" spans="1:8" x14ac:dyDescent="0.3">
      <c r="A4683" t="s">
        <v>690</v>
      </c>
      <c r="B4683" t="s">
        <v>356</v>
      </c>
      <c r="C4683" t="s">
        <v>357</v>
      </c>
      <c r="D4683" t="s">
        <v>689</v>
      </c>
      <c r="E4683" t="s">
        <v>771</v>
      </c>
      <c r="F4683">
        <v>6</v>
      </c>
      <c r="G4683" s="308">
        <f>'BECA SUPERIOR'!V333</f>
        <v>0</v>
      </c>
      <c r="H4683" s="308">
        <f>'BECA SUPERIOR'!W333</f>
        <v>0</v>
      </c>
    </row>
    <row r="4684" spans="1:8" x14ac:dyDescent="0.3">
      <c r="A4684" t="s">
        <v>690</v>
      </c>
      <c r="B4684" t="s">
        <v>356</v>
      </c>
      <c r="C4684" t="s">
        <v>357</v>
      </c>
      <c r="D4684" t="s">
        <v>689</v>
      </c>
      <c r="E4684" t="s">
        <v>772</v>
      </c>
      <c r="F4684">
        <v>7</v>
      </c>
      <c r="G4684" s="308">
        <f>'BECA SUPERIOR'!Y333</f>
        <v>0</v>
      </c>
      <c r="H4684" s="308">
        <f>'BECA SUPERIOR'!Z333</f>
        <v>0</v>
      </c>
    </row>
    <row r="4685" spans="1:8" x14ac:dyDescent="0.3">
      <c r="A4685" t="s">
        <v>690</v>
      </c>
      <c r="B4685" t="s">
        <v>356</v>
      </c>
      <c r="C4685" t="s">
        <v>358</v>
      </c>
      <c r="D4685" t="s">
        <v>689</v>
      </c>
      <c r="E4685" t="s">
        <v>766</v>
      </c>
      <c r="F4685">
        <v>1</v>
      </c>
      <c r="G4685" s="308">
        <f>'BECA SUPERIOR'!G334</f>
        <v>0</v>
      </c>
      <c r="H4685" s="308">
        <f>'BECA SUPERIOR'!H334</f>
        <v>0</v>
      </c>
    </row>
    <row r="4686" spans="1:8" x14ac:dyDescent="0.3">
      <c r="A4686" t="s">
        <v>690</v>
      </c>
      <c r="B4686" t="s">
        <v>356</v>
      </c>
      <c r="C4686" t="s">
        <v>358</v>
      </c>
      <c r="D4686" t="s">
        <v>689</v>
      </c>
      <c r="E4686" t="s">
        <v>767</v>
      </c>
      <c r="F4686">
        <v>2</v>
      </c>
      <c r="G4686" s="308">
        <f>'BECA SUPERIOR'!J334</f>
        <v>0</v>
      </c>
      <c r="H4686" s="308">
        <f>'BECA SUPERIOR'!K334</f>
        <v>0</v>
      </c>
    </row>
    <row r="4687" spans="1:8" x14ac:dyDescent="0.3">
      <c r="A4687" t="s">
        <v>690</v>
      </c>
      <c r="B4687" t="s">
        <v>356</v>
      </c>
      <c r="C4687" t="s">
        <v>358</v>
      </c>
      <c r="D4687" t="s">
        <v>689</v>
      </c>
      <c r="E4687" t="s">
        <v>768</v>
      </c>
      <c r="F4687">
        <v>3</v>
      </c>
      <c r="G4687" s="308">
        <f>'BECA SUPERIOR'!M334</f>
        <v>0</v>
      </c>
      <c r="H4687" s="308">
        <f>'BECA SUPERIOR'!N334</f>
        <v>0</v>
      </c>
    </row>
    <row r="4688" spans="1:8" x14ac:dyDescent="0.3">
      <c r="A4688" t="s">
        <v>690</v>
      </c>
      <c r="B4688" t="s">
        <v>356</v>
      </c>
      <c r="C4688" t="s">
        <v>358</v>
      </c>
      <c r="D4688" t="s">
        <v>689</v>
      </c>
      <c r="E4688" t="s">
        <v>769</v>
      </c>
      <c r="F4688">
        <v>4</v>
      </c>
      <c r="G4688" s="308">
        <f>'BECA SUPERIOR'!P334</f>
        <v>4.32</v>
      </c>
      <c r="H4688" s="308">
        <f>'BECA SUPERIOR'!Q334</f>
        <v>10800</v>
      </c>
    </row>
    <row r="4689" spans="1:8" x14ac:dyDescent="0.3">
      <c r="A4689" t="s">
        <v>690</v>
      </c>
      <c r="B4689" t="s">
        <v>356</v>
      </c>
      <c r="C4689" t="s">
        <v>358</v>
      </c>
      <c r="D4689" t="s">
        <v>689</v>
      </c>
      <c r="E4689" t="s">
        <v>770</v>
      </c>
      <c r="F4689">
        <v>5</v>
      </c>
      <c r="G4689" s="308">
        <f>'BECA SUPERIOR'!S334</f>
        <v>0</v>
      </c>
      <c r="H4689" s="308">
        <f>'BECA SUPERIOR'!T334</f>
        <v>0</v>
      </c>
    </row>
    <row r="4690" spans="1:8" x14ac:dyDescent="0.3">
      <c r="A4690" t="s">
        <v>690</v>
      </c>
      <c r="B4690" t="s">
        <v>356</v>
      </c>
      <c r="C4690" t="s">
        <v>358</v>
      </c>
      <c r="D4690" t="s">
        <v>689</v>
      </c>
      <c r="E4690" t="s">
        <v>771</v>
      </c>
      <c r="F4690">
        <v>6</v>
      </c>
      <c r="G4690" s="308">
        <f>'BECA SUPERIOR'!V334</f>
        <v>0</v>
      </c>
      <c r="H4690" s="308">
        <f>'BECA SUPERIOR'!W334</f>
        <v>0</v>
      </c>
    </row>
    <row r="4691" spans="1:8" x14ac:dyDescent="0.3">
      <c r="A4691" t="s">
        <v>690</v>
      </c>
      <c r="B4691" t="s">
        <v>356</v>
      </c>
      <c r="C4691" t="s">
        <v>358</v>
      </c>
      <c r="D4691" t="s">
        <v>689</v>
      </c>
      <c r="E4691" t="s">
        <v>772</v>
      </c>
      <c r="F4691">
        <v>7</v>
      </c>
      <c r="G4691" s="308">
        <f>'BECA SUPERIOR'!Y334</f>
        <v>0</v>
      </c>
      <c r="H4691" s="308">
        <f>'BECA SUPERIOR'!Z334</f>
        <v>0</v>
      </c>
    </row>
    <row r="4692" spans="1:8" x14ac:dyDescent="0.3">
      <c r="A4692" t="s">
        <v>690</v>
      </c>
      <c r="B4692" t="s">
        <v>356</v>
      </c>
      <c r="C4692" t="s">
        <v>359</v>
      </c>
      <c r="D4692" t="s">
        <v>689</v>
      </c>
      <c r="E4692" t="s">
        <v>766</v>
      </c>
      <c r="F4692">
        <v>1</v>
      </c>
      <c r="G4692" s="308">
        <f>'BECA SUPERIOR'!G335</f>
        <v>0</v>
      </c>
      <c r="H4692" s="308">
        <f>'BECA SUPERIOR'!H335</f>
        <v>0</v>
      </c>
    </row>
    <row r="4693" spans="1:8" x14ac:dyDescent="0.3">
      <c r="A4693" t="s">
        <v>690</v>
      </c>
      <c r="B4693" t="s">
        <v>356</v>
      </c>
      <c r="C4693" t="s">
        <v>359</v>
      </c>
      <c r="D4693" t="s">
        <v>689</v>
      </c>
      <c r="E4693" t="s">
        <v>767</v>
      </c>
      <c r="F4693">
        <v>2</v>
      </c>
      <c r="G4693" s="308">
        <f>'BECA SUPERIOR'!J335</f>
        <v>0</v>
      </c>
      <c r="H4693" s="308">
        <f>'BECA SUPERIOR'!K335</f>
        <v>0</v>
      </c>
    </row>
    <row r="4694" spans="1:8" x14ac:dyDescent="0.3">
      <c r="A4694" t="s">
        <v>690</v>
      </c>
      <c r="B4694" t="s">
        <v>356</v>
      </c>
      <c r="C4694" t="s">
        <v>359</v>
      </c>
      <c r="D4694" t="s">
        <v>689</v>
      </c>
      <c r="E4694" t="s">
        <v>768</v>
      </c>
      <c r="F4694">
        <v>3</v>
      </c>
      <c r="G4694" s="308">
        <f>'BECA SUPERIOR'!M335</f>
        <v>0</v>
      </c>
      <c r="H4694" s="308">
        <f>'BECA SUPERIOR'!N335</f>
        <v>0</v>
      </c>
    </row>
    <row r="4695" spans="1:8" x14ac:dyDescent="0.3">
      <c r="A4695" t="s">
        <v>690</v>
      </c>
      <c r="B4695" t="s">
        <v>356</v>
      </c>
      <c r="C4695" t="s">
        <v>359</v>
      </c>
      <c r="D4695" t="s">
        <v>689</v>
      </c>
      <c r="E4695" t="s">
        <v>769</v>
      </c>
      <c r="F4695">
        <v>4</v>
      </c>
      <c r="G4695" s="308">
        <f>'BECA SUPERIOR'!P335</f>
        <v>2.16</v>
      </c>
      <c r="H4695" s="308">
        <f>'BECA SUPERIOR'!Q335</f>
        <v>5400</v>
      </c>
    </row>
    <row r="4696" spans="1:8" x14ac:dyDescent="0.3">
      <c r="A4696" t="s">
        <v>690</v>
      </c>
      <c r="B4696" t="s">
        <v>356</v>
      </c>
      <c r="C4696" t="s">
        <v>359</v>
      </c>
      <c r="D4696" t="s">
        <v>689</v>
      </c>
      <c r="E4696" t="s">
        <v>770</v>
      </c>
      <c r="F4696">
        <v>5</v>
      </c>
      <c r="G4696" s="308">
        <f>'BECA SUPERIOR'!S335</f>
        <v>0</v>
      </c>
      <c r="H4696" s="308">
        <f>'BECA SUPERIOR'!T335</f>
        <v>0</v>
      </c>
    </row>
    <row r="4697" spans="1:8" x14ac:dyDescent="0.3">
      <c r="A4697" t="s">
        <v>690</v>
      </c>
      <c r="B4697" t="s">
        <v>356</v>
      </c>
      <c r="C4697" t="s">
        <v>359</v>
      </c>
      <c r="D4697" t="s">
        <v>689</v>
      </c>
      <c r="E4697" t="s">
        <v>771</v>
      </c>
      <c r="F4697">
        <v>6</v>
      </c>
      <c r="G4697" s="308">
        <f>'BECA SUPERIOR'!V335</f>
        <v>0</v>
      </c>
      <c r="H4697" s="308">
        <f>'BECA SUPERIOR'!W335</f>
        <v>0</v>
      </c>
    </row>
    <row r="4698" spans="1:8" x14ac:dyDescent="0.3">
      <c r="A4698" t="s">
        <v>690</v>
      </c>
      <c r="B4698" t="s">
        <v>356</v>
      </c>
      <c r="C4698" t="s">
        <v>359</v>
      </c>
      <c r="D4698" t="s">
        <v>689</v>
      </c>
      <c r="E4698" t="s">
        <v>772</v>
      </c>
      <c r="F4698">
        <v>7</v>
      </c>
      <c r="G4698" s="308">
        <f>'BECA SUPERIOR'!Y335</f>
        <v>0</v>
      </c>
      <c r="H4698" s="308">
        <f>'BECA SUPERIOR'!Z335</f>
        <v>0</v>
      </c>
    </row>
    <row r="4699" spans="1:8" x14ac:dyDescent="0.3">
      <c r="A4699" t="s">
        <v>690</v>
      </c>
      <c r="B4699" t="s">
        <v>356</v>
      </c>
      <c r="C4699" t="s">
        <v>360</v>
      </c>
      <c r="D4699" t="s">
        <v>689</v>
      </c>
      <c r="E4699" t="s">
        <v>766</v>
      </c>
      <c r="F4699">
        <v>1</v>
      </c>
      <c r="G4699" s="308">
        <f>'BECA SUPERIOR'!G336</f>
        <v>0</v>
      </c>
      <c r="H4699" s="308">
        <f>'BECA SUPERIOR'!H336</f>
        <v>0</v>
      </c>
    </row>
    <row r="4700" spans="1:8" x14ac:dyDescent="0.3">
      <c r="A4700" t="s">
        <v>690</v>
      </c>
      <c r="B4700" t="s">
        <v>356</v>
      </c>
      <c r="C4700" t="s">
        <v>360</v>
      </c>
      <c r="D4700" t="s">
        <v>689</v>
      </c>
      <c r="E4700" t="s">
        <v>767</v>
      </c>
      <c r="F4700">
        <v>2</v>
      </c>
      <c r="G4700" s="308">
        <f>'BECA SUPERIOR'!J336</f>
        <v>0</v>
      </c>
      <c r="H4700" s="308">
        <f>'BECA SUPERIOR'!K336</f>
        <v>0</v>
      </c>
    </row>
    <row r="4701" spans="1:8" x14ac:dyDescent="0.3">
      <c r="A4701" t="s">
        <v>690</v>
      </c>
      <c r="B4701" t="s">
        <v>356</v>
      </c>
      <c r="C4701" t="s">
        <v>360</v>
      </c>
      <c r="D4701" t="s">
        <v>689</v>
      </c>
      <c r="E4701" t="s">
        <v>768</v>
      </c>
      <c r="F4701">
        <v>3</v>
      </c>
      <c r="G4701" s="308">
        <f>'BECA SUPERIOR'!M336</f>
        <v>0</v>
      </c>
      <c r="H4701" s="308">
        <f>'BECA SUPERIOR'!N336</f>
        <v>0</v>
      </c>
    </row>
    <row r="4702" spans="1:8" x14ac:dyDescent="0.3">
      <c r="A4702" t="s">
        <v>690</v>
      </c>
      <c r="B4702" t="s">
        <v>356</v>
      </c>
      <c r="C4702" t="s">
        <v>360</v>
      </c>
      <c r="D4702" t="s">
        <v>689</v>
      </c>
      <c r="E4702" t="s">
        <v>769</v>
      </c>
      <c r="F4702">
        <v>4</v>
      </c>
      <c r="G4702" s="308">
        <f>'BECA SUPERIOR'!P336</f>
        <v>7.92</v>
      </c>
      <c r="H4702" s="308">
        <f>'BECA SUPERIOR'!Q336</f>
        <v>19800</v>
      </c>
    </row>
    <row r="4703" spans="1:8" x14ac:dyDescent="0.3">
      <c r="A4703" t="s">
        <v>690</v>
      </c>
      <c r="B4703" t="s">
        <v>356</v>
      </c>
      <c r="C4703" t="s">
        <v>360</v>
      </c>
      <c r="D4703" t="s">
        <v>689</v>
      </c>
      <c r="E4703" t="s">
        <v>770</v>
      </c>
      <c r="F4703">
        <v>5</v>
      </c>
      <c r="G4703" s="308">
        <f>'BECA SUPERIOR'!S336</f>
        <v>0</v>
      </c>
      <c r="H4703" s="308">
        <f>'BECA SUPERIOR'!T336</f>
        <v>0</v>
      </c>
    </row>
    <row r="4704" spans="1:8" x14ac:dyDescent="0.3">
      <c r="A4704" t="s">
        <v>690</v>
      </c>
      <c r="B4704" t="s">
        <v>356</v>
      </c>
      <c r="C4704" t="s">
        <v>360</v>
      </c>
      <c r="D4704" t="s">
        <v>689</v>
      </c>
      <c r="E4704" t="s">
        <v>771</v>
      </c>
      <c r="F4704">
        <v>6</v>
      </c>
      <c r="G4704" s="308">
        <f>'BECA SUPERIOR'!V336</f>
        <v>0</v>
      </c>
      <c r="H4704" s="308">
        <f>'BECA SUPERIOR'!W336</f>
        <v>0</v>
      </c>
    </row>
    <row r="4705" spans="1:8" x14ac:dyDescent="0.3">
      <c r="A4705" t="s">
        <v>690</v>
      </c>
      <c r="B4705" t="s">
        <v>356</v>
      </c>
      <c r="C4705" t="s">
        <v>360</v>
      </c>
      <c r="D4705" t="s">
        <v>689</v>
      </c>
      <c r="E4705" t="s">
        <v>772</v>
      </c>
      <c r="F4705">
        <v>7</v>
      </c>
      <c r="G4705" s="308">
        <f>'BECA SUPERIOR'!Y336</f>
        <v>0</v>
      </c>
      <c r="H4705" s="308">
        <f>'BECA SUPERIOR'!Z336</f>
        <v>0</v>
      </c>
    </row>
    <row r="4706" spans="1:8" x14ac:dyDescent="0.3">
      <c r="A4706" t="s">
        <v>690</v>
      </c>
      <c r="B4706" t="s">
        <v>356</v>
      </c>
      <c r="C4706" t="s">
        <v>361</v>
      </c>
      <c r="D4706" t="s">
        <v>689</v>
      </c>
      <c r="E4706" t="s">
        <v>766</v>
      </c>
      <c r="F4706">
        <v>1</v>
      </c>
      <c r="G4706" s="308">
        <f>'BECA SUPERIOR'!G337</f>
        <v>0</v>
      </c>
      <c r="H4706" s="308">
        <f>'BECA SUPERIOR'!H337</f>
        <v>0</v>
      </c>
    </row>
    <row r="4707" spans="1:8" x14ac:dyDescent="0.3">
      <c r="A4707" t="s">
        <v>690</v>
      </c>
      <c r="B4707" t="s">
        <v>356</v>
      </c>
      <c r="C4707" t="s">
        <v>361</v>
      </c>
      <c r="D4707" t="s">
        <v>689</v>
      </c>
      <c r="E4707" t="s">
        <v>767</v>
      </c>
      <c r="F4707">
        <v>2</v>
      </c>
      <c r="G4707" s="308">
        <f>'BECA SUPERIOR'!J337</f>
        <v>0</v>
      </c>
      <c r="H4707" s="308">
        <f>'BECA SUPERIOR'!K337</f>
        <v>0</v>
      </c>
    </row>
    <row r="4708" spans="1:8" x14ac:dyDescent="0.3">
      <c r="A4708" t="s">
        <v>690</v>
      </c>
      <c r="B4708" t="s">
        <v>356</v>
      </c>
      <c r="C4708" t="s">
        <v>361</v>
      </c>
      <c r="D4708" t="s">
        <v>689</v>
      </c>
      <c r="E4708" t="s">
        <v>768</v>
      </c>
      <c r="F4708">
        <v>3</v>
      </c>
      <c r="G4708" s="308">
        <f>'BECA SUPERIOR'!M337</f>
        <v>0</v>
      </c>
      <c r="H4708" s="308">
        <f>'BECA SUPERIOR'!N337</f>
        <v>0</v>
      </c>
    </row>
    <row r="4709" spans="1:8" x14ac:dyDescent="0.3">
      <c r="A4709" t="s">
        <v>690</v>
      </c>
      <c r="B4709" t="s">
        <v>356</v>
      </c>
      <c r="C4709" t="s">
        <v>361</v>
      </c>
      <c r="D4709" t="s">
        <v>689</v>
      </c>
      <c r="E4709" t="s">
        <v>769</v>
      </c>
      <c r="F4709">
        <v>4</v>
      </c>
      <c r="G4709" s="308">
        <f>'BECA SUPERIOR'!P337</f>
        <v>4.32</v>
      </c>
      <c r="H4709" s="308">
        <f>'BECA SUPERIOR'!Q337</f>
        <v>10800</v>
      </c>
    </row>
    <row r="4710" spans="1:8" x14ac:dyDescent="0.3">
      <c r="A4710" t="s">
        <v>690</v>
      </c>
      <c r="B4710" t="s">
        <v>356</v>
      </c>
      <c r="C4710" t="s">
        <v>361</v>
      </c>
      <c r="D4710" t="s">
        <v>689</v>
      </c>
      <c r="E4710" t="s">
        <v>770</v>
      </c>
      <c r="F4710">
        <v>5</v>
      </c>
      <c r="G4710" s="308">
        <f>'BECA SUPERIOR'!S337</f>
        <v>0</v>
      </c>
      <c r="H4710" s="308">
        <f>'BECA SUPERIOR'!T337</f>
        <v>0</v>
      </c>
    </row>
    <row r="4711" spans="1:8" x14ac:dyDescent="0.3">
      <c r="A4711" t="s">
        <v>690</v>
      </c>
      <c r="B4711" t="s">
        <v>356</v>
      </c>
      <c r="C4711" t="s">
        <v>361</v>
      </c>
      <c r="D4711" t="s">
        <v>689</v>
      </c>
      <c r="E4711" t="s">
        <v>771</v>
      </c>
      <c r="F4711">
        <v>6</v>
      </c>
      <c r="G4711" s="308">
        <f>'BECA SUPERIOR'!V337</f>
        <v>0</v>
      </c>
      <c r="H4711" s="308">
        <f>'BECA SUPERIOR'!W337</f>
        <v>0</v>
      </c>
    </row>
    <row r="4712" spans="1:8" x14ac:dyDescent="0.3">
      <c r="A4712" t="s">
        <v>690</v>
      </c>
      <c r="B4712" t="s">
        <v>356</v>
      </c>
      <c r="C4712" t="s">
        <v>361</v>
      </c>
      <c r="D4712" t="s">
        <v>689</v>
      </c>
      <c r="E4712" t="s">
        <v>772</v>
      </c>
      <c r="F4712">
        <v>7</v>
      </c>
      <c r="G4712" s="308">
        <f>'BECA SUPERIOR'!Y337</f>
        <v>0</v>
      </c>
      <c r="H4712" s="308">
        <f>'BECA SUPERIOR'!Z337</f>
        <v>0</v>
      </c>
    </row>
    <row r="4713" spans="1:8" x14ac:dyDescent="0.3">
      <c r="A4713" t="s">
        <v>690</v>
      </c>
      <c r="B4713" t="s">
        <v>356</v>
      </c>
      <c r="C4713" t="s">
        <v>362</v>
      </c>
      <c r="D4713" t="s">
        <v>689</v>
      </c>
      <c r="E4713" t="s">
        <v>766</v>
      </c>
      <c r="F4713">
        <v>1</v>
      </c>
      <c r="G4713" s="308">
        <f>'BECA SUPERIOR'!G338</f>
        <v>0</v>
      </c>
      <c r="H4713" s="308">
        <f>'BECA SUPERIOR'!H338</f>
        <v>0</v>
      </c>
    </row>
    <row r="4714" spans="1:8" x14ac:dyDescent="0.3">
      <c r="A4714" t="s">
        <v>690</v>
      </c>
      <c r="B4714" t="s">
        <v>356</v>
      </c>
      <c r="C4714" t="s">
        <v>362</v>
      </c>
      <c r="D4714" t="s">
        <v>689</v>
      </c>
      <c r="E4714" t="s">
        <v>767</v>
      </c>
      <c r="F4714">
        <v>2</v>
      </c>
      <c r="G4714" s="308">
        <f>'BECA SUPERIOR'!J338</f>
        <v>0</v>
      </c>
      <c r="H4714" s="308">
        <f>'BECA SUPERIOR'!K338</f>
        <v>0</v>
      </c>
    </row>
    <row r="4715" spans="1:8" x14ac:dyDescent="0.3">
      <c r="A4715" t="s">
        <v>690</v>
      </c>
      <c r="B4715" t="s">
        <v>356</v>
      </c>
      <c r="C4715" t="s">
        <v>362</v>
      </c>
      <c r="D4715" t="s">
        <v>689</v>
      </c>
      <c r="E4715" t="s">
        <v>768</v>
      </c>
      <c r="F4715">
        <v>3</v>
      </c>
      <c r="G4715" s="308">
        <f>'BECA SUPERIOR'!M338</f>
        <v>0</v>
      </c>
      <c r="H4715" s="308">
        <f>'BECA SUPERIOR'!N338</f>
        <v>0</v>
      </c>
    </row>
    <row r="4716" spans="1:8" x14ac:dyDescent="0.3">
      <c r="A4716" t="s">
        <v>690</v>
      </c>
      <c r="B4716" t="s">
        <v>356</v>
      </c>
      <c r="C4716" t="s">
        <v>362</v>
      </c>
      <c r="D4716" t="s">
        <v>689</v>
      </c>
      <c r="E4716" t="s">
        <v>769</v>
      </c>
      <c r="F4716">
        <v>4</v>
      </c>
      <c r="G4716" s="308">
        <f>'BECA SUPERIOR'!P338</f>
        <v>6.48</v>
      </c>
      <c r="H4716" s="308">
        <f>'BECA SUPERIOR'!Q338</f>
        <v>16200</v>
      </c>
    </row>
    <row r="4717" spans="1:8" x14ac:dyDescent="0.3">
      <c r="A4717" t="s">
        <v>690</v>
      </c>
      <c r="B4717" t="s">
        <v>356</v>
      </c>
      <c r="C4717" t="s">
        <v>362</v>
      </c>
      <c r="D4717" t="s">
        <v>689</v>
      </c>
      <c r="E4717" t="s">
        <v>770</v>
      </c>
      <c r="F4717">
        <v>5</v>
      </c>
      <c r="G4717" s="308">
        <f>'BECA SUPERIOR'!S338</f>
        <v>0</v>
      </c>
      <c r="H4717" s="308">
        <f>'BECA SUPERIOR'!T338</f>
        <v>0</v>
      </c>
    </row>
    <row r="4718" spans="1:8" x14ac:dyDescent="0.3">
      <c r="A4718" t="s">
        <v>690</v>
      </c>
      <c r="B4718" t="s">
        <v>356</v>
      </c>
      <c r="C4718" t="s">
        <v>362</v>
      </c>
      <c r="D4718" t="s">
        <v>689</v>
      </c>
      <c r="E4718" t="s">
        <v>771</v>
      </c>
      <c r="F4718">
        <v>6</v>
      </c>
      <c r="G4718" s="308">
        <f>'BECA SUPERIOR'!V338</f>
        <v>0</v>
      </c>
      <c r="H4718" s="308">
        <f>'BECA SUPERIOR'!W338</f>
        <v>0</v>
      </c>
    </row>
    <row r="4719" spans="1:8" x14ac:dyDescent="0.3">
      <c r="A4719" t="s">
        <v>690</v>
      </c>
      <c r="B4719" t="s">
        <v>356</v>
      </c>
      <c r="C4719" t="s">
        <v>362</v>
      </c>
      <c r="D4719" t="s">
        <v>689</v>
      </c>
      <c r="E4719" t="s">
        <v>772</v>
      </c>
      <c r="F4719">
        <v>7</v>
      </c>
      <c r="G4719" s="308">
        <f>'BECA SUPERIOR'!Y338</f>
        <v>0</v>
      </c>
      <c r="H4719" s="308">
        <f>'BECA SUPERIOR'!Z338</f>
        <v>0</v>
      </c>
    </row>
    <row r="4720" spans="1:8" x14ac:dyDescent="0.3">
      <c r="A4720" t="s">
        <v>690</v>
      </c>
      <c r="B4720" t="s">
        <v>356</v>
      </c>
      <c r="C4720" t="s">
        <v>363</v>
      </c>
      <c r="D4720" t="s">
        <v>689</v>
      </c>
      <c r="E4720" t="s">
        <v>766</v>
      </c>
      <c r="F4720">
        <v>1</v>
      </c>
      <c r="G4720" s="308">
        <f>'BECA SUPERIOR'!G339</f>
        <v>0</v>
      </c>
      <c r="H4720" s="308">
        <f>'BECA SUPERIOR'!H339</f>
        <v>0</v>
      </c>
    </row>
    <row r="4721" spans="1:8" x14ac:dyDescent="0.3">
      <c r="A4721" t="s">
        <v>690</v>
      </c>
      <c r="B4721" t="s">
        <v>356</v>
      </c>
      <c r="C4721" t="s">
        <v>363</v>
      </c>
      <c r="D4721" t="s">
        <v>689</v>
      </c>
      <c r="E4721" t="s">
        <v>767</v>
      </c>
      <c r="F4721">
        <v>2</v>
      </c>
      <c r="G4721" s="308">
        <f>'BECA SUPERIOR'!J339</f>
        <v>0</v>
      </c>
      <c r="H4721" s="308">
        <f>'BECA SUPERIOR'!K339</f>
        <v>0</v>
      </c>
    </row>
    <row r="4722" spans="1:8" x14ac:dyDescent="0.3">
      <c r="A4722" t="s">
        <v>690</v>
      </c>
      <c r="B4722" t="s">
        <v>356</v>
      </c>
      <c r="C4722" t="s">
        <v>363</v>
      </c>
      <c r="D4722" t="s">
        <v>689</v>
      </c>
      <c r="E4722" t="s">
        <v>768</v>
      </c>
      <c r="F4722">
        <v>3</v>
      </c>
      <c r="G4722" s="308">
        <f>'BECA SUPERIOR'!M339</f>
        <v>0</v>
      </c>
      <c r="H4722" s="308">
        <f>'BECA SUPERIOR'!N339</f>
        <v>0</v>
      </c>
    </row>
    <row r="4723" spans="1:8" x14ac:dyDescent="0.3">
      <c r="A4723" t="s">
        <v>690</v>
      </c>
      <c r="B4723" t="s">
        <v>356</v>
      </c>
      <c r="C4723" t="s">
        <v>363</v>
      </c>
      <c r="D4723" t="s">
        <v>689</v>
      </c>
      <c r="E4723" t="s">
        <v>769</v>
      </c>
      <c r="F4723">
        <v>4</v>
      </c>
      <c r="G4723" s="308">
        <f>'BECA SUPERIOR'!P339</f>
        <v>5.04</v>
      </c>
      <c r="H4723" s="308">
        <f>'BECA SUPERIOR'!Q339</f>
        <v>12600</v>
      </c>
    </row>
    <row r="4724" spans="1:8" x14ac:dyDescent="0.3">
      <c r="A4724" t="s">
        <v>690</v>
      </c>
      <c r="B4724" t="s">
        <v>356</v>
      </c>
      <c r="C4724" t="s">
        <v>363</v>
      </c>
      <c r="D4724" t="s">
        <v>689</v>
      </c>
      <c r="E4724" t="s">
        <v>770</v>
      </c>
      <c r="F4724">
        <v>5</v>
      </c>
      <c r="G4724" s="308">
        <f>'BECA SUPERIOR'!S339</f>
        <v>0</v>
      </c>
      <c r="H4724" s="308">
        <f>'BECA SUPERIOR'!T339</f>
        <v>0</v>
      </c>
    </row>
    <row r="4725" spans="1:8" x14ac:dyDescent="0.3">
      <c r="A4725" t="s">
        <v>690</v>
      </c>
      <c r="B4725" t="s">
        <v>356</v>
      </c>
      <c r="C4725" t="s">
        <v>363</v>
      </c>
      <c r="D4725" t="s">
        <v>689</v>
      </c>
      <c r="E4725" t="s">
        <v>771</v>
      </c>
      <c r="F4725">
        <v>6</v>
      </c>
      <c r="G4725" s="308">
        <f>'BECA SUPERIOR'!V339</f>
        <v>0</v>
      </c>
      <c r="H4725" s="308">
        <f>'BECA SUPERIOR'!W339</f>
        <v>0</v>
      </c>
    </row>
    <row r="4726" spans="1:8" x14ac:dyDescent="0.3">
      <c r="A4726" t="s">
        <v>690</v>
      </c>
      <c r="B4726" t="s">
        <v>356</v>
      </c>
      <c r="C4726" t="s">
        <v>363</v>
      </c>
      <c r="D4726" t="s">
        <v>689</v>
      </c>
      <c r="E4726" t="s">
        <v>772</v>
      </c>
      <c r="F4726">
        <v>7</v>
      </c>
      <c r="G4726" s="308">
        <f>'BECA SUPERIOR'!Y339</f>
        <v>0</v>
      </c>
      <c r="H4726" s="308">
        <f>'BECA SUPERIOR'!Z339</f>
        <v>0</v>
      </c>
    </row>
    <row r="4727" spans="1:8" x14ac:dyDescent="0.3">
      <c r="A4727" t="s">
        <v>690</v>
      </c>
      <c r="B4727" t="s">
        <v>356</v>
      </c>
      <c r="C4727" t="s">
        <v>364</v>
      </c>
      <c r="D4727" t="s">
        <v>689</v>
      </c>
      <c r="E4727" t="s">
        <v>766</v>
      </c>
      <c r="F4727">
        <v>1</v>
      </c>
      <c r="G4727" s="308">
        <f>'BECA SUPERIOR'!G340</f>
        <v>0</v>
      </c>
      <c r="H4727" s="308">
        <f>'BECA SUPERIOR'!H340</f>
        <v>0</v>
      </c>
    </row>
    <row r="4728" spans="1:8" x14ac:dyDescent="0.3">
      <c r="A4728" t="s">
        <v>690</v>
      </c>
      <c r="B4728" t="s">
        <v>356</v>
      </c>
      <c r="C4728" t="s">
        <v>364</v>
      </c>
      <c r="D4728" t="s">
        <v>689</v>
      </c>
      <c r="E4728" t="s">
        <v>767</v>
      </c>
      <c r="F4728">
        <v>2</v>
      </c>
      <c r="G4728" s="308">
        <f>'BECA SUPERIOR'!J340</f>
        <v>0</v>
      </c>
      <c r="H4728" s="308">
        <f>'BECA SUPERIOR'!K340</f>
        <v>0</v>
      </c>
    </row>
    <row r="4729" spans="1:8" x14ac:dyDescent="0.3">
      <c r="A4729" t="s">
        <v>690</v>
      </c>
      <c r="B4729" t="s">
        <v>356</v>
      </c>
      <c r="C4729" t="s">
        <v>364</v>
      </c>
      <c r="D4729" t="s">
        <v>689</v>
      </c>
      <c r="E4729" t="s">
        <v>768</v>
      </c>
      <c r="F4729">
        <v>3</v>
      </c>
      <c r="G4729" s="308">
        <f>'BECA SUPERIOR'!M340</f>
        <v>0</v>
      </c>
      <c r="H4729" s="308">
        <f>'BECA SUPERIOR'!N340</f>
        <v>0</v>
      </c>
    </row>
    <row r="4730" spans="1:8" x14ac:dyDescent="0.3">
      <c r="A4730" t="s">
        <v>690</v>
      </c>
      <c r="B4730" t="s">
        <v>356</v>
      </c>
      <c r="C4730" t="s">
        <v>364</v>
      </c>
      <c r="D4730" t="s">
        <v>689</v>
      </c>
      <c r="E4730" t="s">
        <v>769</v>
      </c>
      <c r="F4730">
        <v>4</v>
      </c>
      <c r="G4730" s="308">
        <f>'BECA SUPERIOR'!P340</f>
        <v>2.88</v>
      </c>
      <c r="H4730" s="308">
        <f>'BECA SUPERIOR'!Q340</f>
        <v>7200</v>
      </c>
    </row>
    <row r="4731" spans="1:8" x14ac:dyDescent="0.3">
      <c r="A4731" t="s">
        <v>690</v>
      </c>
      <c r="B4731" t="s">
        <v>356</v>
      </c>
      <c r="C4731" t="s">
        <v>364</v>
      </c>
      <c r="D4731" t="s">
        <v>689</v>
      </c>
      <c r="E4731" t="s">
        <v>770</v>
      </c>
      <c r="F4731">
        <v>5</v>
      </c>
      <c r="G4731" s="308">
        <f>'BECA SUPERIOR'!S340</f>
        <v>0</v>
      </c>
      <c r="H4731" s="308">
        <f>'BECA SUPERIOR'!T340</f>
        <v>0</v>
      </c>
    </row>
    <row r="4732" spans="1:8" x14ac:dyDescent="0.3">
      <c r="A4732" t="s">
        <v>690</v>
      </c>
      <c r="B4732" t="s">
        <v>356</v>
      </c>
      <c r="C4732" t="s">
        <v>364</v>
      </c>
      <c r="D4732" t="s">
        <v>689</v>
      </c>
      <c r="E4732" t="s">
        <v>771</v>
      </c>
      <c r="F4732">
        <v>6</v>
      </c>
      <c r="G4732" s="308">
        <f>'BECA SUPERIOR'!V340</f>
        <v>0</v>
      </c>
      <c r="H4732" s="308">
        <f>'BECA SUPERIOR'!W340</f>
        <v>0</v>
      </c>
    </row>
    <row r="4733" spans="1:8" x14ac:dyDescent="0.3">
      <c r="A4733" t="s">
        <v>690</v>
      </c>
      <c r="B4733" t="s">
        <v>356</v>
      </c>
      <c r="C4733" t="s">
        <v>364</v>
      </c>
      <c r="D4733" t="s">
        <v>689</v>
      </c>
      <c r="E4733" t="s">
        <v>772</v>
      </c>
      <c r="F4733">
        <v>7</v>
      </c>
      <c r="G4733" s="308">
        <f>'BECA SUPERIOR'!Y340</f>
        <v>0</v>
      </c>
      <c r="H4733" s="308">
        <f>'BECA SUPERIOR'!Z340</f>
        <v>0</v>
      </c>
    </row>
    <row r="4734" spans="1:8" x14ac:dyDescent="0.3">
      <c r="A4734" t="s">
        <v>690</v>
      </c>
      <c r="B4734" t="s">
        <v>356</v>
      </c>
      <c r="C4734" t="s">
        <v>365</v>
      </c>
      <c r="D4734" t="s">
        <v>689</v>
      </c>
      <c r="E4734" t="s">
        <v>766</v>
      </c>
      <c r="F4734">
        <v>1</v>
      </c>
      <c r="G4734" s="308">
        <f>'BECA SUPERIOR'!G341</f>
        <v>0</v>
      </c>
      <c r="H4734" s="308">
        <f>'BECA SUPERIOR'!H341</f>
        <v>0</v>
      </c>
    </row>
    <row r="4735" spans="1:8" x14ac:dyDescent="0.3">
      <c r="A4735" t="s">
        <v>690</v>
      </c>
      <c r="B4735" t="s">
        <v>356</v>
      </c>
      <c r="C4735" t="s">
        <v>365</v>
      </c>
      <c r="D4735" t="s">
        <v>689</v>
      </c>
      <c r="E4735" t="s">
        <v>767</v>
      </c>
      <c r="F4735">
        <v>2</v>
      </c>
      <c r="G4735" s="308">
        <f>'BECA SUPERIOR'!J341</f>
        <v>0</v>
      </c>
      <c r="H4735" s="308">
        <f>'BECA SUPERIOR'!K341</f>
        <v>0</v>
      </c>
    </row>
    <row r="4736" spans="1:8" x14ac:dyDescent="0.3">
      <c r="A4736" t="s">
        <v>690</v>
      </c>
      <c r="B4736" t="s">
        <v>356</v>
      </c>
      <c r="C4736" t="s">
        <v>365</v>
      </c>
      <c r="D4736" t="s">
        <v>689</v>
      </c>
      <c r="E4736" t="s">
        <v>768</v>
      </c>
      <c r="F4736">
        <v>3</v>
      </c>
      <c r="G4736" s="308">
        <f>'BECA SUPERIOR'!M341</f>
        <v>0</v>
      </c>
      <c r="H4736" s="308">
        <f>'BECA SUPERIOR'!N341</f>
        <v>0</v>
      </c>
    </row>
    <row r="4737" spans="1:8" x14ac:dyDescent="0.3">
      <c r="A4737" t="s">
        <v>690</v>
      </c>
      <c r="B4737" t="s">
        <v>356</v>
      </c>
      <c r="C4737" t="s">
        <v>365</v>
      </c>
      <c r="D4737" t="s">
        <v>689</v>
      </c>
      <c r="E4737" t="s">
        <v>769</v>
      </c>
      <c r="F4737">
        <v>4</v>
      </c>
      <c r="G4737" s="308">
        <f>'BECA SUPERIOR'!P341</f>
        <v>7.2</v>
      </c>
      <c r="H4737" s="308">
        <f>'BECA SUPERIOR'!Q341</f>
        <v>18000</v>
      </c>
    </row>
    <row r="4738" spans="1:8" x14ac:dyDescent="0.3">
      <c r="A4738" t="s">
        <v>690</v>
      </c>
      <c r="B4738" t="s">
        <v>356</v>
      </c>
      <c r="C4738" t="s">
        <v>365</v>
      </c>
      <c r="D4738" t="s">
        <v>689</v>
      </c>
      <c r="E4738" t="s">
        <v>770</v>
      </c>
      <c r="F4738">
        <v>5</v>
      </c>
      <c r="G4738" s="308">
        <f>'BECA SUPERIOR'!S341</f>
        <v>0</v>
      </c>
      <c r="H4738" s="308">
        <f>'BECA SUPERIOR'!T341</f>
        <v>0</v>
      </c>
    </row>
    <row r="4739" spans="1:8" x14ac:dyDescent="0.3">
      <c r="A4739" t="s">
        <v>690</v>
      </c>
      <c r="B4739" t="s">
        <v>356</v>
      </c>
      <c r="C4739" t="s">
        <v>365</v>
      </c>
      <c r="D4739" t="s">
        <v>689</v>
      </c>
      <c r="E4739" t="s">
        <v>771</v>
      </c>
      <c r="F4739">
        <v>6</v>
      </c>
      <c r="G4739" s="308">
        <f>'BECA SUPERIOR'!V341</f>
        <v>0</v>
      </c>
      <c r="H4739" s="308">
        <f>'BECA SUPERIOR'!W341</f>
        <v>0</v>
      </c>
    </row>
    <row r="4740" spans="1:8" x14ac:dyDescent="0.3">
      <c r="A4740" t="s">
        <v>690</v>
      </c>
      <c r="B4740" t="s">
        <v>356</v>
      </c>
      <c r="C4740" t="s">
        <v>365</v>
      </c>
      <c r="D4740" t="s">
        <v>689</v>
      </c>
      <c r="E4740" t="s">
        <v>772</v>
      </c>
      <c r="F4740">
        <v>7</v>
      </c>
      <c r="G4740" s="308">
        <f>'BECA SUPERIOR'!Y341</f>
        <v>0</v>
      </c>
      <c r="H4740" s="308">
        <f>'BECA SUPERIOR'!Z341</f>
        <v>0</v>
      </c>
    </row>
    <row r="4741" spans="1:8" x14ac:dyDescent="0.3">
      <c r="A4741" t="s">
        <v>690</v>
      </c>
      <c r="B4741" t="s">
        <v>356</v>
      </c>
      <c r="C4741" t="s">
        <v>366</v>
      </c>
      <c r="D4741" t="s">
        <v>689</v>
      </c>
      <c r="E4741" t="s">
        <v>766</v>
      </c>
      <c r="F4741">
        <v>1</v>
      </c>
      <c r="G4741" s="308">
        <f>'BECA SUPERIOR'!G342</f>
        <v>0</v>
      </c>
      <c r="H4741" s="308">
        <f>'BECA SUPERIOR'!H342</f>
        <v>0</v>
      </c>
    </row>
    <row r="4742" spans="1:8" x14ac:dyDescent="0.3">
      <c r="A4742" t="s">
        <v>690</v>
      </c>
      <c r="B4742" t="s">
        <v>356</v>
      </c>
      <c r="C4742" t="s">
        <v>366</v>
      </c>
      <c r="D4742" t="s">
        <v>689</v>
      </c>
      <c r="E4742" t="s">
        <v>767</v>
      </c>
      <c r="F4742">
        <v>2</v>
      </c>
      <c r="G4742" s="308">
        <f>'BECA SUPERIOR'!J342</f>
        <v>0</v>
      </c>
      <c r="H4742" s="308">
        <f>'BECA SUPERIOR'!K342</f>
        <v>0</v>
      </c>
    </row>
    <row r="4743" spans="1:8" x14ac:dyDescent="0.3">
      <c r="A4743" t="s">
        <v>690</v>
      </c>
      <c r="B4743" t="s">
        <v>356</v>
      </c>
      <c r="C4743" t="s">
        <v>366</v>
      </c>
      <c r="D4743" t="s">
        <v>689</v>
      </c>
      <c r="E4743" t="s">
        <v>768</v>
      </c>
      <c r="F4743">
        <v>3</v>
      </c>
      <c r="G4743" s="308">
        <f>'BECA SUPERIOR'!M342</f>
        <v>0</v>
      </c>
      <c r="H4743" s="308">
        <f>'BECA SUPERIOR'!N342</f>
        <v>0</v>
      </c>
    </row>
    <row r="4744" spans="1:8" x14ac:dyDescent="0.3">
      <c r="A4744" t="s">
        <v>690</v>
      </c>
      <c r="B4744" t="s">
        <v>356</v>
      </c>
      <c r="C4744" t="s">
        <v>366</v>
      </c>
      <c r="D4744" t="s">
        <v>689</v>
      </c>
      <c r="E4744" t="s">
        <v>769</v>
      </c>
      <c r="F4744">
        <v>4</v>
      </c>
      <c r="G4744" s="308">
        <f>'BECA SUPERIOR'!P342</f>
        <v>8.64</v>
      </c>
      <c r="H4744" s="308">
        <f>'BECA SUPERIOR'!Q342</f>
        <v>21600</v>
      </c>
    </row>
    <row r="4745" spans="1:8" x14ac:dyDescent="0.3">
      <c r="A4745" t="s">
        <v>690</v>
      </c>
      <c r="B4745" t="s">
        <v>356</v>
      </c>
      <c r="C4745" t="s">
        <v>366</v>
      </c>
      <c r="D4745" t="s">
        <v>689</v>
      </c>
      <c r="E4745" t="s">
        <v>770</v>
      </c>
      <c r="F4745">
        <v>5</v>
      </c>
      <c r="G4745" s="308">
        <f>'BECA SUPERIOR'!S342</f>
        <v>0</v>
      </c>
      <c r="H4745" s="308">
        <f>'BECA SUPERIOR'!T342</f>
        <v>0</v>
      </c>
    </row>
    <row r="4746" spans="1:8" x14ac:dyDescent="0.3">
      <c r="A4746" t="s">
        <v>690</v>
      </c>
      <c r="B4746" t="s">
        <v>356</v>
      </c>
      <c r="C4746" t="s">
        <v>366</v>
      </c>
      <c r="D4746" t="s">
        <v>689</v>
      </c>
      <c r="E4746" t="s">
        <v>771</v>
      </c>
      <c r="F4746">
        <v>6</v>
      </c>
      <c r="G4746" s="308">
        <f>'BECA SUPERIOR'!V342</f>
        <v>0</v>
      </c>
      <c r="H4746" s="308">
        <f>'BECA SUPERIOR'!W342</f>
        <v>0</v>
      </c>
    </row>
    <row r="4747" spans="1:8" x14ac:dyDescent="0.3">
      <c r="A4747" t="s">
        <v>690</v>
      </c>
      <c r="B4747" t="s">
        <v>356</v>
      </c>
      <c r="C4747" t="s">
        <v>366</v>
      </c>
      <c r="D4747" t="s">
        <v>689</v>
      </c>
      <c r="E4747" t="s">
        <v>772</v>
      </c>
      <c r="F4747">
        <v>7</v>
      </c>
      <c r="G4747" s="308">
        <f>'BECA SUPERIOR'!Y342</f>
        <v>0</v>
      </c>
      <c r="H4747" s="308">
        <f>'BECA SUPERIOR'!Z342</f>
        <v>0</v>
      </c>
    </row>
    <row r="4748" spans="1:8" x14ac:dyDescent="0.3">
      <c r="A4748" t="s">
        <v>690</v>
      </c>
      <c r="B4748" t="s">
        <v>356</v>
      </c>
      <c r="C4748" t="s">
        <v>356</v>
      </c>
      <c r="D4748" t="s">
        <v>689</v>
      </c>
      <c r="E4748" t="s">
        <v>766</v>
      </c>
      <c r="F4748">
        <v>1</v>
      </c>
      <c r="G4748" s="308">
        <f>'BECA SUPERIOR'!G343</f>
        <v>0</v>
      </c>
      <c r="H4748" s="308">
        <f>'BECA SUPERIOR'!H343</f>
        <v>0</v>
      </c>
    </row>
    <row r="4749" spans="1:8" x14ac:dyDescent="0.3">
      <c r="A4749" t="s">
        <v>690</v>
      </c>
      <c r="B4749" t="s">
        <v>356</v>
      </c>
      <c r="C4749" t="s">
        <v>356</v>
      </c>
      <c r="D4749" t="s">
        <v>689</v>
      </c>
      <c r="E4749" t="s">
        <v>767</v>
      </c>
      <c r="F4749">
        <v>2</v>
      </c>
      <c r="G4749" s="308">
        <f>'BECA SUPERIOR'!J343</f>
        <v>0</v>
      </c>
      <c r="H4749" s="308">
        <f>'BECA SUPERIOR'!K343</f>
        <v>0</v>
      </c>
    </row>
    <row r="4750" spans="1:8" x14ac:dyDescent="0.3">
      <c r="A4750" t="s">
        <v>690</v>
      </c>
      <c r="B4750" t="s">
        <v>356</v>
      </c>
      <c r="C4750" t="s">
        <v>356</v>
      </c>
      <c r="D4750" t="s">
        <v>689</v>
      </c>
      <c r="E4750" t="s">
        <v>768</v>
      </c>
      <c r="F4750">
        <v>3</v>
      </c>
      <c r="G4750" s="308">
        <f>'BECA SUPERIOR'!M343</f>
        <v>0</v>
      </c>
      <c r="H4750" s="308">
        <f>'BECA SUPERIOR'!N343</f>
        <v>0</v>
      </c>
    </row>
    <row r="4751" spans="1:8" x14ac:dyDescent="0.3">
      <c r="A4751" t="s">
        <v>690</v>
      </c>
      <c r="B4751" t="s">
        <v>356</v>
      </c>
      <c r="C4751" t="s">
        <v>356</v>
      </c>
      <c r="D4751" t="s">
        <v>689</v>
      </c>
      <c r="E4751" t="s">
        <v>769</v>
      </c>
      <c r="F4751">
        <v>4</v>
      </c>
      <c r="G4751" s="308">
        <f>'BECA SUPERIOR'!P343</f>
        <v>15.84</v>
      </c>
      <c r="H4751" s="308">
        <f>'BECA SUPERIOR'!Q343</f>
        <v>39600</v>
      </c>
    </row>
    <row r="4752" spans="1:8" x14ac:dyDescent="0.3">
      <c r="A4752" t="s">
        <v>690</v>
      </c>
      <c r="B4752" t="s">
        <v>356</v>
      </c>
      <c r="C4752" t="s">
        <v>356</v>
      </c>
      <c r="D4752" t="s">
        <v>689</v>
      </c>
      <c r="E4752" t="s">
        <v>770</v>
      </c>
      <c r="F4752">
        <v>5</v>
      </c>
      <c r="G4752" s="308">
        <f>'BECA SUPERIOR'!S343</f>
        <v>0</v>
      </c>
      <c r="H4752" s="308">
        <f>'BECA SUPERIOR'!T343</f>
        <v>0</v>
      </c>
    </row>
    <row r="4753" spans="1:8" x14ac:dyDescent="0.3">
      <c r="A4753" t="s">
        <v>690</v>
      </c>
      <c r="B4753" t="s">
        <v>356</v>
      </c>
      <c r="C4753" t="s">
        <v>356</v>
      </c>
      <c r="D4753" t="s">
        <v>689</v>
      </c>
      <c r="E4753" t="s">
        <v>771</v>
      </c>
      <c r="F4753">
        <v>6</v>
      </c>
      <c r="G4753" s="308">
        <f>'BECA SUPERIOR'!V343</f>
        <v>0</v>
      </c>
      <c r="H4753" s="308">
        <f>'BECA SUPERIOR'!W343</f>
        <v>0</v>
      </c>
    </row>
    <row r="4754" spans="1:8" x14ac:dyDescent="0.3">
      <c r="A4754" t="s">
        <v>690</v>
      </c>
      <c r="B4754" t="s">
        <v>356</v>
      </c>
      <c r="C4754" t="s">
        <v>356</v>
      </c>
      <c r="D4754" t="s">
        <v>689</v>
      </c>
      <c r="E4754" t="s">
        <v>772</v>
      </c>
      <c r="F4754">
        <v>7</v>
      </c>
      <c r="G4754" s="308">
        <f>'BECA SUPERIOR'!Y343</f>
        <v>0</v>
      </c>
      <c r="H4754" s="308">
        <f>'BECA SUPERIOR'!Z343</f>
        <v>0</v>
      </c>
    </row>
    <row r="4755" spans="1:8" x14ac:dyDescent="0.3">
      <c r="A4755" t="s">
        <v>632</v>
      </c>
      <c r="B4755" t="s">
        <v>430</v>
      </c>
      <c r="C4755" t="s">
        <v>692</v>
      </c>
      <c r="D4755" t="s">
        <v>693</v>
      </c>
      <c r="E4755" t="s">
        <v>766</v>
      </c>
      <c r="F4755">
        <v>1</v>
      </c>
      <c r="G4755" s="308">
        <f>'JOVENES PROTAGONISTAS'!E5</f>
        <v>0</v>
      </c>
      <c r="H4755" s="308">
        <f>'JOVENES PROTAGONISTAS'!F5</f>
        <v>0</v>
      </c>
    </row>
    <row r="4756" spans="1:8" x14ac:dyDescent="0.3">
      <c r="A4756" t="s">
        <v>632</v>
      </c>
      <c r="B4756" t="s">
        <v>430</v>
      </c>
      <c r="C4756" t="s">
        <v>692</v>
      </c>
      <c r="D4756" t="s">
        <v>693</v>
      </c>
      <c r="E4756" t="s">
        <v>767</v>
      </c>
      <c r="F4756">
        <v>2</v>
      </c>
      <c r="G4756" s="308">
        <f>'JOVENES PROTAGONISTAS'!G5</f>
        <v>280</v>
      </c>
      <c r="H4756" s="308">
        <f>'JOVENES PROTAGONISTAS'!H5</f>
        <v>28137.768028279654</v>
      </c>
    </row>
    <row r="4757" spans="1:8" x14ac:dyDescent="0.3">
      <c r="A4757" t="s">
        <v>632</v>
      </c>
      <c r="B4757" t="s">
        <v>430</v>
      </c>
      <c r="C4757" t="s">
        <v>692</v>
      </c>
      <c r="D4757" t="s">
        <v>693</v>
      </c>
      <c r="E4757" t="s">
        <v>768</v>
      </c>
      <c r="F4757">
        <v>3</v>
      </c>
      <c r="G4757" s="308">
        <f>'JOVENES PROTAGONISTAS'!I5</f>
        <v>275</v>
      </c>
      <c r="H4757" s="308">
        <f>'JOVENES PROTAGONISTAS'!J5</f>
        <v>45583.772004542872</v>
      </c>
    </row>
    <row r="4758" spans="1:8" x14ac:dyDescent="0.3">
      <c r="A4758" t="s">
        <v>632</v>
      </c>
      <c r="B4758" t="s">
        <v>430</v>
      </c>
      <c r="C4758" t="s">
        <v>692</v>
      </c>
      <c r="D4758" t="s">
        <v>693</v>
      </c>
      <c r="E4758" t="s">
        <v>769</v>
      </c>
      <c r="F4758">
        <v>4</v>
      </c>
      <c r="G4758" s="308">
        <f>'JOVENES PROTAGONISTAS'!K5</f>
        <v>29</v>
      </c>
      <c r="H4758" s="308">
        <f>'JOVENES PROTAGONISTAS'!L5</f>
        <v>24931.105172591448</v>
      </c>
    </row>
    <row r="4759" spans="1:8" x14ac:dyDescent="0.3">
      <c r="A4759" t="s">
        <v>632</v>
      </c>
      <c r="B4759" t="s">
        <v>430</v>
      </c>
      <c r="C4759" t="s">
        <v>692</v>
      </c>
      <c r="D4759" t="s">
        <v>693</v>
      </c>
      <c r="E4759" t="s">
        <v>770</v>
      </c>
      <c r="F4759">
        <v>5</v>
      </c>
      <c r="G4759" s="308">
        <f>'JOVENES PROTAGONISTAS'!M5</f>
        <v>28</v>
      </c>
      <c r="H4759" s="308">
        <f>'JOVENES PROTAGONISTAS'!N5</f>
        <v>28237.921304103431</v>
      </c>
    </row>
    <row r="4760" spans="1:8" x14ac:dyDescent="0.3">
      <c r="A4760" t="s">
        <v>632</v>
      </c>
      <c r="B4760" t="s">
        <v>430</v>
      </c>
      <c r="C4760" t="s">
        <v>692</v>
      </c>
      <c r="D4760" t="s">
        <v>693</v>
      </c>
      <c r="E4760" t="s">
        <v>771</v>
      </c>
      <c r="F4760">
        <v>6</v>
      </c>
      <c r="G4760" s="308">
        <f>'JOVENES PROTAGONISTAS'!O5</f>
        <v>268</v>
      </c>
      <c r="H4760" s="308">
        <f>'JOVENES PROTAGONISTAS'!P5</f>
        <v>61627.923430107527</v>
      </c>
    </row>
    <row r="4761" spans="1:8" x14ac:dyDescent="0.3">
      <c r="A4761" t="s">
        <v>632</v>
      </c>
      <c r="B4761" t="s">
        <v>430</v>
      </c>
      <c r="C4761" t="s">
        <v>692</v>
      </c>
      <c r="D4761" t="s">
        <v>693</v>
      </c>
      <c r="E4761" t="s">
        <v>772</v>
      </c>
      <c r="F4761">
        <v>7</v>
      </c>
      <c r="G4761" s="308">
        <f>'JOVENES PROTAGONISTAS'!Q5</f>
        <v>102</v>
      </c>
      <c r="H4761" s="308">
        <f>'JOVENES PROTAGONISTAS'!R5</f>
        <v>80623.501677893437</v>
      </c>
    </row>
    <row r="4762" spans="1:8" x14ac:dyDescent="0.3">
      <c r="A4762" t="s">
        <v>632</v>
      </c>
      <c r="B4762" t="s">
        <v>430</v>
      </c>
      <c r="C4762" t="s">
        <v>694</v>
      </c>
      <c r="D4762" t="s">
        <v>693</v>
      </c>
      <c r="E4762" t="s">
        <v>766</v>
      </c>
      <c r="F4762">
        <v>1</v>
      </c>
      <c r="G4762" s="308">
        <f>'JOVENES PROTAGONISTAS'!E6</f>
        <v>0</v>
      </c>
      <c r="H4762" s="308">
        <f>'JOVENES PROTAGONISTAS'!F6</f>
        <v>0</v>
      </c>
    </row>
    <row r="4763" spans="1:8" x14ac:dyDescent="0.3">
      <c r="A4763" t="s">
        <v>632</v>
      </c>
      <c r="B4763" t="s">
        <v>430</v>
      </c>
      <c r="C4763" t="s">
        <v>694</v>
      </c>
      <c r="D4763" t="s">
        <v>693</v>
      </c>
      <c r="E4763" t="s">
        <v>767</v>
      </c>
      <c r="F4763">
        <v>2</v>
      </c>
      <c r="G4763" s="308">
        <f>'JOVENES PROTAGONISTAS'!G6</f>
        <v>130</v>
      </c>
      <c r="H4763" s="308">
        <f>'JOVENES PROTAGONISTAS'!H6</f>
        <v>13063.963727415554</v>
      </c>
    </row>
    <row r="4764" spans="1:8" x14ac:dyDescent="0.3">
      <c r="A4764" t="s">
        <v>632</v>
      </c>
      <c r="B4764" t="s">
        <v>430</v>
      </c>
      <c r="C4764" t="s">
        <v>694</v>
      </c>
      <c r="D4764" t="s">
        <v>693</v>
      </c>
      <c r="E4764" t="s">
        <v>768</v>
      </c>
      <c r="F4764">
        <v>3</v>
      </c>
      <c r="G4764" s="308">
        <f>'JOVENES PROTAGONISTAS'!I6</f>
        <v>174</v>
      </c>
      <c r="H4764" s="308">
        <f>'JOVENES PROTAGONISTAS'!J6</f>
        <v>28842.095741056219</v>
      </c>
    </row>
    <row r="4765" spans="1:8" x14ac:dyDescent="0.3">
      <c r="A4765" t="s">
        <v>632</v>
      </c>
      <c r="B4765" t="s">
        <v>430</v>
      </c>
      <c r="C4765" t="s">
        <v>694</v>
      </c>
      <c r="D4765" t="s">
        <v>693</v>
      </c>
      <c r="E4765" t="s">
        <v>769</v>
      </c>
      <c r="F4765">
        <v>4</v>
      </c>
      <c r="G4765" s="308">
        <f>'JOVENES PROTAGONISTAS'!K6</f>
        <v>38</v>
      </c>
      <c r="H4765" s="308">
        <f>'JOVENES PROTAGONISTAS'!L6</f>
        <v>32668.344708912929</v>
      </c>
    </row>
    <row r="4766" spans="1:8" x14ac:dyDescent="0.3">
      <c r="A4766" t="s">
        <v>632</v>
      </c>
      <c r="B4766" t="s">
        <v>430</v>
      </c>
      <c r="C4766" t="s">
        <v>694</v>
      </c>
      <c r="D4766" t="s">
        <v>693</v>
      </c>
      <c r="E4766" t="s">
        <v>770</v>
      </c>
      <c r="F4766">
        <v>5</v>
      </c>
      <c r="G4766" s="308">
        <f>'JOVENES PROTAGONISTAS'!M6</f>
        <v>14</v>
      </c>
      <c r="H4766" s="308">
        <f>'JOVENES PROTAGONISTAS'!N6</f>
        <v>14118.960652051715</v>
      </c>
    </row>
    <row r="4767" spans="1:8" x14ac:dyDescent="0.3">
      <c r="A4767" t="s">
        <v>632</v>
      </c>
      <c r="B4767" t="s">
        <v>430</v>
      </c>
      <c r="C4767" t="s">
        <v>694</v>
      </c>
      <c r="D4767" t="s">
        <v>693</v>
      </c>
      <c r="E4767" t="s">
        <v>771</v>
      </c>
      <c r="F4767">
        <v>6</v>
      </c>
      <c r="G4767" s="308">
        <f>'JOVENES PROTAGONISTAS'!O6</f>
        <v>134</v>
      </c>
      <c r="H4767" s="308">
        <f>'JOVENES PROTAGONISTAS'!P6</f>
        <v>30813.961715053763</v>
      </c>
    </row>
    <row r="4768" spans="1:8" x14ac:dyDescent="0.3">
      <c r="A4768" t="s">
        <v>632</v>
      </c>
      <c r="B4768" t="s">
        <v>430</v>
      </c>
      <c r="C4768" t="s">
        <v>694</v>
      </c>
      <c r="D4768" t="s">
        <v>693</v>
      </c>
      <c r="E4768" t="s">
        <v>772</v>
      </c>
      <c r="F4768">
        <v>7</v>
      </c>
      <c r="G4768" s="308">
        <f>'JOVENES PROTAGONISTAS'!Q6</f>
        <v>42</v>
      </c>
      <c r="H4768" s="308">
        <f>'JOVENES PROTAGONISTAS'!R6</f>
        <v>33197.912455603182</v>
      </c>
    </row>
    <row r="4769" spans="1:8" x14ac:dyDescent="0.3">
      <c r="A4769" t="s">
        <v>632</v>
      </c>
      <c r="B4769" t="s">
        <v>430</v>
      </c>
      <c r="C4769" t="s">
        <v>427</v>
      </c>
      <c r="D4769" t="s">
        <v>693</v>
      </c>
      <c r="E4769" t="s">
        <v>766</v>
      </c>
      <c r="F4769">
        <v>1</v>
      </c>
      <c r="G4769" s="308">
        <f>'JOVENES PROTAGONISTAS'!E7</f>
        <v>0</v>
      </c>
      <c r="H4769" s="308">
        <f>'JOVENES PROTAGONISTAS'!F7</f>
        <v>0</v>
      </c>
    </row>
    <row r="4770" spans="1:8" x14ac:dyDescent="0.3">
      <c r="A4770" t="s">
        <v>632</v>
      </c>
      <c r="B4770" t="s">
        <v>430</v>
      </c>
      <c r="C4770" t="s">
        <v>427</v>
      </c>
      <c r="D4770" t="s">
        <v>693</v>
      </c>
      <c r="E4770" t="s">
        <v>767</v>
      </c>
      <c r="F4770">
        <v>2</v>
      </c>
      <c r="G4770" s="308">
        <f>'JOVENES PROTAGONISTAS'!G7</f>
        <v>354</v>
      </c>
      <c r="H4770" s="308">
        <f>'JOVENES PROTAGONISTAS'!H7</f>
        <v>35574.178150039275</v>
      </c>
    </row>
    <row r="4771" spans="1:8" x14ac:dyDescent="0.3">
      <c r="A4771" t="s">
        <v>632</v>
      </c>
      <c r="B4771" t="s">
        <v>430</v>
      </c>
      <c r="C4771" t="s">
        <v>427</v>
      </c>
      <c r="D4771" t="s">
        <v>693</v>
      </c>
      <c r="E4771" t="s">
        <v>768</v>
      </c>
      <c r="F4771">
        <v>3</v>
      </c>
      <c r="G4771" s="308">
        <f>'JOVENES PROTAGONISTAS'!I7</f>
        <v>373</v>
      </c>
      <c r="H4771" s="308">
        <f>'JOVENES PROTAGONISTAS'!J7</f>
        <v>61828.1707552527</v>
      </c>
    </row>
    <row r="4772" spans="1:8" x14ac:dyDescent="0.3">
      <c r="A4772" t="s">
        <v>632</v>
      </c>
      <c r="B4772" t="s">
        <v>430</v>
      </c>
      <c r="C4772" t="s">
        <v>427</v>
      </c>
      <c r="D4772" t="s">
        <v>693</v>
      </c>
      <c r="E4772" t="s">
        <v>769</v>
      </c>
      <c r="F4772">
        <v>4</v>
      </c>
      <c r="G4772" s="308">
        <f>'JOVENES PROTAGONISTAS'!K7</f>
        <v>39</v>
      </c>
      <c r="H4772" s="308">
        <f>'JOVENES PROTAGONISTAS'!L7</f>
        <v>33528.037990726429</v>
      </c>
    </row>
    <row r="4773" spans="1:8" x14ac:dyDescent="0.3">
      <c r="A4773" t="s">
        <v>632</v>
      </c>
      <c r="B4773" t="s">
        <v>430</v>
      </c>
      <c r="C4773" t="s">
        <v>427</v>
      </c>
      <c r="D4773" t="s">
        <v>693</v>
      </c>
      <c r="E4773" t="s">
        <v>770</v>
      </c>
      <c r="F4773">
        <v>5</v>
      </c>
      <c r="G4773" s="308">
        <f>'JOVENES PROTAGONISTAS'!M7</f>
        <v>9</v>
      </c>
      <c r="H4773" s="308">
        <f>'JOVENES PROTAGONISTAS'!N7</f>
        <v>9076.4747048903882</v>
      </c>
    </row>
    <row r="4774" spans="1:8" x14ac:dyDescent="0.3">
      <c r="A4774" t="s">
        <v>632</v>
      </c>
      <c r="B4774" t="s">
        <v>430</v>
      </c>
      <c r="C4774" t="s">
        <v>427</v>
      </c>
      <c r="D4774" t="s">
        <v>693</v>
      </c>
      <c r="E4774" t="s">
        <v>771</v>
      </c>
      <c r="F4774">
        <v>6</v>
      </c>
      <c r="G4774" s="308">
        <f>'JOVENES PROTAGONISTAS'!O7</f>
        <v>377</v>
      </c>
      <c r="H4774" s="308">
        <f>'JOVENES PROTAGONISTAS'!P7</f>
        <v>86693.011690860207</v>
      </c>
    </row>
    <row r="4775" spans="1:8" x14ac:dyDescent="0.3">
      <c r="A4775" t="s">
        <v>632</v>
      </c>
      <c r="B4775" t="s">
        <v>430</v>
      </c>
      <c r="C4775" t="s">
        <v>427</v>
      </c>
      <c r="D4775" t="s">
        <v>693</v>
      </c>
      <c r="E4775" t="s">
        <v>772</v>
      </c>
      <c r="F4775">
        <v>7</v>
      </c>
      <c r="G4775" s="308">
        <f>'JOVENES PROTAGONISTAS'!Q7</f>
        <v>202</v>
      </c>
      <c r="H4775" s="308">
        <f>'JOVENES PROTAGONISTAS'!R7</f>
        <v>159666.15038171053</v>
      </c>
    </row>
    <row r="4776" spans="1:8" x14ac:dyDescent="0.3">
      <c r="A4776" t="s">
        <v>632</v>
      </c>
      <c r="B4776" t="s">
        <v>430</v>
      </c>
      <c r="C4776" t="s">
        <v>695</v>
      </c>
      <c r="D4776" t="s">
        <v>693</v>
      </c>
      <c r="E4776" t="s">
        <v>766</v>
      </c>
      <c r="F4776">
        <v>1</v>
      </c>
      <c r="G4776" s="308">
        <f>'JOVENES PROTAGONISTAS'!E8</f>
        <v>0</v>
      </c>
      <c r="H4776" s="308">
        <f>'JOVENES PROTAGONISTAS'!F8</f>
        <v>0</v>
      </c>
    </row>
    <row r="4777" spans="1:8" x14ac:dyDescent="0.3">
      <c r="A4777" t="s">
        <v>632</v>
      </c>
      <c r="B4777" t="s">
        <v>430</v>
      </c>
      <c r="C4777" t="s">
        <v>695</v>
      </c>
      <c r="D4777" t="s">
        <v>693</v>
      </c>
      <c r="E4777" t="s">
        <v>767</v>
      </c>
      <c r="F4777">
        <v>2</v>
      </c>
      <c r="G4777" s="308">
        <f>'JOVENES PROTAGONISTAS'!G8</f>
        <v>204</v>
      </c>
      <c r="H4777" s="308">
        <f>'JOVENES PROTAGONISTAS'!H8</f>
        <v>20500.373849175176</v>
      </c>
    </row>
    <row r="4778" spans="1:8" x14ac:dyDescent="0.3">
      <c r="A4778" t="s">
        <v>632</v>
      </c>
      <c r="B4778" t="s">
        <v>430</v>
      </c>
      <c r="C4778" t="s">
        <v>695</v>
      </c>
      <c r="D4778" t="s">
        <v>693</v>
      </c>
      <c r="E4778" t="s">
        <v>768</v>
      </c>
      <c r="F4778">
        <v>3</v>
      </c>
      <c r="G4778" s="308">
        <f>'JOVENES PROTAGONISTAS'!I8</f>
        <v>171</v>
      </c>
      <c r="H4778" s="308">
        <f>'JOVENES PROTAGONISTAS'!J8</f>
        <v>28344.818228279386</v>
      </c>
    </row>
    <row r="4779" spans="1:8" x14ac:dyDescent="0.3">
      <c r="A4779" t="s">
        <v>632</v>
      </c>
      <c r="B4779" t="s">
        <v>430</v>
      </c>
      <c r="C4779" t="s">
        <v>695</v>
      </c>
      <c r="D4779" t="s">
        <v>693</v>
      </c>
      <c r="E4779" t="s">
        <v>769</v>
      </c>
      <c r="F4779">
        <v>4</v>
      </c>
      <c r="G4779" s="308">
        <f>'JOVENES PROTAGONISTAS'!K8</f>
        <v>12</v>
      </c>
      <c r="H4779" s="308">
        <f>'JOVENES PROTAGONISTAS'!L8</f>
        <v>10316.319381761978</v>
      </c>
    </row>
    <row r="4780" spans="1:8" x14ac:dyDescent="0.3">
      <c r="A4780" t="s">
        <v>632</v>
      </c>
      <c r="B4780" t="s">
        <v>430</v>
      </c>
      <c r="C4780" t="s">
        <v>695</v>
      </c>
      <c r="D4780" t="s">
        <v>693</v>
      </c>
      <c r="E4780" t="s">
        <v>770</v>
      </c>
      <c r="F4780">
        <v>5</v>
      </c>
      <c r="G4780" s="308">
        <f>'JOVENES PROTAGONISTAS'!M8</f>
        <v>5</v>
      </c>
      <c r="H4780" s="308">
        <f>'JOVENES PROTAGONISTAS'!N8</f>
        <v>5042.4859471613272</v>
      </c>
    </row>
    <row r="4781" spans="1:8" x14ac:dyDescent="0.3">
      <c r="A4781" t="s">
        <v>632</v>
      </c>
      <c r="B4781" t="s">
        <v>430</v>
      </c>
      <c r="C4781" t="s">
        <v>695</v>
      </c>
      <c r="D4781" t="s">
        <v>693</v>
      </c>
      <c r="E4781" t="s">
        <v>771</v>
      </c>
      <c r="F4781">
        <v>6</v>
      </c>
      <c r="G4781" s="308">
        <f>'JOVENES PROTAGONISTAS'!O8</f>
        <v>123</v>
      </c>
      <c r="H4781" s="308">
        <f>'JOVENES PROTAGONISTAS'!P8</f>
        <v>28284.457395161287</v>
      </c>
    </row>
    <row r="4782" spans="1:8" x14ac:dyDescent="0.3">
      <c r="A4782" t="s">
        <v>632</v>
      </c>
      <c r="B4782" t="s">
        <v>430</v>
      </c>
      <c r="C4782" t="s">
        <v>695</v>
      </c>
      <c r="D4782" t="s">
        <v>693</v>
      </c>
      <c r="E4782" t="s">
        <v>772</v>
      </c>
      <c r="F4782">
        <v>7</v>
      </c>
      <c r="G4782" s="308">
        <f>'JOVENES PROTAGONISTAS'!Q8</f>
        <v>53</v>
      </c>
      <c r="H4782" s="308">
        <f>'JOVENES PROTAGONISTAS'!R8</f>
        <v>41892.603813023059</v>
      </c>
    </row>
    <row r="4783" spans="1:8" x14ac:dyDescent="0.3">
      <c r="A4783" t="s">
        <v>632</v>
      </c>
      <c r="B4783" t="s">
        <v>430</v>
      </c>
      <c r="C4783" t="s">
        <v>696</v>
      </c>
      <c r="D4783" t="s">
        <v>693</v>
      </c>
      <c r="E4783" t="s">
        <v>766</v>
      </c>
      <c r="F4783">
        <v>1</v>
      </c>
      <c r="G4783" s="308">
        <f>'JOVENES PROTAGONISTAS'!E9</f>
        <v>0</v>
      </c>
      <c r="H4783" s="308">
        <f>'JOVENES PROTAGONISTAS'!F9</f>
        <v>0</v>
      </c>
    </row>
    <row r="4784" spans="1:8" x14ac:dyDescent="0.3">
      <c r="A4784" t="s">
        <v>632</v>
      </c>
      <c r="B4784" t="s">
        <v>430</v>
      </c>
      <c r="C4784" t="s">
        <v>696</v>
      </c>
      <c r="D4784" t="s">
        <v>693</v>
      </c>
      <c r="E4784" t="s">
        <v>767</v>
      </c>
      <c r="F4784">
        <v>2</v>
      </c>
      <c r="G4784" s="308">
        <f>'JOVENES PROTAGONISTAS'!G9</f>
        <v>108</v>
      </c>
      <c r="H4784" s="308">
        <f>'JOVENES PROTAGONISTAS'!H9</f>
        <v>10853.139096622153</v>
      </c>
    </row>
    <row r="4785" spans="1:8" x14ac:dyDescent="0.3">
      <c r="A4785" t="s">
        <v>632</v>
      </c>
      <c r="B4785" t="s">
        <v>430</v>
      </c>
      <c r="C4785" t="s">
        <v>696</v>
      </c>
      <c r="D4785" t="s">
        <v>693</v>
      </c>
      <c r="E4785" t="s">
        <v>768</v>
      </c>
      <c r="F4785">
        <v>3</v>
      </c>
      <c r="G4785" s="308">
        <f>'JOVENES PROTAGONISTAS'!I9</f>
        <v>167</v>
      </c>
      <c r="H4785" s="308">
        <f>'JOVENES PROTAGONISTAS'!J9</f>
        <v>27681.781544576945</v>
      </c>
    </row>
    <row r="4786" spans="1:8" x14ac:dyDescent="0.3">
      <c r="A4786" t="s">
        <v>632</v>
      </c>
      <c r="B4786" t="s">
        <v>430</v>
      </c>
      <c r="C4786" t="s">
        <v>696</v>
      </c>
      <c r="D4786" t="s">
        <v>693</v>
      </c>
      <c r="E4786" t="s">
        <v>769</v>
      </c>
      <c r="F4786">
        <v>4</v>
      </c>
      <c r="G4786" s="308">
        <f>'JOVENES PROTAGONISTAS'!K9</f>
        <v>15</v>
      </c>
      <c r="H4786" s="308">
        <f>'JOVENES PROTAGONISTAS'!L9</f>
        <v>12895.399227202473</v>
      </c>
    </row>
    <row r="4787" spans="1:8" x14ac:dyDescent="0.3">
      <c r="A4787" t="s">
        <v>632</v>
      </c>
      <c r="B4787" t="s">
        <v>430</v>
      </c>
      <c r="C4787" t="s">
        <v>696</v>
      </c>
      <c r="D4787" t="s">
        <v>693</v>
      </c>
      <c r="E4787" t="s">
        <v>770</v>
      </c>
      <c r="F4787">
        <v>5</v>
      </c>
      <c r="G4787" s="308">
        <f>'JOVENES PROTAGONISTAS'!M9</f>
        <v>8</v>
      </c>
      <c r="H4787" s="308">
        <f>'JOVENES PROTAGONISTAS'!N9</f>
        <v>8067.977515458123</v>
      </c>
    </row>
    <row r="4788" spans="1:8" x14ac:dyDescent="0.3">
      <c r="A4788" t="s">
        <v>632</v>
      </c>
      <c r="B4788" t="s">
        <v>430</v>
      </c>
      <c r="C4788" t="s">
        <v>696</v>
      </c>
      <c r="D4788" t="s">
        <v>693</v>
      </c>
      <c r="E4788" t="s">
        <v>771</v>
      </c>
      <c r="F4788">
        <v>6</v>
      </c>
      <c r="G4788" s="308">
        <f>'JOVENES PROTAGONISTAS'!O9</f>
        <v>125</v>
      </c>
      <c r="H4788" s="308">
        <f>'JOVENES PROTAGONISTAS'!P9</f>
        <v>28744.367271505376</v>
      </c>
    </row>
    <row r="4789" spans="1:8" x14ac:dyDescent="0.3">
      <c r="A4789" t="s">
        <v>632</v>
      </c>
      <c r="B4789" t="s">
        <v>430</v>
      </c>
      <c r="C4789" t="s">
        <v>696</v>
      </c>
      <c r="D4789" t="s">
        <v>693</v>
      </c>
      <c r="E4789" t="s">
        <v>772</v>
      </c>
      <c r="F4789">
        <v>7</v>
      </c>
      <c r="G4789" s="308">
        <f>'JOVENES PROTAGONISTAS'!Q9</f>
        <v>11</v>
      </c>
      <c r="H4789" s="308">
        <f>'JOVENES PROTAGONISTAS'!R9</f>
        <v>8694.6913574198807</v>
      </c>
    </row>
    <row r="4790" spans="1:8" x14ac:dyDescent="0.3">
      <c r="A4790" t="s">
        <v>632</v>
      </c>
      <c r="B4790" t="s">
        <v>430</v>
      </c>
      <c r="C4790" t="s">
        <v>430</v>
      </c>
      <c r="D4790" t="s">
        <v>693</v>
      </c>
      <c r="E4790" t="s">
        <v>766</v>
      </c>
      <c r="F4790">
        <v>1</v>
      </c>
      <c r="G4790" s="308">
        <f>'JOVENES PROTAGONISTAS'!E10</f>
        <v>0</v>
      </c>
      <c r="H4790" s="308">
        <f>'JOVENES PROTAGONISTAS'!F10</f>
        <v>0</v>
      </c>
    </row>
    <row r="4791" spans="1:8" x14ac:dyDescent="0.3">
      <c r="A4791" t="s">
        <v>632</v>
      </c>
      <c r="B4791" t="s">
        <v>430</v>
      </c>
      <c r="C4791" t="s">
        <v>430</v>
      </c>
      <c r="D4791" t="s">
        <v>693</v>
      </c>
      <c r="E4791" t="s">
        <v>767</v>
      </c>
      <c r="F4791">
        <v>2</v>
      </c>
      <c r="G4791" s="308">
        <f>'JOVENES PROTAGONISTAS'!G10</f>
        <v>967</v>
      </c>
      <c r="H4791" s="308">
        <f>'JOVENES PROTAGONISTAS'!H10</f>
        <v>97175.791726237236</v>
      </c>
    </row>
    <row r="4792" spans="1:8" x14ac:dyDescent="0.3">
      <c r="A4792" t="s">
        <v>632</v>
      </c>
      <c r="B4792" t="s">
        <v>430</v>
      </c>
      <c r="C4792" t="s">
        <v>430</v>
      </c>
      <c r="D4792" t="s">
        <v>693</v>
      </c>
      <c r="E4792" t="s">
        <v>768</v>
      </c>
      <c r="F4792">
        <v>3</v>
      </c>
      <c r="G4792" s="308">
        <f>'JOVENES PROTAGONISTAS'!I10</f>
        <v>946</v>
      </c>
      <c r="H4792" s="308">
        <f>'JOVENES PROTAGONISTAS'!J10</f>
        <v>156808.17569562749</v>
      </c>
    </row>
    <row r="4793" spans="1:8" x14ac:dyDescent="0.3">
      <c r="A4793" t="s">
        <v>632</v>
      </c>
      <c r="B4793" t="s">
        <v>430</v>
      </c>
      <c r="C4793" t="s">
        <v>430</v>
      </c>
      <c r="D4793" t="s">
        <v>693</v>
      </c>
      <c r="E4793" t="s">
        <v>769</v>
      </c>
      <c r="F4793">
        <v>4</v>
      </c>
      <c r="G4793" s="308">
        <f>'JOVENES PROTAGONISTAS'!K10</f>
        <v>153</v>
      </c>
      <c r="H4793" s="308">
        <f>'JOVENES PROTAGONISTAS'!L10</f>
        <v>131533.07211746523</v>
      </c>
    </row>
    <row r="4794" spans="1:8" x14ac:dyDescent="0.3">
      <c r="A4794" t="s">
        <v>632</v>
      </c>
      <c r="B4794" t="s">
        <v>430</v>
      </c>
      <c r="C4794" t="s">
        <v>430</v>
      </c>
      <c r="D4794" t="s">
        <v>693</v>
      </c>
      <c r="E4794" t="s">
        <v>770</v>
      </c>
      <c r="F4794">
        <v>5</v>
      </c>
      <c r="G4794" s="308">
        <f>'JOVENES PROTAGONISTAS'!M10</f>
        <v>247</v>
      </c>
      <c r="H4794" s="308">
        <f>'JOVENES PROTAGONISTAS'!N10</f>
        <v>249098.80578976954</v>
      </c>
    </row>
    <row r="4795" spans="1:8" x14ac:dyDescent="0.3">
      <c r="A4795" t="s">
        <v>632</v>
      </c>
      <c r="B4795" t="s">
        <v>430</v>
      </c>
      <c r="C4795" t="s">
        <v>430</v>
      </c>
      <c r="D4795" t="s">
        <v>693</v>
      </c>
      <c r="E4795" t="s">
        <v>771</v>
      </c>
      <c r="F4795">
        <v>6</v>
      </c>
      <c r="G4795" s="308">
        <f>'JOVENES PROTAGONISTAS'!O10</f>
        <v>990</v>
      </c>
      <c r="H4795" s="308">
        <f>'JOVENES PROTAGONISTAS'!P10</f>
        <v>227655.38879032258</v>
      </c>
    </row>
    <row r="4796" spans="1:8" x14ac:dyDescent="0.3">
      <c r="A4796" t="s">
        <v>632</v>
      </c>
      <c r="B4796" t="s">
        <v>430</v>
      </c>
      <c r="C4796" t="s">
        <v>430</v>
      </c>
      <c r="D4796" t="s">
        <v>693</v>
      </c>
      <c r="E4796" t="s">
        <v>772</v>
      </c>
      <c r="F4796">
        <v>7</v>
      </c>
      <c r="G4796" s="308">
        <f>'JOVENES PROTAGONISTAS'!Q10</f>
        <v>463</v>
      </c>
      <c r="H4796" s="308">
        <f>'JOVENES PROTAGONISTAS'!R10</f>
        <v>365967.46349867317</v>
      </c>
    </row>
    <row r="4797" spans="1:8" x14ac:dyDescent="0.3">
      <c r="A4797" t="s">
        <v>632</v>
      </c>
      <c r="B4797" t="s">
        <v>430</v>
      </c>
      <c r="C4797" t="s">
        <v>431</v>
      </c>
      <c r="D4797" t="s">
        <v>693</v>
      </c>
      <c r="E4797" t="s">
        <v>766</v>
      </c>
      <c r="F4797">
        <v>1</v>
      </c>
      <c r="G4797" s="308">
        <f>'JOVENES PROTAGONISTAS'!E11</f>
        <v>0</v>
      </c>
      <c r="H4797" s="308">
        <f>'JOVENES PROTAGONISTAS'!F11</f>
        <v>0</v>
      </c>
    </row>
    <row r="4798" spans="1:8" x14ac:dyDescent="0.3">
      <c r="A4798" t="s">
        <v>632</v>
      </c>
      <c r="B4798" t="s">
        <v>430</v>
      </c>
      <c r="C4798" t="s">
        <v>431</v>
      </c>
      <c r="D4798" t="s">
        <v>693</v>
      </c>
      <c r="E4798" t="s">
        <v>767</v>
      </c>
      <c r="F4798">
        <v>2</v>
      </c>
      <c r="G4798" s="308">
        <f>'JOVENES PROTAGONISTAS'!G11</f>
        <v>0</v>
      </c>
      <c r="H4798" s="308">
        <f>'JOVENES PROTAGONISTAS'!H11</f>
        <v>0</v>
      </c>
    </row>
    <row r="4799" spans="1:8" x14ac:dyDescent="0.3">
      <c r="A4799" t="s">
        <v>632</v>
      </c>
      <c r="B4799" t="s">
        <v>430</v>
      </c>
      <c r="C4799" t="s">
        <v>431</v>
      </c>
      <c r="D4799" t="s">
        <v>693</v>
      </c>
      <c r="E4799" t="s">
        <v>768</v>
      </c>
      <c r="F4799">
        <v>3</v>
      </c>
      <c r="G4799" s="308">
        <f>'JOVENES PROTAGONISTAS'!I11</f>
        <v>0</v>
      </c>
      <c r="H4799" s="308">
        <f>'JOVENES PROTAGONISTAS'!J11</f>
        <v>0</v>
      </c>
    </row>
    <row r="4800" spans="1:8" x14ac:dyDescent="0.3">
      <c r="A4800" t="s">
        <v>632</v>
      </c>
      <c r="B4800" t="s">
        <v>430</v>
      </c>
      <c r="C4800" t="s">
        <v>431</v>
      </c>
      <c r="D4800" t="s">
        <v>693</v>
      </c>
      <c r="E4800" t="s">
        <v>769</v>
      </c>
      <c r="F4800">
        <v>4</v>
      </c>
      <c r="G4800" s="308">
        <f>'JOVENES PROTAGONISTAS'!K11</f>
        <v>0</v>
      </c>
      <c r="H4800" s="308">
        <f>'JOVENES PROTAGONISTAS'!L11</f>
        <v>0</v>
      </c>
    </row>
    <row r="4801" spans="1:8" x14ac:dyDescent="0.3">
      <c r="A4801" t="s">
        <v>632</v>
      </c>
      <c r="B4801" t="s">
        <v>430</v>
      </c>
      <c r="C4801" t="s">
        <v>431</v>
      </c>
      <c r="D4801" t="s">
        <v>693</v>
      </c>
      <c r="E4801" t="s">
        <v>770</v>
      </c>
      <c r="F4801">
        <v>5</v>
      </c>
      <c r="G4801" s="308">
        <f>'JOVENES PROTAGONISTAS'!M11</f>
        <v>0</v>
      </c>
      <c r="H4801" s="308">
        <f>'JOVENES PROTAGONISTAS'!N11</f>
        <v>0</v>
      </c>
    </row>
    <row r="4802" spans="1:8" x14ac:dyDescent="0.3">
      <c r="A4802" t="s">
        <v>632</v>
      </c>
      <c r="B4802" t="s">
        <v>430</v>
      </c>
      <c r="C4802" t="s">
        <v>431</v>
      </c>
      <c r="D4802" t="s">
        <v>693</v>
      </c>
      <c r="E4802" t="s">
        <v>771</v>
      </c>
      <c r="F4802">
        <v>6</v>
      </c>
      <c r="G4802" s="308">
        <f>'JOVENES PROTAGONISTAS'!O11</f>
        <v>4</v>
      </c>
      <c r="H4802" s="308">
        <f>'JOVENES PROTAGONISTAS'!P11</f>
        <v>919.819752688172</v>
      </c>
    </row>
    <row r="4803" spans="1:8" x14ac:dyDescent="0.3">
      <c r="A4803" t="s">
        <v>632</v>
      </c>
      <c r="B4803" t="s">
        <v>430</v>
      </c>
      <c r="C4803" t="s">
        <v>431</v>
      </c>
      <c r="D4803" t="s">
        <v>693</v>
      </c>
      <c r="E4803" t="s">
        <v>772</v>
      </c>
      <c r="F4803">
        <v>7</v>
      </c>
      <c r="G4803" s="308">
        <f>'JOVENES PROTAGONISTAS'!Q11</f>
        <v>33</v>
      </c>
      <c r="H4803" s="308">
        <f>'JOVENES PROTAGONISTAS'!R11</f>
        <v>26084.074072259642</v>
      </c>
    </row>
    <row r="4804" spans="1:8" x14ac:dyDescent="0.3">
      <c r="A4804" t="s">
        <v>632</v>
      </c>
      <c r="B4804" t="s">
        <v>697</v>
      </c>
      <c r="C4804" t="s">
        <v>698</v>
      </c>
      <c r="D4804" t="s">
        <v>693</v>
      </c>
      <c r="E4804" t="s">
        <v>766</v>
      </c>
      <c r="F4804">
        <v>1</v>
      </c>
      <c r="G4804" s="308">
        <f>'JOVENES PROTAGONISTAS'!E12</f>
        <v>0</v>
      </c>
      <c r="H4804" s="308">
        <f>'JOVENES PROTAGONISTAS'!F12</f>
        <v>0</v>
      </c>
    </row>
    <row r="4805" spans="1:8" x14ac:dyDescent="0.3">
      <c r="A4805" t="s">
        <v>632</v>
      </c>
      <c r="B4805" t="s">
        <v>697</v>
      </c>
      <c r="C4805" t="s">
        <v>698</v>
      </c>
      <c r="D4805" t="s">
        <v>693</v>
      </c>
      <c r="E4805" t="s">
        <v>767</v>
      </c>
      <c r="F4805">
        <v>2</v>
      </c>
      <c r="G4805" s="308">
        <f>'JOVENES PROTAGONISTAS'!G12</f>
        <v>99</v>
      </c>
      <c r="H4805" s="308">
        <f>'JOVENES PROTAGONISTAS'!H12</f>
        <v>9948.7108385703068</v>
      </c>
    </row>
    <row r="4806" spans="1:8" x14ac:dyDescent="0.3">
      <c r="A4806" t="s">
        <v>632</v>
      </c>
      <c r="B4806" t="s">
        <v>697</v>
      </c>
      <c r="C4806" t="s">
        <v>698</v>
      </c>
      <c r="D4806" t="s">
        <v>693</v>
      </c>
      <c r="E4806" t="s">
        <v>768</v>
      </c>
      <c r="F4806">
        <v>3</v>
      </c>
      <c r="G4806" s="308">
        <f>'JOVENES PROTAGONISTAS'!I12</f>
        <v>93</v>
      </c>
      <c r="H4806" s="308">
        <f>'JOVENES PROTAGONISTAS'!J12</f>
        <v>15415.602896081771</v>
      </c>
    </row>
    <row r="4807" spans="1:8" x14ac:dyDescent="0.3">
      <c r="A4807" t="s">
        <v>632</v>
      </c>
      <c r="B4807" t="s">
        <v>697</v>
      </c>
      <c r="C4807" t="s">
        <v>698</v>
      </c>
      <c r="D4807" t="s">
        <v>693</v>
      </c>
      <c r="E4807" t="s">
        <v>769</v>
      </c>
      <c r="F4807">
        <v>4</v>
      </c>
      <c r="G4807" s="308">
        <f>'JOVENES PROTAGONISTAS'!K12</f>
        <v>20</v>
      </c>
      <c r="H4807" s="308">
        <f>'JOVENES PROTAGONISTAS'!L12</f>
        <v>17193.865636269962</v>
      </c>
    </row>
    <row r="4808" spans="1:8" x14ac:dyDescent="0.3">
      <c r="A4808" t="s">
        <v>632</v>
      </c>
      <c r="B4808" t="s">
        <v>697</v>
      </c>
      <c r="C4808" t="s">
        <v>698</v>
      </c>
      <c r="D4808" t="s">
        <v>693</v>
      </c>
      <c r="E4808" t="s">
        <v>770</v>
      </c>
      <c r="F4808">
        <v>5</v>
      </c>
      <c r="G4808" s="308">
        <f>'JOVENES PROTAGONISTAS'!M12</f>
        <v>0</v>
      </c>
      <c r="H4808" s="308">
        <f>'JOVENES PROTAGONISTAS'!N12</f>
        <v>0</v>
      </c>
    </row>
    <row r="4809" spans="1:8" x14ac:dyDescent="0.3">
      <c r="A4809" t="s">
        <v>632</v>
      </c>
      <c r="B4809" t="s">
        <v>697</v>
      </c>
      <c r="C4809" t="s">
        <v>698</v>
      </c>
      <c r="D4809" t="s">
        <v>693</v>
      </c>
      <c r="E4809" t="s">
        <v>771</v>
      </c>
      <c r="F4809">
        <v>6</v>
      </c>
      <c r="G4809" s="308">
        <f>'JOVENES PROTAGONISTAS'!O12</f>
        <v>120</v>
      </c>
      <c r="H4809" s="308">
        <f>'JOVENES PROTAGONISTAS'!P12</f>
        <v>27594.59258064516</v>
      </c>
    </row>
    <row r="4810" spans="1:8" x14ac:dyDescent="0.3">
      <c r="A4810" t="s">
        <v>632</v>
      </c>
      <c r="B4810" t="s">
        <v>697</v>
      </c>
      <c r="C4810" t="s">
        <v>698</v>
      </c>
      <c r="D4810" t="s">
        <v>693</v>
      </c>
      <c r="E4810" t="s">
        <v>772</v>
      </c>
      <c r="F4810">
        <v>7</v>
      </c>
      <c r="G4810" s="308">
        <f>'JOVENES PROTAGONISTAS'!Q12</f>
        <v>0</v>
      </c>
      <c r="H4810" s="308">
        <f>'JOVENES PROTAGONISTAS'!R12</f>
        <v>0</v>
      </c>
    </row>
    <row r="4811" spans="1:8" x14ac:dyDescent="0.3">
      <c r="A4811" t="s">
        <v>632</v>
      </c>
      <c r="B4811" t="s">
        <v>697</v>
      </c>
      <c r="C4811" t="s">
        <v>434</v>
      </c>
      <c r="D4811" t="s">
        <v>693</v>
      </c>
      <c r="E4811" t="s">
        <v>766</v>
      </c>
      <c r="F4811">
        <v>1</v>
      </c>
      <c r="G4811" s="308">
        <f>'JOVENES PROTAGONISTAS'!E13</f>
        <v>0</v>
      </c>
      <c r="H4811" s="308">
        <f>'JOVENES PROTAGONISTAS'!F13</f>
        <v>0</v>
      </c>
    </row>
    <row r="4812" spans="1:8" x14ac:dyDescent="0.3">
      <c r="A4812" t="s">
        <v>632</v>
      </c>
      <c r="B4812" t="s">
        <v>697</v>
      </c>
      <c r="C4812" t="s">
        <v>434</v>
      </c>
      <c r="D4812" t="s">
        <v>693</v>
      </c>
      <c r="E4812" t="s">
        <v>767</v>
      </c>
      <c r="F4812">
        <v>2</v>
      </c>
      <c r="G4812" s="308">
        <f>'JOVENES PROTAGONISTAS'!G13</f>
        <v>13</v>
      </c>
      <c r="H4812" s="308">
        <f>'JOVENES PROTAGONISTAS'!H13</f>
        <v>1306.3963727415553</v>
      </c>
    </row>
    <row r="4813" spans="1:8" x14ac:dyDescent="0.3">
      <c r="A4813" t="s">
        <v>632</v>
      </c>
      <c r="B4813" t="s">
        <v>697</v>
      </c>
      <c r="C4813" t="s">
        <v>434</v>
      </c>
      <c r="D4813" t="s">
        <v>693</v>
      </c>
      <c r="E4813" t="s">
        <v>768</v>
      </c>
      <c r="F4813">
        <v>3</v>
      </c>
      <c r="G4813" s="308">
        <f>'JOVENES PROTAGONISTAS'!I13</f>
        <v>7</v>
      </c>
      <c r="H4813" s="308">
        <f>'JOVENES PROTAGONISTAS'!J13</f>
        <v>1160.3141964792731</v>
      </c>
    </row>
    <row r="4814" spans="1:8" x14ac:dyDescent="0.3">
      <c r="A4814" t="s">
        <v>632</v>
      </c>
      <c r="B4814" t="s">
        <v>697</v>
      </c>
      <c r="C4814" t="s">
        <v>434</v>
      </c>
      <c r="D4814" t="s">
        <v>693</v>
      </c>
      <c r="E4814" t="s">
        <v>769</v>
      </c>
      <c r="F4814">
        <v>4</v>
      </c>
      <c r="G4814" s="308">
        <f>'JOVENES PROTAGONISTAS'!K13</f>
        <v>4</v>
      </c>
      <c r="H4814" s="308">
        <f>'JOVENES PROTAGONISTAS'!L13</f>
        <v>3438.7731272539927</v>
      </c>
    </row>
    <row r="4815" spans="1:8" x14ac:dyDescent="0.3">
      <c r="A4815" t="s">
        <v>632</v>
      </c>
      <c r="B4815" t="s">
        <v>697</v>
      </c>
      <c r="C4815" t="s">
        <v>434</v>
      </c>
      <c r="D4815" t="s">
        <v>693</v>
      </c>
      <c r="E4815" t="s">
        <v>770</v>
      </c>
      <c r="F4815">
        <v>5</v>
      </c>
      <c r="G4815" s="308">
        <f>'JOVENES PROTAGONISTAS'!M13</f>
        <v>0</v>
      </c>
      <c r="H4815" s="308">
        <f>'JOVENES PROTAGONISTAS'!N13</f>
        <v>0</v>
      </c>
    </row>
    <row r="4816" spans="1:8" x14ac:dyDescent="0.3">
      <c r="A4816" t="s">
        <v>632</v>
      </c>
      <c r="B4816" t="s">
        <v>697</v>
      </c>
      <c r="C4816" t="s">
        <v>434</v>
      </c>
      <c r="D4816" t="s">
        <v>693</v>
      </c>
      <c r="E4816" t="s">
        <v>771</v>
      </c>
      <c r="F4816">
        <v>6</v>
      </c>
      <c r="G4816" s="308">
        <f>'JOVENES PROTAGONISTAS'!O13</f>
        <v>0</v>
      </c>
      <c r="H4816" s="308">
        <f>'JOVENES PROTAGONISTAS'!P13</f>
        <v>0</v>
      </c>
    </row>
    <row r="4817" spans="1:8" x14ac:dyDescent="0.3">
      <c r="A4817" t="s">
        <v>632</v>
      </c>
      <c r="B4817" t="s">
        <v>697</v>
      </c>
      <c r="C4817" t="s">
        <v>434</v>
      </c>
      <c r="D4817" t="s">
        <v>693</v>
      </c>
      <c r="E4817" t="s">
        <v>772</v>
      </c>
      <c r="F4817">
        <v>7</v>
      </c>
      <c r="G4817" s="308">
        <f>'JOVENES PROTAGONISTAS'!Q13</f>
        <v>9</v>
      </c>
      <c r="H4817" s="308">
        <f>'JOVENES PROTAGONISTAS'!R13</f>
        <v>7113.8383833435391</v>
      </c>
    </row>
    <row r="4818" spans="1:8" x14ac:dyDescent="0.3">
      <c r="A4818" t="s">
        <v>632</v>
      </c>
      <c r="B4818" t="s">
        <v>697</v>
      </c>
      <c r="C4818" t="s">
        <v>435</v>
      </c>
      <c r="D4818" t="s">
        <v>693</v>
      </c>
      <c r="E4818" t="s">
        <v>766</v>
      </c>
      <c r="F4818">
        <v>1</v>
      </c>
      <c r="G4818" s="308">
        <f>'JOVENES PROTAGONISTAS'!E14</f>
        <v>0</v>
      </c>
      <c r="H4818" s="308">
        <f>'JOVENES PROTAGONISTAS'!F14</f>
        <v>0</v>
      </c>
    </row>
    <row r="4819" spans="1:8" x14ac:dyDescent="0.3">
      <c r="A4819" t="s">
        <v>632</v>
      </c>
      <c r="B4819" t="s">
        <v>697</v>
      </c>
      <c r="C4819" t="s">
        <v>435</v>
      </c>
      <c r="D4819" t="s">
        <v>693</v>
      </c>
      <c r="E4819" t="s">
        <v>767</v>
      </c>
      <c r="F4819">
        <v>2</v>
      </c>
      <c r="G4819" s="308">
        <f>'JOVENES PROTAGONISTAS'!G14</f>
        <v>101</v>
      </c>
      <c r="H4819" s="308">
        <f>'JOVENES PROTAGONISTAS'!H14</f>
        <v>10149.694895915161</v>
      </c>
    </row>
    <row r="4820" spans="1:8" x14ac:dyDescent="0.3">
      <c r="A4820" t="s">
        <v>632</v>
      </c>
      <c r="B4820" t="s">
        <v>697</v>
      </c>
      <c r="C4820" t="s">
        <v>435</v>
      </c>
      <c r="D4820" t="s">
        <v>693</v>
      </c>
      <c r="E4820" t="s">
        <v>768</v>
      </c>
      <c r="F4820">
        <v>3</v>
      </c>
      <c r="G4820" s="308">
        <f>'JOVENES PROTAGONISTAS'!I14</f>
        <v>94</v>
      </c>
      <c r="H4820" s="308">
        <f>'JOVENES PROTAGONISTAS'!J14</f>
        <v>15581.362067007381</v>
      </c>
    </row>
    <row r="4821" spans="1:8" x14ac:dyDescent="0.3">
      <c r="A4821" t="s">
        <v>632</v>
      </c>
      <c r="B4821" t="s">
        <v>697</v>
      </c>
      <c r="C4821" t="s">
        <v>435</v>
      </c>
      <c r="D4821" t="s">
        <v>693</v>
      </c>
      <c r="E4821" t="s">
        <v>769</v>
      </c>
      <c r="F4821">
        <v>4</v>
      </c>
      <c r="G4821" s="308">
        <f>'JOVENES PROTAGONISTAS'!K14</f>
        <v>0</v>
      </c>
      <c r="H4821" s="308">
        <f>'JOVENES PROTAGONISTAS'!L14</f>
        <v>0</v>
      </c>
    </row>
    <row r="4822" spans="1:8" x14ac:dyDescent="0.3">
      <c r="A4822" t="s">
        <v>632</v>
      </c>
      <c r="B4822" t="s">
        <v>697</v>
      </c>
      <c r="C4822" t="s">
        <v>435</v>
      </c>
      <c r="D4822" t="s">
        <v>693</v>
      </c>
      <c r="E4822" t="s">
        <v>770</v>
      </c>
      <c r="F4822">
        <v>5</v>
      </c>
      <c r="G4822" s="308">
        <f>'JOVENES PROTAGONISTAS'!M14</f>
        <v>0</v>
      </c>
      <c r="H4822" s="308">
        <f>'JOVENES PROTAGONISTAS'!N14</f>
        <v>0</v>
      </c>
    </row>
    <row r="4823" spans="1:8" x14ac:dyDescent="0.3">
      <c r="A4823" t="s">
        <v>632</v>
      </c>
      <c r="B4823" t="s">
        <v>697</v>
      </c>
      <c r="C4823" t="s">
        <v>435</v>
      </c>
      <c r="D4823" t="s">
        <v>693</v>
      </c>
      <c r="E4823" t="s">
        <v>771</v>
      </c>
      <c r="F4823">
        <v>6</v>
      </c>
      <c r="G4823" s="308">
        <f>'JOVENES PROTAGONISTAS'!O14</f>
        <v>120</v>
      </c>
      <c r="H4823" s="308">
        <f>'JOVENES PROTAGONISTAS'!P14</f>
        <v>27594.59258064516</v>
      </c>
    </row>
    <row r="4824" spans="1:8" x14ac:dyDescent="0.3">
      <c r="A4824" t="s">
        <v>632</v>
      </c>
      <c r="B4824" t="s">
        <v>697</v>
      </c>
      <c r="C4824" t="s">
        <v>435</v>
      </c>
      <c r="D4824" t="s">
        <v>693</v>
      </c>
      <c r="E4824" t="s">
        <v>772</v>
      </c>
      <c r="F4824">
        <v>7</v>
      </c>
      <c r="G4824" s="308">
        <f>'JOVENES PROTAGONISTAS'!Q14</f>
        <v>0</v>
      </c>
      <c r="H4824" s="308">
        <f>'JOVENES PROTAGONISTAS'!R14</f>
        <v>0</v>
      </c>
    </row>
    <row r="4825" spans="1:8" x14ac:dyDescent="0.3">
      <c r="A4825" t="s">
        <v>632</v>
      </c>
      <c r="B4825" t="s">
        <v>697</v>
      </c>
      <c r="C4825" t="s">
        <v>699</v>
      </c>
      <c r="D4825" t="s">
        <v>693</v>
      </c>
      <c r="E4825" t="s">
        <v>766</v>
      </c>
      <c r="F4825">
        <v>1</v>
      </c>
      <c r="G4825" s="308">
        <f>'JOVENES PROTAGONISTAS'!E15</f>
        <v>0</v>
      </c>
      <c r="H4825" s="308">
        <f>'JOVENES PROTAGONISTAS'!F15</f>
        <v>0</v>
      </c>
    </row>
    <row r="4826" spans="1:8" x14ac:dyDescent="0.3">
      <c r="A4826" t="s">
        <v>632</v>
      </c>
      <c r="B4826" t="s">
        <v>697</v>
      </c>
      <c r="C4826" t="s">
        <v>699</v>
      </c>
      <c r="D4826" t="s">
        <v>693</v>
      </c>
      <c r="E4826" t="s">
        <v>767</v>
      </c>
      <c r="F4826">
        <v>2</v>
      </c>
      <c r="G4826" s="308">
        <f>'JOVENES PROTAGONISTAS'!G15</f>
        <v>125</v>
      </c>
      <c r="H4826" s="308">
        <f>'JOVENES PROTAGONISTAS'!H15</f>
        <v>12561.503584053416</v>
      </c>
    </row>
    <row r="4827" spans="1:8" x14ac:dyDescent="0.3">
      <c r="A4827" t="s">
        <v>632</v>
      </c>
      <c r="B4827" t="s">
        <v>697</v>
      </c>
      <c r="C4827" t="s">
        <v>699</v>
      </c>
      <c r="D4827" t="s">
        <v>693</v>
      </c>
      <c r="E4827" t="s">
        <v>768</v>
      </c>
      <c r="F4827">
        <v>3</v>
      </c>
      <c r="G4827" s="308">
        <f>'JOVENES PROTAGONISTAS'!I15</f>
        <v>160</v>
      </c>
      <c r="H4827" s="308">
        <f>'JOVENES PROTAGONISTAS'!J15</f>
        <v>26521.467348097671</v>
      </c>
    </row>
    <row r="4828" spans="1:8" x14ac:dyDescent="0.3">
      <c r="A4828" t="s">
        <v>632</v>
      </c>
      <c r="B4828" t="s">
        <v>697</v>
      </c>
      <c r="C4828" t="s">
        <v>699</v>
      </c>
      <c r="D4828" t="s">
        <v>693</v>
      </c>
      <c r="E4828" t="s">
        <v>769</v>
      </c>
      <c r="F4828">
        <v>4</v>
      </c>
      <c r="G4828" s="308">
        <f>'JOVENES PROTAGONISTAS'!K15</f>
        <v>21</v>
      </c>
      <c r="H4828" s="308">
        <f>'JOVENES PROTAGONISTAS'!L15</f>
        <v>18053.558918083461</v>
      </c>
    </row>
    <row r="4829" spans="1:8" x14ac:dyDescent="0.3">
      <c r="A4829" t="s">
        <v>632</v>
      </c>
      <c r="B4829" t="s">
        <v>697</v>
      </c>
      <c r="C4829" t="s">
        <v>699</v>
      </c>
      <c r="D4829" t="s">
        <v>693</v>
      </c>
      <c r="E4829" t="s">
        <v>770</v>
      </c>
      <c r="F4829">
        <v>5</v>
      </c>
      <c r="G4829" s="308">
        <f>'JOVENES PROTAGONISTAS'!M15</f>
        <v>0</v>
      </c>
      <c r="H4829" s="308">
        <f>'JOVENES PROTAGONISTAS'!N15</f>
        <v>0</v>
      </c>
    </row>
    <row r="4830" spans="1:8" x14ac:dyDescent="0.3">
      <c r="A4830" t="s">
        <v>632</v>
      </c>
      <c r="B4830" t="s">
        <v>697</v>
      </c>
      <c r="C4830" t="s">
        <v>699</v>
      </c>
      <c r="D4830" t="s">
        <v>693</v>
      </c>
      <c r="E4830" t="s">
        <v>771</v>
      </c>
      <c r="F4830">
        <v>6</v>
      </c>
      <c r="G4830" s="308">
        <f>'JOVENES PROTAGONISTAS'!O15</f>
        <v>120</v>
      </c>
      <c r="H4830" s="308">
        <f>'JOVENES PROTAGONISTAS'!P15</f>
        <v>27594.59258064516</v>
      </c>
    </row>
    <row r="4831" spans="1:8" x14ac:dyDescent="0.3">
      <c r="A4831" t="s">
        <v>632</v>
      </c>
      <c r="B4831" t="s">
        <v>697</v>
      </c>
      <c r="C4831" t="s">
        <v>699</v>
      </c>
      <c r="D4831" t="s">
        <v>693</v>
      </c>
      <c r="E4831" t="s">
        <v>772</v>
      </c>
      <c r="F4831">
        <v>7</v>
      </c>
      <c r="G4831" s="308">
        <f>'JOVENES PROTAGONISTAS'!Q15</f>
        <v>0</v>
      </c>
      <c r="H4831" s="308">
        <f>'JOVENES PROTAGONISTAS'!R15</f>
        <v>0</v>
      </c>
    </row>
    <row r="4832" spans="1:8" x14ac:dyDescent="0.3">
      <c r="A4832" t="s">
        <v>632</v>
      </c>
      <c r="B4832" t="s">
        <v>437</v>
      </c>
      <c r="C4832" t="s">
        <v>700</v>
      </c>
      <c r="D4832" t="s">
        <v>693</v>
      </c>
      <c r="E4832" t="s">
        <v>766</v>
      </c>
      <c r="F4832">
        <v>1</v>
      </c>
      <c r="G4832" s="308">
        <f>'JOVENES PROTAGONISTAS'!E16</f>
        <v>0</v>
      </c>
      <c r="H4832" s="308">
        <f>'JOVENES PROTAGONISTAS'!F16</f>
        <v>0</v>
      </c>
    </row>
    <row r="4833" spans="1:8" x14ac:dyDescent="0.3">
      <c r="A4833" t="s">
        <v>632</v>
      </c>
      <c r="B4833" t="s">
        <v>437</v>
      </c>
      <c r="C4833" t="s">
        <v>700</v>
      </c>
      <c r="D4833" t="s">
        <v>693</v>
      </c>
      <c r="E4833" t="s">
        <v>767</v>
      </c>
      <c r="F4833">
        <v>2</v>
      </c>
      <c r="G4833" s="308">
        <f>'JOVENES PROTAGONISTAS'!G16</f>
        <v>10</v>
      </c>
      <c r="H4833" s="308">
        <f>'JOVENES PROTAGONISTAS'!H16</f>
        <v>1004.9202867242734</v>
      </c>
    </row>
    <row r="4834" spans="1:8" x14ac:dyDescent="0.3">
      <c r="A4834" t="s">
        <v>632</v>
      </c>
      <c r="B4834" t="s">
        <v>437</v>
      </c>
      <c r="C4834" t="s">
        <v>700</v>
      </c>
      <c r="D4834" t="s">
        <v>693</v>
      </c>
      <c r="E4834" t="s">
        <v>768</v>
      </c>
      <c r="F4834">
        <v>3</v>
      </c>
      <c r="G4834" s="308">
        <f>'JOVENES PROTAGONISTAS'!I16</f>
        <v>150</v>
      </c>
      <c r="H4834" s="308">
        <f>'JOVENES PROTAGONISTAS'!J16</f>
        <v>24863.875638841568</v>
      </c>
    </row>
    <row r="4835" spans="1:8" x14ac:dyDescent="0.3">
      <c r="A4835" t="s">
        <v>632</v>
      </c>
      <c r="B4835" t="s">
        <v>437</v>
      </c>
      <c r="C4835" t="s">
        <v>700</v>
      </c>
      <c r="D4835" t="s">
        <v>693</v>
      </c>
      <c r="E4835" t="s">
        <v>769</v>
      </c>
      <c r="F4835">
        <v>4</v>
      </c>
      <c r="G4835" s="308">
        <f>'JOVENES PROTAGONISTAS'!K16</f>
        <v>3</v>
      </c>
      <c r="H4835" s="308">
        <f>'JOVENES PROTAGONISTAS'!L16</f>
        <v>2579.0798454404944</v>
      </c>
    </row>
    <row r="4836" spans="1:8" x14ac:dyDescent="0.3">
      <c r="A4836" t="s">
        <v>632</v>
      </c>
      <c r="B4836" t="s">
        <v>437</v>
      </c>
      <c r="C4836" t="s">
        <v>700</v>
      </c>
      <c r="D4836" t="s">
        <v>693</v>
      </c>
      <c r="E4836" t="s">
        <v>770</v>
      </c>
      <c r="F4836">
        <v>5</v>
      </c>
      <c r="G4836" s="308">
        <f>'JOVENES PROTAGONISTAS'!M16</f>
        <v>7</v>
      </c>
      <c r="H4836" s="308">
        <f>'JOVENES PROTAGONISTAS'!N16</f>
        <v>7059.4803260258577</v>
      </c>
    </row>
    <row r="4837" spans="1:8" x14ac:dyDescent="0.3">
      <c r="A4837" t="s">
        <v>632</v>
      </c>
      <c r="B4837" t="s">
        <v>437</v>
      </c>
      <c r="C4837" t="s">
        <v>700</v>
      </c>
      <c r="D4837" t="s">
        <v>693</v>
      </c>
      <c r="E4837" t="s">
        <v>771</v>
      </c>
      <c r="F4837">
        <v>6</v>
      </c>
      <c r="G4837" s="308">
        <f>'JOVENES PROTAGONISTAS'!O16</f>
        <v>6</v>
      </c>
      <c r="H4837" s="308">
        <f>'JOVENES PROTAGONISTAS'!P16</f>
        <v>1379.7296290322579</v>
      </c>
    </row>
    <row r="4838" spans="1:8" x14ac:dyDescent="0.3">
      <c r="A4838" t="s">
        <v>632</v>
      </c>
      <c r="B4838" t="s">
        <v>437</v>
      </c>
      <c r="C4838" t="s">
        <v>700</v>
      </c>
      <c r="D4838" t="s">
        <v>693</v>
      </c>
      <c r="E4838" t="s">
        <v>772</v>
      </c>
      <c r="F4838">
        <v>7</v>
      </c>
      <c r="G4838" s="308">
        <f>'JOVENES PROTAGONISTAS'!Q16</f>
        <v>3</v>
      </c>
      <c r="H4838" s="308">
        <f>'JOVENES PROTAGONISTAS'!R16</f>
        <v>2371.2794611145127</v>
      </c>
    </row>
    <row r="4839" spans="1:8" x14ac:dyDescent="0.3">
      <c r="A4839" t="s">
        <v>632</v>
      </c>
      <c r="B4839" t="s">
        <v>437</v>
      </c>
      <c r="C4839" t="s">
        <v>701</v>
      </c>
      <c r="D4839" t="s">
        <v>693</v>
      </c>
      <c r="E4839" t="s">
        <v>766</v>
      </c>
      <c r="F4839">
        <v>1</v>
      </c>
      <c r="G4839" s="308">
        <f>'JOVENES PROTAGONISTAS'!E17</f>
        <v>0</v>
      </c>
      <c r="H4839" s="308">
        <f>'JOVENES PROTAGONISTAS'!F17</f>
        <v>0</v>
      </c>
    </row>
    <row r="4840" spans="1:8" x14ac:dyDescent="0.3">
      <c r="A4840" t="s">
        <v>632</v>
      </c>
      <c r="B4840" t="s">
        <v>437</v>
      </c>
      <c r="C4840" t="s">
        <v>701</v>
      </c>
      <c r="D4840" t="s">
        <v>693</v>
      </c>
      <c r="E4840" t="s">
        <v>767</v>
      </c>
      <c r="F4840">
        <v>2</v>
      </c>
      <c r="G4840" s="308">
        <f>'JOVENES PROTAGONISTAS'!G17</f>
        <v>0</v>
      </c>
      <c r="H4840" s="308">
        <f>'JOVENES PROTAGONISTAS'!H17</f>
        <v>0</v>
      </c>
    </row>
    <row r="4841" spans="1:8" x14ac:dyDescent="0.3">
      <c r="A4841" t="s">
        <v>632</v>
      </c>
      <c r="B4841" t="s">
        <v>437</v>
      </c>
      <c r="C4841" t="s">
        <v>701</v>
      </c>
      <c r="D4841" t="s">
        <v>693</v>
      </c>
      <c r="E4841" t="s">
        <v>768</v>
      </c>
      <c r="F4841">
        <v>3</v>
      </c>
      <c r="G4841" s="308">
        <f>'JOVENES PROTAGONISTAS'!I17</f>
        <v>39</v>
      </c>
      <c r="H4841" s="308">
        <f>'JOVENES PROTAGONISTAS'!J17</f>
        <v>6464.6076660988074</v>
      </c>
    </row>
    <row r="4842" spans="1:8" x14ac:dyDescent="0.3">
      <c r="A4842" t="s">
        <v>632</v>
      </c>
      <c r="B4842" t="s">
        <v>437</v>
      </c>
      <c r="C4842" t="s">
        <v>701</v>
      </c>
      <c r="D4842" t="s">
        <v>693</v>
      </c>
      <c r="E4842" t="s">
        <v>769</v>
      </c>
      <c r="F4842">
        <v>4</v>
      </c>
      <c r="G4842" s="308">
        <f>'JOVENES PROTAGONISTAS'!K17</f>
        <v>18</v>
      </c>
      <c r="H4842" s="308">
        <f>'JOVENES PROTAGONISTAS'!L17</f>
        <v>15474.479072642967</v>
      </c>
    </row>
    <row r="4843" spans="1:8" x14ac:dyDescent="0.3">
      <c r="A4843" t="s">
        <v>632</v>
      </c>
      <c r="B4843" t="s">
        <v>437</v>
      </c>
      <c r="C4843" t="s">
        <v>701</v>
      </c>
      <c r="D4843" t="s">
        <v>693</v>
      </c>
      <c r="E4843" t="s">
        <v>770</v>
      </c>
      <c r="F4843">
        <v>5</v>
      </c>
      <c r="G4843" s="308">
        <f>'JOVENES PROTAGONISTAS'!M17</f>
        <v>10</v>
      </c>
      <c r="H4843" s="308">
        <f>'JOVENES PROTAGONISTAS'!N17</f>
        <v>10084.971894322654</v>
      </c>
    </row>
    <row r="4844" spans="1:8" x14ac:dyDescent="0.3">
      <c r="A4844" t="s">
        <v>632</v>
      </c>
      <c r="B4844" t="s">
        <v>437</v>
      </c>
      <c r="C4844" t="s">
        <v>701</v>
      </c>
      <c r="D4844" t="s">
        <v>693</v>
      </c>
      <c r="E4844" t="s">
        <v>771</v>
      </c>
      <c r="F4844">
        <v>6</v>
      </c>
      <c r="G4844" s="308">
        <f>'JOVENES PROTAGONISTAS'!O17</f>
        <v>3</v>
      </c>
      <c r="H4844" s="308">
        <f>'JOVENES PROTAGONISTAS'!P17</f>
        <v>689.86481451612894</v>
      </c>
    </row>
    <row r="4845" spans="1:8" x14ac:dyDescent="0.3">
      <c r="A4845" t="s">
        <v>632</v>
      </c>
      <c r="B4845" t="s">
        <v>437</v>
      </c>
      <c r="C4845" t="s">
        <v>701</v>
      </c>
      <c r="D4845" t="s">
        <v>693</v>
      </c>
      <c r="E4845" t="s">
        <v>772</v>
      </c>
      <c r="F4845">
        <v>7</v>
      </c>
      <c r="G4845" s="308">
        <f>'JOVENES PROTAGONISTAS'!Q17</f>
        <v>5</v>
      </c>
      <c r="H4845" s="308">
        <f>'JOVENES PROTAGONISTAS'!R17</f>
        <v>3952.1324351908552</v>
      </c>
    </row>
    <row r="4846" spans="1:8" x14ac:dyDescent="0.3">
      <c r="A4846" t="s">
        <v>632</v>
      </c>
      <c r="B4846" t="s">
        <v>437</v>
      </c>
      <c r="C4846" t="s">
        <v>440</v>
      </c>
      <c r="D4846" t="s">
        <v>693</v>
      </c>
      <c r="E4846" t="s">
        <v>766</v>
      </c>
      <c r="F4846">
        <v>1</v>
      </c>
      <c r="G4846" s="308">
        <f>'JOVENES PROTAGONISTAS'!E18</f>
        <v>0</v>
      </c>
      <c r="H4846" s="308">
        <f>'JOVENES PROTAGONISTAS'!F18</f>
        <v>0</v>
      </c>
    </row>
    <row r="4847" spans="1:8" x14ac:dyDescent="0.3">
      <c r="A4847" t="s">
        <v>632</v>
      </c>
      <c r="B4847" t="s">
        <v>437</v>
      </c>
      <c r="C4847" t="s">
        <v>440</v>
      </c>
      <c r="D4847" t="s">
        <v>693</v>
      </c>
      <c r="E4847" t="s">
        <v>767</v>
      </c>
      <c r="F4847">
        <v>2</v>
      </c>
      <c r="G4847" s="308">
        <f>'JOVENES PROTAGONISTAS'!G18</f>
        <v>21</v>
      </c>
      <c r="H4847" s="308">
        <f>'JOVENES PROTAGONISTAS'!H18</f>
        <v>2110.3326021209741</v>
      </c>
    </row>
    <row r="4848" spans="1:8" x14ac:dyDescent="0.3">
      <c r="A4848" t="s">
        <v>632</v>
      </c>
      <c r="B4848" t="s">
        <v>437</v>
      </c>
      <c r="C4848" t="s">
        <v>440</v>
      </c>
      <c r="D4848" t="s">
        <v>693</v>
      </c>
      <c r="E4848" t="s">
        <v>768</v>
      </c>
      <c r="F4848">
        <v>3</v>
      </c>
      <c r="G4848" s="308">
        <f>'JOVENES PROTAGONISTAS'!I18</f>
        <v>95</v>
      </c>
      <c r="H4848" s="308">
        <f>'JOVENES PROTAGONISTAS'!J18</f>
        <v>15747.121237932992</v>
      </c>
    </row>
    <row r="4849" spans="1:8" x14ac:dyDescent="0.3">
      <c r="A4849" t="s">
        <v>632</v>
      </c>
      <c r="B4849" t="s">
        <v>437</v>
      </c>
      <c r="C4849" t="s">
        <v>440</v>
      </c>
      <c r="D4849" t="s">
        <v>693</v>
      </c>
      <c r="E4849" t="s">
        <v>769</v>
      </c>
      <c r="F4849">
        <v>4</v>
      </c>
      <c r="G4849" s="308">
        <f>'JOVENES PROTAGONISTAS'!K18</f>
        <v>0</v>
      </c>
      <c r="H4849" s="308">
        <f>'JOVENES PROTAGONISTAS'!L18</f>
        <v>0</v>
      </c>
    </row>
    <row r="4850" spans="1:8" x14ac:dyDescent="0.3">
      <c r="A4850" t="s">
        <v>632</v>
      </c>
      <c r="B4850" t="s">
        <v>437</v>
      </c>
      <c r="C4850" t="s">
        <v>440</v>
      </c>
      <c r="D4850" t="s">
        <v>693</v>
      </c>
      <c r="E4850" t="s">
        <v>770</v>
      </c>
      <c r="F4850">
        <v>5</v>
      </c>
      <c r="G4850" s="308">
        <f>'JOVENES PROTAGONISTAS'!M18</f>
        <v>13</v>
      </c>
      <c r="H4850" s="308">
        <f>'JOVENES PROTAGONISTAS'!N18</f>
        <v>13110.463462619449</v>
      </c>
    </row>
    <row r="4851" spans="1:8" x14ac:dyDescent="0.3">
      <c r="A4851" t="s">
        <v>632</v>
      </c>
      <c r="B4851" t="s">
        <v>437</v>
      </c>
      <c r="C4851" t="s">
        <v>440</v>
      </c>
      <c r="D4851" t="s">
        <v>693</v>
      </c>
      <c r="E4851" t="s">
        <v>771</v>
      </c>
      <c r="F4851">
        <v>6</v>
      </c>
      <c r="G4851" s="308">
        <f>'JOVENES PROTAGONISTAS'!O18</f>
        <v>0</v>
      </c>
      <c r="H4851" s="308">
        <f>'JOVENES PROTAGONISTAS'!P18</f>
        <v>0</v>
      </c>
    </row>
    <row r="4852" spans="1:8" x14ac:dyDescent="0.3">
      <c r="A4852" t="s">
        <v>632</v>
      </c>
      <c r="B4852" t="s">
        <v>437</v>
      </c>
      <c r="C4852" t="s">
        <v>440</v>
      </c>
      <c r="D4852" t="s">
        <v>693</v>
      </c>
      <c r="E4852" t="s">
        <v>772</v>
      </c>
      <c r="F4852">
        <v>7</v>
      </c>
      <c r="G4852" s="308">
        <f>'JOVENES PROTAGONISTAS'!Q18</f>
        <v>26</v>
      </c>
      <c r="H4852" s="308">
        <f>'JOVENES PROTAGONISTAS'!R18</f>
        <v>20551.088662992446</v>
      </c>
    </row>
    <row r="4853" spans="1:8" x14ac:dyDescent="0.3">
      <c r="A4853" t="s">
        <v>632</v>
      </c>
      <c r="B4853" t="s">
        <v>437</v>
      </c>
      <c r="C4853" t="s">
        <v>664</v>
      </c>
      <c r="D4853" t="s">
        <v>693</v>
      </c>
      <c r="E4853" t="s">
        <v>766</v>
      </c>
      <c r="F4853">
        <v>1</v>
      </c>
      <c r="G4853" s="308">
        <f>'JOVENES PROTAGONISTAS'!E19</f>
        <v>0</v>
      </c>
      <c r="H4853" s="308">
        <f>'JOVENES PROTAGONISTAS'!F19</f>
        <v>0</v>
      </c>
    </row>
    <row r="4854" spans="1:8" x14ac:dyDescent="0.3">
      <c r="A4854" t="s">
        <v>632</v>
      </c>
      <c r="B4854" t="s">
        <v>437</v>
      </c>
      <c r="C4854" t="s">
        <v>664</v>
      </c>
      <c r="D4854" t="s">
        <v>693</v>
      </c>
      <c r="E4854" t="s">
        <v>767</v>
      </c>
      <c r="F4854">
        <v>2</v>
      </c>
      <c r="G4854" s="308">
        <f>'JOVENES PROTAGONISTAS'!G19</f>
        <v>0</v>
      </c>
      <c r="H4854" s="308">
        <f>'JOVENES PROTAGONISTAS'!H19</f>
        <v>0</v>
      </c>
    </row>
    <row r="4855" spans="1:8" x14ac:dyDescent="0.3">
      <c r="A4855" t="s">
        <v>632</v>
      </c>
      <c r="B4855" t="s">
        <v>437</v>
      </c>
      <c r="C4855" t="s">
        <v>664</v>
      </c>
      <c r="D4855" t="s">
        <v>693</v>
      </c>
      <c r="E4855" t="s">
        <v>768</v>
      </c>
      <c r="F4855">
        <v>3</v>
      </c>
      <c r="G4855" s="308">
        <f>'JOVENES PROTAGONISTAS'!I19</f>
        <v>0</v>
      </c>
      <c r="H4855" s="308">
        <f>'JOVENES PROTAGONISTAS'!J19</f>
        <v>0</v>
      </c>
    </row>
    <row r="4856" spans="1:8" x14ac:dyDescent="0.3">
      <c r="A4856" t="s">
        <v>632</v>
      </c>
      <c r="B4856" t="s">
        <v>437</v>
      </c>
      <c r="C4856" t="s">
        <v>664</v>
      </c>
      <c r="D4856" t="s">
        <v>693</v>
      </c>
      <c r="E4856" t="s">
        <v>769</v>
      </c>
      <c r="F4856">
        <v>4</v>
      </c>
      <c r="G4856" s="308">
        <f>'JOVENES PROTAGONISTAS'!K19</f>
        <v>0</v>
      </c>
      <c r="H4856" s="308">
        <f>'JOVENES PROTAGONISTAS'!L19</f>
        <v>0</v>
      </c>
    </row>
    <row r="4857" spans="1:8" x14ac:dyDescent="0.3">
      <c r="A4857" t="s">
        <v>632</v>
      </c>
      <c r="B4857" t="s">
        <v>437</v>
      </c>
      <c r="C4857" t="s">
        <v>664</v>
      </c>
      <c r="D4857" t="s">
        <v>693</v>
      </c>
      <c r="E4857" t="s">
        <v>770</v>
      </c>
      <c r="F4857">
        <v>5</v>
      </c>
      <c r="G4857" s="308">
        <f>'JOVENES PROTAGONISTAS'!M19</f>
        <v>0</v>
      </c>
      <c r="H4857" s="308">
        <f>'JOVENES PROTAGONISTAS'!N19</f>
        <v>0</v>
      </c>
    </row>
    <row r="4858" spans="1:8" x14ac:dyDescent="0.3">
      <c r="A4858" t="s">
        <v>632</v>
      </c>
      <c r="B4858" t="s">
        <v>437</v>
      </c>
      <c r="C4858" t="s">
        <v>664</v>
      </c>
      <c r="D4858" t="s">
        <v>693</v>
      </c>
      <c r="E4858" t="s">
        <v>771</v>
      </c>
      <c r="F4858">
        <v>6</v>
      </c>
      <c r="G4858" s="308">
        <f>'JOVENES PROTAGONISTAS'!O19</f>
        <v>0</v>
      </c>
      <c r="H4858" s="308">
        <f>'JOVENES PROTAGONISTAS'!P19</f>
        <v>0</v>
      </c>
    </row>
    <row r="4859" spans="1:8" x14ac:dyDescent="0.3">
      <c r="A4859" t="s">
        <v>632</v>
      </c>
      <c r="B4859" t="s">
        <v>437</v>
      </c>
      <c r="C4859" t="s">
        <v>664</v>
      </c>
      <c r="D4859" t="s">
        <v>693</v>
      </c>
      <c r="E4859" t="s">
        <v>772</v>
      </c>
      <c r="F4859">
        <v>7</v>
      </c>
      <c r="G4859" s="308">
        <f>'JOVENES PROTAGONISTAS'!Q19</f>
        <v>1</v>
      </c>
      <c r="H4859" s="308">
        <f>'JOVENES PROTAGONISTAS'!R19</f>
        <v>790.42648703817099</v>
      </c>
    </row>
    <row r="4860" spans="1:8" x14ac:dyDescent="0.3">
      <c r="A4860" t="s">
        <v>632</v>
      </c>
      <c r="B4860" t="s">
        <v>437</v>
      </c>
      <c r="C4860" t="s">
        <v>665</v>
      </c>
      <c r="D4860" t="s">
        <v>693</v>
      </c>
      <c r="E4860" t="s">
        <v>766</v>
      </c>
      <c r="F4860">
        <v>1</v>
      </c>
      <c r="G4860" s="308">
        <f>'JOVENES PROTAGONISTAS'!E20</f>
        <v>0</v>
      </c>
      <c r="H4860" s="308">
        <f>'JOVENES PROTAGONISTAS'!F20</f>
        <v>0</v>
      </c>
    </row>
    <row r="4861" spans="1:8" x14ac:dyDescent="0.3">
      <c r="A4861" t="s">
        <v>632</v>
      </c>
      <c r="B4861" t="s">
        <v>437</v>
      </c>
      <c r="C4861" t="s">
        <v>665</v>
      </c>
      <c r="D4861" t="s">
        <v>693</v>
      </c>
      <c r="E4861" t="s">
        <v>767</v>
      </c>
      <c r="F4861">
        <v>2</v>
      </c>
      <c r="G4861" s="308">
        <f>'JOVENES PROTAGONISTAS'!G20</f>
        <v>0</v>
      </c>
      <c r="H4861" s="308">
        <f>'JOVENES PROTAGONISTAS'!H20</f>
        <v>0</v>
      </c>
    </row>
    <row r="4862" spans="1:8" x14ac:dyDescent="0.3">
      <c r="A4862" t="s">
        <v>632</v>
      </c>
      <c r="B4862" t="s">
        <v>437</v>
      </c>
      <c r="C4862" t="s">
        <v>665</v>
      </c>
      <c r="D4862" t="s">
        <v>693</v>
      </c>
      <c r="E4862" t="s">
        <v>768</v>
      </c>
      <c r="F4862">
        <v>3</v>
      </c>
      <c r="G4862" s="308">
        <f>'JOVENES PROTAGONISTAS'!I20</f>
        <v>0</v>
      </c>
      <c r="H4862" s="308">
        <f>'JOVENES PROTAGONISTAS'!J20</f>
        <v>0</v>
      </c>
    </row>
    <row r="4863" spans="1:8" x14ac:dyDescent="0.3">
      <c r="A4863" t="s">
        <v>632</v>
      </c>
      <c r="B4863" t="s">
        <v>437</v>
      </c>
      <c r="C4863" t="s">
        <v>665</v>
      </c>
      <c r="D4863" t="s">
        <v>693</v>
      </c>
      <c r="E4863" t="s">
        <v>769</v>
      </c>
      <c r="F4863">
        <v>4</v>
      </c>
      <c r="G4863" s="308">
        <f>'JOVENES PROTAGONISTAS'!K20</f>
        <v>0</v>
      </c>
      <c r="H4863" s="308">
        <f>'JOVENES PROTAGONISTAS'!L20</f>
        <v>0</v>
      </c>
    </row>
    <row r="4864" spans="1:8" x14ac:dyDescent="0.3">
      <c r="A4864" t="s">
        <v>632</v>
      </c>
      <c r="B4864" t="s">
        <v>437</v>
      </c>
      <c r="C4864" t="s">
        <v>665</v>
      </c>
      <c r="D4864" t="s">
        <v>693</v>
      </c>
      <c r="E4864" t="s">
        <v>770</v>
      </c>
      <c r="F4864">
        <v>5</v>
      </c>
      <c r="G4864" s="308">
        <f>'JOVENES PROTAGONISTAS'!M20</f>
        <v>0</v>
      </c>
      <c r="H4864" s="308">
        <f>'JOVENES PROTAGONISTAS'!N20</f>
        <v>0</v>
      </c>
    </row>
    <row r="4865" spans="1:8" x14ac:dyDescent="0.3">
      <c r="A4865" t="s">
        <v>632</v>
      </c>
      <c r="B4865" t="s">
        <v>437</v>
      </c>
      <c r="C4865" t="s">
        <v>665</v>
      </c>
      <c r="D4865" t="s">
        <v>693</v>
      </c>
      <c r="E4865" t="s">
        <v>771</v>
      </c>
      <c r="F4865">
        <v>6</v>
      </c>
      <c r="G4865" s="308">
        <f>'JOVENES PROTAGONISTAS'!O20</f>
        <v>0</v>
      </c>
      <c r="H4865" s="308">
        <f>'JOVENES PROTAGONISTAS'!P20</f>
        <v>0</v>
      </c>
    </row>
    <row r="4866" spans="1:8" x14ac:dyDescent="0.3">
      <c r="A4866" t="s">
        <v>632</v>
      </c>
      <c r="B4866" t="s">
        <v>437</v>
      </c>
      <c r="C4866" t="s">
        <v>665</v>
      </c>
      <c r="D4866" t="s">
        <v>693</v>
      </c>
      <c r="E4866" t="s">
        <v>772</v>
      </c>
      <c r="F4866">
        <v>7</v>
      </c>
      <c r="G4866" s="308">
        <f>'JOVENES PROTAGONISTAS'!Q20</f>
        <v>1</v>
      </c>
      <c r="H4866" s="308">
        <f>'JOVENES PROTAGONISTAS'!R20</f>
        <v>790.42648703817099</v>
      </c>
    </row>
    <row r="4867" spans="1:8" x14ac:dyDescent="0.3">
      <c r="A4867" t="s">
        <v>632</v>
      </c>
      <c r="B4867" t="s">
        <v>437</v>
      </c>
      <c r="C4867" t="s">
        <v>666</v>
      </c>
      <c r="D4867" t="s">
        <v>693</v>
      </c>
      <c r="E4867" t="s">
        <v>766</v>
      </c>
      <c r="F4867">
        <v>1</v>
      </c>
      <c r="G4867" s="308">
        <f>'JOVENES PROTAGONISTAS'!E21</f>
        <v>0</v>
      </c>
      <c r="H4867" s="308">
        <f>'JOVENES PROTAGONISTAS'!F21</f>
        <v>0</v>
      </c>
    </row>
    <row r="4868" spans="1:8" x14ac:dyDescent="0.3">
      <c r="A4868" t="s">
        <v>632</v>
      </c>
      <c r="B4868" t="s">
        <v>437</v>
      </c>
      <c r="C4868" t="s">
        <v>666</v>
      </c>
      <c r="D4868" t="s">
        <v>693</v>
      </c>
      <c r="E4868" t="s">
        <v>767</v>
      </c>
      <c r="F4868">
        <v>2</v>
      </c>
      <c r="G4868" s="308">
        <f>'JOVENES PROTAGONISTAS'!G21</f>
        <v>0</v>
      </c>
      <c r="H4868" s="308">
        <f>'JOVENES PROTAGONISTAS'!H21</f>
        <v>0</v>
      </c>
    </row>
    <row r="4869" spans="1:8" x14ac:dyDescent="0.3">
      <c r="A4869" t="s">
        <v>632</v>
      </c>
      <c r="B4869" t="s">
        <v>437</v>
      </c>
      <c r="C4869" t="s">
        <v>666</v>
      </c>
      <c r="D4869" t="s">
        <v>693</v>
      </c>
      <c r="E4869" t="s">
        <v>768</v>
      </c>
      <c r="F4869">
        <v>3</v>
      </c>
      <c r="G4869" s="308">
        <f>'JOVENES PROTAGONISTAS'!I21</f>
        <v>0</v>
      </c>
      <c r="H4869" s="308">
        <f>'JOVENES PROTAGONISTAS'!J21</f>
        <v>0</v>
      </c>
    </row>
    <row r="4870" spans="1:8" x14ac:dyDescent="0.3">
      <c r="A4870" t="s">
        <v>632</v>
      </c>
      <c r="B4870" t="s">
        <v>437</v>
      </c>
      <c r="C4870" t="s">
        <v>666</v>
      </c>
      <c r="D4870" t="s">
        <v>693</v>
      </c>
      <c r="E4870" t="s">
        <v>769</v>
      </c>
      <c r="F4870">
        <v>4</v>
      </c>
      <c r="G4870" s="308">
        <f>'JOVENES PROTAGONISTAS'!K21</f>
        <v>0</v>
      </c>
      <c r="H4870" s="308">
        <f>'JOVENES PROTAGONISTAS'!L21</f>
        <v>0</v>
      </c>
    </row>
    <row r="4871" spans="1:8" x14ac:dyDescent="0.3">
      <c r="A4871" t="s">
        <v>632</v>
      </c>
      <c r="B4871" t="s">
        <v>437</v>
      </c>
      <c r="C4871" t="s">
        <v>666</v>
      </c>
      <c r="D4871" t="s">
        <v>693</v>
      </c>
      <c r="E4871" t="s">
        <v>770</v>
      </c>
      <c r="F4871">
        <v>5</v>
      </c>
      <c r="G4871" s="308">
        <f>'JOVENES PROTAGONISTAS'!M21</f>
        <v>0</v>
      </c>
      <c r="H4871" s="308">
        <f>'JOVENES PROTAGONISTAS'!N21</f>
        <v>0</v>
      </c>
    </row>
    <row r="4872" spans="1:8" x14ac:dyDescent="0.3">
      <c r="A4872" t="s">
        <v>632</v>
      </c>
      <c r="B4872" t="s">
        <v>437</v>
      </c>
      <c r="C4872" t="s">
        <v>666</v>
      </c>
      <c r="D4872" t="s">
        <v>693</v>
      </c>
      <c r="E4872" t="s">
        <v>771</v>
      </c>
      <c r="F4872">
        <v>6</v>
      </c>
      <c r="G4872" s="308">
        <f>'JOVENES PROTAGONISTAS'!O21</f>
        <v>0</v>
      </c>
      <c r="H4872" s="308">
        <f>'JOVENES PROTAGONISTAS'!P21</f>
        <v>0</v>
      </c>
    </row>
    <row r="4873" spans="1:8" x14ac:dyDescent="0.3">
      <c r="A4873" t="s">
        <v>632</v>
      </c>
      <c r="B4873" t="s">
        <v>437</v>
      </c>
      <c r="C4873" t="s">
        <v>666</v>
      </c>
      <c r="D4873" t="s">
        <v>693</v>
      </c>
      <c r="E4873" t="s">
        <v>772</v>
      </c>
      <c r="F4873">
        <v>7</v>
      </c>
      <c r="G4873" s="308">
        <f>'JOVENES PROTAGONISTAS'!Q21</f>
        <v>1</v>
      </c>
      <c r="H4873" s="308">
        <f>'JOVENES PROTAGONISTAS'!R21</f>
        <v>790.42648703817099</v>
      </c>
    </row>
    <row r="4874" spans="1:8" x14ac:dyDescent="0.3">
      <c r="A4874" t="s">
        <v>632</v>
      </c>
      <c r="B4874" t="s">
        <v>441</v>
      </c>
      <c r="C4874" t="s">
        <v>702</v>
      </c>
      <c r="D4874" t="s">
        <v>693</v>
      </c>
      <c r="E4874" t="s">
        <v>766</v>
      </c>
      <c r="F4874">
        <v>1</v>
      </c>
      <c r="G4874" s="308">
        <f>'JOVENES PROTAGONISTAS'!E22</f>
        <v>0</v>
      </c>
      <c r="H4874" s="308">
        <f>'JOVENES PROTAGONISTAS'!F22</f>
        <v>0</v>
      </c>
    </row>
    <row r="4875" spans="1:8" x14ac:dyDescent="0.3">
      <c r="A4875" t="s">
        <v>632</v>
      </c>
      <c r="B4875" t="s">
        <v>441</v>
      </c>
      <c r="C4875" t="s">
        <v>702</v>
      </c>
      <c r="D4875" t="s">
        <v>693</v>
      </c>
      <c r="E4875" t="s">
        <v>767</v>
      </c>
      <c r="F4875">
        <v>2</v>
      </c>
      <c r="G4875" s="308">
        <f>'JOVENES PROTAGONISTAS'!G22</f>
        <v>4</v>
      </c>
      <c r="H4875" s="308">
        <f>'JOVENES PROTAGONISTAS'!H22</f>
        <v>401.96811468970935</v>
      </c>
    </row>
    <row r="4876" spans="1:8" x14ac:dyDescent="0.3">
      <c r="A4876" t="s">
        <v>632</v>
      </c>
      <c r="B4876" t="s">
        <v>441</v>
      </c>
      <c r="C4876" t="s">
        <v>702</v>
      </c>
      <c r="D4876" t="s">
        <v>693</v>
      </c>
      <c r="E4876" t="s">
        <v>768</v>
      </c>
      <c r="F4876">
        <v>3</v>
      </c>
      <c r="G4876" s="308">
        <f>'JOVENES PROTAGONISTAS'!I22</f>
        <v>20</v>
      </c>
      <c r="H4876" s="308">
        <f>'JOVENES PROTAGONISTAS'!J22</f>
        <v>3315.1834185122088</v>
      </c>
    </row>
    <row r="4877" spans="1:8" x14ac:dyDescent="0.3">
      <c r="A4877" t="s">
        <v>632</v>
      </c>
      <c r="B4877" t="s">
        <v>441</v>
      </c>
      <c r="C4877" t="s">
        <v>702</v>
      </c>
      <c r="D4877" t="s">
        <v>693</v>
      </c>
      <c r="E4877" t="s">
        <v>769</v>
      </c>
      <c r="F4877">
        <v>4</v>
      </c>
      <c r="G4877" s="308">
        <f>'JOVENES PROTAGONISTAS'!K22</f>
        <v>11</v>
      </c>
      <c r="H4877" s="308">
        <f>'JOVENES PROTAGONISTAS'!L22</f>
        <v>9456.6260999484803</v>
      </c>
    </row>
    <row r="4878" spans="1:8" x14ac:dyDescent="0.3">
      <c r="A4878" t="s">
        <v>632</v>
      </c>
      <c r="B4878" t="s">
        <v>441</v>
      </c>
      <c r="C4878" t="s">
        <v>702</v>
      </c>
      <c r="D4878" t="s">
        <v>693</v>
      </c>
      <c r="E4878" t="s">
        <v>770</v>
      </c>
      <c r="F4878">
        <v>5</v>
      </c>
      <c r="G4878" s="308">
        <f>'JOVENES PROTAGONISTAS'!M22</f>
        <v>60</v>
      </c>
      <c r="H4878" s="308">
        <f>'JOVENES PROTAGONISTAS'!N22</f>
        <v>60509.831365935919</v>
      </c>
    </row>
    <row r="4879" spans="1:8" x14ac:dyDescent="0.3">
      <c r="A4879" t="s">
        <v>632</v>
      </c>
      <c r="B4879" t="s">
        <v>441</v>
      </c>
      <c r="C4879" t="s">
        <v>702</v>
      </c>
      <c r="D4879" t="s">
        <v>693</v>
      </c>
      <c r="E4879" t="s">
        <v>771</v>
      </c>
      <c r="F4879">
        <v>6</v>
      </c>
      <c r="G4879" s="308">
        <f>'JOVENES PROTAGONISTAS'!O22</f>
        <v>35</v>
      </c>
      <c r="H4879" s="308">
        <f>'JOVENES PROTAGONISTAS'!P22</f>
        <v>8048.4228360215047</v>
      </c>
    </row>
    <row r="4880" spans="1:8" x14ac:dyDescent="0.3">
      <c r="A4880" t="s">
        <v>632</v>
      </c>
      <c r="B4880" t="s">
        <v>441</v>
      </c>
      <c r="C4880" t="s">
        <v>702</v>
      </c>
      <c r="D4880" t="s">
        <v>693</v>
      </c>
      <c r="E4880" t="s">
        <v>772</v>
      </c>
      <c r="F4880">
        <v>7</v>
      </c>
      <c r="G4880" s="308">
        <f>'JOVENES PROTAGONISTAS'!Q22</f>
        <v>25</v>
      </c>
      <c r="H4880" s="308">
        <f>'JOVENES PROTAGONISTAS'!R22</f>
        <v>19760.662175954276</v>
      </c>
    </row>
    <row r="4881" spans="1:8" x14ac:dyDescent="0.3">
      <c r="A4881" t="s">
        <v>632</v>
      </c>
      <c r="B4881" t="s">
        <v>441</v>
      </c>
      <c r="C4881" t="s">
        <v>703</v>
      </c>
      <c r="D4881" t="s">
        <v>693</v>
      </c>
      <c r="E4881" t="s">
        <v>766</v>
      </c>
      <c r="F4881">
        <v>1</v>
      </c>
      <c r="G4881" s="308">
        <f>'JOVENES PROTAGONISTAS'!E23</f>
        <v>0</v>
      </c>
      <c r="H4881" s="308">
        <f>'JOVENES PROTAGONISTAS'!F23</f>
        <v>0</v>
      </c>
    </row>
    <row r="4882" spans="1:8" x14ac:dyDescent="0.3">
      <c r="A4882" t="s">
        <v>632</v>
      </c>
      <c r="B4882" t="s">
        <v>441</v>
      </c>
      <c r="C4882" t="s">
        <v>703</v>
      </c>
      <c r="D4882" t="s">
        <v>693</v>
      </c>
      <c r="E4882" t="s">
        <v>767</v>
      </c>
      <c r="F4882">
        <v>2</v>
      </c>
      <c r="G4882" s="308">
        <f>'JOVENES PROTAGONISTAS'!G23</f>
        <v>0</v>
      </c>
      <c r="H4882" s="308">
        <f>'JOVENES PROTAGONISTAS'!H23</f>
        <v>0</v>
      </c>
    </row>
    <row r="4883" spans="1:8" x14ac:dyDescent="0.3">
      <c r="A4883" t="s">
        <v>632</v>
      </c>
      <c r="B4883" t="s">
        <v>441</v>
      </c>
      <c r="C4883" t="s">
        <v>703</v>
      </c>
      <c r="D4883" t="s">
        <v>693</v>
      </c>
      <c r="E4883" t="s">
        <v>768</v>
      </c>
      <c r="F4883">
        <v>3</v>
      </c>
      <c r="G4883" s="308">
        <f>'JOVENES PROTAGONISTAS'!I23</f>
        <v>36</v>
      </c>
      <c r="H4883" s="308">
        <f>'JOVENES PROTAGONISTAS'!J23</f>
        <v>5967.3301533219765</v>
      </c>
    </row>
    <row r="4884" spans="1:8" x14ac:dyDescent="0.3">
      <c r="A4884" t="s">
        <v>632</v>
      </c>
      <c r="B4884" t="s">
        <v>441</v>
      </c>
      <c r="C4884" t="s">
        <v>703</v>
      </c>
      <c r="D4884" t="s">
        <v>693</v>
      </c>
      <c r="E4884" t="s">
        <v>769</v>
      </c>
      <c r="F4884">
        <v>4</v>
      </c>
      <c r="G4884" s="308">
        <f>'JOVENES PROTAGONISTAS'!K23</f>
        <v>18</v>
      </c>
      <c r="H4884" s="308">
        <f>'JOVENES PROTAGONISTAS'!L23</f>
        <v>15474.479072642967</v>
      </c>
    </row>
    <row r="4885" spans="1:8" x14ac:dyDescent="0.3">
      <c r="A4885" t="s">
        <v>632</v>
      </c>
      <c r="B4885" t="s">
        <v>441</v>
      </c>
      <c r="C4885" t="s">
        <v>703</v>
      </c>
      <c r="D4885" t="s">
        <v>693</v>
      </c>
      <c r="E4885" t="s">
        <v>770</v>
      </c>
      <c r="F4885">
        <v>5</v>
      </c>
      <c r="G4885" s="308">
        <f>'JOVENES PROTAGONISTAS'!M23</f>
        <v>9</v>
      </c>
      <c r="H4885" s="308">
        <f>'JOVENES PROTAGONISTAS'!N23</f>
        <v>9076.4747048903882</v>
      </c>
    </row>
    <row r="4886" spans="1:8" x14ac:dyDescent="0.3">
      <c r="A4886" t="s">
        <v>632</v>
      </c>
      <c r="B4886" t="s">
        <v>441</v>
      </c>
      <c r="C4886" t="s">
        <v>703</v>
      </c>
      <c r="D4886" t="s">
        <v>693</v>
      </c>
      <c r="E4886" t="s">
        <v>771</v>
      </c>
      <c r="F4886">
        <v>6</v>
      </c>
      <c r="G4886" s="308">
        <f>'JOVENES PROTAGONISTAS'!O23</f>
        <v>134</v>
      </c>
      <c r="H4886" s="308">
        <f>'JOVENES PROTAGONISTAS'!P23</f>
        <v>30813.961715053763</v>
      </c>
    </row>
    <row r="4887" spans="1:8" x14ac:dyDescent="0.3">
      <c r="A4887" t="s">
        <v>632</v>
      </c>
      <c r="B4887" t="s">
        <v>441</v>
      </c>
      <c r="C4887" t="s">
        <v>703</v>
      </c>
      <c r="D4887" t="s">
        <v>693</v>
      </c>
      <c r="E4887" t="s">
        <v>772</v>
      </c>
      <c r="F4887">
        <v>7</v>
      </c>
      <c r="G4887" s="308">
        <f>'JOVENES PROTAGONISTAS'!Q23</f>
        <v>14</v>
      </c>
      <c r="H4887" s="308">
        <f>'JOVENES PROTAGONISTAS'!R23</f>
        <v>11065.970818534393</v>
      </c>
    </row>
    <row r="4888" spans="1:8" x14ac:dyDescent="0.3">
      <c r="A4888" t="s">
        <v>632</v>
      </c>
      <c r="B4888" t="s">
        <v>441</v>
      </c>
      <c r="C4888" t="s">
        <v>444</v>
      </c>
      <c r="D4888" t="s">
        <v>693</v>
      </c>
      <c r="E4888" t="s">
        <v>766</v>
      </c>
      <c r="F4888">
        <v>1</v>
      </c>
      <c r="G4888" s="308">
        <f>'JOVENES PROTAGONISTAS'!E24</f>
        <v>0</v>
      </c>
      <c r="H4888" s="308">
        <f>'JOVENES PROTAGONISTAS'!F24</f>
        <v>0</v>
      </c>
    </row>
    <row r="4889" spans="1:8" x14ac:dyDescent="0.3">
      <c r="A4889" t="s">
        <v>632</v>
      </c>
      <c r="B4889" t="s">
        <v>441</v>
      </c>
      <c r="C4889" t="s">
        <v>444</v>
      </c>
      <c r="D4889" t="s">
        <v>693</v>
      </c>
      <c r="E4889" t="s">
        <v>767</v>
      </c>
      <c r="F4889">
        <v>2</v>
      </c>
      <c r="G4889" s="308">
        <f>'JOVENES PROTAGONISTAS'!G24</f>
        <v>8</v>
      </c>
      <c r="H4889" s="308">
        <f>'JOVENES PROTAGONISTAS'!H24</f>
        <v>803.93622937941871</v>
      </c>
    </row>
    <row r="4890" spans="1:8" x14ac:dyDescent="0.3">
      <c r="A4890" t="s">
        <v>632</v>
      </c>
      <c r="B4890" t="s">
        <v>441</v>
      </c>
      <c r="C4890" t="s">
        <v>444</v>
      </c>
      <c r="D4890" t="s">
        <v>693</v>
      </c>
      <c r="E4890" t="s">
        <v>768</v>
      </c>
      <c r="F4890">
        <v>3</v>
      </c>
      <c r="G4890" s="308">
        <f>'JOVENES PROTAGONISTAS'!I24</f>
        <v>38</v>
      </c>
      <c r="H4890" s="308">
        <f>'JOVENES PROTAGONISTAS'!J24</f>
        <v>6298.8484951731971</v>
      </c>
    </row>
    <row r="4891" spans="1:8" x14ac:dyDescent="0.3">
      <c r="A4891" t="s">
        <v>632</v>
      </c>
      <c r="B4891" t="s">
        <v>441</v>
      </c>
      <c r="C4891" t="s">
        <v>444</v>
      </c>
      <c r="D4891" t="s">
        <v>693</v>
      </c>
      <c r="E4891" t="s">
        <v>769</v>
      </c>
      <c r="F4891">
        <v>4</v>
      </c>
      <c r="G4891" s="308">
        <f>'JOVENES PROTAGONISTAS'!K24</f>
        <v>8</v>
      </c>
      <c r="H4891" s="308">
        <f>'JOVENES PROTAGONISTAS'!L24</f>
        <v>6877.5462545079854</v>
      </c>
    </row>
    <row r="4892" spans="1:8" x14ac:dyDescent="0.3">
      <c r="A4892" t="s">
        <v>632</v>
      </c>
      <c r="B4892" t="s">
        <v>441</v>
      </c>
      <c r="C4892" t="s">
        <v>444</v>
      </c>
      <c r="D4892" t="s">
        <v>693</v>
      </c>
      <c r="E4892" t="s">
        <v>770</v>
      </c>
      <c r="F4892">
        <v>5</v>
      </c>
      <c r="G4892" s="308">
        <f>'JOVENES PROTAGONISTAS'!M24</f>
        <v>0</v>
      </c>
      <c r="H4892" s="308">
        <f>'JOVENES PROTAGONISTAS'!N24</f>
        <v>0</v>
      </c>
    </row>
    <row r="4893" spans="1:8" x14ac:dyDescent="0.3">
      <c r="A4893" t="s">
        <v>632</v>
      </c>
      <c r="B4893" t="s">
        <v>441</v>
      </c>
      <c r="C4893" t="s">
        <v>444</v>
      </c>
      <c r="D4893" t="s">
        <v>693</v>
      </c>
      <c r="E4893" t="s">
        <v>771</v>
      </c>
      <c r="F4893">
        <v>6</v>
      </c>
      <c r="G4893" s="308">
        <f>'JOVENES PROTAGONISTAS'!O24</f>
        <v>22</v>
      </c>
      <c r="H4893" s="308">
        <f>'JOVENES PROTAGONISTAS'!P24</f>
        <v>5059.0086397849464</v>
      </c>
    </row>
    <row r="4894" spans="1:8" x14ac:dyDescent="0.3">
      <c r="A4894" t="s">
        <v>632</v>
      </c>
      <c r="B4894" t="s">
        <v>441</v>
      </c>
      <c r="C4894" t="s">
        <v>444</v>
      </c>
      <c r="D4894" t="s">
        <v>693</v>
      </c>
      <c r="E4894" t="s">
        <v>772</v>
      </c>
      <c r="F4894">
        <v>7</v>
      </c>
      <c r="G4894" s="308">
        <f>'JOVENES PROTAGONISTAS'!Q24</f>
        <v>16</v>
      </c>
      <c r="H4894" s="308">
        <f>'JOVENES PROTAGONISTAS'!R24</f>
        <v>12646.823792610736</v>
      </c>
    </row>
    <row r="4895" spans="1:8" x14ac:dyDescent="0.3">
      <c r="A4895" t="s">
        <v>632</v>
      </c>
      <c r="B4895" t="s">
        <v>441</v>
      </c>
      <c r="C4895" t="s">
        <v>667</v>
      </c>
      <c r="D4895" t="s">
        <v>693</v>
      </c>
      <c r="E4895" t="s">
        <v>766</v>
      </c>
      <c r="F4895">
        <v>1</v>
      </c>
      <c r="G4895" s="308">
        <f>'JOVENES PROTAGONISTAS'!E25</f>
        <v>0</v>
      </c>
      <c r="H4895" s="308">
        <f>'JOVENES PROTAGONISTAS'!F25</f>
        <v>0</v>
      </c>
    </row>
    <row r="4896" spans="1:8" x14ac:dyDescent="0.3">
      <c r="A4896" t="s">
        <v>632</v>
      </c>
      <c r="B4896" t="s">
        <v>441</v>
      </c>
      <c r="C4896" t="s">
        <v>667</v>
      </c>
      <c r="D4896" t="s">
        <v>693</v>
      </c>
      <c r="E4896" t="s">
        <v>767</v>
      </c>
      <c r="F4896">
        <v>2</v>
      </c>
      <c r="G4896" s="308">
        <f>'JOVENES PROTAGONISTAS'!G25</f>
        <v>0</v>
      </c>
      <c r="H4896" s="308">
        <f>'JOVENES PROTAGONISTAS'!H25</f>
        <v>0</v>
      </c>
    </row>
    <row r="4897" spans="1:8" x14ac:dyDescent="0.3">
      <c r="A4897" t="s">
        <v>632</v>
      </c>
      <c r="B4897" t="s">
        <v>441</v>
      </c>
      <c r="C4897" t="s">
        <v>667</v>
      </c>
      <c r="D4897" t="s">
        <v>693</v>
      </c>
      <c r="E4897" t="s">
        <v>768</v>
      </c>
      <c r="F4897">
        <v>3</v>
      </c>
      <c r="G4897" s="308">
        <f>'JOVENES PROTAGONISTAS'!I25</f>
        <v>0</v>
      </c>
      <c r="H4897" s="308">
        <f>'JOVENES PROTAGONISTAS'!J25</f>
        <v>0</v>
      </c>
    </row>
    <row r="4898" spans="1:8" x14ac:dyDescent="0.3">
      <c r="A4898" t="s">
        <v>632</v>
      </c>
      <c r="B4898" t="s">
        <v>441</v>
      </c>
      <c r="C4898" t="s">
        <v>667</v>
      </c>
      <c r="D4898" t="s">
        <v>693</v>
      </c>
      <c r="E4898" t="s">
        <v>769</v>
      </c>
      <c r="F4898">
        <v>4</v>
      </c>
      <c r="G4898" s="308">
        <f>'JOVENES PROTAGONISTAS'!K25</f>
        <v>0</v>
      </c>
      <c r="H4898" s="308">
        <f>'JOVENES PROTAGONISTAS'!L25</f>
        <v>0</v>
      </c>
    </row>
    <row r="4899" spans="1:8" x14ac:dyDescent="0.3">
      <c r="A4899" t="s">
        <v>632</v>
      </c>
      <c r="B4899" t="s">
        <v>441</v>
      </c>
      <c r="C4899" t="s">
        <v>667</v>
      </c>
      <c r="D4899" t="s">
        <v>693</v>
      </c>
      <c r="E4899" t="s">
        <v>770</v>
      </c>
      <c r="F4899">
        <v>5</v>
      </c>
      <c r="G4899" s="308">
        <f>'JOVENES PROTAGONISTAS'!M25</f>
        <v>0</v>
      </c>
      <c r="H4899" s="308">
        <f>'JOVENES PROTAGONISTAS'!N25</f>
        <v>0</v>
      </c>
    </row>
    <row r="4900" spans="1:8" x14ac:dyDescent="0.3">
      <c r="A4900" t="s">
        <v>632</v>
      </c>
      <c r="B4900" t="s">
        <v>441</v>
      </c>
      <c r="C4900" t="s">
        <v>667</v>
      </c>
      <c r="D4900" t="s">
        <v>693</v>
      </c>
      <c r="E4900" t="s">
        <v>771</v>
      </c>
      <c r="F4900">
        <v>6</v>
      </c>
      <c r="G4900" s="308">
        <f>'JOVENES PROTAGONISTAS'!O25</f>
        <v>0</v>
      </c>
      <c r="H4900" s="308">
        <f>'JOVENES PROTAGONISTAS'!P25</f>
        <v>0</v>
      </c>
    </row>
    <row r="4901" spans="1:8" x14ac:dyDescent="0.3">
      <c r="A4901" t="s">
        <v>632</v>
      </c>
      <c r="B4901" t="s">
        <v>441</v>
      </c>
      <c r="C4901" t="s">
        <v>667</v>
      </c>
      <c r="D4901" t="s">
        <v>693</v>
      </c>
      <c r="E4901" t="s">
        <v>772</v>
      </c>
      <c r="F4901">
        <v>7</v>
      </c>
      <c r="G4901" s="308">
        <f>'JOVENES PROTAGONISTAS'!Q25</f>
        <v>1</v>
      </c>
      <c r="H4901" s="308">
        <f>'JOVENES PROTAGONISTAS'!R25</f>
        <v>790.42648703817099</v>
      </c>
    </row>
    <row r="4902" spans="1:8" x14ac:dyDescent="0.3">
      <c r="A4902" t="s">
        <v>632</v>
      </c>
      <c r="B4902" t="s">
        <v>441</v>
      </c>
      <c r="C4902" t="s">
        <v>668</v>
      </c>
      <c r="D4902" t="s">
        <v>693</v>
      </c>
      <c r="E4902" t="s">
        <v>766</v>
      </c>
      <c r="F4902">
        <v>1</v>
      </c>
      <c r="G4902" s="308">
        <f>'JOVENES PROTAGONISTAS'!E26</f>
        <v>0</v>
      </c>
      <c r="H4902" s="308">
        <f>'JOVENES PROTAGONISTAS'!F26</f>
        <v>0</v>
      </c>
    </row>
    <row r="4903" spans="1:8" x14ac:dyDescent="0.3">
      <c r="A4903" t="s">
        <v>632</v>
      </c>
      <c r="B4903" t="s">
        <v>441</v>
      </c>
      <c r="C4903" t="s">
        <v>668</v>
      </c>
      <c r="D4903" t="s">
        <v>693</v>
      </c>
      <c r="E4903" t="s">
        <v>767</v>
      </c>
      <c r="F4903">
        <v>2</v>
      </c>
      <c r="G4903" s="308">
        <f>'JOVENES PROTAGONISTAS'!G26</f>
        <v>0</v>
      </c>
      <c r="H4903" s="308">
        <f>'JOVENES PROTAGONISTAS'!H26</f>
        <v>0</v>
      </c>
    </row>
    <row r="4904" spans="1:8" x14ac:dyDescent="0.3">
      <c r="A4904" t="s">
        <v>632</v>
      </c>
      <c r="B4904" t="s">
        <v>441</v>
      </c>
      <c r="C4904" t="s">
        <v>668</v>
      </c>
      <c r="D4904" t="s">
        <v>693</v>
      </c>
      <c r="E4904" t="s">
        <v>768</v>
      </c>
      <c r="F4904">
        <v>3</v>
      </c>
      <c r="G4904" s="308">
        <f>'JOVENES PROTAGONISTAS'!I26</f>
        <v>0</v>
      </c>
      <c r="H4904" s="308">
        <f>'JOVENES PROTAGONISTAS'!J26</f>
        <v>0</v>
      </c>
    </row>
    <row r="4905" spans="1:8" x14ac:dyDescent="0.3">
      <c r="A4905" t="s">
        <v>632</v>
      </c>
      <c r="B4905" t="s">
        <v>441</v>
      </c>
      <c r="C4905" t="s">
        <v>668</v>
      </c>
      <c r="D4905" t="s">
        <v>693</v>
      </c>
      <c r="E4905" t="s">
        <v>769</v>
      </c>
      <c r="F4905">
        <v>4</v>
      </c>
      <c r="G4905" s="308">
        <f>'JOVENES PROTAGONISTAS'!K26</f>
        <v>0</v>
      </c>
      <c r="H4905" s="308">
        <f>'JOVENES PROTAGONISTAS'!L26</f>
        <v>0</v>
      </c>
    </row>
    <row r="4906" spans="1:8" x14ac:dyDescent="0.3">
      <c r="A4906" t="s">
        <v>632</v>
      </c>
      <c r="B4906" t="s">
        <v>441</v>
      </c>
      <c r="C4906" t="s">
        <v>668</v>
      </c>
      <c r="D4906" t="s">
        <v>693</v>
      </c>
      <c r="E4906" t="s">
        <v>770</v>
      </c>
      <c r="F4906">
        <v>5</v>
      </c>
      <c r="G4906" s="308">
        <f>'JOVENES PROTAGONISTAS'!M26</f>
        <v>0</v>
      </c>
      <c r="H4906" s="308">
        <f>'JOVENES PROTAGONISTAS'!N26</f>
        <v>0</v>
      </c>
    </row>
    <row r="4907" spans="1:8" x14ac:dyDescent="0.3">
      <c r="A4907" t="s">
        <v>632</v>
      </c>
      <c r="B4907" t="s">
        <v>441</v>
      </c>
      <c r="C4907" t="s">
        <v>668</v>
      </c>
      <c r="D4907" t="s">
        <v>693</v>
      </c>
      <c r="E4907" t="s">
        <v>771</v>
      </c>
      <c r="F4907">
        <v>6</v>
      </c>
      <c r="G4907" s="308">
        <f>'JOVENES PROTAGONISTAS'!O26</f>
        <v>0</v>
      </c>
      <c r="H4907" s="308">
        <f>'JOVENES PROTAGONISTAS'!P26</f>
        <v>0</v>
      </c>
    </row>
    <row r="4908" spans="1:8" x14ac:dyDescent="0.3">
      <c r="A4908" t="s">
        <v>632</v>
      </c>
      <c r="B4908" t="s">
        <v>441</v>
      </c>
      <c r="C4908" t="s">
        <v>668</v>
      </c>
      <c r="D4908" t="s">
        <v>693</v>
      </c>
      <c r="E4908" t="s">
        <v>772</v>
      </c>
      <c r="F4908">
        <v>7</v>
      </c>
      <c r="G4908" s="308">
        <f>'JOVENES PROTAGONISTAS'!Q26</f>
        <v>4</v>
      </c>
      <c r="H4908" s="308">
        <f>'JOVENES PROTAGONISTAS'!R26</f>
        <v>3161.705948152684</v>
      </c>
    </row>
    <row r="4909" spans="1:8" x14ac:dyDescent="0.3">
      <c r="A4909" t="s">
        <v>632</v>
      </c>
      <c r="B4909" t="s">
        <v>445</v>
      </c>
      <c r="C4909" t="s">
        <v>446</v>
      </c>
      <c r="D4909" t="s">
        <v>693</v>
      </c>
      <c r="E4909" t="s">
        <v>766</v>
      </c>
      <c r="F4909">
        <v>1</v>
      </c>
      <c r="G4909" s="308">
        <f>'JOVENES PROTAGONISTAS'!E27</f>
        <v>0</v>
      </c>
      <c r="H4909" s="308">
        <f>'JOVENES PROTAGONISTAS'!F27</f>
        <v>0</v>
      </c>
    </row>
    <row r="4910" spans="1:8" x14ac:dyDescent="0.3">
      <c r="A4910" t="s">
        <v>632</v>
      </c>
      <c r="B4910" t="s">
        <v>445</v>
      </c>
      <c r="C4910" t="s">
        <v>446</v>
      </c>
      <c r="D4910" t="s">
        <v>693</v>
      </c>
      <c r="E4910" t="s">
        <v>767</v>
      </c>
      <c r="F4910">
        <v>2</v>
      </c>
      <c r="G4910" s="308">
        <f>'JOVENES PROTAGONISTAS'!G27</f>
        <v>52</v>
      </c>
      <c r="H4910" s="308">
        <f>'JOVENES PROTAGONISTAS'!H27</f>
        <v>5225.5854909662212</v>
      </c>
    </row>
    <row r="4911" spans="1:8" x14ac:dyDescent="0.3">
      <c r="A4911" t="s">
        <v>632</v>
      </c>
      <c r="B4911" t="s">
        <v>445</v>
      </c>
      <c r="C4911" t="s">
        <v>446</v>
      </c>
      <c r="D4911" t="s">
        <v>693</v>
      </c>
      <c r="E4911" t="s">
        <v>768</v>
      </c>
      <c r="F4911">
        <v>3</v>
      </c>
      <c r="G4911" s="308">
        <f>'JOVENES PROTAGONISTAS'!I27</f>
        <v>243</v>
      </c>
      <c r="H4911" s="308">
        <f>'JOVENES PROTAGONISTAS'!J27</f>
        <v>40279.478534923335</v>
      </c>
    </row>
    <row r="4912" spans="1:8" x14ac:dyDescent="0.3">
      <c r="A4912" t="s">
        <v>632</v>
      </c>
      <c r="B4912" t="s">
        <v>445</v>
      </c>
      <c r="C4912" t="s">
        <v>446</v>
      </c>
      <c r="D4912" t="s">
        <v>693</v>
      </c>
      <c r="E4912" t="s">
        <v>769</v>
      </c>
      <c r="F4912">
        <v>4</v>
      </c>
      <c r="G4912" s="308">
        <f>'JOVENES PROTAGONISTAS'!K27</f>
        <v>25</v>
      </c>
      <c r="H4912" s="308">
        <f>'JOVENES PROTAGONISTAS'!L27</f>
        <v>21492.332045337454</v>
      </c>
    </row>
    <row r="4913" spans="1:8" x14ac:dyDescent="0.3">
      <c r="A4913" t="s">
        <v>632</v>
      </c>
      <c r="B4913" t="s">
        <v>445</v>
      </c>
      <c r="C4913" t="s">
        <v>446</v>
      </c>
      <c r="D4913" t="s">
        <v>693</v>
      </c>
      <c r="E4913" t="s">
        <v>770</v>
      </c>
      <c r="F4913">
        <v>5</v>
      </c>
      <c r="G4913" s="308">
        <f>'JOVENES PROTAGONISTAS'!M27</f>
        <v>12</v>
      </c>
      <c r="H4913" s="308">
        <f>'JOVENES PROTAGONISTAS'!N27</f>
        <v>12101.966273187185</v>
      </c>
    </row>
    <row r="4914" spans="1:8" x14ac:dyDescent="0.3">
      <c r="A4914" t="s">
        <v>632</v>
      </c>
      <c r="B4914" t="s">
        <v>445</v>
      </c>
      <c r="C4914" t="s">
        <v>446</v>
      </c>
      <c r="D4914" t="s">
        <v>693</v>
      </c>
      <c r="E4914" t="s">
        <v>771</v>
      </c>
      <c r="F4914">
        <v>6</v>
      </c>
      <c r="G4914" s="308">
        <f>'JOVENES PROTAGONISTAS'!O27</f>
        <v>8</v>
      </c>
      <c r="H4914" s="308">
        <f>'JOVENES PROTAGONISTAS'!P27</f>
        <v>1839.639505376344</v>
      </c>
    </row>
    <row r="4915" spans="1:8" x14ac:dyDescent="0.3">
      <c r="A4915" t="s">
        <v>632</v>
      </c>
      <c r="B4915" t="s">
        <v>445</v>
      </c>
      <c r="C4915" t="s">
        <v>446</v>
      </c>
      <c r="D4915" t="s">
        <v>693</v>
      </c>
      <c r="E4915" t="s">
        <v>772</v>
      </c>
      <c r="F4915">
        <v>7</v>
      </c>
      <c r="G4915" s="308">
        <f>'JOVENES PROTAGONISTAS'!Q27</f>
        <v>36</v>
      </c>
      <c r="H4915" s="308">
        <f>'JOVENES PROTAGONISTAS'!R27</f>
        <v>28455.353533374157</v>
      </c>
    </row>
    <row r="4916" spans="1:8" x14ac:dyDescent="0.3">
      <c r="A4916" t="s">
        <v>632</v>
      </c>
      <c r="B4916" t="s">
        <v>445</v>
      </c>
      <c r="C4916" t="s">
        <v>704</v>
      </c>
      <c r="D4916" t="s">
        <v>693</v>
      </c>
      <c r="E4916" t="s">
        <v>766</v>
      </c>
      <c r="F4916">
        <v>1</v>
      </c>
      <c r="G4916" s="308">
        <f>'JOVENES PROTAGONISTAS'!E28</f>
        <v>0</v>
      </c>
      <c r="H4916" s="308">
        <f>'JOVENES PROTAGONISTAS'!F28</f>
        <v>0</v>
      </c>
    </row>
    <row r="4917" spans="1:8" x14ac:dyDescent="0.3">
      <c r="A4917" t="s">
        <v>632</v>
      </c>
      <c r="B4917" t="s">
        <v>445</v>
      </c>
      <c r="C4917" t="s">
        <v>704</v>
      </c>
      <c r="D4917" t="s">
        <v>693</v>
      </c>
      <c r="E4917" t="s">
        <v>767</v>
      </c>
      <c r="F4917">
        <v>2</v>
      </c>
      <c r="G4917" s="308">
        <f>'JOVENES PROTAGONISTAS'!G28</f>
        <v>30</v>
      </c>
      <c r="H4917" s="308">
        <f>'JOVENES PROTAGONISTAS'!H28</f>
        <v>3014.7608601728202</v>
      </c>
    </row>
    <row r="4918" spans="1:8" x14ac:dyDescent="0.3">
      <c r="A4918" t="s">
        <v>632</v>
      </c>
      <c r="B4918" t="s">
        <v>445</v>
      </c>
      <c r="C4918" t="s">
        <v>704</v>
      </c>
      <c r="D4918" t="s">
        <v>693</v>
      </c>
      <c r="E4918" t="s">
        <v>768</v>
      </c>
      <c r="F4918">
        <v>3</v>
      </c>
      <c r="G4918" s="308">
        <f>'JOVENES PROTAGONISTAS'!I28</f>
        <v>32</v>
      </c>
      <c r="H4918" s="308">
        <f>'JOVENES PROTAGONISTAS'!J28</f>
        <v>5304.2934696195343</v>
      </c>
    </row>
    <row r="4919" spans="1:8" x14ac:dyDescent="0.3">
      <c r="A4919" t="s">
        <v>632</v>
      </c>
      <c r="B4919" t="s">
        <v>445</v>
      </c>
      <c r="C4919" t="s">
        <v>704</v>
      </c>
      <c r="D4919" t="s">
        <v>693</v>
      </c>
      <c r="E4919" t="s">
        <v>769</v>
      </c>
      <c r="F4919">
        <v>4</v>
      </c>
      <c r="G4919" s="308">
        <f>'JOVENES PROTAGONISTAS'!K28</f>
        <v>4</v>
      </c>
      <c r="H4919" s="308">
        <f>'JOVENES PROTAGONISTAS'!L28</f>
        <v>3438.7731272539927</v>
      </c>
    </row>
    <row r="4920" spans="1:8" x14ac:dyDescent="0.3">
      <c r="A4920" t="s">
        <v>632</v>
      </c>
      <c r="B4920" t="s">
        <v>445</v>
      </c>
      <c r="C4920" t="s">
        <v>704</v>
      </c>
      <c r="D4920" t="s">
        <v>693</v>
      </c>
      <c r="E4920" t="s">
        <v>770</v>
      </c>
      <c r="F4920">
        <v>5</v>
      </c>
      <c r="G4920" s="308">
        <f>'JOVENES PROTAGONISTAS'!M28</f>
        <v>9</v>
      </c>
      <c r="H4920" s="308">
        <f>'JOVENES PROTAGONISTAS'!N28</f>
        <v>9076.4747048903882</v>
      </c>
    </row>
    <row r="4921" spans="1:8" x14ac:dyDescent="0.3">
      <c r="A4921" t="s">
        <v>632</v>
      </c>
      <c r="B4921" t="s">
        <v>445</v>
      </c>
      <c r="C4921" t="s">
        <v>704</v>
      </c>
      <c r="D4921" t="s">
        <v>693</v>
      </c>
      <c r="E4921" t="s">
        <v>771</v>
      </c>
      <c r="F4921">
        <v>6</v>
      </c>
      <c r="G4921" s="308">
        <f>'JOVENES PROTAGONISTAS'!O28</f>
        <v>6</v>
      </c>
      <c r="H4921" s="308">
        <f>'JOVENES PROTAGONISTAS'!P28</f>
        <v>1379.7296290322579</v>
      </c>
    </row>
    <row r="4922" spans="1:8" x14ac:dyDescent="0.3">
      <c r="A4922" t="s">
        <v>632</v>
      </c>
      <c r="B4922" t="s">
        <v>445</v>
      </c>
      <c r="C4922" t="s">
        <v>704</v>
      </c>
      <c r="D4922" t="s">
        <v>693</v>
      </c>
      <c r="E4922" t="s">
        <v>772</v>
      </c>
      <c r="F4922">
        <v>7</v>
      </c>
      <c r="G4922" s="308">
        <f>'JOVENES PROTAGONISTAS'!Q28</f>
        <v>86</v>
      </c>
      <c r="H4922" s="308">
        <f>'JOVENES PROTAGONISTAS'!R28</f>
        <v>67976.677885282712</v>
      </c>
    </row>
    <row r="4923" spans="1:8" x14ac:dyDescent="0.3">
      <c r="A4923" t="s">
        <v>632</v>
      </c>
      <c r="B4923" t="s">
        <v>445</v>
      </c>
      <c r="C4923" t="s">
        <v>448</v>
      </c>
      <c r="D4923" t="s">
        <v>693</v>
      </c>
      <c r="E4923" t="s">
        <v>766</v>
      </c>
      <c r="F4923">
        <v>1</v>
      </c>
      <c r="G4923" s="308">
        <f>'JOVENES PROTAGONISTAS'!E29</f>
        <v>0</v>
      </c>
      <c r="H4923" s="308">
        <f>'JOVENES PROTAGONISTAS'!F29</f>
        <v>0</v>
      </c>
    </row>
    <row r="4924" spans="1:8" x14ac:dyDescent="0.3">
      <c r="A4924" t="s">
        <v>632</v>
      </c>
      <c r="B4924" t="s">
        <v>445</v>
      </c>
      <c r="C4924" t="s">
        <v>448</v>
      </c>
      <c r="D4924" t="s">
        <v>693</v>
      </c>
      <c r="E4924" t="s">
        <v>767</v>
      </c>
      <c r="F4924">
        <v>2</v>
      </c>
      <c r="G4924" s="308">
        <f>'JOVENES PROTAGONISTAS'!G29</f>
        <v>23</v>
      </c>
      <c r="H4924" s="308">
        <f>'JOVENES PROTAGONISTAS'!H29</f>
        <v>2311.3166594658287</v>
      </c>
    </row>
    <row r="4925" spans="1:8" x14ac:dyDescent="0.3">
      <c r="A4925" t="s">
        <v>632</v>
      </c>
      <c r="B4925" t="s">
        <v>445</v>
      </c>
      <c r="C4925" t="s">
        <v>448</v>
      </c>
      <c r="D4925" t="s">
        <v>693</v>
      </c>
      <c r="E4925" t="s">
        <v>768</v>
      </c>
      <c r="F4925">
        <v>3</v>
      </c>
      <c r="G4925" s="308">
        <f>'JOVENES PROTAGONISTAS'!I29</f>
        <v>64</v>
      </c>
      <c r="H4925" s="308">
        <f>'JOVENES PROTAGONISTAS'!J29</f>
        <v>10608.586939239069</v>
      </c>
    </row>
    <row r="4926" spans="1:8" x14ac:dyDescent="0.3">
      <c r="A4926" t="s">
        <v>632</v>
      </c>
      <c r="B4926" t="s">
        <v>445</v>
      </c>
      <c r="C4926" t="s">
        <v>448</v>
      </c>
      <c r="D4926" t="s">
        <v>693</v>
      </c>
      <c r="E4926" t="s">
        <v>769</v>
      </c>
      <c r="F4926">
        <v>4</v>
      </c>
      <c r="G4926" s="308">
        <f>'JOVENES PROTAGONISTAS'!K29</f>
        <v>33</v>
      </c>
      <c r="H4926" s="308">
        <f>'JOVENES PROTAGONISTAS'!L29</f>
        <v>28369.878299845441</v>
      </c>
    </row>
    <row r="4927" spans="1:8" x14ac:dyDescent="0.3">
      <c r="A4927" t="s">
        <v>632</v>
      </c>
      <c r="B4927" t="s">
        <v>445</v>
      </c>
      <c r="C4927" t="s">
        <v>448</v>
      </c>
      <c r="D4927" t="s">
        <v>693</v>
      </c>
      <c r="E4927" t="s">
        <v>770</v>
      </c>
      <c r="F4927">
        <v>5</v>
      </c>
      <c r="G4927" s="308">
        <f>'JOVENES PROTAGONISTAS'!M29</f>
        <v>0</v>
      </c>
      <c r="H4927" s="308">
        <f>'JOVENES PROTAGONISTAS'!N29</f>
        <v>0</v>
      </c>
    </row>
    <row r="4928" spans="1:8" x14ac:dyDescent="0.3">
      <c r="A4928" t="s">
        <v>632</v>
      </c>
      <c r="B4928" t="s">
        <v>445</v>
      </c>
      <c r="C4928" t="s">
        <v>448</v>
      </c>
      <c r="D4928" t="s">
        <v>693</v>
      </c>
      <c r="E4928" t="s">
        <v>771</v>
      </c>
      <c r="F4928">
        <v>6</v>
      </c>
      <c r="G4928" s="308">
        <f>'JOVENES PROTAGONISTAS'!O29</f>
        <v>125</v>
      </c>
      <c r="H4928" s="308">
        <f>'JOVENES PROTAGONISTAS'!P29</f>
        <v>28744.367271505376</v>
      </c>
    </row>
    <row r="4929" spans="1:8" x14ac:dyDescent="0.3">
      <c r="A4929" t="s">
        <v>632</v>
      </c>
      <c r="B4929" t="s">
        <v>445</v>
      </c>
      <c r="C4929" t="s">
        <v>448</v>
      </c>
      <c r="D4929" t="s">
        <v>693</v>
      </c>
      <c r="E4929" t="s">
        <v>772</v>
      </c>
      <c r="F4929">
        <v>7</v>
      </c>
      <c r="G4929" s="308">
        <f>'JOVENES PROTAGONISTAS'!Q29</f>
        <v>7</v>
      </c>
      <c r="H4929" s="308">
        <f>'JOVENES PROTAGONISTAS'!R29</f>
        <v>5532.9854092671967</v>
      </c>
    </row>
    <row r="4930" spans="1:8" x14ac:dyDescent="0.3">
      <c r="A4930" t="s">
        <v>632</v>
      </c>
      <c r="B4930" t="s">
        <v>445</v>
      </c>
      <c r="C4930" t="s">
        <v>449</v>
      </c>
      <c r="D4930" t="s">
        <v>693</v>
      </c>
      <c r="E4930" t="s">
        <v>766</v>
      </c>
      <c r="F4930">
        <v>1</v>
      </c>
      <c r="G4930" s="308">
        <f>'JOVENES PROTAGONISTAS'!E30</f>
        <v>0</v>
      </c>
      <c r="H4930" s="308">
        <f>'JOVENES PROTAGONISTAS'!F30</f>
        <v>0</v>
      </c>
    </row>
    <row r="4931" spans="1:8" x14ac:dyDescent="0.3">
      <c r="A4931" t="s">
        <v>632</v>
      </c>
      <c r="B4931" t="s">
        <v>445</v>
      </c>
      <c r="C4931" t="s">
        <v>449</v>
      </c>
      <c r="D4931" t="s">
        <v>693</v>
      </c>
      <c r="E4931" t="s">
        <v>767</v>
      </c>
      <c r="F4931">
        <v>2</v>
      </c>
      <c r="G4931" s="308">
        <f>'JOVENES PROTAGONISTAS'!G30</f>
        <v>39</v>
      </c>
      <c r="H4931" s="308">
        <f>'JOVENES PROTAGONISTAS'!H30</f>
        <v>3919.1891182246663</v>
      </c>
    </row>
    <row r="4932" spans="1:8" x14ac:dyDescent="0.3">
      <c r="A4932" t="s">
        <v>632</v>
      </c>
      <c r="B4932" t="s">
        <v>445</v>
      </c>
      <c r="C4932" t="s">
        <v>449</v>
      </c>
      <c r="D4932" t="s">
        <v>693</v>
      </c>
      <c r="E4932" t="s">
        <v>768</v>
      </c>
      <c r="F4932">
        <v>3</v>
      </c>
      <c r="G4932" s="308">
        <f>'JOVENES PROTAGONISTAS'!I30</f>
        <v>39</v>
      </c>
      <c r="H4932" s="308">
        <f>'JOVENES PROTAGONISTAS'!J30</f>
        <v>6464.6076660988074</v>
      </c>
    </row>
    <row r="4933" spans="1:8" x14ac:dyDescent="0.3">
      <c r="A4933" t="s">
        <v>632</v>
      </c>
      <c r="B4933" t="s">
        <v>445</v>
      </c>
      <c r="C4933" t="s">
        <v>449</v>
      </c>
      <c r="D4933" t="s">
        <v>693</v>
      </c>
      <c r="E4933" t="s">
        <v>769</v>
      </c>
      <c r="F4933">
        <v>4</v>
      </c>
      <c r="G4933" s="308">
        <f>'JOVENES PROTAGONISTAS'!K30</f>
        <v>6</v>
      </c>
      <c r="H4933" s="308">
        <f>'JOVENES PROTAGONISTAS'!L30</f>
        <v>5158.1596908809888</v>
      </c>
    </row>
    <row r="4934" spans="1:8" x14ac:dyDescent="0.3">
      <c r="A4934" t="s">
        <v>632</v>
      </c>
      <c r="B4934" t="s">
        <v>445</v>
      </c>
      <c r="C4934" t="s">
        <v>449</v>
      </c>
      <c r="D4934" t="s">
        <v>693</v>
      </c>
      <c r="E4934" t="s">
        <v>770</v>
      </c>
      <c r="F4934">
        <v>5</v>
      </c>
      <c r="G4934" s="308">
        <f>'JOVENES PROTAGONISTAS'!M30</f>
        <v>4</v>
      </c>
      <c r="H4934" s="308">
        <f>'JOVENES PROTAGONISTAS'!N30</f>
        <v>4033.9887577290615</v>
      </c>
    </row>
    <row r="4935" spans="1:8" x14ac:dyDescent="0.3">
      <c r="A4935" t="s">
        <v>632</v>
      </c>
      <c r="B4935" t="s">
        <v>445</v>
      </c>
      <c r="C4935" t="s">
        <v>449</v>
      </c>
      <c r="D4935" t="s">
        <v>693</v>
      </c>
      <c r="E4935" t="s">
        <v>771</v>
      </c>
      <c r="F4935">
        <v>6</v>
      </c>
      <c r="G4935" s="308">
        <f>'JOVENES PROTAGONISTAS'!O30</f>
        <v>23</v>
      </c>
      <c r="H4935" s="308">
        <f>'JOVENES PROTAGONISTAS'!P30</f>
        <v>5288.963577956989</v>
      </c>
    </row>
    <row r="4936" spans="1:8" x14ac:dyDescent="0.3">
      <c r="A4936" t="s">
        <v>632</v>
      </c>
      <c r="B4936" t="s">
        <v>445</v>
      </c>
      <c r="C4936" t="s">
        <v>449</v>
      </c>
      <c r="D4936" t="s">
        <v>693</v>
      </c>
      <c r="E4936" t="s">
        <v>772</v>
      </c>
      <c r="F4936">
        <v>7</v>
      </c>
      <c r="G4936" s="308">
        <f>'JOVENES PROTAGONISTAS'!Q30</f>
        <v>51</v>
      </c>
      <c r="H4936" s="308">
        <f>'JOVENES PROTAGONISTAS'!R30</f>
        <v>40311.750838946718</v>
      </c>
    </row>
    <row r="4937" spans="1:8" x14ac:dyDescent="0.3">
      <c r="A4937" t="s">
        <v>632</v>
      </c>
      <c r="B4937" t="s">
        <v>445</v>
      </c>
      <c r="C4937" t="s">
        <v>450</v>
      </c>
      <c r="D4937" t="s">
        <v>693</v>
      </c>
      <c r="E4937" t="s">
        <v>766</v>
      </c>
      <c r="F4937">
        <v>1</v>
      </c>
      <c r="G4937" s="308">
        <f>'JOVENES PROTAGONISTAS'!E31</f>
        <v>0</v>
      </c>
      <c r="H4937" s="308">
        <f>'JOVENES PROTAGONISTAS'!F31</f>
        <v>0</v>
      </c>
    </row>
    <row r="4938" spans="1:8" x14ac:dyDescent="0.3">
      <c r="A4938" t="s">
        <v>632</v>
      </c>
      <c r="B4938" t="s">
        <v>445</v>
      </c>
      <c r="C4938" t="s">
        <v>450</v>
      </c>
      <c r="D4938" t="s">
        <v>693</v>
      </c>
      <c r="E4938" t="s">
        <v>767</v>
      </c>
      <c r="F4938">
        <v>2</v>
      </c>
      <c r="G4938" s="308">
        <f>'JOVENES PROTAGONISTAS'!G31</f>
        <v>31</v>
      </c>
      <c r="H4938" s="308">
        <f>'JOVENES PROTAGONISTAS'!H31</f>
        <v>3115.2528888452475</v>
      </c>
    </row>
    <row r="4939" spans="1:8" x14ac:dyDescent="0.3">
      <c r="A4939" t="s">
        <v>632</v>
      </c>
      <c r="B4939" t="s">
        <v>445</v>
      </c>
      <c r="C4939" t="s">
        <v>450</v>
      </c>
      <c r="D4939" t="s">
        <v>693</v>
      </c>
      <c r="E4939" t="s">
        <v>768</v>
      </c>
      <c r="F4939">
        <v>3</v>
      </c>
      <c r="G4939" s="308">
        <f>'JOVENES PROTAGONISTAS'!I31</f>
        <v>45</v>
      </c>
      <c r="H4939" s="308">
        <f>'JOVENES PROTAGONISTAS'!J31</f>
        <v>7459.1626916524701</v>
      </c>
    </row>
    <row r="4940" spans="1:8" x14ac:dyDescent="0.3">
      <c r="A4940" t="s">
        <v>632</v>
      </c>
      <c r="B4940" t="s">
        <v>445</v>
      </c>
      <c r="C4940" t="s">
        <v>450</v>
      </c>
      <c r="D4940" t="s">
        <v>693</v>
      </c>
      <c r="E4940" t="s">
        <v>769</v>
      </c>
      <c r="F4940">
        <v>4</v>
      </c>
      <c r="G4940" s="308">
        <f>'JOVENES PROTAGONISTAS'!K31</f>
        <v>1</v>
      </c>
      <c r="H4940" s="308">
        <f>'JOVENES PROTAGONISTAS'!L31</f>
        <v>859.69328181349817</v>
      </c>
    </row>
    <row r="4941" spans="1:8" x14ac:dyDescent="0.3">
      <c r="A4941" t="s">
        <v>632</v>
      </c>
      <c r="B4941" t="s">
        <v>445</v>
      </c>
      <c r="C4941" t="s">
        <v>450</v>
      </c>
      <c r="D4941" t="s">
        <v>693</v>
      </c>
      <c r="E4941" t="s">
        <v>770</v>
      </c>
      <c r="F4941">
        <v>5</v>
      </c>
      <c r="G4941" s="308">
        <f>'JOVENES PROTAGONISTAS'!M31</f>
        <v>3</v>
      </c>
      <c r="H4941" s="308">
        <f>'JOVENES PROTAGONISTAS'!N31</f>
        <v>3025.4915682967962</v>
      </c>
    </row>
    <row r="4942" spans="1:8" x14ac:dyDescent="0.3">
      <c r="A4942" t="s">
        <v>632</v>
      </c>
      <c r="B4942" t="s">
        <v>445</v>
      </c>
      <c r="C4942" t="s">
        <v>450</v>
      </c>
      <c r="D4942" t="s">
        <v>693</v>
      </c>
      <c r="E4942" t="s">
        <v>771</v>
      </c>
      <c r="F4942">
        <v>6</v>
      </c>
      <c r="G4942" s="308">
        <f>'JOVENES PROTAGONISTAS'!O31</f>
        <v>27</v>
      </c>
      <c r="H4942" s="308">
        <f>'JOVENES PROTAGONISTAS'!P31</f>
        <v>6208.7833306451612</v>
      </c>
    </row>
    <row r="4943" spans="1:8" x14ac:dyDescent="0.3">
      <c r="A4943" t="s">
        <v>632</v>
      </c>
      <c r="B4943" t="s">
        <v>445</v>
      </c>
      <c r="C4943" t="s">
        <v>450</v>
      </c>
      <c r="D4943" t="s">
        <v>693</v>
      </c>
      <c r="E4943" t="s">
        <v>772</v>
      </c>
      <c r="F4943">
        <v>7</v>
      </c>
      <c r="G4943" s="308">
        <f>'JOVENES PROTAGONISTAS'!Q31</f>
        <v>15</v>
      </c>
      <c r="H4943" s="308">
        <f>'JOVENES PROTAGONISTAS'!R31</f>
        <v>11856.397305572566</v>
      </c>
    </row>
    <row r="4944" spans="1:8" x14ac:dyDescent="0.3">
      <c r="A4944" t="s">
        <v>632</v>
      </c>
      <c r="B4944" t="s">
        <v>705</v>
      </c>
      <c r="C4944" t="s">
        <v>705</v>
      </c>
      <c r="D4944" t="s">
        <v>693</v>
      </c>
      <c r="E4944" t="s">
        <v>766</v>
      </c>
      <c r="F4944">
        <v>1</v>
      </c>
      <c r="G4944" s="308">
        <f>'JOVENES PROTAGONISTAS'!E32</f>
        <v>0</v>
      </c>
      <c r="H4944" s="308">
        <f>'JOVENES PROTAGONISTAS'!F32</f>
        <v>0</v>
      </c>
    </row>
    <row r="4945" spans="1:8" x14ac:dyDescent="0.3">
      <c r="A4945" t="s">
        <v>632</v>
      </c>
      <c r="B4945" t="s">
        <v>705</v>
      </c>
      <c r="C4945" t="s">
        <v>705</v>
      </c>
      <c r="D4945" t="s">
        <v>693</v>
      </c>
      <c r="E4945" t="s">
        <v>767</v>
      </c>
      <c r="F4945">
        <v>2</v>
      </c>
      <c r="G4945" s="308">
        <f>'JOVENES PROTAGONISTAS'!G32</f>
        <v>43</v>
      </c>
      <c r="H4945" s="308">
        <f>'JOVENES PROTAGONISTAS'!H32</f>
        <v>4321.1572329143755</v>
      </c>
    </row>
    <row r="4946" spans="1:8" x14ac:dyDescent="0.3">
      <c r="A4946" t="s">
        <v>632</v>
      </c>
      <c r="B4946" t="s">
        <v>705</v>
      </c>
      <c r="C4946" t="s">
        <v>705</v>
      </c>
      <c r="D4946" t="s">
        <v>693</v>
      </c>
      <c r="E4946" t="s">
        <v>768</v>
      </c>
      <c r="F4946">
        <v>3</v>
      </c>
      <c r="G4946" s="308">
        <f>'JOVENES PROTAGONISTAS'!I32</f>
        <v>160</v>
      </c>
      <c r="H4946" s="308">
        <f>'JOVENES PROTAGONISTAS'!J32</f>
        <v>26521.467348097671</v>
      </c>
    </row>
    <row r="4947" spans="1:8" x14ac:dyDescent="0.3">
      <c r="A4947" t="s">
        <v>632</v>
      </c>
      <c r="B4947" t="s">
        <v>705</v>
      </c>
      <c r="C4947" t="s">
        <v>705</v>
      </c>
      <c r="D4947" t="s">
        <v>693</v>
      </c>
      <c r="E4947" t="s">
        <v>769</v>
      </c>
      <c r="F4947">
        <v>4</v>
      </c>
      <c r="G4947" s="308">
        <f>'JOVENES PROTAGONISTAS'!K32</f>
        <v>43</v>
      </c>
      <c r="H4947" s="308">
        <f>'JOVENES PROTAGONISTAS'!L32</f>
        <v>36966.811117980418</v>
      </c>
    </row>
    <row r="4948" spans="1:8" x14ac:dyDescent="0.3">
      <c r="A4948" t="s">
        <v>632</v>
      </c>
      <c r="B4948" t="s">
        <v>705</v>
      </c>
      <c r="C4948" t="s">
        <v>705</v>
      </c>
      <c r="D4948" t="s">
        <v>693</v>
      </c>
      <c r="E4948" t="s">
        <v>770</v>
      </c>
      <c r="F4948">
        <v>5</v>
      </c>
      <c r="G4948" s="308">
        <f>'JOVENES PROTAGONISTAS'!M32</f>
        <v>13</v>
      </c>
      <c r="H4948" s="308">
        <f>'JOVENES PROTAGONISTAS'!N32</f>
        <v>13110.463462619449</v>
      </c>
    </row>
    <row r="4949" spans="1:8" x14ac:dyDescent="0.3">
      <c r="A4949" t="s">
        <v>632</v>
      </c>
      <c r="B4949" t="s">
        <v>705</v>
      </c>
      <c r="C4949" t="s">
        <v>705</v>
      </c>
      <c r="D4949" t="s">
        <v>693</v>
      </c>
      <c r="E4949" t="s">
        <v>771</v>
      </c>
      <c r="F4949">
        <v>6</v>
      </c>
      <c r="G4949" s="308">
        <f>'JOVENES PROTAGONISTAS'!O32</f>
        <v>346</v>
      </c>
      <c r="H4949" s="308">
        <f>'JOVENES PROTAGONISTAS'!P32</f>
        <v>79564.408607526871</v>
      </c>
    </row>
    <row r="4950" spans="1:8" x14ac:dyDescent="0.3">
      <c r="A4950" t="s">
        <v>632</v>
      </c>
      <c r="B4950" t="s">
        <v>705</v>
      </c>
      <c r="C4950" t="s">
        <v>705</v>
      </c>
      <c r="D4950" t="s">
        <v>693</v>
      </c>
      <c r="E4950" t="s">
        <v>772</v>
      </c>
      <c r="F4950">
        <v>7</v>
      </c>
      <c r="G4950" s="308">
        <f>'JOVENES PROTAGONISTAS'!Q32</f>
        <v>30</v>
      </c>
      <c r="H4950" s="308">
        <f>'JOVENES PROTAGONISTAS'!R32</f>
        <v>23712.794611145131</v>
      </c>
    </row>
    <row r="4951" spans="1:8" x14ac:dyDescent="0.3">
      <c r="A4951" t="s">
        <v>632</v>
      </c>
      <c r="B4951" t="s">
        <v>705</v>
      </c>
      <c r="C4951" t="s">
        <v>706</v>
      </c>
      <c r="D4951" t="s">
        <v>693</v>
      </c>
      <c r="E4951" t="s">
        <v>766</v>
      </c>
      <c r="F4951">
        <v>1</v>
      </c>
      <c r="G4951" s="308">
        <f>'JOVENES PROTAGONISTAS'!E33</f>
        <v>0</v>
      </c>
      <c r="H4951" s="308">
        <f>'JOVENES PROTAGONISTAS'!F33</f>
        <v>0</v>
      </c>
    </row>
    <row r="4952" spans="1:8" x14ac:dyDescent="0.3">
      <c r="A4952" t="s">
        <v>632</v>
      </c>
      <c r="B4952" t="s">
        <v>705</v>
      </c>
      <c r="C4952" t="s">
        <v>706</v>
      </c>
      <c r="D4952" t="s">
        <v>693</v>
      </c>
      <c r="E4952" t="s">
        <v>767</v>
      </c>
      <c r="F4952">
        <v>2</v>
      </c>
      <c r="G4952" s="308">
        <f>'JOVENES PROTAGONISTAS'!G33</f>
        <v>43</v>
      </c>
      <c r="H4952" s="308">
        <f>'JOVENES PROTAGONISTAS'!H33</f>
        <v>4321.1572329143755</v>
      </c>
    </row>
    <row r="4953" spans="1:8" x14ac:dyDescent="0.3">
      <c r="A4953" t="s">
        <v>632</v>
      </c>
      <c r="B4953" t="s">
        <v>705</v>
      </c>
      <c r="C4953" t="s">
        <v>706</v>
      </c>
      <c r="D4953" t="s">
        <v>693</v>
      </c>
      <c r="E4953" t="s">
        <v>768</v>
      </c>
      <c r="F4953">
        <v>3</v>
      </c>
      <c r="G4953" s="308">
        <f>'JOVENES PROTAGONISTAS'!I33</f>
        <v>168</v>
      </c>
      <c r="H4953" s="308">
        <f>'JOVENES PROTAGONISTAS'!J33</f>
        <v>27847.540715502557</v>
      </c>
    </row>
    <row r="4954" spans="1:8" x14ac:dyDescent="0.3">
      <c r="A4954" t="s">
        <v>632</v>
      </c>
      <c r="B4954" t="s">
        <v>705</v>
      </c>
      <c r="C4954" t="s">
        <v>706</v>
      </c>
      <c r="D4954" t="s">
        <v>693</v>
      </c>
      <c r="E4954" t="s">
        <v>769</v>
      </c>
      <c r="F4954">
        <v>4</v>
      </c>
      <c r="G4954" s="308">
        <f>'JOVENES PROTAGONISTAS'!K33</f>
        <v>21</v>
      </c>
      <c r="H4954" s="308">
        <f>'JOVENES PROTAGONISTAS'!L33</f>
        <v>18053.558918083461</v>
      </c>
    </row>
    <row r="4955" spans="1:8" x14ac:dyDescent="0.3">
      <c r="A4955" t="s">
        <v>632</v>
      </c>
      <c r="B4955" t="s">
        <v>705</v>
      </c>
      <c r="C4955" t="s">
        <v>706</v>
      </c>
      <c r="D4955" t="s">
        <v>693</v>
      </c>
      <c r="E4955" t="s">
        <v>770</v>
      </c>
      <c r="F4955">
        <v>5</v>
      </c>
      <c r="G4955" s="308">
        <f>'JOVENES PROTAGONISTAS'!M33</f>
        <v>10</v>
      </c>
      <c r="H4955" s="308">
        <f>'JOVENES PROTAGONISTAS'!N33</f>
        <v>10084.971894322654</v>
      </c>
    </row>
    <row r="4956" spans="1:8" x14ac:dyDescent="0.3">
      <c r="A4956" t="s">
        <v>632</v>
      </c>
      <c r="B4956" t="s">
        <v>705</v>
      </c>
      <c r="C4956" t="s">
        <v>706</v>
      </c>
      <c r="D4956" t="s">
        <v>693</v>
      </c>
      <c r="E4956" t="s">
        <v>771</v>
      </c>
      <c r="F4956">
        <v>6</v>
      </c>
      <c r="G4956" s="308">
        <f>'JOVENES PROTAGONISTAS'!O33</f>
        <v>302</v>
      </c>
      <c r="H4956" s="308">
        <f>'JOVENES PROTAGONISTAS'!P33</f>
        <v>69446.391327956982</v>
      </c>
    </row>
    <row r="4957" spans="1:8" x14ac:dyDescent="0.3">
      <c r="A4957" t="s">
        <v>632</v>
      </c>
      <c r="B4957" t="s">
        <v>705</v>
      </c>
      <c r="C4957" t="s">
        <v>706</v>
      </c>
      <c r="D4957" t="s">
        <v>693</v>
      </c>
      <c r="E4957" t="s">
        <v>772</v>
      </c>
      <c r="F4957">
        <v>7</v>
      </c>
      <c r="G4957" s="308">
        <f>'JOVENES PROTAGONISTAS'!Q33</f>
        <v>41</v>
      </c>
      <c r="H4957" s="308">
        <f>'JOVENES PROTAGONISTAS'!R33</f>
        <v>32407.485968565012</v>
      </c>
    </row>
    <row r="4958" spans="1:8" x14ac:dyDescent="0.3">
      <c r="A4958" t="s">
        <v>632</v>
      </c>
      <c r="B4958" t="s">
        <v>705</v>
      </c>
      <c r="C4958" t="s">
        <v>707</v>
      </c>
      <c r="D4958" t="s">
        <v>693</v>
      </c>
      <c r="E4958" t="s">
        <v>766</v>
      </c>
      <c r="F4958">
        <v>1</v>
      </c>
      <c r="G4958" s="308">
        <f>'JOVENES PROTAGONISTAS'!E34</f>
        <v>0</v>
      </c>
      <c r="H4958" s="308">
        <f>'JOVENES PROTAGONISTAS'!F34</f>
        <v>0</v>
      </c>
    </row>
    <row r="4959" spans="1:8" x14ac:dyDescent="0.3">
      <c r="A4959" t="s">
        <v>632</v>
      </c>
      <c r="B4959" t="s">
        <v>705</v>
      </c>
      <c r="C4959" t="s">
        <v>707</v>
      </c>
      <c r="D4959" t="s">
        <v>693</v>
      </c>
      <c r="E4959" t="s">
        <v>767</v>
      </c>
      <c r="F4959">
        <v>2</v>
      </c>
      <c r="G4959" s="308">
        <f>'JOVENES PROTAGONISTAS'!G34</f>
        <v>0</v>
      </c>
      <c r="H4959" s="308">
        <f>'JOVENES PROTAGONISTAS'!H34</f>
        <v>0</v>
      </c>
    </row>
    <row r="4960" spans="1:8" x14ac:dyDescent="0.3">
      <c r="A4960" t="s">
        <v>632</v>
      </c>
      <c r="B4960" t="s">
        <v>705</v>
      </c>
      <c r="C4960" t="s">
        <v>707</v>
      </c>
      <c r="D4960" t="s">
        <v>693</v>
      </c>
      <c r="E4960" t="s">
        <v>768</v>
      </c>
      <c r="F4960">
        <v>3</v>
      </c>
      <c r="G4960" s="308">
        <f>'JOVENES PROTAGONISTAS'!I34</f>
        <v>43</v>
      </c>
      <c r="H4960" s="308">
        <f>'JOVENES PROTAGONISTAS'!J34</f>
        <v>7127.6443498012495</v>
      </c>
    </row>
    <row r="4961" spans="1:8" x14ac:dyDescent="0.3">
      <c r="A4961" t="s">
        <v>632</v>
      </c>
      <c r="B4961" t="s">
        <v>705</v>
      </c>
      <c r="C4961" t="s">
        <v>707</v>
      </c>
      <c r="D4961" t="s">
        <v>693</v>
      </c>
      <c r="E4961" t="s">
        <v>769</v>
      </c>
      <c r="F4961">
        <v>4</v>
      </c>
      <c r="G4961" s="308">
        <f>'JOVENES PROTAGONISTAS'!K34</f>
        <v>7</v>
      </c>
      <c r="H4961" s="308">
        <f>'JOVENES PROTAGONISTAS'!L34</f>
        <v>6017.8529726944871</v>
      </c>
    </row>
    <row r="4962" spans="1:8" x14ac:dyDescent="0.3">
      <c r="A4962" t="s">
        <v>632</v>
      </c>
      <c r="B4962" t="s">
        <v>705</v>
      </c>
      <c r="C4962" t="s">
        <v>707</v>
      </c>
      <c r="D4962" t="s">
        <v>693</v>
      </c>
      <c r="E4962" t="s">
        <v>770</v>
      </c>
      <c r="F4962">
        <v>5</v>
      </c>
      <c r="G4962" s="308">
        <f>'JOVENES PROTAGONISTAS'!M34</f>
        <v>2</v>
      </c>
      <c r="H4962" s="308">
        <f>'JOVENES PROTAGONISTAS'!N34</f>
        <v>2016.9943788645307</v>
      </c>
    </row>
    <row r="4963" spans="1:8" x14ac:dyDescent="0.3">
      <c r="A4963" t="s">
        <v>632</v>
      </c>
      <c r="B4963" t="s">
        <v>705</v>
      </c>
      <c r="C4963" t="s">
        <v>707</v>
      </c>
      <c r="D4963" t="s">
        <v>693</v>
      </c>
      <c r="E4963" t="s">
        <v>771</v>
      </c>
      <c r="F4963">
        <v>6</v>
      </c>
      <c r="G4963" s="308">
        <f>'JOVENES PROTAGONISTAS'!O34</f>
        <v>177</v>
      </c>
      <c r="H4963" s="308">
        <f>'JOVENES PROTAGONISTAS'!P34</f>
        <v>40702.024056451613</v>
      </c>
    </row>
    <row r="4964" spans="1:8" x14ac:dyDescent="0.3">
      <c r="A4964" t="s">
        <v>632</v>
      </c>
      <c r="B4964" t="s">
        <v>705</v>
      </c>
      <c r="C4964" t="s">
        <v>707</v>
      </c>
      <c r="D4964" t="s">
        <v>693</v>
      </c>
      <c r="E4964" t="s">
        <v>772</v>
      </c>
      <c r="F4964">
        <v>7</v>
      </c>
      <c r="G4964" s="308">
        <f>'JOVENES PROTAGONISTAS'!Q34</f>
        <v>21</v>
      </c>
      <c r="H4964" s="308">
        <f>'JOVENES PROTAGONISTAS'!R34</f>
        <v>16598.956227801591</v>
      </c>
    </row>
    <row r="4965" spans="1:8" x14ac:dyDescent="0.3">
      <c r="A4965" t="s">
        <v>632</v>
      </c>
      <c r="B4965" t="s">
        <v>705</v>
      </c>
      <c r="C4965" t="s">
        <v>454</v>
      </c>
      <c r="D4965" t="s">
        <v>693</v>
      </c>
      <c r="E4965" t="s">
        <v>766</v>
      </c>
      <c r="F4965">
        <v>1</v>
      </c>
      <c r="G4965" s="308">
        <f>'JOVENES PROTAGONISTAS'!E35</f>
        <v>0</v>
      </c>
      <c r="H4965" s="308">
        <f>'JOVENES PROTAGONISTAS'!F35</f>
        <v>0</v>
      </c>
    </row>
    <row r="4966" spans="1:8" x14ac:dyDescent="0.3">
      <c r="A4966" t="s">
        <v>632</v>
      </c>
      <c r="B4966" t="s">
        <v>705</v>
      </c>
      <c r="C4966" t="s">
        <v>454</v>
      </c>
      <c r="D4966" t="s">
        <v>693</v>
      </c>
      <c r="E4966" t="s">
        <v>767</v>
      </c>
      <c r="F4966">
        <v>2</v>
      </c>
      <c r="G4966" s="308">
        <f>'JOVENES PROTAGONISTAS'!G35</f>
        <v>71</v>
      </c>
      <c r="H4966" s="308">
        <f>'JOVENES PROTAGONISTAS'!H35</f>
        <v>7134.9340357423407</v>
      </c>
    </row>
    <row r="4967" spans="1:8" x14ac:dyDescent="0.3">
      <c r="A4967" t="s">
        <v>632</v>
      </c>
      <c r="B4967" t="s">
        <v>705</v>
      </c>
      <c r="C4967" t="s">
        <v>454</v>
      </c>
      <c r="D4967" t="s">
        <v>693</v>
      </c>
      <c r="E4967" t="s">
        <v>768</v>
      </c>
      <c r="F4967">
        <v>3</v>
      </c>
      <c r="G4967" s="308">
        <f>'JOVENES PROTAGONISTAS'!I35</f>
        <v>146</v>
      </c>
      <c r="H4967" s="308">
        <f>'JOVENES PROTAGONISTAS'!J35</f>
        <v>24200.838955139126</v>
      </c>
    </row>
    <row r="4968" spans="1:8" x14ac:dyDescent="0.3">
      <c r="A4968" t="s">
        <v>632</v>
      </c>
      <c r="B4968" t="s">
        <v>705</v>
      </c>
      <c r="C4968" t="s">
        <v>454</v>
      </c>
      <c r="D4968" t="s">
        <v>693</v>
      </c>
      <c r="E4968" t="s">
        <v>769</v>
      </c>
      <c r="F4968">
        <v>4</v>
      </c>
      <c r="G4968" s="308">
        <f>'JOVENES PROTAGONISTAS'!K35</f>
        <v>27</v>
      </c>
      <c r="H4968" s="308">
        <f>'JOVENES PROTAGONISTAS'!L35</f>
        <v>23211.718608964449</v>
      </c>
    </row>
    <row r="4969" spans="1:8" x14ac:dyDescent="0.3">
      <c r="A4969" t="s">
        <v>632</v>
      </c>
      <c r="B4969" t="s">
        <v>705</v>
      </c>
      <c r="C4969" t="s">
        <v>454</v>
      </c>
      <c r="D4969" t="s">
        <v>693</v>
      </c>
      <c r="E4969" t="s">
        <v>770</v>
      </c>
      <c r="F4969">
        <v>5</v>
      </c>
      <c r="G4969" s="308">
        <f>'JOVENES PROTAGONISTAS'!M35</f>
        <v>43</v>
      </c>
      <c r="H4969" s="308">
        <f>'JOVENES PROTAGONISTAS'!N35</f>
        <v>43365.379145587409</v>
      </c>
    </row>
    <row r="4970" spans="1:8" x14ac:dyDescent="0.3">
      <c r="A4970" t="s">
        <v>632</v>
      </c>
      <c r="B4970" t="s">
        <v>705</v>
      </c>
      <c r="C4970" t="s">
        <v>454</v>
      </c>
      <c r="D4970" t="s">
        <v>693</v>
      </c>
      <c r="E4970" t="s">
        <v>771</v>
      </c>
      <c r="F4970">
        <v>6</v>
      </c>
      <c r="G4970" s="308">
        <f>'JOVENES PROTAGONISTAS'!O35</f>
        <v>379</v>
      </c>
      <c r="H4970" s="308">
        <f>'JOVENES PROTAGONISTAS'!P35</f>
        <v>87152.921567204292</v>
      </c>
    </row>
    <row r="4971" spans="1:8" x14ac:dyDescent="0.3">
      <c r="A4971" t="s">
        <v>632</v>
      </c>
      <c r="B4971" t="s">
        <v>705</v>
      </c>
      <c r="C4971" t="s">
        <v>454</v>
      </c>
      <c r="D4971" t="s">
        <v>693</v>
      </c>
      <c r="E4971" t="s">
        <v>772</v>
      </c>
      <c r="F4971">
        <v>7</v>
      </c>
      <c r="G4971" s="308">
        <f>'JOVENES PROTAGONISTAS'!Q35</f>
        <v>41</v>
      </c>
      <c r="H4971" s="308">
        <f>'JOVENES PROTAGONISTAS'!R35</f>
        <v>32407.485968565012</v>
      </c>
    </row>
    <row r="4972" spans="1:8" x14ac:dyDescent="0.3">
      <c r="A4972" t="s">
        <v>632</v>
      </c>
      <c r="B4972" t="s">
        <v>705</v>
      </c>
      <c r="C4972" t="s">
        <v>455</v>
      </c>
      <c r="D4972" t="s">
        <v>693</v>
      </c>
      <c r="E4972" t="s">
        <v>766</v>
      </c>
      <c r="F4972">
        <v>1</v>
      </c>
      <c r="G4972" s="308">
        <f>'JOVENES PROTAGONISTAS'!E36</f>
        <v>0</v>
      </c>
      <c r="H4972" s="308">
        <f>'JOVENES PROTAGONISTAS'!F36</f>
        <v>0</v>
      </c>
    </row>
    <row r="4973" spans="1:8" x14ac:dyDescent="0.3">
      <c r="A4973" t="s">
        <v>632</v>
      </c>
      <c r="B4973" t="s">
        <v>705</v>
      </c>
      <c r="C4973" t="s">
        <v>455</v>
      </c>
      <c r="D4973" t="s">
        <v>693</v>
      </c>
      <c r="E4973" t="s">
        <v>767</v>
      </c>
      <c r="F4973">
        <v>2</v>
      </c>
      <c r="G4973" s="308">
        <f>'JOVENES PROTAGONISTAS'!G36</f>
        <v>0</v>
      </c>
      <c r="H4973" s="308">
        <f>'JOVENES PROTAGONISTAS'!H36</f>
        <v>0</v>
      </c>
    </row>
    <row r="4974" spans="1:8" x14ac:dyDescent="0.3">
      <c r="A4974" t="s">
        <v>632</v>
      </c>
      <c r="B4974" t="s">
        <v>705</v>
      </c>
      <c r="C4974" t="s">
        <v>455</v>
      </c>
      <c r="D4974" t="s">
        <v>693</v>
      </c>
      <c r="E4974" t="s">
        <v>768</v>
      </c>
      <c r="F4974">
        <v>3</v>
      </c>
      <c r="G4974" s="308">
        <f>'JOVENES PROTAGONISTAS'!I36</f>
        <v>0</v>
      </c>
      <c r="H4974" s="308">
        <f>'JOVENES PROTAGONISTAS'!J36</f>
        <v>0</v>
      </c>
    </row>
    <row r="4975" spans="1:8" x14ac:dyDescent="0.3">
      <c r="A4975" t="s">
        <v>632</v>
      </c>
      <c r="B4975" t="s">
        <v>705</v>
      </c>
      <c r="C4975" t="s">
        <v>455</v>
      </c>
      <c r="D4975" t="s">
        <v>693</v>
      </c>
      <c r="E4975" t="s">
        <v>769</v>
      </c>
      <c r="F4975">
        <v>4</v>
      </c>
      <c r="G4975" s="308">
        <f>'JOVENES PROTAGONISTAS'!K36</f>
        <v>0</v>
      </c>
      <c r="H4975" s="308">
        <f>'JOVENES PROTAGONISTAS'!L36</f>
        <v>0</v>
      </c>
    </row>
    <row r="4976" spans="1:8" x14ac:dyDescent="0.3">
      <c r="A4976" t="s">
        <v>632</v>
      </c>
      <c r="B4976" t="s">
        <v>705</v>
      </c>
      <c r="C4976" t="s">
        <v>455</v>
      </c>
      <c r="D4976" t="s">
        <v>693</v>
      </c>
      <c r="E4976" t="s">
        <v>770</v>
      </c>
      <c r="F4976">
        <v>5</v>
      </c>
      <c r="G4976" s="308">
        <f>'JOVENES PROTAGONISTAS'!M36</f>
        <v>0</v>
      </c>
      <c r="H4976" s="308">
        <f>'JOVENES PROTAGONISTAS'!N36</f>
        <v>0</v>
      </c>
    </row>
    <row r="4977" spans="1:8" x14ac:dyDescent="0.3">
      <c r="A4977" t="s">
        <v>632</v>
      </c>
      <c r="B4977" t="s">
        <v>705</v>
      </c>
      <c r="C4977" t="s">
        <v>455</v>
      </c>
      <c r="D4977" t="s">
        <v>693</v>
      </c>
      <c r="E4977" t="s">
        <v>771</v>
      </c>
      <c r="F4977">
        <v>6</v>
      </c>
      <c r="G4977" s="308">
        <f>'JOVENES PROTAGONISTAS'!O36</f>
        <v>0</v>
      </c>
      <c r="H4977" s="308">
        <f>'JOVENES PROTAGONISTAS'!P36</f>
        <v>0</v>
      </c>
    </row>
    <row r="4978" spans="1:8" x14ac:dyDescent="0.3">
      <c r="A4978" t="s">
        <v>632</v>
      </c>
      <c r="B4978" t="s">
        <v>705</v>
      </c>
      <c r="C4978" t="s">
        <v>455</v>
      </c>
      <c r="D4978" t="s">
        <v>693</v>
      </c>
      <c r="E4978" t="s">
        <v>772</v>
      </c>
      <c r="F4978">
        <v>7</v>
      </c>
      <c r="G4978" s="308">
        <f>'JOVENES PROTAGONISTAS'!Q36</f>
        <v>20</v>
      </c>
      <c r="H4978" s="308">
        <f>'JOVENES PROTAGONISTAS'!R36</f>
        <v>15808.529740763421</v>
      </c>
    </row>
    <row r="4979" spans="1:8" x14ac:dyDescent="0.3">
      <c r="A4979" t="s">
        <v>632</v>
      </c>
      <c r="B4979" t="s">
        <v>705</v>
      </c>
      <c r="C4979" t="s">
        <v>708</v>
      </c>
      <c r="D4979" t="s">
        <v>693</v>
      </c>
      <c r="E4979" t="s">
        <v>766</v>
      </c>
      <c r="F4979">
        <v>1</v>
      </c>
      <c r="G4979" s="308">
        <f>'JOVENES PROTAGONISTAS'!E37</f>
        <v>0</v>
      </c>
      <c r="H4979" s="308">
        <f>'JOVENES PROTAGONISTAS'!F37</f>
        <v>0</v>
      </c>
    </row>
    <row r="4980" spans="1:8" x14ac:dyDescent="0.3">
      <c r="A4980" t="s">
        <v>632</v>
      </c>
      <c r="B4980" t="s">
        <v>705</v>
      </c>
      <c r="C4980" t="s">
        <v>708</v>
      </c>
      <c r="D4980" t="s">
        <v>693</v>
      </c>
      <c r="E4980" t="s">
        <v>767</v>
      </c>
      <c r="F4980">
        <v>2</v>
      </c>
      <c r="G4980" s="308">
        <f>'JOVENES PROTAGONISTAS'!G37</f>
        <v>0</v>
      </c>
      <c r="H4980" s="308">
        <f>'JOVENES PROTAGONISTAS'!H37</f>
        <v>0</v>
      </c>
    </row>
    <row r="4981" spans="1:8" x14ac:dyDescent="0.3">
      <c r="A4981" t="s">
        <v>632</v>
      </c>
      <c r="B4981" t="s">
        <v>705</v>
      </c>
      <c r="C4981" t="s">
        <v>708</v>
      </c>
      <c r="D4981" t="s">
        <v>693</v>
      </c>
      <c r="E4981" t="s">
        <v>768</v>
      </c>
      <c r="F4981">
        <v>3</v>
      </c>
      <c r="G4981" s="308">
        <f>'JOVENES PROTAGONISTAS'!I37</f>
        <v>0</v>
      </c>
      <c r="H4981" s="308">
        <f>'JOVENES PROTAGONISTAS'!J37</f>
        <v>0</v>
      </c>
    </row>
    <row r="4982" spans="1:8" x14ac:dyDescent="0.3">
      <c r="A4982" t="s">
        <v>632</v>
      </c>
      <c r="B4982" t="s">
        <v>705</v>
      </c>
      <c r="C4982" t="s">
        <v>708</v>
      </c>
      <c r="D4982" t="s">
        <v>693</v>
      </c>
      <c r="E4982" t="s">
        <v>769</v>
      </c>
      <c r="F4982">
        <v>4</v>
      </c>
      <c r="G4982" s="308">
        <f>'JOVENES PROTAGONISTAS'!K37</f>
        <v>0</v>
      </c>
      <c r="H4982" s="308">
        <f>'JOVENES PROTAGONISTAS'!L37</f>
        <v>0</v>
      </c>
    </row>
    <row r="4983" spans="1:8" x14ac:dyDescent="0.3">
      <c r="A4983" t="s">
        <v>632</v>
      </c>
      <c r="B4983" t="s">
        <v>705</v>
      </c>
      <c r="C4983" t="s">
        <v>708</v>
      </c>
      <c r="D4983" t="s">
        <v>693</v>
      </c>
      <c r="E4983" t="s">
        <v>770</v>
      </c>
      <c r="F4983">
        <v>5</v>
      </c>
      <c r="G4983" s="308">
        <f>'JOVENES PROTAGONISTAS'!M37</f>
        <v>0</v>
      </c>
      <c r="H4983" s="308">
        <f>'JOVENES PROTAGONISTAS'!N37</f>
        <v>0</v>
      </c>
    </row>
    <row r="4984" spans="1:8" x14ac:dyDescent="0.3">
      <c r="A4984" t="s">
        <v>632</v>
      </c>
      <c r="B4984" t="s">
        <v>705</v>
      </c>
      <c r="C4984" t="s">
        <v>708</v>
      </c>
      <c r="D4984" t="s">
        <v>693</v>
      </c>
      <c r="E4984" t="s">
        <v>771</v>
      </c>
      <c r="F4984">
        <v>6</v>
      </c>
      <c r="G4984" s="308">
        <f>'JOVENES PROTAGONISTAS'!O37</f>
        <v>0</v>
      </c>
      <c r="H4984" s="308">
        <f>'JOVENES PROTAGONISTAS'!P37</f>
        <v>0</v>
      </c>
    </row>
    <row r="4985" spans="1:8" x14ac:dyDescent="0.3">
      <c r="A4985" t="s">
        <v>632</v>
      </c>
      <c r="B4985" t="s">
        <v>705</v>
      </c>
      <c r="C4985" t="s">
        <v>708</v>
      </c>
      <c r="D4985" t="s">
        <v>693</v>
      </c>
      <c r="E4985" t="s">
        <v>772</v>
      </c>
      <c r="F4985">
        <v>7</v>
      </c>
      <c r="G4985" s="308">
        <f>'JOVENES PROTAGONISTAS'!Q37</f>
        <v>0</v>
      </c>
      <c r="H4985" s="308">
        <f>'JOVENES PROTAGONISTAS'!R37</f>
        <v>0</v>
      </c>
    </row>
    <row r="4986" spans="1:8" x14ac:dyDescent="0.3">
      <c r="A4986" t="s">
        <v>632</v>
      </c>
      <c r="B4986" t="s">
        <v>705</v>
      </c>
      <c r="C4986" t="s">
        <v>457</v>
      </c>
      <c r="D4986" t="s">
        <v>693</v>
      </c>
      <c r="E4986" t="s">
        <v>766</v>
      </c>
      <c r="F4986">
        <v>1</v>
      </c>
      <c r="G4986" s="308">
        <f>'JOVENES PROTAGONISTAS'!E38</f>
        <v>0</v>
      </c>
      <c r="H4986" s="308">
        <f>'JOVENES PROTAGONISTAS'!F38</f>
        <v>0</v>
      </c>
    </row>
    <row r="4987" spans="1:8" x14ac:dyDescent="0.3">
      <c r="A4987" t="s">
        <v>632</v>
      </c>
      <c r="B4987" t="s">
        <v>705</v>
      </c>
      <c r="C4987" t="s">
        <v>457</v>
      </c>
      <c r="D4987" t="s">
        <v>693</v>
      </c>
      <c r="E4987" t="s">
        <v>767</v>
      </c>
      <c r="F4987">
        <v>2</v>
      </c>
      <c r="G4987" s="308">
        <f>'JOVENES PROTAGONISTAS'!G38</f>
        <v>0</v>
      </c>
      <c r="H4987" s="308">
        <f>'JOVENES PROTAGONISTAS'!H38</f>
        <v>0</v>
      </c>
    </row>
    <row r="4988" spans="1:8" x14ac:dyDescent="0.3">
      <c r="A4988" t="s">
        <v>632</v>
      </c>
      <c r="B4988" t="s">
        <v>705</v>
      </c>
      <c r="C4988" t="s">
        <v>457</v>
      </c>
      <c r="D4988" t="s">
        <v>693</v>
      </c>
      <c r="E4988" t="s">
        <v>768</v>
      </c>
      <c r="F4988">
        <v>3</v>
      </c>
      <c r="G4988" s="308">
        <f>'JOVENES PROTAGONISTAS'!I38</f>
        <v>0</v>
      </c>
      <c r="H4988" s="308">
        <f>'JOVENES PROTAGONISTAS'!J38</f>
        <v>0</v>
      </c>
    </row>
    <row r="4989" spans="1:8" x14ac:dyDescent="0.3">
      <c r="A4989" t="s">
        <v>632</v>
      </c>
      <c r="B4989" t="s">
        <v>705</v>
      </c>
      <c r="C4989" t="s">
        <v>457</v>
      </c>
      <c r="D4989" t="s">
        <v>693</v>
      </c>
      <c r="E4989" t="s">
        <v>769</v>
      </c>
      <c r="F4989">
        <v>4</v>
      </c>
      <c r="G4989" s="308">
        <f>'JOVENES PROTAGONISTAS'!K38</f>
        <v>0</v>
      </c>
      <c r="H4989" s="308">
        <f>'JOVENES PROTAGONISTAS'!L38</f>
        <v>0</v>
      </c>
    </row>
    <row r="4990" spans="1:8" x14ac:dyDescent="0.3">
      <c r="A4990" t="s">
        <v>632</v>
      </c>
      <c r="B4990" t="s">
        <v>705</v>
      </c>
      <c r="C4990" t="s">
        <v>457</v>
      </c>
      <c r="D4990" t="s">
        <v>693</v>
      </c>
      <c r="E4990" t="s">
        <v>770</v>
      </c>
      <c r="F4990">
        <v>5</v>
      </c>
      <c r="G4990" s="308">
        <f>'JOVENES PROTAGONISTAS'!M38</f>
        <v>0</v>
      </c>
      <c r="H4990" s="308">
        <f>'JOVENES PROTAGONISTAS'!N38</f>
        <v>0</v>
      </c>
    </row>
    <row r="4991" spans="1:8" x14ac:dyDescent="0.3">
      <c r="A4991" t="s">
        <v>632</v>
      </c>
      <c r="B4991" t="s">
        <v>705</v>
      </c>
      <c r="C4991" t="s">
        <v>457</v>
      </c>
      <c r="D4991" t="s">
        <v>693</v>
      </c>
      <c r="E4991" t="s">
        <v>771</v>
      </c>
      <c r="F4991">
        <v>6</v>
      </c>
      <c r="G4991" s="308">
        <f>'JOVENES PROTAGONISTAS'!O38</f>
        <v>21</v>
      </c>
      <c r="H4991" s="308">
        <f>'JOVENES PROTAGONISTAS'!P38</f>
        <v>4829.0537016129028</v>
      </c>
    </row>
    <row r="4992" spans="1:8" x14ac:dyDescent="0.3">
      <c r="A4992" t="s">
        <v>632</v>
      </c>
      <c r="B4992" t="s">
        <v>705</v>
      </c>
      <c r="C4992" t="s">
        <v>457</v>
      </c>
      <c r="D4992" t="s">
        <v>693</v>
      </c>
      <c r="E4992" t="s">
        <v>772</v>
      </c>
      <c r="F4992">
        <v>7</v>
      </c>
      <c r="G4992" s="308">
        <f>'JOVENES PROTAGONISTAS'!Q38</f>
        <v>51</v>
      </c>
      <c r="H4992" s="308">
        <f>'JOVENES PROTAGONISTAS'!R38</f>
        <v>40311.750838946718</v>
      </c>
    </row>
    <row r="4993" spans="1:8" x14ac:dyDescent="0.3">
      <c r="A4993" t="s">
        <v>632</v>
      </c>
      <c r="B4993" t="s">
        <v>705</v>
      </c>
      <c r="C4993" t="s">
        <v>669</v>
      </c>
      <c r="D4993" t="s">
        <v>693</v>
      </c>
      <c r="E4993" t="s">
        <v>766</v>
      </c>
      <c r="F4993">
        <v>1</v>
      </c>
      <c r="G4993" s="308">
        <f>'JOVENES PROTAGONISTAS'!E39</f>
        <v>0</v>
      </c>
      <c r="H4993" s="308">
        <f>'JOVENES PROTAGONISTAS'!F39</f>
        <v>0</v>
      </c>
    </row>
    <row r="4994" spans="1:8" x14ac:dyDescent="0.3">
      <c r="A4994" t="s">
        <v>632</v>
      </c>
      <c r="B4994" t="s">
        <v>705</v>
      </c>
      <c r="C4994" t="s">
        <v>669</v>
      </c>
      <c r="D4994" t="s">
        <v>693</v>
      </c>
      <c r="E4994" t="s">
        <v>767</v>
      </c>
      <c r="F4994">
        <v>2</v>
      </c>
      <c r="G4994" s="308">
        <f>'JOVENES PROTAGONISTAS'!G39</f>
        <v>0</v>
      </c>
      <c r="H4994" s="308">
        <f>'JOVENES PROTAGONISTAS'!H39</f>
        <v>0</v>
      </c>
    </row>
    <row r="4995" spans="1:8" x14ac:dyDescent="0.3">
      <c r="A4995" t="s">
        <v>632</v>
      </c>
      <c r="B4995" t="s">
        <v>705</v>
      </c>
      <c r="C4995" t="s">
        <v>669</v>
      </c>
      <c r="D4995" t="s">
        <v>693</v>
      </c>
      <c r="E4995" t="s">
        <v>768</v>
      </c>
      <c r="F4995">
        <v>3</v>
      </c>
      <c r="G4995" s="308">
        <f>'JOVENES PROTAGONISTAS'!I39</f>
        <v>0</v>
      </c>
      <c r="H4995" s="308">
        <f>'JOVENES PROTAGONISTAS'!J39</f>
        <v>0</v>
      </c>
    </row>
    <row r="4996" spans="1:8" x14ac:dyDescent="0.3">
      <c r="A4996" t="s">
        <v>632</v>
      </c>
      <c r="B4996" t="s">
        <v>705</v>
      </c>
      <c r="C4996" t="s">
        <v>669</v>
      </c>
      <c r="D4996" t="s">
        <v>693</v>
      </c>
      <c r="E4996" t="s">
        <v>769</v>
      </c>
      <c r="F4996">
        <v>4</v>
      </c>
      <c r="G4996" s="308">
        <f>'JOVENES PROTAGONISTAS'!K39</f>
        <v>0</v>
      </c>
      <c r="H4996" s="308">
        <f>'JOVENES PROTAGONISTAS'!L39</f>
        <v>0</v>
      </c>
    </row>
    <row r="4997" spans="1:8" x14ac:dyDescent="0.3">
      <c r="A4997" t="s">
        <v>632</v>
      </c>
      <c r="B4997" t="s">
        <v>705</v>
      </c>
      <c r="C4997" t="s">
        <v>669</v>
      </c>
      <c r="D4997" t="s">
        <v>693</v>
      </c>
      <c r="E4997" t="s">
        <v>770</v>
      </c>
      <c r="F4997">
        <v>5</v>
      </c>
      <c r="G4997" s="308">
        <f>'JOVENES PROTAGONISTAS'!M39</f>
        <v>0</v>
      </c>
      <c r="H4997" s="308">
        <f>'JOVENES PROTAGONISTAS'!N39</f>
        <v>0</v>
      </c>
    </row>
    <row r="4998" spans="1:8" x14ac:dyDescent="0.3">
      <c r="A4998" t="s">
        <v>632</v>
      </c>
      <c r="B4998" t="s">
        <v>705</v>
      </c>
      <c r="C4998" t="s">
        <v>669</v>
      </c>
      <c r="D4998" t="s">
        <v>693</v>
      </c>
      <c r="E4998" t="s">
        <v>771</v>
      </c>
      <c r="F4998">
        <v>6</v>
      </c>
      <c r="G4998" s="308">
        <f>'JOVENES PROTAGONISTAS'!O39</f>
        <v>0</v>
      </c>
      <c r="H4998" s="308">
        <f>'JOVENES PROTAGONISTAS'!P39</f>
        <v>0</v>
      </c>
    </row>
    <row r="4999" spans="1:8" x14ac:dyDescent="0.3">
      <c r="A4999" t="s">
        <v>632</v>
      </c>
      <c r="B4999" t="s">
        <v>705</v>
      </c>
      <c r="C4999" t="s">
        <v>669</v>
      </c>
      <c r="D4999" t="s">
        <v>693</v>
      </c>
      <c r="E4999" t="s">
        <v>772</v>
      </c>
      <c r="F4999">
        <v>7</v>
      </c>
      <c r="G4999" s="308">
        <f>'JOVENES PROTAGONISTAS'!Q39</f>
        <v>1</v>
      </c>
      <c r="H4999" s="308">
        <f>'JOVENES PROTAGONISTAS'!R39</f>
        <v>790.42648703817099</v>
      </c>
    </row>
    <row r="5000" spans="1:8" x14ac:dyDescent="0.3">
      <c r="A5000" t="s">
        <v>632</v>
      </c>
      <c r="B5000" t="s">
        <v>705</v>
      </c>
      <c r="C5000" t="s">
        <v>670</v>
      </c>
      <c r="D5000" t="s">
        <v>693</v>
      </c>
      <c r="E5000" t="s">
        <v>766</v>
      </c>
      <c r="F5000">
        <v>1</v>
      </c>
      <c r="G5000" s="308">
        <f>'JOVENES PROTAGONISTAS'!E40</f>
        <v>0</v>
      </c>
      <c r="H5000" s="308">
        <f>'JOVENES PROTAGONISTAS'!F40</f>
        <v>0</v>
      </c>
    </row>
    <row r="5001" spans="1:8" x14ac:dyDescent="0.3">
      <c r="A5001" t="s">
        <v>632</v>
      </c>
      <c r="B5001" t="s">
        <v>705</v>
      </c>
      <c r="C5001" t="s">
        <v>670</v>
      </c>
      <c r="D5001" t="s">
        <v>693</v>
      </c>
      <c r="E5001" t="s">
        <v>767</v>
      </c>
      <c r="F5001">
        <v>2</v>
      </c>
      <c r="G5001" s="308">
        <f>'JOVENES PROTAGONISTAS'!G40</f>
        <v>0</v>
      </c>
      <c r="H5001" s="308">
        <f>'JOVENES PROTAGONISTAS'!H40</f>
        <v>0</v>
      </c>
    </row>
    <row r="5002" spans="1:8" x14ac:dyDescent="0.3">
      <c r="A5002" t="s">
        <v>632</v>
      </c>
      <c r="B5002" t="s">
        <v>705</v>
      </c>
      <c r="C5002" t="s">
        <v>670</v>
      </c>
      <c r="D5002" t="s">
        <v>693</v>
      </c>
      <c r="E5002" t="s">
        <v>768</v>
      </c>
      <c r="F5002">
        <v>3</v>
      </c>
      <c r="G5002" s="308">
        <f>'JOVENES PROTAGONISTAS'!I40</f>
        <v>0</v>
      </c>
      <c r="H5002" s="308">
        <f>'JOVENES PROTAGONISTAS'!J40</f>
        <v>0</v>
      </c>
    </row>
    <row r="5003" spans="1:8" x14ac:dyDescent="0.3">
      <c r="A5003" t="s">
        <v>632</v>
      </c>
      <c r="B5003" t="s">
        <v>705</v>
      </c>
      <c r="C5003" t="s">
        <v>670</v>
      </c>
      <c r="D5003" t="s">
        <v>693</v>
      </c>
      <c r="E5003" t="s">
        <v>769</v>
      </c>
      <c r="F5003">
        <v>4</v>
      </c>
      <c r="G5003" s="308">
        <f>'JOVENES PROTAGONISTAS'!K40</f>
        <v>0</v>
      </c>
      <c r="H5003" s="308">
        <f>'JOVENES PROTAGONISTAS'!L40</f>
        <v>0</v>
      </c>
    </row>
    <row r="5004" spans="1:8" x14ac:dyDescent="0.3">
      <c r="A5004" t="s">
        <v>632</v>
      </c>
      <c r="B5004" t="s">
        <v>705</v>
      </c>
      <c r="C5004" t="s">
        <v>670</v>
      </c>
      <c r="D5004" t="s">
        <v>693</v>
      </c>
      <c r="E5004" t="s">
        <v>770</v>
      </c>
      <c r="F5004">
        <v>5</v>
      </c>
      <c r="G5004" s="308">
        <f>'JOVENES PROTAGONISTAS'!M40</f>
        <v>0</v>
      </c>
      <c r="H5004" s="308">
        <f>'JOVENES PROTAGONISTAS'!N40</f>
        <v>0</v>
      </c>
    </row>
    <row r="5005" spans="1:8" x14ac:dyDescent="0.3">
      <c r="A5005" t="s">
        <v>632</v>
      </c>
      <c r="B5005" t="s">
        <v>705</v>
      </c>
      <c r="C5005" t="s">
        <v>670</v>
      </c>
      <c r="D5005" t="s">
        <v>693</v>
      </c>
      <c r="E5005" t="s">
        <v>771</v>
      </c>
      <c r="F5005">
        <v>6</v>
      </c>
      <c r="G5005" s="308">
        <f>'JOVENES PROTAGONISTAS'!O40</f>
        <v>0</v>
      </c>
      <c r="H5005" s="308">
        <f>'JOVENES PROTAGONISTAS'!P40</f>
        <v>0</v>
      </c>
    </row>
    <row r="5006" spans="1:8" x14ac:dyDescent="0.3">
      <c r="A5006" t="s">
        <v>632</v>
      </c>
      <c r="B5006" t="s">
        <v>705</v>
      </c>
      <c r="C5006" t="s">
        <v>670</v>
      </c>
      <c r="D5006" t="s">
        <v>693</v>
      </c>
      <c r="E5006" t="s">
        <v>772</v>
      </c>
      <c r="F5006">
        <v>7</v>
      </c>
      <c r="G5006" s="308">
        <f>'JOVENES PROTAGONISTAS'!Q40</f>
        <v>9</v>
      </c>
      <c r="H5006" s="308">
        <f>'JOVENES PROTAGONISTAS'!R40</f>
        <v>7113.8383833435391</v>
      </c>
    </row>
    <row r="5007" spans="1:8" x14ac:dyDescent="0.3">
      <c r="A5007" t="s">
        <v>632</v>
      </c>
      <c r="B5007" t="s">
        <v>705</v>
      </c>
      <c r="C5007" t="s">
        <v>671</v>
      </c>
      <c r="D5007" t="s">
        <v>693</v>
      </c>
      <c r="E5007" t="s">
        <v>766</v>
      </c>
      <c r="F5007">
        <v>1</v>
      </c>
      <c r="G5007" s="308">
        <f>'JOVENES PROTAGONISTAS'!E41</f>
        <v>0</v>
      </c>
      <c r="H5007" s="308">
        <f>'JOVENES PROTAGONISTAS'!F41</f>
        <v>0</v>
      </c>
    </row>
    <row r="5008" spans="1:8" x14ac:dyDescent="0.3">
      <c r="A5008" t="s">
        <v>632</v>
      </c>
      <c r="B5008" t="s">
        <v>705</v>
      </c>
      <c r="C5008" t="s">
        <v>671</v>
      </c>
      <c r="D5008" t="s">
        <v>693</v>
      </c>
      <c r="E5008" t="s">
        <v>767</v>
      </c>
      <c r="F5008">
        <v>2</v>
      </c>
      <c r="G5008" s="308">
        <f>'JOVENES PROTAGONISTAS'!G41</f>
        <v>0</v>
      </c>
      <c r="H5008" s="308">
        <f>'JOVENES PROTAGONISTAS'!H41</f>
        <v>0</v>
      </c>
    </row>
    <row r="5009" spans="1:8" x14ac:dyDescent="0.3">
      <c r="A5009" t="s">
        <v>632</v>
      </c>
      <c r="B5009" t="s">
        <v>705</v>
      </c>
      <c r="C5009" t="s">
        <v>671</v>
      </c>
      <c r="D5009" t="s">
        <v>693</v>
      </c>
      <c r="E5009" t="s">
        <v>768</v>
      </c>
      <c r="F5009">
        <v>3</v>
      </c>
      <c r="G5009" s="308">
        <f>'JOVENES PROTAGONISTAS'!I41</f>
        <v>0</v>
      </c>
      <c r="H5009" s="308">
        <f>'JOVENES PROTAGONISTAS'!J41</f>
        <v>0</v>
      </c>
    </row>
    <row r="5010" spans="1:8" x14ac:dyDescent="0.3">
      <c r="A5010" t="s">
        <v>632</v>
      </c>
      <c r="B5010" t="s">
        <v>705</v>
      </c>
      <c r="C5010" t="s">
        <v>671</v>
      </c>
      <c r="D5010" t="s">
        <v>693</v>
      </c>
      <c r="E5010" t="s">
        <v>769</v>
      </c>
      <c r="F5010">
        <v>4</v>
      </c>
      <c r="G5010" s="308">
        <f>'JOVENES PROTAGONISTAS'!K41</f>
        <v>0</v>
      </c>
      <c r="H5010" s="308">
        <f>'JOVENES PROTAGONISTAS'!L41</f>
        <v>0</v>
      </c>
    </row>
    <row r="5011" spans="1:8" x14ac:dyDescent="0.3">
      <c r="A5011" t="s">
        <v>632</v>
      </c>
      <c r="B5011" t="s">
        <v>705</v>
      </c>
      <c r="C5011" t="s">
        <v>671</v>
      </c>
      <c r="D5011" t="s">
        <v>693</v>
      </c>
      <c r="E5011" t="s">
        <v>770</v>
      </c>
      <c r="F5011">
        <v>5</v>
      </c>
      <c r="G5011" s="308">
        <f>'JOVENES PROTAGONISTAS'!M41</f>
        <v>0</v>
      </c>
      <c r="H5011" s="308">
        <f>'JOVENES PROTAGONISTAS'!N41</f>
        <v>0</v>
      </c>
    </row>
    <row r="5012" spans="1:8" x14ac:dyDescent="0.3">
      <c r="A5012" t="s">
        <v>632</v>
      </c>
      <c r="B5012" t="s">
        <v>705</v>
      </c>
      <c r="C5012" t="s">
        <v>671</v>
      </c>
      <c r="D5012" t="s">
        <v>693</v>
      </c>
      <c r="E5012" t="s">
        <v>771</v>
      </c>
      <c r="F5012">
        <v>6</v>
      </c>
      <c r="G5012" s="308">
        <f>'JOVENES PROTAGONISTAS'!O41</f>
        <v>0</v>
      </c>
      <c r="H5012" s="308">
        <f>'JOVENES PROTAGONISTAS'!P41</f>
        <v>0</v>
      </c>
    </row>
    <row r="5013" spans="1:8" x14ac:dyDescent="0.3">
      <c r="A5013" t="s">
        <v>632</v>
      </c>
      <c r="B5013" t="s">
        <v>705</v>
      </c>
      <c r="C5013" t="s">
        <v>671</v>
      </c>
      <c r="D5013" t="s">
        <v>693</v>
      </c>
      <c r="E5013" t="s">
        <v>772</v>
      </c>
      <c r="F5013">
        <v>7</v>
      </c>
      <c r="G5013" s="308">
        <f>'JOVENES PROTAGONISTAS'!Q41</f>
        <v>1</v>
      </c>
      <c r="H5013" s="308">
        <f>'JOVENES PROTAGONISTAS'!R41</f>
        <v>790.42648703817099</v>
      </c>
    </row>
    <row r="5014" spans="1:8" x14ac:dyDescent="0.3">
      <c r="A5014" t="s">
        <v>632</v>
      </c>
      <c r="B5014" t="s">
        <v>709</v>
      </c>
      <c r="C5014" t="s">
        <v>459</v>
      </c>
      <c r="D5014" t="s">
        <v>693</v>
      </c>
      <c r="E5014" t="s">
        <v>766</v>
      </c>
      <c r="F5014">
        <v>1</v>
      </c>
      <c r="G5014" s="308">
        <f>'JOVENES PROTAGONISTAS'!E42</f>
        <v>0</v>
      </c>
      <c r="H5014" s="308">
        <f>'JOVENES PROTAGONISTAS'!F42</f>
        <v>0</v>
      </c>
    </row>
    <row r="5015" spans="1:8" x14ac:dyDescent="0.3">
      <c r="A5015" t="s">
        <v>632</v>
      </c>
      <c r="B5015" t="s">
        <v>709</v>
      </c>
      <c r="C5015" t="s">
        <v>459</v>
      </c>
      <c r="D5015" t="s">
        <v>693</v>
      </c>
      <c r="E5015" t="s">
        <v>767</v>
      </c>
      <c r="F5015">
        <v>2</v>
      </c>
      <c r="G5015" s="308">
        <f>'JOVENES PROTAGONISTAS'!G42</f>
        <v>30</v>
      </c>
      <c r="H5015" s="308">
        <f>'JOVENES PROTAGONISTAS'!H42</f>
        <v>3014.7608601728202</v>
      </c>
    </row>
    <row r="5016" spans="1:8" x14ac:dyDescent="0.3">
      <c r="A5016" t="s">
        <v>632</v>
      </c>
      <c r="B5016" t="s">
        <v>709</v>
      </c>
      <c r="C5016" t="s">
        <v>459</v>
      </c>
      <c r="D5016" t="s">
        <v>693</v>
      </c>
      <c r="E5016" t="s">
        <v>768</v>
      </c>
      <c r="F5016">
        <v>3</v>
      </c>
      <c r="G5016" s="308">
        <f>'JOVENES PROTAGONISTAS'!I42</f>
        <v>156</v>
      </c>
      <c r="H5016" s="308">
        <f>'JOVENES PROTAGONISTAS'!J42</f>
        <v>25858.43066439523</v>
      </c>
    </row>
    <row r="5017" spans="1:8" x14ac:dyDescent="0.3">
      <c r="A5017" t="s">
        <v>632</v>
      </c>
      <c r="B5017" t="s">
        <v>709</v>
      </c>
      <c r="C5017" t="s">
        <v>459</v>
      </c>
      <c r="D5017" t="s">
        <v>693</v>
      </c>
      <c r="E5017" t="s">
        <v>769</v>
      </c>
      <c r="F5017">
        <v>4</v>
      </c>
      <c r="G5017" s="308">
        <f>'JOVENES PROTAGONISTAS'!K42</f>
        <v>21</v>
      </c>
      <c r="H5017" s="308">
        <f>'JOVENES PROTAGONISTAS'!L42</f>
        <v>18053.558918083461</v>
      </c>
    </row>
    <row r="5018" spans="1:8" x14ac:dyDescent="0.3">
      <c r="A5018" t="s">
        <v>632</v>
      </c>
      <c r="B5018" t="s">
        <v>709</v>
      </c>
      <c r="C5018" t="s">
        <v>459</v>
      </c>
      <c r="D5018" t="s">
        <v>693</v>
      </c>
      <c r="E5018" t="s">
        <v>770</v>
      </c>
      <c r="F5018">
        <v>5</v>
      </c>
      <c r="G5018" s="308">
        <f>'JOVENES PROTAGONISTAS'!M42</f>
        <v>13</v>
      </c>
      <c r="H5018" s="308">
        <f>'JOVENES PROTAGONISTAS'!N42</f>
        <v>13110.463462619449</v>
      </c>
    </row>
    <row r="5019" spans="1:8" x14ac:dyDescent="0.3">
      <c r="A5019" t="s">
        <v>632</v>
      </c>
      <c r="B5019" t="s">
        <v>709</v>
      </c>
      <c r="C5019" t="s">
        <v>459</v>
      </c>
      <c r="D5019" t="s">
        <v>693</v>
      </c>
      <c r="E5019" t="s">
        <v>771</v>
      </c>
      <c r="F5019">
        <v>6</v>
      </c>
      <c r="G5019" s="308">
        <f>'JOVENES PROTAGONISTAS'!O42</f>
        <v>128</v>
      </c>
      <c r="H5019" s="308">
        <f>'JOVENES PROTAGONISTAS'!P42</f>
        <v>29434.232086021504</v>
      </c>
    </row>
    <row r="5020" spans="1:8" x14ac:dyDescent="0.3">
      <c r="A5020" t="s">
        <v>632</v>
      </c>
      <c r="B5020" t="s">
        <v>709</v>
      </c>
      <c r="C5020" t="s">
        <v>459</v>
      </c>
      <c r="D5020" t="s">
        <v>693</v>
      </c>
      <c r="E5020" t="s">
        <v>772</v>
      </c>
      <c r="F5020">
        <v>7</v>
      </c>
      <c r="G5020" s="308">
        <f>'JOVENES PROTAGONISTAS'!Q42</f>
        <v>7</v>
      </c>
      <c r="H5020" s="308">
        <f>'JOVENES PROTAGONISTAS'!R42</f>
        <v>5532.9854092671967</v>
      </c>
    </row>
    <row r="5021" spans="1:8" x14ac:dyDescent="0.3">
      <c r="A5021" t="s">
        <v>632</v>
      </c>
      <c r="B5021" t="s">
        <v>709</v>
      </c>
      <c r="C5021" t="s">
        <v>710</v>
      </c>
      <c r="D5021" t="s">
        <v>693</v>
      </c>
      <c r="E5021" t="s">
        <v>766</v>
      </c>
      <c r="F5021">
        <v>1</v>
      </c>
      <c r="G5021" s="308">
        <f>'JOVENES PROTAGONISTAS'!E43</f>
        <v>0</v>
      </c>
      <c r="H5021" s="308">
        <f>'JOVENES PROTAGONISTAS'!F43</f>
        <v>0</v>
      </c>
    </row>
    <row r="5022" spans="1:8" x14ac:dyDescent="0.3">
      <c r="A5022" t="s">
        <v>632</v>
      </c>
      <c r="B5022" t="s">
        <v>709</v>
      </c>
      <c r="C5022" t="s">
        <v>710</v>
      </c>
      <c r="D5022" t="s">
        <v>693</v>
      </c>
      <c r="E5022" t="s">
        <v>767</v>
      </c>
      <c r="F5022">
        <v>2</v>
      </c>
      <c r="G5022" s="308">
        <f>'JOVENES PROTAGONISTAS'!G43</f>
        <v>50</v>
      </c>
      <c r="H5022" s="308">
        <f>'JOVENES PROTAGONISTAS'!H43</f>
        <v>5024.6014336213666</v>
      </c>
    </row>
    <row r="5023" spans="1:8" x14ac:dyDescent="0.3">
      <c r="A5023" t="s">
        <v>632</v>
      </c>
      <c r="B5023" t="s">
        <v>709</v>
      </c>
      <c r="C5023" t="s">
        <v>710</v>
      </c>
      <c r="D5023" t="s">
        <v>693</v>
      </c>
      <c r="E5023" t="s">
        <v>768</v>
      </c>
      <c r="F5023">
        <v>3</v>
      </c>
      <c r="G5023" s="308">
        <f>'JOVENES PROTAGONISTAS'!I43</f>
        <v>112</v>
      </c>
      <c r="H5023" s="308">
        <f>'JOVENES PROTAGONISTAS'!J43</f>
        <v>18565.027143668369</v>
      </c>
    </row>
    <row r="5024" spans="1:8" x14ac:dyDescent="0.3">
      <c r="A5024" t="s">
        <v>632</v>
      </c>
      <c r="B5024" t="s">
        <v>709</v>
      </c>
      <c r="C5024" t="s">
        <v>710</v>
      </c>
      <c r="D5024" t="s">
        <v>693</v>
      </c>
      <c r="E5024" t="s">
        <v>769</v>
      </c>
      <c r="F5024">
        <v>4</v>
      </c>
      <c r="G5024" s="308">
        <f>'JOVENES PROTAGONISTAS'!K43</f>
        <v>8</v>
      </c>
      <c r="H5024" s="308">
        <f>'JOVENES PROTAGONISTAS'!L43</f>
        <v>6877.5462545079854</v>
      </c>
    </row>
    <row r="5025" spans="1:8" x14ac:dyDescent="0.3">
      <c r="A5025" t="s">
        <v>632</v>
      </c>
      <c r="B5025" t="s">
        <v>709</v>
      </c>
      <c r="C5025" t="s">
        <v>710</v>
      </c>
      <c r="D5025" t="s">
        <v>693</v>
      </c>
      <c r="E5025" t="s">
        <v>770</v>
      </c>
      <c r="F5025">
        <v>5</v>
      </c>
      <c r="G5025" s="308">
        <f>'JOVENES PROTAGONISTAS'!M43</f>
        <v>71</v>
      </c>
      <c r="H5025" s="308">
        <f>'JOVENES PROTAGONISTAS'!N43</f>
        <v>71603.30044969084</v>
      </c>
    </row>
    <row r="5026" spans="1:8" x14ac:dyDescent="0.3">
      <c r="A5026" t="s">
        <v>632</v>
      </c>
      <c r="B5026" t="s">
        <v>709</v>
      </c>
      <c r="C5026" t="s">
        <v>710</v>
      </c>
      <c r="D5026" t="s">
        <v>693</v>
      </c>
      <c r="E5026" t="s">
        <v>771</v>
      </c>
      <c r="F5026">
        <v>6</v>
      </c>
      <c r="G5026" s="308">
        <f>'JOVENES PROTAGONISTAS'!O43</f>
        <v>67</v>
      </c>
      <c r="H5026" s="308">
        <f>'JOVENES PROTAGONISTAS'!P43</f>
        <v>15406.980857526882</v>
      </c>
    </row>
    <row r="5027" spans="1:8" x14ac:dyDescent="0.3">
      <c r="A5027" t="s">
        <v>632</v>
      </c>
      <c r="B5027" t="s">
        <v>709</v>
      </c>
      <c r="C5027" t="s">
        <v>710</v>
      </c>
      <c r="D5027" t="s">
        <v>693</v>
      </c>
      <c r="E5027" t="s">
        <v>772</v>
      </c>
      <c r="F5027">
        <v>7</v>
      </c>
      <c r="G5027" s="308">
        <f>'JOVENES PROTAGONISTAS'!Q43</f>
        <v>35</v>
      </c>
      <c r="H5027" s="308">
        <f>'JOVENES PROTAGONISTAS'!R43</f>
        <v>27664.927046335986</v>
      </c>
    </row>
    <row r="5028" spans="1:8" x14ac:dyDescent="0.3">
      <c r="A5028" t="s">
        <v>632</v>
      </c>
      <c r="B5028" t="s">
        <v>709</v>
      </c>
      <c r="C5028" t="s">
        <v>461</v>
      </c>
      <c r="D5028" t="s">
        <v>693</v>
      </c>
      <c r="E5028" t="s">
        <v>766</v>
      </c>
      <c r="F5028">
        <v>1</v>
      </c>
      <c r="G5028" s="308">
        <f>'JOVENES PROTAGONISTAS'!E44</f>
        <v>0</v>
      </c>
      <c r="H5028" s="308">
        <f>'JOVENES PROTAGONISTAS'!F44</f>
        <v>0</v>
      </c>
    </row>
    <row r="5029" spans="1:8" x14ac:dyDescent="0.3">
      <c r="A5029" t="s">
        <v>632</v>
      </c>
      <c r="B5029" t="s">
        <v>709</v>
      </c>
      <c r="C5029" t="s">
        <v>461</v>
      </c>
      <c r="D5029" t="s">
        <v>693</v>
      </c>
      <c r="E5029" t="s">
        <v>767</v>
      </c>
      <c r="F5029">
        <v>2</v>
      </c>
      <c r="G5029" s="308">
        <f>'JOVENES PROTAGONISTAS'!G44</f>
        <v>14</v>
      </c>
      <c r="H5029" s="308">
        <f>'JOVENES PROTAGONISTAS'!H44</f>
        <v>1406.8884014139828</v>
      </c>
    </row>
    <row r="5030" spans="1:8" x14ac:dyDescent="0.3">
      <c r="A5030" t="s">
        <v>632</v>
      </c>
      <c r="B5030" t="s">
        <v>709</v>
      </c>
      <c r="C5030" t="s">
        <v>461</v>
      </c>
      <c r="D5030" t="s">
        <v>693</v>
      </c>
      <c r="E5030" t="s">
        <v>768</v>
      </c>
      <c r="F5030">
        <v>3</v>
      </c>
      <c r="G5030" s="308">
        <f>'JOVENES PROTAGONISTAS'!I44</f>
        <v>147</v>
      </c>
      <c r="H5030" s="308">
        <f>'JOVENES PROTAGONISTAS'!J44</f>
        <v>24366.598126064735</v>
      </c>
    </row>
    <row r="5031" spans="1:8" x14ac:dyDescent="0.3">
      <c r="A5031" t="s">
        <v>632</v>
      </c>
      <c r="B5031" t="s">
        <v>709</v>
      </c>
      <c r="C5031" t="s">
        <v>461</v>
      </c>
      <c r="D5031" t="s">
        <v>693</v>
      </c>
      <c r="E5031" t="s">
        <v>769</v>
      </c>
      <c r="F5031">
        <v>4</v>
      </c>
      <c r="G5031" s="308">
        <f>'JOVENES PROTAGONISTAS'!K44</f>
        <v>19</v>
      </c>
      <c r="H5031" s="308">
        <f>'JOVENES PROTAGONISTAS'!L44</f>
        <v>16334.172354456465</v>
      </c>
    </row>
    <row r="5032" spans="1:8" x14ac:dyDescent="0.3">
      <c r="A5032" t="s">
        <v>632</v>
      </c>
      <c r="B5032" t="s">
        <v>709</v>
      </c>
      <c r="C5032" t="s">
        <v>461</v>
      </c>
      <c r="D5032" t="s">
        <v>693</v>
      </c>
      <c r="E5032" t="s">
        <v>770</v>
      </c>
      <c r="F5032">
        <v>5</v>
      </c>
      <c r="G5032" s="308">
        <f>'JOVENES PROTAGONISTAS'!M44</f>
        <v>63</v>
      </c>
      <c r="H5032" s="308">
        <f>'JOVENES PROTAGONISTAS'!N44</f>
        <v>63535.322934232718</v>
      </c>
    </row>
    <row r="5033" spans="1:8" x14ac:dyDescent="0.3">
      <c r="A5033" t="s">
        <v>632</v>
      </c>
      <c r="B5033" t="s">
        <v>709</v>
      </c>
      <c r="C5033" t="s">
        <v>461</v>
      </c>
      <c r="D5033" t="s">
        <v>693</v>
      </c>
      <c r="E5033" t="s">
        <v>771</v>
      </c>
      <c r="F5033">
        <v>6</v>
      </c>
      <c r="G5033" s="308">
        <f>'JOVENES PROTAGONISTAS'!O44</f>
        <v>120</v>
      </c>
      <c r="H5033" s="308">
        <f>'JOVENES PROTAGONISTAS'!P44</f>
        <v>27594.59258064516</v>
      </c>
    </row>
    <row r="5034" spans="1:8" x14ac:dyDescent="0.3">
      <c r="A5034" t="s">
        <v>632</v>
      </c>
      <c r="B5034" t="s">
        <v>709</v>
      </c>
      <c r="C5034" t="s">
        <v>461</v>
      </c>
      <c r="D5034" t="s">
        <v>693</v>
      </c>
      <c r="E5034" t="s">
        <v>772</v>
      </c>
      <c r="F5034">
        <v>7</v>
      </c>
      <c r="G5034" s="308">
        <f>'JOVENES PROTAGONISTAS'!Q44</f>
        <v>0</v>
      </c>
      <c r="H5034" s="308">
        <f>'JOVENES PROTAGONISTAS'!R44</f>
        <v>0</v>
      </c>
    </row>
    <row r="5035" spans="1:8" x14ac:dyDescent="0.3">
      <c r="A5035" t="s">
        <v>632</v>
      </c>
      <c r="B5035" t="s">
        <v>709</v>
      </c>
      <c r="C5035" t="s">
        <v>711</v>
      </c>
      <c r="D5035" t="s">
        <v>693</v>
      </c>
      <c r="E5035" t="s">
        <v>766</v>
      </c>
      <c r="F5035">
        <v>1</v>
      </c>
      <c r="G5035" s="308">
        <f>'JOVENES PROTAGONISTAS'!E45</f>
        <v>0</v>
      </c>
      <c r="H5035" s="308">
        <f>'JOVENES PROTAGONISTAS'!F45</f>
        <v>0</v>
      </c>
    </row>
    <row r="5036" spans="1:8" x14ac:dyDescent="0.3">
      <c r="A5036" t="s">
        <v>632</v>
      </c>
      <c r="B5036" t="s">
        <v>709</v>
      </c>
      <c r="C5036" t="s">
        <v>711</v>
      </c>
      <c r="D5036" t="s">
        <v>693</v>
      </c>
      <c r="E5036" t="s">
        <v>767</v>
      </c>
      <c r="F5036">
        <v>2</v>
      </c>
      <c r="G5036" s="308">
        <f>'JOVENES PROTAGONISTAS'!G45</f>
        <v>18</v>
      </c>
      <c r="H5036" s="308">
        <f>'JOVENES PROTAGONISTAS'!H45</f>
        <v>1808.856516103692</v>
      </c>
    </row>
    <row r="5037" spans="1:8" x14ac:dyDescent="0.3">
      <c r="A5037" t="s">
        <v>632</v>
      </c>
      <c r="B5037" t="s">
        <v>709</v>
      </c>
      <c r="C5037" t="s">
        <v>711</v>
      </c>
      <c r="D5037" t="s">
        <v>693</v>
      </c>
      <c r="E5037" t="s">
        <v>768</v>
      </c>
      <c r="F5037">
        <v>3</v>
      </c>
      <c r="G5037" s="308">
        <f>'JOVENES PROTAGONISTAS'!I45</f>
        <v>81</v>
      </c>
      <c r="H5037" s="308">
        <f>'JOVENES PROTAGONISTAS'!J45</f>
        <v>13426.492844974446</v>
      </c>
    </row>
    <row r="5038" spans="1:8" x14ac:dyDescent="0.3">
      <c r="A5038" t="s">
        <v>632</v>
      </c>
      <c r="B5038" t="s">
        <v>709</v>
      </c>
      <c r="C5038" t="s">
        <v>711</v>
      </c>
      <c r="D5038" t="s">
        <v>693</v>
      </c>
      <c r="E5038" t="s">
        <v>769</v>
      </c>
      <c r="F5038">
        <v>4</v>
      </c>
      <c r="G5038" s="308">
        <f>'JOVENES PROTAGONISTAS'!K45</f>
        <v>25</v>
      </c>
      <c r="H5038" s="308">
        <f>'JOVENES PROTAGONISTAS'!L45</f>
        <v>21492.332045337454</v>
      </c>
    </row>
    <row r="5039" spans="1:8" x14ac:dyDescent="0.3">
      <c r="A5039" t="s">
        <v>632</v>
      </c>
      <c r="B5039" t="s">
        <v>709</v>
      </c>
      <c r="C5039" t="s">
        <v>711</v>
      </c>
      <c r="D5039" t="s">
        <v>693</v>
      </c>
      <c r="E5039" t="s">
        <v>770</v>
      </c>
      <c r="F5039">
        <v>5</v>
      </c>
      <c r="G5039" s="308">
        <f>'JOVENES PROTAGONISTAS'!M45</f>
        <v>0</v>
      </c>
      <c r="H5039" s="308">
        <f>'JOVENES PROTAGONISTAS'!N45</f>
        <v>0</v>
      </c>
    </row>
    <row r="5040" spans="1:8" x14ac:dyDescent="0.3">
      <c r="A5040" t="s">
        <v>632</v>
      </c>
      <c r="B5040" t="s">
        <v>709</v>
      </c>
      <c r="C5040" t="s">
        <v>711</v>
      </c>
      <c r="D5040" t="s">
        <v>693</v>
      </c>
      <c r="E5040" t="s">
        <v>771</v>
      </c>
      <c r="F5040">
        <v>6</v>
      </c>
      <c r="G5040" s="308">
        <f>'JOVENES PROTAGONISTAS'!O45</f>
        <v>120</v>
      </c>
      <c r="H5040" s="308">
        <f>'JOVENES PROTAGONISTAS'!P45</f>
        <v>27594.59258064516</v>
      </c>
    </row>
    <row r="5041" spans="1:8" x14ac:dyDescent="0.3">
      <c r="A5041" t="s">
        <v>632</v>
      </c>
      <c r="B5041" t="s">
        <v>709</v>
      </c>
      <c r="C5041" t="s">
        <v>711</v>
      </c>
      <c r="D5041" t="s">
        <v>693</v>
      </c>
      <c r="E5041" t="s">
        <v>772</v>
      </c>
      <c r="F5041">
        <v>7</v>
      </c>
      <c r="G5041" s="308">
        <f>'JOVENES PROTAGONISTAS'!Q45</f>
        <v>28</v>
      </c>
      <c r="H5041" s="308">
        <f>'JOVENES PROTAGONISTAS'!R45</f>
        <v>22131.941637068787</v>
      </c>
    </row>
    <row r="5042" spans="1:8" x14ac:dyDescent="0.3">
      <c r="A5042" t="s">
        <v>632</v>
      </c>
      <c r="B5042" t="s">
        <v>709</v>
      </c>
      <c r="C5042" t="s">
        <v>712</v>
      </c>
      <c r="D5042" t="s">
        <v>693</v>
      </c>
      <c r="E5042" t="s">
        <v>766</v>
      </c>
      <c r="F5042">
        <v>1</v>
      </c>
      <c r="G5042" s="308">
        <f>'JOVENES PROTAGONISTAS'!E46</f>
        <v>0</v>
      </c>
      <c r="H5042" s="308">
        <f>'JOVENES PROTAGONISTAS'!F46</f>
        <v>0</v>
      </c>
    </row>
    <row r="5043" spans="1:8" x14ac:dyDescent="0.3">
      <c r="A5043" t="s">
        <v>632</v>
      </c>
      <c r="B5043" t="s">
        <v>709</v>
      </c>
      <c r="C5043" t="s">
        <v>712</v>
      </c>
      <c r="D5043" t="s">
        <v>693</v>
      </c>
      <c r="E5043" t="s">
        <v>767</v>
      </c>
      <c r="F5043">
        <v>2</v>
      </c>
      <c r="G5043" s="308">
        <f>'JOVENES PROTAGONISTAS'!G46</f>
        <v>34</v>
      </c>
      <c r="H5043" s="308">
        <f>'JOVENES PROTAGONISTAS'!H46</f>
        <v>3416.7289748625294</v>
      </c>
    </row>
    <row r="5044" spans="1:8" x14ac:dyDescent="0.3">
      <c r="A5044" t="s">
        <v>632</v>
      </c>
      <c r="B5044" t="s">
        <v>709</v>
      </c>
      <c r="C5044" t="s">
        <v>712</v>
      </c>
      <c r="D5044" t="s">
        <v>693</v>
      </c>
      <c r="E5044" t="s">
        <v>768</v>
      </c>
      <c r="F5044">
        <v>3</v>
      </c>
      <c r="G5044" s="308">
        <f>'JOVENES PROTAGONISTAS'!I46</f>
        <v>0</v>
      </c>
      <c r="H5044" s="308">
        <f>'JOVENES PROTAGONISTAS'!J46</f>
        <v>0</v>
      </c>
    </row>
    <row r="5045" spans="1:8" x14ac:dyDescent="0.3">
      <c r="A5045" t="s">
        <v>632</v>
      </c>
      <c r="B5045" t="s">
        <v>709</v>
      </c>
      <c r="C5045" t="s">
        <v>712</v>
      </c>
      <c r="D5045" t="s">
        <v>693</v>
      </c>
      <c r="E5045" t="s">
        <v>769</v>
      </c>
      <c r="F5045">
        <v>4</v>
      </c>
      <c r="G5045" s="308">
        <f>'JOVENES PROTAGONISTAS'!K46</f>
        <v>0</v>
      </c>
      <c r="H5045" s="308">
        <f>'JOVENES PROTAGONISTAS'!L46</f>
        <v>0</v>
      </c>
    </row>
    <row r="5046" spans="1:8" x14ac:dyDescent="0.3">
      <c r="A5046" t="s">
        <v>632</v>
      </c>
      <c r="B5046" t="s">
        <v>709</v>
      </c>
      <c r="C5046" t="s">
        <v>712</v>
      </c>
      <c r="D5046" t="s">
        <v>693</v>
      </c>
      <c r="E5046" t="s">
        <v>770</v>
      </c>
      <c r="F5046">
        <v>5</v>
      </c>
      <c r="G5046" s="308">
        <f>'JOVENES PROTAGONISTAS'!M46</f>
        <v>0</v>
      </c>
      <c r="H5046" s="308">
        <f>'JOVENES PROTAGONISTAS'!N46</f>
        <v>0</v>
      </c>
    </row>
    <row r="5047" spans="1:8" x14ac:dyDescent="0.3">
      <c r="A5047" t="s">
        <v>632</v>
      </c>
      <c r="B5047" t="s">
        <v>709</v>
      </c>
      <c r="C5047" t="s">
        <v>712</v>
      </c>
      <c r="D5047" t="s">
        <v>693</v>
      </c>
      <c r="E5047" t="s">
        <v>771</v>
      </c>
      <c r="F5047">
        <v>6</v>
      </c>
      <c r="G5047" s="308">
        <f>'JOVENES PROTAGONISTAS'!O46</f>
        <v>120</v>
      </c>
      <c r="H5047" s="308">
        <f>'JOVENES PROTAGONISTAS'!P46</f>
        <v>27594.59258064516</v>
      </c>
    </row>
    <row r="5048" spans="1:8" x14ac:dyDescent="0.3">
      <c r="A5048" t="s">
        <v>632</v>
      </c>
      <c r="B5048" t="s">
        <v>709</v>
      </c>
      <c r="C5048" t="s">
        <v>712</v>
      </c>
      <c r="D5048" t="s">
        <v>693</v>
      </c>
      <c r="E5048" t="s">
        <v>772</v>
      </c>
      <c r="F5048">
        <v>7</v>
      </c>
      <c r="G5048" s="308">
        <f>'JOVENES PROTAGONISTAS'!Q46</f>
        <v>30</v>
      </c>
      <c r="H5048" s="308">
        <f>'JOVENES PROTAGONISTAS'!R46</f>
        <v>23712.794611145131</v>
      </c>
    </row>
    <row r="5049" spans="1:8" x14ac:dyDescent="0.3">
      <c r="A5049" t="s">
        <v>632</v>
      </c>
      <c r="B5049" t="s">
        <v>709</v>
      </c>
      <c r="C5049" t="s">
        <v>464</v>
      </c>
      <c r="D5049" t="s">
        <v>693</v>
      </c>
      <c r="E5049" t="s">
        <v>766</v>
      </c>
      <c r="F5049">
        <v>1</v>
      </c>
      <c r="G5049" s="308">
        <f>'JOVENES PROTAGONISTAS'!E47</f>
        <v>0</v>
      </c>
      <c r="H5049" s="308">
        <f>'JOVENES PROTAGONISTAS'!F47</f>
        <v>0</v>
      </c>
    </row>
    <row r="5050" spans="1:8" x14ac:dyDescent="0.3">
      <c r="A5050" t="s">
        <v>632</v>
      </c>
      <c r="B5050" t="s">
        <v>709</v>
      </c>
      <c r="C5050" t="s">
        <v>464</v>
      </c>
      <c r="D5050" t="s">
        <v>693</v>
      </c>
      <c r="E5050" t="s">
        <v>767</v>
      </c>
      <c r="F5050">
        <v>2</v>
      </c>
      <c r="G5050" s="308">
        <f>'JOVENES PROTAGONISTAS'!G47</f>
        <v>0</v>
      </c>
      <c r="H5050" s="308">
        <f>'JOVENES PROTAGONISTAS'!H47</f>
        <v>0</v>
      </c>
    </row>
    <row r="5051" spans="1:8" x14ac:dyDescent="0.3">
      <c r="A5051" t="s">
        <v>632</v>
      </c>
      <c r="B5051" t="s">
        <v>709</v>
      </c>
      <c r="C5051" t="s">
        <v>464</v>
      </c>
      <c r="D5051" t="s">
        <v>693</v>
      </c>
      <c r="E5051" t="s">
        <v>768</v>
      </c>
      <c r="F5051">
        <v>3</v>
      </c>
      <c r="G5051" s="308">
        <f>'JOVENES PROTAGONISTAS'!I47</f>
        <v>0</v>
      </c>
      <c r="H5051" s="308">
        <f>'JOVENES PROTAGONISTAS'!J47</f>
        <v>0</v>
      </c>
    </row>
    <row r="5052" spans="1:8" x14ac:dyDescent="0.3">
      <c r="A5052" t="s">
        <v>632</v>
      </c>
      <c r="B5052" t="s">
        <v>709</v>
      </c>
      <c r="C5052" t="s">
        <v>464</v>
      </c>
      <c r="D5052" t="s">
        <v>693</v>
      </c>
      <c r="E5052" t="s">
        <v>769</v>
      </c>
      <c r="F5052">
        <v>4</v>
      </c>
      <c r="G5052" s="308">
        <f>'JOVENES PROTAGONISTAS'!K47</f>
        <v>65</v>
      </c>
      <c r="H5052" s="308">
        <f>'JOVENES PROTAGONISTAS'!L47</f>
        <v>55880.063317877379</v>
      </c>
    </row>
    <row r="5053" spans="1:8" x14ac:dyDescent="0.3">
      <c r="A5053" t="s">
        <v>632</v>
      </c>
      <c r="B5053" t="s">
        <v>709</v>
      </c>
      <c r="C5053" t="s">
        <v>464</v>
      </c>
      <c r="D5053" t="s">
        <v>693</v>
      </c>
      <c r="E5053" t="s">
        <v>770</v>
      </c>
      <c r="F5053">
        <v>5</v>
      </c>
      <c r="G5053" s="308">
        <f>'JOVENES PROTAGONISTAS'!M47</f>
        <v>3</v>
      </c>
      <c r="H5053" s="308">
        <f>'JOVENES PROTAGONISTAS'!N47</f>
        <v>3025.4915682967962</v>
      </c>
    </row>
    <row r="5054" spans="1:8" x14ac:dyDescent="0.3">
      <c r="A5054" t="s">
        <v>632</v>
      </c>
      <c r="B5054" t="s">
        <v>709</v>
      </c>
      <c r="C5054" t="s">
        <v>464</v>
      </c>
      <c r="D5054" t="s">
        <v>693</v>
      </c>
      <c r="E5054" t="s">
        <v>771</v>
      </c>
      <c r="F5054">
        <v>6</v>
      </c>
      <c r="G5054" s="308">
        <f>'JOVENES PROTAGONISTAS'!O47</f>
        <v>126</v>
      </c>
      <c r="H5054" s="308">
        <f>'JOVENES PROTAGONISTAS'!P47</f>
        <v>28974.322209677419</v>
      </c>
    </row>
    <row r="5055" spans="1:8" x14ac:dyDescent="0.3">
      <c r="A5055" t="s">
        <v>632</v>
      </c>
      <c r="B5055" t="s">
        <v>709</v>
      </c>
      <c r="C5055" t="s">
        <v>464</v>
      </c>
      <c r="D5055" t="s">
        <v>693</v>
      </c>
      <c r="E5055" t="s">
        <v>772</v>
      </c>
      <c r="F5055">
        <v>7</v>
      </c>
      <c r="G5055" s="308">
        <f>'JOVENES PROTAGONISTAS'!Q47</f>
        <v>1</v>
      </c>
      <c r="H5055" s="308">
        <f>'JOVENES PROTAGONISTAS'!R47</f>
        <v>790.42648703817099</v>
      </c>
    </row>
    <row r="5056" spans="1:8" x14ac:dyDescent="0.3">
      <c r="A5056" t="s">
        <v>632</v>
      </c>
      <c r="B5056" t="s">
        <v>709</v>
      </c>
      <c r="C5056" t="s">
        <v>465</v>
      </c>
      <c r="D5056" t="s">
        <v>693</v>
      </c>
      <c r="E5056" t="s">
        <v>766</v>
      </c>
      <c r="F5056">
        <v>1</v>
      </c>
      <c r="G5056" s="308">
        <f>'JOVENES PROTAGONISTAS'!E48</f>
        <v>0</v>
      </c>
      <c r="H5056" s="308">
        <f>'JOVENES PROTAGONISTAS'!F48</f>
        <v>0</v>
      </c>
    </row>
    <row r="5057" spans="1:8" x14ac:dyDescent="0.3">
      <c r="A5057" t="s">
        <v>632</v>
      </c>
      <c r="B5057" t="s">
        <v>709</v>
      </c>
      <c r="C5057" t="s">
        <v>465</v>
      </c>
      <c r="D5057" t="s">
        <v>693</v>
      </c>
      <c r="E5057" t="s">
        <v>767</v>
      </c>
      <c r="F5057">
        <v>2</v>
      </c>
      <c r="G5057" s="308">
        <f>'JOVENES PROTAGONISTAS'!G48</f>
        <v>60</v>
      </c>
      <c r="H5057" s="308">
        <f>'JOVENES PROTAGONISTAS'!H48</f>
        <v>6029.5217203456405</v>
      </c>
    </row>
    <row r="5058" spans="1:8" x14ac:dyDescent="0.3">
      <c r="A5058" t="s">
        <v>632</v>
      </c>
      <c r="B5058" t="s">
        <v>709</v>
      </c>
      <c r="C5058" t="s">
        <v>465</v>
      </c>
      <c r="D5058" t="s">
        <v>693</v>
      </c>
      <c r="E5058" t="s">
        <v>768</v>
      </c>
      <c r="F5058">
        <v>3</v>
      </c>
      <c r="G5058" s="308">
        <f>'JOVENES PROTAGONISTAS'!I48</f>
        <v>130</v>
      </c>
      <c r="H5058" s="308">
        <f>'JOVENES PROTAGONISTAS'!J48</f>
        <v>21548.692220329358</v>
      </c>
    </row>
    <row r="5059" spans="1:8" x14ac:dyDescent="0.3">
      <c r="A5059" t="s">
        <v>632</v>
      </c>
      <c r="B5059" t="s">
        <v>709</v>
      </c>
      <c r="C5059" t="s">
        <v>465</v>
      </c>
      <c r="D5059" t="s">
        <v>693</v>
      </c>
      <c r="E5059" t="s">
        <v>769</v>
      </c>
      <c r="F5059">
        <v>4</v>
      </c>
      <c r="G5059" s="308">
        <f>'JOVENES PROTAGONISTAS'!K48</f>
        <v>36</v>
      </c>
      <c r="H5059" s="308">
        <f>'JOVENES PROTAGONISTAS'!L48</f>
        <v>30948.958145285935</v>
      </c>
    </row>
    <row r="5060" spans="1:8" x14ac:dyDescent="0.3">
      <c r="A5060" t="s">
        <v>632</v>
      </c>
      <c r="B5060" t="s">
        <v>709</v>
      </c>
      <c r="C5060" t="s">
        <v>465</v>
      </c>
      <c r="D5060" t="s">
        <v>693</v>
      </c>
      <c r="E5060" t="s">
        <v>770</v>
      </c>
      <c r="F5060">
        <v>5</v>
      </c>
      <c r="G5060" s="308">
        <f>'JOVENES PROTAGONISTAS'!M48</f>
        <v>0</v>
      </c>
      <c r="H5060" s="308">
        <f>'JOVENES PROTAGONISTAS'!N48</f>
        <v>0</v>
      </c>
    </row>
    <row r="5061" spans="1:8" x14ac:dyDescent="0.3">
      <c r="A5061" t="s">
        <v>632</v>
      </c>
      <c r="B5061" t="s">
        <v>709</v>
      </c>
      <c r="C5061" t="s">
        <v>465</v>
      </c>
      <c r="D5061" t="s">
        <v>693</v>
      </c>
      <c r="E5061" t="s">
        <v>771</v>
      </c>
      <c r="F5061">
        <v>6</v>
      </c>
      <c r="G5061" s="308">
        <f>'JOVENES PROTAGONISTAS'!O48</f>
        <v>0</v>
      </c>
      <c r="H5061" s="308">
        <f>'JOVENES PROTAGONISTAS'!P48</f>
        <v>0</v>
      </c>
    </row>
    <row r="5062" spans="1:8" x14ac:dyDescent="0.3">
      <c r="A5062" t="s">
        <v>632</v>
      </c>
      <c r="B5062" t="s">
        <v>709</v>
      </c>
      <c r="C5062" t="s">
        <v>465</v>
      </c>
      <c r="D5062" t="s">
        <v>693</v>
      </c>
      <c r="E5062" t="s">
        <v>772</v>
      </c>
      <c r="F5062">
        <v>7</v>
      </c>
      <c r="G5062" s="308">
        <f>'JOVENES PROTAGONISTAS'!Q48</f>
        <v>70</v>
      </c>
      <c r="H5062" s="308">
        <f>'JOVENES PROTAGONISTAS'!R48</f>
        <v>55329.854092671972</v>
      </c>
    </row>
    <row r="5063" spans="1:8" x14ac:dyDescent="0.3">
      <c r="A5063" t="s">
        <v>632</v>
      </c>
      <c r="B5063" t="s">
        <v>709</v>
      </c>
      <c r="C5063" t="s">
        <v>466</v>
      </c>
      <c r="D5063" t="s">
        <v>693</v>
      </c>
      <c r="E5063" t="s">
        <v>766</v>
      </c>
      <c r="F5063">
        <v>1</v>
      </c>
      <c r="G5063" s="308">
        <f>'JOVENES PROTAGONISTAS'!E49</f>
        <v>0</v>
      </c>
      <c r="H5063" s="308">
        <f>'JOVENES PROTAGONISTAS'!F49</f>
        <v>0</v>
      </c>
    </row>
    <row r="5064" spans="1:8" x14ac:dyDescent="0.3">
      <c r="A5064" t="s">
        <v>632</v>
      </c>
      <c r="B5064" t="s">
        <v>709</v>
      </c>
      <c r="C5064" t="s">
        <v>466</v>
      </c>
      <c r="D5064" t="s">
        <v>693</v>
      </c>
      <c r="E5064" t="s">
        <v>767</v>
      </c>
      <c r="F5064">
        <v>2</v>
      </c>
      <c r="G5064" s="308">
        <f>'JOVENES PROTAGONISTAS'!G49</f>
        <v>0</v>
      </c>
      <c r="H5064" s="308">
        <f>'JOVENES PROTAGONISTAS'!H49</f>
        <v>0</v>
      </c>
    </row>
    <row r="5065" spans="1:8" x14ac:dyDescent="0.3">
      <c r="A5065" t="s">
        <v>632</v>
      </c>
      <c r="B5065" t="s">
        <v>709</v>
      </c>
      <c r="C5065" t="s">
        <v>466</v>
      </c>
      <c r="D5065" t="s">
        <v>693</v>
      </c>
      <c r="E5065" t="s">
        <v>768</v>
      </c>
      <c r="F5065">
        <v>3</v>
      </c>
      <c r="G5065" s="308">
        <f>'JOVENES PROTAGONISTAS'!I49</f>
        <v>0</v>
      </c>
      <c r="H5065" s="308">
        <f>'JOVENES PROTAGONISTAS'!J49</f>
        <v>0</v>
      </c>
    </row>
    <row r="5066" spans="1:8" x14ac:dyDescent="0.3">
      <c r="A5066" t="s">
        <v>632</v>
      </c>
      <c r="B5066" t="s">
        <v>709</v>
      </c>
      <c r="C5066" t="s">
        <v>466</v>
      </c>
      <c r="D5066" t="s">
        <v>693</v>
      </c>
      <c r="E5066" t="s">
        <v>769</v>
      </c>
      <c r="F5066">
        <v>4</v>
      </c>
      <c r="G5066" s="308">
        <f>'JOVENES PROTAGONISTAS'!K49</f>
        <v>0</v>
      </c>
      <c r="H5066" s="308">
        <f>'JOVENES PROTAGONISTAS'!L49</f>
        <v>2579.0798454404944</v>
      </c>
    </row>
    <row r="5067" spans="1:8" x14ac:dyDescent="0.3">
      <c r="A5067" t="s">
        <v>632</v>
      </c>
      <c r="B5067" t="s">
        <v>709</v>
      </c>
      <c r="C5067" t="s">
        <v>466</v>
      </c>
      <c r="D5067" t="s">
        <v>693</v>
      </c>
      <c r="E5067" t="s">
        <v>770</v>
      </c>
      <c r="F5067">
        <v>5</v>
      </c>
      <c r="G5067" s="308">
        <f>'JOVENES PROTAGONISTAS'!M49</f>
        <v>0</v>
      </c>
      <c r="H5067" s="308">
        <f>'JOVENES PROTAGONISTAS'!N49</f>
        <v>0</v>
      </c>
    </row>
    <row r="5068" spans="1:8" x14ac:dyDescent="0.3">
      <c r="A5068" t="s">
        <v>632</v>
      </c>
      <c r="B5068" t="s">
        <v>709</v>
      </c>
      <c r="C5068" t="s">
        <v>466</v>
      </c>
      <c r="D5068" t="s">
        <v>693</v>
      </c>
      <c r="E5068" t="s">
        <v>771</v>
      </c>
      <c r="F5068">
        <v>6</v>
      </c>
      <c r="G5068" s="308">
        <f>'JOVENES PROTAGONISTAS'!O49</f>
        <v>16</v>
      </c>
      <c r="H5068" s="308">
        <f>'JOVENES PROTAGONISTAS'!P49</f>
        <v>3679.279010752688</v>
      </c>
    </row>
    <row r="5069" spans="1:8" x14ac:dyDescent="0.3">
      <c r="A5069" t="s">
        <v>632</v>
      </c>
      <c r="B5069" t="s">
        <v>709</v>
      </c>
      <c r="C5069" t="s">
        <v>466</v>
      </c>
      <c r="D5069" t="s">
        <v>693</v>
      </c>
      <c r="E5069" t="s">
        <v>772</v>
      </c>
      <c r="F5069">
        <v>7</v>
      </c>
      <c r="G5069" s="308">
        <f>'JOVENES PROTAGONISTAS'!Q49</f>
        <v>52</v>
      </c>
      <c r="H5069" s="308">
        <f>'JOVENES PROTAGONISTAS'!R49</f>
        <v>41102.177325984892</v>
      </c>
    </row>
    <row r="5070" spans="1:8" x14ac:dyDescent="0.3">
      <c r="A5070" t="s">
        <v>632</v>
      </c>
      <c r="B5070" t="s">
        <v>713</v>
      </c>
      <c r="C5070" t="s">
        <v>714</v>
      </c>
      <c r="D5070" t="s">
        <v>693</v>
      </c>
      <c r="E5070" t="s">
        <v>766</v>
      </c>
      <c r="F5070">
        <v>1</v>
      </c>
      <c r="G5070" s="308">
        <f>'JOVENES PROTAGONISTAS'!E50</f>
        <v>0</v>
      </c>
      <c r="H5070" s="308">
        <f>'JOVENES PROTAGONISTAS'!F50</f>
        <v>0</v>
      </c>
    </row>
    <row r="5071" spans="1:8" x14ac:dyDescent="0.3">
      <c r="A5071" t="s">
        <v>632</v>
      </c>
      <c r="B5071" t="s">
        <v>713</v>
      </c>
      <c r="C5071" t="s">
        <v>714</v>
      </c>
      <c r="D5071" t="s">
        <v>693</v>
      </c>
      <c r="E5071" t="s">
        <v>767</v>
      </c>
      <c r="F5071">
        <v>2</v>
      </c>
      <c r="G5071" s="308">
        <f>'JOVENES PROTAGONISTAS'!G50</f>
        <v>29</v>
      </c>
      <c r="H5071" s="308">
        <f>'JOVENES PROTAGONISTAS'!H50</f>
        <v>2914.2688315003929</v>
      </c>
    </row>
    <row r="5072" spans="1:8" x14ac:dyDescent="0.3">
      <c r="A5072" t="s">
        <v>632</v>
      </c>
      <c r="B5072" t="s">
        <v>713</v>
      </c>
      <c r="C5072" t="s">
        <v>714</v>
      </c>
      <c r="D5072" t="s">
        <v>693</v>
      </c>
      <c r="E5072" t="s">
        <v>768</v>
      </c>
      <c r="F5072">
        <v>3</v>
      </c>
      <c r="G5072" s="308">
        <f>'JOVENES PROTAGONISTAS'!I50</f>
        <v>27</v>
      </c>
      <c r="H5072" s="308">
        <f>'JOVENES PROTAGONISTAS'!J50</f>
        <v>4475.4976149914819</v>
      </c>
    </row>
    <row r="5073" spans="1:8" x14ac:dyDescent="0.3">
      <c r="A5073" t="s">
        <v>632</v>
      </c>
      <c r="B5073" t="s">
        <v>713</v>
      </c>
      <c r="C5073" t="s">
        <v>714</v>
      </c>
      <c r="D5073" t="s">
        <v>693</v>
      </c>
      <c r="E5073" t="s">
        <v>769</v>
      </c>
      <c r="F5073">
        <v>4</v>
      </c>
      <c r="G5073" s="308">
        <f>'JOVENES PROTAGONISTAS'!K50</f>
        <v>3</v>
      </c>
      <c r="H5073" s="308">
        <f>'JOVENES PROTAGONISTAS'!L50</f>
        <v>2579.0798454404944</v>
      </c>
    </row>
    <row r="5074" spans="1:8" x14ac:dyDescent="0.3">
      <c r="A5074" t="s">
        <v>632</v>
      </c>
      <c r="B5074" t="s">
        <v>713</v>
      </c>
      <c r="C5074" t="s">
        <v>714</v>
      </c>
      <c r="D5074" t="s">
        <v>693</v>
      </c>
      <c r="E5074" t="s">
        <v>770</v>
      </c>
      <c r="F5074">
        <v>5</v>
      </c>
      <c r="G5074" s="308">
        <f>'JOVENES PROTAGONISTAS'!M50</f>
        <v>2</v>
      </c>
      <c r="H5074" s="308">
        <f>'JOVENES PROTAGONISTAS'!N50</f>
        <v>2016.9943788645307</v>
      </c>
    </row>
    <row r="5075" spans="1:8" x14ac:dyDescent="0.3">
      <c r="A5075" t="s">
        <v>632</v>
      </c>
      <c r="B5075" t="s">
        <v>713</v>
      </c>
      <c r="C5075" t="s">
        <v>714</v>
      </c>
      <c r="D5075" t="s">
        <v>693</v>
      </c>
      <c r="E5075" t="s">
        <v>771</v>
      </c>
      <c r="F5075">
        <v>6</v>
      </c>
      <c r="G5075" s="308">
        <f>'JOVENES PROTAGONISTAS'!O50</f>
        <v>122</v>
      </c>
      <c r="H5075" s="308">
        <f>'JOVENES PROTAGONISTAS'!P50</f>
        <v>28054.502456989245</v>
      </c>
    </row>
    <row r="5076" spans="1:8" x14ac:dyDescent="0.3">
      <c r="A5076" t="s">
        <v>632</v>
      </c>
      <c r="B5076" t="s">
        <v>713</v>
      </c>
      <c r="C5076" t="s">
        <v>714</v>
      </c>
      <c r="D5076" t="s">
        <v>693</v>
      </c>
      <c r="E5076" t="s">
        <v>772</v>
      </c>
      <c r="F5076">
        <v>7</v>
      </c>
      <c r="G5076" s="308">
        <f>'JOVENES PROTAGONISTAS'!Q50</f>
        <v>9</v>
      </c>
      <c r="H5076" s="308">
        <f>'JOVENES PROTAGONISTAS'!R50</f>
        <v>7113.8383833435391</v>
      </c>
    </row>
    <row r="5077" spans="1:8" x14ac:dyDescent="0.3">
      <c r="A5077" t="s">
        <v>632</v>
      </c>
      <c r="B5077" t="s">
        <v>713</v>
      </c>
      <c r="C5077" t="s">
        <v>695</v>
      </c>
      <c r="D5077" t="s">
        <v>693</v>
      </c>
      <c r="E5077" t="s">
        <v>766</v>
      </c>
      <c r="F5077">
        <v>1</v>
      </c>
      <c r="G5077" s="308">
        <f>'JOVENES PROTAGONISTAS'!E51</f>
        <v>0</v>
      </c>
      <c r="H5077" s="308">
        <f>'JOVENES PROTAGONISTAS'!F51</f>
        <v>0</v>
      </c>
    </row>
    <row r="5078" spans="1:8" x14ac:dyDescent="0.3">
      <c r="A5078" t="s">
        <v>632</v>
      </c>
      <c r="B5078" t="s">
        <v>713</v>
      </c>
      <c r="C5078" t="s">
        <v>695</v>
      </c>
      <c r="D5078" t="s">
        <v>693</v>
      </c>
      <c r="E5078" t="s">
        <v>767</v>
      </c>
      <c r="F5078">
        <v>2</v>
      </c>
      <c r="G5078" s="308">
        <f>'JOVENES PROTAGONISTAS'!G51</f>
        <v>50</v>
      </c>
      <c r="H5078" s="308">
        <f>'JOVENES PROTAGONISTAS'!H51</f>
        <v>5024.6014336213666</v>
      </c>
    </row>
    <row r="5079" spans="1:8" x14ac:dyDescent="0.3">
      <c r="A5079" t="s">
        <v>632</v>
      </c>
      <c r="B5079" t="s">
        <v>713</v>
      </c>
      <c r="C5079" t="s">
        <v>695</v>
      </c>
      <c r="D5079" t="s">
        <v>693</v>
      </c>
      <c r="E5079" t="s">
        <v>768</v>
      </c>
      <c r="F5079">
        <v>3</v>
      </c>
      <c r="G5079" s="308">
        <f>'JOVENES PROTAGONISTAS'!I51</f>
        <v>59</v>
      </c>
      <c r="H5079" s="308">
        <f>'JOVENES PROTAGONISTAS'!J51</f>
        <v>9779.7910846110171</v>
      </c>
    </row>
    <row r="5080" spans="1:8" x14ac:dyDescent="0.3">
      <c r="A5080" t="s">
        <v>632</v>
      </c>
      <c r="B5080" t="s">
        <v>713</v>
      </c>
      <c r="C5080" t="s">
        <v>695</v>
      </c>
      <c r="D5080" t="s">
        <v>693</v>
      </c>
      <c r="E5080" t="s">
        <v>769</v>
      </c>
      <c r="F5080">
        <v>4</v>
      </c>
      <c r="G5080" s="308">
        <f>'JOVENES PROTAGONISTAS'!K51</f>
        <v>3</v>
      </c>
      <c r="H5080" s="308">
        <f>'JOVENES PROTAGONISTAS'!L51</f>
        <v>11176.012663575477</v>
      </c>
    </row>
    <row r="5081" spans="1:8" x14ac:dyDescent="0.3">
      <c r="A5081" t="s">
        <v>632</v>
      </c>
      <c r="B5081" t="s">
        <v>713</v>
      </c>
      <c r="C5081" t="s">
        <v>695</v>
      </c>
      <c r="D5081" t="s">
        <v>693</v>
      </c>
      <c r="E5081" t="s">
        <v>770</v>
      </c>
      <c r="F5081">
        <v>5</v>
      </c>
      <c r="G5081" s="308">
        <f>'JOVENES PROTAGONISTAS'!M51</f>
        <v>10</v>
      </c>
      <c r="H5081" s="308">
        <f>'JOVENES PROTAGONISTAS'!N51</f>
        <v>10084.971894322654</v>
      </c>
    </row>
    <row r="5082" spans="1:8" x14ac:dyDescent="0.3">
      <c r="A5082" t="s">
        <v>632</v>
      </c>
      <c r="B5082" t="s">
        <v>713</v>
      </c>
      <c r="C5082" t="s">
        <v>695</v>
      </c>
      <c r="D5082" t="s">
        <v>693</v>
      </c>
      <c r="E5082" t="s">
        <v>771</v>
      </c>
      <c r="F5082">
        <v>6</v>
      </c>
      <c r="G5082" s="308">
        <f>'JOVENES PROTAGONISTAS'!O51</f>
        <v>132</v>
      </c>
      <c r="H5082" s="308">
        <f>'JOVENES PROTAGONISTAS'!P51</f>
        <v>30354.051838709674</v>
      </c>
    </row>
    <row r="5083" spans="1:8" x14ac:dyDescent="0.3">
      <c r="A5083" t="s">
        <v>632</v>
      </c>
      <c r="B5083" t="s">
        <v>713</v>
      </c>
      <c r="C5083" t="s">
        <v>695</v>
      </c>
      <c r="D5083" t="s">
        <v>693</v>
      </c>
      <c r="E5083" t="s">
        <v>772</v>
      </c>
      <c r="F5083">
        <v>7</v>
      </c>
      <c r="G5083" s="308">
        <f>'JOVENES PROTAGONISTAS'!Q51</f>
        <v>4</v>
      </c>
      <c r="H5083" s="308">
        <f>'JOVENES PROTAGONISTAS'!R51</f>
        <v>3161.705948152684</v>
      </c>
    </row>
    <row r="5084" spans="1:8" x14ac:dyDescent="0.3">
      <c r="A5084" t="s">
        <v>632</v>
      </c>
      <c r="B5084" t="s">
        <v>713</v>
      </c>
      <c r="C5084" t="s">
        <v>469</v>
      </c>
      <c r="D5084" t="s">
        <v>693</v>
      </c>
      <c r="E5084" t="s">
        <v>766</v>
      </c>
      <c r="F5084">
        <v>1</v>
      </c>
      <c r="G5084" s="308">
        <f>'JOVENES PROTAGONISTAS'!E52</f>
        <v>0</v>
      </c>
      <c r="H5084" s="308">
        <f>'JOVENES PROTAGONISTAS'!F52</f>
        <v>0</v>
      </c>
    </row>
    <row r="5085" spans="1:8" x14ac:dyDescent="0.3">
      <c r="A5085" t="s">
        <v>632</v>
      </c>
      <c r="B5085" t="s">
        <v>713</v>
      </c>
      <c r="C5085" t="s">
        <v>469</v>
      </c>
      <c r="D5085" t="s">
        <v>693</v>
      </c>
      <c r="E5085" t="s">
        <v>767</v>
      </c>
      <c r="F5085">
        <v>2</v>
      </c>
      <c r="G5085" s="308">
        <f>'JOVENES PROTAGONISTAS'!G52</f>
        <v>35</v>
      </c>
      <c r="H5085" s="308">
        <f>'JOVENES PROTAGONISTAS'!H52</f>
        <v>3517.2210035349567</v>
      </c>
    </row>
    <row r="5086" spans="1:8" x14ac:dyDescent="0.3">
      <c r="A5086" t="s">
        <v>632</v>
      </c>
      <c r="B5086" t="s">
        <v>713</v>
      </c>
      <c r="C5086" t="s">
        <v>469</v>
      </c>
      <c r="D5086" t="s">
        <v>693</v>
      </c>
      <c r="E5086" t="s">
        <v>768</v>
      </c>
      <c r="F5086">
        <v>3</v>
      </c>
      <c r="G5086" s="308">
        <f>'JOVENES PROTAGONISTAS'!I52</f>
        <v>45</v>
      </c>
      <c r="H5086" s="308">
        <f>'JOVENES PROTAGONISTAS'!J52</f>
        <v>7459.1626916524701</v>
      </c>
    </row>
    <row r="5087" spans="1:8" x14ac:dyDescent="0.3">
      <c r="A5087" t="s">
        <v>632</v>
      </c>
      <c r="B5087" t="s">
        <v>713</v>
      </c>
      <c r="C5087" t="s">
        <v>469</v>
      </c>
      <c r="D5087" t="s">
        <v>693</v>
      </c>
      <c r="E5087" t="s">
        <v>769</v>
      </c>
      <c r="F5087">
        <v>4</v>
      </c>
      <c r="G5087" s="308">
        <f>'JOVENES PROTAGONISTAS'!K52</f>
        <v>13</v>
      </c>
      <c r="H5087" s="308">
        <f>'JOVENES PROTAGONISTAS'!L52</f>
        <v>0</v>
      </c>
    </row>
    <row r="5088" spans="1:8" x14ac:dyDescent="0.3">
      <c r="A5088" t="s">
        <v>632</v>
      </c>
      <c r="B5088" t="s">
        <v>713</v>
      </c>
      <c r="C5088" t="s">
        <v>469</v>
      </c>
      <c r="D5088" t="s">
        <v>693</v>
      </c>
      <c r="E5088" t="s">
        <v>770</v>
      </c>
      <c r="F5088">
        <v>5</v>
      </c>
      <c r="G5088" s="308">
        <f>'JOVENES PROTAGONISTAS'!M52</f>
        <v>14</v>
      </c>
      <c r="H5088" s="308">
        <f>'JOVENES PROTAGONISTAS'!N52</f>
        <v>14118.960652051715</v>
      </c>
    </row>
    <row r="5089" spans="1:8" x14ac:dyDescent="0.3">
      <c r="A5089" t="s">
        <v>632</v>
      </c>
      <c r="B5089" t="s">
        <v>713</v>
      </c>
      <c r="C5089" t="s">
        <v>469</v>
      </c>
      <c r="D5089" t="s">
        <v>693</v>
      </c>
      <c r="E5089" t="s">
        <v>771</v>
      </c>
      <c r="F5089">
        <v>6</v>
      </c>
      <c r="G5089" s="308">
        <f>'JOVENES PROTAGONISTAS'!O52</f>
        <v>3</v>
      </c>
      <c r="H5089" s="308">
        <f>'JOVENES PROTAGONISTAS'!P52</f>
        <v>689.86481451612894</v>
      </c>
    </row>
    <row r="5090" spans="1:8" x14ac:dyDescent="0.3">
      <c r="A5090" t="s">
        <v>632</v>
      </c>
      <c r="B5090" t="s">
        <v>713</v>
      </c>
      <c r="C5090" t="s">
        <v>469</v>
      </c>
      <c r="D5090" t="s">
        <v>693</v>
      </c>
      <c r="E5090" t="s">
        <v>772</v>
      </c>
      <c r="F5090">
        <v>7</v>
      </c>
      <c r="G5090" s="308">
        <f>'JOVENES PROTAGONISTAS'!Q52</f>
        <v>13</v>
      </c>
      <c r="H5090" s="308">
        <f>'JOVENES PROTAGONISTAS'!R52</f>
        <v>10275.544331496223</v>
      </c>
    </row>
    <row r="5091" spans="1:8" x14ac:dyDescent="0.3">
      <c r="A5091" t="s">
        <v>632</v>
      </c>
      <c r="B5091" t="s">
        <v>470</v>
      </c>
      <c r="C5091" t="s">
        <v>470</v>
      </c>
      <c r="D5091" t="s">
        <v>693</v>
      </c>
      <c r="E5091" t="s">
        <v>766</v>
      </c>
      <c r="F5091">
        <v>1</v>
      </c>
      <c r="G5091" s="308">
        <f>'JOVENES PROTAGONISTAS'!E53</f>
        <v>0</v>
      </c>
      <c r="H5091" s="308">
        <f>'JOVENES PROTAGONISTAS'!F53</f>
        <v>0</v>
      </c>
    </row>
    <row r="5092" spans="1:8" x14ac:dyDescent="0.3">
      <c r="A5092" t="s">
        <v>632</v>
      </c>
      <c r="B5092" t="s">
        <v>470</v>
      </c>
      <c r="C5092" t="s">
        <v>470</v>
      </c>
      <c r="D5092" t="s">
        <v>693</v>
      </c>
      <c r="E5092" t="s">
        <v>767</v>
      </c>
      <c r="F5092">
        <v>2</v>
      </c>
      <c r="G5092" s="308">
        <f>'JOVENES PROTAGONISTAS'!G53</f>
        <v>50</v>
      </c>
      <c r="H5092" s="308">
        <f>'JOVENES PROTAGONISTAS'!H53</f>
        <v>5024.6014336213666</v>
      </c>
    </row>
    <row r="5093" spans="1:8" x14ac:dyDescent="0.3">
      <c r="A5093" t="s">
        <v>632</v>
      </c>
      <c r="B5093" t="s">
        <v>470</v>
      </c>
      <c r="C5093" t="s">
        <v>470</v>
      </c>
      <c r="D5093" t="s">
        <v>693</v>
      </c>
      <c r="E5093" t="s">
        <v>768</v>
      </c>
      <c r="F5093">
        <v>3</v>
      </c>
      <c r="G5093" s="308">
        <f>'JOVENES PROTAGONISTAS'!I53</f>
        <v>18</v>
      </c>
      <c r="H5093" s="308">
        <f>'JOVENES PROTAGONISTAS'!J53</f>
        <v>2983.6650766609882</v>
      </c>
    </row>
    <row r="5094" spans="1:8" x14ac:dyDescent="0.3">
      <c r="A5094" t="s">
        <v>632</v>
      </c>
      <c r="B5094" t="s">
        <v>470</v>
      </c>
      <c r="C5094" t="s">
        <v>470</v>
      </c>
      <c r="D5094" t="s">
        <v>693</v>
      </c>
      <c r="E5094" t="s">
        <v>769</v>
      </c>
      <c r="F5094">
        <v>4</v>
      </c>
      <c r="G5094" s="308">
        <f>'JOVENES PROTAGONISTAS'!K53</f>
        <v>0</v>
      </c>
      <c r="H5094" s="308">
        <f>'JOVENES PROTAGONISTAS'!L53</f>
        <v>859.69328181349817</v>
      </c>
    </row>
    <row r="5095" spans="1:8" x14ac:dyDescent="0.3">
      <c r="A5095" t="s">
        <v>632</v>
      </c>
      <c r="B5095" t="s">
        <v>470</v>
      </c>
      <c r="C5095" t="s">
        <v>470</v>
      </c>
      <c r="D5095" t="s">
        <v>693</v>
      </c>
      <c r="E5095" t="s">
        <v>770</v>
      </c>
      <c r="F5095">
        <v>5</v>
      </c>
      <c r="G5095" s="308">
        <f>'JOVENES PROTAGONISTAS'!M53</f>
        <v>0</v>
      </c>
      <c r="H5095" s="308">
        <f>'JOVENES PROTAGONISTAS'!N53</f>
        <v>0</v>
      </c>
    </row>
    <row r="5096" spans="1:8" x14ac:dyDescent="0.3">
      <c r="A5096" t="s">
        <v>632</v>
      </c>
      <c r="B5096" t="s">
        <v>470</v>
      </c>
      <c r="C5096" t="s">
        <v>470</v>
      </c>
      <c r="D5096" t="s">
        <v>693</v>
      </c>
      <c r="E5096" t="s">
        <v>771</v>
      </c>
      <c r="F5096">
        <v>6</v>
      </c>
      <c r="G5096" s="308">
        <f>'JOVENES PROTAGONISTAS'!O53</f>
        <v>12</v>
      </c>
      <c r="H5096" s="308">
        <f>'JOVENES PROTAGONISTAS'!P53</f>
        <v>2759.4592580645158</v>
      </c>
    </row>
    <row r="5097" spans="1:8" x14ac:dyDescent="0.3">
      <c r="A5097" t="s">
        <v>632</v>
      </c>
      <c r="B5097" t="s">
        <v>470</v>
      </c>
      <c r="C5097" t="s">
        <v>470</v>
      </c>
      <c r="D5097" t="s">
        <v>693</v>
      </c>
      <c r="E5097" t="s">
        <v>772</v>
      </c>
      <c r="F5097">
        <v>7</v>
      </c>
      <c r="G5097" s="308">
        <f>'JOVENES PROTAGONISTAS'!Q53</f>
        <v>25</v>
      </c>
      <c r="H5097" s="308">
        <f>'JOVENES PROTAGONISTAS'!R53</f>
        <v>19760.662175954276</v>
      </c>
    </row>
    <row r="5098" spans="1:8" x14ac:dyDescent="0.3">
      <c r="A5098" t="s">
        <v>632</v>
      </c>
      <c r="B5098" t="s">
        <v>470</v>
      </c>
      <c r="C5098" t="s">
        <v>471</v>
      </c>
      <c r="D5098" t="s">
        <v>693</v>
      </c>
      <c r="E5098" t="s">
        <v>766</v>
      </c>
      <c r="F5098">
        <v>1</v>
      </c>
      <c r="G5098" s="308">
        <f>'JOVENES PROTAGONISTAS'!E54</f>
        <v>0</v>
      </c>
      <c r="H5098" s="308">
        <f>'JOVENES PROTAGONISTAS'!F54</f>
        <v>0</v>
      </c>
    </row>
    <row r="5099" spans="1:8" x14ac:dyDescent="0.3">
      <c r="A5099" t="s">
        <v>632</v>
      </c>
      <c r="B5099" t="s">
        <v>470</v>
      </c>
      <c r="C5099" t="s">
        <v>471</v>
      </c>
      <c r="D5099" t="s">
        <v>693</v>
      </c>
      <c r="E5099" t="s">
        <v>767</v>
      </c>
      <c r="F5099">
        <v>2</v>
      </c>
      <c r="G5099" s="308">
        <f>'JOVENES PROTAGONISTAS'!G54</f>
        <v>39</v>
      </c>
      <c r="H5099" s="308">
        <f>'JOVENES PROTAGONISTAS'!H54</f>
        <v>3919.1891182246663</v>
      </c>
    </row>
    <row r="5100" spans="1:8" x14ac:dyDescent="0.3">
      <c r="A5100" t="s">
        <v>632</v>
      </c>
      <c r="B5100" t="s">
        <v>470</v>
      </c>
      <c r="C5100" t="s">
        <v>471</v>
      </c>
      <c r="D5100" t="s">
        <v>693</v>
      </c>
      <c r="E5100" t="s">
        <v>768</v>
      </c>
      <c r="F5100">
        <v>3</v>
      </c>
      <c r="G5100" s="308">
        <f>'JOVENES PROTAGONISTAS'!I54</f>
        <v>0</v>
      </c>
      <c r="H5100" s="308">
        <f>'JOVENES PROTAGONISTAS'!J54</f>
        <v>0</v>
      </c>
    </row>
    <row r="5101" spans="1:8" x14ac:dyDescent="0.3">
      <c r="A5101" t="s">
        <v>632</v>
      </c>
      <c r="B5101" t="s">
        <v>470</v>
      </c>
      <c r="C5101" t="s">
        <v>471</v>
      </c>
      <c r="D5101" t="s">
        <v>693</v>
      </c>
      <c r="E5101" t="s">
        <v>769</v>
      </c>
      <c r="F5101">
        <v>4</v>
      </c>
      <c r="G5101" s="308">
        <f>'JOVENES PROTAGONISTAS'!K54</f>
        <v>1</v>
      </c>
      <c r="H5101" s="308">
        <f>'JOVENES PROTAGONISTAS'!L54</f>
        <v>16334.172354456465</v>
      </c>
    </row>
    <row r="5102" spans="1:8" x14ac:dyDescent="0.3">
      <c r="A5102" t="s">
        <v>632</v>
      </c>
      <c r="B5102" t="s">
        <v>470</v>
      </c>
      <c r="C5102" t="s">
        <v>471</v>
      </c>
      <c r="D5102" t="s">
        <v>693</v>
      </c>
      <c r="E5102" t="s">
        <v>770</v>
      </c>
      <c r="F5102">
        <v>5</v>
      </c>
      <c r="G5102" s="308">
        <f>'JOVENES PROTAGONISTAS'!M54</f>
        <v>0</v>
      </c>
      <c r="H5102" s="308">
        <f>'JOVENES PROTAGONISTAS'!N54</f>
        <v>0</v>
      </c>
    </row>
    <row r="5103" spans="1:8" x14ac:dyDescent="0.3">
      <c r="A5103" t="s">
        <v>632</v>
      </c>
      <c r="B5103" t="s">
        <v>470</v>
      </c>
      <c r="C5103" t="s">
        <v>471</v>
      </c>
      <c r="D5103" t="s">
        <v>693</v>
      </c>
      <c r="E5103" t="s">
        <v>771</v>
      </c>
      <c r="F5103">
        <v>6</v>
      </c>
      <c r="G5103" s="308">
        <f>'JOVENES PROTAGONISTAS'!O54</f>
        <v>10</v>
      </c>
      <c r="H5103" s="308">
        <f>'JOVENES PROTAGONISTAS'!P54</f>
        <v>2299.5493817204301</v>
      </c>
    </row>
    <row r="5104" spans="1:8" x14ac:dyDescent="0.3">
      <c r="A5104" t="s">
        <v>632</v>
      </c>
      <c r="B5104" t="s">
        <v>470</v>
      </c>
      <c r="C5104" t="s">
        <v>471</v>
      </c>
      <c r="D5104" t="s">
        <v>693</v>
      </c>
      <c r="E5104" t="s">
        <v>772</v>
      </c>
      <c r="F5104">
        <v>7</v>
      </c>
      <c r="G5104" s="308">
        <f>'JOVENES PROTAGONISTAS'!Q54</f>
        <v>16</v>
      </c>
      <c r="H5104" s="308">
        <f>'JOVENES PROTAGONISTAS'!R54</f>
        <v>12646.823792610736</v>
      </c>
    </row>
    <row r="5105" spans="1:8" x14ac:dyDescent="0.3">
      <c r="A5105" t="s">
        <v>632</v>
      </c>
      <c r="B5105" t="s">
        <v>470</v>
      </c>
      <c r="C5105" t="s">
        <v>715</v>
      </c>
      <c r="D5105" t="s">
        <v>693</v>
      </c>
      <c r="E5105" t="s">
        <v>766</v>
      </c>
      <c r="F5105">
        <v>1</v>
      </c>
      <c r="G5105" s="308">
        <f>'JOVENES PROTAGONISTAS'!E55</f>
        <v>0</v>
      </c>
      <c r="H5105" s="308">
        <f>'JOVENES PROTAGONISTAS'!F55</f>
        <v>0</v>
      </c>
    </row>
    <row r="5106" spans="1:8" x14ac:dyDescent="0.3">
      <c r="A5106" t="s">
        <v>632</v>
      </c>
      <c r="B5106" t="s">
        <v>470</v>
      </c>
      <c r="C5106" t="s">
        <v>715</v>
      </c>
      <c r="D5106" t="s">
        <v>693</v>
      </c>
      <c r="E5106" t="s">
        <v>767</v>
      </c>
      <c r="F5106">
        <v>2</v>
      </c>
      <c r="G5106" s="308">
        <f>'JOVENES PROTAGONISTAS'!G55</f>
        <v>57</v>
      </c>
      <c r="H5106" s="308">
        <f>'JOVENES PROTAGONISTAS'!H55</f>
        <v>5728.0456343283586</v>
      </c>
    </row>
    <row r="5107" spans="1:8" x14ac:dyDescent="0.3">
      <c r="A5107" t="s">
        <v>632</v>
      </c>
      <c r="B5107" t="s">
        <v>470</v>
      </c>
      <c r="C5107" t="s">
        <v>715</v>
      </c>
      <c r="D5107" t="s">
        <v>693</v>
      </c>
      <c r="E5107" t="s">
        <v>768</v>
      </c>
      <c r="F5107">
        <v>3</v>
      </c>
      <c r="G5107" s="308">
        <f>'JOVENES PROTAGONISTAS'!I55</f>
        <v>113</v>
      </c>
      <c r="H5107" s="308">
        <f>'JOVENES PROTAGONISTAS'!J55</f>
        <v>18730.786314593981</v>
      </c>
    </row>
    <row r="5108" spans="1:8" x14ac:dyDescent="0.3">
      <c r="A5108" t="s">
        <v>632</v>
      </c>
      <c r="B5108" t="s">
        <v>470</v>
      </c>
      <c r="C5108" t="s">
        <v>715</v>
      </c>
      <c r="D5108" t="s">
        <v>693</v>
      </c>
      <c r="E5108" t="s">
        <v>769</v>
      </c>
      <c r="F5108">
        <v>4</v>
      </c>
      <c r="G5108" s="308">
        <f>'JOVENES PROTAGONISTAS'!K55</f>
        <v>19</v>
      </c>
      <c r="H5108" s="308">
        <f>'JOVENES PROTAGONISTAS'!L55</f>
        <v>0</v>
      </c>
    </row>
    <row r="5109" spans="1:8" x14ac:dyDescent="0.3">
      <c r="A5109" t="s">
        <v>632</v>
      </c>
      <c r="B5109" t="s">
        <v>470</v>
      </c>
      <c r="C5109" t="s">
        <v>715</v>
      </c>
      <c r="D5109" t="s">
        <v>693</v>
      </c>
      <c r="E5109" t="s">
        <v>770</v>
      </c>
      <c r="F5109">
        <v>5</v>
      </c>
      <c r="G5109" s="308">
        <f>'JOVENES PROTAGONISTAS'!M55</f>
        <v>18</v>
      </c>
      <c r="H5109" s="308">
        <f>'JOVENES PROTAGONISTAS'!N55</f>
        <v>18152.949409780776</v>
      </c>
    </row>
    <row r="5110" spans="1:8" x14ac:dyDescent="0.3">
      <c r="A5110" t="s">
        <v>632</v>
      </c>
      <c r="B5110" t="s">
        <v>470</v>
      </c>
      <c r="C5110" t="s">
        <v>715</v>
      </c>
      <c r="D5110" t="s">
        <v>693</v>
      </c>
      <c r="E5110" t="s">
        <v>771</v>
      </c>
      <c r="F5110">
        <v>6</v>
      </c>
      <c r="G5110" s="308">
        <f>'JOVENES PROTAGONISTAS'!O55</f>
        <v>16</v>
      </c>
      <c r="H5110" s="308">
        <f>'JOVENES PROTAGONISTAS'!P55</f>
        <v>3679.279010752688</v>
      </c>
    </row>
    <row r="5111" spans="1:8" x14ac:dyDescent="0.3">
      <c r="A5111" t="s">
        <v>632</v>
      </c>
      <c r="B5111" t="s">
        <v>470</v>
      </c>
      <c r="C5111" t="s">
        <v>715</v>
      </c>
      <c r="D5111" t="s">
        <v>693</v>
      </c>
      <c r="E5111" t="s">
        <v>772</v>
      </c>
      <c r="F5111">
        <v>7</v>
      </c>
      <c r="G5111" s="308">
        <f>'JOVENES PROTAGONISTAS'!Q55</f>
        <v>11</v>
      </c>
      <c r="H5111" s="308">
        <f>'JOVENES PROTAGONISTAS'!R55</f>
        <v>8694.6913574198807</v>
      </c>
    </row>
    <row r="5112" spans="1:8" x14ac:dyDescent="0.3">
      <c r="A5112" t="s">
        <v>632</v>
      </c>
      <c r="B5112" t="s">
        <v>470</v>
      </c>
      <c r="C5112" t="s">
        <v>716</v>
      </c>
      <c r="D5112" t="s">
        <v>693</v>
      </c>
      <c r="E5112" t="s">
        <v>766</v>
      </c>
      <c r="F5112">
        <v>1</v>
      </c>
      <c r="G5112" s="308">
        <f>'JOVENES PROTAGONISTAS'!E56</f>
        <v>0</v>
      </c>
      <c r="H5112" s="308">
        <f>'JOVENES PROTAGONISTAS'!F56</f>
        <v>0</v>
      </c>
    </row>
    <row r="5113" spans="1:8" x14ac:dyDescent="0.3">
      <c r="A5113" t="s">
        <v>632</v>
      </c>
      <c r="B5113" t="s">
        <v>470</v>
      </c>
      <c r="C5113" t="s">
        <v>716</v>
      </c>
      <c r="D5113" t="s">
        <v>693</v>
      </c>
      <c r="E5113" t="s">
        <v>767</v>
      </c>
      <c r="F5113">
        <v>2</v>
      </c>
      <c r="G5113" s="308">
        <f>'JOVENES PROTAGONISTAS'!G56</f>
        <v>0</v>
      </c>
      <c r="H5113" s="308">
        <f>'JOVENES PROTAGONISTAS'!H56</f>
        <v>0</v>
      </c>
    </row>
    <row r="5114" spans="1:8" x14ac:dyDescent="0.3">
      <c r="A5114" t="s">
        <v>632</v>
      </c>
      <c r="B5114" t="s">
        <v>470</v>
      </c>
      <c r="C5114" t="s">
        <v>716</v>
      </c>
      <c r="D5114" t="s">
        <v>693</v>
      </c>
      <c r="E5114" t="s">
        <v>768</v>
      </c>
      <c r="F5114">
        <v>3</v>
      </c>
      <c r="G5114" s="308">
        <f>'JOVENES PROTAGONISTAS'!I56</f>
        <v>0</v>
      </c>
      <c r="H5114" s="308">
        <f>'JOVENES PROTAGONISTAS'!J56</f>
        <v>0</v>
      </c>
    </row>
    <row r="5115" spans="1:8" x14ac:dyDescent="0.3">
      <c r="A5115" t="s">
        <v>632</v>
      </c>
      <c r="B5115" t="s">
        <v>470</v>
      </c>
      <c r="C5115" t="s">
        <v>716</v>
      </c>
      <c r="D5115" t="s">
        <v>693</v>
      </c>
      <c r="E5115" t="s">
        <v>769</v>
      </c>
      <c r="F5115">
        <v>4</v>
      </c>
      <c r="G5115" s="308">
        <f>'JOVENES PROTAGONISTAS'!K56</f>
        <v>0</v>
      </c>
      <c r="H5115" s="308">
        <f>'JOVENES PROTAGONISTAS'!L56</f>
        <v>0</v>
      </c>
    </row>
    <row r="5116" spans="1:8" x14ac:dyDescent="0.3">
      <c r="A5116" t="s">
        <v>632</v>
      </c>
      <c r="B5116" t="s">
        <v>470</v>
      </c>
      <c r="C5116" t="s">
        <v>716</v>
      </c>
      <c r="D5116" t="s">
        <v>693</v>
      </c>
      <c r="E5116" t="s">
        <v>770</v>
      </c>
      <c r="F5116">
        <v>5</v>
      </c>
      <c r="G5116" s="308">
        <f>'JOVENES PROTAGONISTAS'!M56</f>
        <v>0</v>
      </c>
      <c r="H5116" s="308">
        <f>'JOVENES PROTAGONISTAS'!N56</f>
        <v>0</v>
      </c>
    </row>
    <row r="5117" spans="1:8" x14ac:dyDescent="0.3">
      <c r="A5117" t="s">
        <v>632</v>
      </c>
      <c r="B5117" t="s">
        <v>470</v>
      </c>
      <c r="C5117" t="s">
        <v>716</v>
      </c>
      <c r="D5117" t="s">
        <v>693</v>
      </c>
      <c r="E5117" t="s">
        <v>771</v>
      </c>
      <c r="F5117">
        <v>6</v>
      </c>
      <c r="G5117" s="308">
        <f>'JOVENES PROTAGONISTAS'!O56</f>
        <v>0</v>
      </c>
      <c r="H5117" s="308">
        <f>'JOVENES PROTAGONISTAS'!P56</f>
        <v>0</v>
      </c>
    </row>
    <row r="5118" spans="1:8" x14ac:dyDescent="0.3">
      <c r="A5118" t="s">
        <v>632</v>
      </c>
      <c r="B5118" t="s">
        <v>470</v>
      </c>
      <c r="C5118" t="s">
        <v>716</v>
      </c>
      <c r="D5118" t="s">
        <v>693</v>
      </c>
      <c r="E5118" t="s">
        <v>772</v>
      </c>
      <c r="F5118">
        <v>7</v>
      </c>
      <c r="G5118" s="308">
        <f>'JOVENES PROTAGONISTAS'!Q56</f>
        <v>12</v>
      </c>
      <c r="H5118" s="308">
        <f>'JOVENES PROTAGONISTAS'!R56</f>
        <v>9485.117844458051</v>
      </c>
    </row>
    <row r="5119" spans="1:8" x14ac:dyDescent="0.3">
      <c r="A5119" t="s">
        <v>632</v>
      </c>
      <c r="B5119" t="s">
        <v>470</v>
      </c>
      <c r="C5119" t="s">
        <v>474</v>
      </c>
      <c r="D5119" t="s">
        <v>693</v>
      </c>
      <c r="E5119" t="s">
        <v>766</v>
      </c>
      <c r="F5119">
        <v>1</v>
      </c>
      <c r="G5119" s="308">
        <f>'JOVENES PROTAGONISTAS'!E57</f>
        <v>0</v>
      </c>
      <c r="H5119" s="308">
        <f>'JOVENES PROTAGONISTAS'!F57</f>
        <v>0</v>
      </c>
    </row>
    <row r="5120" spans="1:8" x14ac:dyDescent="0.3">
      <c r="A5120" t="s">
        <v>632</v>
      </c>
      <c r="B5120" t="s">
        <v>470</v>
      </c>
      <c r="C5120" t="s">
        <v>474</v>
      </c>
      <c r="D5120" t="s">
        <v>693</v>
      </c>
      <c r="E5120" t="s">
        <v>767</v>
      </c>
      <c r="F5120">
        <v>2</v>
      </c>
      <c r="G5120" s="308">
        <f>'JOVENES PROTAGONISTAS'!G57</f>
        <v>0</v>
      </c>
      <c r="H5120" s="308">
        <f>'JOVENES PROTAGONISTAS'!H57</f>
        <v>0</v>
      </c>
    </row>
    <row r="5121" spans="1:8" x14ac:dyDescent="0.3">
      <c r="A5121" t="s">
        <v>632</v>
      </c>
      <c r="B5121" t="s">
        <v>470</v>
      </c>
      <c r="C5121" t="s">
        <v>474</v>
      </c>
      <c r="D5121" t="s">
        <v>693</v>
      </c>
      <c r="E5121" t="s">
        <v>768</v>
      </c>
      <c r="F5121">
        <v>3</v>
      </c>
      <c r="G5121" s="308">
        <f>'JOVENES PROTAGONISTAS'!I57</f>
        <v>0</v>
      </c>
      <c r="H5121" s="308">
        <f>'JOVENES PROTAGONISTAS'!J57</f>
        <v>0</v>
      </c>
    </row>
    <row r="5122" spans="1:8" x14ac:dyDescent="0.3">
      <c r="A5122" t="s">
        <v>632</v>
      </c>
      <c r="B5122" t="s">
        <v>470</v>
      </c>
      <c r="C5122" t="s">
        <v>474</v>
      </c>
      <c r="D5122" t="s">
        <v>693</v>
      </c>
      <c r="E5122" t="s">
        <v>769</v>
      </c>
      <c r="F5122">
        <v>4</v>
      </c>
      <c r="G5122" s="308">
        <f>'JOVENES PROTAGONISTAS'!K57</f>
        <v>0</v>
      </c>
      <c r="H5122" s="308">
        <f>'JOVENES PROTAGONISTAS'!L57</f>
        <v>0</v>
      </c>
    </row>
    <row r="5123" spans="1:8" x14ac:dyDescent="0.3">
      <c r="A5123" t="s">
        <v>632</v>
      </c>
      <c r="B5123" t="s">
        <v>470</v>
      </c>
      <c r="C5123" t="s">
        <v>474</v>
      </c>
      <c r="D5123" t="s">
        <v>693</v>
      </c>
      <c r="E5123" t="s">
        <v>770</v>
      </c>
      <c r="F5123">
        <v>5</v>
      </c>
      <c r="G5123" s="308">
        <f>'JOVENES PROTAGONISTAS'!M57</f>
        <v>0</v>
      </c>
      <c r="H5123" s="308">
        <f>'JOVENES PROTAGONISTAS'!N57</f>
        <v>0</v>
      </c>
    </row>
    <row r="5124" spans="1:8" x14ac:dyDescent="0.3">
      <c r="A5124" t="s">
        <v>632</v>
      </c>
      <c r="B5124" t="s">
        <v>470</v>
      </c>
      <c r="C5124" t="s">
        <v>474</v>
      </c>
      <c r="D5124" t="s">
        <v>693</v>
      </c>
      <c r="E5124" t="s">
        <v>771</v>
      </c>
      <c r="F5124">
        <v>6</v>
      </c>
      <c r="G5124" s="308">
        <f>'JOVENES PROTAGONISTAS'!O57</f>
        <v>0</v>
      </c>
      <c r="H5124" s="308">
        <f>'JOVENES PROTAGONISTAS'!P57</f>
        <v>0</v>
      </c>
    </row>
    <row r="5125" spans="1:8" x14ac:dyDescent="0.3">
      <c r="A5125" t="s">
        <v>632</v>
      </c>
      <c r="B5125" t="s">
        <v>470</v>
      </c>
      <c r="C5125" t="s">
        <v>474</v>
      </c>
      <c r="D5125" t="s">
        <v>693</v>
      </c>
      <c r="E5125" t="s">
        <v>772</v>
      </c>
      <c r="F5125">
        <v>7</v>
      </c>
      <c r="G5125" s="308">
        <f>'JOVENES PROTAGONISTAS'!Q57</f>
        <v>13</v>
      </c>
      <c r="H5125" s="308">
        <f>'JOVENES PROTAGONISTAS'!R57</f>
        <v>10275.544331496223</v>
      </c>
    </row>
    <row r="5126" spans="1:8" x14ac:dyDescent="0.3">
      <c r="A5126" t="s">
        <v>632</v>
      </c>
      <c r="B5126" t="s">
        <v>470</v>
      </c>
      <c r="C5126" t="s">
        <v>475</v>
      </c>
      <c r="D5126" t="s">
        <v>693</v>
      </c>
      <c r="E5126" t="s">
        <v>766</v>
      </c>
      <c r="F5126">
        <v>1</v>
      </c>
      <c r="G5126" s="308">
        <f>'JOVENES PROTAGONISTAS'!E58</f>
        <v>0</v>
      </c>
      <c r="H5126" s="308">
        <f>'JOVENES PROTAGONISTAS'!F58</f>
        <v>0</v>
      </c>
    </row>
    <row r="5127" spans="1:8" x14ac:dyDescent="0.3">
      <c r="A5127" t="s">
        <v>632</v>
      </c>
      <c r="B5127" t="s">
        <v>470</v>
      </c>
      <c r="C5127" t="s">
        <v>475</v>
      </c>
      <c r="D5127" t="s">
        <v>693</v>
      </c>
      <c r="E5127" t="s">
        <v>767</v>
      </c>
      <c r="F5127">
        <v>2</v>
      </c>
      <c r="G5127" s="308">
        <f>'JOVENES PROTAGONISTAS'!G58</f>
        <v>0</v>
      </c>
      <c r="H5127" s="308">
        <f>'JOVENES PROTAGONISTAS'!H58</f>
        <v>0</v>
      </c>
    </row>
    <row r="5128" spans="1:8" x14ac:dyDescent="0.3">
      <c r="A5128" t="s">
        <v>632</v>
      </c>
      <c r="B5128" t="s">
        <v>470</v>
      </c>
      <c r="C5128" t="s">
        <v>475</v>
      </c>
      <c r="D5128" t="s">
        <v>693</v>
      </c>
      <c r="E5128" t="s">
        <v>768</v>
      </c>
      <c r="F5128">
        <v>3</v>
      </c>
      <c r="G5128" s="308">
        <f>'JOVENES PROTAGONISTAS'!I58</f>
        <v>0</v>
      </c>
      <c r="H5128" s="308">
        <f>'JOVENES PROTAGONISTAS'!J58</f>
        <v>0</v>
      </c>
    </row>
    <row r="5129" spans="1:8" x14ac:dyDescent="0.3">
      <c r="A5129" t="s">
        <v>632</v>
      </c>
      <c r="B5129" t="s">
        <v>470</v>
      </c>
      <c r="C5129" t="s">
        <v>475</v>
      </c>
      <c r="D5129" t="s">
        <v>693</v>
      </c>
      <c r="E5129" t="s">
        <v>769</v>
      </c>
      <c r="F5129">
        <v>4</v>
      </c>
      <c r="G5129" s="308">
        <f>'JOVENES PROTAGONISTAS'!K58</f>
        <v>0</v>
      </c>
      <c r="H5129" s="308">
        <f>'JOVENES PROTAGONISTAS'!L58</f>
        <v>0</v>
      </c>
    </row>
    <row r="5130" spans="1:8" x14ac:dyDescent="0.3">
      <c r="A5130" t="s">
        <v>632</v>
      </c>
      <c r="B5130" t="s">
        <v>470</v>
      </c>
      <c r="C5130" t="s">
        <v>475</v>
      </c>
      <c r="D5130" t="s">
        <v>693</v>
      </c>
      <c r="E5130" t="s">
        <v>770</v>
      </c>
      <c r="F5130">
        <v>5</v>
      </c>
      <c r="G5130" s="308">
        <f>'JOVENES PROTAGONISTAS'!M58</f>
        <v>0</v>
      </c>
      <c r="H5130" s="308">
        <f>'JOVENES PROTAGONISTAS'!N58</f>
        <v>0</v>
      </c>
    </row>
    <row r="5131" spans="1:8" x14ac:dyDescent="0.3">
      <c r="A5131" t="s">
        <v>632</v>
      </c>
      <c r="B5131" t="s">
        <v>470</v>
      </c>
      <c r="C5131" t="s">
        <v>475</v>
      </c>
      <c r="D5131" t="s">
        <v>693</v>
      </c>
      <c r="E5131" t="s">
        <v>771</v>
      </c>
      <c r="F5131">
        <v>6</v>
      </c>
      <c r="G5131" s="308">
        <f>'JOVENES PROTAGONISTAS'!O58</f>
        <v>0</v>
      </c>
      <c r="H5131" s="308">
        <f>'JOVENES PROTAGONISTAS'!P58</f>
        <v>0</v>
      </c>
    </row>
    <row r="5132" spans="1:8" x14ac:dyDescent="0.3">
      <c r="A5132" t="s">
        <v>632</v>
      </c>
      <c r="B5132" t="s">
        <v>470</v>
      </c>
      <c r="C5132" t="s">
        <v>475</v>
      </c>
      <c r="D5132" t="s">
        <v>693</v>
      </c>
      <c r="E5132" t="s">
        <v>772</v>
      </c>
      <c r="F5132">
        <v>7</v>
      </c>
      <c r="G5132" s="308">
        <f>'JOVENES PROTAGONISTAS'!Q58</f>
        <v>0</v>
      </c>
      <c r="H5132" s="308">
        <f>'JOVENES PROTAGONISTAS'!R58</f>
        <v>0</v>
      </c>
    </row>
    <row r="5133" spans="1:8" x14ac:dyDescent="0.3">
      <c r="A5133" t="s">
        <v>632</v>
      </c>
      <c r="B5133" t="s">
        <v>476</v>
      </c>
      <c r="C5133" t="s">
        <v>476</v>
      </c>
      <c r="D5133" t="s">
        <v>693</v>
      </c>
      <c r="E5133" t="s">
        <v>766</v>
      </c>
      <c r="F5133">
        <v>1</v>
      </c>
      <c r="G5133" s="308">
        <f>'JOVENES PROTAGONISTAS'!E59</f>
        <v>0</v>
      </c>
      <c r="H5133" s="308">
        <f>'JOVENES PROTAGONISTAS'!F59</f>
        <v>0</v>
      </c>
    </row>
    <row r="5134" spans="1:8" x14ac:dyDescent="0.3">
      <c r="A5134" t="s">
        <v>632</v>
      </c>
      <c r="B5134" t="s">
        <v>476</v>
      </c>
      <c r="C5134" t="s">
        <v>476</v>
      </c>
      <c r="D5134" t="s">
        <v>693</v>
      </c>
      <c r="E5134" t="s">
        <v>767</v>
      </c>
      <c r="F5134">
        <v>2</v>
      </c>
      <c r="G5134" s="308">
        <f>'JOVENES PROTAGONISTAS'!G59</f>
        <v>55</v>
      </c>
      <c r="H5134" s="308">
        <f>'JOVENES PROTAGONISTAS'!H59</f>
        <v>5527.061576983504</v>
      </c>
    </row>
    <row r="5135" spans="1:8" x14ac:dyDescent="0.3">
      <c r="A5135" t="s">
        <v>632</v>
      </c>
      <c r="B5135" t="s">
        <v>476</v>
      </c>
      <c r="C5135" t="s">
        <v>476</v>
      </c>
      <c r="D5135" t="s">
        <v>693</v>
      </c>
      <c r="E5135" t="s">
        <v>768</v>
      </c>
      <c r="F5135">
        <v>3</v>
      </c>
      <c r="G5135" s="308">
        <f>'JOVENES PROTAGONISTAS'!I59</f>
        <v>30</v>
      </c>
      <c r="H5135" s="308">
        <f>'JOVENES PROTAGONISTAS'!J59</f>
        <v>4972.7751277683137</v>
      </c>
    </row>
    <row r="5136" spans="1:8" x14ac:dyDescent="0.3">
      <c r="A5136" t="s">
        <v>632</v>
      </c>
      <c r="B5136" t="s">
        <v>476</v>
      </c>
      <c r="C5136" t="s">
        <v>476</v>
      </c>
      <c r="D5136" t="s">
        <v>693</v>
      </c>
      <c r="E5136" t="s">
        <v>769</v>
      </c>
      <c r="F5136">
        <v>4</v>
      </c>
      <c r="G5136" s="308">
        <f>'JOVENES PROTAGONISTAS'!K59</f>
        <v>18</v>
      </c>
      <c r="H5136" s="308">
        <f>'JOVENES PROTAGONISTAS'!L59</f>
        <v>15474.479072642967</v>
      </c>
    </row>
    <row r="5137" spans="1:8" x14ac:dyDescent="0.3">
      <c r="A5137" t="s">
        <v>632</v>
      </c>
      <c r="B5137" t="s">
        <v>476</v>
      </c>
      <c r="C5137" t="s">
        <v>476</v>
      </c>
      <c r="D5137" t="s">
        <v>693</v>
      </c>
      <c r="E5137" t="s">
        <v>770</v>
      </c>
      <c r="F5137">
        <v>5</v>
      </c>
      <c r="G5137" s="308">
        <f>'JOVENES PROTAGONISTAS'!M59</f>
        <v>40</v>
      </c>
      <c r="H5137" s="308">
        <f>'JOVENES PROTAGONISTAS'!N59</f>
        <v>40339.887577290618</v>
      </c>
    </row>
    <row r="5138" spans="1:8" x14ac:dyDescent="0.3">
      <c r="A5138" t="s">
        <v>632</v>
      </c>
      <c r="B5138" t="s">
        <v>476</v>
      </c>
      <c r="C5138" t="s">
        <v>476</v>
      </c>
      <c r="D5138" t="s">
        <v>693</v>
      </c>
      <c r="E5138" t="s">
        <v>771</v>
      </c>
      <c r="F5138">
        <v>6</v>
      </c>
      <c r="G5138" s="308">
        <f>'JOVENES PROTAGONISTAS'!O59</f>
        <v>132</v>
      </c>
      <c r="H5138" s="308">
        <f>'JOVENES PROTAGONISTAS'!P59</f>
        <v>30354.051838709674</v>
      </c>
    </row>
    <row r="5139" spans="1:8" x14ac:dyDescent="0.3">
      <c r="A5139" t="s">
        <v>632</v>
      </c>
      <c r="B5139" t="s">
        <v>476</v>
      </c>
      <c r="C5139" t="s">
        <v>476</v>
      </c>
      <c r="D5139" t="s">
        <v>693</v>
      </c>
      <c r="E5139" t="s">
        <v>772</v>
      </c>
      <c r="F5139">
        <v>7</v>
      </c>
      <c r="G5139" s="308">
        <f>'JOVENES PROTAGONISTAS'!Q59</f>
        <v>28</v>
      </c>
      <c r="H5139" s="308">
        <f>'JOVENES PROTAGONISTAS'!R59</f>
        <v>22131.941637068787</v>
      </c>
    </row>
    <row r="5140" spans="1:8" x14ac:dyDescent="0.3">
      <c r="A5140" t="s">
        <v>632</v>
      </c>
      <c r="B5140" t="s">
        <v>476</v>
      </c>
      <c r="C5140" t="s">
        <v>477</v>
      </c>
      <c r="D5140" t="s">
        <v>693</v>
      </c>
      <c r="E5140" t="s">
        <v>766</v>
      </c>
      <c r="F5140">
        <v>1</v>
      </c>
      <c r="G5140" s="308">
        <f>'JOVENES PROTAGONISTAS'!E60</f>
        <v>0</v>
      </c>
      <c r="H5140" s="308">
        <f>'JOVENES PROTAGONISTAS'!F60</f>
        <v>0</v>
      </c>
    </row>
    <row r="5141" spans="1:8" x14ac:dyDescent="0.3">
      <c r="A5141" t="s">
        <v>632</v>
      </c>
      <c r="B5141" t="s">
        <v>476</v>
      </c>
      <c r="C5141" t="s">
        <v>477</v>
      </c>
      <c r="D5141" t="s">
        <v>693</v>
      </c>
      <c r="E5141" t="s">
        <v>767</v>
      </c>
      <c r="F5141">
        <v>2</v>
      </c>
      <c r="G5141" s="308">
        <f>'JOVENES PROTAGONISTAS'!G60</f>
        <v>37</v>
      </c>
      <c r="H5141" s="308">
        <f>'JOVENES PROTAGONISTAS'!H60</f>
        <v>3718.2050608798113</v>
      </c>
    </row>
    <row r="5142" spans="1:8" x14ac:dyDescent="0.3">
      <c r="A5142" t="s">
        <v>632</v>
      </c>
      <c r="B5142" t="s">
        <v>476</v>
      </c>
      <c r="C5142" t="s">
        <v>477</v>
      </c>
      <c r="D5142" t="s">
        <v>693</v>
      </c>
      <c r="E5142" t="s">
        <v>768</v>
      </c>
      <c r="F5142">
        <v>3</v>
      </c>
      <c r="G5142" s="308">
        <f>'JOVENES PROTAGONISTAS'!I60</f>
        <v>14</v>
      </c>
      <c r="H5142" s="308">
        <f>'JOVENES PROTAGONISTAS'!J60</f>
        <v>2320.6283929585461</v>
      </c>
    </row>
    <row r="5143" spans="1:8" x14ac:dyDescent="0.3">
      <c r="A5143" t="s">
        <v>632</v>
      </c>
      <c r="B5143" t="s">
        <v>476</v>
      </c>
      <c r="C5143" t="s">
        <v>477</v>
      </c>
      <c r="D5143" t="s">
        <v>693</v>
      </c>
      <c r="E5143" t="s">
        <v>769</v>
      </c>
      <c r="F5143">
        <v>4</v>
      </c>
      <c r="G5143" s="308">
        <f>'JOVENES PROTAGONISTAS'!K60</f>
        <v>5</v>
      </c>
      <c r="H5143" s="308">
        <f>'JOVENES PROTAGONISTAS'!L60</f>
        <v>4298.4664090674905</v>
      </c>
    </row>
    <row r="5144" spans="1:8" x14ac:dyDescent="0.3">
      <c r="A5144" t="s">
        <v>632</v>
      </c>
      <c r="B5144" t="s">
        <v>476</v>
      </c>
      <c r="C5144" t="s">
        <v>477</v>
      </c>
      <c r="D5144" t="s">
        <v>693</v>
      </c>
      <c r="E5144" t="s">
        <v>770</v>
      </c>
      <c r="F5144">
        <v>5</v>
      </c>
      <c r="G5144" s="308">
        <f>'JOVENES PROTAGONISTAS'!M60</f>
        <v>0</v>
      </c>
      <c r="H5144" s="308">
        <f>'JOVENES PROTAGONISTAS'!N60</f>
        <v>0</v>
      </c>
    </row>
    <row r="5145" spans="1:8" x14ac:dyDescent="0.3">
      <c r="A5145" t="s">
        <v>632</v>
      </c>
      <c r="B5145" t="s">
        <v>476</v>
      </c>
      <c r="C5145" t="s">
        <v>477</v>
      </c>
      <c r="D5145" t="s">
        <v>693</v>
      </c>
      <c r="E5145" t="s">
        <v>771</v>
      </c>
      <c r="F5145">
        <v>6</v>
      </c>
      <c r="G5145" s="308">
        <f>'JOVENES PROTAGONISTAS'!O60</f>
        <v>21</v>
      </c>
      <c r="H5145" s="308">
        <f>'JOVENES PROTAGONISTAS'!P60</f>
        <v>4829.0537016129028</v>
      </c>
    </row>
    <row r="5146" spans="1:8" x14ac:dyDescent="0.3">
      <c r="A5146" t="s">
        <v>632</v>
      </c>
      <c r="B5146" t="s">
        <v>476</v>
      </c>
      <c r="C5146" t="s">
        <v>477</v>
      </c>
      <c r="D5146" t="s">
        <v>693</v>
      </c>
      <c r="E5146" t="s">
        <v>772</v>
      </c>
      <c r="F5146">
        <v>7</v>
      </c>
      <c r="G5146" s="308">
        <f>'JOVENES PROTAGONISTAS'!Q60</f>
        <v>12</v>
      </c>
      <c r="H5146" s="308">
        <f>'JOVENES PROTAGONISTAS'!R60</f>
        <v>9485.117844458051</v>
      </c>
    </row>
    <row r="5147" spans="1:8" x14ac:dyDescent="0.3">
      <c r="A5147" t="s">
        <v>632</v>
      </c>
      <c r="B5147" t="s">
        <v>476</v>
      </c>
      <c r="C5147" t="s">
        <v>717</v>
      </c>
      <c r="D5147" t="s">
        <v>693</v>
      </c>
      <c r="E5147" t="s">
        <v>766</v>
      </c>
      <c r="F5147">
        <v>1</v>
      </c>
      <c r="G5147" s="308">
        <f>'JOVENES PROTAGONISTAS'!E61</f>
        <v>0</v>
      </c>
      <c r="H5147" s="308">
        <f>'JOVENES PROTAGONISTAS'!F61</f>
        <v>0</v>
      </c>
    </row>
    <row r="5148" spans="1:8" x14ac:dyDescent="0.3">
      <c r="A5148" t="s">
        <v>632</v>
      </c>
      <c r="B5148" t="s">
        <v>476</v>
      </c>
      <c r="C5148" t="s">
        <v>717</v>
      </c>
      <c r="D5148" t="s">
        <v>693</v>
      </c>
      <c r="E5148" t="s">
        <v>767</v>
      </c>
      <c r="F5148">
        <v>2</v>
      </c>
      <c r="G5148" s="308">
        <f>'JOVENES PROTAGONISTAS'!G61</f>
        <v>0</v>
      </c>
      <c r="H5148" s="308">
        <f>'JOVENES PROTAGONISTAS'!H61</f>
        <v>0</v>
      </c>
    </row>
    <row r="5149" spans="1:8" x14ac:dyDescent="0.3">
      <c r="A5149" t="s">
        <v>632</v>
      </c>
      <c r="B5149" t="s">
        <v>476</v>
      </c>
      <c r="C5149" t="s">
        <v>717</v>
      </c>
      <c r="D5149" t="s">
        <v>693</v>
      </c>
      <c r="E5149" t="s">
        <v>768</v>
      </c>
      <c r="F5149">
        <v>3</v>
      </c>
      <c r="G5149" s="308">
        <f>'JOVENES PROTAGONISTAS'!I61</f>
        <v>30</v>
      </c>
      <c r="H5149" s="308">
        <f>'JOVENES PROTAGONISTAS'!J61</f>
        <v>4972.7751277683137</v>
      </c>
    </row>
    <row r="5150" spans="1:8" x14ac:dyDescent="0.3">
      <c r="A5150" t="s">
        <v>632</v>
      </c>
      <c r="B5150" t="s">
        <v>476</v>
      </c>
      <c r="C5150" t="s">
        <v>717</v>
      </c>
      <c r="D5150" t="s">
        <v>693</v>
      </c>
      <c r="E5150" t="s">
        <v>769</v>
      </c>
      <c r="F5150">
        <v>4</v>
      </c>
      <c r="G5150" s="308">
        <f>'JOVENES PROTAGONISTAS'!K61</f>
        <v>9</v>
      </c>
      <c r="H5150" s="308">
        <f>'JOVENES PROTAGONISTAS'!L61</f>
        <v>7737.2395363214837</v>
      </c>
    </row>
    <row r="5151" spans="1:8" x14ac:dyDescent="0.3">
      <c r="A5151" t="s">
        <v>632</v>
      </c>
      <c r="B5151" t="s">
        <v>476</v>
      </c>
      <c r="C5151" t="s">
        <v>717</v>
      </c>
      <c r="D5151" t="s">
        <v>693</v>
      </c>
      <c r="E5151" t="s">
        <v>770</v>
      </c>
      <c r="F5151">
        <v>5</v>
      </c>
      <c r="G5151" s="308">
        <f>'JOVENES PROTAGONISTAS'!M61</f>
        <v>21</v>
      </c>
      <c r="H5151" s="308">
        <f>'JOVENES PROTAGONISTAS'!N61</f>
        <v>21178.440978077571</v>
      </c>
    </row>
    <row r="5152" spans="1:8" x14ac:dyDescent="0.3">
      <c r="A5152" t="s">
        <v>632</v>
      </c>
      <c r="B5152" t="s">
        <v>476</v>
      </c>
      <c r="C5152" t="s">
        <v>717</v>
      </c>
      <c r="D5152" t="s">
        <v>693</v>
      </c>
      <c r="E5152" t="s">
        <v>771</v>
      </c>
      <c r="F5152">
        <v>6</v>
      </c>
      <c r="G5152" s="308">
        <f>'JOVENES PROTAGONISTAS'!O61</f>
        <v>132</v>
      </c>
      <c r="H5152" s="308">
        <f>'JOVENES PROTAGONISTAS'!P61</f>
        <v>30354.051838709674</v>
      </c>
    </row>
    <row r="5153" spans="1:8" x14ac:dyDescent="0.3">
      <c r="A5153" t="s">
        <v>632</v>
      </c>
      <c r="B5153" t="s">
        <v>476</v>
      </c>
      <c r="C5153" t="s">
        <v>717</v>
      </c>
      <c r="D5153" t="s">
        <v>693</v>
      </c>
      <c r="E5153" t="s">
        <v>772</v>
      </c>
      <c r="F5153">
        <v>7</v>
      </c>
      <c r="G5153" s="308">
        <f>'JOVENES PROTAGONISTAS'!Q61</f>
        <v>31</v>
      </c>
      <c r="H5153" s="308">
        <f>'JOVENES PROTAGONISTAS'!R61</f>
        <v>24503.221098183301</v>
      </c>
    </row>
    <row r="5154" spans="1:8" x14ac:dyDescent="0.3">
      <c r="A5154" t="s">
        <v>632</v>
      </c>
      <c r="B5154" t="s">
        <v>476</v>
      </c>
      <c r="C5154" t="s">
        <v>479</v>
      </c>
      <c r="D5154" t="s">
        <v>693</v>
      </c>
      <c r="E5154" t="s">
        <v>766</v>
      </c>
      <c r="F5154">
        <v>1</v>
      </c>
      <c r="G5154" s="308">
        <f>'JOVENES PROTAGONISTAS'!E62</f>
        <v>0</v>
      </c>
      <c r="H5154" s="308">
        <f>'JOVENES PROTAGONISTAS'!F62</f>
        <v>0</v>
      </c>
    </row>
    <row r="5155" spans="1:8" x14ac:dyDescent="0.3">
      <c r="A5155" t="s">
        <v>632</v>
      </c>
      <c r="B5155" t="s">
        <v>476</v>
      </c>
      <c r="C5155" t="s">
        <v>479</v>
      </c>
      <c r="D5155" t="s">
        <v>693</v>
      </c>
      <c r="E5155" t="s">
        <v>767</v>
      </c>
      <c r="F5155">
        <v>2</v>
      </c>
      <c r="G5155" s="308">
        <f>'JOVENES PROTAGONISTAS'!G62</f>
        <v>0</v>
      </c>
      <c r="H5155" s="308">
        <f>'JOVENES PROTAGONISTAS'!H62</f>
        <v>0</v>
      </c>
    </row>
    <row r="5156" spans="1:8" x14ac:dyDescent="0.3">
      <c r="A5156" t="s">
        <v>632</v>
      </c>
      <c r="B5156" t="s">
        <v>476</v>
      </c>
      <c r="C5156" t="s">
        <v>479</v>
      </c>
      <c r="D5156" t="s">
        <v>693</v>
      </c>
      <c r="E5156" t="s">
        <v>768</v>
      </c>
      <c r="F5156">
        <v>3</v>
      </c>
      <c r="G5156" s="308">
        <f>'JOVENES PROTAGONISTAS'!I62</f>
        <v>58</v>
      </c>
      <c r="H5156" s="308">
        <f>'JOVENES PROTAGONISTAS'!J62</f>
        <v>9614.0319136854068</v>
      </c>
    </row>
    <row r="5157" spans="1:8" x14ac:dyDescent="0.3">
      <c r="A5157" t="s">
        <v>632</v>
      </c>
      <c r="B5157" t="s">
        <v>476</v>
      </c>
      <c r="C5157" t="s">
        <v>479</v>
      </c>
      <c r="D5157" t="s">
        <v>693</v>
      </c>
      <c r="E5157" t="s">
        <v>769</v>
      </c>
      <c r="F5157">
        <v>4</v>
      </c>
      <c r="G5157" s="308">
        <f>'JOVENES PROTAGONISTAS'!K62</f>
        <v>4</v>
      </c>
      <c r="H5157" s="308">
        <f>'JOVENES PROTAGONISTAS'!L62</f>
        <v>3438.7731272539927</v>
      </c>
    </row>
    <row r="5158" spans="1:8" x14ac:dyDescent="0.3">
      <c r="A5158" t="s">
        <v>632</v>
      </c>
      <c r="B5158" t="s">
        <v>476</v>
      </c>
      <c r="C5158" t="s">
        <v>479</v>
      </c>
      <c r="D5158" t="s">
        <v>693</v>
      </c>
      <c r="E5158" t="s">
        <v>770</v>
      </c>
      <c r="F5158">
        <v>5</v>
      </c>
      <c r="G5158" s="308">
        <f>'JOVENES PROTAGONISTAS'!M62</f>
        <v>5</v>
      </c>
      <c r="H5158" s="308">
        <f>'JOVENES PROTAGONISTAS'!N62</f>
        <v>5042.4859471613272</v>
      </c>
    </row>
    <row r="5159" spans="1:8" x14ac:dyDescent="0.3">
      <c r="A5159" t="s">
        <v>632</v>
      </c>
      <c r="B5159" t="s">
        <v>476</v>
      </c>
      <c r="C5159" t="s">
        <v>479</v>
      </c>
      <c r="D5159" t="s">
        <v>693</v>
      </c>
      <c r="E5159" t="s">
        <v>771</v>
      </c>
      <c r="F5159">
        <v>6</v>
      </c>
      <c r="G5159" s="308">
        <f>'JOVENES PROTAGONISTAS'!O62</f>
        <v>1</v>
      </c>
      <c r="H5159" s="308">
        <f>'JOVENES PROTAGONISTAS'!P62</f>
        <v>229.954938172043</v>
      </c>
    </row>
    <row r="5160" spans="1:8" x14ac:dyDescent="0.3">
      <c r="A5160" t="s">
        <v>632</v>
      </c>
      <c r="B5160" t="s">
        <v>476</v>
      </c>
      <c r="C5160" t="s">
        <v>479</v>
      </c>
      <c r="D5160" t="s">
        <v>693</v>
      </c>
      <c r="E5160" t="s">
        <v>772</v>
      </c>
      <c r="F5160">
        <v>7</v>
      </c>
      <c r="G5160" s="308">
        <f>'JOVENES PROTAGONISTAS'!Q62</f>
        <v>27</v>
      </c>
      <c r="H5160" s="308">
        <f>'JOVENES PROTAGONISTAS'!R62</f>
        <v>21341.515150030616</v>
      </c>
    </row>
    <row r="5161" spans="1:8" x14ac:dyDescent="0.3">
      <c r="A5161" t="s">
        <v>632</v>
      </c>
      <c r="B5161" t="s">
        <v>476</v>
      </c>
      <c r="C5161" t="s">
        <v>718</v>
      </c>
      <c r="D5161" t="s">
        <v>693</v>
      </c>
      <c r="E5161" t="s">
        <v>766</v>
      </c>
      <c r="F5161">
        <v>1</v>
      </c>
      <c r="G5161" s="308">
        <f>'JOVENES PROTAGONISTAS'!E63</f>
        <v>0</v>
      </c>
      <c r="H5161" s="308">
        <f>'JOVENES PROTAGONISTAS'!F63</f>
        <v>0</v>
      </c>
    </row>
    <row r="5162" spans="1:8" x14ac:dyDescent="0.3">
      <c r="A5162" t="s">
        <v>632</v>
      </c>
      <c r="B5162" t="s">
        <v>476</v>
      </c>
      <c r="C5162" t="s">
        <v>718</v>
      </c>
      <c r="D5162" t="s">
        <v>693</v>
      </c>
      <c r="E5162" t="s">
        <v>767</v>
      </c>
      <c r="F5162">
        <v>2</v>
      </c>
      <c r="G5162" s="308">
        <f>'JOVENES PROTAGONISTAS'!G63</f>
        <v>0</v>
      </c>
      <c r="H5162" s="308">
        <f>'JOVENES PROTAGONISTAS'!H63</f>
        <v>0</v>
      </c>
    </row>
    <row r="5163" spans="1:8" x14ac:dyDescent="0.3">
      <c r="A5163" t="s">
        <v>632</v>
      </c>
      <c r="B5163" t="s">
        <v>476</v>
      </c>
      <c r="C5163" t="s">
        <v>718</v>
      </c>
      <c r="D5163" t="s">
        <v>693</v>
      </c>
      <c r="E5163" t="s">
        <v>768</v>
      </c>
      <c r="F5163">
        <v>3</v>
      </c>
      <c r="G5163" s="308">
        <f>'JOVENES PROTAGONISTAS'!I63</f>
        <v>31</v>
      </c>
      <c r="H5163" s="308">
        <f>'JOVENES PROTAGONISTAS'!J63</f>
        <v>5138.534298693924</v>
      </c>
    </row>
    <row r="5164" spans="1:8" x14ac:dyDescent="0.3">
      <c r="A5164" t="s">
        <v>632</v>
      </c>
      <c r="B5164" t="s">
        <v>476</v>
      </c>
      <c r="C5164" t="s">
        <v>718</v>
      </c>
      <c r="D5164" t="s">
        <v>693</v>
      </c>
      <c r="E5164" t="s">
        <v>769</v>
      </c>
      <c r="F5164">
        <v>4</v>
      </c>
      <c r="G5164" s="308">
        <f>'JOVENES PROTAGONISTAS'!K63</f>
        <v>9</v>
      </c>
      <c r="H5164" s="308">
        <f>'JOVENES PROTAGONISTAS'!L63</f>
        <v>7737.2395363214837</v>
      </c>
    </row>
    <row r="5165" spans="1:8" x14ac:dyDescent="0.3">
      <c r="A5165" t="s">
        <v>632</v>
      </c>
      <c r="B5165" t="s">
        <v>476</v>
      </c>
      <c r="C5165" t="s">
        <v>718</v>
      </c>
      <c r="D5165" t="s">
        <v>693</v>
      </c>
      <c r="E5165" t="s">
        <v>770</v>
      </c>
      <c r="F5165">
        <v>5</v>
      </c>
      <c r="G5165" s="308">
        <f>'JOVENES PROTAGONISTAS'!M63</f>
        <v>10</v>
      </c>
      <c r="H5165" s="308">
        <f>'JOVENES PROTAGONISTAS'!N63</f>
        <v>10084.971894322654</v>
      </c>
    </row>
    <row r="5166" spans="1:8" x14ac:dyDescent="0.3">
      <c r="A5166" t="s">
        <v>632</v>
      </c>
      <c r="B5166" t="s">
        <v>476</v>
      </c>
      <c r="C5166" t="s">
        <v>718</v>
      </c>
      <c r="D5166" t="s">
        <v>693</v>
      </c>
      <c r="E5166" t="s">
        <v>771</v>
      </c>
      <c r="F5166">
        <v>6</v>
      </c>
      <c r="G5166" s="308">
        <f>'JOVENES PROTAGONISTAS'!O63</f>
        <v>10</v>
      </c>
      <c r="H5166" s="308">
        <f>'JOVENES PROTAGONISTAS'!P63</f>
        <v>2299.5493817204301</v>
      </c>
    </row>
    <row r="5167" spans="1:8" x14ac:dyDescent="0.3">
      <c r="A5167" t="s">
        <v>632</v>
      </c>
      <c r="B5167" t="s">
        <v>476</v>
      </c>
      <c r="C5167" t="s">
        <v>718</v>
      </c>
      <c r="D5167" t="s">
        <v>693</v>
      </c>
      <c r="E5167" t="s">
        <v>772</v>
      </c>
      <c r="F5167">
        <v>7</v>
      </c>
      <c r="G5167" s="308">
        <f>'JOVENES PROTAGONISTAS'!Q63</f>
        <v>44</v>
      </c>
      <c r="H5167" s="308">
        <f>'JOVENES PROTAGONISTAS'!R63</f>
        <v>34778.765429679523</v>
      </c>
    </row>
    <row r="5168" spans="1:8" x14ac:dyDescent="0.3">
      <c r="A5168" t="s">
        <v>632</v>
      </c>
      <c r="B5168" t="s">
        <v>476</v>
      </c>
      <c r="C5168" t="s">
        <v>481</v>
      </c>
      <c r="D5168" t="s">
        <v>693</v>
      </c>
      <c r="E5168" t="s">
        <v>766</v>
      </c>
      <c r="F5168">
        <v>1</v>
      </c>
      <c r="G5168" s="308">
        <f>'JOVENES PROTAGONISTAS'!E64</f>
        <v>0</v>
      </c>
      <c r="H5168" s="308">
        <f>'JOVENES PROTAGONISTAS'!F64</f>
        <v>0</v>
      </c>
    </row>
    <row r="5169" spans="1:8" x14ac:dyDescent="0.3">
      <c r="A5169" t="s">
        <v>632</v>
      </c>
      <c r="B5169" t="s">
        <v>476</v>
      </c>
      <c r="C5169" t="s">
        <v>481</v>
      </c>
      <c r="D5169" t="s">
        <v>693</v>
      </c>
      <c r="E5169" t="s">
        <v>767</v>
      </c>
      <c r="F5169">
        <v>2</v>
      </c>
      <c r="G5169" s="308">
        <f>'JOVENES PROTAGONISTAS'!G64</f>
        <v>51</v>
      </c>
      <c r="H5169" s="308">
        <f>'JOVENES PROTAGONISTAS'!H64</f>
        <v>5125.0934622937939</v>
      </c>
    </row>
    <row r="5170" spans="1:8" x14ac:dyDescent="0.3">
      <c r="A5170" t="s">
        <v>632</v>
      </c>
      <c r="B5170" t="s">
        <v>476</v>
      </c>
      <c r="C5170" t="s">
        <v>481</v>
      </c>
      <c r="D5170" t="s">
        <v>693</v>
      </c>
      <c r="E5170" t="s">
        <v>768</v>
      </c>
      <c r="F5170">
        <v>3</v>
      </c>
      <c r="G5170" s="308">
        <f>'JOVENES PROTAGONISTAS'!I64</f>
        <v>31</v>
      </c>
      <c r="H5170" s="308">
        <f>'JOVENES PROTAGONISTAS'!J64</f>
        <v>5138.534298693924</v>
      </c>
    </row>
    <row r="5171" spans="1:8" x14ac:dyDescent="0.3">
      <c r="A5171" t="s">
        <v>632</v>
      </c>
      <c r="B5171" t="s">
        <v>476</v>
      </c>
      <c r="C5171" t="s">
        <v>481</v>
      </c>
      <c r="D5171" t="s">
        <v>693</v>
      </c>
      <c r="E5171" t="s">
        <v>769</v>
      </c>
      <c r="F5171">
        <v>4</v>
      </c>
      <c r="G5171" s="308">
        <f>'JOVENES PROTAGONISTAS'!K64</f>
        <v>9</v>
      </c>
      <c r="H5171" s="308">
        <f>'JOVENES PROTAGONISTAS'!L64</f>
        <v>7737.2395363214837</v>
      </c>
    </row>
    <row r="5172" spans="1:8" x14ac:dyDescent="0.3">
      <c r="A5172" t="s">
        <v>632</v>
      </c>
      <c r="B5172" t="s">
        <v>476</v>
      </c>
      <c r="C5172" t="s">
        <v>481</v>
      </c>
      <c r="D5172" t="s">
        <v>693</v>
      </c>
      <c r="E5172" t="s">
        <v>770</v>
      </c>
      <c r="F5172">
        <v>5</v>
      </c>
      <c r="G5172" s="308">
        <f>'JOVENES PROTAGONISTAS'!M64</f>
        <v>35</v>
      </c>
      <c r="H5172" s="308">
        <f>'JOVENES PROTAGONISTAS'!N64</f>
        <v>35297.401630129287</v>
      </c>
    </row>
    <row r="5173" spans="1:8" x14ac:dyDescent="0.3">
      <c r="A5173" t="s">
        <v>632</v>
      </c>
      <c r="B5173" t="s">
        <v>476</v>
      </c>
      <c r="C5173" t="s">
        <v>481</v>
      </c>
      <c r="D5173" t="s">
        <v>693</v>
      </c>
      <c r="E5173" t="s">
        <v>771</v>
      </c>
      <c r="F5173">
        <v>6</v>
      </c>
      <c r="G5173" s="308">
        <f>'JOVENES PROTAGONISTAS'!O64</f>
        <v>126</v>
      </c>
      <c r="H5173" s="308">
        <f>'JOVENES PROTAGONISTAS'!P64</f>
        <v>28974.322209677419</v>
      </c>
    </row>
    <row r="5174" spans="1:8" x14ac:dyDescent="0.3">
      <c r="A5174" t="s">
        <v>632</v>
      </c>
      <c r="B5174" t="s">
        <v>476</v>
      </c>
      <c r="C5174" t="s">
        <v>481</v>
      </c>
      <c r="D5174" t="s">
        <v>693</v>
      </c>
      <c r="E5174" t="s">
        <v>772</v>
      </c>
      <c r="F5174">
        <v>7</v>
      </c>
      <c r="G5174" s="308">
        <f>'JOVENES PROTAGONISTAS'!Q64</f>
        <v>26</v>
      </c>
      <c r="H5174" s="308">
        <f>'JOVENES PROTAGONISTAS'!R64</f>
        <v>20551.088662992446</v>
      </c>
    </row>
    <row r="5175" spans="1:8" x14ac:dyDescent="0.3">
      <c r="A5175" t="s">
        <v>632</v>
      </c>
      <c r="B5175" t="s">
        <v>482</v>
      </c>
      <c r="C5175" t="s">
        <v>719</v>
      </c>
      <c r="D5175" t="s">
        <v>693</v>
      </c>
      <c r="E5175" t="s">
        <v>766</v>
      </c>
      <c r="F5175">
        <v>1</v>
      </c>
      <c r="G5175" s="308">
        <f>'JOVENES PROTAGONISTAS'!E65</f>
        <v>0</v>
      </c>
      <c r="H5175" s="308">
        <f>'JOVENES PROTAGONISTAS'!F65</f>
        <v>0</v>
      </c>
    </row>
    <row r="5176" spans="1:8" x14ac:dyDescent="0.3">
      <c r="A5176" t="s">
        <v>632</v>
      </c>
      <c r="B5176" t="s">
        <v>482</v>
      </c>
      <c r="C5176" t="s">
        <v>719</v>
      </c>
      <c r="D5176" t="s">
        <v>693</v>
      </c>
      <c r="E5176" t="s">
        <v>767</v>
      </c>
      <c r="F5176">
        <v>2</v>
      </c>
      <c r="G5176" s="308">
        <f>'JOVENES PROTAGONISTAS'!G65</f>
        <v>21</v>
      </c>
      <c r="H5176" s="308">
        <f>'JOVENES PROTAGONISTAS'!H65</f>
        <v>2110.3326021209741</v>
      </c>
    </row>
    <row r="5177" spans="1:8" x14ac:dyDescent="0.3">
      <c r="A5177" t="s">
        <v>632</v>
      </c>
      <c r="B5177" t="s">
        <v>482</v>
      </c>
      <c r="C5177" t="s">
        <v>719</v>
      </c>
      <c r="D5177" t="s">
        <v>693</v>
      </c>
      <c r="E5177" t="s">
        <v>768</v>
      </c>
      <c r="F5177">
        <v>3</v>
      </c>
      <c r="G5177" s="308">
        <f>'JOVENES PROTAGONISTAS'!I65</f>
        <v>5</v>
      </c>
      <c r="H5177" s="308">
        <f>'JOVENES PROTAGONISTAS'!J65</f>
        <v>828.79585462805221</v>
      </c>
    </row>
    <row r="5178" spans="1:8" x14ac:dyDescent="0.3">
      <c r="A5178" t="s">
        <v>632</v>
      </c>
      <c r="B5178" t="s">
        <v>482</v>
      </c>
      <c r="C5178" t="s">
        <v>719</v>
      </c>
      <c r="D5178" t="s">
        <v>693</v>
      </c>
      <c r="E5178" t="s">
        <v>769</v>
      </c>
      <c r="F5178">
        <v>4</v>
      </c>
      <c r="G5178" s="308">
        <f>'JOVENES PROTAGONISTAS'!K65</f>
        <v>1</v>
      </c>
      <c r="H5178" s="308">
        <f>'JOVENES PROTAGONISTAS'!L65</f>
        <v>859.69328181349817</v>
      </c>
    </row>
    <row r="5179" spans="1:8" x14ac:dyDescent="0.3">
      <c r="A5179" t="s">
        <v>632</v>
      </c>
      <c r="B5179" t="s">
        <v>482</v>
      </c>
      <c r="C5179" t="s">
        <v>719</v>
      </c>
      <c r="D5179" t="s">
        <v>693</v>
      </c>
      <c r="E5179" t="s">
        <v>770</v>
      </c>
      <c r="F5179">
        <v>5</v>
      </c>
      <c r="G5179" s="308">
        <f>'JOVENES PROTAGONISTAS'!M65</f>
        <v>23</v>
      </c>
      <c r="H5179" s="308">
        <f>'JOVENES PROTAGONISTAS'!N65</f>
        <v>23195.435356942104</v>
      </c>
    </row>
    <row r="5180" spans="1:8" x14ac:dyDescent="0.3">
      <c r="A5180" t="s">
        <v>632</v>
      </c>
      <c r="B5180" t="s">
        <v>482</v>
      </c>
      <c r="C5180" t="s">
        <v>719</v>
      </c>
      <c r="D5180" t="s">
        <v>693</v>
      </c>
      <c r="E5180" t="s">
        <v>771</v>
      </c>
      <c r="F5180">
        <v>6</v>
      </c>
      <c r="G5180" s="308">
        <f>'JOVENES PROTAGONISTAS'!O65</f>
        <v>5</v>
      </c>
      <c r="H5180" s="308">
        <f>'JOVENES PROTAGONISTAS'!P65</f>
        <v>1149.7746908602151</v>
      </c>
    </row>
    <row r="5181" spans="1:8" x14ac:dyDescent="0.3">
      <c r="A5181" t="s">
        <v>632</v>
      </c>
      <c r="B5181" t="s">
        <v>482</v>
      </c>
      <c r="C5181" t="s">
        <v>719</v>
      </c>
      <c r="D5181" t="s">
        <v>693</v>
      </c>
      <c r="E5181" t="s">
        <v>772</v>
      </c>
      <c r="F5181">
        <v>7</v>
      </c>
      <c r="G5181" s="308">
        <f>'JOVENES PROTAGONISTAS'!Q65</f>
        <v>26</v>
      </c>
      <c r="H5181" s="308">
        <f>'JOVENES PROTAGONISTAS'!R65</f>
        <v>20551.088662992446</v>
      </c>
    </row>
    <row r="5182" spans="1:8" x14ac:dyDescent="0.3">
      <c r="A5182" t="s">
        <v>632</v>
      </c>
      <c r="B5182" t="s">
        <v>482</v>
      </c>
      <c r="C5182" t="s">
        <v>484</v>
      </c>
      <c r="D5182" t="s">
        <v>693</v>
      </c>
      <c r="E5182" t="s">
        <v>766</v>
      </c>
      <c r="F5182">
        <v>1</v>
      </c>
      <c r="G5182" s="308">
        <f>'JOVENES PROTAGONISTAS'!E66</f>
        <v>0</v>
      </c>
      <c r="H5182" s="308">
        <f>'JOVENES PROTAGONISTAS'!F66</f>
        <v>0</v>
      </c>
    </row>
    <row r="5183" spans="1:8" x14ac:dyDescent="0.3">
      <c r="A5183" t="s">
        <v>632</v>
      </c>
      <c r="B5183" t="s">
        <v>482</v>
      </c>
      <c r="C5183" t="s">
        <v>484</v>
      </c>
      <c r="D5183" t="s">
        <v>693</v>
      </c>
      <c r="E5183" t="s">
        <v>767</v>
      </c>
      <c r="F5183">
        <v>2</v>
      </c>
      <c r="G5183" s="308">
        <f>'JOVENES PROTAGONISTAS'!G66</f>
        <v>13</v>
      </c>
      <c r="H5183" s="308">
        <f>'JOVENES PROTAGONISTAS'!H66</f>
        <v>1306.3963727415553</v>
      </c>
    </row>
    <row r="5184" spans="1:8" x14ac:dyDescent="0.3">
      <c r="A5184" t="s">
        <v>632</v>
      </c>
      <c r="B5184" t="s">
        <v>482</v>
      </c>
      <c r="C5184" t="s">
        <v>484</v>
      </c>
      <c r="D5184" t="s">
        <v>693</v>
      </c>
      <c r="E5184" t="s">
        <v>768</v>
      </c>
      <c r="F5184">
        <v>3</v>
      </c>
      <c r="G5184" s="308">
        <f>'JOVENES PROTAGONISTAS'!I66</f>
        <v>18</v>
      </c>
      <c r="H5184" s="308">
        <f>'JOVENES PROTAGONISTAS'!J66</f>
        <v>2983.6650766609882</v>
      </c>
    </row>
    <row r="5185" spans="1:8" x14ac:dyDescent="0.3">
      <c r="A5185" t="s">
        <v>632</v>
      </c>
      <c r="B5185" t="s">
        <v>482</v>
      </c>
      <c r="C5185" t="s">
        <v>484</v>
      </c>
      <c r="D5185" t="s">
        <v>693</v>
      </c>
      <c r="E5185" t="s">
        <v>769</v>
      </c>
      <c r="F5185">
        <v>4</v>
      </c>
      <c r="G5185" s="308">
        <f>'JOVENES PROTAGONISTAS'!K66</f>
        <v>4</v>
      </c>
      <c r="H5185" s="308">
        <f>'JOVENES PROTAGONISTAS'!L66</f>
        <v>3438.7731272539927</v>
      </c>
    </row>
    <row r="5186" spans="1:8" x14ac:dyDescent="0.3">
      <c r="A5186" t="s">
        <v>632</v>
      </c>
      <c r="B5186" t="s">
        <v>482</v>
      </c>
      <c r="C5186" t="s">
        <v>484</v>
      </c>
      <c r="D5186" t="s">
        <v>693</v>
      </c>
      <c r="E5186" t="s">
        <v>770</v>
      </c>
      <c r="F5186">
        <v>5</v>
      </c>
      <c r="G5186" s="308">
        <f>'JOVENES PROTAGONISTAS'!M66</f>
        <v>0</v>
      </c>
      <c r="H5186" s="308">
        <f>'JOVENES PROTAGONISTAS'!N66</f>
        <v>0</v>
      </c>
    </row>
    <row r="5187" spans="1:8" x14ac:dyDescent="0.3">
      <c r="A5187" t="s">
        <v>632</v>
      </c>
      <c r="B5187" t="s">
        <v>482</v>
      </c>
      <c r="C5187" t="s">
        <v>484</v>
      </c>
      <c r="D5187" t="s">
        <v>693</v>
      </c>
      <c r="E5187" t="s">
        <v>771</v>
      </c>
      <c r="F5187">
        <v>6</v>
      </c>
      <c r="G5187" s="308">
        <f>'JOVENES PROTAGONISTAS'!O66</f>
        <v>5</v>
      </c>
      <c r="H5187" s="308">
        <f>'JOVENES PROTAGONISTAS'!P66</f>
        <v>1149.7746908602151</v>
      </c>
    </row>
    <row r="5188" spans="1:8" x14ac:dyDescent="0.3">
      <c r="A5188" t="s">
        <v>632</v>
      </c>
      <c r="B5188" t="s">
        <v>482</v>
      </c>
      <c r="C5188" t="s">
        <v>484</v>
      </c>
      <c r="D5188" t="s">
        <v>693</v>
      </c>
      <c r="E5188" t="s">
        <v>772</v>
      </c>
      <c r="F5188">
        <v>7</v>
      </c>
      <c r="G5188" s="308">
        <f>'JOVENES PROTAGONISTAS'!Q66</f>
        <v>5</v>
      </c>
      <c r="H5188" s="308">
        <f>'JOVENES PROTAGONISTAS'!R66</f>
        <v>3952.1324351908552</v>
      </c>
    </row>
    <row r="5189" spans="1:8" x14ac:dyDescent="0.3">
      <c r="A5189" t="s">
        <v>632</v>
      </c>
      <c r="B5189" t="s">
        <v>482</v>
      </c>
      <c r="C5189" t="s">
        <v>485</v>
      </c>
      <c r="D5189" t="s">
        <v>693</v>
      </c>
      <c r="E5189" t="s">
        <v>766</v>
      </c>
      <c r="F5189">
        <v>1</v>
      </c>
      <c r="G5189" s="308">
        <f>'JOVENES PROTAGONISTAS'!E67</f>
        <v>0</v>
      </c>
      <c r="H5189" s="308">
        <f>'JOVENES PROTAGONISTAS'!F67</f>
        <v>0</v>
      </c>
    </row>
    <row r="5190" spans="1:8" x14ac:dyDescent="0.3">
      <c r="A5190" t="s">
        <v>632</v>
      </c>
      <c r="B5190" t="s">
        <v>482</v>
      </c>
      <c r="C5190" t="s">
        <v>485</v>
      </c>
      <c r="D5190" t="s">
        <v>693</v>
      </c>
      <c r="E5190" t="s">
        <v>767</v>
      </c>
      <c r="F5190">
        <v>2</v>
      </c>
      <c r="G5190" s="308">
        <f>'JOVENES PROTAGONISTAS'!G67</f>
        <v>0</v>
      </c>
      <c r="H5190" s="308">
        <f>'JOVENES PROTAGONISTAS'!H67</f>
        <v>0</v>
      </c>
    </row>
    <row r="5191" spans="1:8" x14ac:dyDescent="0.3">
      <c r="A5191" t="s">
        <v>632</v>
      </c>
      <c r="B5191" t="s">
        <v>482</v>
      </c>
      <c r="C5191" t="s">
        <v>485</v>
      </c>
      <c r="D5191" t="s">
        <v>693</v>
      </c>
      <c r="E5191" t="s">
        <v>768</v>
      </c>
      <c r="F5191">
        <v>3</v>
      </c>
      <c r="G5191" s="308">
        <f>'JOVENES PROTAGONISTAS'!I67</f>
        <v>25</v>
      </c>
      <c r="H5191" s="308">
        <f>'JOVENES PROTAGONISTAS'!J67</f>
        <v>4143.9792731402613</v>
      </c>
    </row>
    <row r="5192" spans="1:8" x14ac:dyDescent="0.3">
      <c r="A5192" t="s">
        <v>632</v>
      </c>
      <c r="B5192" t="s">
        <v>482</v>
      </c>
      <c r="C5192" t="s">
        <v>485</v>
      </c>
      <c r="D5192" t="s">
        <v>693</v>
      </c>
      <c r="E5192" t="s">
        <v>769</v>
      </c>
      <c r="F5192">
        <v>4</v>
      </c>
      <c r="G5192" s="308">
        <f>'JOVENES PROTAGONISTAS'!K67</f>
        <v>8</v>
      </c>
      <c r="H5192" s="308">
        <f>'JOVENES PROTAGONISTAS'!L67</f>
        <v>6877.5462545079854</v>
      </c>
    </row>
    <row r="5193" spans="1:8" x14ac:dyDescent="0.3">
      <c r="A5193" t="s">
        <v>632</v>
      </c>
      <c r="B5193" t="s">
        <v>482</v>
      </c>
      <c r="C5193" t="s">
        <v>485</v>
      </c>
      <c r="D5193" t="s">
        <v>693</v>
      </c>
      <c r="E5193" t="s">
        <v>770</v>
      </c>
      <c r="F5193">
        <v>5</v>
      </c>
      <c r="G5193" s="308">
        <f>'JOVENES PROTAGONISTAS'!M67</f>
        <v>1</v>
      </c>
      <c r="H5193" s="308">
        <f>'JOVENES PROTAGONISTAS'!N67</f>
        <v>1008.4971894322654</v>
      </c>
    </row>
    <row r="5194" spans="1:8" x14ac:dyDescent="0.3">
      <c r="A5194" t="s">
        <v>632</v>
      </c>
      <c r="B5194" t="s">
        <v>482</v>
      </c>
      <c r="C5194" t="s">
        <v>485</v>
      </c>
      <c r="D5194" t="s">
        <v>693</v>
      </c>
      <c r="E5194" t="s">
        <v>771</v>
      </c>
      <c r="F5194">
        <v>6</v>
      </c>
      <c r="G5194" s="308">
        <f>'JOVENES PROTAGONISTAS'!O67</f>
        <v>20</v>
      </c>
      <c r="H5194" s="308">
        <f>'JOVENES PROTAGONISTAS'!P67</f>
        <v>4599.0987634408602</v>
      </c>
    </row>
    <row r="5195" spans="1:8" x14ac:dyDescent="0.3">
      <c r="A5195" t="s">
        <v>632</v>
      </c>
      <c r="B5195" t="s">
        <v>482</v>
      </c>
      <c r="C5195" t="s">
        <v>485</v>
      </c>
      <c r="D5195" t="s">
        <v>693</v>
      </c>
      <c r="E5195" t="s">
        <v>772</v>
      </c>
      <c r="F5195">
        <v>7</v>
      </c>
      <c r="G5195" s="308">
        <f>'JOVENES PROTAGONISTAS'!Q67</f>
        <v>36</v>
      </c>
      <c r="H5195" s="308">
        <f>'JOVENES PROTAGONISTAS'!R67</f>
        <v>28455.353533374157</v>
      </c>
    </row>
    <row r="5196" spans="1:8" x14ac:dyDescent="0.3">
      <c r="A5196" t="s">
        <v>632</v>
      </c>
      <c r="B5196" t="s">
        <v>482</v>
      </c>
      <c r="C5196" t="s">
        <v>486</v>
      </c>
      <c r="D5196" t="s">
        <v>693</v>
      </c>
      <c r="E5196" t="s">
        <v>766</v>
      </c>
      <c r="F5196">
        <v>1</v>
      </c>
      <c r="G5196" s="308">
        <f>'JOVENES PROTAGONISTAS'!E68</f>
        <v>0</v>
      </c>
      <c r="H5196" s="308">
        <f>'JOVENES PROTAGONISTAS'!F68</f>
        <v>0</v>
      </c>
    </row>
    <row r="5197" spans="1:8" x14ac:dyDescent="0.3">
      <c r="A5197" t="s">
        <v>632</v>
      </c>
      <c r="B5197" t="s">
        <v>482</v>
      </c>
      <c r="C5197" t="s">
        <v>486</v>
      </c>
      <c r="D5197" t="s">
        <v>693</v>
      </c>
      <c r="E5197" t="s">
        <v>767</v>
      </c>
      <c r="F5197">
        <v>2</v>
      </c>
      <c r="G5197" s="308">
        <f>'JOVENES PROTAGONISTAS'!G68</f>
        <v>0</v>
      </c>
      <c r="H5197" s="308">
        <f>'JOVENES PROTAGONISTAS'!H68</f>
        <v>0</v>
      </c>
    </row>
    <row r="5198" spans="1:8" x14ac:dyDescent="0.3">
      <c r="A5198" t="s">
        <v>632</v>
      </c>
      <c r="B5198" t="s">
        <v>482</v>
      </c>
      <c r="C5198" t="s">
        <v>486</v>
      </c>
      <c r="D5198" t="s">
        <v>693</v>
      </c>
      <c r="E5198" t="s">
        <v>768</v>
      </c>
      <c r="F5198">
        <v>3</v>
      </c>
      <c r="G5198" s="308">
        <f>'JOVENES PROTAGONISTAS'!I68</f>
        <v>15</v>
      </c>
      <c r="H5198" s="308">
        <f>'JOVENES PROTAGONISTAS'!J68</f>
        <v>2486.3875638841569</v>
      </c>
    </row>
    <row r="5199" spans="1:8" x14ac:dyDescent="0.3">
      <c r="A5199" t="s">
        <v>632</v>
      </c>
      <c r="B5199" t="s">
        <v>482</v>
      </c>
      <c r="C5199" t="s">
        <v>486</v>
      </c>
      <c r="D5199" t="s">
        <v>693</v>
      </c>
      <c r="E5199" t="s">
        <v>769</v>
      </c>
      <c r="F5199">
        <v>4</v>
      </c>
      <c r="G5199" s="308">
        <f>'JOVENES PROTAGONISTAS'!K68</f>
        <v>5</v>
      </c>
      <c r="H5199" s="308">
        <f>'JOVENES PROTAGONISTAS'!L68</f>
        <v>4298.4664090674905</v>
      </c>
    </row>
    <row r="5200" spans="1:8" x14ac:dyDescent="0.3">
      <c r="A5200" t="s">
        <v>632</v>
      </c>
      <c r="B5200" t="s">
        <v>482</v>
      </c>
      <c r="C5200" t="s">
        <v>486</v>
      </c>
      <c r="D5200" t="s">
        <v>693</v>
      </c>
      <c r="E5200" t="s">
        <v>770</v>
      </c>
      <c r="F5200">
        <v>5</v>
      </c>
      <c r="G5200" s="308">
        <f>'JOVENES PROTAGONISTAS'!M68</f>
        <v>4</v>
      </c>
      <c r="H5200" s="308">
        <f>'JOVENES PROTAGONISTAS'!N68</f>
        <v>4033.9887577290615</v>
      </c>
    </row>
    <row r="5201" spans="1:8" x14ac:dyDescent="0.3">
      <c r="A5201" t="s">
        <v>632</v>
      </c>
      <c r="B5201" t="s">
        <v>482</v>
      </c>
      <c r="C5201" t="s">
        <v>486</v>
      </c>
      <c r="D5201" t="s">
        <v>693</v>
      </c>
      <c r="E5201" t="s">
        <v>771</v>
      </c>
      <c r="F5201">
        <v>6</v>
      </c>
      <c r="G5201" s="308">
        <f>'JOVENES PROTAGONISTAS'!O68</f>
        <v>18</v>
      </c>
      <c r="H5201" s="308">
        <f>'JOVENES PROTAGONISTAS'!P68</f>
        <v>4139.1888870967741</v>
      </c>
    </row>
    <row r="5202" spans="1:8" x14ac:dyDescent="0.3">
      <c r="A5202" t="s">
        <v>632</v>
      </c>
      <c r="B5202" t="s">
        <v>482</v>
      </c>
      <c r="C5202" t="s">
        <v>486</v>
      </c>
      <c r="D5202" t="s">
        <v>693</v>
      </c>
      <c r="E5202" t="s">
        <v>772</v>
      </c>
      <c r="F5202">
        <v>7</v>
      </c>
      <c r="G5202" s="308">
        <f>'JOVENES PROTAGONISTAS'!Q68</f>
        <v>10</v>
      </c>
      <c r="H5202" s="308">
        <f>'JOVENES PROTAGONISTAS'!R68</f>
        <v>7904.2648703817104</v>
      </c>
    </row>
    <row r="5203" spans="1:8" x14ac:dyDescent="0.3">
      <c r="A5203" t="s">
        <v>632</v>
      </c>
      <c r="B5203" t="s">
        <v>482</v>
      </c>
      <c r="C5203" t="s">
        <v>487</v>
      </c>
      <c r="D5203" t="s">
        <v>693</v>
      </c>
      <c r="E5203" t="s">
        <v>766</v>
      </c>
      <c r="F5203">
        <v>1</v>
      </c>
      <c r="G5203" s="308">
        <f>'JOVENES PROTAGONISTAS'!E69</f>
        <v>0</v>
      </c>
      <c r="H5203" s="308">
        <f>'JOVENES PROTAGONISTAS'!F69</f>
        <v>0</v>
      </c>
    </row>
    <row r="5204" spans="1:8" x14ac:dyDescent="0.3">
      <c r="A5204" t="s">
        <v>632</v>
      </c>
      <c r="B5204" t="s">
        <v>482</v>
      </c>
      <c r="C5204" t="s">
        <v>487</v>
      </c>
      <c r="D5204" t="s">
        <v>693</v>
      </c>
      <c r="E5204" t="s">
        <v>767</v>
      </c>
      <c r="F5204">
        <v>2</v>
      </c>
      <c r="G5204" s="308">
        <f>'JOVENES PROTAGONISTAS'!G69</f>
        <v>0</v>
      </c>
      <c r="H5204" s="308">
        <f>'JOVENES PROTAGONISTAS'!H69</f>
        <v>0</v>
      </c>
    </row>
    <row r="5205" spans="1:8" x14ac:dyDescent="0.3">
      <c r="A5205" t="s">
        <v>632</v>
      </c>
      <c r="B5205" t="s">
        <v>482</v>
      </c>
      <c r="C5205" t="s">
        <v>487</v>
      </c>
      <c r="D5205" t="s">
        <v>693</v>
      </c>
      <c r="E5205" t="s">
        <v>768</v>
      </c>
      <c r="F5205">
        <v>3</v>
      </c>
      <c r="G5205" s="308">
        <f>'JOVENES PROTAGONISTAS'!I69</f>
        <v>16</v>
      </c>
      <c r="H5205" s="308">
        <f>'JOVENES PROTAGONISTAS'!J69</f>
        <v>2652.1467348097672</v>
      </c>
    </row>
    <row r="5206" spans="1:8" x14ac:dyDescent="0.3">
      <c r="A5206" t="s">
        <v>632</v>
      </c>
      <c r="B5206" t="s">
        <v>482</v>
      </c>
      <c r="C5206" t="s">
        <v>487</v>
      </c>
      <c r="D5206" t="s">
        <v>693</v>
      </c>
      <c r="E5206" t="s">
        <v>769</v>
      </c>
      <c r="F5206">
        <v>4</v>
      </c>
      <c r="G5206" s="308">
        <f>'JOVENES PROTAGONISTAS'!K69</f>
        <v>20</v>
      </c>
      <c r="H5206" s="308">
        <f>'JOVENES PROTAGONISTAS'!L69</f>
        <v>17193.865636269962</v>
      </c>
    </row>
    <row r="5207" spans="1:8" x14ac:dyDescent="0.3">
      <c r="A5207" t="s">
        <v>632</v>
      </c>
      <c r="B5207" t="s">
        <v>482</v>
      </c>
      <c r="C5207" t="s">
        <v>487</v>
      </c>
      <c r="D5207" t="s">
        <v>693</v>
      </c>
      <c r="E5207" t="s">
        <v>770</v>
      </c>
      <c r="F5207">
        <v>5</v>
      </c>
      <c r="G5207" s="308">
        <f>'JOVENES PROTAGONISTAS'!M69</f>
        <v>0</v>
      </c>
      <c r="H5207" s="308">
        <f>'JOVENES PROTAGONISTAS'!N69</f>
        <v>0</v>
      </c>
    </row>
    <row r="5208" spans="1:8" x14ac:dyDescent="0.3">
      <c r="A5208" t="s">
        <v>632</v>
      </c>
      <c r="B5208" t="s">
        <v>482</v>
      </c>
      <c r="C5208" t="s">
        <v>487</v>
      </c>
      <c r="D5208" t="s">
        <v>693</v>
      </c>
      <c r="E5208" t="s">
        <v>771</v>
      </c>
      <c r="F5208">
        <v>6</v>
      </c>
      <c r="G5208" s="308">
        <f>'JOVENES PROTAGONISTAS'!O69</f>
        <v>14</v>
      </c>
      <c r="H5208" s="308">
        <f>'JOVENES PROTAGONISTAS'!P69</f>
        <v>3219.3691344086019</v>
      </c>
    </row>
    <row r="5209" spans="1:8" x14ac:dyDescent="0.3">
      <c r="A5209" t="s">
        <v>632</v>
      </c>
      <c r="B5209" t="s">
        <v>482</v>
      </c>
      <c r="C5209" t="s">
        <v>487</v>
      </c>
      <c r="D5209" t="s">
        <v>693</v>
      </c>
      <c r="E5209" t="s">
        <v>772</v>
      </c>
      <c r="F5209">
        <v>7</v>
      </c>
      <c r="G5209" s="308">
        <f>'JOVENES PROTAGONISTAS'!Q69</f>
        <v>30</v>
      </c>
      <c r="H5209" s="308">
        <f>'JOVENES PROTAGONISTAS'!R69</f>
        <v>23712.794611145131</v>
      </c>
    </row>
    <row r="5210" spans="1:8" x14ac:dyDescent="0.3">
      <c r="A5210" t="s">
        <v>632</v>
      </c>
      <c r="B5210" t="s">
        <v>482</v>
      </c>
      <c r="C5210" t="s">
        <v>482</v>
      </c>
      <c r="D5210" t="s">
        <v>693</v>
      </c>
      <c r="E5210" t="s">
        <v>766</v>
      </c>
      <c r="F5210">
        <v>1</v>
      </c>
      <c r="G5210" s="308">
        <f>'JOVENES PROTAGONISTAS'!E70</f>
        <v>0</v>
      </c>
      <c r="H5210" s="308">
        <f>'JOVENES PROTAGONISTAS'!F70</f>
        <v>0</v>
      </c>
    </row>
    <row r="5211" spans="1:8" x14ac:dyDescent="0.3">
      <c r="A5211" t="s">
        <v>632</v>
      </c>
      <c r="B5211" t="s">
        <v>482</v>
      </c>
      <c r="C5211" t="s">
        <v>482</v>
      </c>
      <c r="D5211" t="s">
        <v>693</v>
      </c>
      <c r="E5211" t="s">
        <v>767</v>
      </c>
      <c r="F5211">
        <v>2</v>
      </c>
      <c r="G5211" s="308">
        <f>'JOVENES PROTAGONISTAS'!G70</f>
        <v>57</v>
      </c>
      <c r="H5211" s="308">
        <f>'JOVENES PROTAGONISTAS'!H70</f>
        <v>5728.0456343283586</v>
      </c>
    </row>
    <row r="5212" spans="1:8" x14ac:dyDescent="0.3">
      <c r="A5212" t="s">
        <v>632</v>
      </c>
      <c r="B5212" t="s">
        <v>482</v>
      </c>
      <c r="C5212" t="s">
        <v>482</v>
      </c>
      <c r="D5212" t="s">
        <v>693</v>
      </c>
      <c r="E5212" t="s">
        <v>768</v>
      </c>
      <c r="F5212">
        <v>3</v>
      </c>
      <c r="G5212" s="308">
        <f>'JOVENES PROTAGONISTAS'!I70</f>
        <v>80</v>
      </c>
      <c r="H5212" s="308">
        <f>'JOVENES PROTAGONISTAS'!J70</f>
        <v>13260.733674048835</v>
      </c>
    </row>
    <row r="5213" spans="1:8" x14ac:dyDescent="0.3">
      <c r="A5213" t="s">
        <v>632</v>
      </c>
      <c r="B5213" t="s">
        <v>482</v>
      </c>
      <c r="C5213" t="s">
        <v>482</v>
      </c>
      <c r="D5213" t="s">
        <v>693</v>
      </c>
      <c r="E5213" t="s">
        <v>769</v>
      </c>
      <c r="F5213">
        <v>4</v>
      </c>
      <c r="G5213" s="308">
        <f>'JOVENES PROTAGONISTAS'!K70</f>
        <v>9</v>
      </c>
      <c r="H5213" s="308">
        <f>'JOVENES PROTAGONISTAS'!L70</f>
        <v>7737.2395363214837</v>
      </c>
    </row>
    <row r="5214" spans="1:8" x14ac:dyDescent="0.3">
      <c r="A5214" t="s">
        <v>632</v>
      </c>
      <c r="B5214" t="s">
        <v>482</v>
      </c>
      <c r="C5214" t="s">
        <v>482</v>
      </c>
      <c r="D5214" t="s">
        <v>693</v>
      </c>
      <c r="E5214" t="s">
        <v>770</v>
      </c>
      <c r="F5214">
        <v>5</v>
      </c>
      <c r="G5214" s="308">
        <f>'JOVENES PROTAGONISTAS'!M70</f>
        <v>26</v>
      </c>
      <c r="H5214" s="308">
        <f>'JOVENES PROTAGONISTAS'!N70</f>
        <v>26220.926925238899</v>
      </c>
    </row>
    <row r="5215" spans="1:8" x14ac:dyDescent="0.3">
      <c r="A5215" t="s">
        <v>632</v>
      </c>
      <c r="B5215" t="s">
        <v>482</v>
      </c>
      <c r="C5215" t="s">
        <v>482</v>
      </c>
      <c r="D5215" t="s">
        <v>693</v>
      </c>
      <c r="E5215" t="s">
        <v>771</v>
      </c>
      <c r="F5215">
        <v>6</v>
      </c>
      <c r="G5215" s="308">
        <f>'JOVENES PROTAGONISTAS'!O70</f>
        <v>133</v>
      </c>
      <c r="H5215" s="308">
        <f>'JOVENES PROTAGONISTAS'!P70</f>
        <v>30584.006776881721</v>
      </c>
    </row>
    <row r="5216" spans="1:8" x14ac:dyDescent="0.3">
      <c r="A5216" t="s">
        <v>632</v>
      </c>
      <c r="B5216" t="s">
        <v>482</v>
      </c>
      <c r="C5216" t="s">
        <v>482</v>
      </c>
      <c r="D5216" t="s">
        <v>693</v>
      </c>
      <c r="E5216" t="s">
        <v>772</v>
      </c>
      <c r="F5216">
        <v>7</v>
      </c>
      <c r="G5216" s="308">
        <f>'JOVENES PROTAGONISTAS'!Q70</f>
        <v>35</v>
      </c>
      <c r="H5216" s="308">
        <f>'JOVENES PROTAGONISTAS'!R70</f>
        <v>27664.927046335986</v>
      </c>
    </row>
    <row r="5217" spans="1:8" x14ac:dyDescent="0.3">
      <c r="A5217" t="s">
        <v>632</v>
      </c>
      <c r="B5217" t="s">
        <v>489</v>
      </c>
      <c r="C5217" t="s">
        <v>489</v>
      </c>
      <c r="D5217" t="s">
        <v>693</v>
      </c>
      <c r="E5217" t="s">
        <v>766</v>
      </c>
      <c r="F5217">
        <v>1</v>
      </c>
      <c r="G5217" s="308">
        <f>'JOVENES PROTAGONISTAS'!E71</f>
        <v>0</v>
      </c>
      <c r="H5217" s="308">
        <f>'JOVENES PROTAGONISTAS'!F71</f>
        <v>0</v>
      </c>
    </row>
    <row r="5218" spans="1:8" x14ac:dyDescent="0.3">
      <c r="A5218" t="s">
        <v>632</v>
      </c>
      <c r="B5218" t="s">
        <v>489</v>
      </c>
      <c r="C5218" t="s">
        <v>489</v>
      </c>
      <c r="D5218" t="s">
        <v>693</v>
      </c>
      <c r="E5218" t="s">
        <v>767</v>
      </c>
      <c r="F5218">
        <v>2</v>
      </c>
      <c r="G5218" s="308">
        <f>'JOVENES PROTAGONISTAS'!G71</f>
        <v>102</v>
      </c>
      <c r="H5218" s="308">
        <f>'JOVENES PROTAGONISTAS'!H71</f>
        <v>10250.186924587588</v>
      </c>
    </row>
    <row r="5219" spans="1:8" x14ac:dyDescent="0.3">
      <c r="A5219" t="s">
        <v>632</v>
      </c>
      <c r="B5219" t="s">
        <v>489</v>
      </c>
      <c r="C5219" t="s">
        <v>489</v>
      </c>
      <c r="D5219" t="s">
        <v>693</v>
      </c>
      <c r="E5219" t="s">
        <v>768</v>
      </c>
      <c r="F5219">
        <v>3</v>
      </c>
      <c r="G5219" s="308">
        <f>'JOVENES PROTAGONISTAS'!I71</f>
        <v>274</v>
      </c>
      <c r="H5219" s="308">
        <f>'JOVENES PROTAGONISTAS'!J71</f>
        <v>45418.012833617264</v>
      </c>
    </row>
    <row r="5220" spans="1:8" x14ac:dyDescent="0.3">
      <c r="A5220" t="s">
        <v>632</v>
      </c>
      <c r="B5220" t="s">
        <v>489</v>
      </c>
      <c r="C5220" t="s">
        <v>489</v>
      </c>
      <c r="D5220" t="s">
        <v>693</v>
      </c>
      <c r="E5220" t="s">
        <v>769</v>
      </c>
      <c r="F5220">
        <v>4</v>
      </c>
      <c r="G5220" s="308">
        <f>'JOVENES PROTAGONISTAS'!K71</f>
        <v>15</v>
      </c>
      <c r="H5220" s="308">
        <f>'JOVENES PROTAGONISTAS'!L71</f>
        <v>12895.399227202473</v>
      </c>
    </row>
    <row r="5221" spans="1:8" x14ac:dyDescent="0.3">
      <c r="A5221" t="s">
        <v>632</v>
      </c>
      <c r="B5221" t="s">
        <v>489</v>
      </c>
      <c r="C5221" t="s">
        <v>489</v>
      </c>
      <c r="D5221" t="s">
        <v>693</v>
      </c>
      <c r="E5221" t="s">
        <v>770</v>
      </c>
      <c r="F5221">
        <v>5</v>
      </c>
      <c r="G5221" s="308">
        <f>'JOVENES PROTAGONISTAS'!M71</f>
        <v>76</v>
      </c>
      <c r="H5221" s="308">
        <f>'JOVENES PROTAGONISTAS'!N71</f>
        <v>76645.786396852171</v>
      </c>
    </row>
    <row r="5222" spans="1:8" x14ac:dyDescent="0.3">
      <c r="A5222" t="s">
        <v>632</v>
      </c>
      <c r="B5222" t="s">
        <v>489</v>
      </c>
      <c r="C5222" t="s">
        <v>489</v>
      </c>
      <c r="D5222" t="s">
        <v>693</v>
      </c>
      <c r="E5222" t="s">
        <v>771</v>
      </c>
      <c r="F5222">
        <v>6</v>
      </c>
      <c r="G5222" s="308">
        <f>'JOVENES PROTAGONISTAS'!O71</f>
        <v>261</v>
      </c>
      <c r="H5222" s="308">
        <f>'JOVENES PROTAGONISTAS'!P71</f>
        <v>60018.238862903221</v>
      </c>
    </row>
    <row r="5223" spans="1:8" x14ac:dyDescent="0.3">
      <c r="A5223" t="s">
        <v>632</v>
      </c>
      <c r="B5223" t="s">
        <v>489</v>
      </c>
      <c r="C5223" t="s">
        <v>489</v>
      </c>
      <c r="D5223" t="s">
        <v>693</v>
      </c>
      <c r="E5223" t="s">
        <v>772</v>
      </c>
      <c r="F5223">
        <v>7</v>
      </c>
      <c r="G5223" s="308">
        <f>'JOVENES PROTAGONISTAS'!Q71</f>
        <v>139</v>
      </c>
      <c r="H5223" s="308">
        <f>'JOVENES PROTAGONISTAS'!R71</f>
        <v>109869.28169830577</v>
      </c>
    </row>
    <row r="5224" spans="1:8" x14ac:dyDescent="0.3">
      <c r="A5224" t="s">
        <v>632</v>
      </c>
      <c r="B5224" t="s">
        <v>489</v>
      </c>
      <c r="C5224" t="s">
        <v>491</v>
      </c>
      <c r="D5224" t="s">
        <v>693</v>
      </c>
      <c r="E5224" t="s">
        <v>766</v>
      </c>
      <c r="F5224">
        <v>1</v>
      </c>
      <c r="G5224" s="308">
        <f>'JOVENES PROTAGONISTAS'!E72</f>
        <v>0</v>
      </c>
      <c r="H5224" s="308">
        <f>'JOVENES PROTAGONISTAS'!F72</f>
        <v>0</v>
      </c>
    </row>
    <row r="5225" spans="1:8" x14ac:dyDescent="0.3">
      <c r="A5225" t="s">
        <v>632</v>
      </c>
      <c r="B5225" t="s">
        <v>489</v>
      </c>
      <c r="C5225" t="s">
        <v>491</v>
      </c>
      <c r="D5225" t="s">
        <v>693</v>
      </c>
      <c r="E5225" t="s">
        <v>767</v>
      </c>
      <c r="F5225">
        <v>2</v>
      </c>
      <c r="G5225" s="308">
        <f>'JOVENES PROTAGONISTAS'!G72</f>
        <v>50</v>
      </c>
      <c r="H5225" s="308">
        <f>'JOVENES PROTAGONISTAS'!H72</f>
        <v>5024.6014336213666</v>
      </c>
    </row>
    <row r="5226" spans="1:8" x14ac:dyDescent="0.3">
      <c r="A5226" t="s">
        <v>632</v>
      </c>
      <c r="B5226" t="s">
        <v>489</v>
      </c>
      <c r="C5226" t="s">
        <v>491</v>
      </c>
      <c r="D5226" t="s">
        <v>693</v>
      </c>
      <c r="E5226" t="s">
        <v>768</v>
      </c>
      <c r="F5226">
        <v>3</v>
      </c>
      <c r="G5226" s="308">
        <f>'JOVENES PROTAGONISTAS'!I72</f>
        <v>113</v>
      </c>
      <c r="H5226" s="308">
        <f>'JOVENES PROTAGONISTAS'!J72</f>
        <v>18730.786314593981</v>
      </c>
    </row>
    <row r="5227" spans="1:8" x14ac:dyDescent="0.3">
      <c r="A5227" t="s">
        <v>632</v>
      </c>
      <c r="B5227" t="s">
        <v>489</v>
      </c>
      <c r="C5227" t="s">
        <v>491</v>
      </c>
      <c r="D5227" t="s">
        <v>693</v>
      </c>
      <c r="E5227" t="s">
        <v>769</v>
      </c>
      <c r="F5227">
        <v>4</v>
      </c>
      <c r="G5227" s="308">
        <f>'JOVENES PROTAGONISTAS'!K72</f>
        <v>0</v>
      </c>
      <c r="H5227" s="308">
        <f>'JOVENES PROTAGONISTAS'!L72</f>
        <v>0</v>
      </c>
    </row>
    <row r="5228" spans="1:8" x14ac:dyDescent="0.3">
      <c r="A5228" t="s">
        <v>632</v>
      </c>
      <c r="B5228" t="s">
        <v>489</v>
      </c>
      <c r="C5228" t="s">
        <v>491</v>
      </c>
      <c r="D5228" t="s">
        <v>693</v>
      </c>
      <c r="E5228" t="s">
        <v>770</v>
      </c>
      <c r="F5228">
        <v>5</v>
      </c>
      <c r="G5228" s="308">
        <f>'JOVENES PROTAGONISTAS'!M72</f>
        <v>38</v>
      </c>
      <c r="H5228" s="308">
        <f>'JOVENES PROTAGONISTAS'!N72</f>
        <v>38322.893198426085</v>
      </c>
    </row>
    <row r="5229" spans="1:8" x14ac:dyDescent="0.3">
      <c r="A5229" t="s">
        <v>632</v>
      </c>
      <c r="B5229" t="s">
        <v>489</v>
      </c>
      <c r="C5229" t="s">
        <v>491</v>
      </c>
      <c r="D5229" t="s">
        <v>693</v>
      </c>
      <c r="E5229" t="s">
        <v>771</v>
      </c>
      <c r="F5229">
        <v>6</v>
      </c>
      <c r="G5229" s="308">
        <f>'JOVENES PROTAGONISTAS'!O72</f>
        <v>125</v>
      </c>
      <c r="H5229" s="308">
        <f>'JOVENES PROTAGONISTAS'!P72</f>
        <v>28744.367271505376</v>
      </c>
    </row>
    <row r="5230" spans="1:8" x14ac:dyDescent="0.3">
      <c r="A5230" t="s">
        <v>632</v>
      </c>
      <c r="B5230" t="s">
        <v>489</v>
      </c>
      <c r="C5230" t="s">
        <v>491</v>
      </c>
      <c r="D5230" t="s">
        <v>693</v>
      </c>
      <c r="E5230" t="s">
        <v>772</v>
      </c>
      <c r="F5230">
        <v>7</v>
      </c>
      <c r="G5230" s="308">
        <f>'JOVENES PROTAGONISTAS'!Q72</f>
        <v>4</v>
      </c>
      <c r="H5230" s="308">
        <f>'JOVENES PROTAGONISTAS'!R72</f>
        <v>3161.705948152684</v>
      </c>
    </row>
    <row r="5231" spans="1:8" x14ac:dyDescent="0.3">
      <c r="A5231" t="s">
        <v>632</v>
      </c>
      <c r="B5231" t="s">
        <v>489</v>
      </c>
      <c r="C5231" t="s">
        <v>492</v>
      </c>
      <c r="D5231" t="s">
        <v>693</v>
      </c>
      <c r="E5231" t="s">
        <v>766</v>
      </c>
      <c r="F5231">
        <v>1</v>
      </c>
      <c r="G5231" s="308">
        <f>'JOVENES PROTAGONISTAS'!E73</f>
        <v>0</v>
      </c>
      <c r="H5231" s="308">
        <f>'JOVENES PROTAGONISTAS'!F73</f>
        <v>0</v>
      </c>
    </row>
    <row r="5232" spans="1:8" x14ac:dyDescent="0.3">
      <c r="A5232" t="s">
        <v>632</v>
      </c>
      <c r="B5232" t="s">
        <v>489</v>
      </c>
      <c r="C5232" t="s">
        <v>492</v>
      </c>
      <c r="D5232" t="s">
        <v>693</v>
      </c>
      <c r="E5232" t="s">
        <v>767</v>
      </c>
      <c r="F5232">
        <v>2</v>
      </c>
      <c r="G5232" s="308">
        <f>'JOVENES PROTAGONISTAS'!G73</f>
        <v>30</v>
      </c>
      <c r="H5232" s="308">
        <f>'JOVENES PROTAGONISTAS'!H73</f>
        <v>3014.7608601728202</v>
      </c>
    </row>
    <row r="5233" spans="1:8" x14ac:dyDescent="0.3">
      <c r="A5233" t="s">
        <v>632</v>
      </c>
      <c r="B5233" t="s">
        <v>489</v>
      </c>
      <c r="C5233" t="s">
        <v>492</v>
      </c>
      <c r="D5233" t="s">
        <v>693</v>
      </c>
      <c r="E5233" t="s">
        <v>768</v>
      </c>
      <c r="F5233">
        <v>3</v>
      </c>
      <c r="G5233" s="308">
        <f>'JOVENES PROTAGONISTAS'!I73</f>
        <v>154</v>
      </c>
      <c r="H5233" s="308">
        <f>'JOVENES PROTAGONISTAS'!J73</f>
        <v>25526.912322544009</v>
      </c>
    </row>
    <row r="5234" spans="1:8" x14ac:dyDescent="0.3">
      <c r="A5234" t="s">
        <v>632</v>
      </c>
      <c r="B5234" t="s">
        <v>489</v>
      </c>
      <c r="C5234" t="s">
        <v>492</v>
      </c>
      <c r="D5234" t="s">
        <v>693</v>
      </c>
      <c r="E5234" t="s">
        <v>769</v>
      </c>
      <c r="F5234">
        <v>4</v>
      </c>
      <c r="G5234" s="308">
        <f>'JOVENES PROTAGONISTAS'!K73</f>
        <v>70</v>
      </c>
      <c r="H5234" s="308">
        <f>'JOVENES PROTAGONISTAS'!L73</f>
        <v>60178.529726944871</v>
      </c>
    </row>
    <row r="5235" spans="1:8" x14ac:dyDescent="0.3">
      <c r="A5235" t="s">
        <v>632</v>
      </c>
      <c r="B5235" t="s">
        <v>489</v>
      </c>
      <c r="C5235" t="s">
        <v>492</v>
      </c>
      <c r="D5235" t="s">
        <v>693</v>
      </c>
      <c r="E5235" t="s">
        <v>770</v>
      </c>
      <c r="F5235">
        <v>5</v>
      </c>
      <c r="G5235" s="308">
        <f>'JOVENES PROTAGONISTAS'!M73</f>
        <v>47</v>
      </c>
      <c r="H5235" s="308">
        <f>'JOVENES PROTAGONISTAS'!N73</f>
        <v>47399.367903316474</v>
      </c>
    </row>
    <row r="5236" spans="1:8" x14ac:dyDescent="0.3">
      <c r="A5236" t="s">
        <v>632</v>
      </c>
      <c r="B5236" t="s">
        <v>489</v>
      </c>
      <c r="C5236" t="s">
        <v>492</v>
      </c>
      <c r="D5236" t="s">
        <v>693</v>
      </c>
      <c r="E5236" t="s">
        <v>771</v>
      </c>
      <c r="F5236">
        <v>6</v>
      </c>
      <c r="G5236" s="308">
        <f>'JOVENES PROTAGONISTAS'!O73</f>
        <v>130</v>
      </c>
      <c r="H5236" s="308">
        <f>'JOVENES PROTAGONISTAS'!P73</f>
        <v>29894.141962365589</v>
      </c>
    </row>
    <row r="5237" spans="1:8" x14ac:dyDescent="0.3">
      <c r="A5237" t="s">
        <v>632</v>
      </c>
      <c r="B5237" t="s">
        <v>489</v>
      </c>
      <c r="C5237" t="s">
        <v>492</v>
      </c>
      <c r="D5237" t="s">
        <v>693</v>
      </c>
      <c r="E5237" t="s">
        <v>772</v>
      </c>
      <c r="F5237">
        <v>7</v>
      </c>
      <c r="G5237" s="308">
        <f>'JOVENES PROTAGONISTAS'!Q73</f>
        <v>127</v>
      </c>
      <c r="H5237" s="308">
        <f>'JOVENES PROTAGONISTAS'!R73</f>
        <v>100384.16385384771</v>
      </c>
    </row>
    <row r="5238" spans="1:8" x14ac:dyDescent="0.3">
      <c r="A5238" t="s">
        <v>632</v>
      </c>
      <c r="B5238" t="s">
        <v>489</v>
      </c>
      <c r="C5238" t="s">
        <v>493</v>
      </c>
      <c r="D5238" t="s">
        <v>693</v>
      </c>
      <c r="E5238" t="s">
        <v>766</v>
      </c>
      <c r="F5238">
        <v>1</v>
      </c>
      <c r="G5238" s="308">
        <f>'JOVENES PROTAGONISTAS'!E74</f>
        <v>0</v>
      </c>
      <c r="H5238" s="308">
        <f>'JOVENES PROTAGONISTAS'!F74</f>
        <v>0</v>
      </c>
    </row>
    <row r="5239" spans="1:8" x14ac:dyDescent="0.3">
      <c r="A5239" t="s">
        <v>632</v>
      </c>
      <c r="B5239" t="s">
        <v>489</v>
      </c>
      <c r="C5239" t="s">
        <v>493</v>
      </c>
      <c r="D5239" t="s">
        <v>693</v>
      </c>
      <c r="E5239" t="s">
        <v>767</v>
      </c>
      <c r="F5239">
        <v>2</v>
      </c>
      <c r="G5239" s="308">
        <f>'JOVENES PROTAGONISTAS'!G74</f>
        <v>0</v>
      </c>
      <c r="H5239" s="308">
        <f>'JOVENES PROTAGONISTAS'!H74</f>
        <v>0</v>
      </c>
    </row>
    <row r="5240" spans="1:8" x14ac:dyDescent="0.3">
      <c r="A5240" t="s">
        <v>632</v>
      </c>
      <c r="B5240" t="s">
        <v>489</v>
      </c>
      <c r="C5240" t="s">
        <v>493</v>
      </c>
      <c r="D5240" t="s">
        <v>693</v>
      </c>
      <c r="E5240" t="s">
        <v>768</v>
      </c>
      <c r="F5240">
        <v>3</v>
      </c>
      <c r="G5240" s="308">
        <f>'JOVENES PROTAGONISTAS'!I74</f>
        <v>207</v>
      </c>
      <c r="H5240" s="308">
        <f>'JOVENES PROTAGONISTAS'!J74</f>
        <v>34312.148381601364</v>
      </c>
    </row>
    <row r="5241" spans="1:8" x14ac:dyDescent="0.3">
      <c r="A5241" t="s">
        <v>632</v>
      </c>
      <c r="B5241" t="s">
        <v>489</v>
      </c>
      <c r="C5241" t="s">
        <v>493</v>
      </c>
      <c r="D5241" t="s">
        <v>693</v>
      </c>
      <c r="E5241" t="s">
        <v>769</v>
      </c>
      <c r="F5241">
        <v>4</v>
      </c>
      <c r="G5241" s="308">
        <f>'JOVENES PROTAGONISTAS'!K74</f>
        <v>20</v>
      </c>
      <c r="H5241" s="308">
        <f>'JOVENES PROTAGONISTAS'!L74</f>
        <v>17193.865636269962</v>
      </c>
    </row>
    <row r="5242" spans="1:8" x14ac:dyDescent="0.3">
      <c r="A5242" t="s">
        <v>632</v>
      </c>
      <c r="B5242" t="s">
        <v>489</v>
      </c>
      <c r="C5242" t="s">
        <v>493</v>
      </c>
      <c r="D5242" t="s">
        <v>693</v>
      </c>
      <c r="E5242" t="s">
        <v>770</v>
      </c>
      <c r="F5242">
        <v>5</v>
      </c>
      <c r="G5242" s="308">
        <f>'JOVENES PROTAGONISTAS'!M74</f>
        <v>40</v>
      </c>
      <c r="H5242" s="308">
        <f>'JOVENES PROTAGONISTAS'!N74</f>
        <v>40339.887577290618</v>
      </c>
    </row>
    <row r="5243" spans="1:8" x14ac:dyDescent="0.3">
      <c r="A5243" t="s">
        <v>632</v>
      </c>
      <c r="B5243" t="s">
        <v>489</v>
      </c>
      <c r="C5243" t="s">
        <v>493</v>
      </c>
      <c r="D5243" t="s">
        <v>693</v>
      </c>
      <c r="E5243" t="s">
        <v>771</v>
      </c>
      <c r="F5243">
        <v>6</v>
      </c>
      <c r="G5243" s="308">
        <f>'JOVENES PROTAGONISTAS'!O74</f>
        <v>147</v>
      </c>
      <c r="H5243" s="308">
        <f>'JOVENES PROTAGONISTAS'!P74</f>
        <v>33803.375911290321</v>
      </c>
    </row>
    <row r="5244" spans="1:8" x14ac:dyDescent="0.3">
      <c r="A5244" t="s">
        <v>632</v>
      </c>
      <c r="B5244" t="s">
        <v>489</v>
      </c>
      <c r="C5244" t="s">
        <v>493</v>
      </c>
      <c r="D5244" t="s">
        <v>693</v>
      </c>
      <c r="E5244" t="s">
        <v>772</v>
      </c>
      <c r="F5244">
        <v>7</v>
      </c>
      <c r="G5244" s="308">
        <f>'JOVENES PROTAGONISTAS'!Q74</f>
        <v>157</v>
      </c>
      <c r="H5244" s="308">
        <f>'JOVENES PROTAGONISTAS'!R74</f>
        <v>124096.95846499284</v>
      </c>
    </row>
    <row r="5245" spans="1:8" x14ac:dyDescent="0.3">
      <c r="A5245" t="s">
        <v>632</v>
      </c>
      <c r="B5245" t="s">
        <v>489</v>
      </c>
      <c r="C5245" t="s">
        <v>494</v>
      </c>
      <c r="D5245" t="s">
        <v>693</v>
      </c>
      <c r="E5245" t="s">
        <v>766</v>
      </c>
      <c r="F5245">
        <v>1</v>
      </c>
      <c r="G5245" s="308">
        <f>'JOVENES PROTAGONISTAS'!E75</f>
        <v>0</v>
      </c>
      <c r="H5245" s="308">
        <f>'JOVENES PROTAGONISTAS'!F75</f>
        <v>0</v>
      </c>
    </row>
    <row r="5246" spans="1:8" x14ac:dyDescent="0.3">
      <c r="A5246" t="s">
        <v>632</v>
      </c>
      <c r="B5246" t="s">
        <v>489</v>
      </c>
      <c r="C5246" t="s">
        <v>494</v>
      </c>
      <c r="D5246" t="s">
        <v>693</v>
      </c>
      <c r="E5246" t="s">
        <v>767</v>
      </c>
      <c r="F5246">
        <v>2</v>
      </c>
      <c r="G5246" s="308">
        <f>'JOVENES PROTAGONISTAS'!G75</f>
        <v>0</v>
      </c>
      <c r="H5246" s="308">
        <f>'JOVENES PROTAGONISTAS'!H75</f>
        <v>0</v>
      </c>
    </row>
    <row r="5247" spans="1:8" x14ac:dyDescent="0.3">
      <c r="A5247" t="s">
        <v>632</v>
      </c>
      <c r="B5247" t="s">
        <v>489</v>
      </c>
      <c r="C5247" t="s">
        <v>494</v>
      </c>
      <c r="D5247" t="s">
        <v>693</v>
      </c>
      <c r="E5247" t="s">
        <v>768</v>
      </c>
      <c r="F5247">
        <v>3</v>
      </c>
      <c r="G5247" s="308">
        <f>'JOVENES PROTAGONISTAS'!I75</f>
        <v>300</v>
      </c>
      <c r="H5247" s="308">
        <f>'JOVENES PROTAGONISTAS'!J75</f>
        <v>49727.751277683135</v>
      </c>
    </row>
    <row r="5248" spans="1:8" x14ac:dyDescent="0.3">
      <c r="A5248" t="s">
        <v>632</v>
      </c>
      <c r="B5248" t="s">
        <v>489</v>
      </c>
      <c r="C5248" t="s">
        <v>494</v>
      </c>
      <c r="D5248" t="s">
        <v>693</v>
      </c>
      <c r="E5248" t="s">
        <v>769</v>
      </c>
      <c r="F5248">
        <v>4</v>
      </c>
      <c r="G5248" s="308">
        <f>'JOVENES PROTAGONISTAS'!K75</f>
        <v>39</v>
      </c>
      <c r="H5248" s="308">
        <f>'JOVENES PROTAGONISTAS'!L75</f>
        <v>33528.037990726429</v>
      </c>
    </row>
    <row r="5249" spans="1:8" x14ac:dyDescent="0.3">
      <c r="A5249" t="s">
        <v>632</v>
      </c>
      <c r="B5249" t="s">
        <v>489</v>
      </c>
      <c r="C5249" t="s">
        <v>494</v>
      </c>
      <c r="D5249" t="s">
        <v>693</v>
      </c>
      <c r="E5249" t="s">
        <v>770</v>
      </c>
      <c r="F5249">
        <v>5</v>
      </c>
      <c r="G5249" s="308">
        <f>'JOVENES PROTAGONISTAS'!M75</f>
        <v>20</v>
      </c>
      <c r="H5249" s="308">
        <f>'JOVENES PROTAGONISTAS'!N75</f>
        <v>20169.943788645309</v>
      </c>
    </row>
    <row r="5250" spans="1:8" x14ac:dyDescent="0.3">
      <c r="A5250" t="s">
        <v>632</v>
      </c>
      <c r="B5250" t="s">
        <v>489</v>
      </c>
      <c r="C5250" t="s">
        <v>494</v>
      </c>
      <c r="D5250" t="s">
        <v>693</v>
      </c>
      <c r="E5250" t="s">
        <v>771</v>
      </c>
      <c r="F5250">
        <v>6</v>
      </c>
      <c r="G5250" s="308">
        <f>'JOVENES PROTAGONISTAS'!O75</f>
        <v>289</v>
      </c>
      <c r="H5250" s="308">
        <f>'JOVENES PROTAGONISTAS'!P75</f>
        <v>66456.977131720429</v>
      </c>
    </row>
    <row r="5251" spans="1:8" x14ac:dyDescent="0.3">
      <c r="A5251" t="s">
        <v>632</v>
      </c>
      <c r="B5251" t="s">
        <v>489</v>
      </c>
      <c r="C5251" t="s">
        <v>494</v>
      </c>
      <c r="D5251" t="s">
        <v>693</v>
      </c>
      <c r="E5251" t="s">
        <v>772</v>
      </c>
      <c r="F5251">
        <v>7</v>
      </c>
      <c r="G5251" s="308">
        <f>'JOVENES PROTAGONISTAS'!Q75</f>
        <v>256</v>
      </c>
      <c r="H5251" s="308">
        <f>'JOVENES PROTAGONISTAS'!R75</f>
        <v>202349.18068177177</v>
      </c>
    </row>
    <row r="5252" spans="1:8" x14ac:dyDescent="0.3">
      <c r="A5252" t="s">
        <v>632</v>
      </c>
      <c r="B5252" t="s">
        <v>489</v>
      </c>
      <c r="C5252" t="s">
        <v>495</v>
      </c>
      <c r="D5252" t="s">
        <v>693</v>
      </c>
      <c r="E5252" t="s">
        <v>766</v>
      </c>
      <c r="F5252">
        <v>1</v>
      </c>
      <c r="G5252" s="308">
        <f>'JOVENES PROTAGONISTAS'!E76</f>
        <v>0</v>
      </c>
      <c r="H5252" s="308">
        <f>'JOVENES PROTAGONISTAS'!F76</f>
        <v>0</v>
      </c>
    </row>
    <row r="5253" spans="1:8" x14ac:dyDescent="0.3">
      <c r="A5253" t="s">
        <v>632</v>
      </c>
      <c r="B5253" t="s">
        <v>489</v>
      </c>
      <c r="C5253" t="s">
        <v>495</v>
      </c>
      <c r="D5253" t="s">
        <v>693</v>
      </c>
      <c r="E5253" t="s">
        <v>767</v>
      </c>
      <c r="F5253">
        <v>2</v>
      </c>
      <c r="G5253" s="308">
        <f>'JOVENES PROTAGONISTAS'!G76</f>
        <v>60</v>
      </c>
      <c r="H5253" s="308">
        <f>'JOVENES PROTAGONISTAS'!H76</f>
        <v>6029.5217203456405</v>
      </c>
    </row>
    <row r="5254" spans="1:8" x14ac:dyDescent="0.3">
      <c r="A5254" t="s">
        <v>632</v>
      </c>
      <c r="B5254" t="s">
        <v>489</v>
      </c>
      <c r="C5254" t="s">
        <v>495</v>
      </c>
      <c r="D5254" t="s">
        <v>693</v>
      </c>
      <c r="E5254" t="s">
        <v>768</v>
      </c>
      <c r="F5254">
        <v>3</v>
      </c>
      <c r="G5254" s="308">
        <f>'JOVENES PROTAGONISTAS'!I76</f>
        <v>120</v>
      </c>
      <c r="H5254" s="308">
        <f>'JOVENES PROTAGONISTAS'!J76</f>
        <v>19891.100511073255</v>
      </c>
    </row>
    <row r="5255" spans="1:8" x14ac:dyDescent="0.3">
      <c r="A5255" t="s">
        <v>632</v>
      </c>
      <c r="B5255" t="s">
        <v>489</v>
      </c>
      <c r="C5255" t="s">
        <v>495</v>
      </c>
      <c r="D5255" t="s">
        <v>693</v>
      </c>
      <c r="E5255" t="s">
        <v>769</v>
      </c>
      <c r="F5255">
        <v>4</v>
      </c>
      <c r="G5255" s="308">
        <f>'JOVENES PROTAGONISTAS'!K76</f>
        <v>0</v>
      </c>
      <c r="H5255" s="308">
        <f>'JOVENES PROTAGONISTAS'!L76</f>
        <v>0</v>
      </c>
    </row>
    <row r="5256" spans="1:8" x14ac:dyDescent="0.3">
      <c r="A5256" t="s">
        <v>632</v>
      </c>
      <c r="B5256" t="s">
        <v>489</v>
      </c>
      <c r="C5256" t="s">
        <v>495</v>
      </c>
      <c r="D5256" t="s">
        <v>693</v>
      </c>
      <c r="E5256" t="s">
        <v>770</v>
      </c>
      <c r="F5256">
        <v>5</v>
      </c>
      <c r="G5256" s="308">
        <f>'JOVENES PROTAGONISTAS'!M76</f>
        <v>0</v>
      </c>
      <c r="H5256" s="308">
        <f>'JOVENES PROTAGONISTAS'!N76</f>
        <v>0</v>
      </c>
    </row>
    <row r="5257" spans="1:8" x14ac:dyDescent="0.3">
      <c r="A5257" t="s">
        <v>632</v>
      </c>
      <c r="B5257" t="s">
        <v>489</v>
      </c>
      <c r="C5257" t="s">
        <v>495</v>
      </c>
      <c r="D5257" t="s">
        <v>693</v>
      </c>
      <c r="E5257" t="s">
        <v>771</v>
      </c>
      <c r="F5257">
        <v>6</v>
      </c>
      <c r="G5257" s="308">
        <f>'JOVENES PROTAGONISTAS'!O76</f>
        <v>157</v>
      </c>
      <c r="H5257" s="308">
        <f>'JOVENES PROTAGONISTAS'!P76</f>
        <v>36102.925293010754</v>
      </c>
    </row>
    <row r="5258" spans="1:8" x14ac:dyDescent="0.3">
      <c r="A5258" t="s">
        <v>632</v>
      </c>
      <c r="B5258" t="s">
        <v>489</v>
      </c>
      <c r="C5258" t="s">
        <v>495</v>
      </c>
      <c r="D5258" t="s">
        <v>693</v>
      </c>
      <c r="E5258" t="s">
        <v>772</v>
      </c>
      <c r="F5258">
        <v>7</v>
      </c>
      <c r="G5258" s="308">
        <f>'JOVENES PROTAGONISTAS'!Q76</f>
        <v>70</v>
      </c>
      <c r="H5258" s="308">
        <f>'JOVENES PROTAGONISTAS'!R76</f>
        <v>55329.854092671972</v>
      </c>
    </row>
    <row r="5259" spans="1:8" x14ac:dyDescent="0.3">
      <c r="A5259" t="s">
        <v>632</v>
      </c>
      <c r="B5259" t="s">
        <v>496</v>
      </c>
      <c r="C5259" t="s">
        <v>497</v>
      </c>
      <c r="D5259" t="s">
        <v>693</v>
      </c>
      <c r="E5259" t="s">
        <v>766</v>
      </c>
      <c r="F5259">
        <v>1</v>
      </c>
      <c r="G5259" s="308">
        <f>'JOVENES PROTAGONISTAS'!E77</f>
        <v>0</v>
      </c>
      <c r="H5259" s="308">
        <f>'JOVENES PROTAGONISTAS'!F77</f>
        <v>0</v>
      </c>
    </row>
    <row r="5260" spans="1:8" x14ac:dyDescent="0.3">
      <c r="A5260" t="s">
        <v>632</v>
      </c>
      <c r="B5260" t="s">
        <v>496</v>
      </c>
      <c r="C5260" t="s">
        <v>497</v>
      </c>
      <c r="D5260" t="s">
        <v>693</v>
      </c>
      <c r="E5260" t="s">
        <v>767</v>
      </c>
      <c r="F5260">
        <v>2</v>
      </c>
      <c r="G5260" s="308">
        <f>'JOVENES PROTAGONISTAS'!G77</f>
        <v>0</v>
      </c>
      <c r="H5260" s="308">
        <f>'JOVENES PROTAGONISTAS'!H77</f>
        <v>0</v>
      </c>
    </row>
    <row r="5261" spans="1:8" x14ac:dyDescent="0.3">
      <c r="A5261" t="s">
        <v>632</v>
      </c>
      <c r="B5261" t="s">
        <v>496</v>
      </c>
      <c r="C5261" t="s">
        <v>497</v>
      </c>
      <c r="D5261" t="s">
        <v>693</v>
      </c>
      <c r="E5261" t="s">
        <v>768</v>
      </c>
      <c r="F5261">
        <v>3</v>
      </c>
      <c r="G5261" s="308">
        <f>'JOVENES PROTAGONISTAS'!I77</f>
        <v>32</v>
      </c>
      <c r="H5261" s="308">
        <f>'JOVENES PROTAGONISTAS'!J77</f>
        <v>5304.2934696195343</v>
      </c>
    </row>
    <row r="5262" spans="1:8" x14ac:dyDescent="0.3">
      <c r="A5262" t="s">
        <v>632</v>
      </c>
      <c r="B5262" t="s">
        <v>496</v>
      </c>
      <c r="C5262" t="s">
        <v>497</v>
      </c>
      <c r="D5262" t="s">
        <v>693</v>
      </c>
      <c r="E5262" t="s">
        <v>769</v>
      </c>
      <c r="F5262">
        <v>4</v>
      </c>
      <c r="G5262" s="308">
        <f>'JOVENES PROTAGONISTAS'!K77</f>
        <v>9</v>
      </c>
      <c r="H5262" s="308">
        <f>'JOVENES PROTAGONISTAS'!L77</f>
        <v>7737.2395363214837</v>
      </c>
    </row>
    <row r="5263" spans="1:8" x14ac:dyDescent="0.3">
      <c r="A5263" t="s">
        <v>632</v>
      </c>
      <c r="B5263" t="s">
        <v>496</v>
      </c>
      <c r="C5263" t="s">
        <v>497</v>
      </c>
      <c r="D5263" t="s">
        <v>693</v>
      </c>
      <c r="E5263" t="s">
        <v>770</v>
      </c>
      <c r="F5263">
        <v>5</v>
      </c>
      <c r="G5263" s="308">
        <f>'JOVENES PROTAGONISTAS'!M77</f>
        <v>2</v>
      </c>
      <c r="H5263" s="308">
        <f>'JOVENES PROTAGONISTAS'!N77</f>
        <v>2016.9943788645307</v>
      </c>
    </row>
    <row r="5264" spans="1:8" x14ac:dyDescent="0.3">
      <c r="A5264" t="s">
        <v>632</v>
      </c>
      <c r="B5264" t="s">
        <v>496</v>
      </c>
      <c r="C5264" t="s">
        <v>497</v>
      </c>
      <c r="D5264" t="s">
        <v>693</v>
      </c>
      <c r="E5264" t="s">
        <v>771</v>
      </c>
      <c r="F5264">
        <v>6</v>
      </c>
      <c r="G5264" s="308">
        <f>'JOVENES PROTAGONISTAS'!O77</f>
        <v>4</v>
      </c>
      <c r="H5264" s="308">
        <f>'JOVENES PROTAGONISTAS'!P77</f>
        <v>919.819752688172</v>
      </c>
    </row>
    <row r="5265" spans="1:8" x14ac:dyDescent="0.3">
      <c r="A5265" t="s">
        <v>632</v>
      </c>
      <c r="B5265" t="s">
        <v>496</v>
      </c>
      <c r="C5265" t="s">
        <v>497</v>
      </c>
      <c r="D5265" t="s">
        <v>693</v>
      </c>
      <c r="E5265" t="s">
        <v>772</v>
      </c>
      <c r="F5265">
        <v>7</v>
      </c>
      <c r="G5265" s="308">
        <f>'JOVENES PROTAGONISTAS'!Q77</f>
        <v>11</v>
      </c>
      <c r="H5265" s="308">
        <f>'JOVENES PROTAGONISTAS'!R77</f>
        <v>8694.6913574198807</v>
      </c>
    </row>
    <row r="5266" spans="1:8" x14ac:dyDescent="0.3">
      <c r="A5266" t="s">
        <v>632</v>
      </c>
      <c r="B5266" t="s">
        <v>496</v>
      </c>
      <c r="C5266" t="s">
        <v>498</v>
      </c>
      <c r="D5266" t="s">
        <v>693</v>
      </c>
      <c r="E5266" t="s">
        <v>766</v>
      </c>
      <c r="F5266">
        <v>1</v>
      </c>
      <c r="G5266" s="308">
        <f>'JOVENES PROTAGONISTAS'!E78</f>
        <v>0</v>
      </c>
      <c r="H5266" s="308">
        <f>'JOVENES PROTAGONISTAS'!F78</f>
        <v>0</v>
      </c>
    </row>
    <row r="5267" spans="1:8" x14ac:dyDescent="0.3">
      <c r="A5267" t="s">
        <v>632</v>
      </c>
      <c r="B5267" t="s">
        <v>496</v>
      </c>
      <c r="C5267" t="s">
        <v>498</v>
      </c>
      <c r="D5267" t="s">
        <v>693</v>
      </c>
      <c r="E5267" t="s">
        <v>767</v>
      </c>
      <c r="F5267">
        <v>2</v>
      </c>
      <c r="G5267" s="308">
        <f>'JOVENES PROTAGONISTAS'!G78</f>
        <v>0</v>
      </c>
      <c r="H5267" s="308">
        <f>'JOVENES PROTAGONISTAS'!H78</f>
        <v>0</v>
      </c>
    </row>
    <row r="5268" spans="1:8" x14ac:dyDescent="0.3">
      <c r="A5268" t="s">
        <v>632</v>
      </c>
      <c r="B5268" t="s">
        <v>496</v>
      </c>
      <c r="C5268" t="s">
        <v>498</v>
      </c>
      <c r="D5268" t="s">
        <v>693</v>
      </c>
      <c r="E5268" t="s">
        <v>768</v>
      </c>
      <c r="F5268">
        <v>3</v>
      </c>
      <c r="G5268" s="308">
        <f>'JOVENES PROTAGONISTAS'!I78</f>
        <v>30</v>
      </c>
      <c r="H5268" s="308">
        <f>'JOVENES PROTAGONISTAS'!J78</f>
        <v>4972.7751277683137</v>
      </c>
    </row>
    <row r="5269" spans="1:8" x14ac:dyDescent="0.3">
      <c r="A5269" t="s">
        <v>632</v>
      </c>
      <c r="B5269" t="s">
        <v>496</v>
      </c>
      <c r="C5269" t="s">
        <v>498</v>
      </c>
      <c r="D5269" t="s">
        <v>693</v>
      </c>
      <c r="E5269" t="s">
        <v>769</v>
      </c>
      <c r="F5269">
        <v>4</v>
      </c>
      <c r="G5269" s="308">
        <f>'JOVENES PROTAGONISTAS'!K78</f>
        <v>14</v>
      </c>
      <c r="H5269" s="308">
        <f>'JOVENES PROTAGONISTAS'!L78</f>
        <v>12035.705945388974</v>
      </c>
    </row>
    <row r="5270" spans="1:8" x14ac:dyDescent="0.3">
      <c r="A5270" t="s">
        <v>632</v>
      </c>
      <c r="B5270" t="s">
        <v>496</v>
      </c>
      <c r="C5270" t="s">
        <v>498</v>
      </c>
      <c r="D5270" t="s">
        <v>693</v>
      </c>
      <c r="E5270" t="s">
        <v>770</v>
      </c>
      <c r="F5270">
        <v>5</v>
      </c>
      <c r="G5270" s="308">
        <f>'JOVENES PROTAGONISTAS'!M78</f>
        <v>14</v>
      </c>
      <c r="H5270" s="308">
        <f>'JOVENES PROTAGONISTAS'!N78</f>
        <v>14118.960652051715</v>
      </c>
    </row>
    <row r="5271" spans="1:8" x14ac:dyDescent="0.3">
      <c r="A5271" t="s">
        <v>632</v>
      </c>
      <c r="B5271" t="s">
        <v>496</v>
      </c>
      <c r="C5271" t="s">
        <v>498</v>
      </c>
      <c r="D5271" t="s">
        <v>693</v>
      </c>
      <c r="E5271" t="s">
        <v>771</v>
      </c>
      <c r="F5271">
        <v>6</v>
      </c>
      <c r="G5271" s="308">
        <f>'JOVENES PROTAGONISTAS'!O78</f>
        <v>3</v>
      </c>
      <c r="H5271" s="308">
        <f>'JOVENES PROTAGONISTAS'!P78</f>
        <v>689.86481451612894</v>
      </c>
    </row>
    <row r="5272" spans="1:8" x14ac:dyDescent="0.3">
      <c r="A5272" t="s">
        <v>632</v>
      </c>
      <c r="B5272" t="s">
        <v>496</v>
      </c>
      <c r="C5272" t="s">
        <v>498</v>
      </c>
      <c r="D5272" t="s">
        <v>693</v>
      </c>
      <c r="E5272" t="s">
        <v>772</v>
      </c>
      <c r="F5272">
        <v>7</v>
      </c>
      <c r="G5272" s="308">
        <f>'JOVENES PROTAGONISTAS'!Q78</f>
        <v>6</v>
      </c>
      <c r="H5272" s="308">
        <f>'JOVENES PROTAGONISTAS'!R78</f>
        <v>4742.5589222290255</v>
      </c>
    </row>
    <row r="5273" spans="1:8" x14ac:dyDescent="0.3">
      <c r="A5273" t="s">
        <v>632</v>
      </c>
      <c r="B5273" t="s">
        <v>496</v>
      </c>
      <c r="C5273" t="s">
        <v>496</v>
      </c>
      <c r="D5273" t="s">
        <v>693</v>
      </c>
      <c r="E5273" t="s">
        <v>766</v>
      </c>
      <c r="F5273">
        <v>1</v>
      </c>
      <c r="G5273" s="308">
        <f>'JOVENES PROTAGONISTAS'!E79</f>
        <v>0</v>
      </c>
      <c r="H5273" s="308">
        <f>'JOVENES PROTAGONISTAS'!F79</f>
        <v>0</v>
      </c>
    </row>
    <row r="5274" spans="1:8" x14ac:dyDescent="0.3">
      <c r="A5274" t="s">
        <v>632</v>
      </c>
      <c r="B5274" t="s">
        <v>496</v>
      </c>
      <c r="C5274" t="s">
        <v>496</v>
      </c>
      <c r="D5274" t="s">
        <v>693</v>
      </c>
      <c r="E5274" t="s">
        <v>767</v>
      </c>
      <c r="F5274">
        <v>2</v>
      </c>
      <c r="G5274" s="308">
        <f>'JOVENES PROTAGONISTAS'!G79</f>
        <v>25</v>
      </c>
      <c r="H5274" s="308">
        <f>'JOVENES PROTAGONISTAS'!H79</f>
        <v>2512.3007168106833</v>
      </c>
    </row>
    <row r="5275" spans="1:8" x14ac:dyDescent="0.3">
      <c r="A5275" t="s">
        <v>632</v>
      </c>
      <c r="B5275" t="s">
        <v>496</v>
      </c>
      <c r="C5275" t="s">
        <v>496</v>
      </c>
      <c r="D5275" t="s">
        <v>693</v>
      </c>
      <c r="E5275" t="s">
        <v>768</v>
      </c>
      <c r="F5275">
        <v>3</v>
      </c>
      <c r="G5275" s="308">
        <f>'JOVENES PROTAGONISTAS'!I79</f>
        <v>11</v>
      </c>
      <c r="H5275" s="308">
        <f>'JOVENES PROTAGONISTAS'!J79</f>
        <v>1823.350880181715</v>
      </c>
    </row>
    <row r="5276" spans="1:8" x14ac:dyDescent="0.3">
      <c r="A5276" t="s">
        <v>632</v>
      </c>
      <c r="B5276" t="s">
        <v>496</v>
      </c>
      <c r="C5276" t="s">
        <v>496</v>
      </c>
      <c r="D5276" t="s">
        <v>693</v>
      </c>
      <c r="E5276" t="s">
        <v>769</v>
      </c>
      <c r="F5276">
        <v>4</v>
      </c>
      <c r="G5276" s="308">
        <f>'JOVENES PROTAGONISTAS'!K79</f>
        <v>11</v>
      </c>
      <c r="H5276" s="308">
        <f>'JOVENES PROTAGONISTAS'!L79</f>
        <v>9456.6260999484803</v>
      </c>
    </row>
    <row r="5277" spans="1:8" x14ac:dyDescent="0.3">
      <c r="A5277" t="s">
        <v>632</v>
      </c>
      <c r="B5277" t="s">
        <v>496</v>
      </c>
      <c r="C5277" t="s">
        <v>496</v>
      </c>
      <c r="D5277" t="s">
        <v>693</v>
      </c>
      <c r="E5277" t="s">
        <v>770</v>
      </c>
      <c r="F5277">
        <v>5</v>
      </c>
      <c r="G5277" s="308">
        <f>'JOVENES PROTAGONISTAS'!M79</f>
        <v>9</v>
      </c>
      <c r="H5277" s="308">
        <f>'JOVENES PROTAGONISTAS'!N79</f>
        <v>9076.4747048903882</v>
      </c>
    </row>
    <row r="5278" spans="1:8" x14ac:dyDescent="0.3">
      <c r="A5278" t="s">
        <v>632</v>
      </c>
      <c r="B5278" t="s">
        <v>496</v>
      </c>
      <c r="C5278" t="s">
        <v>496</v>
      </c>
      <c r="D5278" t="s">
        <v>693</v>
      </c>
      <c r="E5278" t="s">
        <v>771</v>
      </c>
      <c r="F5278">
        <v>6</v>
      </c>
      <c r="G5278" s="308">
        <f>'JOVENES PROTAGONISTAS'!O79</f>
        <v>1</v>
      </c>
      <c r="H5278" s="308">
        <f>'JOVENES PROTAGONISTAS'!P79</f>
        <v>229.954938172043</v>
      </c>
    </row>
    <row r="5279" spans="1:8" x14ac:dyDescent="0.3">
      <c r="A5279" t="s">
        <v>632</v>
      </c>
      <c r="B5279" t="s">
        <v>496</v>
      </c>
      <c r="C5279" t="s">
        <v>496</v>
      </c>
      <c r="D5279" t="s">
        <v>693</v>
      </c>
      <c r="E5279" t="s">
        <v>772</v>
      </c>
      <c r="F5279">
        <v>7</v>
      </c>
      <c r="G5279" s="308">
        <f>'JOVENES PROTAGONISTAS'!Q79</f>
        <v>2</v>
      </c>
      <c r="H5279" s="308">
        <f>'JOVENES PROTAGONISTAS'!R79</f>
        <v>1580.852974076342</v>
      </c>
    </row>
    <row r="5280" spans="1:8" x14ac:dyDescent="0.3">
      <c r="A5280" t="s">
        <v>632</v>
      </c>
      <c r="B5280" t="s">
        <v>496</v>
      </c>
      <c r="C5280" t="s">
        <v>499</v>
      </c>
      <c r="D5280" t="s">
        <v>693</v>
      </c>
      <c r="E5280" t="s">
        <v>766</v>
      </c>
      <c r="F5280">
        <v>1</v>
      </c>
      <c r="G5280" s="308">
        <f>'JOVENES PROTAGONISTAS'!E80</f>
        <v>0</v>
      </c>
      <c r="H5280" s="308">
        <f>'JOVENES PROTAGONISTAS'!F80</f>
        <v>0</v>
      </c>
    </row>
    <row r="5281" spans="1:8" x14ac:dyDescent="0.3">
      <c r="A5281" t="s">
        <v>632</v>
      </c>
      <c r="B5281" t="s">
        <v>496</v>
      </c>
      <c r="C5281" t="s">
        <v>499</v>
      </c>
      <c r="D5281" t="s">
        <v>693</v>
      </c>
      <c r="E5281" t="s">
        <v>767</v>
      </c>
      <c r="F5281">
        <v>2</v>
      </c>
      <c r="G5281" s="308">
        <f>'JOVENES PROTAGONISTAS'!G80</f>
        <v>0</v>
      </c>
      <c r="H5281" s="308">
        <f>'JOVENES PROTAGONISTAS'!H80</f>
        <v>0</v>
      </c>
    </row>
    <row r="5282" spans="1:8" x14ac:dyDescent="0.3">
      <c r="A5282" t="s">
        <v>632</v>
      </c>
      <c r="B5282" t="s">
        <v>496</v>
      </c>
      <c r="C5282" t="s">
        <v>499</v>
      </c>
      <c r="D5282" t="s">
        <v>693</v>
      </c>
      <c r="E5282" t="s">
        <v>768</v>
      </c>
      <c r="F5282">
        <v>3</v>
      </c>
      <c r="G5282" s="308">
        <f>'JOVENES PROTAGONISTAS'!I80</f>
        <v>0</v>
      </c>
      <c r="H5282" s="308">
        <f>'JOVENES PROTAGONISTAS'!J80</f>
        <v>0</v>
      </c>
    </row>
    <row r="5283" spans="1:8" x14ac:dyDescent="0.3">
      <c r="A5283" t="s">
        <v>632</v>
      </c>
      <c r="B5283" t="s">
        <v>496</v>
      </c>
      <c r="C5283" t="s">
        <v>499</v>
      </c>
      <c r="D5283" t="s">
        <v>693</v>
      </c>
      <c r="E5283" t="s">
        <v>769</v>
      </c>
      <c r="F5283">
        <v>4</v>
      </c>
      <c r="G5283" s="308">
        <f>'JOVENES PROTAGONISTAS'!K80</f>
        <v>0</v>
      </c>
      <c r="H5283" s="308">
        <f>'JOVENES PROTAGONISTAS'!L80</f>
        <v>0</v>
      </c>
    </row>
    <row r="5284" spans="1:8" x14ac:dyDescent="0.3">
      <c r="A5284" t="s">
        <v>632</v>
      </c>
      <c r="B5284" t="s">
        <v>496</v>
      </c>
      <c r="C5284" t="s">
        <v>499</v>
      </c>
      <c r="D5284" t="s">
        <v>693</v>
      </c>
      <c r="E5284" t="s">
        <v>770</v>
      </c>
      <c r="F5284">
        <v>5</v>
      </c>
      <c r="G5284" s="308">
        <f>'JOVENES PROTAGONISTAS'!M80</f>
        <v>0</v>
      </c>
      <c r="H5284" s="308">
        <f>'JOVENES PROTAGONISTAS'!N80</f>
        <v>0</v>
      </c>
    </row>
    <row r="5285" spans="1:8" x14ac:dyDescent="0.3">
      <c r="A5285" t="s">
        <v>632</v>
      </c>
      <c r="B5285" t="s">
        <v>496</v>
      </c>
      <c r="C5285" t="s">
        <v>499</v>
      </c>
      <c r="D5285" t="s">
        <v>693</v>
      </c>
      <c r="E5285" t="s">
        <v>771</v>
      </c>
      <c r="F5285">
        <v>6</v>
      </c>
      <c r="G5285" s="308">
        <f>'JOVENES PROTAGONISTAS'!O80</f>
        <v>5</v>
      </c>
      <c r="H5285" s="308">
        <f>'JOVENES PROTAGONISTAS'!P80</f>
        <v>1149.7746908602151</v>
      </c>
    </row>
    <row r="5286" spans="1:8" x14ac:dyDescent="0.3">
      <c r="A5286" t="s">
        <v>632</v>
      </c>
      <c r="B5286" t="s">
        <v>496</v>
      </c>
      <c r="C5286" t="s">
        <v>499</v>
      </c>
      <c r="D5286" t="s">
        <v>693</v>
      </c>
      <c r="E5286" t="s">
        <v>772</v>
      </c>
      <c r="F5286">
        <v>7</v>
      </c>
      <c r="G5286" s="308">
        <f>'JOVENES PROTAGONISTAS'!Q80</f>
        <v>48</v>
      </c>
      <c r="H5286" s="308">
        <f>'JOVENES PROTAGONISTAS'!R80</f>
        <v>37940.471377832204</v>
      </c>
    </row>
    <row r="5287" spans="1:8" x14ac:dyDescent="0.3">
      <c r="A5287" t="s">
        <v>632</v>
      </c>
      <c r="B5287" t="s">
        <v>496</v>
      </c>
      <c r="C5287" t="s">
        <v>500</v>
      </c>
      <c r="D5287" t="s">
        <v>693</v>
      </c>
      <c r="E5287" t="s">
        <v>766</v>
      </c>
      <c r="F5287">
        <v>1</v>
      </c>
      <c r="G5287" s="308">
        <f>'JOVENES PROTAGONISTAS'!E81</f>
        <v>0</v>
      </c>
      <c r="H5287" s="308">
        <f>'JOVENES PROTAGONISTAS'!F81</f>
        <v>0</v>
      </c>
    </row>
    <row r="5288" spans="1:8" x14ac:dyDescent="0.3">
      <c r="A5288" t="s">
        <v>632</v>
      </c>
      <c r="B5288" t="s">
        <v>496</v>
      </c>
      <c r="C5288" t="s">
        <v>500</v>
      </c>
      <c r="D5288" t="s">
        <v>693</v>
      </c>
      <c r="E5288" t="s">
        <v>767</v>
      </c>
      <c r="F5288">
        <v>2</v>
      </c>
      <c r="G5288" s="308">
        <f>'JOVENES PROTAGONISTAS'!G81</f>
        <v>0</v>
      </c>
      <c r="H5288" s="308">
        <f>'JOVENES PROTAGONISTAS'!H81</f>
        <v>0</v>
      </c>
    </row>
    <row r="5289" spans="1:8" x14ac:dyDescent="0.3">
      <c r="A5289" t="s">
        <v>632</v>
      </c>
      <c r="B5289" t="s">
        <v>496</v>
      </c>
      <c r="C5289" t="s">
        <v>500</v>
      </c>
      <c r="D5289" t="s">
        <v>693</v>
      </c>
      <c r="E5289" t="s">
        <v>768</v>
      </c>
      <c r="F5289">
        <v>3</v>
      </c>
      <c r="G5289" s="308">
        <f>'JOVENES PROTAGONISTAS'!I81</f>
        <v>0</v>
      </c>
      <c r="H5289" s="308">
        <f>'JOVENES PROTAGONISTAS'!J81</f>
        <v>0</v>
      </c>
    </row>
    <row r="5290" spans="1:8" x14ac:dyDescent="0.3">
      <c r="A5290" t="s">
        <v>632</v>
      </c>
      <c r="B5290" t="s">
        <v>496</v>
      </c>
      <c r="C5290" t="s">
        <v>500</v>
      </c>
      <c r="D5290" t="s">
        <v>693</v>
      </c>
      <c r="E5290" t="s">
        <v>769</v>
      </c>
      <c r="F5290">
        <v>4</v>
      </c>
      <c r="G5290" s="308">
        <f>'JOVENES PROTAGONISTAS'!K81</f>
        <v>0</v>
      </c>
      <c r="H5290" s="308">
        <f>'JOVENES PROTAGONISTAS'!L81</f>
        <v>0</v>
      </c>
    </row>
    <row r="5291" spans="1:8" x14ac:dyDescent="0.3">
      <c r="A5291" t="s">
        <v>632</v>
      </c>
      <c r="B5291" t="s">
        <v>496</v>
      </c>
      <c r="C5291" t="s">
        <v>500</v>
      </c>
      <c r="D5291" t="s">
        <v>693</v>
      </c>
      <c r="E5291" t="s">
        <v>770</v>
      </c>
      <c r="F5291">
        <v>5</v>
      </c>
      <c r="G5291" s="308">
        <f>'JOVENES PROTAGONISTAS'!M81</f>
        <v>0</v>
      </c>
      <c r="H5291" s="308">
        <f>'JOVENES PROTAGONISTAS'!N81</f>
        <v>0</v>
      </c>
    </row>
    <row r="5292" spans="1:8" x14ac:dyDescent="0.3">
      <c r="A5292" t="s">
        <v>632</v>
      </c>
      <c r="B5292" t="s">
        <v>496</v>
      </c>
      <c r="C5292" t="s">
        <v>500</v>
      </c>
      <c r="D5292" t="s">
        <v>693</v>
      </c>
      <c r="E5292" t="s">
        <v>771</v>
      </c>
      <c r="F5292">
        <v>6</v>
      </c>
      <c r="G5292" s="308">
        <f>'JOVENES PROTAGONISTAS'!O81</f>
        <v>0</v>
      </c>
      <c r="H5292" s="308">
        <f>'JOVENES PROTAGONISTAS'!P81</f>
        <v>0</v>
      </c>
    </row>
    <row r="5293" spans="1:8" x14ac:dyDescent="0.3">
      <c r="A5293" t="s">
        <v>632</v>
      </c>
      <c r="B5293" t="s">
        <v>496</v>
      </c>
      <c r="C5293" t="s">
        <v>500</v>
      </c>
      <c r="D5293" t="s">
        <v>693</v>
      </c>
      <c r="E5293" t="s">
        <v>772</v>
      </c>
      <c r="F5293">
        <v>7</v>
      </c>
      <c r="G5293" s="308">
        <f>'JOVENES PROTAGONISTAS'!Q81</f>
        <v>0</v>
      </c>
      <c r="H5293" s="308">
        <f>'JOVENES PROTAGONISTAS'!R81</f>
        <v>0</v>
      </c>
    </row>
    <row r="5294" spans="1:8" x14ac:dyDescent="0.3">
      <c r="A5294" t="s">
        <v>632</v>
      </c>
      <c r="B5294" t="s">
        <v>496</v>
      </c>
      <c r="C5294" t="s">
        <v>501</v>
      </c>
      <c r="D5294" t="s">
        <v>693</v>
      </c>
      <c r="E5294" t="s">
        <v>766</v>
      </c>
      <c r="F5294">
        <v>1</v>
      </c>
      <c r="G5294" s="308">
        <f>'JOVENES PROTAGONISTAS'!E82</f>
        <v>0</v>
      </c>
      <c r="H5294" s="308">
        <f>'JOVENES PROTAGONISTAS'!F82</f>
        <v>0</v>
      </c>
    </row>
    <row r="5295" spans="1:8" x14ac:dyDescent="0.3">
      <c r="A5295" t="s">
        <v>632</v>
      </c>
      <c r="B5295" t="s">
        <v>496</v>
      </c>
      <c r="C5295" t="s">
        <v>501</v>
      </c>
      <c r="D5295" t="s">
        <v>693</v>
      </c>
      <c r="E5295" t="s">
        <v>767</v>
      </c>
      <c r="F5295">
        <v>2</v>
      </c>
      <c r="G5295" s="308">
        <f>'JOVENES PROTAGONISTAS'!G82</f>
        <v>0</v>
      </c>
      <c r="H5295" s="308">
        <f>'JOVENES PROTAGONISTAS'!H82</f>
        <v>0</v>
      </c>
    </row>
    <row r="5296" spans="1:8" x14ac:dyDescent="0.3">
      <c r="A5296" t="s">
        <v>632</v>
      </c>
      <c r="B5296" t="s">
        <v>496</v>
      </c>
      <c r="C5296" t="s">
        <v>501</v>
      </c>
      <c r="D5296" t="s">
        <v>693</v>
      </c>
      <c r="E5296" t="s">
        <v>768</v>
      </c>
      <c r="F5296">
        <v>3</v>
      </c>
      <c r="G5296" s="308">
        <f>'JOVENES PROTAGONISTAS'!I82</f>
        <v>0</v>
      </c>
      <c r="H5296" s="308">
        <f>'JOVENES PROTAGONISTAS'!J82</f>
        <v>0</v>
      </c>
    </row>
    <row r="5297" spans="1:8" x14ac:dyDescent="0.3">
      <c r="A5297" t="s">
        <v>632</v>
      </c>
      <c r="B5297" t="s">
        <v>496</v>
      </c>
      <c r="C5297" t="s">
        <v>501</v>
      </c>
      <c r="D5297" t="s">
        <v>693</v>
      </c>
      <c r="E5297" t="s">
        <v>769</v>
      </c>
      <c r="F5297">
        <v>4</v>
      </c>
      <c r="G5297" s="308">
        <f>'JOVENES PROTAGONISTAS'!K82</f>
        <v>0</v>
      </c>
      <c r="H5297" s="308">
        <f>'JOVENES PROTAGONISTAS'!L82</f>
        <v>0</v>
      </c>
    </row>
    <row r="5298" spans="1:8" x14ac:dyDescent="0.3">
      <c r="A5298" t="s">
        <v>632</v>
      </c>
      <c r="B5298" t="s">
        <v>496</v>
      </c>
      <c r="C5298" t="s">
        <v>501</v>
      </c>
      <c r="D5298" t="s">
        <v>693</v>
      </c>
      <c r="E5298" t="s">
        <v>770</v>
      </c>
      <c r="F5298">
        <v>5</v>
      </c>
      <c r="G5298" s="308">
        <f>'JOVENES PROTAGONISTAS'!M82</f>
        <v>0</v>
      </c>
      <c r="H5298" s="308">
        <f>'JOVENES PROTAGONISTAS'!N82</f>
        <v>0</v>
      </c>
    </row>
    <row r="5299" spans="1:8" x14ac:dyDescent="0.3">
      <c r="A5299" t="s">
        <v>632</v>
      </c>
      <c r="B5299" t="s">
        <v>496</v>
      </c>
      <c r="C5299" t="s">
        <v>501</v>
      </c>
      <c r="D5299" t="s">
        <v>693</v>
      </c>
      <c r="E5299" t="s">
        <v>771</v>
      </c>
      <c r="F5299">
        <v>6</v>
      </c>
      <c r="G5299" s="308">
        <f>'JOVENES PROTAGONISTAS'!O82</f>
        <v>0</v>
      </c>
      <c r="H5299" s="308">
        <f>'JOVENES PROTAGONISTAS'!P82</f>
        <v>0</v>
      </c>
    </row>
    <row r="5300" spans="1:8" x14ac:dyDescent="0.3">
      <c r="A5300" t="s">
        <v>632</v>
      </c>
      <c r="B5300" t="s">
        <v>496</v>
      </c>
      <c r="C5300" t="s">
        <v>501</v>
      </c>
      <c r="D5300" t="s">
        <v>693</v>
      </c>
      <c r="E5300" t="s">
        <v>772</v>
      </c>
      <c r="F5300">
        <v>7</v>
      </c>
      <c r="G5300" s="308">
        <f>'JOVENES PROTAGONISTAS'!Q82</f>
        <v>0</v>
      </c>
      <c r="H5300" s="308">
        <f>'JOVENES PROTAGONISTAS'!R82</f>
        <v>0</v>
      </c>
    </row>
    <row r="5301" spans="1:8" x14ac:dyDescent="0.3">
      <c r="A5301" t="s">
        <v>632</v>
      </c>
      <c r="B5301" t="s">
        <v>496</v>
      </c>
      <c r="C5301" t="s">
        <v>502</v>
      </c>
      <c r="D5301" t="s">
        <v>693</v>
      </c>
      <c r="E5301" t="s">
        <v>766</v>
      </c>
      <c r="F5301">
        <v>1</v>
      </c>
      <c r="G5301" s="308">
        <f>'JOVENES PROTAGONISTAS'!E83</f>
        <v>0</v>
      </c>
      <c r="H5301" s="308">
        <f>'JOVENES PROTAGONISTAS'!F83</f>
        <v>0</v>
      </c>
    </row>
    <row r="5302" spans="1:8" x14ac:dyDescent="0.3">
      <c r="A5302" t="s">
        <v>632</v>
      </c>
      <c r="B5302" t="s">
        <v>496</v>
      </c>
      <c r="C5302" t="s">
        <v>502</v>
      </c>
      <c r="D5302" t="s">
        <v>693</v>
      </c>
      <c r="E5302" t="s">
        <v>767</v>
      </c>
      <c r="F5302">
        <v>2</v>
      </c>
      <c r="G5302" s="308">
        <f>'JOVENES PROTAGONISTAS'!G83</f>
        <v>0</v>
      </c>
      <c r="H5302" s="308">
        <f>'JOVENES PROTAGONISTAS'!H83</f>
        <v>0</v>
      </c>
    </row>
    <row r="5303" spans="1:8" x14ac:dyDescent="0.3">
      <c r="A5303" t="s">
        <v>632</v>
      </c>
      <c r="B5303" t="s">
        <v>496</v>
      </c>
      <c r="C5303" t="s">
        <v>502</v>
      </c>
      <c r="D5303" t="s">
        <v>693</v>
      </c>
      <c r="E5303" t="s">
        <v>768</v>
      </c>
      <c r="F5303">
        <v>3</v>
      </c>
      <c r="G5303" s="308">
        <f>'JOVENES PROTAGONISTAS'!I83</f>
        <v>0</v>
      </c>
      <c r="H5303" s="308">
        <f>'JOVENES PROTAGONISTAS'!J83</f>
        <v>0</v>
      </c>
    </row>
    <row r="5304" spans="1:8" x14ac:dyDescent="0.3">
      <c r="A5304" t="s">
        <v>632</v>
      </c>
      <c r="B5304" t="s">
        <v>496</v>
      </c>
      <c r="C5304" t="s">
        <v>502</v>
      </c>
      <c r="D5304" t="s">
        <v>693</v>
      </c>
      <c r="E5304" t="s">
        <v>769</v>
      </c>
      <c r="F5304">
        <v>4</v>
      </c>
      <c r="G5304" s="308">
        <f>'JOVENES PROTAGONISTAS'!K83</f>
        <v>0</v>
      </c>
      <c r="H5304" s="308">
        <f>'JOVENES PROTAGONISTAS'!L83</f>
        <v>0</v>
      </c>
    </row>
    <row r="5305" spans="1:8" x14ac:dyDescent="0.3">
      <c r="A5305" t="s">
        <v>632</v>
      </c>
      <c r="B5305" t="s">
        <v>496</v>
      </c>
      <c r="C5305" t="s">
        <v>502</v>
      </c>
      <c r="D5305" t="s">
        <v>693</v>
      </c>
      <c r="E5305" t="s">
        <v>770</v>
      </c>
      <c r="F5305">
        <v>5</v>
      </c>
      <c r="G5305" s="308">
        <f>'JOVENES PROTAGONISTAS'!M83</f>
        <v>0</v>
      </c>
      <c r="H5305" s="308">
        <f>'JOVENES PROTAGONISTAS'!N83</f>
        <v>0</v>
      </c>
    </row>
    <row r="5306" spans="1:8" x14ac:dyDescent="0.3">
      <c r="A5306" t="s">
        <v>632</v>
      </c>
      <c r="B5306" t="s">
        <v>496</v>
      </c>
      <c r="C5306" t="s">
        <v>502</v>
      </c>
      <c r="D5306" t="s">
        <v>693</v>
      </c>
      <c r="E5306" t="s">
        <v>771</v>
      </c>
      <c r="F5306">
        <v>6</v>
      </c>
      <c r="G5306" s="308">
        <f>'JOVENES PROTAGONISTAS'!O83</f>
        <v>0</v>
      </c>
      <c r="H5306" s="308">
        <f>'JOVENES PROTAGONISTAS'!P83</f>
        <v>0</v>
      </c>
    </row>
    <row r="5307" spans="1:8" x14ac:dyDescent="0.3">
      <c r="A5307" t="s">
        <v>632</v>
      </c>
      <c r="B5307" t="s">
        <v>496</v>
      </c>
      <c r="C5307" t="s">
        <v>502</v>
      </c>
      <c r="D5307" t="s">
        <v>693</v>
      </c>
      <c r="E5307" t="s">
        <v>772</v>
      </c>
      <c r="F5307">
        <v>7</v>
      </c>
      <c r="G5307" s="308">
        <f>'JOVENES PROTAGONISTAS'!Q83</f>
        <v>0</v>
      </c>
      <c r="H5307" s="308">
        <f>'JOVENES PROTAGONISTAS'!R83</f>
        <v>0</v>
      </c>
    </row>
    <row r="5308" spans="1:8" x14ac:dyDescent="0.3">
      <c r="A5308" t="s">
        <v>632</v>
      </c>
      <c r="B5308" t="s">
        <v>496</v>
      </c>
      <c r="C5308" t="s">
        <v>503</v>
      </c>
      <c r="D5308" t="s">
        <v>693</v>
      </c>
      <c r="E5308" t="s">
        <v>766</v>
      </c>
      <c r="F5308">
        <v>1</v>
      </c>
      <c r="G5308" s="308">
        <f>'JOVENES PROTAGONISTAS'!E84</f>
        <v>0</v>
      </c>
      <c r="H5308" s="308">
        <f>'JOVENES PROTAGONISTAS'!F84</f>
        <v>0</v>
      </c>
    </row>
    <row r="5309" spans="1:8" x14ac:dyDescent="0.3">
      <c r="A5309" t="s">
        <v>632</v>
      </c>
      <c r="B5309" t="s">
        <v>496</v>
      </c>
      <c r="C5309" t="s">
        <v>503</v>
      </c>
      <c r="D5309" t="s">
        <v>693</v>
      </c>
      <c r="E5309" t="s">
        <v>767</v>
      </c>
      <c r="F5309">
        <v>2</v>
      </c>
      <c r="G5309" s="308">
        <f>'JOVENES PROTAGONISTAS'!G84</f>
        <v>0</v>
      </c>
      <c r="H5309" s="308">
        <f>'JOVENES PROTAGONISTAS'!H84</f>
        <v>0</v>
      </c>
    </row>
    <row r="5310" spans="1:8" x14ac:dyDescent="0.3">
      <c r="A5310" t="s">
        <v>632</v>
      </c>
      <c r="B5310" t="s">
        <v>496</v>
      </c>
      <c r="C5310" t="s">
        <v>503</v>
      </c>
      <c r="D5310" t="s">
        <v>693</v>
      </c>
      <c r="E5310" t="s">
        <v>768</v>
      </c>
      <c r="F5310">
        <v>3</v>
      </c>
      <c r="G5310" s="308">
        <f>'JOVENES PROTAGONISTAS'!I84</f>
        <v>0</v>
      </c>
      <c r="H5310" s="308">
        <f>'JOVENES PROTAGONISTAS'!J84</f>
        <v>0</v>
      </c>
    </row>
    <row r="5311" spans="1:8" x14ac:dyDescent="0.3">
      <c r="A5311" t="s">
        <v>632</v>
      </c>
      <c r="B5311" t="s">
        <v>496</v>
      </c>
      <c r="C5311" t="s">
        <v>503</v>
      </c>
      <c r="D5311" t="s">
        <v>693</v>
      </c>
      <c r="E5311" t="s">
        <v>769</v>
      </c>
      <c r="F5311">
        <v>4</v>
      </c>
      <c r="G5311" s="308">
        <f>'JOVENES PROTAGONISTAS'!K84</f>
        <v>0</v>
      </c>
      <c r="H5311" s="308">
        <f>'JOVENES PROTAGONISTAS'!L84</f>
        <v>0</v>
      </c>
    </row>
    <row r="5312" spans="1:8" x14ac:dyDescent="0.3">
      <c r="A5312" t="s">
        <v>632</v>
      </c>
      <c r="B5312" t="s">
        <v>496</v>
      </c>
      <c r="C5312" t="s">
        <v>503</v>
      </c>
      <c r="D5312" t="s">
        <v>693</v>
      </c>
      <c r="E5312" t="s">
        <v>770</v>
      </c>
      <c r="F5312">
        <v>5</v>
      </c>
      <c r="G5312" s="308">
        <f>'JOVENES PROTAGONISTAS'!M84</f>
        <v>0</v>
      </c>
      <c r="H5312" s="308">
        <f>'JOVENES PROTAGONISTAS'!N84</f>
        <v>0</v>
      </c>
    </row>
    <row r="5313" spans="1:8" x14ac:dyDescent="0.3">
      <c r="A5313" t="s">
        <v>632</v>
      </c>
      <c r="B5313" t="s">
        <v>496</v>
      </c>
      <c r="C5313" t="s">
        <v>503</v>
      </c>
      <c r="D5313" t="s">
        <v>693</v>
      </c>
      <c r="E5313" t="s">
        <v>771</v>
      </c>
      <c r="F5313">
        <v>6</v>
      </c>
      <c r="G5313" s="308">
        <f>'JOVENES PROTAGONISTAS'!O84</f>
        <v>0</v>
      </c>
      <c r="H5313" s="308">
        <f>'JOVENES PROTAGONISTAS'!P84</f>
        <v>0</v>
      </c>
    </row>
    <row r="5314" spans="1:8" x14ac:dyDescent="0.3">
      <c r="A5314" t="s">
        <v>632</v>
      </c>
      <c r="B5314" t="s">
        <v>496</v>
      </c>
      <c r="C5314" t="s">
        <v>503</v>
      </c>
      <c r="D5314" t="s">
        <v>693</v>
      </c>
      <c r="E5314" t="s">
        <v>772</v>
      </c>
      <c r="F5314">
        <v>7</v>
      </c>
      <c r="G5314" s="308">
        <f>'JOVENES PROTAGONISTAS'!Q84</f>
        <v>0</v>
      </c>
      <c r="H5314" s="308">
        <f>'JOVENES PROTAGONISTAS'!R84</f>
        <v>0</v>
      </c>
    </row>
    <row r="5315" spans="1:8" x14ac:dyDescent="0.3">
      <c r="A5315" t="s">
        <v>632</v>
      </c>
      <c r="B5315" t="s">
        <v>504</v>
      </c>
      <c r="C5315" t="s">
        <v>720</v>
      </c>
      <c r="D5315" t="s">
        <v>693</v>
      </c>
      <c r="E5315" t="s">
        <v>766</v>
      </c>
      <c r="F5315">
        <v>1</v>
      </c>
      <c r="G5315" s="308">
        <f>'JOVENES PROTAGONISTAS'!E85</f>
        <v>0</v>
      </c>
      <c r="H5315" s="308">
        <f>'JOVENES PROTAGONISTAS'!F85</f>
        <v>0</v>
      </c>
    </row>
    <row r="5316" spans="1:8" x14ac:dyDescent="0.3">
      <c r="A5316" t="s">
        <v>632</v>
      </c>
      <c r="B5316" t="s">
        <v>504</v>
      </c>
      <c r="C5316" t="s">
        <v>720</v>
      </c>
      <c r="D5316" t="s">
        <v>693</v>
      </c>
      <c r="E5316" t="s">
        <v>767</v>
      </c>
      <c r="F5316">
        <v>2</v>
      </c>
      <c r="G5316" s="308">
        <f>'JOVENES PROTAGONISTAS'!G85</f>
        <v>20</v>
      </c>
      <c r="H5316" s="308">
        <f>'JOVENES PROTAGONISTAS'!H85</f>
        <v>2009.8405734485468</v>
      </c>
    </row>
    <row r="5317" spans="1:8" x14ac:dyDescent="0.3">
      <c r="A5317" t="s">
        <v>632</v>
      </c>
      <c r="B5317" t="s">
        <v>504</v>
      </c>
      <c r="C5317" t="s">
        <v>720</v>
      </c>
      <c r="D5317" t="s">
        <v>693</v>
      </c>
      <c r="E5317" t="s">
        <v>768</v>
      </c>
      <c r="F5317">
        <v>3</v>
      </c>
      <c r="G5317" s="308">
        <f>'JOVENES PROTAGONISTAS'!I85</f>
        <v>66</v>
      </c>
      <c r="H5317" s="308">
        <f>'JOVENES PROTAGONISTAS'!J85</f>
        <v>10940.105281090289</v>
      </c>
    </row>
    <row r="5318" spans="1:8" x14ac:dyDescent="0.3">
      <c r="A5318" t="s">
        <v>632</v>
      </c>
      <c r="B5318" t="s">
        <v>504</v>
      </c>
      <c r="C5318" t="s">
        <v>720</v>
      </c>
      <c r="D5318" t="s">
        <v>693</v>
      </c>
      <c r="E5318" t="s">
        <v>769</v>
      </c>
      <c r="F5318">
        <v>4</v>
      </c>
      <c r="G5318" s="308">
        <f>'JOVENES PROTAGONISTAS'!K85</f>
        <v>58</v>
      </c>
      <c r="H5318" s="308">
        <f>'JOVENES PROTAGONISTAS'!L85</f>
        <v>49862.210345182895</v>
      </c>
    </row>
    <row r="5319" spans="1:8" x14ac:dyDescent="0.3">
      <c r="A5319" t="s">
        <v>632</v>
      </c>
      <c r="B5319" t="s">
        <v>504</v>
      </c>
      <c r="C5319" t="s">
        <v>720</v>
      </c>
      <c r="D5319" t="s">
        <v>693</v>
      </c>
      <c r="E5319" t="s">
        <v>770</v>
      </c>
      <c r="F5319">
        <v>5</v>
      </c>
      <c r="G5319" s="308">
        <f>'JOVENES PROTAGONISTAS'!M85</f>
        <v>36</v>
      </c>
      <c r="H5319" s="308">
        <f>'JOVENES PROTAGONISTAS'!N85</f>
        <v>36305.898819561553</v>
      </c>
    </row>
    <row r="5320" spans="1:8" x14ac:dyDescent="0.3">
      <c r="A5320" t="s">
        <v>632</v>
      </c>
      <c r="B5320" t="s">
        <v>504</v>
      </c>
      <c r="C5320" t="s">
        <v>720</v>
      </c>
      <c r="D5320" t="s">
        <v>693</v>
      </c>
      <c r="E5320" t="s">
        <v>771</v>
      </c>
      <c r="F5320">
        <v>6</v>
      </c>
      <c r="G5320" s="308">
        <f>'JOVENES PROTAGONISTAS'!O85</f>
        <v>186</v>
      </c>
      <c r="H5320" s="308">
        <f>'JOVENES PROTAGONISTAS'!P85</f>
        <v>42771.618499999997</v>
      </c>
    </row>
    <row r="5321" spans="1:8" x14ac:dyDescent="0.3">
      <c r="A5321" t="s">
        <v>632</v>
      </c>
      <c r="B5321" t="s">
        <v>504</v>
      </c>
      <c r="C5321" t="s">
        <v>720</v>
      </c>
      <c r="D5321" t="s">
        <v>693</v>
      </c>
      <c r="E5321" t="s">
        <v>772</v>
      </c>
      <c r="F5321">
        <v>7</v>
      </c>
      <c r="G5321" s="308">
        <f>'JOVENES PROTAGONISTAS'!Q85</f>
        <v>153</v>
      </c>
      <c r="H5321" s="308">
        <f>'JOVENES PROTAGONISTAS'!R85</f>
        <v>120935.25251684016</v>
      </c>
    </row>
    <row r="5322" spans="1:8" x14ac:dyDescent="0.3">
      <c r="A5322" t="s">
        <v>632</v>
      </c>
      <c r="B5322" t="s">
        <v>504</v>
      </c>
      <c r="C5322" t="s">
        <v>506</v>
      </c>
      <c r="D5322" t="s">
        <v>693</v>
      </c>
      <c r="E5322" t="s">
        <v>766</v>
      </c>
      <c r="F5322">
        <v>1</v>
      </c>
      <c r="G5322" s="308">
        <f>'JOVENES PROTAGONISTAS'!E86</f>
        <v>0</v>
      </c>
      <c r="H5322" s="308">
        <f>'JOVENES PROTAGONISTAS'!F86</f>
        <v>0</v>
      </c>
    </row>
    <row r="5323" spans="1:8" x14ac:dyDescent="0.3">
      <c r="A5323" t="s">
        <v>632</v>
      </c>
      <c r="B5323" t="s">
        <v>504</v>
      </c>
      <c r="C5323" t="s">
        <v>506</v>
      </c>
      <c r="D5323" t="s">
        <v>693</v>
      </c>
      <c r="E5323" t="s">
        <v>767</v>
      </c>
      <c r="F5323">
        <v>2</v>
      </c>
      <c r="G5323" s="308">
        <f>'JOVENES PROTAGONISTAS'!G86</f>
        <v>21</v>
      </c>
      <c r="H5323" s="308">
        <f>'JOVENES PROTAGONISTAS'!H86</f>
        <v>2110.3326021209741</v>
      </c>
    </row>
    <row r="5324" spans="1:8" x14ac:dyDescent="0.3">
      <c r="A5324" t="s">
        <v>632</v>
      </c>
      <c r="B5324" t="s">
        <v>504</v>
      </c>
      <c r="C5324" t="s">
        <v>506</v>
      </c>
      <c r="D5324" t="s">
        <v>693</v>
      </c>
      <c r="E5324" t="s">
        <v>768</v>
      </c>
      <c r="F5324">
        <v>3</v>
      </c>
      <c r="G5324" s="308">
        <f>'JOVENES PROTAGONISTAS'!I86</f>
        <v>200</v>
      </c>
      <c r="H5324" s="308">
        <f>'JOVENES PROTAGONISTAS'!J86</f>
        <v>33151.83418512209</v>
      </c>
    </row>
    <row r="5325" spans="1:8" x14ac:dyDescent="0.3">
      <c r="A5325" t="s">
        <v>632</v>
      </c>
      <c r="B5325" t="s">
        <v>504</v>
      </c>
      <c r="C5325" t="s">
        <v>506</v>
      </c>
      <c r="D5325" t="s">
        <v>693</v>
      </c>
      <c r="E5325" t="s">
        <v>769</v>
      </c>
      <c r="F5325">
        <v>4</v>
      </c>
      <c r="G5325" s="308">
        <f>'JOVENES PROTAGONISTAS'!K86</f>
        <v>69</v>
      </c>
      <c r="H5325" s="308">
        <f>'JOVENES PROTAGONISTAS'!L86</f>
        <v>59318.836445131376</v>
      </c>
    </row>
    <row r="5326" spans="1:8" x14ac:dyDescent="0.3">
      <c r="A5326" t="s">
        <v>632</v>
      </c>
      <c r="B5326" t="s">
        <v>504</v>
      </c>
      <c r="C5326" t="s">
        <v>506</v>
      </c>
      <c r="D5326" t="s">
        <v>693</v>
      </c>
      <c r="E5326" t="s">
        <v>770</v>
      </c>
      <c r="F5326">
        <v>5</v>
      </c>
      <c r="G5326" s="308">
        <f>'JOVENES PROTAGONISTAS'!M86</f>
        <v>1</v>
      </c>
      <c r="H5326" s="308">
        <f>'JOVENES PROTAGONISTAS'!N86</f>
        <v>1008.4971894322654</v>
      </c>
    </row>
    <row r="5327" spans="1:8" x14ac:dyDescent="0.3">
      <c r="A5327" t="s">
        <v>632</v>
      </c>
      <c r="B5327" t="s">
        <v>504</v>
      </c>
      <c r="C5327" t="s">
        <v>506</v>
      </c>
      <c r="D5327" t="s">
        <v>693</v>
      </c>
      <c r="E5327" t="s">
        <v>771</v>
      </c>
      <c r="F5327">
        <v>6</v>
      </c>
      <c r="G5327" s="308">
        <f>'JOVENES PROTAGONISTAS'!O86</f>
        <v>162</v>
      </c>
      <c r="H5327" s="308">
        <f>'JOVENES PROTAGONISTAS'!P86</f>
        <v>37252.699983870967</v>
      </c>
    </row>
    <row r="5328" spans="1:8" x14ac:dyDescent="0.3">
      <c r="A5328" t="s">
        <v>632</v>
      </c>
      <c r="B5328" t="s">
        <v>504</v>
      </c>
      <c r="C5328" t="s">
        <v>506</v>
      </c>
      <c r="D5328" t="s">
        <v>693</v>
      </c>
      <c r="E5328" t="s">
        <v>772</v>
      </c>
      <c r="F5328">
        <v>7</v>
      </c>
      <c r="G5328" s="308">
        <f>'JOVENES PROTAGONISTAS'!Q86</f>
        <v>125</v>
      </c>
      <c r="H5328" s="308">
        <f>'JOVENES PROTAGONISTAS'!R86</f>
        <v>98803.310879771379</v>
      </c>
    </row>
    <row r="5329" spans="1:8" x14ac:dyDescent="0.3">
      <c r="A5329" t="s">
        <v>632</v>
      </c>
      <c r="B5329" t="s">
        <v>504</v>
      </c>
      <c r="C5329" t="s">
        <v>504</v>
      </c>
      <c r="D5329" t="s">
        <v>693</v>
      </c>
      <c r="E5329" t="s">
        <v>766</v>
      </c>
      <c r="F5329">
        <v>1</v>
      </c>
      <c r="G5329" s="308">
        <f>'JOVENES PROTAGONISTAS'!E87</f>
        <v>0</v>
      </c>
      <c r="H5329" s="308">
        <f>'JOVENES PROTAGONISTAS'!F87</f>
        <v>0</v>
      </c>
    </row>
    <row r="5330" spans="1:8" x14ac:dyDescent="0.3">
      <c r="A5330" t="s">
        <v>632</v>
      </c>
      <c r="B5330" t="s">
        <v>504</v>
      </c>
      <c r="C5330" t="s">
        <v>504</v>
      </c>
      <c r="D5330" t="s">
        <v>693</v>
      </c>
      <c r="E5330" t="s">
        <v>767</v>
      </c>
      <c r="F5330">
        <v>2</v>
      </c>
      <c r="G5330" s="308">
        <f>'JOVENES PROTAGONISTAS'!G87</f>
        <v>0</v>
      </c>
      <c r="H5330" s="308">
        <f>'JOVENES PROTAGONISTAS'!H87</f>
        <v>0</v>
      </c>
    </row>
    <row r="5331" spans="1:8" x14ac:dyDescent="0.3">
      <c r="A5331" t="s">
        <v>632</v>
      </c>
      <c r="B5331" t="s">
        <v>504</v>
      </c>
      <c r="C5331" t="s">
        <v>504</v>
      </c>
      <c r="D5331" t="s">
        <v>693</v>
      </c>
      <c r="E5331" t="s">
        <v>768</v>
      </c>
      <c r="F5331">
        <v>3</v>
      </c>
      <c r="G5331" s="308">
        <f>'JOVENES PROTAGONISTAS'!I87</f>
        <v>46</v>
      </c>
      <c r="H5331" s="308">
        <f>'JOVENES PROTAGONISTAS'!J87</f>
        <v>7624.9218625780804</v>
      </c>
    </row>
    <row r="5332" spans="1:8" x14ac:dyDescent="0.3">
      <c r="A5332" t="s">
        <v>632</v>
      </c>
      <c r="B5332" t="s">
        <v>504</v>
      </c>
      <c r="C5332" t="s">
        <v>504</v>
      </c>
      <c r="D5332" t="s">
        <v>693</v>
      </c>
      <c r="E5332" t="s">
        <v>769</v>
      </c>
      <c r="F5332">
        <v>4</v>
      </c>
      <c r="G5332" s="308">
        <f>'JOVENES PROTAGONISTAS'!K87</f>
        <v>79</v>
      </c>
      <c r="H5332" s="308">
        <f>'JOVENES PROTAGONISTAS'!L87</f>
        <v>67915.769263266353</v>
      </c>
    </row>
    <row r="5333" spans="1:8" x14ac:dyDescent="0.3">
      <c r="A5333" t="s">
        <v>632</v>
      </c>
      <c r="B5333" t="s">
        <v>504</v>
      </c>
      <c r="C5333" t="s">
        <v>504</v>
      </c>
      <c r="D5333" t="s">
        <v>693</v>
      </c>
      <c r="E5333" t="s">
        <v>770</v>
      </c>
      <c r="F5333">
        <v>5</v>
      </c>
      <c r="G5333" s="308">
        <f>'JOVENES PROTAGONISTAS'!M87</f>
        <v>45</v>
      </c>
      <c r="H5333" s="308">
        <f>'JOVENES PROTAGONISTAS'!N87</f>
        <v>45382.373524451941</v>
      </c>
    </row>
    <row r="5334" spans="1:8" x14ac:dyDescent="0.3">
      <c r="A5334" t="s">
        <v>632</v>
      </c>
      <c r="B5334" t="s">
        <v>504</v>
      </c>
      <c r="C5334" t="s">
        <v>504</v>
      </c>
      <c r="D5334" t="s">
        <v>693</v>
      </c>
      <c r="E5334" t="s">
        <v>771</v>
      </c>
      <c r="F5334">
        <v>6</v>
      </c>
      <c r="G5334" s="308">
        <f>'JOVENES PROTAGONISTAS'!O87</f>
        <v>212</v>
      </c>
      <c r="H5334" s="308">
        <f>'JOVENES PROTAGONISTAS'!P87</f>
        <v>48750.446892473119</v>
      </c>
    </row>
    <row r="5335" spans="1:8" x14ac:dyDescent="0.3">
      <c r="A5335" t="s">
        <v>632</v>
      </c>
      <c r="B5335" t="s">
        <v>504</v>
      </c>
      <c r="C5335" t="s">
        <v>504</v>
      </c>
      <c r="D5335" t="s">
        <v>693</v>
      </c>
      <c r="E5335" t="s">
        <v>772</v>
      </c>
      <c r="F5335">
        <v>7</v>
      </c>
      <c r="G5335" s="308">
        <f>'JOVENES PROTAGONISTAS'!Q87</f>
        <v>203</v>
      </c>
      <c r="H5335" s="308">
        <f>'JOVENES PROTAGONISTAS'!R87</f>
        <v>160456.5768687487</v>
      </c>
    </row>
    <row r="5336" spans="1:8" x14ac:dyDescent="0.3">
      <c r="A5336" t="s">
        <v>632</v>
      </c>
      <c r="B5336" t="s">
        <v>504</v>
      </c>
      <c r="C5336" t="s">
        <v>507</v>
      </c>
      <c r="D5336" t="s">
        <v>693</v>
      </c>
      <c r="E5336" t="s">
        <v>766</v>
      </c>
      <c r="F5336">
        <v>1</v>
      </c>
      <c r="G5336" s="308">
        <f>'JOVENES PROTAGONISTAS'!E88</f>
        <v>0</v>
      </c>
      <c r="H5336" s="308">
        <f>'JOVENES PROTAGONISTAS'!F88</f>
        <v>0</v>
      </c>
    </row>
    <row r="5337" spans="1:8" x14ac:dyDescent="0.3">
      <c r="A5337" t="s">
        <v>632</v>
      </c>
      <c r="B5337" t="s">
        <v>504</v>
      </c>
      <c r="C5337" t="s">
        <v>507</v>
      </c>
      <c r="D5337" t="s">
        <v>693</v>
      </c>
      <c r="E5337" t="s">
        <v>767</v>
      </c>
      <c r="F5337">
        <v>2</v>
      </c>
      <c r="G5337" s="308">
        <f>'JOVENES PROTAGONISTAS'!G88</f>
        <v>0</v>
      </c>
      <c r="H5337" s="308">
        <f>'JOVENES PROTAGONISTAS'!H88</f>
        <v>0</v>
      </c>
    </row>
    <row r="5338" spans="1:8" x14ac:dyDescent="0.3">
      <c r="A5338" t="s">
        <v>632</v>
      </c>
      <c r="B5338" t="s">
        <v>504</v>
      </c>
      <c r="C5338" t="s">
        <v>507</v>
      </c>
      <c r="D5338" t="s">
        <v>693</v>
      </c>
      <c r="E5338" t="s">
        <v>768</v>
      </c>
      <c r="F5338">
        <v>3</v>
      </c>
      <c r="G5338" s="308">
        <f>'JOVENES PROTAGONISTAS'!I88</f>
        <v>13</v>
      </c>
      <c r="H5338" s="308">
        <f>'JOVENES PROTAGONISTAS'!J88</f>
        <v>2154.8692220329358</v>
      </c>
    </row>
    <row r="5339" spans="1:8" x14ac:dyDescent="0.3">
      <c r="A5339" t="s">
        <v>632</v>
      </c>
      <c r="B5339" t="s">
        <v>504</v>
      </c>
      <c r="C5339" t="s">
        <v>507</v>
      </c>
      <c r="D5339" t="s">
        <v>693</v>
      </c>
      <c r="E5339" t="s">
        <v>769</v>
      </c>
      <c r="F5339">
        <v>4</v>
      </c>
      <c r="G5339" s="308">
        <f>'JOVENES PROTAGONISTAS'!K88</f>
        <v>10</v>
      </c>
      <c r="H5339" s="308">
        <f>'JOVENES PROTAGONISTAS'!L88</f>
        <v>8596.9328181349811</v>
      </c>
    </row>
    <row r="5340" spans="1:8" x14ac:dyDescent="0.3">
      <c r="A5340" t="s">
        <v>632</v>
      </c>
      <c r="B5340" t="s">
        <v>504</v>
      </c>
      <c r="C5340" t="s">
        <v>507</v>
      </c>
      <c r="D5340" t="s">
        <v>693</v>
      </c>
      <c r="E5340" t="s">
        <v>770</v>
      </c>
      <c r="F5340">
        <v>5</v>
      </c>
      <c r="G5340" s="308">
        <f>'JOVENES PROTAGONISTAS'!M88</f>
        <v>52</v>
      </c>
      <c r="H5340" s="308">
        <f>'JOVENES PROTAGONISTAS'!N88</f>
        <v>52441.853850477797</v>
      </c>
    </row>
    <row r="5341" spans="1:8" x14ac:dyDescent="0.3">
      <c r="A5341" t="s">
        <v>632</v>
      </c>
      <c r="B5341" t="s">
        <v>504</v>
      </c>
      <c r="C5341" t="s">
        <v>507</v>
      </c>
      <c r="D5341" t="s">
        <v>693</v>
      </c>
      <c r="E5341" t="s">
        <v>771</v>
      </c>
      <c r="F5341">
        <v>6</v>
      </c>
      <c r="G5341" s="308">
        <f>'JOVENES PROTAGONISTAS'!O88</f>
        <v>5</v>
      </c>
      <c r="H5341" s="308">
        <f>'JOVENES PROTAGONISTAS'!P88</f>
        <v>1149.7746908602151</v>
      </c>
    </row>
    <row r="5342" spans="1:8" x14ac:dyDescent="0.3">
      <c r="A5342" t="s">
        <v>632</v>
      </c>
      <c r="B5342" t="s">
        <v>504</v>
      </c>
      <c r="C5342" t="s">
        <v>507</v>
      </c>
      <c r="D5342" t="s">
        <v>693</v>
      </c>
      <c r="E5342" t="s">
        <v>772</v>
      </c>
      <c r="F5342">
        <v>7</v>
      </c>
      <c r="G5342" s="308">
        <f>'JOVENES PROTAGONISTAS'!Q88</f>
        <v>148</v>
      </c>
      <c r="H5342" s="308">
        <f>'JOVENES PROTAGONISTAS'!R88</f>
        <v>116983.12008164931</v>
      </c>
    </row>
    <row r="5343" spans="1:8" x14ac:dyDescent="0.3">
      <c r="A5343" t="s">
        <v>632</v>
      </c>
      <c r="B5343" t="s">
        <v>504</v>
      </c>
      <c r="C5343" t="s">
        <v>721</v>
      </c>
      <c r="D5343" t="s">
        <v>693</v>
      </c>
      <c r="E5343" t="s">
        <v>766</v>
      </c>
      <c r="F5343">
        <v>1</v>
      </c>
      <c r="G5343" s="308">
        <f>'JOVENES PROTAGONISTAS'!E89</f>
        <v>0</v>
      </c>
      <c r="H5343" s="308">
        <f>'JOVENES PROTAGONISTAS'!F89</f>
        <v>0</v>
      </c>
    </row>
    <row r="5344" spans="1:8" x14ac:dyDescent="0.3">
      <c r="A5344" t="s">
        <v>632</v>
      </c>
      <c r="B5344" t="s">
        <v>504</v>
      </c>
      <c r="C5344" t="s">
        <v>721</v>
      </c>
      <c r="D5344" t="s">
        <v>693</v>
      </c>
      <c r="E5344" t="s">
        <v>767</v>
      </c>
      <c r="F5344">
        <v>2</v>
      </c>
      <c r="G5344" s="308">
        <f>'JOVENES PROTAGONISTAS'!G89</f>
        <v>18</v>
      </c>
      <c r="H5344" s="308">
        <f>'JOVENES PROTAGONISTAS'!H89</f>
        <v>1808.856516103692</v>
      </c>
    </row>
    <row r="5345" spans="1:8" x14ac:dyDescent="0.3">
      <c r="A5345" t="s">
        <v>632</v>
      </c>
      <c r="B5345" t="s">
        <v>504</v>
      </c>
      <c r="C5345" t="s">
        <v>721</v>
      </c>
      <c r="D5345" t="s">
        <v>693</v>
      </c>
      <c r="E5345" t="s">
        <v>768</v>
      </c>
      <c r="F5345">
        <v>3</v>
      </c>
      <c r="G5345" s="308">
        <f>'JOVENES PROTAGONISTAS'!I89</f>
        <v>152</v>
      </c>
      <c r="H5345" s="308">
        <f>'JOVENES PROTAGONISTAS'!J89</f>
        <v>25195.393980692788</v>
      </c>
    </row>
    <row r="5346" spans="1:8" x14ac:dyDescent="0.3">
      <c r="A5346" t="s">
        <v>632</v>
      </c>
      <c r="B5346" t="s">
        <v>504</v>
      </c>
      <c r="C5346" t="s">
        <v>721</v>
      </c>
      <c r="D5346" t="s">
        <v>693</v>
      </c>
      <c r="E5346" t="s">
        <v>769</v>
      </c>
      <c r="F5346">
        <v>4</v>
      </c>
      <c r="G5346" s="308">
        <f>'JOVENES PROTAGONISTAS'!K89</f>
        <v>60</v>
      </c>
      <c r="H5346" s="308">
        <f>'JOVENES PROTAGONISTAS'!L89</f>
        <v>51581.596908809894</v>
      </c>
    </row>
    <row r="5347" spans="1:8" x14ac:dyDescent="0.3">
      <c r="A5347" t="s">
        <v>632</v>
      </c>
      <c r="B5347" t="s">
        <v>504</v>
      </c>
      <c r="C5347" t="s">
        <v>721</v>
      </c>
      <c r="D5347" t="s">
        <v>693</v>
      </c>
      <c r="E5347" t="s">
        <v>770</v>
      </c>
      <c r="F5347">
        <v>5</v>
      </c>
      <c r="G5347" s="308">
        <f>'JOVENES PROTAGONISTAS'!M89</f>
        <v>37</v>
      </c>
      <c r="H5347" s="308">
        <f>'JOVENES PROTAGONISTAS'!N89</f>
        <v>37314.396008993819</v>
      </c>
    </row>
    <row r="5348" spans="1:8" x14ac:dyDescent="0.3">
      <c r="A5348" t="s">
        <v>632</v>
      </c>
      <c r="B5348" t="s">
        <v>504</v>
      </c>
      <c r="C5348" t="s">
        <v>721</v>
      </c>
      <c r="D5348" t="s">
        <v>693</v>
      </c>
      <c r="E5348" t="s">
        <v>771</v>
      </c>
      <c r="F5348">
        <v>6</v>
      </c>
      <c r="G5348" s="308">
        <f>'JOVENES PROTAGONISTAS'!O89</f>
        <v>175</v>
      </c>
      <c r="H5348" s="308">
        <f>'JOVENES PROTAGONISTAS'!P89</f>
        <v>40242.114180107528</v>
      </c>
    </row>
    <row r="5349" spans="1:8" x14ac:dyDescent="0.3">
      <c r="A5349" t="s">
        <v>632</v>
      </c>
      <c r="B5349" t="s">
        <v>504</v>
      </c>
      <c r="C5349" t="s">
        <v>721</v>
      </c>
      <c r="D5349" t="s">
        <v>693</v>
      </c>
      <c r="E5349" t="s">
        <v>772</v>
      </c>
      <c r="F5349">
        <v>7</v>
      </c>
      <c r="G5349" s="308">
        <f>'JOVENES PROTAGONISTAS'!Q89</f>
        <v>133</v>
      </c>
      <c r="H5349" s="308">
        <f>'JOVENES PROTAGONISTAS'!R89</f>
        <v>105126.72277607674</v>
      </c>
    </row>
    <row r="5350" spans="1:8" x14ac:dyDescent="0.3">
      <c r="A5350" t="s">
        <v>632</v>
      </c>
      <c r="B5350" t="s">
        <v>722</v>
      </c>
      <c r="C5350" t="s">
        <v>723</v>
      </c>
      <c r="D5350" t="s">
        <v>693</v>
      </c>
      <c r="E5350" t="s">
        <v>766</v>
      </c>
      <c r="F5350">
        <v>1</v>
      </c>
      <c r="G5350" s="308">
        <f>'JOVENES PROTAGONISTAS'!E90</f>
        <v>0</v>
      </c>
      <c r="H5350" s="308">
        <f>'JOVENES PROTAGONISTAS'!F90</f>
        <v>0</v>
      </c>
    </row>
    <row r="5351" spans="1:8" x14ac:dyDescent="0.3">
      <c r="A5351" t="s">
        <v>632</v>
      </c>
      <c r="B5351" t="s">
        <v>722</v>
      </c>
      <c r="C5351" t="s">
        <v>723</v>
      </c>
      <c r="D5351" t="s">
        <v>693</v>
      </c>
      <c r="E5351" t="s">
        <v>767</v>
      </c>
      <c r="F5351">
        <v>2</v>
      </c>
      <c r="G5351" s="308">
        <f>'JOVENES PROTAGONISTAS'!G90</f>
        <v>18</v>
      </c>
      <c r="H5351" s="308">
        <f>'JOVENES PROTAGONISTAS'!H90</f>
        <v>1808.856516103692</v>
      </c>
    </row>
    <row r="5352" spans="1:8" x14ac:dyDescent="0.3">
      <c r="A5352" t="s">
        <v>632</v>
      </c>
      <c r="B5352" t="s">
        <v>722</v>
      </c>
      <c r="C5352" t="s">
        <v>723</v>
      </c>
      <c r="D5352" t="s">
        <v>693</v>
      </c>
      <c r="E5352" t="s">
        <v>768</v>
      </c>
      <c r="F5352">
        <v>3</v>
      </c>
      <c r="G5352" s="308">
        <f>'JOVENES PROTAGONISTAS'!I90</f>
        <v>6</v>
      </c>
      <c r="H5352" s="308">
        <f>'JOVENES PROTAGONISTAS'!J90</f>
        <v>994.55502555366274</v>
      </c>
    </row>
    <row r="5353" spans="1:8" x14ac:dyDescent="0.3">
      <c r="A5353" t="s">
        <v>632</v>
      </c>
      <c r="B5353" t="s">
        <v>722</v>
      </c>
      <c r="C5353" t="s">
        <v>723</v>
      </c>
      <c r="D5353" t="s">
        <v>693</v>
      </c>
      <c r="E5353" t="s">
        <v>769</v>
      </c>
      <c r="F5353">
        <v>4</v>
      </c>
      <c r="G5353" s="308">
        <f>'JOVENES PROTAGONISTAS'!K90</f>
        <v>48</v>
      </c>
      <c r="H5353" s="308">
        <f>'JOVENES PROTAGONISTAS'!L90</f>
        <v>41265.277527047911</v>
      </c>
    </row>
    <row r="5354" spans="1:8" x14ac:dyDescent="0.3">
      <c r="A5354" t="s">
        <v>632</v>
      </c>
      <c r="B5354" t="s">
        <v>722</v>
      </c>
      <c r="C5354" t="s">
        <v>723</v>
      </c>
      <c r="D5354" t="s">
        <v>693</v>
      </c>
      <c r="E5354" t="s">
        <v>770</v>
      </c>
      <c r="F5354">
        <v>5</v>
      </c>
      <c r="G5354" s="308">
        <f>'JOVENES PROTAGONISTAS'!M90</f>
        <v>22</v>
      </c>
      <c r="H5354" s="308">
        <f>'JOVENES PROTAGONISTAS'!N90</f>
        <v>22186.938167509838</v>
      </c>
    </row>
    <row r="5355" spans="1:8" x14ac:dyDescent="0.3">
      <c r="A5355" t="s">
        <v>632</v>
      </c>
      <c r="B5355" t="s">
        <v>722</v>
      </c>
      <c r="C5355" t="s">
        <v>723</v>
      </c>
      <c r="D5355" t="s">
        <v>693</v>
      </c>
      <c r="E5355" t="s">
        <v>771</v>
      </c>
      <c r="F5355">
        <v>6</v>
      </c>
      <c r="G5355" s="308">
        <f>'JOVENES PROTAGONISTAS'!O90</f>
        <v>122</v>
      </c>
      <c r="H5355" s="308">
        <f>'JOVENES PROTAGONISTAS'!P90</f>
        <v>28054.502456989245</v>
      </c>
    </row>
    <row r="5356" spans="1:8" x14ac:dyDescent="0.3">
      <c r="A5356" t="s">
        <v>632</v>
      </c>
      <c r="B5356" t="s">
        <v>722</v>
      </c>
      <c r="C5356" t="s">
        <v>723</v>
      </c>
      <c r="D5356" t="s">
        <v>693</v>
      </c>
      <c r="E5356" t="s">
        <v>772</v>
      </c>
      <c r="F5356">
        <v>7</v>
      </c>
      <c r="G5356" s="308">
        <f>'JOVENES PROTAGONISTAS'!Q90</f>
        <v>102</v>
      </c>
      <c r="H5356" s="308">
        <f>'JOVENES PROTAGONISTAS'!R90</f>
        <v>80623.501677893437</v>
      </c>
    </row>
    <row r="5357" spans="1:8" x14ac:dyDescent="0.3">
      <c r="A5357" t="s">
        <v>632</v>
      </c>
      <c r="B5357" t="s">
        <v>722</v>
      </c>
      <c r="C5357" t="s">
        <v>511</v>
      </c>
      <c r="D5357" t="s">
        <v>693</v>
      </c>
      <c r="E5357" t="s">
        <v>766</v>
      </c>
      <c r="F5357">
        <v>1</v>
      </c>
      <c r="G5357" s="308">
        <f>'JOVENES PROTAGONISTAS'!E91</f>
        <v>0</v>
      </c>
      <c r="H5357" s="308">
        <f>'JOVENES PROTAGONISTAS'!F91</f>
        <v>0</v>
      </c>
    </row>
    <row r="5358" spans="1:8" x14ac:dyDescent="0.3">
      <c r="A5358" t="s">
        <v>632</v>
      </c>
      <c r="B5358" t="s">
        <v>722</v>
      </c>
      <c r="C5358" t="s">
        <v>511</v>
      </c>
      <c r="D5358" t="s">
        <v>693</v>
      </c>
      <c r="E5358" t="s">
        <v>767</v>
      </c>
      <c r="F5358">
        <v>2</v>
      </c>
      <c r="G5358" s="308">
        <f>'JOVENES PROTAGONISTAS'!G91</f>
        <v>28</v>
      </c>
      <c r="H5358" s="308">
        <f>'JOVENES PROTAGONISTAS'!H91</f>
        <v>2813.7768028279656</v>
      </c>
    </row>
    <row r="5359" spans="1:8" x14ac:dyDescent="0.3">
      <c r="A5359" t="s">
        <v>632</v>
      </c>
      <c r="B5359" t="s">
        <v>722</v>
      </c>
      <c r="C5359" t="s">
        <v>511</v>
      </c>
      <c r="D5359" t="s">
        <v>693</v>
      </c>
      <c r="E5359" t="s">
        <v>768</v>
      </c>
      <c r="F5359">
        <v>3</v>
      </c>
      <c r="G5359" s="308">
        <f>'JOVENES PROTAGONISTAS'!I91</f>
        <v>142</v>
      </c>
      <c r="H5359" s="308">
        <f>'JOVENES PROTAGONISTAS'!J91</f>
        <v>23537.802271436685</v>
      </c>
    </row>
    <row r="5360" spans="1:8" x14ac:dyDescent="0.3">
      <c r="A5360" t="s">
        <v>632</v>
      </c>
      <c r="B5360" t="s">
        <v>722</v>
      </c>
      <c r="C5360" t="s">
        <v>511</v>
      </c>
      <c r="D5360" t="s">
        <v>693</v>
      </c>
      <c r="E5360" t="s">
        <v>769</v>
      </c>
      <c r="F5360">
        <v>4</v>
      </c>
      <c r="G5360" s="308">
        <f>'JOVENES PROTAGONISTAS'!K91</f>
        <v>18</v>
      </c>
      <c r="H5360" s="308">
        <f>'JOVENES PROTAGONISTAS'!L91</f>
        <v>15474.479072642967</v>
      </c>
    </row>
    <row r="5361" spans="1:8" x14ac:dyDescent="0.3">
      <c r="A5361" t="s">
        <v>632</v>
      </c>
      <c r="B5361" t="s">
        <v>722</v>
      </c>
      <c r="C5361" t="s">
        <v>511</v>
      </c>
      <c r="D5361" t="s">
        <v>693</v>
      </c>
      <c r="E5361" t="s">
        <v>770</v>
      </c>
      <c r="F5361">
        <v>5</v>
      </c>
      <c r="G5361" s="308">
        <f>'JOVENES PROTAGONISTAS'!M91</f>
        <v>10</v>
      </c>
      <c r="H5361" s="308">
        <f>'JOVENES PROTAGONISTAS'!N91</f>
        <v>10084.971894322654</v>
      </c>
    </row>
    <row r="5362" spans="1:8" x14ac:dyDescent="0.3">
      <c r="A5362" t="s">
        <v>632</v>
      </c>
      <c r="B5362" t="s">
        <v>722</v>
      </c>
      <c r="C5362" t="s">
        <v>511</v>
      </c>
      <c r="D5362" t="s">
        <v>693</v>
      </c>
      <c r="E5362" t="s">
        <v>771</v>
      </c>
      <c r="F5362">
        <v>6</v>
      </c>
      <c r="G5362" s="308">
        <f>'JOVENES PROTAGONISTAS'!O91</f>
        <v>120</v>
      </c>
      <c r="H5362" s="308">
        <f>'JOVENES PROTAGONISTAS'!P91</f>
        <v>27594.59258064516</v>
      </c>
    </row>
    <row r="5363" spans="1:8" x14ac:dyDescent="0.3">
      <c r="A5363" t="s">
        <v>632</v>
      </c>
      <c r="B5363" t="s">
        <v>722</v>
      </c>
      <c r="C5363" t="s">
        <v>511</v>
      </c>
      <c r="D5363" t="s">
        <v>693</v>
      </c>
      <c r="E5363" t="s">
        <v>772</v>
      </c>
      <c r="F5363">
        <v>7</v>
      </c>
      <c r="G5363" s="308">
        <f>'JOVENES PROTAGONISTAS'!Q91</f>
        <v>100</v>
      </c>
      <c r="H5363" s="308">
        <f>'JOVENES PROTAGONISTAS'!R91</f>
        <v>79042.648703817104</v>
      </c>
    </row>
    <row r="5364" spans="1:8" x14ac:dyDescent="0.3">
      <c r="A5364" t="s">
        <v>632</v>
      </c>
      <c r="B5364" t="s">
        <v>722</v>
      </c>
      <c r="C5364" t="s">
        <v>512</v>
      </c>
      <c r="D5364" t="s">
        <v>693</v>
      </c>
      <c r="E5364" t="s">
        <v>766</v>
      </c>
      <c r="F5364">
        <v>1</v>
      </c>
      <c r="G5364" s="308">
        <f>'JOVENES PROTAGONISTAS'!E92</f>
        <v>0</v>
      </c>
      <c r="H5364" s="308">
        <f>'JOVENES PROTAGONISTAS'!F92</f>
        <v>0</v>
      </c>
    </row>
    <row r="5365" spans="1:8" x14ac:dyDescent="0.3">
      <c r="A5365" t="s">
        <v>632</v>
      </c>
      <c r="B5365" t="s">
        <v>722</v>
      </c>
      <c r="C5365" t="s">
        <v>512</v>
      </c>
      <c r="D5365" t="s">
        <v>693</v>
      </c>
      <c r="E5365" t="s">
        <v>767</v>
      </c>
      <c r="F5365">
        <v>2</v>
      </c>
      <c r="G5365" s="308">
        <f>'JOVENES PROTAGONISTAS'!G92</f>
        <v>46</v>
      </c>
      <c r="H5365" s="308">
        <f>'JOVENES PROTAGONISTAS'!H92</f>
        <v>4622.6333189316574</v>
      </c>
    </row>
    <row r="5366" spans="1:8" x14ac:dyDescent="0.3">
      <c r="A5366" t="s">
        <v>632</v>
      </c>
      <c r="B5366" t="s">
        <v>722</v>
      </c>
      <c r="C5366" t="s">
        <v>512</v>
      </c>
      <c r="D5366" t="s">
        <v>693</v>
      </c>
      <c r="E5366" t="s">
        <v>768</v>
      </c>
      <c r="F5366">
        <v>3</v>
      </c>
      <c r="G5366" s="308">
        <f>'JOVENES PROTAGONISTAS'!I92</f>
        <v>131</v>
      </c>
      <c r="H5366" s="308">
        <f>'JOVENES PROTAGONISTAS'!J92</f>
        <v>21714.45139125497</v>
      </c>
    </row>
    <row r="5367" spans="1:8" x14ac:dyDescent="0.3">
      <c r="A5367" t="s">
        <v>632</v>
      </c>
      <c r="B5367" t="s">
        <v>722</v>
      </c>
      <c r="C5367" t="s">
        <v>512</v>
      </c>
      <c r="D5367" t="s">
        <v>693</v>
      </c>
      <c r="E5367" t="s">
        <v>769</v>
      </c>
      <c r="F5367">
        <v>4</v>
      </c>
      <c r="G5367" s="308">
        <f>'JOVENES PROTAGONISTAS'!K92</f>
        <v>9</v>
      </c>
      <c r="H5367" s="308">
        <f>'JOVENES PROTAGONISTAS'!L92</f>
        <v>7737.2395363214837</v>
      </c>
    </row>
    <row r="5368" spans="1:8" x14ac:dyDescent="0.3">
      <c r="A5368" t="s">
        <v>632</v>
      </c>
      <c r="B5368" t="s">
        <v>722</v>
      </c>
      <c r="C5368" t="s">
        <v>512</v>
      </c>
      <c r="D5368" t="s">
        <v>693</v>
      </c>
      <c r="E5368" t="s">
        <v>770</v>
      </c>
      <c r="F5368">
        <v>5</v>
      </c>
      <c r="G5368" s="308">
        <f>'JOVENES PROTAGONISTAS'!M92</f>
        <v>3</v>
      </c>
      <c r="H5368" s="308">
        <f>'JOVENES PROTAGONISTAS'!N92</f>
        <v>3025.4915682967962</v>
      </c>
    </row>
    <row r="5369" spans="1:8" x14ac:dyDescent="0.3">
      <c r="A5369" t="s">
        <v>632</v>
      </c>
      <c r="B5369" t="s">
        <v>722</v>
      </c>
      <c r="C5369" t="s">
        <v>512</v>
      </c>
      <c r="D5369" t="s">
        <v>693</v>
      </c>
      <c r="E5369" t="s">
        <v>771</v>
      </c>
      <c r="F5369">
        <v>6</v>
      </c>
      <c r="G5369" s="308">
        <f>'JOVENES PROTAGONISTAS'!O92</f>
        <v>120</v>
      </c>
      <c r="H5369" s="308">
        <f>'JOVENES PROTAGONISTAS'!P92</f>
        <v>27594.59258064516</v>
      </c>
    </row>
    <row r="5370" spans="1:8" x14ac:dyDescent="0.3">
      <c r="A5370" t="s">
        <v>632</v>
      </c>
      <c r="B5370" t="s">
        <v>722</v>
      </c>
      <c r="C5370" t="s">
        <v>512</v>
      </c>
      <c r="D5370" t="s">
        <v>693</v>
      </c>
      <c r="E5370" t="s">
        <v>772</v>
      </c>
      <c r="F5370">
        <v>7</v>
      </c>
      <c r="G5370" s="308">
        <f>'JOVENES PROTAGONISTAS'!Q92</f>
        <v>104</v>
      </c>
      <c r="H5370" s="308">
        <f>'JOVENES PROTAGONISTAS'!R92</f>
        <v>82204.354651969785</v>
      </c>
    </row>
    <row r="5371" spans="1:8" x14ac:dyDescent="0.3">
      <c r="A5371" t="s">
        <v>632</v>
      </c>
      <c r="B5371" t="s">
        <v>722</v>
      </c>
      <c r="C5371" t="s">
        <v>513</v>
      </c>
      <c r="D5371" t="s">
        <v>693</v>
      </c>
      <c r="E5371" t="s">
        <v>766</v>
      </c>
      <c r="F5371">
        <v>1</v>
      </c>
      <c r="G5371" s="308">
        <f>'JOVENES PROTAGONISTAS'!E93</f>
        <v>0</v>
      </c>
      <c r="H5371" s="308">
        <f>'JOVENES PROTAGONISTAS'!F93</f>
        <v>0</v>
      </c>
    </row>
    <row r="5372" spans="1:8" x14ac:dyDescent="0.3">
      <c r="A5372" t="s">
        <v>632</v>
      </c>
      <c r="B5372" t="s">
        <v>722</v>
      </c>
      <c r="C5372" t="s">
        <v>513</v>
      </c>
      <c r="D5372" t="s">
        <v>693</v>
      </c>
      <c r="E5372" t="s">
        <v>767</v>
      </c>
      <c r="F5372">
        <v>2</v>
      </c>
      <c r="G5372" s="308">
        <f>'JOVENES PROTAGONISTAS'!G93</f>
        <v>32</v>
      </c>
      <c r="H5372" s="308">
        <f>'JOVENES PROTAGONISTAS'!H93</f>
        <v>3215.7449175176748</v>
      </c>
    </row>
    <row r="5373" spans="1:8" x14ac:dyDescent="0.3">
      <c r="A5373" t="s">
        <v>632</v>
      </c>
      <c r="B5373" t="s">
        <v>722</v>
      </c>
      <c r="C5373" t="s">
        <v>513</v>
      </c>
      <c r="D5373" t="s">
        <v>693</v>
      </c>
      <c r="E5373" t="s">
        <v>768</v>
      </c>
      <c r="F5373">
        <v>3</v>
      </c>
      <c r="G5373" s="308">
        <f>'JOVENES PROTAGONISTAS'!I93</f>
        <v>122</v>
      </c>
      <c r="H5373" s="308">
        <f>'JOVENES PROTAGONISTAS'!J93</f>
        <v>20222.618852924476</v>
      </c>
    </row>
    <row r="5374" spans="1:8" x14ac:dyDescent="0.3">
      <c r="A5374" t="s">
        <v>632</v>
      </c>
      <c r="B5374" t="s">
        <v>722</v>
      </c>
      <c r="C5374" t="s">
        <v>513</v>
      </c>
      <c r="D5374" t="s">
        <v>693</v>
      </c>
      <c r="E5374" t="s">
        <v>769</v>
      </c>
      <c r="F5374">
        <v>4</v>
      </c>
      <c r="G5374" s="308">
        <f>'JOVENES PROTAGONISTAS'!K93</f>
        <v>5</v>
      </c>
      <c r="H5374" s="308">
        <f>'JOVENES PROTAGONISTAS'!L93</f>
        <v>4298.4664090674905</v>
      </c>
    </row>
    <row r="5375" spans="1:8" x14ac:dyDescent="0.3">
      <c r="A5375" t="s">
        <v>632</v>
      </c>
      <c r="B5375" t="s">
        <v>722</v>
      </c>
      <c r="C5375" t="s">
        <v>513</v>
      </c>
      <c r="D5375" t="s">
        <v>693</v>
      </c>
      <c r="E5375" t="s">
        <v>770</v>
      </c>
      <c r="F5375">
        <v>5</v>
      </c>
      <c r="G5375" s="308">
        <f>'JOVENES PROTAGONISTAS'!M93</f>
        <v>0</v>
      </c>
      <c r="H5375" s="308">
        <f>'JOVENES PROTAGONISTAS'!N93</f>
        <v>0</v>
      </c>
    </row>
    <row r="5376" spans="1:8" x14ac:dyDescent="0.3">
      <c r="A5376" t="s">
        <v>632</v>
      </c>
      <c r="B5376" t="s">
        <v>722</v>
      </c>
      <c r="C5376" t="s">
        <v>513</v>
      </c>
      <c r="D5376" t="s">
        <v>693</v>
      </c>
      <c r="E5376" t="s">
        <v>771</v>
      </c>
      <c r="F5376">
        <v>6</v>
      </c>
      <c r="G5376" s="308">
        <f>'JOVENES PROTAGONISTAS'!O93</f>
        <v>0</v>
      </c>
      <c r="H5376" s="308">
        <f>'JOVENES PROTAGONISTAS'!P93</f>
        <v>0</v>
      </c>
    </row>
    <row r="5377" spans="1:8" x14ac:dyDescent="0.3">
      <c r="A5377" t="s">
        <v>632</v>
      </c>
      <c r="B5377" t="s">
        <v>722</v>
      </c>
      <c r="C5377" t="s">
        <v>513</v>
      </c>
      <c r="D5377" t="s">
        <v>693</v>
      </c>
      <c r="E5377" t="s">
        <v>772</v>
      </c>
      <c r="F5377">
        <v>7</v>
      </c>
      <c r="G5377" s="308">
        <f>'JOVENES PROTAGONISTAS'!Q93</f>
        <v>102</v>
      </c>
      <c r="H5377" s="308">
        <f>'JOVENES PROTAGONISTAS'!R93</f>
        <v>80623.501677893437</v>
      </c>
    </row>
    <row r="5378" spans="1:8" x14ac:dyDescent="0.3">
      <c r="A5378" t="s">
        <v>632</v>
      </c>
      <c r="B5378" t="s">
        <v>722</v>
      </c>
      <c r="C5378" t="s">
        <v>724</v>
      </c>
      <c r="D5378" t="s">
        <v>693</v>
      </c>
      <c r="E5378" t="s">
        <v>766</v>
      </c>
      <c r="F5378">
        <v>1</v>
      </c>
      <c r="G5378" s="308">
        <f>'JOVENES PROTAGONISTAS'!E94</f>
        <v>0</v>
      </c>
      <c r="H5378" s="308">
        <f>'JOVENES PROTAGONISTAS'!F94</f>
        <v>0</v>
      </c>
    </row>
    <row r="5379" spans="1:8" x14ac:dyDescent="0.3">
      <c r="A5379" t="s">
        <v>632</v>
      </c>
      <c r="B5379" t="s">
        <v>722</v>
      </c>
      <c r="C5379" t="s">
        <v>724</v>
      </c>
      <c r="D5379" t="s">
        <v>693</v>
      </c>
      <c r="E5379" t="s">
        <v>767</v>
      </c>
      <c r="F5379">
        <v>2</v>
      </c>
      <c r="G5379" s="308">
        <f>'JOVENES PROTAGONISTAS'!G94</f>
        <v>67</v>
      </c>
      <c r="H5379" s="308">
        <f>'JOVENES PROTAGONISTAS'!H94</f>
        <v>6732.9659210526315</v>
      </c>
    </row>
    <row r="5380" spans="1:8" x14ac:dyDescent="0.3">
      <c r="A5380" t="s">
        <v>632</v>
      </c>
      <c r="B5380" t="s">
        <v>722</v>
      </c>
      <c r="C5380" t="s">
        <v>724</v>
      </c>
      <c r="D5380" t="s">
        <v>693</v>
      </c>
      <c r="E5380" t="s">
        <v>768</v>
      </c>
      <c r="F5380">
        <v>3</v>
      </c>
      <c r="G5380" s="308">
        <f>'JOVENES PROTAGONISTAS'!I94</f>
        <v>118</v>
      </c>
      <c r="H5380" s="308">
        <f>'JOVENES PROTAGONISTAS'!J94</f>
        <v>19559.582169222034</v>
      </c>
    </row>
    <row r="5381" spans="1:8" x14ac:dyDescent="0.3">
      <c r="A5381" t="s">
        <v>632</v>
      </c>
      <c r="B5381" t="s">
        <v>722</v>
      </c>
      <c r="C5381" t="s">
        <v>724</v>
      </c>
      <c r="D5381" t="s">
        <v>693</v>
      </c>
      <c r="E5381" t="s">
        <v>769</v>
      </c>
      <c r="F5381">
        <v>4</v>
      </c>
      <c r="G5381" s="308">
        <f>'JOVENES PROTAGONISTAS'!K94</f>
        <v>13</v>
      </c>
      <c r="H5381" s="308">
        <f>'JOVENES PROTAGONISTAS'!L94</f>
        <v>11176.012663575477</v>
      </c>
    </row>
    <row r="5382" spans="1:8" x14ac:dyDescent="0.3">
      <c r="A5382" t="s">
        <v>632</v>
      </c>
      <c r="B5382" t="s">
        <v>722</v>
      </c>
      <c r="C5382" t="s">
        <v>724</v>
      </c>
      <c r="D5382" t="s">
        <v>693</v>
      </c>
      <c r="E5382" t="s">
        <v>770</v>
      </c>
      <c r="F5382">
        <v>5</v>
      </c>
      <c r="G5382" s="308">
        <f>'JOVENES PROTAGONISTAS'!M94</f>
        <v>9</v>
      </c>
      <c r="H5382" s="308">
        <f>'JOVENES PROTAGONISTAS'!N94</f>
        <v>9076.4747048903882</v>
      </c>
    </row>
    <row r="5383" spans="1:8" x14ac:dyDescent="0.3">
      <c r="A5383" t="s">
        <v>632</v>
      </c>
      <c r="B5383" t="s">
        <v>722</v>
      </c>
      <c r="C5383" t="s">
        <v>724</v>
      </c>
      <c r="D5383" t="s">
        <v>693</v>
      </c>
      <c r="E5383" t="s">
        <v>771</v>
      </c>
      <c r="F5383">
        <v>6</v>
      </c>
      <c r="G5383" s="308">
        <f>'JOVENES PROTAGONISTAS'!O94</f>
        <v>142</v>
      </c>
      <c r="H5383" s="308">
        <f>'JOVENES PROTAGONISTAS'!P94</f>
        <v>32653.601220430108</v>
      </c>
    </row>
    <row r="5384" spans="1:8" x14ac:dyDescent="0.3">
      <c r="A5384" t="s">
        <v>632</v>
      </c>
      <c r="B5384" t="s">
        <v>722</v>
      </c>
      <c r="C5384" t="s">
        <v>724</v>
      </c>
      <c r="D5384" t="s">
        <v>693</v>
      </c>
      <c r="E5384" t="s">
        <v>772</v>
      </c>
      <c r="F5384">
        <v>7</v>
      </c>
      <c r="G5384" s="308">
        <f>'JOVENES PROTAGONISTAS'!Q94</f>
        <v>103</v>
      </c>
      <c r="H5384" s="308">
        <f>'JOVENES PROTAGONISTAS'!R94</f>
        <v>81413.928164931611</v>
      </c>
    </row>
    <row r="5385" spans="1:8" x14ac:dyDescent="0.3">
      <c r="A5385" t="s">
        <v>632</v>
      </c>
      <c r="B5385" t="s">
        <v>725</v>
      </c>
      <c r="C5385" t="s">
        <v>725</v>
      </c>
      <c r="D5385" t="s">
        <v>693</v>
      </c>
      <c r="E5385" t="s">
        <v>766</v>
      </c>
      <c r="F5385">
        <v>1</v>
      </c>
      <c r="G5385" s="308">
        <f>'JOVENES PROTAGONISTAS'!E95</f>
        <v>0</v>
      </c>
      <c r="H5385" s="308">
        <f>'JOVENES PROTAGONISTAS'!F95</f>
        <v>0</v>
      </c>
    </row>
    <row r="5386" spans="1:8" x14ac:dyDescent="0.3">
      <c r="A5386" t="s">
        <v>632</v>
      </c>
      <c r="B5386" t="s">
        <v>725</v>
      </c>
      <c r="C5386" t="s">
        <v>725</v>
      </c>
      <c r="D5386" t="s">
        <v>693</v>
      </c>
      <c r="E5386" t="s">
        <v>767</v>
      </c>
      <c r="F5386">
        <v>2</v>
      </c>
      <c r="G5386" s="308">
        <f>'JOVENES PROTAGONISTAS'!G95</f>
        <v>39</v>
      </c>
      <c r="H5386" s="308">
        <f>'JOVENES PROTAGONISTAS'!H95</f>
        <v>3919.1891182246663</v>
      </c>
    </row>
    <row r="5387" spans="1:8" x14ac:dyDescent="0.3">
      <c r="A5387" t="s">
        <v>632</v>
      </c>
      <c r="B5387" t="s">
        <v>725</v>
      </c>
      <c r="C5387" t="s">
        <v>725</v>
      </c>
      <c r="D5387" t="s">
        <v>693</v>
      </c>
      <c r="E5387" t="s">
        <v>768</v>
      </c>
      <c r="F5387">
        <v>3</v>
      </c>
      <c r="G5387" s="308">
        <f>'JOVENES PROTAGONISTAS'!I95</f>
        <v>183</v>
      </c>
      <c r="H5387" s="308">
        <f>'JOVENES PROTAGONISTAS'!J95</f>
        <v>30333.928279386713</v>
      </c>
    </row>
    <row r="5388" spans="1:8" x14ac:dyDescent="0.3">
      <c r="A5388" t="s">
        <v>632</v>
      </c>
      <c r="B5388" t="s">
        <v>725</v>
      </c>
      <c r="C5388" t="s">
        <v>725</v>
      </c>
      <c r="D5388" t="s">
        <v>693</v>
      </c>
      <c r="E5388" t="s">
        <v>769</v>
      </c>
      <c r="F5388">
        <v>4</v>
      </c>
      <c r="G5388" s="308">
        <f>'JOVENES PROTAGONISTAS'!K95</f>
        <v>48</v>
      </c>
      <c r="H5388" s="308">
        <f>'JOVENES PROTAGONISTAS'!L95</f>
        <v>41265.277527047911</v>
      </c>
    </row>
    <row r="5389" spans="1:8" x14ac:dyDescent="0.3">
      <c r="A5389" t="s">
        <v>632</v>
      </c>
      <c r="B5389" t="s">
        <v>725</v>
      </c>
      <c r="C5389" t="s">
        <v>725</v>
      </c>
      <c r="D5389" t="s">
        <v>693</v>
      </c>
      <c r="E5389" t="s">
        <v>770</v>
      </c>
      <c r="F5389">
        <v>5</v>
      </c>
      <c r="G5389" s="308">
        <f>'JOVENES PROTAGONISTAS'!M95</f>
        <v>16</v>
      </c>
      <c r="H5389" s="308">
        <f>'JOVENES PROTAGONISTAS'!N95</f>
        <v>16135.955030916246</v>
      </c>
    </row>
    <row r="5390" spans="1:8" x14ac:dyDescent="0.3">
      <c r="A5390" t="s">
        <v>632</v>
      </c>
      <c r="B5390" t="s">
        <v>725</v>
      </c>
      <c r="C5390" t="s">
        <v>725</v>
      </c>
      <c r="D5390" t="s">
        <v>693</v>
      </c>
      <c r="E5390" t="s">
        <v>771</v>
      </c>
      <c r="F5390">
        <v>6</v>
      </c>
      <c r="G5390" s="308">
        <f>'JOVENES PROTAGONISTAS'!O95</f>
        <v>251</v>
      </c>
      <c r="H5390" s="308">
        <f>'JOVENES PROTAGONISTAS'!P95</f>
        <v>57718.689481182795</v>
      </c>
    </row>
    <row r="5391" spans="1:8" x14ac:dyDescent="0.3">
      <c r="A5391" t="s">
        <v>632</v>
      </c>
      <c r="B5391" t="s">
        <v>725</v>
      </c>
      <c r="C5391" t="s">
        <v>725</v>
      </c>
      <c r="D5391" t="s">
        <v>693</v>
      </c>
      <c r="E5391" t="s">
        <v>772</v>
      </c>
      <c r="F5391">
        <v>7</v>
      </c>
      <c r="G5391" s="308">
        <f>'JOVENES PROTAGONISTAS'!Q95</f>
        <v>21</v>
      </c>
      <c r="H5391" s="308">
        <f>'JOVENES PROTAGONISTAS'!R95</f>
        <v>16598.956227801591</v>
      </c>
    </row>
    <row r="5392" spans="1:8" x14ac:dyDescent="0.3">
      <c r="A5392" t="s">
        <v>632</v>
      </c>
      <c r="B5392" t="s">
        <v>725</v>
      </c>
      <c r="C5392" t="s">
        <v>726</v>
      </c>
      <c r="D5392" t="s">
        <v>693</v>
      </c>
      <c r="E5392" t="s">
        <v>766</v>
      </c>
      <c r="F5392">
        <v>1</v>
      </c>
      <c r="G5392" s="308">
        <f>'JOVENES PROTAGONISTAS'!E96</f>
        <v>0</v>
      </c>
      <c r="H5392" s="308">
        <f>'JOVENES PROTAGONISTAS'!F96</f>
        <v>0</v>
      </c>
    </row>
    <row r="5393" spans="1:8" x14ac:dyDescent="0.3">
      <c r="A5393" t="s">
        <v>632</v>
      </c>
      <c r="B5393" t="s">
        <v>725</v>
      </c>
      <c r="C5393" t="s">
        <v>726</v>
      </c>
      <c r="D5393" t="s">
        <v>693</v>
      </c>
      <c r="E5393" t="s">
        <v>767</v>
      </c>
      <c r="F5393">
        <v>2</v>
      </c>
      <c r="G5393" s="308">
        <f>'JOVENES PROTAGONISTAS'!G96</f>
        <v>56</v>
      </c>
      <c r="H5393" s="308">
        <f>'JOVENES PROTAGONISTAS'!H96</f>
        <v>5627.5536056559313</v>
      </c>
    </row>
    <row r="5394" spans="1:8" x14ac:dyDescent="0.3">
      <c r="A5394" t="s">
        <v>632</v>
      </c>
      <c r="B5394" t="s">
        <v>725</v>
      </c>
      <c r="C5394" t="s">
        <v>726</v>
      </c>
      <c r="D5394" t="s">
        <v>693</v>
      </c>
      <c r="E5394" t="s">
        <v>768</v>
      </c>
      <c r="F5394">
        <v>3</v>
      </c>
      <c r="G5394" s="308">
        <f>'JOVENES PROTAGONISTAS'!I96</f>
        <v>184</v>
      </c>
      <c r="H5394" s="308">
        <f>'JOVENES PROTAGONISTAS'!J96</f>
        <v>30499.687450312322</v>
      </c>
    </row>
    <row r="5395" spans="1:8" x14ac:dyDescent="0.3">
      <c r="A5395" t="s">
        <v>632</v>
      </c>
      <c r="B5395" t="s">
        <v>725</v>
      </c>
      <c r="C5395" t="s">
        <v>726</v>
      </c>
      <c r="D5395" t="s">
        <v>693</v>
      </c>
      <c r="E5395" t="s">
        <v>769</v>
      </c>
      <c r="F5395">
        <v>4</v>
      </c>
      <c r="G5395" s="308">
        <f>'JOVENES PROTAGONISTAS'!K96</f>
        <v>96</v>
      </c>
      <c r="H5395" s="308">
        <f>'JOVENES PROTAGONISTAS'!L96</f>
        <v>82530.555054095821</v>
      </c>
    </row>
    <row r="5396" spans="1:8" x14ac:dyDescent="0.3">
      <c r="A5396" t="s">
        <v>632</v>
      </c>
      <c r="B5396" t="s">
        <v>725</v>
      </c>
      <c r="C5396" t="s">
        <v>726</v>
      </c>
      <c r="D5396" t="s">
        <v>693</v>
      </c>
      <c r="E5396" t="s">
        <v>770</v>
      </c>
      <c r="F5396">
        <v>5</v>
      </c>
      <c r="G5396" s="308">
        <f>'JOVENES PROTAGONISTAS'!M96</f>
        <v>7</v>
      </c>
      <c r="H5396" s="308">
        <f>'JOVENES PROTAGONISTAS'!N96</f>
        <v>7059.4803260258577</v>
      </c>
    </row>
    <row r="5397" spans="1:8" x14ac:dyDescent="0.3">
      <c r="A5397" t="s">
        <v>632</v>
      </c>
      <c r="B5397" t="s">
        <v>725</v>
      </c>
      <c r="C5397" t="s">
        <v>726</v>
      </c>
      <c r="D5397" t="s">
        <v>693</v>
      </c>
      <c r="E5397" t="s">
        <v>771</v>
      </c>
      <c r="F5397">
        <v>6</v>
      </c>
      <c r="G5397" s="308">
        <f>'JOVENES PROTAGONISTAS'!O96</f>
        <v>250</v>
      </c>
      <c r="H5397" s="308">
        <f>'JOVENES PROTAGONISTAS'!P96</f>
        <v>57488.734543010753</v>
      </c>
    </row>
    <row r="5398" spans="1:8" x14ac:dyDescent="0.3">
      <c r="A5398" t="s">
        <v>632</v>
      </c>
      <c r="B5398" t="s">
        <v>725</v>
      </c>
      <c r="C5398" t="s">
        <v>726</v>
      </c>
      <c r="D5398" t="s">
        <v>693</v>
      </c>
      <c r="E5398" t="s">
        <v>772</v>
      </c>
      <c r="F5398">
        <v>7</v>
      </c>
      <c r="G5398" s="308">
        <f>'JOVENES PROTAGONISTAS'!Q96</f>
        <v>14</v>
      </c>
      <c r="H5398" s="308">
        <f>'JOVENES PROTAGONISTAS'!R96</f>
        <v>11065.970818534393</v>
      </c>
    </row>
    <row r="5399" spans="1:8" x14ac:dyDescent="0.3">
      <c r="A5399" t="s">
        <v>632</v>
      </c>
      <c r="B5399" t="s">
        <v>725</v>
      </c>
      <c r="C5399" t="s">
        <v>727</v>
      </c>
      <c r="D5399" t="s">
        <v>693</v>
      </c>
      <c r="E5399" t="s">
        <v>766</v>
      </c>
      <c r="F5399">
        <v>1</v>
      </c>
      <c r="G5399" s="308">
        <f>'JOVENES PROTAGONISTAS'!E97</f>
        <v>0</v>
      </c>
      <c r="H5399" s="308">
        <f>'JOVENES PROTAGONISTAS'!F97</f>
        <v>0</v>
      </c>
    </row>
    <row r="5400" spans="1:8" x14ac:dyDescent="0.3">
      <c r="A5400" t="s">
        <v>632</v>
      </c>
      <c r="B5400" t="s">
        <v>725</v>
      </c>
      <c r="C5400" t="s">
        <v>727</v>
      </c>
      <c r="D5400" t="s">
        <v>693</v>
      </c>
      <c r="E5400" t="s">
        <v>767</v>
      </c>
      <c r="F5400">
        <v>2</v>
      </c>
      <c r="G5400" s="308">
        <f>'JOVENES PROTAGONISTAS'!G97</f>
        <v>94</v>
      </c>
      <c r="H5400" s="308">
        <f>'JOVENES PROTAGONISTAS'!H97</f>
        <v>9446.2506952081694</v>
      </c>
    </row>
    <row r="5401" spans="1:8" x14ac:dyDescent="0.3">
      <c r="A5401" t="s">
        <v>632</v>
      </c>
      <c r="B5401" t="s">
        <v>725</v>
      </c>
      <c r="C5401" t="s">
        <v>727</v>
      </c>
      <c r="D5401" t="s">
        <v>693</v>
      </c>
      <c r="E5401" t="s">
        <v>768</v>
      </c>
      <c r="F5401">
        <v>3</v>
      </c>
      <c r="G5401" s="308">
        <f>'JOVENES PROTAGONISTAS'!I97</f>
        <v>103</v>
      </c>
      <c r="H5401" s="308">
        <f>'JOVENES PROTAGONISTAS'!J97</f>
        <v>17073.194605337878</v>
      </c>
    </row>
    <row r="5402" spans="1:8" x14ac:dyDescent="0.3">
      <c r="A5402" t="s">
        <v>632</v>
      </c>
      <c r="B5402" t="s">
        <v>725</v>
      </c>
      <c r="C5402" t="s">
        <v>727</v>
      </c>
      <c r="D5402" t="s">
        <v>693</v>
      </c>
      <c r="E5402" t="s">
        <v>769</v>
      </c>
      <c r="F5402">
        <v>4</v>
      </c>
      <c r="G5402" s="308">
        <f>'JOVENES PROTAGONISTAS'!K97</f>
        <v>2</v>
      </c>
      <c r="H5402" s="308">
        <f>'JOVENES PROTAGONISTAS'!L97</f>
        <v>1719.3865636269963</v>
      </c>
    </row>
    <row r="5403" spans="1:8" x14ac:dyDescent="0.3">
      <c r="A5403" t="s">
        <v>632</v>
      </c>
      <c r="B5403" t="s">
        <v>725</v>
      </c>
      <c r="C5403" t="s">
        <v>727</v>
      </c>
      <c r="D5403" t="s">
        <v>693</v>
      </c>
      <c r="E5403" t="s">
        <v>770</v>
      </c>
      <c r="F5403">
        <v>5</v>
      </c>
      <c r="G5403" s="308">
        <f>'JOVENES PROTAGONISTAS'!M97</f>
        <v>32</v>
      </c>
      <c r="H5403" s="308">
        <f>'JOVENES PROTAGONISTAS'!N97</f>
        <v>32271.910061832492</v>
      </c>
    </row>
    <row r="5404" spans="1:8" x14ac:dyDescent="0.3">
      <c r="A5404" t="s">
        <v>632</v>
      </c>
      <c r="B5404" t="s">
        <v>725</v>
      </c>
      <c r="C5404" t="s">
        <v>727</v>
      </c>
      <c r="D5404" t="s">
        <v>693</v>
      </c>
      <c r="E5404" t="s">
        <v>771</v>
      </c>
      <c r="F5404">
        <v>6</v>
      </c>
      <c r="G5404" s="308">
        <f>'JOVENES PROTAGONISTAS'!O97</f>
        <v>245</v>
      </c>
      <c r="H5404" s="308">
        <f>'JOVENES PROTAGONISTAS'!P97</f>
        <v>56338.959852150532</v>
      </c>
    </row>
    <row r="5405" spans="1:8" x14ac:dyDescent="0.3">
      <c r="A5405" t="s">
        <v>632</v>
      </c>
      <c r="B5405" t="s">
        <v>725</v>
      </c>
      <c r="C5405" t="s">
        <v>727</v>
      </c>
      <c r="D5405" t="s">
        <v>693</v>
      </c>
      <c r="E5405" t="s">
        <v>772</v>
      </c>
      <c r="F5405">
        <v>7</v>
      </c>
      <c r="G5405" s="308">
        <f>'JOVENES PROTAGONISTAS'!Q97</f>
        <v>15</v>
      </c>
      <c r="H5405" s="308">
        <f>'JOVENES PROTAGONISTAS'!R97</f>
        <v>11856.397305572566</v>
      </c>
    </row>
    <row r="5406" spans="1:8" x14ac:dyDescent="0.3">
      <c r="A5406" t="s">
        <v>632</v>
      </c>
      <c r="B5406" t="s">
        <v>725</v>
      </c>
      <c r="C5406" t="s">
        <v>518</v>
      </c>
      <c r="D5406" t="s">
        <v>693</v>
      </c>
      <c r="E5406" t="s">
        <v>766</v>
      </c>
      <c r="F5406">
        <v>1</v>
      </c>
      <c r="G5406" s="308">
        <f>'JOVENES PROTAGONISTAS'!E98</f>
        <v>0</v>
      </c>
      <c r="H5406" s="308">
        <f>'JOVENES PROTAGONISTAS'!F98</f>
        <v>0</v>
      </c>
    </row>
    <row r="5407" spans="1:8" x14ac:dyDescent="0.3">
      <c r="A5407" t="s">
        <v>632</v>
      </c>
      <c r="B5407" t="s">
        <v>725</v>
      </c>
      <c r="C5407" t="s">
        <v>518</v>
      </c>
      <c r="D5407" t="s">
        <v>693</v>
      </c>
      <c r="E5407" t="s">
        <v>767</v>
      </c>
      <c r="F5407">
        <v>2</v>
      </c>
      <c r="G5407" s="308">
        <f>'JOVENES PROTAGONISTAS'!G98</f>
        <v>0</v>
      </c>
      <c r="H5407" s="308">
        <f>'JOVENES PROTAGONISTAS'!H98</f>
        <v>0</v>
      </c>
    </row>
    <row r="5408" spans="1:8" x14ac:dyDescent="0.3">
      <c r="A5408" t="s">
        <v>632</v>
      </c>
      <c r="B5408" t="s">
        <v>725</v>
      </c>
      <c r="C5408" t="s">
        <v>518</v>
      </c>
      <c r="D5408" t="s">
        <v>693</v>
      </c>
      <c r="E5408" t="s">
        <v>768</v>
      </c>
      <c r="F5408">
        <v>3</v>
      </c>
      <c r="G5408" s="308">
        <f>'JOVENES PROTAGONISTAS'!I98</f>
        <v>56</v>
      </c>
      <c r="H5408" s="308">
        <f>'JOVENES PROTAGONISTAS'!J98</f>
        <v>9282.5135718341844</v>
      </c>
    </row>
    <row r="5409" spans="1:8" x14ac:dyDescent="0.3">
      <c r="A5409" t="s">
        <v>632</v>
      </c>
      <c r="B5409" t="s">
        <v>725</v>
      </c>
      <c r="C5409" t="s">
        <v>518</v>
      </c>
      <c r="D5409" t="s">
        <v>693</v>
      </c>
      <c r="E5409" t="s">
        <v>769</v>
      </c>
      <c r="F5409">
        <v>4</v>
      </c>
      <c r="G5409" s="308">
        <f>'JOVENES PROTAGONISTAS'!K98</f>
        <v>8</v>
      </c>
      <c r="H5409" s="308">
        <f>'JOVENES PROTAGONISTAS'!L98</f>
        <v>6877.5462545079854</v>
      </c>
    </row>
    <row r="5410" spans="1:8" x14ac:dyDescent="0.3">
      <c r="A5410" t="s">
        <v>632</v>
      </c>
      <c r="B5410" t="s">
        <v>725</v>
      </c>
      <c r="C5410" t="s">
        <v>518</v>
      </c>
      <c r="D5410" t="s">
        <v>693</v>
      </c>
      <c r="E5410" t="s">
        <v>770</v>
      </c>
      <c r="F5410">
        <v>5</v>
      </c>
      <c r="G5410" s="308">
        <f>'JOVENES PROTAGONISTAS'!M98</f>
        <v>88</v>
      </c>
      <c r="H5410" s="308">
        <f>'JOVENES PROTAGONISTAS'!N98</f>
        <v>88747.75267003935</v>
      </c>
    </row>
    <row r="5411" spans="1:8" x14ac:dyDescent="0.3">
      <c r="A5411" t="s">
        <v>632</v>
      </c>
      <c r="B5411" t="s">
        <v>725</v>
      </c>
      <c r="C5411" t="s">
        <v>518</v>
      </c>
      <c r="D5411" t="s">
        <v>693</v>
      </c>
      <c r="E5411" t="s">
        <v>771</v>
      </c>
      <c r="F5411">
        <v>6</v>
      </c>
      <c r="G5411" s="308">
        <f>'JOVENES PROTAGONISTAS'!O98</f>
        <v>194</v>
      </c>
      <c r="H5411" s="308">
        <f>'JOVENES PROTAGONISTAS'!P98</f>
        <v>44611.258005376345</v>
      </c>
    </row>
    <row r="5412" spans="1:8" x14ac:dyDescent="0.3">
      <c r="A5412" t="s">
        <v>632</v>
      </c>
      <c r="B5412" t="s">
        <v>725</v>
      </c>
      <c r="C5412" t="s">
        <v>518</v>
      </c>
      <c r="D5412" t="s">
        <v>693</v>
      </c>
      <c r="E5412" t="s">
        <v>772</v>
      </c>
      <c r="F5412">
        <v>7</v>
      </c>
      <c r="G5412" s="308">
        <f>'JOVENES PROTAGONISTAS'!Q98</f>
        <v>17</v>
      </c>
      <c r="H5412" s="308">
        <f>'JOVENES PROTAGONISTAS'!R98</f>
        <v>13437.250279648906</v>
      </c>
    </row>
    <row r="5413" spans="1:8" x14ac:dyDescent="0.3">
      <c r="A5413" t="s">
        <v>632</v>
      </c>
      <c r="B5413" t="s">
        <v>725</v>
      </c>
      <c r="C5413" t="s">
        <v>519</v>
      </c>
      <c r="D5413" t="s">
        <v>693</v>
      </c>
      <c r="E5413" t="s">
        <v>766</v>
      </c>
      <c r="F5413">
        <v>1</v>
      </c>
      <c r="G5413" s="308">
        <f>'JOVENES PROTAGONISTAS'!E99</f>
        <v>0</v>
      </c>
      <c r="H5413" s="308">
        <f>'JOVENES PROTAGONISTAS'!F99</f>
        <v>0</v>
      </c>
    </row>
    <row r="5414" spans="1:8" x14ac:dyDescent="0.3">
      <c r="A5414" t="s">
        <v>632</v>
      </c>
      <c r="B5414" t="s">
        <v>725</v>
      </c>
      <c r="C5414" t="s">
        <v>519</v>
      </c>
      <c r="D5414" t="s">
        <v>693</v>
      </c>
      <c r="E5414" t="s">
        <v>767</v>
      </c>
      <c r="F5414">
        <v>2</v>
      </c>
      <c r="G5414" s="308">
        <f>'JOVENES PROTAGONISTAS'!G99</f>
        <v>0</v>
      </c>
      <c r="H5414" s="308">
        <f>'JOVENES PROTAGONISTAS'!H99</f>
        <v>0</v>
      </c>
    </row>
    <row r="5415" spans="1:8" x14ac:dyDescent="0.3">
      <c r="A5415" t="s">
        <v>632</v>
      </c>
      <c r="B5415" t="s">
        <v>725</v>
      </c>
      <c r="C5415" t="s">
        <v>519</v>
      </c>
      <c r="D5415" t="s">
        <v>693</v>
      </c>
      <c r="E5415" t="s">
        <v>768</v>
      </c>
      <c r="F5415">
        <v>3</v>
      </c>
      <c r="G5415" s="308">
        <f>'JOVENES PROTAGONISTAS'!I99</f>
        <v>50</v>
      </c>
      <c r="H5415" s="308">
        <f>'JOVENES PROTAGONISTAS'!J99</f>
        <v>8287.9585462805226</v>
      </c>
    </row>
    <row r="5416" spans="1:8" x14ac:dyDescent="0.3">
      <c r="A5416" t="s">
        <v>632</v>
      </c>
      <c r="B5416" t="s">
        <v>725</v>
      </c>
      <c r="C5416" t="s">
        <v>519</v>
      </c>
      <c r="D5416" t="s">
        <v>693</v>
      </c>
      <c r="E5416" t="s">
        <v>769</v>
      </c>
      <c r="F5416">
        <v>4</v>
      </c>
      <c r="G5416" s="308">
        <f>'JOVENES PROTAGONISTAS'!K99</f>
        <v>50</v>
      </c>
      <c r="H5416" s="308">
        <f>'JOVENES PROTAGONISTAS'!L99</f>
        <v>42984.664090674909</v>
      </c>
    </row>
    <row r="5417" spans="1:8" x14ac:dyDescent="0.3">
      <c r="A5417" t="s">
        <v>632</v>
      </c>
      <c r="B5417" t="s">
        <v>725</v>
      </c>
      <c r="C5417" t="s">
        <v>519</v>
      </c>
      <c r="D5417" t="s">
        <v>693</v>
      </c>
      <c r="E5417" t="s">
        <v>770</v>
      </c>
      <c r="F5417">
        <v>5</v>
      </c>
      <c r="G5417" s="308">
        <f>'JOVENES PROTAGONISTAS'!M99</f>
        <v>28</v>
      </c>
      <c r="H5417" s="308">
        <f>'JOVENES PROTAGONISTAS'!N99</f>
        <v>28237.921304103431</v>
      </c>
    </row>
    <row r="5418" spans="1:8" x14ac:dyDescent="0.3">
      <c r="A5418" t="s">
        <v>632</v>
      </c>
      <c r="B5418" t="s">
        <v>725</v>
      </c>
      <c r="C5418" t="s">
        <v>519</v>
      </c>
      <c r="D5418" t="s">
        <v>693</v>
      </c>
      <c r="E5418" t="s">
        <v>771</v>
      </c>
      <c r="F5418">
        <v>6</v>
      </c>
      <c r="G5418" s="308">
        <f>'JOVENES PROTAGONISTAS'!O99</f>
        <v>358</v>
      </c>
      <c r="H5418" s="308">
        <f>'JOVENES PROTAGONISTAS'!P99</f>
        <v>82323.867865591397</v>
      </c>
    </row>
    <row r="5419" spans="1:8" x14ac:dyDescent="0.3">
      <c r="A5419" t="s">
        <v>632</v>
      </c>
      <c r="B5419" t="s">
        <v>725</v>
      </c>
      <c r="C5419" t="s">
        <v>519</v>
      </c>
      <c r="D5419" t="s">
        <v>693</v>
      </c>
      <c r="E5419" t="s">
        <v>772</v>
      </c>
      <c r="F5419">
        <v>7</v>
      </c>
      <c r="G5419" s="308">
        <f>'JOVENES PROTAGONISTAS'!Q99</f>
        <v>8</v>
      </c>
      <c r="H5419" s="308">
        <f>'JOVENES PROTAGONISTAS'!R99</f>
        <v>6323.4118963053679</v>
      </c>
    </row>
    <row r="5420" spans="1:8" x14ac:dyDescent="0.3">
      <c r="A5420" t="s">
        <v>632</v>
      </c>
      <c r="B5420" t="s">
        <v>725</v>
      </c>
      <c r="C5420" t="s">
        <v>728</v>
      </c>
      <c r="D5420" t="s">
        <v>693</v>
      </c>
      <c r="E5420" t="s">
        <v>766</v>
      </c>
      <c r="F5420">
        <v>1</v>
      </c>
      <c r="G5420" s="308">
        <f>'JOVENES PROTAGONISTAS'!E100</f>
        <v>0</v>
      </c>
      <c r="H5420" s="308">
        <f>'JOVENES PROTAGONISTAS'!F100</f>
        <v>0</v>
      </c>
    </row>
    <row r="5421" spans="1:8" x14ac:dyDescent="0.3">
      <c r="A5421" t="s">
        <v>632</v>
      </c>
      <c r="B5421" t="s">
        <v>725</v>
      </c>
      <c r="C5421" t="s">
        <v>728</v>
      </c>
      <c r="D5421" t="s">
        <v>693</v>
      </c>
      <c r="E5421" t="s">
        <v>767</v>
      </c>
      <c r="F5421">
        <v>2</v>
      </c>
      <c r="G5421" s="308">
        <f>'JOVENES PROTAGONISTAS'!G100</f>
        <v>53</v>
      </c>
      <c r="H5421" s="308">
        <f>'JOVENES PROTAGONISTAS'!H100</f>
        <v>5326.0775196386485</v>
      </c>
    </row>
    <row r="5422" spans="1:8" x14ac:dyDescent="0.3">
      <c r="A5422" t="s">
        <v>632</v>
      </c>
      <c r="B5422" t="s">
        <v>725</v>
      </c>
      <c r="C5422" t="s">
        <v>728</v>
      </c>
      <c r="D5422" t="s">
        <v>693</v>
      </c>
      <c r="E5422" t="s">
        <v>768</v>
      </c>
      <c r="F5422">
        <v>3</v>
      </c>
      <c r="G5422" s="308">
        <f>'JOVENES PROTAGONISTAS'!I100</f>
        <v>134</v>
      </c>
      <c r="H5422" s="308">
        <f>'JOVENES PROTAGONISTAS'!J100</f>
        <v>22211.728904031799</v>
      </c>
    </row>
    <row r="5423" spans="1:8" x14ac:dyDescent="0.3">
      <c r="A5423" t="s">
        <v>632</v>
      </c>
      <c r="B5423" t="s">
        <v>725</v>
      </c>
      <c r="C5423" t="s">
        <v>728</v>
      </c>
      <c r="D5423" t="s">
        <v>693</v>
      </c>
      <c r="E5423" t="s">
        <v>769</v>
      </c>
      <c r="F5423">
        <v>4</v>
      </c>
      <c r="G5423" s="308">
        <f>'JOVENES PROTAGONISTAS'!K100</f>
        <v>8</v>
      </c>
      <c r="H5423" s="308">
        <f>'JOVENES PROTAGONISTAS'!L100</f>
        <v>6877.5462545079854</v>
      </c>
    </row>
    <row r="5424" spans="1:8" x14ac:dyDescent="0.3">
      <c r="A5424" t="s">
        <v>632</v>
      </c>
      <c r="B5424" t="s">
        <v>725</v>
      </c>
      <c r="C5424" t="s">
        <v>728</v>
      </c>
      <c r="D5424" t="s">
        <v>693</v>
      </c>
      <c r="E5424" t="s">
        <v>770</v>
      </c>
      <c r="F5424">
        <v>5</v>
      </c>
      <c r="G5424" s="308">
        <f>'JOVENES PROTAGONISTAS'!M100</f>
        <v>23</v>
      </c>
      <c r="H5424" s="308">
        <f>'JOVENES PROTAGONISTAS'!N100</f>
        <v>23195.435356942104</v>
      </c>
    </row>
    <row r="5425" spans="1:8" x14ac:dyDescent="0.3">
      <c r="A5425" t="s">
        <v>632</v>
      </c>
      <c r="B5425" t="s">
        <v>725</v>
      </c>
      <c r="C5425" t="s">
        <v>728</v>
      </c>
      <c r="D5425" t="s">
        <v>693</v>
      </c>
      <c r="E5425" t="s">
        <v>771</v>
      </c>
      <c r="F5425">
        <v>6</v>
      </c>
      <c r="G5425" s="308">
        <f>'JOVENES PROTAGONISTAS'!O100</f>
        <v>318</v>
      </c>
      <c r="H5425" s="308">
        <f>'JOVENES PROTAGONISTAS'!P100</f>
        <v>73125.670338709679</v>
      </c>
    </row>
    <row r="5426" spans="1:8" x14ac:dyDescent="0.3">
      <c r="A5426" t="s">
        <v>632</v>
      </c>
      <c r="B5426" t="s">
        <v>725</v>
      </c>
      <c r="C5426" t="s">
        <v>728</v>
      </c>
      <c r="D5426" t="s">
        <v>693</v>
      </c>
      <c r="E5426" t="s">
        <v>772</v>
      </c>
      <c r="F5426">
        <v>7</v>
      </c>
      <c r="G5426" s="308">
        <f>'JOVENES PROTAGONISTAS'!Q100</f>
        <v>0</v>
      </c>
      <c r="H5426" s="308">
        <f>'JOVENES PROTAGONISTAS'!R100</f>
        <v>0</v>
      </c>
    </row>
    <row r="5427" spans="1:8" x14ac:dyDescent="0.3">
      <c r="A5427" t="s">
        <v>632</v>
      </c>
      <c r="B5427" t="s">
        <v>524</v>
      </c>
      <c r="C5427" t="s">
        <v>522</v>
      </c>
      <c r="D5427" t="s">
        <v>693</v>
      </c>
      <c r="E5427" t="s">
        <v>766</v>
      </c>
      <c r="F5427">
        <v>1</v>
      </c>
      <c r="G5427" s="308">
        <f>'JOVENES PROTAGONISTAS'!E101</f>
        <v>0</v>
      </c>
      <c r="H5427" s="308">
        <f>'JOVENES PROTAGONISTAS'!F101</f>
        <v>0</v>
      </c>
    </row>
    <row r="5428" spans="1:8" x14ac:dyDescent="0.3">
      <c r="A5428" t="s">
        <v>632</v>
      </c>
      <c r="B5428" t="s">
        <v>524</v>
      </c>
      <c r="C5428" t="s">
        <v>522</v>
      </c>
      <c r="D5428" t="s">
        <v>693</v>
      </c>
      <c r="E5428" t="s">
        <v>767</v>
      </c>
      <c r="F5428">
        <v>2</v>
      </c>
      <c r="G5428" s="308">
        <f>'JOVENES PROTAGONISTAS'!G101</f>
        <v>52</v>
      </c>
      <c r="H5428" s="308">
        <f>'JOVENES PROTAGONISTAS'!H101</f>
        <v>5225.5854909662212</v>
      </c>
    </row>
    <row r="5429" spans="1:8" x14ac:dyDescent="0.3">
      <c r="A5429" t="s">
        <v>632</v>
      </c>
      <c r="B5429" t="s">
        <v>524</v>
      </c>
      <c r="C5429" t="s">
        <v>522</v>
      </c>
      <c r="D5429" t="s">
        <v>693</v>
      </c>
      <c r="E5429" t="s">
        <v>768</v>
      </c>
      <c r="F5429">
        <v>3</v>
      </c>
      <c r="G5429" s="308">
        <f>'JOVENES PROTAGONISTAS'!I101</f>
        <v>55</v>
      </c>
      <c r="H5429" s="308">
        <f>'JOVENES PROTAGONISTAS'!J101</f>
        <v>9116.7544009085741</v>
      </c>
    </row>
    <row r="5430" spans="1:8" x14ac:dyDescent="0.3">
      <c r="A5430" t="s">
        <v>632</v>
      </c>
      <c r="B5430" t="s">
        <v>524</v>
      </c>
      <c r="C5430" t="s">
        <v>522</v>
      </c>
      <c r="D5430" t="s">
        <v>693</v>
      </c>
      <c r="E5430" t="s">
        <v>769</v>
      </c>
      <c r="F5430">
        <v>4</v>
      </c>
      <c r="G5430" s="308">
        <f>'JOVENES PROTAGONISTAS'!K101</f>
        <v>4</v>
      </c>
      <c r="H5430" s="308">
        <f>'JOVENES PROTAGONISTAS'!L101</f>
        <v>3438.7731272539927</v>
      </c>
    </row>
    <row r="5431" spans="1:8" x14ac:dyDescent="0.3">
      <c r="A5431" t="s">
        <v>632</v>
      </c>
      <c r="B5431" t="s">
        <v>524</v>
      </c>
      <c r="C5431" t="s">
        <v>522</v>
      </c>
      <c r="D5431" t="s">
        <v>693</v>
      </c>
      <c r="E5431" t="s">
        <v>770</v>
      </c>
      <c r="F5431">
        <v>5</v>
      </c>
      <c r="G5431" s="308">
        <f>'JOVENES PROTAGONISTAS'!M101</f>
        <v>0</v>
      </c>
      <c r="H5431" s="308">
        <f>'JOVENES PROTAGONISTAS'!N101</f>
        <v>0</v>
      </c>
    </row>
    <row r="5432" spans="1:8" x14ac:dyDescent="0.3">
      <c r="A5432" t="s">
        <v>632</v>
      </c>
      <c r="B5432" t="s">
        <v>524</v>
      </c>
      <c r="C5432" t="s">
        <v>522</v>
      </c>
      <c r="D5432" t="s">
        <v>693</v>
      </c>
      <c r="E5432" t="s">
        <v>771</v>
      </c>
      <c r="F5432">
        <v>6</v>
      </c>
      <c r="G5432" s="308">
        <f>'JOVENES PROTAGONISTAS'!O101</f>
        <v>127</v>
      </c>
      <c r="H5432" s="308">
        <f>'JOVENES PROTAGONISTAS'!P101</f>
        <v>29204.277147849461</v>
      </c>
    </row>
    <row r="5433" spans="1:8" x14ac:dyDescent="0.3">
      <c r="A5433" t="s">
        <v>632</v>
      </c>
      <c r="B5433" t="s">
        <v>524</v>
      </c>
      <c r="C5433" t="s">
        <v>522</v>
      </c>
      <c r="D5433" t="s">
        <v>693</v>
      </c>
      <c r="E5433" t="s">
        <v>772</v>
      </c>
      <c r="F5433">
        <v>7</v>
      </c>
      <c r="G5433" s="308">
        <f>'JOVENES PROTAGONISTAS'!Q101</f>
        <v>5</v>
      </c>
      <c r="H5433" s="308">
        <f>'JOVENES PROTAGONISTAS'!R101</f>
        <v>3952.1324351908552</v>
      </c>
    </row>
    <row r="5434" spans="1:8" x14ac:dyDescent="0.3">
      <c r="A5434" t="s">
        <v>632</v>
      </c>
      <c r="B5434" t="s">
        <v>524</v>
      </c>
      <c r="C5434" t="s">
        <v>523</v>
      </c>
      <c r="D5434" t="s">
        <v>693</v>
      </c>
      <c r="E5434" t="s">
        <v>766</v>
      </c>
      <c r="F5434">
        <v>1</v>
      </c>
      <c r="G5434" s="308">
        <f>'JOVENES PROTAGONISTAS'!E102</f>
        <v>0</v>
      </c>
      <c r="H5434" s="308">
        <f>'JOVENES PROTAGONISTAS'!F102</f>
        <v>0</v>
      </c>
    </row>
    <row r="5435" spans="1:8" x14ac:dyDescent="0.3">
      <c r="A5435" t="s">
        <v>632</v>
      </c>
      <c r="B5435" t="s">
        <v>524</v>
      </c>
      <c r="C5435" t="s">
        <v>523</v>
      </c>
      <c r="D5435" t="s">
        <v>693</v>
      </c>
      <c r="E5435" t="s">
        <v>767</v>
      </c>
      <c r="F5435">
        <v>2</v>
      </c>
      <c r="G5435" s="308">
        <f>'JOVENES PROTAGONISTAS'!G102</f>
        <v>0</v>
      </c>
      <c r="H5435" s="308">
        <f>'JOVENES PROTAGONISTAS'!H102</f>
        <v>0</v>
      </c>
    </row>
    <row r="5436" spans="1:8" x14ac:dyDescent="0.3">
      <c r="A5436" t="s">
        <v>632</v>
      </c>
      <c r="B5436" t="s">
        <v>524</v>
      </c>
      <c r="C5436" t="s">
        <v>523</v>
      </c>
      <c r="D5436" t="s">
        <v>693</v>
      </c>
      <c r="E5436" t="s">
        <v>768</v>
      </c>
      <c r="F5436">
        <v>3</v>
      </c>
      <c r="G5436" s="308">
        <f>'JOVENES PROTAGONISTAS'!I102</f>
        <v>38</v>
      </c>
      <c r="H5436" s="308">
        <f>'JOVENES PROTAGONISTAS'!J102</f>
        <v>6298.8484951731971</v>
      </c>
    </row>
    <row r="5437" spans="1:8" x14ac:dyDescent="0.3">
      <c r="A5437" t="s">
        <v>632</v>
      </c>
      <c r="B5437" t="s">
        <v>524</v>
      </c>
      <c r="C5437" t="s">
        <v>523</v>
      </c>
      <c r="D5437" t="s">
        <v>693</v>
      </c>
      <c r="E5437" t="s">
        <v>769</v>
      </c>
      <c r="F5437">
        <v>4</v>
      </c>
      <c r="G5437" s="308">
        <f>'JOVENES PROTAGONISTAS'!K102</f>
        <v>24</v>
      </c>
      <c r="H5437" s="308">
        <f>'JOVENES PROTAGONISTAS'!L102</f>
        <v>20632.638763523955</v>
      </c>
    </row>
    <row r="5438" spans="1:8" x14ac:dyDescent="0.3">
      <c r="A5438" t="s">
        <v>632</v>
      </c>
      <c r="B5438" t="s">
        <v>524</v>
      </c>
      <c r="C5438" t="s">
        <v>523</v>
      </c>
      <c r="D5438" t="s">
        <v>693</v>
      </c>
      <c r="E5438" t="s">
        <v>770</v>
      </c>
      <c r="F5438">
        <v>5</v>
      </c>
      <c r="G5438" s="308">
        <f>'JOVENES PROTAGONISTAS'!M102</f>
        <v>9</v>
      </c>
      <c r="H5438" s="308">
        <f>'JOVENES PROTAGONISTAS'!N102</f>
        <v>9076.4747048903882</v>
      </c>
    </row>
    <row r="5439" spans="1:8" x14ac:dyDescent="0.3">
      <c r="A5439" t="s">
        <v>632</v>
      </c>
      <c r="B5439" t="s">
        <v>524</v>
      </c>
      <c r="C5439" t="s">
        <v>523</v>
      </c>
      <c r="D5439" t="s">
        <v>693</v>
      </c>
      <c r="E5439" t="s">
        <v>771</v>
      </c>
      <c r="F5439">
        <v>6</v>
      </c>
      <c r="G5439" s="308">
        <f>'JOVENES PROTAGONISTAS'!O102</f>
        <v>27</v>
      </c>
      <c r="H5439" s="308">
        <f>'JOVENES PROTAGONISTAS'!P102</f>
        <v>6208.7833306451612</v>
      </c>
    </row>
    <row r="5440" spans="1:8" x14ac:dyDescent="0.3">
      <c r="A5440" t="s">
        <v>632</v>
      </c>
      <c r="B5440" t="s">
        <v>524</v>
      </c>
      <c r="C5440" t="s">
        <v>523</v>
      </c>
      <c r="D5440" t="s">
        <v>693</v>
      </c>
      <c r="E5440" t="s">
        <v>772</v>
      </c>
      <c r="F5440">
        <v>7</v>
      </c>
      <c r="G5440" s="308">
        <f>'JOVENES PROTAGONISTAS'!Q102</f>
        <v>13</v>
      </c>
      <c r="H5440" s="308">
        <f>'JOVENES PROTAGONISTAS'!R102</f>
        <v>10275.544331496223</v>
      </c>
    </row>
    <row r="5441" spans="1:8" x14ac:dyDescent="0.3">
      <c r="A5441" t="s">
        <v>632</v>
      </c>
      <c r="B5441" t="s">
        <v>524</v>
      </c>
      <c r="C5441" t="s">
        <v>524</v>
      </c>
      <c r="D5441" t="s">
        <v>693</v>
      </c>
      <c r="E5441" t="s">
        <v>766</v>
      </c>
      <c r="F5441">
        <v>1</v>
      </c>
      <c r="G5441" s="308">
        <f>'JOVENES PROTAGONISTAS'!E103</f>
        <v>0</v>
      </c>
      <c r="H5441" s="308">
        <f>'JOVENES PROTAGONISTAS'!F103</f>
        <v>0</v>
      </c>
    </row>
    <row r="5442" spans="1:8" x14ac:dyDescent="0.3">
      <c r="A5442" t="s">
        <v>632</v>
      </c>
      <c r="B5442" t="s">
        <v>524</v>
      </c>
      <c r="C5442" t="s">
        <v>524</v>
      </c>
      <c r="D5442" t="s">
        <v>693</v>
      </c>
      <c r="E5442" t="s">
        <v>767</v>
      </c>
      <c r="F5442">
        <v>2</v>
      </c>
      <c r="G5442" s="308">
        <f>'JOVENES PROTAGONISTAS'!G103</f>
        <v>28</v>
      </c>
      <c r="H5442" s="308">
        <f>'JOVENES PROTAGONISTAS'!H103</f>
        <v>2813.7768028279656</v>
      </c>
    </row>
    <row r="5443" spans="1:8" x14ac:dyDescent="0.3">
      <c r="A5443" t="s">
        <v>632</v>
      </c>
      <c r="B5443" t="s">
        <v>524</v>
      </c>
      <c r="C5443" t="s">
        <v>524</v>
      </c>
      <c r="D5443" t="s">
        <v>693</v>
      </c>
      <c r="E5443" t="s">
        <v>768</v>
      </c>
      <c r="F5443">
        <v>3</v>
      </c>
      <c r="G5443" s="308">
        <f>'JOVENES PROTAGONISTAS'!I103</f>
        <v>7</v>
      </c>
      <c r="H5443" s="308">
        <f>'JOVENES PROTAGONISTAS'!J103</f>
        <v>1160.3141964792731</v>
      </c>
    </row>
    <row r="5444" spans="1:8" x14ac:dyDescent="0.3">
      <c r="A5444" t="s">
        <v>632</v>
      </c>
      <c r="B5444" t="s">
        <v>524</v>
      </c>
      <c r="C5444" t="s">
        <v>524</v>
      </c>
      <c r="D5444" t="s">
        <v>693</v>
      </c>
      <c r="E5444" t="s">
        <v>769</v>
      </c>
      <c r="F5444">
        <v>4</v>
      </c>
      <c r="G5444" s="308">
        <f>'JOVENES PROTAGONISTAS'!K103</f>
        <v>12</v>
      </c>
      <c r="H5444" s="308">
        <f>'JOVENES PROTAGONISTAS'!L103</f>
        <v>10316.319381761978</v>
      </c>
    </row>
    <row r="5445" spans="1:8" x14ac:dyDescent="0.3">
      <c r="A5445" t="s">
        <v>632</v>
      </c>
      <c r="B5445" t="s">
        <v>524</v>
      </c>
      <c r="C5445" t="s">
        <v>524</v>
      </c>
      <c r="D5445" t="s">
        <v>693</v>
      </c>
      <c r="E5445" t="s">
        <v>770</v>
      </c>
      <c r="F5445">
        <v>5</v>
      </c>
      <c r="G5445" s="308">
        <f>'JOVENES PROTAGONISTAS'!M103</f>
        <v>13</v>
      </c>
      <c r="H5445" s="308">
        <f>'JOVENES PROTAGONISTAS'!N103</f>
        <v>13110.463462619449</v>
      </c>
    </row>
    <row r="5446" spans="1:8" x14ac:dyDescent="0.3">
      <c r="A5446" t="s">
        <v>632</v>
      </c>
      <c r="B5446" t="s">
        <v>524</v>
      </c>
      <c r="C5446" t="s">
        <v>524</v>
      </c>
      <c r="D5446" t="s">
        <v>693</v>
      </c>
      <c r="E5446" t="s">
        <v>771</v>
      </c>
      <c r="F5446">
        <v>6</v>
      </c>
      <c r="G5446" s="308">
        <f>'JOVENES PROTAGONISTAS'!O103</f>
        <v>7</v>
      </c>
      <c r="H5446" s="308">
        <f>'JOVENES PROTAGONISTAS'!P103</f>
        <v>1609.6845672043009</v>
      </c>
    </row>
    <row r="5447" spans="1:8" x14ac:dyDescent="0.3">
      <c r="A5447" t="s">
        <v>632</v>
      </c>
      <c r="B5447" t="s">
        <v>524</v>
      </c>
      <c r="C5447" t="s">
        <v>524</v>
      </c>
      <c r="D5447" t="s">
        <v>693</v>
      </c>
      <c r="E5447" t="s">
        <v>772</v>
      </c>
      <c r="F5447">
        <v>7</v>
      </c>
      <c r="G5447" s="308">
        <f>'JOVENES PROTAGONISTAS'!Q103</f>
        <v>13</v>
      </c>
      <c r="H5447" s="308">
        <f>'JOVENES PROTAGONISTAS'!R103</f>
        <v>10275.544331496223</v>
      </c>
    </row>
    <row r="5448" spans="1:8" x14ac:dyDescent="0.3">
      <c r="A5448" t="s">
        <v>632</v>
      </c>
      <c r="B5448" t="s">
        <v>525</v>
      </c>
      <c r="C5448" t="s">
        <v>526</v>
      </c>
      <c r="D5448" t="s">
        <v>693</v>
      </c>
      <c r="E5448" t="s">
        <v>766</v>
      </c>
      <c r="F5448">
        <v>1</v>
      </c>
      <c r="G5448" s="308">
        <f>'JOVENES PROTAGONISTAS'!E104</f>
        <v>0</v>
      </c>
      <c r="H5448" s="308">
        <f>'JOVENES PROTAGONISTAS'!F104</f>
        <v>0</v>
      </c>
    </row>
    <row r="5449" spans="1:8" x14ac:dyDescent="0.3">
      <c r="A5449" t="s">
        <v>632</v>
      </c>
      <c r="B5449" t="s">
        <v>525</v>
      </c>
      <c r="C5449" t="s">
        <v>526</v>
      </c>
      <c r="D5449" t="s">
        <v>693</v>
      </c>
      <c r="E5449" t="s">
        <v>767</v>
      </c>
      <c r="F5449">
        <v>2</v>
      </c>
      <c r="G5449" s="308">
        <f>'JOVENES PROTAGONISTAS'!G104</f>
        <v>100</v>
      </c>
      <c r="H5449" s="308">
        <f>'JOVENES PROTAGONISTAS'!H104</f>
        <v>10049.202867242733</v>
      </c>
    </row>
    <row r="5450" spans="1:8" x14ac:dyDescent="0.3">
      <c r="A5450" t="s">
        <v>632</v>
      </c>
      <c r="B5450" t="s">
        <v>525</v>
      </c>
      <c r="C5450" t="s">
        <v>526</v>
      </c>
      <c r="D5450" t="s">
        <v>693</v>
      </c>
      <c r="E5450" t="s">
        <v>768</v>
      </c>
      <c r="F5450">
        <v>3</v>
      </c>
      <c r="G5450" s="308">
        <f>'JOVENES PROTAGONISTAS'!I104</f>
        <v>54</v>
      </c>
      <c r="H5450" s="308">
        <f>'JOVENES PROTAGONISTAS'!J104</f>
        <v>8950.9952299829638</v>
      </c>
    </row>
    <row r="5451" spans="1:8" x14ac:dyDescent="0.3">
      <c r="A5451" t="s">
        <v>632</v>
      </c>
      <c r="B5451" t="s">
        <v>525</v>
      </c>
      <c r="C5451" t="s">
        <v>526</v>
      </c>
      <c r="D5451" t="s">
        <v>693</v>
      </c>
      <c r="E5451" t="s">
        <v>769</v>
      </c>
      <c r="F5451">
        <v>4</v>
      </c>
      <c r="G5451" s="308">
        <f>'JOVENES PROTAGONISTAS'!K104</f>
        <v>10</v>
      </c>
      <c r="H5451" s="308">
        <f>'JOVENES PROTAGONISTAS'!L104</f>
        <v>8596.9328181349811</v>
      </c>
    </row>
    <row r="5452" spans="1:8" x14ac:dyDescent="0.3">
      <c r="A5452" t="s">
        <v>632</v>
      </c>
      <c r="B5452" t="s">
        <v>525</v>
      </c>
      <c r="C5452" t="s">
        <v>526</v>
      </c>
      <c r="D5452" t="s">
        <v>693</v>
      </c>
      <c r="E5452" t="s">
        <v>770</v>
      </c>
      <c r="F5452">
        <v>5</v>
      </c>
      <c r="G5452" s="308">
        <f>'JOVENES PROTAGONISTAS'!M104</f>
        <v>32</v>
      </c>
      <c r="H5452" s="308">
        <f>'JOVENES PROTAGONISTAS'!N104</f>
        <v>32271.910061832492</v>
      </c>
    </row>
    <row r="5453" spans="1:8" x14ac:dyDescent="0.3">
      <c r="A5453" t="s">
        <v>632</v>
      </c>
      <c r="B5453" t="s">
        <v>525</v>
      </c>
      <c r="C5453" t="s">
        <v>526</v>
      </c>
      <c r="D5453" t="s">
        <v>693</v>
      </c>
      <c r="E5453" t="s">
        <v>771</v>
      </c>
      <c r="F5453">
        <v>6</v>
      </c>
      <c r="G5453" s="308">
        <f>'JOVENES PROTAGONISTAS'!O104</f>
        <v>128</v>
      </c>
      <c r="H5453" s="308">
        <f>'JOVENES PROTAGONISTAS'!P104</f>
        <v>29434.232086021504</v>
      </c>
    </row>
    <row r="5454" spans="1:8" x14ac:dyDescent="0.3">
      <c r="A5454" t="s">
        <v>632</v>
      </c>
      <c r="B5454" t="s">
        <v>525</v>
      </c>
      <c r="C5454" t="s">
        <v>526</v>
      </c>
      <c r="D5454" t="s">
        <v>693</v>
      </c>
      <c r="E5454" t="s">
        <v>772</v>
      </c>
      <c r="F5454">
        <v>7</v>
      </c>
      <c r="G5454" s="308">
        <f>'JOVENES PROTAGONISTAS'!Q104</f>
        <v>74</v>
      </c>
      <c r="H5454" s="308">
        <f>'JOVENES PROTAGONISTAS'!R104</f>
        <v>58491.560040824654</v>
      </c>
    </row>
    <row r="5455" spans="1:8" x14ac:dyDescent="0.3">
      <c r="A5455" t="s">
        <v>632</v>
      </c>
      <c r="B5455" t="s">
        <v>525</v>
      </c>
      <c r="C5455" t="s">
        <v>729</v>
      </c>
      <c r="D5455" t="s">
        <v>693</v>
      </c>
      <c r="E5455" t="s">
        <v>766</v>
      </c>
      <c r="F5455">
        <v>1</v>
      </c>
      <c r="G5455" s="308">
        <f>'JOVENES PROTAGONISTAS'!E105</f>
        <v>0</v>
      </c>
      <c r="H5455" s="308">
        <f>'JOVENES PROTAGONISTAS'!F105</f>
        <v>0</v>
      </c>
    </row>
    <row r="5456" spans="1:8" x14ac:dyDescent="0.3">
      <c r="A5456" t="s">
        <v>632</v>
      </c>
      <c r="B5456" t="s">
        <v>525</v>
      </c>
      <c r="C5456" t="s">
        <v>729</v>
      </c>
      <c r="D5456" t="s">
        <v>693</v>
      </c>
      <c r="E5456" t="s">
        <v>767</v>
      </c>
      <c r="F5456">
        <v>2</v>
      </c>
      <c r="G5456" s="308">
        <f>'JOVENES PROTAGONISTAS'!G105</f>
        <v>0</v>
      </c>
      <c r="H5456" s="308">
        <f>'JOVENES PROTAGONISTAS'!H105</f>
        <v>0</v>
      </c>
    </row>
    <row r="5457" spans="1:8" x14ac:dyDescent="0.3">
      <c r="A5457" t="s">
        <v>632</v>
      </c>
      <c r="B5457" t="s">
        <v>525</v>
      </c>
      <c r="C5457" t="s">
        <v>729</v>
      </c>
      <c r="D5457" t="s">
        <v>693</v>
      </c>
      <c r="E5457" t="s">
        <v>768</v>
      </c>
      <c r="F5457">
        <v>3</v>
      </c>
      <c r="G5457" s="308">
        <f>'JOVENES PROTAGONISTAS'!I105</f>
        <v>23</v>
      </c>
      <c r="H5457" s="308">
        <f>'JOVENES PROTAGONISTAS'!J105</f>
        <v>3812.4609312890402</v>
      </c>
    </row>
    <row r="5458" spans="1:8" x14ac:dyDescent="0.3">
      <c r="A5458" t="s">
        <v>632</v>
      </c>
      <c r="B5458" t="s">
        <v>525</v>
      </c>
      <c r="C5458" t="s">
        <v>729</v>
      </c>
      <c r="D5458" t="s">
        <v>693</v>
      </c>
      <c r="E5458" t="s">
        <v>769</v>
      </c>
      <c r="F5458">
        <v>4</v>
      </c>
      <c r="G5458" s="308">
        <f>'JOVENES PROTAGONISTAS'!K105</f>
        <v>8</v>
      </c>
      <c r="H5458" s="308">
        <f>'JOVENES PROTAGONISTAS'!L105</f>
        <v>6877.5462545079854</v>
      </c>
    </row>
    <row r="5459" spans="1:8" x14ac:dyDescent="0.3">
      <c r="A5459" t="s">
        <v>632</v>
      </c>
      <c r="B5459" t="s">
        <v>525</v>
      </c>
      <c r="C5459" t="s">
        <v>729</v>
      </c>
      <c r="D5459" t="s">
        <v>693</v>
      </c>
      <c r="E5459" t="s">
        <v>770</v>
      </c>
      <c r="F5459">
        <v>5</v>
      </c>
      <c r="G5459" s="308">
        <f>'JOVENES PROTAGONISTAS'!M105</f>
        <v>24</v>
      </c>
      <c r="H5459" s="308">
        <f>'JOVENES PROTAGONISTAS'!N105</f>
        <v>24203.93254637437</v>
      </c>
    </row>
    <row r="5460" spans="1:8" x14ac:dyDescent="0.3">
      <c r="A5460" t="s">
        <v>632</v>
      </c>
      <c r="B5460" t="s">
        <v>525</v>
      </c>
      <c r="C5460" t="s">
        <v>729</v>
      </c>
      <c r="D5460" t="s">
        <v>693</v>
      </c>
      <c r="E5460" t="s">
        <v>771</v>
      </c>
      <c r="F5460">
        <v>6</v>
      </c>
      <c r="G5460" s="308">
        <f>'JOVENES PROTAGONISTAS'!O105</f>
        <v>21</v>
      </c>
      <c r="H5460" s="308">
        <f>'JOVENES PROTAGONISTAS'!P105</f>
        <v>4829.0537016129028</v>
      </c>
    </row>
    <row r="5461" spans="1:8" x14ac:dyDescent="0.3">
      <c r="A5461" t="s">
        <v>632</v>
      </c>
      <c r="B5461" t="s">
        <v>525</v>
      </c>
      <c r="C5461" t="s">
        <v>729</v>
      </c>
      <c r="D5461" t="s">
        <v>693</v>
      </c>
      <c r="E5461" t="s">
        <v>772</v>
      </c>
      <c r="F5461">
        <v>7</v>
      </c>
      <c r="G5461" s="308">
        <f>'JOVENES PROTAGONISTAS'!Q105</f>
        <v>37</v>
      </c>
      <c r="H5461" s="308">
        <f>'JOVENES PROTAGONISTAS'!R105</f>
        <v>29245.780020412327</v>
      </c>
    </row>
    <row r="5462" spans="1:8" x14ac:dyDescent="0.3">
      <c r="A5462" t="s">
        <v>632</v>
      </c>
      <c r="B5462" t="s">
        <v>525</v>
      </c>
      <c r="C5462" t="s">
        <v>730</v>
      </c>
      <c r="D5462" t="s">
        <v>693</v>
      </c>
      <c r="E5462" t="s">
        <v>766</v>
      </c>
      <c r="F5462">
        <v>1</v>
      </c>
      <c r="G5462" s="308">
        <f>'JOVENES PROTAGONISTAS'!E106</f>
        <v>0</v>
      </c>
      <c r="H5462" s="308">
        <f>'JOVENES PROTAGONISTAS'!F106</f>
        <v>0</v>
      </c>
    </row>
    <row r="5463" spans="1:8" x14ac:dyDescent="0.3">
      <c r="A5463" t="s">
        <v>632</v>
      </c>
      <c r="B5463" t="s">
        <v>525</v>
      </c>
      <c r="C5463" t="s">
        <v>730</v>
      </c>
      <c r="D5463" t="s">
        <v>693</v>
      </c>
      <c r="E5463" t="s">
        <v>767</v>
      </c>
      <c r="F5463">
        <v>2</v>
      </c>
      <c r="G5463" s="308">
        <f>'JOVENES PROTAGONISTAS'!G106</f>
        <v>0</v>
      </c>
      <c r="H5463" s="308">
        <f>'JOVENES PROTAGONISTAS'!H106</f>
        <v>0</v>
      </c>
    </row>
    <row r="5464" spans="1:8" x14ac:dyDescent="0.3">
      <c r="A5464" t="s">
        <v>632</v>
      </c>
      <c r="B5464" t="s">
        <v>525</v>
      </c>
      <c r="C5464" t="s">
        <v>730</v>
      </c>
      <c r="D5464" t="s">
        <v>693</v>
      </c>
      <c r="E5464" t="s">
        <v>768</v>
      </c>
      <c r="F5464">
        <v>3</v>
      </c>
      <c r="G5464" s="308">
        <f>'JOVENES PROTAGONISTAS'!I106</f>
        <v>36</v>
      </c>
      <c r="H5464" s="308">
        <f>'JOVENES PROTAGONISTAS'!J106</f>
        <v>5967.3301533219765</v>
      </c>
    </row>
    <row r="5465" spans="1:8" x14ac:dyDescent="0.3">
      <c r="A5465" t="s">
        <v>632</v>
      </c>
      <c r="B5465" t="s">
        <v>525</v>
      </c>
      <c r="C5465" t="s">
        <v>730</v>
      </c>
      <c r="D5465" t="s">
        <v>693</v>
      </c>
      <c r="E5465" t="s">
        <v>769</v>
      </c>
      <c r="F5465">
        <v>4</v>
      </c>
      <c r="G5465" s="308">
        <f>'JOVENES PROTAGONISTAS'!K106</f>
        <v>20</v>
      </c>
      <c r="H5465" s="308">
        <f>'JOVENES PROTAGONISTAS'!L106</f>
        <v>17193.865636269962</v>
      </c>
    </row>
    <row r="5466" spans="1:8" x14ac:dyDescent="0.3">
      <c r="A5466" t="s">
        <v>632</v>
      </c>
      <c r="B5466" t="s">
        <v>525</v>
      </c>
      <c r="C5466" t="s">
        <v>730</v>
      </c>
      <c r="D5466" t="s">
        <v>693</v>
      </c>
      <c r="E5466" t="s">
        <v>770</v>
      </c>
      <c r="F5466">
        <v>5</v>
      </c>
      <c r="G5466" s="308">
        <f>'JOVENES PROTAGONISTAS'!M106</f>
        <v>4</v>
      </c>
      <c r="H5466" s="308">
        <f>'JOVENES PROTAGONISTAS'!N106</f>
        <v>4033.9887577290615</v>
      </c>
    </row>
    <row r="5467" spans="1:8" x14ac:dyDescent="0.3">
      <c r="A5467" t="s">
        <v>632</v>
      </c>
      <c r="B5467" t="s">
        <v>525</v>
      </c>
      <c r="C5467" t="s">
        <v>730</v>
      </c>
      <c r="D5467" t="s">
        <v>693</v>
      </c>
      <c r="E5467" t="s">
        <v>771</v>
      </c>
      <c r="F5467">
        <v>6</v>
      </c>
      <c r="G5467" s="308">
        <f>'JOVENES PROTAGONISTAS'!O106</f>
        <v>18</v>
      </c>
      <c r="H5467" s="308">
        <f>'JOVENES PROTAGONISTAS'!P106</f>
        <v>4139.1888870967741</v>
      </c>
    </row>
    <row r="5468" spans="1:8" x14ac:dyDescent="0.3">
      <c r="A5468" t="s">
        <v>632</v>
      </c>
      <c r="B5468" t="s">
        <v>525</v>
      </c>
      <c r="C5468" t="s">
        <v>730</v>
      </c>
      <c r="D5468" t="s">
        <v>693</v>
      </c>
      <c r="E5468" t="s">
        <v>772</v>
      </c>
      <c r="F5468">
        <v>7</v>
      </c>
      <c r="G5468" s="308">
        <f>'JOVENES PROTAGONISTAS'!Q106</f>
        <v>15</v>
      </c>
      <c r="H5468" s="308">
        <f>'JOVENES PROTAGONISTAS'!R106</f>
        <v>11856.397305572566</v>
      </c>
    </row>
    <row r="5469" spans="1:8" x14ac:dyDescent="0.3">
      <c r="A5469" t="s">
        <v>632</v>
      </c>
      <c r="B5469" t="s">
        <v>525</v>
      </c>
      <c r="C5469" t="s">
        <v>529</v>
      </c>
      <c r="D5469" t="s">
        <v>693</v>
      </c>
      <c r="E5469" t="s">
        <v>766</v>
      </c>
      <c r="F5469">
        <v>1</v>
      </c>
      <c r="G5469" s="308">
        <f>'JOVENES PROTAGONISTAS'!E107</f>
        <v>0</v>
      </c>
      <c r="H5469" s="308">
        <f>'JOVENES PROTAGONISTAS'!F107</f>
        <v>0</v>
      </c>
    </row>
    <row r="5470" spans="1:8" x14ac:dyDescent="0.3">
      <c r="A5470" t="s">
        <v>632</v>
      </c>
      <c r="B5470" t="s">
        <v>525</v>
      </c>
      <c r="C5470" t="s">
        <v>529</v>
      </c>
      <c r="D5470" t="s">
        <v>693</v>
      </c>
      <c r="E5470" t="s">
        <v>767</v>
      </c>
      <c r="F5470">
        <v>2</v>
      </c>
      <c r="G5470" s="308">
        <f>'JOVENES PROTAGONISTAS'!G107</f>
        <v>0</v>
      </c>
      <c r="H5470" s="308">
        <f>'JOVENES PROTAGONISTAS'!H107</f>
        <v>0</v>
      </c>
    </row>
    <row r="5471" spans="1:8" x14ac:dyDescent="0.3">
      <c r="A5471" t="s">
        <v>632</v>
      </c>
      <c r="B5471" t="s">
        <v>525</v>
      </c>
      <c r="C5471" t="s">
        <v>529</v>
      </c>
      <c r="D5471" t="s">
        <v>693</v>
      </c>
      <c r="E5471" t="s">
        <v>768</v>
      </c>
      <c r="F5471">
        <v>3</v>
      </c>
      <c r="G5471" s="308">
        <f>'JOVENES PROTAGONISTAS'!I107</f>
        <v>59</v>
      </c>
      <c r="H5471" s="308">
        <f>'JOVENES PROTAGONISTAS'!J107</f>
        <v>9779.7910846110171</v>
      </c>
    </row>
    <row r="5472" spans="1:8" x14ac:dyDescent="0.3">
      <c r="A5472" t="s">
        <v>632</v>
      </c>
      <c r="B5472" t="s">
        <v>525</v>
      </c>
      <c r="C5472" t="s">
        <v>529</v>
      </c>
      <c r="D5472" t="s">
        <v>693</v>
      </c>
      <c r="E5472" t="s">
        <v>769</v>
      </c>
      <c r="F5472">
        <v>4</v>
      </c>
      <c r="G5472" s="308">
        <f>'JOVENES PROTAGONISTAS'!K107</f>
        <v>21</v>
      </c>
      <c r="H5472" s="308">
        <f>'JOVENES PROTAGONISTAS'!L107</f>
        <v>18053.558918083461</v>
      </c>
    </row>
    <row r="5473" spans="1:8" x14ac:dyDescent="0.3">
      <c r="A5473" t="s">
        <v>632</v>
      </c>
      <c r="B5473" t="s">
        <v>525</v>
      </c>
      <c r="C5473" t="s">
        <v>529</v>
      </c>
      <c r="D5473" t="s">
        <v>693</v>
      </c>
      <c r="E5473" t="s">
        <v>770</v>
      </c>
      <c r="F5473">
        <v>5</v>
      </c>
      <c r="G5473" s="308">
        <f>'JOVENES PROTAGONISTAS'!M107</f>
        <v>13</v>
      </c>
      <c r="H5473" s="308">
        <f>'JOVENES PROTAGONISTAS'!N107</f>
        <v>13110.463462619449</v>
      </c>
    </row>
    <row r="5474" spans="1:8" x14ac:dyDescent="0.3">
      <c r="A5474" t="s">
        <v>632</v>
      </c>
      <c r="B5474" t="s">
        <v>525</v>
      </c>
      <c r="C5474" t="s">
        <v>529</v>
      </c>
      <c r="D5474" t="s">
        <v>693</v>
      </c>
      <c r="E5474" t="s">
        <v>771</v>
      </c>
      <c r="F5474">
        <v>6</v>
      </c>
      <c r="G5474" s="308">
        <f>'JOVENES PROTAGONISTAS'!O107</f>
        <v>5</v>
      </c>
      <c r="H5474" s="308">
        <f>'JOVENES PROTAGONISTAS'!P107</f>
        <v>1149.7746908602151</v>
      </c>
    </row>
    <row r="5475" spans="1:8" x14ac:dyDescent="0.3">
      <c r="A5475" t="s">
        <v>632</v>
      </c>
      <c r="B5475" t="s">
        <v>525</v>
      </c>
      <c r="C5475" t="s">
        <v>529</v>
      </c>
      <c r="D5475" t="s">
        <v>693</v>
      </c>
      <c r="E5475" t="s">
        <v>772</v>
      </c>
      <c r="F5475">
        <v>7</v>
      </c>
      <c r="G5475" s="308">
        <f>'JOVENES PROTAGONISTAS'!Q107</f>
        <v>38</v>
      </c>
      <c r="H5475" s="308">
        <f>'JOVENES PROTAGONISTAS'!R107</f>
        <v>30036.206507450497</v>
      </c>
    </row>
    <row r="5476" spans="1:8" x14ac:dyDescent="0.3">
      <c r="A5476" t="s">
        <v>632</v>
      </c>
      <c r="B5476" t="s">
        <v>525</v>
      </c>
      <c r="C5476" t="s">
        <v>525</v>
      </c>
      <c r="D5476" t="s">
        <v>693</v>
      </c>
      <c r="E5476" t="s">
        <v>766</v>
      </c>
      <c r="F5476">
        <v>1</v>
      </c>
      <c r="G5476" s="308">
        <f>'JOVENES PROTAGONISTAS'!E108</f>
        <v>0</v>
      </c>
      <c r="H5476" s="308">
        <f>'JOVENES PROTAGONISTAS'!F108</f>
        <v>0</v>
      </c>
    </row>
    <row r="5477" spans="1:8" x14ac:dyDescent="0.3">
      <c r="A5477" t="s">
        <v>632</v>
      </c>
      <c r="B5477" t="s">
        <v>525</v>
      </c>
      <c r="C5477" t="s">
        <v>525</v>
      </c>
      <c r="D5477" t="s">
        <v>693</v>
      </c>
      <c r="E5477" t="s">
        <v>767</v>
      </c>
      <c r="F5477">
        <v>2</v>
      </c>
      <c r="G5477" s="308">
        <f>'JOVENES PROTAGONISTAS'!G108</f>
        <v>0</v>
      </c>
      <c r="H5477" s="308">
        <f>'JOVENES PROTAGONISTAS'!H108</f>
        <v>0</v>
      </c>
    </row>
    <row r="5478" spans="1:8" x14ac:dyDescent="0.3">
      <c r="A5478" t="s">
        <v>632</v>
      </c>
      <c r="B5478" t="s">
        <v>525</v>
      </c>
      <c r="C5478" t="s">
        <v>525</v>
      </c>
      <c r="D5478" t="s">
        <v>693</v>
      </c>
      <c r="E5478" t="s">
        <v>768</v>
      </c>
      <c r="F5478">
        <v>3</v>
      </c>
      <c r="G5478" s="308">
        <f>'JOVENES PROTAGONISTAS'!I108</f>
        <v>0</v>
      </c>
      <c r="H5478" s="308">
        <f>'JOVENES PROTAGONISTAS'!J108</f>
        <v>0</v>
      </c>
    </row>
    <row r="5479" spans="1:8" x14ac:dyDescent="0.3">
      <c r="A5479" t="s">
        <v>632</v>
      </c>
      <c r="B5479" t="s">
        <v>525</v>
      </c>
      <c r="C5479" t="s">
        <v>525</v>
      </c>
      <c r="D5479" t="s">
        <v>693</v>
      </c>
      <c r="E5479" t="s">
        <v>769</v>
      </c>
      <c r="F5479">
        <v>4</v>
      </c>
      <c r="G5479" s="308">
        <f>'JOVENES PROTAGONISTAS'!K108</f>
        <v>0</v>
      </c>
      <c r="H5479" s="308">
        <f>'JOVENES PROTAGONISTAS'!L108</f>
        <v>0</v>
      </c>
    </row>
    <row r="5480" spans="1:8" x14ac:dyDescent="0.3">
      <c r="A5480" t="s">
        <v>632</v>
      </c>
      <c r="B5480" t="s">
        <v>525</v>
      </c>
      <c r="C5480" t="s">
        <v>525</v>
      </c>
      <c r="D5480" t="s">
        <v>693</v>
      </c>
      <c r="E5480" t="s">
        <v>770</v>
      </c>
      <c r="F5480">
        <v>5</v>
      </c>
      <c r="G5480" s="308">
        <f>'JOVENES PROTAGONISTAS'!M108</f>
        <v>0</v>
      </c>
      <c r="H5480" s="308">
        <f>'JOVENES PROTAGONISTAS'!N108</f>
        <v>0</v>
      </c>
    </row>
    <row r="5481" spans="1:8" x14ac:dyDescent="0.3">
      <c r="A5481" t="s">
        <v>632</v>
      </c>
      <c r="B5481" t="s">
        <v>525</v>
      </c>
      <c r="C5481" t="s">
        <v>525</v>
      </c>
      <c r="D5481" t="s">
        <v>693</v>
      </c>
      <c r="E5481" t="s">
        <v>771</v>
      </c>
      <c r="F5481">
        <v>6</v>
      </c>
      <c r="G5481" s="308">
        <f>'JOVENES PROTAGONISTAS'!O108</f>
        <v>4</v>
      </c>
      <c r="H5481" s="308">
        <f>'JOVENES PROTAGONISTAS'!P108</f>
        <v>919.819752688172</v>
      </c>
    </row>
    <row r="5482" spans="1:8" x14ac:dyDescent="0.3">
      <c r="A5482" t="s">
        <v>632</v>
      </c>
      <c r="B5482" t="s">
        <v>525</v>
      </c>
      <c r="C5482" t="s">
        <v>525</v>
      </c>
      <c r="D5482" t="s">
        <v>693</v>
      </c>
      <c r="E5482" t="s">
        <v>772</v>
      </c>
      <c r="F5482">
        <v>7</v>
      </c>
      <c r="G5482" s="308">
        <f>'JOVENES PROTAGONISTAS'!Q108</f>
        <v>34</v>
      </c>
      <c r="H5482" s="308">
        <f>'JOVENES PROTAGONISTAS'!R108</f>
        <v>26874.500559297812</v>
      </c>
    </row>
    <row r="5483" spans="1:8" x14ac:dyDescent="0.3">
      <c r="A5483" t="s">
        <v>632</v>
      </c>
      <c r="B5483" t="s">
        <v>731</v>
      </c>
      <c r="C5483" t="s">
        <v>732</v>
      </c>
      <c r="D5483" t="s">
        <v>693</v>
      </c>
      <c r="E5483" t="s">
        <v>766</v>
      </c>
      <c r="F5483">
        <v>1</v>
      </c>
      <c r="G5483" s="308">
        <f>'JOVENES PROTAGONISTAS'!E109</f>
        <v>0</v>
      </c>
      <c r="H5483" s="308">
        <f>'JOVENES PROTAGONISTAS'!F109</f>
        <v>0</v>
      </c>
    </row>
    <row r="5484" spans="1:8" x14ac:dyDescent="0.3">
      <c r="A5484" t="s">
        <v>632</v>
      </c>
      <c r="B5484" t="s">
        <v>731</v>
      </c>
      <c r="C5484" t="s">
        <v>732</v>
      </c>
      <c r="D5484" t="s">
        <v>693</v>
      </c>
      <c r="E5484" t="s">
        <v>767</v>
      </c>
      <c r="F5484">
        <v>2</v>
      </c>
      <c r="G5484" s="308">
        <f>'JOVENES PROTAGONISTAS'!G109</f>
        <v>0</v>
      </c>
      <c r="H5484" s="308">
        <f>'JOVENES PROTAGONISTAS'!H109</f>
        <v>0</v>
      </c>
    </row>
    <row r="5485" spans="1:8" x14ac:dyDescent="0.3">
      <c r="A5485" t="s">
        <v>632</v>
      </c>
      <c r="B5485" t="s">
        <v>731</v>
      </c>
      <c r="C5485" t="s">
        <v>732</v>
      </c>
      <c r="D5485" t="s">
        <v>693</v>
      </c>
      <c r="E5485" t="s">
        <v>768</v>
      </c>
      <c r="F5485">
        <v>3</v>
      </c>
      <c r="G5485" s="308">
        <f>'JOVENES PROTAGONISTAS'!I109</f>
        <v>0</v>
      </c>
      <c r="H5485" s="308">
        <f>'JOVENES PROTAGONISTAS'!J109</f>
        <v>0</v>
      </c>
    </row>
    <row r="5486" spans="1:8" x14ac:dyDescent="0.3">
      <c r="A5486" t="s">
        <v>632</v>
      </c>
      <c r="B5486" t="s">
        <v>731</v>
      </c>
      <c r="C5486" t="s">
        <v>732</v>
      </c>
      <c r="D5486" t="s">
        <v>693</v>
      </c>
      <c r="E5486" t="s">
        <v>769</v>
      </c>
      <c r="F5486">
        <v>4</v>
      </c>
      <c r="G5486" s="308">
        <f>'JOVENES PROTAGONISTAS'!K109</f>
        <v>63</v>
      </c>
      <c r="H5486" s="308">
        <f>'JOVENES PROTAGONISTAS'!L109</f>
        <v>54160.676754250388</v>
      </c>
    </row>
    <row r="5487" spans="1:8" x14ac:dyDescent="0.3">
      <c r="A5487" t="s">
        <v>632</v>
      </c>
      <c r="B5487" t="s">
        <v>731</v>
      </c>
      <c r="C5487" t="s">
        <v>732</v>
      </c>
      <c r="D5487" t="s">
        <v>693</v>
      </c>
      <c r="E5487" t="s">
        <v>770</v>
      </c>
      <c r="F5487">
        <v>5</v>
      </c>
      <c r="G5487" s="308">
        <f>'JOVENES PROTAGONISTAS'!M109</f>
        <v>41</v>
      </c>
      <c r="H5487" s="308">
        <f>'JOVENES PROTAGONISTAS'!N109</f>
        <v>41348.384766722884</v>
      </c>
    </row>
    <row r="5488" spans="1:8" x14ac:dyDescent="0.3">
      <c r="A5488" t="s">
        <v>632</v>
      </c>
      <c r="B5488" t="s">
        <v>731</v>
      </c>
      <c r="C5488" t="s">
        <v>732</v>
      </c>
      <c r="D5488" t="s">
        <v>693</v>
      </c>
      <c r="E5488" t="s">
        <v>771</v>
      </c>
      <c r="F5488">
        <v>6</v>
      </c>
      <c r="G5488" s="308">
        <f>'JOVENES PROTAGONISTAS'!O109</f>
        <v>155</v>
      </c>
      <c r="H5488" s="308">
        <f>'JOVENES PROTAGONISTAS'!P109</f>
        <v>35643.015416666662</v>
      </c>
    </row>
    <row r="5489" spans="1:8" x14ac:dyDescent="0.3">
      <c r="A5489" t="s">
        <v>632</v>
      </c>
      <c r="B5489" t="s">
        <v>731</v>
      </c>
      <c r="C5489" t="s">
        <v>732</v>
      </c>
      <c r="D5489" t="s">
        <v>693</v>
      </c>
      <c r="E5489" t="s">
        <v>772</v>
      </c>
      <c r="F5489">
        <v>7</v>
      </c>
      <c r="G5489" s="308">
        <f>'JOVENES PROTAGONISTAS'!Q109</f>
        <v>49</v>
      </c>
      <c r="H5489" s="308">
        <f>'JOVENES PROTAGONISTAS'!R109</f>
        <v>38730.897864870378</v>
      </c>
    </row>
    <row r="5490" spans="1:8" x14ac:dyDescent="0.3">
      <c r="A5490" t="s">
        <v>632</v>
      </c>
      <c r="B5490" t="s">
        <v>731</v>
      </c>
      <c r="C5490" t="s">
        <v>532</v>
      </c>
      <c r="D5490" t="s">
        <v>693</v>
      </c>
      <c r="E5490" t="s">
        <v>766</v>
      </c>
      <c r="F5490">
        <v>1</v>
      </c>
      <c r="G5490" s="308">
        <f>'JOVENES PROTAGONISTAS'!E110</f>
        <v>0</v>
      </c>
      <c r="H5490" s="308">
        <f>'JOVENES PROTAGONISTAS'!F110</f>
        <v>0</v>
      </c>
    </row>
    <row r="5491" spans="1:8" x14ac:dyDescent="0.3">
      <c r="A5491" t="s">
        <v>632</v>
      </c>
      <c r="B5491" t="s">
        <v>731</v>
      </c>
      <c r="C5491" t="s">
        <v>532</v>
      </c>
      <c r="D5491" t="s">
        <v>693</v>
      </c>
      <c r="E5491" t="s">
        <v>767</v>
      </c>
      <c r="F5491">
        <v>2</v>
      </c>
      <c r="G5491" s="308">
        <f>'JOVENES PROTAGONISTAS'!G110</f>
        <v>0</v>
      </c>
      <c r="H5491" s="308">
        <f>'JOVENES PROTAGONISTAS'!H110</f>
        <v>0</v>
      </c>
    </row>
    <row r="5492" spans="1:8" x14ac:dyDescent="0.3">
      <c r="A5492" t="s">
        <v>632</v>
      </c>
      <c r="B5492" t="s">
        <v>731</v>
      </c>
      <c r="C5492" t="s">
        <v>532</v>
      </c>
      <c r="D5492" t="s">
        <v>693</v>
      </c>
      <c r="E5492" t="s">
        <v>768</v>
      </c>
      <c r="F5492">
        <v>3</v>
      </c>
      <c r="G5492" s="308">
        <f>'JOVENES PROTAGONISTAS'!I110</f>
        <v>0</v>
      </c>
      <c r="H5492" s="308">
        <f>'JOVENES PROTAGONISTAS'!J110</f>
        <v>0</v>
      </c>
    </row>
    <row r="5493" spans="1:8" x14ac:dyDescent="0.3">
      <c r="A5493" t="s">
        <v>632</v>
      </c>
      <c r="B5493" t="s">
        <v>731</v>
      </c>
      <c r="C5493" t="s">
        <v>532</v>
      </c>
      <c r="D5493" t="s">
        <v>693</v>
      </c>
      <c r="E5493" t="s">
        <v>769</v>
      </c>
      <c r="F5493">
        <v>4</v>
      </c>
      <c r="G5493" s="308">
        <f>'JOVENES PROTAGONISTAS'!K110</f>
        <v>32</v>
      </c>
      <c r="H5493" s="308">
        <f>'JOVENES PROTAGONISTAS'!L110</f>
        <v>27510.185018031942</v>
      </c>
    </row>
    <row r="5494" spans="1:8" x14ac:dyDescent="0.3">
      <c r="A5494" t="s">
        <v>632</v>
      </c>
      <c r="B5494" t="s">
        <v>731</v>
      </c>
      <c r="C5494" t="s">
        <v>532</v>
      </c>
      <c r="D5494" t="s">
        <v>693</v>
      </c>
      <c r="E5494" t="s">
        <v>770</v>
      </c>
      <c r="F5494">
        <v>5</v>
      </c>
      <c r="G5494" s="308">
        <f>'JOVENES PROTAGONISTAS'!M110</f>
        <v>1</v>
      </c>
      <c r="H5494" s="308">
        <f>'JOVENES PROTAGONISTAS'!N110</f>
        <v>1008.4971894322654</v>
      </c>
    </row>
    <row r="5495" spans="1:8" x14ac:dyDescent="0.3">
      <c r="A5495" t="s">
        <v>632</v>
      </c>
      <c r="B5495" t="s">
        <v>731</v>
      </c>
      <c r="C5495" t="s">
        <v>532</v>
      </c>
      <c r="D5495" t="s">
        <v>693</v>
      </c>
      <c r="E5495" t="s">
        <v>771</v>
      </c>
      <c r="F5495">
        <v>6</v>
      </c>
      <c r="G5495" s="308">
        <f>'JOVENES PROTAGONISTAS'!O110</f>
        <v>5</v>
      </c>
      <c r="H5495" s="308">
        <f>'JOVENES PROTAGONISTAS'!P110</f>
        <v>1149.7746908602151</v>
      </c>
    </row>
    <row r="5496" spans="1:8" x14ac:dyDescent="0.3">
      <c r="A5496" t="s">
        <v>632</v>
      </c>
      <c r="B5496" t="s">
        <v>731</v>
      </c>
      <c r="C5496" t="s">
        <v>532</v>
      </c>
      <c r="D5496" t="s">
        <v>693</v>
      </c>
      <c r="E5496" t="s">
        <v>772</v>
      </c>
      <c r="F5496">
        <v>7</v>
      </c>
      <c r="G5496" s="308">
        <f>'JOVENES PROTAGONISTAS'!Q110</f>
        <v>18</v>
      </c>
      <c r="H5496" s="308">
        <f>'JOVENES PROTAGONISTAS'!R110</f>
        <v>14227.676766687078</v>
      </c>
    </row>
    <row r="5497" spans="1:8" x14ac:dyDescent="0.3">
      <c r="A5497" t="s">
        <v>632</v>
      </c>
      <c r="B5497" t="s">
        <v>731</v>
      </c>
      <c r="C5497" t="s">
        <v>533</v>
      </c>
      <c r="D5497" t="s">
        <v>693</v>
      </c>
      <c r="E5497" t="s">
        <v>766</v>
      </c>
      <c r="F5497">
        <v>1</v>
      </c>
      <c r="G5497" s="308">
        <f>'JOVENES PROTAGONISTAS'!E111</f>
        <v>0</v>
      </c>
      <c r="H5497" s="308">
        <f>'JOVENES PROTAGONISTAS'!F111</f>
        <v>0</v>
      </c>
    </row>
    <row r="5498" spans="1:8" x14ac:dyDescent="0.3">
      <c r="A5498" t="s">
        <v>632</v>
      </c>
      <c r="B5498" t="s">
        <v>731</v>
      </c>
      <c r="C5498" t="s">
        <v>533</v>
      </c>
      <c r="D5498" t="s">
        <v>693</v>
      </c>
      <c r="E5498" t="s">
        <v>767</v>
      </c>
      <c r="F5498">
        <v>2</v>
      </c>
      <c r="G5498" s="308">
        <f>'JOVENES PROTAGONISTAS'!G111</f>
        <v>0</v>
      </c>
      <c r="H5498" s="308">
        <f>'JOVENES PROTAGONISTAS'!H111</f>
        <v>0</v>
      </c>
    </row>
    <row r="5499" spans="1:8" x14ac:dyDescent="0.3">
      <c r="A5499" t="s">
        <v>632</v>
      </c>
      <c r="B5499" t="s">
        <v>731</v>
      </c>
      <c r="C5499" t="s">
        <v>533</v>
      </c>
      <c r="D5499" t="s">
        <v>693</v>
      </c>
      <c r="E5499" t="s">
        <v>768</v>
      </c>
      <c r="F5499">
        <v>3</v>
      </c>
      <c r="G5499" s="308">
        <f>'JOVENES PROTAGONISTAS'!I111</f>
        <v>6</v>
      </c>
      <c r="H5499" s="308">
        <f>'JOVENES PROTAGONISTAS'!J111</f>
        <v>994.55502555366274</v>
      </c>
    </row>
    <row r="5500" spans="1:8" x14ac:dyDescent="0.3">
      <c r="A5500" t="s">
        <v>632</v>
      </c>
      <c r="B5500" t="s">
        <v>731</v>
      </c>
      <c r="C5500" t="s">
        <v>533</v>
      </c>
      <c r="D5500" t="s">
        <v>693</v>
      </c>
      <c r="E5500" t="s">
        <v>769</v>
      </c>
      <c r="F5500">
        <v>4</v>
      </c>
      <c r="G5500" s="308">
        <f>'JOVENES PROTAGONISTAS'!K111</f>
        <v>12</v>
      </c>
      <c r="H5500" s="308">
        <f>'JOVENES PROTAGONISTAS'!L111</f>
        <v>10316.319381761978</v>
      </c>
    </row>
    <row r="5501" spans="1:8" x14ac:dyDescent="0.3">
      <c r="A5501" t="s">
        <v>632</v>
      </c>
      <c r="B5501" t="s">
        <v>731</v>
      </c>
      <c r="C5501" t="s">
        <v>533</v>
      </c>
      <c r="D5501" t="s">
        <v>693</v>
      </c>
      <c r="E5501" t="s">
        <v>770</v>
      </c>
      <c r="F5501">
        <v>5</v>
      </c>
      <c r="G5501" s="308">
        <f>'JOVENES PROTAGONISTAS'!M111</f>
        <v>5</v>
      </c>
      <c r="H5501" s="308">
        <f>'JOVENES PROTAGONISTAS'!N111</f>
        <v>5042.4859471613272</v>
      </c>
    </row>
    <row r="5502" spans="1:8" x14ac:dyDescent="0.3">
      <c r="A5502" t="s">
        <v>632</v>
      </c>
      <c r="B5502" t="s">
        <v>731</v>
      </c>
      <c r="C5502" t="s">
        <v>533</v>
      </c>
      <c r="D5502" t="s">
        <v>693</v>
      </c>
      <c r="E5502" t="s">
        <v>771</v>
      </c>
      <c r="F5502">
        <v>6</v>
      </c>
      <c r="G5502" s="308">
        <f>'JOVENES PROTAGONISTAS'!O111</f>
        <v>10</v>
      </c>
      <c r="H5502" s="308">
        <f>'JOVENES PROTAGONISTAS'!P111</f>
        <v>2299.5493817204301</v>
      </c>
    </row>
    <row r="5503" spans="1:8" x14ac:dyDescent="0.3">
      <c r="A5503" t="s">
        <v>632</v>
      </c>
      <c r="B5503" t="s">
        <v>731</v>
      </c>
      <c r="C5503" t="s">
        <v>533</v>
      </c>
      <c r="D5503" t="s">
        <v>693</v>
      </c>
      <c r="E5503" t="s">
        <v>772</v>
      </c>
      <c r="F5503">
        <v>7</v>
      </c>
      <c r="G5503" s="308">
        <f>'JOVENES PROTAGONISTAS'!Q111</f>
        <v>24</v>
      </c>
      <c r="H5503" s="308">
        <f>'JOVENES PROTAGONISTAS'!R111</f>
        <v>18970.235688916102</v>
      </c>
    </row>
    <row r="5504" spans="1:8" x14ac:dyDescent="0.3">
      <c r="A5504" t="s">
        <v>632</v>
      </c>
      <c r="B5504" t="s">
        <v>731</v>
      </c>
      <c r="C5504" t="s">
        <v>733</v>
      </c>
      <c r="D5504" t="s">
        <v>693</v>
      </c>
      <c r="E5504" t="s">
        <v>766</v>
      </c>
      <c r="F5504">
        <v>1</v>
      </c>
      <c r="G5504" s="308">
        <f>'JOVENES PROTAGONISTAS'!E112</f>
        <v>0</v>
      </c>
      <c r="H5504" s="308">
        <f>'JOVENES PROTAGONISTAS'!F112</f>
        <v>0</v>
      </c>
    </row>
    <row r="5505" spans="1:8" x14ac:dyDescent="0.3">
      <c r="A5505" t="s">
        <v>632</v>
      </c>
      <c r="B5505" t="s">
        <v>731</v>
      </c>
      <c r="C5505" t="s">
        <v>733</v>
      </c>
      <c r="D5505" t="s">
        <v>693</v>
      </c>
      <c r="E5505" t="s">
        <v>767</v>
      </c>
      <c r="F5505">
        <v>2</v>
      </c>
      <c r="G5505" s="308">
        <f>'JOVENES PROTAGONISTAS'!G112</f>
        <v>0</v>
      </c>
      <c r="H5505" s="308">
        <f>'JOVENES PROTAGONISTAS'!H112</f>
        <v>0</v>
      </c>
    </row>
    <row r="5506" spans="1:8" x14ac:dyDescent="0.3">
      <c r="A5506" t="s">
        <v>632</v>
      </c>
      <c r="B5506" t="s">
        <v>731</v>
      </c>
      <c r="C5506" t="s">
        <v>733</v>
      </c>
      <c r="D5506" t="s">
        <v>693</v>
      </c>
      <c r="E5506" t="s">
        <v>768</v>
      </c>
      <c r="F5506">
        <v>3</v>
      </c>
      <c r="G5506" s="308">
        <f>'JOVENES PROTAGONISTAS'!I112</f>
        <v>0</v>
      </c>
      <c r="H5506" s="308">
        <f>'JOVENES PROTAGONISTAS'!J112</f>
        <v>0</v>
      </c>
    </row>
    <row r="5507" spans="1:8" x14ac:dyDescent="0.3">
      <c r="A5507" t="s">
        <v>632</v>
      </c>
      <c r="B5507" t="s">
        <v>731</v>
      </c>
      <c r="C5507" t="s">
        <v>733</v>
      </c>
      <c r="D5507" t="s">
        <v>693</v>
      </c>
      <c r="E5507" t="s">
        <v>769</v>
      </c>
      <c r="F5507">
        <v>4</v>
      </c>
      <c r="G5507" s="308">
        <f>'JOVENES PROTAGONISTAS'!K112</f>
        <v>25</v>
      </c>
      <c r="H5507" s="308">
        <f>'JOVENES PROTAGONISTAS'!L112</f>
        <v>21492.332045337454</v>
      </c>
    </row>
    <row r="5508" spans="1:8" x14ac:dyDescent="0.3">
      <c r="A5508" t="s">
        <v>632</v>
      </c>
      <c r="B5508" t="s">
        <v>731</v>
      </c>
      <c r="C5508" t="s">
        <v>733</v>
      </c>
      <c r="D5508" t="s">
        <v>693</v>
      </c>
      <c r="E5508" t="s">
        <v>770</v>
      </c>
      <c r="F5508">
        <v>5</v>
      </c>
      <c r="G5508" s="308">
        <f>'JOVENES PROTAGONISTAS'!M112</f>
        <v>19</v>
      </c>
      <c r="H5508" s="308">
        <f>'JOVENES PROTAGONISTAS'!N112</f>
        <v>19161.446599213043</v>
      </c>
    </row>
    <row r="5509" spans="1:8" x14ac:dyDescent="0.3">
      <c r="A5509" t="s">
        <v>632</v>
      </c>
      <c r="B5509" t="s">
        <v>731</v>
      </c>
      <c r="C5509" t="s">
        <v>733</v>
      </c>
      <c r="D5509" t="s">
        <v>693</v>
      </c>
      <c r="E5509" t="s">
        <v>771</v>
      </c>
      <c r="F5509">
        <v>6</v>
      </c>
      <c r="G5509" s="308">
        <f>'JOVENES PROTAGONISTAS'!O112</f>
        <v>80</v>
      </c>
      <c r="H5509" s="308">
        <f>'JOVENES PROTAGONISTAS'!P112</f>
        <v>18396.395053763441</v>
      </c>
    </row>
    <row r="5510" spans="1:8" x14ac:dyDescent="0.3">
      <c r="A5510" t="s">
        <v>632</v>
      </c>
      <c r="B5510" t="s">
        <v>731</v>
      </c>
      <c r="C5510" t="s">
        <v>733</v>
      </c>
      <c r="D5510" t="s">
        <v>693</v>
      </c>
      <c r="E5510" t="s">
        <v>772</v>
      </c>
      <c r="F5510">
        <v>7</v>
      </c>
      <c r="G5510" s="308">
        <f>'JOVENES PROTAGONISTAS'!Q112</f>
        <v>27</v>
      </c>
      <c r="H5510" s="308">
        <f>'JOVENES PROTAGONISTAS'!R112</f>
        <v>21341.515150030616</v>
      </c>
    </row>
    <row r="5511" spans="1:8" x14ac:dyDescent="0.3">
      <c r="A5511" t="s">
        <v>632</v>
      </c>
      <c r="B5511" t="s">
        <v>731</v>
      </c>
      <c r="C5511" t="s">
        <v>734</v>
      </c>
      <c r="D5511" t="s">
        <v>693</v>
      </c>
      <c r="E5511" t="s">
        <v>766</v>
      </c>
      <c r="F5511">
        <v>1</v>
      </c>
      <c r="G5511" s="308">
        <f>'JOVENES PROTAGONISTAS'!E113</f>
        <v>0</v>
      </c>
      <c r="H5511" s="308">
        <f>'JOVENES PROTAGONISTAS'!F113</f>
        <v>0</v>
      </c>
    </row>
    <row r="5512" spans="1:8" x14ac:dyDescent="0.3">
      <c r="A5512" t="s">
        <v>632</v>
      </c>
      <c r="B5512" t="s">
        <v>731</v>
      </c>
      <c r="C5512" t="s">
        <v>734</v>
      </c>
      <c r="D5512" t="s">
        <v>693</v>
      </c>
      <c r="E5512" t="s">
        <v>767</v>
      </c>
      <c r="F5512">
        <v>2</v>
      </c>
      <c r="G5512" s="308">
        <f>'JOVENES PROTAGONISTAS'!G113</f>
        <v>50</v>
      </c>
      <c r="H5512" s="308">
        <f>'JOVENES PROTAGONISTAS'!H113</f>
        <v>5024.6014336213666</v>
      </c>
    </row>
    <row r="5513" spans="1:8" x14ac:dyDescent="0.3">
      <c r="A5513" t="s">
        <v>632</v>
      </c>
      <c r="B5513" t="s">
        <v>731</v>
      </c>
      <c r="C5513" t="s">
        <v>734</v>
      </c>
      <c r="D5513" t="s">
        <v>693</v>
      </c>
      <c r="E5513" t="s">
        <v>768</v>
      </c>
      <c r="F5513">
        <v>3</v>
      </c>
      <c r="G5513" s="308">
        <f>'JOVENES PROTAGONISTAS'!I113</f>
        <v>11</v>
      </c>
      <c r="H5513" s="308">
        <f>'JOVENES PROTAGONISTAS'!J113</f>
        <v>1823.350880181715</v>
      </c>
    </row>
    <row r="5514" spans="1:8" x14ac:dyDescent="0.3">
      <c r="A5514" t="s">
        <v>632</v>
      </c>
      <c r="B5514" t="s">
        <v>731</v>
      </c>
      <c r="C5514" t="s">
        <v>734</v>
      </c>
      <c r="D5514" t="s">
        <v>693</v>
      </c>
      <c r="E5514" t="s">
        <v>769</v>
      </c>
      <c r="F5514">
        <v>4</v>
      </c>
      <c r="G5514" s="308">
        <f>'JOVENES PROTAGONISTAS'!K113</f>
        <v>6</v>
      </c>
      <c r="H5514" s="308">
        <f>'JOVENES PROTAGONISTAS'!L113</f>
        <v>5158.1596908809888</v>
      </c>
    </row>
    <row r="5515" spans="1:8" x14ac:dyDescent="0.3">
      <c r="A5515" t="s">
        <v>632</v>
      </c>
      <c r="B5515" t="s">
        <v>731</v>
      </c>
      <c r="C5515" t="s">
        <v>734</v>
      </c>
      <c r="D5515" t="s">
        <v>693</v>
      </c>
      <c r="E5515" t="s">
        <v>770</v>
      </c>
      <c r="F5515">
        <v>5</v>
      </c>
      <c r="G5515" s="308">
        <f>'JOVENES PROTAGONISTAS'!M113</f>
        <v>34</v>
      </c>
      <c r="H5515" s="308">
        <f>'JOVENES PROTAGONISTAS'!N113</f>
        <v>34288.904440697021</v>
      </c>
    </row>
    <row r="5516" spans="1:8" x14ac:dyDescent="0.3">
      <c r="A5516" t="s">
        <v>632</v>
      </c>
      <c r="B5516" t="s">
        <v>731</v>
      </c>
      <c r="C5516" t="s">
        <v>734</v>
      </c>
      <c r="D5516" t="s">
        <v>693</v>
      </c>
      <c r="E5516" t="s">
        <v>771</v>
      </c>
      <c r="F5516">
        <v>6</v>
      </c>
      <c r="G5516" s="308">
        <f>'JOVENES PROTAGONISTAS'!O113</f>
        <v>54</v>
      </c>
      <c r="H5516" s="308">
        <f>'JOVENES PROTAGONISTAS'!P113</f>
        <v>12417.566661290322</v>
      </c>
    </row>
    <row r="5517" spans="1:8" x14ac:dyDescent="0.3">
      <c r="A5517" t="s">
        <v>632</v>
      </c>
      <c r="B5517" t="s">
        <v>731</v>
      </c>
      <c r="C5517" t="s">
        <v>734</v>
      </c>
      <c r="D5517" t="s">
        <v>693</v>
      </c>
      <c r="E5517" t="s">
        <v>772</v>
      </c>
      <c r="F5517">
        <v>7</v>
      </c>
      <c r="G5517" s="308">
        <f>'JOVENES PROTAGONISTAS'!Q113</f>
        <v>20</v>
      </c>
      <c r="H5517" s="308">
        <f>'JOVENES PROTAGONISTAS'!R113</f>
        <v>15808.529740763421</v>
      </c>
    </row>
    <row r="5518" spans="1:8" x14ac:dyDescent="0.3">
      <c r="A5518" t="s">
        <v>632</v>
      </c>
      <c r="B5518" t="s">
        <v>731</v>
      </c>
      <c r="C5518" t="s">
        <v>536</v>
      </c>
      <c r="D5518" t="s">
        <v>693</v>
      </c>
      <c r="E5518" t="s">
        <v>766</v>
      </c>
      <c r="F5518">
        <v>1</v>
      </c>
      <c r="G5518" s="308">
        <f>'JOVENES PROTAGONISTAS'!E114</f>
        <v>0</v>
      </c>
      <c r="H5518" s="308">
        <f>'JOVENES PROTAGONISTAS'!F114</f>
        <v>0</v>
      </c>
    </row>
    <row r="5519" spans="1:8" x14ac:dyDescent="0.3">
      <c r="A5519" t="s">
        <v>632</v>
      </c>
      <c r="B5519" t="s">
        <v>731</v>
      </c>
      <c r="C5519" t="s">
        <v>536</v>
      </c>
      <c r="D5519" t="s">
        <v>693</v>
      </c>
      <c r="E5519" t="s">
        <v>767</v>
      </c>
      <c r="F5519">
        <v>2</v>
      </c>
      <c r="G5519" s="308">
        <f>'JOVENES PROTAGONISTAS'!G114</f>
        <v>0</v>
      </c>
      <c r="H5519" s="308">
        <f>'JOVENES PROTAGONISTAS'!H114</f>
        <v>0</v>
      </c>
    </row>
    <row r="5520" spans="1:8" x14ac:dyDescent="0.3">
      <c r="A5520" t="s">
        <v>632</v>
      </c>
      <c r="B5520" t="s">
        <v>731</v>
      </c>
      <c r="C5520" t="s">
        <v>536</v>
      </c>
      <c r="D5520" t="s">
        <v>693</v>
      </c>
      <c r="E5520" t="s">
        <v>768</v>
      </c>
      <c r="F5520">
        <v>3</v>
      </c>
      <c r="G5520" s="308">
        <f>'JOVENES PROTAGONISTAS'!I114</f>
        <v>0</v>
      </c>
      <c r="H5520" s="308">
        <f>'JOVENES PROTAGONISTAS'!J114</f>
        <v>0</v>
      </c>
    </row>
    <row r="5521" spans="1:8" x14ac:dyDescent="0.3">
      <c r="A5521" t="s">
        <v>632</v>
      </c>
      <c r="B5521" t="s">
        <v>731</v>
      </c>
      <c r="C5521" t="s">
        <v>536</v>
      </c>
      <c r="D5521" t="s">
        <v>693</v>
      </c>
      <c r="E5521" t="s">
        <v>769</v>
      </c>
      <c r="F5521">
        <v>4</v>
      </c>
      <c r="G5521" s="308">
        <f>'JOVENES PROTAGONISTAS'!K114</f>
        <v>0</v>
      </c>
      <c r="H5521" s="308">
        <f>'JOVENES PROTAGONISTAS'!L114</f>
        <v>0</v>
      </c>
    </row>
    <row r="5522" spans="1:8" x14ac:dyDescent="0.3">
      <c r="A5522" t="s">
        <v>632</v>
      </c>
      <c r="B5522" t="s">
        <v>731</v>
      </c>
      <c r="C5522" t="s">
        <v>536</v>
      </c>
      <c r="D5522" t="s">
        <v>693</v>
      </c>
      <c r="E5522" t="s">
        <v>770</v>
      </c>
      <c r="F5522">
        <v>5</v>
      </c>
      <c r="G5522" s="308">
        <f>'JOVENES PROTAGONISTAS'!M114</f>
        <v>0</v>
      </c>
      <c r="H5522" s="308">
        <f>'JOVENES PROTAGONISTAS'!N114</f>
        <v>0</v>
      </c>
    </row>
    <row r="5523" spans="1:8" x14ac:dyDescent="0.3">
      <c r="A5523" t="s">
        <v>632</v>
      </c>
      <c r="B5523" t="s">
        <v>731</v>
      </c>
      <c r="C5523" t="s">
        <v>536</v>
      </c>
      <c r="D5523" t="s">
        <v>693</v>
      </c>
      <c r="E5523" t="s">
        <v>771</v>
      </c>
      <c r="F5523">
        <v>6</v>
      </c>
      <c r="G5523" s="308">
        <f>'JOVENES PROTAGONISTAS'!O114</f>
        <v>99</v>
      </c>
      <c r="H5523" s="308">
        <f>'JOVENES PROTAGONISTAS'!P114</f>
        <v>22765.538879032258</v>
      </c>
    </row>
    <row r="5524" spans="1:8" x14ac:dyDescent="0.3">
      <c r="A5524" t="s">
        <v>632</v>
      </c>
      <c r="B5524" t="s">
        <v>731</v>
      </c>
      <c r="C5524" t="s">
        <v>536</v>
      </c>
      <c r="D5524" t="s">
        <v>693</v>
      </c>
      <c r="E5524" t="s">
        <v>772</v>
      </c>
      <c r="F5524">
        <v>7</v>
      </c>
      <c r="G5524" s="308">
        <f>'JOVENES PROTAGONISTAS'!Q114</f>
        <v>46</v>
      </c>
      <c r="H5524" s="308">
        <f>'JOVENES PROTAGONISTAS'!R114</f>
        <v>36359.618403755863</v>
      </c>
    </row>
    <row r="5525" spans="1:8" x14ac:dyDescent="0.3">
      <c r="A5525" t="s">
        <v>632</v>
      </c>
      <c r="B5525" t="s">
        <v>735</v>
      </c>
      <c r="C5525" t="s">
        <v>672</v>
      </c>
      <c r="D5525" t="s">
        <v>693</v>
      </c>
      <c r="E5525" t="s">
        <v>766</v>
      </c>
      <c r="F5525">
        <v>1</v>
      </c>
      <c r="G5525" s="308">
        <f>'JOVENES PROTAGONISTAS'!E115</f>
        <v>0</v>
      </c>
      <c r="H5525" s="308">
        <f>'JOVENES PROTAGONISTAS'!F115</f>
        <v>0</v>
      </c>
    </row>
    <row r="5526" spans="1:8" x14ac:dyDescent="0.3">
      <c r="A5526" t="s">
        <v>632</v>
      </c>
      <c r="B5526" t="s">
        <v>735</v>
      </c>
      <c r="C5526" t="s">
        <v>672</v>
      </c>
      <c r="D5526" t="s">
        <v>693</v>
      </c>
      <c r="E5526" t="s">
        <v>767</v>
      </c>
      <c r="F5526">
        <v>2</v>
      </c>
      <c r="G5526" s="308">
        <f>'JOVENES PROTAGONISTAS'!G115</f>
        <v>0</v>
      </c>
      <c r="H5526" s="308">
        <f>'JOVENES PROTAGONISTAS'!H115</f>
        <v>0</v>
      </c>
    </row>
    <row r="5527" spans="1:8" x14ac:dyDescent="0.3">
      <c r="A5527" t="s">
        <v>632</v>
      </c>
      <c r="B5527" t="s">
        <v>735</v>
      </c>
      <c r="C5527" t="s">
        <v>672</v>
      </c>
      <c r="D5527" t="s">
        <v>693</v>
      </c>
      <c r="E5527" t="s">
        <v>768</v>
      </c>
      <c r="F5527">
        <v>3</v>
      </c>
      <c r="G5527" s="308">
        <f>'JOVENES PROTAGONISTAS'!I115</f>
        <v>0</v>
      </c>
      <c r="H5527" s="308">
        <f>'JOVENES PROTAGONISTAS'!J115</f>
        <v>0</v>
      </c>
    </row>
    <row r="5528" spans="1:8" x14ac:dyDescent="0.3">
      <c r="A5528" t="s">
        <v>632</v>
      </c>
      <c r="B5528" t="s">
        <v>735</v>
      </c>
      <c r="C5528" t="s">
        <v>672</v>
      </c>
      <c r="D5528" t="s">
        <v>693</v>
      </c>
      <c r="E5528" t="s">
        <v>769</v>
      </c>
      <c r="F5528">
        <v>4</v>
      </c>
      <c r="G5528" s="308">
        <f>'JOVENES PROTAGONISTAS'!K115</f>
        <v>0</v>
      </c>
      <c r="H5528" s="308">
        <f>'JOVENES PROTAGONISTAS'!L115</f>
        <v>0</v>
      </c>
    </row>
    <row r="5529" spans="1:8" x14ac:dyDescent="0.3">
      <c r="A5529" t="s">
        <v>632</v>
      </c>
      <c r="B5529" t="s">
        <v>735</v>
      </c>
      <c r="C5529" t="s">
        <v>672</v>
      </c>
      <c r="D5529" t="s">
        <v>693</v>
      </c>
      <c r="E5529" t="s">
        <v>770</v>
      </c>
      <c r="F5529">
        <v>5</v>
      </c>
      <c r="G5529" s="308">
        <f>'JOVENES PROTAGONISTAS'!M115</f>
        <v>0</v>
      </c>
      <c r="H5529" s="308">
        <f>'JOVENES PROTAGONISTAS'!N115</f>
        <v>0</v>
      </c>
    </row>
    <row r="5530" spans="1:8" x14ac:dyDescent="0.3">
      <c r="A5530" t="s">
        <v>632</v>
      </c>
      <c r="B5530" t="s">
        <v>735</v>
      </c>
      <c r="C5530" t="s">
        <v>672</v>
      </c>
      <c r="D5530" t="s">
        <v>693</v>
      </c>
      <c r="E5530" t="s">
        <v>771</v>
      </c>
      <c r="F5530">
        <v>6</v>
      </c>
      <c r="G5530" s="308">
        <f>'JOVENES PROTAGONISTAS'!O115</f>
        <v>0</v>
      </c>
      <c r="H5530" s="308">
        <f>'JOVENES PROTAGONISTAS'!P115</f>
        <v>0</v>
      </c>
    </row>
    <row r="5531" spans="1:8" x14ac:dyDescent="0.3">
      <c r="A5531" t="s">
        <v>632</v>
      </c>
      <c r="B5531" t="s">
        <v>735</v>
      </c>
      <c r="C5531" t="s">
        <v>672</v>
      </c>
      <c r="D5531" t="s">
        <v>693</v>
      </c>
      <c r="E5531" t="s">
        <v>772</v>
      </c>
      <c r="F5531">
        <v>7</v>
      </c>
      <c r="G5531" s="308">
        <f>'JOVENES PROTAGONISTAS'!Q115</f>
        <v>1</v>
      </c>
      <c r="H5531" s="308">
        <f>'JOVENES PROTAGONISTAS'!R115</f>
        <v>790.42648703817099</v>
      </c>
    </row>
    <row r="5532" spans="1:8" x14ac:dyDescent="0.3">
      <c r="A5532" t="s">
        <v>632</v>
      </c>
      <c r="B5532" t="s">
        <v>735</v>
      </c>
      <c r="C5532" t="s">
        <v>735</v>
      </c>
      <c r="D5532" t="s">
        <v>693</v>
      </c>
      <c r="E5532" t="s">
        <v>766</v>
      </c>
      <c r="F5532">
        <v>1</v>
      </c>
      <c r="G5532" s="308">
        <f>'JOVENES PROTAGONISTAS'!E116</f>
        <v>0</v>
      </c>
      <c r="H5532" s="308">
        <f>'JOVENES PROTAGONISTAS'!F116</f>
        <v>0</v>
      </c>
    </row>
    <row r="5533" spans="1:8" x14ac:dyDescent="0.3">
      <c r="A5533" t="s">
        <v>632</v>
      </c>
      <c r="B5533" t="s">
        <v>735</v>
      </c>
      <c r="C5533" t="s">
        <v>735</v>
      </c>
      <c r="D5533" t="s">
        <v>693</v>
      </c>
      <c r="E5533" t="s">
        <v>767</v>
      </c>
      <c r="F5533">
        <v>2</v>
      </c>
      <c r="G5533" s="308">
        <f>'JOVENES PROTAGONISTAS'!G116</f>
        <v>44</v>
      </c>
      <c r="H5533" s="308">
        <f>'JOVENES PROTAGONISTAS'!H116</f>
        <v>4421.6492615868028</v>
      </c>
    </row>
    <row r="5534" spans="1:8" x14ac:dyDescent="0.3">
      <c r="A5534" t="s">
        <v>632</v>
      </c>
      <c r="B5534" t="s">
        <v>735</v>
      </c>
      <c r="C5534" t="s">
        <v>735</v>
      </c>
      <c r="D5534" t="s">
        <v>693</v>
      </c>
      <c r="E5534" t="s">
        <v>768</v>
      </c>
      <c r="F5534">
        <v>3</v>
      </c>
      <c r="G5534" s="308">
        <f>'JOVENES PROTAGONISTAS'!I116</f>
        <v>38</v>
      </c>
      <c r="H5534" s="308">
        <f>'JOVENES PROTAGONISTAS'!J116</f>
        <v>6298.8484951731971</v>
      </c>
    </row>
    <row r="5535" spans="1:8" x14ac:dyDescent="0.3">
      <c r="A5535" t="s">
        <v>632</v>
      </c>
      <c r="B5535" t="s">
        <v>735</v>
      </c>
      <c r="C5535" t="s">
        <v>735</v>
      </c>
      <c r="D5535" t="s">
        <v>693</v>
      </c>
      <c r="E5535" t="s">
        <v>769</v>
      </c>
      <c r="F5535">
        <v>4</v>
      </c>
      <c r="G5535" s="308">
        <f>'JOVENES PROTAGONISTAS'!K116</f>
        <v>8</v>
      </c>
      <c r="H5535" s="308">
        <f>'JOVENES PROTAGONISTAS'!L116</f>
        <v>6877.5462545079854</v>
      </c>
    </row>
    <row r="5536" spans="1:8" x14ac:dyDescent="0.3">
      <c r="A5536" t="s">
        <v>632</v>
      </c>
      <c r="B5536" t="s">
        <v>735</v>
      </c>
      <c r="C5536" t="s">
        <v>735</v>
      </c>
      <c r="D5536" t="s">
        <v>693</v>
      </c>
      <c r="E5536" t="s">
        <v>770</v>
      </c>
      <c r="F5536">
        <v>5</v>
      </c>
      <c r="G5536" s="308">
        <f>'JOVENES PROTAGONISTAS'!M116</f>
        <v>4</v>
      </c>
      <c r="H5536" s="308">
        <f>'JOVENES PROTAGONISTAS'!N116</f>
        <v>4033.9887577290615</v>
      </c>
    </row>
    <row r="5537" spans="1:8" x14ac:dyDescent="0.3">
      <c r="A5537" t="s">
        <v>632</v>
      </c>
      <c r="B5537" t="s">
        <v>735</v>
      </c>
      <c r="C5537" t="s">
        <v>735</v>
      </c>
      <c r="D5537" t="s">
        <v>693</v>
      </c>
      <c r="E5537" t="s">
        <v>771</v>
      </c>
      <c r="F5537">
        <v>6</v>
      </c>
      <c r="G5537" s="308">
        <f>'JOVENES PROTAGONISTAS'!O116</f>
        <v>0</v>
      </c>
      <c r="H5537" s="308">
        <f>'JOVENES PROTAGONISTAS'!P116</f>
        <v>0</v>
      </c>
    </row>
    <row r="5538" spans="1:8" x14ac:dyDescent="0.3">
      <c r="A5538" t="s">
        <v>632</v>
      </c>
      <c r="B5538" t="s">
        <v>735</v>
      </c>
      <c r="C5538" t="s">
        <v>735</v>
      </c>
      <c r="D5538" t="s">
        <v>693</v>
      </c>
      <c r="E5538" t="s">
        <v>772</v>
      </c>
      <c r="F5538">
        <v>7</v>
      </c>
      <c r="G5538" s="308">
        <f>'JOVENES PROTAGONISTAS'!Q116</f>
        <v>0</v>
      </c>
      <c r="H5538" s="308">
        <f>'JOVENES PROTAGONISTAS'!R116</f>
        <v>0</v>
      </c>
    </row>
    <row r="5539" spans="1:8" x14ac:dyDescent="0.3">
      <c r="A5539" t="s">
        <v>632</v>
      </c>
      <c r="B5539" t="s">
        <v>735</v>
      </c>
      <c r="C5539" t="s">
        <v>538</v>
      </c>
      <c r="D5539" t="s">
        <v>693</v>
      </c>
      <c r="E5539" t="s">
        <v>766</v>
      </c>
      <c r="F5539">
        <v>1</v>
      </c>
      <c r="G5539" s="308">
        <f>'JOVENES PROTAGONISTAS'!E117</f>
        <v>0</v>
      </c>
      <c r="H5539" s="308">
        <f>'JOVENES PROTAGONISTAS'!F117</f>
        <v>0</v>
      </c>
    </row>
    <row r="5540" spans="1:8" x14ac:dyDescent="0.3">
      <c r="A5540" t="s">
        <v>632</v>
      </c>
      <c r="B5540" t="s">
        <v>735</v>
      </c>
      <c r="C5540" t="s">
        <v>538</v>
      </c>
      <c r="D5540" t="s">
        <v>693</v>
      </c>
      <c r="E5540" t="s">
        <v>767</v>
      </c>
      <c r="F5540">
        <v>2</v>
      </c>
      <c r="G5540" s="308">
        <f>'JOVENES PROTAGONISTAS'!G117</f>
        <v>25</v>
      </c>
      <c r="H5540" s="308">
        <f>'JOVENES PROTAGONISTAS'!H117</f>
        <v>2512.3007168106833</v>
      </c>
    </row>
    <row r="5541" spans="1:8" x14ac:dyDescent="0.3">
      <c r="A5541" t="s">
        <v>632</v>
      </c>
      <c r="B5541" t="s">
        <v>735</v>
      </c>
      <c r="C5541" t="s">
        <v>538</v>
      </c>
      <c r="D5541" t="s">
        <v>693</v>
      </c>
      <c r="E5541" t="s">
        <v>768</v>
      </c>
      <c r="F5541">
        <v>3</v>
      </c>
      <c r="G5541" s="308">
        <f>'JOVENES PROTAGONISTAS'!I117</f>
        <v>45</v>
      </c>
      <c r="H5541" s="308">
        <f>'JOVENES PROTAGONISTAS'!J117</f>
        <v>7459.1626916524701</v>
      </c>
    </row>
    <row r="5542" spans="1:8" x14ac:dyDescent="0.3">
      <c r="A5542" t="s">
        <v>632</v>
      </c>
      <c r="B5542" t="s">
        <v>735</v>
      </c>
      <c r="C5542" t="s">
        <v>538</v>
      </c>
      <c r="D5542" t="s">
        <v>693</v>
      </c>
      <c r="E5542" t="s">
        <v>769</v>
      </c>
      <c r="F5542">
        <v>4</v>
      </c>
      <c r="G5542" s="308">
        <f>'JOVENES PROTAGONISTAS'!K117</f>
        <v>6</v>
      </c>
      <c r="H5542" s="308">
        <f>'JOVENES PROTAGONISTAS'!L117</f>
        <v>5158.1596908809888</v>
      </c>
    </row>
    <row r="5543" spans="1:8" x14ac:dyDescent="0.3">
      <c r="A5543" t="s">
        <v>632</v>
      </c>
      <c r="B5543" t="s">
        <v>735</v>
      </c>
      <c r="C5543" t="s">
        <v>538</v>
      </c>
      <c r="D5543" t="s">
        <v>693</v>
      </c>
      <c r="E5543" t="s">
        <v>770</v>
      </c>
      <c r="F5543">
        <v>5</v>
      </c>
      <c r="G5543" s="308">
        <f>'JOVENES PROTAGONISTAS'!M117</f>
        <v>6</v>
      </c>
      <c r="H5543" s="308">
        <f>'JOVENES PROTAGONISTAS'!N117</f>
        <v>6050.9831365935925</v>
      </c>
    </row>
    <row r="5544" spans="1:8" x14ac:dyDescent="0.3">
      <c r="A5544" t="s">
        <v>632</v>
      </c>
      <c r="B5544" t="s">
        <v>735</v>
      </c>
      <c r="C5544" t="s">
        <v>538</v>
      </c>
      <c r="D5544" t="s">
        <v>693</v>
      </c>
      <c r="E5544" t="s">
        <v>771</v>
      </c>
      <c r="F5544">
        <v>6</v>
      </c>
      <c r="G5544" s="308">
        <f>'JOVENES PROTAGONISTAS'!O117</f>
        <v>125</v>
      </c>
      <c r="H5544" s="308">
        <f>'JOVENES PROTAGONISTAS'!P117</f>
        <v>28744.367271505376</v>
      </c>
    </row>
    <row r="5545" spans="1:8" x14ac:dyDescent="0.3">
      <c r="A5545" t="s">
        <v>632</v>
      </c>
      <c r="B5545" t="s">
        <v>735</v>
      </c>
      <c r="C5545" t="s">
        <v>538</v>
      </c>
      <c r="D5545" t="s">
        <v>693</v>
      </c>
      <c r="E5545" t="s">
        <v>772</v>
      </c>
      <c r="F5545">
        <v>7</v>
      </c>
      <c r="G5545" s="308">
        <f>'JOVENES PROTAGONISTAS'!Q117</f>
        <v>7</v>
      </c>
      <c r="H5545" s="308">
        <f>'JOVENES PROTAGONISTAS'!R117</f>
        <v>5532.9854092671967</v>
      </c>
    </row>
    <row r="5546" spans="1:8" x14ac:dyDescent="0.3">
      <c r="A5546" t="s">
        <v>632</v>
      </c>
      <c r="B5546" t="s">
        <v>735</v>
      </c>
      <c r="C5546" t="s">
        <v>736</v>
      </c>
      <c r="D5546" t="s">
        <v>693</v>
      </c>
      <c r="E5546" t="s">
        <v>766</v>
      </c>
      <c r="F5546">
        <v>1</v>
      </c>
      <c r="G5546" s="308">
        <f>'JOVENES PROTAGONISTAS'!E118</f>
        <v>0</v>
      </c>
      <c r="H5546" s="308">
        <f>'JOVENES PROTAGONISTAS'!F118</f>
        <v>0</v>
      </c>
    </row>
    <row r="5547" spans="1:8" x14ac:dyDescent="0.3">
      <c r="A5547" t="s">
        <v>632</v>
      </c>
      <c r="B5547" t="s">
        <v>735</v>
      </c>
      <c r="C5547" t="s">
        <v>736</v>
      </c>
      <c r="D5547" t="s">
        <v>693</v>
      </c>
      <c r="E5547" t="s">
        <v>767</v>
      </c>
      <c r="F5547">
        <v>2</v>
      </c>
      <c r="G5547" s="308">
        <f>'JOVENES PROTAGONISTAS'!G118</f>
        <v>25</v>
      </c>
      <c r="H5547" s="308">
        <f>'JOVENES PROTAGONISTAS'!H118</f>
        <v>2512.3007168106833</v>
      </c>
    </row>
    <row r="5548" spans="1:8" x14ac:dyDescent="0.3">
      <c r="A5548" t="s">
        <v>632</v>
      </c>
      <c r="B5548" t="s">
        <v>735</v>
      </c>
      <c r="C5548" t="s">
        <v>736</v>
      </c>
      <c r="D5548" t="s">
        <v>693</v>
      </c>
      <c r="E5548" t="s">
        <v>768</v>
      </c>
      <c r="F5548">
        <v>3</v>
      </c>
      <c r="G5548" s="308">
        <f>'JOVENES PROTAGONISTAS'!I118</f>
        <v>49</v>
      </c>
      <c r="H5548" s="308">
        <f>'JOVENES PROTAGONISTAS'!J118</f>
        <v>8122.1993753549123</v>
      </c>
    </row>
    <row r="5549" spans="1:8" x14ac:dyDescent="0.3">
      <c r="A5549" t="s">
        <v>632</v>
      </c>
      <c r="B5549" t="s">
        <v>735</v>
      </c>
      <c r="C5549" t="s">
        <v>736</v>
      </c>
      <c r="D5549" t="s">
        <v>693</v>
      </c>
      <c r="E5549" t="s">
        <v>769</v>
      </c>
      <c r="F5549">
        <v>4</v>
      </c>
      <c r="G5549" s="308">
        <f>'JOVENES PROTAGONISTAS'!K118</f>
        <v>4</v>
      </c>
      <c r="H5549" s="308">
        <f>'JOVENES PROTAGONISTAS'!L118</f>
        <v>3438.7731272539927</v>
      </c>
    </row>
    <row r="5550" spans="1:8" x14ac:dyDescent="0.3">
      <c r="A5550" t="s">
        <v>632</v>
      </c>
      <c r="B5550" t="s">
        <v>735</v>
      </c>
      <c r="C5550" t="s">
        <v>736</v>
      </c>
      <c r="D5550" t="s">
        <v>693</v>
      </c>
      <c r="E5550" t="s">
        <v>770</v>
      </c>
      <c r="F5550">
        <v>5</v>
      </c>
      <c r="G5550" s="308">
        <f>'JOVENES PROTAGONISTAS'!M118</f>
        <v>0</v>
      </c>
      <c r="H5550" s="308">
        <f>'JOVENES PROTAGONISTAS'!N118</f>
        <v>0</v>
      </c>
    </row>
    <row r="5551" spans="1:8" x14ac:dyDescent="0.3">
      <c r="A5551" t="s">
        <v>632</v>
      </c>
      <c r="B5551" t="s">
        <v>735</v>
      </c>
      <c r="C5551" t="s">
        <v>736</v>
      </c>
      <c r="D5551" t="s">
        <v>693</v>
      </c>
      <c r="E5551" t="s">
        <v>771</v>
      </c>
      <c r="F5551">
        <v>6</v>
      </c>
      <c r="G5551" s="308">
        <f>'JOVENES PROTAGONISTAS'!O118</f>
        <v>0</v>
      </c>
      <c r="H5551" s="308">
        <f>'JOVENES PROTAGONISTAS'!P118</f>
        <v>0</v>
      </c>
    </row>
    <row r="5552" spans="1:8" x14ac:dyDescent="0.3">
      <c r="A5552" t="s">
        <v>632</v>
      </c>
      <c r="B5552" t="s">
        <v>735</v>
      </c>
      <c r="C5552" t="s">
        <v>736</v>
      </c>
      <c r="D5552" t="s">
        <v>693</v>
      </c>
      <c r="E5552" t="s">
        <v>772</v>
      </c>
      <c r="F5552">
        <v>7</v>
      </c>
      <c r="G5552" s="308">
        <f>'JOVENES PROTAGONISTAS'!Q118</f>
        <v>0</v>
      </c>
      <c r="H5552" s="308">
        <f>'JOVENES PROTAGONISTAS'!R118</f>
        <v>0</v>
      </c>
    </row>
    <row r="5553" spans="1:8" x14ac:dyDescent="0.3">
      <c r="A5553" t="s">
        <v>632</v>
      </c>
      <c r="B5553" t="s">
        <v>735</v>
      </c>
      <c r="C5553" t="s">
        <v>737</v>
      </c>
      <c r="D5553" t="s">
        <v>693</v>
      </c>
      <c r="E5553" t="s">
        <v>766</v>
      </c>
      <c r="F5553">
        <v>1</v>
      </c>
      <c r="G5553" s="308">
        <f>'JOVENES PROTAGONISTAS'!E119</f>
        <v>0</v>
      </c>
      <c r="H5553" s="308">
        <f>'JOVENES PROTAGONISTAS'!F119</f>
        <v>0</v>
      </c>
    </row>
    <row r="5554" spans="1:8" x14ac:dyDescent="0.3">
      <c r="A5554" t="s">
        <v>632</v>
      </c>
      <c r="B5554" t="s">
        <v>735</v>
      </c>
      <c r="C5554" t="s">
        <v>737</v>
      </c>
      <c r="D5554" t="s">
        <v>693</v>
      </c>
      <c r="E5554" t="s">
        <v>767</v>
      </c>
      <c r="F5554">
        <v>2</v>
      </c>
      <c r="G5554" s="308">
        <f>'JOVENES PROTAGONISTAS'!G119</f>
        <v>34</v>
      </c>
      <c r="H5554" s="308">
        <f>'JOVENES PROTAGONISTAS'!H119</f>
        <v>3416.7289748625294</v>
      </c>
    </row>
    <row r="5555" spans="1:8" x14ac:dyDescent="0.3">
      <c r="A5555" t="s">
        <v>632</v>
      </c>
      <c r="B5555" t="s">
        <v>735</v>
      </c>
      <c r="C5555" t="s">
        <v>737</v>
      </c>
      <c r="D5555" t="s">
        <v>693</v>
      </c>
      <c r="E5555" t="s">
        <v>768</v>
      </c>
      <c r="F5555">
        <v>3</v>
      </c>
      <c r="G5555" s="308">
        <f>'JOVENES PROTAGONISTAS'!I119</f>
        <v>108</v>
      </c>
      <c r="H5555" s="308">
        <f>'JOVENES PROTAGONISTAS'!J119</f>
        <v>17901.990459965928</v>
      </c>
    </row>
    <row r="5556" spans="1:8" x14ac:dyDescent="0.3">
      <c r="A5556" t="s">
        <v>632</v>
      </c>
      <c r="B5556" t="s">
        <v>735</v>
      </c>
      <c r="C5556" t="s">
        <v>737</v>
      </c>
      <c r="D5556" t="s">
        <v>693</v>
      </c>
      <c r="E5556" t="s">
        <v>769</v>
      </c>
      <c r="F5556">
        <v>4</v>
      </c>
      <c r="G5556" s="308">
        <f>'JOVENES PROTAGONISTAS'!K119</f>
        <v>10</v>
      </c>
      <c r="H5556" s="308">
        <f>'JOVENES PROTAGONISTAS'!L119</f>
        <v>8596.9328181349811</v>
      </c>
    </row>
    <row r="5557" spans="1:8" x14ac:dyDescent="0.3">
      <c r="A5557" t="s">
        <v>632</v>
      </c>
      <c r="B5557" t="s">
        <v>735</v>
      </c>
      <c r="C5557" t="s">
        <v>737</v>
      </c>
      <c r="D5557" t="s">
        <v>693</v>
      </c>
      <c r="E5557" t="s">
        <v>770</v>
      </c>
      <c r="F5557">
        <v>5</v>
      </c>
      <c r="G5557" s="308">
        <f>'JOVENES PROTAGONISTAS'!M119</f>
        <v>1</v>
      </c>
      <c r="H5557" s="308">
        <f>'JOVENES PROTAGONISTAS'!N119</f>
        <v>1008.4971894322654</v>
      </c>
    </row>
    <row r="5558" spans="1:8" x14ac:dyDescent="0.3">
      <c r="A5558" t="s">
        <v>632</v>
      </c>
      <c r="B5558" t="s">
        <v>735</v>
      </c>
      <c r="C5558" t="s">
        <v>737</v>
      </c>
      <c r="D5558" t="s">
        <v>693</v>
      </c>
      <c r="E5558" t="s">
        <v>771</v>
      </c>
      <c r="F5558">
        <v>6</v>
      </c>
      <c r="G5558" s="308">
        <f>'JOVENES PROTAGONISTAS'!O119</f>
        <v>125</v>
      </c>
      <c r="H5558" s="308">
        <f>'JOVENES PROTAGONISTAS'!P119</f>
        <v>28744.367271505376</v>
      </c>
    </row>
    <row r="5559" spans="1:8" x14ac:dyDescent="0.3">
      <c r="A5559" t="s">
        <v>632</v>
      </c>
      <c r="B5559" t="s">
        <v>735</v>
      </c>
      <c r="C5559" t="s">
        <v>737</v>
      </c>
      <c r="D5559" t="s">
        <v>693</v>
      </c>
      <c r="E5559" t="s">
        <v>772</v>
      </c>
      <c r="F5559">
        <v>7</v>
      </c>
      <c r="G5559" s="308">
        <f>'JOVENES PROTAGONISTAS'!Q119</f>
        <v>6</v>
      </c>
      <c r="H5559" s="308">
        <f>'JOVENES PROTAGONISTAS'!R119</f>
        <v>4742.5589222290255</v>
      </c>
    </row>
    <row r="5560" spans="1:8" x14ac:dyDescent="0.3">
      <c r="A5560" t="s">
        <v>632</v>
      </c>
      <c r="B5560" t="s">
        <v>735</v>
      </c>
      <c r="C5560" t="s">
        <v>541</v>
      </c>
      <c r="D5560" t="s">
        <v>693</v>
      </c>
      <c r="E5560" t="s">
        <v>766</v>
      </c>
      <c r="F5560">
        <v>1</v>
      </c>
      <c r="G5560" s="308">
        <f>'JOVENES PROTAGONISTAS'!E120</f>
        <v>0</v>
      </c>
      <c r="H5560" s="308">
        <f>'JOVENES PROTAGONISTAS'!F120</f>
        <v>0</v>
      </c>
    </row>
    <row r="5561" spans="1:8" x14ac:dyDescent="0.3">
      <c r="A5561" t="s">
        <v>632</v>
      </c>
      <c r="B5561" t="s">
        <v>735</v>
      </c>
      <c r="C5561" t="s">
        <v>541</v>
      </c>
      <c r="D5561" t="s">
        <v>693</v>
      </c>
      <c r="E5561" t="s">
        <v>767</v>
      </c>
      <c r="F5561">
        <v>2</v>
      </c>
      <c r="G5561" s="308">
        <f>'JOVENES PROTAGONISTAS'!G120</f>
        <v>0</v>
      </c>
      <c r="H5561" s="308">
        <f>'JOVENES PROTAGONISTAS'!H120</f>
        <v>0</v>
      </c>
    </row>
    <row r="5562" spans="1:8" x14ac:dyDescent="0.3">
      <c r="A5562" t="s">
        <v>632</v>
      </c>
      <c r="B5562" t="s">
        <v>735</v>
      </c>
      <c r="C5562" t="s">
        <v>541</v>
      </c>
      <c r="D5562" t="s">
        <v>693</v>
      </c>
      <c r="E5562" t="s">
        <v>768</v>
      </c>
      <c r="F5562">
        <v>3</v>
      </c>
      <c r="G5562" s="308">
        <f>'JOVENES PROTAGONISTAS'!I120</f>
        <v>0</v>
      </c>
      <c r="H5562" s="308">
        <f>'JOVENES PROTAGONISTAS'!J120</f>
        <v>0</v>
      </c>
    </row>
    <row r="5563" spans="1:8" x14ac:dyDescent="0.3">
      <c r="A5563" t="s">
        <v>632</v>
      </c>
      <c r="B5563" t="s">
        <v>735</v>
      </c>
      <c r="C5563" t="s">
        <v>541</v>
      </c>
      <c r="D5563" t="s">
        <v>693</v>
      </c>
      <c r="E5563" t="s">
        <v>769</v>
      </c>
      <c r="F5563">
        <v>4</v>
      </c>
      <c r="G5563" s="308">
        <f>'JOVENES PROTAGONISTAS'!K120</f>
        <v>0</v>
      </c>
      <c r="H5563" s="308">
        <f>'JOVENES PROTAGONISTAS'!L120</f>
        <v>0</v>
      </c>
    </row>
    <row r="5564" spans="1:8" x14ac:dyDescent="0.3">
      <c r="A5564" t="s">
        <v>632</v>
      </c>
      <c r="B5564" t="s">
        <v>735</v>
      </c>
      <c r="C5564" t="s">
        <v>541</v>
      </c>
      <c r="D5564" t="s">
        <v>693</v>
      </c>
      <c r="E5564" t="s">
        <v>770</v>
      </c>
      <c r="F5564">
        <v>5</v>
      </c>
      <c r="G5564" s="308">
        <f>'JOVENES PROTAGONISTAS'!M120</f>
        <v>0</v>
      </c>
      <c r="H5564" s="308">
        <f>'JOVENES PROTAGONISTAS'!N120</f>
        <v>0</v>
      </c>
    </row>
    <row r="5565" spans="1:8" x14ac:dyDescent="0.3">
      <c r="A5565" t="s">
        <v>632</v>
      </c>
      <c r="B5565" t="s">
        <v>735</v>
      </c>
      <c r="C5565" t="s">
        <v>541</v>
      </c>
      <c r="D5565" t="s">
        <v>693</v>
      </c>
      <c r="E5565" t="s">
        <v>771</v>
      </c>
      <c r="F5565">
        <v>6</v>
      </c>
      <c r="G5565" s="308">
        <f>'JOVENES PROTAGONISTAS'!O120</f>
        <v>41</v>
      </c>
      <c r="H5565" s="308">
        <f>'JOVENES PROTAGONISTAS'!P120</f>
        <v>9428.1524650537631</v>
      </c>
    </row>
    <row r="5566" spans="1:8" x14ac:dyDescent="0.3">
      <c r="A5566" t="s">
        <v>632</v>
      </c>
      <c r="B5566" t="s">
        <v>735</v>
      </c>
      <c r="C5566" t="s">
        <v>541</v>
      </c>
      <c r="D5566" t="s">
        <v>693</v>
      </c>
      <c r="E5566" t="s">
        <v>772</v>
      </c>
      <c r="F5566">
        <v>7</v>
      </c>
      <c r="G5566" s="308">
        <f>'JOVENES PROTAGONISTAS'!Q120</f>
        <v>6</v>
      </c>
      <c r="H5566" s="308">
        <f>'JOVENES PROTAGONISTAS'!R120</f>
        <v>4742.5589222290255</v>
      </c>
    </row>
    <row r="5567" spans="1:8" x14ac:dyDescent="0.3">
      <c r="A5567" t="s">
        <v>632</v>
      </c>
      <c r="B5567" t="s">
        <v>735</v>
      </c>
      <c r="C5567" t="s">
        <v>542</v>
      </c>
      <c r="D5567" t="s">
        <v>693</v>
      </c>
      <c r="E5567" t="s">
        <v>766</v>
      </c>
      <c r="F5567">
        <v>1</v>
      </c>
      <c r="G5567" s="308">
        <f>'JOVENES PROTAGONISTAS'!E121</f>
        <v>0</v>
      </c>
      <c r="H5567" s="308">
        <f>'JOVENES PROTAGONISTAS'!F121</f>
        <v>0</v>
      </c>
    </row>
    <row r="5568" spans="1:8" x14ac:dyDescent="0.3">
      <c r="A5568" t="s">
        <v>632</v>
      </c>
      <c r="B5568" t="s">
        <v>735</v>
      </c>
      <c r="C5568" t="s">
        <v>542</v>
      </c>
      <c r="D5568" t="s">
        <v>693</v>
      </c>
      <c r="E5568" t="s">
        <v>767</v>
      </c>
      <c r="F5568">
        <v>2</v>
      </c>
      <c r="G5568" s="308">
        <f>'JOVENES PROTAGONISTAS'!G121</f>
        <v>0</v>
      </c>
      <c r="H5568" s="308">
        <f>'JOVENES PROTAGONISTAS'!H121</f>
        <v>0</v>
      </c>
    </row>
    <row r="5569" spans="1:8" x14ac:dyDescent="0.3">
      <c r="A5569" t="s">
        <v>632</v>
      </c>
      <c r="B5569" t="s">
        <v>735</v>
      </c>
      <c r="C5569" t="s">
        <v>542</v>
      </c>
      <c r="D5569" t="s">
        <v>693</v>
      </c>
      <c r="E5569" t="s">
        <v>768</v>
      </c>
      <c r="F5569">
        <v>3</v>
      </c>
      <c r="G5569" s="308">
        <f>'JOVENES PROTAGONISTAS'!I121</f>
        <v>0</v>
      </c>
      <c r="H5569" s="308">
        <f>'JOVENES PROTAGONISTAS'!J121</f>
        <v>0</v>
      </c>
    </row>
    <row r="5570" spans="1:8" x14ac:dyDescent="0.3">
      <c r="A5570" t="s">
        <v>632</v>
      </c>
      <c r="B5570" t="s">
        <v>735</v>
      </c>
      <c r="C5570" t="s">
        <v>542</v>
      </c>
      <c r="D5570" t="s">
        <v>693</v>
      </c>
      <c r="E5570" t="s">
        <v>769</v>
      </c>
      <c r="F5570">
        <v>4</v>
      </c>
      <c r="G5570" s="308">
        <f>'JOVENES PROTAGONISTAS'!K121</f>
        <v>0</v>
      </c>
      <c r="H5570" s="308">
        <f>'JOVENES PROTAGONISTAS'!L121</f>
        <v>0</v>
      </c>
    </row>
    <row r="5571" spans="1:8" x14ac:dyDescent="0.3">
      <c r="A5571" t="s">
        <v>632</v>
      </c>
      <c r="B5571" t="s">
        <v>735</v>
      </c>
      <c r="C5571" t="s">
        <v>542</v>
      </c>
      <c r="D5571" t="s">
        <v>693</v>
      </c>
      <c r="E5571" t="s">
        <v>770</v>
      </c>
      <c r="F5571">
        <v>5</v>
      </c>
      <c r="G5571" s="308">
        <f>'JOVENES PROTAGONISTAS'!M121</f>
        <v>0</v>
      </c>
      <c r="H5571" s="308">
        <f>'JOVENES PROTAGONISTAS'!N121</f>
        <v>0</v>
      </c>
    </row>
    <row r="5572" spans="1:8" x14ac:dyDescent="0.3">
      <c r="A5572" t="s">
        <v>632</v>
      </c>
      <c r="B5572" t="s">
        <v>735</v>
      </c>
      <c r="C5572" t="s">
        <v>542</v>
      </c>
      <c r="D5572" t="s">
        <v>693</v>
      </c>
      <c r="E5572" t="s">
        <v>771</v>
      </c>
      <c r="F5572">
        <v>6</v>
      </c>
      <c r="G5572" s="308">
        <f>'JOVENES PROTAGONISTAS'!O121</f>
        <v>0</v>
      </c>
      <c r="H5572" s="308">
        <f>'JOVENES PROTAGONISTAS'!P121</f>
        <v>0</v>
      </c>
    </row>
    <row r="5573" spans="1:8" x14ac:dyDescent="0.3">
      <c r="A5573" t="s">
        <v>632</v>
      </c>
      <c r="B5573" t="s">
        <v>735</v>
      </c>
      <c r="C5573" t="s">
        <v>542</v>
      </c>
      <c r="D5573" t="s">
        <v>693</v>
      </c>
      <c r="E5573" t="s">
        <v>772</v>
      </c>
      <c r="F5573">
        <v>7</v>
      </c>
      <c r="G5573" s="308">
        <f>'JOVENES PROTAGONISTAS'!Q121</f>
        <v>15</v>
      </c>
      <c r="H5573" s="308">
        <f>'JOVENES PROTAGONISTAS'!R121</f>
        <v>11856.397305572566</v>
      </c>
    </row>
    <row r="5574" spans="1:8" x14ac:dyDescent="0.3">
      <c r="A5574" t="s">
        <v>632</v>
      </c>
      <c r="B5574" t="s">
        <v>738</v>
      </c>
      <c r="C5574" t="s">
        <v>739</v>
      </c>
      <c r="D5574" t="s">
        <v>693</v>
      </c>
      <c r="E5574" t="s">
        <v>766</v>
      </c>
      <c r="F5574">
        <v>1</v>
      </c>
      <c r="G5574" s="308">
        <f>'JOVENES PROTAGONISTAS'!E122</f>
        <v>0</v>
      </c>
      <c r="H5574" s="308">
        <f>'JOVENES PROTAGONISTAS'!F122</f>
        <v>0</v>
      </c>
    </row>
    <row r="5575" spans="1:8" x14ac:dyDescent="0.3">
      <c r="A5575" t="s">
        <v>632</v>
      </c>
      <c r="B5575" t="s">
        <v>738</v>
      </c>
      <c r="C5575" t="s">
        <v>739</v>
      </c>
      <c r="D5575" t="s">
        <v>693</v>
      </c>
      <c r="E5575" t="s">
        <v>767</v>
      </c>
      <c r="F5575">
        <v>2</v>
      </c>
      <c r="G5575" s="308">
        <f>'JOVENES PROTAGONISTAS'!G122</f>
        <v>110</v>
      </c>
      <c r="H5575" s="308">
        <f>'JOVENES PROTAGONISTAS'!H122</f>
        <v>11054.123153967008</v>
      </c>
    </row>
    <row r="5576" spans="1:8" x14ac:dyDescent="0.3">
      <c r="A5576" t="s">
        <v>632</v>
      </c>
      <c r="B5576" t="s">
        <v>738</v>
      </c>
      <c r="C5576" t="s">
        <v>739</v>
      </c>
      <c r="D5576" t="s">
        <v>693</v>
      </c>
      <c r="E5576" t="s">
        <v>768</v>
      </c>
      <c r="F5576">
        <v>3</v>
      </c>
      <c r="G5576" s="308">
        <f>'JOVENES PROTAGONISTAS'!I122</f>
        <v>34</v>
      </c>
      <c r="H5576" s="308">
        <f>'JOVENES PROTAGONISTAS'!J122</f>
        <v>5635.8118114707549</v>
      </c>
    </row>
    <row r="5577" spans="1:8" x14ac:dyDescent="0.3">
      <c r="A5577" t="s">
        <v>632</v>
      </c>
      <c r="B5577" t="s">
        <v>738</v>
      </c>
      <c r="C5577" t="s">
        <v>739</v>
      </c>
      <c r="D5577" t="s">
        <v>693</v>
      </c>
      <c r="E5577" t="s">
        <v>769</v>
      </c>
      <c r="F5577">
        <v>4</v>
      </c>
      <c r="G5577" s="308">
        <f>'JOVENES PROTAGONISTAS'!K122</f>
        <v>9</v>
      </c>
      <c r="H5577" s="308">
        <f>'JOVENES PROTAGONISTAS'!L122</f>
        <v>7737.2395363214837</v>
      </c>
    </row>
    <row r="5578" spans="1:8" x14ac:dyDescent="0.3">
      <c r="A5578" t="s">
        <v>632</v>
      </c>
      <c r="B5578" t="s">
        <v>738</v>
      </c>
      <c r="C5578" t="s">
        <v>739</v>
      </c>
      <c r="D5578" t="s">
        <v>693</v>
      </c>
      <c r="E5578" t="s">
        <v>770</v>
      </c>
      <c r="F5578">
        <v>5</v>
      </c>
      <c r="G5578" s="308">
        <f>'JOVENES PROTAGONISTAS'!M122</f>
        <v>3</v>
      </c>
      <c r="H5578" s="308">
        <f>'JOVENES PROTAGONISTAS'!N122</f>
        <v>3025.4915682967962</v>
      </c>
    </row>
    <row r="5579" spans="1:8" x14ac:dyDescent="0.3">
      <c r="A5579" t="s">
        <v>632</v>
      </c>
      <c r="B5579" t="s">
        <v>738</v>
      </c>
      <c r="C5579" t="s">
        <v>739</v>
      </c>
      <c r="D5579" t="s">
        <v>693</v>
      </c>
      <c r="E5579" t="s">
        <v>771</v>
      </c>
      <c r="F5579">
        <v>6</v>
      </c>
      <c r="G5579" s="308">
        <f>'JOVENES PROTAGONISTAS'!O122</f>
        <v>121</v>
      </c>
      <c r="H5579" s="308">
        <f>'JOVENES PROTAGONISTAS'!P122</f>
        <v>27824.547518817202</v>
      </c>
    </row>
    <row r="5580" spans="1:8" x14ac:dyDescent="0.3">
      <c r="A5580" t="s">
        <v>632</v>
      </c>
      <c r="B5580" t="s">
        <v>738</v>
      </c>
      <c r="C5580" t="s">
        <v>739</v>
      </c>
      <c r="D5580" t="s">
        <v>693</v>
      </c>
      <c r="E5580" t="s">
        <v>772</v>
      </c>
      <c r="F5580">
        <v>7</v>
      </c>
      <c r="G5580" s="308">
        <f>'JOVENES PROTAGONISTAS'!Q122</f>
        <v>3</v>
      </c>
      <c r="H5580" s="308">
        <f>'JOVENES PROTAGONISTAS'!R122</f>
        <v>2371.2794611145127</v>
      </c>
    </row>
    <row r="5581" spans="1:8" x14ac:dyDescent="0.3">
      <c r="A5581" t="s">
        <v>632</v>
      </c>
      <c r="B5581" t="s">
        <v>738</v>
      </c>
      <c r="C5581" t="s">
        <v>545</v>
      </c>
      <c r="D5581" t="s">
        <v>693</v>
      </c>
      <c r="E5581" t="s">
        <v>766</v>
      </c>
      <c r="F5581">
        <v>1</v>
      </c>
      <c r="G5581" s="308">
        <f>'JOVENES PROTAGONISTAS'!E123</f>
        <v>0</v>
      </c>
      <c r="H5581" s="308">
        <f>'JOVENES PROTAGONISTAS'!F123</f>
        <v>0</v>
      </c>
    </row>
    <row r="5582" spans="1:8" x14ac:dyDescent="0.3">
      <c r="A5582" t="s">
        <v>632</v>
      </c>
      <c r="B5582" t="s">
        <v>738</v>
      </c>
      <c r="C5582" t="s">
        <v>545</v>
      </c>
      <c r="D5582" t="s">
        <v>693</v>
      </c>
      <c r="E5582" t="s">
        <v>767</v>
      </c>
      <c r="F5582">
        <v>2</v>
      </c>
      <c r="G5582" s="308">
        <f>'JOVENES PROTAGONISTAS'!G123</f>
        <v>232</v>
      </c>
      <c r="H5582" s="308">
        <f>'JOVENES PROTAGONISTAS'!H123</f>
        <v>23314.150652003143</v>
      </c>
    </row>
    <row r="5583" spans="1:8" x14ac:dyDescent="0.3">
      <c r="A5583" t="s">
        <v>632</v>
      </c>
      <c r="B5583" t="s">
        <v>738</v>
      </c>
      <c r="C5583" t="s">
        <v>545</v>
      </c>
      <c r="D5583" t="s">
        <v>693</v>
      </c>
      <c r="E5583" t="s">
        <v>768</v>
      </c>
      <c r="F5583">
        <v>3</v>
      </c>
      <c r="G5583" s="308">
        <f>'JOVENES PROTAGONISTAS'!I123</f>
        <v>47</v>
      </c>
      <c r="H5583" s="308">
        <f>'JOVENES PROTAGONISTAS'!J123</f>
        <v>7790.6810335036907</v>
      </c>
    </row>
    <row r="5584" spans="1:8" x14ac:dyDescent="0.3">
      <c r="A5584" t="s">
        <v>632</v>
      </c>
      <c r="B5584" t="s">
        <v>738</v>
      </c>
      <c r="C5584" t="s">
        <v>545</v>
      </c>
      <c r="D5584" t="s">
        <v>693</v>
      </c>
      <c r="E5584" t="s">
        <v>769</v>
      </c>
      <c r="F5584">
        <v>4</v>
      </c>
      <c r="G5584" s="308">
        <f>'JOVENES PROTAGONISTAS'!K123</f>
        <v>5</v>
      </c>
      <c r="H5584" s="308">
        <f>'JOVENES PROTAGONISTAS'!L123</f>
        <v>4298.4664090674905</v>
      </c>
    </row>
    <row r="5585" spans="1:8" x14ac:dyDescent="0.3">
      <c r="A5585" t="s">
        <v>632</v>
      </c>
      <c r="B5585" t="s">
        <v>738</v>
      </c>
      <c r="C5585" t="s">
        <v>545</v>
      </c>
      <c r="D5585" t="s">
        <v>693</v>
      </c>
      <c r="E5585" t="s">
        <v>770</v>
      </c>
      <c r="F5585">
        <v>5</v>
      </c>
      <c r="G5585" s="308">
        <f>'JOVENES PROTAGONISTAS'!M123</f>
        <v>14</v>
      </c>
      <c r="H5585" s="308">
        <f>'JOVENES PROTAGONISTAS'!N123</f>
        <v>14118.960652051715</v>
      </c>
    </row>
    <row r="5586" spans="1:8" x14ac:dyDescent="0.3">
      <c r="A5586" t="s">
        <v>632</v>
      </c>
      <c r="B5586" t="s">
        <v>738</v>
      </c>
      <c r="C5586" t="s">
        <v>545</v>
      </c>
      <c r="D5586" t="s">
        <v>693</v>
      </c>
      <c r="E5586" t="s">
        <v>771</v>
      </c>
      <c r="F5586">
        <v>6</v>
      </c>
      <c r="G5586" s="308">
        <f>'JOVENES PROTAGONISTAS'!O123</f>
        <v>137</v>
      </c>
      <c r="H5586" s="308">
        <f>'JOVENES PROTAGONISTAS'!P123</f>
        <v>31503.826529569891</v>
      </c>
    </row>
    <row r="5587" spans="1:8" x14ac:dyDescent="0.3">
      <c r="A5587" t="s">
        <v>632</v>
      </c>
      <c r="B5587" t="s">
        <v>738</v>
      </c>
      <c r="C5587" t="s">
        <v>545</v>
      </c>
      <c r="D5587" t="s">
        <v>693</v>
      </c>
      <c r="E5587" t="s">
        <v>772</v>
      </c>
      <c r="F5587">
        <v>7</v>
      </c>
      <c r="G5587" s="308">
        <f>'JOVENES PROTAGONISTAS'!Q123</f>
        <v>13</v>
      </c>
      <c r="H5587" s="308">
        <f>'JOVENES PROTAGONISTAS'!R123</f>
        <v>10275.544331496223</v>
      </c>
    </row>
    <row r="5588" spans="1:8" x14ac:dyDescent="0.3">
      <c r="A5588" t="s">
        <v>632</v>
      </c>
      <c r="B5588" t="s">
        <v>738</v>
      </c>
      <c r="C5588" t="s">
        <v>740</v>
      </c>
      <c r="D5588" t="s">
        <v>693</v>
      </c>
      <c r="E5588" t="s">
        <v>766</v>
      </c>
      <c r="F5588">
        <v>1</v>
      </c>
      <c r="G5588" s="308">
        <f>'JOVENES PROTAGONISTAS'!E124</f>
        <v>0</v>
      </c>
      <c r="H5588" s="308">
        <f>'JOVENES PROTAGONISTAS'!F124</f>
        <v>0</v>
      </c>
    </row>
    <row r="5589" spans="1:8" x14ac:dyDescent="0.3">
      <c r="A5589" t="s">
        <v>632</v>
      </c>
      <c r="B5589" t="s">
        <v>738</v>
      </c>
      <c r="C5589" t="s">
        <v>740</v>
      </c>
      <c r="D5589" t="s">
        <v>693</v>
      </c>
      <c r="E5589" t="s">
        <v>767</v>
      </c>
      <c r="F5589">
        <v>2</v>
      </c>
      <c r="G5589" s="308">
        <f>'JOVENES PROTAGONISTAS'!G124</f>
        <v>111</v>
      </c>
      <c r="H5589" s="308">
        <f>'JOVENES PROTAGONISTAS'!H124</f>
        <v>11154.615182639434</v>
      </c>
    </row>
    <row r="5590" spans="1:8" x14ac:dyDescent="0.3">
      <c r="A5590" t="s">
        <v>632</v>
      </c>
      <c r="B5590" t="s">
        <v>738</v>
      </c>
      <c r="C5590" t="s">
        <v>740</v>
      </c>
      <c r="D5590" t="s">
        <v>693</v>
      </c>
      <c r="E5590" t="s">
        <v>768</v>
      </c>
      <c r="F5590">
        <v>3</v>
      </c>
      <c r="G5590" s="308">
        <f>'JOVENES PROTAGONISTAS'!I124</f>
        <v>53</v>
      </c>
      <c r="H5590" s="308">
        <f>'JOVENES PROTAGONISTAS'!J124</f>
        <v>8785.2360590573535</v>
      </c>
    </row>
    <row r="5591" spans="1:8" x14ac:dyDescent="0.3">
      <c r="A5591" t="s">
        <v>632</v>
      </c>
      <c r="B5591" t="s">
        <v>738</v>
      </c>
      <c r="C5591" t="s">
        <v>740</v>
      </c>
      <c r="D5591" t="s">
        <v>693</v>
      </c>
      <c r="E5591" t="s">
        <v>769</v>
      </c>
      <c r="F5591">
        <v>4</v>
      </c>
      <c r="G5591" s="308">
        <f>'JOVENES PROTAGONISTAS'!K124</f>
        <v>7</v>
      </c>
      <c r="H5591" s="308">
        <f>'JOVENES PROTAGONISTAS'!L124</f>
        <v>6017.8529726944871</v>
      </c>
    </row>
    <row r="5592" spans="1:8" x14ac:dyDescent="0.3">
      <c r="A5592" t="s">
        <v>632</v>
      </c>
      <c r="B5592" t="s">
        <v>738</v>
      </c>
      <c r="C5592" t="s">
        <v>740</v>
      </c>
      <c r="D5592" t="s">
        <v>693</v>
      </c>
      <c r="E5592" t="s">
        <v>770</v>
      </c>
      <c r="F5592">
        <v>5</v>
      </c>
      <c r="G5592" s="308">
        <f>'JOVENES PROTAGONISTAS'!M124</f>
        <v>25</v>
      </c>
      <c r="H5592" s="308">
        <f>'JOVENES PROTAGONISTAS'!N124</f>
        <v>25212.429735806636</v>
      </c>
    </row>
    <row r="5593" spans="1:8" x14ac:dyDescent="0.3">
      <c r="A5593" t="s">
        <v>632</v>
      </c>
      <c r="B5593" t="s">
        <v>738</v>
      </c>
      <c r="C5593" t="s">
        <v>740</v>
      </c>
      <c r="D5593" t="s">
        <v>693</v>
      </c>
      <c r="E5593" t="s">
        <v>771</v>
      </c>
      <c r="F5593">
        <v>6</v>
      </c>
      <c r="G5593" s="308">
        <f>'JOVENES PROTAGONISTAS'!O124</f>
        <v>126</v>
      </c>
      <c r="H5593" s="308">
        <f>'JOVENES PROTAGONISTAS'!P124</f>
        <v>28974.322209677419</v>
      </c>
    </row>
    <row r="5594" spans="1:8" x14ac:dyDescent="0.3">
      <c r="A5594" t="s">
        <v>632</v>
      </c>
      <c r="B5594" t="s">
        <v>738</v>
      </c>
      <c r="C5594" t="s">
        <v>740</v>
      </c>
      <c r="D5594" t="s">
        <v>693</v>
      </c>
      <c r="E5594" t="s">
        <v>772</v>
      </c>
      <c r="F5594">
        <v>7</v>
      </c>
      <c r="G5594" s="308">
        <f>'JOVENES PROTAGONISTAS'!Q124</f>
        <v>3</v>
      </c>
      <c r="H5594" s="308">
        <f>'JOVENES PROTAGONISTAS'!R124</f>
        <v>2371.2794611145127</v>
      </c>
    </row>
    <row r="5595" spans="1:8" x14ac:dyDescent="0.3">
      <c r="A5595" t="s">
        <v>632</v>
      </c>
      <c r="B5595" t="s">
        <v>738</v>
      </c>
      <c r="C5595" t="s">
        <v>547</v>
      </c>
      <c r="D5595" t="s">
        <v>693</v>
      </c>
      <c r="E5595" t="s">
        <v>766</v>
      </c>
      <c r="F5595">
        <v>1</v>
      </c>
      <c r="G5595" s="308">
        <f>'JOVENES PROTAGONISTAS'!E125</f>
        <v>0</v>
      </c>
      <c r="H5595" s="308">
        <f>'JOVENES PROTAGONISTAS'!F125</f>
        <v>0</v>
      </c>
    </row>
    <row r="5596" spans="1:8" x14ac:dyDescent="0.3">
      <c r="A5596" t="s">
        <v>632</v>
      </c>
      <c r="B5596" t="s">
        <v>738</v>
      </c>
      <c r="C5596" t="s">
        <v>547</v>
      </c>
      <c r="D5596" t="s">
        <v>693</v>
      </c>
      <c r="E5596" t="s">
        <v>767</v>
      </c>
      <c r="F5596">
        <v>2</v>
      </c>
      <c r="G5596" s="308">
        <f>'JOVENES PROTAGONISTAS'!G125</f>
        <v>0</v>
      </c>
      <c r="H5596" s="308">
        <f>'JOVENES PROTAGONISTAS'!H125</f>
        <v>0</v>
      </c>
    </row>
    <row r="5597" spans="1:8" x14ac:dyDescent="0.3">
      <c r="A5597" t="s">
        <v>632</v>
      </c>
      <c r="B5597" t="s">
        <v>738</v>
      </c>
      <c r="C5597" t="s">
        <v>547</v>
      </c>
      <c r="D5597" t="s">
        <v>693</v>
      </c>
      <c r="E5597" t="s">
        <v>768</v>
      </c>
      <c r="F5597">
        <v>3</v>
      </c>
      <c r="G5597" s="308">
        <f>'JOVENES PROTAGONISTAS'!I125</f>
        <v>0</v>
      </c>
      <c r="H5597" s="308">
        <f>'JOVENES PROTAGONISTAS'!J125</f>
        <v>0</v>
      </c>
    </row>
    <row r="5598" spans="1:8" x14ac:dyDescent="0.3">
      <c r="A5598" t="s">
        <v>632</v>
      </c>
      <c r="B5598" t="s">
        <v>738</v>
      </c>
      <c r="C5598" t="s">
        <v>547</v>
      </c>
      <c r="D5598" t="s">
        <v>693</v>
      </c>
      <c r="E5598" t="s">
        <v>769</v>
      </c>
      <c r="F5598">
        <v>4</v>
      </c>
      <c r="G5598" s="308">
        <f>'JOVENES PROTAGONISTAS'!K125</f>
        <v>0</v>
      </c>
      <c r="H5598" s="308">
        <f>'JOVENES PROTAGONISTAS'!L125</f>
        <v>0</v>
      </c>
    </row>
    <row r="5599" spans="1:8" x14ac:dyDescent="0.3">
      <c r="A5599" t="s">
        <v>632</v>
      </c>
      <c r="B5599" t="s">
        <v>738</v>
      </c>
      <c r="C5599" t="s">
        <v>547</v>
      </c>
      <c r="D5599" t="s">
        <v>693</v>
      </c>
      <c r="E5599" t="s">
        <v>770</v>
      </c>
      <c r="F5599">
        <v>5</v>
      </c>
      <c r="G5599" s="308">
        <f>'JOVENES PROTAGONISTAS'!M125</f>
        <v>0</v>
      </c>
      <c r="H5599" s="308">
        <f>'JOVENES PROTAGONISTAS'!N125</f>
        <v>0</v>
      </c>
    </row>
    <row r="5600" spans="1:8" x14ac:dyDescent="0.3">
      <c r="A5600" t="s">
        <v>632</v>
      </c>
      <c r="B5600" t="s">
        <v>738</v>
      </c>
      <c r="C5600" t="s">
        <v>547</v>
      </c>
      <c r="D5600" t="s">
        <v>693</v>
      </c>
      <c r="E5600" t="s">
        <v>771</v>
      </c>
      <c r="F5600">
        <v>6</v>
      </c>
      <c r="G5600" s="308">
        <f>'JOVENES PROTAGONISTAS'!O125</f>
        <v>0</v>
      </c>
      <c r="H5600" s="308">
        <f>'JOVENES PROTAGONISTAS'!P125</f>
        <v>0</v>
      </c>
    </row>
    <row r="5601" spans="1:8" x14ac:dyDescent="0.3">
      <c r="A5601" t="s">
        <v>632</v>
      </c>
      <c r="B5601" t="s">
        <v>738</v>
      </c>
      <c r="C5601" t="s">
        <v>547</v>
      </c>
      <c r="D5601" t="s">
        <v>693</v>
      </c>
      <c r="E5601" t="s">
        <v>772</v>
      </c>
      <c r="F5601">
        <v>7</v>
      </c>
      <c r="G5601" s="308">
        <f>'JOVENES PROTAGONISTAS'!Q125</f>
        <v>14</v>
      </c>
      <c r="H5601" s="308">
        <f>'JOVENES PROTAGONISTAS'!R125</f>
        <v>11065.970818534393</v>
      </c>
    </row>
    <row r="5602" spans="1:8" x14ac:dyDescent="0.3">
      <c r="A5602" t="s">
        <v>632</v>
      </c>
      <c r="B5602" t="s">
        <v>738</v>
      </c>
      <c r="C5602" t="s">
        <v>548</v>
      </c>
      <c r="D5602" t="s">
        <v>693</v>
      </c>
      <c r="E5602" t="s">
        <v>766</v>
      </c>
      <c r="F5602">
        <v>1</v>
      </c>
      <c r="G5602" s="308">
        <f>'JOVENES PROTAGONISTAS'!E126</f>
        <v>0</v>
      </c>
      <c r="H5602" s="308">
        <f>'JOVENES PROTAGONISTAS'!F126</f>
        <v>0</v>
      </c>
    </row>
    <row r="5603" spans="1:8" x14ac:dyDescent="0.3">
      <c r="A5603" t="s">
        <v>632</v>
      </c>
      <c r="B5603" t="s">
        <v>738</v>
      </c>
      <c r="C5603" t="s">
        <v>548</v>
      </c>
      <c r="D5603" t="s">
        <v>693</v>
      </c>
      <c r="E5603" t="s">
        <v>767</v>
      </c>
      <c r="F5603">
        <v>2</v>
      </c>
      <c r="G5603" s="308">
        <f>'JOVENES PROTAGONISTAS'!G126</f>
        <v>0</v>
      </c>
      <c r="H5603" s="308">
        <f>'JOVENES PROTAGONISTAS'!H126</f>
        <v>0</v>
      </c>
    </row>
    <row r="5604" spans="1:8" x14ac:dyDescent="0.3">
      <c r="A5604" t="s">
        <v>632</v>
      </c>
      <c r="B5604" t="s">
        <v>738</v>
      </c>
      <c r="C5604" t="s">
        <v>548</v>
      </c>
      <c r="D5604" t="s">
        <v>693</v>
      </c>
      <c r="E5604" t="s">
        <v>768</v>
      </c>
      <c r="F5604">
        <v>3</v>
      </c>
      <c r="G5604" s="308">
        <f>'JOVENES PROTAGONISTAS'!I126</f>
        <v>0</v>
      </c>
      <c r="H5604" s="308">
        <f>'JOVENES PROTAGONISTAS'!J126</f>
        <v>0</v>
      </c>
    </row>
    <row r="5605" spans="1:8" x14ac:dyDescent="0.3">
      <c r="A5605" t="s">
        <v>632</v>
      </c>
      <c r="B5605" t="s">
        <v>738</v>
      </c>
      <c r="C5605" t="s">
        <v>548</v>
      </c>
      <c r="D5605" t="s">
        <v>693</v>
      </c>
      <c r="E5605" t="s">
        <v>769</v>
      </c>
      <c r="F5605">
        <v>4</v>
      </c>
      <c r="G5605" s="308">
        <f>'JOVENES PROTAGONISTAS'!K126</f>
        <v>0</v>
      </c>
      <c r="H5605" s="308">
        <f>'JOVENES PROTAGONISTAS'!L126</f>
        <v>0</v>
      </c>
    </row>
    <row r="5606" spans="1:8" x14ac:dyDescent="0.3">
      <c r="A5606" t="s">
        <v>632</v>
      </c>
      <c r="B5606" t="s">
        <v>738</v>
      </c>
      <c r="C5606" t="s">
        <v>548</v>
      </c>
      <c r="D5606" t="s">
        <v>693</v>
      </c>
      <c r="E5606" t="s">
        <v>770</v>
      </c>
      <c r="F5606">
        <v>5</v>
      </c>
      <c r="G5606" s="308">
        <f>'JOVENES PROTAGONISTAS'!M126</f>
        <v>0</v>
      </c>
      <c r="H5606" s="308">
        <f>'JOVENES PROTAGONISTAS'!N126</f>
        <v>0</v>
      </c>
    </row>
    <row r="5607" spans="1:8" x14ac:dyDescent="0.3">
      <c r="A5607" t="s">
        <v>632</v>
      </c>
      <c r="B5607" t="s">
        <v>738</v>
      </c>
      <c r="C5607" t="s">
        <v>548</v>
      </c>
      <c r="D5607" t="s">
        <v>693</v>
      </c>
      <c r="E5607" t="s">
        <v>771</v>
      </c>
      <c r="F5607">
        <v>6</v>
      </c>
      <c r="G5607" s="308">
        <f>'JOVENES PROTAGONISTAS'!O126</f>
        <v>3</v>
      </c>
      <c r="H5607" s="308">
        <f>'JOVENES PROTAGONISTAS'!P126</f>
        <v>689.86481451612894</v>
      </c>
    </row>
    <row r="5608" spans="1:8" x14ac:dyDescent="0.3">
      <c r="A5608" t="s">
        <v>632</v>
      </c>
      <c r="B5608" t="s">
        <v>738</v>
      </c>
      <c r="C5608" t="s">
        <v>548</v>
      </c>
      <c r="D5608" t="s">
        <v>693</v>
      </c>
      <c r="E5608" t="s">
        <v>772</v>
      </c>
      <c r="F5608">
        <v>7</v>
      </c>
      <c r="G5608" s="308">
        <f>'JOVENES PROTAGONISTAS'!Q126</f>
        <v>9</v>
      </c>
      <c r="H5608" s="308">
        <f>'JOVENES PROTAGONISTAS'!R126</f>
        <v>7113.8383833435391</v>
      </c>
    </row>
    <row r="5609" spans="1:8" x14ac:dyDescent="0.3">
      <c r="A5609" t="s">
        <v>632</v>
      </c>
      <c r="B5609" t="s">
        <v>738</v>
      </c>
      <c r="C5609" t="s">
        <v>549</v>
      </c>
      <c r="D5609" t="s">
        <v>693</v>
      </c>
      <c r="E5609" t="s">
        <v>766</v>
      </c>
      <c r="F5609">
        <v>1</v>
      </c>
      <c r="G5609" s="308">
        <f>'JOVENES PROTAGONISTAS'!E127</f>
        <v>0</v>
      </c>
      <c r="H5609" s="308">
        <f>'JOVENES PROTAGONISTAS'!F127</f>
        <v>0</v>
      </c>
    </row>
    <row r="5610" spans="1:8" x14ac:dyDescent="0.3">
      <c r="A5610" t="s">
        <v>632</v>
      </c>
      <c r="B5610" t="s">
        <v>738</v>
      </c>
      <c r="C5610" t="s">
        <v>549</v>
      </c>
      <c r="D5610" t="s">
        <v>693</v>
      </c>
      <c r="E5610" t="s">
        <v>767</v>
      </c>
      <c r="F5610">
        <v>2</v>
      </c>
      <c r="G5610" s="308">
        <f>'JOVENES PROTAGONISTAS'!G127</f>
        <v>0</v>
      </c>
      <c r="H5610" s="308">
        <f>'JOVENES PROTAGONISTAS'!H127</f>
        <v>0</v>
      </c>
    </row>
    <row r="5611" spans="1:8" x14ac:dyDescent="0.3">
      <c r="A5611" t="s">
        <v>632</v>
      </c>
      <c r="B5611" t="s">
        <v>738</v>
      </c>
      <c r="C5611" t="s">
        <v>549</v>
      </c>
      <c r="D5611" t="s">
        <v>693</v>
      </c>
      <c r="E5611" t="s">
        <v>768</v>
      </c>
      <c r="F5611">
        <v>3</v>
      </c>
      <c r="G5611" s="308">
        <f>'JOVENES PROTAGONISTAS'!I127</f>
        <v>0</v>
      </c>
      <c r="H5611" s="308">
        <f>'JOVENES PROTAGONISTAS'!J127</f>
        <v>0</v>
      </c>
    </row>
    <row r="5612" spans="1:8" x14ac:dyDescent="0.3">
      <c r="A5612" t="s">
        <v>632</v>
      </c>
      <c r="B5612" t="s">
        <v>738</v>
      </c>
      <c r="C5612" t="s">
        <v>549</v>
      </c>
      <c r="D5612" t="s">
        <v>693</v>
      </c>
      <c r="E5612" t="s">
        <v>769</v>
      </c>
      <c r="F5612">
        <v>4</v>
      </c>
      <c r="G5612" s="308">
        <f>'JOVENES PROTAGONISTAS'!K127</f>
        <v>0</v>
      </c>
      <c r="H5612" s="308">
        <f>'JOVENES PROTAGONISTAS'!L127</f>
        <v>0</v>
      </c>
    </row>
    <row r="5613" spans="1:8" x14ac:dyDescent="0.3">
      <c r="A5613" t="s">
        <v>632</v>
      </c>
      <c r="B5613" t="s">
        <v>738</v>
      </c>
      <c r="C5613" t="s">
        <v>549</v>
      </c>
      <c r="D5613" t="s">
        <v>693</v>
      </c>
      <c r="E5613" t="s">
        <v>770</v>
      </c>
      <c r="F5613">
        <v>5</v>
      </c>
      <c r="G5613" s="308">
        <f>'JOVENES PROTAGONISTAS'!M127</f>
        <v>0</v>
      </c>
      <c r="H5613" s="308">
        <f>'JOVENES PROTAGONISTAS'!N127</f>
        <v>0</v>
      </c>
    </row>
    <row r="5614" spans="1:8" x14ac:dyDescent="0.3">
      <c r="A5614" t="s">
        <v>632</v>
      </c>
      <c r="B5614" t="s">
        <v>738</v>
      </c>
      <c r="C5614" t="s">
        <v>549</v>
      </c>
      <c r="D5614" t="s">
        <v>693</v>
      </c>
      <c r="E5614" t="s">
        <v>771</v>
      </c>
      <c r="F5614">
        <v>6</v>
      </c>
      <c r="G5614" s="308">
        <f>'JOVENES PROTAGONISTAS'!O127</f>
        <v>17</v>
      </c>
      <c r="H5614" s="308">
        <f>'JOVENES PROTAGONISTAS'!P127</f>
        <v>3909.2339489247311</v>
      </c>
    </row>
    <row r="5615" spans="1:8" x14ac:dyDescent="0.3">
      <c r="A5615" t="s">
        <v>632</v>
      </c>
      <c r="B5615" t="s">
        <v>738</v>
      </c>
      <c r="C5615" t="s">
        <v>549</v>
      </c>
      <c r="D5615" t="s">
        <v>693</v>
      </c>
      <c r="E5615" t="s">
        <v>772</v>
      </c>
      <c r="F5615">
        <v>7</v>
      </c>
      <c r="G5615" s="308">
        <f>'JOVENES PROTAGONISTAS'!Q127</f>
        <v>4</v>
      </c>
      <c r="H5615" s="308">
        <f>'JOVENES PROTAGONISTAS'!R127</f>
        <v>3161.705948152684</v>
      </c>
    </row>
    <row r="5616" spans="1:8" x14ac:dyDescent="0.3">
      <c r="A5616" t="s">
        <v>632</v>
      </c>
      <c r="B5616" t="s">
        <v>738</v>
      </c>
      <c r="C5616" t="s">
        <v>550</v>
      </c>
      <c r="D5616" t="s">
        <v>693</v>
      </c>
      <c r="E5616" t="s">
        <v>766</v>
      </c>
      <c r="F5616">
        <v>1</v>
      </c>
      <c r="G5616" s="308">
        <f>'JOVENES PROTAGONISTAS'!E128</f>
        <v>0</v>
      </c>
      <c r="H5616" s="308">
        <f>'JOVENES PROTAGONISTAS'!F128</f>
        <v>0</v>
      </c>
    </row>
    <row r="5617" spans="1:8" x14ac:dyDescent="0.3">
      <c r="A5617" t="s">
        <v>632</v>
      </c>
      <c r="B5617" t="s">
        <v>738</v>
      </c>
      <c r="C5617" t="s">
        <v>550</v>
      </c>
      <c r="D5617" t="s">
        <v>693</v>
      </c>
      <c r="E5617" t="s">
        <v>767</v>
      </c>
      <c r="F5617">
        <v>2</v>
      </c>
      <c r="G5617" s="308">
        <f>'JOVENES PROTAGONISTAS'!G128</f>
        <v>0</v>
      </c>
      <c r="H5617" s="308">
        <f>'JOVENES PROTAGONISTAS'!H128</f>
        <v>0</v>
      </c>
    </row>
    <row r="5618" spans="1:8" x14ac:dyDescent="0.3">
      <c r="A5618" t="s">
        <v>632</v>
      </c>
      <c r="B5618" t="s">
        <v>738</v>
      </c>
      <c r="C5618" t="s">
        <v>550</v>
      </c>
      <c r="D5618" t="s">
        <v>693</v>
      </c>
      <c r="E5618" t="s">
        <v>768</v>
      </c>
      <c r="F5618">
        <v>3</v>
      </c>
      <c r="G5618" s="308">
        <f>'JOVENES PROTAGONISTAS'!I128</f>
        <v>0</v>
      </c>
      <c r="H5618" s="308">
        <f>'JOVENES PROTAGONISTAS'!J128</f>
        <v>0</v>
      </c>
    </row>
    <row r="5619" spans="1:8" x14ac:dyDescent="0.3">
      <c r="A5619" t="s">
        <v>632</v>
      </c>
      <c r="B5619" t="s">
        <v>738</v>
      </c>
      <c r="C5619" t="s">
        <v>550</v>
      </c>
      <c r="D5619" t="s">
        <v>693</v>
      </c>
      <c r="E5619" t="s">
        <v>769</v>
      </c>
      <c r="F5619">
        <v>4</v>
      </c>
      <c r="G5619" s="308">
        <f>'JOVENES PROTAGONISTAS'!K128</f>
        <v>0</v>
      </c>
      <c r="H5619" s="308">
        <f>'JOVENES PROTAGONISTAS'!L128</f>
        <v>0</v>
      </c>
    </row>
    <row r="5620" spans="1:8" x14ac:dyDescent="0.3">
      <c r="A5620" t="s">
        <v>632</v>
      </c>
      <c r="B5620" t="s">
        <v>738</v>
      </c>
      <c r="C5620" t="s">
        <v>550</v>
      </c>
      <c r="D5620" t="s">
        <v>693</v>
      </c>
      <c r="E5620" t="s">
        <v>770</v>
      </c>
      <c r="F5620">
        <v>5</v>
      </c>
      <c r="G5620" s="308">
        <f>'JOVENES PROTAGONISTAS'!M128</f>
        <v>0</v>
      </c>
      <c r="H5620" s="308">
        <f>'JOVENES PROTAGONISTAS'!N128</f>
        <v>0</v>
      </c>
    </row>
    <row r="5621" spans="1:8" x14ac:dyDescent="0.3">
      <c r="A5621" t="s">
        <v>632</v>
      </c>
      <c r="B5621" t="s">
        <v>738</v>
      </c>
      <c r="C5621" t="s">
        <v>550</v>
      </c>
      <c r="D5621" t="s">
        <v>693</v>
      </c>
      <c r="E5621" t="s">
        <v>771</v>
      </c>
      <c r="F5621">
        <v>6</v>
      </c>
      <c r="G5621" s="308">
        <f>'JOVENES PROTAGONISTAS'!O128</f>
        <v>6</v>
      </c>
      <c r="H5621" s="308">
        <f>'JOVENES PROTAGONISTAS'!P128</f>
        <v>1379.7296290322579</v>
      </c>
    </row>
    <row r="5622" spans="1:8" x14ac:dyDescent="0.3">
      <c r="A5622" t="s">
        <v>632</v>
      </c>
      <c r="B5622" t="s">
        <v>738</v>
      </c>
      <c r="C5622" t="s">
        <v>550</v>
      </c>
      <c r="D5622" t="s">
        <v>693</v>
      </c>
      <c r="E5622" t="s">
        <v>772</v>
      </c>
      <c r="F5622">
        <v>7</v>
      </c>
      <c r="G5622" s="308">
        <f>'JOVENES PROTAGONISTAS'!Q128</f>
        <v>8</v>
      </c>
      <c r="H5622" s="308">
        <f>'JOVENES PROTAGONISTAS'!R128</f>
        <v>6323.4118963053679</v>
      </c>
    </row>
    <row r="5623" spans="1:8" x14ac:dyDescent="0.3">
      <c r="A5623" t="s">
        <v>632</v>
      </c>
      <c r="B5623" t="s">
        <v>741</v>
      </c>
      <c r="C5623" t="s">
        <v>742</v>
      </c>
      <c r="D5623" t="s">
        <v>693</v>
      </c>
      <c r="E5623" t="s">
        <v>766</v>
      </c>
      <c r="F5623">
        <v>1</v>
      </c>
      <c r="G5623" s="308">
        <f>'JOVENES PROTAGONISTAS'!E129</f>
        <v>0</v>
      </c>
      <c r="H5623" s="308">
        <f>'JOVENES PROTAGONISTAS'!F129</f>
        <v>0</v>
      </c>
    </row>
    <row r="5624" spans="1:8" x14ac:dyDescent="0.3">
      <c r="A5624" t="s">
        <v>632</v>
      </c>
      <c r="B5624" t="s">
        <v>741</v>
      </c>
      <c r="C5624" t="s">
        <v>742</v>
      </c>
      <c r="D5624" t="s">
        <v>693</v>
      </c>
      <c r="E5624" t="s">
        <v>767</v>
      </c>
      <c r="F5624">
        <v>2</v>
      </c>
      <c r="G5624" s="308">
        <f>'JOVENES PROTAGONISTAS'!G129</f>
        <v>50</v>
      </c>
      <c r="H5624" s="308">
        <f>'JOVENES PROTAGONISTAS'!H129</f>
        <v>5024.6014336213666</v>
      </c>
    </row>
    <row r="5625" spans="1:8" x14ac:dyDescent="0.3">
      <c r="A5625" t="s">
        <v>632</v>
      </c>
      <c r="B5625" t="s">
        <v>741</v>
      </c>
      <c r="C5625" t="s">
        <v>742</v>
      </c>
      <c r="D5625" t="s">
        <v>693</v>
      </c>
      <c r="E5625" t="s">
        <v>768</v>
      </c>
      <c r="F5625">
        <v>3</v>
      </c>
      <c r="G5625" s="308">
        <f>'JOVENES PROTAGONISTAS'!I129</f>
        <v>116</v>
      </c>
      <c r="H5625" s="308">
        <f>'JOVENES PROTAGONISTAS'!J129</f>
        <v>19228.063827370814</v>
      </c>
    </row>
    <row r="5626" spans="1:8" x14ac:dyDescent="0.3">
      <c r="A5626" t="s">
        <v>632</v>
      </c>
      <c r="B5626" t="s">
        <v>741</v>
      </c>
      <c r="C5626" t="s">
        <v>742</v>
      </c>
      <c r="D5626" t="s">
        <v>693</v>
      </c>
      <c r="E5626" t="s">
        <v>769</v>
      </c>
      <c r="F5626">
        <v>4</v>
      </c>
      <c r="G5626" s="308">
        <f>'JOVENES PROTAGONISTAS'!K129</f>
        <v>8</v>
      </c>
      <c r="H5626" s="308">
        <f>'JOVENES PROTAGONISTAS'!L129</f>
        <v>6877.5462545079854</v>
      </c>
    </row>
    <row r="5627" spans="1:8" x14ac:dyDescent="0.3">
      <c r="A5627" t="s">
        <v>632</v>
      </c>
      <c r="B5627" t="s">
        <v>741</v>
      </c>
      <c r="C5627" t="s">
        <v>742</v>
      </c>
      <c r="D5627" t="s">
        <v>693</v>
      </c>
      <c r="E5627" t="s">
        <v>770</v>
      </c>
      <c r="F5627">
        <v>5</v>
      </c>
      <c r="G5627" s="308">
        <f>'JOVENES PROTAGONISTAS'!M129</f>
        <v>6</v>
      </c>
      <c r="H5627" s="308">
        <f>'JOVENES PROTAGONISTAS'!N129</f>
        <v>6050.9831365935925</v>
      </c>
    </row>
    <row r="5628" spans="1:8" x14ac:dyDescent="0.3">
      <c r="A5628" t="s">
        <v>632</v>
      </c>
      <c r="B5628" t="s">
        <v>741</v>
      </c>
      <c r="C5628" t="s">
        <v>742</v>
      </c>
      <c r="D5628" t="s">
        <v>693</v>
      </c>
      <c r="E5628" t="s">
        <v>771</v>
      </c>
      <c r="F5628">
        <v>6</v>
      </c>
      <c r="G5628" s="308">
        <f>'JOVENES PROTAGONISTAS'!O129</f>
        <v>126</v>
      </c>
      <c r="H5628" s="308">
        <f>'JOVENES PROTAGONISTAS'!P129</f>
        <v>28974.322209677419</v>
      </c>
    </row>
    <row r="5629" spans="1:8" x14ac:dyDescent="0.3">
      <c r="A5629" t="s">
        <v>632</v>
      </c>
      <c r="B5629" t="s">
        <v>741</v>
      </c>
      <c r="C5629" t="s">
        <v>742</v>
      </c>
      <c r="D5629" t="s">
        <v>693</v>
      </c>
      <c r="E5629" t="s">
        <v>772</v>
      </c>
      <c r="F5629">
        <v>7</v>
      </c>
      <c r="G5629" s="308">
        <f>'JOVENES PROTAGONISTAS'!Q129</f>
        <v>9</v>
      </c>
      <c r="H5629" s="308">
        <f>'JOVENES PROTAGONISTAS'!R129</f>
        <v>7113.8383833435391</v>
      </c>
    </row>
    <row r="5630" spans="1:8" x14ac:dyDescent="0.3">
      <c r="A5630" t="s">
        <v>632</v>
      </c>
      <c r="B5630" t="s">
        <v>741</v>
      </c>
      <c r="C5630" t="s">
        <v>743</v>
      </c>
      <c r="D5630" t="s">
        <v>693</v>
      </c>
      <c r="E5630" t="s">
        <v>766</v>
      </c>
      <c r="F5630">
        <v>1</v>
      </c>
      <c r="G5630" s="308">
        <f>'JOVENES PROTAGONISTAS'!E130</f>
        <v>0</v>
      </c>
      <c r="H5630" s="308">
        <f>'JOVENES PROTAGONISTAS'!F130</f>
        <v>0</v>
      </c>
    </row>
    <row r="5631" spans="1:8" x14ac:dyDescent="0.3">
      <c r="A5631" t="s">
        <v>632</v>
      </c>
      <c r="B5631" t="s">
        <v>741</v>
      </c>
      <c r="C5631" t="s">
        <v>743</v>
      </c>
      <c r="D5631" t="s">
        <v>693</v>
      </c>
      <c r="E5631" t="s">
        <v>767</v>
      </c>
      <c r="F5631">
        <v>2</v>
      </c>
      <c r="G5631" s="308">
        <f>'JOVENES PROTAGONISTAS'!G130</f>
        <v>0</v>
      </c>
      <c r="H5631" s="308">
        <f>'JOVENES PROTAGONISTAS'!H130</f>
        <v>0</v>
      </c>
    </row>
    <row r="5632" spans="1:8" x14ac:dyDescent="0.3">
      <c r="A5632" t="s">
        <v>632</v>
      </c>
      <c r="B5632" t="s">
        <v>741</v>
      </c>
      <c r="C5632" t="s">
        <v>743</v>
      </c>
      <c r="D5632" t="s">
        <v>693</v>
      </c>
      <c r="E5632" t="s">
        <v>768</v>
      </c>
      <c r="F5632">
        <v>3</v>
      </c>
      <c r="G5632" s="308">
        <f>'JOVENES PROTAGONISTAS'!I130</f>
        <v>39</v>
      </c>
      <c r="H5632" s="308">
        <f>'JOVENES PROTAGONISTAS'!J130</f>
        <v>6464.6076660988074</v>
      </c>
    </row>
    <row r="5633" spans="1:8" x14ac:dyDescent="0.3">
      <c r="A5633" t="s">
        <v>632</v>
      </c>
      <c r="B5633" t="s">
        <v>741</v>
      </c>
      <c r="C5633" t="s">
        <v>743</v>
      </c>
      <c r="D5633" t="s">
        <v>693</v>
      </c>
      <c r="E5633" t="s">
        <v>769</v>
      </c>
      <c r="F5633">
        <v>4</v>
      </c>
      <c r="G5633" s="308">
        <f>'JOVENES PROTAGONISTAS'!K130</f>
        <v>13</v>
      </c>
      <c r="H5633" s="308">
        <f>'JOVENES PROTAGONISTAS'!L130</f>
        <v>11176.012663575477</v>
      </c>
    </row>
    <row r="5634" spans="1:8" x14ac:dyDescent="0.3">
      <c r="A5634" t="s">
        <v>632</v>
      </c>
      <c r="B5634" t="s">
        <v>741</v>
      </c>
      <c r="C5634" t="s">
        <v>743</v>
      </c>
      <c r="D5634" t="s">
        <v>693</v>
      </c>
      <c r="E5634" t="s">
        <v>770</v>
      </c>
      <c r="F5634">
        <v>5</v>
      </c>
      <c r="G5634" s="308">
        <f>'JOVENES PROTAGONISTAS'!M130</f>
        <v>0</v>
      </c>
      <c r="H5634" s="308">
        <f>'JOVENES PROTAGONISTAS'!N130</f>
        <v>0</v>
      </c>
    </row>
    <row r="5635" spans="1:8" x14ac:dyDescent="0.3">
      <c r="A5635" t="s">
        <v>632</v>
      </c>
      <c r="B5635" t="s">
        <v>741</v>
      </c>
      <c r="C5635" t="s">
        <v>743</v>
      </c>
      <c r="D5635" t="s">
        <v>693</v>
      </c>
      <c r="E5635" t="s">
        <v>771</v>
      </c>
      <c r="F5635">
        <v>6</v>
      </c>
      <c r="G5635" s="308">
        <f>'JOVENES PROTAGONISTAS'!O130</f>
        <v>0</v>
      </c>
      <c r="H5635" s="308">
        <f>'JOVENES PROTAGONISTAS'!P130</f>
        <v>0</v>
      </c>
    </row>
    <row r="5636" spans="1:8" x14ac:dyDescent="0.3">
      <c r="A5636" t="s">
        <v>632</v>
      </c>
      <c r="B5636" t="s">
        <v>741</v>
      </c>
      <c r="C5636" t="s">
        <v>743</v>
      </c>
      <c r="D5636" t="s">
        <v>693</v>
      </c>
      <c r="E5636" t="s">
        <v>772</v>
      </c>
      <c r="F5636">
        <v>7</v>
      </c>
      <c r="G5636" s="308">
        <f>'JOVENES PROTAGONISTAS'!Q130</f>
        <v>0</v>
      </c>
      <c r="H5636" s="308">
        <f>'JOVENES PROTAGONISTAS'!R130</f>
        <v>0</v>
      </c>
    </row>
    <row r="5637" spans="1:8" x14ac:dyDescent="0.3">
      <c r="A5637" t="s">
        <v>632</v>
      </c>
      <c r="B5637" t="s">
        <v>741</v>
      </c>
      <c r="C5637" t="s">
        <v>744</v>
      </c>
      <c r="D5637" t="s">
        <v>693</v>
      </c>
      <c r="E5637" t="s">
        <v>766</v>
      </c>
      <c r="F5637">
        <v>1</v>
      </c>
      <c r="G5637" s="308">
        <f>'JOVENES PROTAGONISTAS'!E131</f>
        <v>0</v>
      </c>
      <c r="H5637" s="308">
        <f>'JOVENES PROTAGONISTAS'!F131</f>
        <v>0</v>
      </c>
    </row>
    <row r="5638" spans="1:8" x14ac:dyDescent="0.3">
      <c r="A5638" t="s">
        <v>632</v>
      </c>
      <c r="B5638" t="s">
        <v>741</v>
      </c>
      <c r="C5638" t="s">
        <v>744</v>
      </c>
      <c r="D5638" t="s">
        <v>693</v>
      </c>
      <c r="E5638" t="s">
        <v>767</v>
      </c>
      <c r="F5638">
        <v>2</v>
      </c>
      <c r="G5638" s="308">
        <f>'JOVENES PROTAGONISTAS'!G131</f>
        <v>16</v>
      </c>
      <c r="H5638" s="308">
        <f>'JOVENES PROTAGONISTAS'!H131</f>
        <v>1607.8724587588374</v>
      </c>
    </row>
    <row r="5639" spans="1:8" x14ac:dyDescent="0.3">
      <c r="A5639" t="s">
        <v>632</v>
      </c>
      <c r="B5639" t="s">
        <v>741</v>
      </c>
      <c r="C5639" t="s">
        <v>744</v>
      </c>
      <c r="D5639" t="s">
        <v>693</v>
      </c>
      <c r="E5639" t="s">
        <v>768</v>
      </c>
      <c r="F5639">
        <v>3</v>
      </c>
      <c r="G5639" s="308">
        <f>'JOVENES PROTAGONISTAS'!I131</f>
        <v>21</v>
      </c>
      <c r="H5639" s="308">
        <f>'JOVENES PROTAGONISTAS'!J131</f>
        <v>3480.9425894378196</v>
      </c>
    </row>
    <row r="5640" spans="1:8" x14ac:dyDescent="0.3">
      <c r="A5640" t="s">
        <v>632</v>
      </c>
      <c r="B5640" t="s">
        <v>741</v>
      </c>
      <c r="C5640" t="s">
        <v>744</v>
      </c>
      <c r="D5640" t="s">
        <v>693</v>
      </c>
      <c r="E5640" t="s">
        <v>769</v>
      </c>
      <c r="F5640">
        <v>4</v>
      </c>
      <c r="G5640" s="308">
        <f>'JOVENES PROTAGONISTAS'!K131</f>
        <v>5</v>
      </c>
      <c r="H5640" s="308">
        <f>'JOVENES PROTAGONISTAS'!L131</f>
        <v>4298.4664090674905</v>
      </c>
    </row>
    <row r="5641" spans="1:8" x14ac:dyDescent="0.3">
      <c r="A5641" t="s">
        <v>632</v>
      </c>
      <c r="B5641" t="s">
        <v>741</v>
      </c>
      <c r="C5641" t="s">
        <v>744</v>
      </c>
      <c r="D5641" t="s">
        <v>693</v>
      </c>
      <c r="E5641" t="s">
        <v>770</v>
      </c>
      <c r="F5641">
        <v>5</v>
      </c>
      <c r="G5641" s="308">
        <f>'JOVENES PROTAGONISTAS'!M131</f>
        <v>5</v>
      </c>
      <c r="H5641" s="308">
        <f>'JOVENES PROTAGONISTAS'!N131</f>
        <v>5042.4859471613272</v>
      </c>
    </row>
    <row r="5642" spans="1:8" x14ac:dyDescent="0.3">
      <c r="A5642" t="s">
        <v>632</v>
      </c>
      <c r="B5642" t="s">
        <v>741</v>
      </c>
      <c r="C5642" t="s">
        <v>744</v>
      </c>
      <c r="D5642" t="s">
        <v>693</v>
      </c>
      <c r="E5642" t="s">
        <v>771</v>
      </c>
      <c r="F5642">
        <v>6</v>
      </c>
      <c r="G5642" s="308">
        <f>'JOVENES PROTAGONISTAS'!O131</f>
        <v>7</v>
      </c>
      <c r="H5642" s="308">
        <f>'JOVENES PROTAGONISTAS'!P131</f>
        <v>1609.6845672043009</v>
      </c>
    </row>
    <row r="5643" spans="1:8" x14ac:dyDescent="0.3">
      <c r="A5643" t="s">
        <v>632</v>
      </c>
      <c r="B5643" t="s">
        <v>741</v>
      </c>
      <c r="C5643" t="s">
        <v>744</v>
      </c>
      <c r="D5643" t="s">
        <v>693</v>
      </c>
      <c r="E5643" t="s">
        <v>772</v>
      </c>
      <c r="F5643">
        <v>7</v>
      </c>
      <c r="G5643" s="308">
        <f>'JOVENES PROTAGONISTAS'!Q131</f>
        <v>4</v>
      </c>
      <c r="H5643" s="308">
        <f>'JOVENES PROTAGONISTAS'!R131</f>
        <v>3161.705948152684</v>
      </c>
    </row>
    <row r="5644" spans="1:8" x14ac:dyDescent="0.3">
      <c r="A5644" t="s">
        <v>632</v>
      </c>
      <c r="B5644" t="s">
        <v>741</v>
      </c>
      <c r="C5644" t="s">
        <v>555</v>
      </c>
      <c r="D5644" t="s">
        <v>693</v>
      </c>
      <c r="E5644" t="s">
        <v>766</v>
      </c>
      <c r="F5644">
        <v>1</v>
      </c>
      <c r="G5644" s="308">
        <f>'JOVENES PROTAGONISTAS'!E132</f>
        <v>0</v>
      </c>
      <c r="H5644" s="308">
        <f>'JOVENES PROTAGONISTAS'!F132</f>
        <v>0</v>
      </c>
    </row>
    <row r="5645" spans="1:8" x14ac:dyDescent="0.3">
      <c r="A5645" t="s">
        <v>632</v>
      </c>
      <c r="B5645" t="s">
        <v>741</v>
      </c>
      <c r="C5645" t="s">
        <v>555</v>
      </c>
      <c r="D5645" t="s">
        <v>693</v>
      </c>
      <c r="E5645" t="s">
        <v>767</v>
      </c>
      <c r="F5645">
        <v>2</v>
      </c>
      <c r="G5645" s="308">
        <f>'JOVENES PROTAGONISTAS'!G132</f>
        <v>0</v>
      </c>
      <c r="H5645" s="308">
        <f>'JOVENES PROTAGONISTAS'!H132</f>
        <v>0</v>
      </c>
    </row>
    <row r="5646" spans="1:8" x14ac:dyDescent="0.3">
      <c r="A5646" t="s">
        <v>632</v>
      </c>
      <c r="B5646" t="s">
        <v>741</v>
      </c>
      <c r="C5646" t="s">
        <v>555</v>
      </c>
      <c r="D5646" t="s">
        <v>693</v>
      </c>
      <c r="E5646" t="s">
        <v>768</v>
      </c>
      <c r="F5646">
        <v>3</v>
      </c>
      <c r="G5646" s="308">
        <f>'JOVENES PROTAGONISTAS'!I132</f>
        <v>0</v>
      </c>
      <c r="H5646" s="308">
        <f>'JOVENES PROTAGONISTAS'!J132</f>
        <v>0</v>
      </c>
    </row>
    <row r="5647" spans="1:8" x14ac:dyDescent="0.3">
      <c r="A5647" t="s">
        <v>632</v>
      </c>
      <c r="B5647" t="s">
        <v>741</v>
      </c>
      <c r="C5647" t="s">
        <v>555</v>
      </c>
      <c r="D5647" t="s">
        <v>693</v>
      </c>
      <c r="E5647" t="s">
        <v>769</v>
      </c>
      <c r="F5647">
        <v>4</v>
      </c>
      <c r="G5647" s="308">
        <f>'JOVENES PROTAGONISTAS'!K132</f>
        <v>0</v>
      </c>
      <c r="H5647" s="308">
        <f>'JOVENES PROTAGONISTAS'!L132</f>
        <v>0</v>
      </c>
    </row>
    <row r="5648" spans="1:8" x14ac:dyDescent="0.3">
      <c r="A5648" t="s">
        <v>632</v>
      </c>
      <c r="B5648" t="s">
        <v>741</v>
      </c>
      <c r="C5648" t="s">
        <v>555</v>
      </c>
      <c r="D5648" t="s">
        <v>693</v>
      </c>
      <c r="E5648" t="s">
        <v>770</v>
      </c>
      <c r="F5648">
        <v>5</v>
      </c>
      <c r="G5648" s="308">
        <f>'JOVENES PROTAGONISTAS'!M132</f>
        <v>0</v>
      </c>
      <c r="H5648" s="308">
        <f>'JOVENES PROTAGONISTAS'!N132</f>
        <v>0</v>
      </c>
    </row>
    <row r="5649" spans="1:8" x14ac:dyDescent="0.3">
      <c r="A5649" t="s">
        <v>632</v>
      </c>
      <c r="B5649" t="s">
        <v>741</v>
      </c>
      <c r="C5649" t="s">
        <v>555</v>
      </c>
      <c r="D5649" t="s">
        <v>693</v>
      </c>
      <c r="E5649" t="s">
        <v>771</v>
      </c>
      <c r="F5649">
        <v>6</v>
      </c>
      <c r="G5649" s="308">
        <f>'JOVENES PROTAGONISTAS'!O132</f>
        <v>0</v>
      </c>
      <c r="H5649" s="308">
        <f>'JOVENES PROTAGONISTAS'!P132</f>
        <v>0</v>
      </c>
    </row>
    <row r="5650" spans="1:8" x14ac:dyDescent="0.3">
      <c r="A5650" t="s">
        <v>632</v>
      </c>
      <c r="B5650" t="s">
        <v>741</v>
      </c>
      <c r="C5650" t="s">
        <v>555</v>
      </c>
      <c r="D5650" t="s">
        <v>693</v>
      </c>
      <c r="E5650" t="s">
        <v>772</v>
      </c>
      <c r="F5650">
        <v>7</v>
      </c>
      <c r="G5650" s="308">
        <f>'JOVENES PROTAGONISTAS'!Q132</f>
        <v>38</v>
      </c>
      <c r="H5650" s="308">
        <f>'JOVENES PROTAGONISTAS'!R132</f>
        <v>30036.206507450497</v>
      </c>
    </row>
    <row r="5651" spans="1:8" x14ac:dyDescent="0.3">
      <c r="A5651" t="s">
        <v>628</v>
      </c>
      <c r="B5651" t="s">
        <v>23</v>
      </c>
      <c r="C5651" t="s">
        <v>24</v>
      </c>
      <c r="D5651" t="s">
        <v>745</v>
      </c>
      <c r="E5651" t="s">
        <v>766</v>
      </c>
      <c r="F5651">
        <v>1</v>
      </c>
      <c r="G5651" s="308">
        <f>COMEDORES!E5</f>
        <v>2080</v>
      </c>
      <c r="H5651" s="308">
        <f>COMEDORES!F5</f>
        <v>0</v>
      </c>
    </row>
    <row r="5652" spans="1:8" x14ac:dyDescent="0.3">
      <c r="A5652" t="s">
        <v>628</v>
      </c>
      <c r="B5652" t="s">
        <v>23</v>
      </c>
      <c r="C5652" t="s">
        <v>24</v>
      </c>
      <c r="D5652" t="s">
        <v>745</v>
      </c>
      <c r="E5652" t="s">
        <v>767</v>
      </c>
      <c r="F5652">
        <v>2</v>
      </c>
      <c r="G5652" s="308">
        <f>COMEDORES!G5</f>
        <v>2600</v>
      </c>
      <c r="H5652" s="308">
        <f>COMEDORES!H5</f>
        <v>154000</v>
      </c>
    </row>
    <row r="5653" spans="1:8" x14ac:dyDescent="0.3">
      <c r="A5653" t="s">
        <v>628</v>
      </c>
      <c r="B5653" t="s">
        <v>23</v>
      </c>
      <c r="C5653" t="s">
        <v>24</v>
      </c>
      <c r="D5653" t="s">
        <v>745</v>
      </c>
      <c r="E5653" t="s">
        <v>768</v>
      </c>
      <c r="F5653">
        <v>3</v>
      </c>
      <c r="G5653" s="308">
        <f>COMEDORES!I5</f>
        <v>2860</v>
      </c>
      <c r="H5653" s="308">
        <f>COMEDORES!J5</f>
        <v>185000</v>
      </c>
    </row>
    <row r="5654" spans="1:8" x14ac:dyDescent="0.3">
      <c r="A5654" t="s">
        <v>628</v>
      </c>
      <c r="B5654" t="s">
        <v>23</v>
      </c>
      <c r="C5654" t="s">
        <v>24</v>
      </c>
      <c r="D5654" t="s">
        <v>745</v>
      </c>
      <c r="E5654" t="s">
        <v>769</v>
      </c>
      <c r="F5654">
        <v>4</v>
      </c>
      <c r="G5654" s="308">
        <f>COMEDORES!K5</f>
        <v>2423</v>
      </c>
      <c r="H5654" s="308">
        <f>COMEDORES!L5</f>
        <v>241012.19999999995</v>
      </c>
    </row>
    <row r="5655" spans="1:8" x14ac:dyDescent="0.3">
      <c r="A5655" t="s">
        <v>628</v>
      </c>
      <c r="B5655" t="s">
        <v>23</v>
      </c>
      <c r="C5655" t="s">
        <v>24</v>
      </c>
      <c r="D5655" t="s">
        <v>745</v>
      </c>
      <c r="E5655" t="s">
        <v>770</v>
      </c>
      <c r="F5655">
        <v>5</v>
      </c>
      <c r="G5655" s="308">
        <f>COMEDORES!M5</f>
        <v>2600</v>
      </c>
      <c r="H5655" s="308">
        <f>COMEDORES!N5</f>
        <v>206677.21</v>
      </c>
    </row>
    <row r="5656" spans="1:8" x14ac:dyDescent="0.3">
      <c r="A5656" t="s">
        <v>628</v>
      </c>
      <c r="B5656" t="s">
        <v>23</v>
      </c>
      <c r="C5656" t="s">
        <v>24</v>
      </c>
      <c r="D5656" t="s">
        <v>745</v>
      </c>
      <c r="E5656" t="s">
        <v>771</v>
      </c>
      <c r="F5656">
        <v>6</v>
      </c>
      <c r="G5656" s="308">
        <f>COMEDORES!O5</f>
        <v>2730</v>
      </c>
      <c r="H5656" s="308">
        <f>COMEDORES!P5</f>
        <v>219102</v>
      </c>
    </row>
    <row r="5657" spans="1:8" x14ac:dyDescent="0.3">
      <c r="A5657" t="s">
        <v>628</v>
      </c>
      <c r="B5657" t="s">
        <v>23</v>
      </c>
      <c r="C5657" t="s">
        <v>24</v>
      </c>
      <c r="D5657" t="s">
        <v>745</v>
      </c>
      <c r="E5657" t="s">
        <v>772</v>
      </c>
      <c r="F5657">
        <v>7</v>
      </c>
      <c r="G5657" s="308">
        <f>COMEDORES!Q5</f>
        <v>2730</v>
      </c>
      <c r="H5657" s="308">
        <f>COMEDORES!R5</f>
        <v>223167.10000000009</v>
      </c>
    </row>
    <row r="5658" spans="1:8" x14ac:dyDescent="0.3">
      <c r="A5658" t="s">
        <v>628</v>
      </c>
      <c r="B5658" t="s">
        <v>23</v>
      </c>
      <c r="C5658" t="s">
        <v>24</v>
      </c>
      <c r="D5658" t="s">
        <v>746</v>
      </c>
      <c r="E5658" t="s">
        <v>766</v>
      </c>
      <c r="F5658">
        <v>1</v>
      </c>
      <c r="G5658" s="308">
        <f>COMEDORES!E6</f>
        <v>3400</v>
      </c>
      <c r="H5658" s="308">
        <f>COMEDORES!F6</f>
        <v>0</v>
      </c>
    </row>
    <row r="5659" spans="1:8" x14ac:dyDescent="0.3">
      <c r="A5659" t="s">
        <v>628</v>
      </c>
      <c r="B5659" t="s">
        <v>23</v>
      </c>
      <c r="C5659" t="s">
        <v>24</v>
      </c>
      <c r="D5659" t="s">
        <v>746</v>
      </c>
      <c r="E5659" t="s">
        <v>767</v>
      </c>
      <c r="F5659">
        <v>2</v>
      </c>
      <c r="G5659" s="308">
        <f>COMEDORES!G6</f>
        <v>4000</v>
      </c>
      <c r="H5659" s="308">
        <f>COMEDORES!H6</f>
        <v>0</v>
      </c>
    </row>
    <row r="5660" spans="1:8" x14ac:dyDescent="0.3">
      <c r="A5660" t="s">
        <v>628</v>
      </c>
      <c r="B5660" t="s">
        <v>23</v>
      </c>
      <c r="C5660" t="s">
        <v>24</v>
      </c>
      <c r="D5660" t="s">
        <v>746</v>
      </c>
      <c r="E5660" t="s">
        <v>768</v>
      </c>
      <c r="F5660">
        <v>3</v>
      </c>
      <c r="G5660" s="308">
        <f>COMEDORES!I6</f>
        <v>4400</v>
      </c>
      <c r="H5660" s="308">
        <f>COMEDORES!J6</f>
        <v>0</v>
      </c>
    </row>
    <row r="5661" spans="1:8" x14ac:dyDescent="0.3">
      <c r="A5661" t="s">
        <v>628</v>
      </c>
      <c r="B5661" t="s">
        <v>23</v>
      </c>
      <c r="C5661" t="s">
        <v>24</v>
      </c>
      <c r="D5661" t="s">
        <v>746</v>
      </c>
      <c r="E5661" t="s">
        <v>769</v>
      </c>
      <c r="F5661">
        <v>4</v>
      </c>
      <c r="G5661" s="308">
        <f>COMEDORES!K6</f>
        <v>3800</v>
      </c>
      <c r="H5661" s="308">
        <f>COMEDORES!L6</f>
        <v>0</v>
      </c>
    </row>
    <row r="5662" spans="1:8" x14ac:dyDescent="0.3">
      <c r="A5662" t="s">
        <v>628</v>
      </c>
      <c r="B5662" t="s">
        <v>23</v>
      </c>
      <c r="C5662" t="s">
        <v>24</v>
      </c>
      <c r="D5662" t="s">
        <v>746</v>
      </c>
      <c r="E5662" t="s">
        <v>770</v>
      </c>
      <c r="F5662">
        <v>5</v>
      </c>
      <c r="G5662" s="308">
        <f>COMEDORES!M6</f>
        <v>4000</v>
      </c>
      <c r="H5662" s="308">
        <f>COMEDORES!N6</f>
        <v>0</v>
      </c>
    </row>
    <row r="5663" spans="1:8" x14ac:dyDescent="0.3">
      <c r="A5663" t="s">
        <v>628</v>
      </c>
      <c r="B5663" t="s">
        <v>23</v>
      </c>
      <c r="C5663" t="s">
        <v>24</v>
      </c>
      <c r="D5663" t="s">
        <v>746</v>
      </c>
      <c r="E5663" t="s">
        <v>771</v>
      </c>
      <c r="F5663">
        <v>6</v>
      </c>
      <c r="G5663" s="308">
        <f>COMEDORES!O6</f>
        <v>4000</v>
      </c>
      <c r="H5663" s="308">
        <f>COMEDORES!P6</f>
        <v>0</v>
      </c>
    </row>
    <row r="5664" spans="1:8" x14ac:dyDescent="0.3">
      <c r="A5664" t="s">
        <v>628</v>
      </c>
      <c r="B5664" t="s">
        <v>23</v>
      </c>
      <c r="C5664" t="s">
        <v>24</v>
      </c>
      <c r="D5664" t="s">
        <v>746</v>
      </c>
      <c r="E5664" t="s">
        <v>772</v>
      </c>
      <c r="F5664">
        <v>7</v>
      </c>
      <c r="G5664" s="308">
        <f>COMEDORES!Q6</f>
        <v>4200</v>
      </c>
      <c r="H5664" s="308">
        <f>COMEDORES!R6</f>
        <v>0</v>
      </c>
    </row>
    <row r="5665" spans="1:8" x14ac:dyDescent="0.3">
      <c r="A5665" t="s">
        <v>628</v>
      </c>
      <c r="B5665" t="s">
        <v>23</v>
      </c>
      <c r="C5665" t="s">
        <v>26</v>
      </c>
      <c r="D5665" t="s">
        <v>745</v>
      </c>
      <c r="E5665" t="s">
        <v>766</v>
      </c>
      <c r="F5665">
        <v>1</v>
      </c>
      <c r="G5665" s="308">
        <f>COMEDORES!E7</f>
        <v>2400</v>
      </c>
      <c r="H5665" s="308">
        <f>COMEDORES!F7</f>
        <v>0</v>
      </c>
    </row>
    <row r="5666" spans="1:8" x14ac:dyDescent="0.3">
      <c r="A5666" t="s">
        <v>628</v>
      </c>
      <c r="B5666" t="s">
        <v>23</v>
      </c>
      <c r="C5666" t="s">
        <v>26</v>
      </c>
      <c r="D5666" t="s">
        <v>745</v>
      </c>
      <c r="E5666" t="s">
        <v>767</v>
      </c>
      <c r="F5666">
        <v>2</v>
      </c>
      <c r="G5666" s="308">
        <f>COMEDORES!G7</f>
        <v>3000</v>
      </c>
      <c r="H5666" s="308">
        <f>COMEDORES!H7</f>
        <v>170512.5</v>
      </c>
    </row>
    <row r="5667" spans="1:8" x14ac:dyDescent="0.3">
      <c r="A5667" t="s">
        <v>628</v>
      </c>
      <c r="B5667" t="s">
        <v>23</v>
      </c>
      <c r="C5667" t="s">
        <v>26</v>
      </c>
      <c r="D5667" t="s">
        <v>745</v>
      </c>
      <c r="E5667" t="s">
        <v>768</v>
      </c>
      <c r="F5667">
        <v>3</v>
      </c>
      <c r="G5667" s="308">
        <f>COMEDORES!I7</f>
        <v>3300</v>
      </c>
      <c r="H5667" s="308">
        <f>COMEDORES!J7</f>
        <v>183600</v>
      </c>
    </row>
    <row r="5668" spans="1:8" x14ac:dyDescent="0.3">
      <c r="A5668" t="s">
        <v>628</v>
      </c>
      <c r="B5668" t="s">
        <v>23</v>
      </c>
      <c r="C5668" t="s">
        <v>26</v>
      </c>
      <c r="D5668" t="s">
        <v>745</v>
      </c>
      <c r="E5668" t="s">
        <v>769</v>
      </c>
      <c r="F5668">
        <v>4</v>
      </c>
      <c r="G5668" s="308">
        <f>COMEDORES!K7</f>
        <v>2850</v>
      </c>
      <c r="H5668" s="308">
        <f>COMEDORES!L7</f>
        <v>286367.25</v>
      </c>
    </row>
    <row r="5669" spans="1:8" x14ac:dyDescent="0.3">
      <c r="A5669" t="s">
        <v>628</v>
      </c>
      <c r="B5669" t="s">
        <v>23</v>
      </c>
      <c r="C5669" t="s">
        <v>26</v>
      </c>
      <c r="D5669" t="s">
        <v>745</v>
      </c>
      <c r="E5669" t="s">
        <v>770</v>
      </c>
      <c r="F5669">
        <v>5</v>
      </c>
      <c r="G5669" s="308">
        <f>COMEDORES!M7</f>
        <v>3000</v>
      </c>
      <c r="H5669" s="308">
        <f>COMEDORES!N7</f>
        <v>235359.75</v>
      </c>
    </row>
    <row r="5670" spans="1:8" x14ac:dyDescent="0.3">
      <c r="A5670" t="s">
        <v>628</v>
      </c>
      <c r="B5670" t="s">
        <v>23</v>
      </c>
      <c r="C5670" t="s">
        <v>26</v>
      </c>
      <c r="D5670" t="s">
        <v>745</v>
      </c>
      <c r="E5670" t="s">
        <v>771</v>
      </c>
      <c r="F5670">
        <v>6</v>
      </c>
      <c r="G5670" s="308">
        <f>COMEDORES!O7</f>
        <v>3150</v>
      </c>
      <c r="H5670" s="308">
        <f>COMEDORES!P7</f>
        <v>252280</v>
      </c>
    </row>
    <row r="5671" spans="1:8" x14ac:dyDescent="0.3">
      <c r="A5671" t="s">
        <v>628</v>
      </c>
      <c r="B5671" t="s">
        <v>23</v>
      </c>
      <c r="C5671" t="s">
        <v>26</v>
      </c>
      <c r="D5671" t="s">
        <v>745</v>
      </c>
      <c r="E5671" t="s">
        <v>772</v>
      </c>
      <c r="F5671">
        <v>7</v>
      </c>
      <c r="G5671" s="308">
        <f>COMEDORES!Q7</f>
        <v>3450</v>
      </c>
      <c r="H5671" s="308">
        <f>COMEDORES!R7</f>
        <v>260725.55000000005</v>
      </c>
    </row>
    <row r="5672" spans="1:8" x14ac:dyDescent="0.3">
      <c r="A5672" t="s">
        <v>628</v>
      </c>
      <c r="B5672" t="s">
        <v>23</v>
      </c>
      <c r="C5672" t="s">
        <v>26</v>
      </c>
      <c r="D5672" t="s">
        <v>746</v>
      </c>
      <c r="E5672" t="s">
        <v>766</v>
      </c>
      <c r="F5672">
        <v>1</v>
      </c>
      <c r="G5672" s="308">
        <f>COMEDORES!E8</f>
        <v>3825</v>
      </c>
      <c r="H5672" s="308">
        <f>COMEDORES!F8</f>
        <v>0</v>
      </c>
    </row>
    <row r="5673" spans="1:8" x14ac:dyDescent="0.3">
      <c r="A5673" t="s">
        <v>628</v>
      </c>
      <c r="B5673" t="s">
        <v>23</v>
      </c>
      <c r="C5673" t="s">
        <v>26</v>
      </c>
      <c r="D5673" t="s">
        <v>746</v>
      </c>
      <c r="E5673" t="s">
        <v>767</v>
      </c>
      <c r="F5673">
        <v>2</v>
      </c>
      <c r="G5673" s="308">
        <f>COMEDORES!G8</f>
        <v>4500</v>
      </c>
      <c r="H5673" s="308">
        <f>COMEDORES!H8</f>
        <v>0</v>
      </c>
    </row>
    <row r="5674" spans="1:8" x14ac:dyDescent="0.3">
      <c r="A5674" t="s">
        <v>628</v>
      </c>
      <c r="B5674" t="s">
        <v>23</v>
      </c>
      <c r="C5674" t="s">
        <v>26</v>
      </c>
      <c r="D5674" t="s">
        <v>746</v>
      </c>
      <c r="E5674" t="s">
        <v>768</v>
      </c>
      <c r="F5674">
        <v>3</v>
      </c>
      <c r="G5674" s="308">
        <f>COMEDORES!I8</f>
        <v>4950</v>
      </c>
      <c r="H5674" s="308">
        <f>COMEDORES!J8</f>
        <v>0</v>
      </c>
    </row>
    <row r="5675" spans="1:8" x14ac:dyDescent="0.3">
      <c r="A5675" t="s">
        <v>628</v>
      </c>
      <c r="B5675" t="s">
        <v>23</v>
      </c>
      <c r="C5675" t="s">
        <v>26</v>
      </c>
      <c r="D5675" t="s">
        <v>746</v>
      </c>
      <c r="E5675" t="s">
        <v>769</v>
      </c>
      <c r="F5675">
        <v>4</v>
      </c>
      <c r="G5675" s="308">
        <f>COMEDORES!K8</f>
        <v>4245</v>
      </c>
      <c r="H5675" s="308">
        <f>COMEDORES!L8</f>
        <v>0</v>
      </c>
    </row>
    <row r="5676" spans="1:8" x14ac:dyDescent="0.3">
      <c r="A5676" t="s">
        <v>628</v>
      </c>
      <c r="B5676" t="s">
        <v>23</v>
      </c>
      <c r="C5676" t="s">
        <v>26</v>
      </c>
      <c r="D5676" t="s">
        <v>746</v>
      </c>
      <c r="E5676" t="s">
        <v>770</v>
      </c>
      <c r="F5676">
        <v>5</v>
      </c>
      <c r="G5676" s="308">
        <f>COMEDORES!M8</f>
        <v>4500</v>
      </c>
      <c r="H5676" s="308">
        <f>COMEDORES!N8</f>
        <v>0</v>
      </c>
    </row>
    <row r="5677" spans="1:8" x14ac:dyDescent="0.3">
      <c r="A5677" t="s">
        <v>628</v>
      </c>
      <c r="B5677" t="s">
        <v>23</v>
      </c>
      <c r="C5677" t="s">
        <v>26</v>
      </c>
      <c r="D5677" t="s">
        <v>746</v>
      </c>
      <c r="E5677" t="s">
        <v>771</v>
      </c>
      <c r="F5677">
        <v>6</v>
      </c>
      <c r="G5677" s="308">
        <f>COMEDORES!O8</f>
        <v>4709</v>
      </c>
      <c r="H5677" s="308">
        <f>COMEDORES!P8</f>
        <v>0</v>
      </c>
    </row>
    <row r="5678" spans="1:8" x14ac:dyDescent="0.3">
      <c r="A5678" t="s">
        <v>628</v>
      </c>
      <c r="B5678" t="s">
        <v>23</v>
      </c>
      <c r="C5678" t="s">
        <v>26</v>
      </c>
      <c r="D5678" t="s">
        <v>746</v>
      </c>
      <c r="E5678" t="s">
        <v>772</v>
      </c>
      <c r="F5678">
        <v>7</v>
      </c>
      <c r="G5678" s="308">
        <f>COMEDORES!Q8</f>
        <v>5175</v>
      </c>
      <c r="H5678" s="308">
        <f>COMEDORES!R8</f>
        <v>0</v>
      </c>
    </row>
    <row r="5679" spans="1:8" x14ac:dyDescent="0.3">
      <c r="A5679" t="s">
        <v>628</v>
      </c>
      <c r="B5679" t="s">
        <v>23</v>
      </c>
      <c r="C5679" t="s">
        <v>27</v>
      </c>
      <c r="D5679" t="s">
        <v>745</v>
      </c>
      <c r="E5679" t="s">
        <v>766</v>
      </c>
      <c r="F5679">
        <v>1</v>
      </c>
      <c r="G5679" s="308">
        <f>COMEDORES!E9</f>
        <v>0</v>
      </c>
      <c r="H5679" s="308">
        <f>COMEDORES!F9</f>
        <v>0</v>
      </c>
    </row>
    <row r="5680" spans="1:8" x14ac:dyDescent="0.3">
      <c r="A5680" t="s">
        <v>628</v>
      </c>
      <c r="B5680" t="s">
        <v>23</v>
      </c>
      <c r="C5680" t="s">
        <v>27</v>
      </c>
      <c r="D5680" t="s">
        <v>745</v>
      </c>
      <c r="E5680" t="s">
        <v>767</v>
      </c>
      <c r="F5680">
        <v>2</v>
      </c>
      <c r="G5680" s="308">
        <f>COMEDORES!G9</f>
        <v>0</v>
      </c>
      <c r="H5680" s="308">
        <f>COMEDORES!H9</f>
        <v>0</v>
      </c>
    </row>
    <row r="5681" spans="1:8" x14ac:dyDescent="0.3">
      <c r="A5681" t="s">
        <v>628</v>
      </c>
      <c r="B5681" t="s">
        <v>23</v>
      </c>
      <c r="C5681" t="s">
        <v>27</v>
      </c>
      <c r="D5681" t="s">
        <v>745</v>
      </c>
      <c r="E5681" t="s">
        <v>768</v>
      </c>
      <c r="F5681">
        <v>3</v>
      </c>
      <c r="G5681" s="308">
        <f>COMEDORES!I9</f>
        <v>0</v>
      </c>
      <c r="H5681" s="308">
        <f>COMEDORES!J9</f>
        <v>0</v>
      </c>
    </row>
    <row r="5682" spans="1:8" x14ac:dyDescent="0.3">
      <c r="A5682" t="s">
        <v>628</v>
      </c>
      <c r="B5682" t="s">
        <v>23</v>
      </c>
      <c r="C5682" t="s">
        <v>27</v>
      </c>
      <c r="D5682" t="s">
        <v>745</v>
      </c>
      <c r="E5682" t="s">
        <v>769</v>
      </c>
      <c r="F5682">
        <v>4</v>
      </c>
      <c r="G5682" s="308">
        <f>COMEDORES!K9</f>
        <v>1780</v>
      </c>
      <c r="H5682" s="308">
        <f>COMEDORES!L9</f>
        <v>0</v>
      </c>
    </row>
    <row r="5683" spans="1:8" x14ac:dyDescent="0.3">
      <c r="A5683" t="s">
        <v>628</v>
      </c>
      <c r="B5683" t="s">
        <v>23</v>
      </c>
      <c r="C5683" t="s">
        <v>27</v>
      </c>
      <c r="D5683" t="s">
        <v>745</v>
      </c>
      <c r="E5683" t="s">
        <v>770</v>
      </c>
      <c r="F5683">
        <v>5</v>
      </c>
      <c r="G5683" s="308">
        <f>COMEDORES!M9</f>
        <v>2000</v>
      </c>
      <c r="H5683" s="308">
        <f>COMEDORES!N9</f>
        <v>153843.1</v>
      </c>
    </row>
    <row r="5684" spans="1:8" x14ac:dyDescent="0.3">
      <c r="A5684" t="s">
        <v>628</v>
      </c>
      <c r="B5684" t="s">
        <v>23</v>
      </c>
      <c r="C5684" t="s">
        <v>27</v>
      </c>
      <c r="D5684" t="s">
        <v>745</v>
      </c>
      <c r="E5684" t="s">
        <v>771</v>
      </c>
      <c r="F5684">
        <v>6</v>
      </c>
      <c r="G5684" s="308">
        <f>COMEDORES!O9</f>
        <v>2000</v>
      </c>
      <c r="H5684" s="308">
        <f>COMEDORES!P9</f>
        <v>165304.35</v>
      </c>
    </row>
    <row r="5685" spans="1:8" x14ac:dyDescent="0.3">
      <c r="A5685" t="s">
        <v>628</v>
      </c>
      <c r="B5685" t="s">
        <v>23</v>
      </c>
      <c r="C5685" t="s">
        <v>27</v>
      </c>
      <c r="D5685" t="s">
        <v>745</v>
      </c>
      <c r="E5685" t="s">
        <v>772</v>
      </c>
      <c r="F5685">
        <v>7</v>
      </c>
      <c r="G5685" s="308">
        <f>COMEDORES!Q9</f>
        <v>2300</v>
      </c>
      <c r="H5685" s="308">
        <f>COMEDORES!R9</f>
        <v>171057.5</v>
      </c>
    </row>
    <row r="5686" spans="1:8" x14ac:dyDescent="0.3">
      <c r="A5686" t="s">
        <v>628</v>
      </c>
      <c r="B5686" t="s">
        <v>23</v>
      </c>
      <c r="C5686" t="s">
        <v>27</v>
      </c>
      <c r="D5686" t="s">
        <v>746</v>
      </c>
      <c r="E5686" t="s">
        <v>766</v>
      </c>
      <c r="F5686">
        <v>1</v>
      </c>
      <c r="G5686" s="308">
        <f>COMEDORES!E10</f>
        <v>0</v>
      </c>
      <c r="H5686" s="308">
        <f>COMEDORES!F10</f>
        <v>0</v>
      </c>
    </row>
    <row r="5687" spans="1:8" x14ac:dyDescent="0.3">
      <c r="A5687" t="s">
        <v>628</v>
      </c>
      <c r="B5687" t="s">
        <v>23</v>
      </c>
      <c r="C5687" t="s">
        <v>27</v>
      </c>
      <c r="D5687" t="s">
        <v>746</v>
      </c>
      <c r="E5687" t="s">
        <v>767</v>
      </c>
      <c r="F5687">
        <v>2</v>
      </c>
      <c r="G5687" s="308">
        <f>COMEDORES!G10</f>
        <v>0</v>
      </c>
      <c r="H5687" s="308">
        <f>COMEDORES!H10</f>
        <v>0</v>
      </c>
    </row>
    <row r="5688" spans="1:8" x14ac:dyDescent="0.3">
      <c r="A5688" t="s">
        <v>628</v>
      </c>
      <c r="B5688" t="s">
        <v>23</v>
      </c>
      <c r="C5688" t="s">
        <v>27</v>
      </c>
      <c r="D5688" t="s">
        <v>746</v>
      </c>
      <c r="E5688" t="s">
        <v>768</v>
      </c>
      <c r="F5688">
        <v>3</v>
      </c>
      <c r="G5688" s="308">
        <f>COMEDORES!I10</f>
        <v>0</v>
      </c>
      <c r="H5688" s="308">
        <f>COMEDORES!J10</f>
        <v>0</v>
      </c>
    </row>
    <row r="5689" spans="1:8" x14ac:dyDescent="0.3">
      <c r="A5689" t="s">
        <v>628</v>
      </c>
      <c r="B5689" t="s">
        <v>23</v>
      </c>
      <c r="C5689" t="s">
        <v>27</v>
      </c>
      <c r="D5689" t="s">
        <v>746</v>
      </c>
      <c r="E5689" t="s">
        <v>769</v>
      </c>
      <c r="F5689">
        <v>4</v>
      </c>
      <c r="G5689" s="308">
        <f>COMEDORES!K10</f>
        <v>2850</v>
      </c>
      <c r="H5689" s="308">
        <f>COMEDORES!L10</f>
        <v>0</v>
      </c>
    </row>
    <row r="5690" spans="1:8" x14ac:dyDescent="0.3">
      <c r="A5690" t="s">
        <v>628</v>
      </c>
      <c r="B5690" t="s">
        <v>23</v>
      </c>
      <c r="C5690" t="s">
        <v>27</v>
      </c>
      <c r="D5690" t="s">
        <v>746</v>
      </c>
      <c r="E5690" t="s">
        <v>770</v>
      </c>
      <c r="F5690">
        <v>5</v>
      </c>
      <c r="G5690" s="308">
        <f>COMEDORES!M10</f>
        <v>3000</v>
      </c>
      <c r="H5690" s="308">
        <f>COMEDORES!N10</f>
        <v>0</v>
      </c>
    </row>
    <row r="5691" spans="1:8" x14ac:dyDescent="0.3">
      <c r="A5691" t="s">
        <v>628</v>
      </c>
      <c r="B5691" t="s">
        <v>23</v>
      </c>
      <c r="C5691" t="s">
        <v>27</v>
      </c>
      <c r="D5691" t="s">
        <v>746</v>
      </c>
      <c r="E5691" t="s">
        <v>771</v>
      </c>
      <c r="F5691">
        <v>6</v>
      </c>
      <c r="G5691" s="308">
        <f>COMEDORES!O10</f>
        <v>3150</v>
      </c>
      <c r="H5691" s="308">
        <f>COMEDORES!P10</f>
        <v>0</v>
      </c>
    </row>
    <row r="5692" spans="1:8" x14ac:dyDescent="0.3">
      <c r="A5692" t="s">
        <v>628</v>
      </c>
      <c r="B5692" t="s">
        <v>23</v>
      </c>
      <c r="C5692" t="s">
        <v>27</v>
      </c>
      <c r="D5692" t="s">
        <v>746</v>
      </c>
      <c r="E5692" t="s">
        <v>772</v>
      </c>
      <c r="F5692">
        <v>7</v>
      </c>
      <c r="G5692" s="308">
        <f>COMEDORES!Q10</f>
        <v>3450</v>
      </c>
      <c r="H5692" s="308">
        <f>COMEDORES!R10</f>
        <v>0</v>
      </c>
    </row>
    <row r="5693" spans="1:8" x14ac:dyDescent="0.3">
      <c r="A5693" t="s">
        <v>628</v>
      </c>
      <c r="B5693" t="s">
        <v>23</v>
      </c>
      <c r="C5693" t="s">
        <v>28</v>
      </c>
      <c r="D5693" t="s">
        <v>745</v>
      </c>
      <c r="E5693" t="s">
        <v>766</v>
      </c>
      <c r="F5693">
        <v>1</v>
      </c>
      <c r="G5693" s="308">
        <f>COMEDORES!E11</f>
        <v>2400</v>
      </c>
      <c r="H5693" s="308">
        <f>COMEDORES!F11</f>
        <v>0</v>
      </c>
    </row>
    <row r="5694" spans="1:8" x14ac:dyDescent="0.3">
      <c r="A5694" t="s">
        <v>628</v>
      </c>
      <c r="B5694" t="s">
        <v>23</v>
      </c>
      <c r="C5694" t="s">
        <v>28</v>
      </c>
      <c r="D5694" t="s">
        <v>745</v>
      </c>
      <c r="E5694" t="s">
        <v>767</v>
      </c>
      <c r="F5694">
        <v>2</v>
      </c>
      <c r="G5694" s="308">
        <f>COMEDORES!G11</f>
        <v>3000</v>
      </c>
      <c r="H5694" s="308">
        <f>COMEDORES!H11</f>
        <v>172012</v>
      </c>
    </row>
    <row r="5695" spans="1:8" x14ac:dyDescent="0.3">
      <c r="A5695" t="s">
        <v>628</v>
      </c>
      <c r="B5695" t="s">
        <v>23</v>
      </c>
      <c r="C5695" t="s">
        <v>28</v>
      </c>
      <c r="D5695" t="s">
        <v>745</v>
      </c>
      <c r="E5695" t="s">
        <v>768</v>
      </c>
      <c r="F5695">
        <v>3</v>
      </c>
      <c r="G5695" s="308">
        <f>COMEDORES!I11</f>
        <v>3300</v>
      </c>
      <c r="H5695" s="308">
        <f>COMEDORES!J11</f>
        <v>155460</v>
      </c>
    </row>
    <row r="5696" spans="1:8" x14ac:dyDescent="0.3">
      <c r="A5696" t="s">
        <v>628</v>
      </c>
      <c r="B5696" t="s">
        <v>23</v>
      </c>
      <c r="C5696" t="s">
        <v>28</v>
      </c>
      <c r="D5696" t="s">
        <v>745</v>
      </c>
      <c r="E5696" t="s">
        <v>769</v>
      </c>
      <c r="F5696">
        <v>4</v>
      </c>
      <c r="G5696" s="308">
        <f>COMEDORES!K11</f>
        <v>2850</v>
      </c>
      <c r="H5696" s="308">
        <f>COMEDORES!L11</f>
        <v>237546</v>
      </c>
    </row>
    <row r="5697" spans="1:8" x14ac:dyDescent="0.3">
      <c r="A5697" t="s">
        <v>628</v>
      </c>
      <c r="B5697" t="s">
        <v>23</v>
      </c>
      <c r="C5697" t="s">
        <v>28</v>
      </c>
      <c r="D5697" t="s">
        <v>745</v>
      </c>
      <c r="E5697" t="s">
        <v>770</v>
      </c>
      <c r="F5697">
        <v>5</v>
      </c>
      <c r="G5697" s="308">
        <f>COMEDORES!M11</f>
        <v>3000</v>
      </c>
      <c r="H5697" s="308">
        <f>COMEDORES!N11</f>
        <v>0</v>
      </c>
    </row>
    <row r="5698" spans="1:8" x14ac:dyDescent="0.3">
      <c r="A5698" t="s">
        <v>628</v>
      </c>
      <c r="B5698" t="s">
        <v>23</v>
      </c>
      <c r="C5698" t="s">
        <v>28</v>
      </c>
      <c r="D5698" t="s">
        <v>745</v>
      </c>
      <c r="E5698" t="s">
        <v>771</v>
      </c>
      <c r="F5698">
        <v>6</v>
      </c>
      <c r="G5698" s="308">
        <f>COMEDORES!O11</f>
        <v>3150</v>
      </c>
      <c r="H5698" s="308">
        <f>COMEDORES!P11</f>
        <v>345150</v>
      </c>
    </row>
    <row r="5699" spans="1:8" x14ac:dyDescent="0.3">
      <c r="A5699" t="s">
        <v>628</v>
      </c>
      <c r="B5699" t="s">
        <v>23</v>
      </c>
      <c r="C5699" t="s">
        <v>28</v>
      </c>
      <c r="D5699" t="s">
        <v>745</v>
      </c>
      <c r="E5699" t="s">
        <v>772</v>
      </c>
      <c r="F5699">
        <v>7</v>
      </c>
      <c r="G5699" s="308">
        <f>COMEDORES!Q11</f>
        <v>3450</v>
      </c>
      <c r="H5699" s="308">
        <f>COMEDORES!R11</f>
        <v>185850</v>
      </c>
    </row>
    <row r="5700" spans="1:8" x14ac:dyDescent="0.3">
      <c r="A5700" t="s">
        <v>628</v>
      </c>
      <c r="B5700" t="s">
        <v>23</v>
      </c>
      <c r="C5700" t="s">
        <v>28</v>
      </c>
      <c r="D5700" t="s">
        <v>746</v>
      </c>
      <c r="E5700" t="s">
        <v>766</v>
      </c>
      <c r="F5700">
        <v>1</v>
      </c>
      <c r="G5700" s="308">
        <f>COMEDORES!E12</f>
        <v>3400</v>
      </c>
      <c r="H5700" s="308">
        <f>COMEDORES!F12</f>
        <v>0</v>
      </c>
    </row>
    <row r="5701" spans="1:8" x14ac:dyDescent="0.3">
      <c r="A5701" t="s">
        <v>628</v>
      </c>
      <c r="B5701" t="s">
        <v>23</v>
      </c>
      <c r="C5701" t="s">
        <v>28</v>
      </c>
      <c r="D5701" t="s">
        <v>746</v>
      </c>
      <c r="E5701" t="s">
        <v>767</v>
      </c>
      <c r="F5701">
        <v>2</v>
      </c>
      <c r="G5701" s="308">
        <f>COMEDORES!G12</f>
        <v>4000</v>
      </c>
      <c r="H5701" s="308">
        <f>COMEDORES!H12</f>
        <v>0</v>
      </c>
    </row>
    <row r="5702" spans="1:8" x14ac:dyDescent="0.3">
      <c r="A5702" t="s">
        <v>628</v>
      </c>
      <c r="B5702" t="s">
        <v>23</v>
      </c>
      <c r="C5702" t="s">
        <v>28</v>
      </c>
      <c r="D5702" t="s">
        <v>746</v>
      </c>
      <c r="E5702" t="s">
        <v>768</v>
      </c>
      <c r="F5702">
        <v>3</v>
      </c>
      <c r="G5702" s="308">
        <f>COMEDORES!I12</f>
        <v>4400</v>
      </c>
      <c r="H5702" s="308">
        <f>COMEDORES!J12</f>
        <v>0</v>
      </c>
    </row>
    <row r="5703" spans="1:8" x14ac:dyDescent="0.3">
      <c r="A5703" t="s">
        <v>628</v>
      </c>
      <c r="B5703" t="s">
        <v>23</v>
      </c>
      <c r="C5703" t="s">
        <v>28</v>
      </c>
      <c r="D5703" t="s">
        <v>746</v>
      </c>
      <c r="E5703" t="s">
        <v>769</v>
      </c>
      <c r="F5703">
        <v>4</v>
      </c>
      <c r="G5703" s="308">
        <f>COMEDORES!K12</f>
        <v>3800</v>
      </c>
      <c r="H5703" s="308">
        <f>COMEDORES!L12</f>
        <v>0</v>
      </c>
    </row>
    <row r="5704" spans="1:8" x14ac:dyDescent="0.3">
      <c r="A5704" t="s">
        <v>628</v>
      </c>
      <c r="B5704" t="s">
        <v>23</v>
      </c>
      <c r="C5704" t="s">
        <v>28</v>
      </c>
      <c r="D5704" t="s">
        <v>746</v>
      </c>
      <c r="E5704" t="s">
        <v>770</v>
      </c>
      <c r="F5704">
        <v>5</v>
      </c>
      <c r="G5704" s="308">
        <f>COMEDORES!M12</f>
        <v>4000</v>
      </c>
      <c r="H5704" s="308">
        <f>COMEDORES!N12</f>
        <v>0</v>
      </c>
    </row>
    <row r="5705" spans="1:8" x14ac:dyDescent="0.3">
      <c r="A5705" t="s">
        <v>628</v>
      </c>
      <c r="B5705" t="s">
        <v>23</v>
      </c>
      <c r="C5705" t="s">
        <v>28</v>
      </c>
      <c r="D5705" t="s">
        <v>746</v>
      </c>
      <c r="E5705" t="s">
        <v>771</v>
      </c>
      <c r="F5705">
        <v>6</v>
      </c>
      <c r="G5705" s="308">
        <f>COMEDORES!O12</f>
        <v>4200</v>
      </c>
      <c r="H5705" s="308">
        <f>COMEDORES!P12</f>
        <v>0</v>
      </c>
    </row>
    <row r="5706" spans="1:8" x14ac:dyDescent="0.3">
      <c r="A5706" t="s">
        <v>628</v>
      </c>
      <c r="B5706" t="s">
        <v>23</v>
      </c>
      <c r="C5706" t="s">
        <v>28</v>
      </c>
      <c r="D5706" t="s">
        <v>746</v>
      </c>
      <c r="E5706" t="s">
        <v>772</v>
      </c>
      <c r="F5706">
        <v>7</v>
      </c>
      <c r="G5706" s="308">
        <f>COMEDORES!Q12</f>
        <v>4600</v>
      </c>
      <c r="H5706" s="308">
        <f>COMEDORES!R12</f>
        <v>0</v>
      </c>
    </row>
    <row r="5707" spans="1:8" x14ac:dyDescent="0.3">
      <c r="A5707" t="s">
        <v>628</v>
      </c>
      <c r="B5707" t="s">
        <v>23</v>
      </c>
      <c r="C5707" t="s">
        <v>29</v>
      </c>
      <c r="D5707" t="s">
        <v>745</v>
      </c>
      <c r="E5707" t="s">
        <v>766</v>
      </c>
      <c r="F5707">
        <v>1</v>
      </c>
      <c r="G5707" s="308">
        <f>COMEDORES!E13</f>
        <v>2400</v>
      </c>
      <c r="H5707" s="308">
        <f>COMEDORES!F13</f>
        <v>0</v>
      </c>
    </row>
    <row r="5708" spans="1:8" x14ac:dyDescent="0.3">
      <c r="A5708" t="s">
        <v>628</v>
      </c>
      <c r="B5708" t="s">
        <v>23</v>
      </c>
      <c r="C5708" t="s">
        <v>29</v>
      </c>
      <c r="D5708" t="s">
        <v>745</v>
      </c>
      <c r="E5708" t="s">
        <v>767</v>
      </c>
      <c r="F5708">
        <v>2</v>
      </c>
      <c r="G5708" s="308">
        <f>COMEDORES!G13</f>
        <v>3000</v>
      </c>
      <c r="H5708" s="308">
        <f>COMEDORES!H13</f>
        <v>171750</v>
      </c>
    </row>
    <row r="5709" spans="1:8" x14ac:dyDescent="0.3">
      <c r="A5709" t="s">
        <v>628</v>
      </c>
      <c r="B5709" t="s">
        <v>23</v>
      </c>
      <c r="C5709" t="s">
        <v>29</v>
      </c>
      <c r="D5709" t="s">
        <v>745</v>
      </c>
      <c r="E5709" t="s">
        <v>768</v>
      </c>
      <c r="F5709">
        <v>3</v>
      </c>
      <c r="G5709" s="308">
        <f>COMEDORES!I13</f>
        <v>3300</v>
      </c>
      <c r="H5709" s="308">
        <f>COMEDORES!J13</f>
        <v>156000</v>
      </c>
    </row>
    <row r="5710" spans="1:8" x14ac:dyDescent="0.3">
      <c r="A5710" t="s">
        <v>628</v>
      </c>
      <c r="B5710" t="s">
        <v>23</v>
      </c>
      <c r="C5710" t="s">
        <v>29</v>
      </c>
      <c r="D5710" t="s">
        <v>745</v>
      </c>
      <c r="E5710" t="s">
        <v>769</v>
      </c>
      <c r="F5710">
        <v>4</v>
      </c>
      <c r="G5710" s="308">
        <f>COMEDORES!K13</f>
        <v>2850</v>
      </c>
      <c r="H5710" s="308">
        <f>COMEDORES!L13</f>
        <v>286172</v>
      </c>
    </row>
    <row r="5711" spans="1:8" x14ac:dyDescent="0.3">
      <c r="A5711" t="s">
        <v>628</v>
      </c>
      <c r="B5711" t="s">
        <v>23</v>
      </c>
      <c r="C5711" t="s">
        <v>29</v>
      </c>
      <c r="D5711" t="s">
        <v>745</v>
      </c>
      <c r="E5711" t="s">
        <v>770</v>
      </c>
      <c r="F5711">
        <v>5</v>
      </c>
      <c r="G5711" s="308">
        <f>COMEDORES!M13</f>
        <v>3000</v>
      </c>
      <c r="H5711" s="308">
        <f>COMEDORES!N13</f>
        <v>200980</v>
      </c>
    </row>
    <row r="5712" spans="1:8" x14ac:dyDescent="0.3">
      <c r="A5712" t="s">
        <v>628</v>
      </c>
      <c r="B5712" t="s">
        <v>23</v>
      </c>
      <c r="C5712" t="s">
        <v>29</v>
      </c>
      <c r="D5712" t="s">
        <v>745</v>
      </c>
      <c r="E5712" t="s">
        <v>771</v>
      </c>
      <c r="F5712">
        <v>6</v>
      </c>
      <c r="G5712" s="308">
        <f>COMEDORES!O13</f>
        <v>3150</v>
      </c>
      <c r="H5712" s="308">
        <f>COMEDORES!P13</f>
        <v>211328</v>
      </c>
    </row>
    <row r="5713" spans="1:8" x14ac:dyDescent="0.3">
      <c r="A5713" t="s">
        <v>628</v>
      </c>
      <c r="B5713" t="s">
        <v>23</v>
      </c>
      <c r="C5713" t="s">
        <v>29</v>
      </c>
      <c r="D5713" t="s">
        <v>745</v>
      </c>
      <c r="E5713" t="s">
        <v>772</v>
      </c>
      <c r="F5713">
        <v>7</v>
      </c>
      <c r="G5713" s="308">
        <f>COMEDORES!Q13</f>
        <v>4300</v>
      </c>
      <c r="H5713" s="308">
        <f>COMEDORES!R13</f>
        <v>222600</v>
      </c>
    </row>
    <row r="5714" spans="1:8" x14ac:dyDescent="0.3">
      <c r="A5714" t="s">
        <v>628</v>
      </c>
      <c r="B5714" t="s">
        <v>23</v>
      </c>
      <c r="C5714" t="s">
        <v>29</v>
      </c>
      <c r="D5714" t="s">
        <v>746</v>
      </c>
      <c r="E5714" t="s">
        <v>766</v>
      </c>
      <c r="F5714">
        <v>1</v>
      </c>
      <c r="G5714" s="308">
        <f>COMEDORES!E14</f>
        <v>4200</v>
      </c>
      <c r="H5714" s="308">
        <f>COMEDORES!F14</f>
        <v>0</v>
      </c>
    </row>
    <row r="5715" spans="1:8" x14ac:dyDescent="0.3">
      <c r="A5715" t="s">
        <v>628</v>
      </c>
      <c r="B5715" t="s">
        <v>23</v>
      </c>
      <c r="C5715" t="s">
        <v>29</v>
      </c>
      <c r="D5715" t="s">
        <v>746</v>
      </c>
      <c r="E5715" t="s">
        <v>767</v>
      </c>
      <c r="F5715">
        <v>2</v>
      </c>
      <c r="G5715" s="308">
        <f>COMEDORES!G14</f>
        <v>5000</v>
      </c>
      <c r="H5715" s="308">
        <f>COMEDORES!H14</f>
        <v>0</v>
      </c>
    </row>
    <row r="5716" spans="1:8" x14ac:dyDescent="0.3">
      <c r="A5716" t="s">
        <v>628</v>
      </c>
      <c r="B5716" t="s">
        <v>23</v>
      </c>
      <c r="C5716" t="s">
        <v>29</v>
      </c>
      <c r="D5716" t="s">
        <v>746</v>
      </c>
      <c r="E5716" t="s">
        <v>768</v>
      </c>
      <c r="F5716">
        <v>3</v>
      </c>
      <c r="G5716" s="308">
        <f>COMEDORES!I14</f>
        <v>5500</v>
      </c>
      <c r="H5716" s="308">
        <f>COMEDORES!J14</f>
        <v>0</v>
      </c>
    </row>
    <row r="5717" spans="1:8" x14ac:dyDescent="0.3">
      <c r="A5717" t="s">
        <v>628</v>
      </c>
      <c r="B5717" t="s">
        <v>23</v>
      </c>
      <c r="C5717" t="s">
        <v>29</v>
      </c>
      <c r="D5717" t="s">
        <v>746</v>
      </c>
      <c r="E5717" t="s">
        <v>769</v>
      </c>
      <c r="F5717">
        <v>4</v>
      </c>
      <c r="G5717" s="308">
        <f>COMEDORES!K14</f>
        <v>4735</v>
      </c>
      <c r="H5717" s="308">
        <f>COMEDORES!L14</f>
        <v>0</v>
      </c>
    </row>
    <row r="5718" spans="1:8" x14ac:dyDescent="0.3">
      <c r="A5718" t="s">
        <v>628</v>
      </c>
      <c r="B5718" t="s">
        <v>23</v>
      </c>
      <c r="C5718" t="s">
        <v>29</v>
      </c>
      <c r="D5718" t="s">
        <v>746</v>
      </c>
      <c r="E5718" t="s">
        <v>770</v>
      </c>
      <c r="F5718">
        <v>5</v>
      </c>
      <c r="G5718" s="308">
        <f>COMEDORES!M14</f>
        <v>4976</v>
      </c>
      <c r="H5718" s="308">
        <f>COMEDORES!N14</f>
        <v>0</v>
      </c>
    </row>
    <row r="5719" spans="1:8" x14ac:dyDescent="0.3">
      <c r="A5719" t="s">
        <v>628</v>
      </c>
      <c r="B5719" t="s">
        <v>23</v>
      </c>
      <c r="C5719" t="s">
        <v>29</v>
      </c>
      <c r="D5719" t="s">
        <v>746</v>
      </c>
      <c r="E5719" t="s">
        <v>771</v>
      </c>
      <c r="F5719">
        <v>6</v>
      </c>
      <c r="G5719" s="308">
        <f>COMEDORES!O14</f>
        <v>5250</v>
      </c>
      <c r="H5719" s="308">
        <f>COMEDORES!P14</f>
        <v>0</v>
      </c>
    </row>
    <row r="5720" spans="1:8" x14ac:dyDescent="0.3">
      <c r="A5720" t="s">
        <v>628</v>
      </c>
      <c r="B5720" t="s">
        <v>23</v>
      </c>
      <c r="C5720" t="s">
        <v>29</v>
      </c>
      <c r="D5720" t="s">
        <v>746</v>
      </c>
      <c r="E5720" t="s">
        <v>772</v>
      </c>
      <c r="F5720">
        <v>7</v>
      </c>
      <c r="G5720" s="308">
        <f>COMEDORES!Q14</f>
        <v>6158</v>
      </c>
      <c r="H5720" s="308">
        <f>COMEDORES!R14</f>
        <v>0</v>
      </c>
    </row>
    <row r="5721" spans="1:8" x14ac:dyDescent="0.3">
      <c r="A5721" t="s">
        <v>628</v>
      </c>
      <c r="B5721" t="s">
        <v>23</v>
      </c>
      <c r="C5721" t="s">
        <v>31</v>
      </c>
      <c r="D5721" t="s">
        <v>745</v>
      </c>
      <c r="E5721" t="s">
        <v>766</v>
      </c>
      <c r="F5721">
        <v>1</v>
      </c>
      <c r="G5721" s="308">
        <f>COMEDORES!E15</f>
        <v>2400</v>
      </c>
      <c r="H5721" s="308">
        <f>COMEDORES!F15</f>
        <v>0</v>
      </c>
    </row>
    <row r="5722" spans="1:8" x14ac:dyDescent="0.3">
      <c r="A5722" t="s">
        <v>628</v>
      </c>
      <c r="B5722" t="s">
        <v>23</v>
      </c>
      <c r="C5722" t="s">
        <v>31</v>
      </c>
      <c r="D5722" t="s">
        <v>745</v>
      </c>
      <c r="E5722" t="s">
        <v>767</v>
      </c>
      <c r="F5722">
        <v>2</v>
      </c>
      <c r="G5722" s="308">
        <f>COMEDORES!G15</f>
        <v>3000</v>
      </c>
      <c r="H5722" s="308">
        <f>COMEDORES!H15</f>
        <v>172350</v>
      </c>
    </row>
    <row r="5723" spans="1:8" x14ac:dyDescent="0.3">
      <c r="A5723" t="s">
        <v>628</v>
      </c>
      <c r="B5723" t="s">
        <v>23</v>
      </c>
      <c r="C5723" t="s">
        <v>31</v>
      </c>
      <c r="D5723" t="s">
        <v>745</v>
      </c>
      <c r="E5723" t="s">
        <v>768</v>
      </c>
      <c r="F5723">
        <v>3</v>
      </c>
      <c r="G5723" s="308">
        <f>COMEDORES!I15</f>
        <v>3300</v>
      </c>
      <c r="H5723" s="308">
        <f>COMEDORES!J15</f>
        <v>153954</v>
      </c>
    </row>
    <row r="5724" spans="1:8" x14ac:dyDescent="0.3">
      <c r="A5724" t="s">
        <v>628</v>
      </c>
      <c r="B5724" t="s">
        <v>23</v>
      </c>
      <c r="C5724" t="s">
        <v>31</v>
      </c>
      <c r="D5724" t="s">
        <v>745</v>
      </c>
      <c r="E5724" t="s">
        <v>769</v>
      </c>
      <c r="F5724">
        <v>4</v>
      </c>
      <c r="G5724" s="308">
        <f>COMEDORES!K15</f>
        <v>2850</v>
      </c>
      <c r="H5724" s="308">
        <f>COMEDORES!L15</f>
        <v>268758</v>
      </c>
    </row>
    <row r="5725" spans="1:8" x14ac:dyDescent="0.3">
      <c r="A5725" t="s">
        <v>628</v>
      </c>
      <c r="B5725" t="s">
        <v>23</v>
      </c>
      <c r="C5725" t="s">
        <v>31</v>
      </c>
      <c r="D5725" t="s">
        <v>745</v>
      </c>
      <c r="E5725" t="s">
        <v>770</v>
      </c>
      <c r="F5725">
        <v>5</v>
      </c>
      <c r="G5725" s="308">
        <f>COMEDORES!M15</f>
        <v>3000</v>
      </c>
      <c r="H5725" s="308">
        <f>COMEDORES!N15</f>
        <v>0</v>
      </c>
    </row>
    <row r="5726" spans="1:8" x14ac:dyDescent="0.3">
      <c r="A5726" t="s">
        <v>628</v>
      </c>
      <c r="B5726" t="s">
        <v>23</v>
      </c>
      <c r="C5726" t="s">
        <v>31</v>
      </c>
      <c r="D5726" t="s">
        <v>745</v>
      </c>
      <c r="E5726" t="s">
        <v>771</v>
      </c>
      <c r="F5726">
        <v>6</v>
      </c>
      <c r="G5726" s="308">
        <f>COMEDORES!O15</f>
        <v>3150</v>
      </c>
      <c r="H5726" s="308">
        <f>COMEDORES!P15</f>
        <v>395019</v>
      </c>
    </row>
    <row r="5727" spans="1:8" x14ac:dyDescent="0.3">
      <c r="A5727" t="s">
        <v>628</v>
      </c>
      <c r="B5727" t="s">
        <v>23</v>
      </c>
      <c r="C5727" t="s">
        <v>31</v>
      </c>
      <c r="D5727" t="s">
        <v>745</v>
      </c>
      <c r="E5727" t="s">
        <v>772</v>
      </c>
      <c r="F5727">
        <v>7</v>
      </c>
      <c r="G5727" s="308">
        <f>COMEDORES!Q15</f>
        <v>3450</v>
      </c>
      <c r="H5727" s="308">
        <f>COMEDORES!R15</f>
        <v>213228</v>
      </c>
    </row>
    <row r="5728" spans="1:8" x14ac:dyDescent="0.3">
      <c r="A5728" t="s">
        <v>628</v>
      </c>
      <c r="B5728" t="s">
        <v>23</v>
      </c>
      <c r="C5728" t="s">
        <v>31</v>
      </c>
      <c r="D5728" t="s">
        <v>746</v>
      </c>
      <c r="E5728" t="s">
        <v>766</v>
      </c>
      <c r="F5728">
        <v>1</v>
      </c>
      <c r="G5728" s="308">
        <f>COMEDORES!E16</f>
        <v>4250</v>
      </c>
      <c r="H5728" s="308">
        <f>COMEDORES!F16</f>
        <v>0</v>
      </c>
    </row>
    <row r="5729" spans="1:8" x14ac:dyDescent="0.3">
      <c r="A5729" t="s">
        <v>628</v>
      </c>
      <c r="B5729" t="s">
        <v>23</v>
      </c>
      <c r="C5729" t="s">
        <v>31</v>
      </c>
      <c r="D5729" t="s">
        <v>746</v>
      </c>
      <c r="E5729" t="s">
        <v>767</v>
      </c>
      <c r="F5729">
        <v>2</v>
      </c>
      <c r="G5729" s="308">
        <f>COMEDORES!G16</f>
        <v>5000</v>
      </c>
      <c r="H5729" s="308">
        <f>COMEDORES!H16</f>
        <v>0</v>
      </c>
    </row>
    <row r="5730" spans="1:8" x14ac:dyDescent="0.3">
      <c r="A5730" t="s">
        <v>628</v>
      </c>
      <c r="B5730" t="s">
        <v>23</v>
      </c>
      <c r="C5730" t="s">
        <v>31</v>
      </c>
      <c r="D5730" t="s">
        <v>746</v>
      </c>
      <c r="E5730" t="s">
        <v>768</v>
      </c>
      <c r="F5730">
        <v>3</v>
      </c>
      <c r="G5730" s="308">
        <f>COMEDORES!I16</f>
        <v>5500</v>
      </c>
      <c r="H5730" s="308">
        <f>COMEDORES!J16</f>
        <v>0</v>
      </c>
    </row>
    <row r="5731" spans="1:8" x14ac:dyDescent="0.3">
      <c r="A5731" t="s">
        <v>628</v>
      </c>
      <c r="B5731" t="s">
        <v>23</v>
      </c>
      <c r="C5731" t="s">
        <v>31</v>
      </c>
      <c r="D5731" t="s">
        <v>746</v>
      </c>
      <c r="E5731" t="s">
        <v>769</v>
      </c>
      <c r="F5731">
        <v>4</v>
      </c>
      <c r="G5731" s="308">
        <f>COMEDORES!K16</f>
        <v>4692</v>
      </c>
      <c r="H5731" s="308">
        <f>COMEDORES!L16</f>
        <v>0</v>
      </c>
    </row>
    <row r="5732" spans="1:8" x14ac:dyDescent="0.3">
      <c r="A5732" t="s">
        <v>628</v>
      </c>
      <c r="B5732" t="s">
        <v>23</v>
      </c>
      <c r="C5732" t="s">
        <v>31</v>
      </c>
      <c r="D5732" t="s">
        <v>746</v>
      </c>
      <c r="E5732" t="s">
        <v>770</v>
      </c>
      <c r="F5732">
        <v>5</v>
      </c>
      <c r="G5732" s="308">
        <f>COMEDORES!M16</f>
        <v>4955</v>
      </c>
      <c r="H5732" s="308">
        <f>COMEDORES!N16</f>
        <v>0</v>
      </c>
    </row>
    <row r="5733" spans="1:8" x14ac:dyDescent="0.3">
      <c r="A5733" t="s">
        <v>628</v>
      </c>
      <c r="B5733" t="s">
        <v>23</v>
      </c>
      <c r="C5733" t="s">
        <v>31</v>
      </c>
      <c r="D5733" t="s">
        <v>746</v>
      </c>
      <c r="E5733" t="s">
        <v>771</v>
      </c>
      <c r="F5733">
        <v>6</v>
      </c>
      <c r="G5733" s="308">
        <f>COMEDORES!O16</f>
        <v>5214</v>
      </c>
      <c r="H5733" s="308">
        <f>COMEDORES!P16</f>
        <v>0</v>
      </c>
    </row>
    <row r="5734" spans="1:8" x14ac:dyDescent="0.3">
      <c r="A5734" t="s">
        <v>628</v>
      </c>
      <c r="B5734" t="s">
        <v>23</v>
      </c>
      <c r="C5734" t="s">
        <v>31</v>
      </c>
      <c r="D5734" t="s">
        <v>746</v>
      </c>
      <c r="E5734" t="s">
        <v>772</v>
      </c>
      <c r="F5734">
        <v>7</v>
      </c>
      <c r="G5734" s="308">
        <f>COMEDORES!Q16</f>
        <v>5750</v>
      </c>
      <c r="H5734" s="308">
        <f>COMEDORES!R16</f>
        <v>0</v>
      </c>
    </row>
    <row r="5735" spans="1:8" x14ac:dyDescent="0.3">
      <c r="A5735" t="s">
        <v>628</v>
      </c>
      <c r="B5735" t="s">
        <v>23</v>
      </c>
      <c r="C5735" t="s">
        <v>32</v>
      </c>
      <c r="D5735" t="s">
        <v>745</v>
      </c>
      <c r="E5735" t="s">
        <v>766</v>
      </c>
      <c r="F5735">
        <v>1</v>
      </c>
      <c r="G5735" s="308">
        <f>COMEDORES!E17</f>
        <v>0</v>
      </c>
      <c r="H5735" s="308">
        <f>COMEDORES!F17</f>
        <v>0</v>
      </c>
    </row>
    <row r="5736" spans="1:8" x14ac:dyDescent="0.3">
      <c r="A5736" t="s">
        <v>628</v>
      </c>
      <c r="B5736" t="s">
        <v>23</v>
      </c>
      <c r="C5736" t="s">
        <v>32</v>
      </c>
      <c r="D5736" t="s">
        <v>745</v>
      </c>
      <c r="E5736" t="s">
        <v>767</v>
      </c>
      <c r="F5736">
        <v>2</v>
      </c>
      <c r="G5736" s="308">
        <f>COMEDORES!G17</f>
        <v>0</v>
      </c>
      <c r="H5736" s="308">
        <f>COMEDORES!H17</f>
        <v>0</v>
      </c>
    </row>
    <row r="5737" spans="1:8" x14ac:dyDescent="0.3">
      <c r="A5737" t="s">
        <v>628</v>
      </c>
      <c r="B5737" t="s">
        <v>23</v>
      </c>
      <c r="C5737" t="s">
        <v>32</v>
      </c>
      <c r="D5737" t="s">
        <v>745</v>
      </c>
      <c r="E5737" t="s">
        <v>768</v>
      </c>
      <c r="F5737">
        <v>3</v>
      </c>
      <c r="G5737" s="308">
        <f>COMEDORES!I17</f>
        <v>0</v>
      </c>
      <c r="H5737" s="308">
        <f>COMEDORES!J17</f>
        <v>0</v>
      </c>
    </row>
    <row r="5738" spans="1:8" x14ac:dyDescent="0.3">
      <c r="A5738" t="s">
        <v>628</v>
      </c>
      <c r="B5738" t="s">
        <v>23</v>
      </c>
      <c r="C5738" t="s">
        <v>32</v>
      </c>
      <c r="D5738" t="s">
        <v>745</v>
      </c>
      <c r="E5738" t="s">
        <v>769</v>
      </c>
      <c r="F5738">
        <v>4</v>
      </c>
      <c r="G5738" s="308">
        <f>COMEDORES!K17</f>
        <v>0</v>
      </c>
      <c r="H5738" s="308">
        <f>COMEDORES!L17</f>
        <v>0</v>
      </c>
    </row>
    <row r="5739" spans="1:8" x14ac:dyDescent="0.3">
      <c r="A5739" t="s">
        <v>628</v>
      </c>
      <c r="B5739" t="s">
        <v>23</v>
      </c>
      <c r="C5739" t="s">
        <v>32</v>
      </c>
      <c r="D5739" t="s">
        <v>745</v>
      </c>
      <c r="E5739" t="s">
        <v>770</v>
      </c>
      <c r="F5739">
        <v>5</v>
      </c>
      <c r="G5739" s="308">
        <f>COMEDORES!M17</f>
        <v>200</v>
      </c>
      <c r="H5739" s="308">
        <f>COMEDORES!N17</f>
        <v>0</v>
      </c>
    </row>
    <row r="5740" spans="1:8" x14ac:dyDescent="0.3">
      <c r="A5740" t="s">
        <v>628</v>
      </c>
      <c r="B5740" t="s">
        <v>23</v>
      </c>
      <c r="C5740" t="s">
        <v>32</v>
      </c>
      <c r="D5740" t="s">
        <v>745</v>
      </c>
      <c r="E5740" t="s">
        <v>771</v>
      </c>
      <c r="F5740">
        <v>6</v>
      </c>
      <c r="G5740" s="308">
        <f>COMEDORES!O17</f>
        <v>2300</v>
      </c>
      <c r="H5740" s="308">
        <f>COMEDORES!P17</f>
        <v>0</v>
      </c>
    </row>
    <row r="5741" spans="1:8" x14ac:dyDescent="0.3">
      <c r="A5741" t="s">
        <v>628</v>
      </c>
      <c r="B5741" t="s">
        <v>23</v>
      </c>
      <c r="C5741" t="s">
        <v>32</v>
      </c>
      <c r="D5741" t="s">
        <v>745</v>
      </c>
      <c r="E5741" t="s">
        <v>772</v>
      </c>
      <c r="F5741">
        <v>7</v>
      </c>
      <c r="G5741" s="308">
        <f>COMEDORES!Q17</f>
        <v>2300</v>
      </c>
      <c r="H5741" s="308">
        <f>COMEDORES!R17</f>
        <v>195941</v>
      </c>
    </row>
    <row r="5742" spans="1:8" x14ac:dyDescent="0.3">
      <c r="A5742" t="s">
        <v>628</v>
      </c>
      <c r="B5742" t="s">
        <v>23</v>
      </c>
      <c r="C5742" t="s">
        <v>32</v>
      </c>
      <c r="D5742" t="s">
        <v>746</v>
      </c>
      <c r="E5742" t="s">
        <v>766</v>
      </c>
      <c r="F5742">
        <v>1</v>
      </c>
      <c r="G5742" s="308">
        <f>COMEDORES!E18</f>
        <v>0</v>
      </c>
      <c r="H5742" s="308">
        <f>COMEDORES!F18</f>
        <v>0</v>
      </c>
    </row>
    <row r="5743" spans="1:8" x14ac:dyDescent="0.3">
      <c r="A5743" t="s">
        <v>628</v>
      </c>
      <c r="B5743" t="s">
        <v>23</v>
      </c>
      <c r="C5743" t="s">
        <v>32</v>
      </c>
      <c r="D5743" t="s">
        <v>746</v>
      </c>
      <c r="E5743" t="s">
        <v>767</v>
      </c>
      <c r="F5743">
        <v>2</v>
      </c>
      <c r="G5743" s="308">
        <f>COMEDORES!G18</f>
        <v>0</v>
      </c>
      <c r="H5743" s="308">
        <f>COMEDORES!H18</f>
        <v>0</v>
      </c>
    </row>
    <row r="5744" spans="1:8" x14ac:dyDescent="0.3">
      <c r="A5744" t="s">
        <v>628</v>
      </c>
      <c r="B5744" t="s">
        <v>23</v>
      </c>
      <c r="C5744" t="s">
        <v>32</v>
      </c>
      <c r="D5744" t="s">
        <v>746</v>
      </c>
      <c r="E5744" t="s">
        <v>768</v>
      </c>
      <c r="F5744">
        <v>3</v>
      </c>
      <c r="G5744" s="308">
        <f>COMEDORES!I18</f>
        <v>0</v>
      </c>
      <c r="H5744" s="308">
        <f>COMEDORES!J18</f>
        <v>0</v>
      </c>
    </row>
    <row r="5745" spans="1:8" x14ac:dyDescent="0.3">
      <c r="A5745" t="s">
        <v>628</v>
      </c>
      <c r="B5745" t="s">
        <v>23</v>
      </c>
      <c r="C5745" t="s">
        <v>32</v>
      </c>
      <c r="D5745" t="s">
        <v>746</v>
      </c>
      <c r="E5745" t="s">
        <v>769</v>
      </c>
      <c r="F5745">
        <v>4</v>
      </c>
      <c r="G5745" s="308">
        <f>COMEDORES!K18</f>
        <v>0</v>
      </c>
      <c r="H5745" s="308">
        <f>COMEDORES!L18</f>
        <v>0</v>
      </c>
    </row>
    <row r="5746" spans="1:8" x14ac:dyDescent="0.3">
      <c r="A5746" t="s">
        <v>628</v>
      </c>
      <c r="B5746" t="s">
        <v>23</v>
      </c>
      <c r="C5746" t="s">
        <v>32</v>
      </c>
      <c r="D5746" t="s">
        <v>746</v>
      </c>
      <c r="E5746" t="s">
        <v>770</v>
      </c>
      <c r="F5746">
        <v>5</v>
      </c>
      <c r="G5746" s="308">
        <f>COMEDORES!M18</f>
        <v>450</v>
      </c>
      <c r="H5746" s="308">
        <f>COMEDORES!N18</f>
        <v>0</v>
      </c>
    </row>
    <row r="5747" spans="1:8" x14ac:dyDescent="0.3">
      <c r="A5747" t="s">
        <v>628</v>
      </c>
      <c r="B5747" t="s">
        <v>23</v>
      </c>
      <c r="C5747" t="s">
        <v>32</v>
      </c>
      <c r="D5747" t="s">
        <v>746</v>
      </c>
      <c r="E5747" t="s">
        <v>771</v>
      </c>
      <c r="F5747">
        <v>6</v>
      </c>
      <c r="G5747" s="308">
        <f>COMEDORES!O18</f>
        <v>3600</v>
      </c>
      <c r="H5747" s="308">
        <f>COMEDORES!P18</f>
        <v>0</v>
      </c>
    </row>
    <row r="5748" spans="1:8" x14ac:dyDescent="0.3">
      <c r="A5748" t="s">
        <v>628</v>
      </c>
      <c r="B5748" t="s">
        <v>23</v>
      </c>
      <c r="C5748" t="s">
        <v>32</v>
      </c>
      <c r="D5748" t="s">
        <v>746</v>
      </c>
      <c r="E5748" t="s">
        <v>772</v>
      </c>
      <c r="F5748">
        <v>7</v>
      </c>
      <c r="G5748" s="308">
        <f>COMEDORES!Q18</f>
        <v>3300</v>
      </c>
      <c r="H5748" s="308">
        <f>COMEDORES!R18</f>
        <v>0</v>
      </c>
    </row>
    <row r="5749" spans="1:8" x14ac:dyDescent="0.3">
      <c r="A5749" t="s">
        <v>628</v>
      </c>
      <c r="B5749" t="s">
        <v>23</v>
      </c>
      <c r="C5749" t="s">
        <v>375</v>
      </c>
      <c r="D5749" t="s">
        <v>745</v>
      </c>
      <c r="E5749" t="s">
        <v>766</v>
      </c>
      <c r="F5749">
        <v>1</v>
      </c>
      <c r="G5749" s="308">
        <f>COMEDORES!E19</f>
        <v>2400</v>
      </c>
      <c r="H5749" s="308">
        <f>COMEDORES!F19</f>
        <v>0</v>
      </c>
    </row>
    <row r="5750" spans="1:8" x14ac:dyDescent="0.3">
      <c r="A5750" t="s">
        <v>628</v>
      </c>
      <c r="B5750" t="s">
        <v>23</v>
      </c>
      <c r="C5750" t="s">
        <v>375</v>
      </c>
      <c r="D5750" t="s">
        <v>745</v>
      </c>
      <c r="E5750" t="s">
        <v>767</v>
      </c>
      <c r="F5750">
        <v>2</v>
      </c>
      <c r="G5750" s="308">
        <f>COMEDORES!G19</f>
        <v>3000</v>
      </c>
      <c r="H5750" s="308">
        <f>COMEDORES!H19</f>
        <v>172350</v>
      </c>
    </row>
    <row r="5751" spans="1:8" x14ac:dyDescent="0.3">
      <c r="A5751" t="s">
        <v>628</v>
      </c>
      <c r="B5751" t="s">
        <v>23</v>
      </c>
      <c r="C5751" t="s">
        <v>375</v>
      </c>
      <c r="D5751" t="s">
        <v>745</v>
      </c>
      <c r="E5751" t="s">
        <v>768</v>
      </c>
      <c r="F5751">
        <v>3</v>
      </c>
      <c r="G5751" s="308">
        <f>COMEDORES!I19</f>
        <v>3300</v>
      </c>
      <c r="H5751" s="308">
        <f>COMEDORES!J19</f>
        <v>186300</v>
      </c>
    </row>
    <row r="5752" spans="1:8" x14ac:dyDescent="0.3">
      <c r="A5752" t="s">
        <v>628</v>
      </c>
      <c r="B5752" t="s">
        <v>23</v>
      </c>
      <c r="C5752" t="s">
        <v>375</v>
      </c>
      <c r="D5752" t="s">
        <v>745</v>
      </c>
      <c r="E5752" t="s">
        <v>769</v>
      </c>
      <c r="F5752">
        <v>4</v>
      </c>
      <c r="G5752" s="308">
        <f>COMEDORES!K19</f>
        <v>2820</v>
      </c>
      <c r="H5752" s="308">
        <f>COMEDORES!L19</f>
        <v>313366</v>
      </c>
    </row>
    <row r="5753" spans="1:8" x14ac:dyDescent="0.3">
      <c r="A5753" t="s">
        <v>628</v>
      </c>
      <c r="B5753" t="s">
        <v>23</v>
      </c>
      <c r="C5753" t="s">
        <v>375</v>
      </c>
      <c r="D5753" t="s">
        <v>745</v>
      </c>
      <c r="E5753" t="s">
        <v>770</v>
      </c>
      <c r="F5753">
        <v>5</v>
      </c>
      <c r="G5753" s="308">
        <f>COMEDORES!M19</f>
        <v>3000</v>
      </c>
      <c r="H5753" s="308">
        <f>COMEDORES!N19</f>
        <v>251818.9</v>
      </c>
    </row>
    <row r="5754" spans="1:8" x14ac:dyDescent="0.3">
      <c r="A5754" t="s">
        <v>628</v>
      </c>
      <c r="B5754" t="s">
        <v>23</v>
      </c>
      <c r="C5754" t="s">
        <v>375</v>
      </c>
      <c r="D5754" t="s">
        <v>745</v>
      </c>
      <c r="E5754" t="s">
        <v>771</v>
      </c>
      <c r="F5754">
        <v>6</v>
      </c>
      <c r="G5754" s="308">
        <f>COMEDORES!O19</f>
        <v>3075</v>
      </c>
      <c r="H5754" s="308">
        <f>COMEDORES!P19</f>
        <v>266059.99999999988</v>
      </c>
    </row>
    <row r="5755" spans="1:8" x14ac:dyDescent="0.3">
      <c r="A5755" t="s">
        <v>628</v>
      </c>
      <c r="B5755" t="s">
        <v>23</v>
      </c>
      <c r="C5755" t="s">
        <v>375</v>
      </c>
      <c r="D5755" t="s">
        <v>745</v>
      </c>
      <c r="E5755" t="s">
        <v>772</v>
      </c>
      <c r="F5755">
        <v>7</v>
      </c>
      <c r="G5755" s="308">
        <f>COMEDORES!Q19</f>
        <v>3400</v>
      </c>
      <c r="H5755" s="308">
        <f>COMEDORES!R19</f>
        <v>273400.5</v>
      </c>
    </row>
    <row r="5756" spans="1:8" x14ac:dyDescent="0.3">
      <c r="A5756" t="s">
        <v>628</v>
      </c>
      <c r="B5756" t="s">
        <v>23</v>
      </c>
      <c r="C5756" t="s">
        <v>375</v>
      </c>
      <c r="D5756" t="s">
        <v>746</v>
      </c>
      <c r="E5756" t="s">
        <v>766</v>
      </c>
      <c r="F5756">
        <v>1</v>
      </c>
      <c r="G5756" s="308">
        <f>COMEDORES!E20</f>
        <v>4250</v>
      </c>
      <c r="H5756" s="308">
        <f>COMEDORES!F20</f>
        <v>0</v>
      </c>
    </row>
    <row r="5757" spans="1:8" x14ac:dyDescent="0.3">
      <c r="A5757" t="s">
        <v>628</v>
      </c>
      <c r="B5757" t="s">
        <v>23</v>
      </c>
      <c r="C5757" t="s">
        <v>375</v>
      </c>
      <c r="D5757" t="s">
        <v>746</v>
      </c>
      <c r="E5757" t="s">
        <v>767</v>
      </c>
      <c r="F5757">
        <v>2</v>
      </c>
      <c r="G5757" s="308">
        <f>COMEDORES!G20</f>
        <v>5000</v>
      </c>
      <c r="H5757" s="308">
        <f>COMEDORES!H20</f>
        <v>0</v>
      </c>
    </row>
    <row r="5758" spans="1:8" x14ac:dyDescent="0.3">
      <c r="A5758" t="s">
        <v>628</v>
      </c>
      <c r="B5758" t="s">
        <v>23</v>
      </c>
      <c r="C5758" t="s">
        <v>375</v>
      </c>
      <c r="D5758" t="s">
        <v>746</v>
      </c>
      <c r="E5758" t="s">
        <v>768</v>
      </c>
      <c r="F5758">
        <v>3</v>
      </c>
      <c r="G5758" s="308">
        <f>COMEDORES!I20</f>
        <v>5500</v>
      </c>
      <c r="H5758" s="308">
        <f>COMEDORES!J20</f>
        <v>0</v>
      </c>
    </row>
    <row r="5759" spans="1:8" x14ac:dyDescent="0.3">
      <c r="A5759" t="s">
        <v>628</v>
      </c>
      <c r="B5759" t="s">
        <v>23</v>
      </c>
      <c r="C5759" t="s">
        <v>375</v>
      </c>
      <c r="D5759" t="s">
        <v>746</v>
      </c>
      <c r="E5759" t="s">
        <v>769</v>
      </c>
      <c r="F5759">
        <v>4</v>
      </c>
      <c r="G5759" s="308">
        <f>COMEDORES!K20</f>
        <v>4750</v>
      </c>
      <c r="H5759" s="308">
        <f>COMEDORES!L20</f>
        <v>0</v>
      </c>
    </row>
    <row r="5760" spans="1:8" x14ac:dyDescent="0.3">
      <c r="A5760" t="s">
        <v>628</v>
      </c>
      <c r="B5760" t="s">
        <v>23</v>
      </c>
      <c r="C5760" t="s">
        <v>375</v>
      </c>
      <c r="D5760" t="s">
        <v>746</v>
      </c>
      <c r="E5760" t="s">
        <v>770</v>
      </c>
      <c r="F5760">
        <v>5</v>
      </c>
      <c r="G5760" s="308">
        <f>COMEDORES!M20</f>
        <v>5000</v>
      </c>
      <c r="H5760" s="308">
        <f>COMEDORES!N20</f>
        <v>0</v>
      </c>
    </row>
    <row r="5761" spans="1:8" x14ac:dyDescent="0.3">
      <c r="A5761" t="s">
        <v>628</v>
      </c>
      <c r="B5761" t="s">
        <v>23</v>
      </c>
      <c r="C5761" t="s">
        <v>375</v>
      </c>
      <c r="D5761" t="s">
        <v>746</v>
      </c>
      <c r="E5761" t="s">
        <v>771</v>
      </c>
      <c r="F5761">
        <v>6</v>
      </c>
      <c r="G5761" s="308">
        <f>COMEDORES!O20</f>
        <v>5145</v>
      </c>
      <c r="H5761" s="308">
        <f>COMEDORES!P20</f>
        <v>0</v>
      </c>
    </row>
    <row r="5762" spans="1:8" x14ac:dyDescent="0.3">
      <c r="A5762" t="s">
        <v>628</v>
      </c>
      <c r="B5762" t="s">
        <v>23</v>
      </c>
      <c r="C5762" t="s">
        <v>375</v>
      </c>
      <c r="D5762" t="s">
        <v>746</v>
      </c>
      <c r="E5762" t="s">
        <v>772</v>
      </c>
      <c r="F5762">
        <v>7</v>
      </c>
      <c r="G5762" s="308">
        <f>COMEDORES!Q20</f>
        <v>5575</v>
      </c>
      <c r="H5762" s="308">
        <f>COMEDORES!R20</f>
        <v>0</v>
      </c>
    </row>
    <row r="5763" spans="1:8" x14ac:dyDescent="0.3">
      <c r="A5763" t="s">
        <v>628</v>
      </c>
      <c r="B5763" t="s">
        <v>23</v>
      </c>
      <c r="C5763" t="s">
        <v>33</v>
      </c>
      <c r="D5763" t="s">
        <v>745</v>
      </c>
      <c r="E5763" t="s">
        <v>766</v>
      </c>
      <c r="F5763">
        <v>1</v>
      </c>
      <c r="G5763" s="308">
        <f>COMEDORES!E21</f>
        <v>2392</v>
      </c>
      <c r="H5763" s="308">
        <f>COMEDORES!F21</f>
        <v>0</v>
      </c>
    </row>
    <row r="5764" spans="1:8" x14ac:dyDescent="0.3">
      <c r="A5764" t="s">
        <v>628</v>
      </c>
      <c r="B5764" t="s">
        <v>23</v>
      </c>
      <c r="C5764" t="s">
        <v>33</v>
      </c>
      <c r="D5764" t="s">
        <v>745</v>
      </c>
      <c r="E5764" t="s">
        <v>767</v>
      </c>
      <c r="F5764">
        <v>2</v>
      </c>
      <c r="G5764" s="308">
        <f>COMEDORES!G21</f>
        <v>2000</v>
      </c>
      <c r="H5764" s="308">
        <f>COMEDORES!H21</f>
        <v>173900</v>
      </c>
    </row>
    <row r="5765" spans="1:8" x14ac:dyDescent="0.3">
      <c r="A5765" t="s">
        <v>628</v>
      </c>
      <c r="B5765" t="s">
        <v>23</v>
      </c>
      <c r="C5765" t="s">
        <v>33</v>
      </c>
      <c r="D5765" t="s">
        <v>745</v>
      </c>
      <c r="E5765" t="s">
        <v>768</v>
      </c>
      <c r="F5765">
        <v>3</v>
      </c>
      <c r="G5765" s="308">
        <f>COMEDORES!I21</f>
        <v>2200</v>
      </c>
      <c r="H5765" s="308">
        <f>COMEDORES!J21</f>
        <v>122774</v>
      </c>
    </row>
    <row r="5766" spans="1:8" x14ac:dyDescent="0.3">
      <c r="A5766" t="s">
        <v>628</v>
      </c>
      <c r="B5766" t="s">
        <v>23</v>
      </c>
      <c r="C5766" t="s">
        <v>33</v>
      </c>
      <c r="D5766" t="s">
        <v>745</v>
      </c>
      <c r="E5766" t="s">
        <v>769</v>
      </c>
      <c r="F5766">
        <v>4</v>
      </c>
      <c r="G5766" s="308">
        <f>COMEDORES!K21</f>
        <v>1863</v>
      </c>
      <c r="H5766" s="308">
        <f>COMEDORES!L21</f>
        <v>182479</v>
      </c>
    </row>
    <row r="5767" spans="1:8" x14ac:dyDescent="0.3">
      <c r="A5767" t="s">
        <v>628</v>
      </c>
      <c r="B5767" t="s">
        <v>23</v>
      </c>
      <c r="C5767" t="s">
        <v>33</v>
      </c>
      <c r="D5767" t="s">
        <v>745</v>
      </c>
      <c r="E5767" t="s">
        <v>770</v>
      </c>
      <c r="F5767">
        <v>5</v>
      </c>
      <c r="G5767" s="308">
        <f>COMEDORES!M21</f>
        <v>2000</v>
      </c>
      <c r="H5767" s="308">
        <f>COMEDORES!N21</f>
        <v>154509.31</v>
      </c>
    </row>
    <row r="5768" spans="1:8" x14ac:dyDescent="0.3">
      <c r="A5768" t="s">
        <v>628</v>
      </c>
      <c r="B5768" t="s">
        <v>23</v>
      </c>
      <c r="C5768" t="s">
        <v>33</v>
      </c>
      <c r="D5768" t="s">
        <v>745</v>
      </c>
      <c r="E5768" t="s">
        <v>771</v>
      </c>
      <c r="F5768">
        <v>6</v>
      </c>
      <c r="G5768" s="308">
        <f>COMEDORES!O21</f>
        <v>2100</v>
      </c>
      <c r="H5768" s="308">
        <f>COMEDORES!P21</f>
        <v>165890</v>
      </c>
    </row>
    <row r="5769" spans="1:8" x14ac:dyDescent="0.3">
      <c r="A5769" t="s">
        <v>628</v>
      </c>
      <c r="B5769" t="s">
        <v>23</v>
      </c>
      <c r="C5769" t="s">
        <v>33</v>
      </c>
      <c r="D5769" t="s">
        <v>745</v>
      </c>
      <c r="E5769" t="s">
        <v>772</v>
      </c>
      <c r="F5769">
        <v>7</v>
      </c>
      <c r="G5769" s="308">
        <f>COMEDORES!Q21</f>
        <v>2300</v>
      </c>
      <c r="H5769" s="308">
        <f>COMEDORES!R21</f>
        <v>174184.5</v>
      </c>
    </row>
    <row r="5770" spans="1:8" x14ac:dyDescent="0.3">
      <c r="A5770" t="s">
        <v>628</v>
      </c>
      <c r="B5770" t="s">
        <v>23</v>
      </c>
      <c r="C5770" t="s">
        <v>33</v>
      </c>
      <c r="D5770" t="s">
        <v>746</v>
      </c>
      <c r="E5770" t="s">
        <v>766</v>
      </c>
      <c r="F5770">
        <v>1</v>
      </c>
      <c r="G5770" s="308">
        <f>COMEDORES!E22</f>
        <v>3400</v>
      </c>
      <c r="H5770" s="308">
        <f>COMEDORES!F22</f>
        <v>0</v>
      </c>
    </row>
    <row r="5771" spans="1:8" x14ac:dyDescent="0.3">
      <c r="A5771" t="s">
        <v>628</v>
      </c>
      <c r="B5771" t="s">
        <v>23</v>
      </c>
      <c r="C5771" t="s">
        <v>33</v>
      </c>
      <c r="D5771" t="s">
        <v>746</v>
      </c>
      <c r="E5771" t="s">
        <v>767</v>
      </c>
      <c r="F5771">
        <v>2</v>
      </c>
      <c r="G5771" s="308">
        <f>COMEDORES!G22</f>
        <v>3132</v>
      </c>
      <c r="H5771" s="308">
        <f>COMEDORES!H22</f>
        <v>0</v>
      </c>
    </row>
    <row r="5772" spans="1:8" x14ac:dyDescent="0.3">
      <c r="A5772" t="s">
        <v>628</v>
      </c>
      <c r="B5772" t="s">
        <v>23</v>
      </c>
      <c r="C5772" t="s">
        <v>33</v>
      </c>
      <c r="D5772" t="s">
        <v>746</v>
      </c>
      <c r="E5772" t="s">
        <v>768</v>
      </c>
      <c r="F5772">
        <v>3</v>
      </c>
      <c r="G5772" s="308">
        <f>COMEDORES!I22</f>
        <v>3300</v>
      </c>
      <c r="H5772" s="308">
        <f>COMEDORES!J22</f>
        <v>0</v>
      </c>
    </row>
    <row r="5773" spans="1:8" x14ac:dyDescent="0.3">
      <c r="A5773" t="s">
        <v>628</v>
      </c>
      <c r="B5773" t="s">
        <v>23</v>
      </c>
      <c r="C5773" t="s">
        <v>33</v>
      </c>
      <c r="D5773" t="s">
        <v>746</v>
      </c>
      <c r="E5773" t="s">
        <v>769</v>
      </c>
      <c r="F5773">
        <v>4</v>
      </c>
      <c r="G5773" s="308">
        <f>COMEDORES!K22</f>
        <v>2794</v>
      </c>
      <c r="H5773" s="308">
        <f>COMEDORES!L22</f>
        <v>0</v>
      </c>
    </row>
    <row r="5774" spans="1:8" x14ac:dyDescent="0.3">
      <c r="A5774" t="s">
        <v>628</v>
      </c>
      <c r="B5774" t="s">
        <v>23</v>
      </c>
      <c r="C5774" t="s">
        <v>33</v>
      </c>
      <c r="D5774" t="s">
        <v>746</v>
      </c>
      <c r="E5774" t="s">
        <v>770</v>
      </c>
      <c r="F5774">
        <v>5</v>
      </c>
      <c r="G5774" s="308">
        <f>COMEDORES!M22</f>
        <v>3000</v>
      </c>
      <c r="H5774" s="308">
        <f>COMEDORES!N22</f>
        <v>0</v>
      </c>
    </row>
    <row r="5775" spans="1:8" x14ac:dyDescent="0.3">
      <c r="A5775" t="s">
        <v>628</v>
      </c>
      <c r="B5775" t="s">
        <v>23</v>
      </c>
      <c r="C5775" t="s">
        <v>33</v>
      </c>
      <c r="D5775" t="s">
        <v>746</v>
      </c>
      <c r="E5775" t="s">
        <v>771</v>
      </c>
      <c r="F5775">
        <v>6</v>
      </c>
      <c r="G5775" s="308">
        <f>COMEDORES!O22</f>
        <v>3150</v>
      </c>
      <c r="H5775" s="308">
        <f>COMEDORES!P22</f>
        <v>0</v>
      </c>
    </row>
    <row r="5776" spans="1:8" x14ac:dyDescent="0.3">
      <c r="A5776" t="s">
        <v>628</v>
      </c>
      <c r="B5776" t="s">
        <v>23</v>
      </c>
      <c r="C5776" t="s">
        <v>33</v>
      </c>
      <c r="D5776" t="s">
        <v>746</v>
      </c>
      <c r="E5776" t="s">
        <v>772</v>
      </c>
      <c r="F5776">
        <v>7</v>
      </c>
      <c r="G5776" s="308">
        <f>COMEDORES!Q22</f>
        <v>3450</v>
      </c>
      <c r="H5776" s="308">
        <f>COMEDORES!R22</f>
        <v>0</v>
      </c>
    </row>
    <row r="5777" spans="1:8" x14ac:dyDescent="0.3">
      <c r="A5777" t="s">
        <v>628</v>
      </c>
      <c r="B5777" t="s">
        <v>23</v>
      </c>
      <c r="C5777" t="s">
        <v>34</v>
      </c>
      <c r="D5777" t="s">
        <v>745</v>
      </c>
      <c r="E5777" t="s">
        <v>766</v>
      </c>
      <c r="F5777">
        <v>1</v>
      </c>
      <c r="G5777" s="308">
        <f>COMEDORES!E23</f>
        <v>1600</v>
      </c>
      <c r="H5777" s="308">
        <f>COMEDORES!F23</f>
        <v>0</v>
      </c>
    </row>
    <row r="5778" spans="1:8" x14ac:dyDescent="0.3">
      <c r="A5778" t="s">
        <v>628</v>
      </c>
      <c r="B5778" t="s">
        <v>23</v>
      </c>
      <c r="C5778" t="s">
        <v>34</v>
      </c>
      <c r="D5778" t="s">
        <v>745</v>
      </c>
      <c r="E5778" t="s">
        <v>767</v>
      </c>
      <c r="F5778">
        <v>2</v>
      </c>
      <c r="G5778" s="308">
        <f>COMEDORES!G23</f>
        <v>2000</v>
      </c>
      <c r="H5778" s="308">
        <f>COMEDORES!H23</f>
        <v>89475</v>
      </c>
    </row>
    <row r="5779" spans="1:8" x14ac:dyDescent="0.3">
      <c r="A5779" t="s">
        <v>628</v>
      </c>
      <c r="B5779" t="s">
        <v>23</v>
      </c>
      <c r="C5779" t="s">
        <v>34</v>
      </c>
      <c r="D5779" t="s">
        <v>745</v>
      </c>
      <c r="E5779" t="s">
        <v>768</v>
      </c>
      <c r="F5779">
        <v>3</v>
      </c>
      <c r="G5779" s="308">
        <f>COMEDORES!I23</f>
        <v>2200</v>
      </c>
      <c r="H5779" s="308">
        <f>COMEDORES!J23</f>
        <v>118125</v>
      </c>
    </row>
    <row r="5780" spans="1:8" x14ac:dyDescent="0.3">
      <c r="A5780" t="s">
        <v>628</v>
      </c>
      <c r="B5780" t="s">
        <v>23</v>
      </c>
      <c r="C5780" t="s">
        <v>34</v>
      </c>
      <c r="D5780" t="s">
        <v>745</v>
      </c>
      <c r="E5780" t="s">
        <v>769</v>
      </c>
      <c r="F5780">
        <v>4</v>
      </c>
      <c r="G5780" s="308">
        <f>COMEDORES!K23</f>
        <v>1900</v>
      </c>
      <c r="H5780" s="308">
        <f>COMEDORES!L23</f>
        <v>171450</v>
      </c>
    </row>
    <row r="5781" spans="1:8" x14ac:dyDescent="0.3">
      <c r="A5781" t="s">
        <v>628</v>
      </c>
      <c r="B5781" t="s">
        <v>23</v>
      </c>
      <c r="C5781" t="s">
        <v>34</v>
      </c>
      <c r="D5781" t="s">
        <v>745</v>
      </c>
      <c r="E5781" t="s">
        <v>770</v>
      </c>
      <c r="F5781">
        <v>5</v>
      </c>
      <c r="G5781" s="308">
        <f>COMEDORES!M23</f>
        <v>2000</v>
      </c>
      <c r="H5781" s="308">
        <f>COMEDORES!N23</f>
        <v>120650</v>
      </c>
    </row>
    <row r="5782" spans="1:8" x14ac:dyDescent="0.3">
      <c r="A5782" t="s">
        <v>628</v>
      </c>
      <c r="B5782" t="s">
        <v>23</v>
      </c>
      <c r="C5782" t="s">
        <v>34</v>
      </c>
      <c r="D5782" t="s">
        <v>745</v>
      </c>
      <c r="E5782" t="s">
        <v>771</v>
      </c>
      <c r="F5782">
        <v>6</v>
      </c>
      <c r="G5782" s="308">
        <f>COMEDORES!O23</f>
        <v>2089</v>
      </c>
      <c r="H5782" s="308">
        <f>COMEDORES!P23</f>
        <v>127000</v>
      </c>
    </row>
    <row r="5783" spans="1:8" x14ac:dyDescent="0.3">
      <c r="A5783" t="s">
        <v>628</v>
      </c>
      <c r="B5783" t="s">
        <v>23</v>
      </c>
      <c r="C5783" t="s">
        <v>34</v>
      </c>
      <c r="D5783" t="s">
        <v>745</v>
      </c>
      <c r="E5783" t="s">
        <v>772</v>
      </c>
      <c r="F5783">
        <v>7</v>
      </c>
      <c r="G5783" s="308">
        <f>COMEDORES!Q23</f>
        <v>2300</v>
      </c>
      <c r="H5783" s="308">
        <f>COMEDORES!R23</f>
        <v>133097</v>
      </c>
    </row>
    <row r="5784" spans="1:8" x14ac:dyDescent="0.3">
      <c r="A5784" t="s">
        <v>628</v>
      </c>
      <c r="B5784" t="s">
        <v>23</v>
      </c>
      <c r="C5784" t="s">
        <v>34</v>
      </c>
      <c r="D5784" t="s">
        <v>746</v>
      </c>
      <c r="E5784" t="s">
        <v>766</v>
      </c>
      <c r="F5784">
        <v>1</v>
      </c>
      <c r="G5784" s="308">
        <f>COMEDORES!E24</f>
        <v>2550</v>
      </c>
      <c r="H5784" s="308">
        <f>COMEDORES!F24</f>
        <v>0</v>
      </c>
    </row>
    <row r="5785" spans="1:8" x14ac:dyDescent="0.3">
      <c r="A5785" t="s">
        <v>628</v>
      </c>
      <c r="B5785" t="s">
        <v>23</v>
      </c>
      <c r="C5785" t="s">
        <v>34</v>
      </c>
      <c r="D5785" t="s">
        <v>746</v>
      </c>
      <c r="E5785" t="s">
        <v>767</v>
      </c>
      <c r="F5785">
        <v>2</v>
      </c>
      <c r="G5785" s="308">
        <f>COMEDORES!G24</f>
        <v>3000</v>
      </c>
      <c r="H5785" s="308">
        <f>COMEDORES!H24</f>
        <v>0</v>
      </c>
    </row>
    <row r="5786" spans="1:8" x14ac:dyDescent="0.3">
      <c r="A5786" t="s">
        <v>628</v>
      </c>
      <c r="B5786" t="s">
        <v>23</v>
      </c>
      <c r="C5786" t="s">
        <v>34</v>
      </c>
      <c r="D5786" t="s">
        <v>746</v>
      </c>
      <c r="E5786" t="s">
        <v>768</v>
      </c>
      <c r="F5786">
        <v>3</v>
      </c>
      <c r="G5786" s="308">
        <f>COMEDORES!I24</f>
        <v>3300</v>
      </c>
      <c r="H5786" s="308">
        <f>COMEDORES!J24</f>
        <v>0</v>
      </c>
    </row>
    <row r="5787" spans="1:8" x14ac:dyDescent="0.3">
      <c r="A5787" t="s">
        <v>628</v>
      </c>
      <c r="B5787" t="s">
        <v>23</v>
      </c>
      <c r="C5787" t="s">
        <v>34</v>
      </c>
      <c r="D5787" t="s">
        <v>746</v>
      </c>
      <c r="E5787" t="s">
        <v>769</v>
      </c>
      <c r="F5787">
        <v>4</v>
      </c>
      <c r="G5787" s="308">
        <f>COMEDORES!K24</f>
        <v>2850</v>
      </c>
      <c r="H5787" s="308">
        <f>COMEDORES!L24</f>
        <v>0</v>
      </c>
    </row>
    <row r="5788" spans="1:8" x14ac:dyDescent="0.3">
      <c r="A5788" t="s">
        <v>628</v>
      </c>
      <c r="B5788" t="s">
        <v>23</v>
      </c>
      <c r="C5788" t="s">
        <v>34</v>
      </c>
      <c r="D5788" t="s">
        <v>746</v>
      </c>
      <c r="E5788" t="s">
        <v>770</v>
      </c>
      <c r="F5788">
        <v>5</v>
      </c>
      <c r="G5788" s="308">
        <f>COMEDORES!M24</f>
        <v>3000</v>
      </c>
      <c r="H5788" s="308">
        <f>COMEDORES!N24</f>
        <v>0</v>
      </c>
    </row>
    <row r="5789" spans="1:8" x14ac:dyDescent="0.3">
      <c r="A5789" t="s">
        <v>628</v>
      </c>
      <c r="B5789" t="s">
        <v>23</v>
      </c>
      <c r="C5789" t="s">
        <v>34</v>
      </c>
      <c r="D5789" t="s">
        <v>746</v>
      </c>
      <c r="E5789" t="s">
        <v>771</v>
      </c>
      <c r="F5789">
        <v>6</v>
      </c>
      <c r="G5789" s="308">
        <f>COMEDORES!O24</f>
        <v>3150</v>
      </c>
      <c r="H5789" s="308">
        <f>COMEDORES!P24</f>
        <v>0</v>
      </c>
    </row>
    <row r="5790" spans="1:8" x14ac:dyDescent="0.3">
      <c r="A5790" t="s">
        <v>628</v>
      </c>
      <c r="B5790" t="s">
        <v>23</v>
      </c>
      <c r="C5790" t="s">
        <v>34</v>
      </c>
      <c r="D5790" t="s">
        <v>746</v>
      </c>
      <c r="E5790" t="s">
        <v>772</v>
      </c>
      <c r="F5790">
        <v>7</v>
      </c>
      <c r="G5790" s="308">
        <f>COMEDORES!Q24</f>
        <v>3450</v>
      </c>
      <c r="H5790" s="308">
        <f>COMEDORES!R24</f>
        <v>0</v>
      </c>
    </row>
    <row r="5791" spans="1:8" x14ac:dyDescent="0.3">
      <c r="A5791" t="s">
        <v>628</v>
      </c>
      <c r="B5791" t="s">
        <v>23</v>
      </c>
      <c r="C5791" t="s">
        <v>36</v>
      </c>
      <c r="D5791" t="s">
        <v>745</v>
      </c>
      <c r="E5791" t="s">
        <v>766</v>
      </c>
      <c r="F5791">
        <v>1</v>
      </c>
      <c r="G5791" s="308">
        <f>COMEDORES!E25</f>
        <v>2400</v>
      </c>
      <c r="H5791" s="308">
        <f>COMEDORES!F25</f>
        <v>0</v>
      </c>
    </row>
    <row r="5792" spans="1:8" x14ac:dyDescent="0.3">
      <c r="A5792" t="s">
        <v>628</v>
      </c>
      <c r="B5792" t="s">
        <v>23</v>
      </c>
      <c r="C5792" t="s">
        <v>36</v>
      </c>
      <c r="D5792" t="s">
        <v>745</v>
      </c>
      <c r="E5792" t="s">
        <v>767</v>
      </c>
      <c r="F5792">
        <v>2</v>
      </c>
      <c r="G5792" s="308">
        <f>COMEDORES!G25</f>
        <v>3000</v>
      </c>
      <c r="H5792" s="308">
        <f>COMEDORES!H25</f>
        <v>172950</v>
      </c>
    </row>
    <row r="5793" spans="1:8" x14ac:dyDescent="0.3">
      <c r="A5793" t="s">
        <v>628</v>
      </c>
      <c r="B5793" t="s">
        <v>23</v>
      </c>
      <c r="C5793" t="s">
        <v>36</v>
      </c>
      <c r="D5793" t="s">
        <v>745</v>
      </c>
      <c r="E5793" t="s">
        <v>768</v>
      </c>
      <c r="F5793">
        <v>3</v>
      </c>
      <c r="G5793" s="308">
        <f>COMEDORES!I25</f>
        <v>3300</v>
      </c>
      <c r="H5793" s="308">
        <f>COMEDORES!J25</f>
        <v>186975</v>
      </c>
    </row>
    <row r="5794" spans="1:8" x14ac:dyDescent="0.3">
      <c r="A5794" t="s">
        <v>628</v>
      </c>
      <c r="B5794" t="s">
        <v>23</v>
      </c>
      <c r="C5794" t="s">
        <v>36</v>
      </c>
      <c r="D5794" t="s">
        <v>745</v>
      </c>
      <c r="E5794" t="s">
        <v>769</v>
      </c>
      <c r="F5794">
        <v>4</v>
      </c>
      <c r="G5794" s="308">
        <f>COMEDORES!K25</f>
        <v>2810</v>
      </c>
      <c r="H5794" s="308">
        <f>COMEDORES!L25</f>
        <v>308750.5</v>
      </c>
    </row>
    <row r="5795" spans="1:8" x14ac:dyDescent="0.3">
      <c r="A5795" t="s">
        <v>628</v>
      </c>
      <c r="B5795" t="s">
        <v>23</v>
      </c>
      <c r="C5795" t="s">
        <v>36</v>
      </c>
      <c r="D5795" t="s">
        <v>745</v>
      </c>
      <c r="E5795" t="s">
        <v>770</v>
      </c>
      <c r="F5795">
        <v>5</v>
      </c>
      <c r="G5795" s="308">
        <f>COMEDORES!M25</f>
        <v>2902</v>
      </c>
      <c r="H5795" s="308">
        <f>COMEDORES!N25</f>
        <v>247062.15</v>
      </c>
    </row>
    <row r="5796" spans="1:8" x14ac:dyDescent="0.3">
      <c r="A5796" t="s">
        <v>628</v>
      </c>
      <c r="B5796" t="s">
        <v>23</v>
      </c>
      <c r="C5796" t="s">
        <v>36</v>
      </c>
      <c r="D5796" t="s">
        <v>745</v>
      </c>
      <c r="E5796" t="s">
        <v>771</v>
      </c>
      <c r="F5796">
        <v>6</v>
      </c>
      <c r="G5796" s="308">
        <f>COMEDORES!O25</f>
        <v>3042</v>
      </c>
      <c r="H5796" s="308">
        <f>COMEDORES!P25</f>
        <v>260687.39</v>
      </c>
    </row>
    <row r="5797" spans="1:8" x14ac:dyDescent="0.3">
      <c r="A5797" t="s">
        <v>628</v>
      </c>
      <c r="B5797" t="s">
        <v>23</v>
      </c>
      <c r="C5797" t="s">
        <v>36</v>
      </c>
      <c r="D5797" t="s">
        <v>745</v>
      </c>
      <c r="E5797" t="s">
        <v>772</v>
      </c>
      <c r="F5797">
        <v>7</v>
      </c>
      <c r="G5797" s="308">
        <f>COMEDORES!Q25</f>
        <v>3450</v>
      </c>
      <c r="H5797" s="308">
        <f>COMEDORES!R25</f>
        <v>257796.24</v>
      </c>
    </row>
    <row r="5798" spans="1:8" x14ac:dyDescent="0.3">
      <c r="A5798" t="s">
        <v>628</v>
      </c>
      <c r="B5798" t="s">
        <v>23</v>
      </c>
      <c r="C5798" t="s">
        <v>36</v>
      </c>
      <c r="D5798" t="s">
        <v>746</v>
      </c>
      <c r="E5798" t="s">
        <v>766</v>
      </c>
      <c r="F5798">
        <v>1</v>
      </c>
      <c r="G5798" s="308">
        <f>COMEDORES!E26</f>
        <v>4192</v>
      </c>
      <c r="H5798" s="308">
        <f>COMEDORES!F26</f>
        <v>0</v>
      </c>
    </row>
    <row r="5799" spans="1:8" x14ac:dyDescent="0.3">
      <c r="A5799" t="s">
        <v>628</v>
      </c>
      <c r="B5799" t="s">
        <v>23</v>
      </c>
      <c r="C5799" t="s">
        <v>36</v>
      </c>
      <c r="D5799" t="s">
        <v>746</v>
      </c>
      <c r="E5799" t="s">
        <v>767</v>
      </c>
      <c r="F5799">
        <v>2</v>
      </c>
      <c r="G5799" s="308">
        <f>COMEDORES!G26</f>
        <v>5000</v>
      </c>
      <c r="H5799" s="308">
        <f>COMEDORES!H26</f>
        <v>0</v>
      </c>
    </row>
    <row r="5800" spans="1:8" x14ac:dyDescent="0.3">
      <c r="A5800" t="s">
        <v>628</v>
      </c>
      <c r="B5800" t="s">
        <v>23</v>
      </c>
      <c r="C5800" t="s">
        <v>36</v>
      </c>
      <c r="D5800" t="s">
        <v>746</v>
      </c>
      <c r="E5800" t="s">
        <v>768</v>
      </c>
      <c r="F5800">
        <v>3</v>
      </c>
      <c r="G5800" s="308">
        <f>COMEDORES!I26</f>
        <v>5500</v>
      </c>
      <c r="H5800" s="308">
        <f>COMEDORES!J26</f>
        <v>0</v>
      </c>
    </row>
    <row r="5801" spans="1:8" x14ac:dyDescent="0.3">
      <c r="A5801" t="s">
        <v>628</v>
      </c>
      <c r="B5801" t="s">
        <v>23</v>
      </c>
      <c r="C5801" t="s">
        <v>36</v>
      </c>
      <c r="D5801" t="s">
        <v>746</v>
      </c>
      <c r="E5801" t="s">
        <v>769</v>
      </c>
      <c r="F5801">
        <v>4</v>
      </c>
      <c r="G5801" s="308">
        <f>COMEDORES!K26</f>
        <v>4621</v>
      </c>
      <c r="H5801" s="308">
        <f>COMEDORES!L26</f>
        <v>0</v>
      </c>
    </row>
    <row r="5802" spans="1:8" x14ac:dyDescent="0.3">
      <c r="A5802" t="s">
        <v>628</v>
      </c>
      <c r="B5802" t="s">
        <v>23</v>
      </c>
      <c r="C5802" t="s">
        <v>36</v>
      </c>
      <c r="D5802" t="s">
        <v>746</v>
      </c>
      <c r="E5802" t="s">
        <v>770</v>
      </c>
      <c r="F5802">
        <v>5</v>
      </c>
      <c r="G5802" s="308">
        <f>COMEDORES!M26</f>
        <v>5000</v>
      </c>
      <c r="H5802" s="308">
        <f>COMEDORES!N26</f>
        <v>0</v>
      </c>
    </row>
    <row r="5803" spans="1:8" x14ac:dyDescent="0.3">
      <c r="A5803" t="s">
        <v>628</v>
      </c>
      <c r="B5803" t="s">
        <v>23</v>
      </c>
      <c r="C5803" t="s">
        <v>36</v>
      </c>
      <c r="D5803" t="s">
        <v>746</v>
      </c>
      <c r="E5803" t="s">
        <v>771</v>
      </c>
      <c r="F5803">
        <v>6</v>
      </c>
      <c r="G5803" s="308">
        <f>COMEDORES!O26</f>
        <v>4722</v>
      </c>
      <c r="H5803" s="308">
        <f>COMEDORES!P26</f>
        <v>0</v>
      </c>
    </row>
    <row r="5804" spans="1:8" x14ac:dyDescent="0.3">
      <c r="A5804" t="s">
        <v>628</v>
      </c>
      <c r="B5804" t="s">
        <v>23</v>
      </c>
      <c r="C5804" t="s">
        <v>36</v>
      </c>
      <c r="D5804" t="s">
        <v>746</v>
      </c>
      <c r="E5804" t="s">
        <v>772</v>
      </c>
      <c r="F5804">
        <v>7</v>
      </c>
      <c r="G5804" s="308">
        <f>COMEDORES!Q26</f>
        <v>5750</v>
      </c>
      <c r="H5804" s="308">
        <f>COMEDORES!R26</f>
        <v>0</v>
      </c>
    </row>
    <row r="5805" spans="1:8" x14ac:dyDescent="0.3">
      <c r="A5805" t="s">
        <v>628</v>
      </c>
      <c r="B5805" t="s">
        <v>23</v>
      </c>
      <c r="C5805" t="s">
        <v>376</v>
      </c>
      <c r="D5805" t="s">
        <v>745</v>
      </c>
      <c r="E5805" t="s">
        <v>766</v>
      </c>
      <c r="F5805">
        <v>1</v>
      </c>
      <c r="G5805" s="308">
        <f>COMEDORES!E27</f>
        <v>2400</v>
      </c>
      <c r="H5805" s="308">
        <f>COMEDORES!F27</f>
        <v>0</v>
      </c>
    </row>
    <row r="5806" spans="1:8" x14ac:dyDescent="0.3">
      <c r="A5806" t="s">
        <v>628</v>
      </c>
      <c r="B5806" t="s">
        <v>23</v>
      </c>
      <c r="C5806" t="s">
        <v>376</v>
      </c>
      <c r="D5806" t="s">
        <v>745</v>
      </c>
      <c r="E5806" t="s">
        <v>767</v>
      </c>
      <c r="F5806">
        <v>2</v>
      </c>
      <c r="G5806" s="308">
        <f>COMEDORES!G27</f>
        <v>3000</v>
      </c>
      <c r="H5806" s="308">
        <f>COMEDORES!H27</f>
        <v>172950</v>
      </c>
    </row>
    <row r="5807" spans="1:8" x14ac:dyDescent="0.3">
      <c r="A5807" t="s">
        <v>628</v>
      </c>
      <c r="B5807" t="s">
        <v>23</v>
      </c>
      <c r="C5807" t="s">
        <v>376</v>
      </c>
      <c r="D5807" t="s">
        <v>745</v>
      </c>
      <c r="E5807" t="s">
        <v>768</v>
      </c>
      <c r="F5807">
        <v>3</v>
      </c>
      <c r="G5807" s="308">
        <f>COMEDORES!I27</f>
        <v>3300</v>
      </c>
      <c r="H5807" s="308">
        <f>COMEDORES!J27</f>
        <v>120900</v>
      </c>
    </row>
    <row r="5808" spans="1:8" x14ac:dyDescent="0.3">
      <c r="A5808" t="s">
        <v>628</v>
      </c>
      <c r="B5808" t="s">
        <v>23</v>
      </c>
      <c r="C5808" t="s">
        <v>376</v>
      </c>
      <c r="D5808" t="s">
        <v>745</v>
      </c>
      <c r="E5808" t="s">
        <v>769</v>
      </c>
      <c r="F5808">
        <v>4</v>
      </c>
      <c r="G5808" s="308">
        <f>COMEDORES!K27</f>
        <v>2850</v>
      </c>
      <c r="H5808" s="308">
        <f>COMEDORES!L27</f>
        <v>232200</v>
      </c>
    </row>
    <row r="5809" spans="1:8" x14ac:dyDescent="0.3">
      <c r="A5809" t="s">
        <v>628</v>
      </c>
      <c r="B5809" t="s">
        <v>23</v>
      </c>
      <c r="C5809" t="s">
        <v>376</v>
      </c>
      <c r="D5809" t="s">
        <v>745</v>
      </c>
      <c r="E5809" t="s">
        <v>770</v>
      </c>
      <c r="F5809">
        <v>5</v>
      </c>
      <c r="G5809" s="308">
        <f>COMEDORES!M27</f>
        <v>3000</v>
      </c>
      <c r="H5809" s="308">
        <f>COMEDORES!N27</f>
        <v>0</v>
      </c>
    </row>
    <row r="5810" spans="1:8" x14ac:dyDescent="0.3">
      <c r="A5810" t="s">
        <v>628</v>
      </c>
      <c r="B5810" t="s">
        <v>23</v>
      </c>
      <c r="C5810" t="s">
        <v>376</v>
      </c>
      <c r="D5810" t="s">
        <v>745</v>
      </c>
      <c r="E5810" t="s">
        <v>771</v>
      </c>
      <c r="F5810">
        <v>6</v>
      </c>
      <c r="G5810" s="308">
        <f>COMEDORES!O27</f>
        <v>3150</v>
      </c>
      <c r="H5810" s="308">
        <f>COMEDORES!P27</f>
        <v>344340</v>
      </c>
    </row>
    <row r="5811" spans="1:8" x14ac:dyDescent="0.3">
      <c r="A5811" t="s">
        <v>628</v>
      </c>
      <c r="B5811" t="s">
        <v>23</v>
      </c>
      <c r="C5811" t="s">
        <v>376</v>
      </c>
      <c r="D5811" t="s">
        <v>745</v>
      </c>
      <c r="E5811" t="s">
        <v>772</v>
      </c>
      <c r="F5811">
        <v>7</v>
      </c>
      <c r="G5811" s="308">
        <f>COMEDORES!Q27</f>
        <v>3425</v>
      </c>
      <c r="H5811" s="308">
        <f>COMEDORES!R27</f>
        <v>185850</v>
      </c>
    </row>
    <row r="5812" spans="1:8" x14ac:dyDescent="0.3">
      <c r="A5812" t="s">
        <v>628</v>
      </c>
      <c r="B5812" t="s">
        <v>23</v>
      </c>
      <c r="C5812" t="s">
        <v>376</v>
      </c>
      <c r="D5812" t="s">
        <v>746</v>
      </c>
      <c r="E5812" t="s">
        <v>766</v>
      </c>
      <c r="F5812">
        <v>1</v>
      </c>
      <c r="G5812" s="308">
        <f>COMEDORES!E28</f>
        <v>3400</v>
      </c>
      <c r="H5812" s="308">
        <f>COMEDORES!F28</f>
        <v>0</v>
      </c>
    </row>
    <row r="5813" spans="1:8" x14ac:dyDescent="0.3">
      <c r="A5813" t="s">
        <v>628</v>
      </c>
      <c r="B5813" t="s">
        <v>23</v>
      </c>
      <c r="C5813" t="s">
        <v>376</v>
      </c>
      <c r="D5813" t="s">
        <v>746</v>
      </c>
      <c r="E5813" t="s">
        <v>767</v>
      </c>
      <c r="F5813">
        <v>2</v>
      </c>
      <c r="G5813" s="308">
        <f>COMEDORES!G28</f>
        <v>3900</v>
      </c>
      <c r="H5813" s="308">
        <f>COMEDORES!H28</f>
        <v>0</v>
      </c>
    </row>
    <row r="5814" spans="1:8" x14ac:dyDescent="0.3">
      <c r="A5814" t="s">
        <v>628</v>
      </c>
      <c r="B5814" t="s">
        <v>23</v>
      </c>
      <c r="C5814" t="s">
        <v>376</v>
      </c>
      <c r="D5814" t="s">
        <v>746</v>
      </c>
      <c r="E5814" t="s">
        <v>768</v>
      </c>
      <c r="F5814">
        <v>3</v>
      </c>
      <c r="G5814" s="308">
        <f>COMEDORES!I28</f>
        <v>4400</v>
      </c>
      <c r="H5814" s="308">
        <f>COMEDORES!J28</f>
        <v>0</v>
      </c>
    </row>
    <row r="5815" spans="1:8" x14ac:dyDescent="0.3">
      <c r="A5815" t="s">
        <v>628</v>
      </c>
      <c r="B5815" t="s">
        <v>23</v>
      </c>
      <c r="C5815" t="s">
        <v>376</v>
      </c>
      <c r="D5815" t="s">
        <v>746</v>
      </c>
      <c r="E5815" t="s">
        <v>769</v>
      </c>
      <c r="F5815">
        <v>4</v>
      </c>
      <c r="G5815" s="308">
        <f>COMEDORES!K28</f>
        <v>3800</v>
      </c>
      <c r="H5815" s="308">
        <f>COMEDORES!L28</f>
        <v>0</v>
      </c>
    </row>
    <row r="5816" spans="1:8" x14ac:dyDescent="0.3">
      <c r="A5816" t="s">
        <v>628</v>
      </c>
      <c r="B5816" t="s">
        <v>23</v>
      </c>
      <c r="C5816" t="s">
        <v>376</v>
      </c>
      <c r="D5816" t="s">
        <v>746</v>
      </c>
      <c r="E5816" t="s">
        <v>770</v>
      </c>
      <c r="F5816">
        <v>5</v>
      </c>
      <c r="G5816" s="308">
        <f>COMEDORES!M28</f>
        <v>3970</v>
      </c>
      <c r="H5816" s="308">
        <f>COMEDORES!N28</f>
        <v>0</v>
      </c>
    </row>
    <row r="5817" spans="1:8" x14ac:dyDescent="0.3">
      <c r="A5817" t="s">
        <v>628</v>
      </c>
      <c r="B5817" t="s">
        <v>23</v>
      </c>
      <c r="C5817" t="s">
        <v>376</v>
      </c>
      <c r="D5817" t="s">
        <v>746</v>
      </c>
      <c r="E5817" t="s">
        <v>771</v>
      </c>
      <c r="F5817">
        <v>6</v>
      </c>
      <c r="G5817" s="308">
        <f>COMEDORES!O28</f>
        <v>4200</v>
      </c>
      <c r="H5817" s="308">
        <f>COMEDORES!P28</f>
        <v>0</v>
      </c>
    </row>
    <row r="5818" spans="1:8" x14ac:dyDescent="0.3">
      <c r="A5818" t="s">
        <v>628</v>
      </c>
      <c r="B5818" t="s">
        <v>23</v>
      </c>
      <c r="C5818" t="s">
        <v>376</v>
      </c>
      <c r="D5818" t="s">
        <v>746</v>
      </c>
      <c r="E5818" t="s">
        <v>772</v>
      </c>
      <c r="F5818">
        <v>7</v>
      </c>
      <c r="G5818" s="308">
        <f>COMEDORES!Q28</f>
        <v>4600</v>
      </c>
      <c r="H5818" s="308">
        <f>COMEDORES!R28</f>
        <v>0</v>
      </c>
    </row>
    <row r="5819" spans="1:8" x14ac:dyDescent="0.3">
      <c r="A5819" t="s">
        <v>628</v>
      </c>
      <c r="B5819" t="s">
        <v>23</v>
      </c>
      <c r="C5819" t="s">
        <v>377</v>
      </c>
      <c r="D5819" t="s">
        <v>745</v>
      </c>
      <c r="E5819" t="s">
        <v>766</v>
      </c>
      <c r="F5819">
        <v>1</v>
      </c>
      <c r="G5819" s="308">
        <f>COMEDORES!E29</f>
        <v>1064</v>
      </c>
      <c r="H5819" s="308">
        <f>COMEDORES!F29</f>
        <v>0</v>
      </c>
    </row>
    <row r="5820" spans="1:8" x14ac:dyDescent="0.3">
      <c r="A5820" t="s">
        <v>628</v>
      </c>
      <c r="B5820" t="s">
        <v>23</v>
      </c>
      <c r="C5820" t="s">
        <v>377</v>
      </c>
      <c r="D5820" t="s">
        <v>745</v>
      </c>
      <c r="E5820" t="s">
        <v>767</v>
      </c>
      <c r="F5820">
        <v>2</v>
      </c>
      <c r="G5820" s="308">
        <f>COMEDORES!G29</f>
        <v>2000</v>
      </c>
      <c r="H5820" s="308">
        <f>COMEDORES!H29</f>
        <v>88950</v>
      </c>
    </row>
    <row r="5821" spans="1:8" x14ac:dyDescent="0.3">
      <c r="A5821" t="s">
        <v>628</v>
      </c>
      <c r="B5821" t="s">
        <v>23</v>
      </c>
      <c r="C5821" t="s">
        <v>377</v>
      </c>
      <c r="D5821" t="s">
        <v>745</v>
      </c>
      <c r="E5821" t="s">
        <v>768</v>
      </c>
      <c r="F5821">
        <v>3</v>
      </c>
      <c r="G5821" s="308">
        <f>COMEDORES!I29</f>
        <v>2200</v>
      </c>
      <c r="H5821" s="308">
        <f>COMEDORES!J29</f>
        <v>150075</v>
      </c>
    </row>
    <row r="5822" spans="1:8" x14ac:dyDescent="0.3">
      <c r="A5822" t="s">
        <v>628</v>
      </c>
      <c r="B5822" t="s">
        <v>23</v>
      </c>
      <c r="C5822" t="s">
        <v>377</v>
      </c>
      <c r="D5822" t="s">
        <v>745</v>
      </c>
      <c r="E5822" t="s">
        <v>769</v>
      </c>
      <c r="F5822">
        <v>4</v>
      </c>
      <c r="G5822" s="308">
        <f>COMEDORES!K29</f>
        <v>1850</v>
      </c>
      <c r="H5822" s="308">
        <f>COMEDORES!L29</f>
        <v>182479</v>
      </c>
    </row>
    <row r="5823" spans="1:8" x14ac:dyDescent="0.3">
      <c r="A5823" t="s">
        <v>628</v>
      </c>
      <c r="B5823" t="s">
        <v>23</v>
      </c>
      <c r="C5823" t="s">
        <v>377</v>
      </c>
      <c r="D5823" t="s">
        <v>745</v>
      </c>
      <c r="E5823" t="s">
        <v>770</v>
      </c>
      <c r="F5823">
        <v>5</v>
      </c>
      <c r="G5823" s="308">
        <f>COMEDORES!M29</f>
        <v>2000</v>
      </c>
      <c r="H5823" s="308">
        <f>COMEDORES!N29</f>
        <v>156032</v>
      </c>
    </row>
    <row r="5824" spans="1:8" x14ac:dyDescent="0.3">
      <c r="A5824" t="s">
        <v>628</v>
      </c>
      <c r="B5824" t="s">
        <v>23</v>
      </c>
      <c r="C5824" t="s">
        <v>377</v>
      </c>
      <c r="D5824" t="s">
        <v>745</v>
      </c>
      <c r="E5824" t="s">
        <v>771</v>
      </c>
      <c r="F5824">
        <v>6</v>
      </c>
      <c r="G5824" s="308">
        <f>COMEDORES!O29</f>
        <v>2100</v>
      </c>
      <c r="H5824" s="308">
        <f>COMEDORES!P29</f>
        <v>158862.19999999995</v>
      </c>
    </row>
    <row r="5825" spans="1:8" x14ac:dyDescent="0.3">
      <c r="A5825" t="s">
        <v>628</v>
      </c>
      <c r="B5825" t="s">
        <v>23</v>
      </c>
      <c r="C5825" t="s">
        <v>377</v>
      </c>
      <c r="D5825" t="s">
        <v>745</v>
      </c>
      <c r="E5825" t="s">
        <v>772</v>
      </c>
      <c r="F5825">
        <v>7</v>
      </c>
      <c r="G5825" s="308">
        <f>COMEDORES!Q29</f>
        <v>1725</v>
      </c>
      <c r="H5825" s="308">
        <f>COMEDORES!R29</f>
        <v>174184.5</v>
      </c>
    </row>
    <row r="5826" spans="1:8" x14ac:dyDescent="0.3">
      <c r="A5826" t="s">
        <v>628</v>
      </c>
      <c r="B5826" t="s">
        <v>23</v>
      </c>
      <c r="C5826" t="s">
        <v>377</v>
      </c>
      <c r="D5826" t="s">
        <v>746</v>
      </c>
      <c r="E5826" t="s">
        <v>766</v>
      </c>
      <c r="F5826">
        <v>1</v>
      </c>
      <c r="G5826" s="308">
        <f>COMEDORES!E30</f>
        <v>2017</v>
      </c>
      <c r="H5826" s="308">
        <f>COMEDORES!F30</f>
        <v>0</v>
      </c>
    </row>
    <row r="5827" spans="1:8" x14ac:dyDescent="0.3">
      <c r="A5827" t="s">
        <v>628</v>
      </c>
      <c r="B5827" t="s">
        <v>23</v>
      </c>
      <c r="C5827" t="s">
        <v>377</v>
      </c>
      <c r="D5827" t="s">
        <v>746</v>
      </c>
      <c r="E5827" t="s">
        <v>767</v>
      </c>
      <c r="F5827">
        <v>2</v>
      </c>
      <c r="G5827" s="308">
        <f>COMEDORES!G30</f>
        <v>3000</v>
      </c>
      <c r="H5827" s="308">
        <f>COMEDORES!H30</f>
        <v>0</v>
      </c>
    </row>
    <row r="5828" spans="1:8" x14ac:dyDescent="0.3">
      <c r="A5828" t="s">
        <v>628</v>
      </c>
      <c r="B5828" t="s">
        <v>23</v>
      </c>
      <c r="C5828" t="s">
        <v>377</v>
      </c>
      <c r="D5828" t="s">
        <v>746</v>
      </c>
      <c r="E5828" t="s">
        <v>768</v>
      </c>
      <c r="F5828">
        <v>3</v>
      </c>
      <c r="G5828" s="308">
        <f>COMEDORES!I30</f>
        <v>3300</v>
      </c>
      <c r="H5828" s="308">
        <f>COMEDORES!J30</f>
        <v>0</v>
      </c>
    </row>
    <row r="5829" spans="1:8" x14ac:dyDescent="0.3">
      <c r="A5829" t="s">
        <v>628</v>
      </c>
      <c r="B5829" t="s">
        <v>23</v>
      </c>
      <c r="C5829" t="s">
        <v>377</v>
      </c>
      <c r="D5829" t="s">
        <v>746</v>
      </c>
      <c r="E5829" t="s">
        <v>769</v>
      </c>
      <c r="F5829">
        <v>4</v>
      </c>
      <c r="G5829" s="308">
        <f>COMEDORES!K30</f>
        <v>2850</v>
      </c>
      <c r="H5829" s="308">
        <f>COMEDORES!L30</f>
        <v>0</v>
      </c>
    </row>
    <row r="5830" spans="1:8" x14ac:dyDescent="0.3">
      <c r="A5830" t="s">
        <v>628</v>
      </c>
      <c r="B5830" t="s">
        <v>23</v>
      </c>
      <c r="C5830" t="s">
        <v>377</v>
      </c>
      <c r="D5830" t="s">
        <v>746</v>
      </c>
      <c r="E5830" t="s">
        <v>770</v>
      </c>
      <c r="F5830">
        <v>5</v>
      </c>
      <c r="G5830" s="308">
        <f>COMEDORES!M30</f>
        <v>2796</v>
      </c>
      <c r="H5830" s="308">
        <f>COMEDORES!N30</f>
        <v>0</v>
      </c>
    </row>
    <row r="5831" spans="1:8" x14ac:dyDescent="0.3">
      <c r="A5831" t="s">
        <v>628</v>
      </c>
      <c r="B5831" t="s">
        <v>23</v>
      </c>
      <c r="C5831" t="s">
        <v>377</v>
      </c>
      <c r="D5831" t="s">
        <v>746</v>
      </c>
      <c r="E5831" t="s">
        <v>771</v>
      </c>
      <c r="F5831">
        <v>6</v>
      </c>
      <c r="G5831" s="308">
        <f>COMEDORES!O30</f>
        <v>3150</v>
      </c>
      <c r="H5831" s="308">
        <f>COMEDORES!P30</f>
        <v>0</v>
      </c>
    </row>
    <row r="5832" spans="1:8" x14ac:dyDescent="0.3">
      <c r="A5832" t="s">
        <v>628</v>
      </c>
      <c r="B5832" t="s">
        <v>23</v>
      </c>
      <c r="C5832" t="s">
        <v>377</v>
      </c>
      <c r="D5832" t="s">
        <v>746</v>
      </c>
      <c r="E5832" t="s">
        <v>772</v>
      </c>
      <c r="F5832">
        <v>7</v>
      </c>
      <c r="G5832" s="308">
        <f>COMEDORES!Q30</f>
        <v>2875</v>
      </c>
      <c r="H5832" s="308">
        <f>COMEDORES!R30</f>
        <v>0</v>
      </c>
    </row>
    <row r="5833" spans="1:8" x14ac:dyDescent="0.3">
      <c r="A5833" t="s">
        <v>628</v>
      </c>
      <c r="B5833" t="s">
        <v>23</v>
      </c>
      <c r="C5833" t="s">
        <v>638</v>
      </c>
      <c r="D5833" t="s">
        <v>745</v>
      </c>
      <c r="E5833" t="s">
        <v>766</v>
      </c>
      <c r="F5833">
        <v>1</v>
      </c>
      <c r="G5833" s="308">
        <f>COMEDORES!E31</f>
        <v>0</v>
      </c>
      <c r="H5833" s="308">
        <f>COMEDORES!F31</f>
        <v>0</v>
      </c>
    </row>
    <row r="5834" spans="1:8" x14ac:dyDescent="0.3">
      <c r="A5834" t="s">
        <v>628</v>
      </c>
      <c r="B5834" t="s">
        <v>23</v>
      </c>
      <c r="C5834" t="s">
        <v>638</v>
      </c>
      <c r="D5834" t="s">
        <v>745</v>
      </c>
      <c r="E5834" t="s">
        <v>767</v>
      </c>
      <c r="F5834">
        <v>2</v>
      </c>
      <c r="G5834" s="308">
        <f>COMEDORES!G31</f>
        <v>0</v>
      </c>
      <c r="H5834" s="308">
        <f>COMEDORES!H31</f>
        <v>0</v>
      </c>
    </row>
    <row r="5835" spans="1:8" x14ac:dyDescent="0.3">
      <c r="A5835" t="s">
        <v>628</v>
      </c>
      <c r="B5835" t="s">
        <v>23</v>
      </c>
      <c r="C5835" t="s">
        <v>638</v>
      </c>
      <c r="D5835" t="s">
        <v>745</v>
      </c>
      <c r="E5835" t="s">
        <v>768</v>
      </c>
      <c r="F5835">
        <v>3</v>
      </c>
      <c r="G5835" s="308">
        <f>COMEDORES!I31</f>
        <v>0</v>
      </c>
      <c r="H5835" s="308">
        <f>COMEDORES!J31</f>
        <v>0</v>
      </c>
    </row>
    <row r="5836" spans="1:8" x14ac:dyDescent="0.3">
      <c r="A5836" t="s">
        <v>628</v>
      </c>
      <c r="B5836" t="s">
        <v>23</v>
      </c>
      <c r="C5836" t="s">
        <v>638</v>
      </c>
      <c r="D5836" t="s">
        <v>745</v>
      </c>
      <c r="E5836" t="s">
        <v>769</v>
      </c>
      <c r="F5836">
        <v>4</v>
      </c>
      <c r="G5836" s="308">
        <f>COMEDORES!K31</f>
        <v>0</v>
      </c>
      <c r="H5836" s="308">
        <f>COMEDORES!L31</f>
        <v>0</v>
      </c>
    </row>
    <row r="5837" spans="1:8" x14ac:dyDescent="0.3">
      <c r="A5837" t="s">
        <v>628</v>
      </c>
      <c r="B5837" t="s">
        <v>23</v>
      </c>
      <c r="C5837" t="s">
        <v>638</v>
      </c>
      <c r="D5837" t="s">
        <v>745</v>
      </c>
      <c r="E5837" t="s">
        <v>770</v>
      </c>
      <c r="F5837">
        <v>5</v>
      </c>
      <c r="G5837" s="308">
        <f>COMEDORES!M31</f>
        <v>0</v>
      </c>
      <c r="H5837" s="308">
        <f>COMEDORES!N31</f>
        <v>0</v>
      </c>
    </row>
    <row r="5838" spans="1:8" x14ac:dyDescent="0.3">
      <c r="A5838" t="s">
        <v>628</v>
      </c>
      <c r="B5838" t="s">
        <v>23</v>
      </c>
      <c r="C5838" t="s">
        <v>638</v>
      </c>
      <c r="D5838" t="s">
        <v>745</v>
      </c>
      <c r="E5838" t="s">
        <v>771</v>
      </c>
      <c r="F5838">
        <v>6</v>
      </c>
      <c r="G5838" s="308">
        <f>COMEDORES!O31</f>
        <v>0</v>
      </c>
      <c r="H5838" s="308">
        <f>COMEDORES!P31</f>
        <v>0</v>
      </c>
    </row>
    <row r="5839" spans="1:8" x14ac:dyDescent="0.3">
      <c r="A5839" t="s">
        <v>628</v>
      </c>
      <c r="B5839" t="s">
        <v>23</v>
      </c>
      <c r="C5839" t="s">
        <v>638</v>
      </c>
      <c r="D5839" t="s">
        <v>745</v>
      </c>
      <c r="E5839" t="s">
        <v>772</v>
      </c>
      <c r="F5839">
        <v>7</v>
      </c>
      <c r="G5839" s="308">
        <f>COMEDORES!Q31</f>
        <v>3000</v>
      </c>
      <c r="H5839" s="308">
        <f>COMEDORES!R31</f>
        <v>0</v>
      </c>
    </row>
    <row r="5840" spans="1:8" x14ac:dyDescent="0.3">
      <c r="A5840" t="s">
        <v>628</v>
      </c>
      <c r="B5840" t="s">
        <v>23</v>
      </c>
      <c r="C5840" t="s">
        <v>638</v>
      </c>
      <c r="D5840" t="s">
        <v>746</v>
      </c>
      <c r="E5840" t="s">
        <v>766</v>
      </c>
      <c r="F5840">
        <v>1</v>
      </c>
      <c r="G5840" s="308">
        <f>COMEDORES!E32</f>
        <v>0</v>
      </c>
      <c r="H5840" s="308">
        <f>COMEDORES!F32</f>
        <v>0</v>
      </c>
    </row>
    <row r="5841" spans="1:8" x14ac:dyDescent="0.3">
      <c r="A5841" t="s">
        <v>628</v>
      </c>
      <c r="B5841" t="s">
        <v>23</v>
      </c>
      <c r="C5841" t="s">
        <v>638</v>
      </c>
      <c r="D5841" t="s">
        <v>746</v>
      </c>
      <c r="E5841" t="s">
        <v>767</v>
      </c>
      <c r="F5841">
        <v>2</v>
      </c>
      <c r="G5841" s="308">
        <f>COMEDORES!G32</f>
        <v>0</v>
      </c>
      <c r="H5841" s="308">
        <f>COMEDORES!H32</f>
        <v>0</v>
      </c>
    </row>
    <row r="5842" spans="1:8" x14ac:dyDescent="0.3">
      <c r="A5842" t="s">
        <v>628</v>
      </c>
      <c r="B5842" t="s">
        <v>23</v>
      </c>
      <c r="C5842" t="s">
        <v>638</v>
      </c>
      <c r="D5842" t="s">
        <v>746</v>
      </c>
      <c r="E5842" t="s">
        <v>768</v>
      </c>
      <c r="F5842">
        <v>3</v>
      </c>
      <c r="G5842" s="308">
        <f>COMEDORES!I32</f>
        <v>0</v>
      </c>
      <c r="H5842" s="308">
        <f>COMEDORES!J32</f>
        <v>0</v>
      </c>
    </row>
    <row r="5843" spans="1:8" x14ac:dyDescent="0.3">
      <c r="A5843" t="s">
        <v>628</v>
      </c>
      <c r="B5843" t="s">
        <v>23</v>
      </c>
      <c r="C5843" t="s">
        <v>638</v>
      </c>
      <c r="D5843" t="s">
        <v>746</v>
      </c>
      <c r="E5843" t="s">
        <v>769</v>
      </c>
      <c r="F5843">
        <v>4</v>
      </c>
      <c r="G5843" s="308">
        <f>COMEDORES!K32</f>
        <v>0</v>
      </c>
      <c r="H5843" s="308">
        <f>COMEDORES!L32</f>
        <v>0</v>
      </c>
    </row>
    <row r="5844" spans="1:8" x14ac:dyDescent="0.3">
      <c r="A5844" t="s">
        <v>628</v>
      </c>
      <c r="B5844" t="s">
        <v>23</v>
      </c>
      <c r="C5844" t="s">
        <v>638</v>
      </c>
      <c r="D5844" t="s">
        <v>746</v>
      </c>
      <c r="E5844" t="s">
        <v>770</v>
      </c>
      <c r="F5844">
        <v>5</v>
      </c>
      <c r="G5844" s="308">
        <f>COMEDORES!M32</f>
        <v>0</v>
      </c>
      <c r="H5844" s="308">
        <f>COMEDORES!N32</f>
        <v>0</v>
      </c>
    </row>
    <row r="5845" spans="1:8" x14ac:dyDescent="0.3">
      <c r="A5845" t="s">
        <v>628</v>
      </c>
      <c r="B5845" t="s">
        <v>23</v>
      </c>
      <c r="C5845" t="s">
        <v>638</v>
      </c>
      <c r="D5845" t="s">
        <v>746</v>
      </c>
      <c r="E5845" t="s">
        <v>771</v>
      </c>
      <c r="F5845">
        <v>6</v>
      </c>
      <c r="G5845" s="308">
        <f>COMEDORES!O32</f>
        <v>0</v>
      </c>
      <c r="H5845" s="308">
        <f>COMEDORES!P32</f>
        <v>0</v>
      </c>
    </row>
    <row r="5846" spans="1:8" x14ac:dyDescent="0.3">
      <c r="A5846" t="s">
        <v>628</v>
      </c>
      <c r="B5846" t="s">
        <v>23</v>
      </c>
      <c r="C5846" t="s">
        <v>638</v>
      </c>
      <c r="D5846" t="s">
        <v>746</v>
      </c>
      <c r="E5846" t="s">
        <v>772</v>
      </c>
      <c r="F5846">
        <v>7</v>
      </c>
      <c r="G5846" s="308">
        <f>COMEDORES!Q32</f>
        <v>4000</v>
      </c>
      <c r="H5846" s="308">
        <f>COMEDORES!R32</f>
        <v>0</v>
      </c>
    </row>
    <row r="5847" spans="1:8" x14ac:dyDescent="0.3">
      <c r="A5847" t="s">
        <v>628</v>
      </c>
      <c r="B5847" t="s">
        <v>42</v>
      </c>
      <c r="C5847" t="s">
        <v>43</v>
      </c>
      <c r="D5847" t="s">
        <v>745</v>
      </c>
      <c r="E5847" t="s">
        <v>766</v>
      </c>
      <c r="F5847">
        <v>1</v>
      </c>
      <c r="G5847" s="308">
        <f>COMEDORES!E33</f>
        <v>0</v>
      </c>
      <c r="H5847" s="308">
        <f>COMEDORES!F33</f>
        <v>0</v>
      </c>
    </row>
    <row r="5848" spans="1:8" x14ac:dyDescent="0.3">
      <c r="A5848" t="s">
        <v>628</v>
      </c>
      <c r="B5848" t="s">
        <v>42</v>
      </c>
      <c r="C5848" t="s">
        <v>43</v>
      </c>
      <c r="D5848" t="s">
        <v>745</v>
      </c>
      <c r="E5848" t="s">
        <v>767</v>
      </c>
      <c r="F5848">
        <v>2</v>
      </c>
      <c r="G5848" s="308">
        <f>COMEDORES!G33</f>
        <v>0</v>
      </c>
      <c r="H5848" s="308">
        <f>COMEDORES!H33</f>
        <v>0</v>
      </c>
    </row>
    <row r="5849" spans="1:8" x14ac:dyDescent="0.3">
      <c r="A5849" t="s">
        <v>628</v>
      </c>
      <c r="B5849" t="s">
        <v>42</v>
      </c>
      <c r="C5849" t="s">
        <v>43</v>
      </c>
      <c r="D5849" t="s">
        <v>745</v>
      </c>
      <c r="E5849" t="s">
        <v>768</v>
      </c>
      <c r="F5849">
        <v>3</v>
      </c>
      <c r="G5849" s="308">
        <f>COMEDORES!I33</f>
        <v>0</v>
      </c>
      <c r="H5849" s="308">
        <f>COMEDORES!J33</f>
        <v>0</v>
      </c>
    </row>
    <row r="5850" spans="1:8" x14ac:dyDescent="0.3">
      <c r="A5850" t="s">
        <v>628</v>
      </c>
      <c r="B5850" t="s">
        <v>42</v>
      </c>
      <c r="C5850" t="s">
        <v>43</v>
      </c>
      <c r="D5850" t="s">
        <v>745</v>
      </c>
      <c r="E5850" t="s">
        <v>769</v>
      </c>
      <c r="F5850">
        <v>4</v>
      </c>
      <c r="G5850" s="308">
        <f>COMEDORES!K33</f>
        <v>0</v>
      </c>
      <c r="H5850" s="308">
        <f>COMEDORES!L33</f>
        <v>0</v>
      </c>
    </row>
    <row r="5851" spans="1:8" x14ac:dyDescent="0.3">
      <c r="A5851" t="s">
        <v>628</v>
      </c>
      <c r="B5851" t="s">
        <v>42</v>
      </c>
      <c r="C5851" t="s">
        <v>43</v>
      </c>
      <c r="D5851" t="s">
        <v>745</v>
      </c>
      <c r="E5851" t="s">
        <v>770</v>
      </c>
      <c r="F5851">
        <v>5</v>
      </c>
      <c r="G5851" s="308">
        <f>COMEDORES!M33</f>
        <v>0</v>
      </c>
      <c r="H5851" s="308">
        <f>COMEDORES!N33</f>
        <v>0</v>
      </c>
    </row>
    <row r="5852" spans="1:8" x14ac:dyDescent="0.3">
      <c r="A5852" t="s">
        <v>628</v>
      </c>
      <c r="B5852" t="s">
        <v>42</v>
      </c>
      <c r="C5852" t="s">
        <v>43</v>
      </c>
      <c r="D5852" t="s">
        <v>745</v>
      </c>
      <c r="E5852" t="s">
        <v>771</v>
      </c>
      <c r="F5852">
        <v>6</v>
      </c>
      <c r="G5852" s="308">
        <f>COMEDORES!O33</f>
        <v>0</v>
      </c>
      <c r="H5852" s="308">
        <f>COMEDORES!P33</f>
        <v>0</v>
      </c>
    </row>
    <row r="5853" spans="1:8" x14ac:dyDescent="0.3">
      <c r="A5853" t="s">
        <v>628</v>
      </c>
      <c r="B5853" t="s">
        <v>42</v>
      </c>
      <c r="C5853" t="s">
        <v>43</v>
      </c>
      <c r="D5853" t="s">
        <v>745</v>
      </c>
      <c r="E5853" t="s">
        <v>772</v>
      </c>
      <c r="F5853">
        <v>7</v>
      </c>
      <c r="G5853" s="308">
        <f>COMEDORES!Q33</f>
        <v>300</v>
      </c>
      <c r="H5853" s="308">
        <f>COMEDORES!R33</f>
        <v>0</v>
      </c>
    </row>
    <row r="5854" spans="1:8" x14ac:dyDescent="0.3">
      <c r="A5854" t="s">
        <v>628</v>
      </c>
      <c r="B5854" t="s">
        <v>42</v>
      </c>
      <c r="C5854" t="s">
        <v>43</v>
      </c>
      <c r="D5854" t="s">
        <v>746</v>
      </c>
      <c r="E5854" t="s">
        <v>766</v>
      </c>
      <c r="F5854">
        <v>1</v>
      </c>
      <c r="G5854" s="308">
        <f>COMEDORES!E34</f>
        <v>0</v>
      </c>
      <c r="H5854" s="308">
        <f>COMEDORES!F34</f>
        <v>0</v>
      </c>
    </row>
    <row r="5855" spans="1:8" x14ac:dyDescent="0.3">
      <c r="A5855" t="s">
        <v>628</v>
      </c>
      <c r="B5855" t="s">
        <v>42</v>
      </c>
      <c r="C5855" t="s">
        <v>43</v>
      </c>
      <c r="D5855" t="s">
        <v>746</v>
      </c>
      <c r="E5855" t="s">
        <v>767</v>
      </c>
      <c r="F5855">
        <v>2</v>
      </c>
      <c r="G5855" s="308">
        <f>COMEDORES!G34</f>
        <v>0</v>
      </c>
      <c r="H5855" s="308">
        <f>COMEDORES!H34</f>
        <v>0</v>
      </c>
    </row>
    <row r="5856" spans="1:8" x14ac:dyDescent="0.3">
      <c r="A5856" t="s">
        <v>628</v>
      </c>
      <c r="B5856" t="s">
        <v>42</v>
      </c>
      <c r="C5856" t="s">
        <v>43</v>
      </c>
      <c r="D5856" t="s">
        <v>746</v>
      </c>
      <c r="E5856" t="s">
        <v>768</v>
      </c>
      <c r="F5856">
        <v>3</v>
      </c>
      <c r="G5856" s="308">
        <f>COMEDORES!I34</f>
        <v>0</v>
      </c>
      <c r="H5856" s="308">
        <f>COMEDORES!J34</f>
        <v>0</v>
      </c>
    </row>
    <row r="5857" spans="1:8" x14ac:dyDescent="0.3">
      <c r="A5857" t="s">
        <v>628</v>
      </c>
      <c r="B5857" t="s">
        <v>42</v>
      </c>
      <c r="C5857" t="s">
        <v>43</v>
      </c>
      <c r="D5857" t="s">
        <v>746</v>
      </c>
      <c r="E5857" t="s">
        <v>769</v>
      </c>
      <c r="F5857">
        <v>4</v>
      </c>
      <c r="G5857" s="308">
        <f>COMEDORES!K34</f>
        <v>0</v>
      </c>
      <c r="H5857" s="308">
        <f>COMEDORES!L34</f>
        <v>0</v>
      </c>
    </row>
    <row r="5858" spans="1:8" x14ac:dyDescent="0.3">
      <c r="A5858" t="s">
        <v>628</v>
      </c>
      <c r="B5858" t="s">
        <v>42</v>
      </c>
      <c r="C5858" t="s">
        <v>43</v>
      </c>
      <c r="D5858" t="s">
        <v>746</v>
      </c>
      <c r="E5858" t="s">
        <v>770</v>
      </c>
      <c r="F5858">
        <v>5</v>
      </c>
      <c r="G5858" s="308">
        <f>COMEDORES!M34</f>
        <v>0</v>
      </c>
      <c r="H5858" s="308">
        <f>COMEDORES!N34</f>
        <v>0</v>
      </c>
    </row>
    <row r="5859" spans="1:8" x14ac:dyDescent="0.3">
      <c r="A5859" t="s">
        <v>628</v>
      </c>
      <c r="B5859" t="s">
        <v>42</v>
      </c>
      <c r="C5859" t="s">
        <v>43</v>
      </c>
      <c r="D5859" t="s">
        <v>746</v>
      </c>
      <c r="E5859" t="s">
        <v>771</v>
      </c>
      <c r="F5859">
        <v>6</v>
      </c>
      <c r="G5859" s="308">
        <f>COMEDORES!O34</f>
        <v>0</v>
      </c>
      <c r="H5859" s="308">
        <f>COMEDORES!P34</f>
        <v>0</v>
      </c>
    </row>
    <row r="5860" spans="1:8" x14ac:dyDescent="0.3">
      <c r="A5860" t="s">
        <v>628</v>
      </c>
      <c r="B5860" t="s">
        <v>42</v>
      </c>
      <c r="C5860" t="s">
        <v>43</v>
      </c>
      <c r="D5860" t="s">
        <v>746</v>
      </c>
      <c r="E5860" t="s">
        <v>772</v>
      </c>
      <c r="F5860">
        <v>7</v>
      </c>
      <c r="G5860" s="308">
        <f>COMEDORES!Q34</f>
        <v>300</v>
      </c>
      <c r="H5860" s="308">
        <f>COMEDORES!R34</f>
        <v>0</v>
      </c>
    </row>
    <row r="5861" spans="1:8" x14ac:dyDescent="0.3">
      <c r="A5861" t="s">
        <v>628</v>
      </c>
      <c r="B5861" t="s">
        <v>42</v>
      </c>
      <c r="C5861" t="s">
        <v>639</v>
      </c>
      <c r="D5861" t="s">
        <v>745</v>
      </c>
      <c r="E5861" t="s">
        <v>766</v>
      </c>
      <c r="F5861">
        <v>1</v>
      </c>
      <c r="G5861" s="308">
        <f>COMEDORES!E35</f>
        <v>0</v>
      </c>
      <c r="H5861" s="308">
        <f>COMEDORES!F35</f>
        <v>0</v>
      </c>
    </row>
    <row r="5862" spans="1:8" x14ac:dyDescent="0.3">
      <c r="A5862" t="s">
        <v>628</v>
      </c>
      <c r="B5862" t="s">
        <v>42</v>
      </c>
      <c r="C5862" t="s">
        <v>639</v>
      </c>
      <c r="D5862" t="s">
        <v>745</v>
      </c>
      <c r="E5862" t="s">
        <v>767</v>
      </c>
      <c r="F5862">
        <v>2</v>
      </c>
      <c r="G5862" s="308">
        <f>COMEDORES!G35</f>
        <v>0</v>
      </c>
      <c r="H5862" s="308">
        <f>COMEDORES!H35</f>
        <v>0</v>
      </c>
    </row>
    <row r="5863" spans="1:8" x14ac:dyDescent="0.3">
      <c r="A5863" t="s">
        <v>628</v>
      </c>
      <c r="B5863" t="s">
        <v>42</v>
      </c>
      <c r="C5863" t="s">
        <v>639</v>
      </c>
      <c r="D5863" t="s">
        <v>745</v>
      </c>
      <c r="E5863" t="s">
        <v>768</v>
      </c>
      <c r="F5863">
        <v>3</v>
      </c>
      <c r="G5863" s="308">
        <f>COMEDORES!I35</f>
        <v>0</v>
      </c>
      <c r="H5863" s="308">
        <f>COMEDORES!J35</f>
        <v>0</v>
      </c>
    </row>
    <row r="5864" spans="1:8" x14ac:dyDescent="0.3">
      <c r="A5864" t="s">
        <v>628</v>
      </c>
      <c r="B5864" t="s">
        <v>42</v>
      </c>
      <c r="C5864" t="s">
        <v>639</v>
      </c>
      <c r="D5864" t="s">
        <v>745</v>
      </c>
      <c r="E5864" t="s">
        <v>769</v>
      </c>
      <c r="F5864">
        <v>4</v>
      </c>
      <c r="G5864" s="308">
        <f>COMEDORES!K35</f>
        <v>0</v>
      </c>
      <c r="H5864" s="308">
        <f>COMEDORES!L35</f>
        <v>0</v>
      </c>
    </row>
    <row r="5865" spans="1:8" x14ac:dyDescent="0.3">
      <c r="A5865" t="s">
        <v>628</v>
      </c>
      <c r="B5865" t="s">
        <v>42</v>
      </c>
      <c r="C5865" t="s">
        <v>639</v>
      </c>
      <c r="D5865" t="s">
        <v>745</v>
      </c>
      <c r="E5865" t="s">
        <v>770</v>
      </c>
      <c r="F5865">
        <v>5</v>
      </c>
      <c r="G5865" s="308">
        <f>COMEDORES!M35</f>
        <v>0</v>
      </c>
      <c r="H5865" s="308">
        <f>COMEDORES!N35</f>
        <v>0</v>
      </c>
    </row>
    <row r="5866" spans="1:8" x14ac:dyDescent="0.3">
      <c r="A5866" t="s">
        <v>628</v>
      </c>
      <c r="B5866" t="s">
        <v>42</v>
      </c>
      <c r="C5866" t="s">
        <v>639</v>
      </c>
      <c r="D5866" t="s">
        <v>745</v>
      </c>
      <c r="E5866" t="s">
        <v>771</v>
      </c>
      <c r="F5866">
        <v>6</v>
      </c>
      <c r="G5866" s="308">
        <f>COMEDORES!O35</f>
        <v>0</v>
      </c>
      <c r="H5866" s="308">
        <f>COMEDORES!P35</f>
        <v>0</v>
      </c>
    </row>
    <row r="5867" spans="1:8" x14ac:dyDescent="0.3">
      <c r="A5867" t="s">
        <v>628</v>
      </c>
      <c r="B5867" t="s">
        <v>42</v>
      </c>
      <c r="C5867" t="s">
        <v>639</v>
      </c>
      <c r="D5867" t="s">
        <v>745</v>
      </c>
      <c r="E5867" t="s">
        <v>772</v>
      </c>
      <c r="F5867">
        <v>7</v>
      </c>
      <c r="G5867" s="308">
        <f>COMEDORES!Q35</f>
        <v>450</v>
      </c>
      <c r="H5867" s="308">
        <f>COMEDORES!R35</f>
        <v>0</v>
      </c>
    </row>
    <row r="5868" spans="1:8" x14ac:dyDescent="0.3">
      <c r="A5868" t="s">
        <v>628</v>
      </c>
      <c r="B5868" t="s">
        <v>42</v>
      </c>
      <c r="C5868" t="s">
        <v>639</v>
      </c>
      <c r="D5868" t="s">
        <v>746</v>
      </c>
      <c r="E5868" t="s">
        <v>766</v>
      </c>
      <c r="F5868">
        <v>1</v>
      </c>
      <c r="G5868" s="308">
        <f>COMEDORES!E36</f>
        <v>0</v>
      </c>
      <c r="H5868" s="308">
        <f>COMEDORES!F36</f>
        <v>0</v>
      </c>
    </row>
    <row r="5869" spans="1:8" x14ac:dyDescent="0.3">
      <c r="A5869" t="s">
        <v>628</v>
      </c>
      <c r="B5869" t="s">
        <v>42</v>
      </c>
      <c r="C5869" t="s">
        <v>639</v>
      </c>
      <c r="D5869" t="s">
        <v>746</v>
      </c>
      <c r="E5869" t="s">
        <v>767</v>
      </c>
      <c r="F5869">
        <v>2</v>
      </c>
      <c r="G5869" s="308">
        <f>COMEDORES!G36</f>
        <v>0</v>
      </c>
      <c r="H5869" s="308">
        <f>COMEDORES!H36</f>
        <v>0</v>
      </c>
    </row>
    <row r="5870" spans="1:8" x14ac:dyDescent="0.3">
      <c r="A5870" t="s">
        <v>628</v>
      </c>
      <c r="B5870" t="s">
        <v>42</v>
      </c>
      <c r="C5870" t="s">
        <v>639</v>
      </c>
      <c r="D5870" t="s">
        <v>746</v>
      </c>
      <c r="E5870" t="s">
        <v>768</v>
      </c>
      <c r="F5870">
        <v>3</v>
      </c>
      <c r="G5870" s="308">
        <f>COMEDORES!I36</f>
        <v>0</v>
      </c>
      <c r="H5870" s="308">
        <f>COMEDORES!J36</f>
        <v>0</v>
      </c>
    </row>
    <row r="5871" spans="1:8" x14ac:dyDescent="0.3">
      <c r="A5871" t="s">
        <v>628</v>
      </c>
      <c r="B5871" t="s">
        <v>42</v>
      </c>
      <c r="C5871" t="s">
        <v>639</v>
      </c>
      <c r="D5871" t="s">
        <v>746</v>
      </c>
      <c r="E5871" t="s">
        <v>769</v>
      </c>
      <c r="F5871">
        <v>4</v>
      </c>
      <c r="G5871" s="308">
        <f>COMEDORES!K36</f>
        <v>0</v>
      </c>
      <c r="H5871" s="308">
        <f>COMEDORES!L36</f>
        <v>0</v>
      </c>
    </row>
    <row r="5872" spans="1:8" x14ac:dyDescent="0.3">
      <c r="A5872" t="s">
        <v>628</v>
      </c>
      <c r="B5872" t="s">
        <v>42</v>
      </c>
      <c r="C5872" t="s">
        <v>639</v>
      </c>
      <c r="D5872" t="s">
        <v>746</v>
      </c>
      <c r="E5872" t="s">
        <v>770</v>
      </c>
      <c r="F5872">
        <v>5</v>
      </c>
      <c r="G5872" s="308">
        <f>COMEDORES!M36</f>
        <v>0</v>
      </c>
      <c r="H5872" s="308">
        <f>COMEDORES!N36</f>
        <v>0</v>
      </c>
    </row>
    <row r="5873" spans="1:8" x14ac:dyDescent="0.3">
      <c r="A5873" t="s">
        <v>628</v>
      </c>
      <c r="B5873" t="s">
        <v>42</v>
      </c>
      <c r="C5873" t="s">
        <v>639</v>
      </c>
      <c r="D5873" t="s">
        <v>746</v>
      </c>
      <c r="E5873" t="s">
        <v>771</v>
      </c>
      <c r="F5873">
        <v>6</v>
      </c>
      <c r="G5873" s="308">
        <f>COMEDORES!O36</f>
        <v>0</v>
      </c>
      <c r="H5873" s="308">
        <f>COMEDORES!P36</f>
        <v>0</v>
      </c>
    </row>
    <row r="5874" spans="1:8" x14ac:dyDescent="0.3">
      <c r="A5874" t="s">
        <v>628</v>
      </c>
      <c r="B5874" t="s">
        <v>42</v>
      </c>
      <c r="C5874" t="s">
        <v>639</v>
      </c>
      <c r="D5874" t="s">
        <v>746</v>
      </c>
      <c r="E5874" t="s">
        <v>772</v>
      </c>
      <c r="F5874">
        <v>7</v>
      </c>
      <c r="G5874" s="308">
        <f>COMEDORES!Q36</f>
        <v>400</v>
      </c>
      <c r="H5874" s="308">
        <f>COMEDORES!R36</f>
        <v>0</v>
      </c>
    </row>
    <row r="5875" spans="1:8" x14ac:dyDescent="0.3">
      <c r="A5875" t="s">
        <v>628</v>
      </c>
      <c r="B5875" t="s">
        <v>42</v>
      </c>
      <c r="C5875" t="s">
        <v>640</v>
      </c>
      <c r="D5875" t="s">
        <v>745</v>
      </c>
      <c r="E5875" t="s">
        <v>766</v>
      </c>
      <c r="F5875">
        <v>1</v>
      </c>
      <c r="G5875" s="308">
        <f>COMEDORES!E37</f>
        <v>0</v>
      </c>
      <c r="H5875" s="308">
        <f>COMEDORES!F37</f>
        <v>0</v>
      </c>
    </row>
    <row r="5876" spans="1:8" x14ac:dyDescent="0.3">
      <c r="A5876" t="s">
        <v>628</v>
      </c>
      <c r="B5876" t="s">
        <v>42</v>
      </c>
      <c r="C5876" t="s">
        <v>640</v>
      </c>
      <c r="D5876" t="s">
        <v>745</v>
      </c>
      <c r="E5876" t="s">
        <v>767</v>
      </c>
      <c r="F5876">
        <v>2</v>
      </c>
      <c r="G5876" s="308">
        <f>COMEDORES!G37</f>
        <v>0</v>
      </c>
      <c r="H5876" s="308">
        <f>COMEDORES!H37</f>
        <v>0</v>
      </c>
    </row>
    <row r="5877" spans="1:8" x14ac:dyDescent="0.3">
      <c r="A5877" t="s">
        <v>628</v>
      </c>
      <c r="B5877" t="s">
        <v>42</v>
      </c>
      <c r="C5877" t="s">
        <v>640</v>
      </c>
      <c r="D5877" t="s">
        <v>745</v>
      </c>
      <c r="E5877" t="s">
        <v>768</v>
      </c>
      <c r="F5877">
        <v>3</v>
      </c>
      <c r="G5877" s="308">
        <f>COMEDORES!I37</f>
        <v>0</v>
      </c>
      <c r="H5877" s="308">
        <f>COMEDORES!J37</f>
        <v>0</v>
      </c>
    </row>
    <row r="5878" spans="1:8" x14ac:dyDescent="0.3">
      <c r="A5878" t="s">
        <v>628</v>
      </c>
      <c r="B5878" t="s">
        <v>42</v>
      </c>
      <c r="C5878" t="s">
        <v>640</v>
      </c>
      <c r="D5878" t="s">
        <v>745</v>
      </c>
      <c r="E5878" t="s">
        <v>769</v>
      </c>
      <c r="F5878">
        <v>4</v>
      </c>
      <c r="G5878" s="308">
        <f>COMEDORES!K37</f>
        <v>0</v>
      </c>
      <c r="H5878" s="308">
        <f>COMEDORES!L37</f>
        <v>0</v>
      </c>
    </row>
    <row r="5879" spans="1:8" x14ac:dyDescent="0.3">
      <c r="A5879" t="s">
        <v>628</v>
      </c>
      <c r="B5879" t="s">
        <v>42</v>
      </c>
      <c r="C5879" t="s">
        <v>640</v>
      </c>
      <c r="D5879" t="s">
        <v>745</v>
      </c>
      <c r="E5879" t="s">
        <v>770</v>
      </c>
      <c r="F5879">
        <v>5</v>
      </c>
      <c r="G5879" s="308">
        <f>COMEDORES!M37</f>
        <v>0</v>
      </c>
      <c r="H5879" s="308">
        <f>COMEDORES!N37</f>
        <v>0</v>
      </c>
    </row>
    <row r="5880" spans="1:8" x14ac:dyDescent="0.3">
      <c r="A5880" t="s">
        <v>628</v>
      </c>
      <c r="B5880" t="s">
        <v>42</v>
      </c>
      <c r="C5880" t="s">
        <v>640</v>
      </c>
      <c r="D5880" t="s">
        <v>745</v>
      </c>
      <c r="E5880" t="s">
        <v>771</v>
      </c>
      <c r="F5880">
        <v>6</v>
      </c>
      <c r="G5880" s="308">
        <f>COMEDORES!O37</f>
        <v>0</v>
      </c>
      <c r="H5880" s="308">
        <f>COMEDORES!P37</f>
        <v>0</v>
      </c>
    </row>
    <row r="5881" spans="1:8" x14ac:dyDescent="0.3">
      <c r="A5881" t="s">
        <v>628</v>
      </c>
      <c r="B5881" t="s">
        <v>42</v>
      </c>
      <c r="C5881" t="s">
        <v>640</v>
      </c>
      <c r="D5881" t="s">
        <v>745</v>
      </c>
      <c r="E5881" t="s">
        <v>772</v>
      </c>
      <c r="F5881">
        <v>7</v>
      </c>
      <c r="G5881" s="308">
        <f>COMEDORES!Q37</f>
        <v>450</v>
      </c>
      <c r="H5881" s="308">
        <f>COMEDORES!R37</f>
        <v>0</v>
      </c>
    </row>
    <row r="5882" spans="1:8" x14ac:dyDescent="0.3">
      <c r="A5882" t="s">
        <v>628</v>
      </c>
      <c r="B5882" t="s">
        <v>42</v>
      </c>
      <c r="C5882" t="s">
        <v>640</v>
      </c>
      <c r="D5882" t="s">
        <v>746</v>
      </c>
      <c r="E5882" t="s">
        <v>766</v>
      </c>
      <c r="F5882">
        <v>1</v>
      </c>
      <c r="G5882" s="308">
        <f>COMEDORES!E38</f>
        <v>0</v>
      </c>
      <c r="H5882" s="308">
        <f>COMEDORES!F38</f>
        <v>0</v>
      </c>
    </row>
    <row r="5883" spans="1:8" x14ac:dyDescent="0.3">
      <c r="A5883" t="s">
        <v>628</v>
      </c>
      <c r="B5883" t="s">
        <v>42</v>
      </c>
      <c r="C5883" t="s">
        <v>640</v>
      </c>
      <c r="D5883" t="s">
        <v>746</v>
      </c>
      <c r="E5883" t="s">
        <v>767</v>
      </c>
      <c r="F5883">
        <v>2</v>
      </c>
      <c r="G5883" s="308">
        <f>COMEDORES!G38</f>
        <v>0</v>
      </c>
      <c r="H5883" s="308">
        <f>COMEDORES!H38</f>
        <v>0</v>
      </c>
    </row>
    <row r="5884" spans="1:8" x14ac:dyDescent="0.3">
      <c r="A5884" t="s">
        <v>628</v>
      </c>
      <c r="B5884" t="s">
        <v>42</v>
      </c>
      <c r="C5884" t="s">
        <v>640</v>
      </c>
      <c r="D5884" t="s">
        <v>746</v>
      </c>
      <c r="E5884" t="s">
        <v>768</v>
      </c>
      <c r="F5884">
        <v>3</v>
      </c>
      <c r="G5884" s="308">
        <f>COMEDORES!I38</f>
        <v>0</v>
      </c>
      <c r="H5884" s="308">
        <f>COMEDORES!J38</f>
        <v>0</v>
      </c>
    </row>
    <row r="5885" spans="1:8" x14ac:dyDescent="0.3">
      <c r="A5885" t="s">
        <v>628</v>
      </c>
      <c r="B5885" t="s">
        <v>42</v>
      </c>
      <c r="C5885" t="s">
        <v>640</v>
      </c>
      <c r="D5885" t="s">
        <v>746</v>
      </c>
      <c r="E5885" t="s">
        <v>769</v>
      </c>
      <c r="F5885">
        <v>4</v>
      </c>
      <c r="G5885" s="308">
        <f>COMEDORES!K38</f>
        <v>0</v>
      </c>
      <c r="H5885" s="308">
        <f>COMEDORES!L38</f>
        <v>0</v>
      </c>
    </row>
    <row r="5886" spans="1:8" x14ac:dyDescent="0.3">
      <c r="A5886" t="s">
        <v>628</v>
      </c>
      <c r="B5886" t="s">
        <v>42</v>
      </c>
      <c r="C5886" t="s">
        <v>640</v>
      </c>
      <c r="D5886" t="s">
        <v>746</v>
      </c>
      <c r="E5886" t="s">
        <v>770</v>
      </c>
      <c r="F5886">
        <v>5</v>
      </c>
      <c r="G5886" s="308">
        <f>COMEDORES!M38</f>
        <v>0</v>
      </c>
      <c r="H5886" s="308">
        <f>COMEDORES!N38</f>
        <v>0</v>
      </c>
    </row>
    <row r="5887" spans="1:8" x14ac:dyDescent="0.3">
      <c r="A5887" t="s">
        <v>628</v>
      </c>
      <c r="B5887" t="s">
        <v>42</v>
      </c>
      <c r="C5887" t="s">
        <v>640</v>
      </c>
      <c r="D5887" t="s">
        <v>746</v>
      </c>
      <c r="E5887" t="s">
        <v>771</v>
      </c>
      <c r="F5887">
        <v>6</v>
      </c>
      <c r="G5887" s="308">
        <f>COMEDORES!O38</f>
        <v>0</v>
      </c>
      <c r="H5887" s="308">
        <f>COMEDORES!P38</f>
        <v>0</v>
      </c>
    </row>
    <row r="5888" spans="1:8" x14ac:dyDescent="0.3">
      <c r="A5888" t="s">
        <v>628</v>
      </c>
      <c r="B5888" t="s">
        <v>42</v>
      </c>
      <c r="C5888" t="s">
        <v>640</v>
      </c>
      <c r="D5888" t="s">
        <v>746</v>
      </c>
      <c r="E5888" t="s">
        <v>772</v>
      </c>
      <c r="F5888">
        <v>7</v>
      </c>
      <c r="G5888" s="308">
        <f>COMEDORES!Q38</f>
        <v>450</v>
      </c>
      <c r="H5888" s="308">
        <f>COMEDORES!R38</f>
        <v>0</v>
      </c>
    </row>
    <row r="5889" spans="1:8" x14ac:dyDescent="0.3">
      <c r="A5889" t="s">
        <v>628</v>
      </c>
      <c r="B5889" t="s">
        <v>42</v>
      </c>
      <c r="C5889" t="s">
        <v>378</v>
      </c>
      <c r="D5889" t="s">
        <v>745</v>
      </c>
      <c r="E5889" t="s">
        <v>766</v>
      </c>
      <c r="F5889">
        <v>1</v>
      </c>
      <c r="G5889" s="308">
        <f>COMEDORES!E39</f>
        <v>0</v>
      </c>
      <c r="H5889" s="308">
        <f>COMEDORES!F39</f>
        <v>0</v>
      </c>
    </row>
    <row r="5890" spans="1:8" x14ac:dyDescent="0.3">
      <c r="A5890" t="s">
        <v>628</v>
      </c>
      <c r="B5890" t="s">
        <v>42</v>
      </c>
      <c r="C5890" t="s">
        <v>378</v>
      </c>
      <c r="D5890" t="s">
        <v>745</v>
      </c>
      <c r="E5890" t="s">
        <v>767</v>
      </c>
      <c r="F5890">
        <v>2</v>
      </c>
      <c r="G5890" s="308">
        <f>COMEDORES!G39</f>
        <v>0</v>
      </c>
      <c r="H5890" s="308">
        <f>COMEDORES!H39</f>
        <v>0</v>
      </c>
    </row>
    <row r="5891" spans="1:8" x14ac:dyDescent="0.3">
      <c r="A5891" t="s">
        <v>628</v>
      </c>
      <c r="B5891" t="s">
        <v>42</v>
      </c>
      <c r="C5891" t="s">
        <v>378</v>
      </c>
      <c r="D5891" t="s">
        <v>745</v>
      </c>
      <c r="E5891" t="s">
        <v>768</v>
      </c>
      <c r="F5891">
        <v>3</v>
      </c>
      <c r="G5891" s="308">
        <f>COMEDORES!I39</f>
        <v>1200</v>
      </c>
      <c r="H5891" s="308">
        <f>COMEDORES!J39</f>
        <v>0</v>
      </c>
    </row>
    <row r="5892" spans="1:8" x14ac:dyDescent="0.3">
      <c r="A5892" t="s">
        <v>628</v>
      </c>
      <c r="B5892" t="s">
        <v>42</v>
      </c>
      <c r="C5892" t="s">
        <v>378</v>
      </c>
      <c r="D5892" t="s">
        <v>745</v>
      </c>
      <c r="E5892" t="s">
        <v>769</v>
      </c>
      <c r="F5892">
        <v>4</v>
      </c>
      <c r="G5892" s="308">
        <f>COMEDORES!K39</f>
        <v>2350</v>
      </c>
      <c r="H5892" s="308">
        <f>COMEDORES!L39</f>
        <v>63500</v>
      </c>
    </row>
    <row r="5893" spans="1:8" x14ac:dyDescent="0.3">
      <c r="A5893" t="s">
        <v>628</v>
      </c>
      <c r="B5893" t="s">
        <v>42</v>
      </c>
      <c r="C5893" t="s">
        <v>378</v>
      </c>
      <c r="D5893" t="s">
        <v>745</v>
      </c>
      <c r="E5893" t="s">
        <v>770</v>
      </c>
      <c r="F5893">
        <v>5</v>
      </c>
      <c r="G5893" s="308">
        <f>COMEDORES!M39</f>
        <v>3000</v>
      </c>
      <c r="H5893" s="308">
        <f>COMEDORES!N39</f>
        <v>0</v>
      </c>
    </row>
    <row r="5894" spans="1:8" x14ac:dyDescent="0.3">
      <c r="A5894" t="s">
        <v>628</v>
      </c>
      <c r="B5894" t="s">
        <v>42</v>
      </c>
      <c r="C5894" t="s">
        <v>378</v>
      </c>
      <c r="D5894" t="s">
        <v>745</v>
      </c>
      <c r="E5894" t="s">
        <v>771</v>
      </c>
      <c r="F5894">
        <v>6</v>
      </c>
      <c r="G5894" s="308">
        <f>COMEDORES!O39</f>
        <v>3150</v>
      </c>
      <c r="H5894" s="308">
        <f>COMEDORES!P39</f>
        <v>366955.4</v>
      </c>
    </row>
    <row r="5895" spans="1:8" x14ac:dyDescent="0.3">
      <c r="A5895" t="s">
        <v>628</v>
      </c>
      <c r="B5895" t="s">
        <v>42</v>
      </c>
      <c r="C5895" t="s">
        <v>378</v>
      </c>
      <c r="D5895" t="s">
        <v>745</v>
      </c>
      <c r="E5895" t="s">
        <v>772</v>
      </c>
      <c r="F5895">
        <v>7</v>
      </c>
      <c r="G5895" s="308">
        <f>COMEDORES!Q39</f>
        <v>3300</v>
      </c>
      <c r="H5895" s="308">
        <f>COMEDORES!R39</f>
        <v>190927.19999999995</v>
      </c>
    </row>
    <row r="5896" spans="1:8" x14ac:dyDescent="0.3">
      <c r="A5896" t="s">
        <v>628</v>
      </c>
      <c r="B5896" t="s">
        <v>42</v>
      </c>
      <c r="C5896" t="s">
        <v>378</v>
      </c>
      <c r="D5896" t="s">
        <v>746</v>
      </c>
      <c r="E5896" t="s">
        <v>766</v>
      </c>
      <c r="F5896">
        <v>1</v>
      </c>
      <c r="G5896" s="308">
        <f>COMEDORES!E40</f>
        <v>0</v>
      </c>
      <c r="H5896" s="308">
        <f>COMEDORES!F40</f>
        <v>0</v>
      </c>
    </row>
    <row r="5897" spans="1:8" x14ac:dyDescent="0.3">
      <c r="A5897" t="s">
        <v>628</v>
      </c>
      <c r="B5897" t="s">
        <v>42</v>
      </c>
      <c r="C5897" t="s">
        <v>378</v>
      </c>
      <c r="D5897" t="s">
        <v>746</v>
      </c>
      <c r="E5897" t="s">
        <v>767</v>
      </c>
      <c r="F5897">
        <v>2</v>
      </c>
      <c r="G5897" s="308">
        <f>COMEDORES!G40</f>
        <v>0</v>
      </c>
      <c r="H5897" s="308">
        <f>COMEDORES!H40</f>
        <v>0</v>
      </c>
    </row>
    <row r="5898" spans="1:8" x14ac:dyDescent="0.3">
      <c r="A5898" t="s">
        <v>628</v>
      </c>
      <c r="B5898" t="s">
        <v>42</v>
      </c>
      <c r="C5898" t="s">
        <v>378</v>
      </c>
      <c r="D5898" t="s">
        <v>746</v>
      </c>
      <c r="E5898" t="s">
        <v>768</v>
      </c>
      <c r="F5898">
        <v>3</v>
      </c>
      <c r="G5898" s="308">
        <f>COMEDORES!I40</f>
        <v>1800</v>
      </c>
      <c r="H5898" s="308">
        <f>COMEDORES!J40</f>
        <v>0</v>
      </c>
    </row>
    <row r="5899" spans="1:8" x14ac:dyDescent="0.3">
      <c r="A5899" t="s">
        <v>628</v>
      </c>
      <c r="B5899" t="s">
        <v>42</v>
      </c>
      <c r="C5899" t="s">
        <v>378</v>
      </c>
      <c r="D5899" t="s">
        <v>746</v>
      </c>
      <c r="E5899" t="s">
        <v>769</v>
      </c>
      <c r="F5899">
        <v>4</v>
      </c>
      <c r="G5899" s="308">
        <f>COMEDORES!K40</f>
        <v>3500</v>
      </c>
      <c r="H5899" s="308">
        <f>COMEDORES!L40</f>
        <v>0</v>
      </c>
    </row>
    <row r="5900" spans="1:8" x14ac:dyDescent="0.3">
      <c r="A5900" t="s">
        <v>628</v>
      </c>
      <c r="B5900" t="s">
        <v>42</v>
      </c>
      <c r="C5900" t="s">
        <v>378</v>
      </c>
      <c r="D5900" t="s">
        <v>746</v>
      </c>
      <c r="E5900" t="s">
        <v>770</v>
      </c>
      <c r="F5900">
        <v>5</v>
      </c>
      <c r="G5900" s="308">
        <f>COMEDORES!M40</f>
        <v>4858</v>
      </c>
      <c r="H5900" s="308">
        <f>COMEDORES!N40</f>
        <v>0</v>
      </c>
    </row>
    <row r="5901" spans="1:8" x14ac:dyDescent="0.3">
      <c r="A5901" t="s">
        <v>628</v>
      </c>
      <c r="B5901" t="s">
        <v>42</v>
      </c>
      <c r="C5901" t="s">
        <v>378</v>
      </c>
      <c r="D5901" t="s">
        <v>746</v>
      </c>
      <c r="E5901" t="s">
        <v>771</v>
      </c>
      <c r="F5901">
        <v>6</v>
      </c>
      <c r="G5901" s="308">
        <f>COMEDORES!O40</f>
        <v>5191</v>
      </c>
      <c r="H5901" s="308">
        <f>COMEDORES!P40</f>
        <v>0</v>
      </c>
    </row>
    <row r="5902" spans="1:8" x14ac:dyDescent="0.3">
      <c r="A5902" t="s">
        <v>628</v>
      </c>
      <c r="B5902" t="s">
        <v>42</v>
      </c>
      <c r="C5902" t="s">
        <v>378</v>
      </c>
      <c r="D5902" t="s">
        <v>746</v>
      </c>
      <c r="E5902" t="s">
        <v>772</v>
      </c>
      <c r="F5902">
        <v>7</v>
      </c>
      <c r="G5902" s="308">
        <f>COMEDORES!Q40</f>
        <v>5500</v>
      </c>
      <c r="H5902" s="308">
        <f>COMEDORES!R40</f>
        <v>0</v>
      </c>
    </row>
    <row r="5903" spans="1:8" x14ac:dyDescent="0.3">
      <c r="A5903" t="s">
        <v>628</v>
      </c>
      <c r="B5903" t="s">
        <v>42</v>
      </c>
      <c r="C5903" t="s">
        <v>379</v>
      </c>
      <c r="D5903" t="s">
        <v>745</v>
      </c>
      <c r="E5903" t="s">
        <v>766</v>
      </c>
      <c r="F5903">
        <v>1</v>
      </c>
      <c r="G5903" s="308">
        <f>COMEDORES!E41</f>
        <v>0</v>
      </c>
      <c r="H5903" s="308">
        <f>COMEDORES!F41</f>
        <v>0</v>
      </c>
    </row>
    <row r="5904" spans="1:8" x14ac:dyDescent="0.3">
      <c r="A5904" t="s">
        <v>628</v>
      </c>
      <c r="B5904" t="s">
        <v>42</v>
      </c>
      <c r="C5904" t="s">
        <v>379</v>
      </c>
      <c r="D5904" t="s">
        <v>745</v>
      </c>
      <c r="E5904" t="s">
        <v>767</v>
      </c>
      <c r="F5904">
        <v>2</v>
      </c>
      <c r="G5904" s="308">
        <f>COMEDORES!G41</f>
        <v>0</v>
      </c>
      <c r="H5904" s="308">
        <f>COMEDORES!H41</f>
        <v>0</v>
      </c>
    </row>
    <row r="5905" spans="1:8" x14ac:dyDescent="0.3">
      <c r="A5905" t="s">
        <v>628</v>
      </c>
      <c r="B5905" t="s">
        <v>42</v>
      </c>
      <c r="C5905" t="s">
        <v>379</v>
      </c>
      <c r="D5905" t="s">
        <v>745</v>
      </c>
      <c r="E5905" t="s">
        <v>768</v>
      </c>
      <c r="F5905">
        <v>3</v>
      </c>
      <c r="G5905" s="308">
        <f>COMEDORES!I41</f>
        <v>0</v>
      </c>
      <c r="H5905" s="308">
        <f>COMEDORES!J41</f>
        <v>0</v>
      </c>
    </row>
    <row r="5906" spans="1:8" x14ac:dyDescent="0.3">
      <c r="A5906" t="s">
        <v>628</v>
      </c>
      <c r="B5906" t="s">
        <v>42</v>
      </c>
      <c r="C5906" t="s">
        <v>379</v>
      </c>
      <c r="D5906" t="s">
        <v>745</v>
      </c>
      <c r="E5906" t="s">
        <v>769</v>
      </c>
      <c r="F5906">
        <v>4</v>
      </c>
      <c r="G5906" s="308">
        <f>COMEDORES!K41</f>
        <v>1885</v>
      </c>
      <c r="H5906" s="308">
        <f>COMEDORES!L41</f>
        <v>96407</v>
      </c>
    </row>
    <row r="5907" spans="1:8" x14ac:dyDescent="0.3">
      <c r="A5907" t="s">
        <v>628</v>
      </c>
      <c r="B5907" t="s">
        <v>42</v>
      </c>
      <c r="C5907" t="s">
        <v>379</v>
      </c>
      <c r="D5907" t="s">
        <v>745</v>
      </c>
      <c r="E5907" t="s">
        <v>770</v>
      </c>
      <c r="F5907">
        <v>5</v>
      </c>
      <c r="G5907" s="308">
        <f>COMEDORES!M41</f>
        <v>1900</v>
      </c>
      <c r="H5907" s="308">
        <f>COMEDORES!N41</f>
        <v>160399.20000000001</v>
      </c>
    </row>
    <row r="5908" spans="1:8" x14ac:dyDescent="0.3">
      <c r="A5908" t="s">
        <v>628</v>
      </c>
      <c r="B5908" t="s">
        <v>42</v>
      </c>
      <c r="C5908" t="s">
        <v>379</v>
      </c>
      <c r="D5908" t="s">
        <v>745</v>
      </c>
      <c r="E5908" t="s">
        <v>771</v>
      </c>
      <c r="F5908">
        <v>6</v>
      </c>
      <c r="G5908" s="308">
        <f>COMEDORES!O41</f>
        <v>2100</v>
      </c>
      <c r="H5908" s="308">
        <f>COMEDORES!P41</f>
        <v>155409.79999999999</v>
      </c>
    </row>
    <row r="5909" spans="1:8" x14ac:dyDescent="0.3">
      <c r="A5909" t="s">
        <v>628</v>
      </c>
      <c r="B5909" t="s">
        <v>42</v>
      </c>
      <c r="C5909" t="s">
        <v>379</v>
      </c>
      <c r="D5909" t="s">
        <v>745</v>
      </c>
      <c r="E5909" t="s">
        <v>772</v>
      </c>
      <c r="F5909">
        <v>7</v>
      </c>
      <c r="G5909" s="308">
        <f>COMEDORES!Q41</f>
        <v>2300</v>
      </c>
      <c r="H5909" s="308">
        <f>COMEDORES!R41</f>
        <v>212607</v>
      </c>
    </row>
    <row r="5910" spans="1:8" x14ac:dyDescent="0.3">
      <c r="A5910" t="s">
        <v>628</v>
      </c>
      <c r="B5910" t="s">
        <v>42</v>
      </c>
      <c r="C5910" t="s">
        <v>379</v>
      </c>
      <c r="D5910" t="s">
        <v>746</v>
      </c>
      <c r="E5910" t="s">
        <v>766</v>
      </c>
      <c r="F5910">
        <v>1</v>
      </c>
      <c r="G5910" s="308">
        <f>COMEDORES!E42</f>
        <v>0</v>
      </c>
      <c r="H5910" s="308">
        <f>COMEDORES!F42</f>
        <v>0</v>
      </c>
    </row>
    <row r="5911" spans="1:8" x14ac:dyDescent="0.3">
      <c r="A5911" t="s">
        <v>628</v>
      </c>
      <c r="B5911" t="s">
        <v>42</v>
      </c>
      <c r="C5911" t="s">
        <v>379</v>
      </c>
      <c r="D5911" t="s">
        <v>746</v>
      </c>
      <c r="E5911" t="s">
        <v>767</v>
      </c>
      <c r="F5911">
        <v>2</v>
      </c>
      <c r="G5911" s="308">
        <f>COMEDORES!G42</f>
        <v>0</v>
      </c>
      <c r="H5911" s="308">
        <f>COMEDORES!H42</f>
        <v>0</v>
      </c>
    </row>
    <row r="5912" spans="1:8" x14ac:dyDescent="0.3">
      <c r="A5912" t="s">
        <v>628</v>
      </c>
      <c r="B5912" t="s">
        <v>42</v>
      </c>
      <c r="C5912" t="s">
        <v>379</v>
      </c>
      <c r="D5912" t="s">
        <v>746</v>
      </c>
      <c r="E5912" t="s">
        <v>768</v>
      </c>
      <c r="F5912">
        <v>3</v>
      </c>
      <c r="G5912" s="308">
        <f>COMEDORES!I42</f>
        <v>0</v>
      </c>
      <c r="H5912" s="308">
        <f>COMEDORES!J42</f>
        <v>0</v>
      </c>
    </row>
    <row r="5913" spans="1:8" x14ac:dyDescent="0.3">
      <c r="A5913" t="s">
        <v>628</v>
      </c>
      <c r="B5913" t="s">
        <v>42</v>
      </c>
      <c r="C5913" t="s">
        <v>379</v>
      </c>
      <c r="D5913" t="s">
        <v>746</v>
      </c>
      <c r="E5913" t="s">
        <v>769</v>
      </c>
      <c r="F5913">
        <v>4</v>
      </c>
      <c r="G5913" s="308">
        <f>COMEDORES!K42</f>
        <v>2945</v>
      </c>
      <c r="H5913" s="308">
        <f>COMEDORES!L42</f>
        <v>0</v>
      </c>
    </row>
    <row r="5914" spans="1:8" x14ac:dyDescent="0.3">
      <c r="A5914" t="s">
        <v>628</v>
      </c>
      <c r="B5914" t="s">
        <v>42</v>
      </c>
      <c r="C5914" t="s">
        <v>379</v>
      </c>
      <c r="D5914" t="s">
        <v>746</v>
      </c>
      <c r="E5914" t="s">
        <v>770</v>
      </c>
      <c r="F5914">
        <v>5</v>
      </c>
      <c r="G5914" s="308">
        <f>COMEDORES!M42</f>
        <v>3316</v>
      </c>
      <c r="H5914" s="308">
        <f>COMEDORES!N42</f>
        <v>0</v>
      </c>
    </row>
    <row r="5915" spans="1:8" x14ac:dyDescent="0.3">
      <c r="A5915" t="s">
        <v>628</v>
      </c>
      <c r="B5915" t="s">
        <v>42</v>
      </c>
      <c r="C5915" t="s">
        <v>379</v>
      </c>
      <c r="D5915" t="s">
        <v>746</v>
      </c>
      <c r="E5915" t="s">
        <v>771</v>
      </c>
      <c r="F5915">
        <v>6</v>
      </c>
      <c r="G5915" s="308">
        <f>COMEDORES!O42</f>
        <v>3636</v>
      </c>
      <c r="H5915" s="308">
        <f>COMEDORES!P42</f>
        <v>0</v>
      </c>
    </row>
    <row r="5916" spans="1:8" x14ac:dyDescent="0.3">
      <c r="A5916" t="s">
        <v>628</v>
      </c>
      <c r="B5916" t="s">
        <v>42</v>
      </c>
      <c r="C5916" t="s">
        <v>379</v>
      </c>
      <c r="D5916" t="s">
        <v>746</v>
      </c>
      <c r="E5916" t="s">
        <v>772</v>
      </c>
      <c r="F5916">
        <v>7</v>
      </c>
      <c r="G5916" s="308">
        <f>COMEDORES!Q42</f>
        <v>3838</v>
      </c>
      <c r="H5916" s="308">
        <f>COMEDORES!R42</f>
        <v>0</v>
      </c>
    </row>
    <row r="5917" spans="1:8" x14ac:dyDescent="0.3">
      <c r="A5917" t="s">
        <v>628</v>
      </c>
      <c r="B5917" t="s">
        <v>42</v>
      </c>
      <c r="C5917" t="s">
        <v>641</v>
      </c>
      <c r="D5917" t="s">
        <v>745</v>
      </c>
      <c r="E5917" t="s">
        <v>766</v>
      </c>
      <c r="F5917">
        <v>1</v>
      </c>
      <c r="G5917" s="308">
        <f>COMEDORES!E43</f>
        <v>0</v>
      </c>
      <c r="H5917" s="308">
        <f>COMEDORES!F43</f>
        <v>0</v>
      </c>
    </row>
    <row r="5918" spans="1:8" x14ac:dyDescent="0.3">
      <c r="A5918" t="s">
        <v>628</v>
      </c>
      <c r="B5918" t="s">
        <v>42</v>
      </c>
      <c r="C5918" t="s">
        <v>641</v>
      </c>
      <c r="D5918" t="s">
        <v>745</v>
      </c>
      <c r="E5918" t="s">
        <v>767</v>
      </c>
      <c r="F5918">
        <v>2</v>
      </c>
      <c r="G5918" s="308">
        <f>COMEDORES!G43</f>
        <v>0</v>
      </c>
      <c r="H5918" s="308">
        <f>COMEDORES!H43</f>
        <v>0</v>
      </c>
    </row>
    <row r="5919" spans="1:8" x14ac:dyDescent="0.3">
      <c r="A5919" t="s">
        <v>628</v>
      </c>
      <c r="B5919" t="s">
        <v>42</v>
      </c>
      <c r="C5919" t="s">
        <v>641</v>
      </c>
      <c r="D5919" t="s">
        <v>745</v>
      </c>
      <c r="E5919" t="s">
        <v>768</v>
      </c>
      <c r="F5919">
        <v>3</v>
      </c>
      <c r="G5919" s="308">
        <f>COMEDORES!I43</f>
        <v>0</v>
      </c>
      <c r="H5919" s="308">
        <f>COMEDORES!J43</f>
        <v>0</v>
      </c>
    </row>
    <row r="5920" spans="1:8" x14ac:dyDescent="0.3">
      <c r="A5920" t="s">
        <v>628</v>
      </c>
      <c r="B5920" t="s">
        <v>42</v>
      </c>
      <c r="C5920" t="s">
        <v>641</v>
      </c>
      <c r="D5920" t="s">
        <v>745</v>
      </c>
      <c r="E5920" t="s">
        <v>769</v>
      </c>
      <c r="F5920">
        <v>4</v>
      </c>
      <c r="G5920" s="308">
        <f>COMEDORES!K43</f>
        <v>0</v>
      </c>
      <c r="H5920" s="308">
        <f>COMEDORES!L43</f>
        <v>0</v>
      </c>
    </row>
    <row r="5921" spans="1:8" x14ac:dyDescent="0.3">
      <c r="A5921" t="s">
        <v>628</v>
      </c>
      <c r="B5921" t="s">
        <v>42</v>
      </c>
      <c r="C5921" t="s">
        <v>641</v>
      </c>
      <c r="D5921" t="s">
        <v>745</v>
      </c>
      <c r="E5921" t="s">
        <v>770</v>
      </c>
      <c r="F5921">
        <v>5</v>
      </c>
      <c r="G5921" s="308">
        <f>COMEDORES!M43</f>
        <v>0</v>
      </c>
      <c r="H5921" s="308">
        <f>COMEDORES!N43</f>
        <v>0</v>
      </c>
    </row>
    <row r="5922" spans="1:8" x14ac:dyDescent="0.3">
      <c r="A5922" t="s">
        <v>628</v>
      </c>
      <c r="B5922" t="s">
        <v>42</v>
      </c>
      <c r="C5922" t="s">
        <v>641</v>
      </c>
      <c r="D5922" t="s">
        <v>745</v>
      </c>
      <c r="E5922" t="s">
        <v>771</v>
      </c>
      <c r="F5922">
        <v>6</v>
      </c>
      <c r="G5922" s="308">
        <f>COMEDORES!O43</f>
        <v>0</v>
      </c>
      <c r="H5922" s="308">
        <f>COMEDORES!P43</f>
        <v>0</v>
      </c>
    </row>
    <row r="5923" spans="1:8" x14ac:dyDescent="0.3">
      <c r="A5923" t="s">
        <v>628</v>
      </c>
      <c r="B5923" t="s">
        <v>42</v>
      </c>
      <c r="C5923" t="s">
        <v>641</v>
      </c>
      <c r="D5923" t="s">
        <v>745</v>
      </c>
      <c r="E5923" t="s">
        <v>772</v>
      </c>
      <c r="F5923">
        <v>7</v>
      </c>
      <c r="G5923" s="308">
        <f>COMEDORES!Q43</f>
        <v>1825</v>
      </c>
      <c r="H5923" s="308">
        <f>COMEDORES!R43</f>
        <v>0</v>
      </c>
    </row>
    <row r="5924" spans="1:8" x14ac:dyDescent="0.3">
      <c r="A5924" t="s">
        <v>628</v>
      </c>
      <c r="B5924" t="s">
        <v>42</v>
      </c>
      <c r="C5924" t="s">
        <v>641</v>
      </c>
      <c r="D5924" t="s">
        <v>746</v>
      </c>
      <c r="E5924" t="s">
        <v>766</v>
      </c>
      <c r="F5924">
        <v>1</v>
      </c>
      <c r="G5924" s="308">
        <f>COMEDORES!E44</f>
        <v>0</v>
      </c>
      <c r="H5924" s="308">
        <f>COMEDORES!F44</f>
        <v>0</v>
      </c>
    </row>
    <row r="5925" spans="1:8" x14ac:dyDescent="0.3">
      <c r="A5925" t="s">
        <v>628</v>
      </c>
      <c r="B5925" t="s">
        <v>42</v>
      </c>
      <c r="C5925" t="s">
        <v>641</v>
      </c>
      <c r="D5925" t="s">
        <v>746</v>
      </c>
      <c r="E5925" t="s">
        <v>767</v>
      </c>
      <c r="F5925">
        <v>2</v>
      </c>
      <c r="G5925" s="308">
        <f>COMEDORES!G44</f>
        <v>0</v>
      </c>
      <c r="H5925" s="308">
        <f>COMEDORES!H44</f>
        <v>0</v>
      </c>
    </row>
    <row r="5926" spans="1:8" x14ac:dyDescent="0.3">
      <c r="A5926" t="s">
        <v>628</v>
      </c>
      <c r="B5926" t="s">
        <v>42</v>
      </c>
      <c r="C5926" t="s">
        <v>641</v>
      </c>
      <c r="D5926" t="s">
        <v>746</v>
      </c>
      <c r="E5926" t="s">
        <v>768</v>
      </c>
      <c r="F5926">
        <v>3</v>
      </c>
      <c r="G5926" s="308">
        <f>COMEDORES!I44</f>
        <v>0</v>
      </c>
      <c r="H5926" s="308">
        <f>COMEDORES!J44</f>
        <v>0</v>
      </c>
    </row>
    <row r="5927" spans="1:8" x14ac:dyDescent="0.3">
      <c r="A5927" t="s">
        <v>628</v>
      </c>
      <c r="B5927" t="s">
        <v>42</v>
      </c>
      <c r="C5927" t="s">
        <v>641</v>
      </c>
      <c r="D5927" t="s">
        <v>746</v>
      </c>
      <c r="E5927" t="s">
        <v>769</v>
      </c>
      <c r="F5927">
        <v>4</v>
      </c>
      <c r="G5927" s="308">
        <f>COMEDORES!K44</f>
        <v>0</v>
      </c>
      <c r="H5927" s="308">
        <f>COMEDORES!L44</f>
        <v>0</v>
      </c>
    </row>
    <row r="5928" spans="1:8" x14ac:dyDescent="0.3">
      <c r="A5928" t="s">
        <v>628</v>
      </c>
      <c r="B5928" t="s">
        <v>42</v>
      </c>
      <c r="C5928" t="s">
        <v>641</v>
      </c>
      <c r="D5928" t="s">
        <v>746</v>
      </c>
      <c r="E5928" t="s">
        <v>770</v>
      </c>
      <c r="F5928">
        <v>5</v>
      </c>
      <c r="G5928" s="308">
        <f>COMEDORES!M44</f>
        <v>0</v>
      </c>
      <c r="H5928" s="308">
        <f>COMEDORES!N44</f>
        <v>0</v>
      </c>
    </row>
    <row r="5929" spans="1:8" x14ac:dyDescent="0.3">
      <c r="A5929" t="s">
        <v>628</v>
      </c>
      <c r="B5929" t="s">
        <v>42</v>
      </c>
      <c r="C5929" t="s">
        <v>641</v>
      </c>
      <c r="D5929" t="s">
        <v>746</v>
      </c>
      <c r="E5929" t="s">
        <v>771</v>
      </c>
      <c r="F5929">
        <v>6</v>
      </c>
      <c r="G5929" s="308">
        <f>COMEDORES!O44</f>
        <v>0</v>
      </c>
      <c r="H5929" s="308">
        <f>COMEDORES!P44</f>
        <v>0</v>
      </c>
    </row>
    <row r="5930" spans="1:8" x14ac:dyDescent="0.3">
      <c r="A5930" t="s">
        <v>628</v>
      </c>
      <c r="B5930" t="s">
        <v>42</v>
      </c>
      <c r="C5930" t="s">
        <v>641</v>
      </c>
      <c r="D5930" t="s">
        <v>746</v>
      </c>
      <c r="E5930" t="s">
        <v>772</v>
      </c>
      <c r="F5930">
        <v>7</v>
      </c>
      <c r="G5930" s="308">
        <f>COMEDORES!Q44</f>
        <v>2225</v>
      </c>
      <c r="H5930" s="308">
        <f>COMEDORES!R44</f>
        <v>0</v>
      </c>
    </row>
    <row r="5931" spans="1:8" x14ac:dyDescent="0.3">
      <c r="A5931" t="s">
        <v>628</v>
      </c>
      <c r="B5931" t="s">
        <v>42</v>
      </c>
      <c r="C5931" t="s">
        <v>642</v>
      </c>
      <c r="D5931" t="s">
        <v>745</v>
      </c>
      <c r="E5931" t="s">
        <v>766</v>
      </c>
      <c r="F5931">
        <v>1</v>
      </c>
      <c r="G5931" s="308">
        <f>COMEDORES!E45</f>
        <v>0</v>
      </c>
      <c r="H5931" s="308">
        <f>COMEDORES!F45</f>
        <v>0</v>
      </c>
    </row>
    <row r="5932" spans="1:8" x14ac:dyDescent="0.3">
      <c r="A5932" t="s">
        <v>628</v>
      </c>
      <c r="B5932" t="s">
        <v>42</v>
      </c>
      <c r="C5932" t="s">
        <v>642</v>
      </c>
      <c r="D5932" t="s">
        <v>745</v>
      </c>
      <c r="E5932" t="s">
        <v>767</v>
      </c>
      <c r="F5932">
        <v>2</v>
      </c>
      <c r="G5932" s="308">
        <f>COMEDORES!G45</f>
        <v>0</v>
      </c>
      <c r="H5932" s="308">
        <f>COMEDORES!H45</f>
        <v>0</v>
      </c>
    </row>
    <row r="5933" spans="1:8" x14ac:dyDescent="0.3">
      <c r="A5933" t="s">
        <v>628</v>
      </c>
      <c r="B5933" t="s">
        <v>42</v>
      </c>
      <c r="C5933" t="s">
        <v>642</v>
      </c>
      <c r="D5933" t="s">
        <v>745</v>
      </c>
      <c r="E5933" t="s">
        <v>768</v>
      </c>
      <c r="F5933">
        <v>3</v>
      </c>
      <c r="G5933" s="308">
        <f>COMEDORES!I45</f>
        <v>0</v>
      </c>
      <c r="H5933" s="308">
        <f>COMEDORES!J45</f>
        <v>0</v>
      </c>
    </row>
    <row r="5934" spans="1:8" x14ac:dyDescent="0.3">
      <c r="A5934" t="s">
        <v>628</v>
      </c>
      <c r="B5934" t="s">
        <v>42</v>
      </c>
      <c r="C5934" t="s">
        <v>642</v>
      </c>
      <c r="D5934" t="s">
        <v>745</v>
      </c>
      <c r="E5934" t="s">
        <v>769</v>
      </c>
      <c r="F5934">
        <v>4</v>
      </c>
      <c r="G5934" s="308">
        <f>COMEDORES!K45</f>
        <v>0</v>
      </c>
      <c r="H5934" s="308">
        <f>COMEDORES!L45</f>
        <v>0</v>
      </c>
    </row>
    <row r="5935" spans="1:8" x14ac:dyDescent="0.3">
      <c r="A5935" t="s">
        <v>628</v>
      </c>
      <c r="B5935" t="s">
        <v>42</v>
      </c>
      <c r="C5935" t="s">
        <v>642</v>
      </c>
      <c r="D5935" t="s">
        <v>745</v>
      </c>
      <c r="E5935" t="s">
        <v>770</v>
      </c>
      <c r="F5935">
        <v>5</v>
      </c>
      <c r="G5935" s="308">
        <f>COMEDORES!M45</f>
        <v>0</v>
      </c>
      <c r="H5935" s="308">
        <f>COMEDORES!N45</f>
        <v>0</v>
      </c>
    </row>
    <row r="5936" spans="1:8" x14ac:dyDescent="0.3">
      <c r="A5936" t="s">
        <v>628</v>
      </c>
      <c r="B5936" t="s">
        <v>42</v>
      </c>
      <c r="C5936" t="s">
        <v>642</v>
      </c>
      <c r="D5936" t="s">
        <v>745</v>
      </c>
      <c r="E5936" t="s">
        <v>771</v>
      </c>
      <c r="F5936">
        <v>6</v>
      </c>
      <c r="G5936" s="308">
        <f>COMEDORES!O45</f>
        <v>0</v>
      </c>
      <c r="H5936" s="308">
        <f>COMEDORES!P45</f>
        <v>0</v>
      </c>
    </row>
    <row r="5937" spans="1:8" x14ac:dyDescent="0.3">
      <c r="A5937" t="s">
        <v>628</v>
      </c>
      <c r="B5937" t="s">
        <v>42</v>
      </c>
      <c r="C5937" t="s">
        <v>642</v>
      </c>
      <c r="D5937" t="s">
        <v>745</v>
      </c>
      <c r="E5937" t="s">
        <v>772</v>
      </c>
      <c r="F5937">
        <v>7</v>
      </c>
      <c r="G5937" s="308">
        <f>COMEDORES!Q45</f>
        <v>1850</v>
      </c>
      <c r="H5937" s="308">
        <f>COMEDORES!R45</f>
        <v>0</v>
      </c>
    </row>
    <row r="5938" spans="1:8" x14ac:dyDescent="0.3">
      <c r="A5938" t="s">
        <v>628</v>
      </c>
      <c r="B5938" t="s">
        <v>42</v>
      </c>
      <c r="C5938" t="s">
        <v>642</v>
      </c>
      <c r="D5938" t="s">
        <v>746</v>
      </c>
      <c r="E5938" t="s">
        <v>766</v>
      </c>
      <c r="F5938">
        <v>1</v>
      </c>
      <c r="G5938" s="308">
        <f>COMEDORES!E46</f>
        <v>0</v>
      </c>
      <c r="H5938" s="308">
        <f>COMEDORES!F46</f>
        <v>0</v>
      </c>
    </row>
    <row r="5939" spans="1:8" x14ac:dyDescent="0.3">
      <c r="A5939" t="s">
        <v>628</v>
      </c>
      <c r="B5939" t="s">
        <v>42</v>
      </c>
      <c r="C5939" t="s">
        <v>642</v>
      </c>
      <c r="D5939" t="s">
        <v>746</v>
      </c>
      <c r="E5939" t="s">
        <v>767</v>
      </c>
      <c r="F5939">
        <v>2</v>
      </c>
      <c r="G5939" s="308">
        <f>COMEDORES!G46</f>
        <v>0</v>
      </c>
      <c r="H5939" s="308">
        <f>COMEDORES!H46</f>
        <v>0</v>
      </c>
    </row>
    <row r="5940" spans="1:8" x14ac:dyDescent="0.3">
      <c r="A5940" t="s">
        <v>628</v>
      </c>
      <c r="B5940" t="s">
        <v>42</v>
      </c>
      <c r="C5940" t="s">
        <v>642</v>
      </c>
      <c r="D5940" t="s">
        <v>746</v>
      </c>
      <c r="E5940" t="s">
        <v>768</v>
      </c>
      <c r="F5940">
        <v>3</v>
      </c>
      <c r="G5940" s="308">
        <f>COMEDORES!I46</f>
        <v>0</v>
      </c>
      <c r="H5940" s="308">
        <f>COMEDORES!J46</f>
        <v>0</v>
      </c>
    </row>
    <row r="5941" spans="1:8" x14ac:dyDescent="0.3">
      <c r="A5941" t="s">
        <v>628</v>
      </c>
      <c r="B5941" t="s">
        <v>42</v>
      </c>
      <c r="C5941" t="s">
        <v>642</v>
      </c>
      <c r="D5941" t="s">
        <v>746</v>
      </c>
      <c r="E5941" t="s">
        <v>769</v>
      </c>
      <c r="F5941">
        <v>4</v>
      </c>
      <c r="G5941" s="308">
        <f>COMEDORES!K46</f>
        <v>0</v>
      </c>
      <c r="H5941" s="308">
        <f>COMEDORES!L46</f>
        <v>0</v>
      </c>
    </row>
    <row r="5942" spans="1:8" x14ac:dyDescent="0.3">
      <c r="A5942" t="s">
        <v>628</v>
      </c>
      <c r="B5942" t="s">
        <v>42</v>
      </c>
      <c r="C5942" t="s">
        <v>642</v>
      </c>
      <c r="D5942" t="s">
        <v>746</v>
      </c>
      <c r="E5942" t="s">
        <v>770</v>
      </c>
      <c r="F5942">
        <v>5</v>
      </c>
      <c r="G5942" s="308">
        <f>COMEDORES!M46</f>
        <v>0</v>
      </c>
      <c r="H5942" s="308">
        <f>COMEDORES!N46</f>
        <v>0</v>
      </c>
    </row>
    <row r="5943" spans="1:8" x14ac:dyDescent="0.3">
      <c r="A5943" t="s">
        <v>628</v>
      </c>
      <c r="B5943" t="s">
        <v>42</v>
      </c>
      <c r="C5943" t="s">
        <v>642</v>
      </c>
      <c r="D5943" t="s">
        <v>746</v>
      </c>
      <c r="E5943" t="s">
        <v>771</v>
      </c>
      <c r="F5943">
        <v>6</v>
      </c>
      <c r="G5943" s="308">
        <f>COMEDORES!O46</f>
        <v>0</v>
      </c>
      <c r="H5943" s="308">
        <f>COMEDORES!P46</f>
        <v>0</v>
      </c>
    </row>
    <row r="5944" spans="1:8" x14ac:dyDescent="0.3">
      <c r="A5944" t="s">
        <v>628</v>
      </c>
      <c r="B5944" t="s">
        <v>42</v>
      </c>
      <c r="C5944" t="s">
        <v>642</v>
      </c>
      <c r="D5944" t="s">
        <v>746</v>
      </c>
      <c r="E5944" t="s">
        <v>772</v>
      </c>
      <c r="F5944">
        <v>7</v>
      </c>
      <c r="G5944" s="308">
        <f>COMEDORES!Q46</f>
        <v>2700</v>
      </c>
      <c r="H5944" s="308">
        <f>COMEDORES!R46</f>
        <v>0</v>
      </c>
    </row>
    <row r="5945" spans="1:8" x14ac:dyDescent="0.3">
      <c r="A5945" t="s">
        <v>628</v>
      </c>
      <c r="B5945" t="s">
        <v>42</v>
      </c>
      <c r="C5945" t="s">
        <v>380</v>
      </c>
      <c r="D5945" t="s">
        <v>745</v>
      </c>
      <c r="E5945" t="s">
        <v>766</v>
      </c>
      <c r="F5945">
        <v>1</v>
      </c>
      <c r="G5945" s="308">
        <f>COMEDORES!E47</f>
        <v>1200</v>
      </c>
      <c r="H5945" s="308">
        <f>COMEDORES!F47</f>
        <v>0</v>
      </c>
    </row>
    <row r="5946" spans="1:8" x14ac:dyDescent="0.3">
      <c r="A5946" t="s">
        <v>628</v>
      </c>
      <c r="B5946" t="s">
        <v>42</v>
      </c>
      <c r="C5946" t="s">
        <v>380</v>
      </c>
      <c r="D5946" t="s">
        <v>745</v>
      </c>
      <c r="E5946" t="s">
        <v>767</v>
      </c>
      <c r="F5946">
        <v>2</v>
      </c>
      <c r="G5946" s="308">
        <f>COMEDORES!G47</f>
        <v>1500</v>
      </c>
      <c r="H5946" s="308">
        <f>COMEDORES!H47</f>
        <v>89250</v>
      </c>
    </row>
    <row r="5947" spans="1:8" x14ac:dyDescent="0.3">
      <c r="A5947" t="s">
        <v>628</v>
      </c>
      <c r="B5947" t="s">
        <v>42</v>
      </c>
      <c r="C5947" t="s">
        <v>380</v>
      </c>
      <c r="D5947" t="s">
        <v>745</v>
      </c>
      <c r="E5947" t="s">
        <v>768</v>
      </c>
      <c r="F5947">
        <v>3</v>
      </c>
      <c r="G5947" s="308">
        <f>COMEDORES!I47</f>
        <v>1650</v>
      </c>
      <c r="H5947" s="308">
        <f>COMEDORES!J47</f>
        <v>95570.5</v>
      </c>
    </row>
    <row r="5948" spans="1:8" x14ac:dyDescent="0.3">
      <c r="A5948" t="s">
        <v>628</v>
      </c>
      <c r="B5948" t="s">
        <v>42</v>
      </c>
      <c r="C5948" t="s">
        <v>380</v>
      </c>
      <c r="D5948" t="s">
        <v>745</v>
      </c>
      <c r="E5948" t="s">
        <v>769</v>
      </c>
      <c r="F5948">
        <v>4</v>
      </c>
      <c r="G5948" s="308">
        <f>COMEDORES!K47</f>
        <v>1900</v>
      </c>
      <c r="H5948" s="308">
        <f>COMEDORES!L47</f>
        <v>155925</v>
      </c>
    </row>
    <row r="5949" spans="1:8" x14ac:dyDescent="0.3">
      <c r="A5949" t="s">
        <v>628</v>
      </c>
      <c r="B5949" t="s">
        <v>42</v>
      </c>
      <c r="C5949" t="s">
        <v>380</v>
      </c>
      <c r="D5949" t="s">
        <v>745</v>
      </c>
      <c r="E5949" t="s">
        <v>770</v>
      </c>
      <c r="F5949">
        <v>5</v>
      </c>
      <c r="G5949" s="308">
        <f>COMEDORES!M47</f>
        <v>1979</v>
      </c>
      <c r="H5949" s="308">
        <f>COMEDORES!N47</f>
        <v>0</v>
      </c>
    </row>
    <row r="5950" spans="1:8" x14ac:dyDescent="0.3">
      <c r="A5950" t="s">
        <v>628</v>
      </c>
      <c r="B5950" t="s">
        <v>42</v>
      </c>
      <c r="C5950" t="s">
        <v>380</v>
      </c>
      <c r="D5950" t="s">
        <v>745</v>
      </c>
      <c r="E5950" t="s">
        <v>771</v>
      </c>
      <c r="F5950">
        <v>6</v>
      </c>
      <c r="G5950" s="308">
        <f>COMEDORES!O47</f>
        <v>2100</v>
      </c>
      <c r="H5950" s="308">
        <f>COMEDORES!P47</f>
        <v>133475</v>
      </c>
    </row>
    <row r="5951" spans="1:8" x14ac:dyDescent="0.3">
      <c r="A5951" t="s">
        <v>628</v>
      </c>
      <c r="B5951" t="s">
        <v>42</v>
      </c>
      <c r="C5951" t="s">
        <v>380</v>
      </c>
      <c r="D5951" t="s">
        <v>745</v>
      </c>
      <c r="E5951" t="s">
        <v>772</v>
      </c>
      <c r="F5951">
        <v>7</v>
      </c>
      <c r="G5951" s="308">
        <f>COMEDORES!Q47</f>
        <v>2290</v>
      </c>
      <c r="H5951" s="308">
        <f>COMEDORES!R47</f>
        <v>285004</v>
      </c>
    </row>
    <row r="5952" spans="1:8" x14ac:dyDescent="0.3">
      <c r="A5952" t="s">
        <v>628</v>
      </c>
      <c r="B5952" t="s">
        <v>42</v>
      </c>
      <c r="C5952" t="s">
        <v>380</v>
      </c>
      <c r="D5952" t="s">
        <v>746</v>
      </c>
      <c r="E5952" t="s">
        <v>766</v>
      </c>
      <c r="F5952">
        <v>1</v>
      </c>
      <c r="G5952" s="308">
        <f>COMEDORES!E48</f>
        <v>2537</v>
      </c>
      <c r="H5952" s="308">
        <f>COMEDORES!F48</f>
        <v>0</v>
      </c>
    </row>
    <row r="5953" spans="1:8" x14ac:dyDescent="0.3">
      <c r="A5953" t="s">
        <v>628</v>
      </c>
      <c r="B5953" t="s">
        <v>42</v>
      </c>
      <c r="C5953" t="s">
        <v>380</v>
      </c>
      <c r="D5953" t="s">
        <v>746</v>
      </c>
      <c r="E5953" t="s">
        <v>767</v>
      </c>
      <c r="F5953">
        <v>2</v>
      </c>
      <c r="G5953" s="308">
        <f>COMEDORES!G48</f>
        <v>3000</v>
      </c>
      <c r="H5953" s="308">
        <f>COMEDORES!H48</f>
        <v>0</v>
      </c>
    </row>
    <row r="5954" spans="1:8" x14ac:dyDescent="0.3">
      <c r="A5954" t="s">
        <v>628</v>
      </c>
      <c r="B5954" t="s">
        <v>42</v>
      </c>
      <c r="C5954" t="s">
        <v>380</v>
      </c>
      <c r="D5954" t="s">
        <v>746</v>
      </c>
      <c r="E5954" t="s">
        <v>768</v>
      </c>
      <c r="F5954">
        <v>3</v>
      </c>
      <c r="G5954" s="308">
        <f>COMEDORES!I48</f>
        <v>3300</v>
      </c>
      <c r="H5954" s="308">
        <f>COMEDORES!J48</f>
        <v>0</v>
      </c>
    </row>
    <row r="5955" spans="1:8" x14ac:dyDescent="0.3">
      <c r="A5955" t="s">
        <v>628</v>
      </c>
      <c r="B5955" t="s">
        <v>42</v>
      </c>
      <c r="C5955" t="s">
        <v>380</v>
      </c>
      <c r="D5955" t="s">
        <v>746</v>
      </c>
      <c r="E5955" t="s">
        <v>769</v>
      </c>
      <c r="F5955">
        <v>4</v>
      </c>
      <c r="G5955" s="308">
        <f>COMEDORES!K48</f>
        <v>3325</v>
      </c>
      <c r="H5955" s="308">
        <f>COMEDORES!L48</f>
        <v>0</v>
      </c>
    </row>
    <row r="5956" spans="1:8" x14ac:dyDescent="0.3">
      <c r="A5956" t="s">
        <v>628</v>
      </c>
      <c r="B5956" t="s">
        <v>42</v>
      </c>
      <c r="C5956" t="s">
        <v>380</v>
      </c>
      <c r="D5956" t="s">
        <v>746</v>
      </c>
      <c r="E5956" t="s">
        <v>770</v>
      </c>
      <c r="F5956">
        <v>5</v>
      </c>
      <c r="G5956" s="308">
        <f>COMEDORES!M48</f>
        <v>3406</v>
      </c>
      <c r="H5956" s="308">
        <f>COMEDORES!N48</f>
        <v>0</v>
      </c>
    </row>
    <row r="5957" spans="1:8" x14ac:dyDescent="0.3">
      <c r="A5957" t="s">
        <v>628</v>
      </c>
      <c r="B5957" t="s">
        <v>42</v>
      </c>
      <c r="C5957" t="s">
        <v>380</v>
      </c>
      <c r="D5957" t="s">
        <v>746</v>
      </c>
      <c r="E5957" t="s">
        <v>771</v>
      </c>
      <c r="F5957">
        <v>6</v>
      </c>
      <c r="G5957" s="308">
        <f>COMEDORES!O48</f>
        <v>3675</v>
      </c>
      <c r="H5957" s="308">
        <f>COMEDORES!P48</f>
        <v>0</v>
      </c>
    </row>
    <row r="5958" spans="1:8" x14ac:dyDescent="0.3">
      <c r="A5958" t="s">
        <v>628</v>
      </c>
      <c r="B5958" t="s">
        <v>42</v>
      </c>
      <c r="C5958" t="s">
        <v>380</v>
      </c>
      <c r="D5958" t="s">
        <v>746</v>
      </c>
      <c r="E5958" t="s">
        <v>772</v>
      </c>
      <c r="F5958">
        <v>7</v>
      </c>
      <c r="G5958" s="308">
        <f>COMEDORES!Q48</f>
        <v>4309</v>
      </c>
      <c r="H5958" s="308">
        <f>COMEDORES!R48</f>
        <v>0</v>
      </c>
    </row>
    <row r="5959" spans="1:8" x14ac:dyDescent="0.3">
      <c r="A5959" t="s">
        <v>628</v>
      </c>
      <c r="B5959" t="s">
        <v>42</v>
      </c>
      <c r="C5959" t="s">
        <v>50</v>
      </c>
      <c r="D5959" t="s">
        <v>745</v>
      </c>
      <c r="E5959" t="s">
        <v>766</v>
      </c>
      <c r="F5959">
        <v>1</v>
      </c>
      <c r="G5959" s="308">
        <f>COMEDORES!E49</f>
        <v>2400</v>
      </c>
      <c r="H5959" s="308">
        <f>COMEDORES!F49</f>
        <v>0</v>
      </c>
    </row>
    <row r="5960" spans="1:8" x14ac:dyDescent="0.3">
      <c r="A5960" t="s">
        <v>628</v>
      </c>
      <c r="B5960" t="s">
        <v>42</v>
      </c>
      <c r="C5960" t="s">
        <v>50</v>
      </c>
      <c r="D5960" t="s">
        <v>745</v>
      </c>
      <c r="E5960" t="s">
        <v>767</v>
      </c>
      <c r="F5960">
        <v>2</v>
      </c>
      <c r="G5960" s="308">
        <f>COMEDORES!G49</f>
        <v>3000</v>
      </c>
      <c r="H5960" s="308">
        <f>COMEDORES!H49</f>
        <v>172950</v>
      </c>
    </row>
    <row r="5961" spans="1:8" x14ac:dyDescent="0.3">
      <c r="A5961" t="s">
        <v>628</v>
      </c>
      <c r="B5961" t="s">
        <v>42</v>
      </c>
      <c r="C5961" t="s">
        <v>50</v>
      </c>
      <c r="D5961" t="s">
        <v>745</v>
      </c>
      <c r="E5961" t="s">
        <v>768</v>
      </c>
      <c r="F5961">
        <v>3</v>
      </c>
      <c r="G5961" s="308">
        <f>COMEDORES!I49</f>
        <v>3300</v>
      </c>
      <c r="H5961" s="308">
        <f>COMEDORES!J49</f>
        <v>207750</v>
      </c>
    </row>
    <row r="5962" spans="1:8" x14ac:dyDescent="0.3">
      <c r="A5962" t="s">
        <v>628</v>
      </c>
      <c r="B5962" t="s">
        <v>42</v>
      </c>
      <c r="C5962" t="s">
        <v>50</v>
      </c>
      <c r="D5962" t="s">
        <v>745</v>
      </c>
      <c r="E5962" t="s">
        <v>769</v>
      </c>
      <c r="F5962">
        <v>4</v>
      </c>
      <c r="G5962" s="308">
        <f>COMEDORES!K49</f>
        <v>2700</v>
      </c>
      <c r="H5962" s="308">
        <f>COMEDORES!L49</f>
        <v>292666</v>
      </c>
    </row>
    <row r="5963" spans="1:8" x14ac:dyDescent="0.3">
      <c r="A5963" t="s">
        <v>628</v>
      </c>
      <c r="B5963" t="s">
        <v>42</v>
      </c>
      <c r="C5963" t="s">
        <v>50</v>
      </c>
      <c r="D5963" t="s">
        <v>745</v>
      </c>
      <c r="E5963" t="s">
        <v>770</v>
      </c>
      <c r="F5963">
        <v>5</v>
      </c>
      <c r="G5963" s="308">
        <f>COMEDORES!M49</f>
        <v>2965</v>
      </c>
      <c r="H5963" s="308">
        <f>COMEDORES!N49</f>
        <v>239454</v>
      </c>
    </row>
    <row r="5964" spans="1:8" x14ac:dyDescent="0.3">
      <c r="A5964" t="s">
        <v>628</v>
      </c>
      <c r="B5964" t="s">
        <v>42</v>
      </c>
      <c r="C5964" t="s">
        <v>50</v>
      </c>
      <c r="D5964" t="s">
        <v>745</v>
      </c>
      <c r="E5964" t="s">
        <v>771</v>
      </c>
      <c r="F5964">
        <v>6</v>
      </c>
      <c r="G5964" s="308">
        <f>COMEDORES!O49</f>
        <v>3150</v>
      </c>
      <c r="H5964" s="308">
        <f>COMEDORES!P49</f>
        <v>264655.5</v>
      </c>
    </row>
    <row r="5965" spans="1:8" x14ac:dyDescent="0.3">
      <c r="A5965" t="s">
        <v>628</v>
      </c>
      <c r="B5965" t="s">
        <v>42</v>
      </c>
      <c r="C5965" t="s">
        <v>50</v>
      </c>
      <c r="D5965" t="s">
        <v>745</v>
      </c>
      <c r="E5965" t="s">
        <v>772</v>
      </c>
      <c r="F5965">
        <v>7</v>
      </c>
      <c r="G5965" s="308">
        <f>COMEDORES!Q49</f>
        <v>3450</v>
      </c>
      <c r="H5965" s="308">
        <f>COMEDORES!R49</f>
        <v>279363</v>
      </c>
    </row>
    <row r="5966" spans="1:8" x14ac:dyDescent="0.3">
      <c r="A5966" t="s">
        <v>628</v>
      </c>
      <c r="B5966" t="s">
        <v>42</v>
      </c>
      <c r="C5966" t="s">
        <v>50</v>
      </c>
      <c r="D5966" t="s">
        <v>746</v>
      </c>
      <c r="E5966" t="s">
        <v>766</v>
      </c>
      <c r="F5966">
        <v>1</v>
      </c>
      <c r="G5966" s="308">
        <f>COMEDORES!E50</f>
        <v>4250</v>
      </c>
      <c r="H5966" s="308">
        <f>COMEDORES!F50</f>
        <v>0</v>
      </c>
    </row>
    <row r="5967" spans="1:8" x14ac:dyDescent="0.3">
      <c r="A5967" t="s">
        <v>628</v>
      </c>
      <c r="B5967" t="s">
        <v>42</v>
      </c>
      <c r="C5967" t="s">
        <v>50</v>
      </c>
      <c r="D5967" t="s">
        <v>746</v>
      </c>
      <c r="E5967" t="s">
        <v>767</v>
      </c>
      <c r="F5967">
        <v>2</v>
      </c>
      <c r="G5967" s="308">
        <f>COMEDORES!G50</f>
        <v>5000</v>
      </c>
      <c r="H5967" s="308">
        <f>COMEDORES!H50</f>
        <v>0</v>
      </c>
    </row>
    <row r="5968" spans="1:8" x14ac:dyDescent="0.3">
      <c r="A5968" t="s">
        <v>628</v>
      </c>
      <c r="B5968" t="s">
        <v>42</v>
      </c>
      <c r="C5968" t="s">
        <v>50</v>
      </c>
      <c r="D5968" t="s">
        <v>746</v>
      </c>
      <c r="E5968" t="s">
        <v>768</v>
      </c>
      <c r="F5968">
        <v>3</v>
      </c>
      <c r="G5968" s="308">
        <f>COMEDORES!I50</f>
        <v>5500</v>
      </c>
      <c r="H5968" s="308">
        <f>COMEDORES!J50</f>
        <v>0</v>
      </c>
    </row>
    <row r="5969" spans="1:8" x14ac:dyDescent="0.3">
      <c r="A5969" t="s">
        <v>628</v>
      </c>
      <c r="B5969" t="s">
        <v>42</v>
      </c>
      <c r="C5969" t="s">
        <v>50</v>
      </c>
      <c r="D5969" t="s">
        <v>746</v>
      </c>
      <c r="E5969" t="s">
        <v>769</v>
      </c>
      <c r="F5969">
        <v>4</v>
      </c>
      <c r="G5969" s="308">
        <f>COMEDORES!K50</f>
        <v>4500</v>
      </c>
      <c r="H5969" s="308">
        <f>COMEDORES!L50</f>
        <v>0</v>
      </c>
    </row>
    <row r="5970" spans="1:8" x14ac:dyDescent="0.3">
      <c r="A5970" t="s">
        <v>628</v>
      </c>
      <c r="B5970" t="s">
        <v>42</v>
      </c>
      <c r="C5970" t="s">
        <v>50</v>
      </c>
      <c r="D5970" t="s">
        <v>746</v>
      </c>
      <c r="E5970" t="s">
        <v>770</v>
      </c>
      <c r="F5970">
        <v>5</v>
      </c>
      <c r="G5970" s="308">
        <f>COMEDORES!M50</f>
        <v>4991</v>
      </c>
      <c r="H5970" s="308">
        <f>COMEDORES!N50</f>
        <v>0</v>
      </c>
    </row>
    <row r="5971" spans="1:8" x14ac:dyDescent="0.3">
      <c r="A5971" t="s">
        <v>628</v>
      </c>
      <c r="B5971" t="s">
        <v>42</v>
      </c>
      <c r="C5971" t="s">
        <v>50</v>
      </c>
      <c r="D5971" t="s">
        <v>746</v>
      </c>
      <c r="E5971" t="s">
        <v>771</v>
      </c>
      <c r="F5971">
        <v>6</v>
      </c>
      <c r="G5971" s="308">
        <f>COMEDORES!O50</f>
        <v>5250</v>
      </c>
      <c r="H5971" s="308">
        <f>COMEDORES!P50</f>
        <v>0</v>
      </c>
    </row>
    <row r="5972" spans="1:8" x14ac:dyDescent="0.3">
      <c r="A5972" t="s">
        <v>628</v>
      </c>
      <c r="B5972" t="s">
        <v>42</v>
      </c>
      <c r="C5972" t="s">
        <v>50</v>
      </c>
      <c r="D5972" t="s">
        <v>746</v>
      </c>
      <c r="E5972" t="s">
        <v>772</v>
      </c>
      <c r="F5972">
        <v>7</v>
      </c>
      <c r="G5972" s="308">
        <f>COMEDORES!Q50</f>
        <v>5455</v>
      </c>
      <c r="H5972" s="308">
        <f>COMEDORES!R50</f>
        <v>0</v>
      </c>
    </row>
    <row r="5973" spans="1:8" x14ac:dyDescent="0.3">
      <c r="A5973" t="s">
        <v>628</v>
      </c>
      <c r="B5973" t="s">
        <v>51</v>
      </c>
      <c r="C5973" t="s">
        <v>643</v>
      </c>
      <c r="D5973" t="s">
        <v>745</v>
      </c>
      <c r="E5973" t="s">
        <v>766</v>
      </c>
      <c r="F5973">
        <v>1</v>
      </c>
      <c r="G5973" s="308">
        <f>COMEDORES!E51</f>
        <v>2700</v>
      </c>
      <c r="H5973" s="308">
        <f>COMEDORES!F51</f>
        <v>0</v>
      </c>
    </row>
    <row r="5974" spans="1:8" x14ac:dyDescent="0.3">
      <c r="A5974" t="s">
        <v>628</v>
      </c>
      <c r="B5974" t="s">
        <v>51</v>
      </c>
      <c r="C5974" t="s">
        <v>643</v>
      </c>
      <c r="D5974" t="s">
        <v>745</v>
      </c>
      <c r="E5974" t="s">
        <v>767</v>
      </c>
      <c r="F5974">
        <v>2</v>
      </c>
      <c r="G5974" s="308">
        <f>COMEDORES!G51</f>
        <v>3000</v>
      </c>
      <c r="H5974" s="308">
        <f>COMEDORES!H51</f>
        <v>151675.5</v>
      </c>
    </row>
    <row r="5975" spans="1:8" x14ac:dyDescent="0.3">
      <c r="A5975" t="s">
        <v>628</v>
      </c>
      <c r="B5975" t="s">
        <v>51</v>
      </c>
      <c r="C5975" t="s">
        <v>643</v>
      </c>
      <c r="D5975" t="s">
        <v>745</v>
      </c>
      <c r="E5975" t="s">
        <v>768</v>
      </c>
      <c r="F5975">
        <v>3</v>
      </c>
      <c r="G5975" s="308">
        <f>COMEDORES!I51</f>
        <v>3300</v>
      </c>
      <c r="H5975" s="308">
        <f>COMEDORES!J51</f>
        <v>137944</v>
      </c>
    </row>
    <row r="5976" spans="1:8" x14ac:dyDescent="0.3">
      <c r="A5976" t="s">
        <v>628</v>
      </c>
      <c r="B5976" t="s">
        <v>51</v>
      </c>
      <c r="C5976" t="s">
        <v>643</v>
      </c>
      <c r="D5976" t="s">
        <v>745</v>
      </c>
      <c r="E5976" t="s">
        <v>769</v>
      </c>
      <c r="F5976">
        <v>4</v>
      </c>
      <c r="G5976" s="308">
        <f>COMEDORES!K51</f>
        <v>1500</v>
      </c>
      <c r="H5976" s="308">
        <f>COMEDORES!L51</f>
        <v>253800</v>
      </c>
    </row>
    <row r="5977" spans="1:8" x14ac:dyDescent="0.3">
      <c r="A5977" t="s">
        <v>628</v>
      </c>
      <c r="B5977" t="s">
        <v>51</v>
      </c>
      <c r="C5977" t="s">
        <v>643</v>
      </c>
      <c r="D5977" t="s">
        <v>745</v>
      </c>
      <c r="E5977" t="s">
        <v>770</v>
      </c>
      <c r="F5977">
        <v>5</v>
      </c>
      <c r="G5977" s="308">
        <f>COMEDORES!M51</f>
        <v>0</v>
      </c>
      <c r="H5977" s="308">
        <f>COMEDORES!N51</f>
        <v>0</v>
      </c>
    </row>
    <row r="5978" spans="1:8" x14ac:dyDescent="0.3">
      <c r="A5978" t="s">
        <v>628</v>
      </c>
      <c r="B5978" t="s">
        <v>51</v>
      </c>
      <c r="C5978" t="s">
        <v>643</v>
      </c>
      <c r="D5978" t="s">
        <v>745</v>
      </c>
      <c r="E5978" t="s">
        <v>771</v>
      </c>
      <c r="F5978">
        <v>6</v>
      </c>
      <c r="G5978" s="308">
        <f>COMEDORES!O51</f>
        <v>0</v>
      </c>
      <c r="H5978" s="308">
        <f>COMEDORES!P51</f>
        <v>69361.5</v>
      </c>
    </row>
    <row r="5979" spans="1:8" x14ac:dyDescent="0.3">
      <c r="A5979" t="s">
        <v>628</v>
      </c>
      <c r="B5979" t="s">
        <v>51</v>
      </c>
      <c r="C5979" t="s">
        <v>643</v>
      </c>
      <c r="D5979" t="s">
        <v>745</v>
      </c>
      <c r="E5979" t="s">
        <v>772</v>
      </c>
      <c r="F5979">
        <v>7</v>
      </c>
      <c r="G5979" s="308">
        <f>COMEDORES!Q51</f>
        <v>0</v>
      </c>
      <c r="H5979" s="308">
        <f>COMEDORES!R51</f>
        <v>0</v>
      </c>
    </row>
    <row r="5980" spans="1:8" x14ac:dyDescent="0.3">
      <c r="A5980" t="s">
        <v>628</v>
      </c>
      <c r="B5980" t="s">
        <v>51</v>
      </c>
      <c r="C5980" t="s">
        <v>643</v>
      </c>
      <c r="D5980" t="s">
        <v>746</v>
      </c>
      <c r="E5980" t="s">
        <v>766</v>
      </c>
      <c r="F5980">
        <v>1</v>
      </c>
      <c r="G5980" s="308">
        <f>COMEDORES!E52</f>
        <v>3800</v>
      </c>
      <c r="H5980" s="308">
        <f>COMEDORES!F52</f>
        <v>0</v>
      </c>
    </row>
    <row r="5981" spans="1:8" x14ac:dyDescent="0.3">
      <c r="A5981" t="s">
        <v>628</v>
      </c>
      <c r="B5981" t="s">
        <v>51</v>
      </c>
      <c r="C5981" t="s">
        <v>643</v>
      </c>
      <c r="D5981" t="s">
        <v>746</v>
      </c>
      <c r="E5981" t="s">
        <v>767</v>
      </c>
      <c r="F5981">
        <v>2</v>
      </c>
      <c r="G5981" s="308">
        <f>COMEDORES!G52</f>
        <v>4000</v>
      </c>
      <c r="H5981" s="308">
        <f>COMEDORES!H52</f>
        <v>0</v>
      </c>
    </row>
    <row r="5982" spans="1:8" x14ac:dyDescent="0.3">
      <c r="A5982" t="s">
        <v>628</v>
      </c>
      <c r="B5982" t="s">
        <v>51</v>
      </c>
      <c r="C5982" t="s">
        <v>643</v>
      </c>
      <c r="D5982" t="s">
        <v>746</v>
      </c>
      <c r="E5982" t="s">
        <v>768</v>
      </c>
      <c r="F5982">
        <v>3</v>
      </c>
      <c r="G5982" s="308">
        <f>COMEDORES!I52</f>
        <v>4400</v>
      </c>
      <c r="H5982" s="308">
        <f>COMEDORES!J52</f>
        <v>0</v>
      </c>
    </row>
    <row r="5983" spans="1:8" x14ac:dyDescent="0.3">
      <c r="A5983" t="s">
        <v>628</v>
      </c>
      <c r="B5983" t="s">
        <v>51</v>
      </c>
      <c r="C5983" t="s">
        <v>643</v>
      </c>
      <c r="D5983" t="s">
        <v>746</v>
      </c>
      <c r="E5983" t="s">
        <v>769</v>
      </c>
      <c r="F5983">
        <v>4</v>
      </c>
      <c r="G5983" s="308">
        <f>COMEDORES!K52</f>
        <v>2000</v>
      </c>
      <c r="H5983" s="308">
        <f>COMEDORES!L52</f>
        <v>0</v>
      </c>
    </row>
    <row r="5984" spans="1:8" x14ac:dyDescent="0.3">
      <c r="A5984" t="s">
        <v>628</v>
      </c>
      <c r="B5984" t="s">
        <v>51</v>
      </c>
      <c r="C5984" t="s">
        <v>643</v>
      </c>
      <c r="D5984" t="s">
        <v>746</v>
      </c>
      <c r="E5984" t="s">
        <v>770</v>
      </c>
      <c r="F5984">
        <v>5</v>
      </c>
      <c r="G5984" s="308">
        <f>COMEDORES!M52</f>
        <v>0</v>
      </c>
      <c r="H5984" s="308">
        <f>COMEDORES!N52</f>
        <v>0</v>
      </c>
    </row>
    <row r="5985" spans="1:8" x14ac:dyDescent="0.3">
      <c r="A5985" t="s">
        <v>628</v>
      </c>
      <c r="B5985" t="s">
        <v>51</v>
      </c>
      <c r="C5985" t="s">
        <v>643</v>
      </c>
      <c r="D5985" t="s">
        <v>746</v>
      </c>
      <c r="E5985" t="s">
        <v>771</v>
      </c>
      <c r="F5985">
        <v>6</v>
      </c>
      <c r="G5985" s="308">
        <f>COMEDORES!O52</f>
        <v>0</v>
      </c>
      <c r="H5985" s="308">
        <f>COMEDORES!P52</f>
        <v>0</v>
      </c>
    </row>
    <row r="5986" spans="1:8" x14ac:dyDescent="0.3">
      <c r="A5986" t="s">
        <v>628</v>
      </c>
      <c r="B5986" t="s">
        <v>51</v>
      </c>
      <c r="C5986" t="s">
        <v>643</v>
      </c>
      <c r="D5986" t="s">
        <v>746</v>
      </c>
      <c r="E5986" t="s">
        <v>772</v>
      </c>
      <c r="F5986">
        <v>7</v>
      </c>
      <c r="G5986" s="308">
        <f>COMEDORES!Q52</f>
        <v>0</v>
      </c>
      <c r="H5986" s="308">
        <f>COMEDORES!R52</f>
        <v>0</v>
      </c>
    </row>
    <row r="5987" spans="1:8" x14ac:dyDescent="0.3">
      <c r="A5987" t="s">
        <v>628</v>
      </c>
      <c r="B5987" t="s">
        <v>51</v>
      </c>
      <c r="C5987" t="s">
        <v>381</v>
      </c>
      <c r="D5987" t="s">
        <v>745</v>
      </c>
      <c r="E5987" t="s">
        <v>766</v>
      </c>
      <c r="F5987">
        <v>1</v>
      </c>
      <c r="G5987" s="308">
        <f>COMEDORES!E53</f>
        <v>0</v>
      </c>
      <c r="H5987" s="308">
        <f>COMEDORES!F53</f>
        <v>0</v>
      </c>
    </row>
    <row r="5988" spans="1:8" x14ac:dyDescent="0.3">
      <c r="A5988" t="s">
        <v>628</v>
      </c>
      <c r="B5988" t="s">
        <v>51</v>
      </c>
      <c r="C5988" t="s">
        <v>381</v>
      </c>
      <c r="D5988" t="s">
        <v>745</v>
      </c>
      <c r="E5988" t="s">
        <v>767</v>
      </c>
      <c r="F5988">
        <v>2</v>
      </c>
      <c r="G5988" s="308">
        <f>COMEDORES!G53</f>
        <v>0</v>
      </c>
      <c r="H5988" s="308">
        <f>COMEDORES!H53</f>
        <v>0</v>
      </c>
    </row>
    <row r="5989" spans="1:8" x14ac:dyDescent="0.3">
      <c r="A5989" t="s">
        <v>628</v>
      </c>
      <c r="B5989" t="s">
        <v>51</v>
      </c>
      <c r="C5989" t="s">
        <v>381</v>
      </c>
      <c r="D5989" t="s">
        <v>745</v>
      </c>
      <c r="E5989" t="s">
        <v>768</v>
      </c>
      <c r="F5989">
        <v>3</v>
      </c>
      <c r="G5989" s="308">
        <f>COMEDORES!I53</f>
        <v>0</v>
      </c>
      <c r="H5989" s="308">
        <f>COMEDORES!J53</f>
        <v>0</v>
      </c>
    </row>
    <row r="5990" spans="1:8" x14ac:dyDescent="0.3">
      <c r="A5990" t="s">
        <v>628</v>
      </c>
      <c r="B5990" t="s">
        <v>51</v>
      </c>
      <c r="C5990" t="s">
        <v>381</v>
      </c>
      <c r="D5990" t="s">
        <v>745</v>
      </c>
      <c r="E5990" t="s">
        <v>769</v>
      </c>
      <c r="F5990">
        <v>4</v>
      </c>
      <c r="G5990" s="308">
        <f>COMEDORES!K53</f>
        <v>1350</v>
      </c>
      <c r="H5990" s="308">
        <f>COMEDORES!L53</f>
        <v>0</v>
      </c>
    </row>
    <row r="5991" spans="1:8" x14ac:dyDescent="0.3">
      <c r="A5991" t="s">
        <v>628</v>
      </c>
      <c r="B5991" t="s">
        <v>51</v>
      </c>
      <c r="C5991" t="s">
        <v>381</v>
      </c>
      <c r="D5991" t="s">
        <v>745</v>
      </c>
      <c r="E5991" t="s">
        <v>770</v>
      </c>
      <c r="F5991">
        <v>5</v>
      </c>
      <c r="G5991" s="308">
        <f>COMEDORES!M53</f>
        <v>3000</v>
      </c>
      <c r="H5991" s="308">
        <f>COMEDORES!N53</f>
        <v>194291.5</v>
      </c>
    </row>
    <row r="5992" spans="1:8" x14ac:dyDescent="0.3">
      <c r="A5992" t="s">
        <v>628</v>
      </c>
      <c r="B5992" t="s">
        <v>51</v>
      </c>
      <c r="C5992" t="s">
        <v>381</v>
      </c>
      <c r="D5992" t="s">
        <v>745</v>
      </c>
      <c r="E5992" t="s">
        <v>771</v>
      </c>
      <c r="F5992">
        <v>6</v>
      </c>
      <c r="G5992" s="308">
        <f>COMEDORES!O53</f>
        <v>3000</v>
      </c>
      <c r="H5992" s="308">
        <f>COMEDORES!P53</f>
        <v>153508.5</v>
      </c>
    </row>
    <row r="5993" spans="1:8" x14ac:dyDescent="0.3">
      <c r="A5993" t="s">
        <v>628</v>
      </c>
      <c r="B5993" t="s">
        <v>51</v>
      </c>
      <c r="C5993" t="s">
        <v>381</v>
      </c>
      <c r="D5993" t="s">
        <v>745</v>
      </c>
      <c r="E5993" t="s">
        <v>772</v>
      </c>
      <c r="F5993">
        <v>7</v>
      </c>
      <c r="G5993" s="308">
        <f>COMEDORES!Q53</f>
        <v>3450</v>
      </c>
      <c r="H5993" s="308">
        <f>COMEDORES!R53</f>
        <v>222870</v>
      </c>
    </row>
    <row r="5994" spans="1:8" x14ac:dyDescent="0.3">
      <c r="A5994" t="s">
        <v>628</v>
      </c>
      <c r="B5994" t="s">
        <v>51</v>
      </c>
      <c r="C5994" t="s">
        <v>382</v>
      </c>
      <c r="D5994" t="s">
        <v>746</v>
      </c>
      <c r="E5994" t="s">
        <v>766</v>
      </c>
      <c r="F5994">
        <v>1</v>
      </c>
      <c r="G5994" s="308">
        <f>COMEDORES!E54</f>
        <v>0</v>
      </c>
      <c r="H5994" s="308">
        <f>COMEDORES!F54</f>
        <v>0</v>
      </c>
    </row>
    <row r="5995" spans="1:8" x14ac:dyDescent="0.3">
      <c r="A5995" t="s">
        <v>628</v>
      </c>
      <c r="B5995" t="s">
        <v>51</v>
      </c>
      <c r="C5995" t="s">
        <v>382</v>
      </c>
      <c r="D5995" t="s">
        <v>746</v>
      </c>
      <c r="E5995" t="s">
        <v>767</v>
      </c>
      <c r="F5995">
        <v>2</v>
      </c>
      <c r="G5995" s="308">
        <f>COMEDORES!G54</f>
        <v>0</v>
      </c>
      <c r="H5995" s="308">
        <f>COMEDORES!H54</f>
        <v>0</v>
      </c>
    </row>
    <row r="5996" spans="1:8" x14ac:dyDescent="0.3">
      <c r="A5996" t="s">
        <v>628</v>
      </c>
      <c r="B5996" t="s">
        <v>51</v>
      </c>
      <c r="C5996" t="s">
        <v>382</v>
      </c>
      <c r="D5996" t="s">
        <v>746</v>
      </c>
      <c r="E5996" t="s">
        <v>768</v>
      </c>
      <c r="F5996">
        <v>3</v>
      </c>
      <c r="G5996" s="308">
        <f>COMEDORES!I54</f>
        <v>0</v>
      </c>
      <c r="H5996" s="308">
        <f>COMEDORES!J54</f>
        <v>0</v>
      </c>
    </row>
    <row r="5997" spans="1:8" x14ac:dyDescent="0.3">
      <c r="A5997" t="s">
        <v>628</v>
      </c>
      <c r="B5997" t="s">
        <v>51</v>
      </c>
      <c r="C5997" t="s">
        <v>382</v>
      </c>
      <c r="D5997" t="s">
        <v>746</v>
      </c>
      <c r="E5997" t="s">
        <v>769</v>
      </c>
      <c r="F5997">
        <v>4</v>
      </c>
      <c r="G5997" s="308">
        <f>COMEDORES!K54</f>
        <v>1800</v>
      </c>
      <c r="H5997" s="308">
        <f>COMEDORES!L54</f>
        <v>0</v>
      </c>
    </row>
    <row r="5998" spans="1:8" x14ac:dyDescent="0.3">
      <c r="A5998" t="s">
        <v>628</v>
      </c>
      <c r="B5998" t="s">
        <v>51</v>
      </c>
      <c r="C5998" t="s">
        <v>382</v>
      </c>
      <c r="D5998" t="s">
        <v>746</v>
      </c>
      <c r="E5998" t="s">
        <v>770</v>
      </c>
      <c r="F5998">
        <v>5</v>
      </c>
      <c r="G5998" s="308">
        <f>COMEDORES!M54</f>
        <v>4000</v>
      </c>
      <c r="H5998" s="308">
        <f>COMEDORES!N54</f>
        <v>0</v>
      </c>
    </row>
    <row r="5999" spans="1:8" x14ac:dyDescent="0.3">
      <c r="A5999" t="s">
        <v>628</v>
      </c>
      <c r="B5999" t="s">
        <v>51</v>
      </c>
      <c r="C5999" t="s">
        <v>382</v>
      </c>
      <c r="D5999" t="s">
        <v>746</v>
      </c>
      <c r="E5999" t="s">
        <v>771</v>
      </c>
      <c r="F5999">
        <v>6</v>
      </c>
      <c r="G5999" s="308">
        <f>COMEDORES!O54</f>
        <v>4000</v>
      </c>
      <c r="H5999" s="308">
        <f>COMEDORES!P54</f>
        <v>0</v>
      </c>
    </row>
    <row r="6000" spans="1:8" x14ac:dyDescent="0.3">
      <c r="A6000" t="s">
        <v>628</v>
      </c>
      <c r="B6000" t="s">
        <v>51</v>
      </c>
      <c r="C6000" t="s">
        <v>382</v>
      </c>
      <c r="D6000" t="s">
        <v>746</v>
      </c>
      <c r="E6000" t="s">
        <v>772</v>
      </c>
      <c r="F6000">
        <v>7</v>
      </c>
      <c r="G6000" s="308">
        <f>COMEDORES!Q54</f>
        <v>4600</v>
      </c>
      <c r="H6000" s="308">
        <f>COMEDORES!R54</f>
        <v>0</v>
      </c>
    </row>
    <row r="6001" spans="1:8" x14ac:dyDescent="0.3">
      <c r="A6001" t="s">
        <v>628</v>
      </c>
      <c r="B6001" t="s">
        <v>51</v>
      </c>
      <c r="C6001" t="s">
        <v>57</v>
      </c>
      <c r="D6001" t="s">
        <v>745</v>
      </c>
      <c r="E6001" t="s">
        <v>766</v>
      </c>
      <c r="F6001">
        <v>1</v>
      </c>
      <c r="G6001" s="308">
        <f>COMEDORES!E55</f>
        <v>1800</v>
      </c>
      <c r="H6001" s="308">
        <f>COMEDORES!F55</f>
        <v>0</v>
      </c>
    </row>
    <row r="6002" spans="1:8" x14ac:dyDescent="0.3">
      <c r="A6002" t="s">
        <v>628</v>
      </c>
      <c r="B6002" t="s">
        <v>51</v>
      </c>
      <c r="C6002" t="s">
        <v>57</v>
      </c>
      <c r="D6002" t="s">
        <v>745</v>
      </c>
      <c r="E6002" t="s">
        <v>767</v>
      </c>
      <c r="F6002">
        <v>2</v>
      </c>
      <c r="G6002" s="308">
        <f>COMEDORES!G55</f>
        <v>2000</v>
      </c>
      <c r="H6002" s="308">
        <f>COMEDORES!H55</f>
        <v>86218.25</v>
      </c>
    </row>
    <row r="6003" spans="1:8" x14ac:dyDescent="0.3">
      <c r="A6003" t="s">
        <v>628</v>
      </c>
      <c r="B6003" t="s">
        <v>51</v>
      </c>
      <c r="C6003" t="s">
        <v>57</v>
      </c>
      <c r="D6003" t="s">
        <v>745</v>
      </c>
      <c r="E6003" t="s">
        <v>768</v>
      </c>
      <c r="F6003">
        <v>3</v>
      </c>
      <c r="G6003" s="308">
        <f>COMEDORES!I55</f>
        <v>2200</v>
      </c>
      <c r="H6003" s="308">
        <f>COMEDORES!J55</f>
        <v>74934.75</v>
      </c>
    </row>
    <row r="6004" spans="1:8" x14ac:dyDescent="0.3">
      <c r="A6004" t="s">
        <v>628</v>
      </c>
      <c r="B6004" t="s">
        <v>51</v>
      </c>
      <c r="C6004" t="s">
        <v>57</v>
      </c>
      <c r="D6004" t="s">
        <v>745</v>
      </c>
      <c r="E6004" t="s">
        <v>769</v>
      </c>
      <c r="F6004">
        <v>4</v>
      </c>
      <c r="G6004" s="308">
        <f>COMEDORES!K55</f>
        <v>1900</v>
      </c>
      <c r="H6004" s="308">
        <f>COMEDORES!L55</f>
        <v>268260</v>
      </c>
    </row>
    <row r="6005" spans="1:8" x14ac:dyDescent="0.3">
      <c r="A6005" t="s">
        <v>628</v>
      </c>
      <c r="B6005" t="s">
        <v>51</v>
      </c>
      <c r="C6005" t="s">
        <v>57</v>
      </c>
      <c r="D6005" t="s">
        <v>745</v>
      </c>
      <c r="E6005" t="s">
        <v>770</v>
      </c>
      <c r="F6005">
        <v>5</v>
      </c>
      <c r="G6005" s="308">
        <f>COMEDORES!M55</f>
        <v>1700</v>
      </c>
      <c r="H6005" s="308">
        <f>COMEDORES!N55</f>
        <v>140837.5</v>
      </c>
    </row>
    <row r="6006" spans="1:8" x14ac:dyDescent="0.3">
      <c r="A6006" t="s">
        <v>628</v>
      </c>
      <c r="B6006" t="s">
        <v>51</v>
      </c>
      <c r="C6006" t="s">
        <v>57</v>
      </c>
      <c r="D6006" t="s">
        <v>745</v>
      </c>
      <c r="E6006" t="s">
        <v>771</v>
      </c>
      <c r="F6006">
        <v>6</v>
      </c>
      <c r="G6006" s="308">
        <f>COMEDORES!O55</f>
        <v>2100</v>
      </c>
      <c r="H6006" s="308">
        <f>COMEDORES!P55</f>
        <v>126012.5</v>
      </c>
    </row>
    <row r="6007" spans="1:8" x14ac:dyDescent="0.3">
      <c r="A6007" t="s">
        <v>628</v>
      </c>
      <c r="B6007" t="s">
        <v>51</v>
      </c>
      <c r="C6007" t="s">
        <v>57</v>
      </c>
      <c r="D6007" t="s">
        <v>745</v>
      </c>
      <c r="E6007" t="s">
        <v>772</v>
      </c>
      <c r="F6007">
        <v>7</v>
      </c>
      <c r="G6007" s="308">
        <f>COMEDORES!Q55</f>
        <v>2300</v>
      </c>
      <c r="H6007" s="308">
        <f>COMEDORES!R55</f>
        <v>155662.5</v>
      </c>
    </row>
    <row r="6008" spans="1:8" x14ac:dyDescent="0.3">
      <c r="A6008" t="s">
        <v>628</v>
      </c>
      <c r="B6008" t="s">
        <v>51</v>
      </c>
      <c r="C6008" t="s">
        <v>57</v>
      </c>
      <c r="D6008" t="s">
        <v>746</v>
      </c>
      <c r="E6008" t="s">
        <v>766</v>
      </c>
      <c r="F6008">
        <v>1</v>
      </c>
      <c r="G6008" s="308">
        <f>COMEDORES!E56</f>
        <v>3325</v>
      </c>
      <c r="H6008" s="308">
        <f>COMEDORES!F56</f>
        <v>0</v>
      </c>
    </row>
    <row r="6009" spans="1:8" x14ac:dyDescent="0.3">
      <c r="A6009" t="s">
        <v>628</v>
      </c>
      <c r="B6009" t="s">
        <v>51</v>
      </c>
      <c r="C6009" t="s">
        <v>57</v>
      </c>
      <c r="D6009" t="s">
        <v>746</v>
      </c>
      <c r="E6009" t="s">
        <v>767</v>
      </c>
      <c r="F6009">
        <v>2</v>
      </c>
      <c r="G6009" s="308">
        <f>COMEDORES!G56</f>
        <v>3500</v>
      </c>
      <c r="H6009" s="308">
        <f>COMEDORES!H56</f>
        <v>0</v>
      </c>
    </row>
    <row r="6010" spans="1:8" x14ac:dyDescent="0.3">
      <c r="A6010" t="s">
        <v>628</v>
      </c>
      <c r="B6010" t="s">
        <v>51</v>
      </c>
      <c r="C6010" t="s">
        <v>57</v>
      </c>
      <c r="D6010" t="s">
        <v>746</v>
      </c>
      <c r="E6010" t="s">
        <v>768</v>
      </c>
      <c r="F6010">
        <v>3</v>
      </c>
      <c r="G6010" s="308">
        <f>COMEDORES!I56</f>
        <v>3850</v>
      </c>
      <c r="H6010" s="308">
        <f>COMEDORES!J56</f>
        <v>0</v>
      </c>
    </row>
    <row r="6011" spans="1:8" x14ac:dyDescent="0.3">
      <c r="A6011" t="s">
        <v>628</v>
      </c>
      <c r="B6011" t="s">
        <v>51</v>
      </c>
      <c r="C6011" t="s">
        <v>57</v>
      </c>
      <c r="D6011" t="s">
        <v>746</v>
      </c>
      <c r="E6011" t="s">
        <v>769</v>
      </c>
      <c r="F6011">
        <v>4</v>
      </c>
      <c r="G6011" s="308">
        <f>COMEDORES!K56</f>
        <v>3325</v>
      </c>
      <c r="H6011" s="308">
        <f>COMEDORES!L56</f>
        <v>0</v>
      </c>
    </row>
    <row r="6012" spans="1:8" x14ac:dyDescent="0.3">
      <c r="A6012" t="s">
        <v>628</v>
      </c>
      <c r="B6012" t="s">
        <v>51</v>
      </c>
      <c r="C6012" t="s">
        <v>57</v>
      </c>
      <c r="D6012" t="s">
        <v>746</v>
      </c>
      <c r="E6012" t="s">
        <v>770</v>
      </c>
      <c r="F6012">
        <v>5</v>
      </c>
      <c r="G6012" s="308">
        <f>COMEDORES!M56</f>
        <v>2975</v>
      </c>
      <c r="H6012" s="308">
        <f>COMEDORES!N56</f>
        <v>0</v>
      </c>
    </row>
    <row r="6013" spans="1:8" x14ac:dyDescent="0.3">
      <c r="A6013" t="s">
        <v>628</v>
      </c>
      <c r="B6013" t="s">
        <v>51</v>
      </c>
      <c r="C6013" t="s">
        <v>57</v>
      </c>
      <c r="D6013" t="s">
        <v>746</v>
      </c>
      <c r="E6013" t="s">
        <v>771</v>
      </c>
      <c r="F6013">
        <v>6</v>
      </c>
      <c r="G6013" s="308">
        <f>COMEDORES!O56</f>
        <v>3675</v>
      </c>
      <c r="H6013" s="308">
        <f>COMEDORES!P56</f>
        <v>0</v>
      </c>
    </row>
    <row r="6014" spans="1:8" x14ac:dyDescent="0.3">
      <c r="A6014" t="s">
        <v>628</v>
      </c>
      <c r="B6014" t="s">
        <v>51</v>
      </c>
      <c r="C6014" t="s">
        <v>57</v>
      </c>
      <c r="D6014" t="s">
        <v>746</v>
      </c>
      <c r="E6014" t="s">
        <v>772</v>
      </c>
      <c r="F6014">
        <v>7</v>
      </c>
      <c r="G6014" s="308">
        <f>COMEDORES!Q56</f>
        <v>4025</v>
      </c>
      <c r="H6014" s="308">
        <f>COMEDORES!R56</f>
        <v>0</v>
      </c>
    </row>
    <row r="6015" spans="1:8" x14ac:dyDescent="0.3">
      <c r="A6015" t="s">
        <v>628</v>
      </c>
      <c r="B6015" t="s">
        <v>51</v>
      </c>
      <c r="C6015" t="s">
        <v>383</v>
      </c>
      <c r="D6015" t="s">
        <v>745</v>
      </c>
      <c r="E6015" t="s">
        <v>766</v>
      </c>
      <c r="F6015">
        <v>1</v>
      </c>
      <c r="G6015" s="308">
        <f>COMEDORES!E57</f>
        <v>1800</v>
      </c>
      <c r="H6015" s="308">
        <f>COMEDORES!F57</f>
        <v>0</v>
      </c>
    </row>
    <row r="6016" spans="1:8" x14ac:dyDescent="0.3">
      <c r="A6016" t="s">
        <v>628</v>
      </c>
      <c r="B6016" t="s">
        <v>51</v>
      </c>
      <c r="C6016" t="s">
        <v>383</v>
      </c>
      <c r="D6016" t="s">
        <v>745</v>
      </c>
      <c r="E6016" t="s">
        <v>767</v>
      </c>
      <c r="F6016">
        <v>2</v>
      </c>
      <c r="G6016" s="308">
        <f>COMEDORES!G57</f>
        <v>2000</v>
      </c>
      <c r="H6016" s="308">
        <f>COMEDORES!H57</f>
        <v>163500.5</v>
      </c>
    </row>
    <row r="6017" spans="1:8" x14ac:dyDescent="0.3">
      <c r="A6017" t="s">
        <v>628</v>
      </c>
      <c r="B6017" t="s">
        <v>51</v>
      </c>
      <c r="C6017" t="s">
        <v>383</v>
      </c>
      <c r="D6017" t="s">
        <v>745</v>
      </c>
      <c r="E6017" t="s">
        <v>768</v>
      </c>
      <c r="F6017">
        <v>3</v>
      </c>
      <c r="G6017" s="308">
        <f>COMEDORES!I57</f>
        <v>2200</v>
      </c>
      <c r="H6017" s="308">
        <f>COMEDORES!J57</f>
        <v>130927.5</v>
      </c>
    </row>
    <row r="6018" spans="1:8" x14ac:dyDescent="0.3">
      <c r="A6018" t="s">
        <v>628</v>
      </c>
      <c r="B6018" t="s">
        <v>51</v>
      </c>
      <c r="C6018" t="s">
        <v>383</v>
      </c>
      <c r="D6018" t="s">
        <v>745</v>
      </c>
      <c r="E6018" t="s">
        <v>769</v>
      </c>
      <c r="F6018">
        <v>4</v>
      </c>
      <c r="G6018" s="308">
        <f>COMEDORES!K57</f>
        <v>1900</v>
      </c>
      <c r="H6018" s="308">
        <f>COMEDORES!L57</f>
        <v>218700</v>
      </c>
    </row>
    <row r="6019" spans="1:8" x14ac:dyDescent="0.3">
      <c r="A6019" t="s">
        <v>628</v>
      </c>
      <c r="B6019" t="s">
        <v>51</v>
      </c>
      <c r="C6019" t="s">
        <v>383</v>
      </c>
      <c r="D6019" t="s">
        <v>745</v>
      </c>
      <c r="E6019" t="s">
        <v>770</v>
      </c>
      <c r="F6019">
        <v>5</v>
      </c>
      <c r="G6019" s="308">
        <f>COMEDORES!M57</f>
        <v>2000</v>
      </c>
      <c r="H6019" s="308">
        <f>COMEDORES!N57</f>
        <v>153900</v>
      </c>
    </row>
    <row r="6020" spans="1:8" x14ac:dyDescent="0.3">
      <c r="A6020" t="s">
        <v>628</v>
      </c>
      <c r="B6020" t="s">
        <v>51</v>
      </c>
      <c r="C6020" t="s">
        <v>383</v>
      </c>
      <c r="D6020" t="s">
        <v>745</v>
      </c>
      <c r="E6020" t="s">
        <v>771</v>
      </c>
      <c r="F6020">
        <v>6</v>
      </c>
      <c r="G6020" s="308">
        <f>COMEDORES!O57</f>
        <v>2100</v>
      </c>
      <c r="H6020" s="308">
        <f>COMEDORES!P57</f>
        <v>162000</v>
      </c>
    </row>
    <row r="6021" spans="1:8" x14ac:dyDescent="0.3">
      <c r="A6021" t="s">
        <v>628</v>
      </c>
      <c r="B6021" t="s">
        <v>51</v>
      </c>
      <c r="C6021" t="s">
        <v>383</v>
      </c>
      <c r="D6021" t="s">
        <v>745</v>
      </c>
      <c r="E6021" t="s">
        <v>772</v>
      </c>
      <c r="F6021">
        <v>7</v>
      </c>
      <c r="G6021" s="308">
        <f>COMEDORES!Q57</f>
        <v>2300</v>
      </c>
      <c r="H6021" s="308">
        <f>COMEDORES!R57</f>
        <v>170100</v>
      </c>
    </row>
    <row r="6022" spans="1:8" x14ac:dyDescent="0.3">
      <c r="A6022" t="s">
        <v>628</v>
      </c>
      <c r="B6022" t="s">
        <v>51</v>
      </c>
      <c r="C6022" t="s">
        <v>383</v>
      </c>
      <c r="D6022" t="s">
        <v>746</v>
      </c>
      <c r="E6022" t="s">
        <v>766</v>
      </c>
      <c r="F6022">
        <v>1</v>
      </c>
      <c r="G6022" s="308">
        <f>COMEDORES!E58</f>
        <v>4750</v>
      </c>
      <c r="H6022" s="308">
        <f>COMEDORES!F58</f>
        <v>0</v>
      </c>
    </row>
    <row r="6023" spans="1:8" x14ac:dyDescent="0.3">
      <c r="A6023" t="s">
        <v>628</v>
      </c>
      <c r="B6023" t="s">
        <v>51</v>
      </c>
      <c r="C6023" t="s">
        <v>383</v>
      </c>
      <c r="D6023" t="s">
        <v>746</v>
      </c>
      <c r="E6023" t="s">
        <v>767</v>
      </c>
      <c r="F6023">
        <v>2</v>
      </c>
      <c r="G6023" s="308">
        <f>COMEDORES!G58</f>
        <v>4850</v>
      </c>
      <c r="H6023" s="308">
        <f>COMEDORES!H58</f>
        <v>0</v>
      </c>
    </row>
    <row r="6024" spans="1:8" x14ac:dyDescent="0.3">
      <c r="A6024" t="s">
        <v>628</v>
      </c>
      <c r="B6024" t="s">
        <v>51</v>
      </c>
      <c r="C6024" t="s">
        <v>383</v>
      </c>
      <c r="D6024" t="s">
        <v>746</v>
      </c>
      <c r="E6024" t="s">
        <v>768</v>
      </c>
      <c r="F6024">
        <v>3</v>
      </c>
      <c r="G6024" s="308">
        <f>COMEDORES!I58</f>
        <v>4400</v>
      </c>
      <c r="H6024" s="308">
        <f>COMEDORES!J58</f>
        <v>0</v>
      </c>
    </row>
    <row r="6025" spans="1:8" x14ac:dyDescent="0.3">
      <c r="A6025" t="s">
        <v>628</v>
      </c>
      <c r="B6025" t="s">
        <v>51</v>
      </c>
      <c r="C6025" t="s">
        <v>383</v>
      </c>
      <c r="D6025" t="s">
        <v>746</v>
      </c>
      <c r="E6025" t="s">
        <v>769</v>
      </c>
      <c r="F6025">
        <v>4</v>
      </c>
      <c r="G6025" s="308">
        <f>COMEDORES!K58</f>
        <v>3800</v>
      </c>
      <c r="H6025" s="308">
        <f>COMEDORES!L58</f>
        <v>0</v>
      </c>
    </row>
    <row r="6026" spans="1:8" x14ac:dyDescent="0.3">
      <c r="A6026" t="s">
        <v>628</v>
      </c>
      <c r="B6026" t="s">
        <v>51</v>
      </c>
      <c r="C6026" t="s">
        <v>383</v>
      </c>
      <c r="D6026" t="s">
        <v>746</v>
      </c>
      <c r="E6026" t="s">
        <v>770</v>
      </c>
      <c r="F6026">
        <v>5</v>
      </c>
      <c r="G6026" s="308">
        <f>COMEDORES!M58</f>
        <v>4000</v>
      </c>
      <c r="H6026" s="308">
        <f>COMEDORES!N58</f>
        <v>0</v>
      </c>
    </row>
    <row r="6027" spans="1:8" x14ac:dyDescent="0.3">
      <c r="A6027" t="s">
        <v>628</v>
      </c>
      <c r="B6027" t="s">
        <v>51</v>
      </c>
      <c r="C6027" t="s">
        <v>383</v>
      </c>
      <c r="D6027" t="s">
        <v>746</v>
      </c>
      <c r="E6027" t="s">
        <v>771</v>
      </c>
      <c r="F6027">
        <v>6</v>
      </c>
      <c r="G6027" s="308">
        <f>COMEDORES!O58</f>
        <v>4200</v>
      </c>
      <c r="H6027" s="308">
        <f>COMEDORES!P58</f>
        <v>0</v>
      </c>
    </row>
    <row r="6028" spans="1:8" x14ac:dyDescent="0.3">
      <c r="A6028" t="s">
        <v>628</v>
      </c>
      <c r="B6028" t="s">
        <v>51</v>
      </c>
      <c r="C6028" t="s">
        <v>383</v>
      </c>
      <c r="D6028" t="s">
        <v>746</v>
      </c>
      <c r="E6028" t="s">
        <v>772</v>
      </c>
      <c r="F6028">
        <v>7</v>
      </c>
      <c r="G6028" s="308">
        <f>COMEDORES!Q58</f>
        <v>4600</v>
      </c>
      <c r="H6028" s="308">
        <f>COMEDORES!R58</f>
        <v>0</v>
      </c>
    </row>
    <row r="6029" spans="1:8" x14ac:dyDescent="0.3">
      <c r="A6029" t="s">
        <v>628</v>
      </c>
      <c r="B6029" t="s">
        <v>51</v>
      </c>
      <c r="C6029" t="s">
        <v>384</v>
      </c>
      <c r="D6029" t="s">
        <v>745</v>
      </c>
      <c r="E6029" t="s">
        <v>766</v>
      </c>
      <c r="F6029">
        <v>1</v>
      </c>
      <c r="G6029" s="308">
        <f>COMEDORES!E59</f>
        <v>2160</v>
      </c>
      <c r="H6029" s="308">
        <f>COMEDORES!F59</f>
        <v>0</v>
      </c>
    </row>
    <row r="6030" spans="1:8" x14ac:dyDescent="0.3">
      <c r="A6030" t="s">
        <v>628</v>
      </c>
      <c r="B6030" t="s">
        <v>51</v>
      </c>
      <c r="C6030" t="s">
        <v>384</v>
      </c>
      <c r="D6030" t="s">
        <v>745</v>
      </c>
      <c r="E6030" t="s">
        <v>767</v>
      </c>
      <c r="F6030">
        <v>2</v>
      </c>
      <c r="G6030" s="308">
        <f>COMEDORES!G59</f>
        <v>3000</v>
      </c>
      <c r="H6030" s="308">
        <f>COMEDORES!H59</f>
        <v>171928.1</v>
      </c>
    </row>
    <row r="6031" spans="1:8" x14ac:dyDescent="0.3">
      <c r="A6031" t="s">
        <v>628</v>
      </c>
      <c r="B6031" t="s">
        <v>51</v>
      </c>
      <c r="C6031" t="s">
        <v>384</v>
      </c>
      <c r="D6031" t="s">
        <v>745</v>
      </c>
      <c r="E6031" t="s">
        <v>768</v>
      </c>
      <c r="F6031">
        <v>3</v>
      </c>
      <c r="G6031" s="308">
        <f>COMEDORES!I59</f>
        <v>3300</v>
      </c>
      <c r="H6031" s="308">
        <f>COMEDORES!J59</f>
        <v>91966.999999999971</v>
      </c>
    </row>
    <row r="6032" spans="1:8" x14ac:dyDescent="0.3">
      <c r="A6032" t="s">
        <v>628</v>
      </c>
      <c r="B6032" t="s">
        <v>51</v>
      </c>
      <c r="C6032" t="s">
        <v>384</v>
      </c>
      <c r="D6032" t="s">
        <v>745</v>
      </c>
      <c r="E6032" t="s">
        <v>769</v>
      </c>
      <c r="F6032">
        <v>4</v>
      </c>
      <c r="G6032" s="308">
        <f>COMEDORES!K59</f>
        <v>2850</v>
      </c>
      <c r="H6032" s="308">
        <f>COMEDORES!L59</f>
        <v>253799.99999999997</v>
      </c>
    </row>
    <row r="6033" spans="1:8" x14ac:dyDescent="0.3">
      <c r="A6033" t="s">
        <v>628</v>
      </c>
      <c r="B6033" t="s">
        <v>51</v>
      </c>
      <c r="C6033" t="s">
        <v>384</v>
      </c>
      <c r="D6033" t="s">
        <v>745</v>
      </c>
      <c r="E6033" t="s">
        <v>770</v>
      </c>
      <c r="F6033">
        <v>5</v>
      </c>
      <c r="G6033" s="308">
        <f>COMEDORES!M59</f>
        <v>3000</v>
      </c>
      <c r="H6033" s="308">
        <f>COMEDORES!N59</f>
        <v>178600</v>
      </c>
    </row>
    <row r="6034" spans="1:8" x14ac:dyDescent="0.3">
      <c r="A6034" t="s">
        <v>628</v>
      </c>
      <c r="B6034" t="s">
        <v>51</v>
      </c>
      <c r="C6034" t="s">
        <v>384</v>
      </c>
      <c r="D6034" t="s">
        <v>745</v>
      </c>
      <c r="E6034" t="s">
        <v>771</v>
      </c>
      <c r="F6034">
        <v>6</v>
      </c>
      <c r="G6034" s="308">
        <f>COMEDORES!O59</f>
        <v>3000</v>
      </c>
      <c r="H6034" s="308">
        <f>COMEDORES!P59</f>
        <v>188000</v>
      </c>
    </row>
    <row r="6035" spans="1:8" x14ac:dyDescent="0.3">
      <c r="A6035" t="s">
        <v>628</v>
      </c>
      <c r="B6035" t="s">
        <v>51</v>
      </c>
      <c r="C6035" t="s">
        <v>384</v>
      </c>
      <c r="D6035" t="s">
        <v>745</v>
      </c>
      <c r="E6035" t="s">
        <v>772</v>
      </c>
      <c r="F6035">
        <v>7</v>
      </c>
      <c r="G6035" s="308">
        <f>COMEDORES!Q59</f>
        <v>3450</v>
      </c>
      <c r="H6035" s="308">
        <f>COMEDORES!R59</f>
        <v>188000.00000000012</v>
      </c>
    </row>
    <row r="6036" spans="1:8" x14ac:dyDescent="0.3">
      <c r="A6036" t="s">
        <v>628</v>
      </c>
      <c r="B6036" t="s">
        <v>51</v>
      </c>
      <c r="C6036" t="s">
        <v>384</v>
      </c>
      <c r="D6036" t="s">
        <v>746</v>
      </c>
      <c r="E6036" t="s">
        <v>766</v>
      </c>
      <c r="F6036">
        <v>1</v>
      </c>
      <c r="G6036" s="308">
        <f>COMEDORES!E60</f>
        <v>4750</v>
      </c>
      <c r="H6036" s="308">
        <f>COMEDORES!F60</f>
        <v>0</v>
      </c>
    </row>
    <row r="6037" spans="1:8" x14ac:dyDescent="0.3">
      <c r="A6037" t="s">
        <v>628</v>
      </c>
      <c r="B6037" t="s">
        <v>51</v>
      </c>
      <c r="C6037" t="s">
        <v>384</v>
      </c>
      <c r="D6037" t="s">
        <v>746</v>
      </c>
      <c r="E6037" t="s">
        <v>767</v>
      </c>
      <c r="F6037">
        <v>2</v>
      </c>
      <c r="G6037" s="308">
        <f>COMEDORES!G60</f>
        <v>4750</v>
      </c>
      <c r="H6037" s="308">
        <f>COMEDORES!H60</f>
        <v>0</v>
      </c>
    </row>
    <row r="6038" spans="1:8" x14ac:dyDescent="0.3">
      <c r="A6038" t="s">
        <v>628</v>
      </c>
      <c r="B6038" t="s">
        <v>51</v>
      </c>
      <c r="C6038" t="s">
        <v>384</v>
      </c>
      <c r="D6038" t="s">
        <v>746</v>
      </c>
      <c r="E6038" t="s">
        <v>768</v>
      </c>
      <c r="F6038">
        <v>3</v>
      </c>
      <c r="G6038" s="308">
        <f>COMEDORES!I60</f>
        <v>4400</v>
      </c>
      <c r="H6038" s="308">
        <f>COMEDORES!J60</f>
        <v>0</v>
      </c>
    </row>
    <row r="6039" spans="1:8" x14ac:dyDescent="0.3">
      <c r="A6039" t="s">
        <v>628</v>
      </c>
      <c r="B6039" t="s">
        <v>51</v>
      </c>
      <c r="C6039" t="s">
        <v>384</v>
      </c>
      <c r="D6039" t="s">
        <v>746</v>
      </c>
      <c r="E6039" t="s">
        <v>769</v>
      </c>
      <c r="F6039">
        <v>4</v>
      </c>
      <c r="G6039" s="308">
        <f>COMEDORES!K60</f>
        <v>3800</v>
      </c>
      <c r="H6039" s="308">
        <f>COMEDORES!L60</f>
        <v>0</v>
      </c>
    </row>
    <row r="6040" spans="1:8" x14ac:dyDescent="0.3">
      <c r="A6040" t="s">
        <v>628</v>
      </c>
      <c r="B6040" t="s">
        <v>51</v>
      </c>
      <c r="C6040" t="s">
        <v>384</v>
      </c>
      <c r="D6040" t="s">
        <v>746</v>
      </c>
      <c r="E6040" t="s">
        <v>770</v>
      </c>
      <c r="F6040">
        <v>5</v>
      </c>
      <c r="G6040" s="308">
        <f>COMEDORES!M60</f>
        <v>4000</v>
      </c>
      <c r="H6040" s="308">
        <f>COMEDORES!N60</f>
        <v>0</v>
      </c>
    </row>
    <row r="6041" spans="1:8" x14ac:dyDescent="0.3">
      <c r="A6041" t="s">
        <v>628</v>
      </c>
      <c r="B6041" t="s">
        <v>51</v>
      </c>
      <c r="C6041" t="s">
        <v>384</v>
      </c>
      <c r="D6041" t="s">
        <v>746</v>
      </c>
      <c r="E6041" t="s">
        <v>771</v>
      </c>
      <c r="F6041">
        <v>6</v>
      </c>
      <c r="G6041" s="308">
        <f>COMEDORES!O60</f>
        <v>4000</v>
      </c>
      <c r="H6041" s="308">
        <f>COMEDORES!P60</f>
        <v>0</v>
      </c>
    </row>
    <row r="6042" spans="1:8" x14ac:dyDescent="0.3">
      <c r="A6042" t="s">
        <v>628</v>
      </c>
      <c r="B6042" t="s">
        <v>51</v>
      </c>
      <c r="C6042" t="s">
        <v>384</v>
      </c>
      <c r="D6042" t="s">
        <v>746</v>
      </c>
      <c r="E6042" t="s">
        <v>772</v>
      </c>
      <c r="F6042">
        <v>7</v>
      </c>
      <c r="G6042" s="308">
        <f>COMEDORES!Q60</f>
        <v>4600</v>
      </c>
      <c r="H6042" s="308">
        <f>COMEDORES!R60</f>
        <v>0</v>
      </c>
    </row>
    <row r="6043" spans="1:8" x14ac:dyDescent="0.3">
      <c r="A6043" t="s">
        <v>628</v>
      </c>
      <c r="B6043" t="s">
        <v>51</v>
      </c>
      <c r="C6043" t="s">
        <v>54</v>
      </c>
      <c r="D6043" t="s">
        <v>745</v>
      </c>
      <c r="E6043" t="s">
        <v>766</v>
      </c>
      <c r="F6043">
        <v>1</v>
      </c>
      <c r="G6043" s="308">
        <f>COMEDORES!E61</f>
        <v>0</v>
      </c>
      <c r="H6043" s="308">
        <f>COMEDORES!F61</f>
        <v>0</v>
      </c>
    </row>
    <row r="6044" spans="1:8" x14ac:dyDescent="0.3">
      <c r="A6044" t="s">
        <v>628</v>
      </c>
      <c r="B6044" t="s">
        <v>51</v>
      </c>
      <c r="C6044" t="s">
        <v>54</v>
      </c>
      <c r="D6044" t="s">
        <v>745</v>
      </c>
      <c r="E6044" t="s">
        <v>767</v>
      </c>
      <c r="F6044">
        <v>2</v>
      </c>
      <c r="G6044" s="308">
        <f>COMEDORES!G61</f>
        <v>0</v>
      </c>
      <c r="H6044" s="308">
        <f>COMEDORES!H61</f>
        <v>0</v>
      </c>
    </row>
    <row r="6045" spans="1:8" x14ac:dyDescent="0.3">
      <c r="A6045" t="s">
        <v>628</v>
      </c>
      <c r="B6045" t="s">
        <v>51</v>
      </c>
      <c r="C6045" t="s">
        <v>54</v>
      </c>
      <c r="D6045" t="s">
        <v>745</v>
      </c>
      <c r="E6045" t="s">
        <v>768</v>
      </c>
      <c r="F6045">
        <v>3</v>
      </c>
      <c r="G6045" s="308">
        <f>COMEDORES!I61</f>
        <v>0</v>
      </c>
      <c r="H6045" s="308">
        <f>COMEDORES!J61</f>
        <v>0</v>
      </c>
    </row>
    <row r="6046" spans="1:8" x14ac:dyDescent="0.3">
      <c r="A6046" t="s">
        <v>628</v>
      </c>
      <c r="B6046" t="s">
        <v>51</v>
      </c>
      <c r="C6046" t="s">
        <v>54</v>
      </c>
      <c r="D6046" t="s">
        <v>745</v>
      </c>
      <c r="E6046" t="s">
        <v>769</v>
      </c>
      <c r="F6046">
        <v>4</v>
      </c>
      <c r="G6046" s="308">
        <f>COMEDORES!K61</f>
        <v>600</v>
      </c>
      <c r="H6046" s="308">
        <f>COMEDORES!L61</f>
        <v>0</v>
      </c>
    </row>
    <row r="6047" spans="1:8" x14ac:dyDescent="0.3">
      <c r="A6047" t="s">
        <v>628</v>
      </c>
      <c r="B6047" t="s">
        <v>51</v>
      </c>
      <c r="C6047" t="s">
        <v>54</v>
      </c>
      <c r="D6047" t="s">
        <v>745</v>
      </c>
      <c r="E6047" t="s">
        <v>770</v>
      </c>
      <c r="F6047">
        <v>5</v>
      </c>
      <c r="G6047" s="308">
        <f>COMEDORES!M61</f>
        <v>3000</v>
      </c>
      <c r="H6047" s="308">
        <f>COMEDORES!N61</f>
        <v>44574</v>
      </c>
    </row>
    <row r="6048" spans="1:8" x14ac:dyDescent="0.3">
      <c r="A6048" t="s">
        <v>628</v>
      </c>
      <c r="B6048" t="s">
        <v>51</v>
      </c>
      <c r="C6048" t="s">
        <v>54</v>
      </c>
      <c r="D6048" t="s">
        <v>745</v>
      </c>
      <c r="E6048" t="s">
        <v>771</v>
      </c>
      <c r="F6048">
        <v>6</v>
      </c>
      <c r="G6048" s="308">
        <f>COMEDORES!O61</f>
        <v>3150</v>
      </c>
      <c r="H6048" s="308">
        <f>COMEDORES!P61</f>
        <v>222870</v>
      </c>
    </row>
    <row r="6049" spans="1:8" x14ac:dyDescent="0.3">
      <c r="A6049" t="s">
        <v>628</v>
      </c>
      <c r="B6049" t="s">
        <v>51</v>
      </c>
      <c r="C6049" t="s">
        <v>54</v>
      </c>
      <c r="D6049" t="s">
        <v>745</v>
      </c>
      <c r="E6049" t="s">
        <v>772</v>
      </c>
      <c r="F6049">
        <v>7</v>
      </c>
      <c r="G6049" s="308">
        <f>COMEDORES!Q61</f>
        <v>3450</v>
      </c>
      <c r="H6049" s="308">
        <f>COMEDORES!R61</f>
        <v>234013.5</v>
      </c>
    </row>
    <row r="6050" spans="1:8" x14ac:dyDescent="0.3">
      <c r="A6050" t="s">
        <v>628</v>
      </c>
      <c r="B6050" t="s">
        <v>51</v>
      </c>
      <c r="C6050" t="s">
        <v>54</v>
      </c>
      <c r="D6050" t="s">
        <v>746</v>
      </c>
      <c r="E6050" t="s">
        <v>766</v>
      </c>
      <c r="F6050">
        <v>1</v>
      </c>
      <c r="G6050" s="308">
        <f>COMEDORES!E62</f>
        <v>0</v>
      </c>
      <c r="H6050" s="308">
        <f>COMEDORES!F62</f>
        <v>0</v>
      </c>
    </row>
    <row r="6051" spans="1:8" x14ac:dyDescent="0.3">
      <c r="A6051" t="s">
        <v>628</v>
      </c>
      <c r="B6051" t="s">
        <v>51</v>
      </c>
      <c r="C6051" t="s">
        <v>54</v>
      </c>
      <c r="D6051" t="s">
        <v>746</v>
      </c>
      <c r="E6051" t="s">
        <v>767</v>
      </c>
      <c r="F6051">
        <v>2</v>
      </c>
      <c r="G6051" s="308">
        <f>COMEDORES!G62</f>
        <v>0</v>
      </c>
      <c r="H6051" s="308">
        <f>COMEDORES!H62</f>
        <v>0</v>
      </c>
    </row>
    <row r="6052" spans="1:8" x14ac:dyDescent="0.3">
      <c r="A6052" t="s">
        <v>628</v>
      </c>
      <c r="B6052" t="s">
        <v>51</v>
      </c>
      <c r="C6052" t="s">
        <v>54</v>
      </c>
      <c r="D6052" t="s">
        <v>746</v>
      </c>
      <c r="E6052" t="s">
        <v>768</v>
      </c>
      <c r="F6052">
        <v>3</v>
      </c>
      <c r="G6052" s="308">
        <f>COMEDORES!I62</f>
        <v>0</v>
      </c>
      <c r="H6052" s="308">
        <f>COMEDORES!J62</f>
        <v>0</v>
      </c>
    </row>
    <row r="6053" spans="1:8" x14ac:dyDescent="0.3">
      <c r="A6053" t="s">
        <v>628</v>
      </c>
      <c r="B6053" t="s">
        <v>51</v>
      </c>
      <c r="C6053" t="s">
        <v>54</v>
      </c>
      <c r="D6053" t="s">
        <v>746</v>
      </c>
      <c r="E6053" t="s">
        <v>769</v>
      </c>
      <c r="F6053">
        <v>4</v>
      </c>
      <c r="G6053" s="308">
        <f>COMEDORES!K62</f>
        <v>800</v>
      </c>
      <c r="H6053" s="308">
        <f>COMEDORES!L62</f>
        <v>0</v>
      </c>
    </row>
    <row r="6054" spans="1:8" x14ac:dyDescent="0.3">
      <c r="A6054" t="s">
        <v>628</v>
      </c>
      <c r="B6054" t="s">
        <v>51</v>
      </c>
      <c r="C6054" t="s">
        <v>54</v>
      </c>
      <c r="D6054" t="s">
        <v>746</v>
      </c>
      <c r="E6054" t="s">
        <v>770</v>
      </c>
      <c r="F6054">
        <v>5</v>
      </c>
      <c r="G6054" s="308">
        <f>COMEDORES!M62</f>
        <v>4000</v>
      </c>
      <c r="H6054" s="308">
        <f>COMEDORES!N62</f>
        <v>0</v>
      </c>
    </row>
    <row r="6055" spans="1:8" x14ac:dyDescent="0.3">
      <c r="A6055" t="s">
        <v>628</v>
      </c>
      <c r="B6055" t="s">
        <v>51</v>
      </c>
      <c r="C6055" t="s">
        <v>54</v>
      </c>
      <c r="D6055" t="s">
        <v>746</v>
      </c>
      <c r="E6055" t="s">
        <v>771</v>
      </c>
      <c r="F6055">
        <v>6</v>
      </c>
      <c r="G6055" s="308">
        <f>COMEDORES!O62</f>
        <v>4200</v>
      </c>
      <c r="H6055" s="308">
        <f>COMEDORES!P62</f>
        <v>0</v>
      </c>
    </row>
    <row r="6056" spans="1:8" x14ac:dyDescent="0.3">
      <c r="A6056" t="s">
        <v>628</v>
      </c>
      <c r="B6056" t="s">
        <v>51</v>
      </c>
      <c r="C6056" t="s">
        <v>54</v>
      </c>
      <c r="D6056" t="s">
        <v>746</v>
      </c>
      <c r="E6056" t="s">
        <v>772</v>
      </c>
      <c r="F6056">
        <v>7</v>
      </c>
      <c r="G6056" s="308">
        <f>COMEDORES!Q62</f>
        <v>4600</v>
      </c>
      <c r="H6056" s="308">
        <f>COMEDORES!R62</f>
        <v>0</v>
      </c>
    </row>
    <row r="6057" spans="1:8" x14ac:dyDescent="0.3">
      <c r="A6057" t="s">
        <v>628</v>
      </c>
      <c r="B6057" t="s">
        <v>67</v>
      </c>
      <c r="C6057" t="s">
        <v>68</v>
      </c>
      <c r="D6057" t="s">
        <v>745</v>
      </c>
      <c r="E6057" t="s">
        <v>766</v>
      </c>
      <c r="F6057">
        <v>1</v>
      </c>
      <c r="G6057" s="308">
        <f>COMEDORES!E63</f>
        <v>1800</v>
      </c>
      <c r="H6057" s="308">
        <f>COMEDORES!F63</f>
        <v>0</v>
      </c>
    </row>
    <row r="6058" spans="1:8" x14ac:dyDescent="0.3">
      <c r="A6058" t="s">
        <v>628</v>
      </c>
      <c r="B6058" t="s">
        <v>67</v>
      </c>
      <c r="C6058" t="s">
        <v>68</v>
      </c>
      <c r="D6058" t="s">
        <v>745</v>
      </c>
      <c r="E6058" t="s">
        <v>767</v>
      </c>
      <c r="F6058">
        <v>2</v>
      </c>
      <c r="G6058" s="308">
        <f>COMEDORES!G63</f>
        <v>2000</v>
      </c>
      <c r="H6058" s="308">
        <f>COMEDORES!H63</f>
        <v>0</v>
      </c>
    </row>
    <row r="6059" spans="1:8" x14ac:dyDescent="0.3">
      <c r="A6059" t="s">
        <v>628</v>
      </c>
      <c r="B6059" t="s">
        <v>67</v>
      </c>
      <c r="C6059" t="s">
        <v>68</v>
      </c>
      <c r="D6059" t="s">
        <v>745</v>
      </c>
      <c r="E6059" t="s">
        <v>768</v>
      </c>
      <c r="F6059">
        <v>3</v>
      </c>
      <c r="G6059" s="308">
        <f>COMEDORES!I63</f>
        <v>2200</v>
      </c>
      <c r="H6059" s="308">
        <f>COMEDORES!J63</f>
        <v>275613.25</v>
      </c>
    </row>
    <row r="6060" spans="1:8" x14ac:dyDescent="0.3">
      <c r="A6060" t="s">
        <v>628</v>
      </c>
      <c r="B6060" t="s">
        <v>67</v>
      </c>
      <c r="C6060" t="s">
        <v>68</v>
      </c>
      <c r="D6060" t="s">
        <v>745</v>
      </c>
      <c r="E6060" t="s">
        <v>769</v>
      </c>
      <c r="F6060">
        <v>4</v>
      </c>
      <c r="G6060" s="308">
        <f>COMEDORES!K63</f>
        <v>1894</v>
      </c>
      <c r="H6060" s="308">
        <f>COMEDORES!L63</f>
        <v>171436</v>
      </c>
    </row>
    <row r="6061" spans="1:8" x14ac:dyDescent="0.3">
      <c r="A6061" t="s">
        <v>628</v>
      </c>
      <c r="B6061" t="s">
        <v>67</v>
      </c>
      <c r="C6061" t="s">
        <v>68</v>
      </c>
      <c r="D6061" t="s">
        <v>745</v>
      </c>
      <c r="E6061" t="s">
        <v>770</v>
      </c>
      <c r="F6061">
        <v>5</v>
      </c>
      <c r="G6061" s="308">
        <f>COMEDORES!M63</f>
        <v>2000</v>
      </c>
      <c r="H6061" s="308">
        <f>COMEDORES!N63</f>
        <v>0</v>
      </c>
    </row>
    <row r="6062" spans="1:8" x14ac:dyDescent="0.3">
      <c r="A6062" t="s">
        <v>628</v>
      </c>
      <c r="B6062" t="s">
        <v>67</v>
      </c>
      <c r="C6062" t="s">
        <v>68</v>
      </c>
      <c r="D6062" t="s">
        <v>745</v>
      </c>
      <c r="E6062" t="s">
        <v>771</v>
      </c>
      <c r="F6062">
        <v>6</v>
      </c>
      <c r="G6062" s="308">
        <f>COMEDORES!O63</f>
        <v>2100</v>
      </c>
      <c r="H6062" s="308">
        <f>COMEDORES!P63</f>
        <v>261150</v>
      </c>
    </row>
    <row r="6063" spans="1:8" x14ac:dyDescent="0.3">
      <c r="A6063" t="s">
        <v>628</v>
      </c>
      <c r="B6063" t="s">
        <v>67</v>
      </c>
      <c r="C6063" t="s">
        <v>68</v>
      </c>
      <c r="D6063" t="s">
        <v>745</v>
      </c>
      <c r="E6063" t="s">
        <v>772</v>
      </c>
      <c r="F6063">
        <v>7</v>
      </c>
      <c r="G6063" s="308">
        <f>COMEDORES!Q63</f>
        <v>2300</v>
      </c>
      <c r="H6063" s="308">
        <f>COMEDORES!R63</f>
        <v>140336</v>
      </c>
    </row>
    <row r="6064" spans="1:8" x14ac:dyDescent="0.3">
      <c r="A6064" t="s">
        <v>628</v>
      </c>
      <c r="B6064" t="s">
        <v>67</v>
      </c>
      <c r="C6064" t="s">
        <v>68</v>
      </c>
      <c r="D6064" t="s">
        <v>746</v>
      </c>
      <c r="E6064" t="s">
        <v>766</v>
      </c>
      <c r="F6064">
        <v>1</v>
      </c>
      <c r="G6064" s="308">
        <f>COMEDORES!E64</f>
        <v>2797</v>
      </c>
      <c r="H6064" s="308">
        <f>COMEDORES!F64</f>
        <v>0</v>
      </c>
    </row>
    <row r="6065" spans="1:8" x14ac:dyDescent="0.3">
      <c r="A6065" t="s">
        <v>628</v>
      </c>
      <c r="B6065" t="s">
        <v>67</v>
      </c>
      <c r="C6065" t="s">
        <v>68</v>
      </c>
      <c r="D6065" t="s">
        <v>746</v>
      </c>
      <c r="E6065" t="s">
        <v>767</v>
      </c>
      <c r="F6065">
        <v>2</v>
      </c>
      <c r="G6065" s="308">
        <f>COMEDORES!G64</f>
        <v>2778</v>
      </c>
      <c r="H6065" s="308">
        <f>COMEDORES!H64</f>
        <v>0</v>
      </c>
    </row>
    <row r="6066" spans="1:8" x14ac:dyDescent="0.3">
      <c r="A6066" t="s">
        <v>628</v>
      </c>
      <c r="B6066" t="s">
        <v>67</v>
      </c>
      <c r="C6066" t="s">
        <v>68</v>
      </c>
      <c r="D6066" t="s">
        <v>746</v>
      </c>
      <c r="E6066" t="s">
        <v>768</v>
      </c>
      <c r="F6066">
        <v>3</v>
      </c>
      <c r="G6066" s="308">
        <f>COMEDORES!I64</f>
        <v>3300</v>
      </c>
      <c r="H6066" s="308">
        <f>COMEDORES!J64</f>
        <v>0</v>
      </c>
    </row>
    <row r="6067" spans="1:8" x14ac:dyDescent="0.3">
      <c r="A6067" t="s">
        <v>628</v>
      </c>
      <c r="B6067" t="s">
        <v>67</v>
      </c>
      <c r="C6067" t="s">
        <v>68</v>
      </c>
      <c r="D6067" t="s">
        <v>746</v>
      </c>
      <c r="E6067" t="s">
        <v>769</v>
      </c>
      <c r="F6067">
        <v>4</v>
      </c>
      <c r="G6067" s="308">
        <f>COMEDORES!K64</f>
        <v>2850</v>
      </c>
      <c r="H6067" s="308">
        <f>COMEDORES!L64</f>
        <v>0</v>
      </c>
    </row>
    <row r="6068" spans="1:8" x14ac:dyDescent="0.3">
      <c r="A6068" t="s">
        <v>628</v>
      </c>
      <c r="B6068" t="s">
        <v>67</v>
      </c>
      <c r="C6068" t="s">
        <v>68</v>
      </c>
      <c r="D6068" t="s">
        <v>746</v>
      </c>
      <c r="E6068" t="s">
        <v>770</v>
      </c>
      <c r="F6068">
        <v>5</v>
      </c>
      <c r="G6068" s="308">
        <f>COMEDORES!M64</f>
        <v>3000</v>
      </c>
      <c r="H6068" s="308">
        <f>COMEDORES!N64</f>
        <v>0</v>
      </c>
    </row>
    <row r="6069" spans="1:8" x14ac:dyDescent="0.3">
      <c r="A6069" t="s">
        <v>628</v>
      </c>
      <c r="B6069" t="s">
        <v>67</v>
      </c>
      <c r="C6069" t="s">
        <v>68</v>
      </c>
      <c r="D6069" t="s">
        <v>746</v>
      </c>
      <c r="E6069" t="s">
        <v>771</v>
      </c>
      <c r="F6069">
        <v>6</v>
      </c>
      <c r="G6069" s="308">
        <f>COMEDORES!O64</f>
        <v>3137</v>
      </c>
      <c r="H6069" s="308">
        <f>COMEDORES!P64</f>
        <v>0</v>
      </c>
    </row>
    <row r="6070" spans="1:8" x14ac:dyDescent="0.3">
      <c r="A6070" t="s">
        <v>628</v>
      </c>
      <c r="B6070" t="s">
        <v>67</v>
      </c>
      <c r="C6070" t="s">
        <v>68</v>
      </c>
      <c r="D6070" t="s">
        <v>746</v>
      </c>
      <c r="E6070" t="s">
        <v>772</v>
      </c>
      <c r="F6070">
        <v>7</v>
      </c>
      <c r="G6070" s="308">
        <f>COMEDORES!Q64</f>
        <v>3450</v>
      </c>
      <c r="H6070" s="308">
        <f>COMEDORES!R64</f>
        <v>0</v>
      </c>
    </row>
    <row r="6071" spans="1:8" x14ac:dyDescent="0.3">
      <c r="A6071" t="s">
        <v>628</v>
      </c>
      <c r="B6071" t="s">
        <v>67</v>
      </c>
      <c r="C6071" t="s">
        <v>67</v>
      </c>
      <c r="D6071" t="s">
        <v>745</v>
      </c>
      <c r="E6071" t="s">
        <v>766</v>
      </c>
      <c r="F6071">
        <v>1</v>
      </c>
      <c r="G6071" s="308">
        <f>COMEDORES!E65</f>
        <v>0</v>
      </c>
      <c r="H6071" s="308">
        <f>COMEDORES!F65</f>
        <v>0</v>
      </c>
    </row>
    <row r="6072" spans="1:8" x14ac:dyDescent="0.3">
      <c r="A6072" t="s">
        <v>628</v>
      </c>
      <c r="B6072" t="s">
        <v>67</v>
      </c>
      <c r="C6072" t="s">
        <v>67</v>
      </c>
      <c r="D6072" t="s">
        <v>745</v>
      </c>
      <c r="E6072" t="s">
        <v>767</v>
      </c>
      <c r="F6072">
        <v>2</v>
      </c>
      <c r="G6072" s="308">
        <f>COMEDORES!G65</f>
        <v>0</v>
      </c>
      <c r="H6072" s="308">
        <f>COMEDORES!H65</f>
        <v>0</v>
      </c>
    </row>
    <row r="6073" spans="1:8" x14ac:dyDescent="0.3">
      <c r="A6073" t="s">
        <v>628</v>
      </c>
      <c r="B6073" t="s">
        <v>67</v>
      </c>
      <c r="C6073" t="s">
        <v>67</v>
      </c>
      <c r="D6073" t="s">
        <v>745</v>
      </c>
      <c r="E6073" t="s">
        <v>768</v>
      </c>
      <c r="F6073">
        <v>3</v>
      </c>
      <c r="G6073" s="308">
        <f>COMEDORES!I65</f>
        <v>0</v>
      </c>
      <c r="H6073" s="308">
        <f>COMEDORES!J65</f>
        <v>0</v>
      </c>
    </row>
    <row r="6074" spans="1:8" x14ac:dyDescent="0.3">
      <c r="A6074" t="s">
        <v>628</v>
      </c>
      <c r="B6074" t="s">
        <v>67</v>
      </c>
      <c r="C6074" t="s">
        <v>67</v>
      </c>
      <c r="D6074" t="s">
        <v>745</v>
      </c>
      <c r="E6074" t="s">
        <v>769</v>
      </c>
      <c r="F6074">
        <v>4</v>
      </c>
      <c r="G6074" s="308">
        <f>COMEDORES!K65</f>
        <v>0</v>
      </c>
      <c r="H6074" s="308">
        <f>COMEDORES!L65</f>
        <v>0</v>
      </c>
    </row>
    <row r="6075" spans="1:8" x14ac:dyDescent="0.3">
      <c r="A6075" t="s">
        <v>628</v>
      </c>
      <c r="B6075" t="s">
        <v>67</v>
      </c>
      <c r="C6075" t="s">
        <v>67</v>
      </c>
      <c r="D6075" t="s">
        <v>745</v>
      </c>
      <c r="E6075" t="s">
        <v>770</v>
      </c>
      <c r="F6075">
        <v>5</v>
      </c>
      <c r="G6075" s="308">
        <f>COMEDORES!M65</f>
        <v>0</v>
      </c>
      <c r="H6075" s="308">
        <f>COMEDORES!N65</f>
        <v>0</v>
      </c>
    </row>
    <row r="6076" spans="1:8" x14ac:dyDescent="0.3">
      <c r="A6076" t="s">
        <v>628</v>
      </c>
      <c r="B6076" t="s">
        <v>67</v>
      </c>
      <c r="C6076" t="s">
        <v>67</v>
      </c>
      <c r="D6076" t="s">
        <v>745</v>
      </c>
      <c r="E6076" t="s">
        <v>771</v>
      </c>
      <c r="F6076">
        <v>6</v>
      </c>
      <c r="G6076" s="308">
        <f>COMEDORES!O65</f>
        <v>0</v>
      </c>
      <c r="H6076" s="308">
        <f>COMEDORES!P65</f>
        <v>0</v>
      </c>
    </row>
    <row r="6077" spans="1:8" x14ac:dyDescent="0.3">
      <c r="A6077" t="s">
        <v>628</v>
      </c>
      <c r="B6077" t="s">
        <v>67</v>
      </c>
      <c r="C6077" t="s">
        <v>67</v>
      </c>
      <c r="D6077" t="s">
        <v>745</v>
      </c>
      <c r="E6077" t="s">
        <v>772</v>
      </c>
      <c r="F6077">
        <v>7</v>
      </c>
      <c r="G6077" s="308">
        <f>COMEDORES!Q65</f>
        <v>2547</v>
      </c>
      <c r="H6077" s="308">
        <f>COMEDORES!R65</f>
        <v>0</v>
      </c>
    </row>
    <row r="6078" spans="1:8" x14ac:dyDescent="0.3">
      <c r="A6078" t="s">
        <v>628</v>
      </c>
      <c r="B6078" t="s">
        <v>67</v>
      </c>
      <c r="C6078" t="s">
        <v>67</v>
      </c>
      <c r="D6078" t="s">
        <v>746</v>
      </c>
      <c r="E6078" t="s">
        <v>766</v>
      </c>
      <c r="F6078">
        <v>1</v>
      </c>
      <c r="G6078" s="308">
        <f>COMEDORES!E66</f>
        <v>0</v>
      </c>
      <c r="H6078" s="308">
        <f>COMEDORES!F66</f>
        <v>0</v>
      </c>
    </row>
    <row r="6079" spans="1:8" x14ac:dyDescent="0.3">
      <c r="A6079" t="s">
        <v>628</v>
      </c>
      <c r="B6079" t="s">
        <v>67</v>
      </c>
      <c r="C6079" t="s">
        <v>67</v>
      </c>
      <c r="D6079" t="s">
        <v>746</v>
      </c>
      <c r="E6079" t="s">
        <v>767</v>
      </c>
      <c r="F6079">
        <v>2</v>
      </c>
      <c r="G6079" s="308">
        <f>COMEDORES!G66</f>
        <v>0</v>
      </c>
      <c r="H6079" s="308">
        <f>COMEDORES!H66</f>
        <v>0</v>
      </c>
    </row>
    <row r="6080" spans="1:8" x14ac:dyDescent="0.3">
      <c r="A6080" t="s">
        <v>628</v>
      </c>
      <c r="B6080" t="s">
        <v>67</v>
      </c>
      <c r="C6080" t="s">
        <v>67</v>
      </c>
      <c r="D6080" t="s">
        <v>746</v>
      </c>
      <c r="E6080" t="s">
        <v>768</v>
      </c>
      <c r="F6080">
        <v>3</v>
      </c>
      <c r="G6080" s="308">
        <f>COMEDORES!I66</f>
        <v>0</v>
      </c>
      <c r="H6080" s="308">
        <f>COMEDORES!J66</f>
        <v>0</v>
      </c>
    </row>
    <row r="6081" spans="1:8" x14ac:dyDescent="0.3">
      <c r="A6081" t="s">
        <v>628</v>
      </c>
      <c r="B6081" t="s">
        <v>67</v>
      </c>
      <c r="C6081" t="s">
        <v>67</v>
      </c>
      <c r="D6081" t="s">
        <v>746</v>
      </c>
      <c r="E6081" t="s">
        <v>769</v>
      </c>
      <c r="F6081">
        <v>4</v>
      </c>
      <c r="G6081" s="308">
        <f>COMEDORES!K66</f>
        <v>0</v>
      </c>
      <c r="H6081" s="308">
        <f>COMEDORES!L66</f>
        <v>0</v>
      </c>
    </row>
    <row r="6082" spans="1:8" x14ac:dyDescent="0.3">
      <c r="A6082" t="s">
        <v>628</v>
      </c>
      <c r="B6082" t="s">
        <v>67</v>
      </c>
      <c r="C6082" t="s">
        <v>67</v>
      </c>
      <c r="D6082" t="s">
        <v>746</v>
      </c>
      <c r="E6082" t="s">
        <v>770</v>
      </c>
      <c r="F6082">
        <v>5</v>
      </c>
      <c r="G6082" s="308">
        <f>COMEDORES!M66</f>
        <v>0</v>
      </c>
      <c r="H6082" s="308">
        <f>COMEDORES!N66</f>
        <v>0</v>
      </c>
    </row>
    <row r="6083" spans="1:8" x14ac:dyDescent="0.3">
      <c r="A6083" t="s">
        <v>628</v>
      </c>
      <c r="B6083" t="s">
        <v>67</v>
      </c>
      <c r="C6083" t="s">
        <v>67</v>
      </c>
      <c r="D6083" t="s">
        <v>746</v>
      </c>
      <c r="E6083" t="s">
        <v>771</v>
      </c>
      <c r="F6083">
        <v>6</v>
      </c>
      <c r="G6083" s="308">
        <f>COMEDORES!O66</f>
        <v>0</v>
      </c>
      <c r="H6083" s="308">
        <f>COMEDORES!P66</f>
        <v>0</v>
      </c>
    </row>
    <row r="6084" spans="1:8" x14ac:dyDescent="0.3">
      <c r="A6084" t="s">
        <v>628</v>
      </c>
      <c r="B6084" t="s">
        <v>67</v>
      </c>
      <c r="C6084" t="s">
        <v>67</v>
      </c>
      <c r="D6084" t="s">
        <v>746</v>
      </c>
      <c r="E6084" t="s">
        <v>772</v>
      </c>
      <c r="F6084">
        <v>7</v>
      </c>
      <c r="G6084" s="308">
        <f>COMEDORES!Q66</f>
        <v>3400</v>
      </c>
      <c r="H6084" s="308">
        <f>COMEDORES!R66</f>
        <v>0</v>
      </c>
    </row>
    <row r="6085" spans="1:8" x14ac:dyDescent="0.3">
      <c r="A6085" t="s">
        <v>628</v>
      </c>
      <c r="B6085" t="s">
        <v>67</v>
      </c>
      <c r="C6085" t="s">
        <v>71</v>
      </c>
      <c r="D6085" t="s">
        <v>745</v>
      </c>
      <c r="E6085" t="s">
        <v>766</v>
      </c>
      <c r="F6085">
        <v>1</v>
      </c>
      <c r="G6085" s="308">
        <f>COMEDORES!E67</f>
        <v>0</v>
      </c>
      <c r="H6085" s="308">
        <f>COMEDORES!F67</f>
        <v>0</v>
      </c>
    </row>
    <row r="6086" spans="1:8" x14ac:dyDescent="0.3">
      <c r="A6086" t="s">
        <v>628</v>
      </c>
      <c r="B6086" t="s">
        <v>67</v>
      </c>
      <c r="C6086" t="s">
        <v>71</v>
      </c>
      <c r="D6086" t="s">
        <v>745</v>
      </c>
      <c r="E6086" t="s">
        <v>767</v>
      </c>
      <c r="F6086">
        <v>2</v>
      </c>
      <c r="G6086" s="308">
        <f>COMEDORES!G67</f>
        <v>0</v>
      </c>
      <c r="H6086" s="308">
        <f>COMEDORES!H67</f>
        <v>0</v>
      </c>
    </row>
    <row r="6087" spans="1:8" x14ac:dyDescent="0.3">
      <c r="A6087" t="s">
        <v>628</v>
      </c>
      <c r="B6087" t="s">
        <v>67</v>
      </c>
      <c r="C6087" t="s">
        <v>71</v>
      </c>
      <c r="D6087" t="s">
        <v>745</v>
      </c>
      <c r="E6087" t="s">
        <v>768</v>
      </c>
      <c r="F6087">
        <v>3</v>
      </c>
      <c r="G6087" s="308">
        <f>COMEDORES!I67</f>
        <v>0</v>
      </c>
      <c r="H6087" s="308">
        <f>COMEDORES!J67</f>
        <v>0</v>
      </c>
    </row>
    <row r="6088" spans="1:8" x14ac:dyDescent="0.3">
      <c r="A6088" t="s">
        <v>628</v>
      </c>
      <c r="B6088" t="s">
        <v>67</v>
      </c>
      <c r="C6088" t="s">
        <v>71</v>
      </c>
      <c r="D6088" t="s">
        <v>745</v>
      </c>
      <c r="E6088" t="s">
        <v>769</v>
      </c>
      <c r="F6088">
        <v>4</v>
      </c>
      <c r="G6088" s="308">
        <f>COMEDORES!K67</f>
        <v>0</v>
      </c>
      <c r="H6088" s="308">
        <f>COMEDORES!L67</f>
        <v>0</v>
      </c>
    </row>
    <row r="6089" spans="1:8" x14ac:dyDescent="0.3">
      <c r="A6089" t="s">
        <v>628</v>
      </c>
      <c r="B6089" t="s">
        <v>67</v>
      </c>
      <c r="C6089" t="s">
        <v>71</v>
      </c>
      <c r="D6089" t="s">
        <v>745</v>
      </c>
      <c r="E6089" t="s">
        <v>770</v>
      </c>
      <c r="F6089">
        <v>5</v>
      </c>
      <c r="G6089" s="308">
        <f>COMEDORES!M67</f>
        <v>0</v>
      </c>
      <c r="H6089" s="308">
        <f>COMEDORES!N67</f>
        <v>0</v>
      </c>
    </row>
    <row r="6090" spans="1:8" x14ac:dyDescent="0.3">
      <c r="A6090" t="s">
        <v>628</v>
      </c>
      <c r="B6090" t="s">
        <v>67</v>
      </c>
      <c r="C6090" t="s">
        <v>71</v>
      </c>
      <c r="D6090" t="s">
        <v>745</v>
      </c>
      <c r="E6090" t="s">
        <v>771</v>
      </c>
      <c r="F6090">
        <v>6</v>
      </c>
      <c r="G6090" s="308">
        <f>COMEDORES!O67</f>
        <v>1400</v>
      </c>
      <c r="H6090" s="308">
        <f>COMEDORES!P67</f>
        <v>0</v>
      </c>
    </row>
    <row r="6091" spans="1:8" x14ac:dyDescent="0.3">
      <c r="A6091" t="s">
        <v>628</v>
      </c>
      <c r="B6091" t="s">
        <v>67</v>
      </c>
      <c r="C6091" t="s">
        <v>71</v>
      </c>
      <c r="D6091" t="s">
        <v>745</v>
      </c>
      <c r="E6091" t="s">
        <v>772</v>
      </c>
      <c r="F6091">
        <v>7</v>
      </c>
      <c r="G6091" s="308">
        <f>COMEDORES!Q67</f>
        <v>2300</v>
      </c>
      <c r="H6091" s="308">
        <f>COMEDORES!R67</f>
        <v>115812.95</v>
      </c>
    </row>
    <row r="6092" spans="1:8" x14ac:dyDescent="0.3">
      <c r="A6092" t="s">
        <v>628</v>
      </c>
      <c r="B6092" t="s">
        <v>67</v>
      </c>
      <c r="C6092" t="s">
        <v>71</v>
      </c>
      <c r="D6092" t="s">
        <v>746</v>
      </c>
      <c r="E6092" t="s">
        <v>766</v>
      </c>
      <c r="F6092">
        <v>1</v>
      </c>
      <c r="G6092" s="308">
        <f>COMEDORES!E68</f>
        <v>0</v>
      </c>
      <c r="H6092" s="308">
        <f>COMEDORES!F68</f>
        <v>0</v>
      </c>
    </row>
    <row r="6093" spans="1:8" x14ac:dyDescent="0.3">
      <c r="A6093" t="s">
        <v>628</v>
      </c>
      <c r="B6093" t="s">
        <v>67</v>
      </c>
      <c r="C6093" t="s">
        <v>71</v>
      </c>
      <c r="D6093" t="s">
        <v>746</v>
      </c>
      <c r="E6093" t="s">
        <v>767</v>
      </c>
      <c r="F6093">
        <v>2</v>
      </c>
      <c r="G6093" s="308">
        <f>COMEDORES!G68</f>
        <v>0</v>
      </c>
      <c r="H6093" s="308">
        <f>COMEDORES!H68</f>
        <v>0</v>
      </c>
    </row>
    <row r="6094" spans="1:8" x14ac:dyDescent="0.3">
      <c r="A6094" t="s">
        <v>628</v>
      </c>
      <c r="B6094" t="s">
        <v>67</v>
      </c>
      <c r="C6094" t="s">
        <v>71</v>
      </c>
      <c r="D6094" t="s">
        <v>746</v>
      </c>
      <c r="E6094" t="s">
        <v>768</v>
      </c>
      <c r="F6094">
        <v>3</v>
      </c>
      <c r="G6094" s="308">
        <f>COMEDORES!I68</f>
        <v>0</v>
      </c>
      <c r="H6094" s="308">
        <f>COMEDORES!J68</f>
        <v>0</v>
      </c>
    </row>
    <row r="6095" spans="1:8" x14ac:dyDescent="0.3">
      <c r="A6095" t="s">
        <v>628</v>
      </c>
      <c r="B6095" t="s">
        <v>67</v>
      </c>
      <c r="C6095" t="s">
        <v>71</v>
      </c>
      <c r="D6095" t="s">
        <v>746</v>
      </c>
      <c r="E6095" t="s">
        <v>769</v>
      </c>
      <c r="F6095">
        <v>4</v>
      </c>
      <c r="G6095" s="308">
        <f>COMEDORES!K68</f>
        <v>0</v>
      </c>
      <c r="H6095" s="308">
        <f>COMEDORES!L68</f>
        <v>0</v>
      </c>
    </row>
    <row r="6096" spans="1:8" x14ac:dyDescent="0.3">
      <c r="A6096" t="s">
        <v>628</v>
      </c>
      <c r="B6096" t="s">
        <v>67</v>
      </c>
      <c r="C6096" t="s">
        <v>71</v>
      </c>
      <c r="D6096" t="s">
        <v>746</v>
      </c>
      <c r="E6096" t="s">
        <v>770</v>
      </c>
      <c r="F6096">
        <v>5</v>
      </c>
      <c r="G6096" s="308">
        <f>COMEDORES!M68</f>
        <v>0</v>
      </c>
      <c r="H6096" s="308">
        <f>COMEDORES!N68</f>
        <v>0</v>
      </c>
    </row>
    <row r="6097" spans="1:8" x14ac:dyDescent="0.3">
      <c r="A6097" t="s">
        <v>628</v>
      </c>
      <c r="B6097" t="s">
        <v>67</v>
      </c>
      <c r="C6097" t="s">
        <v>71</v>
      </c>
      <c r="D6097" t="s">
        <v>746</v>
      </c>
      <c r="E6097" t="s">
        <v>771</v>
      </c>
      <c r="F6097">
        <v>6</v>
      </c>
      <c r="G6097" s="308">
        <f>COMEDORES!O68</f>
        <v>2091</v>
      </c>
      <c r="H6097" s="308">
        <f>COMEDORES!P68</f>
        <v>0</v>
      </c>
    </row>
    <row r="6098" spans="1:8" x14ac:dyDescent="0.3">
      <c r="A6098" t="s">
        <v>628</v>
      </c>
      <c r="B6098" t="s">
        <v>67</v>
      </c>
      <c r="C6098" t="s">
        <v>71</v>
      </c>
      <c r="D6098" t="s">
        <v>746</v>
      </c>
      <c r="E6098" t="s">
        <v>772</v>
      </c>
      <c r="F6098">
        <v>7</v>
      </c>
      <c r="G6098" s="308">
        <f>COMEDORES!Q68</f>
        <v>3407</v>
      </c>
      <c r="H6098" s="308">
        <f>COMEDORES!R68</f>
        <v>0</v>
      </c>
    </row>
    <row r="6099" spans="1:8" x14ac:dyDescent="0.3">
      <c r="A6099" t="s">
        <v>628</v>
      </c>
      <c r="B6099" t="s">
        <v>67</v>
      </c>
      <c r="C6099" t="s">
        <v>72</v>
      </c>
      <c r="D6099" t="s">
        <v>745</v>
      </c>
      <c r="E6099" t="s">
        <v>766</v>
      </c>
      <c r="F6099">
        <v>1</v>
      </c>
      <c r="G6099" s="308">
        <f>COMEDORES!E69</f>
        <v>2700</v>
      </c>
      <c r="H6099" s="308">
        <f>COMEDORES!F69</f>
        <v>0</v>
      </c>
    </row>
    <row r="6100" spans="1:8" x14ac:dyDescent="0.3">
      <c r="A6100" t="s">
        <v>628</v>
      </c>
      <c r="B6100" t="s">
        <v>67</v>
      </c>
      <c r="C6100" t="s">
        <v>72</v>
      </c>
      <c r="D6100" t="s">
        <v>745</v>
      </c>
      <c r="E6100" t="s">
        <v>767</v>
      </c>
      <c r="F6100">
        <v>2</v>
      </c>
      <c r="G6100" s="308">
        <f>COMEDORES!G69</f>
        <v>2875</v>
      </c>
      <c r="H6100" s="308">
        <f>COMEDORES!H69</f>
        <v>0</v>
      </c>
    </row>
    <row r="6101" spans="1:8" x14ac:dyDescent="0.3">
      <c r="A6101" t="s">
        <v>628</v>
      </c>
      <c r="B6101" t="s">
        <v>67</v>
      </c>
      <c r="C6101" t="s">
        <v>72</v>
      </c>
      <c r="D6101" t="s">
        <v>745</v>
      </c>
      <c r="E6101" t="s">
        <v>768</v>
      </c>
      <c r="F6101">
        <v>3</v>
      </c>
      <c r="G6101" s="308">
        <f>COMEDORES!I69</f>
        <v>2750</v>
      </c>
      <c r="H6101" s="308">
        <f>COMEDORES!J69</f>
        <v>389046.5</v>
      </c>
    </row>
    <row r="6102" spans="1:8" x14ac:dyDescent="0.3">
      <c r="A6102" t="s">
        <v>628</v>
      </c>
      <c r="B6102" t="s">
        <v>67</v>
      </c>
      <c r="C6102" t="s">
        <v>72</v>
      </c>
      <c r="D6102" t="s">
        <v>745</v>
      </c>
      <c r="E6102" t="s">
        <v>769</v>
      </c>
      <c r="F6102">
        <v>4</v>
      </c>
      <c r="G6102" s="308">
        <f>COMEDORES!K69</f>
        <v>2375</v>
      </c>
      <c r="H6102" s="308">
        <f>COMEDORES!L69</f>
        <v>234315</v>
      </c>
    </row>
    <row r="6103" spans="1:8" x14ac:dyDescent="0.3">
      <c r="A6103" t="s">
        <v>628</v>
      </c>
      <c r="B6103" t="s">
        <v>67</v>
      </c>
      <c r="C6103" t="s">
        <v>72</v>
      </c>
      <c r="D6103" t="s">
        <v>745</v>
      </c>
      <c r="E6103" t="s">
        <v>770</v>
      </c>
      <c r="F6103">
        <v>5</v>
      </c>
      <c r="G6103" s="308">
        <f>COMEDORES!M69</f>
        <v>2499</v>
      </c>
      <c r="H6103" s="308">
        <f>COMEDORES!N69</f>
        <v>0</v>
      </c>
    </row>
    <row r="6104" spans="1:8" x14ac:dyDescent="0.3">
      <c r="A6104" t="s">
        <v>628</v>
      </c>
      <c r="B6104" t="s">
        <v>67</v>
      </c>
      <c r="C6104" t="s">
        <v>72</v>
      </c>
      <c r="D6104" t="s">
        <v>745</v>
      </c>
      <c r="E6104" t="s">
        <v>771</v>
      </c>
      <c r="F6104">
        <v>6</v>
      </c>
      <c r="G6104" s="308">
        <f>COMEDORES!O69</f>
        <v>2625</v>
      </c>
      <c r="H6104" s="308">
        <f>COMEDORES!P69</f>
        <v>340000</v>
      </c>
    </row>
    <row r="6105" spans="1:8" x14ac:dyDescent="0.3">
      <c r="A6105" t="s">
        <v>628</v>
      </c>
      <c r="B6105" t="s">
        <v>67</v>
      </c>
      <c r="C6105" t="s">
        <v>72</v>
      </c>
      <c r="D6105" t="s">
        <v>745</v>
      </c>
      <c r="E6105" t="s">
        <v>772</v>
      </c>
      <c r="F6105">
        <v>7</v>
      </c>
      <c r="G6105" s="308">
        <f>COMEDORES!Q69</f>
        <v>2875</v>
      </c>
      <c r="H6105" s="308">
        <f>COMEDORES!R69</f>
        <v>183085</v>
      </c>
    </row>
    <row r="6106" spans="1:8" x14ac:dyDescent="0.3">
      <c r="A6106" t="s">
        <v>628</v>
      </c>
      <c r="B6106" t="s">
        <v>67</v>
      </c>
      <c r="C6106" t="s">
        <v>72</v>
      </c>
      <c r="D6106" t="s">
        <v>746</v>
      </c>
      <c r="E6106" t="s">
        <v>766</v>
      </c>
      <c r="F6106">
        <v>1</v>
      </c>
      <c r="G6106" s="308">
        <f>COMEDORES!E70</f>
        <v>3800</v>
      </c>
      <c r="H6106" s="308">
        <f>COMEDORES!F70</f>
        <v>0</v>
      </c>
    </row>
    <row r="6107" spans="1:8" x14ac:dyDescent="0.3">
      <c r="A6107" t="s">
        <v>628</v>
      </c>
      <c r="B6107" t="s">
        <v>67</v>
      </c>
      <c r="C6107" t="s">
        <v>72</v>
      </c>
      <c r="D6107" t="s">
        <v>746</v>
      </c>
      <c r="E6107" t="s">
        <v>767</v>
      </c>
      <c r="F6107">
        <v>2</v>
      </c>
      <c r="G6107" s="308">
        <f>COMEDORES!G70</f>
        <v>4000</v>
      </c>
      <c r="H6107" s="308">
        <f>COMEDORES!H70</f>
        <v>0</v>
      </c>
    </row>
    <row r="6108" spans="1:8" x14ac:dyDescent="0.3">
      <c r="A6108" t="s">
        <v>628</v>
      </c>
      <c r="B6108" t="s">
        <v>67</v>
      </c>
      <c r="C6108" t="s">
        <v>72</v>
      </c>
      <c r="D6108" t="s">
        <v>746</v>
      </c>
      <c r="E6108" t="s">
        <v>768</v>
      </c>
      <c r="F6108">
        <v>3</v>
      </c>
      <c r="G6108" s="308">
        <f>COMEDORES!I70</f>
        <v>4400</v>
      </c>
      <c r="H6108" s="308">
        <f>COMEDORES!J70</f>
        <v>0</v>
      </c>
    </row>
    <row r="6109" spans="1:8" x14ac:dyDescent="0.3">
      <c r="A6109" t="s">
        <v>628</v>
      </c>
      <c r="B6109" t="s">
        <v>67</v>
      </c>
      <c r="C6109" t="s">
        <v>72</v>
      </c>
      <c r="D6109" t="s">
        <v>746</v>
      </c>
      <c r="E6109" t="s">
        <v>769</v>
      </c>
      <c r="F6109">
        <v>4</v>
      </c>
      <c r="G6109" s="308">
        <f>COMEDORES!K70</f>
        <v>3800</v>
      </c>
      <c r="H6109" s="308">
        <f>COMEDORES!L70</f>
        <v>0</v>
      </c>
    </row>
    <row r="6110" spans="1:8" x14ac:dyDescent="0.3">
      <c r="A6110" t="s">
        <v>628</v>
      </c>
      <c r="B6110" t="s">
        <v>67</v>
      </c>
      <c r="C6110" t="s">
        <v>72</v>
      </c>
      <c r="D6110" t="s">
        <v>746</v>
      </c>
      <c r="E6110" t="s">
        <v>770</v>
      </c>
      <c r="F6110">
        <v>5</v>
      </c>
      <c r="G6110" s="308">
        <f>COMEDORES!M70</f>
        <v>4000</v>
      </c>
      <c r="H6110" s="308">
        <f>COMEDORES!N70</f>
        <v>0</v>
      </c>
    </row>
    <row r="6111" spans="1:8" x14ac:dyDescent="0.3">
      <c r="A6111" t="s">
        <v>628</v>
      </c>
      <c r="B6111" t="s">
        <v>67</v>
      </c>
      <c r="C6111" t="s">
        <v>72</v>
      </c>
      <c r="D6111" t="s">
        <v>746</v>
      </c>
      <c r="E6111" t="s">
        <v>771</v>
      </c>
      <c r="F6111">
        <v>6</v>
      </c>
      <c r="G6111" s="308">
        <f>COMEDORES!O70</f>
        <v>4195</v>
      </c>
      <c r="H6111" s="308">
        <f>COMEDORES!P70</f>
        <v>0</v>
      </c>
    </row>
    <row r="6112" spans="1:8" x14ac:dyDescent="0.3">
      <c r="A6112" t="s">
        <v>628</v>
      </c>
      <c r="B6112" t="s">
        <v>67</v>
      </c>
      <c r="C6112" t="s">
        <v>72</v>
      </c>
      <c r="D6112" t="s">
        <v>746</v>
      </c>
      <c r="E6112" t="s">
        <v>772</v>
      </c>
      <c r="F6112">
        <v>7</v>
      </c>
      <c r="G6112" s="308">
        <f>COMEDORES!Q70</f>
        <v>4600</v>
      </c>
      <c r="H6112" s="308">
        <f>COMEDORES!R70</f>
        <v>0</v>
      </c>
    </row>
    <row r="6113" spans="1:8" x14ac:dyDescent="0.3">
      <c r="A6113" t="s">
        <v>628</v>
      </c>
      <c r="B6113" t="s">
        <v>67</v>
      </c>
      <c r="C6113" t="s">
        <v>73</v>
      </c>
      <c r="D6113" t="s">
        <v>745</v>
      </c>
      <c r="E6113" t="s">
        <v>766</v>
      </c>
      <c r="F6113">
        <v>1</v>
      </c>
      <c r="G6113" s="308">
        <f>COMEDORES!E71</f>
        <v>1350</v>
      </c>
      <c r="H6113" s="308">
        <f>COMEDORES!F71</f>
        <v>0</v>
      </c>
    </row>
    <row r="6114" spans="1:8" x14ac:dyDescent="0.3">
      <c r="A6114" t="s">
        <v>628</v>
      </c>
      <c r="B6114" t="s">
        <v>67</v>
      </c>
      <c r="C6114" t="s">
        <v>73</v>
      </c>
      <c r="D6114" t="s">
        <v>745</v>
      </c>
      <c r="E6114" t="s">
        <v>767</v>
      </c>
      <c r="F6114">
        <v>2</v>
      </c>
      <c r="G6114" s="308">
        <f>COMEDORES!G71</f>
        <v>1500</v>
      </c>
      <c r="H6114" s="308">
        <f>COMEDORES!H71</f>
        <v>0</v>
      </c>
    </row>
    <row r="6115" spans="1:8" x14ac:dyDescent="0.3">
      <c r="A6115" t="s">
        <v>628</v>
      </c>
      <c r="B6115" t="s">
        <v>67</v>
      </c>
      <c r="C6115" t="s">
        <v>73</v>
      </c>
      <c r="D6115" t="s">
        <v>745</v>
      </c>
      <c r="E6115" t="s">
        <v>768</v>
      </c>
      <c r="F6115">
        <v>3</v>
      </c>
      <c r="G6115" s="308">
        <f>COMEDORES!I71</f>
        <v>1650</v>
      </c>
      <c r="H6115" s="308">
        <f>COMEDORES!J71</f>
        <v>245679.91</v>
      </c>
    </row>
    <row r="6116" spans="1:8" x14ac:dyDescent="0.3">
      <c r="A6116" t="s">
        <v>628</v>
      </c>
      <c r="B6116" t="s">
        <v>67</v>
      </c>
      <c r="C6116" t="s">
        <v>73</v>
      </c>
      <c r="D6116" t="s">
        <v>745</v>
      </c>
      <c r="E6116" t="s">
        <v>769</v>
      </c>
      <c r="F6116">
        <v>4</v>
      </c>
      <c r="G6116" s="308">
        <f>COMEDORES!K71</f>
        <v>1386</v>
      </c>
      <c r="H6116" s="308">
        <f>COMEDORES!L71</f>
        <v>140743.99999999997</v>
      </c>
    </row>
    <row r="6117" spans="1:8" x14ac:dyDescent="0.3">
      <c r="A6117" t="s">
        <v>628</v>
      </c>
      <c r="B6117" t="s">
        <v>67</v>
      </c>
      <c r="C6117" t="s">
        <v>73</v>
      </c>
      <c r="D6117" t="s">
        <v>745</v>
      </c>
      <c r="E6117" t="s">
        <v>770</v>
      </c>
      <c r="F6117">
        <v>5</v>
      </c>
      <c r="G6117" s="308">
        <f>COMEDORES!M71</f>
        <v>1493</v>
      </c>
      <c r="H6117" s="308">
        <f>COMEDORES!N71</f>
        <v>0</v>
      </c>
    </row>
    <row r="6118" spans="1:8" x14ac:dyDescent="0.3">
      <c r="A6118" t="s">
        <v>628</v>
      </c>
      <c r="B6118" t="s">
        <v>67</v>
      </c>
      <c r="C6118" t="s">
        <v>73</v>
      </c>
      <c r="D6118" t="s">
        <v>745</v>
      </c>
      <c r="E6118" t="s">
        <v>771</v>
      </c>
      <c r="F6118">
        <v>6</v>
      </c>
      <c r="G6118" s="308">
        <f>COMEDORES!O71</f>
        <v>1565</v>
      </c>
      <c r="H6118" s="308">
        <f>COMEDORES!P71</f>
        <v>202091.00000000006</v>
      </c>
    </row>
    <row r="6119" spans="1:8" x14ac:dyDescent="0.3">
      <c r="A6119" t="s">
        <v>628</v>
      </c>
      <c r="B6119" t="s">
        <v>67</v>
      </c>
      <c r="C6119" t="s">
        <v>73</v>
      </c>
      <c r="D6119" t="s">
        <v>745</v>
      </c>
      <c r="E6119" t="s">
        <v>772</v>
      </c>
      <c r="F6119">
        <v>7</v>
      </c>
      <c r="G6119" s="308">
        <f>COMEDORES!Q71</f>
        <v>1725</v>
      </c>
      <c r="H6119" s="308">
        <f>COMEDORES!R71</f>
        <v>110861</v>
      </c>
    </row>
    <row r="6120" spans="1:8" x14ac:dyDescent="0.3">
      <c r="A6120" t="s">
        <v>628</v>
      </c>
      <c r="B6120" t="s">
        <v>67</v>
      </c>
      <c r="C6120" t="s">
        <v>73</v>
      </c>
      <c r="D6120" t="s">
        <v>746</v>
      </c>
      <c r="E6120" t="s">
        <v>766</v>
      </c>
      <c r="F6120">
        <v>1</v>
      </c>
      <c r="G6120" s="308">
        <f>COMEDORES!E72</f>
        <v>2830</v>
      </c>
      <c r="H6120" s="308">
        <f>COMEDORES!F72</f>
        <v>0</v>
      </c>
    </row>
    <row r="6121" spans="1:8" x14ac:dyDescent="0.3">
      <c r="A6121" t="s">
        <v>628</v>
      </c>
      <c r="B6121" t="s">
        <v>67</v>
      </c>
      <c r="C6121" t="s">
        <v>73</v>
      </c>
      <c r="D6121" t="s">
        <v>746</v>
      </c>
      <c r="E6121" t="s">
        <v>767</v>
      </c>
      <c r="F6121">
        <v>2</v>
      </c>
      <c r="G6121" s="308">
        <f>COMEDORES!G72</f>
        <v>2709</v>
      </c>
      <c r="H6121" s="308">
        <f>COMEDORES!H72</f>
        <v>0</v>
      </c>
    </row>
    <row r="6122" spans="1:8" x14ac:dyDescent="0.3">
      <c r="A6122" t="s">
        <v>628</v>
      </c>
      <c r="B6122" t="s">
        <v>67</v>
      </c>
      <c r="C6122" t="s">
        <v>73</v>
      </c>
      <c r="D6122" t="s">
        <v>746</v>
      </c>
      <c r="E6122" t="s">
        <v>768</v>
      </c>
      <c r="F6122">
        <v>3</v>
      </c>
      <c r="G6122" s="308">
        <f>COMEDORES!I72</f>
        <v>2750</v>
      </c>
      <c r="H6122" s="308">
        <f>COMEDORES!J72</f>
        <v>0</v>
      </c>
    </row>
    <row r="6123" spans="1:8" x14ac:dyDescent="0.3">
      <c r="A6123" t="s">
        <v>628</v>
      </c>
      <c r="B6123" t="s">
        <v>67</v>
      </c>
      <c r="C6123" t="s">
        <v>73</v>
      </c>
      <c r="D6123" t="s">
        <v>746</v>
      </c>
      <c r="E6123" t="s">
        <v>769</v>
      </c>
      <c r="F6123">
        <v>4</v>
      </c>
      <c r="G6123" s="308">
        <f>COMEDORES!K72</f>
        <v>2237</v>
      </c>
      <c r="H6123" s="308">
        <f>COMEDORES!L72</f>
        <v>0</v>
      </c>
    </row>
    <row r="6124" spans="1:8" x14ac:dyDescent="0.3">
      <c r="A6124" t="s">
        <v>628</v>
      </c>
      <c r="B6124" t="s">
        <v>67</v>
      </c>
      <c r="C6124" t="s">
        <v>73</v>
      </c>
      <c r="D6124" t="s">
        <v>746</v>
      </c>
      <c r="E6124" t="s">
        <v>770</v>
      </c>
      <c r="F6124">
        <v>5</v>
      </c>
      <c r="G6124" s="308">
        <f>COMEDORES!M72</f>
        <v>2410</v>
      </c>
      <c r="H6124" s="308">
        <f>COMEDORES!N72</f>
        <v>0</v>
      </c>
    </row>
    <row r="6125" spans="1:8" x14ac:dyDescent="0.3">
      <c r="A6125" t="s">
        <v>628</v>
      </c>
      <c r="B6125" t="s">
        <v>67</v>
      </c>
      <c r="C6125" t="s">
        <v>73</v>
      </c>
      <c r="D6125" t="s">
        <v>746</v>
      </c>
      <c r="E6125" t="s">
        <v>771</v>
      </c>
      <c r="F6125">
        <v>6</v>
      </c>
      <c r="G6125" s="308">
        <f>COMEDORES!O72</f>
        <v>2562</v>
      </c>
      <c r="H6125" s="308">
        <f>COMEDORES!P72</f>
        <v>0</v>
      </c>
    </row>
    <row r="6126" spans="1:8" x14ac:dyDescent="0.3">
      <c r="A6126" t="s">
        <v>628</v>
      </c>
      <c r="B6126" t="s">
        <v>67</v>
      </c>
      <c r="C6126" t="s">
        <v>73</v>
      </c>
      <c r="D6126" t="s">
        <v>746</v>
      </c>
      <c r="E6126" t="s">
        <v>772</v>
      </c>
      <c r="F6126">
        <v>7</v>
      </c>
      <c r="G6126" s="308">
        <f>COMEDORES!Q72</f>
        <v>2847</v>
      </c>
      <c r="H6126" s="308">
        <f>COMEDORES!R72</f>
        <v>0</v>
      </c>
    </row>
    <row r="6127" spans="1:8" x14ac:dyDescent="0.3">
      <c r="A6127" t="s">
        <v>628</v>
      </c>
      <c r="B6127" t="s">
        <v>67</v>
      </c>
      <c r="C6127" t="s">
        <v>76</v>
      </c>
      <c r="D6127" t="s">
        <v>745</v>
      </c>
      <c r="E6127" t="s">
        <v>766</v>
      </c>
      <c r="F6127">
        <v>1</v>
      </c>
      <c r="G6127" s="308">
        <f>COMEDORES!E73</f>
        <v>0</v>
      </c>
      <c r="H6127" s="308">
        <f>COMEDORES!F73</f>
        <v>0</v>
      </c>
    </row>
    <row r="6128" spans="1:8" x14ac:dyDescent="0.3">
      <c r="A6128" t="s">
        <v>628</v>
      </c>
      <c r="B6128" t="s">
        <v>67</v>
      </c>
      <c r="C6128" t="s">
        <v>76</v>
      </c>
      <c r="D6128" t="s">
        <v>745</v>
      </c>
      <c r="E6128" t="s">
        <v>767</v>
      </c>
      <c r="F6128">
        <v>2</v>
      </c>
      <c r="G6128" s="308">
        <f>COMEDORES!G73</f>
        <v>0</v>
      </c>
      <c r="H6128" s="308">
        <f>COMEDORES!H73</f>
        <v>0</v>
      </c>
    </row>
    <row r="6129" spans="1:8" x14ac:dyDescent="0.3">
      <c r="A6129" t="s">
        <v>628</v>
      </c>
      <c r="B6129" t="s">
        <v>67</v>
      </c>
      <c r="C6129" t="s">
        <v>76</v>
      </c>
      <c r="D6129" t="s">
        <v>745</v>
      </c>
      <c r="E6129" t="s">
        <v>768</v>
      </c>
      <c r="F6129">
        <v>3</v>
      </c>
      <c r="G6129" s="308">
        <f>COMEDORES!I73</f>
        <v>0</v>
      </c>
      <c r="H6129" s="308">
        <f>COMEDORES!J73</f>
        <v>0</v>
      </c>
    </row>
    <row r="6130" spans="1:8" x14ac:dyDescent="0.3">
      <c r="A6130" t="s">
        <v>628</v>
      </c>
      <c r="B6130" t="s">
        <v>67</v>
      </c>
      <c r="C6130" t="s">
        <v>76</v>
      </c>
      <c r="D6130" t="s">
        <v>745</v>
      </c>
      <c r="E6130" t="s">
        <v>769</v>
      </c>
      <c r="F6130">
        <v>4</v>
      </c>
      <c r="G6130" s="308">
        <f>COMEDORES!K73</f>
        <v>0</v>
      </c>
      <c r="H6130" s="308">
        <f>COMEDORES!L73</f>
        <v>0</v>
      </c>
    </row>
    <row r="6131" spans="1:8" x14ac:dyDescent="0.3">
      <c r="A6131" t="s">
        <v>628</v>
      </c>
      <c r="B6131" t="s">
        <v>67</v>
      </c>
      <c r="C6131" t="s">
        <v>76</v>
      </c>
      <c r="D6131" t="s">
        <v>745</v>
      </c>
      <c r="E6131" t="s">
        <v>770</v>
      </c>
      <c r="F6131">
        <v>5</v>
      </c>
      <c r="G6131" s="308">
        <f>COMEDORES!M73</f>
        <v>0</v>
      </c>
      <c r="H6131" s="308">
        <f>COMEDORES!N73</f>
        <v>0</v>
      </c>
    </row>
    <row r="6132" spans="1:8" x14ac:dyDescent="0.3">
      <c r="A6132" t="s">
        <v>628</v>
      </c>
      <c r="B6132" t="s">
        <v>67</v>
      </c>
      <c r="C6132" t="s">
        <v>76</v>
      </c>
      <c r="D6132" t="s">
        <v>745</v>
      </c>
      <c r="E6132" t="s">
        <v>771</v>
      </c>
      <c r="F6132">
        <v>6</v>
      </c>
      <c r="G6132" s="308">
        <f>COMEDORES!O73</f>
        <v>0</v>
      </c>
      <c r="H6132" s="308">
        <f>COMEDORES!P73</f>
        <v>0</v>
      </c>
    </row>
    <row r="6133" spans="1:8" x14ac:dyDescent="0.3">
      <c r="A6133" t="s">
        <v>628</v>
      </c>
      <c r="B6133" t="s">
        <v>67</v>
      </c>
      <c r="C6133" t="s">
        <v>76</v>
      </c>
      <c r="D6133" t="s">
        <v>745</v>
      </c>
      <c r="E6133" t="s">
        <v>772</v>
      </c>
      <c r="F6133">
        <v>7</v>
      </c>
      <c r="G6133" s="308">
        <f>COMEDORES!Q73</f>
        <v>2195</v>
      </c>
      <c r="H6133" s="308">
        <f>COMEDORES!R73</f>
        <v>0</v>
      </c>
    </row>
    <row r="6134" spans="1:8" x14ac:dyDescent="0.3">
      <c r="A6134" t="s">
        <v>628</v>
      </c>
      <c r="B6134" t="s">
        <v>67</v>
      </c>
      <c r="C6134" t="s">
        <v>76</v>
      </c>
      <c r="D6134" t="s">
        <v>746</v>
      </c>
      <c r="E6134" t="s">
        <v>766</v>
      </c>
      <c r="F6134">
        <v>1</v>
      </c>
      <c r="G6134" s="308">
        <f>COMEDORES!E74</f>
        <v>0</v>
      </c>
      <c r="H6134" s="308">
        <f>COMEDORES!F74</f>
        <v>0</v>
      </c>
    </row>
    <row r="6135" spans="1:8" x14ac:dyDescent="0.3">
      <c r="A6135" t="s">
        <v>628</v>
      </c>
      <c r="B6135" t="s">
        <v>67</v>
      </c>
      <c r="C6135" t="s">
        <v>76</v>
      </c>
      <c r="D6135" t="s">
        <v>746</v>
      </c>
      <c r="E6135" t="s">
        <v>767</v>
      </c>
      <c r="F6135">
        <v>2</v>
      </c>
      <c r="G6135" s="308">
        <f>COMEDORES!G74</f>
        <v>0</v>
      </c>
      <c r="H6135" s="308">
        <f>COMEDORES!H74</f>
        <v>0</v>
      </c>
    </row>
    <row r="6136" spans="1:8" x14ac:dyDescent="0.3">
      <c r="A6136" t="s">
        <v>628</v>
      </c>
      <c r="B6136" t="s">
        <v>67</v>
      </c>
      <c r="C6136" t="s">
        <v>76</v>
      </c>
      <c r="D6136" t="s">
        <v>746</v>
      </c>
      <c r="E6136" t="s">
        <v>768</v>
      </c>
      <c r="F6136">
        <v>3</v>
      </c>
      <c r="G6136" s="308">
        <f>COMEDORES!I74</f>
        <v>0</v>
      </c>
      <c r="H6136" s="308">
        <f>COMEDORES!J74</f>
        <v>0</v>
      </c>
    </row>
    <row r="6137" spans="1:8" x14ac:dyDescent="0.3">
      <c r="A6137" t="s">
        <v>628</v>
      </c>
      <c r="B6137" t="s">
        <v>67</v>
      </c>
      <c r="C6137" t="s">
        <v>76</v>
      </c>
      <c r="D6137" t="s">
        <v>746</v>
      </c>
      <c r="E6137" t="s">
        <v>769</v>
      </c>
      <c r="F6137">
        <v>4</v>
      </c>
      <c r="G6137" s="308">
        <f>COMEDORES!K74</f>
        <v>0</v>
      </c>
      <c r="H6137" s="308">
        <f>COMEDORES!L74</f>
        <v>0</v>
      </c>
    </row>
    <row r="6138" spans="1:8" x14ac:dyDescent="0.3">
      <c r="A6138" t="s">
        <v>628</v>
      </c>
      <c r="B6138" t="s">
        <v>67</v>
      </c>
      <c r="C6138" t="s">
        <v>76</v>
      </c>
      <c r="D6138" t="s">
        <v>746</v>
      </c>
      <c r="E6138" t="s">
        <v>770</v>
      </c>
      <c r="F6138">
        <v>5</v>
      </c>
      <c r="G6138" s="308">
        <f>COMEDORES!M74</f>
        <v>0</v>
      </c>
      <c r="H6138" s="308">
        <f>COMEDORES!N74</f>
        <v>0</v>
      </c>
    </row>
    <row r="6139" spans="1:8" x14ac:dyDescent="0.3">
      <c r="A6139" t="s">
        <v>628</v>
      </c>
      <c r="B6139" t="s">
        <v>67</v>
      </c>
      <c r="C6139" t="s">
        <v>76</v>
      </c>
      <c r="D6139" t="s">
        <v>746</v>
      </c>
      <c r="E6139" t="s">
        <v>771</v>
      </c>
      <c r="F6139">
        <v>6</v>
      </c>
      <c r="G6139" s="308">
        <f>COMEDORES!O74</f>
        <v>0</v>
      </c>
      <c r="H6139" s="308">
        <f>COMEDORES!P74</f>
        <v>0</v>
      </c>
    </row>
    <row r="6140" spans="1:8" x14ac:dyDescent="0.3">
      <c r="A6140" t="s">
        <v>628</v>
      </c>
      <c r="B6140" t="s">
        <v>67</v>
      </c>
      <c r="C6140" t="s">
        <v>76</v>
      </c>
      <c r="D6140" t="s">
        <v>746</v>
      </c>
      <c r="E6140" t="s">
        <v>772</v>
      </c>
      <c r="F6140">
        <v>7</v>
      </c>
      <c r="G6140" s="308">
        <f>COMEDORES!Q74</f>
        <v>3060</v>
      </c>
      <c r="H6140" s="308">
        <f>COMEDORES!R74</f>
        <v>0</v>
      </c>
    </row>
    <row r="6141" spans="1:8" x14ac:dyDescent="0.3">
      <c r="A6141" t="s">
        <v>628</v>
      </c>
      <c r="B6141" t="s">
        <v>77</v>
      </c>
      <c r="C6141" t="s">
        <v>78</v>
      </c>
      <c r="D6141" t="s">
        <v>745</v>
      </c>
      <c r="E6141" t="s">
        <v>766</v>
      </c>
      <c r="F6141">
        <v>1</v>
      </c>
      <c r="G6141" s="308">
        <f>COMEDORES!E75</f>
        <v>1795</v>
      </c>
      <c r="H6141" s="308">
        <f>COMEDORES!F75</f>
        <v>0</v>
      </c>
    </row>
    <row r="6142" spans="1:8" x14ac:dyDescent="0.3">
      <c r="A6142" t="s">
        <v>628</v>
      </c>
      <c r="B6142" t="s">
        <v>77</v>
      </c>
      <c r="C6142" t="s">
        <v>78</v>
      </c>
      <c r="D6142" t="s">
        <v>745</v>
      </c>
      <c r="E6142" t="s">
        <v>767</v>
      </c>
      <c r="F6142">
        <v>2</v>
      </c>
      <c r="G6142" s="308">
        <f>COMEDORES!G75</f>
        <v>2000</v>
      </c>
      <c r="H6142" s="308">
        <f>COMEDORES!H75</f>
        <v>84770</v>
      </c>
    </row>
    <row r="6143" spans="1:8" x14ac:dyDescent="0.3">
      <c r="A6143" t="s">
        <v>628</v>
      </c>
      <c r="B6143" t="s">
        <v>77</v>
      </c>
      <c r="C6143" t="s">
        <v>78</v>
      </c>
      <c r="D6143" t="s">
        <v>745</v>
      </c>
      <c r="E6143" t="s">
        <v>768</v>
      </c>
      <c r="F6143">
        <v>3</v>
      </c>
      <c r="G6143" s="308">
        <f>COMEDORES!I75</f>
        <v>2200</v>
      </c>
      <c r="H6143" s="308">
        <f>COMEDORES!J75</f>
        <v>140490</v>
      </c>
    </row>
    <row r="6144" spans="1:8" x14ac:dyDescent="0.3">
      <c r="A6144" t="s">
        <v>628</v>
      </c>
      <c r="B6144" t="s">
        <v>77</v>
      </c>
      <c r="C6144" t="s">
        <v>78</v>
      </c>
      <c r="D6144" t="s">
        <v>745</v>
      </c>
      <c r="E6144" t="s">
        <v>769</v>
      </c>
      <c r="F6144">
        <v>4</v>
      </c>
      <c r="G6144" s="308">
        <f>COMEDORES!K75</f>
        <v>1900</v>
      </c>
      <c r="H6144" s="308">
        <f>COMEDORES!L75</f>
        <v>218700</v>
      </c>
    </row>
    <row r="6145" spans="1:8" x14ac:dyDescent="0.3">
      <c r="A6145" t="s">
        <v>628</v>
      </c>
      <c r="B6145" t="s">
        <v>77</v>
      </c>
      <c r="C6145" t="s">
        <v>78</v>
      </c>
      <c r="D6145" t="s">
        <v>745</v>
      </c>
      <c r="E6145" t="s">
        <v>770</v>
      </c>
      <c r="F6145">
        <v>5</v>
      </c>
      <c r="G6145" s="308">
        <f>COMEDORES!M75</f>
        <v>2000</v>
      </c>
      <c r="H6145" s="308">
        <f>COMEDORES!N75</f>
        <v>153900</v>
      </c>
    </row>
    <row r="6146" spans="1:8" x14ac:dyDescent="0.3">
      <c r="A6146" t="s">
        <v>628</v>
      </c>
      <c r="B6146" t="s">
        <v>77</v>
      </c>
      <c r="C6146" t="s">
        <v>78</v>
      </c>
      <c r="D6146" t="s">
        <v>745</v>
      </c>
      <c r="E6146" t="s">
        <v>771</v>
      </c>
      <c r="F6146">
        <v>6</v>
      </c>
      <c r="G6146" s="308">
        <f>COMEDORES!O75</f>
        <v>2100</v>
      </c>
      <c r="H6146" s="308">
        <f>COMEDORES!P75</f>
        <v>162000</v>
      </c>
    </row>
    <row r="6147" spans="1:8" x14ac:dyDescent="0.3">
      <c r="A6147" t="s">
        <v>628</v>
      </c>
      <c r="B6147" t="s">
        <v>77</v>
      </c>
      <c r="C6147" t="s">
        <v>78</v>
      </c>
      <c r="D6147" t="s">
        <v>745</v>
      </c>
      <c r="E6147" t="s">
        <v>772</v>
      </c>
      <c r="F6147">
        <v>7</v>
      </c>
      <c r="G6147" s="308">
        <f>COMEDORES!Q75</f>
        <v>2300</v>
      </c>
      <c r="H6147" s="308">
        <f>COMEDORES!R75</f>
        <v>170100</v>
      </c>
    </row>
    <row r="6148" spans="1:8" x14ac:dyDescent="0.3">
      <c r="A6148" t="s">
        <v>628</v>
      </c>
      <c r="B6148" t="s">
        <v>77</v>
      </c>
      <c r="C6148" t="s">
        <v>78</v>
      </c>
      <c r="D6148" t="s">
        <v>746</v>
      </c>
      <c r="E6148" t="s">
        <v>766</v>
      </c>
      <c r="F6148">
        <v>1</v>
      </c>
      <c r="G6148" s="308">
        <f>COMEDORES!E76</f>
        <v>3783</v>
      </c>
      <c r="H6148" s="308">
        <f>COMEDORES!F76</f>
        <v>0</v>
      </c>
    </row>
    <row r="6149" spans="1:8" x14ac:dyDescent="0.3">
      <c r="A6149" t="s">
        <v>628</v>
      </c>
      <c r="B6149" t="s">
        <v>77</v>
      </c>
      <c r="C6149" t="s">
        <v>78</v>
      </c>
      <c r="D6149" t="s">
        <v>746</v>
      </c>
      <c r="E6149" t="s">
        <v>767</v>
      </c>
      <c r="F6149">
        <v>2</v>
      </c>
      <c r="G6149" s="308">
        <f>COMEDORES!G76</f>
        <v>4000</v>
      </c>
      <c r="H6149" s="308">
        <f>COMEDORES!H76</f>
        <v>0</v>
      </c>
    </row>
    <row r="6150" spans="1:8" x14ac:dyDescent="0.3">
      <c r="A6150" t="s">
        <v>628</v>
      </c>
      <c r="B6150" t="s">
        <v>77</v>
      </c>
      <c r="C6150" t="s">
        <v>78</v>
      </c>
      <c r="D6150" t="s">
        <v>746</v>
      </c>
      <c r="E6150" t="s">
        <v>768</v>
      </c>
      <c r="F6150">
        <v>3</v>
      </c>
      <c r="G6150" s="308">
        <f>COMEDORES!I76</f>
        <v>4400</v>
      </c>
      <c r="H6150" s="308">
        <f>COMEDORES!J76</f>
        <v>0</v>
      </c>
    </row>
    <row r="6151" spans="1:8" x14ac:dyDescent="0.3">
      <c r="A6151" t="s">
        <v>628</v>
      </c>
      <c r="B6151" t="s">
        <v>77</v>
      </c>
      <c r="C6151" t="s">
        <v>78</v>
      </c>
      <c r="D6151" t="s">
        <v>746</v>
      </c>
      <c r="E6151" t="s">
        <v>769</v>
      </c>
      <c r="F6151">
        <v>4</v>
      </c>
      <c r="G6151" s="308">
        <f>COMEDORES!K76</f>
        <v>3800</v>
      </c>
      <c r="H6151" s="308">
        <f>COMEDORES!L76</f>
        <v>0</v>
      </c>
    </row>
    <row r="6152" spans="1:8" x14ac:dyDescent="0.3">
      <c r="A6152" t="s">
        <v>628</v>
      </c>
      <c r="B6152" t="s">
        <v>77</v>
      </c>
      <c r="C6152" t="s">
        <v>78</v>
      </c>
      <c r="D6152" t="s">
        <v>746</v>
      </c>
      <c r="E6152" t="s">
        <v>770</v>
      </c>
      <c r="F6152">
        <v>5</v>
      </c>
      <c r="G6152" s="308">
        <f>COMEDORES!M76</f>
        <v>4000</v>
      </c>
      <c r="H6152" s="308">
        <f>COMEDORES!N76</f>
        <v>0</v>
      </c>
    </row>
    <row r="6153" spans="1:8" x14ac:dyDescent="0.3">
      <c r="A6153" t="s">
        <v>628</v>
      </c>
      <c r="B6153" t="s">
        <v>77</v>
      </c>
      <c r="C6153" t="s">
        <v>78</v>
      </c>
      <c r="D6153" t="s">
        <v>746</v>
      </c>
      <c r="E6153" t="s">
        <v>771</v>
      </c>
      <c r="F6153">
        <v>6</v>
      </c>
      <c r="G6153" s="308">
        <f>COMEDORES!O76</f>
        <v>4200</v>
      </c>
      <c r="H6153" s="308">
        <f>COMEDORES!P76</f>
        <v>0</v>
      </c>
    </row>
    <row r="6154" spans="1:8" x14ac:dyDescent="0.3">
      <c r="A6154" t="s">
        <v>628</v>
      </c>
      <c r="B6154" t="s">
        <v>77</v>
      </c>
      <c r="C6154" t="s">
        <v>78</v>
      </c>
      <c r="D6154" t="s">
        <v>746</v>
      </c>
      <c r="E6154" t="s">
        <v>772</v>
      </c>
      <c r="F6154">
        <v>7</v>
      </c>
      <c r="G6154" s="308">
        <f>COMEDORES!Q76</f>
        <v>4600</v>
      </c>
      <c r="H6154" s="308">
        <f>COMEDORES!R76</f>
        <v>0</v>
      </c>
    </row>
    <row r="6155" spans="1:8" x14ac:dyDescent="0.3">
      <c r="A6155" t="s">
        <v>628</v>
      </c>
      <c r="B6155" t="s">
        <v>77</v>
      </c>
      <c r="C6155" t="s">
        <v>80</v>
      </c>
      <c r="D6155" t="s">
        <v>745</v>
      </c>
      <c r="E6155" t="s">
        <v>766</v>
      </c>
      <c r="F6155">
        <v>1</v>
      </c>
      <c r="G6155" s="308">
        <f>COMEDORES!E77</f>
        <v>2700</v>
      </c>
      <c r="H6155" s="308">
        <f>COMEDORES!F77</f>
        <v>0</v>
      </c>
    </row>
    <row r="6156" spans="1:8" x14ac:dyDescent="0.3">
      <c r="A6156" t="s">
        <v>628</v>
      </c>
      <c r="B6156" t="s">
        <v>77</v>
      </c>
      <c r="C6156" t="s">
        <v>80</v>
      </c>
      <c r="D6156" t="s">
        <v>745</v>
      </c>
      <c r="E6156" t="s">
        <v>767</v>
      </c>
      <c r="F6156">
        <v>2</v>
      </c>
      <c r="G6156" s="308">
        <f>COMEDORES!G77</f>
        <v>3000</v>
      </c>
      <c r="H6156" s="308">
        <f>COMEDORES!H77</f>
        <v>160290</v>
      </c>
    </row>
    <row r="6157" spans="1:8" x14ac:dyDescent="0.3">
      <c r="A6157" t="s">
        <v>628</v>
      </c>
      <c r="B6157" t="s">
        <v>77</v>
      </c>
      <c r="C6157" t="s">
        <v>80</v>
      </c>
      <c r="D6157" t="s">
        <v>745</v>
      </c>
      <c r="E6157" t="s">
        <v>768</v>
      </c>
      <c r="F6157">
        <v>3</v>
      </c>
      <c r="G6157" s="308">
        <f>COMEDORES!I77</f>
        <v>3300</v>
      </c>
      <c r="H6157" s="308">
        <f>COMEDORES!J77</f>
        <v>101270</v>
      </c>
    </row>
    <row r="6158" spans="1:8" x14ac:dyDescent="0.3">
      <c r="A6158" t="s">
        <v>628</v>
      </c>
      <c r="B6158" t="s">
        <v>77</v>
      </c>
      <c r="C6158" t="s">
        <v>80</v>
      </c>
      <c r="D6158" t="s">
        <v>745</v>
      </c>
      <c r="E6158" t="s">
        <v>769</v>
      </c>
      <c r="F6158">
        <v>4</v>
      </c>
      <c r="G6158" s="308">
        <f>COMEDORES!K77</f>
        <v>2850</v>
      </c>
      <c r="H6158" s="308">
        <f>COMEDORES!L77</f>
        <v>253800</v>
      </c>
    </row>
    <row r="6159" spans="1:8" x14ac:dyDescent="0.3">
      <c r="A6159" t="s">
        <v>628</v>
      </c>
      <c r="B6159" t="s">
        <v>77</v>
      </c>
      <c r="C6159" t="s">
        <v>80</v>
      </c>
      <c r="D6159" t="s">
        <v>745</v>
      </c>
      <c r="E6159" t="s">
        <v>770</v>
      </c>
      <c r="F6159">
        <v>5</v>
      </c>
      <c r="G6159" s="308">
        <f>COMEDORES!M77</f>
        <v>3000</v>
      </c>
      <c r="H6159" s="308">
        <f>COMEDORES!N77</f>
        <v>178600</v>
      </c>
    </row>
    <row r="6160" spans="1:8" x14ac:dyDescent="0.3">
      <c r="A6160" t="s">
        <v>628</v>
      </c>
      <c r="B6160" t="s">
        <v>77</v>
      </c>
      <c r="C6160" t="s">
        <v>80</v>
      </c>
      <c r="D6160" t="s">
        <v>745</v>
      </c>
      <c r="E6160" t="s">
        <v>771</v>
      </c>
      <c r="F6160">
        <v>6</v>
      </c>
      <c r="G6160" s="308">
        <f>COMEDORES!O77</f>
        <v>3150</v>
      </c>
      <c r="H6160" s="308">
        <f>COMEDORES!P77</f>
        <v>188000</v>
      </c>
    </row>
    <row r="6161" spans="1:8" x14ac:dyDescent="0.3">
      <c r="A6161" t="s">
        <v>628</v>
      </c>
      <c r="B6161" t="s">
        <v>77</v>
      </c>
      <c r="C6161" t="s">
        <v>80</v>
      </c>
      <c r="D6161" t="s">
        <v>745</v>
      </c>
      <c r="E6161" t="s">
        <v>772</v>
      </c>
      <c r="F6161">
        <v>7</v>
      </c>
      <c r="G6161" s="308">
        <f>COMEDORES!Q77</f>
        <v>3450</v>
      </c>
      <c r="H6161" s="308">
        <f>COMEDORES!R77</f>
        <v>197400</v>
      </c>
    </row>
    <row r="6162" spans="1:8" x14ac:dyDescent="0.3">
      <c r="A6162" t="s">
        <v>628</v>
      </c>
      <c r="B6162" t="s">
        <v>77</v>
      </c>
      <c r="C6162" t="s">
        <v>80</v>
      </c>
      <c r="D6162" t="s">
        <v>746</v>
      </c>
      <c r="E6162" t="s">
        <v>766</v>
      </c>
      <c r="F6162">
        <v>1</v>
      </c>
      <c r="G6162" s="308">
        <f>COMEDORES!E78</f>
        <v>3800</v>
      </c>
      <c r="H6162" s="308">
        <f>COMEDORES!F78</f>
        <v>0</v>
      </c>
    </row>
    <row r="6163" spans="1:8" x14ac:dyDescent="0.3">
      <c r="A6163" t="s">
        <v>628</v>
      </c>
      <c r="B6163" t="s">
        <v>77</v>
      </c>
      <c r="C6163" t="s">
        <v>80</v>
      </c>
      <c r="D6163" t="s">
        <v>746</v>
      </c>
      <c r="E6163" t="s">
        <v>767</v>
      </c>
      <c r="F6163">
        <v>2</v>
      </c>
      <c r="G6163" s="308">
        <f>COMEDORES!G78</f>
        <v>4000</v>
      </c>
      <c r="H6163" s="308">
        <f>COMEDORES!H78</f>
        <v>0</v>
      </c>
    </row>
    <row r="6164" spans="1:8" x14ac:dyDescent="0.3">
      <c r="A6164" t="s">
        <v>628</v>
      </c>
      <c r="B6164" t="s">
        <v>77</v>
      </c>
      <c r="C6164" t="s">
        <v>80</v>
      </c>
      <c r="D6164" t="s">
        <v>746</v>
      </c>
      <c r="E6164" t="s">
        <v>768</v>
      </c>
      <c r="F6164">
        <v>3</v>
      </c>
      <c r="G6164" s="308">
        <f>COMEDORES!I78</f>
        <v>4400</v>
      </c>
      <c r="H6164" s="308">
        <f>COMEDORES!J78</f>
        <v>0</v>
      </c>
    </row>
    <row r="6165" spans="1:8" x14ac:dyDescent="0.3">
      <c r="A6165" t="s">
        <v>628</v>
      </c>
      <c r="B6165" t="s">
        <v>77</v>
      </c>
      <c r="C6165" t="s">
        <v>80</v>
      </c>
      <c r="D6165" t="s">
        <v>746</v>
      </c>
      <c r="E6165" t="s">
        <v>769</v>
      </c>
      <c r="F6165">
        <v>4</v>
      </c>
      <c r="G6165" s="308">
        <f>COMEDORES!K78</f>
        <v>3800</v>
      </c>
      <c r="H6165" s="308">
        <f>COMEDORES!L78</f>
        <v>0</v>
      </c>
    </row>
    <row r="6166" spans="1:8" x14ac:dyDescent="0.3">
      <c r="A6166" t="s">
        <v>628</v>
      </c>
      <c r="B6166" t="s">
        <v>77</v>
      </c>
      <c r="C6166" t="s">
        <v>80</v>
      </c>
      <c r="D6166" t="s">
        <v>746</v>
      </c>
      <c r="E6166" t="s">
        <v>770</v>
      </c>
      <c r="F6166">
        <v>5</v>
      </c>
      <c r="G6166" s="308">
        <f>COMEDORES!M78</f>
        <v>4000</v>
      </c>
      <c r="H6166" s="308">
        <f>COMEDORES!N78</f>
        <v>0</v>
      </c>
    </row>
    <row r="6167" spans="1:8" x14ac:dyDescent="0.3">
      <c r="A6167" t="s">
        <v>628</v>
      </c>
      <c r="B6167" t="s">
        <v>77</v>
      </c>
      <c r="C6167" t="s">
        <v>80</v>
      </c>
      <c r="D6167" t="s">
        <v>746</v>
      </c>
      <c r="E6167" t="s">
        <v>771</v>
      </c>
      <c r="F6167">
        <v>6</v>
      </c>
      <c r="G6167" s="308">
        <f>COMEDORES!O78</f>
        <v>4200</v>
      </c>
      <c r="H6167" s="308">
        <f>COMEDORES!P78</f>
        <v>0</v>
      </c>
    </row>
    <row r="6168" spans="1:8" x14ac:dyDescent="0.3">
      <c r="A6168" t="s">
        <v>628</v>
      </c>
      <c r="B6168" t="s">
        <v>77</v>
      </c>
      <c r="C6168" t="s">
        <v>80</v>
      </c>
      <c r="D6168" t="s">
        <v>746</v>
      </c>
      <c r="E6168" t="s">
        <v>772</v>
      </c>
      <c r="F6168">
        <v>7</v>
      </c>
      <c r="G6168" s="308">
        <f>COMEDORES!Q78</f>
        <v>4600</v>
      </c>
      <c r="H6168" s="308">
        <f>COMEDORES!R78</f>
        <v>0</v>
      </c>
    </row>
    <row r="6169" spans="1:8" x14ac:dyDescent="0.3">
      <c r="A6169" t="s">
        <v>628</v>
      </c>
      <c r="B6169" t="s">
        <v>77</v>
      </c>
      <c r="C6169" t="s">
        <v>644</v>
      </c>
      <c r="D6169" t="s">
        <v>745</v>
      </c>
      <c r="E6169" t="s">
        <v>766</v>
      </c>
      <c r="F6169">
        <v>1</v>
      </c>
      <c r="G6169" s="308">
        <f>COMEDORES!E79</f>
        <v>0</v>
      </c>
      <c r="H6169" s="308">
        <f>COMEDORES!F79</f>
        <v>0</v>
      </c>
    </row>
    <row r="6170" spans="1:8" x14ac:dyDescent="0.3">
      <c r="A6170" t="s">
        <v>628</v>
      </c>
      <c r="B6170" t="s">
        <v>77</v>
      </c>
      <c r="C6170" t="s">
        <v>644</v>
      </c>
      <c r="D6170" t="s">
        <v>745</v>
      </c>
      <c r="E6170" t="s">
        <v>767</v>
      </c>
      <c r="F6170">
        <v>2</v>
      </c>
      <c r="G6170" s="308">
        <f>COMEDORES!G79</f>
        <v>0</v>
      </c>
      <c r="H6170" s="308">
        <f>COMEDORES!H79</f>
        <v>0</v>
      </c>
    </row>
    <row r="6171" spans="1:8" x14ac:dyDescent="0.3">
      <c r="A6171" t="s">
        <v>628</v>
      </c>
      <c r="B6171" t="s">
        <v>77</v>
      </c>
      <c r="C6171" t="s">
        <v>644</v>
      </c>
      <c r="D6171" t="s">
        <v>745</v>
      </c>
      <c r="E6171" t="s">
        <v>768</v>
      </c>
      <c r="F6171">
        <v>3</v>
      </c>
      <c r="G6171" s="308">
        <f>COMEDORES!I79</f>
        <v>0</v>
      </c>
      <c r="H6171" s="308">
        <f>COMEDORES!J79</f>
        <v>0</v>
      </c>
    </row>
    <row r="6172" spans="1:8" x14ac:dyDescent="0.3">
      <c r="A6172" t="s">
        <v>628</v>
      </c>
      <c r="B6172" t="s">
        <v>77</v>
      </c>
      <c r="C6172" t="s">
        <v>644</v>
      </c>
      <c r="D6172" t="s">
        <v>745</v>
      </c>
      <c r="E6172" t="s">
        <v>769</v>
      </c>
      <c r="F6172">
        <v>4</v>
      </c>
      <c r="G6172" s="308">
        <f>COMEDORES!K79</f>
        <v>0</v>
      </c>
      <c r="H6172" s="308">
        <f>COMEDORES!L79</f>
        <v>0</v>
      </c>
    </row>
    <row r="6173" spans="1:8" x14ac:dyDescent="0.3">
      <c r="A6173" t="s">
        <v>628</v>
      </c>
      <c r="B6173" t="s">
        <v>77</v>
      </c>
      <c r="C6173" t="s">
        <v>644</v>
      </c>
      <c r="D6173" t="s">
        <v>745</v>
      </c>
      <c r="E6173" t="s">
        <v>770</v>
      </c>
      <c r="F6173">
        <v>5</v>
      </c>
      <c r="G6173" s="308">
        <f>COMEDORES!M79</f>
        <v>0</v>
      </c>
      <c r="H6173" s="308">
        <f>COMEDORES!N79</f>
        <v>0</v>
      </c>
    </row>
    <row r="6174" spans="1:8" x14ac:dyDescent="0.3">
      <c r="A6174" t="s">
        <v>628</v>
      </c>
      <c r="B6174" t="s">
        <v>77</v>
      </c>
      <c r="C6174" t="s">
        <v>644</v>
      </c>
      <c r="D6174" t="s">
        <v>745</v>
      </c>
      <c r="E6174" t="s">
        <v>771</v>
      </c>
      <c r="F6174">
        <v>6</v>
      </c>
      <c r="G6174" s="308">
        <f>COMEDORES!O79</f>
        <v>0</v>
      </c>
      <c r="H6174" s="308">
        <f>COMEDORES!P79</f>
        <v>0</v>
      </c>
    </row>
    <row r="6175" spans="1:8" x14ac:dyDescent="0.3">
      <c r="A6175" t="s">
        <v>628</v>
      </c>
      <c r="B6175" t="s">
        <v>77</v>
      </c>
      <c r="C6175" t="s">
        <v>644</v>
      </c>
      <c r="D6175" t="s">
        <v>745</v>
      </c>
      <c r="E6175" t="s">
        <v>772</v>
      </c>
      <c r="F6175">
        <v>7</v>
      </c>
      <c r="G6175" s="308">
        <f>COMEDORES!Q79</f>
        <v>600</v>
      </c>
      <c r="H6175" s="308">
        <f>COMEDORES!R79</f>
        <v>0</v>
      </c>
    </row>
    <row r="6176" spans="1:8" x14ac:dyDescent="0.3">
      <c r="A6176" t="s">
        <v>628</v>
      </c>
      <c r="B6176" t="s">
        <v>77</v>
      </c>
      <c r="C6176" t="s">
        <v>644</v>
      </c>
      <c r="D6176" t="s">
        <v>746</v>
      </c>
      <c r="E6176" t="s">
        <v>766</v>
      </c>
      <c r="F6176">
        <v>1</v>
      </c>
      <c r="G6176" s="308">
        <f>COMEDORES!E80</f>
        <v>0</v>
      </c>
      <c r="H6176" s="308">
        <f>COMEDORES!F80</f>
        <v>0</v>
      </c>
    </row>
    <row r="6177" spans="1:8" x14ac:dyDescent="0.3">
      <c r="A6177" t="s">
        <v>628</v>
      </c>
      <c r="B6177" t="s">
        <v>77</v>
      </c>
      <c r="C6177" t="s">
        <v>644</v>
      </c>
      <c r="D6177" t="s">
        <v>746</v>
      </c>
      <c r="E6177" t="s">
        <v>767</v>
      </c>
      <c r="F6177">
        <v>2</v>
      </c>
      <c r="G6177" s="308">
        <f>COMEDORES!G80</f>
        <v>0</v>
      </c>
      <c r="H6177" s="308">
        <f>COMEDORES!H80</f>
        <v>0</v>
      </c>
    </row>
    <row r="6178" spans="1:8" x14ac:dyDescent="0.3">
      <c r="A6178" t="s">
        <v>628</v>
      </c>
      <c r="B6178" t="s">
        <v>77</v>
      </c>
      <c r="C6178" t="s">
        <v>644</v>
      </c>
      <c r="D6178" t="s">
        <v>746</v>
      </c>
      <c r="E6178" t="s">
        <v>768</v>
      </c>
      <c r="F6178">
        <v>3</v>
      </c>
      <c r="G6178" s="308">
        <f>COMEDORES!I80</f>
        <v>0</v>
      </c>
      <c r="H6178" s="308">
        <f>COMEDORES!J80</f>
        <v>0</v>
      </c>
    </row>
    <row r="6179" spans="1:8" x14ac:dyDescent="0.3">
      <c r="A6179" t="s">
        <v>628</v>
      </c>
      <c r="B6179" t="s">
        <v>77</v>
      </c>
      <c r="C6179" t="s">
        <v>644</v>
      </c>
      <c r="D6179" t="s">
        <v>746</v>
      </c>
      <c r="E6179" t="s">
        <v>769</v>
      </c>
      <c r="F6179">
        <v>4</v>
      </c>
      <c r="G6179" s="308">
        <f>COMEDORES!K80</f>
        <v>0</v>
      </c>
      <c r="H6179" s="308">
        <f>COMEDORES!L80</f>
        <v>0</v>
      </c>
    </row>
    <row r="6180" spans="1:8" x14ac:dyDescent="0.3">
      <c r="A6180" t="s">
        <v>628</v>
      </c>
      <c r="B6180" t="s">
        <v>77</v>
      </c>
      <c r="C6180" t="s">
        <v>644</v>
      </c>
      <c r="D6180" t="s">
        <v>746</v>
      </c>
      <c r="E6180" t="s">
        <v>770</v>
      </c>
      <c r="F6180">
        <v>5</v>
      </c>
      <c r="G6180" s="308">
        <f>COMEDORES!M80</f>
        <v>0</v>
      </c>
      <c r="H6180" s="308">
        <f>COMEDORES!N80</f>
        <v>0</v>
      </c>
    </row>
    <row r="6181" spans="1:8" x14ac:dyDescent="0.3">
      <c r="A6181" t="s">
        <v>628</v>
      </c>
      <c r="B6181" t="s">
        <v>77</v>
      </c>
      <c r="C6181" t="s">
        <v>644</v>
      </c>
      <c r="D6181" t="s">
        <v>746</v>
      </c>
      <c r="E6181" t="s">
        <v>771</v>
      </c>
      <c r="F6181">
        <v>6</v>
      </c>
      <c r="G6181" s="308">
        <f>COMEDORES!O80</f>
        <v>0</v>
      </c>
      <c r="H6181" s="308">
        <f>COMEDORES!P80</f>
        <v>0</v>
      </c>
    </row>
    <row r="6182" spans="1:8" x14ac:dyDescent="0.3">
      <c r="A6182" t="s">
        <v>628</v>
      </c>
      <c r="B6182" t="s">
        <v>77</v>
      </c>
      <c r="C6182" t="s">
        <v>644</v>
      </c>
      <c r="D6182" t="s">
        <v>746</v>
      </c>
      <c r="E6182" t="s">
        <v>772</v>
      </c>
      <c r="F6182">
        <v>7</v>
      </c>
      <c r="G6182" s="308">
        <f>COMEDORES!Q80</f>
        <v>900</v>
      </c>
      <c r="H6182" s="308">
        <f>COMEDORES!R80</f>
        <v>0</v>
      </c>
    </row>
    <row r="6183" spans="1:8" x14ac:dyDescent="0.3">
      <c r="A6183" t="s">
        <v>628</v>
      </c>
      <c r="B6183" t="s">
        <v>77</v>
      </c>
      <c r="C6183" t="s">
        <v>645</v>
      </c>
      <c r="D6183" t="s">
        <v>745</v>
      </c>
      <c r="E6183" t="s">
        <v>766</v>
      </c>
      <c r="F6183">
        <v>1</v>
      </c>
      <c r="G6183" s="308">
        <f>COMEDORES!E81</f>
        <v>0</v>
      </c>
      <c r="H6183" s="308">
        <f>COMEDORES!F81</f>
        <v>0</v>
      </c>
    </row>
    <row r="6184" spans="1:8" x14ac:dyDescent="0.3">
      <c r="A6184" t="s">
        <v>628</v>
      </c>
      <c r="B6184" t="s">
        <v>77</v>
      </c>
      <c r="C6184" t="s">
        <v>645</v>
      </c>
      <c r="D6184" t="s">
        <v>745</v>
      </c>
      <c r="E6184" t="s">
        <v>767</v>
      </c>
      <c r="F6184">
        <v>2</v>
      </c>
      <c r="G6184" s="308">
        <f>COMEDORES!G81</f>
        <v>0</v>
      </c>
      <c r="H6184" s="308">
        <f>COMEDORES!H81</f>
        <v>0</v>
      </c>
    </row>
    <row r="6185" spans="1:8" x14ac:dyDescent="0.3">
      <c r="A6185" t="s">
        <v>628</v>
      </c>
      <c r="B6185" t="s">
        <v>77</v>
      </c>
      <c r="C6185" t="s">
        <v>645</v>
      </c>
      <c r="D6185" t="s">
        <v>745</v>
      </c>
      <c r="E6185" t="s">
        <v>768</v>
      </c>
      <c r="F6185">
        <v>3</v>
      </c>
      <c r="G6185" s="308">
        <f>COMEDORES!I81</f>
        <v>0</v>
      </c>
      <c r="H6185" s="308">
        <f>COMEDORES!J81</f>
        <v>0</v>
      </c>
    </row>
    <row r="6186" spans="1:8" x14ac:dyDescent="0.3">
      <c r="A6186" t="s">
        <v>628</v>
      </c>
      <c r="B6186" t="s">
        <v>77</v>
      </c>
      <c r="C6186" t="s">
        <v>645</v>
      </c>
      <c r="D6186" t="s">
        <v>745</v>
      </c>
      <c r="E6186" t="s">
        <v>769</v>
      </c>
      <c r="F6186">
        <v>4</v>
      </c>
      <c r="G6186" s="308">
        <f>COMEDORES!K81</f>
        <v>0</v>
      </c>
      <c r="H6186" s="308">
        <f>COMEDORES!L81</f>
        <v>0</v>
      </c>
    </row>
    <row r="6187" spans="1:8" x14ac:dyDescent="0.3">
      <c r="A6187" t="s">
        <v>628</v>
      </c>
      <c r="B6187" t="s">
        <v>77</v>
      </c>
      <c r="C6187" t="s">
        <v>645</v>
      </c>
      <c r="D6187" t="s">
        <v>745</v>
      </c>
      <c r="E6187" t="s">
        <v>770</v>
      </c>
      <c r="F6187">
        <v>5</v>
      </c>
      <c r="G6187" s="308">
        <f>COMEDORES!M81</f>
        <v>0</v>
      </c>
      <c r="H6187" s="308">
        <f>COMEDORES!N81</f>
        <v>0</v>
      </c>
    </row>
    <row r="6188" spans="1:8" x14ac:dyDescent="0.3">
      <c r="A6188" t="s">
        <v>628</v>
      </c>
      <c r="B6188" t="s">
        <v>77</v>
      </c>
      <c r="C6188" t="s">
        <v>645</v>
      </c>
      <c r="D6188" t="s">
        <v>745</v>
      </c>
      <c r="E6188" t="s">
        <v>771</v>
      </c>
      <c r="F6188">
        <v>6</v>
      </c>
      <c r="G6188" s="308">
        <f>COMEDORES!O81</f>
        <v>0</v>
      </c>
      <c r="H6188" s="308">
        <f>COMEDORES!P81</f>
        <v>0</v>
      </c>
    </row>
    <row r="6189" spans="1:8" x14ac:dyDescent="0.3">
      <c r="A6189" t="s">
        <v>628</v>
      </c>
      <c r="B6189" t="s">
        <v>77</v>
      </c>
      <c r="C6189" t="s">
        <v>645</v>
      </c>
      <c r="D6189" t="s">
        <v>745</v>
      </c>
      <c r="E6189" t="s">
        <v>772</v>
      </c>
      <c r="F6189">
        <v>7</v>
      </c>
      <c r="G6189" s="308">
        <f>COMEDORES!Q81</f>
        <v>1700</v>
      </c>
      <c r="H6189" s="308">
        <f>COMEDORES!R81</f>
        <v>0</v>
      </c>
    </row>
    <row r="6190" spans="1:8" x14ac:dyDescent="0.3">
      <c r="A6190" t="s">
        <v>628</v>
      </c>
      <c r="B6190" t="s">
        <v>77</v>
      </c>
      <c r="C6190" t="s">
        <v>645</v>
      </c>
      <c r="D6190" t="s">
        <v>746</v>
      </c>
      <c r="E6190" t="s">
        <v>766</v>
      </c>
      <c r="F6190">
        <v>1</v>
      </c>
      <c r="G6190" s="308">
        <f>COMEDORES!E82</f>
        <v>0</v>
      </c>
      <c r="H6190" s="308">
        <f>COMEDORES!F82</f>
        <v>0</v>
      </c>
    </row>
    <row r="6191" spans="1:8" x14ac:dyDescent="0.3">
      <c r="A6191" t="s">
        <v>628</v>
      </c>
      <c r="B6191" t="s">
        <v>77</v>
      </c>
      <c r="C6191" t="s">
        <v>645</v>
      </c>
      <c r="D6191" t="s">
        <v>746</v>
      </c>
      <c r="E6191" t="s">
        <v>767</v>
      </c>
      <c r="F6191">
        <v>2</v>
      </c>
      <c r="G6191" s="308">
        <f>COMEDORES!G82</f>
        <v>0</v>
      </c>
      <c r="H6191" s="308">
        <f>COMEDORES!H82</f>
        <v>0</v>
      </c>
    </row>
    <row r="6192" spans="1:8" x14ac:dyDescent="0.3">
      <c r="A6192" t="s">
        <v>628</v>
      </c>
      <c r="B6192" t="s">
        <v>77</v>
      </c>
      <c r="C6192" t="s">
        <v>645</v>
      </c>
      <c r="D6192" t="s">
        <v>746</v>
      </c>
      <c r="E6192" t="s">
        <v>768</v>
      </c>
      <c r="F6192">
        <v>3</v>
      </c>
      <c r="G6192" s="308">
        <f>COMEDORES!I82</f>
        <v>0</v>
      </c>
      <c r="H6192" s="308">
        <f>COMEDORES!J82</f>
        <v>0</v>
      </c>
    </row>
    <row r="6193" spans="1:8" x14ac:dyDescent="0.3">
      <c r="A6193" t="s">
        <v>628</v>
      </c>
      <c r="B6193" t="s">
        <v>77</v>
      </c>
      <c r="C6193" t="s">
        <v>645</v>
      </c>
      <c r="D6193" t="s">
        <v>746</v>
      </c>
      <c r="E6193" t="s">
        <v>769</v>
      </c>
      <c r="F6193">
        <v>4</v>
      </c>
      <c r="G6193" s="308">
        <f>COMEDORES!K82</f>
        <v>0</v>
      </c>
      <c r="H6193" s="308">
        <f>COMEDORES!L82</f>
        <v>0</v>
      </c>
    </row>
    <row r="6194" spans="1:8" x14ac:dyDescent="0.3">
      <c r="A6194" t="s">
        <v>628</v>
      </c>
      <c r="B6194" t="s">
        <v>77</v>
      </c>
      <c r="C6194" t="s">
        <v>645</v>
      </c>
      <c r="D6194" t="s">
        <v>746</v>
      </c>
      <c r="E6194" t="s">
        <v>770</v>
      </c>
      <c r="F6194">
        <v>5</v>
      </c>
      <c r="G6194" s="308">
        <f>COMEDORES!M82</f>
        <v>0</v>
      </c>
      <c r="H6194" s="308">
        <f>COMEDORES!N82</f>
        <v>0</v>
      </c>
    </row>
    <row r="6195" spans="1:8" x14ac:dyDescent="0.3">
      <c r="A6195" t="s">
        <v>628</v>
      </c>
      <c r="B6195" t="s">
        <v>77</v>
      </c>
      <c r="C6195" t="s">
        <v>645</v>
      </c>
      <c r="D6195" t="s">
        <v>746</v>
      </c>
      <c r="E6195" t="s">
        <v>771</v>
      </c>
      <c r="F6195">
        <v>6</v>
      </c>
      <c r="G6195" s="308">
        <f>COMEDORES!O82</f>
        <v>0</v>
      </c>
      <c r="H6195" s="308">
        <f>COMEDORES!P82</f>
        <v>0</v>
      </c>
    </row>
    <row r="6196" spans="1:8" x14ac:dyDescent="0.3">
      <c r="A6196" t="s">
        <v>628</v>
      </c>
      <c r="B6196" t="s">
        <v>77</v>
      </c>
      <c r="C6196" t="s">
        <v>645</v>
      </c>
      <c r="D6196" t="s">
        <v>746</v>
      </c>
      <c r="E6196" t="s">
        <v>772</v>
      </c>
      <c r="F6196">
        <v>7</v>
      </c>
      <c r="G6196" s="308">
        <f>COMEDORES!Q82</f>
        <v>2550</v>
      </c>
      <c r="H6196" s="308">
        <f>COMEDORES!R82</f>
        <v>0</v>
      </c>
    </row>
    <row r="6197" spans="1:8" x14ac:dyDescent="0.3">
      <c r="A6197" t="s">
        <v>628</v>
      </c>
      <c r="B6197" t="s">
        <v>77</v>
      </c>
      <c r="C6197" t="s">
        <v>646</v>
      </c>
      <c r="D6197" t="s">
        <v>745</v>
      </c>
      <c r="E6197" t="s">
        <v>766</v>
      </c>
      <c r="F6197">
        <v>1</v>
      </c>
      <c r="G6197" s="308">
        <f>COMEDORES!E83</f>
        <v>0</v>
      </c>
      <c r="H6197" s="308">
        <f>COMEDORES!F83</f>
        <v>0</v>
      </c>
    </row>
    <row r="6198" spans="1:8" x14ac:dyDescent="0.3">
      <c r="A6198" t="s">
        <v>628</v>
      </c>
      <c r="B6198" t="s">
        <v>77</v>
      </c>
      <c r="C6198" t="s">
        <v>646</v>
      </c>
      <c r="D6198" t="s">
        <v>745</v>
      </c>
      <c r="E6198" t="s">
        <v>767</v>
      </c>
      <c r="F6198">
        <v>2</v>
      </c>
      <c r="G6198" s="308">
        <f>COMEDORES!G83</f>
        <v>0</v>
      </c>
      <c r="H6198" s="308">
        <f>COMEDORES!H83</f>
        <v>0</v>
      </c>
    </row>
    <row r="6199" spans="1:8" x14ac:dyDescent="0.3">
      <c r="A6199" t="s">
        <v>628</v>
      </c>
      <c r="B6199" t="s">
        <v>77</v>
      </c>
      <c r="C6199" t="s">
        <v>646</v>
      </c>
      <c r="D6199" t="s">
        <v>745</v>
      </c>
      <c r="E6199" t="s">
        <v>768</v>
      </c>
      <c r="F6199">
        <v>3</v>
      </c>
      <c r="G6199" s="308">
        <f>COMEDORES!I83</f>
        <v>0</v>
      </c>
      <c r="H6199" s="308">
        <f>COMEDORES!J83</f>
        <v>0</v>
      </c>
    </row>
    <row r="6200" spans="1:8" x14ac:dyDescent="0.3">
      <c r="A6200" t="s">
        <v>628</v>
      </c>
      <c r="B6200" t="s">
        <v>77</v>
      </c>
      <c r="C6200" t="s">
        <v>646</v>
      </c>
      <c r="D6200" t="s">
        <v>745</v>
      </c>
      <c r="E6200" t="s">
        <v>769</v>
      </c>
      <c r="F6200">
        <v>4</v>
      </c>
      <c r="G6200" s="308">
        <f>COMEDORES!K83</f>
        <v>0</v>
      </c>
      <c r="H6200" s="308">
        <f>COMEDORES!L83</f>
        <v>0</v>
      </c>
    </row>
    <row r="6201" spans="1:8" x14ac:dyDescent="0.3">
      <c r="A6201" t="s">
        <v>628</v>
      </c>
      <c r="B6201" t="s">
        <v>77</v>
      </c>
      <c r="C6201" t="s">
        <v>646</v>
      </c>
      <c r="D6201" t="s">
        <v>745</v>
      </c>
      <c r="E6201" t="s">
        <v>770</v>
      </c>
      <c r="F6201">
        <v>5</v>
      </c>
      <c r="G6201" s="308">
        <f>COMEDORES!M83</f>
        <v>0</v>
      </c>
      <c r="H6201" s="308">
        <f>COMEDORES!N83</f>
        <v>0</v>
      </c>
    </row>
    <row r="6202" spans="1:8" x14ac:dyDescent="0.3">
      <c r="A6202" t="s">
        <v>628</v>
      </c>
      <c r="B6202" t="s">
        <v>77</v>
      </c>
      <c r="C6202" t="s">
        <v>646</v>
      </c>
      <c r="D6202" t="s">
        <v>745</v>
      </c>
      <c r="E6202" t="s">
        <v>771</v>
      </c>
      <c r="F6202">
        <v>6</v>
      </c>
      <c r="G6202" s="308">
        <f>COMEDORES!O83</f>
        <v>0</v>
      </c>
      <c r="H6202" s="308">
        <f>COMEDORES!P83</f>
        <v>0</v>
      </c>
    </row>
    <row r="6203" spans="1:8" x14ac:dyDescent="0.3">
      <c r="A6203" t="s">
        <v>628</v>
      </c>
      <c r="B6203" t="s">
        <v>77</v>
      </c>
      <c r="C6203" t="s">
        <v>646</v>
      </c>
      <c r="D6203" t="s">
        <v>745</v>
      </c>
      <c r="E6203" t="s">
        <v>772</v>
      </c>
      <c r="F6203">
        <v>7</v>
      </c>
      <c r="G6203" s="308">
        <f>COMEDORES!Q83</f>
        <v>1700</v>
      </c>
      <c r="H6203" s="308">
        <f>COMEDORES!R83</f>
        <v>0</v>
      </c>
    </row>
    <row r="6204" spans="1:8" x14ac:dyDescent="0.3">
      <c r="A6204" t="s">
        <v>628</v>
      </c>
      <c r="B6204" t="s">
        <v>77</v>
      </c>
      <c r="C6204" t="s">
        <v>646</v>
      </c>
      <c r="D6204" t="s">
        <v>746</v>
      </c>
      <c r="E6204" t="s">
        <v>766</v>
      </c>
      <c r="F6204">
        <v>1</v>
      </c>
      <c r="G6204" s="308">
        <f>COMEDORES!E84</f>
        <v>0</v>
      </c>
      <c r="H6204" s="308">
        <f>COMEDORES!F84</f>
        <v>0</v>
      </c>
    </row>
    <row r="6205" spans="1:8" x14ac:dyDescent="0.3">
      <c r="A6205" t="s">
        <v>628</v>
      </c>
      <c r="B6205" t="s">
        <v>77</v>
      </c>
      <c r="C6205" t="s">
        <v>646</v>
      </c>
      <c r="D6205" t="s">
        <v>746</v>
      </c>
      <c r="E6205" t="s">
        <v>767</v>
      </c>
      <c r="F6205">
        <v>2</v>
      </c>
      <c r="G6205" s="308">
        <f>COMEDORES!G84</f>
        <v>0</v>
      </c>
      <c r="H6205" s="308">
        <f>COMEDORES!H84</f>
        <v>0</v>
      </c>
    </row>
    <row r="6206" spans="1:8" x14ac:dyDescent="0.3">
      <c r="A6206" t="s">
        <v>628</v>
      </c>
      <c r="B6206" t="s">
        <v>77</v>
      </c>
      <c r="C6206" t="s">
        <v>646</v>
      </c>
      <c r="D6206" t="s">
        <v>746</v>
      </c>
      <c r="E6206" t="s">
        <v>768</v>
      </c>
      <c r="F6206">
        <v>3</v>
      </c>
      <c r="G6206" s="308">
        <f>COMEDORES!I84</f>
        <v>0</v>
      </c>
      <c r="H6206" s="308">
        <f>COMEDORES!J84</f>
        <v>0</v>
      </c>
    </row>
    <row r="6207" spans="1:8" x14ac:dyDescent="0.3">
      <c r="A6207" t="s">
        <v>628</v>
      </c>
      <c r="B6207" t="s">
        <v>77</v>
      </c>
      <c r="C6207" t="s">
        <v>646</v>
      </c>
      <c r="D6207" t="s">
        <v>746</v>
      </c>
      <c r="E6207" t="s">
        <v>769</v>
      </c>
      <c r="F6207">
        <v>4</v>
      </c>
      <c r="G6207" s="308">
        <f>COMEDORES!K84</f>
        <v>0</v>
      </c>
      <c r="H6207" s="308">
        <f>COMEDORES!L84</f>
        <v>0</v>
      </c>
    </row>
    <row r="6208" spans="1:8" x14ac:dyDescent="0.3">
      <c r="A6208" t="s">
        <v>628</v>
      </c>
      <c r="B6208" t="s">
        <v>77</v>
      </c>
      <c r="C6208" t="s">
        <v>646</v>
      </c>
      <c r="D6208" t="s">
        <v>746</v>
      </c>
      <c r="E6208" t="s">
        <v>770</v>
      </c>
      <c r="F6208">
        <v>5</v>
      </c>
      <c r="G6208" s="308">
        <f>COMEDORES!M84</f>
        <v>0</v>
      </c>
      <c r="H6208" s="308">
        <f>COMEDORES!N84</f>
        <v>0</v>
      </c>
    </row>
    <row r="6209" spans="1:8" x14ac:dyDescent="0.3">
      <c r="A6209" t="s">
        <v>628</v>
      </c>
      <c r="B6209" t="s">
        <v>77</v>
      </c>
      <c r="C6209" t="s">
        <v>646</v>
      </c>
      <c r="D6209" t="s">
        <v>746</v>
      </c>
      <c r="E6209" t="s">
        <v>771</v>
      </c>
      <c r="F6209">
        <v>6</v>
      </c>
      <c r="G6209" s="308">
        <f>COMEDORES!O84</f>
        <v>0</v>
      </c>
      <c r="H6209" s="308">
        <f>COMEDORES!P84</f>
        <v>0</v>
      </c>
    </row>
    <row r="6210" spans="1:8" x14ac:dyDescent="0.3">
      <c r="A6210" t="s">
        <v>628</v>
      </c>
      <c r="B6210" t="s">
        <v>77</v>
      </c>
      <c r="C6210" t="s">
        <v>646</v>
      </c>
      <c r="D6210" t="s">
        <v>746</v>
      </c>
      <c r="E6210" t="s">
        <v>772</v>
      </c>
      <c r="F6210">
        <v>7</v>
      </c>
      <c r="G6210" s="308">
        <f>COMEDORES!Q84</f>
        <v>2550</v>
      </c>
      <c r="H6210" s="308">
        <f>COMEDORES!R84</f>
        <v>0</v>
      </c>
    </row>
    <row r="6211" spans="1:8" x14ac:dyDescent="0.3">
      <c r="A6211" t="s">
        <v>628</v>
      </c>
      <c r="B6211" t="s">
        <v>77</v>
      </c>
      <c r="C6211" t="s">
        <v>82</v>
      </c>
      <c r="D6211" t="s">
        <v>745</v>
      </c>
      <c r="E6211" t="s">
        <v>766</v>
      </c>
      <c r="F6211">
        <v>1</v>
      </c>
      <c r="G6211" s="308">
        <f>COMEDORES!E85</f>
        <v>1800</v>
      </c>
      <c r="H6211" s="308">
        <f>COMEDORES!F85</f>
        <v>0</v>
      </c>
    </row>
    <row r="6212" spans="1:8" x14ac:dyDescent="0.3">
      <c r="A6212" t="s">
        <v>628</v>
      </c>
      <c r="B6212" t="s">
        <v>77</v>
      </c>
      <c r="C6212" t="s">
        <v>82</v>
      </c>
      <c r="D6212" t="s">
        <v>745</v>
      </c>
      <c r="E6212" t="s">
        <v>767</v>
      </c>
      <c r="F6212">
        <v>2</v>
      </c>
      <c r="G6212" s="308">
        <f>COMEDORES!G85</f>
        <v>2000</v>
      </c>
      <c r="H6212" s="308">
        <f>COMEDORES!H85</f>
        <v>84770</v>
      </c>
    </row>
    <row r="6213" spans="1:8" x14ac:dyDescent="0.3">
      <c r="A6213" t="s">
        <v>628</v>
      </c>
      <c r="B6213" t="s">
        <v>77</v>
      </c>
      <c r="C6213" t="s">
        <v>82</v>
      </c>
      <c r="D6213" t="s">
        <v>745</v>
      </c>
      <c r="E6213" t="s">
        <v>768</v>
      </c>
      <c r="F6213">
        <v>3</v>
      </c>
      <c r="G6213" s="308">
        <f>COMEDORES!I85</f>
        <v>2200</v>
      </c>
      <c r="H6213" s="308">
        <f>COMEDORES!J85</f>
        <v>140490</v>
      </c>
    </row>
    <row r="6214" spans="1:8" x14ac:dyDescent="0.3">
      <c r="A6214" t="s">
        <v>628</v>
      </c>
      <c r="B6214" t="s">
        <v>77</v>
      </c>
      <c r="C6214" t="s">
        <v>82</v>
      </c>
      <c r="D6214" t="s">
        <v>745</v>
      </c>
      <c r="E6214" t="s">
        <v>769</v>
      </c>
      <c r="F6214">
        <v>4</v>
      </c>
      <c r="G6214" s="308">
        <f>COMEDORES!K85</f>
        <v>1900</v>
      </c>
      <c r="H6214" s="308">
        <f>COMEDORES!L85</f>
        <v>218700</v>
      </c>
    </row>
    <row r="6215" spans="1:8" x14ac:dyDescent="0.3">
      <c r="A6215" t="s">
        <v>628</v>
      </c>
      <c r="B6215" t="s">
        <v>77</v>
      </c>
      <c r="C6215" t="s">
        <v>82</v>
      </c>
      <c r="D6215" t="s">
        <v>745</v>
      </c>
      <c r="E6215" t="s">
        <v>770</v>
      </c>
      <c r="F6215">
        <v>5</v>
      </c>
      <c r="G6215" s="308">
        <f>COMEDORES!M85</f>
        <v>2000</v>
      </c>
      <c r="H6215" s="308">
        <f>COMEDORES!N85</f>
        <v>153900</v>
      </c>
    </row>
    <row r="6216" spans="1:8" x14ac:dyDescent="0.3">
      <c r="A6216" t="s">
        <v>628</v>
      </c>
      <c r="B6216" t="s">
        <v>77</v>
      </c>
      <c r="C6216" t="s">
        <v>82</v>
      </c>
      <c r="D6216" t="s">
        <v>745</v>
      </c>
      <c r="E6216" t="s">
        <v>771</v>
      </c>
      <c r="F6216">
        <v>6</v>
      </c>
      <c r="G6216" s="308">
        <f>COMEDORES!O85</f>
        <v>2100</v>
      </c>
      <c r="H6216" s="308">
        <f>COMEDORES!P85</f>
        <v>162000</v>
      </c>
    </row>
    <row r="6217" spans="1:8" x14ac:dyDescent="0.3">
      <c r="A6217" t="s">
        <v>628</v>
      </c>
      <c r="B6217" t="s">
        <v>77</v>
      </c>
      <c r="C6217" t="s">
        <v>82</v>
      </c>
      <c r="D6217" t="s">
        <v>745</v>
      </c>
      <c r="E6217" t="s">
        <v>772</v>
      </c>
      <c r="F6217">
        <v>7</v>
      </c>
      <c r="G6217" s="308">
        <f>COMEDORES!Q85</f>
        <v>2300</v>
      </c>
      <c r="H6217" s="308">
        <f>COMEDORES!R85</f>
        <v>170100</v>
      </c>
    </row>
    <row r="6218" spans="1:8" x14ac:dyDescent="0.3">
      <c r="A6218" t="s">
        <v>628</v>
      </c>
      <c r="B6218" t="s">
        <v>77</v>
      </c>
      <c r="C6218" t="s">
        <v>82</v>
      </c>
      <c r="D6218" t="s">
        <v>746</v>
      </c>
      <c r="E6218" t="s">
        <v>766</v>
      </c>
      <c r="F6218">
        <v>1</v>
      </c>
      <c r="G6218" s="308">
        <f>COMEDORES!E86</f>
        <v>3800</v>
      </c>
      <c r="H6218" s="308">
        <f>COMEDORES!F86</f>
        <v>0</v>
      </c>
    </row>
    <row r="6219" spans="1:8" x14ac:dyDescent="0.3">
      <c r="A6219" t="s">
        <v>628</v>
      </c>
      <c r="B6219" t="s">
        <v>77</v>
      </c>
      <c r="C6219" t="s">
        <v>82</v>
      </c>
      <c r="D6219" t="s">
        <v>746</v>
      </c>
      <c r="E6219" t="s">
        <v>767</v>
      </c>
      <c r="F6219">
        <v>2</v>
      </c>
      <c r="G6219" s="308">
        <f>COMEDORES!G86</f>
        <v>4000</v>
      </c>
      <c r="H6219" s="308">
        <f>COMEDORES!H86</f>
        <v>0</v>
      </c>
    </row>
    <row r="6220" spans="1:8" x14ac:dyDescent="0.3">
      <c r="A6220" t="s">
        <v>628</v>
      </c>
      <c r="B6220" t="s">
        <v>77</v>
      </c>
      <c r="C6220" t="s">
        <v>82</v>
      </c>
      <c r="D6220" t="s">
        <v>746</v>
      </c>
      <c r="E6220" t="s">
        <v>768</v>
      </c>
      <c r="F6220">
        <v>3</v>
      </c>
      <c r="G6220" s="308">
        <f>COMEDORES!I86</f>
        <v>4400</v>
      </c>
      <c r="H6220" s="308">
        <f>COMEDORES!J86</f>
        <v>0</v>
      </c>
    </row>
    <row r="6221" spans="1:8" x14ac:dyDescent="0.3">
      <c r="A6221" t="s">
        <v>628</v>
      </c>
      <c r="B6221" t="s">
        <v>77</v>
      </c>
      <c r="C6221" t="s">
        <v>82</v>
      </c>
      <c r="D6221" t="s">
        <v>746</v>
      </c>
      <c r="E6221" t="s">
        <v>769</v>
      </c>
      <c r="F6221">
        <v>4</v>
      </c>
      <c r="G6221" s="308">
        <f>COMEDORES!K86</f>
        <v>3800</v>
      </c>
      <c r="H6221" s="308">
        <f>COMEDORES!L86</f>
        <v>0</v>
      </c>
    </row>
    <row r="6222" spans="1:8" x14ac:dyDescent="0.3">
      <c r="A6222" t="s">
        <v>628</v>
      </c>
      <c r="B6222" t="s">
        <v>77</v>
      </c>
      <c r="C6222" t="s">
        <v>82</v>
      </c>
      <c r="D6222" t="s">
        <v>746</v>
      </c>
      <c r="E6222" t="s">
        <v>770</v>
      </c>
      <c r="F6222">
        <v>5</v>
      </c>
      <c r="G6222" s="308">
        <f>COMEDORES!M86</f>
        <v>4000</v>
      </c>
      <c r="H6222" s="308">
        <f>COMEDORES!N86</f>
        <v>0</v>
      </c>
    </row>
    <row r="6223" spans="1:8" x14ac:dyDescent="0.3">
      <c r="A6223" t="s">
        <v>628</v>
      </c>
      <c r="B6223" t="s">
        <v>77</v>
      </c>
      <c r="C6223" t="s">
        <v>82</v>
      </c>
      <c r="D6223" t="s">
        <v>746</v>
      </c>
      <c r="E6223" t="s">
        <v>771</v>
      </c>
      <c r="F6223">
        <v>6</v>
      </c>
      <c r="G6223" s="308">
        <f>COMEDORES!O86</f>
        <v>4200</v>
      </c>
      <c r="H6223" s="308">
        <f>COMEDORES!P86</f>
        <v>0</v>
      </c>
    </row>
    <row r="6224" spans="1:8" x14ac:dyDescent="0.3">
      <c r="A6224" t="s">
        <v>628</v>
      </c>
      <c r="B6224" t="s">
        <v>77</v>
      </c>
      <c r="C6224" t="s">
        <v>82</v>
      </c>
      <c r="D6224" t="s">
        <v>746</v>
      </c>
      <c r="E6224" t="s">
        <v>772</v>
      </c>
      <c r="F6224">
        <v>7</v>
      </c>
      <c r="G6224" s="308">
        <f>COMEDORES!Q86</f>
        <v>4600</v>
      </c>
      <c r="H6224" s="308">
        <f>COMEDORES!R86</f>
        <v>0</v>
      </c>
    </row>
    <row r="6225" spans="1:8" x14ac:dyDescent="0.3">
      <c r="A6225" t="s">
        <v>628</v>
      </c>
      <c r="B6225" t="s">
        <v>77</v>
      </c>
      <c r="C6225" t="s">
        <v>85</v>
      </c>
      <c r="D6225" t="s">
        <v>745</v>
      </c>
      <c r="E6225" t="s">
        <v>766</v>
      </c>
      <c r="F6225">
        <v>1</v>
      </c>
      <c r="G6225" s="308">
        <f>COMEDORES!E87</f>
        <v>0</v>
      </c>
      <c r="H6225" s="308">
        <f>COMEDORES!F87</f>
        <v>0</v>
      </c>
    </row>
    <row r="6226" spans="1:8" x14ac:dyDescent="0.3">
      <c r="A6226" t="s">
        <v>628</v>
      </c>
      <c r="B6226" t="s">
        <v>77</v>
      </c>
      <c r="C6226" t="s">
        <v>85</v>
      </c>
      <c r="D6226" t="s">
        <v>745</v>
      </c>
      <c r="E6226" t="s">
        <v>767</v>
      </c>
      <c r="F6226">
        <v>2</v>
      </c>
      <c r="G6226" s="308">
        <f>COMEDORES!G87</f>
        <v>0</v>
      </c>
      <c r="H6226" s="308">
        <f>COMEDORES!H87</f>
        <v>0</v>
      </c>
    </row>
    <row r="6227" spans="1:8" x14ac:dyDescent="0.3">
      <c r="A6227" t="s">
        <v>628</v>
      </c>
      <c r="B6227" t="s">
        <v>77</v>
      </c>
      <c r="C6227" t="s">
        <v>85</v>
      </c>
      <c r="D6227" t="s">
        <v>745</v>
      </c>
      <c r="E6227" t="s">
        <v>768</v>
      </c>
      <c r="F6227">
        <v>3</v>
      </c>
      <c r="G6227" s="308">
        <f>COMEDORES!I87</f>
        <v>0</v>
      </c>
      <c r="H6227" s="308">
        <f>COMEDORES!J87</f>
        <v>0</v>
      </c>
    </row>
    <row r="6228" spans="1:8" x14ac:dyDescent="0.3">
      <c r="A6228" t="s">
        <v>628</v>
      </c>
      <c r="B6228" t="s">
        <v>77</v>
      </c>
      <c r="C6228" t="s">
        <v>85</v>
      </c>
      <c r="D6228" t="s">
        <v>745</v>
      </c>
      <c r="E6228" t="s">
        <v>769</v>
      </c>
      <c r="F6228">
        <v>4</v>
      </c>
      <c r="G6228" s="308">
        <f>COMEDORES!K87</f>
        <v>0</v>
      </c>
      <c r="H6228" s="308">
        <f>COMEDORES!L87</f>
        <v>0</v>
      </c>
    </row>
    <row r="6229" spans="1:8" x14ac:dyDescent="0.3">
      <c r="A6229" t="s">
        <v>628</v>
      </c>
      <c r="B6229" t="s">
        <v>77</v>
      </c>
      <c r="C6229" t="s">
        <v>85</v>
      </c>
      <c r="D6229" t="s">
        <v>745</v>
      </c>
      <c r="E6229" t="s">
        <v>770</v>
      </c>
      <c r="F6229">
        <v>5</v>
      </c>
      <c r="G6229" s="308">
        <f>COMEDORES!M87</f>
        <v>300</v>
      </c>
      <c r="H6229" s="308">
        <f>COMEDORES!N87</f>
        <v>0</v>
      </c>
    </row>
    <row r="6230" spans="1:8" x14ac:dyDescent="0.3">
      <c r="A6230" t="s">
        <v>628</v>
      </c>
      <c r="B6230" t="s">
        <v>77</v>
      </c>
      <c r="C6230" t="s">
        <v>85</v>
      </c>
      <c r="D6230" t="s">
        <v>745</v>
      </c>
      <c r="E6230" t="s">
        <v>771</v>
      </c>
      <c r="F6230">
        <v>6</v>
      </c>
      <c r="G6230" s="308">
        <f>COMEDORES!O87</f>
        <v>2400</v>
      </c>
      <c r="H6230" s="308">
        <f>COMEDORES!P87</f>
        <v>0</v>
      </c>
    </row>
    <row r="6231" spans="1:8" x14ac:dyDescent="0.3">
      <c r="A6231" t="s">
        <v>628</v>
      </c>
      <c r="B6231" t="s">
        <v>77</v>
      </c>
      <c r="C6231" t="s">
        <v>85</v>
      </c>
      <c r="D6231" t="s">
        <v>745</v>
      </c>
      <c r="E6231" t="s">
        <v>772</v>
      </c>
      <c r="F6231">
        <v>7</v>
      </c>
      <c r="G6231" s="308">
        <f>COMEDORES!Q87</f>
        <v>2300</v>
      </c>
      <c r="H6231" s="308">
        <f>COMEDORES!R87</f>
        <v>199068</v>
      </c>
    </row>
    <row r="6232" spans="1:8" x14ac:dyDescent="0.3">
      <c r="A6232" t="s">
        <v>628</v>
      </c>
      <c r="B6232" t="s">
        <v>77</v>
      </c>
      <c r="C6232" t="s">
        <v>85</v>
      </c>
      <c r="D6232" t="s">
        <v>746</v>
      </c>
      <c r="E6232" t="s">
        <v>766</v>
      </c>
      <c r="F6232">
        <v>1</v>
      </c>
      <c r="G6232" s="308">
        <f>COMEDORES!E88</f>
        <v>0</v>
      </c>
      <c r="H6232" s="308">
        <f>COMEDORES!F88</f>
        <v>0</v>
      </c>
    </row>
    <row r="6233" spans="1:8" x14ac:dyDescent="0.3">
      <c r="A6233" t="s">
        <v>628</v>
      </c>
      <c r="B6233" t="s">
        <v>77</v>
      </c>
      <c r="C6233" t="s">
        <v>85</v>
      </c>
      <c r="D6233" t="s">
        <v>746</v>
      </c>
      <c r="E6233" t="s">
        <v>767</v>
      </c>
      <c r="F6233">
        <v>2</v>
      </c>
      <c r="G6233" s="308">
        <f>COMEDORES!G88</f>
        <v>0</v>
      </c>
      <c r="H6233" s="308">
        <f>COMEDORES!H88</f>
        <v>0</v>
      </c>
    </row>
    <row r="6234" spans="1:8" x14ac:dyDescent="0.3">
      <c r="A6234" t="s">
        <v>628</v>
      </c>
      <c r="B6234" t="s">
        <v>77</v>
      </c>
      <c r="C6234" t="s">
        <v>85</v>
      </c>
      <c r="D6234" t="s">
        <v>746</v>
      </c>
      <c r="E6234" t="s">
        <v>768</v>
      </c>
      <c r="F6234">
        <v>3</v>
      </c>
      <c r="G6234" s="308">
        <f>COMEDORES!I88</f>
        <v>0</v>
      </c>
      <c r="H6234" s="308">
        <f>COMEDORES!J88</f>
        <v>0</v>
      </c>
    </row>
    <row r="6235" spans="1:8" x14ac:dyDescent="0.3">
      <c r="A6235" t="s">
        <v>628</v>
      </c>
      <c r="B6235" t="s">
        <v>77</v>
      </c>
      <c r="C6235" t="s">
        <v>85</v>
      </c>
      <c r="D6235" t="s">
        <v>746</v>
      </c>
      <c r="E6235" t="s">
        <v>769</v>
      </c>
      <c r="F6235">
        <v>4</v>
      </c>
      <c r="G6235" s="308">
        <f>COMEDORES!K88</f>
        <v>0</v>
      </c>
      <c r="H6235" s="308">
        <f>COMEDORES!L88</f>
        <v>0</v>
      </c>
    </row>
    <row r="6236" spans="1:8" x14ac:dyDescent="0.3">
      <c r="A6236" t="s">
        <v>628</v>
      </c>
      <c r="B6236" t="s">
        <v>77</v>
      </c>
      <c r="C6236" t="s">
        <v>85</v>
      </c>
      <c r="D6236" t="s">
        <v>746</v>
      </c>
      <c r="E6236" t="s">
        <v>770</v>
      </c>
      <c r="F6236">
        <v>5</v>
      </c>
      <c r="G6236" s="308">
        <f>COMEDORES!M88</f>
        <v>450</v>
      </c>
      <c r="H6236" s="308">
        <f>COMEDORES!N88</f>
        <v>0</v>
      </c>
    </row>
    <row r="6237" spans="1:8" x14ac:dyDescent="0.3">
      <c r="A6237" t="s">
        <v>628</v>
      </c>
      <c r="B6237" t="s">
        <v>77</v>
      </c>
      <c r="C6237" t="s">
        <v>85</v>
      </c>
      <c r="D6237" t="s">
        <v>746</v>
      </c>
      <c r="E6237" t="s">
        <v>771</v>
      </c>
      <c r="F6237">
        <v>6</v>
      </c>
      <c r="G6237" s="308">
        <f>COMEDORES!O88</f>
        <v>3600</v>
      </c>
      <c r="H6237" s="308">
        <f>COMEDORES!P88</f>
        <v>0</v>
      </c>
    </row>
    <row r="6238" spans="1:8" x14ac:dyDescent="0.3">
      <c r="A6238" t="s">
        <v>628</v>
      </c>
      <c r="B6238" t="s">
        <v>77</v>
      </c>
      <c r="C6238" t="s">
        <v>85</v>
      </c>
      <c r="D6238" t="s">
        <v>746</v>
      </c>
      <c r="E6238" t="s">
        <v>772</v>
      </c>
      <c r="F6238">
        <v>7</v>
      </c>
      <c r="G6238" s="308">
        <f>COMEDORES!Q88</f>
        <v>3450</v>
      </c>
      <c r="H6238" s="308">
        <f>COMEDORES!R88</f>
        <v>0</v>
      </c>
    </row>
    <row r="6239" spans="1:8" x14ac:dyDescent="0.3">
      <c r="A6239" t="s">
        <v>628</v>
      </c>
      <c r="B6239" t="s">
        <v>86</v>
      </c>
      <c r="C6239" t="s">
        <v>87</v>
      </c>
      <c r="D6239" t="s">
        <v>745</v>
      </c>
      <c r="E6239" t="s">
        <v>766</v>
      </c>
      <c r="F6239">
        <v>1</v>
      </c>
      <c r="G6239" s="308">
        <f>COMEDORES!E89</f>
        <v>1700</v>
      </c>
      <c r="H6239" s="308">
        <f>COMEDORES!F89</f>
        <v>0</v>
      </c>
    </row>
    <row r="6240" spans="1:8" x14ac:dyDescent="0.3">
      <c r="A6240" t="s">
        <v>628</v>
      </c>
      <c r="B6240" t="s">
        <v>86</v>
      </c>
      <c r="C6240" t="s">
        <v>87</v>
      </c>
      <c r="D6240" t="s">
        <v>745</v>
      </c>
      <c r="E6240" t="s">
        <v>767</v>
      </c>
      <c r="F6240">
        <v>2</v>
      </c>
      <c r="G6240" s="308">
        <f>COMEDORES!G89</f>
        <v>2000</v>
      </c>
      <c r="H6240" s="308">
        <f>COMEDORES!H89</f>
        <v>0</v>
      </c>
    </row>
    <row r="6241" spans="1:8" x14ac:dyDescent="0.3">
      <c r="A6241" t="s">
        <v>628</v>
      </c>
      <c r="B6241" t="s">
        <v>86</v>
      </c>
      <c r="C6241" t="s">
        <v>87</v>
      </c>
      <c r="D6241" t="s">
        <v>745</v>
      </c>
      <c r="E6241" t="s">
        <v>768</v>
      </c>
      <c r="F6241">
        <v>3</v>
      </c>
      <c r="G6241" s="308">
        <f>COMEDORES!I89</f>
        <v>2200</v>
      </c>
      <c r="H6241" s="308">
        <f>COMEDORES!J89</f>
        <v>331389.33</v>
      </c>
    </row>
    <row r="6242" spans="1:8" x14ac:dyDescent="0.3">
      <c r="A6242" t="s">
        <v>628</v>
      </c>
      <c r="B6242" t="s">
        <v>86</v>
      </c>
      <c r="C6242" t="s">
        <v>87</v>
      </c>
      <c r="D6242" t="s">
        <v>745</v>
      </c>
      <c r="E6242" t="s">
        <v>769</v>
      </c>
      <c r="F6242">
        <v>4</v>
      </c>
      <c r="G6242" s="308">
        <f>COMEDORES!K89</f>
        <v>1900</v>
      </c>
      <c r="H6242" s="308">
        <f>COMEDORES!L89</f>
        <v>191836.5</v>
      </c>
    </row>
    <row r="6243" spans="1:8" x14ac:dyDescent="0.3">
      <c r="A6243" t="s">
        <v>628</v>
      </c>
      <c r="B6243" t="s">
        <v>86</v>
      </c>
      <c r="C6243" t="s">
        <v>87</v>
      </c>
      <c r="D6243" t="s">
        <v>745</v>
      </c>
      <c r="E6243" t="s">
        <v>770</v>
      </c>
      <c r="F6243">
        <v>5</v>
      </c>
      <c r="G6243" s="308">
        <f>COMEDORES!M89</f>
        <v>2000</v>
      </c>
      <c r="H6243" s="308">
        <f>COMEDORES!N89</f>
        <v>167394.75</v>
      </c>
    </row>
    <row r="6244" spans="1:8" x14ac:dyDescent="0.3">
      <c r="A6244" t="s">
        <v>628</v>
      </c>
      <c r="B6244" t="s">
        <v>86</v>
      </c>
      <c r="C6244" t="s">
        <v>87</v>
      </c>
      <c r="D6244" t="s">
        <v>745</v>
      </c>
      <c r="E6244" t="s">
        <v>771</v>
      </c>
      <c r="F6244">
        <v>6</v>
      </c>
      <c r="G6244" s="308">
        <f>COMEDORES!O89</f>
        <v>2100</v>
      </c>
      <c r="H6244" s="308">
        <f>COMEDORES!P89</f>
        <v>159630</v>
      </c>
    </row>
    <row r="6245" spans="1:8" x14ac:dyDescent="0.3">
      <c r="A6245" t="s">
        <v>628</v>
      </c>
      <c r="B6245" t="s">
        <v>86</v>
      </c>
      <c r="C6245" t="s">
        <v>87</v>
      </c>
      <c r="D6245" t="s">
        <v>745</v>
      </c>
      <c r="E6245" t="s">
        <v>772</v>
      </c>
      <c r="F6245">
        <v>7</v>
      </c>
      <c r="G6245" s="308">
        <f>COMEDORES!Q89</f>
        <v>2276</v>
      </c>
      <c r="H6245" s="308">
        <f>COMEDORES!R89</f>
        <v>167611.49999999988</v>
      </c>
    </row>
    <row r="6246" spans="1:8" x14ac:dyDescent="0.3">
      <c r="A6246" t="s">
        <v>628</v>
      </c>
      <c r="B6246" t="s">
        <v>86</v>
      </c>
      <c r="C6246" t="s">
        <v>87</v>
      </c>
      <c r="D6246" t="s">
        <v>746</v>
      </c>
      <c r="E6246" t="s">
        <v>766</v>
      </c>
      <c r="F6246">
        <v>1</v>
      </c>
      <c r="G6246" s="308">
        <f>COMEDORES!E90</f>
        <v>3150</v>
      </c>
      <c r="H6246" s="308">
        <f>COMEDORES!F90</f>
        <v>0</v>
      </c>
    </row>
    <row r="6247" spans="1:8" x14ac:dyDescent="0.3">
      <c r="A6247" t="s">
        <v>628</v>
      </c>
      <c r="B6247" t="s">
        <v>86</v>
      </c>
      <c r="C6247" t="s">
        <v>87</v>
      </c>
      <c r="D6247" t="s">
        <v>746</v>
      </c>
      <c r="E6247" t="s">
        <v>767</v>
      </c>
      <c r="F6247">
        <v>2</v>
      </c>
      <c r="G6247" s="308">
        <f>COMEDORES!G90</f>
        <v>3500</v>
      </c>
      <c r="H6247" s="308">
        <f>COMEDORES!H90</f>
        <v>0</v>
      </c>
    </row>
    <row r="6248" spans="1:8" x14ac:dyDescent="0.3">
      <c r="A6248" t="s">
        <v>628</v>
      </c>
      <c r="B6248" t="s">
        <v>86</v>
      </c>
      <c r="C6248" t="s">
        <v>87</v>
      </c>
      <c r="D6248" t="s">
        <v>746</v>
      </c>
      <c r="E6248" t="s">
        <v>768</v>
      </c>
      <c r="F6248">
        <v>3</v>
      </c>
      <c r="G6248" s="308">
        <f>COMEDORES!I90</f>
        <v>3850</v>
      </c>
      <c r="H6248" s="308">
        <f>COMEDORES!J90</f>
        <v>0</v>
      </c>
    </row>
    <row r="6249" spans="1:8" x14ac:dyDescent="0.3">
      <c r="A6249" t="s">
        <v>628</v>
      </c>
      <c r="B6249" t="s">
        <v>86</v>
      </c>
      <c r="C6249" t="s">
        <v>87</v>
      </c>
      <c r="D6249" t="s">
        <v>746</v>
      </c>
      <c r="E6249" t="s">
        <v>769</v>
      </c>
      <c r="F6249">
        <v>4</v>
      </c>
      <c r="G6249" s="308">
        <f>COMEDORES!K90</f>
        <v>3325</v>
      </c>
      <c r="H6249" s="308">
        <f>COMEDORES!L90</f>
        <v>0</v>
      </c>
    </row>
    <row r="6250" spans="1:8" x14ac:dyDescent="0.3">
      <c r="A6250" t="s">
        <v>628</v>
      </c>
      <c r="B6250" t="s">
        <v>86</v>
      </c>
      <c r="C6250" t="s">
        <v>87</v>
      </c>
      <c r="D6250" t="s">
        <v>746</v>
      </c>
      <c r="E6250" t="s">
        <v>770</v>
      </c>
      <c r="F6250">
        <v>5</v>
      </c>
      <c r="G6250" s="308">
        <f>COMEDORES!M90</f>
        <v>3000</v>
      </c>
      <c r="H6250" s="308">
        <f>COMEDORES!N90</f>
        <v>0</v>
      </c>
    </row>
    <row r="6251" spans="1:8" x14ac:dyDescent="0.3">
      <c r="A6251" t="s">
        <v>628</v>
      </c>
      <c r="B6251" t="s">
        <v>86</v>
      </c>
      <c r="C6251" t="s">
        <v>87</v>
      </c>
      <c r="D6251" t="s">
        <v>746</v>
      </c>
      <c r="E6251" t="s">
        <v>771</v>
      </c>
      <c r="F6251">
        <v>6</v>
      </c>
      <c r="G6251" s="308">
        <f>COMEDORES!O90</f>
        <v>3150</v>
      </c>
      <c r="H6251" s="308">
        <f>COMEDORES!P90</f>
        <v>0</v>
      </c>
    </row>
    <row r="6252" spans="1:8" x14ac:dyDescent="0.3">
      <c r="A6252" t="s">
        <v>628</v>
      </c>
      <c r="B6252" t="s">
        <v>86</v>
      </c>
      <c r="C6252" t="s">
        <v>87</v>
      </c>
      <c r="D6252" t="s">
        <v>746</v>
      </c>
      <c r="E6252" t="s">
        <v>772</v>
      </c>
      <c r="F6252">
        <v>7</v>
      </c>
      <c r="G6252" s="308">
        <f>COMEDORES!Q90</f>
        <v>3300</v>
      </c>
      <c r="H6252" s="308">
        <f>COMEDORES!R90</f>
        <v>0</v>
      </c>
    </row>
    <row r="6253" spans="1:8" x14ac:dyDescent="0.3">
      <c r="A6253" t="s">
        <v>628</v>
      </c>
      <c r="B6253" t="s">
        <v>86</v>
      </c>
      <c r="C6253" t="s">
        <v>88</v>
      </c>
      <c r="D6253" t="s">
        <v>745</v>
      </c>
      <c r="E6253" t="s">
        <v>766</v>
      </c>
      <c r="F6253">
        <v>1</v>
      </c>
      <c r="G6253" s="308">
        <f>COMEDORES!E91</f>
        <v>0</v>
      </c>
      <c r="H6253" s="308">
        <f>COMEDORES!F91</f>
        <v>0</v>
      </c>
    </row>
    <row r="6254" spans="1:8" x14ac:dyDescent="0.3">
      <c r="A6254" t="s">
        <v>628</v>
      </c>
      <c r="B6254" t="s">
        <v>86</v>
      </c>
      <c r="C6254" t="s">
        <v>88</v>
      </c>
      <c r="D6254" t="s">
        <v>745</v>
      </c>
      <c r="E6254" t="s">
        <v>767</v>
      </c>
      <c r="F6254">
        <v>2</v>
      </c>
      <c r="G6254" s="308">
        <f>COMEDORES!G91</f>
        <v>0</v>
      </c>
      <c r="H6254" s="308">
        <f>COMEDORES!H91</f>
        <v>0</v>
      </c>
    </row>
    <row r="6255" spans="1:8" x14ac:dyDescent="0.3">
      <c r="A6255" t="s">
        <v>628</v>
      </c>
      <c r="B6255" t="s">
        <v>86</v>
      </c>
      <c r="C6255" t="s">
        <v>88</v>
      </c>
      <c r="D6255" t="s">
        <v>745</v>
      </c>
      <c r="E6255" t="s">
        <v>768</v>
      </c>
      <c r="F6255">
        <v>3</v>
      </c>
      <c r="G6255" s="308">
        <f>COMEDORES!I91</f>
        <v>0</v>
      </c>
      <c r="H6255" s="308">
        <f>COMEDORES!J91</f>
        <v>0</v>
      </c>
    </row>
    <row r="6256" spans="1:8" x14ac:dyDescent="0.3">
      <c r="A6256" t="s">
        <v>628</v>
      </c>
      <c r="B6256" t="s">
        <v>86</v>
      </c>
      <c r="C6256" t="s">
        <v>88</v>
      </c>
      <c r="D6256" t="s">
        <v>745</v>
      </c>
      <c r="E6256" t="s">
        <v>769</v>
      </c>
      <c r="F6256">
        <v>4</v>
      </c>
      <c r="G6256" s="308">
        <f>COMEDORES!K91</f>
        <v>0</v>
      </c>
      <c r="H6256" s="308">
        <f>COMEDORES!L91</f>
        <v>0</v>
      </c>
    </row>
    <row r="6257" spans="1:8" x14ac:dyDescent="0.3">
      <c r="A6257" t="s">
        <v>628</v>
      </c>
      <c r="B6257" t="s">
        <v>86</v>
      </c>
      <c r="C6257" t="s">
        <v>88</v>
      </c>
      <c r="D6257" t="s">
        <v>745</v>
      </c>
      <c r="E6257" t="s">
        <v>770</v>
      </c>
      <c r="F6257">
        <v>5</v>
      </c>
      <c r="G6257" s="308">
        <f>COMEDORES!M91</f>
        <v>0</v>
      </c>
      <c r="H6257" s="308">
        <f>COMEDORES!N91</f>
        <v>0</v>
      </c>
    </row>
    <row r="6258" spans="1:8" x14ac:dyDescent="0.3">
      <c r="A6258" t="s">
        <v>628</v>
      </c>
      <c r="B6258" t="s">
        <v>86</v>
      </c>
      <c r="C6258" t="s">
        <v>88</v>
      </c>
      <c r="D6258" t="s">
        <v>745</v>
      </c>
      <c r="E6258" t="s">
        <v>771</v>
      </c>
      <c r="F6258">
        <v>6</v>
      </c>
      <c r="G6258" s="308">
        <f>COMEDORES!O91</f>
        <v>891</v>
      </c>
      <c r="H6258" s="308">
        <f>COMEDORES!P91</f>
        <v>0</v>
      </c>
    </row>
    <row r="6259" spans="1:8" x14ac:dyDescent="0.3">
      <c r="A6259" t="s">
        <v>628</v>
      </c>
      <c r="B6259" t="s">
        <v>86</v>
      </c>
      <c r="C6259" t="s">
        <v>88</v>
      </c>
      <c r="D6259" t="s">
        <v>745</v>
      </c>
      <c r="E6259" t="s">
        <v>772</v>
      </c>
      <c r="F6259">
        <v>7</v>
      </c>
      <c r="G6259" s="308">
        <f>COMEDORES!Q91</f>
        <v>2300</v>
      </c>
      <c r="H6259" s="308">
        <f>COMEDORES!R91</f>
        <v>71297.490000000005</v>
      </c>
    </row>
    <row r="6260" spans="1:8" x14ac:dyDescent="0.3">
      <c r="A6260" t="s">
        <v>628</v>
      </c>
      <c r="B6260" t="s">
        <v>86</v>
      </c>
      <c r="C6260" t="s">
        <v>88</v>
      </c>
      <c r="D6260" t="s">
        <v>746</v>
      </c>
      <c r="E6260" t="s">
        <v>766</v>
      </c>
      <c r="F6260">
        <v>1</v>
      </c>
      <c r="G6260" s="308">
        <f>COMEDORES!E92</f>
        <v>0</v>
      </c>
      <c r="H6260" s="308">
        <f>COMEDORES!F92</f>
        <v>0</v>
      </c>
    </row>
    <row r="6261" spans="1:8" x14ac:dyDescent="0.3">
      <c r="A6261" t="s">
        <v>628</v>
      </c>
      <c r="B6261" t="s">
        <v>86</v>
      </c>
      <c r="C6261" t="s">
        <v>88</v>
      </c>
      <c r="D6261" t="s">
        <v>746</v>
      </c>
      <c r="E6261" t="s">
        <v>767</v>
      </c>
      <c r="F6261">
        <v>2</v>
      </c>
      <c r="G6261" s="308">
        <f>COMEDORES!G92</f>
        <v>0</v>
      </c>
      <c r="H6261" s="308">
        <f>COMEDORES!H92</f>
        <v>0</v>
      </c>
    </row>
    <row r="6262" spans="1:8" x14ac:dyDescent="0.3">
      <c r="A6262" t="s">
        <v>628</v>
      </c>
      <c r="B6262" t="s">
        <v>86</v>
      </c>
      <c r="C6262" t="s">
        <v>88</v>
      </c>
      <c r="D6262" t="s">
        <v>746</v>
      </c>
      <c r="E6262" t="s">
        <v>768</v>
      </c>
      <c r="F6262">
        <v>3</v>
      </c>
      <c r="G6262" s="308">
        <f>COMEDORES!I92</f>
        <v>0</v>
      </c>
      <c r="H6262" s="308">
        <f>COMEDORES!J92</f>
        <v>0</v>
      </c>
    </row>
    <row r="6263" spans="1:8" x14ac:dyDescent="0.3">
      <c r="A6263" t="s">
        <v>628</v>
      </c>
      <c r="B6263" t="s">
        <v>86</v>
      </c>
      <c r="C6263" t="s">
        <v>88</v>
      </c>
      <c r="D6263" t="s">
        <v>746</v>
      </c>
      <c r="E6263" t="s">
        <v>769</v>
      </c>
      <c r="F6263">
        <v>4</v>
      </c>
      <c r="G6263" s="308">
        <f>COMEDORES!K92</f>
        <v>0</v>
      </c>
      <c r="H6263" s="308">
        <f>COMEDORES!L92</f>
        <v>0</v>
      </c>
    </row>
    <row r="6264" spans="1:8" x14ac:dyDescent="0.3">
      <c r="A6264" t="s">
        <v>628</v>
      </c>
      <c r="B6264" t="s">
        <v>86</v>
      </c>
      <c r="C6264" t="s">
        <v>88</v>
      </c>
      <c r="D6264" t="s">
        <v>746</v>
      </c>
      <c r="E6264" t="s">
        <v>770</v>
      </c>
      <c r="F6264">
        <v>5</v>
      </c>
      <c r="G6264" s="308">
        <f>COMEDORES!M92</f>
        <v>0</v>
      </c>
      <c r="H6264" s="308">
        <f>COMEDORES!N92</f>
        <v>0</v>
      </c>
    </row>
    <row r="6265" spans="1:8" x14ac:dyDescent="0.3">
      <c r="A6265" t="s">
        <v>628</v>
      </c>
      <c r="B6265" t="s">
        <v>86</v>
      </c>
      <c r="C6265" t="s">
        <v>88</v>
      </c>
      <c r="D6265" t="s">
        <v>746</v>
      </c>
      <c r="E6265" t="s">
        <v>771</v>
      </c>
      <c r="F6265">
        <v>6</v>
      </c>
      <c r="G6265" s="308">
        <f>COMEDORES!O92</f>
        <v>1342</v>
      </c>
      <c r="H6265" s="308">
        <f>COMEDORES!P92</f>
        <v>0</v>
      </c>
    </row>
    <row r="6266" spans="1:8" x14ac:dyDescent="0.3">
      <c r="A6266" t="s">
        <v>628</v>
      </c>
      <c r="B6266" t="s">
        <v>86</v>
      </c>
      <c r="C6266" t="s">
        <v>88</v>
      </c>
      <c r="D6266" t="s">
        <v>746</v>
      </c>
      <c r="E6266" t="s">
        <v>772</v>
      </c>
      <c r="F6266">
        <v>7</v>
      </c>
      <c r="G6266" s="308">
        <f>COMEDORES!Q92</f>
        <v>3300</v>
      </c>
      <c r="H6266" s="308">
        <f>COMEDORES!R92</f>
        <v>0</v>
      </c>
    </row>
    <row r="6267" spans="1:8" x14ac:dyDescent="0.3">
      <c r="A6267" t="s">
        <v>628</v>
      </c>
      <c r="B6267" t="s">
        <v>86</v>
      </c>
      <c r="C6267" t="s">
        <v>89</v>
      </c>
      <c r="D6267" t="s">
        <v>745</v>
      </c>
      <c r="E6267" t="s">
        <v>766</v>
      </c>
      <c r="F6267">
        <v>1</v>
      </c>
      <c r="G6267" s="308">
        <f>COMEDORES!E93</f>
        <v>1700</v>
      </c>
      <c r="H6267" s="308">
        <f>COMEDORES!F93</f>
        <v>0</v>
      </c>
    </row>
    <row r="6268" spans="1:8" x14ac:dyDescent="0.3">
      <c r="A6268" t="s">
        <v>628</v>
      </c>
      <c r="B6268" t="s">
        <v>86</v>
      </c>
      <c r="C6268" t="s">
        <v>89</v>
      </c>
      <c r="D6268" t="s">
        <v>745</v>
      </c>
      <c r="E6268" t="s">
        <v>767</v>
      </c>
      <c r="F6268">
        <v>2</v>
      </c>
      <c r="G6268" s="308">
        <f>COMEDORES!G93</f>
        <v>2000</v>
      </c>
      <c r="H6268" s="308">
        <f>COMEDORES!H93</f>
        <v>0</v>
      </c>
    </row>
    <row r="6269" spans="1:8" x14ac:dyDescent="0.3">
      <c r="A6269" t="s">
        <v>628</v>
      </c>
      <c r="B6269" t="s">
        <v>86</v>
      </c>
      <c r="C6269" t="s">
        <v>89</v>
      </c>
      <c r="D6269" t="s">
        <v>745</v>
      </c>
      <c r="E6269" t="s">
        <v>768</v>
      </c>
      <c r="F6269">
        <v>3</v>
      </c>
      <c r="G6269" s="308">
        <f>COMEDORES!I93</f>
        <v>2200</v>
      </c>
      <c r="H6269" s="308">
        <f>COMEDORES!J93</f>
        <v>300288</v>
      </c>
    </row>
    <row r="6270" spans="1:8" x14ac:dyDescent="0.3">
      <c r="A6270" t="s">
        <v>628</v>
      </c>
      <c r="B6270" t="s">
        <v>86</v>
      </c>
      <c r="C6270" t="s">
        <v>89</v>
      </c>
      <c r="D6270" t="s">
        <v>745</v>
      </c>
      <c r="E6270" t="s">
        <v>769</v>
      </c>
      <c r="F6270">
        <v>4</v>
      </c>
      <c r="G6270" s="308">
        <f>COMEDORES!K93</f>
        <v>1896</v>
      </c>
      <c r="H6270" s="308">
        <f>COMEDORES!L93</f>
        <v>175593</v>
      </c>
    </row>
    <row r="6271" spans="1:8" x14ac:dyDescent="0.3">
      <c r="A6271" t="s">
        <v>628</v>
      </c>
      <c r="B6271" t="s">
        <v>86</v>
      </c>
      <c r="C6271" t="s">
        <v>89</v>
      </c>
      <c r="D6271" t="s">
        <v>745</v>
      </c>
      <c r="E6271" t="s">
        <v>770</v>
      </c>
      <c r="F6271">
        <v>5</v>
      </c>
      <c r="G6271" s="308">
        <f>COMEDORES!M93</f>
        <v>2000</v>
      </c>
      <c r="H6271" s="308">
        <f>COMEDORES!N93</f>
        <v>151528.14000000001</v>
      </c>
    </row>
    <row r="6272" spans="1:8" x14ac:dyDescent="0.3">
      <c r="A6272" t="s">
        <v>628</v>
      </c>
      <c r="B6272" t="s">
        <v>86</v>
      </c>
      <c r="C6272" t="s">
        <v>89</v>
      </c>
      <c r="D6272" t="s">
        <v>745</v>
      </c>
      <c r="E6272" t="s">
        <v>771</v>
      </c>
      <c r="F6272">
        <v>6</v>
      </c>
      <c r="G6272" s="308">
        <f>COMEDORES!O93</f>
        <v>2100</v>
      </c>
      <c r="H6272" s="308">
        <f>COMEDORES!P93</f>
        <v>159630</v>
      </c>
    </row>
    <row r="6273" spans="1:8" x14ac:dyDescent="0.3">
      <c r="A6273" t="s">
        <v>628</v>
      </c>
      <c r="B6273" t="s">
        <v>86</v>
      </c>
      <c r="C6273" t="s">
        <v>89</v>
      </c>
      <c r="D6273" t="s">
        <v>745</v>
      </c>
      <c r="E6273" t="s">
        <v>772</v>
      </c>
      <c r="F6273">
        <v>7</v>
      </c>
      <c r="G6273" s="308">
        <f>COMEDORES!Q93</f>
        <v>2300</v>
      </c>
      <c r="H6273" s="308">
        <f>COMEDORES!R93</f>
        <v>167611.5</v>
      </c>
    </row>
    <row r="6274" spans="1:8" x14ac:dyDescent="0.3">
      <c r="A6274" t="s">
        <v>628</v>
      </c>
      <c r="B6274" t="s">
        <v>86</v>
      </c>
      <c r="C6274" t="s">
        <v>89</v>
      </c>
      <c r="D6274" t="s">
        <v>746</v>
      </c>
      <c r="E6274" t="s">
        <v>766</v>
      </c>
      <c r="F6274">
        <v>1</v>
      </c>
      <c r="G6274" s="308">
        <f>COMEDORES!E94</f>
        <v>2626</v>
      </c>
      <c r="H6274" s="308">
        <f>COMEDORES!F94</f>
        <v>0</v>
      </c>
    </row>
    <row r="6275" spans="1:8" x14ac:dyDescent="0.3">
      <c r="A6275" t="s">
        <v>628</v>
      </c>
      <c r="B6275" t="s">
        <v>86</v>
      </c>
      <c r="C6275" t="s">
        <v>89</v>
      </c>
      <c r="D6275" t="s">
        <v>746</v>
      </c>
      <c r="E6275" t="s">
        <v>767</v>
      </c>
      <c r="F6275">
        <v>2</v>
      </c>
      <c r="G6275" s="308">
        <f>COMEDORES!G94</f>
        <v>3000</v>
      </c>
      <c r="H6275" s="308">
        <f>COMEDORES!H94</f>
        <v>0</v>
      </c>
    </row>
    <row r="6276" spans="1:8" x14ac:dyDescent="0.3">
      <c r="A6276" t="s">
        <v>628</v>
      </c>
      <c r="B6276" t="s">
        <v>86</v>
      </c>
      <c r="C6276" t="s">
        <v>89</v>
      </c>
      <c r="D6276" t="s">
        <v>746</v>
      </c>
      <c r="E6276" t="s">
        <v>768</v>
      </c>
      <c r="F6276">
        <v>3</v>
      </c>
      <c r="G6276" s="308">
        <f>COMEDORES!I94</f>
        <v>3300</v>
      </c>
      <c r="H6276" s="308">
        <f>COMEDORES!J94</f>
        <v>0</v>
      </c>
    </row>
    <row r="6277" spans="1:8" x14ac:dyDescent="0.3">
      <c r="A6277" t="s">
        <v>628</v>
      </c>
      <c r="B6277" t="s">
        <v>86</v>
      </c>
      <c r="C6277" t="s">
        <v>89</v>
      </c>
      <c r="D6277" t="s">
        <v>746</v>
      </c>
      <c r="E6277" t="s">
        <v>769</v>
      </c>
      <c r="F6277">
        <v>4</v>
      </c>
      <c r="G6277" s="308">
        <f>COMEDORES!K94</f>
        <v>2850</v>
      </c>
      <c r="H6277" s="308">
        <f>COMEDORES!L94</f>
        <v>0</v>
      </c>
    </row>
    <row r="6278" spans="1:8" x14ac:dyDescent="0.3">
      <c r="A6278" t="s">
        <v>628</v>
      </c>
      <c r="B6278" t="s">
        <v>86</v>
      </c>
      <c r="C6278" t="s">
        <v>89</v>
      </c>
      <c r="D6278" t="s">
        <v>746</v>
      </c>
      <c r="E6278" t="s">
        <v>770</v>
      </c>
      <c r="F6278">
        <v>5</v>
      </c>
      <c r="G6278" s="308">
        <f>COMEDORES!M94</f>
        <v>3000</v>
      </c>
      <c r="H6278" s="308">
        <f>COMEDORES!N94</f>
        <v>0</v>
      </c>
    </row>
    <row r="6279" spans="1:8" x14ac:dyDescent="0.3">
      <c r="A6279" t="s">
        <v>628</v>
      </c>
      <c r="B6279" t="s">
        <v>86</v>
      </c>
      <c r="C6279" t="s">
        <v>89</v>
      </c>
      <c r="D6279" t="s">
        <v>746</v>
      </c>
      <c r="E6279" t="s">
        <v>771</v>
      </c>
      <c r="F6279">
        <v>6</v>
      </c>
      <c r="G6279" s="308">
        <f>COMEDORES!O94</f>
        <v>3150</v>
      </c>
      <c r="H6279" s="308">
        <f>COMEDORES!P94</f>
        <v>0</v>
      </c>
    </row>
    <row r="6280" spans="1:8" x14ac:dyDescent="0.3">
      <c r="A6280" t="s">
        <v>628</v>
      </c>
      <c r="B6280" t="s">
        <v>86</v>
      </c>
      <c r="C6280" t="s">
        <v>89</v>
      </c>
      <c r="D6280" t="s">
        <v>746</v>
      </c>
      <c r="E6280" t="s">
        <v>772</v>
      </c>
      <c r="F6280">
        <v>7</v>
      </c>
      <c r="G6280" s="308">
        <f>COMEDORES!Q94</f>
        <v>3450</v>
      </c>
      <c r="H6280" s="308">
        <f>COMEDORES!R94</f>
        <v>0</v>
      </c>
    </row>
    <row r="6281" spans="1:8" x14ac:dyDescent="0.3">
      <c r="A6281" t="s">
        <v>628</v>
      </c>
      <c r="B6281" t="s">
        <v>86</v>
      </c>
      <c r="C6281" t="s">
        <v>90</v>
      </c>
      <c r="D6281" t="s">
        <v>745</v>
      </c>
      <c r="E6281" t="s">
        <v>766</v>
      </c>
      <c r="F6281">
        <v>1</v>
      </c>
      <c r="G6281" s="308">
        <f>COMEDORES!E95</f>
        <v>3400</v>
      </c>
      <c r="H6281" s="308">
        <f>COMEDORES!F95</f>
        <v>0</v>
      </c>
    </row>
    <row r="6282" spans="1:8" x14ac:dyDescent="0.3">
      <c r="A6282" t="s">
        <v>628</v>
      </c>
      <c r="B6282" t="s">
        <v>86</v>
      </c>
      <c r="C6282" t="s">
        <v>90</v>
      </c>
      <c r="D6282" t="s">
        <v>745</v>
      </c>
      <c r="E6282" t="s">
        <v>767</v>
      </c>
      <c r="F6282">
        <v>2</v>
      </c>
      <c r="G6282" s="308">
        <f>COMEDORES!G95</f>
        <v>4000</v>
      </c>
      <c r="H6282" s="308">
        <f>COMEDORES!H95</f>
        <v>0</v>
      </c>
    </row>
    <row r="6283" spans="1:8" x14ac:dyDescent="0.3">
      <c r="A6283" t="s">
        <v>628</v>
      </c>
      <c r="B6283" t="s">
        <v>86</v>
      </c>
      <c r="C6283" t="s">
        <v>90</v>
      </c>
      <c r="D6283" t="s">
        <v>745</v>
      </c>
      <c r="E6283" t="s">
        <v>768</v>
      </c>
      <c r="F6283">
        <v>3</v>
      </c>
      <c r="G6283" s="308">
        <f>COMEDORES!I95</f>
        <v>4400</v>
      </c>
      <c r="H6283" s="308">
        <f>COMEDORES!J95</f>
        <v>599316.30000000005</v>
      </c>
    </row>
    <row r="6284" spans="1:8" x14ac:dyDescent="0.3">
      <c r="A6284" t="s">
        <v>628</v>
      </c>
      <c r="B6284" t="s">
        <v>86</v>
      </c>
      <c r="C6284" t="s">
        <v>90</v>
      </c>
      <c r="D6284" t="s">
        <v>745</v>
      </c>
      <c r="E6284" t="s">
        <v>769</v>
      </c>
      <c r="F6284">
        <v>4</v>
      </c>
      <c r="G6284" s="308">
        <f>COMEDORES!K95</f>
        <v>3800</v>
      </c>
      <c r="H6284" s="308">
        <f>COMEDORES!L95</f>
        <v>351186</v>
      </c>
    </row>
    <row r="6285" spans="1:8" x14ac:dyDescent="0.3">
      <c r="A6285" t="s">
        <v>628</v>
      </c>
      <c r="B6285" t="s">
        <v>86</v>
      </c>
      <c r="C6285" t="s">
        <v>90</v>
      </c>
      <c r="D6285" t="s">
        <v>745</v>
      </c>
      <c r="E6285" t="s">
        <v>770</v>
      </c>
      <c r="F6285">
        <v>5</v>
      </c>
      <c r="G6285" s="308">
        <f>COMEDORES!M95</f>
        <v>3000</v>
      </c>
      <c r="H6285" s="308">
        <f>COMEDORES!N95</f>
        <v>303297</v>
      </c>
    </row>
    <row r="6286" spans="1:8" x14ac:dyDescent="0.3">
      <c r="A6286" t="s">
        <v>628</v>
      </c>
      <c r="B6286" t="s">
        <v>86</v>
      </c>
      <c r="C6286" t="s">
        <v>90</v>
      </c>
      <c r="D6286" t="s">
        <v>745</v>
      </c>
      <c r="E6286" t="s">
        <v>771</v>
      </c>
      <c r="F6286">
        <v>6</v>
      </c>
      <c r="G6286" s="308">
        <f>COMEDORES!O95</f>
        <v>3150</v>
      </c>
      <c r="H6286" s="308">
        <f>COMEDORES!P95</f>
        <v>256020</v>
      </c>
    </row>
    <row r="6287" spans="1:8" x14ac:dyDescent="0.3">
      <c r="A6287" t="s">
        <v>628</v>
      </c>
      <c r="B6287" t="s">
        <v>86</v>
      </c>
      <c r="C6287" t="s">
        <v>90</v>
      </c>
      <c r="D6287" t="s">
        <v>745</v>
      </c>
      <c r="E6287" t="s">
        <v>772</v>
      </c>
      <c r="F6287">
        <v>7</v>
      </c>
      <c r="G6287" s="308">
        <f>COMEDORES!Q95</f>
        <v>3450</v>
      </c>
      <c r="H6287" s="308">
        <f>COMEDORES!R95</f>
        <v>268821</v>
      </c>
    </row>
    <row r="6288" spans="1:8" x14ac:dyDescent="0.3">
      <c r="A6288" t="s">
        <v>628</v>
      </c>
      <c r="B6288" t="s">
        <v>86</v>
      </c>
      <c r="C6288" t="s">
        <v>90</v>
      </c>
      <c r="D6288" t="s">
        <v>746</v>
      </c>
      <c r="E6288" t="s">
        <v>766</v>
      </c>
      <c r="F6288">
        <v>1</v>
      </c>
      <c r="G6288" s="308">
        <f>COMEDORES!E96</f>
        <v>5362</v>
      </c>
      <c r="H6288" s="308">
        <f>COMEDORES!F96</f>
        <v>0</v>
      </c>
    </row>
    <row r="6289" spans="1:8" x14ac:dyDescent="0.3">
      <c r="A6289" t="s">
        <v>628</v>
      </c>
      <c r="B6289" t="s">
        <v>86</v>
      </c>
      <c r="C6289" t="s">
        <v>90</v>
      </c>
      <c r="D6289" t="s">
        <v>746</v>
      </c>
      <c r="E6289" t="s">
        <v>767</v>
      </c>
      <c r="F6289">
        <v>2</v>
      </c>
      <c r="G6289" s="308">
        <f>COMEDORES!G96</f>
        <v>6000</v>
      </c>
      <c r="H6289" s="308">
        <f>COMEDORES!H96</f>
        <v>0</v>
      </c>
    </row>
    <row r="6290" spans="1:8" x14ac:dyDescent="0.3">
      <c r="A6290" t="s">
        <v>628</v>
      </c>
      <c r="B6290" t="s">
        <v>86</v>
      </c>
      <c r="C6290" t="s">
        <v>90</v>
      </c>
      <c r="D6290" t="s">
        <v>746</v>
      </c>
      <c r="E6290" t="s">
        <v>768</v>
      </c>
      <c r="F6290">
        <v>3</v>
      </c>
      <c r="G6290" s="308">
        <f>COMEDORES!I96</f>
        <v>6600</v>
      </c>
      <c r="H6290" s="308">
        <f>COMEDORES!J96</f>
        <v>0</v>
      </c>
    </row>
    <row r="6291" spans="1:8" x14ac:dyDescent="0.3">
      <c r="A6291" t="s">
        <v>628</v>
      </c>
      <c r="B6291" t="s">
        <v>86</v>
      </c>
      <c r="C6291" t="s">
        <v>90</v>
      </c>
      <c r="D6291" t="s">
        <v>746</v>
      </c>
      <c r="E6291" t="s">
        <v>769</v>
      </c>
      <c r="F6291">
        <v>4</v>
      </c>
      <c r="G6291" s="308">
        <f>COMEDORES!K96</f>
        <v>5700</v>
      </c>
      <c r="H6291" s="308">
        <f>COMEDORES!L96</f>
        <v>0</v>
      </c>
    </row>
    <row r="6292" spans="1:8" x14ac:dyDescent="0.3">
      <c r="A6292" t="s">
        <v>628</v>
      </c>
      <c r="B6292" t="s">
        <v>86</v>
      </c>
      <c r="C6292" t="s">
        <v>90</v>
      </c>
      <c r="D6292" t="s">
        <v>746</v>
      </c>
      <c r="E6292" t="s">
        <v>770</v>
      </c>
      <c r="F6292">
        <v>5</v>
      </c>
      <c r="G6292" s="308">
        <f>COMEDORES!M96</f>
        <v>5000</v>
      </c>
      <c r="H6292" s="308">
        <f>COMEDORES!N96</f>
        <v>0</v>
      </c>
    </row>
    <row r="6293" spans="1:8" x14ac:dyDescent="0.3">
      <c r="A6293" t="s">
        <v>628</v>
      </c>
      <c r="B6293" t="s">
        <v>86</v>
      </c>
      <c r="C6293" t="s">
        <v>90</v>
      </c>
      <c r="D6293" t="s">
        <v>746</v>
      </c>
      <c r="E6293" t="s">
        <v>771</v>
      </c>
      <c r="F6293">
        <v>6</v>
      </c>
      <c r="G6293" s="308">
        <f>COMEDORES!O96</f>
        <v>5250</v>
      </c>
      <c r="H6293" s="308">
        <f>COMEDORES!P96</f>
        <v>0</v>
      </c>
    </row>
    <row r="6294" spans="1:8" x14ac:dyDescent="0.3">
      <c r="A6294" t="s">
        <v>628</v>
      </c>
      <c r="B6294" t="s">
        <v>86</v>
      </c>
      <c r="C6294" t="s">
        <v>90</v>
      </c>
      <c r="D6294" t="s">
        <v>746</v>
      </c>
      <c r="E6294" t="s">
        <v>772</v>
      </c>
      <c r="F6294">
        <v>7</v>
      </c>
      <c r="G6294" s="308">
        <f>COMEDORES!Q96</f>
        <v>5700</v>
      </c>
      <c r="H6294" s="308">
        <f>COMEDORES!R96</f>
        <v>0</v>
      </c>
    </row>
    <row r="6295" spans="1:8" x14ac:dyDescent="0.3">
      <c r="A6295" t="s">
        <v>628</v>
      </c>
      <c r="B6295" t="s">
        <v>86</v>
      </c>
      <c r="C6295" t="s">
        <v>91</v>
      </c>
      <c r="D6295" t="s">
        <v>745</v>
      </c>
      <c r="E6295" t="s">
        <v>766</v>
      </c>
      <c r="F6295">
        <v>1</v>
      </c>
      <c r="G6295" s="308">
        <f>COMEDORES!E97</f>
        <v>3400</v>
      </c>
      <c r="H6295" s="308">
        <f>COMEDORES!F97</f>
        <v>0</v>
      </c>
    </row>
    <row r="6296" spans="1:8" x14ac:dyDescent="0.3">
      <c r="A6296" t="s">
        <v>628</v>
      </c>
      <c r="B6296" t="s">
        <v>86</v>
      </c>
      <c r="C6296" t="s">
        <v>91</v>
      </c>
      <c r="D6296" t="s">
        <v>745</v>
      </c>
      <c r="E6296" t="s">
        <v>767</v>
      </c>
      <c r="F6296">
        <v>2</v>
      </c>
      <c r="G6296" s="308">
        <f>COMEDORES!G97</f>
        <v>3727</v>
      </c>
      <c r="H6296" s="308">
        <f>COMEDORES!H97</f>
        <v>0</v>
      </c>
    </row>
    <row r="6297" spans="1:8" x14ac:dyDescent="0.3">
      <c r="A6297" t="s">
        <v>628</v>
      </c>
      <c r="B6297" t="s">
        <v>86</v>
      </c>
      <c r="C6297" t="s">
        <v>91</v>
      </c>
      <c r="D6297" t="s">
        <v>745</v>
      </c>
      <c r="E6297" t="s">
        <v>768</v>
      </c>
      <c r="F6297">
        <v>3</v>
      </c>
      <c r="G6297" s="308">
        <f>COMEDORES!I97</f>
        <v>3300</v>
      </c>
      <c r="H6297" s="308">
        <f>COMEDORES!J97</f>
        <v>529376.43000000005</v>
      </c>
    </row>
    <row r="6298" spans="1:8" x14ac:dyDescent="0.3">
      <c r="A6298" t="s">
        <v>628</v>
      </c>
      <c r="B6298" t="s">
        <v>86</v>
      </c>
      <c r="C6298" t="s">
        <v>91</v>
      </c>
      <c r="D6298" t="s">
        <v>745</v>
      </c>
      <c r="E6298" t="s">
        <v>769</v>
      </c>
      <c r="F6298">
        <v>4</v>
      </c>
      <c r="G6298" s="308">
        <f>COMEDORES!K97</f>
        <v>2850</v>
      </c>
      <c r="H6298" s="308">
        <f>COMEDORES!L97</f>
        <v>281622</v>
      </c>
    </row>
    <row r="6299" spans="1:8" x14ac:dyDescent="0.3">
      <c r="A6299" t="s">
        <v>628</v>
      </c>
      <c r="B6299" t="s">
        <v>86</v>
      </c>
      <c r="C6299" t="s">
        <v>91</v>
      </c>
      <c r="D6299" t="s">
        <v>745</v>
      </c>
      <c r="E6299" t="s">
        <v>770</v>
      </c>
      <c r="F6299">
        <v>5</v>
      </c>
      <c r="G6299" s="308">
        <f>COMEDORES!M97</f>
        <v>2850</v>
      </c>
      <c r="H6299" s="308">
        <f>COMEDORES!N97</f>
        <v>243219</v>
      </c>
    </row>
    <row r="6300" spans="1:8" x14ac:dyDescent="0.3">
      <c r="A6300" t="s">
        <v>628</v>
      </c>
      <c r="B6300" t="s">
        <v>86</v>
      </c>
      <c r="C6300" t="s">
        <v>91</v>
      </c>
      <c r="D6300" t="s">
        <v>745</v>
      </c>
      <c r="E6300" t="s">
        <v>771</v>
      </c>
      <c r="F6300">
        <v>6</v>
      </c>
      <c r="G6300" s="308">
        <f>COMEDORES!O97</f>
        <v>3150</v>
      </c>
      <c r="H6300" s="308">
        <f>COMEDORES!P97</f>
        <v>243219</v>
      </c>
    </row>
    <row r="6301" spans="1:8" x14ac:dyDescent="0.3">
      <c r="A6301" t="s">
        <v>628</v>
      </c>
      <c r="B6301" t="s">
        <v>86</v>
      </c>
      <c r="C6301" t="s">
        <v>91</v>
      </c>
      <c r="D6301" t="s">
        <v>745</v>
      </c>
      <c r="E6301" t="s">
        <v>772</v>
      </c>
      <c r="F6301">
        <v>7</v>
      </c>
      <c r="G6301" s="308">
        <f>COMEDORES!Q97</f>
        <v>3450</v>
      </c>
      <c r="H6301" s="308">
        <f>COMEDORES!R97</f>
        <v>268820.99999999977</v>
      </c>
    </row>
    <row r="6302" spans="1:8" x14ac:dyDescent="0.3">
      <c r="A6302" t="s">
        <v>628</v>
      </c>
      <c r="B6302" t="s">
        <v>86</v>
      </c>
      <c r="C6302" t="s">
        <v>91</v>
      </c>
      <c r="D6302" t="s">
        <v>746</v>
      </c>
      <c r="E6302" t="s">
        <v>766</v>
      </c>
      <c r="F6302">
        <v>1</v>
      </c>
      <c r="G6302" s="308">
        <f>COMEDORES!E98</f>
        <v>4500</v>
      </c>
      <c r="H6302" s="308">
        <f>COMEDORES!F98</f>
        <v>0</v>
      </c>
    </row>
    <row r="6303" spans="1:8" x14ac:dyDescent="0.3">
      <c r="A6303" t="s">
        <v>628</v>
      </c>
      <c r="B6303" t="s">
        <v>86</v>
      </c>
      <c r="C6303" t="s">
        <v>91</v>
      </c>
      <c r="D6303" t="s">
        <v>746</v>
      </c>
      <c r="E6303" t="s">
        <v>767</v>
      </c>
      <c r="F6303">
        <v>2</v>
      </c>
      <c r="G6303" s="308">
        <f>COMEDORES!G98</f>
        <v>5000</v>
      </c>
      <c r="H6303" s="308">
        <f>COMEDORES!H98</f>
        <v>0</v>
      </c>
    </row>
    <row r="6304" spans="1:8" x14ac:dyDescent="0.3">
      <c r="A6304" t="s">
        <v>628</v>
      </c>
      <c r="B6304" t="s">
        <v>86</v>
      </c>
      <c r="C6304" t="s">
        <v>91</v>
      </c>
      <c r="D6304" t="s">
        <v>746</v>
      </c>
      <c r="E6304" t="s">
        <v>768</v>
      </c>
      <c r="F6304">
        <v>3</v>
      </c>
      <c r="G6304" s="308">
        <f>COMEDORES!I98</f>
        <v>5500</v>
      </c>
      <c r="H6304" s="308">
        <f>COMEDORES!J98</f>
        <v>0</v>
      </c>
    </row>
    <row r="6305" spans="1:8" x14ac:dyDescent="0.3">
      <c r="A6305" t="s">
        <v>628</v>
      </c>
      <c r="B6305" t="s">
        <v>86</v>
      </c>
      <c r="C6305" t="s">
        <v>91</v>
      </c>
      <c r="D6305" t="s">
        <v>746</v>
      </c>
      <c r="E6305" t="s">
        <v>769</v>
      </c>
      <c r="F6305">
        <v>4</v>
      </c>
      <c r="G6305" s="308">
        <f>COMEDORES!K98</f>
        <v>4750</v>
      </c>
      <c r="H6305" s="308">
        <f>COMEDORES!L98</f>
        <v>0</v>
      </c>
    </row>
    <row r="6306" spans="1:8" x14ac:dyDescent="0.3">
      <c r="A6306" t="s">
        <v>628</v>
      </c>
      <c r="B6306" t="s">
        <v>86</v>
      </c>
      <c r="C6306" t="s">
        <v>91</v>
      </c>
      <c r="D6306" t="s">
        <v>746</v>
      </c>
      <c r="E6306" t="s">
        <v>770</v>
      </c>
      <c r="F6306">
        <v>5</v>
      </c>
      <c r="G6306" s="308">
        <f>COMEDORES!M98</f>
        <v>4750</v>
      </c>
      <c r="H6306" s="308">
        <f>COMEDORES!N98</f>
        <v>0</v>
      </c>
    </row>
    <row r="6307" spans="1:8" x14ac:dyDescent="0.3">
      <c r="A6307" t="s">
        <v>628</v>
      </c>
      <c r="B6307" t="s">
        <v>86</v>
      </c>
      <c r="C6307" t="s">
        <v>91</v>
      </c>
      <c r="D6307" t="s">
        <v>746</v>
      </c>
      <c r="E6307" t="s">
        <v>771</v>
      </c>
      <c r="F6307">
        <v>6</v>
      </c>
      <c r="G6307" s="308">
        <f>COMEDORES!O98</f>
        <v>5250</v>
      </c>
      <c r="H6307" s="308">
        <f>COMEDORES!P98</f>
        <v>0</v>
      </c>
    </row>
    <row r="6308" spans="1:8" x14ac:dyDescent="0.3">
      <c r="A6308" t="s">
        <v>628</v>
      </c>
      <c r="B6308" t="s">
        <v>86</v>
      </c>
      <c r="C6308" t="s">
        <v>91</v>
      </c>
      <c r="D6308" t="s">
        <v>746</v>
      </c>
      <c r="E6308" t="s">
        <v>772</v>
      </c>
      <c r="F6308">
        <v>7</v>
      </c>
      <c r="G6308" s="308">
        <f>COMEDORES!Q98</f>
        <v>5670</v>
      </c>
      <c r="H6308" s="308">
        <f>COMEDORES!R98</f>
        <v>0</v>
      </c>
    </row>
    <row r="6309" spans="1:8" x14ac:dyDescent="0.3">
      <c r="A6309" t="s">
        <v>628</v>
      </c>
      <c r="B6309" t="s">
        <v>86</v>
      </c>
      <c r="C6309" t="s">
        <v>92</v>
      </c>
      <c r="D6309" t="s">
        <v>745</v>
      </c>
      <c r="E6309" t="s">
        <v>766</v>
      </c>
      <c r="F6309">
        <v>1</v>
      </c>
      <c r="G6309" s="308">
        <f>COMEDORES!E99</f>
        <v>2550</v>
      </c>
      <c r="H6309" s="308">
        <f>COMEDORES!F99</f>
        <v>0</v>
      </c>
    </row>
    <row r="6310" spans="1:8" x14ac:dyDescent="0.3">
      <c r="A6310" t="s">
        <v>628</v>
      </c>
      <c r="B6310" t="s">
        <v>86</v>
      </c>
      <c r="C6310" t="s">
        <v>92</v>
      </c>
      <c r="D6310" t="s">
        <v>745</v>
      </c>
      <c r="E6310" t="s">
        <v>767</v>
      </c>
      <c r="F6310">
        <v>2</v>
      </c>
      <c r="G6310" s="308">
        <f>COMEDORES!G99</f>
        <v>2750</v>
      </c>
      <c r="H6310" s="308">
        <f>COMEDORES!H99</f>
        <v>0</v>
      </c>
    </row>
    <row r="6311" spans="1:8" x14ac:dyDescent="0.3">
      <c r="A6311" t="s">
        <v>628</v>
      </c>
      <c r="B6311" t="s">
        <v>86</v>
      </c>
      <c r="C6311" t="s">
        <v>92</v>
      </c>
      <c r="D6311" t="s">
        <v>745</v>
      </c>
      <c r="E6311" t="s">
        <v>768</v>
      </c>
      <c r="F6311">
        <v>3</v>
      </c>
      <c r="G6311" s="308">
        <f>COMEDORES!I99</f>
        <v>2200</v>
      </c>
      <c r="H6311" s="308">
        <f>COMEDORES!J99</f>
        <v>457827</v>
      </c>
    </row>
    <row r="6312" spans="1:8" x14ac:dyDescent="0.3">
      <c r="A6312" t="s">
        <v>628</v>
      </c>
      <c r="B6312" t="s">
        <v>86</v>
      </c>
      <c r="C6312" t="s">
        <v>92</v>
      </c>
      <c r="D6312" t="s">
        <v>745</v>
      </c>
      <c r="E6312" t="s">
        <v>769</v>
      </c>
      <c r="F6312">
        <v>4</v>
      </c>
      <c r="G6312" s="308">
        <f>COMEDORES!K99</f>
        <v>1900</v>
      </c>
      <c r="H6312" s="308">
        <f>COMEDORES!L99</f>
        <v>212058</v>
      </c>
    </row>
    <row r="6313" spans="1:8" x14ac:dyDescent="0.3">
      <c r="A6313" t="s">
        <v>628</v>
      </c>
      <c r="B6313" t="s">
        <v>86</v>
      </c>
      <c r="C6313" t="s">
        <v>92</v>
      </c>
      <c r="D6313" t="s">
        <v>745</v>
      </c>
      <c r="E6313" t="s">
        <v>770</v>
      </c>
      <c r="F6313">
        <v>5</v>
      </c>
      <c r="G6313" s="308">
        <f>COMEDORES!M99</f>
        <v>2000</v>
      </c>
      <c r="H6313" s="308">
        <f>COMEDORES!N99</f>
        <v>183141</v>
      </c>
    </row>
    <row r="6314" spans="1:8" x14ac:dyDescent="0.3">
      <c r="A6314" t="s">
        <v>628</v>
      </c>
      <c r="B6314" t="s">
        <v>86</v>
      </c>
      <c r="C6314" t="s">
        <v>92</v>
      </c>
      <c r="D6314" t="s">
        <v>745</v>
      </c>
      <c r="E6314" t="s">
        <v>771</v>
      </c>
      <c r="F6314">
        <v>6</v>
      </c>
      <c r="G6314" s="308">
        <f>COMEDORES!O99</f>
        <v>2100</v>
      </c>
      <c r="H6314" s="308">
        <f>COMEDORES!P99</f>
        <v>191884.94999999995</v>
      </c>
    </row>
    <row r="6315" spans="1:8" x14ac:dyDescent="0.3">
      <c r="A6315" t="s">
        <v>628</v>
      </c>
      <c r="B6315" t="s">
        <v>86</v>
      </c>
      <c r="C6315" t="s">
        <v>92</v>
      </c>
      <c r="D6315" t="s">
        <v>745</v>
      </c>
      <c r="E6315" t="s">
        <v>772</v>
      </c>
      <c r="F6315">
        <v>7</v>
      </c>
      <c r="G6315" s="308">
        <f>COMEDORES!Q99</f>
        <v>2300</v>
      </c>
      <c r="H6315" s="308">
        <f>COMEDORES!R99</f>
        <v>202419</v>
      </c>
    </row>
    <row r="6316" spans="1:8" x14ac:dyDescent="0.3">
      <c r="A6316" t="s">
        <v>628</v>
      </c>
      <c r="B6316" t="s">
        <v>86</v>
      </c>
      <c r="C6316" t="s">
        <v>92</v>
      </c>
      <c r="D6316" t="s">
        <v>746</v>
      </c>
      <c r="E6316" t="s">
        <v>766</v>
      </c>
      <c r="F6316">
        <v>1</v>
      </c>
      <c r="G6316" s="308">
        <f>COMEDORES!E100</f>
        <v>4500</v>
      </c>
      <c r="H6316" s="308">
        <f>COMEDORES!F100</f>
        <v>0</v>
      </c>
    </row>
    <row r="6317" spans="1:8" x14ac:dyDescent="0.3">
      <c r="A6317" t="s">
        <v>628</v>
      </c>
      <c r="B6317" t="s">
        <v>86</v>
      </c>
      <c r="C6317" t="s">
        <v>92</v>
      </c>
      <c r="D6317" t="s">
        <v>746</v>
      </c>
      <c r="E6317" t="s">
        <v>767</v>
      </c>
      <c r="F6317">
        <v>2</v>
      </c>
      <c r="G6317" s="308">
        <f>COMEDORES!G100</f>
        <v>4500</v>
      </c>
      <c r="H6317" s="308">
        <f>COMEDORES!H100</f>
        <v>0</v>
      </c>
    </row>
    <row r="6318" spans="1:8" x14ac:dyDescent="0.3">
      <c r="A6318" t="s">
        <v>628</v>
      </c>
      <c r="B6318" t="s">
        <v>86</v>
      </c>
      <c r="C6318" t="s">
        <v>92</v>
      </c>
      <c r="D6318" t="s">
        <v>746</v>
      </c>
      <c r="E6318" t="s">
        <v>768</v>
      </c>
      <c r="F6318">
        <v>3</v>
      </c>
      <c r="G6318" s="308">
        <f>COMEDORES!I100</f>
        <v>4400</v>
      </c>
      <c r="H6318" s="308">
        <f>COMEDORES!J100</f>
        <v>0</v>
      </c>
    </row>
    <row r="6319" spans="1:8" x14ac:dyDescent="0.3">
      <c r="A6319" t="s">
        <v>628</v>
      </c>
      <c r="B6319" t="s">
        <v>86</v>
      </c>
      <c r="C6319" t="s">
        <v>92</v>
      </c>
      <c r="D6319" t="s">
        <v>746</v>
      </c>
      <c r="E6319" t="s">
        <v>769</v>
      </c>
      <c r="F6319">
        <v>4</v>
      </c>
      <c r="G6319" s="308">
        <f>COMEDORES!K100</f>
        <v>3800</v>
      </c>
      <c r="H6319" s="308">
        <f>COMEDORES!L100</f>
        <v>0</v>
      </c>
    </row>
    <row r="6320" spans="1:8" x14ac:dyDescent="0.3">
      <c r="A6320" t="s">
        <v>628</v>
      </c>
      <c r="B6320" t="s">
        <v>86</v>
      </c>
      <c r="C6320" t="s">
        <v>92</v>
      </c>
      <c r="D6320" t="s">
        <v>746</v>
      </c>
      <c r="E6320" t="s">
        <v>770</v>
      </c>
      <c r="F6320">
        <v>5</v>
      </c>
      <c r="G6320" s="308">
        <f>COMEDORES!M100</f>
        <v>3973</v>
      </c>
      <c r="H6320" s="308">
        <f>COMEDORES!N100</f>
        <v>0</v>
      </c>
    </row>
    <row r="6321" spans="1:8" x14ac:dyDescent="0.3">
      <c r="A6321" t="s">
        <v>628</v>
      </c>
      <c r="B6321" t="s">
        <v>86</v>
      </c>
      <c r="C6321" t="s">
        <v>92</v>
      </c>
      <c r="D6321" t="s">
        <v>746</v>
      </c>
      <c r="E6321" t="s">
        <v>771</v>
      </c>
      <c r="F6321">
        <v>6</v>
      </c>
      <c r="G6321" s="308">
        <f>COMEDORES!O100</f>
        <v>4200</v>
      </c>
      <c r="H6321" s="308">
        <f>COMEDORES!P100</f>
        <v>0</v>
      </c>
    </row>
    <row r="6322" spans="1:8" x14ac:dyDescent="0.3">
      <c r="A6322" t="s">
        <v>628</v>
      </c>
      <c r="B6322" t="s">
        <v>86</v>
      </c>
      <c r="C6322" t="s">
        <v>92</v>
      </c>
      <c r="D6322" t="s">
        <v>746</v>
      </c>
      <c r="E6322" t="s">
        <v>772</v>
      </c>
      <c r="F6322">
        <v>7</v>
      </c>
      <c r="G6322" s="308">
        <f>COMEDORES!Q100</f>
        <v>4600</v>
      </c>
      <c r="H6322" s="308">
        <f>COMEDORES!R100</f>
        <v>0</v>
      </c>
    </row>
    <row r="6323" spans="1:8" x14ac:dyDescent="0.3">
      <c r="A6323" t="s">
        <v>628</v>
      </c>
      <c r="B6323" t="s">
        <v>86</v>
      </c>
      <c r="C6323" t="s">
        <v>93</v>
      </c>
      <c r="D6323" t="s">
        <v>745</v>
      </c>
      <c r="E6323" t="s">
        <v>766</v>
      </c>
      <c r="F6323">
        <v>1</v>
      </c>
      <c r="G6323" s="308">
        <f>COMEDORES!E101</f>
        <v>2550</v>
      </c>
      <c r="H6323" s="308">
        <f>COMEDORES!F101</f>
        <v>0</v>
      </c>
    </row>
    <row r="6324" spans="1:8" x14ac:dyDescent="0.3">
      <c r="A6324" t="s">
        <v>628</v>
      </c>
      <c r="B6324" t="s">
        <v>86</v>
      </c>
      <c r="C6324" t="s">
        <v>93</v>
      </c>
      <c r="D6324" t="s">
        <v>745</v>
      </c>
      <c r="E6324" t="s">
        <v>767</v>
      </c>
      <c r="F6324">
        <v>2</v>
      </c>
      <c r="G6324" s="308">
        <f>COMEDORES!G101</f>
        <v>2750</v>
      </c>
      <c r="H6324" s="308">
        <f>COMEDORES!H101</f>
        <v>0</v>
      </c>
    </row>
    <row r="6325" spans="1:8" x14ac:dyDescent="0.3">
      <c r="A6325" t="s">
        <v>628</v>
      </c>
      <c r="B6325" t="s">
        <v>86</v>
      </c>
      <c r="C6325" t="s">
        <v>93</v>
      </c>
      <c r="D6325" t="s">
        <v>745</v>
      </c>
      <c r="E6325" t="s">
        <v>768</v>
      </c>
      <c r="F6325">
        <v>3</v>
      </c>
      <c r="G6325" s="308">
        <f>COMEDORES!I101</f>
        <v>2200</v>
      </c>
      <c r="H6325" s="308">
        <f>COMEDORES!J101</f>
        <v>403129.5</v>
      </c>
    </row>
    <row r="6326" spans="1:8" x14ac:dyDescent="0.3">
      <c r="A6326" t="s">
        <v>628</v>
      </c>
      <c r="B6326" t="s">
        <v>86</v>
      </c>
      <c r="C6326" t="s">
        <v>93</v>
      </c>
      <c r="D6326" t="s">
        <v>745</v>
      </c>
      <c r="E6326" t="s">
        <v>769</v>
      </c>
      <c r="F6326">
        <v>4</v>
      </c>
      <c r="G6326" s="308">
        <f>COMEDORES!K101</f>
        <v>0</v>
      </c>
      <c r="H6326" s="308">
        <f>COMEDORES!L101</f>
        <v>103759.5</v>
      </c>
    </row>
    <row r="6327" spans="1:8" x14ac:dyDescent="0.3">
      <c r="A6327" t="s">
        <v>628</v>
      </c>
      <c r="B6327" t="s">
        <v>86</v>
      </c>
      <c r="C6327" t="s">
        <v>93</v>
      </c>
      <c r="D6327" t="s">
        <v>745</v>
      </c>
      <c r="E6327" t="s">
        <v>770</v>
      </c>
      <c r="F6327">
        <v>5</v>
      </c>
      <c r="G6327" s="308">
        <f>COMEDORES!M101</f>
        <v>0</v>
      </c>
      <c r="H6327" s="308">
        <f>COMEDORES!N101</f>
        <v>0</v>
      </c>
    </row>
    <row r="6328" spans="1:8" x14ac:dyDescent="0.3">
      <c r="A6328" t="s">
        <v>628</v>
      </c>
      <c r="B6328" t="s">
        <v>86</v>
      </c>
      <c r="C6328" t="s">
        <v>93</v>
      </c>
      <c r="D6328" t="s">
        <v>745</v>
      </c>
      <c r="E6328" t="s">
        <v>771</v>
      </c>
      <c r="F6328">
        <v>6</v>
      </c>
      <c r="G6328" s="308">
        <f>COMEDORES!O101</f>
        <v>0</v>
      </c>
      <c r="H6328" s="308">
        <f>COMEDORES!P101</f>
        <v>0</v>
      </c>
    </row>
    <row r="6329" spans="1:8" x14ac:dyDescent="0.3">
      <c r="A6329" t="s">
        <v>628</v>
      </c>
      <c r="B6329" t="s">
        <v>86</v>
      </c>
      <c r="C6329" t="s">
        <v>93</v>
      </c>
      <c r="D6329" t="s">
        <v>745</v>
      </c>
      <c r="E6329" t="s">
        <v>772</v>
      </c>
      <c r="F6329">
        <v>7</v>
      </c>
      <c r="G6329" s="308">
        <f>COMEDORES!Q101</f>
        <v>0</v>
      </c>
      <c r="H6329" s="308">
        <f>COMEDORES!R101</f>
        <v>0</v>
      </c>
    </row>
    <row r="6330" spans="1:8" x14ac:dyDescent="0.3">
      <c r="A6330" t="s">
        <v>628</v>
      </c>
      <c r="B6330" t="s">
        <v>86</v>
      </c>
      <c r="C6330" t="s">
        <v>93</v>
      </c>
      <c r="D6330" t="s">
        <v>746</v>
      </c>
      <c r="E6330" t="s">
        <v>766</v>
      </c>
      <c r="F6330">
        <v>1</v>
      </c>
      <c r="G6330" s="308">
        <f>COMEDORES!E102</f>
        <v>3600</v>
      </c>
      <c r="H6330" s="308">
        <f>COMEDORES!F102</f>
        <v>0</v>
      </c>
    </row>
    <row r="6331" spans="1:8" x14ac:dyDescent="0.3">
      <c r="A6331" t="s">
        <v>628</v>
      </c>
      <c r="B6331" t="s">
        <v>86</v>
      </c>
      <c r="C6331" t="s">
        <v>93</v>
      </c>
      <c r="D6331" t="s">
        <v>746</v>
      </c>
      <c r="E6331" t="s">
        <v>767</v>
      </c>
      <c r="F6331">
        <v>2</v>
      </c>
      <c r="G6331" s="308">
        <f>COMEDORES!G102</f>
        <v>3750</v>
      </c>
      <c r="H6331" s="308">
        <f>COMEDORES!H102</f>
        <v>0</v>
      </c>
    </row>
    <row r="6332" spans="1:8" x14ac:dyDescent="0.3">
      <c r="A6332" t="s">
        <v>628</v>
      </c>
      <c r="B6332" t="s">
        <v>86</v>
      </c>
      <c r="C6332" t="s">
        <v>93</v>
      </c>
      <c r="D6332" t="s">
        <v>746</v>
      </c>
      <c r="E6332" t="s">
        <v>768</v>
      </c>
      <c r="F6332">
        <v>3</v>
      </c>
      <c r="G6332" s="308">
        <f>COMEDORES!I102</f>
        <v>3300</v>
      </c>
      <c r="H6332" s="308">
        <f>COMEDORES!J102</f>
        <v>0</v>
      </c>
    </row>
    <row r="6333" spans="1:8" x14ac:dyDescent="0.3">
      <c r="A6333" t="s">
        <v>628</v>
      </c>
      <c r="B6333" t="s">
        <v>86</v>
      </c>
      <c r="C6333" t="s">
        <v>93</v>
      </c>
      <c r="D6333" t="s">
        <v>746</v>
      </c>
      <c r="E6333" t="s">
        <v>769</v>
      </c>
      <c r="F6333">
        <v>4</v>
      </c>
      <c r="G6333" s="308">
        <f>COMEDORES!K102</f>
        <v>0</v>
      </c>
      <c r="H6333" s="308">
        <f>COMEDORES!L102</f>
        <v>0</v>
      </c>
    </row>
    <row r="6334" spans="1:8" x14ac:dyDescent="0.3">
      <c r="A6334" t="s">
        <v>628</v>
      </c>
      <c r="B6334" t="s">
        <v>86</v>
      </c>
      <c r="C6334" t="s">
        <v>93</v>
      </c>
      <c r="D6334" t="s">
        <v>746</v>
      </c>
      <c r="E6334" t="s">
        <v>770</v>
      </c>
      <c r="F6334">
        <v>5</v>
      </c>
      <c r="G6334" s="308">
        <f>COMEDORES!M102</f>
        <v>0</v>
      </c>
      <c r="H6334" s="308">
        <f>COMEDORES!N102</f>
        <v>0</v>
      </c>
    </row>
    <row r="6335" spans="1:8" x14ac:dyDescent="0.3">
      <c r="A6335" t="s">
        <v>628</v>
      </c>
      <c r="B6335" t="s">
        <v>86</v>
      </c>
      <c r="C6335" t="s">
        <v>93</v>
      </c>
      <c r="D6335" t="s">
        <v>746</v>
      </c>
      <c r="E6335" t="s">
        <v>771</v>
      </c>
      <c r="F6335">
        <v>6</v>
      </c>
      <c r="G6335" s="308">
        <f>COMEDORES!O102</f>
        <v>0</v>
      </c>
      <c r="H6335" s="308">
        <f>COMEDORES!P102</f>
        <v>0</v>
      </c>
    </row>
    <row r="6336" spans="1:8" x14ac:dyDescent="0.3">
      <c r="A6336" t="s">
        <v>628</v>
      </c>
      <c r="B6336" t="s">
        <v>86</v>
      </c>
      <c r="C6336" t="s">
        <v>93</v>
      </c>
      <c r="D6336" t="s">
        <v>746</v>
      </c>
      <c r="E6336" t="s">
        <v>772</v>
      </c>
      <c r="F6336">
        <v>7</v>
      </c>
      <c r="G6336" s="308">
        <f>COMEDORES!Q102</f>
        <v>0</v>
      </c>
      <c r="H6336" s="308">
        <f>COMEDORES!R102</f>
        <v>0</v>
      </c>
    </row>
    <row r="6337" spans="1:8" x14ac:dyDescent="0.3">
      <c r="A6337" t="s">
        <v>628</v>
      </c>
      <c r="B6337" t="s">
        <v>86</v>
      </c>
      <c r="C6337" t="s">
        <v>95</v>
      </c>
      <c r="D6337" t="s">
        <v>745</v>
      </c>
      <c r="E6337" t="s">
        <v>766</v>
      </c>
      <c r="F6337">
        <v>1</v>
      </c>
      <c r="G6337" s="308">
        <f>COMEDORES!E103</f>
        <v>2125</v>
      </c>
      <c r="H6337" s="308">
        <f>COMEDORES!F103</f>
        <v>0</v>
      </c>
    </row>
    <row r="6338" spans="1:8" x14ac:dyDescent="0.3">
      <c r="A6338" t="s">
        <v>628</v>
      </c>
      <c r="B6338" t="s">
        <v>86</v>
      </c>
      <c r="C6338" t="s">
        <v>95</v>
      </c>
      <c r="D6338" t="s">
        <v>745</v>
      </c>
      <c r="E6338" t="s">
        <v>767</v>
      </c>
      <c r="F6338">
        <v>2</v>
      </c>
      <c r="G6338" s="308">
        <f>COMEDORES!G103</f>
        <v>2375</v>
      </c>
      <c r="H6338" s="308">
        <f>COMEDORES!H103</f>
        <v>0</v>
      </c>
    </row>
    <row r="6339" spans="1:8" x14ac:dyDescent="0.3">
      <c r="A6339" t="s">
        <v>628</v>
      </c>
      <c r="B6339" t="s">
        <v>86</v>
      </c>
      <c r="C6339" t="s">
        <v>95</v>
      </c>
      <c r="D6339" t="s">
        <v>745</v>
      </c>
      <c r="E6339" t="s">
        <v>768</v>
      </c>
      <c r="F6339">
        <v>3</v>
      </c>
      <c r="G6339" s="308">
        <f>COMEDORES!I103</f>
        <v>2200</v>
      </c>
      <c r="H6339" s="308">
        <f>COMEDORES!J103</f>
        <v>351708.75</v>
      </c>
    </row>
    <row r="6340" spans="1:8" x14ac:dyDescent="0.3">
      <c r="A6340" t="s">
        <v>628</v>
      </c>
      <c r="B6340" t="s">
        <v>86</v>
      </c>
      <c r="C6340" t="s">
        <v>95</v>
      </c>
      <c r="D6340" t="s">
        <v>745</v>
      </c>
      <c r="E6340" t="s">
        <v>769</v>
      </c>
      <c r="F6340">
        <v>4</v>
      </c>
      <c r="G6340" s="308">
        <f>COMEDORES!K103</f>
        <v>1900</v>
      </c>
      <c r="H6340" s="308">
        <f>COMEDORES!L103</f>
        <v>175593</v>
      </c>
    </row>
    <row r="6341" spans="1:8" x14ac:dyDescent="0.3">
      <c r="A6341" t="s">
        <v>628</v>
      </c>
      <c r="B6341" t="s">
        <v>86</v>
      </c>
      <c r="C6341" t="s">
        <v>95</v>
      </c>
      <c r="D6341" t="s">
        <v>745</v>
      </c>
      <c r="E6341" t="s">
        <v>770</v>
      </c>
      <c r="F6341">
        <v>5</v>
      </c>
      <c r="G6341" s="308">
        <f>COMEDORES!M103</f>
        <v>1900</v>
      </c>
      <c r="H6341" s="308">
        <f>COMEDORES!N103</f>
        <v>151648.5</v>
      </c>
    </row>
    <row r="6342" spans="1:8" x14ac:dyDescent="0.3">
      <c r="A6342" t="s">
        <v>628</v>
      </c>
      <c r="B6342" t="s">
        <v>86</v>
      </c>
      <c r="C6342" t="s">
        <v>95</v>
      </c>
      <c r="D6342" t="s">
        <v>745</v>
      </c>
      <c r="E6342" t="s">
        <v>771</v>
      </c>
      <c r="F6342">
        <v>6</v>
      </c>
      <c r="G6342" s="308">
        <f>COMEDORES!O103</f>
        <v>2100</v>
      </c>
      <c r="H6342" s="308">
        <f>COMEDORES!P103</f>
        <v>151648.5</v>
      </c>
    </row>
    <row r="6343" spans="1:8" x14ac:dyDescent="0.3">
      <c r="A6343" t="s">
        <v>628</v>
      </c>
      <c r="B6343" t="s">
        <v>86</v>
      </c>
      <c r="C6343" t="s">
        <v>95</v>
      </c>
      <c r="D6343" t="s">
        <v>745</v>
      </c>
      <c r="E6343" t="s">
        <v>772</v>
      </c>
      <c r="F6343">
        <v>7</v>
      </c>
      <c r="G6343" s="308">
        <f>COMEDORES!Q103</f>
        <v>2300</v>
      </c>
      <c r="H6343" s="308">
        <f>COMEDORES!R103</f>
        <v>167611.5</v>
      </c>
    </row>
    <row r="6344" spans="1:8" x14ac:dyDescent="0.3">
      <c r="A6344" t="s">
        <v>628</v>
      </c>
      <c r="B6344" t="s">
        <v>86</v>
      </c>
      <c r="C6344" t="s">
        <v>95</v>
      </c>
      <c r="D6344" t="s">
        <v>746</v>
      </c>
      <c r="E6344" t="s">
        <v>766</v>
      </c>
      <c r="F6344">
        <v>1</v>
      </c>
      <c r="G6344" s="308">
        <f>COMEDORES!E104</f>
        <v>3150</v>
      </c>
      <c r="H6344" s="308">
        <f>COMEDORES!F104</f>
        <v>0</v>
      </c>
    </row>
    <row r="6345" spans="1:8" x14ac:dyDescent="0.3">
      <c r="A6345" t="s">
        <v>628</v>
      </c>
      <c r="B6345" t="s">
        <v>86</v>
      </c>
      <c r="C6345" t="s">
        <v>95</v>
      </c>
      <c r="D6345" t="s">
        <v>746</v>
      </c>
      <c r="E6345" t="s">
        <v>767</v>
      </c>
      <c r="F6345">
        <v>2</v>
      </c>
      <c r="G6345" s="308">
        <f>COMEDORES!G104</f>
        <v>3375</v>
      </c>
      <c r="H6345" s="308">
        <f>COMEDORES!H104</f>
        <v>0</v>
      </c>
    </row>
    <row r="6346" spans="1:8" x14ac:dyDescent="0.3">
      <c r="A6346" t="s">
        <v>628</v>
      </c>
      <c r="B6346" t="s">
        <v>86</v>
      </c>
      <c r="C6346" t="s">
        <v>95</v>
      </c>
      <c r="D6346" t="s">
        <v>746</v>
      </c>
      <c r="E6346" t="s">
        <v>768</v>
      </c>
      <c r="F6346">
        <v>3</v>
      </c>
      <c r="G6346" s="308">
        <f>COMEDORES!I104</f>
        <v>3300</v>
      </c>
      <c r="H6346" s="308">
        <f>COMEDORES!J104</f>
        <v>0</v>
      </c>
    </row>
    <row r="6347" spans="1:8" x14ac:dyDescent="0.3">
      <c r="A6347" t="s">
        <v>628</v>
      </c>
      <c r="B6347" t="s">
        <v>86</v>
      </c>
      <c r="C6347" t="s">
        <v>95</v>
      </c>
      <c r="D6347" t="s">
        <v>746</v>
      </c>
      <c r="E6347" t="s">
        <v>769</v>
      </c>
      <c r="F6347">
        <v>4</v>
      </c>
      <c r="G6347" s="308">
        <f>COMEDORES!K104</f>
        <v>2850</v>
      </c>
      <c r="H6347" s="308">
        <f>COMEDORES!L104</f>
        <v>0</v>
      </c>
    </row>
    <row r="6348" spans="1:8" x14ac:dyDescent="0.3">
      <c r="A6348" t="s">
        <v>628</v>
      </c>
      <c r="B6348" t="s">
        <v>86</v>
      </c>
      <c r="C6348" t="s">
        <v>95</v>
      </c>
      <c r="D6348" t="s">
        <v>746</v>
      </c>
      <c r="E6348" t="s">
        <v>770</v>
      </c>
      <c r="F6348">
        <v>5</v>
      </c>
      <c r="G6348" s="308">
        <f>COMEDORES!M104</f>
        <v>2850</v>
      </c>
      <c r="H6348" s="308">
        <f>COMEDORES!N104</f>
        <v>0</v>
      </c>
    </row>
    <row r="6349" spans="1:8" x14ac:dyDescent="0.3">
      <c r="A6349" t="s">
        <v>628</v>
      </c>
      <c r="B6349" t="s">
        <v>86</v>
      </c>
      <c r="C6349" t="s">
        <v>95</v>
      </c>
      <c r="D6349" t="s">
        <v>746</v>
      </c>
      <c r="E6349" t="s">
        <v>771</v>
      </c>
      <c r="F6349">
        <v>6</v>
      </c>
      <c r="G6349" s="308">
        <f>COMEDORES!O104</f>
        <v>3150</v>
      </c>
      <c r="H6349" s="308">
        <f>COMEDORES!P104</f>
        <v>0</v>
      </c>
    </row>
    <row r="6350" spans="1:8" x14ac:dyDescent="0.3">
      <c r="A6350" t="s">
        <v>628</v>
      </c>
      <c r="B6350" t="s">
        <v>86</v>
      </c>
      <c r="C6350" t="s">
        <v>95</v>
      </c>
      <c r="D6350" t="s">
        <v>746</v>
      </c>
      <c r="E6350" t="s">
        <v>772</v>
      </c>
      <c r="F6350">
        <v>7</v>
      </c>
      <c r="G6350" s="308">
        <f>COMEDORES!Q104</f>
        <v>3400</v>
      </c>
      <c r="H6350" s="308">
        <f>COMEDORES!R104</f>
        <v>0</v>
      </c>
    </row>
    <row r="6351" spans="1:8" x14ac:dyDescent="0.3">
      <c r="A6351" t="s">
        <v>628</v>
      </c>
      <c r="B6351" t="s">
        <v>86</v>
      </c>
      <c r="C6351" t="s">
        <v>385</v>
      </c>
      <c r="D6351" t="s">
        <v>745</v>
      </c>
      <c r="E6351" t="s">
        <v>766</v>
      </c>
      <c r="F6351">
        <v>1</v>
      </c>
      <c r="G6351" s="308">
        <f>COMEDORES!E105</f>
        <v>3400</v>
      </c>
      <c r="H6351" s="308">
        <f>COMEDORES!F105</f>
        <v>0</v>
      </c>
    </row>
    <row r="6352" spans="1:8" x14ac:dyDescent="0.3">
      <c r="A6352" t="s">
        <v>628</v>
      </c>
      <c r="B6352" t="s">
        <v>86</v>
      </c>
      <c r="C6352" t="s">
        <v>385</v>
      </c>
      <c r="D6352" t="s">
        <v>745</v>
      </c>
      <c r="E6352" t="s">
        <v>767</v>
      </c>
      <c r="F6352">
        <v>2</v>
      </c>
      <c r="G6352" s="308">
        <f>COMEDORES!G105</f>
        <v>3875</v>
      </c>
      <c r="H6352" s="308">
        <f>COMEDORES!H105</f>
        <v>0</v>
      </c>
    </row>
    <row r="6353" spans="1:8" x14ac:dyDescent="0.3">
      <c r="A6353" t="s">
        <v>628</v>
      </c>
      <c r="B6353" t="s">
        <v>86</v>
      </c>
      <c r="C6353" t="s">
        <v>385</v>
      </c>
      <c r="D6353" t="s">
        <v>745</v>
      </c>
      <c r="E6353" t="s">
        <v>768</v>
      </c>
      <c r="F6353">
        <v>3</v>
      </c>
      <c r="G6353" s="308">
        <f>COMEDORES!I105</f>
        <v>3850</v>
      </c>
      <c r="H6353" s="308">
        <f>COMEDORES!J105</f>
        <v>529686</v>
      </c>
    </row>
    <row r="6354" spans="1:8" x14ac:dyDescent="0.3">
      <c r="A6354" t="s">
        <v>628</v>
      </c>
      <c r="B6354" t="s">
        <v>86</v>
      </c>
      <c r="C6354" t="s">
        <v>385</v>
      </c>
      <c r="D6354" t="s">
        <v>745</v>
      </c>
      <c r="E6354" t="s">
        <v>769</v>
      </c>
      <c r="F6354">
        <v>4</v>
      </c>
      <c r="G6354" s="308">
        <f>COMEDORES!K105</f>
        <v>3325</v>
      </c>
      <c r="H6354" s="308">
        <f>COMEDORES!L105</f>
        <v>279939</v>
      </c>
    </row>
    <row r="6355" spans="1:8" x14ac:dyDescent="0.3">
      <c r="A6355" t="s">
        <v>628</v>
      </c>
      <c r="B6355" t="s">
        <v>86</v>
      </c>
      <c r="C6355" t="s">
        <v>385</v>
      </c>
      <c r="D6355" t="s">
        <v>745</v>
      </c>
      <c r="E6355" t="s">
        <v>770</v>
      </c>
      <c r="F6355">
        <v>5</v>
      </c>
      <c r="G6355" s="308">
        <f>COMEDORES!M105</f>
        <v>3500</v>
      </c>
      <c r="H6355" s="308">
        <f>COMEDORES!N105</f>
        <v>241765.5</v>
      </c>
    </row>
    <row r="6356" spans="1:8" x14ac:dyDescent="0.3">
      <c r="A6356" t="s">
        <v>628</v>
      </c>
      <c r="B6356" t="s">
        <v>86</v>
      </c>
      <c r="C6356" t="s">
        <v>385</v>
      </c>
      <c r="D6356" t="s">
        <v>745</v>
      </c>
      <c r="E6356" t="s">
        <v>771</v>
      </c>
      <c r="F6356">
        <v>6</v>
      </c>
      <c r="G6356" s="308">
        <f>COMEDORES!O105</f>
        <v>3675</v>
      </c>
      <c r="H6356" s="308">
        <f>COMEDORES!P105</f>
        <v>254490</v>
      </c>
    </row>
    <row r="6357" spans="1:8" x14ac:dyDescent="0.3">
      <c r="A6357" t="s">
        <v>628</v>
      </c>
      <c r="B6357" t="s">
        <v>86</v>
      </c>
      <c r="C6357" t="s">
        <v>385</v>
      </c>
      <c r="D6357" t="s">
        <v>745</v>
      </c>
      <c r="E6357" t="s">
        <v>772</v>
      </c>
      <c r="F6357">
        <v>7</v>
      </c>
      <c r="G6357" s="308">
        <f>COMEDORES!Q105</f>
        <v>4025</v>
      </c>
      <c r="H6357" s="308">
        <f>COMEDORES!R105</f>
        <v>267214.5</v>
      </c>
    </row>
    <row r="6358" spans="1:8" x14ac:dyDescent="0.3">
      <c r="A6358" t="s">
        <v>628</v>
      </c>
      <c r="B6358" t="s">
        <v>86</v>
      </c>
      <c r="C6358" t="s">
        <v>385</v>
      </c>
      <c r="D6358" t="s">
        <v>746</v>
      </c>
      <c r="E6358" t="s">
        <v>766</v>
      </c>
      <c r="F6358">
        <v>1</v>
      </c>
      <c r="G6358" s="308">
        <f>COMEDORES!E106</f>
        <v>4500</v>
      </c>
      <c r="H6358" s="308">
        <f>COMEDORES!F106</f>
        <v>0</v>
      </c>
    </row>
    <row r="6359" spans="1:8" x14ac:dyDescent="0.3">
      <c r="A6359" t="s">
        <v>628</v>
      </c>
      <c r="B6359" t="s">
        <v>86</v>
      </c>
      <c r="C6359" t="s">
        <v>385</v>
      </c>
      <c r="D6359" t="s">
        <v>746</v>
      </c>
      <c r="E6359" t="s">
        <v>767</v>
      </c>
      <c r="F6359">
        <v>2</v>
      </c>
      <c r="G6359" s="308">
        <f>COMEDORES!G106</f>
        <v>4875</v>
      </c>
      <c r="H6359" s="308">
        <f>COMEDORES!H106</f>
        <v>0</v>
      </c>
    </row>
    <row r="6360" spans="1:8" x14ac:dyDescent="0.3">
      <c r="A6360" t="s">
        <v>628</v>
      </c>
      <c r="B6360" t="s">
        <v>86</v>
      </c>
      <c r="C6360" t="s">
        <v>385</v>
      </c>
      <c r="D6360" t="s">
        <v>746</v>
      </c>
      <c r="E6360" t="s">
        <v>768</v>
      </c>
      <c r="F6360">
        <v>3</v>
      </c>
      <c r="G6360" s="308">
        <f>COMEDORES!I106</f>
        <v>4950</v>
      </c>
      <c r="H6360" s="308">
        <f>COMEDORES!J106</f>
        <v>0</v>
      </c>
    </row>
    <row r="6361" spans="1:8" x14ac:dyDescent="0.3">
      <c r="A6361" t="s">
        <v>628</v>
      </c>
      <c r="B6361" t="s">
        <v>86</v>
      </c>
      <c r="C6361" t="s">
        <v>385</v>
      </c>
      <c r="D6361" t="s">
        <v>746</v>
      </c>
      <c r="E6361" t="s">
        <v>769</v>
      </c>
      <c r="F6361">
        <v>4</v>
      </c>
      <c r="G6361" s="308">
        <f>COMEDORES!K106</f>
        <v>4275</v>
      </c>
      <c r="H6361" s="308">
        <f>COMEDORES!L106</f>
        <v>0</v>
      </c>
    </row>
    <row r="6362" spans="1:8" x14ac:dyDescent="0.3">
      <c r="A6362" t="s">
        <v>628</v>
      </c>
      <c r="B6362" t="s">
        <v>86</v>
      </c>
      <c r="C6362" t="s">
        <v>385</v>
      </c>
      <c r="D6362" t="s">
        <v>746</v>
      </c>
      <c r="E6362" t="s">
        <v>770</v>
      </c>
      <c r="F6362">
        <v>5</v>
      </c>
      <c r="G6362" s="308">
        <f>COMEDORES!M106</f>
        <v>4500</v>
      </c>
      <c r="H6362" s="308">
        <f>COMEDORES!N106</f>
        <v>0</v>
      </c>
    </row>
    <row r="6363" spans="1:8" x14ac:dyDescent="0.3">
      <c r="A6363" t="s">
        <v>628</v>
      </c>
      <c r="B6363" t="s">
        <v>86</v>
      </c>
      <c r="C6363" t="s">
        <v>385</v>
      </c>
      <c r="D6363" t="s">
        <v>746</v>
      </c>
      <c r="E6363" t="s">
        <v>771</v>
      </c>
      <c r="F6363">
        <v>6</v>
      </c>
      <c r="G6363" s="308">
        <f>COMEDORES!O106</f>
        <v>4725</v>
      </c>
      <c r="H6363" s="308">
        <f>COMEDORES!P106</f>
        <v>0</v>
      </c>
    </row>
    <row r="6364" spans="1:8" x14ac:dyDescent="0.3">
      <c r="A6364" t="s">
        <v>628</v>
      </c>
      <c r="B6364" t="s">
        <v>86</v>
      </c>
      <c r="C6364" t="s">
        <v>385</v>
      </c>
      <c r="D6364" t="s">
        <v>746</v>
      </c>
      <c r="E6364" t="s">
        <v>772</v>
      </c>
      <c r="F6364">
        <v>7</v>
      </c>
      <c r="G6364" s="308">
        <f>COMEDORES!Q106</f>
        <v>5175</v>
      </c>
      <c r="H6364" s="308">
        <f>COMEDORES!R106</f>
        <v>0</v>
      </c>
    </row>
    <row r="6365" spans="1:8" x14ac:dyDescent="0.3">
      <c r="A6365" t="s">
        <v>628</v>
      </c>
      <c r="B6365" t="s">
        <v>86</v>
      </c>
      <c r="C6365" t="s">
        <v>386</v>
      </c>
      <c r="D6365" t="s">
        <v>745</v>
      </c>
      <c r="E6365" t="s">
        <v>766</v>
      </c>
      <c r="F6365">
        <v>1</v>
      </c>
      <c r="G6365" s="308">
        <f>COMEDORES!E107</f>
        <v>3400</v>
      </c>
      <c r="H6365" s="308">
        <f>COMEDORES!F107</f>
        <v>0</v>
      </c>
    </row>
    <row r="6366" spans="1:8" x14ac:dyDescent="0.3">
      <c r="A6366" t="s">
        <v>628</v>
      </c>
      <c r="B6366" t="s">
        <v>86</v>
      </c>
      <c r="C6366" t="s">
        <v>386</v>
      </c>
      <c r="D6366" t="s">
        <v>745</v>
      </c>
      <c r="E6366" t="s">
        <v>767</v>
      </c>
      <c r="F6366">
        <v>2</v>
      </c>
      <c r="G6366" s="308">
        <f>COMEDORES!G107</f>
        <v>4000</v>
      </c>
      <c r="H6366" s="308">
        <f>COMEDORES!H107</f>
        <v>0</v>
      </c>
    </row>
    <row r="6367" spans="1:8" x14ac:dyDescent="0.3">
      <c r="A6367" t="s">
        <v>628</v>
      </c>
      <c r="B6367" t="s">
        <v>86</v>
      </c>
      <c r="C6367" t="s">
        <v>386</v>
      </c>
      <c r="D6367" t="s">
        <v>745</v>
      </c>
      <c r="E6367" t="s">
        <v>768</v>
      </c>
      <c r="F6367">
        <v>3</v>
      </c>
      <c r="G6367" s="308">
        <f>COMEDORES!I107</f>
        <v>4400</v>
      </c>
      <c r="H6367" s="308">
        <f>COMEDORES!J107</f>
        <v>599372.4</v>
      </c>
    </row>
    <row r="6368" spans="1:8" x14ac:dyDescent="0.3">
      <c r="A6368" t="s">
        <v>628</v>
      </c>
      <c r="B6368" t="s">
        <v>86</v>
      </c>
      <c r="C6368" t="s">
        <v>386</v>
      </c>
      <c r="D6368" t="s">
        <v>745</v>
      </c>
      <c r="E6368" t="s">
        <v>769</v>
      </c>
      <c r="F6368">
        <v>4</v>
      </c>
      <c r="G6368" s="308">
        <f>COMEDORES!K107</f>
        <v>3800</v>
      </c>
      <c r="H6368" s="308">
        <f>COMEDORES!L107</f>
        <v>351095.73</v>
      </c>
    </row>
    <row r="6369" spans="1:8" x14ac:dyDescent="0.3">
      <c r="A6369" t="s">
        <v>628</v>
      </c>
      <c r="B6369" t="s">
        <v>86</v>
      </c>
      <c r="C6369" t="s">
        <v>386</v>
      </c>
      <c r="D6369" t="s">
        <v>745</v>
      </c>
      <c r="E6369" t="s">
        <v>770</v>
      </c>
      <c r="F6369">
        <v>5</v>
      </c>
      <c r="G6369" s="308">
        <f>COMEDORES!M107</f>
        <v>2500</v>
      </c>
      <c r="H6369" s="308">
        <f>COMEDORES!N107</f>
        <v>302335.65000000002</v>
      </c>
    </row>
    <row r="6370" spans="1:8" x14ac:dyDescent="0.3">
      <c r="A6370" t="s">
        <v>628</v>
      </c>
      <c r="B6370" t="s">
        <v>86</v>
      </c>
      <c r="C6370" t="s">
        <v>386</v>
      </c>
      <c r="D6370" t="s">
        <v>745</v>
      </c>
      <c r="E6370" t="s">
        <v>771</v>
      </c>
      <c r="F6370">
        <v>6</v>
      </c>
      <c r="G6370" s="308">
        <f>COMEDORES!O107</f>
        <v>2625</v>
      </c>
      <c r="H6370" s="308">
        <f>COMEDORES!P107</f>
        <v>232687.5</v>
      </c>
    </row>
    <row r="6371" spans="1:8" x14ac:dyDescent="0.3">
      <c r="A6371" t="s">
        <v>628</v>
      </c>
      <c r="B6371" t="s">
        <v>86</v>
      </c>
      <c r="C6371" t="s">
        <v>386</v>
      </c>
      <c r="D6371" t="s">
        <v>745</v>
      </c>
      <c r="E6371" t="s">
        <v>772</v>
      </c>
      <c r="F6371">
        <v>7</v>
      </c>
      <c r="G6371" s="308">
        <f>COMEDORES!Q107</f>
        <v>2875</v>
      </c>
      <c r="H6371" s="308">
        <f>COMEDORES!R107</f>
        <v>253023.75</v>
      </c>
    </row>
    <row r="6372" spans="1:8" x14ac:dyDescent="0.3">
      <c r="A6372" t="s">
        <v>628</v>
      </c>
      <c r="B6372" t="s">
        <v>86</v>
      </c>
      <c r="C6372" t="s">
        <v>386</v>
      </c>
      <c r="D6372" t="s">
        <v>746</v>
      </c>
      <c r="E6372" t="s">
        <v>766</v>
      </c>
      <c r="F6372">
        <v>1</v>
      </c>
      <c r="G6372" s="308">
        <f>COMEDORES!E108</f>
        <v>5304</v>
      </c>
      <c r="H6372" s="308">
        <f>COMEDORES!F108</f>
        <v>0</v>
      </c>
    </row>
    <row r="6373" spans="1:8" x14ac:dyDescent="0.3">
      <c r="A6373" t="s">
        <v>628</v>
      </c>
      <c r="B6373" t="s">
        <v>86</v>
      </c>
      <c r="C6373" t="s">
        <v>386</v>
      </c>
      <c r="D6373" t="s">
        <v>746</v>
      </c>
      <c r="E6373" t="s">
        <v>767</v>
      </c>
      <c r="F6373">
        <v>2</v>
      </c>
      <c r="G6373" s="308">
        <f>COMEDORES!G108</f>
        <v>6000</v>
      </c>
      <c r="H6373" s="308">
        <f>COMEDORES!H108</f>
        <v>0</v>
      </c>
    </row>
    <row r="6374" spans="1:8" x14ac:dyDescent="0.3">
      <c r="A6374" t="s">
        <v>628</v>
      </c>
      <c r="B6374" t="s">
        <v>86</v>
      </c>
      <c r="C6374" t="s">
        <v>386</v>
      </c>
      <c r="D6374" t="s">
        <v>746</v>
      </c>
      <c r="E6374" t="s">
        <v>768</v>
      </c>
      <c r="F6374">
        <v>3</v>
      </c>
      <c r="G6374" s="308">
        <f>COMEDORES!I108</f>
        <v>6600</v>
      </c>
      <c r="H6374" s="308">
        <f>COMEDORES!J108</f>
        <v>0</v>
      </c>
    </row>
    <row r="6375" spans="1:8" x14ac:dyDescent="0.3">
      <c r="A6375" t="s">
        <v>628</v>
      </c>
      <c r="B6375" t="s">
        <v>86</v>
      </c>
      <c r="C6375" t="s">
        <v>386</v>
      </c>
      <c r="D6375" t="s">
        <v>746</v>
      </c>
      <c r="E6375" t="s">
        <v>769</v>
      </c>
      <c r="F6375">
        <v>4</v>
      </c>
      <c r="G6375" s="308">
        <f>COMEDORES!K108</f>
        <v>5671</v>
      </c>
      <c r="H6375" s="308">
        <f>COMEDORES!L108</f>
        <v>0</v>
      </c>
    </row>
    <row r="6376" spans="1:8" x14ac:dyDescent="0.3">
      <c r="A6376" t="s">
        <v>628</v>
      </c>
      <c r="B6376" t="s">
        <v>86</v>
      </c>
      <c r="C6376" t="s">
        <v>386</v>
      </c>
      <c r="D6376" t="s">
        <v>746</v>
      </c>
      <c r="E6376" t="s">
        <v>770</v>
      </c>
      <c r="F6376">
        <v>5</v>
      </c>
      <c r="G6376" s="308">
        <f>COMEDORES!M108</f>
        <v>4750</v>
      </c>
      <c r="H6376" s="308">
        <f>COMEDORES!N108</f>
        <v>0</v>
      </c>
    </row>
    <row r="6377" spans="1:8" x14ac:dyDescent="0.3">
      <c r="A6377" t="s">
        <v>628</v>
      </c>
      <c r="B6377" t="s">
        <v>86</v>
      </c>
      <c r="C6377" t="s">
        <v>386</v>
      </c>
      <c r="D6377" t="s">
        <v>746</v>
      </c>
      <c r="E6377" t="s">
        <v>771</v>
      </c>
      <c r="F6377">
        <v>6</v>
      </c>
      <c r="G6377" s="308">
        <f>COMEDORES!O108</f>
        <v>5250</v>
      </c>
      <c r="H6377" s="308">
        <f>COMEDORES!P108</f>
        <v>0</v>
      </c>
    </row>
    <row r="6378" spans="1:8" x14ac:dyDescent="0.3">
      <c r="A6378" t="s">
        <v>628</v>
      </c>
      <c r="B6378" t="s">
        <v>86</v>
      </c>
      <c r="C6378" t="s">
        <v>386</v>
      </c>
      <c r="D6378" t="s">
        <v>746</v>
      </c>
      <c r="E6378" t="s">
        <v>772</v>
      </c>
      <c r="F6378">
        <v>7</v>
      </c>
      <c r="G6378" s="308">
        <f>COMEDORES!Q108</f>
        <v>5750</v>
      </c>
      <c r="H6378" s="308">
        <f>COMEDORES!R108</f>
        <v>0</v>
      </c>
    </row>
    <row r="6379" spans="1:8" x14ac:dyDescent="0.3">
      <c r="A6379" t="s">
        <v>628</v>
      </c>
      <c r="B6379" t="s">
        <v>86</v>
      </c>
      <c r="C6379" t="s">
        <v>98</v>
      </c>
      <c r="D6379" t="s">
        <v>745</v>
      </c>
      <c r="E6379" t="s">
        <v>766</v>
      </c>
      <c r="F6379">
        <v>1</v>
      </c>
      <c r="G6379" s="308">
        <f>COMEDORES!E109</f>
        <v>2550</v>
      </c>
      <c r="H6379" s="308">
        <f>COMEDORES!F109</f>
        <v>0</v>
      </c>
    </row>
    <row r="6380" spans="1:8" x14ac:dyDescent="0.3">
      <c r="A6380" t="s">
        <v>628</v>
      </c>
      <c r="B6380" t="s">
        <v>86</v>
      </c>
      <c r="C6380" t="s">
        <v>98</v>
      </c>
      <c r="D6380" t="s">
        <v>745</v>
      </c>
      <c r="E6380" t="s">
        <v>767</v>
      </c>
      <c r="F6380">
        <v>2</v>
      </c>
      <c r="G6380" s="308">
        <f>COMEDORES!G109</f>
        <v>3000</v>
      </c>
      <c r="H6380" s="308">
        <f>COMEDORES!H109</f>
        <v>0</v>
      </c>
    </row>
    <row r="6381" spans="1:8" x14ac:dyDescent="0.3">
      <c r="A6381" t="s">
        <v>628</v>
      </c>
      <c r="B6381" t="s">
        <v>86</v>
      </c>
      <c r="C6381" t="s">
        <v>98</v>
      </c>
      <c r="D6381" t="s">
        <v>745</v>
      </c>
      <c r="E6381" t="s">
        <v>768</v>
      </c>
      <c r="F6381">
        <v>3</v>
      </c>
      <c r="G6381" s="308">
        <f>COMEDORES!I109</f>
        <v>3300</v>
      </c>
      <c r="H6381" s="308">
        <f>COMEDORES!J109</f>
        <v>481924.5</v>
      </c>
    </row>
    <row r="6382" spans="1:8" x14ac:dyDescent="0.3">
      <c r="A6382" t="s">
        <v>628</v>
      </c>
      <c r="B6382" t="s">
        <v>86</v>
      </c>
      <c r="C6382" t="s">
        <v>98</v>
      </c>
      <c r="D6382" t="s">
        <v>745</v>
      </c>
      <c r="E6382" t="s">
        <v>769</v>
      </c>
      <c r="F6382">
        <v>4</v>
      </c>
      <c r="G6382" s="308">
        <f>COMEDORES!K109</f>
        <v>2850</v>
      </c>
      <c r="H6382" s="308">
        <f>COMEDORES!L109</f>
        <v>281622</v>
      </c>
    </row>
    <row r="6383" spans="1:8" x14ac:dyDescent="0.3">
      <c r="A6383" t="s">
        <v>628</v>
      </c>
      <c r="B6383" t="s">
        <v>86</v>
      </c>
      <c r="C6383" t="s">
        <v>98</v>
      </c>
      <c r="D6383" t="s">
        <v>745</v>
      </c>
      <c r="E6383" t="s">
        <v>770</v>
      </c>
      <c r="F6383">
        <v>5</v>
      </c>
      <c r="G6383" s="308">
        <f>COMEDORES!M109</f>
        <v>3000</v>
      </c>
      <c r="H6383" s="308">
        <f>COMEDORES!N109</f>
        <v>243219</v>
      </c>
    </row>
    <row r="6384" spans="1:8" x14ac:dyDescent="0.3">
      <c r="A6384" t="s">
        <v>628</v>
      </c>
      <c r="B6384" t="s">
        <v>86</v>
      </c>
      <c r="C6384" t="s">
        <v>98</v>
      </c>
      <c r="D6384" t="s">
        <v>745</v>
      </c>
      <c r="E6384" t="s">
        <v>771</v>
      </c>
      <c r="F6384">
        <v>6</v>
      </c>
      <c r="G6384" s="308">
        <f>COMEDORES!O109</f>
        <v>2875</v>
      </c>
      <c r="H6384" s="308">
        <f>COMEDORES!P109</f>
        <v>253865.25</v>
      </c>
    </row>
    <row r="6385" spans="1:8" x14ac:dyDescent="0.3">
      <c r="A6385" t="s">
        <v>628</v>
      </c>
      <c r="B6385" t="s">
        <v>86</v>
      </c>
      <c r="C6385" t="s">
        <v>98</v>
      </c>
      <c r="D6385" t="s">
        <v>745</v>
      </c>
      <c r="E6385" t="s">
        <v>772</v>
      </c>
      <c r="F6385">
        <v>7</v>
      </c>
      <c r="G6385" s="308">
        <f>COMEDORES!Q109</f>
        <v>2875</v>
      </c>
      <c r="H6385" s="308">
        <f>COMEDORES!R109</f>
        <v>251430</v>
      </c>
    </row>
    <row r="6386" spans="1:8" x14ac:dyDescent="0.3">
      <c r="A6386" t="s">
        <v>628</v>
      </c>
      <c r="B6386" t="s">
        <v>86</v>
      </c>
      <c r="C6386" t="s">
        <v>98</v>
      </c>
      <c r="D6386" t="s">
        <v>746</v>
      </c>
      <c r="E6386" t="s">
        <v>766</v>
      </c>
      <c r="F6386">
        <v>1</v>
      </c>
      <c r="G6386" s="308">
        <f>COMEDORES!E110</f>
        <v>4500</v>
      </c>
      <c r="H6386" s="308">
        <f>COMEDORES!F110</f>
        <v>0</v>
      </c>
    </row>
    <row r="6387" spans="1:8" x14ac:dyDescent="0.3">
      <c r="A6387" t="s">
        <v>628</v>
      </c>
      <c r="B6387" t="s">
        <v>86</v>
      </c>
      <c r="C6387" t="s">
        <v>98</v>
      </c>
      <c r="D6387" t="s">
        <v>746</v>
      </c>
      <c r="E6387" t="s">
        <v>767</v>
      </c>
      <c r="F6387">
        <v>2</v>
      </c>
      <c r="G6387" s="308">
        <f>COMEDORES!G110</f>
        <v>5000</v>
      </c>
      <c r="H6387" s="308">
        <f>COMEDORES!H110</f>
        <v>0</v>
      </c>
    </row>
    <row r="6388" spans="1:8" x14ac:dyDescent="0.3">
      <c r="A6388" t="s">
        <v>628</v>
      </c>
      <c r="B6388" t="s">
        <v>86</v>
      </c>
      <c r="C6388" t="s">
        <v>98</v>
      </c>
      <c r="D6388" t="s">
        <v>746</v>
      </c>
      <c r="E6388" t="s">
        <v>768</v>
      </c>
      <c r="F6388">
        <v>3</v>
      </c>
      <c r="G6388" s="308">
        <f>COMEDORES!I110</f>
        <v>5500</v>
      </c>
      <c r="H6388" s="308">
        <f>COMEDORES!J110</f>
        <v>0</v>
      </c>
    </row>
    <row r="6389" spans="1:8" x14ac:dyDescent="0.3">
      <c r="A6389" t="s">
        <v>628</v>
      </c>
      <c r="B6389" t="s">
        <v>86</v>
      </c>
      <c r="C6389" t="s">
        <v>98</v>
      </c>
      <c r="D6389" t="s">
        <v>746</v>
      </c>
      <c r="E6389" t="s">
        <v>769</v>
      </c>
      <c r="F6389">
        <v>4</v>
      </c>
      <c r="G6389" s="308">
        <f>COMEDORES!K110</f>
        <v>4750</v>
      </c>
      <c r="H6389" s="308">
        <f>COMEDORES!L110</f>
        <v>0</v>
      </c>
    </row>
    <row r="6390" spans="1:8" x14ac:dyDescent="0.3">
      <c r="A6390" t="s">
        <v>628</v>
      </c>
      <c r="B6390" t="s">
        <v>86</v>
      </c>
      <c r="C6390" t="s">
        <v>98</v>
      </c>
      <c r="D6390" t="s">
        <v>746</v>
      </c>
      <c r="E6390" t="s">
        <v>770</v>
      </c>
      <c r="F6390">
        <v>5</v>
      </c>
      <c r="G6390" s="308">
        <f>COMEDORES!M110</f>
        <v>4935</v>
      </c>
      <c r="H6390" s="308">
        <f>COMEDORES!N110</f>
        <v>0</v>
      </c>
    </row>
    <row r="6391" spans="1:8" x14ac:dyDescent="0.3">
      <c r="A6391" t="s">
        <v>628</v>
      </c>
      <c r="B6391" t="s">
        <v>86</v>
      </c>
      <c r="C6391" t="s">
        <v>98</v>
      </c>
      <c r="D6391" t="s">
        <v>746</v>
      </c>
      <c r="E6391" t="s">
        <v>771</v>
      </c>
      <c r="F6391">
        <v>6</v>
      </c>
      <c r="G6391" s="308">
        <f>COMEDORES!O110</f>
        <v>4975</v>
      </c>
      <c r="H6391" s="308">
        <f>COMEDORES!P110</f>
        <v>0</v>
      </c>
    </row>
    <row r="6392" spans="1:8" x14ac:dyDescent="0.3">
      <c r="A6392" t="s">
        <v>628</v>
      </c>
      <c r="B6392" t="s">
        <v>86</v>
      </c>
      <c r="C6392" t="s">
        <v>98</v>
      </c>
      <c r="D6392" t="s">
        <v>746</v>
      </c>
      <c r="E6392" t="s">
        <v>772</v>
      </c>
      <c r="F6392">
        <v>7</v>
      </c>
      <c r="G6392" s="308">
        <f>COMEDORES!Q110</f>
        <v>5175</v>
      </c>
      <c r="H6392" s="308">
        <f>COMEDORES!R110</f>
        <v>0</v>
      </c>
    </row>
    <row r="6393" spans="1:8" x14ac:dyDescent="0.3">
      <c r="A6393" t="s">
        <v>628</v>
      </c>
      <c r="B6393" t="s">
        <v>86</v>
      </c>
      <c r="C6393" t="s">
        <v>99</v>
      </c>
      <c r="D6393" t="s">
        <v>745</v>
      </c>
      <c r="E6393" t="s">
        <v>766</v>
      </c>
      <c r="F6393">
        <v>1</v>
      </c>
      <c r="G6393" s="308">
        <f>COMEDORES!E111</f>
        <v>1700</v>
      </c>
      <c r="H6393" s="308">
        <f>COMEDORES!F111</f>
        <v>0</v>
      </c>
    </row>
    <row r="6394" spans="1:8" x14ac:dyDescent="0.3">
      <c r="A6394" t="s">
        <v>628</v>
      </c>
      <c r="B6394" t="s">
        <v>86</v>
      </c>
      <c r="C6394" t="s">
        <v>99</v>
      </c>
      <c r="D6394" t="s">
        <v>745</v>
      </c>
      <c r="E6394" t="s">
        <v>767</v>
      </c>
      <c r="F6394">
        <v>2</v>
      </c>
      <c r="G6394" s="308">
        <f>COMEDORES!G111</f>
        <v>2000</v>
      </c>
      <c r="H6394" s="308">
        <f>COMEDORES!H111</f>
        <v>0</v>
      </c>
    </row>
    <row r="6395" spans="1:8" x14ac:dyDescent="0.3">
      <c r="A6395" t="s">
        <v>628</v>
      </c>
      <c r="B6395" t="s">
        <v>86</v>
      </c>
      <c r="C6395" t="s">
        <v>99</v>
      </c>
      <c r="D6395" t="s">
        <v>745</v>
      </c>
      <c r="E6395" t="s">
        <v>768</v>
      </c>
      <c r="F6395">
        <v>3</v>
      </c>
      <c r="G6395" s="308">
        <f>COMEDORES!I111</f>
        <v>2200</v>
      </c>
      <c r="H6395" s="308">
        <f>COMEDORES!J111</f>
        <v>409683</v>
      </c>
    </row>
    <row r="6396" spans="1:8" x14ac:dyDescent="0.3">
      <c r="A6396" t="s">
        <v>628</v>
      </c>
      <c r="B6396" t="s">
        <v>86</v>
      </c>
      <c r="C6396" t="s">
        <v>99</v>
      </c>
      <c r="D6396" t="s">
        <v>745</v>
      </c>
      <c r="E6396" t="s">
        <v>769</v>
      </c>
      <c r="F6396">
        <v>4</v>
      </c>
      <c r="G6396" s="308">
        <f>COMEDORES!K111</f>
        <v>1900</v>
      </c>
      <c r="H6396" s="308">
        <f>COMEDORES!L111</f>
        <v>212058</v>
      </c>
    </row>
    <row r="6397" spans="1:8" x14ac:dyDescent="0.3">
      <c r="A6397" t="s">
        <v>628</v>
      </c>
      <c r="B6397" t="s">
        <v>86</v>
      </c>
      <c r="C6397" t="s">
        <v>99</v>
      </c>
      <c r="D6397" t="s">
        <v>745</v>
      </c>
      <c r="E6397" t="s">
        <v>770</v>
      </c>
      <c r="F6397">
        <v>5</v>
      </c>
      <c r="G6397" s="308">
        <f>COMEDORES!M111</f>
        <v>1900</v>
      </c>
      <c r="H6397" s="308">
        <f>COMEDORES!N111</f>
        <v>183141</v>
      </c>
    </row>
    <row r="6398" spans="1:8" x14ac:dyDescent="0.3">
      <c r="A6398" t="s">
        <v>628</v>
      </c>
      <c r="B6398" t="s">
        <v>86</v>
      </c>
      <c r="C6398" t="s">
        <v>99</v>
      </c>
      <c r="D6398" t="s">
        <v>745</v>
      </c>
      <c r="E6398" t="s">
        <v>771</v>
      </c>
      <c r="F6398">
        <v>6</v>
      </c>
      <c r="G6398" s="308">
        <f>COMEDORES!O111</f>
        <v>2100</v>
      </c>
      <c r="H6398" s="308">
        <f>COMEDORES!P111</f>
        <v>189771</v>
      </c>
    </row>
    <row r="6399" spans="1:8" x14ac:dyDescent="0.3">
      <c r="A6399" t="s">
        <v>628</v>
      </c>
      <c r="B6399" t="s">
        <v>86</v>
      </c>
      <c r="C6399" t="s">
        <v>99</v>
      </c>
      <c r="D6399" t="s">
        <v>745</v>
      </c>
      <c r="E6399" t="s">
        <v>772</v>
      </c>
      <c r="F6399">
        <v>7</v>
      </c>
      <c r="G6399" s="308">
        <f>COMEDORES!Q111</f>
        <v>2287</v>
      </c>
      <c r="H6399" s="308">
        <f>COMEDORES!R111</f>
        <v>202419</v>
      </c>
    </row>
    <row r="6400" spans="1:8" x14ac:dyDescent="0.3">
      <c r="A6400" t="s">
        <v>628</v>
      </c>
      <c r="B6400" t="s">
        <v>86</v>
      </c>
      <c r="C6400" t="s">
        <v>99</v>
      </c>
      <c r="D6400" t="s">
        <v>746</v>
      </c>
      <c r="E6400" t="s">
        <v>766</v>
      </c>
      <c r="F6400">
        <v>1</v>
      </c>
      <c r="G6400" s="308">
        <f>COMEDORES!E112</f>
        <v>4500</v>
      </c>
      <c r="H6400" s="308">
        <f>COMEDORES!F112</f>
        <v>0</v>
      </c>
    </row>
    <row r="6401" spans="1:8" x14ac:dyDescent="0.3">
      <c r="A6401" t="s">
        <v>628</v>
      </c>
      <c r="B6401" t="s">
        <v>86</v>
      </c>
      <c r="C6401" t="s">
        <v>99</v>
      </c>
      <c r="D6401" t="s">
        <v>746</v>
      </c>
      <c r="E6401" t="s">
        <v>767</v>
      </c>
      <c r="F6401">
        <v>2</v>
      </c>
      <c r="G6401" s="308">
        <f>COMEDORES!G112</f>
        <v>4500</v>
      </c>
      <c r="H6401" s="308">
        <f>COMEDORES!H112</f>
        <v>0</v>
      </c>
    </row>
    <row r="6402" spans="1:8" x14ac:dyDescent="0.3">
      <c r="A6402" t="s">
        <v>628</v>
      </c>
      <c r="B6402" t="s">
        <v>86</v>
      </c>
      <c r="C6402" t="s">
        <v>99</v>
      </c>
      <c r="D6402" t="s">
        <v>746</v>
      </c>
      <c r="E6402" t="s">
        <v>768</v>
      </c>
      <c r="F6402">
        <v>3</v>
      </c>
      <c r="G6402" s="308">
        <f>COMEDORES!I112</f>
        <v>4400</v>
      </c>
      <c r="H6402" s="308">
        <f>COMEDORES!J112</f>
        <v>0</v>
      </c>
    </row>
    <row r="6403" spans="1:8" x14ac:dyDescent="0.3">
      <c r="A6403" t="s">
        <v>628</v>
      </c>
      <c r="B6403" t="s">
        <v>86</v>
      </c>
      <c r="C6403" t="s">
        <v>99</v>
      </c>
      <c r="D6403" t="s">
        <v>746</v>
      </c>
      <c r="E6403" t="s">
        <v>769</v>
      </c>
      <c r="F6403">
        <v>4</v>
      </c>
      <c r="G6403" s="308">
        <f>COMEDORES!K112</f>
        <v>3800</v>
      </c>
      <c r="H6403" s="308">
        <f>COMEDORES!L112</f>
        <v>0</v>
      </c>
    </row>
    <row r="6404" spans="1:8" x14ac:dyDescent="0.3">
      <c r="A6404" t="s">
        <v>628</v>
      </c>
      <c r="B6404" t="s">
        <v>86</v>
      </c>
      <c r="C6404" t="s">
        <v>99</v>
      </c>
      <c r="D6404" t="s">
        <v>746</v>
      </c>
      <c r="E6404" t="s">
        <v>770</v>
      </c>
      <c r="F6404">
        <v>5</v>
      </c>
      <c r="G6404" s="308">
        <f>COMEDORES!M112</f>
        <v>4000</v>
      </c>
      <c r="H6404" s="308">
        <f>COMEDORES!N112</f>
        <v>0</v>
      </c>
    </row>
    <row r="6405" spans="1:8" x14ac:dyDescent="0.3">
      <c r="A6405" t="s">
        <v>628</v>
      </c>
      <c r="B6405" t="s">
        <v>86</v>
      </c>
      <c r="C6405" t="s">
        <v>99</v>
      </c>
      <c r="D6405" t="s">
        <v>746</v>
      </c>
      <c r="E6405" t="s">
        <v>771</v>
      </c>
      <c r="F6405">
        <v>6</v>
      </c>
      <c r="G6405" s="308">
        <f>COMEDORES!O112</f>
        <v>4200</v>
      </c>
      <c r="H6405" s="308">
        <f>COMEDORES!P112</f>
        <v>0</v>
      </c>
    </row>
    <row r="6406" spans="1:8" x14ac:dyDescent="0.3">
      <c r="A6406" t="s">
        <v>628</v>
      </c>
      <c r="B6406" t="s">
        <v>86</v>
      </c>
      <c r="C6406" t="s">
        <v>99</v>
      </c>
      <c r="D6406" t="s">
        <v>746</v>
      </c>
      <c r="E6406" t="s">
        <v>772</v>
      </c>
      <c r="F6406">
        <v>7</v>
      </c>
      <c r="G6406" s="308">
        <f>COMEDORES!Q112</f>
        <v>4600</v>
      </c>
      <c r="H6406" s="308">
        <f>COMEDORES!R112</f>
        <v>0</v>
      </c>
    </row>
    <row r="6407" spans="1:8" x14ac:dyDescent="0.3">
      <c r="A6407" t="s">
        <v>628</v>
      </c>
      <c r="B6407" t="s">
        <v>100</v>
      </c>
      <c r="C6407" t="s">
        <v>647</v>
      </c>
      <c r="D6407" t="s">
        <v>745</v>
      </c>
      <c r="E6407" t="s">
        <v>766</v>
      </c>
      <c r="F6407">
        <v>1</v>
      </c>
      <c r="G6407" s="308">
        <f>COMEDORES!E113</f>
        <v>0</v>
      </c>
      <c r="H6407" s="308">
        <f>COMEDORES!F113</f>
        <v>0</v>
      </c>
    </row>
    <row r="6408" spans="1:8" x14ac:dyDescent="0.3">
      <c r="A6408" t="s">
        <v>628</v>
      </c>
      <c r="B6408" t="s">
        <v>100</v>
      </c>
      <c r="C6408" t="s">
        <v>647</v>
      </c>
      <c r="D6408" t="s">
        <v>745</v>
      </c>
      <c r="E6408" t="s">
        <v>767</v>
      </c>
      <c r="F6408">
        <v>2</v>
      </c>
      <c r="G6408" s="308">
        <f>COMEDORES!G113</f>
        <v>0</v>
      </c>
      <c r="H6408" s="308">
        <f>COMEDORES!H113</f>
        <v>0</v>
      </c>
    </row>
    <row r="6409" spans="1:8" x14ac:dyDescent="0.3">
      <c r="A6409" t="s">
        <v>628</v>
      </c>
      <c r="B6409" t="s">
        <v>100</v>
      </c>
      <c r="C6409" t="s">
        <v>647</v>
      </c>
      <c r="D6409" t="s">
        <v>745</v>
      </c>
      <c r="E6409" t="s">
        <v>768</v>
      </c>
      <c r="F6409">
        <v>3</v>
      </c>
      <c r="G6409" s="308">
        <f>COMEDORES!I113</f>
        <v>0</v>
      </c>
      <c r="H6409" s="308">
        <f>COMEDORES!J113</f>
        <v>0</v>
      </c>
    </row>
    <row r="6410" spans="1:8" x14ac:dyDescent="0.3">
      <c r="A6410" t="s">
        <v>628</v>
      </c>
      <c r="B6410" t="s">
        <v>100</v>
      </c>
      <c r="C6410" t="s">
        <v>647</v>
      </c>
      <c r="D6410" t="s">
        <v>745</v>
      </c>
      <c r="E6410" t="s">
        <v>769</v>
      </c>
      <c r="F6410">
        <v>4</v>
      </c>
      <c r="G6410" s="308">
        <f>COMEDORES!K113</f>
        <v>0</v>
      </c>
      <c r="H6410" s="308">
        <f>COMEDORES!L113</f>
        <v>0</v>
      </c>
    </row>
    <row r="6411" spans="1:8" x14ac:dyDescent="0.3">
      <c r="A6411" t="s">
        <v>628</v>
      </c>
      <c r="B6411" t="s">
        <v>100</v>
      </c>
      <c r="C6411" t="s">
        <v>647</v>
      </c>
      <c r="D6411" t="s">
        <v>745</v>
      </c>
      <c r="E6411" t="s">
        <v>770</v>
      </c>
      <c r="F6411">
        <v>5</v>
      </c>
      <c r="G6411" s="308">
        <f>COMEDORES!M113</f>
        <v>0</v>
      </c>
      <c r="H6411" s="308">
        <f>COMEDORES!N113</f>
        <v>0</v>
      </c>
    </row>
    <row r="6412" spans="1:8" x14ac:dyDescent="0.3">
      <c r="A6412" t="s">
        <v>628</v>
      </c>
      <c r="B6412" t="s">
        <v>100</v>
      </c>
      <c r="C6412" t="s">
        <v>647</v>
      </c>
      <c r="D6412" t="s">
        <v>745</v>
      </c>
      <c r="E6412" t="s">
        <v>771</v>
      </c>
      <c r="F6412">
        <v>6</v>
      </c>
      <c r="G6412" s="308">
        <f>COMEDORES!O113</f>
        <v>0</v>
      </c>
      <c r="H6412" s="308">
        <f>COMEDORES!P113</f>
        <v>0</v>
      </c>
    </row>
    <row r="6413" spans="1:8" x14ac:dyDescent="0.3">
      <c r="A6413" t="s">
        <v>628</v>
      </c>
      <c r="B6413" t="s">
        <v>100</v>
      </c>
      <c r="C6413" t="s">
        <v>647</v>
      </c>
      <c r="D6413" t="s">
        <v>745</v>
      </c>
      <c r="E6413" t="s">
        <v>772</v>
      </c>
      <c r="F6413">
        <v>7</v>
      </c>
      <c r="G6413" s="308">
        <f>COMEDORES!Q113</f>
        <v>600</v>
      </c>
      <c r="H6413" s="308">
        <f>COMEDORES!R113</f>
        <v>0</v>
      </c>
    </row>
    <row r="6414" spans="1:8" x14ac:dyDescent="0.3">
      <c r="A6414" t="s">
        <v>628</v>
      </c>
      <c r="B6414" t="s">
        <v>100</v>
      </c>
      <c r="C6414" t="s">
        <v>647</v>
      </c>
      <c r="D6414" t="s">
        <v>746</v>
      </c>
      <c r="E6414" t="s">
        <v>766</v>
      </c>
      <c r="F6414">
        <v>1</v>
      </c>
      <c r="G6414" s="308">
        <f>COMEDORES!E114</f>
        <v>0</v>
      </c>
      <c r="H6414" s="308">
        <f>COMEDORES!F114</f>
        <v>0</v>
      </c>
    </row>
    <row r="6415" spans="1:8" x14ac:dyDescent="0.3">
      <c r="A6415" t="s">
        <v>628</v>
      </c>
      <c r="B6415" t="s">
        <v>100</v>
      </c>
      <c r="C6415" t="s">
        <v>647</v>
      </c>
      <c r="D6415" t="s">
        <v>746</v>
      </c>
      <c r="E6415" t="s">
        <v>767</v>
      </c>
      <c r="F6415">
        <v>2</v>
      </c>
      <c r="G6415" s="308">
        <f>COMEDORES!G114</f>
        <v>0</v>
      </c>
      <c r="H6415" s="308">
        <f>COMEDORES!H114</f>
        <v>0</v>
      </c>
    </row>
    <row r="6416" spans="1:8" x14ac:dyDescent="0.3">
      <c r="A6416" t="s">
        <v>628</v>
      </c>
      <c r="B6416" t="s">
        <v>100</v>
      </c>
      <c r="C6416" t="s">
        <v>647</v>
      </c>
      <c r="D6416" t="s">
        <v>746</v>
      </c>
      <c r="E6416" t="s">
        <v>768</v>
      </c>
      <c r="F6416">
        <v>3</v>
      </c>
      <c r="G6416" s="308">
        <f>COMEDORES!I114</f>
        <v>0</v>
      </c>
      <c r="H6416" s="308">
        <f>COMEDORES!J114</f>
        <v>0</v>
      </c>
    </row>
    <row r="6417" spans="1:8" x14ac:dyDescent="0.3">
      <c r="A6417" t="s">
        <v>628</v>
      </c>
      <c r="B6417" t="s">
        <v>100</v>
      </c>
      <c r="C6417" t="s">
        <v>647</v>
      </c>
      <c r="D6417" t="s">
        <v>746</v>
      </c>
      <c r="E6417" t="s">
        <v>769</v>
      </c>
      <c r="F6417">
        <v>4</v>
      </c>
      <c r="G6417" s="308">
        <f>COMEDORES!K114</f>
        <v>0</v>
      </c>
      <c r="H6417" s="308">
        <f>COMEDORES!L114</f>
        <v>0</v>
      </c>
    </row>
    <row r="6418" spans="1:8" x14ac:dyDescent="0.3">
      <c r="A6418" t="s">
        <v>628</v>
      </c>
      <c r="B6418" t="s">
        <v>100</v>
      </c>
      <c r="C6418" t="s">
        <v>647</v>
      </c>
      <c r="D6418" t="s">
        <v>746</v>
      </c>
      <c r="E6418" t="s">
        <v>770</v>
      </c>
      <c r="F6418">
        <v>5</v>
      </c>
      <c r="G6418" s="308">
        <f>COMEDORES!M114</f>
        <v>0</v>
      </c>
      <c r="H6418" s="308">
        <f>COMEDORES!N114</f>
        <v>0</v>
      </c>
    </row>
    <row r="6419" spans="1:8" x14ac:dyDescent="0.3">
      <c r="A6419" t="s">
        <v>628</v>
      </c>
      <c r="B6419" t="s">
        <v>100</v>
      </c>
      <c r="C6419" t="s">
        <v>647</v>
      </c>
      <c r="D6419" t="s">
        <v>746</v>
      </c>
      <c r="E6419" t="s">
        <v>771</v>
      </c>
      <c r="F6419">
        <v>6</v>
      </c>
      <c r="G6419" s="308">
        <f>COMEDORES!O114</f>
        <v>0</v>
      </c>
      <c r="H6419" s="308">
        <f>COMEDORES!P114</f>
        <v>0</v>
      </c>
    </row>
    <row r="6420" spans="1:8" x14ac:dyDescent="0.3">
      <c r="A6420" t="s">
        <v>628</v>
      </c>
      <c r="B6420" t="s">
        <v>100</v>
      </c>
      <c r="C6420" t="s">
        <v>647</v>
      </c>
      <c r="D6420" t="s">
        <v>746</v>
      </c>
      <c r="E6420" t="s">
        <v>772</v>
      </c>
      <c r="F6420">
        <v>7</v>
      </c>
      <c r="G6420" s="308">
        <f>COMEDORES!Q114</f>
        <v>900</v>
      </c>
      <c r="H6420" s="308">
        <f>COMEDORES!R114</f>
        <v>0</v>
      </c>
    </row>
    <row r="6421" spans="1:8" x14ac:dyDescent="0.3">
      <c r="A6421" t="s">
        <v>628</v>
      </c>
      <c r="B6421" t="s">
        <v>100</v>
      </c>
      <c r="C6421" t="s">
        <v>387</v>
      </c>
      <c r="D6421" t="s">
        <v>745</v>
      </c>
      <c r="E6421" t="s">
        <v>766</v>
      </c>
      <c r="F6421">
        <v>1</v>
      </c>
      <c r="G6421" s="308">
        <f>COMEDORES!E115</f>
        <v>3420</v>
      </c>
      <c r="H6421" s="308">
        <f>COMEDORES!F115</f>
        <v>0</v>
      </c>
    </row>
    <row r="6422" spans="1:8" x14ac:dyDescent="0.3">
      <c r="A6422" t="s">
        <v>628</v>
      </c>
      <c r="B6422" t="s">
        <v>100</v>
      </c>
      <c r="C6422" t="s">
        <v>387</v>
      </c>
      <c r="D6422" t="s">
        <v>745</v>
      </c>
      <c r="E6422" t="s">
        <v>767</v>
      </c>
      <c r="F6422">
        <v>2</v>
      </c>
      <c r="G6422" s="308">
        <f>COMEDORES!G115</f>
        <v>3725</v>
      </c>
      <c r="H6422" s="308">
        <f>COMEDORES!H115</f>
        <v>233291.85</v>
      </c>
    </row>
    <row r="6423" spans="1:8" x14ac:dyDescent="0.3">
      <c r="A6423" t="s">
        <v>628</v>
      </c>
      <c r="B6423" t="s">
        <v>100</v>
      </c>
      <c r="C6423" t="s">
        <v>387</v>
      </c>
      <c r="D6423" t="s">
        <v>745</v>
      </c>
      <c r="E6423" t="s">
        <v>768</v>
      </c>
      <c r="F6423">
        <v>3</v>
      </c>
      <c r="G6423" s="308">
        <f>COMEDORES!I115</f>
        <v>3850</v>
      </c>
      <c r="H6423" s="308">
        <f>COMEDORES!J115</f>
        <v>145519.94999999998</v>
      </c>
    </row>
    <row r="6424" spans="1:8" x14ac:dyDescent="0.3">
      <c r="A6424" t="s">
        <v>628</v>
      </c>
      <c r="B6424" t="s">
        <v>100</v>
      </c>
      <c r="C6424" t="s">
        <v>387</v>
      </c>
      <c r="D6424" t="s">
        <v>745</v>
      </c>
      <c r="E6424" t="s">
        <v>769</v>
      </c>
      <c r="F6424">
        <v>4</v>
      </c>
      <c r="G6424" s="308">
        <f>COMEDORES!K115</f>
        <v>3500</v>
      </c>
      <c r="H6424" s="308">
        <f>COMEDORES!L115</f>
        <v>407380.00000000012</v>
      </c>
    </row>
    <row r="6425" spans="1:8" x14ac:dyDescent="0.3">
      <c r="A6425" t="s">
        <v>628</v>
      </c>
      <c r="B6425" t="s">
        <v>100</v>
      </c>
      <c r="C6425" t="s">
        <v>387</v>
      </c>
      <c r="D6425" t="s">
        <v>745</v>
      </c>
      <c r="E6425" t="s">
        <v>770</v>
      </c>
      <c r="F6425">
        <v>5</v>
      </c>
      <c r="G6425" s="308">
        <f>COMEDORES!M115</f>
        <v>3500</v>
      </c>
      <c r="H6425" s="308">
        <f>COMEDORES!N115</f>
        <v>314822.5</v>
      </c>
    </row>
    <row r="6426" spans="1:8" x14ac:dyDescent="0.3">
      <c r="A6426" t="s">
        <v>628</v>
      </c>
      <c r="B6426" t="s">
        <v>100</v>
      </c>
      <c r="C6426" t="s">
        <v>387</v>
      </c>
      <c r="D6426" t="s">
        <v>745</v>
      </c>
      <c r="E6426" t="s">
        <v>771</v>
      </c>
      <c r="F6426">
        <v>6</v>
      </c>
      <c r="G6426" s="308">
        <f>COMEDORES!O115</f>
        <v>3675</v>
      </c>
      <c r="H6426" s="308">
        <f>COMEDORES!P115</f>
        <v>314987.5</v>
      </c>
    </row>
    <row r="6427" spans="1:8" x14ac:dyDescent="0.3">
      <c r="A6427" t="s">
        <v>628</v>
      </c>
      <c r="B6427" t="s">
        <v>100</v>
      </c>
      <c r="C6427" t="s">
        <v>387</v>
      </c>
      <c r="D6427" t="s">
        <v>745</v>
      </c>
      <c r="E6427" t="s">
        <v>772</v>
      </c>
      <c r="F6427">
        <v>7</v>
      </c>
      <c r="G6427" s="308">
        <f>COMEDORES!Q115</f>
        <v>4025</v>
      </c>
      <c r="H6427" s="308">
        <f>COMEDORES!R115</f>
        <v>319042.49999999977</v>
      </c>
    </row>
    <row r="6428" spans="1:8" x14ac:dyDescent="0.3">
      <c r="A6428" t="s">
        <v>628</v>
      </c>
      <c r="B6428" t="s">
        <v>100</v>
      </c>
      <c r="C6428" t="s">
        <v>387</v>
      </c>
      <c r="D6428" t="s">
        <v>746</v>
      </c>
      <c r="E6428" t="s">
        <v>766</v>
      </c>
      <c r="F6428">
        <v>1</v>
      </c>
      <c r="G6428" s="308">
        <f>COMEDORES!E116</f>
        <v>6770</v>
      </c>
      <c r="H6428" s="308">
        <f>COMEDORES!F116</f>
        <v>0</v>
      </c>
    </row>
    <row r="6429" spans="1:8" x14ac:dyDescent="0.3">
      <c r="A6429" t="s">
        <v>628</v>
      </c>
      <c r="B6429" t="s">
        <v>100</v>
      </c>
      <c r="C6429" t="s">
        <v>387</v>
      </c>
      <c r="D6429" t="s">
        <v>746</v>
      </c>
      <c r="E6429" t="s">
        <v>767</v>
      </c>
      <c r="F6429">
        <v>2</v>
      </c>
      <c r="G6429" s="308">
        <f>COMEDORES!G116</f>
        <v>5615</v>
      </c>
      <c r="H6429" s="308">
        <f>COMEDORES!H116</f>
        <v>0</v>
      </c>
    </row>
    <row r="6430" spans="1:8" x14ac:dyDescent="0.3">
      <c r="A6430" t="s">
        <v>628</v>
      </c>
      <c r="B6430" t="s">
        <v>100</v>
      </c>
      <c r="C6430" t="s">
        <v>387</v>
      </c>
      <c r="D6430" t="s">
        <v>746</v>
      </c>
      <c r="E6430" t="s">
        <v>768</v>
      </c>
      <c r="F6430">
        <v>3</v>
      </c>
      <c r="G6430" s="308">
        <f>COMEDORES!I116</f>
        <v>8800</v>
      </c>
      <c r="H6430" s="308">
        <f>COMEDORES!J116</f>
        <v>0</v>
      </c>
    </row>
    <row r="6431" spans="1:8" x14ac:dyDescent="0.3">
      <c r="A6431" t="s">
        <v>628</v>
      </c>
      <c r="B6431" t="s">
        <v>100</v>
      </c>
      <c r="C6431" t="s">
        <v>387</v>
      </c>
      <c r="D6431" t="s">
        <v>746</v>
      </c>
      <c r="E6431" t="s">
        <v>769</v>
      </c>
      <c r="F6431">
        <v>4</v>
      </c>
      <c r="G6431" s="308">
        <f>COMEDORES!K116</f>
        <v>8139</v>
      </c>
      <c r="H6431" s="308">
        <f>COMEDORES!L116</f>
        <v>0</v>
      </c>
    </row>
    <row r="6432" spans="1:8" x14ac:dyDescent="0.3">
      <c r="A6432" t="s">
        <v>628</v>
      </c>
      <c r="B6432" t="s">
        <v>100</v>
      </c>
      <c r="C6432" t="s">
        <v>387</v>
      </c>
      <c r="D6432" t="s">
        <v>746</v>
      </c>
      <c r="E6432" t="s">
        <v>770</v>
      </c>
      <c r="F6432">
        <v>5</v>
      </c>
      <c r="G6432" s="308">
        <f>COMEDORES!M116</f>
        <v>8160</v>
      </c>
      <c r="H6432" s="308">
        <f>COMEDORES!N116</f>
        <v>0</v>
      </c>
    </row>
    <row r="6433" spans="1:8" x14ac:dyDescent="0.3">
      <c r="A6433" t="s">
        <v>628</v>
      </c>
      <c r="B6433" t="s">
        <v>100</v>
      </c>
      <c r="C6433" t="s">
        <v>387</v>
      </c>
      <c r="D6433" t="s">
        <v>746</v>
      </c>
      <c r="E6433" t="s">
        <v>771</v>
      </c>
      <c r="F6433">
        <v>6</v>
      </c>
      <c r="G6433" s="308">
        <f>COMEDORES!O116</f>
        <v>8127</v>
      </c>
      <c r="H6433" s="308">
        <f>COMEDORES!P116</f>
        <v>0</v>
      </c>
    </row>
    <row r="6434" spans="1:8" x14ac:dyDescent="0.3">
      <c r="A6434" t="s">
        <v>628</v>
      </c>
      <c r="B6434" t="s">
        <v>100</v>
      </c>
      <c r="C6434" t="s">
        <v>387</v>
      </c>
      <c r="D6434" t="s">
        <v>746</v>
      </c>
      <c r="E6434" t="s">
        <v>772</v>
      </c>
      <c r="F6434">
        <v>7</v>
      </c>
      <c r="G6434" s="308">
        <f>COMEDORES!Q116</f>
        <v>9496</v>
      </c>
      <c r="H6434" s="308">
        <f>COMEDORES!R116</f>
        <v>0</v>
      </c>
    </row>
    <row r="6435" spans="1:8" x14ac:dyDescent="0.3">
      <c r="A6435" t="s">
        <v>628</v>
      </c>
      <c r="B6435" t="s">
        <v>100</v>
      </c>
      <c r="C6435" t="s">
        <v>388</v>
      </c>
      <c r="D6435" t="s">
        <v>745</v>
      </c>
      <c r="E6435" t="s">
        <v>766</v>
      </c>
      <c r="F6435">
        <v>1</v>
      </c>
      <c r="G6435" s="308">
        <f>COMEDORES!E117</f>
        <v>255</v>
      </c>
      <c r="H6435" s="308">
        <f>COMEDORES!F117</f>
        <v>0</v>
      </c>
    </row>
    <row r="6436" spans="1:8" x14ac:dyDescent="0.3">
      <c r="A6436" t="s">
        <v>628</v>
      </c>
      <c r="B6436" t="s">
        <v>100</v>
      </c>
      <c r="C6436" t="s">
        <v>388</v>
      </c>
      <c r="D6436" t="s">
        <v>745</v>
      </c>
      <c r="E6436" t="s">
        <v>767</v>
      </c>
      <c r="F6436">
        <v>2</v>
      </c>
      <c r="G6436" s="308">
        <f>COMEDORES!G117</f>
        <v>300</v>
      </c>
      <c r="H6436" s="308">
        <f>COMEDORES!H117</f>
        <v>14188.5</v>
      </c>
    </row>
    <row r="6437" spans="1:8" x14ac:dyDescent="0.3">
      <c r="A6437" t="s">
        <v>628</v>
      </c>
      <c r="B6437" t="s">
        <v>100</v>
      </c>
      <c r="C6437" t="s">
        <v>388</v>
      </c>
      <c r="D6437" t="s">
        <v>745</v>
      </c>
      <c r="E6437" t="s">
        <v>768</v>
      </c>
      <c r="F6437">
        <v>3</v>
      </c>
      <c r="G6437" s="308">
        <f>COMEDORES!I117</f>
        <v>330</v>
      </c>
      <c r="H6437" s="308">
        <f>COMEDORES!J117</f>
        <v>9418.5</v>
      </c>
    </row>
    <row r="6438" spans="1:8" x14ac:dyDescent="0.3">
      <c r="A6438" t="s">
        <v>628</v>
      </c>
      <c r="B6438" t="s">
        <v>100</v>
      </c>
      <c r="C6438" t="s">
        <v>388</v>
      </c>
      <c r="D6438" t="s">
        <v>745</v>
      </c>
      <c r="E6438" t="s">
        <v>769</v>
      </c>
      <c r="F6438">
        <v>4</v>
      </c>
      <c r="G6438" s="308">
        <f>COMEDORES!K117</f>
        <v>285</v>
      </c>
      <c r="H6438" s="308">
        <f>COMEDORES!L117</f>
        <v>25380</v>
      </c>
    </row>
    <row r="6439" spans="1:8" x14ac:dyDescent="0.3">
      <c r="A6439" t="s">
        <v>628</v>
      </c>
      <c r="B6439" t="s">
        <v>100</v>
      </c>
      <c r="C6439" t="s">
        <v>388</v>
      </c>
      <c r="D6439" t="s">
        <v>745</v>
      </c>
      <c r="E6439" t="s">
        <v>770</v>
      </c>
      <c r="F6439">
        <v>5</v>
      </c>
      <c r="G6439" s="308">
        <f>COMEDORES!M117</f>
        <v>300</v>
      </c>
      <c r="H6439" s="308">
        <f>COMEDORES!N117</f>
        <v>17860</v>
      </c>
    </row>
    <row r="6440" spans="1:8" x14ac:dyDescent="0.3">
      <c r="A6440" t="s">
        <v>628</v>
      </c>
      <c r="B6440" t="s">
        <v>100</v>
      </c>
      <c r="C6440" t="s">
        <v>388</v>
      </c>
      <c r="D6440" t="s">
        <v>745</v>
      </c>
      <c r="E6440" t="s">
        <v>771</v>
      </c>
      <c r="F6440">
        <v>6</v>
      </c>
      <c r="G6440" s="308">
        <f>COMEDORES!O117</f>
        <v>300</v>
      </c>
      <c r="H6440" s="308">
        <f>COMEDORES!P117</f>
        <v>18800</v>
      </c>
    </row>
    <row r="6441" spans="1:8" x14ac:dyDescent="0.3">
      <c r="A6441" t="s">
        <v>628</v>
      </c>
      <c r="B6441" t="s">
        <v>100</v>
      </c>
      <c r="C6441" t="s">
        <v>388</v>
      </c>
      <c r="D6441" t="s">
        <v>745</v>
      </c>
      <c r="E6441" t="s">
        <v>772</v>
      </c>
      <c r="F6441">
        <v>7</v>
      </c>
      <c r="G6441" s="308">
        <f>COMEDORES!Q117</f>
        <v>345</v>
      </c>
      <c r="H6441" s="308">
        <f>COMEDORES!R117</f>
        <v>18800</v>
      </c>
    </row>
    <row r="6442" spans="1:8" x14ac:dyDescent="0.3">
      <c r="A6442" t="s">
        <v>628</v>
      </c>
      <c r="B6442" t="s">
        <v>100</v>
      </c>
      <c r="C6442" t="s">
        <v>388</v>
      </c>
      <c r="D6442" t="s">
        <v>746</v>
      </c>
      <c r="E6442" t="s">
        <v>766</v>
      </c>
      <c r="F6442">
        <v>1</v>
      </c>
      <c r="G6442" s="308">
        <f>COMEDORES!E118</f>
        <v>360</v>
      </c>
      <c r="H6442" s="308">
        <f>COMEDORES!F118</f>
        <v>0</v>
      </c>
    </row>
    <row r="6443" spans="1:8" x14ac:dyDescent="0.3">
      <c r="A6443" t="s">
        <v>628</v>
      </c>
      <c r="B6443" t="s">
        <v>100</v>
      </c>
      <c r="C6443" t="s">
        <v>388</v>
      </c>
      <c r="D6443" t="s">
        <v>746</v>
      </c>
      <c r="E6443" t="s">
        <v>767</v>
      </c>
      <c r="F6443">
        <v>2</v>
      </c>
      <c r="G6443" s="308">
        <f>COMEDORES!G118</f>
        <v>400</v>
      </c>
      <c r="H6443" s="308">
        <f>COMEDORES!H118</f>
        <v>0</v>
      </c>
    </row>
    <row r="6444" spans="1:8" x14ac:dyDescent="0.3">
      <c r="A6444" t="s">
        <v>628</v>
      </c>
      <c r="B6444" t="s">
        <v>100</v>
      </c>
      <c r="C6444" t="s">
        <v>388</v>
      </c>
      <c r="D6444" t="s">
        <v>746</v>
      </c>
      <c r="E6444" t="s">
        <v>768</v>
      </c>
      <c r="F6444">
        <v>3</v>
      </c>
      <c r="G6444" s="308">
        <f>COMEDORES!I118</f>
        <v>440</v>
      </c>
      <c r="H6444" s="308">
        <f>COMEDORES!J118</f>
        <v>0</v>
      </c>
    </row>
    <row r="6445" spans="1:8" x14ac:dyDescent="0.3">
      <c r="A6445" t="s">
        <v>628</v>
      </c>
      <c r="B6445" t="s">
        <v>100</v>
      </c>
      <c r="C6445" t="s">
        <v>388</v>
      </c>
      <c r="D6445" t="s">
        <v>746</v>
      </c>
      <c r="E6445" t="s">
        <v>769</v>
      </c>
      <c r="F6445">
        <v>4</v>
      </c>
      <c r="G6445" s="308">
        <f>COMEDORES!K118</f>
        <v>380</v>
      </c>
      <c r="H6445" s="308">
        <f>COMEDORES!L118</f>
        <v>0</v>
      </c>
    </row>
    <row r="6446" spans="1:8" x14ac:dyDescent="0.3">
      <c r="A6446" t="s">
        <v>628</v>
      </c>
      <c r="B6446" t="s">
        <v>100</v>
      </c>
      <c r="C6446" t="s">
        <v>388</v>
      </c>
      <c r="D6446" t="s">
        <v>746</v>
      </c>
      <c r="E6446" t="s">
        <v>770</v>
      </c>
      <c r="F6446">
        <v>5</v>
      </c>
      <c r="G6446" s="308">
        <f>COMEDORES!M118</f>
        <v>400</v>
      </c>
      <c r="H6446" s="308">
        <f>COMEDORES!N118</f>
        <v>0</v>
      </c>
    </row>
    <row r="6447" spans="1:8" x14ac:dyDescent="0.3">
      <c r="A6447" t="s">
        <v>628</v>
      </c>
      <c r="B6447" t="s">
        <v>100</v>
      </c>
      <c r="C6447" t="s">
        <v>388</v>
      </c>
      <c r="D6447" t="s">
        <v>746</v>
      </c>
      <c r="E6447" t="s">
        <v>771</v>
      </c>
      <c r="F6447">
        <v>6</v>
      </c>
      <c r="G6447" s="308">
        <f>COMEDORES!O118</f>
        <v>400</v>
      </c>
      <c r="H6447" s="308">
        <f>COMEDORES!P118</f>
        <v>0</v>
      </c>
    </row>
    <row r="6448" spans="1:8" x14ac:dyDescent="0.3">
      <c r="A6448" t="s">
        <v>628</v>
      </c>
      <c r="B6448" t="s">
        <v>100</v>
      </c>
      <c r="C6448" t="s">
        <v>388</v>
      </c>
      <c r="D6448" t="s">
        <v>746</v>
      </c>
      <c r="E6448" t="s">
        <v>772</v>
      </c>
      <c r="F6448">
        <v>7</v>
      </c>
      <c r="G6448" s="308">
        <f>COMEDORES!Q118</f>
        <v>460</v>
      </c>
      <c r="H6448" s="308">
        <f>COMEDORES!R118</f>
        <v>0</v>
      </c>
    </row>
    <row r="6449" spans="1:8" x14ac:dyDescent="0.3">
      <c r="A6449" t="s">
        <v>628</v>
      </c>
      <c r="B6449" t="s">
        <v>100</v>
      </c>
      <c r="C6449" t="s">
        <v>389</v>
      </c>
      <c r="D6449" t="s">
        <v>745</v>
      </c>
      <c r="E6449" t="s">
        <v>766</v>
      </c>
      <c r="F6449">
        <v>1</v>
      </c>
      <c r="G6449" s="308">
        <f>COMEDORES!E119</f>
        <v>510</v>
      </c>
      <c r="H6449" s="308">
        <f>COMEDORES!F119</f>
        <v>0</v>
      </c>
    </row>
    <row r="6450" spans="1:8" x14ac:dyDescent="0.3">
      <c r="A6450" t="s">
        <v>628</v>
      </c>
      <c r="B6450" t="s">
        <v>100</v>
      </c>
      <c r="C6450" t="s">
        <v>389</v>
      </c>
      <c r="D6450" t="s">
        <v>745</v>
      </c>
      <c r="E6450" t="s">
        <v>767</v>
      </c>
      <c r="F6450">
        <v>2</v>
      </c>
      <c r="G6450" s="308">
        <f>COMEDORES!G119</f>
        <v>600</v>
      </c>
      <c r="H6450" s="308">
        <f>COMEDORES!H119</f>
        <v>24147</v>
      </c>
    </row>
    <row r="6451" spans="1:8" x14ac:dyDescent="0.3">
      <c r="A6451" t="s">
        <v>628</v>
      </c>
      <c r="B6451" t="s">
        <v>100</v>
      </c>
      <c r="C6451" t="s">
        <v>389</v>
      </c>
      <c r="D6451" t="s">
        <v>745</v>
      </c>
      <c r="E6451" t="s">
        <v>768</v>
      </c>
      <c r="F6451">
        <v>3</v>
      </c>
      <c r="G6451" s="308">
        <f>COMEDORES!I119</f>
        <v>660</v>
      </c>
      <c r="H6451" s="308">
        <f>COMEDORES!J119</f>
        <v>16087.5</v>
      </c>
    </row>
    <row r="6452" spans="1:8" x14ac:dyDescent="0.3">
      <c r="A6452" t="s">
        <v>628</v>
      </c>
      <c r="B6452" t="s">
        <v>100</v>
      </c>
      <c r="C6452" t="s">
        <v>389</v>
      </c>
      <c r="D6452" t="s">
        <v>745</v>
      </c>
      <c r="E6452" t="s">
        <v>769</v>
      </c>
      <c r="F6452">
        <v>4</v>
      </c>
      <c r="G6452" s="308">
        <f>COMEDORES!K119</f>
        <v>570</v>
      </c>
      <c r="H6452" s="308">
        <f>COMEDORES!L119</f>
        <v>43335</v>
      </c>
    </row>
    <row r="6453" spans="1:8" x14ac:dyDescent="0.3">
      <c r="A6453" t="s">
        <v>628</v>
      </c>
      <c r="B6453" t="s">
        <v>100</v>
      </c>
      <c r="C6453" t="s">
        <v>389</v>
      </c>
      <c r="D6453" t="s">
        <v>745</v>
      </c>
      <c r="E6453" t="s">
        <v>770</v>
      </c>
      <c r="F6453">
        <v>5</v>
      </c>
      <c r="G6453" s="308">
        <f>COMEDORES!M119</f>
        <v>600</v>
      </c>
      <c r="H6453" s="308">
        <f>COMEDORES!N119</f>
        <v>30495</v>
      </c>
    </row>
    <row r="6454" spans="1:8" x14ac:dyDescent="0.3">
      <c r="A6454" t="s">
        <v>628</v>
      </c>
      <c r="B6454" t="s">
        <v>100</v>
      </c>
      <c r="C6454" t="s">
        <v>389</v>
      </c>
      <c r="D6454" t="s">
        <v>745</v>
      </c>
      <c r="E6454" t="s">
        <v>771</v>
      </c>
      <c r="F6454">
        <v>6</v>
      </c>
      <c r="G6454" s="308">
        <f>COMEDORES!O119</f>
        <v>600</v>
      </c>
      <c r="H6454" s="308">
        <f>COMEDORES!P119</f>
        <v>32100</v>
      </c>
    </row>
    <row r="6455" spans="1:8" x14ac:dyDescent="0.3">
      <c r="A6455" t="s">
        <v>628</v>
      </c>
      <c r="B6455" t="s">
        <v>100</v>
      </c>
      <c r="C6455" t="s">
        <v>389</v>
      </c>
      <c r="D6455" t="s">
        <v>745</v>
      </c>
      <c r="E6455" t="s">
        <v>772</v>
      </c>
      <c r="F6455">
        <v>7</v>
      </c>
      <c r="G6455" s="308">
        <f>COMEDORES!Q119</f>
        <v>690</v>
      </c>
      <c r="H6455" s="308">
        <f>COMEDORES!R119</f>
        <v>32100</v>
      </c>
    </row>
    <row r="6456" spans="1:8" x14ac:dyDescent="0.3">
      <c r="A6456" t="s">
        <v>628</v>
      </c>
      <c r="B6456" t="s">
        <v>100</v>
      </c>
      <c r="C6456" t="s">
        <v>389</v>
      </c>
      <c r="D6456" t="s">
        <v>746</v>
      </c>
      <c r="E6456" t="s">
        <v>766</v>
      </c>
      <c r="F6456">
        <v>1</v>
      </c>
      <c r="G6456" s="308">
        <f>COMEDORES!E120</f>
        <v>540</v>
      </c>
      <c r="H6456" s="308">
        <f>COMEDORES!F120</f>
        <v>0</v>
      </c>
    </row>
    <row r="6457" spans="1:8" x14ac:dyDescent="0.3">
      <c r="A6457" t="s">
        <v>628</v>
      </c>
      <c r="B6457" t="s">
        <v>100</v>
      </c>
      <c r="C6457" t="s">
        <v>389</v>
      </c>
      <c r="D6457" t="s">
        <v>746</v>
      </c>
      <c r="E6457" t="s">
        <v>767</v>
      </c>
      <c r="F6457">
        <v>2</v>
      </c>
      <c r="G6457" s="308">
        <f>COMEDORES!G120</f>
        <v>600</v>
      </c>
      <c r="H6457" s="308">
        <f>COMEDORES!H120</f>
        <v>0</v>
      </c>
    </row>
    <row r="6458" spans="1:8" x14ac:dyDescent="0.3">
      <c r="A6458" t="s">
        <v>628</v>
      </c>
      <c r="B6458" t="s">
        <v>100</v>
      </c>
      <c r="C6458" t="s">
        <v>389</v>
      </c>
      <c r="D6458" t="s">
        <v>746</v>
      </c>
      <c r="E6458" t="s">
        <v>768</v>
      </c>
      <c r="F6458">
        <v>3</v>
      </c>
      <c r="G6458" s="308">
        <f>COMEDORES!I120</f>
        <v>660</v>
      </c>
      <c r="H6458" s="308">
        <f>COMEDORES!J120</f>
        <v>0</v>
      </c>
    </row>
    <row r="6459" spans="1:8" x14ac:dyDescent="0.3">
      <c r="A6459" t="s">
        <v>628</v>
      </c>
      <c r="B6459" t="s">
        <v>100</v>
      </c>
      <c r="C6459" t="s">
        <v>389</v>
      </c>
      <c r="D6459" t="s">
        <v>746</v>
      </c>
      <c r="E6459" t="s">
        <v>769</v>
      </c>
      <c r="F6459">
        <v>4</v>
      </c>
      <c r="G6459" s="308">
        <f>COMEDORES!K120</f>
        <v>570</v>
      </c>
      <c r="H6459" s="308">
        <f>COMEDORES!L120</f>
        <v>0</v>
      </c>
    </row>
    <row r="6460" spans="1:8" x14ac:dyDescent="0.3">
      <c r="A6460" t="s">
        <v>628</v>
      </c>
      <c r="B6460" t="s">
        <v>100</v>
      </c>
      <c r="C6460" t="s">
        <v>389</v>
      </c>
      <c r="D6460" t="s">
        <v>746</v>
      </c>
      <c r="E6460" t="s">
        <v>770</v>
      </c>
      <c r="F6460">
        <v>5</v>
      </c>
      <c r="G6460" s="308">
        <f>COMEDORES!M120</f>
        <v>600</v>
      </c>
      <c r="H6460" s="308">
        <f>COMEDORES!N120</f>
        <v>0</v>
      </c>
    </row>
    <row r="6461" spans="1:8" x14ac:dyDescent="0.3">
      <c r="A6461" t="s">
        <v>628</v>
      </c>
      <c r="B6461" t="s">
        <v>100</v>
      </c>
      <c r="C6461" t="s">
        <v>389</v>
      </c>
      <c r="D6461" t="s">
        <v>746</v>
      </c>
      <c r="E6461" t="s">
        <v>771</v>
      </c>
      <c r="F6461">
        <v>6</v>
      </c>
      <c r="G6461" s="308">
        <f>COMEDORES!O120</f>
        <v>600</v>
      </c>
      <c r="H6461" s="308">
        <f>COMEDORES!P120</f>
        <v>0</v>
      </c>
    </row>
    <row r="6462" spans="1:8" x14ac:dyDescent="0.3">
      <c r="A6462" t="s">
        <v>628</v>
      </c>
      <c r="B6462" t="s">
        <v>100</v>
      </c>
      <c r="C6462" t="s">
        <v>389</v>
      </c>
      <c r="D6462" t="s">
        <v>746</v>
      </c>
      <c r="E6462" t="s">
        <v>772</v>
      </c>
      <c r="F6462">
        <v>7</v>
      </c>
      <c r="G6462" s="308">
        <f>COMEDORES!Q120</f>
        <v>690</v>
      </c>
      <c r="H6462" s="308">
        <f>COMEDORES!R120</f>
        <v>0</v>
      </c>
    </row>
    <row r="6463" spans="1:8" x14ac:dyDescent="0.3">
      <c r="A6463" t="s">
        <v>628</v>
      </c>
      <c r="B6463" t="s">
        <v>100</v>
      </c>
      <c r="C6463" t="s">
        <v>390</v>
      </c>
      <c r="D6463" t="s">
        <v>745</v>
      </c>
      <c r="E6463" t="s">
        <v>766</v>
      </c>
      <c r="F6463">
        <v>1</v>
      </c>
      <c r="G6463" s="308">
        <f>COMEDORES!E121</f>
        <v>2000</v>
      </c>
      <c r="H6463" s="308">
        <f>COMEDORES!F121</f>
        <v>0</v>
      </c>
    </row>
    <row r="6464" spans="1:8" x14ac:dyDescent="0.3">
      <c r="A6464" t="s">
        <v>628</v>
      </c>
      <c r="B6464" t="s">
        <v>100</v>
      </c>
      <c r="C6464" t="s">
        <v>390</v>
      </c>
      <c r="D6464" t="s">
        <v>745</v>
      </c>
      <c r="E6464" t="s">
        <v>767</v>
      </c>
      <c r="F6464">
        <v>2</v>
      </c>
      <c r="G6464" s="308">
        <f>COMEDORES!G121</f>
        <v>2500</v>
      </c>
      <c r="H6464" s="308">
        <f>COMEDORES!H121</f>
        <v>78397.5</v>
      </c>
    </row>
    <row r="6465" spans="1:8" x14ac:dyDescent="0.3">
      <c r="A6465" t="s">
        <v>628</v>
      </c>
      <c r="B6465" t="s">
        <v>100</v>
      </c>
      <c r="C6465" t="s">
        <v>390</v>
      </c>
      <c r="D6465" t="s">
        <v>745</v>
      </c>
      <c r="E6465" t="s">
        <v>768</v>
      </c>
      <c r="F6465">
        <v>3</v>
      </c>
      <c r="G6465" s="308">
        <f>COMEDORES!I121</f>
        <v>2750</v>
      </c>
      <c r="H6465" s="308">
        <f>COMEDORES!J121</f>
        <v>141592.5</v>
      </c>
    </row>
    <row r="6466" spans="1:8" x14ac:dyDescent="0.3">
      <c r="A6466" t="s">
        <v>628</v>
      </c>
      <c r="B6466" t="s">
        <v>100</v>
      </c>
      <c r="C6466" t="s">
        <v>390</v>
      </c>
      <c r="D6466" t="s">
        <v>745</v>
      </c>
      <c r="E6466" t="s">
        <v>769</v>
      </c>
      <c r="F6466">
        <v>4</v>
      </c>
      <c r="G6466" s="308">
        <f>COMEDORES!K121</f>
        <v>3600</v>
      </c>
      <c r="H6466" s="308">
        <f>COMEDORES!L121</f>
        <v>236250</v>
      </c>
    </row>
    <row r="6467" spans="1:8" x14ac:dyDescent="0.3">
      <c r="A6467" t="s">
        <v>628</v>
      </c>
      <c r="B6467" t="s">
        <v>100</v>
      </c>
      <c r="C6467" t="s">
        <v>390</v>
      </c>
      <c r="D6467" t="s">
        <v>745</v>
      </c>
      <c r="E6467" t="s">
        <v>770</v>
      </c>
      <c r="F6467">
        <v>5</v>
      </c>
      <c r="G6467" s="308">
        <f>COMEDORES!M121</f>
        <v>2500</v>
      </c>
      <c r="H6467" s="308">
        <f>COMEDORES!N121</f>
        <v>242100</v>
      </c>
    </row>
    <row r="6468" spans="1:8" x14ac:dyDescent="0.3">
      <c r="A6468" t="s">
        <v>628</v>
      </c>
      <c r="B6468" t="s">
        <v>100</v>
      </c>
      <c r="C6468" t="s">
        <v>390</v>
      </c>
      <c r="D6468" t="s">
        <v>745</v>
      </c>
      <c r="E6468" t="s">
        <v>771</v>
      </c>
      <c r="F6468">
        <v>6</v>
      </c>
      <c r="G6468" s="308">
        <f>COMEDORES!O121</f>
        <v>2625</v>
      </c>
      <c r="H6468" s="308">
        <f>COMEDORES!P121</f>
        <v>175000</v>
      </c>
    </row>
    <row r="6469" spans="1:8" x14ac:dyDescent="0.3">
      <c r="A6469" t="s">
        <v>628</v>
      </c>
      <c r="B6469" t="s">
        <v>100</v>
      </c>
      <c r="C6469" t="s">
        <v>390</v>
      </c>
      <c r="D6469" t="s">
        <v>745</v>
      </c>
      <c r="E6469" t="s">
        <v>772</v>
      </c>
      <c r="F6469">
        <v>7</v>
      </c>
      <c r="G6469" s="308">
        <f>COMEDORES!Q121</f>
        <v>2875</v>
      </c>
      <c r="H6469" s="308">
        <f>COMEDORES!R121</f>
        <v>183750</v>
      </c>
    </row>
    <row r="6470" spans="1:8" x14ac:dyDescent="0.3">
      <c r="A6470" t="s">
        <v>628</v>
      </c>
      <c r="B6470" t="s">
        <v>100</v>
      </c>
      <c r="C6470" t="s">
        <v>390</v>
      </c>
      <c r="D6470" t="s">
        <v>746</v>
      </c>
      <c r="E6470" t="s">
        <v>766</v>
      </c>
      <c r="F6470">
        <v>1</v>
      </c>
      <c r="G6470" s="308">
        <f>COMEDORES!E122</f>
        <v>3400</v>
      </c>
      <c r="H6470" s="308">
        <f>COMEDORES!F122</f>
        <v>0</v>
      </c>
    </row>
    <row r="6471" spans="1:8" x14ac:dyDescent="0.3">
      <c r="A6471" t="s">
        <v>628</v>
      </c>
      <c r="B6471" t="s">
        <v>100</v>
      </c>
      <c r="C6471" t="s">
        <v>390</v>
      </c>
      <c r="D6471" t="s">
        <v>746</v>
      </c>
      <c r="E6471" t="s">
        <v>767</v>
      </c>
      <c r="F6471">
        <v>2</v>
      </c>
      <c r="G6471" s="308">
        <f>COMEDORES!G122</f>
        <v>4000</v>
      </c>
      <c r="H6471" s="308">
        <f>COMEDORES!H122</f>
        <v>0</v>
      </c>
    </row>
    <row r="6472" spans="1:8" x14ac:dyDescent="0.3">
      <c r="A6472" t="s">
        <v>628</v>
      </c>
      <c r="B6472" t="s">
        <v>100</v>
      </c>
      <c r="C6472" t="s">
        <v>390</v>
      </c>
      <c r="D6472" t="s">
        <v>746</v>
      </c>
      <c r="E6472" t="s">
        <v>768</v>
      </c>
      <c r="F6472">
        <v>3</v>
      </c>
      <c r="G6472" s="308">
        <f>COMEDORES!I122</f>
        <v>4400</v>
      </c>
      <c r="H6472" s="308">
        <f>COMEDORES!J122</f>
        <v>0</v>
      </c>
    </row>
    <row r="6473" spans="1:8" x14ac:dyDescent="0.3">
      <c r="A6473" t="s">
        <v>628</v>
      </c>
      <c r="B6473" t="s">
        <v>100</v>
      </c>
      <c r="C6473" t="s">
        <v>390</v>
      </c>
      <c r="D6473" t="s">
        <v>746</v>
      </c>
      <c r="E6473" t="s">
        <v>769</v>
      </c>
      <c r="F6473">
        <v>4</v>
      </c>
      <c r="G6473" s="308">
        <f>COMEDORES!K122</f>
        <v>5400</v>
      </c>
      <c r="H6473" s="308">
        <f>COMEDORES!L122</f>
        <v>0</v>
      </c>
    </row>
    <row r="6474" spans="1:8" x14ac:dyDescent="0.3">
      <c r="A6474" t="s">
        <v>628</v>
      </c>
      <c r="B6474" t="s">
        <v>100</v>
      </c>
      <c r="C6474" t="s">
        <v>390</v>
      </c>
      <c r="D6474" t="s">
        <v>746</v>
      </c>
      <c r="E6474" t="s">
        <v>770</v>
      </c>
      <c r="F6474">
        <v>5</v>
      </c>
      <c r="G6474" s="308">
        <f>COMEDORES!M122</f>
        <v>4000</v>
      </c>
      <c r="H6474" s="308">
        <f>COMEDORES!N122</f>
        <v>0</v>
      </c>
    </row>
    <row r="6475" spans="1:8" x14ac:dyDescent="0.3">
      <c r="A6475" t="s">
        <v>628</v>
      </c>
      <c r="B6475" t="s">
        <v>100</v>
      </c>
      <c r="C6475" t="s">
        <v>390</v>
      </c>
      <c r="D6475" t="s">
        <v>746</v>
      </c>
      <c r="E6475" t="s">
        <v>771</v>
      </c>
      <c r="F6475">
        <v>6</v>
      </c>
      <c r="G6475" s="308">
        <f>COMEDORES!O122</f>
        <v>4200</v>
      </c>
      <c r="H6475" s="308">
        <f>COMEDORES!P122</f>
        <v>0</v>
      </c>
    </row>
    <row r="6476" spans="1:8" x14ac:dyDescent="0.3">
      <c r="A6476" t="s">
        <v>628</v>
      </c>
      <c r="B6476" t="s">
        <v>100</v>
      </c>
      <c r="C6476" t="s">
        <v>390</v>
      </c>
      <c r="D6476" t="s">
        <v>746</v>
      </c>
      <c r="E6476" t="s">
        <v>772</v>
      </c>
      <c r="F6476">
        <v>7</v>
      </c>
      <c r="G6476" s="308">
        <f>COMEDORES!Q122</f>
        <v>4600</v>
      </c>
      <c r="H6476" s="308">
        <f>COMEDORES!R122</f>
        <v>0</v>
      </c>
    </row>
    <row r="6477" spans="1:8" x14ac:dyDescent="0.3">
      <c r="A6477" t="s">
        <v>628</v>
      </c>
      <c r="B6477" t="s">
        <v>100</v>
      </c>
      <c r="C6477" t="s">
        <v>105</v>
      </c>
      <c r="D6477" t="s">
        <v>745</v>
      </c>
      <c r="E6477" t="s">
        <v>766</v>
      </c>
      <c r="F6477">
        <v>1</v>
      </c>
      <c r="G6477" s="308">
        <f>COMEDORES!E123</f>
        <v>0</v>
      </c>
      <c r="H6477" s="308">
        <f>COMEDORES!F123</f>
        <v>0</v>
      </c>
    </row>
    <row r="6478" spans="1:8" x14ac:dyDescent="0.3">
      <c r="A6478" t="s">
        <v>628</v>
      </c>
      <c r="B6478" t="s">
        <v>100</v>
      </c>
      <c r="C6478" t="s">
        <v>105</v>
      </c>
      <c r="D6478" t="s">
        <v>745</v>
      </c>
      <c r="E6478" t="s">
        <v>767</v>
      </c>
      <c r="F6478">
        <v>2</v>
      </c>
      <c r="G6478" s="308">
        <f>COMEDORES!G123</f>
        <v>0</v>
      </c>
      <c r="H6478" s="308">
        <f>COMEDORES!H123</f>
        <v>0</v>
      </c>
    </row>
    <row r="6479" spans="1:8" x14ac:dyDescent="0.3">
      <c r="A6479" t="s">
        <v>628</v>
      </c>
      <c r="B6479" t="s">
        <v>100</v>
      </c>
      <c r="C6479" t="s">
        <v>105</v>
      </c>
      <c r="D6479" t="s">
        <v>745</v>
      </c>
      <c r="E6479" t="s">
        <v>768</v>
      </c>
      <c r="F6479">
        <v>3</v>
      </c>
      <c r="G6479" s="308">
        <f>COMEDORES!I123</f>
        <v>0</v>
      </c>
      <c r="H6479" s="308">
        <f>COMEDORES!J123</f>
        <v>0</v>
      </c>
    </row>
    <row r="6480" spans="1:8" x14ac:dyDescent="0.3">
      <c r="A6480" t="s">
        <v>628</v>
      </c>
      <c r="B6480" t="s">
        <v>100</v>
      </c>
      <c r="C6480" t="s">
        <v>105</v>
      </c>
      <c r="D6480" t="s">
        <v>745</v>
      </c>
      <c r="E6480" t="s">
        <v>769</v>
      </c>
      <c r="F6480">
        <v>4</v>
      </c>
      <c r="G6480" s="308">
        <f>COMEDORES!K123</f>
        <v>0</v>
      </c>
      <c r="H6480" s="308">
        <f>COMEDORES!L123</f>
        <v>0</v>
      </c>
    </row>
    <row r="6481" spans="1:8" x14ac:dyDescent="0.3">
      <c r="A6481" t="s">
        <v>628</v>
      </c>
      <c r="B6481" t="s">
        <v>100</v>
      </c>
      <c r="C6481" t="s">
        <v>105</v>
      </c>
      <c r="D6481" t="s">
        <v>745</v>
      </c>
      <c r="E6481" t="s">
        <v>770</v>
      </c>
      <c r="F6481">
        <v>5</v>
      </c>
      <c r="G6481" s="308">
        <f>COMEDORES!M123</f>
        <v>0</v>
      </c>
      <c r="H6481" s="308">
        <f>COMEDORES!N123</f>
        <v>0</v>
      </c>
    </row>
    <row r="6482" spans="1:8" x14ac:dyDescent="0.3">
      <c r="A6482" t="s">
        <v>628</v>
      </c>
      <c r="B6482" t="s">
        <v>100</v>
      </c>
      <c r="C6482" t="s">
        <v>105</v>
      </c>
      <c r="D6482" t="s">
        <v>745</v>
      </c>
      <c r="E6482" t="s">
        <v>771</v>
      </c>
      <c r="F6482">
        <v>6</v>
      </c>
      <c r="G6482" s="308">
        <f>COMEDORES!O123</f>
        <v>750</v>
      </c>
      <c r="H6482" s="308">
        <f>COMEDORES!P123</f>
        <v>0</v>
      </c>
    </row>
    <row r="6483" spans="1:8" x14ac:dyDescent="0.3">
      <c r="A6483" t="s">
        <v>628</v>
      </c>
      <c r="B6483" t="s">
        <v>100</v>
      </c>
      <c r="C6483" t="s">
        <v>105</v>
      </c>
      <c r="D6483" t="s">
        <v>745</v>
      </c>
      <c r="E6483" t="s">
        <v>772</v>
      </c>
      <c r="F6483">
        <v>7</v>
      </c>
      <c r="G6483" s="308">
        <f>COMEDORES!Q123</f>
        <v>4200</v>
      </c>
      <c r="H6483" s="308">
        <f>COMEDORES!R123</f>
        <v>0</v>
      </c>
    </row>
    <row r="6484" spans="1:8" x14ac:dyDescent="0.3">
      <c r="A6484" t="s">
        <v>628</v>
      </c>
      <c r="B6484" t="s">
        <v>100</v>
      </c>
      <c r="C6484" t="s">
        <v>105</v>
      </c>
      <c r="D6484" t="s">
        <v>746</v>
      </c>
      <c r="E6484" t="s">
        <v>766</v>
      </c>
      <c r="F6484">
        <v>1</v>
      </c>
      <c r="G6484" s="308">
        <f>COMEDORES!E124</f>
        <v>0</v>
      </c>
      <c r="H6484" s="308">
        <f>COMEDORES!F124</f>
        <v>0</v>
      </c>
    </row>
    <row r="6485" spans="1:8" x14ac:dyDescent="0.3">
      <c r="A6485" t="s">
        <v>628</v>
      </c>
      <c r="B6485" t="s">
        <v>100</v>
      </c>
      <c r="C6485" t="s">
        <v>105</v>
      </c>
      <c r="D6485" t="s">
        <v>746</v>
      </c>
      <c r="E6485" t="s">
        <v>767</v>
      </c>
      <c r="F6485">
        <v>2</v>
      </c>
      <c r="G6485" s="308">
        <f>COMEDORES!G124</f>
        <v>0</v>
      </c>
      <c r="H6485" s="308">
        <f>COMEDORES!H124</f>
        <v>0</v>
      </c>
    </row>
    <row r="6486" spans="1:8" x14ac:dyDescent="0.3">
      <c r="A6486" t="s">
        <v>628</v>
      </c>
      <c r="B6486" t="s">
        <v>100</v>
      </c>
      <c r="C6486" t="s">
        <v>105</v>
      </c>
      <c r="D6486" t="s">
        <v>746</v>
      </c>
      <c r="E6486" t="s">
        <v>768</v>
      </c>
      <c r="F6486">
        <v>3</v>
      </c>
      <c r="G6486" s="308">
        <f>COMEDORES!I124</f>
        <v>0</v>
      </c>
      <c r="H6486" s="308">
        <f>COMEDORES!J124</f>
        <v>0</v>
      </c>
    </row>
    <row r="6487" spans="1:8" x14ac:dyDescent="0.3">
      <c r="A6487" t="s">
        <v>628</v>
      </c>
      <c r="B6487" t="s">
        <v>100</v>
      </c>
      <c r="C6487" t="s">
        <v>105</v>
      </c>
      <c r="D6487" t="s">
        <v>746</v>
      </c>
      <c r="E6487" t="s">
        <v>769</v>
      </c>
      <c r="F6487">
        <v>4</v>
      </c>
      <c r="G6487" s="308">
        <f>COMEDORES!K124</f>
        <v>0</v>
      </c>
      <c r="H6487" s="308">
        <f>COMEDORES!L124</f>
        <v>0</v>
      </c>
    </row>
    <row r="6488" spans="1:8" x14ac:dyDescent="0.3">
      <c r="A6488" t="s">
        <v>628</v>
      </c>
      <c r="B6488" t="s">
        <v>100</v>
      </c>
      <c r="C6488" t="s">
        <v>105</v>
      </c>
      <c r="D6488" t="s">
        <v>746</v>
      </c>
      <c r="E6488" t="s">
        <v>770</v>
      </c>
      <c r="F6488">
        <v>5</v>
      </c>
      <c r="G6488" s="308">
        <f>COMEDORES!M124</f>
        <v>0</v>
      </c>
      <c r="H6488" s="308">
        <f>COMEDORES!N124</f>
        <v>0</v>
      </c>
    </row>
    <row r="6489" spans="1:8" x14ac:dyDescent="0.3">
      <c r="A6489" t="s">
        <v>628</v>
      </c>
      <c r="B6489" t="s">
        <v>100</v>
      </c>
      <c r="C6489" t="s">
        <v>105</v>
      </c>
      <c r="D6489" t="s">
        <v>746</v>
      </c>
      <c r="E6489" t="s">
        <v>771</v>
      </c>
      <c r="F6489">
        <v>6</v>
      </c>
      <c r="G6489" s="308">
        <f>COMEDORES!O124</f>
        <v>1000</v>
      </c>
      <c r="H6489" s="308">
        <f>COMEDORES!P124</f>
        <v>0</v>
      </c>
    </row>
    <row r="6490" spans="1:8" x14ac:dyDescent="0.3">
      <c r="A6490" t="s">
        <v>628</v>
      </c>
      <c r="B6490" t="s">
        <v>100</v>
      </c>
      <c r="C6490" t="s">
        <v>105</v>
      </c>
      <c r="D6490" t="s">
        <v>746</v>
      </c>
      <c r="E6490" t="s">
        <v>772</v>
      </c>
      <c r="F6490">
        <v>7</v>
      </c>
      <c r="G6490" s="308">
        <f>COMEDORES!Q124</f>
        <v>5600</v>
      </c>
      <c r="H6490" s="308">
        <f>COMEDORES!R124</f>
        <v>0</v>
      </c>
    </row>
    <row r="6491" spans="1:8" x14ac:dyDescent="0.3">
      <c r="A6491" t="s">
        <v>628</v>
      </c>
      <c r="B6491" t="s">
        <v>100</v>
      </c>
      <c r="C6491" t="s">
        <v>391</v>
      </c>
      <c r="D6491" t="s">
        <v>745</v>
      </c>
      <c r="E6491" t="s">
        <v>766</v>
      </c>
      <c r="F6491">
        <v>1</v>
      </c>
      <c r="G6491" s="308">
        <f>COMEDORES!E125</f>
        <v>3292</v>
      </c>
      <c r="H6491" s="308">
        <f>COMEDORES!F125</f>
        <v>0</v>
      </c>
    </row>
    <row r="6492" spans="1:8" x14ac:dyDescent="0.3">
      <c r="A6492" t="s">
        <v>628</v>
      </c>
      <c r="B6492" t="s">
        <v>100</v>
      </c>
      <c r="C6492" t="s">
        <v>391</v>
      </c>
      <c r="D6492" t="s">
        <v>745</v>
      </c>
      <c r="E6492" t="s">
        <v>767</v>
      </c>
      <c r="F6492">
        <v>2</v>
      </c>
      <c r="G6492" s="308">
        <f>COMEDORES!G125</f>
        <v>3917</v>
      </c>
      <c r="H6492" s="308">
        <f>COMEDORES!H125</f>
        <v>169204.5</v>
      </c>
    </row>
    <row r="6493" spans="1:8" x14ac:dyDescent="0.3">
      <c r="A6493" t="s">
        <v>628</v>
      </c>
      <c r="B6493" t="s">
        <v>100</v>
      </c>
      <c r="C6493" t="s">
        <v>391</v>
      </c>
      <c r="D6493" t="s">
        <v>745</v>
      </c>
      <c r="E6493" t="s">
        <v>768</v>
      </c>
      <c r="F6493">
        <v>3</v>
      </c>
      <c r="G6493" s="308">
        <f>COMEDORES!I125</f>
        <v>5500</v>
      </c>
      <c r="H6493" s="308">
        <f>COMEDORES!J125</f>
        <v>136597.5</v>
      </c>
    </row>
    <row r="6494" spans="1:8" x14ac:dyDescent="0.3">
      <c r="A6494" t="s">
        <v>628</v>
      </c>
      <c r="B6494" t="s">
        <v>100</v>
      </c>
      <c r="C6494" t="s">
        <v>391</v>
      </c>
      <c r="D6494" t="s">
        <v>745</v>
      </c>
      <c r="E6494" t="s">
        <v>769</v>
      </c>
      <c r="F6494">
        <v>4</v>
      </c>
      <c r="G6494" s="308">
        <f>COMEDORES!K125</f>
        <v>4750</v>
      </c>
      <c r="H6494" s="308">
        <f>COMEDORES!L125</f>
        <v>435375</v>
      </c>
    </row>
    <row r="6495" spans="1:8" x14ac:dyDescent="0.3">
      <c r="A6495" t="s">
        <v>628</v>
      </c>
      <c r="B6495" t="s">
        <v>100</v>
      </c>
      <c r="C6495" t="s">
        <v>391</v>
      </c>
      <c r="D6495" t="s">
        <v>745</v>
      </c>
      <c r="E6495" t="s">
        <v>770</v>
      </c>
      <c r="F6495">
        <v>5</v>
      </c>
      <c r="G6495" s="308">
        <f>COMEDORES!M125</f>
        <v>5000</v>
      </c>
      <c r="H6495" s="308">
        <f>COMEDORES!N125</f>
        <v>306375</v>
      </c>
    </row>
    <row r="6496" spans="1:8" x14ac:dyDescent="0.3">
      <c r="A6496" t="s">
        <v>628</v>
      </c>
      <c r="B6496" t="s">
        <v>100</v>
      </c>
      <c r="C6496" t="s">
        <v>391</v>
      </c>
      <c r="D6496" t="s">
        <v>745</v>
      </c>
      <c r="E6496" t="s">
        <v>771</v>
      </c>
      <c r="F6496">
        <v>6</v>
      </c>
      <c r="G6496" s="308">
        <f>COMEDORES!O125</f>
        <v>5250</v>
      </c>
      <c r="H6496" s="308">
        <f>COMEDORES!P125</f>
        <v>322500</v>
      </c>
    </row>
    <row r="6497" spans="1:8" x14ac:dyDescent="0.3">
      <c r="A6497" t="s">
        <v>628</v>
      </c>
      <c r="B6497" t="s">
        <v>100</v>
      </c>
      <c r="C6497" t="s">
        <v>391</v>
      </c>
      <c r="D6497" t="s">
        <v>745</v>
      </c>
      <c r="E6497" t="s">
        <v>772</v>
      </c>
      <c r="F6497">
        <v>7</v>
      </c>
      <c r="G6497" s="308">
        <f>COMEDORES!Q125</f>
        <v>5750</v>
      </c>
      <c r="H6497" s="308">
        <f>COMEDORES!R125</f>
        <v>342750</v>
      </c>
    </row>
    <row r="6498" spans="1:8" x14ac:dyDescent="0.3">
      <c r="A6498" t="s">
        <v>628</v>
      </c>
      <c r="B6498" t="s">
        <v>100</v>
      </c>
      <c r="C6498" t="s">
        <v>391</v>
      </c>
      <c r="D6498" t="s">
        <v>746</v>
      </c>
      <c r="E6498" t="s">
        <v>766</v>
      </c>
      <c r="F6498">
        <v>1</v>
      </c>
      <c r="G6498" s="308">
        <f>COMEDORES!E126</f>
        <v>4587</v>
      </c>
      <c r="H6498" s="308">
        <f>COMEDORES!F126</f>
        <v>0</v>
      </c>
    </row>
    <row r="6499" spans="1:8" x14ac:dyDescent="0.3">
      <c r="A6499" t="s">
        <v>628</v>
      </c>
      <c r="B6499" t="s">
        <v>100</v>
      </c>
      <c r="C6499" t="s">
        <v>391</v>
      </c>
      <c r="D6499" t="s">
        <v>746</v>
      </c>
      <c r="E6499" t="s">
        <v>767</v>
      </c>
      <c r="F6499">
        <v>2</v>
      </c>
      <c r="G6499" s="308">
        <f>COMEDORES!G126</f>
        <v>5302</v>
      </c>
      <c r="H6499" s="308">
        <f>COMEDORES!H126</f>
        <v>0</v>
      </c>
    </row>
    <row r="6500" spans="1:8" x14ac:dyDescent="0.3">
      <c r="A6500" t="s">
        <v>628</v>
      </c>
      <c r="B6500" t="s">
        <v>100</v>
      </c>
      <c r="C6500" t="s">
        <v>391</v>
      </c>
      <c r="D6500" t="s">
        <v>746</v>
      </c>
      <c r="E6500" t="s">
        <v>768</v>
      </c>
      <c r="F6500">
        <v>3</v>
      </c>
      <c r="G6500" s="308">
        <f>COMEDORES!I126</f>
        <v>7700</v>
      </c>
      <c r="H6500" s="308">
        <f>COMEDORES!J126</f>
        <v>0</v>
      </c>
    </row>
    <row r="6501" spans="1:8" x14ac:dyDescent="0.3">
      <c r="A6501" t="s">
        <v>628</v>
      </c>
      <c r="B6501" t="s">
        <v>100</v>
      </c>
      <c r="C6501" t="s">
        <v>391</v>
      </c>
      <c r="D6501" t="s">
        <v>746</v>
      </c>
      <c r="E6501" t="s">
        <v>769</v>
      </c>
      <c r="F6501">
        <v>4</v>
      </c>
      <c r="G6501" s="308">
        <f>COMEDORES!K126</f>
        <v>6650</v>
      </c>
      <c r="H6501" s="308">
        <f>COMEDORES!L126</f>
        <v>0</v>
      </c>
    </row>
    <row r="6502" spans="1:8" x14ac:dyDescent="0.3">
      <c r="A6502" t="s">
        <v>628</v>
      </c>
      <c r="B6502" t="s">
        <v>100</v>
      </c>
      <c r="C6502" t="s">
        <v>391</v>
      </c>
      <c r="D6502" t="s">
        <v>746</v>
      </c>
      <c r="E6502" t="s">
        <v>770</v>
      </c>
      <c r="F6502">
        <v>5</v>
      </c>
      <c r="G6502" s="308">
        <f>COMEDORES!M126</f>
        <v>7000</v>
      </c>
      <c r="H6502" s="308">
        <f>COMEDORES!N126</f>
        <v>0</v>
      </c>
    </row>
    <row r="6503" spans="1:8" x14ac:dyDescent="0.3">
      <c r="A6503" t="s">
        <v>628</v>
      </c>
      <c r="B6503" t="s">
        <v>100</v>
      </c>
      <c r="C6503" t="s">
        <v>391</v>
      </c>
      <c r="D6503" t="s">
        <v>746</v>
      </c>
      <c r="E6503" t="s">
        <v>771</v>
      </c>
      <c r="F6503">
        <v>6</v>
      </c>
      <c r="G6503" s="308">
        <f>COMEDORES!O126</f>
        <v>7500</v>
      </c>
      <c r="H6503" s="308">
        <f>COMEDORES!P126</f>
        <v>0</v>
      </c>
    </row>
    <row r="6504" spans="1:8" x14ac:dyDescent="0.3">
      <c r="A6504" t="s">
        <v>628</v>
      </c>
      <c r="B6504" t="s">
        <v>100</v>
      </c>
      <c r="C6504" t="s">
        <v>391</v>
      </c>
      <c r="D6504" t="s">
        <v>746</v>
      </c>
      <c r="E6504" t="s">
        <v>772</v>
      </c>
      <c r="F6504">
        <v>7</v>
      </c>
      <c r="G6504" s="308">
        <f>COMEDORES!Q126</f>
        <v>8625</v>
      </c>
      <c r="H6504" s="308">
        <f>COMEDORES!R126</f>
        <v>0</v>
      </c>
    </row>
    <row r="6505" spans="1:8" x14ac:dyDescent="0.3">
      <c r="A6505" t="s">
        <v>628</v>
      </c>
      <c r="B6505" t="s">
        <v>100</v>
      </c>
      <c r="C6505" t="s">
        <v>392</v>
      </c>
      <c r="D6505" t="s">
        <v>745</v>
      </c>
      <c r="E6505" t="s">
        <v>766</v>
      </c>
      <c r="F6505">
        <v>1</v>
      </c>
      <c r="G6505" s="308">
        <f>COMEDORES!E127</f>
        <v>1620</v>
      </c>
      <c r="H6505" s="308">
        <f>COMEDORES!F127</f>
        <v>0</v>
      </c>
    </row>
    <row r="6506" spans="1:8" x14ac:dyDescent="0.3">
      <c r="A6506" t="s">
        <v>628</v>
      </c>
      <c r="B6506" t="s">
        <v>100</v>
      </c>
      <c r="C6506" t="s">
        <v>392</v>
      </c>
      <c r="D6506" t="s">
        <v>745</v>
      </c>
      <c r="E6506" t="s">
        <v>767</v>
      </c>
      <c r="F6506">
        <v>2</v>
      </c>
      <c r="G6506" s="308">
        <f>COMEDORES!G127</f>
        <v>1800</v>
      </c>
      <c r="H6506" s="308">
        <f>COMEDORES!H127</f>
        <v>80595</v>
      </c>
    </row>
    <row r="6507" spans="1:8" x14ac:dyDescent="0.3">
      <c r="A6507" t="s">
        <v>628</v>
      </c>
      <c r="B6507" t="s">
        <v>100</v>
      </c>
      <c r="C6507" t="s">
        <v>392</v>
      </c>
      <c r="D6507" t="s">
        <v>745</v>
      </c>
      <c r="E6507" t="s">
        <v>768</v>
      </c>
      <c r="F6507">
        <v>3</v>
      </c>
      <c r="G6507" s="308">
        <f>COMEDORES!I127</f>
        <v>1980</v>
      </c>
      <c r="H6507" s="308">
        <f>COMEDORES!J127</f>
        <v>51012</v>
      </c>
    </row>
    <row r="6508" spans="1:8" x14ac:dyDescent="0.3">
      <c r="A6508" t="s">
        <v>628</v>
      </c>
      <c r="B6508" t="s">
        <v>100</v>
      </c>
      <c r="C6508" t="s">
        <v>392</v>
      </c>
      <c r="D6508" t="s">
        <v>745</v>
      </c>
      <c r="E6508" t="s">
        <v>769</v>
      </c>
      <c r="F6508">
        <v>4</v>
      </c>
      <c r="G6508" s="308">
        <f>COMEDORES!K127</f>
        <v>1710</v>
      </c>
      <c r="H6508" s="308">
        <f>COMEDORES!L127</f>
        <v>137430</v>
      </c>
    </row>
    <row r="6509" spans="1:8" x14ac:dyDescent="0.3">
      <c r="A6509" t="s">
        <v>628</v>
      </c>
      <c r="B6509" t="s">
        <v>100</v>
      </c>
      <c r="C6509" t="s">
        <v>392</v>
      </c>
      <c r="D6509" t="s">
        <v>745</v>
      </c>
      <c r="E6509" t="s">
        <v>770</v>
      </c>
      <c r="F6509">
        <v>5</v>
      </c>
      <c r="G6509" s="308">
        <f>COMEDORES!M127</f>
        <v>1800</v>
      </c>
      <c r="H6509" s="308">
        <f>COMEDORES!N127</f>
        <v>93960</v>
      </c>
    </row>
    <row r="6510" spans="1:8" x14ac:dyDescent="0.3">
      <c r="A6510" t="s">
        <v>628</v>
      </c>
      <c r="B6510" t="s">
        <v>100</v>
      </c>
      <c r="C6510" t="s">
        <v>392</v>
      </c>
      <c r="D6510" t="s">
        <v>745</v>
      </c>
      <c r="E6510" t="s">
        <v>771</v>
      </c>
      <c r="F6510">
        <v>6</v>
      </c>
      <c r="G6510" s="308">
        <f>COMEDORES!O127</f>
        <v>1890</v>
      </c>
      <c r="H6510" s="308">
        <f>COMEDORES!P127</f>
        <v>101800</v>
      </c>
    </row>
    <row r="6511" spans="1:8" x14ac:dyDescent="0.3">
      <c r="A6511" t="s">
        <v>628</v>
      </c>
      <c r="B6511" t="s">
        <v>100</v>
      </c>
      <c r="C6511" t="s">
        <v>392</v>
      </c>
      <c r="D6511" t="s">
        <v>745</v>
      </c>
      <c r="E6511" t="s">
        <v>772</v>
      </c>
      <c r="F6511">
        <v>7</v>
      </c>
      <c r="G6511" s="308">
        <f>COMEDORES!Q127</f>
        <v>2070</v>
      </c>
      <c r="H6511" s="308">
        <f>COMEDORES!R127</f>
        <v>106890</v>
      </c>
    </row>
    <row r="6512" spans="1:8" x14ac:dyDescent="0.3">
      <c r="A6512" t="s">
        <v>628</v>
      </c>
      <c r="B6512" t="s">
        <v>100</v>
      </c>
      <c r="C6512" t="s">
        <v>392</v>
      </c>
      <c r="D6512" t="s">
        <v>746</v>
      </c>
      <c r="E6512" t="s">
        <v>766</v>
      </c>
      <c r="F6512">
        <v>1</v>
      </c>
      <c r="G6512" s="308">
        <f>COMEDORES!E128</f>
        <v>1900</v>
      </c>
      <c r="H6512" s="308">
        <f>COMEDORES!F128</f>
        <v>0</v>
      </c>
    </row>
    <row r="6513" spans="1:8" x14ac:dyDescent="0.3">
      <c r="A6513" t="s">
        <v>628</v>
      </c>
      <c r="B6513" t="s">
        <v>100</v>
      </c>
      <c r="C6513" t="s">
        <v>392</v>
      </c>
      <c r="D6513" t="s">
        <v>746</v>
      </c>
      <c r="E6513" t="s">
        <v>767</v>
      </c>
      <c r="F6513">
        <v>2</v>
      </c>
      <c r="G6513" s="308">
        <f>COMEDORES!G128</f>
        <v>2000</v>
      </c>
      <c r="H6513" s="308">
        <f>COMEDORES!H128</f>
        <v>0</v>
      </c>
    </row>
    <row r="6514" spans="1:8" x14ac:dyDescent="0.3">
      <c r="A6514" t="s">
        <v>628</v>
      </c>
      <c r="B6514" t="s">
        <v>100</v>
      </c>
      <c r="C6514" t="s">
        <v>392</v>
      </c>
      <c r="D6514" t="s">
        <v>746</v>
      </c>
      <c r="E6514" t="s">
        <v>768</v>
      </c>
      <c r="F6514">
        <v>3</v>
      </c>
      <c r="G6514" s="308">
        <f>COMEDORES!I128</f>
        <v>2200</v>
      </c>
      <c r="H6514" s="308">
        <f>COMEDORES!J128</f>
        <v>0</v>
      </c>
    </row>
    <row r="6515" spans="1:8" x14ac:dyDescent="0.3">
      <c r="A6515" t="s">
        <v>628</v>
      </c>
      <c r="B6515" t="s">
        <v>100</v>
      </c>
      <c r="C6515" t="s">
        <v>392</v>
      </c>
      <c r="D6515" t="s">
        <v>746</v>
      </c>
      <c r="E6515" t="s">
        <v>769</v>
      </c>
      <c r="F6515">
        <v>4</v>
      </c>
      <c r="G6515" s="308">
        <f>COMEDORES!K128</f>
        <v>1800</v>
      </c>
      <c r="H6515" s="308">
        <f>COMEDORES!L128</f>
        <v>0</v>
      </c>
    </row>
    <row r="6516" spans="1:8" x14ac:dyDescent="0.3">
      <c r="A6516" t="s">
        <v>628</v>
      </c>
      <c r="B6516" t="s">
        <v>100</v>
      </c>
      <c r="C6516" t="s">
        <v>392</v>
      </c>
      <c r="D6516" t="s">
        <v>746</v>
      </c>
      <c r="E6516" t="s">
        <v>770</v>
      </c>
      <c r="F6516">
        <v>5</v>
      </c>
      <c r="G6516" s="308">
        <f>COMEDORES!M128</f>
        <v>2000</v>
      </c>
      <c r="H6516" s="308">
        <f>COMEDORES!N128</f>
        <v>0</v>
      </c>
    </row>
    <row r="6517" spans="1:8" x14ac:dyDescent="0.3">
      <c r="A6517" t="s">
        <v>628</v>
      </c>
      <c r="B6517" t="s">
        <v>100</v>
      </c>
      <c r="C6517" t="s">
        <v>392</v>
      </c>
      <c r="D6517" t="s">
        <v>746</v>
      </c>
      <c r="E6517" t="s">
        <v>771</v>
      </c>
      <c r="F6517">
        <v>6</v>
      </c>
      <c r="G6517" s="308">
        <f>COMEDORES!O128</f>
        <v>2100</v>
      </c>
      <c r="H6517" s="308">
        <f>COMEDORES!P128</f>
        <v>0</v>
      </c>
    </row>
    <row r="6518" spans="1:8" x14ac:dyDescent="0.3">
      <c r="A6518" t="s">
        <v>628</v>
      </c>
      <c r="B6518" t="s">
        <v>100</v>
      </c>
      <c r="C6518" t="s">
        <v>392</v>
      </c>
      <c r="D6518" t="s">
        <v>746</v>
      </c>
      <c r="E6518" t="s">
        <v>772</v>
      </c>
      <c r="F6518">
        <v>7</v>
      </c>
      <c r="G6518" s="308">
        <f>COMEDORES!Q128</f>
        <v>2300</v>
      </c>
      <c r="H6518" s="308">
        <f>COMEDORES!R128</f>
        <v>0</v>
      </c>
    </row>
    <row r="6519" spans="1:8" x14ac:dyDescent="0.3">
      <c r="A6519" t="s">
        <v>628</v>
      </c>
      <c r="B6519" t="s">
        <v>100</v>
      </c>
      <c r="C6519" t="s">
        <v>106</v>
      </c>
      <c r="D6519" t="s">
        <v>745</v>
      </c>
      <c r="E6519" t="s">
        <v>766</v>
      </c>
      <c r="F6519">
        <v>1</v>
      </c>
      <c r="G6519" s="308">
        <f>COMEDORES!E129</f>
        <v>1800</v>
      </c>
      <c r="H6519" s="308">
        <f>COMEDORES!F129</f>
        <v>0</v>
      </c>
    </row>
    <row r="6520" spans="1:8" x14ac:dyDescent="0.3">
      <c r="A6520" t="s">
        <v>628</v>
      </c>
      <c r="B6520" t="s">
        <v>100</v>
      </c>
      <c r="C6520" t="s">
        <v>106</v>
      </c>
      <c r="D6520" t="s">
        <v>745</v>
      </c>
      <c r="E6520" t="s">
        <v>767</v>
      </c>
      <c r="F6520">
        <v>2</v>
      </c>
      <c r="G6520" s="308">
        <f>COMEDORES!G129</f>
        <v>2000</v>
      </c>
      <c r="H6520" s="308">
        <f>COMEDORES!H129</f>
        <v>86092.5</v>
      </c>
    </row>
    <row r="6521" spans="1:8" x14ac:dyDescent="0.3">
      <c r="A6521" t="s">
        <v>628</v>
      </c>
      <c r="B6521" t="s">
        <v>100</v>
      </c>
      <c r="C6521" t="s">
        <v>106</v>
      </c>
      <c r="D6521" t="s">
        <v>745</v>
      </c>
      <c r="E6521" t="s">
        <v>768</v>
      </c>
      <c r="F6521">
        <v>3</v>
      </c>
      <c r="G6521" s="308">
        <f>COMEDORES!I129</f>
        <v>2200</v>
      </c>
      <c r="H6521" s="308">
        <f>COMEDORES!J129</f>
        <v>82920</v>
      </c>
    </row>
    <row r="6522" spans="1:8" x14ac:dyDescent="0.3">
      <c r="A6522" t="s">
        <v>628</v>
      </c>
      <c r="B6522" t="s">
        <v>100</v>
      </c>
      <c r="C6522" t="s">
        <v>106</v>
      </c>
      <c r="D6522" t="s">
        <v>745</v>
      </c>
      <c r="E6522" t="s">
        <v>769</v>
      </c>
      <c r="F6522">
        <v>4</v>
      </c>
      <c r="G6522" s="308">
        <f>COMEDORES!K129</f>
        <v>1900</v>
      </c>
      <c r="H6522" s="308">
        <f>COMEDORES!L129</f>
        <v>186757.5</v>
      </c>
    </row>
    <row r="6523" spans="1:8" x14ac:dyDescent="0.3">
      <c r="A6523" t="s">
        <v>628</v>
      </c>
      <c r="B6523" t="s">
        <v>100</v>
      </c>
      <c r="C6523" t="s">
        <v>106</v>
      </c>
      <c r="D6523" t="s">
        <v>745</v>
      </c>
      <c r="E6523" t="s">
        <v>770</v>
      </c>
      <c r="F6523">
        <v>5</v>
      </c>
      <c r="G6523" s="308">
        <f>COMEDORES!M129</f>
        <v>1900</v>
      </c>
      <c r="H6523" s="308">
        <f>COMEDORES!N129</f>
        <v>127775</v>
      </c>
    </row>
    <row r="6524" spans="1:8" x14ac:dyDescent="0.3">
      <c r="A6524" t="s">
        <v>628</v>
      </c>
      <c r="B6524" t="s">
        <v>100</v>
      </c>
      <c r="C6524" t="s">
        <v>106</v>
      </c>
      <c r="D6524" t="s">
        <v>745</v>
      </c>
      <c r="E6524" t="s">
        <v>771</v>
      </c>
      <c r="F6524">
        <v>6</v>
      </c>
      <c r="G6524" s="308">
        <f>COMEDORES!O129</f>
        <v>2100</v>
      </c>
      <c r="H6524" s="308">
        <f>COMEDORES!P129</f>
        <v>127775</v>
      </c>
    </row>
    <row r="6525" spans="1:8" x14ac:dyDescent="0.3">
      <c r="A6525" t="s">
        <v>628</v>
      </c>
      <c r="B6525" t="s">
        <v>100</v>
      </c>
      <c r="C6525" t="s">
        <v>106</v>
      </c>
      <c r="D6525" t="s">
        <v>745</v>
      </c>
      <c r="E6525" t="s">
        <v>772</v>
      </c>
      <c r="F6525">
        <v>7</v>
      </c>
      <c r="G6525" s="308">
        <f>COMEDORES!Q129</f>
        <v>2300</v>
      </c>
      <c r="H6525" s="308">
        <f>COMEDORES!R129</f>
        <v>141225</v>
      </c>
    </row>
    <row r="6526" spans="1:8" x14ac:dyDescent="0.3">
      <c r="A6526" t="s">
        <v>628</v>
      </c>
      <c r="B6526" t="s">
        <v>100</v>
      </c>
      <c r="C6526" t="s">
        <v>106</v>
      </c>
      <c r="D6526" t="s">
        <v>746</v>
      </c>
      <c r="E6526" t="s">
        <v>766</v>
      </c>
      <c r="F6526">
        <v>1</v>
      </c>
      <c r="G6526" s="308">
        <f>COMEDORES!E130</f>
        <v>2850</v>
      </c>
      <c r="H6526" s="308">
        <f>COMEDORES!F130</f>
        <v>0</v>
      </c>
    </row>
    <row r="6527" spans="1:8" x14ac:dyDescent="0.3">
      <c r="A6527" t="s">
        <v>628</v>
      </c>
      <c r="B6527" t="s">
        <v>100</v>
      </c>
      <c r="C6527" t="s">
        <v>106</v>
      </c>
      <c r="D6527" t="s">
        <v>746</v>
      </c>
      <c r="E6527" t="s">
        <v>767</v>
      </c>
      <c r="F6527">
        <v>2</v>
      </c>
      <c r="G6527" s="308">
        <f>COMEDORES!G130</f>
        <v>3000</v>
      </c>
      <c r="H6527" s="308">
        <f>COMEDORES!H130</f>
        <v>0</v>
      </c>
    </row>
    <row r="6528" spans="1:8" x14ac:dyDescent="0.3">
      <c r="A6528" t="s">
        <v>628</v>
      </c>
      <c r="B6528" t="s">
        <v>100</v>
      </c>
      <c r="C6528" t="s">
        <v>106</v>
      </c>
      <c r="D6528" t="s">
        <v>746</v>
      </c>
      <c r="E6528" t="s">
        <v>768</v>
      </c>
      <c r="F6528">
        <v>3</v>
      </c>
      <c r="G6528" s="308">
        <f>COMEDORES!I130</f>
        <v>3300</v>
      </c>
      <c r="H6528" s="308">
        <f>COMEDORES!J130</f>
        <v>0</v>
      </c>
    </row>
    <row r="6529" spans="1:8" x14ac:dyDescent="0.3">
      <c r="A6529" t="s">
        <v>628</v>
      </c>
      <c r="B6529" t="s">
        <v>100</v>
      </c>
      <c r="C6529" t="s">
        <v>106</v>
      </c>
      <c r="D6529" t="s">
        <v>746</v>
      </c>
      <c r="E6529" t="s">
        <v>769</v>
      </c>
      <c r="F6529">
        <v>4</v>
      </c>
      <c r="G6529" s="308">
        <f>COMEDORES!K130</f>
        <v>2850</v>
      </c>
      <c r="H6529" s="308">
        <f>COMEDORES!L130</f>
        <v>0</v>
      </c>
    </row>
    <row r="6530" spans="1:8" x14ac:dyDescent="0.3">
      <c r="A6530" t="s">
        <v>628</v>
      </c>
      <c r="B6530" t="s">
        <v>100</v>
      </c>
      <c r="C6530" t="s">
        <v>106</v>
      </c>
      <c r="D6530" t="s">
        <v>746</v>
      </c>
      <c r="E6530" t="s">
        <v>770</v>
      </c>
      <c r="F6530">
        <v>5</v>
      </c>
      <c r="G6530" s="308">
        <f>COMEDORES!M130</f>
        <v>2850</v>
      </c>
      <c r="H6530" s="308">
        <f>COMEDORES!N130</f>
        <v>0</v>
      </c>
    </row>
    <row r="6531" spans="1:8" x14ac:dyDescent="0.3">
      <c r="A6531" t="s">
        <v>628</v>
      </c>
      <c r="B6531" t="s">
        <v>100</v>
      </c>
      <c r="C6531" t="s">
        <v>106</v>
      </c>
      <c r="D6531" t="s">
        <v>746</v>
      </c>
      <c r="E6531" t="s">
        <v>771</v>
      </c>
      <c r="F6531">
        <v>6</v>
      </c>
      <c r="G6531" s="308">
        <f>COMEDORES!O130</f>
        <v>3150</v>
      </c>
      <c r="H6531" s="308">
        <f>COMEDORES!P130</f>
        <v>0</v>
      </c>
    </row>
    <row r="6532" spans="1:8" x14ac:dyDescent="0.3">
      <c r="A6532" t="s">
        <v>628</v>
      </c>
      <c r="B6532" t="s">
        <v>100</v>
      </c>
      <c r="C6532" t="s">
        <v>106</v>
      </c>
      <c r="D6532" t="s">
        <v>746</v>
      </c>
      <c r="E6532" t="s">
        <v>772</v>
      </c>
      <c r="F6532">
        <v>7</v>
      </c>
      <c r="G6532" s="308">
        <f>COMEDORES!Q130</f>
        <v>3450</v>
      </c>
      <c r="H6532" s="308">
        <f>COMEDORES!R130</f>
        <v>0</v>
      </c>
    </row>
    <row r="6533" spans="1:8" x14ac:dyDescent="0.3">
      <c r="A6533" t="s">
        <v>628</v>
      </c>
      <c r="B6533" t="s">
        <v>100</v>
      </c>
      <c r="C6533" t="s">
        <v>109</v>
      </c>
      <c r="D6533" t="s">
        <v>745</v>
      </c>
      <c r="E6533" t="s">
        <v>766</v>
      </c>
      <c r="F6533">
        <v>1</v>
      </c>
      <c r="G6533" s="308">
        <f>COMEDORES!E131</f>
        <v>3060</v>
      </c>
      <c r="H6533" s="308">
        <f>COMEDORES!F131</f>
        <v>0</v>
      </c>
    </row>
    <row r="6534" spans="1:8" x14ac:dyDescent="0.3">
      <c r="A6534" t="s">
        <v>628</v>
      </c>
      <c r="B6534" t="s">
        <v>100</v>
      </c>
      <c r="C6534" t="s">
        <v>109</v>
      </c>
      <c r="D6534" t="s">
        <v>745</v>
      </c>
      <c r="E6534" t="s">
        <v>767</v>
      </c>
      <c r="F6534">
        <v>2</v>
      </c>
      <c r="G6534" s="308">
        <f>COMEDORES!G131</f>
        <v>3425</v>
      </c>
      <c r="H6534" s="308">
        <f>COMEDORES!H131</f>
        <v>170005.5</v>
      </c>
    </row>
    <row r="6535" spans="1:8" x14ac:dyDescent="0.3">
      <c r="A6535" t="s">
        <v>628</v>
      </c>
      <c r="B6535" t="s">
        <v>100</v>
      </c>
      <c r="C6535" t="s">
        <v>109</v>
      </c>
      <c r="D6535" t="s">
        <v>745</v>
      </c>
      <c r="E6535" t="s">
        <v>768</v>
      </c>
      <c r="F6535">
        <v>3</v>
      </c>
      <c r="G6535" s="308">
        <f>COMEDORES!I131</f>
        <v>3850</v>
      </c>
      <c r="H6535" s="308">
        <f>COMEDORES!J131</f>
        <v>136912.5</v>
      </c>
    </row>
    <row r="6536" spans="1:8" x14ac:dyDescent="0.3">
      <c r="A6536" t="s">
        <v>628</v>
      </c>
      <c r="B6536" t="s">
        <v>100</v>
      </c>
      <c r="C6536" t="s">
        <v>109</v>
      </c>
      <c r="D6536" t="s">
        <v>745</v>
      </c>
      <c r="E6536" t="s">
        <v>769</v>
      </c>
      <c r="F6536">
        <v>4</v>
      </c>
      <c r="G6536" s="308">
        <f>COMEDORES!K131</f>
        <v>3325</v>
      </c>
      <c r="H6536" s="308">
        <f>COMEDORES!L131</f>
        <v>419850</v>
      </c>
    </row>
    <row r="6537" spans="1:8" x14ac:dyDescent="0.3">
      <c r="A6537" t="s">
        <v>628</v>
      </c>
      <c r="B6537" t="s">
        <v>100</v>
      </c>
      <c r="C6537" t="s">
        <v>109</v>
      </c>
      <c r="D6537" t="s">
        <v>745</v>
      </c>
      <c r="E6537" t="s">
        <v>770</v>
      </c>
      <c r="F6537">
        <v>5</v>
      </c>
      <c r="G6537" s="308">
        <f>COMEDORES!M131</f>
        <v>3500</v>
      </c>
      <c r="H6537" s="308">
        <f>COMEDORES!N131</f>
        <v>295450</v>
      </c>
    </row>
    <row r="6538" spans="1:8" x14ac:dyDescent="0.3">
      <c r="A6538" t="s">
        <v>628</v>
      </c>
      <c r="B6538" t="s">
        <v>100</v>
      </c>
      <c r="C6538" t="s">
        <v>109</v>
      </c>
      <c r="D6538" t="s">
        <v>745</v>
      </c>
      <c r="E6538" t="s">
        <v>771</v>
      </c>
      <c r="F6538">
        <v>6</v>
      </c>
      <c r="G6538" s="308">
        <f>COMEDORES!O131</f>
        <v>3675</v>
      </c>
      <c r="H6538" s="308">
        <f>COMEDORES!P131</f>
        <v>311000</v>
      </c>
    </row>
    <row r="6539" spans="1:8" x14ac:dyDescent="0.3">
      <c r="A6539" t="s">
        <v>628</v>
      </c>
      <c r="B6539" t="s">
        <v>100</v>
      </c>
      <c r="C6539" t="s">
        <v>109</v>
      </c>
      <c r="D6539" t="s">
        <v>745</v>
      </c>
      <c r="E6539" t="s">
        <v>772</v>
      </c>
      <c r="F6539">
        <v>7</v>
      </c>
      <c r="G6539" s="308">
        <f>COMEDORES!Q131</f>
        <v>4025</v>
      </c>
      <c r="H6539" s="308">
        <f>COMEDORES!R131</f>
        <v>326550</v>
      </c>
    </row>
    <row r="6540" spans="1:8" x14ac:dyDescent="0.3">
      <c r="A6540" t="s">
        <v>628</v>
      </c>
      <c r="B6540" t="s">
        <v>100</v>
      </c>
      <c r="C6540" t="s">
        <v>109</v>
      </c>
      <c r="D6540" t="s">
        <v>746</v>
      </c>
      <c r="E6540" t="s">
        <v>766</v>
      </c>
      <c r="F6540">
        <v>1</v>
      </c>
      <c r="G6540" s="308">
        <f>COMEDORES!E132</f>
        <v>5130</v>
      </c>
      <c r="H6540" s="308">
        <f>COMEDORES!F132</f>
        <v>0</v>
      </c>
    </row>
    <row r="6541" spans="1:8" x14ac:dyDescent="0.3">
      <c r="A6541" t="s">
        <v>628</v>
      </c>
      <c r="B6541" t="s">
        <v>100</v>
      </c>
      <c r="C6541" t="s">
        <v>109</v>
      </c>
      <c r="D6541" t="s">
        <v>746</v>
      </c>
      <c r="E6541" t="s">
        <v>767</v>
      </c>
      <c r="F6541">
        <v>2</v>
      </c>
      <c r="G6541" s="308">
        <f>COMEDORES!G132</f>
        <v>6050</v>
      </c>
      <c r="H6541" s="308">
        <f>COMEDORES!H132</f>
        <v>0</v>
      </c>
    </row>
    <row r="6542" spans="1:8" x14ac:dyDescent="0.3">
      <c r="A6542" t="s">
        <v>628</v>
      </c>
      <c r="B6542" t="s">
        <v>100</v>
      </c>
      <c r="C6542" t="s">
        <v>109</v>
      </c>
      <c r="D6542" t="s">
        <v>746</v>
      </c>
      <c r="E6542" t="s">
        <v>768</v>
      </c>
      <c r="F6542">
        <v>3</v>
      </c>
      <c r="G6542" s="308">
        <f>COMEDORES!I132</f>
        <v>8800</v>
      </c>
      <c r="H6542" s="308">
        <f>COMEDORES!J132</f>
        <v>0</v>
      </c>
    </row>
    <row r="6543" spans="1:8" x14ac:dyDescent="0.3">
      <c r="A6543" t="s">
        <v>628</v>
      </c>
      <c r="B6543" t="s">
        <v>100</v>
      </c>
      <c r="C6543" t="s">
        <v>109</v>
      </c>
      <c r="D6543" t="s">
        <v>746</v>
      </c>
      <c r="E6543" t="s">
        <v>769</v>
      </c>
      <c r="F6543">
        <v>4</v>
      </c>
      <c r="G6543" s="308">
        <f>COMEDORES!K132</f>
        <v>7600</v>
      </c>
      <c r="H6543" s="308">
        <f>COMEDORES!L132</f>
        <v>0</v>
      </c>
    </row>
    <row r="6544" spans="1:8" x14ac:dyDescent="0.3">
      <c r="A6544" t="s">
        <v>628</v>
      </c>
      <c r="B6544" t="s">
        <v>100</v>
      </c>
      <c r="C6544" t="s">
        <v>109</v>
      </c>
      <c r="D6544" t="s">
        <v>746</v>
      </c>
      <c r="E6544" t="s">
        <v>770</v>
      </c>
      <c r="F6544">
        <v>5</v>
      </c>
      <c r="G6544" s="308">
        <f>COMEDORES!M132</f>
        <v>8000</v>
      </c>
      <c r="H6544" s="308">
        <f>COMEDORES!N132</f>
        <v>0</v>
      </c>
    </row>
    <row r="6545" spans="1:8" x14ac:dyDescent="0.3">
      <c r="A6545" t="s">
        <v>628</v>
      </c>
      <c r="B6545" t="s">
        <v>100</v>
      </c>
      <c r="C6545" t="s">
        <v>109</v>
      </c>
      <c r="D6545" t="s">
        <v>746</v>
      </c>
      <c r="E6545" t="s">
        <v>771</v>
      </c>
      <c r="F6545">
        <v>6</v>
      </c>
      <c r="G6545" s="308">
        <f>COMEDORES!O132</f>
        <v>8400</v>
      </c>
      <c r="H6545" s="308">
        <f>COMEDORES!P132</f>
        <v>0</v>
      </c>
    </row>
    <row r="6546" spans="1:8" x14ac:dyDescent="0.3">
      <c r="A6546" t="s">
        <v>628</v>
      </c>
      <c r="B6546" t="s">
        <v>100</v>
      </c>
      <c r="C6546" t="s">
        <v>109</v>
      </c>
      <c r="D6546" t="s">
        <v>746</v>
      </c>
      <c r="E6546" t="s">
        <v>772</v>
      </c>
      <c r="F6546">
        <v>7</v>
      </c>
      <c r="G6546" s="308">
        <f>COMEDORES!Q132</f>
        <v>9200</v>
      </c>
      <c r="H6546" s="308">
        <f>COMEDORES!R132</f>
        <v>0</v>
      </c>
    </row>
    <row r="6547" spans="1:8" x14ac:dyDescent="0.3">
      <c r="A6547" t="s">
        <v>628</v>
      </c>
      <c r="B6547" t="s">
        <v>100</v>
      </c>
      <c r="C6547" t="s">
        <v>393</v>
      </c>
      <c r="D6547" t="s">
        <v>745</v>
      </c>
      <c r="E6547" t="s">
        <v>766</v>
      </c>
      <c r="F6547">
        <v>1</v>
      </c>
      <c r="G6547" s="308">
        <f>COMEDORES!E133</f>
        <v>3060</v>
      </c>
      <c r="H6547" s="308">
        <f>COMEDORES!F133</f>
        <v>0</v>
      </c>
    </row>
    <row r="6548" spans="1:8" x14ac:dyDescent="0.3">
      <c r="A6548" t="s">
        <v>628</v>
      </c>
      <c r="B6548" t="s">
        <v>100</v>
      </c>
      <c r="C6548" t="s">
        <v>393</v>
      </c>
      <c r="D6548" t="s">
        <v>745</v>
      </c>
      <c r="E6548" t="s">
        <v>767</v>
      </c>
      <c r="F6548">
        <v>2</v>
      </c>
      <c r="G6548" s="308">
        <f>COMEDORES!G133</f>
        <v>4000</v>
      </c>
      <c r="H6548" s="308">
        <f>COMEDORES!H133</f>
        <v>170005.5</v>
      </c>
    </row>
    <row r="6549" spans="1:8" x14ac:dyDescent="0.3">
      <c r="A6549" t="s">
        <v>628</v>
      </c>
      <c r="B6549" t="s">
        <v>100</v>
      </c>
      <c r="C6549" t="s">
        <v>393</v>
      </c>
      <c r="D6549" t="s">
        <v>745</v>
      </c>
      <c r="E6549" t="s">
        <v>768</v>
      </c>
      <c r="F6549">
        <v>3</v>
      </c>
      <c r="G6549" s="308">
        <f>COMEDORES!I133</f>
        <v>4400</v>
      </c>
      <c r="H6549" s="308">
        <f>COMEDORES!J133</f>
        <v>136912.5</v>
      </c>
    </row>
    <row r="6550" spans="1:8" x14ac:dyDescent="0.3">
      <c r="A6550" t="s">
        <v>628</v>
      </c>
      <c r="B6550" t="s">
        <v>100</v>
      </c>
      <c r="C6550" t="s">
        <v>393</v>
      </c>
      <c r="D6550" t="s">
        <v>745</v>
      </c>
      <c r="E6550" t="s">
        <v>769</v>
      </c>
      <c r="F6550">
        <v>4</v>
      </c>
      <c r="G6550" s="308">
        <f>COMEDORES!K133</f>
        <v>3800</v>
      </c>
      <c r="H6550" s="308">
        <f>COMEDORES!L133</f>
        <v>363150</v>
      </c>
    </row>
    <row r="6551" spans="1:8" x14ac:dyDescent="0.3">
      <c r="A6551" t="s">
        <v>628</v>
      </c>
      <c r="B6551" t="s">
        <v>100</v>
      </c>
      <c r="C6551" t="s">
        <v>393</v>
      </c>
      <c r="D6551" t="s">
        <v>745</v>
      </c>
      <c r="E6551" t="s">
        <v>770</v>
      </c>
      <c r="F6551">
        <v>5</v>
      </c>
      <c r="G6551" s="308">
        <f>COMEDORES!M133</f>
        <v>4000</v>
      </c>
      <c r="H6551" s="308">
        <f>COMEDORES!N133</f>
        <v>255550</v>
      </c>
    </row>
    <row r="6552" spans="1:8" x14ac:dyDescent="0.3">
      <c r="A6552" t="s">
        <v>628</v>
      </c>
      <c r="B6552" t="s">
        <v>100</v>
      </c>
      <c r="C6552" t="s">
        <v>393</v>
      </c>
      <c r="D6552" t="s">
        <v>745</v>
      </c>
      <c r="E6552" t="s">
        <v>771</v>
      </c>
      <c r="F6552">
        <v>6</v>
      </c>
      <c r="G6552" s="308">
        <f>COMEDORES!O133</f>
        <v>4200</v>
      </c>
      <c r="H6552" s="308">
        <f>COMEDORES!P133</f>
        <v>269000</v>
      </c>
    </row>
    <row r="6553" spans="1:8" x14ac:dyDescent="0.3">
      <c r="A6553" t="s">
        <v>628</v>
      </c>
      <c r="B6553" t="s">
        <v>100</v>
      </c>
      <c r="C6553" t="s">
        <v>393</v>
      </c>
      <c r="D6553" t="s">
        <v>745</v>
      </c>
      <c r="E6553" t="s">
        <v>772</v>
      </c>
      <c r="F6553">
        <v>7</v>
      </c>
      <c r="G6553" s="308">
        <f>COMEDORES!Q133</f>
        <v>4600</v>
      </c>
      <c r="H6553" s="308">
        <f>COMEDORES!R133</f>
        <v>282450</v>
      </c>
    </row>
    <row r="6554" spans="1:8" x14ac:dyDescent="0.3">
      <c r="A6554" t="s">
        <v>628</v>
      </c>
      <c r="B6554" t="s">
        <v>100</v>
      </c>
      <c r="C6554" t="s">
        <v>393</v>
      </c>
      <c r="D6554" t="s">
        <v>746</v>
      </c>
      <c r="E6554" t="s">
        <v>766</v>
      </c>
      <c r="F6554">
        <v>1</v>
      </c>
      <c r="G6554" s="308">
        <f>COMEDORES!E134</f>
        <v>5130</v>
      </c>
      <c r="H6554" s="308">
        <f>COMEDORES!F134</f>
        <v>0</v>
      </c>
    </row>
    <row r="6555" spans="1:8" x14ac:dyDescent="0.3">
      <c r="A6555" t="s">
        <v>628</v>
      </c>
      <c r="B6555" t="s">
        <v>100</v>
      </c>
      <c r="C6555" t="s">
        <v>393</v>
      </c>
      <c r="D6555" t="s">
        <v>746</v>
      </c>
      <c r="E6555" t="s">
        <v>767</v>
      </c>
      <c r="F6555">
        <v>2</v>
      </c>
      <c r="G6555" s="308">
        <f>COMEDORES!G134</f>
        <v>5550</v>
      </c>
      <c r="H6555" s="308">
        <f>COMEDORES!H134</f>
        <v>0</v>
      </c>
    </row>
    <row r="6556" spans="1:8" x14ac:dyDescent="0.3">
      <c r="A6556" t="s">
        <v>628</v>
      </c>
      <c r="B6556" t="s">
        <v>100</v>
      </c>
      <c r="C6556" t="s">
        <v>393</v>
      </c>
      <c r="D6556" t="s">
        <v>746</v>
      </c>
      <c r="E6556" t="s">
        <v>768</v>
      </c>
      <c r="F6556">
        <v>3</v>
      </c>
      <c r="G6556" s="308">
        <f>COMEDORES!I134</f>
        <v>6600</v>
      </c>
      <c r="H6556" s="308">
        <f>COMEDORES!J134</f>
        <v>0</v>
      </c>
    </row>
    <row r="6557" spans="1:8" x14ac:dyDescent="0.3">
      <c r="A6557" t="s">
        <v>628</v>
      </c>
      <c r="B6557" t="s">
        <v>100</v>
      </c>
      <c r="C6557" t="s">
        <v>393</v>
      </c>
      <c r="D6557" t="s">
        <v>746</v>
      </c>
      <c r="E6557" t="s">
        <v>769</v>
      </c>
      <c r="F6557">
        <v>4</v>
      </c>
      <c r="G6557" s="308">
        <f>COMEDORES!K134</f>
        <v>5700</v>
      </c>
      <c r="H6557" s="308">
        <f>COMEDORES!L134</f>
        <v>0</v>
      </c>
    </row>
    <row r="6558" spans="1:8" x14ac:dyDescent="0.3">
      <c r="A6558" t="s">
        <v>628</v>
      </c>
      <c r="B6558" t="s">
        <v>100</v>
      </c>
      <c r="C6558" t="s">
        <v>393</v>
      </c>
      <c r="D6558" t="s">
        <v>746</v>
      </c>
      <c r="E6558" t="s">
        <v>770</v>
      </c>
      <c r="F6558">
        <v>5</v>
      </c>
      <c r="G6558" s="308">
        <f>COMEDORES!M134</f>
        <v>6000</v>
      </c>
      <c r="H6558" s="308">
        <f>COMEDORES!N134</f>
        <v>0</v>
      </c>
    </row>
    <row r="6559" spans="1:8" x14ac:dyDescent="0.3">
      <c r="A6559" t="s">
        <v>628</v>
      </c>
      <c r="B6559" t="s">
        <v>100</v>
      </c>
      <c r="C6559" t="s">
        <v>393</v>
      </c>
      <c r="D6559" t="s">
        <v>746</v>
      </c>
      <c r="E6559" t="s">
        <v>771</v>
      </c>
      <c r="F6559">
        <v>6</v>
      </c>
      <c r="G6559" s="308">
        <f>COMEDORES!O134</f>
        <v>6300</v>
      </c>
      <c r="H6559" s="308">
        <f>COMEDORES!P134</f>
        <v>0</v>
      </c>
    </row>
    <row r="6560" spans="1:8" x14ac:dyDescent="0.3">
      <c r="A6560" t="s">
        <v>628</v>
      </c>
      <c r="B6560" t="s">
        <v>100</v>
      </c>
      <c r="C6560" t="s">
        <v>393</v>
      </c>
      <c r="D6560" t="s">
        <v>746</v>
      </c>
      <c r="E6560" t="s">
        <v>772</v>
      </c>
      <c r="F6560">
        <v>7</v>
      </c>
      <c r="G6560" s="308">
        <f>COMEDORES!Q134</f>
        <v>6900</v>
      </c>
      <c r="H6560" s="308">
        <f>COMEDORES!R134</f>
        <v>0</v>
      </c>
    </row>
    <row r="6561" spans="1:8" x14ac:dyDescent="0.3">
      <c r="A6561" t="s">
        <v>628</v>
      </c>
      <c r="B6561" t="s">
        <v>100</v>
      </c>
      <c r="C6561" t="s">
        <v>116</v>
      </c>
      <c r="D6561" t="s">
        <v>745</v>
      </c>
      <c r="E6561" t="s">
        <v>766</v>
      </c>
      <c r="F6561">
        <v>1</v>
      </c>
      <c r="G6561" s="308">
        <f>COMEDORES!E135</f>
        <v>0</v>
      </c>
      <c r="H6561" s="308">
        <f>COMEDORES!F135</f>
        <v>0</v>
      </c>
    </row>
    <row r="6562" spans="1:8" x14ac:dyDescent="0.3">
      <c r="A6562" t="s">
        <v>628</v>
      </c>
      <c r="B6562" t="s">
        <v>100</v>
      </c>
      <c r="C6562" t="s">
        <v>116</v>
      </c>
      <c r="D6562" t="s">
        <v>745</v>
      </c>
      <c r="E6562" t="s">
        <v>767</v>
      </c>
      <c r="F6562">
        <v>2</v>
      </c>
      <c r="G6562" s="308">
        <f>COMEDORES!G135</f>
        <v>0</v>
      </c>
      <c r="H6562" s="308">
        <f>COMEDORES!H135</f>
        <v>0</v>
      </c>
    </row>
    <row r="6563" spans="1:8" x14ac:dyDescent="0.3">
      <c r="A6563" t="s">
        <v>628</v>
      </c>
      <c r="B6563" t="s">
        <v>100</v>
      </c>
      <c r="C6563" t="s">
        <v>116</v>
      </c>
      <c r="D6563" t="s">
        <v>745</v>
      </c>
      <c r="E6563" t="s">
        <v>768</v>
      </c>
      <c r="F6563">
        <v>3</v>
      </c>
      <c r="G6563" s="308">
        <f>COMEDORES!I135</f>
        <v>0</v>
      </c>
      <c r="H6563" s="308">
        <f>COMEDORES!J135</f>
        <v>0</v>
      </c>
    </row>
    <row r="6564" spans="1:8" x14ac:dyDescent="0.3">
      <c r="A6564" t="s">
        <v>628</v>
      </c>
      <c r="B6564" t="s">
        <v>100</v>
      </c>
      <c r="C6564" t="s">
        <v>116</v>
      </c>
      <c r="D6564" t="s">
        <v>745</v>
      </c>
      <c r="E6564" t="s">
        <v>769</v>
      </c>
      <c r="F6564">
        <v>4</v>
      </c>
      <c r="G6564" s="308">
        <f>COMEDORES!K135</f>
        <v>0</v>
      </c>
      <c r="H6564" s="308">
        <f>COMEDORES!L135</f>
        <v>0</v>
      </c>
    </row>
    <row r="6565" spans="1:8" x14ac:dyDescent="0.3">
      <c r="A6565" t="s">
        <v>628</v>
      </c>
      <c r="B6565" t="s">
        <v>100</v>
      </c>
      <c r="C6565" t="s">
        <v>116</v>
      </c>
      <c r="D6565" t="s">
        <v>745</v>
      </c>
      <c r="E6565" t="s">
        <v>770</v>
      </c>
      <c r="F6565">
        <v>5</v>
      </c>
      <c r="G6565" s="308">
        <f>COMEDORES!M135</f>
        <v>0</v>
      </c>
      <c r="H6565" s="308">
        <f>COMEDORES!N135</f>
        <v>0</v>
      </c>
    </row>
    <row r="6566" spans="1:8" x14ac:dyDescent="0.3">
      <c r="A6566" t="s">
        <v>628</v>
      </c>
      <c r="B6566" t="s">
        <v>100</v>
      </c>
      <c r="C6566" t="s">
        <v>116</v>
      </c>
      <c r="D6566" t="s">
        <v>745</v>
      </c>
      <c r="E6566" t="s">
        <v>771</v>
      </c>
      <c r="F6566">
        <v>6</v>
      </c>
      <c r="G6566" s="308">
        <f>COMEDORES!O135</f>
        <v>750</v>
      </c>
      <c r="H6566" s="308">
        <f>COMEDORES!P135</f>
        <v>0</v>
      </c>
    </row>
    <row r="6567" spans="1:8" x14ac:dyDescent="0.3">
      <c r="A6567" t="s">
        <v>628</v>
      </c>
      <c r="B6567" t="s">
        <v>100</v>
      </c>
      <c r="C6567" t="s">
        <v>116</v>
      </c>
      <c r="D6567" t="s">
        <v>745</v>
      </c>
      <c r="E6567" t="s">
        <v>772</v>
      </c>
      <c r="F6567">
        <v>7</v>
      </c>
      <c r="G6567" s="308">
        <f>COMEDORES!Q135</f>
        <v>4200</v>
      </c>
      <c r="H6567" s="308">
        <f>COMEDORES!R135</f>
        <v>0</v>
      </c>
    </row>
    <row r="6568" spans="1:8" x14ac:dyDescent="0.3">
      <c r="A6568" t="s">
        <v>628</v>
      </c>
      <c r="B6568" t="s">
        <v>100</v>
      </c>
      <c r="C6568" t="s">
        <v>116</v>
      </c>
      <c r="D6568" t="s">
        <v>746</v>
      </c>
      <c r="E6568" t="s">
        <v>766</v>
      </c>
      <c r="F6568">
        <v>1</v>
      </c>
      <c r="G6568" s="308">
        <f>COMEDORES!E136</f>
        <v>0</v>
      </c>
      <c r="H6568" s="308">
        <f>COMEDORES!F136</f>
        <v>0</v>
      </c>
    </row>
    <row r="6569" spans="1:8" x14ac:dyDescent="0.3">
      <c r="A6569" t="s">
        <v>628</v>
      </c>
      <c r="B6569" t="s">
        <v>100</v>
      </c>
      <c r="C6569" t="s">
        <v>116</v>
      </c>
      <c r="D6569" t="s">
        <v>746</v>
      </c>
      <c r="E6569" t="s">
        <v>767</v>
      </c>
      <c r="F6569">
        <v>2</v>
      </c>
      <c r="G6569" s="308">
        <f>COMEDORES!G136</f>
        <v>0</v>
      </c>
      <c r="H6569" s="308">
        <f>COMEDORES!H136</f>
        <v>0</v>
      </c>
    </row>
    <row r="6570" spans="1:8" x14ac:dyDescent="0.3">
      <c r="A6570" t="s">
        <v>628</v>
      </c>
      <c r="B6570" t="s">
        <v>100</v>
      </c>
      <c r="C6570" t="s">
        <v>116</v>
      </c>
      <c r="D6570" t="s">
        <v>746</v>
      </c>
      <c r="E6570" t="s">
        <v>768</v>
      </c>
      <c r="F6570">
        <v>3</v>
      </c>
      <c r="G6570" s="308">
        <f>COMEDORES!I136</f>
        <v>0</v>
      </c>
      <c r="H6570" s="308">
        <f>COMEDORES!J136</f>
        <v>0</v>
      </c>
    </row>
    <row r="6571" spans="1:8" x14ac:dyDescent="0.3">
      <c r="A6571" t="s">
        <v>628</v>
      </c>
      <c r="B6571" t="s">
        <v>100</v>
      </c>
      <c r="C6571" t="s">
        <v>116</v>
      </c>
      <c r="D6571" t="s">
        <v>746</v>
      </c>
      <c r="E6571" t="s">
        <v>769</v>
      </c>
      <c r="F6571">
        <v>4</v>
      </c>
      <c r="G6571" s="308">
        <f>COMEDORES!K136</f>
        <v>0</v>
      </c>
      <c r="H6571" s="308">
        <f>COMEDORES!L136</f>
        <v>0</v>
      </c>
    </row>
    <row r="6572" spans="1:8" x14ac:dyDescent="0.3">
      <c r="A6572" t="s">
        <v>628</v>
      </c>
      <c r="B6572" t="s">
        <v>100</v>
      </c>
      <c r="C6572" t="s">
        <v>116</v>
      </c>
      <c r="D6572" t="s">
        <v>746</v>
      </c>
      <c r="E6572" t="s">
        <v>770</v>
      </c>
      <c r="F6572">
        <v>5</v>
      </c>
      <c r="G6572" s="308">
        <f>COMEDORES!M136</f>
        <v>0</v>
      </c>
      <c r="H6572" s="308">
        <f>COMEDORES!N136</f>
        <v>0</v>
      </c>
    </row>
    <row r="6573" spans="1:8" x14ac:dyDescent="0.3">
      <c r="A6573" t="s">
        <v>628</v>
      </c>
      <c r="B6573" t="s">
        <v>100</v>
      </c>
      <c r="C6573" t="s">
        <v>116</v>
      </c>
      <c r="D6573" t="s">
        <v>746</v>
      </c>
      <c r="E6573" t="s">
        <v>771</v>
      </c>
      <c r="F6573">
        <v>6</v>
      </c>
      <c r="G6573" s="308">
        <f>COMEDORES!O136</f>
        <v>1000</v>
      </c>
      <c r="H6573" s="308">
        <f>COMEDORES!P136</f>
        <v>0</v>
      </c>
    </row>
    <row r="6574" spans="1:8" x14ac:dyDescent="0.3">
      <c r="A6574" t="s">
        <v>628</v>
      </c>
      <c r="B6574" t="s">
        <v>100</v>
      </c>
      <c r="C6574" t="s">
        <v>116</v>
      </c>
      <c r="D6574" t="s">
        <v>746</v>
      </c>
      <c r="E6574" t="s">
        <v>772</v>
      </c>
      <c r="F6574">
        <v>7</v>
      </c>
      <c r="G6574" s="308">
        <f>COMEDORES!Q136</f>
        <v>5593</v>
      </c>
      <c r="H6574" s="308">
        <f>COMEDORES!R136</f>
        <v>0</v>
      </c>
    </row>
    <row r="6575" spans="1:8" x14ac:dyDescent="0.3">
      <c r="A6575" t="s">
        <v>628</v>
      </c>
      <c r="B6575" t="s">
        <v>117</v>
      </c>
      <c r="C6575" t="s">
        <v>118</v>
      </c>
      <c r="D6575" t="s">
        <v>745</v>
      </c>
      <c r="E6575" t="s">
        <v>766</v>
      </c>
      <c r="F6575">
        <v>1</v>
      </c>
      <c r="G6575" s="308">
        <f>COMEDORES!E137</f>
        <v>1800</v>
      </c>
      <c r="H6575" s="308">
        <f>COMEDORES!F137</f>
        <v>0</v>
      </c>
    </row>
    <row r="6576" spans="1:8" x14ac:dyDescent="0.3">
      <c r="A6576" t="s">
        <v>628</v>
      </c>
      <c r="B6576" t="s">
        <v>117</v>
      </c>
      <c r="C6576" t="s">
        <v>118</v>
      </c>
      <c r="D6576" t="s">
        <v>745</v>
      </c>
      <c r="E6576" t="s">
        <v>767</v>
      </c>
      <c r="F6576">
        <v>2</v>
      </c>
      <c r="G6576" s="308">
        <f>COMEDORES!G137</f>
        <v>2000</v>
      </c>
      <c r="H6576" s="308">
        <f>COMEDORES!H137</f>
        <v>0</v>
      </c>
    </row>
    <row r="6577" spans="1:8" x14ac:dyDescent="0.3">
      <c r="A6577" t="s">
        <v>628</v>
      </c>
      <c r="B6577" t="s">
        <v>117</v>
      </c>
      <c r="C6577" t="s">
        <v>118</v>
      </c>
      <c r="D6577" t="s">
        <v>745</v>
      </c>
      <c r="E6577" t="s">
        <v>768</v>
      </c>
      <c r="F6577">
        <v>3</v>
      </c>
      <c r="G6577" s="308">
        <f>COMEDORES!I137</f>
        <v>2200</v>
      </c>
      <c r="H6577" s="308">
        <f>COMEDORES!J137</f>
        <v>344536.5</v>
      </c>
    </row>
    <row r="6578" spans="1:8" x14ac:dyDescent="0.3">
      <c r="A6578" t="s">
        <v>628</v>
      </c>
      <c r="B6578" t="s">
        <v>117</v>
      </c>
      <c r="C6578" t="s">
        <v>118</v>
      </c>
      <c r="D6578" t="s">
        <v>745</v>
      </c>
      <c r="E6578" t="s">
        <v>769</v>
      </c>
      <c r="F6578">
        <v>4</v>
      </c>
      <c r="G6578" s="308">
        <f>COMEDORES!K137</f>
        <v>1900</v>
      </c>
      <c r="H6578" s="308">
        <f>COMEDORES!L137</f>
        <v>196251</v>
      </c>
    </row>
    <row r="6579" spans="1:8" x14ac:dyDescent="0.3">
      <c r="A6579" t="s">
        <v>628</v>
      </c>
      <c r="B6579" t="s">
        <v>117</v>
      </c>
      <c r="C6579" t="s">
        <v>118</v>
      </c>
      <c r="D6579" t="s">
        <v>745</v>
      </c>
      <c r="E6579" t="s">
        <v>770</v>
      </c>
      <c r="F6579">
        <v>5</v>
      </c>
      <c r="G6579" s="308">
        <f>COMEDORES!M137</f>
        <v>1989</v>
      </c>
      <c r="H6579" s="308">
        <f>COMEDORES!N137</f>
        <v>169489.5</v>
      </c>
    </row>
    <row r="6580" spans="1:8" x14ac:dyDescent="0.3">
      <c r="A6580" t="s">
        <v>628</v>
      </c>
      <c r="B6580" t="s">
        <v>117</v>
      </c>
      <c r="C6580" t="s">
        <v>118</v>
      </c>
      <c r="D6580" t="s">
        <v>745</v>
      </c>
      <c r="E6580" t="s">
        <v>771</v>
      </c>
      <c r="F6580">
        <v>6</v>
      </c>
      <c r="G6580" s="308">
        <f>COMEDORES!O137</f>
        <v>2000</v>
      </c>
      <c r="H6580" s="308">
        <f>COMEDORES!P137</f>
        <v>178040.06999999995</v>
      </c>
    </row>
    <row r="6581" spans="1:8" x14ac:dyDescent="0.3">
      <c r="A6581" t="s">
        <v>628</v>
      </c>
      <c r="B6581" t="s">
        <v>117</v>
      </c>
      <c r="C6581" t="s">
        <v>118</v>
      </c>
      <c r="D6581" t="s">
        <v>745</v>
      </c>
      <c r="E6581" t="s">
        <v>772</v>
      </c>
      <c r="F6581">
        <v>7</v>
      </c>
      <c r="G6581" s="308">
        <f>COMEDORES!Q137</f>
        <v>1725</v>
      </c>
      <c r="H6581" s="308">
        <f>COMEDORES!R137</f>
        <v>178410.00000000012</v>
      </c>
    </row>
    <row r="6582" spans="1:8" x14ac:dyDescent="0.3">
      <c r="A6582" t="s">
        <v>628</v>
      </c>
      <c r="B6582" t="s">
        <v>117</v>
      </c>
      <c r="C6582" t="s">
        <v>118</v>
      </c>
      <c r="D6582" t="s">
        <v>746</v>
      </c>
      <c r="E6582" t="s">
        <v>766</v>
      </c>
      <c r="F6582">
        <v>1</v>
      </c>
      <c r="G6582" s="308">
        <f>COMEDORES!E138</f>
        <v>2850</v>
      </c>
      <c r="H6582" s="308">
        <f>COMEDORES!F138</f>
        <v>0</v>
      </c>
    </row>
    <row r="6583" spans="1:8" x14ac:dyDescent="0.3">
      <c r="A6583" t="s">
        <v>628</v>
      </c>
      <c r="B6583" t="s">
        <v>117</v>
      </c>
      <c r="C6583" t="s">
        <v>118</v>
      </c>
      <c r="D6583" t="s">
        <v>746</v>
      </c>
      <c r="E6583" t="s">
        <v>767</v>
      </c>
      <c r="F6583">
        <v>2</v>
      </c>
      <c r="G6583" s="308">
        <f>COMEDORES!G138</f>
        <v>3000</v>
      </c>
      <c r="H6583" s="308">
        <f>COMEDORES!H138</f>
        <v>0</v>
      </c>
    </row>
    <row r="6584" spans="1:8" x14ac:dyDescent="0.3">
      <c r="A6584" t="s">
        <v>628</v>
      </c>
      <c r="B6584" t="s">
        <v>117</v>
      </c>
      <c r="C6584" t="s">
        <v>118</v>
      </c>
      <c r="D6584" t="s">
        <v>746</v>
      </c>
      <c r="E6584" t="s">
        <v>768</v>
      </c>
      <c r="F6584">
        <v>3</v>
      </c>
      <c r="G6584" s="308">
        <f>COMEDORES!I138</f>
        <v>3300</v>
      </c>
      <c r="H6584" s="308">
        <f>COMEDORES!J138</f>
        <v>0</v>
      </c>
    </row>
    <row r="6585" spans="1:8" x14ac:dyDescent="0.3">
      <c r="A6585" t="s">
        <v>628</v>
      </c>
      <c r="B6585" t="s">
        <v>117</v>
      </c>
      <c r="C6585" t="s">
        <v>118</v>
      </c>
      <c r="D6585" t="s">
        <v>746</v>
      </c>
      <c r="E6585" t="s">
        <v>769</v>
      </c>
      <c r="F6585">
        <v>4</v>
      </c>
      <c r="G6585" s="308">
        <f>COMEDORES!K138</f>
        <v>2850</v>
      </c>
      <c r="H6585" s="308">
        <f>COMEDORES!L138</f>
        <v>0</v>
      </c>
    </row>
    <row r="6586" spans="1:8" x14ac:dyDescent="0.3">
      <c r="A6586" t="s">
        <v>628</v>
      </c>
      <c r="B6586" t="s">
        <v>117</v>
      </c>
      <c r="C6586" t="s">
        <v>118</v>
      </c>
      <c r="D6586" t="s">
        <v>746</v>
      </c>
      <c r="E6586" t="s">
        <v>770</v>
      </c>
      <c r="F6586">
        <v>5</v>
      </c>
      <c r="G6586" s="308">
        <f>COMEDORES!M138</f>
        <v>3000</v>
      </c>
      <c r="H6586" s="308">
        <f>COMEDORES!N138</f>
        <v>0</v>
      </c>
    </row>
    <row r="6587" spans="1:8" x14ac:dyDescent="0.3">
      <c r="A6587" t="s">
        <v>628</v>
      </c>
      <c r="B6587" t="s">
        <v>117</v>
      </c>
      <c r="C6587" t="s">
        <v>118</v>
      </c>
      <c r="D6587" t="s">
        <v>746</v>
      </c>
      <c r="E6587" t="s">
        <v>771</v>
      </c>
      <c r="F6587">
        <v>6</v>
      </c>
      <c r="G6587" s="308">
        <f>COMEDORES!O138</f>
        <v>3000</v>
      </c>
      <c r="H6587" s="308">
        <f>COMEDORES!P138</f>
        <v>0</v>
      </c>
    </row>
    <row r="6588" spans="1:8" x14ac:dyDescent="0.3">
      <c r="A6588" t="s">
        <v>628</v>
      </c>
      <c r="B6588" t="s">
        <v>117</v>
      </c>
      <c r="C6588" t="s">
        <v>118</v>
      </c>
      <c r="D6588" t="s">
        <v>746</v>
      </c>
      <c r="E6588" t="s">
        <v>772</v>
      </c>
      <c r="F6588">
        <v>7</v>
      </c>
      <c r="G6588" s="308">
        <f>COMEDORES!Q138</f>
        <v>3450</v>
      </c>
      <c r="H6588" s="308">
        <f>COMEDORES!R138</f>
        <v>0</v>
      </c>
    </row>
    <row r="6589" spans="1:8" x14ac:dyDescent="0.3">
      <c r="A6589" t="s">
        <v>628</v>
      </c>
      <c r="B6589" t="s">
        <v>117</v>
      </c>
      <c r="C6589" t="s">
        <v>117</v>
      </c>
      <c r="D6589" t="s">
        <v>745</v>
      </c>
      <c r="E6589" t="s">
        <v>766</v>
      </c>
      <c r="F6589">
        <v>1</v>
      </c>
      <c r="G6589" s="308">
        <f>COMEDORES!E139</f>
        <v>1800</v>
      </c>
      <c r="H6589" s="308">
        <f>COMEDORES!F139</f>
        <v>0</v>
      </c>
    </row>
    <row r="6590" spans="1:8" x14ac:dyDescent="0.3">
      <c r="A6590" t="s">
        <v>628</v>
      </c>
      <c r="B6590" t="s">
        <v>117</v>
      </c>
      <c r="C6590" t="s">
        <v>117</v>
      </c>
      <c r="D6590" t="s">
        <v>745</v>
      </c>
      <c r="E6590" t="s">
        <v>767</v>
      </c>
      <c r="F6590">
        <v>2</v>
      </c>
      <c r="G6590" s="308">
        <f>COMEDORES!G139</f>
        <v>2000</v>
      </c>
      <c r="H6590" s="308">
        <f>COMEDORES!H139</f>
        <v>0</v>
      </c>
    </row>
    <row r="6591" spans="1:8" x14ac:dyDescent="0.3">
      <c r="A6591" t="s">
        <v>628</v>
      </c>
      <c r="B6591" t="s">
        <v>117</v>
      </c>
      <c r="C6591" t="s">
        <v>117</v>
      </c>
      <c r="D6591" t="s">
        <v>745</v>
      </c>
      <c r="E6591" t="s">
        <v>768</v>
      </c>
      <c r="F6591">
        <v>3</v>
      </c>
      <c r="G6591" s="308">
        <f>COMEDORES!I139</f>
        <v>2200</v>
      </c>
      <c r="H6591" s="308">
        <f>COMEDORES!J139</f>
        <v>331426.5</v>
      </c>
    </row>
    <row r="6592" spans="1:8" x14ac:dyDescent="0.3">
      <c r="A6592" t="s">
        <v>628</v>
      </c>
      <c r="B6592" t="s">
        <v>117</v>
      </c>
      <c r="C6592" t="s">
        <v>117</v>
      </c>
      <c r="D6592" t="s">
        <v>745</v>
      </c>
      <c r="E6592" t="s">
        <v>769</v>
      </c>
      <c r="F6592">
        <v>4</v>
      </c>
      <c r="G6592" s="308">
        <f>COMEDORES!K139</f>
        <v>1900</v>
      </c>
      <c r="H6592" s="308">
        <f>COMEDORES!L139</f>
        <v>191052</v>
      </c>
    </row>
    <row r="6593" spans="1:8" x14ac:dyDescent="0.3">
      <c r="A6593" t="s">
        <v>628</v>
      </c>
      <c r="B6593" t="s">
        <v>117</v>
      </c>
      <c r="C6593" t="s">
        <v>117</v>
      </c>
      <c r="D6593" t="s">
        <v>745</v>
      </c>
      <c r="E6593" t="s">
        <v>770</v>
      </c>
      <c r="F6593">
        <v>5</v>
      </c>
      <c r="G6593" s="308">
        <f>COMEDORES!M139</f>
        <v>2000</v>
      </c>
      <c r="H6593" s="308">
        <f>COMEDORES!N139</f>
        <v>0</v>
      </c>
    </row>
    <row r="6594" spans="1:8" x14ac:dyDescent="0.3">
      <c r="A6594" t="s">
        <v>628</v>
      </c>
      <c r="B6594" t="s">
        <v>117</v>
      </c>
      <c r="C6594" t="s">
        <v>117</v>
      </c>
      <c r="D6594" t="s">
        <v>745</v>
      </c>
      <c r="E6594" t="s">
        <v>771</v>
      </c>
      <c r="F6594">
        <v>6</v>
      </c>
      <c r="G6594" s="308">
        <f>COMEDORES!O139</f>
        <v>2100</v>
      </c>
      <c r="H6594" s="308">
        <f>COMEDORES!P139</f>
        <v>275445</v>
      </c>
    </row>
    <row r="6595" spans="1:8" x14ac:dyDescent="0.3">
      <c r="A6595" t="s">
        <v>628</v>
      </c>
      <c r="B6595" t="s">
        <v>117</v>
      </c>
      <c r="C6595" t="s">
        <v>117</v>
      </c>
      <c r="D6595" t="s">
        <v>745</v>
      </c>
      <c r="E6595" t="s">
        <v>772</v>
      </c>
      <c r="F6595">
        <v>7</v>
      </c>
      <c r="G6595" s="308">
        <f>COMEDORES!Q139</f>
        <v>2263</v>
      </c>
      <c r="H6595" s="308">
        <f>COMEDORES!R139</f>
        <v>149625</v>
      </c>
    </row>
    <row r="6596" spans="1:8" x14ac:dyDescent="0.3">
      <c r="A6596" t="s">
        <v>628</v>
      </c>
      <c r="B6596" t="s">
        <v>117</v>
      </c>
      <c r="C6596" t="s">
        <v>117</v>
      </c>
      <c r="D6596" t="s">
        <v>746</v>
      </c>
      <c r="E6596" t="s">
        <v>766</v>
      </c>
      <c r="F6596">
        <v>1</v>
      </c>
      <c r="G6596" s="308">
        <f>COMEDORES!E140</f>
        <v>3325</v>
      </c>
      <c r="H6596" s="308">
        <f>COMEDORES!F140</f>
        <v>0</v>
      </c>
    </row>
    <row r="6597" spans="1:8" x14ac:dyDescent="0.3">
      <c r="A6597" t="s">
        <v>628</v>
      </c>
      <c r="B6597" t="s">
        <v>117</v>
      </c>
      <c r="C6597" t="s">
        <v>117</v>
      </c>
      <c r="D6597" t="s">
        <v>746</v>
      </c>
      <c r="E6597" t="s">
        <v>767</v>
      </c>
      <c r="F6597">
        <v>2</v>
      </c>
      <c r="G6597" s="308">
        <f>COMEDORES!G140</f>
        <v>3500</v>
      </c>
      <c r="H6597" s="308">
        <f>COMEDORES!H140</f>
        <v>0</v>
      </c>
    </row>
    <row r="6598" spans="1:8" x14ac:dyDescent="0.3">
      <c r="A6598" t="s">
        <v>628</v>
      </c>
      <c r="B6598" t="s">
        <v>117</v>
      </c>
      <c r="C6598" t="s">
        <v>117</v>
      </c>
      <c r="D6598" t="s">
        <v>746</v>
      </c>
      <c r="E6598" t="s">
        <v>768</v>
      </c>
      <c r="F6598">
        <v>3</v>
      </c>
      <c r="G6598" s="308">
        <f>COMEDORES!I140</f>
        <v>3850</v>
      </c>
      <c r="H6598" s="308">
        <f>COMEDORES!J140</f>
        <v>0</v>
      </c>
    </row>
    <row r="6599" spans="1:8" x14ac:dyDescent="0.3">
      <c r="A6599" t="s">
        <v>628</v>
      </c>
      <c r="B6599" t="s">
        <v>117</v>
      </c>
      <c r="C6599" t="s">
        <v>117</v>
      </c>
      <c r="D6599" t="s">
        <v>746</v>
      </c>
      <c r="E6599" t="s">
        <v>769</v>
      </c>
      <c r="F6599">
        <v>4</v>
      </c>
      <c r="G6599" s="308">
        <f>COMEDORES!K140</f>
        <v>3325</v>
      </c>
      <c r="H6599" s="308">
        <f>COMEDORES!L140</f>
        <v>0</v>
      </c>
    </row>
    <row r="6600" spans="1:8" x14ac:dyDescent="0.3">
      <c r="A6600" t="s">
        <v>628</v>
      </c>
      <c r="B6600" t="s">
        <v>117</v>
      </c>
      <c r="C6600" t="s">
        <v>117</v>
      </c>
      <c r="D6600" t="s">
        <v>746</v>
      </c>
      <c r="E6600" t="s">
        <v>770</v>
      </c>
      <c r="F6600">
        <v>5</v>
      </c>
      <c r="G6600" s="308">
        <f>COMEDORES!M140</f>
        <v>3410</v>
      </c>
      <c r="H6600" s="308">
        <f>COMEDORES!N140</f>
        <v>0</v>
      </c>
    </row>
    <row r="6601" spans="1:8" x14ac:dyDescent="0.3">
      <c r="A6601" t="s">
        <v>628</v>
      </c>
      <c r="B6601" t="s">
        <v>117</v>
      </c>
      <c r="C6601" t="s">
        <v>117</v>
      </c>
      <c r="D6601" t="s">
        <v>746</v>
      </c>
      <c r="E6601" t="s">
        <v>771</v>
      </c>
      <c r="F6601">
        <v>6</v>
      </c>
      <c r="G6601" s="308">
        <f>COMEDORES!O140</f>
        <v>3675</v>
      </c>
      <c r="H6601" s="308">
        <f>COMEDORES!P140</f>
        <v>0</v>
      </c>
    </row>
    <row r="6602" spans="1:8" x14ac:dyDescent="0.3">
      <c r="A6602" t="s">
        <v>628</v>
      </c>
      <c r="B6602" t="s">
        <v>117</v>
      </c>
      <c r="C6602" t="s">
        <v>117</v>
      </c>
      <c r="D6602" t="s">
        <v>746</v>
      </c>
      <c r="E6602" t="s">
        <v>772</v>
      </c>
      <c r="F6602">
        <v>7</v>
      </c>
      <c r="G6602" s="308">
        <f>COMEDORES!Q140</f>
        <v>4025</v>
      </c>
      <c r="H6602" s="308">
        <f>COMEDORES!R140</f>
        <v>0</v>
      </c>
    </row>
    <row r="6603" spans="1:8" x14ac:dyDescent="0.3">
      <c r="A6603" t="s">
        <v>628</v>
      </c>
      <c r="B6603" t="s">
        <v>117</v>
      </c>
      <c r="C6603" t="s">
        <v>126</v>
      </c>
      <c r="D6603" t="s">
        <v>745</v>
      </c>
      <c r="E6603" t="s">
        <v>766</v>
      </c>
      <c r="F6603">
        <v>1</v>
      </c>
      <c r="G6603" s="308">
        <f>COMEDORES!E141</f>
        <v>1800</v>
      </c>
      <c r="H6603" s="308">
        <f>COMEDORES!F141</f>
        <v>0</v>
      </c>
    </row>
    <row r="6604" spans="1:8" x14ac:dyDescent="0.3">
      <c r="A6604" t="s">
        <v>628</v>
      </c>
      <c r="B6604" t="s">
        <v>117</v>
      </c>
      <c r="C6604" t="s">
        <v>126</v>
      </c>
      <c r="D6604" t="s">
        <v>745</v>
      </c>
      <c r="E6604" t="s">
        <v>767</v>
      </c>
      <c r="F6604">
        <v>2</v>
      </c>
      <c r="G6604" s="308">
        <f>COMEDORES!G141</f>
        <v>1700</v>
      </c>
      <c r="H6604" s="308">
        <f>COMEDORES!H141</f>
        <v>0</v>
      </c>
    </row>
    <row r="6605" spans="1:8" x14ac:dyDescent="0.3">
      <c r="A6605" t="s">
        <v>628</v>
      </c>
      <c r="B6605" t="s">
        <v>117</v>
      </c>
      <c r="C6605" t="s">
        <v>126</v>
      </c>
      <c r="D6605" t="s">
        <v>745</v>
      </c>
      <c r="E6605" t="s">
        <v>768</v>
      </c>
      <c r="F6605">
        <v>3</v>
      </c>
      <c r="G6605" s="308">
        <f>COMEDORES!I141</f>
        <v>2200</v>
      </c>
      <c r="H6605" s="308">
        <f>COMEDORES!J141</f>
        <v>344536.5</v>
      </c>
    </row>
    <row r="6606" spans="1:8" x14ac:dyDescent="0.3">
      <c r="A6606" t="s">
        <v>628</v>
      </c>
      <c r="B6606" t="s">
        <v>117</v>
      </c>
      <c r="C6606" t="s">
        <v>126</v>
      </c>
      <c r="D6606" t="s">
        <v>745</v>
      </c>
      <c r="E6606" t="s">
        <v>769</v>
      </c>
      <c r="F6606">
        <v>4</v>
      </c>
      <c r="G6606" s="308">
        <f>COMEDORES!K141</f>
        <v>1900</v>
      </c>
      <c r="H6606" s="308">
        <f>COMEDORES!L141</f>
        <v>196251</v>
      </c>
    </row>
    <row r="6607" spans="1:8" x14ac:dyDescent="0.3">
      <c r="A6607" t="s">
        <v>628</v>
      </c>
      <c r="B6607" t="s">
        <v>117</v>
      </c>
      <c r="C6607" t="s">
        <v>126</v>
      </c>
      <c r="D6607" t="s">
        <v>745</v>
      </c>
      <c r="E6607" t="s">
        <v>770</v>
      </c>
      <c r="F6607">
        <v>5</v>
      </c>
      <c r="G6607" s="308">
        <f>COMEDORES!M141</f>
        <v>0</v>
      </c>
      <c r="H6607" s="308">
        <f>COMEDORES!N141</f>
        <v>169489.5</v>
      </c>
    </row>
    <row r="6608" spans="1:8" x14ac:dyDescent="0.3">
      <c r="A6608" t="s">
        <v>628</v>
      </c>
      <c r="B6608" t="s">
        <v>117</v>
      </c>
      <c r="C6608" t="s">
        <v>126</v>
      </c>
      <c r="D6608" t="s">
        <v>745</v>
      </c>
      <c r="E6608" t="s">
        <v>771</v>
      </c>
      <c r="F6608">
        <v>6</v>
      </c>
      <c r="G6608" s="308">
        <f>COMEDORES!O141</f>
        <v>0</v>
      </c>
      <c r="H6608" s="308">
        <f>COMEDORES!P141</f>
        <v>0</v>
      </c>
    </row>
    <row r="6609" spans="1:8" x14ac:dyDescent="0.3">
      <c r="A6609" t="s">
        <v>628</v>
      </c>
      <c r="B6609" t="s">
        <v>117</v>
      </c>
      <c r="C6609" t="s">
        <v>126</v>
      </c>
      <c r="D6609" t="s">
        <v>745</v>
      </c>
      <c r="E6609" t="s">
        <v>772</v>
      </c>
      <c r="F6609">
        <v>7</v>
      </c>
      <c r="G6609" s="308">
        <f>COMEDORES!Q141</f>
        <v>0</v>
      </c>
      <c r="H6609" s="308">
        <f>COMEDORES!R141</f>
        <v>0</v>
      </c>
    </row>
    <row r="6610" spans="1:8" x14ac:dyDescent="0.3">
      <c r="A6610" t="s">
        <v>628</v>
      </c>
      <c r="B6610" t="s">
        <v>117</v>
      </c>
      <c r="C6610" t="s">
        <v>126</v>
      </c>
      <c r="D6610" t="s">
        <v>746</v>
      </c>
      <c r="E6610" t="s">
        <v>766</v>
      </c>
      <c r="F6610">
        <v>1</v>
      </c>
      <c r="G6610" s="308">
        <f>COMEDORES!E142</f>
        <v>2850</v>
      </c>
      <c r="H6610" s="308">
        <f>COMEDORES!F142</f>
        <v>0</v>
      </c>
    </row>
    <row r="6611" spans="1:8" x14ac:dyDescent="0.3">
      <c r="A6611" t="s">
        <v>628</v>
      </c>
      <c r="B6611" t="s">
        <v>117</v>
      </c>
      <c r="C6611" t="s">
        <v>126</v>
      </c>
      <c r="D6611" t="s">
        <v>746</v>
      </c>
      <c r="E6611" t="s">
        <v>767</v>
      </c>
      <c r="F6611">
        <v>2</v>
      </c>
      <c r="G6611" s="308">
        <f>COMEDORES!G142</f>
        <v>2550</v>
      </c>
      <c r="H6611" s="308">
        <f>COMEDORES!H142</f>
        <v>0</v>
      </c>
    </row>
    <row r="6612" spans="1:8" x14ac:dyDescent="0.3">
      <c r="A6612" t="s">
        <v>628</v>
      </c>
      <c r="B6612" t="s">
        <v>117</v>
      </c>
      <c r="C6612" t="s">
        <v>126</v>
      </c>
      <c r="D6612" t="s">
        <v>746</v>
      </c>
      <c r="E6612" t="s">
        <v>768</v>
      </c>
      <c r="F6612">
        <v>3</v>
      </c>
      <c r="G6612" s="308">
        <f>COMEDORES!I142</f>
        <v>3300</v>
      </c>
      <c r="H6612" s="308">
        <f>COMEDORES!J142</f>
        <v>0</v>
      </c>
    </row>
    <row r="6613" spans="1:8" x14ac:dyDescent="0.3">
      <c r="A6613" t="s">
        <v>628</v>
      </c>
      <c r="B6613" t="s">
        <v>117</v>
      </c>
      <c r="C6613" t="s">
        <v>126</v>
      </c>
      <c r="D6613" t="s">
        <v>746</v>
      </c>
      <c r="E6613" t="s">
        <v>769</v>
      </c>
      <c r="F6613">
        <v>4</v>
      </c>
      <c r="G6613" s="308">
        <f>COMEDORES!K142</f>
        <v>2850</v>
      </c>
      <c r="H6613" s="308">
        <f>COMEDORES!L142</f>
        <v>0</v>
      </c>
    </row>
    <row r="6614" spans="1:8" x14ac:dyDescent="0.3">
      <c r="A6614" t="s">
        <v>628</v>
      </c>
      <c r="B6614" t="s">
        <v>117</v>
      </c>
      <c r="C6614" t="s">
        <v>126</v>
      </c>
      <c r="D6614" t="s">
        <v>746</v>
      </c>
      <c r="E6614" t="s">
        <v>770</v>
      </c>
      <c r="F6614">
        <v>5</v>
      </c>
      <c r="G6614" s="308">
        <f>COMEDORES!M142</f>
        <v>0</v>
      </c>
      <c r="H6614" s="308">
        <f>COMEDORES!N142</f>
        <v>0</v>
      </c>
    </row>
    <row r="6615" spans="1:8" x14ac:dyDescent="0.3">
      <c r="A6615" t="s">
        <v>628</v>
      </c>
      <c r="B6615" t="s">
        <v>117</v>
      </c>
      <c r="C6615" t="s">
        <v>126</v>
      </c>
      <c r="D6615" t="s">
        <v>746</v>
      </c>
      <c r="E6615" t="s">
        <v>771</v>
      </c>
      <c r="F6615">
        <v>6</v>
      </c>
      <c r="G6615" s="308">
        <f>COMEDORES!O142</f>
        <v>0</v>
      </c>
      <c r="H6615" s="308">
        <f>COMEDORES!P142</f>
        <v>0</v>
      </c>
    </row>
    <row r="6616" spans="1:8" x14ac:dyDescent="0.3">
      <c r="A6616" t="s">
        <v>628</v>
      </c>
      <c r="B6616" t="s">
        <v>117</v>
      </c>
      <c r="C6616" t="s">
        <v>126</v>
      </c>
      <c r="D6616" t="s">
        <v>746</v>
      </c>
      <c r="E6616" t="s">
        <v>772</v>
      </c>
      <c r="F6616">
        <v>7</v>
      </c>
      <c r="G6616" s="308">
        <f>COMEDORES!Q142</f>
        <v>0</v>
      </c>
      <c r="H6616" s="308">
        <f>COMEDORES!R142</f>
        <v>0</v>
      </c>
    </row>
    <row r="6617" spans="1:8" x14ac:dyDescent="0.3">
      <c r="A6617" t="s">
        <v>628</v>
      </c>
      <c r="B6617" t="s">
        <v>117</v>
      </c>
      <c r="C6617" t="s">
        <v>648</v>
      </c>
      <c r="D6617" t="s">
        <v>745</v>
      </c>
      <c r="E6617" t="s">
        <v>766</v>
      </c>
      <c r="F6617">
        <v>1</v>
      </c>
      <c r="G6617" s="308">
        <f>COMEDORES!E143</f>
        <v>0</v>
      </c>
      <c r="H6617" s="308">
        <f>COMEDORES!F143</f>
        <v>0</v>
      </c>
    </row>
    <row r="6618" spans="1:8" x14ac:dyDescent="0.3">
      <c r="A6618" t="s">
        <v>628</v>
      </c>
      <c r="B6618" t="s">
        <v>117</v>
      </c>
      <c r="C6618" t="s">
        <v>648</v>
      </c>
      <c r="D6618" t="s">
        <v>745</v>
      </c>
      <c r="E6618" t="s">
        <v>767</v>
      </c>
      <c r="F6618">
        <v>2</v>
      </c>
      <c r="G6618" s="308">
        <f>COMEDORES!G143</f>
        <v>0</v>
      </c>
      <c r="H6618" s="308">
        <f>COMEDORES!H143</f>
        <v>0</v>
      </c>
    </row>
    <row r="6619" spans="1:8" x14ac:dyDescent="0.3">
      <c r="A6619" t="s">
        <v>628</v>
      </c>
      <c r="B6619" t="s">
        <v>117</v>
      </c>
      <c r="C6619" t="s">
        <v>648</v>
      </c>
      <c r="D6619" t="s">
        <v>745</v>
      </c>
      <c r="E6619" t="s">
        <v>768</v>
      </c>
      <c r="F6619">
        <v>3</v>
      </c>
      <c r="G6619" s="308">
        <f>COMEDORES!I143</f>
        <v>0</v>
      </c>
      <c r="H6619" s="308">
        <f>COMEDORES!J143</f>
        <v>0</v>
      </c>
    </row>
    <row r="6620" spans="1:8" x14ac:dyDescent="0.3">
      <c r="A6620" t="s">
        <v>628</v>
      </c>
      <c r="B6620" t="s">
        <v>117</v>
      </c>
      <c r="C6620" t="s">
        <v>648</v>
      </c>
      <c r="D6620" t="s">
        <v>745</v>
      </c>
      <c r="E6620" t="s">
        <v>769</v>
      </c>
      <c r="F6620">
        <v>4</v>
      </c>
      <c r="G6620" s="308">
        <f>COMEDORES!K143</f>
        <v>0</v>
      </c>
      <c r="H6620" s="308">
        <f>COMEDORES!L143</f>
        <v>0</v>
      </c>
    </row>
    <row r="6621" spans="1:8" x14ac:dyDescent="0.3">
      <c r="A6621" t="s">
        <v>628</v>
      </c>
      <c r="B6621" t="s">
        <v>117</v>
      </c>
      <c r="C6621" t="s">
        <v>648</v>
      </c>
      <c r="D6621" t="s">
        <v>745</v>
      </c>
      <c r="E6621" t="s">
        <v>770</v>
      </c>
      <c r="F6621">
        <v>5</v>
      </c>
      <c r="G6621" s="308">
        <f>COMEDORES!M143</f>
        <v>0</v>
      </c>
      <c r="H6621" s="308">
        <f>COMEDORES!N143</f>
        <v>0</v>
      </c>
    </row>
    <row r="6622" spans="1:8" x14ac:dyDescent="0.3">
      <c r="A6622" t="s">
        <v>628</v>
      </c>
      <c r="B6622" t="s">
        <v>117</v>
      </c>
      <c r="C6622" t="s">
        <v>648</v>
      </c>
      <c r="D6622" t="s">
        <v>745</v>
      </c>
      <c r="E6622" t="s">
        <v>771</v>
      </c>
      <c r="F6622">
        <v>6</v>
      </c>
      <c r="G6622" s="308">
        <f>COMEDORES!O143</f>
        <v>0</v>
      </c>
      <c r="H6622" s="308">
        <f>COMEDORES!P143</f>
        <v>0</v>
      </c>
    </row>
    <row r="6623" spans="1:8" x14ac:dyDescent="0.3">
      <c r="A6623" t="s">
        <v>628</v>
      </c>
      <c r="B6623" t="s">
        <v>117</v>
      </c>
      <c r="C6623" t="s">
        <v>648</v>
      </c>
      <c r="D6623" t="s">
        <v>745</v>
      </c>
      <c r="E6623" t="s">
        <v>772</v>
      </c>
      <c r="F6623">
        <v>7</v>
      </c>
      <c r="G6623" s="308">
        <f>COMEDORES!Q143</f>
        <v>1172</v>
      </c>
      <c r="H6623" s="308">
        <f>COMEDORES!R143</f>
        <v>0</v>
      </c>
    </row>
    <row r="6624" spans="1:8" x14ac:dyDescent="0.3">
      <c r="A6624" t="s">
        <v>628</v>
      </c>
      <c r="B6624" t="s">
        <v>117</v>
      </c>
      <c r="C6624" t="s">
        <v>648</v>
      </c>
      <c r="D6624" t="s">
        <v>746</v>
      </c>
      <c r="E6624" t="s">
        <v>766</v>
      </c>
      <c r="F6624">
        <v>1</v>
      </c>
      <c r="G6624" s="308">
        <f>COMEDORES!E144</f>
        <v>0</v>
      </c>
      <c r="H6624" s="308">
        <f>COMEDORES!F144</f>
        <v>0</v>
      </c>
    </row>
    <row r="6625" spans="1:8" x14ac:dyDescent="0.3">
      <c r="A6625" t="s">
        <v>628</v>
      </c>
      <c r="B6625" t="s">
        <v>117</v>
      </c>
      <c r="C6625" t="s">
        <v>648</v>
      </c>
      <c r="D6625" t="s">
        <v>746</v>
      </c>
      <c r="E6625" t="s">
        <v>767</v>
      </c>
      <c r="F6625">
        <v>2</v>
      </c>
      <c r="G6625" s="308">
        <f>COMEDORES!G144</f>
        <v>0</v>
      </c>
      <c r="H6625" s="308">
        <f>COMEDORES!H144</f>
        <v>0</v>
      </c>
    </row>
    <row r="6626" spans="1:8" x14ac:dyDescent="0.3">
      <c r="A6626" t="s">
        <v>628</v>
      </c>
      <c r="B6626" t="s">
        <v>117</v>
      </c>
      <c r="C6626" t="s">
        <v>648</v>
      </c>
      <c r="D6626" t="s">
        <v>746</v>
      </c>
      <c r="E6626" t="s">
        <v>768</v>
      </c>
      <c r="F6626">
        <v>3</v>
      </c>
      <c r="G6626" s="308">
        <f>COMEDORES!I144</f>
        <v>0</v>
      </c>
      <c r="H6626" s="308">
        <f>COMEDORES!J144</f>
        <v>0</v>
      </c>
    </row>
    <row r="6627" spans="1:8" x14ac:dyDescent="0.3">
      <c r="A6627" t="s">
        <v>628</v>
      </c>
      <c r="B6627" t="s">
        <v>117</v>
      </c>
      <c r="C6627" t="s">
        <v>648</v>
      </c>
      <c r="D6627" t="s">
        <v>746</v>
      </c>
      <c r="E6627" t="s">
        <v>769</v>
      </c>
      <c r="F6627">
        <v>4</v>
      </c>
      <c r="G6627" s="308">
        <f>COMEDORES!K144</f>
        <v>0</v>
      </c>
      <c r="H6627" s="308">
        <f>COMEDORES!L144</f>
        <v>0</v>
      </c>
    </row>
    <row r="6628" spans="1:8" x14ac:dyDescent="0.3">
      <c r="A6628" t="s">
        <v>628</v>
      </c>
      <c r="B6628" t="s">
        <v>117</v>
      </c>
      <c r="C6628" t="s">
        <v>648</v>
      </c>
      <c r="D6628" t="s">
        <v>746</v>
      </c>
      <c r="E6628" t="s">
        <v>770</v>
      </c>
      <c r="F6628">
        <v>5</v>
      </c>
      <c r="G6628" s="308">
        <f>COMEDORES!M144</f>
        <v>0</v>
      </c>
      <c r="H6628" s="308">
        <f>COMEDORES!N144</f>
        <v>0</v>
      </c>
    </row>
    <row r="6629" spans="1:8" x14ac:dyDescent="0.3">
      <c r="A6629" t="s">
        <v>628</v>
      </c>
      <c r="B6629" t="s">
        <v>117</v>
      </c>
      <c r="C6629" t="s">
        <v>648</v>
      </c>
      <c r="D6629" t="s">
        <v>746</v>
      </c>
      <c r="E6629" t="s">
        <v>771</v>
      </c>
      <c r="F6629">
        <v>6</v>
      </c>
      <c r="G6629" s="308">
        <f>COMEDORES!O144</f>
        <v>0</v>
      </c>
      <c r="H6629" s="308">
        <f>COMEDORES!P144</f>
        <v>0</v>
      </c>
    </row>
    <row r="6630" spans="1:8" x14ac:dyDescent="0.3">
      <c r="A6630" t="s">
        <v>628</v>
      </c>
      <c r="B6630" t="s">
        <v>117</v>
      </c>
      <c r="C6630" t="s">
        <v>648</v>
      </c>
      <c r="D6630" t="s">
        <v>746</v>
      </c>
      <c r="E6630" t="s">
        <v>772</v>
      </c>
      <c r="F6630">
        <v>7</v>
      </c>
      <c r="G6630" s="308">
        <f>COMEDORES!Q144</f>
        <v>1498</v>
      </c>
      <c r="H6630" s="308">
        <f>COMEDORES!R144</f>
        <v>0</v>
      </c>
    </row>
    <row r="6631" spans="1:8" x14ac:dyDescent="0.3">
      <c r="A6631" t="s">
        <v>628</v>
      </c>
      <c r="B6631" t="s">
        <v>117</v>
      </c>
      <c r="C6631" t="s">
        <v>129</v>
      </c>
      <c r="D6631" t="s">
        <v>745</v>
      </c>
      <c r="E6631" t="s">
        <v>766</v>
      </c>
      <c r="F6631">
        <v>1</v>
      </c>
      <c r="G6631" s="308">
        <f>COMEDORES!E145</f>
        <v>0</v>
      </c>
      <c r="H6631" s="308">
        <f>COMEDORES!F145</f>
        <v>0</v>
      </c>
    </row>
    <row r="6632" spans="1:8" x14ac:dyDescent="0.3">
      <c r="A6632" t="s">
        <v>628</v>
      </c>
      <c r="B6632" t="s">
        <v>117</v>
      </c>
      <c r="C6632" t="s">
        <v>129</v>
      </c>
      <c r="D6632" t="s">
        <v>745</v>
      </c>
      <c r="E6632" t="s">
        <v>767</v>
      </c>
      <c r="F6632">
        <v>2</v>
      </c>
      <c r="G6632" s="308">
        <f>COMEDORES!G145</f>
        <v>0</v>
      </c>
      <c r="H6632" s="308">
        <f>COMEDORES!H145</f>
        <v>0</v>
      </c>
    </row>
    <row r="6633" spans="1:8" x14ac:dyDescent="0.3">
      <c r="A6633" t="s">
        <v>628</v>
      </c>
      <c r="B6633" t="s">
        <v>117</v>
      </c>
      <c r="C6633" t="s">
        <v>129</v>
      </c>
      <c r="D6633" t="s">
        <v>745</v>
      </c>
      <c r="E6633" t="s">
        <v>768</v>
      </c>
      <c r="F6633">
        <v>3</v>
      </c>
      <c r="G6633" s="308">
        <f>COMEDORES!I145</f>
        <v>0</v>
      </c>
      <c r="H6633" s="308">
        <f>COMEDORES!J145</f>
        <v>0</v>
      </c>
    </row>
    <row r="6634" spans="1:8" x14ac:dyDescent="0.3">
      <c r="A6634" t="s">
        <v>628</v>
      </c>
      <c r="B6634" t="s">
        <v>117</v>
      </c>
      <c r="C6634" t="s">
        <v>129</v>
      </c>
      <c r="D6634" t="s">
        <v>745</v>
      </c>
      <c r="E6634" t="s">
        <v>769</v>
      </c>
      <c r="F6634">
        <v>4</v>
      </c>
      <c r="G6634" s="308">
        <f>COMEDORES!K145</f>
        <v>0</v>
      </c>
      <c r="H6634" s="308">
        <f>COMEDORES!L145</f>
        <v>0</v>
      </c>
    </row>
    <row r="6635" spans="1:8" x14ac:dyDescent="0.3">
      <c r="A6635" t="s">
        <v>628</v>
      </c>
      <c r="B6635" t="s">
        <v>117</v>
      </c>
      <c r="C6635" t="s">
        <v>129</v>
      </c>
      <c r="D6635" t="s">
        <v>745</v>
      </c>
      <c r="E6635" t="s">
        <v>770</v>
      </c>
      <c r="F6635">
        <v>5</v>
      </c>
      <c r="G6635" s="308">
        <f>COMEDORES!M145</f>
        <v>0</v>
      </c>
      <c r="H6635" s="308">
        <f>COMEDORES!N145</f>
        <v>0</v>
      </c>
    </row>
    <row r="6636" spans="1:8" x14ac:dyDescent="0.3">
      <c r="A6636" t="s">
        <v>628</v>
      </c>
      <c r="B6636" t="s">
        <v>117</v>
      </c>
      <c r="C6636" t="s">
        <v>129</v>
      </c>
      <c r="D6636" t="s">
        <v>745</v>
      </c>
      <c r="E6636" t="s">
        <v>771</v>
      </c>
      <c r="F6636">
        <v>6</v>
      </c>
      <c r="G6636" s="308">
        <f>COMEDORES!O145</f>
        <v>0</v>
      </c>
      <c r="H6636" s="308">
        <f>COMEDORES!P145</f>
        <v>0</v>
      </c>
    </row>
    <row r="6637" spans="1:8" x14ac:dyDescent="0.3">
      <c r="A6637" t="s">
        <v>628</v>
      </c>
      <c r="B6637" t="s">
        <v>117</v>
      </c>
      <c r="C6637" t="s">
        <v>129</v>
      </c>
      <c r="D6637" t="s">
        <v>745</v>
      </c>
      <c r="E6637" t="s">
        <v>772</v>
      </c>
      <c r="F6637">
        <v>7</v>
      </c>
      <c r="G6637" s="308">
        <f>COMEDORES!Q145</f>
        <v>1492</v>
      </c>
      <c r="H6637" s="308">
        <f>COMEDORES!R145</f>
        <v>0</v>
      </c>
    </row>
    <row r="6638" spans="1:8" x14ac:dyDescent="0.3">
      <c r="A6638" t="s">
        <v>628</v>
      </c>
      <c r="B6638" t="s">
        <v>117</v>
      </c>
      <c r="C6638" t="s">
        <v>129</v>
      </c>
      <c r="D6638" t="s">
        <v>746</v>
      </c>
      <c r="E6638" t="s">
        <v>766</v>
      </c>
      <c r="F6638">
        <v>1</v>
      </c>
      <c r="G6638" s="308">
        <f>COMEDORES!E146</f>
        <v>0</v>
      </c>
      <c r="H6638" s="308">
        <f>COMEDORES!F146</f>
        <v>0</v>
      </c>
    </row>
    <row r="6639" spans="1:8" x14ac:dyDescent="0.3">
      <c r="A6639" t="s">
        <v>628</v>
      </c>
      <c r="B6639" t="s">
        <v>117</v>
      </c>
      <c r="C6639" t="s">
        <v>129</v>
      </c>
      <c r="D6639" t="s">
        <v>746</v>
      </c>
      <c r="E6639" t="s">
        <v>767</v>
      </c>
      <c r="F6639">
        <v>2</v>
      </c>
      <c r="G6639" s="308">
        <f>COMEDORES!G146</f>
        <v>0</v>
      </c>
      <c r="H6639" s="308">
        <f>COMEDORES!H146</f>
        <v>0</v>
      </c>
    </row>
    <row r="6640" spans="1:8" x14ac:dyDescent="0.3">
      <c r="A6640" t="s">
        <v>628</v>
      </c>
      <c r="B6640" t="s">
        <v>117</v>
      </c>
      <c r="C6640" t="s">
        <v>129</v>
      </c>
      <c r="D6640" t="s">
        <v>746</v>
      </c>
      <c r="E6640" t="s">
        <v>768</v>
      </c>
      <c r="F6640">
        <v>3</v>
      </c>
      <c r="G6640" s="308">
        <f>COMEDORES!I146</f>
        <v>0</v>
      </c>
      <c r="H6640" s="308">
        <f>COMEDORES!J146</f>
        <v>0</v>
      </c>
    </row>
    <row r="6641" spans="1:8" x14ac:dyDescent="0.3">
      <c r="A6641" t="s">
        <v>628</v>
      </c>
      <c r="B6641" t="s">
        <v>117</v>
      </c>
      <c r="C6641" t="s">
        <v>129</v>
      </c>
      <c r="D6641" t="s">
        <v>746</v>
      </c>
      <c r="E6641" t="s">
        <v>769</v>
      </c>
      <c r="F6641">
        <v>4</v>
      </c>
      <c r="G6641" s="308">
        <f>COMEDORES!K146</f>
        <v>0</v>
      </c>
      <c r="H6641" s="308">
        <f>COMEDORES!L146</f>
        <v>0</v>
      </c>
    </row>
    <row r="6642" spans="1:8" x14ac:dyDescent="0.3">
      <c r="A6642" t="s">
        <v>628</v>
      </c>
      <c r="B6642" t="s">
        <v>117</v>
      </c>
      <c r="C6642" t="s">
        <v>129</v>
      </c>
      <c r="D6642" t="s">
        <v>746</v>
      </c>
      <c r="E6642" t="s">
        <v>770</v>
      </c>
      <c r="F6642">
        <v>5</v>
      </c>
      <c r="G6642" s="308">
        <f>COMEDORES!M146</f>
        <v>0</v>
      </c>
      <c r="H6642" s="308">
        <f>COMEDORES!N146</f>
        <v>0</v>
      </c>
    </row>
    <row r="6643" spans="1:8" x14ac:dyDescent="0.3">
      <c r="A6643" t="s">
        <v>628</v>
      </c>
      <c r="B6643" t="s">
        <v>117</v>
      </c>
      <c r="C6643" t="s">
        <v>129</v>
      </c>
      <c r="D6643" t="s">
        <v>746</v>
      </c>
      <c r="E6643" t="s">
        <v>771</v>
      </c>
      <c r="F6643">
        <v>6</v>
      </c>
      <c r="G6643" s="308">
        <f>COMEDORES!O146</f>
        <v>0</v>
      </c>
      <c r="H6643" s="308">
        <f>COMEDORES!P146</f>
        <v>0</v>
      </c>
    </row>
    <row r="6644" spans="1:8" x14ac:dyDescent="0.3">
      <c r="A6644" t="s">
        <v>628</v>
      </c>
      <c r="B6644" t="s">
        <v>117</v>
      </c>
      <c r="C6644" t="s">
        <v>129</v>
      </c>
      <c r="D6644" t="s">
        <v>746</v>
      </c>
      <c r="E6644" t="s">
        <v>772</v>
      </c>
      <c r="F6644">
        <v>7</v>
      </c>
      <c r="G6644" s="308">
        <f>COMEDORES!Q146</f>
        <v>1500</v>
      </c>
      <c r="H6644" s="308">
        <f>COMEDORES!R146</f>
        <v>0</v>
      </c>
    </row>
    <row r="6645" spans="1:8" x14ac:dyDescent="0.3">
      <c r="A6645" t="s">
        <v>628</v>
      </c>
      <c r="B6645" t="s">
        <v>117</v>
      </c>
      <c r="C6645" t="s">
        <v>132</v>
      </c>
      <c r="D6645" t="s">
        <v>745</v>
      </c>
      <c r="E6645" t="s">
        <v>766</v>
      </c>
      <c r="F6645">
        <v>1</v>
      </c>
      <c r="G6645" s="308">
        <f>COMEDORES!E147</f>
        <v>2700</v>
      </c>
      <c r="H6645" s="308">
        <f>COMEDORES!F147</f>
        <v>0</v>
      </c>
    </row>
    <row r="6646" spans="1:8" x14ac:dyDescent="0.3">
      <c r="A6646" t="s">
        <v>628</v>
      </c>
      <c r="B6646" t="s">
        <v>117</v>
      </c>
      <c r="C6646" t="s">
        <v>132</v>
      </c>
      <c r="D6646" t="s">
        <v>745</v>
      </c>
      <c r="E6646" t="s">
        <v>767</v>
      </c>
      <c r="F6646">
        <v>2</v>
      </c>
      <c r="G6646" s="308">
        <f>COMEDORES!G147</f>
        <v>3000</v>
      </c>
      <c r="H6646" s="308">
        <f>COMEDORES!H147</f>
        <v>0</v>
      </c>
    </row>
    <row r="6647" spans="1:8" x14ac:dyDescent="0.3">
      <c r="A6647" t="s">
        <v>628</v>
      </c>
      <c r="B6647" t="s">
        <v>117</v>
      </c>
      <c r="C6647" t="s">
        <v>132</v>
      </c>
      <c r="D6647" t="s">
        <v>745</v>
      </c>
      <c r="E6647" t="s">
        <v>768</v>
      </c>
      <c r="F6647">
        <v>3</v>
      </c>
      <c r="G6647" s="308">
        <f>COMEDORES!I147</f>
        <v>3300</v>
      </c>
      <c r="H6647" s="308">
        <f>COMEDORES!J147</f>
        <v>480681</v>
      </c>
    </row>
    <row r="6648" spans="1:8" x14ac:dyDescent="0.3">
      <c r="A6648" t="s">
        <v>628</v>
      </c>
      <c r="B6648" t="s">
        <v>117</v>
      </c>
      <c r="C6648" t="s">
        <v>132</v>
      </c>
      <c r="D6648" t="s">
        <v>745</v>
      </c>
      <c r="E6648" t="s">
        <v>769</v>
      </c>
      <c r="F6648">
        <v>4</v>
      </c>
      <c r="G6648" s="308">
        <f>COMEDORES!K147</f>
        <v>3300</v>
      </c>
      <c r="H6648" s="308">
        <f>COMEDORES!L147</f>
        <v>273999</v>
      </c>
    </row>
    <row r="6649" spans="1:8" x14ac:dyDescent="0.3">
      <c r="A6649" t="s">
        <v>628</v>
      </c>
      <c r="B6649" t="s">
        <v>117</v>
      </c>
      <c r="C6649" t="s">
        <v>132</v>
      </c>
      <c r="D6649" t="s">
        <v>745</v>
      </c>
      <c r="E6649" t="s">
        <v>770</v>
      </c>
      <c r="F6649">
        <v>5</v>
      </c>
      <c r="G6649" s="308">
        <f>COMEDORES!M147</f>
        <v>3000</v>
      </c>
      <c r="H6649" s="308">
        <f>COMEDORES!N147</f>
        <v>236635.5</v>
      </c>
    </row>
    <row r="6650" spans="1:8" x14ac:dyDescent="0.3">
      <c r="A6650" t="s">
        <v>628</v>
      </c>
      <c r="B6650" t="s">
        <v>117</v>
      </c>
      <c r="C6650" t="s">
        <v>132</v>
      </c>
      <c r="D6650" t="s">
        <v>745</v>
      </c>
      <c r="E6650" t="s">
        <v>771</v>
      </c>
      <c r="F6650">
        <v>6</v>
      </c>
      <c r="G6650" s="308">
        <f>COMEDORES!O147</f>
        <v>3150</v>
      </c>
      <c r="H6650" s="308">
        <f>COMEDORES!P147</f>
        <v>249090</v>
      </c>
    </row>
    <row r="6651" spans="1:8" x14ac:dyDescent="0.3">
      <c r="A6651" t="s">
        <v>628</v>
      </c>
      <c r="B6651" t="s">
        <v>117</v>
      </c>
      <c r="C6651" t="s">
        <v>132</v>
      </c>
      <c r="D6651" t="s">
        <v>745</v>
      </c>
      <c r="E6651" t="s">
        <v>772</v>
      </c>
      <c r="F6651">
        <v>7</v>
      </c>
      <c r="G6651" s="308">
        <f>COMEDORES!Q147</f>
        <v>3450</v>
      </c>
      <c r="H6651" s="308">
        <f>COMEDORES!R147</f>
        <v>261544.5</v>
      </c>
    </row>
    <row r="6652" spans="1:8" x14ac:dyDescent="0.3">
      <c r="A6652" t="s">
        <v>628</v>
      </c>
      <c r="B6652" t="s">
        <v>117</v>
      </c>
      <c r="C6652" t="s">
        <v>132</v>
      </c>
      <c r="D6652" t="s">
        <v>746</v>
      </c>
      <c r="E6652" t="s">
        <v>766</v>
      </c>
      <c r="F6652">
        <v>1</v>
      </c>
      <c r="G6652" s="308">
        <f>COMEDORES!E148</f>
        <v>3750</v>
      </c>
      <c r="H6652" s="308">
        <f>COMEDORES!F148</f>
        <v>0</v>
      </c>
    </row>
    <row r="6653" spans="1:8" x14ac:dyDescent="0.3">
      <c r="A6653" t="s">
        <v>628</v>
      </c>
      <c r="B6653" t="s">
        <v>117</v>
      </c>
      <c r="C6653" t="s">
        <v>132</v>
      </c>
      <c r="D6653" t="s">
        <v>746</v>
      </c>
      <c r="E6653" t="s">
        <v>767</v>
      </c>
      <c r="F6653">
        <v>2</v>
      </c>
      <c r="G6653" s="308">
        <f>COMEDORES!G148</f>
        <v>4000</v>
      </c>
      <c r="H6653" s="308">
        <f>COMEDORES!H148</f>
        <v>0</v>
      </c>
    </row>
    <row r="6654" spans="1:8" x14ac:dyDescent="0.3">
      <c r="A6654" t="s">
        <v>628</v>
      </c>
      <c r="B6654" t="s">
        <v>117</v>
      </c>
      <c r="C6654" t="s">
        <v>132</v>
      </c>
      <c r="D6654" t="s">
        <v>746</v>
      </c>
      <c r="E6654" t="s">
        <v>768</v>
      </c>
      <c r="F6654">
        <v>3</v>
      </c>
      <c r="G6654" s="308">
        <f>COMEDORES!I148</f>
        <v>4400</v>
      </c>
      <c r="H6654" s="308">
        <f>COMEDORES!J148</f>
        <v>0</v>
      </c>
    </row>
    <row r="6655" spans="1:8" x14ac:dyDescent="0.3">
      <c r="A6655" t="s">
        <v>628</v>
      </c>
      <c r="B6655" t="s">
        <v>117</v>
      </c>
      <c r="C6655" t="s">
        <v>132</v>
      </c>
      <c r="D6655" t="s">
        <v>746</v>
      </c>
      <c r="E6655" t="s">
        <v>769</v>
      </c>
      <c r="F6655">
        <v>4</v>
      </c>
      <c r="G6655" s="308">
        <f>COMEDORES!K148</f>
        <v>4400</v>
      </c>
      <c r="H6655" s="308">
        <f>COMEDORES!L148</f>
        <v>0</v>
      </c>
    </row>
    <row r="6656" spans="1:8" x14ac:dyDescent="0.3">
      <c r="A6656" t="s">
        <v>628</v>
      </c>
      <c r="B6656" t="s">
        <v>117</v>
      </c>
      <c r="C6656" t="s">
        <v>132</v>
      </c>
      <c r="D6656" t="s">
        <v>746</v>
      </c>
      <c r="E6656" t="s">
        <v>770</v>
      </c>
      <c r="F6656">
        <v>5</v>
      </c>
      <c r="G6656" s="308">
        <f>COMEDORES!M148</f>
        <v>4000</v>
      </c>
      <c r="H6656" s="308">
        <f>COMEDORES!N148</f>
        <v>0</v>
      </c>
    </row>
    <row r="6657" spans="1:8" x14ac:dyDescent="0.3">
      <c r="A6657" t="s">
        <v>628</v>
      </c>
      <c r="B6657" t="s">
        <v>117</v>
      </c>
      <c r="C6657" t="s">
        <v>132</v>
      </c>
      <c r="D6657" t="s">
        <v>746</v>
      </c>
      <c r="E6657" t="s">
        <v>771</v>
      </c>
      <c r="F6657">
        <v>6</v>
      </c>
      <c r="G6657" s="308">
        <f>COMEDORES!O148</f>
        <v>4200</v>
      </c>
      <c r="H6657" s="308">
        <f>COMEDORES!P148</f>
        <v>0</v>
      </c>
    </row>
    <row r="6658" spans="1:8" x14ac:dyDescent="0.3">
      <c r="A6658" t="s">
        <v>628</v>
      </c>
      <c r="B6658" t="s">
        <v>117</v>
      </c>
      <c r="C6658" t="s">
        <v>132</v>
      </c>
      <c r="D6658" t="s">
        <v>746</v>
      </c>
      <c r="E6658" t="s">
        <v>772</v>
      </c>
      <c r="F6658">
        <v>7</v>
      </c>
      <c r="G6658" s="308">
        <f>COMEDORES!Q148</f>
        <v>4600</v>
      </c>
      <c r="H6658" s="308">
        <f>COMEDORES!R148</f>
        <v>0</v>
      </c>
    </row>
    <row r="6659" spans="1:8" x14ac:dyDescent="0.3">
      <c r="A6659" t="s">
        <v>628</v>
      </c>
      <c r="B6659" t="s">
        <v>117</v>
      </c>
      <c r="C6659" t="s">
        <v>649</v>
      </c>
      <c r="D6659" t="s">
        <v>745</v>
      </c>
      <c r="E6659" t="s">
        <v>766</v>
      </c>
      <c r="F6659">
        <v>1</v>
      </c>
      <c r="G6659" s="308">
        <f>COMEDORES!E149</f>
        <v>0</v>
      </c>
      <c r="H6659" s="308">
        <f>COMEDORES!F149</f>
        <v>0</v>
      </c>
    </row>
    <row r="6660" spans="1:8" x14ac:dyDescent="0.3">
      <c r="A6660" t="s">
        <v>628</v>
      </c>
      <c r="B6660" t="s">
        <v>117</v>
      </c>
      <c r="C6660" t="s">
        <v>649</v>
      </c>
      <c r="D6660" t="s">
        <v>745</v>
      </c>
      <c r="E6660" t="s">
        <v>767</v>
      </c>
      <c r="F6660">
        <v>2</v>
      </c>
      <c r="G6660" s="308">
        <f>COMEDORES!G149</f>
        <v>0</v>
      </c>
      <c r="H6660" s="308">
        <f>COMEDORES!H149</f>
        <v>0</v>
      </c>
    </row>
    <row r="6661" spans="1:8" x14ac:dyDescent="0.3">
      <c r="A6661" t="s">
        <v>628</v>
      </c>
      <c r="B6661" t="s">
        <v>117</v>
      </c>
      <c r="C6661" t="s">
        <v>649</v>
      </c>
      <c r="D6661" t="s">
        <v>745</v>
      </c>
      <c r="E6661" t="s">
        <v>768</v>
      </c>
      <c r="F6661">
        <v>3</v>
      </c>
      <c r="G6661" s="308">
        <f>COMEDORES!I149</f>
        <v>0</v>
      </c>
      <c r="H6661" s="308">
        <f>COMEDORES!J149</f>
        <v>0</v>
      </c>
    </row>
    <row r="6662" spans="1:8" x14ac:dyDescent="0.3">
      <c r="A6662" t="s">
        <v>628</v>
      </c>
      <c r="B6662" t="s">
        <v>117</v>
      </c>
      <c r="C6662" t="s">
        <v>649</v>
      </c>
      <c r="D6662" t="s">
        <v>745</v>
      </c>
      <c r="E6662" t="s">
        <v>769</v>
      </c>
      <c r="F6662">
        <v>4</v>
      </c>
      <c r="G6662" s="308">
        <f>COMEDORES!K149</f>
        <v>0</v>
      </c>
      <c r="H6662" s="308">
        <f>COMEDORES!L149</f>
        <v>0</v>
      </c>
    </row>
    <row r="6663" spans="1:8" x14ac:dyDescent="0.3">
      <c r="A6663" t="s">
        <v>628</v>
      </c>
      <c r="B6663" t="s">
        <v>117</v>
      </c>
      <c r="C6663" t="s">
        <v>649</v>
      </c>
      <c r="D6663" t="s">
        <v>745</v>
      </c>
      <c r="E6663" t="s">
        <v>770</v>
      </c>
      <c r="F6663">
        <v>5</v>
      </c>
      <c r="G6663" s="308">
        <f>COMEDORES!M149</f>
        <v>0</v>
      </c>
      <c r="H6663" s="308">
        <f>COMEDORES!N149</f>
        <v>0</v>
      </c>
    </row>
    <row r="6664" spans="1:8" x14ac:dyDescent="0.3">
      <c r="A6664" t="s">
        <v>628</v>
      </c>
      <c r="B6664" t="s">
        <v>117</v>
      </c>
      <c r="C6664" t="s">
        <v>649</v>
      </c>
      <c r="D6664" t="s">
        <v>745</v>
      </c>
      <c r="E6664" t="s">
        <v>771</v>
      </c>
      <c r="F6664">
        <v>6</v>
      </c>
      <c r="G6664" s="308">
        <f>COMEDORES!O149</f>
        <v>0</v>
      </c>
      <c r="H6664" s="308">
        <f>COMEDORES!P149</f>
        <v>0</v>
      </c>
    </row>
    <row r="6665" spans="1:8" x14ac:dyDescent="0.3">
      <c r="A6665" t="s">
        <v>628</v>
      </c>
      <c r="B6665" t="s">
        <v>117</v>
      </c>
      <c r="C6665" t="s">
        <v>649</v>
      </c>
      <c r="D6665" t="s">
        <v>745</v>
      </c>
      <c r="E6665" t="s">
        <v>772</v>
      </c>
      <c r="F6665">
        <v>7</v>
      </c>
      <c r="G6665" s="308">
        <f>COMEDORES!Q149</f>
        <v>2950</v>
      </c>
      <c r="H6665" s="308">
        <f>COMEDORES!R149</f>
        <v>0</v>
      </c>
    </row>
    <row r="6666" spans="1:8" x14ac:dyDescent="0.3">
      <c r="A6666" t="s">
        <v>628</v>
      </c>
      <c r="B6666" t="s">
        <v>117</v>
      </c>
      <c r="C6666" t="s">
        <v>649</v>
      </c>
      <c r="D6666" t="s">
        <v>746</v>
      </c>
      <c r="E6666" t="s">
        <v>766</v>
      </c>
      <c r="F6666">
        <v>1</v>
      </c>
      <c r="G6666" s="308">
        <f>COMEDORES!E150</f>
        <v>0</v>
      </c>
      <c r="H6666" s="308">
        <f>COMEDORES!F150</f>
        <v>0</v>
      </c>
    </row>
    <row r="6667" spans="1:8" x14ac:dyDescent="0.3">
      <c r="A6667" t="s">
        <v>628</v>
      </c>
      <c r="B6667" t="s">
        <v>117</v>
      </c>
      <c r="C6667" t="s">
        <v>649</v>
      </c>
      <c r="D6667" t="s">
        <v>746</v>
      </c>
      <c r="E6667" t="s">
        <v>767</v>
      </c>
      <c r="F6667">
        <v>2</v>
      </c>
      <c r="G6667" s="308">
        <f>COMEDORES!G150</f>
        <v>0</v>
      </c>
      <c r="H6667" s="308">
        <f>COMEDORES!H150</f>
        <v>0</v>
      </c>
    </row>
    <row r="6668" spans="1:8" x14ac:dyDescent="0.3">
      <c r="A6668" t="s">
        <v>628</v>
      </c>
      <c r="B6668" t="s">
        <v>117</v>
      </c>
      <c r="C6668" t="s">
        <v>649</v>
      </c>
      <c r="D6668" t="s">
        <v>746</v>
      </c>
      <c r="E6668" t="s">
        <v>768</v>
      </c>
      <c r="F6668">
        <v>3</v>
      </c>
      <c r="G6668" s="308">
        <f>COMEDORES!I150</f>
        <v>0</v>
      </c>
      <c r="H6668" s="308">
        <f>COMEDORES!J150</f>
        <v>0</v>
      </c>
    </row>
    <row r="6669" spans="1:8" x14ac:dyDescent="0.3">
      <c r="A6669" t="s">
        <v>628</v>
      </c>
      <c r="B6669" t="s">
        <v>117</v>
      </c>
      <c r="C6669" t="s">
        <v>649</v>
      </c>
      <c r="D6669" t="s">
        <v>746</v>
      </c>
      <c r="E6669" t="s">
        <v>769</v>
      </c>
      <c r="F6669">
        <v>4</v>
      </c>
      <c r="G6669" s="308">
        <f>COMEDORES!K150</f>
        <v>0</v>
      </c>
      <c r="H6669" s="308">
        <f>COMEDORES!L150</f>
        <v>0</v>
      </c>
    </row>
    <row r="6670" spans="1:8" x14ac:dyDescent="0.3">
      <c r="A6670" t="s">
        <v>628</v>
      </c>
      <c r="B6670" t="s">
        <v>117</v>
      </c>
      <c r="C6670" t="s">
        <v>649</v>
      </c>
      <c r="D6670" t="s">
        <v>746</v>
      </c>
      <c r="E6670" t="s">
        <v>770</v>
      </c>
      <c r="F6670">
        <v>5</v>
      </c>
      <c r="G6670" s="308">
        <f>COMEDORES!M150</f>
        <v>0</v>
      </c>
      <c r="H6670" s="308">
        <f>COMEDORES!N150</f>
        <v>0</v>
      </c>
    </row>
    <row r="6671" spans="1:8" x14ac:dyDescent="0.3">
      <c r="A6671" t="s">
        <v>628</v>
      </c>
      <c r="B6671" t="s">
        <v>117</v>
      </c>
      <c r="C6671" t="s">
        <v>649</v>
      </c>
      <c r="D6671" t="s">
        <v>746</v>
      </c>
      <c r="E6671" t="s">
        <v>771</v>
      </c>
      <c r="F6671">
        <v>6</v>
      </c>
      <c r="G6671" s="308">
        <f>COMEDORES!O150</f>
        <v>0</v>
      </c>
      <c r="H6671" s="308">
        <f>COMEDORES!P150</f>
        <v>0</v>
      </c>
    </row>
    <row r="6672" spans="1:8" x14ac:dyDescent="0.3">
      <c r="A6672" t="s">
        <v>628</v>
      </c>
      <c r="B6672" t="s">
        <v>117</v>
      </c>
      <c r="C6672" t="s">
        <v>649</v>
      </c>
      <c r="D6672" t="s">
        <v>746</v>
      </c>
      <c r="E6672" t="s">
        <v>772</v>
      </c>
      <c r="F6672">
        <v>7</v>
      </c>
      <c r="G6672" s="308">
        <f>COMEDORES!Q150</f>
        <v>4000</v>
      </c>
      <c r="H6672" s="308">
        <f>COMEDORES!R150</f>
        <v>0</v>
      </c>
    </row>
    <row r="6673" spans="1:8" x14ac:dyDescent="0.3">
      <c r="A6673" t="s">
        <v>628</v>
      </c>
      <c r="B6673" t="s">
        <v>117</v>
      </c>
      <c r="C6673" t="s">
        <v>136</v>
      </c>
      <c r="D6673" t="s">
        <v>745</v>
      </c>
      <c r="E6673" t="s">
        <v>766</v>
      </c>
      <c r="F6673">
        <v>1</v>
      </c>
      <c r="G6673" s="308">
        <f>COMEDORES!E151</f>
        <v>1999</v>
      </c>
      <c r="H6673" s="308">
        <f>COMEDORES!F151</f>
        <v>0</v>
      </c>
    </row>
    <row r="6674" spans="1:8" x14ac:dyDescent="0.3">
      <c r="A6674" t="s">
        <v>628</v>
      </c>
      <c r="B6674" t="s">
        <v>117</v>
      </c>
      <c r="C6674" t="s">
        <v>136</v>
      </c>
      <c r="D6674" t="s">
        <v>745</v>
      </c>
      <c r="E6674" t="s">
        <v>767</v>
      </c>
      <c r="F6674">
        <v>2</v>
      </c>
      <c r="G6674" s="308">
        <f>COMEDORES!G151</f>
        <v>2000</v>
      </c>
      <c r="H6674" s="308">
        <f>COMEDORES!H151</f>
        <v>0</v>
      </c>
    </row>
    <row r="6675" spans="1:8" x14ac:dyDescent="0.3">
      <c r="A6675" t="s">
        <v>628</v>
      </c>
      <c r="B6675" t="s">
        <v>117</v>
      </c>
      <c r="C6675" t="s">
        <v>136</v>
      </c>
      <c r="D6675" t="s">
        <v>745</v>
      </c>
      <c r="E6675" t="s">
        <v>768</v>
      </c>
      <c r="F6675">
        <v>3</v>
      </c>
      <c r="G6675" s="308">
        <f>COMEDORES!I151</f>
        <v>2200</v>
      </c>
      <c r="H6675" s="308">
        <f>COMEDORES!J151</f>
        <v>398501.25</v>
      </c>
    </row>
    <row r="6676" spans="1:8" x14ac:dyDescent="0.3">
      <c r="A6676" t="s">
        <v>628</v>
      </c>
      <c r="B6676" t="s">
        <v>117</v>
      </c>
      <c r="C6676" t="s">
        <v>136</v>
      </c>
      <c r="D6676" t="s">
        <v>745</v>
      </c>
      <c r="E6676" t="s">
        <v>769</v>
      </c>
      <c r="F6676">
        <v>4</v>
      </c>
      <c r="G6676" s="308">
        <f>COMEDORES!K151</f>
        <v>1900</v>
      </c>
      <c r="H6676" s="308">
        <f>COMEDORES!L151</f>
        <v>216628.5</v>
      </c>
    </row>
    <row r="6677" spans="1:8" x14ac:dyDescent="0.3">
      <c r="A6677" t="s">
        <v>628</v>
      </c>
      <c r="B6677" t="s">
        <v>117</v>
      </c>
      <c r="C6677" t="s">
        <v>136</v>
      </c>
      <c r="D6677" t="s">
        <v>745</v>
      </c>
      <c r="E6677" t="s">
        <v>770</v>
      </c>
      <c r="F6677">
        <v>5</v>
      </c>
      <c r="G6677" s="308">
        <f>COMEDORES!M151</f>
        <v>2000</v>
      </c>
      <c r="H6677" s="308">
        <f>COMEDORES!N151</f>
        <v>187088.25</v>
      </c>
    </row>
    <row r="6678" spans="1:8" x14ac:dyDescent="0.3">
      <c r="A6678" t="s">
        <v>628</v>
      </c>
      <c r="B6678" t="s">
        <v>117</v>
      </c>
      <c r="C6678" t="s">
        <v>136</v>
      </c>
      <c r="D6678" t="s">
        <v>745</v>
      </c>
      <c r="E6678" t="s">
        <v>771</v>
      </c>
      <c r="F6678">
        <v>6</v>
      </c>
      <c r="G6678" s="308">
        <f>COMEDORES!O151</f>
        <v>2100</v>
      </c>
      <c r="H6678" s="308">
        <f>COMEDORES!P151</f>
        <v>196935</v>
      </c>
    </row>
    <row r="6679" spans="1:8" x14ac:dyDescent="0.3">
      <c r="A6679" t="s">
        <v>628</v>
      </c>
      <c r="B6679" t="s">
        <v>117</v>
      </c>
      <c r="C6679" t="s">
        <v>136</v>
      </c>
      <c r="D6679" t="s">
        <v>745</v>
      </c>
      <c r="E6679" t="s">
        <v>772</v>
      </c>
      <c r="F6679">
        <v>7</v>
      </c>
      <c r="G6679" s="308">
        <f>COMEDORES!Q151</f>
        <v>2300</v>
      </c>
      <c r="H6679" s="308">
        <f>COMEDORES!R151</f>
        <v>206781.75</v>
      </c>
    </row>
    <row r="6680" spans="1:8" x14ac:dyDescent="0.3">
      <c r="A6680" t="s">
        <v>628</v>
      </c>
      <c r="B6680" t="s">
        <v>117</v>
      </c>
      <c r="C6680" t="s">
        <v>136</v>
      </c>
      <c r="D6680" t="s">
        <v>746</v>
      </c>
      <c r="E6680" t="s">
        <v>766</v>
      </c>
      <c r="F6680">
        <v>1</v>
      </c>
      <c r="G6680" s="308">
        <f>COMEDORES!E152</f>
        <v>3625</v>
      </c>
      <c r="H6680" s="308">
        <f>COMEDORES!F152</f>
        <v>0</v>
      </c>
    </row>
    <row r="6681" spans="1:8" x14ac:dyDescent="0.3">
      <c r="A6681" t="s">
        <v>628</v>
      </c>
      <c r="B6681" t="s">
        <v>117</v>
      </c>
      <c r="C6681" t="s">
        <v>136</v>
      </c>
      <c r="D6681" t="s">
        <v>746</v>
      </c>
      <c r="E6681" t="s">
        <v>767</v>
      </c>
      <c r="F6681">
        <v>2</v>
      </c>
      <c r="G6681" s="308">
        <f>COMEDORES!G152</f>
        <v>3500</v>
      </c>
      <c r="H6681" s="308">
        <f>COMEDORES!H152</f>
        <v>0</v>
      </c>
    </row>
    <row r="6682" spans="1:8" x14ac:dyDescent="0.3">
      <c r="A6682" t="s">
        <v>628</v>
      </c>
      <c r="B6682" t="s">
        <v>117</v>
      </c>
      <c r="C6682" t="s">
        <v>136</v>
      </c>
      <c r="D6682" t="s">
        <v>746</v>
      </c>
      <c r="E6682" t="s">
        <v>768</v>
      </c>
      <c r="F6682">
        <v>3</v>
      </c>
      <c r="G6682" s="308">
        <f>COMEDORES!I152</f>
        <v>3850</v>
      </c>
      <c r="H6682" s="308">
        <f>COMEDORES!J152</f>
        <v>0</v>
      </c>
    </row>
    <row r="6683" spans="1:8" x14ac:dyDescent="0.3">
      <c r="A6683" t="s">
        <v>628</v>
      </c>
      <c r="B6683" t="s">
        <v>117</v>
      </c>
      <c r="C6683" t="s">
        <v>136</v>
      </c>
      <c r="D6683" t="s">
        <v>746</v>
      </c>
      <c r="E6683" t="s">
        <v>769</v>
      </c>
      <c r="F6683">
        <v>4</v>
      </c>
      <c r="G6683" s="308">
        <f>COMEDORES!K152</f>
        <v>3325</v>
      </c>
      <c r="H6683" s="308">
        <f>COMEDORES!L152</f>
        <v>0</v>
      </c>
    </row>
    <row r="6684" spans="1:8" x14ac:dyDescent="0.3">
      <c r="A6684" t="s">
        <v>628</v>
      </c>
      <c r="B6684" t="s">
        <v>117</v>
      </c>
      <c r="C6684" t="s">
        <v>136</v>
      </c>
      <c r="D6684" t="s">
        <v>746</v>
      </c>
      <c r="E6684" t="s">
        <v>770</v>
      </c>
      <c r="F6684">
        <v>5</v>
      </c>
      <c r="G6684" s="308">
        <f>COMEDORES!M152</f>
        <v>3500</v>
      </c>
      <c r="H6684" s="308">
        <f>COMEDORES!N152</f>
        <v>0</v>
      </c>
    </row>
    <row r="6685" spans="1:8" x14ac:dyDescent="0.3">
      <c r="A6685" t="s">
        <v>628</v>
      </c>
      <c r="B6685" t="s">
        <v>117</v>
      </c>
      <c r="C6685" t="s">
        <v>136</v>
      </c>
      <c r="D6685" t="s">
        <v>746</v>
      </c>
      <c r="E6685" t="s">
        <v>771</v>
      </c>
      <c r="F6685">
        <v>6</v>
      </c>
      <c r="G6685" s="308">
        <f>COMEDORES!O152</f>
        <v>3675</v>
      </c>
      <c r="H6685" s="308">
        <f>COMEDORES!P152</f>
        <v>0</v>
      </c>
    </row>
    <row r="6686" spans="1:8" x14ac:dyDescent="0.3">
      <c r="A6686" t="s">
        <v>628</v>
      </c>
      <c r="B6686" t="s">
        <v>117</v>
      </c>
      <c r="C6686" t="s">
        <v>136</v>
      </c>
      <c r="D6686" t="s">
        <v>746</v>
      </c>
      <c r="E6686" t="s">
        <v>772</v>
      </c>
      <c r="F6686">
        <v>7</v>
      </c>
      <c r="G6686" s="308">
        <f>COMEDORES!Q152</f>
        <v>4025</v>
      </c>
      <c r="H6686" s="308">
        <f>COMEDORES!R152</f>
        <v>0</v>
      </c>
    </row>
    <row r="6687" spans="1:8" x14ac:dyDescent="0.3">
      <c r="A6687" t="s">
        <v>628</v>
      </c>
      <c r="B6687" t="s">
        <v>117</v>
      </c>
      <c r="C6687" t="s">
        <v>394</v>
      </c>
      <c r="D6687" t="s">
        <v>745</v>
      </c>
      <c r="E6687" t="s">
        <v>766</v>
      </c>
      <c r="F6687">
        <v>1</v>
      </c>
      <c r="G6687" s="308">
        <f>COMEDORES!E153</f>
        <v>2700</v>
      </c>
      <c r="H6687" s="308">
        <f>COMEDORES!F153</f>
        <v>0</v>
      </c>
    </row>
    <row r="6688" spans="1:8" x14ac:dyDescent="0.3">
      <c r="A6688" t="s">
        <v>628</v>
      </c>
      <c r="B6688" t="s">
        <v>117</v>
      </c>
      <c r="C6688" t="s">
        <v>394</v>
      </c>
      <c r="D6688" t="s">
        <v>745</v>
      </c>
      <c r="E6688" t="s">
        <v>767</v>
      </c>
      <c r="F6688">
        <v>2</v>
      </c>
      <c r="G6688" s="308">
        <f>COMEDORES!G153</f>
        <v>3000</v>
      </c>
      <c r="H6688" s="308">
        <f>COMEDORES!H153</f>
        <v>0</v>
      </c>
    </row>
    <row r="6689" spans="1:8" x14ac:dyDescent="0.3">
      <c r="A6689" t="s">
        <v>628</v>
      </c>
      <c r="B6689" t="s">
        <v>117</v>
      </c>
      <c r="C6689" t="s">
        <v>394</v>
      </c>
      <c r="D6689" t="s">
        <v>745</v>
      </c>
      <c r="E6689" t="s">
        <v>768</v>
      </c>
      <c r="F6689">
        <v>3</v>
      </c>
      <c r="G6689" s="308">
        <f>COMEDORES!I153</f>
        <v>3300</v>
      </c>
      <c r="H6689" s="308">
        <f>COMEDORES!J153</f>
        <v>480681</v>
      </c>
    </row>
    <row r="6690" spans="1:8" x14ac:dyDescent="0.3">
      <c r="A6690" t="s">
        <v>628</v>
      </c>
      <c r="B6690" t="s">
        <v>117</v>
      </c>
      <c r="C6690" t="s">
        <v>394</v>
      </c>
      <c r="D6690" t="s">
        <v>745</v>
      </c>
      <c r="E6690" t="s">
        <v>769</v>
      </c>
      <c r="F6690">
        <v>4</v>
      </c>
      <c r="G6690" s="308">
        <f>COMEDORES!K153</f>
        <v>2850</v>
      </c>
      <c r="H6690" s="308">
        <f>COMEDORES!L153</f>
        <v>273999</v>
      </c>
    </row>
    <row r="6691" spans="1:8" x14ac:dyDescent="0.3">
      <c r="A6691" t="s">
        <v>628</v>
      </c>
      <c r="B6691" t="s">
        <v>117</v>
      </c>
      <c r="C6691" t="s">
        <v>394</v>
      </c>
      <c r="D6691" t="s">
        <v>745</v>
      </c>
      <c r="E6691" t="s">
        <v>770</v>
      </c>
      <c r="F6691">
        <v>5</v>
      </c>
      <c r="G6691" s="308">
        <f>COMEDORES!M153</f>
        <v>3000</v>
      </c>
      <c r="H6691" s="308">
        <f>COMEDORES!N153</f>
        <v>236635.5</v>
      </c>
    </row>
    <row r="6692" spans="1:8" x14ac:dyDescent="0.3">
      <c r="A6692" t="s">
        <v>628</v>
      </c>
      <c r="B6692" t="s">
        <v>117</v>
      </c>
      <c r="C6692" t="s">
        <v>394</v>
      </c>
      <c r="D6692" t="s">
        <v>745</v>
      </c>
      <c r="E6692" t="s">
        <v>771</v>
      </c>
      <c r="F6692">
        <v>6</v>
      </c>
      <c r="G6692" s="308">
        <f>COMEDORES!O153</f>
        <v>1500</v>
      </c>
      <c r="H6692" s="308">
        <f>COMEDORES!P153</f>
        <v>249090</v>
      </c>
    </row>
    <row r="6693" spans="1:8" x14ac:dyDescent="0.3">
      <c r="A6693" t="s">
        <v>628</v>
      </c>
      <c r="B6693" t="s">
        <v>117</v>
      </c>
      <c r="C6693" t="s">
        <v>394</v>
      </c>
      <c r="D6693" t="s">
        <v>745</v>
      </c>
      <c r="E6693" t="s">
        <v>772</v>
      </c>
      <c r="F6693">
        <v>7</v>
      </c>
      <c r="G6693" s="308">
        <f>COMEDORES!Q153</f>
        <v>0</v>
      </c>
      <c r="H6693" s="308">
        <f>COMEDORES!R153</f>
        <v>124545</v>
      </c>
    </row>
    <row r="6694" spans="1:8" x14ac:dyDescent="0.3">
      <c r="A6694" t="s">
        <v>628</v>
      </c>
      <c r="B6694" t="s">
        <v>117</v>
      </c>
      <c r="C6694" t="s">
        <v>394</v>
      </c>
      <c r="D6694" t="s">
        <v>746</v>
      </c>
      <c r="E6694" t="s">
        <v>766</v>
      </c>
      <c r="F6694">
        <v>1</v>
      </c>
      <c r="G6694" s="308">
        <f>COMEDORES!E154</f>
        <v>3800</v>
      </c>
      <c r="H6694" s="308">
        <f>COMEDORES!F154</f>
        <v>0</v>
      </c>
    </row>
    <row r="6695" spans="1:8" x14ac:dyDescent="0.3">
      <c r="A6695" t="s">
        <v>628</v>
      </c>
      <c r="B6695" t="s">
        <v>117</v>
      </c>
      <c r="C6695" t="s">
        <v>394</v>
      </c>
      <c r="D6695" t="s">
        <v>746</v>
      </c>
      <c r="E6695" t="s">
        <v>767</v>
      </c>
      <c r="F6695">
        <v>2</v>
      </c>
      <c r="G6695" s="308">
        <f>COMEDORES!G154</f>
        <v>4000</v>
      </c>
      <c r="H6695" s="308">
        <f>COMEDORES!H154</f>
        <v>0</v>
      </c>
    </row>
    <row r="6696" spans="1:8" x14ac:dyDescent="0.3">
      <c r="A6696" t="s">
        <v>628</v>
      </c>
      <c r="B6696" t="s">
        <v>117</v>
      </c>
      <c r="C6696" t="s">
        <v>394</v>
      </c>
      <c r="D6696" t="s">
        <v>746</v>
      </c>
      <c r="E6696" t="s">
        <v>768</v>
      </c>
      <c r="F6696">
        <v>3</v>
      </c>
      <c r="G6696" s="308">
        <f>COMEDORES!I154</f>
        <v>4400</v>
      </c>
      <c r="H6696" s="308">
        <f>COMEDORES!J154</f>
        <v>0</v>
      </c>
    </row>
    <row r="6697" spans="1:8" x14ac:dyDescent="0.3">
      <c r="A6697" t="s">
        <v>628</v>
      </c>
      <c r="B6697" t="s">
        <v>117</v>
      </c>
      <c r="C6697" t="s">
        <v>394</v>
      </c>
      <c r="D6697" t="s">
        <v>746</v>
      </c>
      <c r="E6697" t="s">
        <v>769</v>
      </c>
      <c r="F6697">
        <v>4</v>
      </c>
      <c r="G6697" s="308">
        <f>COMEDORES!K154</f>
        <v>3800</v>
      </c>
      <c r="H6697" s="308">
        <f>COMEDORES!L154</f>
        <v>0</v>
      </c>
    </row>
    <row r="6698" spans="1:8" x14ac:dyDescent="0.3">
      <c r="A6698" t="s">
        <v>628</v>
      </c>
      <c r="B6698" t="s">
        <v>117</v>
      </c>
      <c r="C6698" t="s">
        <v>394</v>
      </c>
      <c r="D6698" t="s">
        <v>746</v>
      </c>
      <c r="E6698" t="s">
        <v>770</v>
      </c>
      <c r="F6698">
        <v>5</v>
      </c>
      <c r="G6698" s="308">
        <f>COMEDORES!M154</f>
        <v>4000</v>
      </c>
      <c r="H6698" s="308">
        <f>COMEDORES!N154</f>
        <v>0</v>
      </c>
    </row>
    <row r="6699" spans="1:8" x14ac:dyDescent="0.3">
      <c r="A6699" t="s">
        <v>628</v>
      </c>
      <c r="B6699" t="s">
        <v>117</v>
      </c>
      <c r="C6699" t="s">
        <v>394</v>
      </c>
      <c r="D6699" t="s">
        <v>746</v>
      </c>
      <c r="E6699" t="s">
        <v>771</v>
      </c>
      <c r="F6699">
        <v>6</v>
      </c>
      <c r="G6699" s="308">
        <f>COMEDORES!O154</f>
        <v>2000</v>
      </c>
      <c r="H6699" s="308">
        <f>COMEDORES!P154</f>
        <v>0</v>
      </c>
    </row>
    <row r="6700" spans="1:8" x14ac:dyDescent="0.3">
      <c r="A6700" t="s">
        <v>628</v>
      </c>
      <c r="B6700" t="s">
        <v>117</v>
      </c>
      <c r="C6700" t="s">
        <v>394</v>
      </c>
      <c r="D6700" t="s">
        <v>746</v>
      </c>
      <c r="E6700" t="s">
        <v>772</v>
      </c>
      <c r="F6700">
        <v>7</v>
      </c>
      <c r="G6700" s="308">
        <f>COMEDORES!Q154</f>
        <v>0</v>
      </c>
      <c r="H6700" s="308">
        <f>COMEDORES!R154</f>
        <v>0</v>
      </c>
    </row>
    <row r="6701" spans="1:8" x14ac:dyDescent="0.3">
      <c r="A6701" t="s">
        <v>628</v>
      </c>
      <c r="B6701" t="s">
        <v>117</v>
      </c>
      <c r="C6701" t="s">
        <v>138</v>
      </c>
      <c r="D6701" t="s">
        <v>745</v>
      </c>
      <c r="E6701" t="s">
        <v>766</v>
      </c>
      <c r="F6701">
        <v>1</v>
      </c>
      <c r="G6701" s="308">
        <f>COMEDORES!E155</f>
        <v>1800</v>
      </c>
      <c r="H6701" s="308">
        <f>COMEDORES!F155</f>
        <v>0</v>
      </c>
    </row>
    <row r="6702" spans="1:8" x14ac:dyDescent="0.3">
      <c r="A6702" t="s">
        <v>628</v>
      </c>
      <c r="B6702" t="s">
        <v>117</v>
      </c>
      <c r="C6702" t="s">
        <v>138</v>
      </c>
      <c r="D6702" t="s">
        <v>745</v>
      </c>
      <c r="E6702" t="s">
        <v>767</v>
      </c>
      <c r="F6702">
        <v>2</v>
      </c>
      <c r="G6702" s="308">
        <f>COMEDORES!G155</f>
        <v>2000</v>
      </c>
      <c r="H6702" s="308">
        <f>COMEDORES!H155</f>
        <v>0</v>
      </c>
    </row>
    <row r="6703" spans="1:8" x14ac:dyDescent="0.3">
      <c r="A6703" t="s">
        <v>628</v>
      </c>
      <c r="B6703" t="s">
        <v>117</v>
      </c>
      <c r="C6703" t="s">
        <v>138</v>
      </c>
      <c r="D6703" t="s">
        <v>745</v>
      </c>
      <c r="E6703" t="s">
        <v>768</v>
      </c>
      <c r="F6703">
        <v>3</v>
      </c>
      <c r="G6703" s="308">
        <f>COMEDORES!I155</f>
        <v>2200</v>
      </c>
      <c r="H6703" s="308">
        <f>COMEDORES!J155</f>
        <v>343721.4</v>
      </c>
    </row>
    <row r="6704" spans="1:8" x14ac:dyDescent="0.3">
      <c r="A6704" t="s">
        <v>628</v>
      </c>
      <c r="B6704" t="s">
        <v>117</v>
      </c>
      <c r="C6704" t="s">
        <v>138</v>
      </c>
      <c r="D6704" t="s">
        <v>745</v>
      </c>
      <c r="E6704" t="s">
        <v>769</v>
      </c>
      <c r="F6704">
        <v>4</v>
      </c>
      <c r="G6704" s="308">
        <f>COMEDORES!K155</f>
        <v>1900</v>
      </c>
      <c r="H6704" s="308">
        <f>COMEDORES!L155</f>
        <v>196251</v>
      </c>
    </row>
    <row r="6705" spans="1:8" x14ac:dyDescent="0.3">
      <c r="A6705" t="s">
        <v>628</v>
      </c>
      <c r="B6705" t="s">
        <v>117</v>
      </c>
      <c r="C6705" t="s">
        <v>138</v>
      </c>
      <c r="D6705" t="s">
        <v>745</v>
      </c>
      <c r="E6705" t="s">
        <v>770</v>
      </c>
      <c r="F6705">
        <v>5</v>
      </c>
      <c r="G6705" s="308">
        <f>COMEDORES!M155</f>
        <v>2000</v>
      </c>
      <c r="H6705" s="308">
        <f>COMEDORES!N155</f>
        <v>169489.5</v>
      </c>
    </row>
    <row r="6706" spans="1:8" x14ac:dyDescent="0.3">
      <c r="A6706" t="s">
        <v>628</v>
      </c>
      <c r="B6706" t="s">
        <v>117</v>
      </c>
      <c r="C6706" t="s">
        <v>138</v>
      </c>
      <c r="D6706" t="s">
        <v>745</v>
      </c>
      <c r="E6706" t="s">
        <v>771</v>
      </c>
      <c r="F6706">
        <v>6</v>
      </c>
      <c r="G6706" s="308">
        <f>COMEDORES!O155</f>
        <v>1950</v>
      </c>
      <c r="H6706" s="308">
        <f>COMEDORES!P155</f>
        <v>178410</v>
      </c>
    </row>
    <row r="6707" spans="1:8" x14ac:dyDescent="0.3">
      <c r="A6707" t="s">
        <v>628</v>
      </c>
      <c r="B6707" t="s">
        <v>117</v>
      </c>
      <c r="C6707" t="s">
        <v>138</v>
      </c>
      <c r="D6707" t="s">
        <v>745</v>
      </c>
      <c r="E6707" t="s">
        <v>772</v>
      </c>
      <c r="F6707">
        <v>7</v>
      </c>
      <c r="G6707" s="308">
        <f>COMEDORES!Q155</f>
        <v>2225</v>
      </c>
      <c r="H6707" s="308">
        <f>COMEDORES!R155</f>
        <v>176728.49999999988</v>
      </c>
    </row>
    <row r="6708" spans="1:8" x14ac:dyDescent="0.3">
      <c r="A6708" t="s">
        <v>628</v>
      </c>
      <c r="B6708" t="s">
        <v>117</v>
      </c>
      <c r="C6708" t="s">
        <v>138</v>
      </c>
      <c r="D6708" t="s">
        <v>746</v>
      </c>
      <c r="E6708" t="s">
        <v>766</v>
      </c>
      <c r="F6708">
        <v>1</v>
      </c>
      <c r="G6708" s="308">
        <f>COMEDORES!E156</f>
        <v>2850</v>
      </c>
      <c r="H6708" s="308">
        <f>COMEDORES!F156</f>
        <v>0</v>
      </c>
    </row>
    <row r="6709" spans="1:8" x14ac:dyDescent="0.3">
      <c r="A6709" t="s">
        <v>628</v>
      </c>
      <c r="B6709" t="s">
        <v>117</v>
      </c>
      <c r="C6709" t="s">
        <v>138</v>
      </c>
      <c r="D6709" t="s">
        <v>746</v>
      </c>
      <c r="E6709" t="s">
        <v>767</v>
      </c>
      <c r="F6709">
        <v>2</v>
      </c>
      <c r="G6709" s="308">
        <f>COMEDORES!G156</f>
        <v>3000</v>
      </c>
      <c r="H6709" s="308">
        <f>COMEDORES!H156</f>
        <v>0</v>
      </c>
    </row>
    <row r="6710" spans="1:8" x14ac:dyDescent="0.3">
      <c r="A6710" t="s">
        <v>628</v>
      </c>
      <c r="B6710" t="s">
        <v>117</v>
      </c>
      <c r="C6710" t="s">
        <v>138</v>
      </c>
      <c r="D6710" t="s">
        <v>746</v>
      </c>
      <c r="E6710" t="s">
        <v>768</v>
      </c>
      <c r="F6710">
        <v>3</v>
      </c>
      <c r="G6710" s="308">
        <f>COMEDORES!I156</f>
        <v>3300</v>
      </c>
      <c r="H6710" s="308">
        <f>COMEDORES!J156</f>
        <v>0</v>
      </c>
    </row>
    <row r="6711" spans="1:8" x14ac:dyDescent="0.3">
      <c r="A6711" t="s">
        <v>628</v>
      </c>
      <c r="B6711" t="s">
        <v>117</v>
      </c>
      <c r="C6711" t="s">
        <v>138</v>
      </c>
      <c r="D6711" t="s">
        <v>746</v>
      </c>
      <c r="E6711" t="s">
        <v>769</v>
      </c>
      <c r="F6711">
        <v>4</v>
      </c>
      <c r="G6711" s="308">
        <f>COMEDORES!K156</f>
        <v>2850</v>
      </c>
      <c r="H6711" s="308">
        <f>COMEDORES!L156</f>
        <v>0</v>
      </c>
    </row>
    <row r="6712" spans="1:8" x14ac:dyDescent="0.3">
      <c r="A6712" t="s">
        <v>628</v>
      </c>
      <c r="B6712" t="s">
        <v>117</v>
      </c>
      <c r="C6712" t="s">
        <v>138</v>
      </c>
      <c r="D6712" t="s">
        <v>746</v>
      </c>
      <c r="E6712" t="s">
        <v>770</v>
      </c>
      <c r="F6712">
        <v>5</v>
      </c>
      <c r="G6712" s="308">
        <f>COMEDORES!M156</f>
        <v>3000</v>
      </c>
      <c r="H6712" s="308">
        <f>COMEDORES!N156</f>
        <v>0</v>
      </c>
    </row>
    <row r="6713" spans="1:8" x14ac:dyDescent="0.3">
      <c r="A6713" t="s">
        <v>628</v>
      </c>
      <c r="B6713" t="s">
        <v>117</v>
      </c>
      <c r="C6713" t="s">
        <v>138</v>
      </c>
      <c r="D6713" t="s">
        <v>746</v>
      </c>
      <c r="E6713" t="s">
        <v>771</v>
      </c>
      <c r="F6713">
        <v>6</v>
      </c>
      <c r="G6713" s="308">
        <f>COMEDORES!O156</f>
        <v>3000</v>
      </c>
      <c r="H6713" s="308">
        <f>COMEDORES!P156</f>
        <v>0</v>
      </c>
    </row>
    <row r="6714" spans="1:8" x14ac:dyDescent="0.3">
      <c r="A6714" t="s">
        <v>628</v>
      </c>
      <c r="B6714" t="s">
        <v>117</v>
      </c>
      <c r="C6714" t="s">
        <v>138</v>
      </c>
      <c r="D6714" t="s">
        <v>746</v>
      </c>
      <c r="E6714" t="s">
        <v>772</v>
      </c>
      <c r="F6714">
        <v>7</v>
      </c>
      <c r="G6714" s="308">
        <f>COMEDORES!Q156</f>
        <v>3375</v>
      </c>
      <c r="H6714" s="308">
        <f>COMEDORES!R156</f>
        <v>0</v>
      </c>
    </row>
    <row r="6715" spans="1:8" x14ac:dyDescent="0.3">
      <c r="A6715" t="s">
        <v>628</v>
      </c>
      <c r="B6715" t="s">
        <v>117</v>
      </c>
      <c r="C6715" t="s">
        <v>395</v>
      </c>
      <c r="D6715" t="s">
        <v>745</v>
      </c>
      <c r="E6715" t="s">
        <v>766</v>
      </c>
      <c r="F6715">
        <v>1</v>
      </c>
      <c r="G6715" s="308">
        <f>COMEDORES!E157</f>
        <v>0</v>
      </c>
      <c r="H6715" s="308">
        <f>COMEDORES!F157</f>
        <v>0</v>
      </c>
    </row>
    <row r="6716" spans="1:8" x14ac:dyDescent="0.3">
      <c r="A6716" t="s">
        <v>628</v>
      </c>
      <c r="B6716" t="s">
        <v>117</v>
      </c>
      <c r="C6716" t="s">
        <v>395</v>
      </c>
      <c r="D6716" t="s">
        <v>745</v>
      </c>
      <c r="E6716" t="s">
        <v>767</v>
      </c>
      <c r="F6716">
        <v>2</v>
      </c>
      <c r="G6716" s="308">
        <f>COMEDORES!G157</f>
        <v>0</v>
      </c>
      <c r="H6716" s="308">
        <f>COMEDORES!H157</f>
        <v>0</v>
      </c>
    </row>
    <row r="6717" spans="1:8" x14ac:dyDescent="0.3">
      <c r="A6717" t="s">
        <v>628</v>
      </c>
      <c r="B6717" t="s">
        <v>117</v>
      </c>
      <c r="C6717" t="s">
        <v>395</v>
      </c>
      <c r="D6717" t="s">
        <v>745</v>
      </c>
      <c r="E6717" t="s">
        <v>768</v>
      </c>
      <c r="F6717">
        <v>3</v>
      </c>
      <c r="G6717" s="308">
        <f>COMEDORES!I157</f>
        <v>0</v>
      </c>
      <c r="H6717" s="308">
        <f>COMEDORES!J157</f>
        <v>0</v>
      </c>
    </row>
    <row r="6718" spans="1:8" x14ac:dyDescent="0.3">
      <c r="A6718" t="s">
        <v>628</v>
      </c>
      <c r="B6718" t="s">
        <v>117</v>
      </c>
      <c r="C6718" t="s">
        <v>395</v>
      </c>
      <c r="D6718" t="s">
        <v>745</v>
      </c>
      <c r="E6718" t="s">
        <v>769</v>
      </c>
      <c r="F6718">
        <v>4</v>
      </c>
      <c r="G6718" s="308">
        <f>COMEDORES!K157</f>
        <v>900</v>
      </c>
      <c r="H6718" s="308">
        <f>COMEDORES!L157</f>
        <v>0</v>
      </c>
    </row>
    <row r="6719" spans="1:8" x14ac:dyDescent="0.3">
      <c r="A6719" t="s">
        <v>628</v>
      </c>
      <c r="B6719" t="s">
        <v>117</v>
      </c>
      <c r="C6719" t="s">
        <v>395</v>
      </c>
      <c r="D6719" t="s">
        <v>745</v>
      </c>
      <c r="E6719" t="s">
        <v>770</v>
      </c>
      <c r="F6719">
        <v>5</v>
      </c>
      <c r="G6719" s="308">
        <f>COMEDORES!M157</f>
        <v>2000</v>
      </c>
      <c r="H6719" s="308">
        <f>COMEDORES!N157</f>
        <v>79765.8</v>
      </c>
    </row>
    <row r="6720" spans="1:8" x14ac:dyDescent="0.3">
      <c r="A6720" t="s">
        <v>628</v>
      </c>
      <c r="B6720" t="s">
        <v>117</v>
      </c>
      <c r="C6720" t="s">
        <v>395</v>
      </c>
      <c r="D6720" t="s">
        <v>745</v>
      </c>
      <c r="E6720" t="s">
        <v>771</v>
      </c>
      <c r="F6720">
        <v>6</v>
      </c>
      <c r="G6720" s="308">
        <f>COMEDORES!O157</f>
        <v>2100</v>
      </c>
      <c r="H6720" s="308">
        <f>COMEDORES!P157</f>
        <v>178410</v>
      </c>
    </row>
    <row r="6721" spans="1:8" x14ac:dyDescent="0.3">
      <c r="A6721" t="s">
        <v>628</v>
      </c>
      <c r="B6721" t="s">
        <v>117</v>
      </c>
      <c r="C6721" t="s">
        <v>395</v>
      </c>
      <c r="D6721" t="s">
        <v>745</v>
      </c>
      <c r="E6721" t="s">
        <v>772</v>
      </c>
      <c r="F6721">
        <v>7</v>
      </c>
      <c r="G6721" s="308">
        <f>COMEDORES!Q157</f>
        <v>1725</v>
      </c>
      <c r="H6721" s="308">
        <f>COMEDORES!R157</f>
        <v>187330.5</v>
      </c>
    </row>
    <row r="6722" spans="1:8" x14ac:dyDescent="0.3">
      <c r="A6722" t="s">
        <v>628</v>
      </c>
      <c r="B6722" t="s">
        <v>117</v>
      </c>
      <c r="C6722" t="s">
        <v>395</v>
      </c>
      <c r="D6722" t="s">
        <v>746</v>
      </c>
      <c r="E6722" t="s">
        <v>766</v>
      </c>
      <c r="F6722">
        <v>1</v>
      </c>
      <c r="G6722" s="308">
        <f>COMEDORES!E158</f>
        <v>0</v>
      </c>
      <c r="H6722" s="308">
        <f>COMEDORES!F158</f>
        <v>0</v>
      </c>
    </row>
    <row r="6723" spans="1:8" x14ac:dyDescent="0.3">
      <c r="A6723" t="s">
        <v>628</v>
      </c>
      <c r="B6723" t="s">
        <v>117</v>
      </c>
      <c r="C6723" t="s">
        <v>395</v>
      </c>
      <c r="D6723" t="s">
        <v>746</v>
      </c>
      <c r="E6723" t="s">
        <v>767</v>
      </c>
      <c r="F6723">
        <v>2</v>
      </c>
      <c r="G6723" s="308">
        <f>COMEDORES!G158</f>
        <v>0</v>
      </c>
      <c r="H6723" s="308">
        <f>COMEDORES!H158</f>
        <v>0</v>
      </c>
    </row>
    <row r="6724" spans="1:8" x14ac:dyDescent="0.3">
      <c r="A6724" t="s">
        <v>628</v>
      </c>
      <c r="B6724" t="s">
        <v>117</v>
      </c>
      <c r="C6724" t="s">
        <v>395</v>
      </c>
      <c r="D6724" t="s">
        <v>746</v>
      </c>
      <c r="E6724" t="s">
        <v>768</v>
      </c>
      <c r="F6724">
        <v>3</v>
      </c>
      <c r="G6724" s="308">
        <f>COMEDORES!I158</f>
        <v>0</v>
      </c>
      <c r="H6724" s="308">
        <f>COMEDORES!J158</f>
        <v>0</v>
      </c>
    </row>
    <row r="6725" spans="1:8" x14ac:dyDescent="0.3">
      <c r="A6725" t="s">
        <v>628</v>
      </c>
      <c r="B6725" t="s">
        <v>117</v>
      </c>
      <c r="C6725" t="s">
        <v>395</v>
      </c>
      <c r="D6725" t="s">
        <v>746</v>
      </c>
      <c r="E6725" t="s">
        <v>769</v>
      </c>
      <c r="F6725">
        <v>4</v>
      </c>
      <c r="G6725" s="308">
        <f>COMEDORES!K158</f>
        <v>1350</v>
      </c>
      <c r="H6725" s="308">
        <f>COMEDORES!L158</f>
        <v>0</v>
      </c>
    </row>
    <row r="6726" spans="1:8" x14ac:dyDescent="0.3">
      <c r="A6726" t="s">
        <v>628</v>
      </c>
      <c r="B6726" t="s">
        <v>117</v>
      </c>
      <c r="C6726" t="s">
        <v>395</v>
      </c>
      <c r="D6726" t="s">
        <v>746</v>
      </c>
      <c r="E6726" t="s">
        <v>770</v>
      </c>
      <c r="F6726">
        <v>5</v>
      </c>
      <c r="G6726" s="308">
        <f>COMEDORES!M158</f>
        <v>3000</v>
      </c>
      <c r="H6726" s="308">
        <f>COMEDORES!N158</f>
        <v>0</v>
      </c>
    </row>
    <row r="6727" spans="1:8" x14ac:dyDescent="0.3">
      <c r="A6727" t="s">
        <v>628</v>
      </c>
      <c r="B6727" t="s">
        <v>117</v>
      </c>
      <c r="C6727" t="s">
        <v>395</v>
      </c>
      <c r="D6727" t="s">
        <v>746</v>
      </c>
      <c r="E6727" t="s">
        <v>771</v>
      </c>
      <c r="F6727">
        <v>6</v>
      </c>
      <c r="G6727" s="308">
        <f>COMEDORES!O158</f>
        <v>3150</v>
      </c>
      <c r="H6727" s="308">
        <f>COMEDORES!P158</f>
        <v>0</v>
      </c>
    </row>
    <row r="6728" spans="1:8" x14ac:dyDescent="0.3">
      <c r="A6728" t="s">
        <v>628</v>
      </c>
      <c r="B6728" t="s">
        <v>117</v>
      </c>
      <c r="C6728" t="s">
        <v>395</v>
      </c>
      <c r="D6728" t="s">
        <v>746</v>
      </c>
      <c r="E6728" t="s">
        <v>772</v>
      </c>
      <c r="F6728">
        <v>7</v>
      </c>
      <c r="G6728" s="308">
        <f>COMEDORES!Q158</f>
        <v>2875</v>
      </c>
      <c r="H6728" s="308">
        <f>COMEDORES!R158</f>
        <v>0</v>
      </c>
    </row>
    <row r="6729" spans="1:8" x14ac:dyDescent="0.3">
      <c r="A6729" t="s">
        <v>628</v>
      </c>
      <c r="B6729" t="s">
        <v>117</v>
      </c>
      <c r="C6729" t="s">
        <v>144</v>
      </c>
      <c r="D6729" t="s">
        <v>745</v>
      </c>
      <c r="E6729" t="s">
        <v>766</v>
      </c>
      <c r="F6729">
        <v>1</v>
      </c>
      <c r="G6729" s="308">
        <f>COMEDORES!E159</f>
        <v>1500</v>
      </c>
      <c r="H6729" s="308">
        <f>COMEDORES!F159</f>
        <v>0</v>
      </c>
    </row>
    <row r="6730" spans="1:8" x14ac:dyDescent="0.3">
      <c r="A6730" t="s">
        <v>628</v>
      </c>
      <c r="B6730" t="s">
        <v>117</v>
      </c>
      <c r="C6730" t="s">
        <v>144</v>
      </c>
      <c r="D6730" t="s">
        <v>745</v>
      </c>
      <c r="E6730" t="s">
        <v>767</v>
      </c>
      <c r="F6730">
        <v>2</v>
      </c>
      <c r="G6730" s="308">
        <f>COMEDORES!G159</f>
        <v>2000</v>
      </c>
      <c r="H6730" s="308">
        <f>COMEDORES!H159</f>
        <v>0</v>
      </c>
    </row>
    <row r="6731" spans="1:8" x14ac:dyDescent="0.3">
      <c r="A6731" t="s">
        <v>628</v>
      </c>
      <c r="B6731" t="s">
        <v>117</v>
      </c>
      <c r="C6731" t="s">
        <v>144</v>
      </c>
      <c r="D6731" t="s">
        <v>745</v>
      </c>
      <c r="E6731" t="s">
        <v>768</v>
      </c>
      <c r="F6731">
        <v>3</v>
      </c>
      <c r="G6731" s="308">
        <f>COMEDORES!I159</f>
        <v>2200</v>
      </c>
      <c r="H6731" s="308">
        <f>COMEDORES!J159</f>
        <v>351120</v>
      </c>
    </row>
    <row r="6732" spans="1:8" x14ac:dyDescent="0.3">
      <c r="A6732" t="s">
        <v>628</v>
      </c>
      <c r="B6732" t="s">
        <v>117</v>
      </c>
      <c r="C6732" t="s">
        <v>144</v>
      </c>
      <c r="D6732" t="s">
        <v>745</v>
      </c>
      <c r="E6732" t="s">
        <v>769</v>
      </c>
      <c r="F6732">
        <v>4</v>
      </c>
      <c r="G6732" s="308">
        <f>COMEDORES!K159</f>
        <v>1800</v>
      </c>
      <c r="H6732" s="308">
        <f>COMEDORES!L159</f>
        <v>216628.5</v>
      </c>
    </row>
    <row r="6733" spans="1:8" x14ac:dyDescent="0.3">
      <c r="A6733" t="s">
        <v>628</v>
      </c>
      <c r="B6733" t="s">
        <v>117</v>
      </c>
      <c r="C6733" t="s">
        <v>144</v>
      </c>
      <c r="D6733" t="s">
        <v>745</v>
      </c>
      <c r="E6733" t="s">
        <v>770</v>
      </c>
      <c r="F6733">
        <v>5</v>
      </c>
      <c r="G6733" s="308">
        <f>COMEDORES!M159</f>
        <v>2000</v>
      </c>
      <c r="H6733" s="308">
        <f>COMEDORES!N159</f>
        <v>183725.25</v>
      </c>
    </row>
    <row r="6734" spans="1:8" x14ac:dyDescent="0.3">
      <c r="A6734" t="s">
        <v>628</v>
      </c>
      <c r="B6734" t="s">
        <v>117</v>
      </c>
      <c r="C6734" t="s">
        <v>144</v>
      </c>
      <c r="D6734" t="s">
        <v>745</v>
      </c>
      <c r="E6734" t="s">
        <v>771</v>
      </c>
      <c r="F6734">
        <v>6</v>
      </c>
      <c r="G6734" s="308">
        <f>COMEDORES!O159</f>
        <v>2100</v>
      </c>
      <c r="H6734" s="308">
        <f>COMEDORES!P159</f>
        <v>196935</v>
      </c>
    </row>
    <row r="6735" spans="1:8" x14ac:dyDescent="0.3">
      <c r="A6735" t="s">
        <v>628</v>
      </c>
      <c r="B6735" t="s">
        <v>117</v>
      </c>
      <c r="C6735" t="s">
        <v>144</v>
      </c>
      <c r="D6735" t="s">
        <v>745</v>
      </c>
      <c r="E6735" t="s">
        <v>772</v>
      </c>
      <c r="F6735">
        <v>7</v>
      </c>
      <c r="G6735" s="308">
        <f>COMEDORES!Q159</f>
        <v>2100</v>
      </c>
      <c r="H6735" s="308">
        <f>COMEDORES!R159</f>
        <v>206781.75</v>
      </c>
    </row>
    <row r="6736" spans="1:8" x14ac:dyDescent="0.3">
      <c r="A6736" t="s">
        <v>628</v>
      </c>
      <c r="B6736" t="s">
        <v>117</v>
      </c>
      <c r="C6736" t="s">
        <v>144</v>
      </c>
      <c r="D6736" t="s">
        <v>746</v>
      </c>
      <c r="E6736" t="s">
        <v>766</v>
      </c>
      <c r="F6736">
        <v>1</v>
      </c>
      <c r="G6736" s="308">
        <f>COMEDORES!E160</f>
        <v>2800</v>
      </c>
      <c r="H6736" s="308">
        <f>COMEDORES!F160</f>
        <v>0</v>
      </c>
    </row>
    <row r="6737" spans="1:8" x14ac:dyDescent="0.3">
      <c r="A6737" t="s">
        <v>628</v>
      </c>
      <c r="B6737" t="s">
        <v>117</v>
      </c>
      <c r="C6737" t="s">
        <v>144</v>
      </c>
      <c r="D6737" t="s">
        <v>746</v>
      </c>
      <c r="E6737" t="s">
        <v>767</v>
      </c>
      <c r="F6737">
        <v>2</v>
      </c>
      <c r="G6737" s="308">
        <f>COMEDORES!G160</f>
        <v>3500</v>
      </c>
      <c r="H6737" s="308">
        <f>COMEDORES!H160</f>
        <v>0</v>
      </c>
    </row>
    <row r="6738" spans="1:8" x14ac:dyDescent="0.3">
      <c r="A6738" t="s">
        <v>628</v>
      </c>
      <c r="B6738" t="s">
        <v>117</v>
      </c>
      <c r="C6738" t="s">
        <v>144</v>
      </c>
      <c r="D6738" t="s">
        <v>746</v>
      </c>
      <c r="E6738" t="s">
        <v>768</v>
      </c>
      <c r="F6738">
        <v>3</v>
      </c>
      <c r="G6738" s="308">
        <f>COMEDORES!I160</f>
        <v>3850</v>
      </c>
      <c r="H6738" s="308">
        <f>COMEDORES!J160</f>
        <v>0</v>
      </c>
    </row>
    <row r="6739" spans="1:8" x14ac:dyDescent="0.3">
      <c r="A6739" t="s">
        <v>628</v>
      </c>
      <c r="B6739" t="s">
        <v>117</v>
      </c>
      <c r="C6739" t="s">
        <v>144</v>
      </c>
      <c r="D6739" t="s">
        <v>746</v>
      </c>
      <c r="E6739" t="s">
        <v>769</v>
      </c>
      <c r="F6739">
        <v>4</v>
      </c>
      <c r="G6739" s="308">
        <f>COMEDORES!K160</f>
        <v>3325</v>
      </c>
      <c r="H6739" s="308">
        <f>COMEDORES!L160</f>
        <v>0</v>
      </c>
    </row>
    <row r="6740" spans="1:8" x14ac:dyDescent="0.3">
      <c r="A6740" t="s">
        <v>628</v>
      </c>
      <c r="B6740" t="s">
        <v>117</v>
      </c>
      <c r="C6740" t="s">
        <v>144</v>
      </c>
      <c r="D6740" t="s">
        <v>746</v>
      </c>
      <c r="E6740" t="s">
        <v>770</v>
      </c>
      <c r="F6740">
        <v>5</v>
      </c>
      <c r="G6740" s="308">
        <f>COMEDORES!M160</f>
        <v>3500</v>
      </c>
      <c r="H6740" s="308">
        <f>COMEDORES!N160</f>
        <v>0</v>
      </c>
    </row>
    <row r="6741" spans="1:8" x14ac:dyDescent="0.3">
      <c r="A6741" t="s">
        <v>628</v>
      </c>
      <c r="B6741" t="s">
        <v>117</v>
      </c>
      <c r="C6741" t="s">
        <v>144</v>
      </c>
      <c r="D6741" t="s">
        <v>746</v>
      </c>
      <c r="E6741" t="s">
        <v>771</v>
      </c>
      <c r="F6741">
        <v>6</v>
      </c>
      <c r="G6741" s="308">
        <f>COMEDORES!O160</f>
        <v>3675</v>
      </c>
      <c r="H6741" s="308">
        <f>COMEDORES!P160</f>
        <v>0</v>
      </c>
    </row>
    <row r="6742" spans="1:8" x14ac:dyDescent="0.3">
      <c r="A6742" t="s">
        <v>628</v>
      </c>
      <c r="B6742" t="s">
        <v>117</v>
      </c>
      <c r="C6742" t="s">
        <v>144</v>
      </c>
      <c r="D6742" t="s">
        <v>746</v>
      </c>
      <c r="E6742" t="s">
        <v>772</v>
      </c>
      <c r="F6742">
        <v>7</v>
      </c>
      <c r="G6742" s="308">
        <f>COMEDORES!Q160</f>
        <v>3675</v>
      </c>
      <c r="H6742" s="308">
        <f>COMEDORES!R160</f>
        <v>0</v>
      </c>
    </row>
    <row r="6743" spans="1:8" x14ac:dyDescent="0.3">
      <c r="A6743" t="s">
        <v>628</v>
      </c>
      <c r="B6743" t="s">
        <v>149</v>
      </c>
      <c r="C6743" t="s">
        <v>150</v>
      </c>
      <c r="D6743" t="s">
        <v>745</v>
      </c>
      <c r="E6743" t="s">
        <v>766</v>
      </c>
      <c r="F6743">
        <v>1</v>
      </c>
      <c r="G6743" s="308">
        <f>COMEDORES!E161</f>
        <v>2210</v>
      </c>
      <c r="H6743" s="308">
        <f>COMEDORES!F161</f>
        <v>0</v>
      </c>
    </row>
    <row r="6744" spans="1:8" x14ac:dyDescent="0.3">
      <c r="A6744" t="s">
        <v>628</v>
      </c>
      <c r="B6744" t="s">
        <v>149</v>
      </c>
      <c r="C6744" t="s">
        <v>150</v>
      </c>
      <c r="D6744" t="s">
        <v>745</v>
      </c>
      <c r="E6744" t="s">
        <v>767</v>
      </c>
      <c r="F6744">
        <v>2</v>
      </c>
      <c r="G6744" s="308">
        <f>COMEDORES!G161</f>
        <v>2600</v>
      </c>
      <c r="H6744" s="308">
        <f>COMEDORES!H161</f>
        <v>0</v>
      </c>
    </row>
    <row r="6745" spans="1:8" x14ac:dyDescent="0.3">
      <c r="A6745" t="s">
        <v>628</v>
      </c>
      <c r="B6745" t="s">
        <v>149</v>
      </c>
      <c r="C6745" t="s">
        <v>150</v>
      </c>
      <c r="D6745" t="s">
        <v>745</v>
      </c>
      <c r="E6745" t="s">
        <v>768</v>
      </c>
      <c r="F6745">
        <v>3</v>
      </c>
      <c r="G6745" s="308">
        <f>COMEDORES!I161</f>
        <v>2860</v>
      </c>
      <c r="H6745" s="308">
        <f>COMEDORES!J161</f>
        <v>392247.7</v>
      </c>
    </row>
    <row r="6746" spans="1:8" x14ac:dyDescent="0.3">
      <c r="A6746" t="s">
        <v>628</v>
      </c>
      <c r="B6746" t="s">
        <v>149</v>
      </c>
      <c r="C6746" t="s">
        <v>150</v>
      </c>
      <c r="D6746" t="s">
        <v>745</v>
      </c>
      <c r="E6746" t="s">
        <v>769</v>
      </c>
      <c r="F6746">
        <v>4</v>
      </c>
      <c r="G6746" s="308">
        <f>COMEDORES!K161</f>
        <v>2375</v>
      </c>
      <c r="H6746" s="308">
        <f>COMEDORES!L161</f>
        <v>215588.10000000003</v>
      </c>
    </row>
    <row r="6747" spans="1:8" x14ac:dyDescent="0.3">
      <c r="A6747" t="s">
        <v>628</v>
      </c>
      <c r="B6747" t="s">
        <v>149</v>
      </c>
      <c r="C6747" t="s">
        <v>150</v>
      </c>
      <c r="D6747" t="s">
        <v>745</v>
      </c>
      <c r="E6747" t="s">
        <v>770</v>
      </c>
      <c r="F6747">
        <v>5</v>
      </c>
      <c r="G6747" s="308">
        <f>COMEDORES!M161</f>
        <v>2530</v>
      </c>
      <c r="H6747" s="308">
        <f>COMEDORES!N161</f>
        <v>195055.9</v>
      </c>
    </row>
    <row r="6748" spans="1:8" x14ac:dyDescent="0.3">
      <c r="A6748" t="s">
        <v>628</v>
      </c>
      <c r="B6748" t="s">
        <v>149</v>
      </c>
      <c r="C6748" t="s">
        <v>150</v>
      </c>
      <c r="D6748" t="s">
        <v>745</v>
      </c>
      <c r="E6748" t="s">
        <v>771</v>
      </c>
      <c r="F6748">
        <v>6</v>
      </c>
      <c r="G6748" s="308">
        <f>COMEDORES!O161</f>
        <v>2730</v>
      </c>
      <c r="H6748" s="308">
        <f>COMEDORES!P161</f>
        <v>203133.10000000009</v>
      </c>
    </row>
    <row r="6749" spans="1:8" x14ac:dyDescent="0.3">
      <c r="A6749" t="s">
        <v>628</v>
      </c>
      <c r="B6749" t="s">
        <v>149</v>
      </c>
      <c r="C6749" t="s">
        <v>150</v>
      </c>
      <c r="D6749" t="s">
        <v>745</v>
      </c>
      <c r="E6749" t="s">
        <v>772</v>
      </c>
      <c r="F6749">
        <v>7</v>
      </c>
      <c r="G6749" s="308">
        <f>COMEDORES!Q161</f>
        <v>2790</v>
      </c>
      <c r="H6749" s="308">
        <f>COMEDORES!R161</f>
        <v>215588.09999999986</v>
      </c>
    </row>
    <row r="6750" spans="1:8" x14ac:dyDescent="0.3">
      <c r="A6750" t="s">
        <v>628</v>
      </c>
      <c r="B6750" t="s">
        <v>149</v>
      </c>
      <c r="C6750" t="s">
        <v>150</v>
      </c>
      <c r="D6750" t="s">
        <v>746</v>
      </c>
      <c r="E6750" t="s">
        <v>766</v>
      </c>
      <c r="F6750">
        <v>1</v>
      </c>
      <c r="G6750" s="308">
        <f>COMEDORES!E162</f>
        <v>3420</v>
      </c>
      <c r="H6750" s="308">
        <f>COMEDORES!F162</f>
        <v>0</v>
      </c>
    </row>
    <row r="6751" spans="1:8" x14ac:dyDescent="0.3">
      <c r="A6751" t="s">
        <v>628</v>
      </c>
      <c r="B6751" t="s">
        <v>149</v>
      </c>
      <c r="C6751" t="s">
        <v>150</v>
      </c>
      <c r="D6751" t="s">
        <v>746</v>
      </c>
      <c r="E6751" t="s">
        <v>767</v>
      </c>
      <c r="F6751">
        <v>2</v>
      </c>
      <c r="G6751" s="308">
        <f>COMEDORES!G162</f>
        <v>3600</v>
      </c>
      <c r="H6751" s="308">
        <f>COMEDORES!H162</f>
        <v>0</v>
      </c>
    </row>
    <row r="6752" spans="1:8" x14ac:dyDescent="0.3">
      <c r="A6752" t="s">
        <v>628</v>
      </c>
      <c r="B6752" t="s">
        <v>149</v>
      </c>
      <c r="C6752" t="s">
        <v>150</v>
      </c>
      <c r="D6752" t="s">
        <v>746</v>
      </c>
      <c r="E6752" t="s">
        <v>768</v>
      </c>
      <c r="F6752">
        <v>3</v>
      </c>
      <c r="G6752" s="308">
        <f>COMEDORES!I162</f>
        <v>3960</v>
      </c>
      <c r="H6752" s="308">
        <f>COMEDORES!J162</f>
        <v>0</v>
      </c>
    </row>
    <row r="6753" spans="1:8" x14ac:dyDescent="0.3">
      <c r="A6753" t="s">
        <v>628</v>
      </c>
      <c r="B6753" t="s">
        <v>149</v>
      </c>
      <c r="C6753" t="s">
        <v>150</v>
      </c>
      <c r="D6753" t="s">
        <v>746</v>
      </c>
      <c r="E6753" t="s">
        <v>769</v>
      </c>
      <c r="F6753">
        <v>4</v>
      </c>
      <c r="G6753" s="308">
        <f>COMEDORES!K162</f>
        <v>2850</v>
      </c>
      <c r="H6753" s="308">
        <f>COMEDORES!L162</f>
        <v>0</v>
      </c>
    </row>
    <row r="6754" spans="1:8" x14ac:dyDescent="0.3">
      <c r="A6754" t="s">
        <v>628</v>
      </c>
      <c r="B6754" t="s">
        <v>149</v>
      </c>
      <c r="C6754" t="s">
        <v>150</v>
      </c>
      <c r="D6754" t="s">
        <v>746</v>
      </c>
      <c r="E6754" t="s">
        <v>770</v>
      </c>
      <c r="F6754">
        <v>5</v>
      </c>
      <c r="G6754" s="308">
        <f>COMEDORES!M162</f>
        <v>3600</v>
      </c>
      <c r="H6754" s="308">
        <f>COMEDORES!N162</f>
        <v>0</v>
      </c>
    </row>
    <row r="6755" spans="1:8" x14ac:dyDescent="0.3">
      <c r="A6755" t="s">
        <v>628</v>
      </c>
      <c r="B6755" t="s">
        <v>149</v>
      </c>
      <c r="C6755" t="s">
        <v>150</v>
      </c>
      <c r="D6755" t="s">
        <v>746</v>
      </c>
      <c r="E6755" t="s">
        <v>771</v>
      </c>
      <c r="F6755">
        <v>6</v>
      </c>
      <c r="G6755" s="308">
        <f>COMEDORES!O162</f>
        <v>3780</v>
      </c>
      <c r="H6755" s="308">
        <f>COMEDORES!P162</f>
        <v>0</v>
      </c>
    </row>
    <row r="6756" spans="1:8" x14ac:dyDescent="0.3">
      <c r="A6756" t="s">
        <v>628</v>
      </c>
      <c r="B6756" t="s">
        <v>149</v>
      </c>
      <c r="C6756" t="s">
        <v>150</v>
      </c>
      <c r="D6756" t="s">
        <v>746</v>
      </c>
      <c r="E6756" t="s">
        <v>772</v>
      </c>
      <c r="F6756">
        <v>7</v>
      </c>
      <c r="G6756" s="308">
        <f>COMEDORES!Q162</f>
        <v>4140</v>
      </c>
      <c r="H6756" s="308">
        <f>COMEDORES!R162</f>
        <v>0</v>
      </c>
    </row>
    <row r="6757" spans="1:8" x14ac:dyDescent="0.3">
      <c r="A6757" t="s">
        <v>628</v>
      </c>
      <c r="B6757" t="s">
        <v>149</v>
      </c>
      <c r="C6757" t="s">
        <v>396</v>
      </c>
      <c r="D6757" t="s">
        <v>745</v>
      </c>
      <c r="E6757" t="s">
        <v>766</v>
      </c>
      <c r="F6757">
        <v>1</v>
      </c>
      <c r="G6757" s="308">
        <f>COMEDORES!E163</f>
        <v>2250</v>
      </c>
      <c r="H6757" s="308">
        <f>COMEDORES!F163</f>
        <v>0</v>
      </c>
    </row>
    <row r="6758" spans="1:8" x14ac:dyDescent="0.3">
      <c r="A6758" t="s">
        <v>628</v>
      </c>
      <c r="B6758" t="s">
        <v>149</v>
      </c>
      <c r="C6758" t="s">
        <v>396</v>
      </c>
      <c r="D6758" t="s">
        <v>745</v>
      </c>
      <c r="E6758" t="s">
        <v>767</v>
      </c>
      <c r="F6758">
        <v>2</v>
      </c>
      <c r="G6758" s="308">
        <f>COMEDORES!G163</f>
        <v>2500</v>
      </c>
      <c r="H6758" s="308">
        <f>COMEDORES!H163</f>
        <v>0</v>
      </c>
    </row>
    <row r="6759" spans="1:8" x14ac:dyDescent="0.3">
      <c r="A6759" t="s">
        <v>628</v>
      </c>
      <c r="B6759" t="s">
        <v>149</v>
      </c>
      <c r="C6759" t="s">
        <v>396</v>
      </c>
      <c r="D6759" t="s">
        <v>745</v>
      </c>
      <c r="E6759" t="s">
        <v>768</v>
      </c>
      <c r="F6759">
        <v>3</v>
      </c>
      <c r="G6759" s="308">
        <f>COMEDORES!I163</f>
        <v>2750</v>
      </c>
      <c r="H6759" s="308">
        <f>COMEDORES!J163</f>
        <v>350065</v>
      </c>
    </row>
    <row r="6760" spans="1:8" x14ac:dyDescent="0.3">
      <c r="A6760" t="s">
        <v>628</v>
      </c>
      <c r="B6760" t="s">
        <v>149</v>
      </c>
      <c r="C6760" t="s">
        <v>396</v>
      </c>
      <c r="D6760" t="s">
        <v>745</v>
      </c>
      <c r="E6760" t="s">
        <v>769</v>
      </c>
      <c r="F6760">
        <v>4</v>
      </c>
      <c r="G6760" s="308">
        <f>COMEDORES!K163</f>
        <v>2470</v>
      </c>
      <c r="H6760" s="308">
        <f>COMEDORES!L163</f>
        <v>190601.25</v>
      </c>
    </row>
    <row r="6761" spans="1:8" x14ac:dyDescent="0.3">
      <c r="A6761" t="s">
        <v>628</v>
      </c>
      <c r="B6761" t="s">
        <v>149</v>
      </c>
      <c r="C6761" t="s">
        <v>396</v>
      </c>
      <c r="D6761" t="s">
        <v>745</v>
      </c>
      <c r="E6761" t="s">
        <v>770</v>
      </c>
      <c r="F6761">
        <v>5</v>
      </c>
      <c r="G6761" s="308">
        <f>COMEDORES!M163</f>
        <v>2500</v>
      </c>
      <c r="H6761" s="308">
        <f>COMEDORES!N163</f>
        <v>172448.75</v>
      </c>
    </row>
    <row r="6762" spans="1:8" x14ac:dyDescent="0.3">
      <c r="A6762" t="s">
        <v>628</v>
      </c>
      <c r="B6762" t="s">
        <v>149</v>
      </c>
      <c r="C6762" t="s">
        <v>396</v>
      </c>
      <c r="D6762" t="s">
        <v>745</v>
      </c>
      <c r="E6762" t="s">
        <v>771</v>
      </c>
      <c r="F6762">
        <v>6</v>
      </c>
      <c r="G6762" s="308">
        <f>COMEDORES!O163</f>
        <v>2625</v>
      </c>
      <c r="H6762" s="308">
        <f>COMEDORES!P163</f>
        <v>181525</v>
      </c>
    </row>
    <row r="6763" spans="1:8" x14ac:dyDescent="0.3">
      <c r="A6763" t="s">
        <v>628</v>
      </c>
      <c r="B6763" t="s">
        <v>149</v>
      </c>
      <c r="C6763" t="s">
        <v>396</v>
      </c>
      <c r="D6763" t="s">
        <v>745</v>
      </c>
      <c r="E6763" t="s">
        <v>772</v>
      </c>
      <c r="F6763">
        <v>7</v>
      </c>
      <c r="G6763" s="308">
        <f>COMEDORES!Q163</f>
        <v>2875</v>
      </c>
      <c r="H6763" s="308">
        <f>COMEDORES!R163</f>
        <v>190601.25</v>
      </c>
    </row>
    <row r="6764" spans="1:8" x14ac:dyDescent="0.3">
      <c r="A6764" t="s">
        <v>628</v>
      </c>
      <c r="B6764" t="s">
        <v>149</v>
      </c>
      <c r="C6764" t="s">
        <v>396</v>
      </c>
      <c r="D6764" t="s">
        <v>746</v>
      </c>
      <c r="E6764" t="s">
        <v>766</v>
      </c>
      <c r="F6764">
        <v>1</v>
      </c>
      <c r="G6764" s="308">
        <f>COMEDORES!E164</f>
        <v>2850</v>
      </c>
      <c r="H6764" s="308">
        <f>COMEDORES!F164</f>
        <v>0</v>
      </c>
    </row>
    <row r="6765" spans="1:8" x14ac:dyDescent="0.3">
      <c r="A6765" t="s">
        <v>628</v>
      </c>
      <c r="B6765" t="s">
        <v>149</v>
      </c>
      <c r="C6765" t="s">
        <v>396</v>
      </c>
      <c r="D6765" t="s">
        <v>746</v>
      </c>
      <c r="E6765" t="s">
        <v>767</v>
      </c>
      <c r="F6765">
        <v>2</v>
      </c>
      <c r="G6765" s="308">
        <f>COMEDORES!G164</f>
        <v>3000</v>
      </c>
      <c r="H6765" s="308">
        <f>COMEDORES!H164</f>
        <v>0</v>
      </c>
    </row>
    <row r="6766" spans="1:8" x14ac:dyDescent="0.3">
      <c r="A6766" t="s">
        <v>628</v>
      </c>
      <c r="B6766" t="s">
        <v>149</v>
      </c>
      <c r="C6766" t="s">
        <v>396</v>
      </c>
      <c r="D6766" t="s">
        <v>746</v>
      </c>
      <c r="E6766" t="s">
        <v>768</v>
      </c>
      <c r="F6766">
        <v>3</v>
      </c>
      <c r="G6766" s="308">
        <f>COMEDORES!I164</f>
        <v>3300</v>
      </c>
      <c r="H6766" s="308">
        <f>COMEDORES!J164</f>
        <v>0</v>
      </c>
    </row>
    <row r="6767" spans="1:8" x14ac:dyDescent="0.3">
      <c r="A6767" t="s">
        <v>628</v>
      </c>
      <c r="B6767" t="s">
        <v>149</v>
      </c>
      <c r="C6767" t="s">
        <v>396</v>
      </c>
      <c r="D6767" t="s">
        <v>746</v>
      </c>
      <c r="E6767" t="s">
        <v>769</v>
      </c>
      <c r="F6767">
        <v>4</v>
      </c>
      <c r="G6767" s="308">
        <f>COMEDORES!K164</f>
        <v>3420</v>
      </c>
      <c r="H6767" s="308">
        <f>COMEDORES!L164</f>
        <v>0</v>
      </c>
    </row>
    <row r="6768" spans="1:8" x14ac:dyDescent="0.3">
      <c r="A6768" t="s">
        <v>628</v>
      </c>
      <c r="B6768" t="s">
        <v>149</v>
      </c>
      <c r="C6768" t="s">
        <v>396</v>
      </c>
      <c r="D6768" t="s">
        <v>746</v>
      </c>
      <c r="E6768" t="s">
        <v>770</v>
      </c>
      <c r="F6768">
        <v>5</v>
      </c>
      <c r="G6768" s="308">
        <f>COMEDORES!M164</f>
        <v>3000</v>
      </c>
      <c r="H6768" s="308">
        <f>COMEDORES!N164</f>
        <v>0</v>
      </c>
    </row>
    <row r="6769" spans="1:8" x14ac:dyDescent="0.3">
      <c r="A6769" t="s">
        <v>628</v>
      </c>
      <c r="B6769" t="s">
        <v>149</v>
      </c>
      <c r="C6769" t="s">
        <v>396</v>
      </c>
      <c r="D6769" t="s">
        <v>746</v>
      </c>
      <c r="E6769" t="s">
        <v>771</v>
      </c>
      <c r="F6769">
        <v>6</v>
      </c>
      <c r="G6769" s="308">
        <f>COMEDORES!O164</f>
        <v>3150</v>
      </c>
      <c r="H6769" s="308">
        <f>COMEDORES!P164</f>
        <v>0</v>
      </c>
    </row>
    <row r="6770" spans="1:8" x14ac:dyDescent="0.3">
      <c r="A6770" t="s">
        <v>628</v>
      </c>
      <c r="B6770" t="s">
        <v>149</v>
      </c>
      <c r="C6770" t="s">
        <v>396</v>
      </c>
      <c r="D6770" t="s">
        <v>746</v>
      </c>
      <c r="E6770" t="s">
        <v>772</v>
      </c>
      <c r="F6770">
        <v>7</v>
      </c>
      <c r="G6770" s="308">
        <f>COMEDORES!Q164</f>
        <v>3450</v>
      </c>
      <c r="H6770" s="308">
        <f>COMEDORES!R164</f>
        <v>0</v>
      </c>
    </row>
    <row r="6771" spans="1:8" x14ac:dyDescent="0.3">
      <c r="A6771" t="s">
        <v>628</v>
      </c>
      <c r="B6771" t="s">
        <v>149</v>
      </c>
      <c r="C6771" t="s">
        <v>397</v>
      </c>
      <c r="D6771" t="s">
        <v>745</v>
      </c>
      <c r="E6771" t="s">
        <v>766</v>
      </c>
      <c r="F6771">
        <v>1</v>
      </c>
      <c r="G6771" s="308">
        <f>COMEDORES!E165</f>
        <v>1360</v>
      </c>
      <c r="H6771" s="308">
        <f>COMEDORES!F165</f>
        <v>0</v>
      </c>
    </row>
    <row r="6772" spans="1:8" x14ac:dyDescent="0.3">
      <c r="A6772" t="s">
        <v>628</v>
      </c>
      <c r="B6772" t="s">
        <v>149</v>
      </c>
      <c r="C6772" t="s">
        <v>397</v>
      </c>
      <c r="D6772" t="s">
        <v>745</v>
      </c>
      <c r="E6772" t="s">
        <v>767</v>
      </c>
      <c r="F6772">
        <v>2</v>
      </c>
      <c r="G6772" s="308">
        <f>COMEDORES!G165</f>
        <v>1600</v>
      </c>
      <c r="H6772" s="308">
        <f>COMEDORES!H165</f>
        <v>0</v>
      </c>
    </row>
    <row r="6773" spans="1:8" x14ac:dyDescent="0.3">
      <c r="A6773" t="s">
        <v>628</v>
      </c>
      <c r="B6773" t="s">
        <v>149</v>
      </c>
      <c r="C6773" t="s">
        <v>397</v>
      </c>
      <c r="D6773" t="s">
        <v>745</v>
      </c>
      <c r="E6773" t="s">
        <v>768</v>
      </c>
      <c r="F6773">
        <v>3</v>
      </c>
      <c r="G6773" s="308">
        <f>COMEDORES!I165</f>
        <v>1760</v>
      </c>
      <c r="H6773" s="308">
        <f>COMEDORES!J165</f>
        <v>266014.95</v>
      </c>
    </row>
    <row r="6774" spans="1:8" x14ac:dyDescent="0.3">
      <c r="A6774" t="s">
        <v>628</v>
      </c>
      <c r="B6774" t="s">
        <v>149</v>
      </c>
      <c r="C6774" t="s">
        <v>397</v>
      </c>
      <c r="D6774" t="s">
        <v>745</v>
      </c>
      <c r="E6774" t="s">
        <v>769</v>
      </c>
      <c r="F6774">
        <v>4</v>
      </c>
      <c r="G6774" s="308">
        <f>COMEDORES!K165</f>
        <v>1520</v>
      </c>
      <c r="H6774" s="308">
        <f>COMEDORES!L165</f>
        <v>146582.09999999998</v>
      </c>
    </row>
    <row r="6775" spans="1:8" x14ac:dyDescent="0.3">
      <c r="A6775" t="s">
        <v>628</v>
      </c>
      <c r="B6775" t="s">
        <v>149</v>
      </c>
      <c r="C6775" t="s">
        <v>397</v>
      </c>
      <c r="D6775" t="s">
        <v>745</v>
      </c>
      <c r="E6775" t="s">
        <v>770</v>
      </c>
      <c r="F6775">
        <v>5</v>
      </c>
      <c r="G6775" s="308">
        <f>COMEDORES!M165</f>
        <v>1600</v>
      </c>
      <c r="H6775" s="308">
        <f>COMEDORES!N165</f>
        <v>132621.9</v>
      </c>
    </row>
    <row r="6776" spans="1:8" x14ac:dyDescent="0.3">
      <c r="A6776" t="s">
        <v>628</v>
      </c>
      <c r="B6776" t="s">
        <v>149</v>
      </c>
      <c r="C6776" t="s">
        <v>397</v>
      </c>
      <c r="D6776" t="s">
        <v>745</v>
      </c>
      <c r="E6776" t="s">
        <v>771</v>
      </c>
      <c r="F6776">
        <v>6</v>
      </c>
      <c r="G6776" s="308">
        <f>COMEDORES!O165</f>
        <v>1680</v>
      </c>
      <c r="H6776" s="308">
        <f>COMEDORES!P165</f>
        <v>139602</v>
      </c>
    </row>
    <row r="6777" spans="1:8" x14ac:dyDescent="0.3">
      <c r="A6777" t="s">
        <v>628</v>
      </c>
      <c r="B6777" t="s">
        <v>149</v>
      </c>
      <c r="C6777" t="s">
        <v>397</v>
      </c>
      <c r="D6777" t="s">
        <v>745</v>
      </c>
      <c r="E6777" t="s">
        <v>772</v>
      </c>
      <c r="F6777">
        <v>7</v>
      </c>
      <c r="G6777" s="308">
        <f>COMEDORES!Q165</f>
        <v>1840</v>
      </c>
      <c r="H6777" s="308">
        <f>COMEDORES!R165</f>
        <v>146582.10000000009</v>
      </c>
    </row>
    <row r="6778" spans="1:8" x14ac:dyDescent="0.3">
      <c r="A6778" t="s">
        <v>628</v>
      </c>
      <c r="B6778" t="s">
        <v>149</v>
      </c>
      <c r="C6778" t="s">
        <v>397</v>
      </c>
      <c r="D6778" t="s">
        <v>746</v>
      </c>
      <c r="E6778" t="s">
        <v>766</v>
      </c>
      <c r="F6778">
        <v>1</v>
      </c>
      <c r="G6778" s="308">
        <f>COMEDORES!E166</f>
        <v>2435</v>
      </c>
      <c r="H6778" s="308">
        <f>COMEDORES!F166</f>
        <v>0</v>
      </c>
    </row>
    <row r="6779" spans="1:8" x14ac:dyDescent="0.3">
      <c r="A6779" t="s">
        <v>628</v>
      </c>
      <c r="B6779" t="s">
        <v>149</v>
      </c>
      <c r="C6779" t="s">
        <v>397</v>
      </c>
      <c r="D6779" t="s">
        <v>746</v>
      </c>
      <c r="E6779" t="s">
        <v>767</v>
      </c>
      <c r="F6779">
        <v>2</v>
      </c>
      <c r="G6779" s="308">
        <f>COMEDORES!G166</f>
        <v>2600</v>
      </c>
      <c r="H6779" s="308">
        <f>COMEDORES!H166</f>
        <v>0</v>
      </c>
    </row>
    <row r="6780" spans="1:8" x14ac:dyDescent="0.3">
      <c r="A6780" t="s">
        <v>628</v>
      </c>
      <c r="B6780" t="s">
        <v>149</v>
      </c>
      <c r="C6780" t="s">
        <v>397</v>
      </c>
      <c r="D6780" t="s">
        <v>746</v>
      </c>
      <c r="E6780" t="s">
        <v>768</v>
      </c>
      <c r="F6780">
        <v>3</v>
      </c>
      <c r="G6780" s="308">
        <f>COMEDORES!I166</f>
        <v>2860</v>
      </c>
      <c r="H6780" s="308">
        <f>COMEDORES!J166</f>
        <v>0</v>
      </c>
    </row>
    <row r="6781" spans="1:8" x14ac:dyDescent="0.3">
      <c r="A6781" t="s">
        <v>628</v>
      </c>
      <c r="B6781" t="s">
        <v>149</v>
      </c>
      <c r="C6781" t="s">
        <v>397</v>
      </c>
      <c r="D6781" t="s">
        <v>746</v>
      </c>
      <c r="E6781" t="s">
        <v>769</v>
      </c>
      <c r="F6781">
        <v>4</v>
      </c>
      <c r="G6781" s="308">
        <f>COMEDORES!K166</f>
        <v>2470</v>
      </c>
      <c r="H6781" s="308">
        <f>COMEDORES!L166</f>
        <v>0</v>
      </c>
    </row>
    <row r="6782" spans="1:8" x14ac:dyDescent="0.3">
      <c r="A6782" t="s">
        <v>628</v>
      </c>
      <c r="B6782" t="s">
        <v>149</v>
      </c>
      <c r="C6782" t="s">
        <v>397</v>
      </c>
      <c r="D6782" t="s">
        <v>746</v>
      </c>
      <c r="E6782" t="s">
        <v>770</v>
      </c>
      <c r="F6782">
        <v>5</v>
      </c>
      <c r="G6782" s="308">
        <f>COMEDORES!M166</f>
        <v>2600</v>
      </c>
      <c r="H6782" s="308">
        <f>COMEDORES!N166</f>
        <v>0</v>
      </c>
    </row>
    <row r="6783" spans="1:8" x14ac:dyDescent="0.3">
      <c r="A6783" t="s">
        <v>628</v>
      </c>
      <c r="B6783" t="s">
        <v>149</v>
      </c>
      <c r="C6783" t="s">
        <v>397</v>
      </c>
      <c r="D6783" t="s">
        <v>746</v>
      </c>
      <c r="E6783" t="s">
        <v>771</v>
      </c>
      <c r="F6783">
        <v>6</v>
      </c>
      <c r="G6783" s="308">
        <f>COMEDORES!O166</f>
        <v>2730</v>
      </c>
      <c r="H6783" s="308">
        <f>COMEDORES!P166</f>
        <v>0</v>
      </c>
    </row>
    <row r="6784" spans="1:8" x14ac:dyDescent="0.3">
      <c r="A6784" t="s">
        <v>628</v>
      </c>
      <c r="B6784" t="s">
        <v>149</v>
      </c>
      <c r="C6784" t="s">
        <v>397</v>
      </c>
      <c r="D6784" t="s">
        <v>746</v>
      </c>
      <c r="E6784" t="s">
        <v>772</v>
      </c>
      <c r="F6784">
        <v>7</v>
      </c>
      <c r="G6784" s="308">
        <f>COMEDORES!Q166</f>
        <v>2990</v>
      </c>
      <c r="H6784" s="308">
        <f>COMEDORES!R166</f>
        <v>0</v>
      </c>
    </row>
    <row r="6785" spans="1:8" x14ac:dyDescent="0.3">
      <c r="A6785" t="s">
        <v>628</v>
      </c>
      <c r="B6785" t="s">
        <v>149</v>
      </c>
      <c r="C6785" t="s">
        <v>152</v>
      </c>
      <c r="D6785" t="s">
        <v>745</v>
      </c>
      <c r="E6785" t="s">
        <v>766</v>
      </c>
      <c r="F6785">
        <v>1</v>
      </c>
      <c r="G6785" s="308">
        <f>COMEDORES!E167</f>
        <v>1800</v>
      </c>
      <c r="H6785" s="308">
        <f>COMEDORES!F167</f>
        <v>0</v>
      </c>
    </row>
    <row r="6786" spans="1:8" x14ac:dyDescent="0.3">
      <c r="A6786" t="s">
        <v>628</v>
      </c>
      <c r="B6786" t="s">
        <v>149</v>
      </c>
      <c r="C6786" t="s">
        <v>152</v>
      </c>
      <c r="D6786" t="s">
        <v>745</v>
      </c>
      <c r="E6786" t="s">
        <v>767</v>
      </c>
      <c r="F6786">
        <v>2</v>
      </c>
      <c r="G6786" s="308">
        <f>COMEDORES!G167</f>
        <v>2000</v>
      </c>
      <c r="H6786" s="308">
        <f>COMEDORES!H167</f>
        <v>0</v>
      </c>
    </row>
    <row r="6787" spans="1:8" x14ac:dyDescent="0.3">
      <c r="A6787" t="s">
        <v>628</v>
      </c>
      <c r="B6787" t="s">
        <v>149</v>
      </c>
      <c r="C6787" t="s">
        <v>152</v>
      </c>
      <c r="D6787" t="s">
        <v>745</v>
      </c>
      <c r="E6787" t="s">
        <v>768</v>
      </c>
      <c r="F6787">
        <v>3</v>
      </c>
      <c r="G6787" s="308">
        <f>COMEDORES!I167</f>
        <v>2200</v>
      </c>
      <c r="H6787" s="308">
        <f>COMEDORES!J167</f>
        <v>317531</v>
      </c>
    </row>
    <row r="6788" spans="1:8" x14ac:dyDescent="0.3">
      <c r="A6788" t="s">
        <v>628</v>
      </c>
      <c r="B6788" t="s">
        <v>149</v>
      </c>
      <c r="C6788" t="s">
        <v>152</v>
      </c>
      <c r="D6788" t="s">
        <v>745</v>
      </c>
      <c r="E6788" t="s">
        <v>769</v>
      </c>
      <c r="F6788">
        <v>4</v>
      </c>
      <c r="G6788" s="308">
        <f>COMEDORES!K167</f>
        <v>1900</v>
      </c>
      <c r="H6788" s="308">
        <f>COMEDORES!L167</f>
        <v>173885</v>
      </c>
    </row>
    <row r="6789" spans="1:8" x14ac:dyDescent="0.3">
      <c r="A6789" t="s">
        <v>628</v>
      </c>
      <c r="B6789" t="s">
        <v>149</v>
      </c>
      <c r="C6789" t="s">
        <v>152</v>
      </c>
      <c r="D6789" t="s">
        <v>745</v>
      </c>
      <c r="E6789" t="s">
        <v>770</v>
      </c>
      <c r="F6789">
        <v>5</v>
      </c>
      <c r="G6789" s="308">
        <f>COMEDORES!M167</f>
        <v>2000</v>
      </c>
      <c r="H6789" s="308">
        <f>COMEDORES!N167</f>
        <v>157595.5</v>
      </c>
    </row>
    <row r="6790" spans="1:8" x14ac:dyDescent="0.3">
      <c r="A6790" t="s">
        <v>628</v>
      </c>
      <c r="B6790" t="s">
        <v>149</v>
      </c>
      <c r="C6790" t="s">
        <v>152</v>
      </c>
      <c r="D6790" t="s">
        <v>745</v>
      </c>
      <c r="E6790" t="s">
        <v>771</v>
      </c>
      <c r="F6790">
        <v>6</v>
      </c>
      <c r="G6790" s="308">
        <f>COMEDORES!O167</f>
        <v>2100</v>
      </c>
      <c r="H6790" s="308">
        <f>COMEDORES!P167</f>
        <v>165890</v>
      </c>
    </row>
    <row r="6791" spans="1:8" x14ac:dyDescent="0.3">
      <c r="A6791" t="s">
        <v>628</v>
      </c>
      <c r="B6791" t="s">
        <v>149</v>
      </c>
      <c r="C6791" t="s">
        <v>152</v>
      </c>
      <c r="D6791" t="s">
        <v>745</v>
      </c>
      <c r="E6791" t="s">
        <v>772</v>
      </c>
      <c r="F6791">
        <v>7</v>
      </c>
      <c r="G6791" s="308">
        <f>COMEDORES!Q167</f>
        <v>2300</v>
      </c>
      <c r="H6791" s="308">
        <f>COMEDORES!R167</f>
        <v>174184.5</v>
      </c>
    </row>
    <row r="6792" spans="1:8" x14ac:dyDescent="0.3">
      <c r="A6792" t="s">
        <v>628</v>
      </c>
      <c r="B6792" t="s">
        <v>149</v>
      </c>
      <c r="C6792" t="s">
        <v>152</v>
      </c>
      <c r="D6792" t="s">
        <v>746</v>
      </c>
      <c r="E6792" t="s">
        <v>766</v>
      </c>
      <c r="F6792">
        <v>1</v>
      </c>
      <c r="G6792" s="308">
        <f>COMEDORES!E168</f>
        <v>2850</v>
      </c>
      <c r="H6792" s="308">
        <f>COMEDORES!F168</f>
        <v>0</v>
      </c>
    </row>
    <row r="6793" spans="1:8" x14ac:dyDescent="0.3">
      <c r="A6793" t="s">
        <v>628</v>
      </c>
      <c r="B6793" t="s">
        <v>149</v>
      </c>
      <c r="C6793" t="s">
        <v>152</v>
      </c>
      <c r="D6793" t="s">
        <v>746</v>
      </c>
      <c r="E6793" t="s">
        <v>767</v>
      </c>
      <c r="F6793">
        <v>2</v>
      </c>
      <c r="G6793" s="308">
        <f>COMEDORES!G168</f>
        <v>3000</v>
      </c>
      <c r="H6793" s="308">
        <f>COMEDORES!H168</f>
        <v>0</v>
      </c>
    </row>
    <row r="6794" spans="1:8" x14ac:dyDescent="0.3">
      <c r="A6794" t="s">
        <v>628</v>
      </c>
      <c r="B6794" t="s">
        <v>149</v>
      </c>
      <c r="C6794" t="s">
        <v>152</v>
      </c>
      <c r="D6794" t="s">
        <v>746</v>
      </c>
      <c r="E6794" t="s">
        <v>768</v>
      </c>
      <c r="F6794">
        <v>3</v>
      </c>
      <c r="G6794" s="308">
        <f>COMEDORES!I168</f>
        <v>3300</v>
      </c>
      <c r="H6794" s="308">
        <f>COMEDORES!J168</f>
        <v>0</v>
      </c>
    </row>
    <row r="6795" spans="1:8" x14ac:dyDescent="0.3">
      <c r="A6795" t="s">
        <v>628</v>
      </c>
      <c r="B6795" t="s">
        <v>149</v>
      </c>
      <c r="C6795" t="s">
        <v>152</v>
      </c>
      <c r="D6795" t="s">
        <v>746</v>
      </c>
      <c r="E6795" t="s">
        <v>769</v>
      </c>
      <c r="F6795">
        <v>4</v>
      </c>
      <c r="G6795" s="308">
        <f>COMEDORES!K168</f>
        <v>2850</v>
      </c>
      <c r="H6795" s="308">
        <f>COMEDORES!L168</f>
        <v>0</v>
      </c>
    </row>
    <row r="6796" spans="1:8" x14ac:dyDescent="0.3">
      <c r="A6796" t="s">
        <v>628</v>
      </c>
      <c r="B6796" t="s">
        <v>149</v>
      </c>
      <c r="C6796" t="s">
        <v>152</v>
      </c>
      <c r="D6796" t="s">
        <v>746</v>
      </c>
      <c r="E6796" t="s">
        <v>770</v>
      </c>
      <c r="F6796">
        <v>5</v>
      </c>
      <c r="G6796" s="308">
        <f>COMEDORES!M168</f>
        <v>3000</v>
      </c>
      <c r="H6796" s="308">
        <f>COMEDORES!N168</f>
        <v>0</v>
      </c>
    </row>
    <row r="6797" spans="1:8" x14ac:dyDescent="0.3">
      <c r="A6797" t="s">
        <v>628</v>
      </c>
      <c r="B6797" t="s">
        <v>149</v>
      </c>
      <c r="C6797" t="s">
        <v>152</v>
      </c>
      <c r="D6797" t="s">
        <v>746</v>
      </c>
      <c r="E6797" t="s">
        <v>771</v>
      </c>
      <c r="F6797">
        <v>6</v>
      </c>
      <c r="G6797" s="308">
        <f>COMEDORES!O168</f>
        <v>3150</v>
      </c>
      <c r="H6797" s="308">
        <f>COMEDORES!P168</f>
        <v>0</v>
      </c>
    </row>
    <row r="6798" spans="1:8" x14ac:dyDescent="0.3">
      <c r="A6798" t="s">
        <v>628</v>
      </c>
      <c r="B6798" t="s">
        <v>149</v>
      </c>
      <c r="C6798" t="s">
        <v>152</v>
      </c>
      <c r="D6798" t="s">
        <v>746</v>
      </c>
      <c r="E6798" t="s">
        <v>772</v>
      </c>
      <c r="F6798">
        <v>7</v>
      </c>
      <c r="G6798" s="308">
        <f>COMEDORES!Q168</f>
        <v>3450</v>
      </c>
      <c r="H6798" s="308">
        <f>COMEDORES!R168</f>
        <v>0</v>
      </c>
    </row>
    <row r="6799" spans="1:8" x14ac:dyDescent="0.3">
      <c r="A6799" t="s">
        <v>628</v>
      </c>
      <c r="B6799" t="s">
        <v>149</v>
      </c>
      <c r="C6799" t="s">
        <v>153</v>
      </c>
      <c r="D6799" t="s">
        <v>745</v>
      </c>
      <c r="E6799" t="s">
        <v>766</v>
      </c>
      <c r="F6799">
        <v>1</v>
      </c>
      <c r="G6799" s="308">
        <f>COMEDORES!E169</f>
        <v>2070</v>
      </c>
      <c r="H6799" s="308">
        <f>COMEDORES!F169</f>
        <v>0</v>
      </c>
    </row>
    <row r="6800" spans="1:8" x14ac:dyDescent="0.3">
      <c r="A6800" t="s">
        <v>628</v>
      </c>
      <c r="B6800" t="s">
        <v>149</v>
      </c>
      <c r="C6800" t="s">
        <v>153</v>
      </c>
      <c r="D6800" t="s">
        <v>745</v>
      </c>
      <c r="E6800" t="s">
        <v>767</v>
      </c>
      <c r="F6800">
        <v>2</v>
      </c>
      <c r="G6800" s="308">
        <f>COMEDORES!G169</f>
        <v>2225</v>
      </c>
      <c r="H6800" s="308">
        <f>COMEDORES!H169</f>
        <v>0</v>
      </c>
    </row>
    <row r="6801" spans="1:8" x14ac:dyDescent="0.3">
      <c r="A6801" t="s">
        <v>628</v>
      </c>
      <c r="B6801" t="s">
        <v>149</v>
      </c>
      <c r="C6801" t="s">
        <v>153</v>
      </c>
      <c r="D6801" t="s">
        <v>745</v>
      </c>
      <c r="E6801" t="s">
        <v>768</v>
      </c>
      <c r="F6801">
        <v>3</v>
      </c>
      <c r="G6801" s="308">
        <f>COMEDORES!I169</f>
        <v>2200</v>
      </c>
      <c r="H6801" s="308">
        <f>COMEDORES!J169</f>
        <v>311934.15000000002</v>
      </c>
    </row>
    <row r="6802" spans="1:8" x14ac:dyDescent="0.3">
      <c r="A6802" t="s">
        <v>628</v>
      </c>
      <c r="B6802" t="s">
        <v>149</v>
      </c>
      <c r="C6802" t="s">
        <v>153</v>
      </c>
      <c r="D6802" t="s">
        <v>745</v>
      </c>
      <c r="E6802" t="s">
        <v>769</v>
      </c>
      <c r="F6802">
        <v>4</v>
      </c>
      <c r="G6802" s="308">
        <f>COMEDORES!K169</f>
        <v>1900</v>
      </c>
      <c r="H6802" s="308">
        <f>COMEDORES!L169</f>
        <v>175500</v>
      </c>
    </row>
    <row r="6803" spans="1:8" x14ac:dyDescent="0.3">
      <c r="A6803" t="s">
        <v>628</v>
      </c>
      <c r="B6803" t="s">
        <v>149</v>
      </c>
      <c r="C6803" t="s">
        <v>153</v>
      </c>
      <c r="D6803" t="s">
        <v>745</v>
      </c>
      <c r="E6803" t="s">
        <v>770</v>
      </c>
      <c r="F6803">
        <v>5</v>
      </c>
      <c r="G6803" s="308">
        <f>COMEDORES!M169</f>
        <v>2000</v>
      </c>
      <c r="H6803" s="308">
        <f>COMEDORES!N169</f>
        <v>123500</v>
      </c>
    </row>
    <row r="6804" spans="1:8" x14ac:dyDescent="0.3">
      <c r="A6804" t="s">
        <v>628</v>
      </c>
      <c r="B6804" t="s">
        <v>149</v>
      </c>
      <c r="C6804" t="s">
        <v>153</v>
      </c>
      <c r="D6804" t="s">
        <v>745</v>
      </c>
      <c r="E6804" t="s">
        <v>771</v>
      </c>
      <c r="F6804">
        <v>6</v>
      </c>
      <c r="G6804" s="308">
        <f>COMEDORES!O169</f>
        <v>2100</v>
      </c>
      <c r="H6804" s="308">
        <f>COMEDORES!P169</f>
        <v>130000</v>
      </c>
    </row>
    <row r="6805" spans="1:8" x14ac:dyDescent="0.3">
      <c r="A6805" t="s">
        <v>628</v>
      </c>
      <c r="B6805" t="s">
        <v>149</v>
      </c>
      <c r="C6805" t="s">
        <v>153</v>
      </c>
      <c r="D6805" t="s">
        <v>745</v>
      </c>
      <c r="E6805" t="s">
        <v>772</v>
      </c>
      <c r="F6805">
        <v>7</v>
      </c>
      <c r="G6805" s="308">
        <f>COMEDORES!Q169</f>
        <v>2300</v>
      </c>
      <c r="H6805" s="308">
        <f>COMEDORES!R169</f>
        <v>136500</v>
      </c>
    </row>
    <row r="6806" spans="1:8" x14ac:dyDescent="0.3">
      <c r="A6806" t="s">
        <v>628</v>
      </c>
      <c r="B6806" t="s">
        <v>149</v>
      </c>
      <c r="C6806" t="s">
        <v>153</v>
      </c>
      <c r="D6806" t="s">
        <v>746</v>
      </c>
      <c r="E6806" t="s">
        <v>766</v>
      </c>
      <c r="F6806">
        <v>1</v>
      </c>
      <c r="G6806" s="308">
        <f>COMEDORES!E170</f>
        <v>3135</v>
      </c>
      <c r="H6806" s="308">
        <f>COMEDORES!F170</f>
        <v>0</v>
      </c>
    </row>
    <row r="6807" spans="1:8" x14ac:dyDescent="0.3">
      <c r="A6807" t="s">
        <v>628</v>
      </c>
      <c r="B6807" t="s">
        <v>149</v>
      </c>
      <c r="C6807" t="s">
        <v>153</v>
      </c>
      <c r="D6807" t="s">
        <v>746</v>
      </c>
      <c r="E6807" t="s">
        <v>767</v>
      </c>
      <c r="F6807">
        <v>2</v>
      </c>
      <c r="G6807" s="308">
        <f>COMEDORES!G170</f>
        <v>3225</v>
      </c>
      <c r="H6807" s="308">
        <f>COMEDORES!H170</f>
        <v>0</v>
      </c>
    </row>
    <row r="6808" spans="1:8" x14ac:dyDescent="0.3">
      <c r="A6808" t="s">
        <v>628</v>
      </c>
      <c r="B6808" t="s">
        <v>149</v>
      </c>
      <c r="C6808" t="s">
        <v>153</v>
      </c>
      <c r="D6808" t="s">
        <v>746</v>
      </c>
      <c r="E6808" t="s">
        <v>768</v>
      </c>
      <c r="F6808">
        <v>3</v>
      </c>
      <c r="G6808" s="308">
        <f>COMEDORES!I170</f>
        <v>3300</v>
      </c>
      <c r="H6808" s="308">
        <f>COMEDORES!J170</f>
        <v>0</v>
      </c>
    </row>
    <row r="6809" spans="1:8" x14ac:dyDescent="0.3">
      <c r="A6809" t="s">
        <v>628</v>
      </c>
      <c r="B6809" t="s">
        <v>149</v>
      </c>
      <c r="C6809" t="s">
        <v>153</v>
      </c>
      <c r="D6809" t="s">
        <v>746</v>
      </c>
      <c r="E6809" t="s">
        <v>769</v>
      </c>
      <c r="F6809">
        <v>4</v>
      </c>
      <c r="G6809" s="308">
        <f>COMEDORES!K170</f>
        <v>2850</v>
      </c>
      <c r="H6809" s="308">
        <f>COMEDORES!L170</f>
        <v>0</v>
      </c>
    </row>
    <row r="6810" spans="1:8" x14ac:dyDescent="0.3">
      <c r="A6810" t="s">
        <v>628</v>
      </c>
      <c r="B6810" t="s">
        <v>149</v>
      </c>
      <c r="C6810" t="s">
        <v>153</v>
      </c>
      <c r="D6810" t="s">
        <v>746</v>
      </c>
      <c r="E6810" t="s">
        <v>770</v>
      </c>
      <c r="F6810">
        <v>5</v>
      </c>
      <c r="G6810" s="308">
        <f>COMEDORES!M170</f>
        <v>3000</v>
      </c>
      <c r="H6810" s="308">
        <f>COMEDORES!N170</f>
        <v>0</v>
      </c>
    </row>
    <row r="6811" spans="1:8" x14ac:dyDescent="0.3">
      <c r="A6811" t="s">
        <v>628</v>
      </c>
      <c r="B6811" t="s">
        <v>149</v>
      </c>
      <c r="C6811" t="s">
        <v>153</v>
      </c>
      <c r="D6811" t="s">
        <v>746</v>
      </c>
      <c r="E6811" t="s">
        <v>771</v>
      </c>
      <c r="F6811">
        <v>6</v>
      </c>
      <c r="G6811" s="308">
        <f>COMEDORES!O170</f>
        <v>3150</v>
      </c>
      <c r="H6811" s="308">
        <f>COMEDORES!P170</f>
        <v>0</v>
      </c>
    </row>
    <row r="6812" spans="1:8" x14ac:dyDescent="0.3">
      <c r="A6812" t="s">
        <v>628</v>
      </c>
      <c r="B6812" t="s">
        <v>149</v>
      </c>
      <c r="C6812" t="s">
        <v>153</v>
      </c>
      <c r="D6812" t="s">
        <v>746</v>
      </c>
      <c r="E6812" t="s">
        <v>772</v>
      </c>
      <c r="F6812">
        <v>7</v>
      </c>
      <c r="G6812" s="308">
        <f>COMEDORES!Q170</f>
        <v>3450</v>
      </c>
      <c r="H6812" s="308">
        <f>COMEDORES!R170</f>
        <v>0</v>
      </c>
    </row>
    <row r="6813" spans="1:8" x14ac:dyDescent="0.3">
      <c r="A6813" t="s">
        <v>628</v>
      </c>
      <c r="B6813" t="s">
        <v>149</v>
      </c>
      <c r="C6813" t="s">
        <v>398</v>
      </c>
      <c r="D6813" t="s">
        <v>745</v>
      </c>
      <c r="E6813" t="s">
        <v>766</v>
      </c>
      <c r="F6813">
        <v>1</v>
      </c>
      <c r="G6813" s="308">
        <f>COMEDORES!E171</f>
        <v>1800</v>
      </c>
      <c r="H6813" s="308">
        <f>COMEDORES!F171</f>
        <v>0</v>
      </c>
    </row>
    <row r="6814" spans="1:8" x14ac:dyDescent="0.3">
      <c r="A6814" t="s">
        <v>628</v>
      </c>
      <c r="B6814" t="s">
        <v>149</v>
      </c>
      <c r="C6814" t="s">
        <v>398</v>
      </c>
      <c r="D6814" t="s">
        <v>745</v>
      </c>
      <c r="E6814" t="s">
        <v>767</v>
      </c>
      <c r="F6814">
        <v>2</v>
      </c>
      <c r="G6814" s="308">
        <f>COMEDORES!G171</f>
        <v>2000</v>
      </c>
      <c r="H6814" s="308">
        <f>COMEDORES!H171</f>
        <v>0</v>
      </c>
    </row>
    <row r="6815" spans="1:8" x14ac:dyDescent="0.3">
      <c r="A6815" t="s">
        <v>628</v>
      </c>
      <c r="B6815" t="s">
        <v>149</v>
      </c>
      <c r="C6815" t="s">
        <v>398</v>
      </c>
      <c r="D6815" t="s">
        <v>745</v>
      </c>
      <c r="E6815" t="s">
        <v>768</v>
      </c>
      <c r="F6815">
        <v>3</v>
      </c>
      <c r="G6815" s="308">
        <f>COMEDORES!I171</f>
        <v>2200</v>
      </c>
      <c r="H6815" s="308">
        <f>COMEDORES!J171</f>
        <v>286769.75</v>
      </c>
    </row>
    <row r="6816" spans="1:8" x14ac:dyDescent="0.3">
      <c r="A6816" t="s">
        <v>628</v>
      </c>
      <c r="B6816" t="s">
        <v>149</v>
      </c>
      <c r="C6816" t="s">
        <v>398</v>
      </c>
      <c r="D6816" t="s">
        <v>745</v>
      </c>
      <c r="E6816" t="s">
        <v>769</v>
      </c>
      <c r="F6816">
        <v>4</v>
      </c>
      <c r="G6816" s="308">
        <f>COMEDORES!K171</f>
        <v>1900</v>
      </c>
      <c r="H6816" s="308">
        <f>COMEDORES!L171</f>
        <v>156098.25</v>
      </c>
    </row>
    <row r="6817" spans="1:8" x14ac:dyDescent="0.3">
      <c r="A6817" t="s">
        <v>628</v>
      </c>
      <c r="B6817" t="s">
        <v>149</v>
      </c>
      <c r="C6817" t="s">
        <v>398</v>
      </c>
      <c r="D6817" t="s">
        <v>745</v>
      </c>
      <c r="E6817" t="s">
        <v>770</v>
      </c>
      <c r="F6817">
        <v>5</v>
      </c>
      <c r="G6817" s="308">
        <f>COMEDORES!M171</f>
        <v>1863</v>
      </c>
      <c r="H6817" s="308">
        <f>COMEDORES!N171</f>
        <v>141231.75</v>
      </c>
    </row>
    <row r="6818" spans="1:8" x14ac:dyDescent="0.3">
      <c r="A6818" t="s">
        <v>628</v>
      </c>
      <c r="B6818" t="s">
        <v>149</v>
      </c>
      <c r="C6818" t="s">
        <v>398</v>
      </c>
      <c r="D6818" t="s">
        <v>745</v>
      </c>
      <c r="E6818" t="s">
        <v>771</v>
      </c>
      <c r="F6818">
        <v>6</v>
      </c>
      <c r="G6818" s="308">
        <f>COMEDORES!O171</f>
        <v>2100</v>
      </c>
      <c r="H6818" s="308">
        <f>COMEDORES!P171</f>
        <v>144381.01</v>
      </c>
    </row>
    <row r="6819" spans="1:8" x14ac:dyDescent="0.3">
      <c r="A6819" t="s">
        <v>628</v>
      </c>
      <c r="B6819" t="s">
        <v>149</v>
      </c>
      <c r="C6819" t="s">
        <v>398</v>
      </c>
      <c r="D6819" t="s">
        <v>745</v>
      </c>
      <c r="E6819" t="s">
        <v>772</v>
      </c>
      <c r="F6819">
        <v>7</v>
      </c>
      <c r="G6819" s="308">
        <f>COMEDORES!Q171</f>
        <v>2300</v>
      </c>
      <c r="H6819" s="308">
        <f>COMEDORES!R171</f>
        <v>156098.25</v>
      </c>
    </row>
    <row r="6820" spans="1:8" x14ac:dyDescent="0.3">
      <c r="A6820" t="s">
        <v>628</v>
      </c>
      <c r="B6820" t="s">
        <v>149</v>
      </c>
      <c r="C6820" t="s">
        <v>398</v>
      </c>
      <c r="D6820" t="s">
        <v>746</v>
      </c>
      <c r="E6820" t="s">
        <v>766</v>
      </c>
      <c r="F6820">
        <v>1</v>
      </c>
      <c r="G6820" s="308">
        <f>COMEDORES!E172</f>
        <v>2375</v>
      </c>
      <c r="H6820" s="308">
        <f>COMEDORES!F172</f>
        <v>0</v>
      </c>
    </row>
    <row r="6821" spans="1:8" x14ac:dyDescent="0.3">
      <c r="A6821" t="s">
        <v>628</v>
      </c>
      <c r="B6821" t="s">
        <v>149</v>
      </c>
      <c r="C6821" t="s">
        <v>398</v>
      </c>
      <c r="D6821" t="s">
        <v>746</v>
      </c>
      <c r="E6821" t="s">
        <v>767</v>
      </c>
      <c r="F6821">
        <v>2</v>
      </c>
      <c r="G6821" s="308">
        <f>COMEDORES!G172</f>
        <v>2500</v>
      </c>
      <c r="H6821" s="308">
        <f>COMEDORES!H172</f>
        <v>0</v>
      </c>
    </row>
    <row r="6822" spans="1:8" x14ac:dyDescent="0.3">
      <c r="A6822" t="s">
        <v>628</v>
      </c>
      <c r="B6822" t="s">
        <v>149</v>
      </c>
      <c r="C6822" t="s">
        <v>398</v>
      </c>
      <c r="D6822" t="s">
        <v>746</v>
      </c>
      <c r="E6822" t="s">
        <v>768</v>
      </c>
      <c r="F6822">
        <v>3</v>
      </c>
      <c r="G6822" s="308">
        <f>COMEDORES!I172</f>
        <v>2750</v>
      </c>
      <c r="H6822" s="308">
        <f>COMEDORES!J172</f>
        <v>0</v>
      </c>
    </row>
    <row r="6823" spans="1:8" x14ac:dyDescent="0.3">
      <c r="A6823" t="s">
        <v>628</v>
      </c>
      <c r="B6823" t="s">
        <v>149</v>
      </c>
      <c r="C6823" t="s">
        <v>398</v>
      </c>
      <c r="D6823" t="s">
        <v>746</v>
      </c>
      <c r="E6823" t="s">
        <v>769</v>
      </c>
      <c r="F6823">
        <v>4</v>
      </c>
      <c r="G6823" s="308">
        <f>COMEDORES!K172</f>
        <v>2375</v>
      </c>
      <c r="H6823" s="308">
        <f>COMEDORES!L172</f>
        <v>0</v>
      </c>
    </row>
    <row r="6824" spans="1:8" x14ac:dyDescent="0.3">
      <c r="A6824" t="s">
        <v>628</v>
      </c>
      <c r="B6824" t="s">
        <v>149</v>
      </c>
      <c r="C6824" t="s">
        <v>398</v>
      </c>
      <c r="D6824" t="s">
        <v>746</v>
      </c>
      <c r="E6824" t="s">
        <v>770</v>
      </c>
      <c r="F6824">
        <v>5</v>
      </c>
      <c r="G6824" s="308">
        <f>COMEDORES!M172</f>
        <v>2500</v>
      </c>
      <c r="H6824" s="308">
        <f>COMEDORES!N172</f>
        <v>0</v>
      </c>
    </row>
    <row r="6825" spans="1:8" x14ac:dyDescent="0.3">
      <c r="A6825" t="s">
        <v>628</v>
      </c>
      <c r="B6825" t="s">
        <v>149</v>
      </c>
      <c r="C6825" t="s">
        <v>398</v>
      </c>
      <c r="D6825" t="s">
        <v>746</v>
      </c>
      <c r="E6825" t="s">
        <v>771</v>
      </c>
      <c r="F6825">
        <v>6</v>
      </c>
      <c r="G6825" s="308">
        <f>COMEDORES!O172</f>
        <v>2625</v>
      </c>
      <c r="H6825" s="308">
        <f>COMEDORES!P172</f>
        <v>0</v>
      </c>
    </row>
    <row r="6826" spans="1:8" x14ac:dyDescent="0.3">
      <c r="A6826" t="s">
        <v>628</v>
      </c>
      <c r="B6826" t="s">
        <v>149</v>
      </c>
      <c r="C6826" t="s">
        <v>398</v>
      </c>
      <c r="D6826" t="s">
        <v>746</v>
      </c>
      <c r="E6826" t="s">
        <v>772</v>
      </c>
      <c r="F6826">
        <v>7</v>
      </c>
      <c r="G6826" s="308">
        <f>COMEDORES!Q172</f>
        <v>2875</v>
      </c>
      <c r="H6826" s="308">
        <f>COMEDORES!R172</f>
        <v>0</v>
      </c>
    </row>
    <row r="6827" spans="1:8" x14ac:dyDescent="0.3">
      <c r="A6827" t="s">
        <v>628</v>
      </c>
      <c r="B6827" t="s">
        <v>155</v>
      </c>
      <c r="C6827" t="s">
        <v>155</v>
      </c>
      <c r="D6827" t="s">
        <v>745</v>
      </c>
      <c r="E6827" t="s">
        <v>766</v>
      </c>
      <c r="F6827">
        <v>1</v>
      </c>
      <c r="G6827" s="308">
        <f>COMEDORES!E173</f>
        <v>0</v>
      </c>
      <c r="H6827" s="308">
        <f>COMEDORES!F173</f>
        <v>0</v>
      </c>
    </row>
    <row r="6828" spans="1:8" x14ac:dyDescent="0.3">
      <c r="A6828" t="s">
        <v>628</v>
      </c>
      <c r="B6828" t="s">
        <v>155</v>
      </c>
      <c r="C6828" t="s">
        <v>155</v>
      </c>
      <c r="D6828" t="s">
        <v>745</v>
      </c>
      <c r="E6828" t="s">
        <v>767</v>
      </c>
      <c r="F6828">
        <v>2</v>
      </c>
      <c r="G6828" s="308">
        <f>COMEDORES!G173</f>
        <v>0</v>
      </c>
      <c r="H6828" s="308">
        <f>COMEDORES!H173</f>
        <v>0</v>
      </c>
    </row>
    <row r="6829" spans="1:8" x14ac:dyDescent="0.3">
      <c r="A6829" t="s">
        <v>628</v>
      </c>
      <c r="B6829" t="s">
        <v>155</v>
      </c>
      <c r="C6829" t="s">
        <v>155</v>
      </c>
      <c r="D6829" t="s">
        <v>745</v>
      </c>
      <c r="E6829" t="s">
        <v>768</v>
      </c>
      <c r="F6829">
        <v>3</v>
      </c>
      <c r="G6829" s="308">
        <f>COMEDORES!I173</f>
        <v>0</v>
      </c>
      <c r="H6829" s="308">
        <f>COMEDORES!J173</f>
        <v>0</v>
      </c>
    </row>
    <row r="6830" spans="1:8" x14ac:dyDescent="0.3">
      <c r="A6830" t="s">
        <v>628</v>
      </c>
      <c r="B6830" t="s">
        <v>155</v>
      </c>
      <c r="C6830" t="s">
        <v>155</v>
      </c>
      <c r="D6830" t="s">
        <v>745</v>
      </c>
      <c r="E6830" t="s">
        <v>769</v>
      </c>
      <c r="F6830">
        <v>4</v>
      </c>
      <c r="G6830" s="308">
        <f>COMEDORES!K173</f>
        <v>0</v>
      </c>
      <c r="H6830" s="308">
        <f>COMEDORES!L173</f>
        <v>0</v>
      </c>
    </row>
    <row r="6831" spans="1:8" x14ac:dyDescent="0.3">
      <c r="A6831" t="s">
        <v>628</v>
      </c>
      <c r="B6831" t="s">
        <v>155</v>
      </c>
      <c r="C6831" t="s">
        <v>155</v>
      </c>
      <c r="D6831" t="s">
        <v>745</v>
      </c>
      <c r="E6831" t="s">
        <v>770</v>
      </c>
      <c r="F6831">
        <v>5</v>
      </c>
      <c r="G6831" s="308">
        <f>COMEDORES!M173</f>
        <v>0</v>
      </c>
      <c r="H6831" s="308">
        <f>COMEDORES!N173</f>
        <v>0</v>
      </c>
    </row>
    <row r="6832" spans="1:8" x14ac:dyDescent="0.3">
      <c r="A6832" t="s">
        <v>628</v>
      </c>
      <c r="B6832" t="s">
        <v>155</v>
      </c>
      <c r="C6832" t="s">
        <v>155</v>
      </c>
      <c r="D6832" t="s">
        <v>745</v>
      </c>
      <c r="E6832" t="s">
        <v>771</v>
      </c>
      <c r="F6832">
        <v>6</v>
      </c>
      <c r="G6832" s="308">
        <f>COMEDORES!O173</f>
        <v>0</v>
      </c>
      <c r="H6832" s="308">
        <f>COMEDORES!P173</f>
        <v>0</v>
      </c>
    </row>
    <row r="6833" spans="1:8" x14ac:dyDescent="0.3">
      <c r="A6833" t="s">
        <v>628</v>
      </c>
      <c r="B6833" t="s">
        <v>155</v>
      </c>
      <c r="C6833" t="s">
        <v>155</v>
      </c>
      <c r="D6833" t="s">
        <v>745</v>
      </c>
      <c r="E6833" t="s">
        <v>772</v>
      </c>
      <c r="F6833">
        <v>7</v>
      </c>
      <c r="G6833" s="308">
        <f>COMEDORES!Q173</f>
        <v>5550</v>
      </c>
      <c r="H6833" s="308">
        <f>COMEDORES!R173</f>
        <v>0</v>
      </c>
    </row>
    <row r="6834" spans="1:8" x14ac:dyDescent="0.3">
      <c r="A6834" t="s">
        <v>628</v>
      </c>
      <c r="B6834" t="s">
        <v>155</v>
      </c>
      <c r="C6834" t="s">
        <v>155</v>
      </c>
      <c r="D6834" t="s">
        <v>746</v>
      </c>
      <c r="E6834" t="s">
        <v>766</v>
      </c>
      <c r="F6834">
        <v>1</v>
      </c>
      <c r="G6834" s="308">
        <f>COMEDORES!E174</f>
        <v>0</v>
      </c>
      <c r="H6834" s="308">
        <f>COMEDORES!F174</f>
        <v>0</v>
      </c>
    </row>
    <row r="6835" spans="1:8" x14ac:dyDescent="0.3">
      <c r="A6835" t="s">
        <v>628</v>
      </c>
      <c r="B6835" t="s">
        <v>155</v>
      </c>
      <c r="C6835" t="s">
        <v>155</v>
      </c>
      <c r="D6835" t="s">
        <v>746</v>
      </c>
      <c r="E6835" t="s">
        <v>767</v>
      </c>
      <c r="F6835">
        <v>2</v>
      </c>
      <c r="G6835" s="308">
        <f>COMEDORES!G174</f>
        <v>0</v>
      </c>
      <c r="H6835" s="308">
        <f>COMEDORES!H174</f>
        <v>0</v>
      </c>
    </row>
    <row r="6836" spans="1:8" x14ac:dyDescent="0.3">
      <c r="A6836" t="s">
        <v>628</v>
      </c>
      <c r="B6836" t="s">
        <v>155</v>
      </c>
      <c r="C6836" t="s">
        <v>155</v>
      </c>
      <c r="D6836" t="s">
        <v>746</v>
      </c>
      <c r="E6836" t="s">
        <v>768</v>
      </c>
      <c r="F6836">
        <v>3</v>
      </c>
      <c r="G6836" s="308">
        <f>COMEDORES!I174</f>
        <v>0</v>
      </c>
      <c r="H6836" s="308">
        <f>COMEDORES!J174</f>
        <v>0</v>
      </c>
    </row>
    <row r="6837" spans="1:8" x14ac:dyDescent="0.3">
      <c r="A6837" t="s">
        <v>628</v>
      </c>
      <c r="B6837" t="s">
        <v>155</v>
      </c>
      <c r="C6837" t="s">
        <v>155</v>
      </c>
      <c r="D6837" t="s">
        <v>746</v>
      </c>
      <c r="E6837" t="s">
        <v>769</v>
      </c>
      <c r="F6837">
        <v>4</v>
      </c>
      <c r="G6837" s="308">
        <f>COMEDORES!K174</f>
        <v>0</v>
      </c>
      <c r="H6837" s="308">
        <f>COMEDORES!L174</f>
        <v>0</v>
      </c>
    </row>
    <row r="6838" spans="1:8" x14ac:dyDescent="0.3">
      <c r="A6838" t="s">
        <v>628</v>
      </c>
      <c r="B6838" t="s">
        <v>155</v>
      </c>
      <c r="C6838" t="s">
        <v>155</v>
      </c>
      <c r="D6838" t="s">
        <v>746</v>
      </c>
      <c r="E6838" t="s">
        <v>770</v>
      </c>
      <c r="F6838">
        <v>5</v>
      </c>
      <c r="G6838" s="308">
        <f>COMEDORES!M174</f>
        <v>0</v>
      </c>
      <c r="H6838" s="308">
        <f>COMEDORES!N174</f>
        <v>0</v>
      </c>
    </row>
    <row r="6839" spans="1:8" x14ac:dyDescent="0.3">
      <c r="A6839" t="s">
        <v>628</v>
      </c>
      <c r="B6839" t="s">
        <v>155</v>
      </c>
      <c r="C6839" t="s">
        <v>155</v>
      </c>
      <c r="D6839" t="s">
        <v>746</v>
      </c>
      <c r="E6839" t="s">
        <v>771</v>
      </c>
      <c r="F6839">
        <v>6</v>
      </c>
      <c r="G6839" s="308">
        <f>COMEDORES!O174</f>
        <v>0</v>
      </c>
      <c r="H6839" s="308">
        <f>COMEDORES!P174</f>
        <v>0</v>
      </c>
    </row>
    <row r="6840" spans="1:8" x14ac:dyDescent="0.3">
      <c r="A6840" t="s">
        <v>628</v>
      </c>
      <c r="B6840" t="s">
        <v>155</v>
      </c>
      <c r="C6840" t="s">
        <v>155</v>
      </c>
      <c r="D6840" t="s">
        <v>746</v>
      </c>
      <c r="E6840" t="s">
        <v>772</v>
      </c>
      <c r="F6840">
        <v>7</v>
      </c>
      <c r="G6840" s="308">
        <f>COMEDORES!Q174</f>
        <v>6400</v>
      </c>
      <c r="H6840" s="308">
        <f>COMEDORES!R174</f>
        <v>0</v>
      </c>
    </row>
    <row r="6841" spans="1:8" x14ac:dyDescent="0.3">
      <c r="A6841" t="s">
        <v>628</v>
      </c>
      <c r="B6841" t="s">
        <v>155</v>
      </c>
      <c r="C6841" t="s">
        <v>157</v>
      </c>
      <c r="D6841" t="s">
        <v>745</v>
      </c>
      <c r="E6841" t="s">
        <v>766</v>
      </c>
      <c r="F6841">
        <v>1</v>
      </c>
      <c r="G6841" s="308">
        <f>COMEDORES!E175</f>
        <v>0</v>
      </c>
      <c r="H6841" s="308">
        <f>COMEDORES!F175</f>
        <v>0</v>
      </c>
    </row>
    <row r="6842" spans="1:8" x14ac:dyDescent="0.3">
      <c r="A6842" t="s">
        <v>628</v>
      </c>
      <c r="B6842" t="s">
        <v>155</v>
      </c>
      <c r="C6842" t="s">
        <v>157</v>
      </c>
      <c r="D6842" t="s">
        <v>745</v>
      </c>
      <c r="E6842" t="s">
        <v>767</v>
      </c>
      <c r="F6842">
        <v>2</v>
      </c>
      <c r="G6842" s="308">
        <f>COMEDORES!G175</f>
        <v>0</v>
      </c>
      <c r="H6842" s="308">
        <f>COMEDORES!H175</f>
        <v>0</v>
      </c>
    </row>
    <row r="6843" spans="1:8" x14ac:dyDescent="0.3">
      <c r="A6843" t="s">
        <v>628</v>
      </c>
      <c r="B6843" t="s">
        <v>155</v>
      </c>
      <c r="C6843" t="s">
        <v>157</v>
      </c>
      <c r="D6843" t="s">
        <v>745</v>
      </c>
      <c r="E6843" t="s">
        <v>768</v>
      </c>
      <c r="F6843">
        <v>3</v>
      </c>
      <c r="G6843" s="308">
        <f>COMEDORES!I175</f>
        <v>0</v>
      </c>
      <c r="H6843" s="308">
        <f>COMEDORES!J175</f>
        <v>0</v>
      </c>
    </row>
    <row r="6844" spans="1:8" x14ac:dyDescent="0.3">
      <c r="A6844" t="s">
        <v>628</v>
      </c>
      <c r="B6844" t="s">
        <v>155</v>
      </c>
      <c r="C6844" t="s">
        <v>157</v>
      </c>
      <c r="D6844" t="s">
        <v>745</v>
      </c>
      <c r="E6844" t="s">
        <v>769</v>
      </c>
      <c r="F6844">
        <v>4</v>
      </c>
      <c r="G6844" s="308">
        <f>COMEDORES!K175</f>
        <v>0</v>
      </c>
      <c r="H6844" s="308">
        <f>COMEDORES!L175</f>
        <v>0</v>
      </c>
    </row>
    <row r="6845" spans="1:8" x14ac:dyDescent="0.3">
      <c r="A6845" t="s">
        <v>628</v>
      </c>
      <c r="B6845" t="s">
        <v>155</v>
      </c>
      <c r="C6845" t="s">
        <v>157</v>
      </c>
      <c r="D6845" t="s">
        <v>745</v>
      </c>
      <c r="E6845" t="s">
        <v>770</v>
      </c>
      <c r="F6845">
        <v>5</v>
      </c>
      <c r="G6845" s="308">
        <f>COMEDORES!M175</f>
        <v>0</v>
      </c>
      <c r="H6845" s="308">
        <f>COMEDORES!N175</f>
        <v>0</v>
      </c>
    </row>
    <row r="6846" spans="1:8" x14ac:dyDescent="0.3">
      <c r="A6846" t="s">
        <v>628</v>
      </c>
      <c r="B6846" t="s">
        <v>155</v>
      </c>
      <c r="C6846" t="s">
        <v>157</v>
      </c>
      <c r="D6846" t="s">
        <v>745</v>
      </c>
      <c r="E6846" t="s">
        <v>771</v>
      </c>
      <c r="F6846">
        <v>6</v>
      </c>
      <c r="G6846" s="308">
        <f>COMEDORES!O175</f>
        <v>0</v>
      </c>
      <c r="H6846" s="308">
        <f>COMEDORES!P175</f>
        <v>0</v>
      </c>
    </row>
    <row r="6847" spans="1:8" x14ac:dyDescent="0.3">
      <c r="A6847" t="s">
        <v>628</v>
      </c>
      <c r="B6847" t="s">
        <v>155</v>
      </c>
      <c r="C6847" t="s">
        <v>157</v>
      </c>
      <c r="D6847" t="s">
        <v>745</v>
      </c>
      <c r="E6847" t="s">
        <v>772</v>
      </c>
      <c r="F6847">
        <v>7</v>
      </c>
      <c r="G6847" s="308">
        <f>COMEDORES!Q175</f>
        <v>2550</v>
      </c>
      <c r="H6847" s="308">
        <f>COMEDORES!R175</f>
        <v>0</v>
      </c>
    </row>
    <row r="6848" spans="1:8" x14ac:dyDescent="0.3">
      <c r="A6848" t="s">
        <v>628</v>
      </c>
      <c r="B6848" t="s">
        <v>155</v>
      </c>
      <c r="C6848" t="s">
        <v>157</v>
      </c>
      <c r="D6848" t="s">
        <v>746</v>
      </c>
      <c r="E6848" t="s">
        <v>766</v>
      </c>
      <c r="F6848">
        <v>1</v>
      </c>
      <c r="G6848" s="308">
        <f>COMEDORES!E176</f>
        <v>0</v>
      </c>
      <c r="H6848" s="308">
        <f>COMEDORES!F176</f>
        <v>0</v>
      </c>
    </row>
    <row r="6849" spans="1:8" x14ac:dyDescent="0.3">
      <c r="A6849" t="s">
        <v>628</v>
      </c>
      <c r="B6849" t="s">
        <v>155</v>
      </c>
      <c r="C6849" t="s">
        <v>157</v>
      </c>
      <c r="D6849" t="s">
        <v>746</v>
      </c>
      <c r="E6849" t="s">
        <v>767</v>
      </c>
      <c r="F6849">
        <v>2</v>
      </c>
      <c r="G6849" s="308">
        <f>COMEDORES!G176</f>
        <v>0</v>
      </c>
      <c r="H6849" s="308">
        <f>COMEDORES!H176</f>
        <v>0</v>
      </c>
    </row>
    <row r="6850" spans="1:8" x14ac:dyDescent="0.3">
      <c r="A6850" t="s">
        <v>628</v>
      </c>
      <c r="B6850" t="s">
        <v>155</v>
      </c>
      <c r="C6850" t="s">
        <v>157</v>
      </c>
      <c r="D6850" t="s">
        <v>746</v>
      </c>
      <c r="E6850" t="s">
        <v>768</v>
      </c>
      <c r="F6850">
        <v>3</v>
      </c>
      <c r="G6850" s="308">
        <f>COMEDORES!I176</f>
        <v>0</v>
      </c>
      <c r="H6850" s="308">
        <f>COMEDORES!J176</f>
        <v>0</v>
      </c>
    </row>
    <row r="6851" spans="1:8" x14ac:dyDescent="0.3">
      <c r="A6851" t="s">
        <v>628</v>
      </c>
      <c r="B6851" t="s">
        <v>155</v>
      </c>
      <c r="C6851" t="s">
        <v>157</v>
      </c>
      <c r="D6851" t="s">
        <v>746</v>
      </c>
      <c r="E6851" t="s">
        <v>769</v>
      </c>
      <c r="F6851">
        <v>4</v>
      </c>
      <c r="G6851" s="308">
        <f>COMEDORES!K176</f>
        <v>0</v>
      </c>
      <c r="H6851" s="308">
        <f>COMEDORES!L176</f>
        <v>0</v>
      </c>
    </row>
    <row r="6852" spans="1:8" x14ac:dyDescent="0.3">
      <c r="A6852" t="s">
        <v>628</v>
      </c>
      <c r="B6852" t="s">
        <v>155</v>
      </c>
      <c r="C6852" t="s">
        <v>157</v>
      </c>
      <c r="D6852" t="s">
        <v>746</v>
      </c>
      <c r="E6852" t="s">
        <v>770</v>
      </c>
      <c r="F6852">
        <v>5</v>
      </c>
      <c r="G6852" s="308">
        <f>COMEDORES!M176</f>
        <v>0</v>
      </c>
      <c r="H6852" s="308">
        <f>COMEDORES!N176</f>
        <v>0</v>
      </c>
    </row>
    <row r="6853" spans="1:8" x14ac:dyDescent="0.3">
      <c r="A6853" t="s">
        <v>628</v>
      </c>
      <c r="B6853" t="s">
        <v>155</v>
      </c>
      <c r="C6853" t="s">
        <v>157</v>
      </c>
      <c r="D6853" t="s">
        <v>746</v>
      </c>
      <c r="E6853" t="s">
        <v>771</v>
      </c>
      <c r="F6853">
        <v>6</v>
      </c>
      <c r="G6853" s="308">
        <f>COMEDORES!O176</f>
        <v>0</v>
      </c>
      <c r="H6853" s="308">
        <f>COMEDORES!P176</f>
        <v>0</v>
      </c>
    </row>
    <row r="6854" spans="1:8" x14ac:dyDescent="0.3">
      <c r="A6854" t="s">
        <v>628</v>
      </c>
      <c r="B6854" t="s">
        <v>155</v>
      </c>
      <c r="C6854" t="s">
        <v>157</v>
      </c>
      <c r="D6854" t="s">
        <v>746</v>
      </c>
      <c r="E6854" t="s">
        <v>772</v>
      </c>
      <c r="F6854">
        <v>7</v>
      </c>
      <c r="G6854" s="308">
        <f>COMEDORES!Q176</f>
        <v>3400</v>
      </c>
      <c r="H6854" s="308">
        <f>COMEDORES!R176</f>
        <v>0</v>
      </c>
    </row>
    <row r="6855" spans="1:8" x14ac:dyDescent="0.3">
      <c r="A6855" t="s">
        <v>628</v>
      </c>
      <c r="B6855" t="s">
        <v>155</v>
      </c>
      <c r="C6855" t="s">
        <v>156</v>
      </c>
      <c r="D6855" t="s">
        <v>745</v>
      </c>
      <c r="E6855" t="s">
        <v>766</v>
      </c>
      <c r="F6855">
        <v>1</v>
      </c>
      <c r="G6855" s="308">
        <f>COMEDORES!E177</f>
        <v>1600</v>
      </c>
      <c r="H6855" s="308">
        <f>COMEDORES!F177</f>
        <v>0</v>
      </c>
    </row>
    <row r="6856" spans="1:8" x14ac:dyDescent="0.3">
      <c r="A6856" t="s">
        <v>628</v>
      </c>
      <c r="B6856" t="s">
        <v>155</v>
      </c>
      <c r="C6856" t="s">
        <v>156</v>
      </c>
      <c r="D6856" t="s">
        <v>745</v>
      </c>
      <c r="E6856" t="s">
        <v>767</v>
      </c>
      <c r="F6856">
        <v>2</v>
      </c>
      <c r="G6856" s="308">
        <f>COMEDORES!G177</f>
        <v>1550</v>
      </c>
      <c r="H6856" s="308">
        <f>COMEDORES!H177</f>
        <v>89700</v>
      </c>
    </row>
    <row r="6857" spans="1:8" x14ac:dyDescent="0.3">
      <c r="A6857" t="s">
        <v>628</v>
      </c>
      <c r="B6857" t="s">
        <v>155</v>
      </c>
      <c r="C6857" t="s">
        <v>156</v>
      </c>
      <c r="D6857" t="s">
        <v>745</v>
      </c>
      <c r="E6857" t="s">
        <v>768</v>
      </c>
      <c r="F6857">
        <v>3</v>
      </c>
      <c r="G6857" s="308">
        <f>COMEDORES!I177</f>
        <v>2200</v>
      </c>
      <c r="H6857" s="308">
        <f>COMEDORES!J177</f>
        <v>81487.5</v>
      </c>
    </row>
    <row r="6858" spans="1:8" x14ac:dyDescent="0.3">
      <c r="A6858" t="s">
        <v>628</v>
      </c>
      <c r="B6858" t="s">
        <v>155</v>
      </c>
      <c r="C6858" t="s">
        <v>156</v>
      </c>
      <c r="D6858" t="s">
        <v>745</v>
      </c>
      <c r="E6858" t="s">
        <v>769</v>
      </c>
      <c r="F6858">
        <v>4</v>
      </c>
      <c r="G6858" s="308">
        <f>COMEDORES!K177</f>
        <v>1425</v>
      </c>
      <c r="H6858" s="308">
        <f>COMEDORES!L177</f>
        <v>237118.5</v>
      </c>
    </row>
    <row r="6859" spans="1:8" x14ac:dyDescent="0.3">
      <c r="A6859" t="s">
        <v>628</v>
      </c>
      <c r="B6859" t="s">
        <v>155</v>
      </c>
      <c r="C6859" t="s">
        <v>156</v>
      </c>
      <c r="D6859" t="s">
        <v>745</v>
      </c>
      <c r="E6859" t="s">
        <v>770</v>
      </c>
      <c r="F6859">
        <v>5</v>
      </c>
      <c r="G6859" s="308">
        <f>COMEDORES!M177</f>
        <v>1500</v>
      </c>
      <c r="H6859" s="308">
        <f>COMEDORES!N177</f>
        <v>137355.75</v>
      </c>
    </row>
    <row r="6860" spans="1:8" x14ac:dyDescent="0.3">
      <c r="A6860" t="s">
        <v>628</v>
      </c>
      <c r="B6860" t="s">
        <v>155</v>
      </c>
      <c r="C6860" t="s">
        <v>156</v>
      </c>
      <c r="D6860" t="s">
        <v>745</v>
      </c>
      <c r="E6860" t="s">
        <v>771</v>
      </c>
      <c r="F6860">
        <v>6</v>
      </c>
      <c r="G6860" s="308">
        <f>COMEDORES!O177</f>
        <v>1575</v>
      </c>
      <c r="H6860" s="308">
        <f>COMEDORES!P177</f>
        <v>144585</v>
      </c>
    </row>
    <row r="6861" spans="1:8" x14ac:dyDescent="0.3">
      <c r="A6861" t="s">
        <v>628</v>
      </c>
      <c r="B6861" t="s">
        <v>155</v>
      </c>
      <c r="C6861" t="s">
        <v>156</v>
      </c>
      <c r="D6861" t="s">
        <v>745</v>
      </c>
      <c r="E6861" t="s">
        <v>772</v>
      </c>
      <c r="F6861">
        <v>7</v>
      </c>
      <c r="G6861" s="308">
        <f>COMEDORES!Q177</f>
        <v>1725</v>
      </c>
      <c r="H6861" s="308">
        <f>COMEDORES!R177</f>
        <v>151814.25</v>
      </c>
    </row>
    <row r="6862" spans="1:8" x14ac:dyDescent="0.3">
      <c r="A6862" t="s">
        <v>628</v>
      </c>
      <c r="B6862" t="s">
        <v>155</v>
      </c>
      <c r="C6862" t="s">
        <v>156</v>
      </c>
      <c r="D6862" t="s">
        <v>746</v>
      </c>
      <c r="E6862" t="s">
        <v>766</v>
      </c>
      <c r="F6862">
        <v>1</v>
      </c>
      <c r="G6862" s="308">
        <f>COMEDORES!E178</f>
        <v>2550</v>
      </c>
      <c r="H6862" s="308">
        <f>COMEDORES!F178</f>
        <v>0</v>
      </c>
    </row>
    <row r="6863" spans="1:8" x14ac:dyDescent="0.3">
      <c r="A6863" t="s">
        <v>628</v>
      </c>
      <c r="B6863" t="s">
        <v>155</v>
      </c>
      <c r="C6863" t="s">
        <v>156</v>
      </c>
      <c r="D6863" t="s">
        <v>746</v>
      </c>
      <c r="E6863" t="s">
        <v>767</v>
      </c>
      <c r="F6863">
        <v>2</v>
      </c>
      <c r="G6863" s="308">
        <f>COMEDORES!G178</f>
        <v>3000</v>
      </c>
      <c r="H6863" s="308">
        <f>COMEDORES!H178</f>
        <v>0</v>
      </c>
    </row>
    <row r="6864" spans="1:8" x14ac:dyDescent="0.3">
      <c r="A6864" t="s">
        <v>628</v>
      </c>
      <c r="B6864" t="s">
        <v>155</v>
      </c>
      <c r="C6864" t="s">
        <v>156</v>
      </c>
      <c r="D6864" t="s">
        <v>746</v>
      </c>
      <c r="E6864" t="s">
        <v>768</v>
      </c>
      <c r="F6864">
        <v>3</v>
      </c>
      <c r="G6864" s="308">
        <f>COMEDORES!I178</f>
        <v>3300</v>
      </c>
      <c r="H6864" s="308">
        <f>COMEDORES!J178</f>
        <v>0</v>
      </c>
    </row>
    <row r="6865" spans="1:8" x14ac:dyDescent="0.3">
      <c r="A6865" t="s">
        <v>628</v>
      </c>
      <c r="B6865" t="s">
        <v>155</v>
      </c>
      <c r="C6865" t="s">
        <v>156</v>
      </c>
      <c r="D6865" t="s">
        <v>746</v>
      </c>
      <c r="E6865" t="s">
        <v>769</v>
      </c>
      <c r="F6865">
        <v>4</v>
      </c>
      <c r="G6865" s="308">
        <f>COMEDORES!K178</f>
        <v>2850</v>
      </c>
      <c r="H6865" s="308">
        <f>COMEDORES!L178</f>
        <v>0</v>
      </c>
    </row>
    <row r="6866" spans="1:8" x14ac:dyDescent="0.3">
      <c r="A6866" t="s">
        <v>628</v>
      </c>
      <c r="B6866" t="s">
        <v>155</v>
      </c>
      <c r="C6866" t="s">
        <v>156</v>
      </c>
      <c r="D6866" t="s">
        <v>746</v>
      </c>
      <c r="E6866" t="s">
        <v>770</v>
      </c>
      <c r="F6866">
        <v>5</v>
      </c>
      <c r="G6866" s="308">
        <f>COMEDORES!M178</f>
        <v>3000</v>
      </c>
      <c r="H6866" s="308">
        <f>COMEDORES!N178</f>
        <v>0</v>
      </c>
    </row>
    <row r="6867" spans="1:8" x14ac:dyDescent="0.3">
      <c r="A6867" t="s">
        <v>628</v>
      </c>
      <c r="B6867" t="s">
        <v>155</v>
      </c>
      <c r="C6867" t="s">
        <v>156</v>
      </c>
      <c r="D6867" t="s">
        <v>746</v>
      </c>
      <c r="E6867" t="s">
        <v>771</v>
      </c>
      <c r="F6867">
        <v>6</v>
      </c>
      <c r="G6867" s="308">
        <f>COMEDORES!O178</f>
        <v>3150</v>
      </c>
      <c r="H6867" s="308">
        <f>COMEDORES!P178</f>
        <v>0</v>
      </c>
    </row>
    <row r="6868" spans="1:8" x14ac:dyDescent="0.3">
      <c r="A6868" t="s">
        <v>628</v>
      </c>
      <c r="B6868" t="s">
        <v>155</v>
      </c>
      <c r="C6868" t="s">
        <v>156</v>
      </c>
      <c r="D6868" t="s">
        <v>746</v>
      </c>
      <c r="E6868" t="s">
        <v>772</v>
      </c>
      <c r="F6868">
        <v>7</v>
      </c>
      <c r="G6868" s="308">
        <f>COMEDORES!Q178</f>
        <v>3450</v>
      </c>
      <c r="H6868" s="308">
        <f>COMEDORES!R178</f>
        <v>0</v>
      </c>
    </row>
    <row r="6869" spans="1:8" x14ac:dyDescent="0.3">
      <c r="A6869" t="s">
        <v>628</v>
      </c>
      <c r="B6869" t="s">
        <v>155</v>
      </c>
      <c r="C6869" t="s">
        <v>158</v>
      </c>
      <c r="D6869" t="s">
        <v>745</v>
      </c>
      <c r="E6869" t="s">
        <v>766</v>
      </c>
      <c r="F6869">
        <v>1</v>
      </c>
      <c r="G6869" s="308">
        <f>COMEDORES!E179</f>
        <v>0</v>
      </c>
      <c r="H6869" s="308">
        <f>COMEDORES!F179</f>
        <v>0</v>
      </c>
    </row>
    <row r="6870" spans="1:8" x14ac:dyDescent="0.3">
      <c r="A6870" t="s">
        <v>628</v>
      </c>
      <c r="B6870" t="s">
        <v>155</v>
      </c>
      <c r="C6870" t="s">
        <v>158</v>
      </c>
      <c r="D6870" t="s">
        <v>745</v>
      </c>
      <c r="E6870" t="s">
        <v>767</v>
      </c>
      <c r="F6870">
        <v>2</v>
      </c>
      <c r="G6870" s="308">
        <f>COMEDORES!G179</f>
        <v>0</v>
      </c>
      <c r="H6870" s="308">
        <f>COMEDORES!H179</f>
        <v>0</v>
      </c>
    </row>
    <row r="6871" spans="1:8" x14ac:dyDescent="0.3">
      <c r="A6871" t="s">
        <v>628</v>
      </c>
      <c r="B6871" t="s">
        <v>155</v>
      </c>
      <c r="C6871" t="s">
        <v>158</v>
      </c>
      <c r="D6871" t="s">
        <v>745</v>
      </c>
      <c r="E6871" t="s">
        <v>768</v>
      </c>
      <c r="F6871">
        <v>3</v>
      </c>
      <c r="G6871" s="308">
        <f>COMEDORES!I179</f>
        <v>0</v>
      </c>
      <c r="H6871" s="308">
        <f>COMEDORES!J179</f>
        <v>0</v>
      </c>
    </row>
    <row r="6872" spans="1:8" x14ac:dyDescent="0.3">
      <c r="A6872" t="s">
        <v>628</v>
      </c>
      <c r="B6872" t="s">
        <v>155</v>
      </c>
      <c r="C6872" t="s">
        <v>158</v>
      </c>
      <c r="D6872" t="s">
        <v>745</v>
      </c>
      <c r="E6872" t="s">
        <v>769</v>
      </c>
      <c r="F6872">
        <v>4</v>
      </c>
      <c r="G6872" s="308">
        <f>COMEDORES!K179</f>
        <v>900</v>
      </c>
      <c r="H6872" s="308">
        <f>COMEDORES!L179</f>
        <v>0</v>
      </c>
    </row>
    <row r="6873" spans="1:8" x14ac:dyDescent="0.3">
      <c r="A6873" t="s">
        <v>628</v>
      </c>
      <c r="B6873" t="s">
        <v>155</v>
      </c>
      <c r="C6873" t="s">
        <v>158</v>
      </c>
      <c r="D6873" t="s">
        <v>745</v>
      </c>
      <c r="E6873" t="s">
        <v>770</v>
      </c>
      <c r="F6873">
        <v>5</v>
      </c>
      <c r="G6873" s="308">
        <f>COMEDORES!M179</f>
        <v>2000</v>
      </c>
      <c r="H6873" s="308">
        <f>COMEDORES!N179</f>
        <v>71137.350000000006</v>
      </c>
    </row>
    <row r="6874" spans="1:8" x14ac:dyDescent="0.3">
      <c r="A6874" t="s">
        <v>628</v>
      </c>
      <c r="B6874" t="s">
        <v>155</v>
      </c>
      <c r="C6874" t="s">
        <v>158</v>
      </c>
      <c r="D6874" t="s">
        <v>745</v>
      </c>
      <c r="E6874" t="s">
        <v>771</v>
      </c>
      <c r="F6874">
        <v>6</v>
      </c>
      <c r="G6874" s="308">
        <f>COMEDORES!O179</f>
        <v>2100</v>
      </c>
      <c r="H6874" s="308">
        <f>COMEDORES!P179</f>
        <v>159630</v>
      </c>
    </row>
    <row r="6875" spans="1:8" x14ac:dyDescent="0.3">
      <c r="A6875" t="s">
        <v>628</v>
      </c>
      <c r="B6875" t="s">
        <v>155</v>
      </c>
      <c r="C6875" t="s">
        <v>158</v>
      </c>
      <c r="D6875" t="s">
        <v>745</v>
      </c>
      <c r="E6875" t="s">
        <v>772</v>
      </c>
      <c r="F6875">
        <v>7</v>
      </c>
      <c r="G6875" s="308">
        <f>COMEDORES!Q179</f>
        <v>2300</v>
      </c>
      <c r="H6875" s="308">
        <f>COMEDORES!R179</f>
        <v>166782.74999999997</v>
      </c>
    </row>
    <row r="6876" spans="1:8" x14ac:dyDescent="0.3">
      <c r="A6876" t="s">
        <v>628</v>
      </c>
      <c r="B6876" t="s">
        <v>155</v>
      </c>
      <c r="C6876" t="s">
        <v>158</v>
      </c>
      <c r="D6876" t="s">
        <v>746</v>
      </c>
      <c r="E6876" t="s">
        <v>766</v>
      </c>
      <c r="F6876">
        <v>1</v>
      </c>
      <c r="G6876" s="308">
        <f>COMEDORES!E180</f>
        <v>0</v>
      </c>
      <c r="H6876" s="308">
        <f>COMEDORES!F180</f>
        <v>0</v>
      </c>
    </row>
    <row r="6877" spans="1:8" x14ac:dyDescent="0.3">
      <c r="A6877" t="s">
        <v>628</v>
      </c>
      <c r="B6877" t="s">
        <v>155</v>
      </c>
      <c r="C6877" t="s">
        <v>158</v>
      </c>
      <c r="D6877" t="s">
        <v>746</v>
      </c>
      <c r="E6877" t="s">
        <v>767</v>
      </c>
      <c r="F6877">
        <v>2</v>
      </c>
      <c r="G6877" s="308">
        <f>COMEDORES!G180</f>
        <v>0</v>
      </c>
      <c r="H6877" s="308">
        <f>COMEDORES!H180</f>
        <v>0</v>
      </c>
    </row>
    <row r="6878" spans="1:8" x14ac:dyDescent="0.3">
      <c r="A6878" t="s">
        <v>628</v>
      </c>
      <c r="B6878" t="s">
        <v>155</v>
      </c>
      <c r="C6878" t="s">
        <v>158</v>
      </c>
      <c r="D6878" t="s">
        <v>746</v>
      </c>
      <c r="E6878" t="s">
        <v>768</v>
      </c>
      <c r="F6878">
        <v>3</v>
      </c>
      <c r="G6878" s="308">
        <f>COMEDORES!I180</f>
        <v>0</v>
      </c>
      <c r="H6878" s="308">
        <f>COMEDORES!J180</f>
        <v>0</v>
      </c>
    </row>
    <row r="6879" spans="1:8" x14ac:dyDescent="0.3">
      <c r="A6879" t="s">
        <v>628</v>
      </c>
      <c r="B6879" t="s">
        <v>155</v>
      </c>
      <c r="C6879" t="s">
        <v>158</v>
      </c>
      <c r="D6879" t="s">
        <v>746</v>
      </c>
      <c r="E6879" t="s">
        <v>769</v>
      </c>
      <c r="F6879">
        <v>4</v>
      </c>
      <c r="G6879" s="308">
        <f>COMEDORES!K180</f>
        <v>1329</v>
      </c>
      <c r="H6879" s="308">
        <f>COMEDORES!L180</f>
        <v>0</v>
      </c>
    </row>
    <row r="6880" spans="1:8" x14ac:dyDescent="0.3">
      <c r="A6880" t="s">
        <v>628</v>
      </c>
      <c r="B6880" t="s">
        <v>155</v>
      </c>
      <c r="C6880" t="s">
        <v>158</v>
      </c>
      <c r="D6880" t="s">
        <v>746</v>
      </c>
      <c r="E6880" t="s">
        <v>770</v>
      </c>
      <c r="F6880">
        <v>5</v>
      </c>
      <c r="G6880" s="308">
        <f>COMEDORES!M180</f>
        <v>3000</v>
      </c>
      <c r="H6880" s="308">
        <f>COMEDORES!N180</f>
        <v>0</v>
      </c>
    </row>
    <row r="6881" spans="1:8" x14ac:dyDescent="0.3">
      <c r="A6881" t="s">
        <v>628</v>
      </c>
      <c r="B6881" t="s">
        <v>155</v>
      </c>
      <c r="C6881" t="s">
        <v>158</v>
      </c>
      <c r="D6881" t="s">
        <v>746</v>
      </c>
      <c r="E6881" t="s">
        <v>771</v>
      </c>
      <c r="F6881">
        <v>6</v>
      </c>
      <c r="G6881" s="308">
        <f>COMEDORES!O180</f>
        <v>3125</v>
      </c>
      <c r="H6881" s="308">
        <f>COMEDORES!P180</f>
        <v>0</v>
      </c>
    </row>
    <row r="6882" spans="1:8" x14ac:dyDescent="0.3">
      <c r="A6882" t="s">
        <v>628</v>
      </c>
      <c r="B6882" t="s">
        <v>155</v>
      </c>
      <c r="C6882" t="s">
        <v>158</v>
      </c>
      <c r="D6882" t="s">
        <v>746</v>
      </c>
      <c r="E6882" t="s">
        <v>772</v>
      </c>
      <c r="F6882">
        <v>7</v>
      </c>
      <c r="G6882" s="308">
        <f>COMEDORES!Q180</f>
        <v>3450</v>
      </c>
      <c r="H6882" s="308">
        <f>COMEDORES!R180</f>
        <v>0</v>
      </c>
    </row>
    <row r="6883" spans="1:8" x14ac:dyDescent="0.3">
      <c r="A6883" t="s">
        <v>628</v>
      </c>
      <c r="B6883" t="s">
        <v>155</v>
      </c>
      <c r="C6883" t="s">
        <v>159</v>
      </c>
      <c r="D6883" t="s">
        <v>745</v>
      </c>
      <c r="E6883" t="s">
        <v>766</v>
      </c>
      <c r="F6883">
        <v>1</v>
      </c>
      <c r="G6883" s="308">
        <f>COMEDORES!E181</f>
        <v>2000</v>
      </c>
      <c r="H6883" s="308">
        <f>COMEDORES!F181</f>
        <v>0</v>
      </c>
    </row>
    <row r="6884" spans="1:8" x14ac:dyDescent="0.3">
      <c r="A6884" t="s">
        <v>628</v>
      </c>
      <c r="B6884" t="s">
        <v>155</v>
      </c>
      <c r="C6884" t="s">
        <v>159</v>
      </c>
      <c r="D6884" t="s">
        <v>745</v>
      </c>
      <c r="E6884" t="s">
        <v>767</v>
      </c>
      <c r="F6884">
        <v>2</v>
      </c>
      <c r="G6884" s="308">
        <f>COMEDORES!G181</f>
        <v>2000</v>
      </c>
      <c r="H6884" s="308">
        <f>COMEDORES!H181</f>
        <v>84490</v>
      </c>
    </row>
    <row r="6885" spans="1:8" x14ac:dyDescent="0.3">
      <c r="A6885" t="s">
        <v>628</v>
      </c>
      <c r="B6885" t="s">
        <v>155</v>
      </c>
      <c r="C6885" t="s">
        <v>159</v>
      </c>
      <c r="D6885" t="s">
        <v>745</v>
      </c>
      <c r="E6885" t="s">
        <v>768</v>
      </c>
      <c r="F6885">
        <v>3</v>
      </c>
      <c r="G6885" s="308">
        <f>COMEDORES!I181</f>
        <v>2200</v>
      </c>
      <c r="H6885" s="308">
        <f>COMEDORES!J181</f>
        <v>65040</v>
      </c>
    </row>
    <row r="6886" spans="1:8" x14ac:dyDescent="0.3">
      <c r="A6886" t="s">
        <v>628</v>
      </c>
      <c r="B6886" t="s">
        <v>155</v>
      </c>
      <c r="C6886" t="s">
        <v>159</v>
      </c>
      <c r="D6886" t="s">
        <v>745</v>
      </c>
      <c r="E6886" t="s">
        <v>769</v>
      </c>
      <c r="F6886">
        <v>4</v>
      </c>
      <c r="G6886" s="308">
        <f>COMEDORES!K181</f>
        <v>1900</v>
      </c>
      <c r="H6886" s="308">
        <f>COMEDORES!L181</f>
        <v>267463</v>
      </c>
    </row>
    <row r="6887" spans="1:8" x14ac:dyDescent="0.3">
      <c r="A6887" t="s">
        <v>628</v>
      </c>
      <c r="B6887" t="s">
        <v>155</v>
      </c>
      <c r="C6887" t="s">
        <v>159</v>
      </c>
      <c r="D6887" t="s">
        <v>745</v>
      </c>
      <c r="E6887" t="s">
        <v>770</v>
      </c>
      <c r="F6887">
        <v>5</v>
      </c>
      <c r="G6887" s="308">
        <f>COMEDORES!M181</f>
        <v>2000</v>
      </c>
      <c r="H6887" s="308">
        <f>COMEDORES!N181</f>
        <v>151648.5</v>
      </c>
    </row>
    <row r="6888" spans="1:8" x14ac:dyDescent="0.3">
      <c r="A6888" t="s">
        <v>628</v>
      </c>
      <c r="B6888" t="s">
        <v>155</v>
      </c>
      <c r="C6888" t="s">
        <v>159</v>
      </c>
      <c r="D6888" t="s">
        <v>745</v>
      </c>
      <c r="E6888" t="s">
        <v>771</v>
      </c>
      <c r="F6888">
        <v>6</v>
      </c>
      <c r="G6888" s="308">
        <f>COMEDORES!O181</f>
        <v>2100</v>
      </c>
      <c r="H6888" s="308">
        <f>COMEDORES!P181</f>
        <v>157442.09999999998</v>
      </c>
    </row>
    <row r="6889" spans="1:8" x14ac:dyDescent="0.3">
      <c r="A6889" t="s">
        <v>628</v>
      </c>
      <c r="B6889" t="s">
        <v>155</v>
      </c>
      <c r="C6889" t="s">
        <v>159</v>
      </c>
      <c r="D6889" t="s">
        <v>745</v>
      </c>
      <c r="E6889" t="s">
        <v>772</v>
      </c>
      <c r="F6889">
        <v>7</v>
      </c>
      <c r="G6889" s="308">
        <f>COMEDORES!Q181</f>
        <v>2300</v>
      </c>
      <c r="H6889" s="308">
        <f>COMEDORES!R181</f>
        <v>167611.5</v>
      </c>
    </row>
    <row r="6890" spans="1:8" x14ac:dyDescent="0.3">
      <c r="A6890" t="s">
        <v>628</v>
      </c>
      <c r="B6890" t="s">
        <v>155</v>
      </c>
      <c r="C6890" t="s">
        <v>159</v>
      </c>
      <c r="D6890" t="s">
        <v>746</v>
      </c>
      <c r="E6890" t="s">
        <v>766</v>
      </c>
      <c r="F6890">
        <v>1</v>
      </c>
      <c r="G6890" s="308">
        <f>COMEDORES!E182</f>
        <v>3000</v>
      </c>
      <c r="H6890" s="308">
        <f>COMEDORES!F182</f>
        <v>0</v>
      </c>
    </row>
    <row r="6891" spans="1:8" x14ac:dyDescent="0.3">
      <c r="A6891" t="s">
        <v>628</v>
      </c>
      <c r="B6891" t="s">
        <v>155</v>
      </c>
      <c r="C6891" t="s">
        <v>159</v>
      </c>
      <c r="D6891" t="s">
        <v>746</v>
      </c>
      <c r="E6891" t="s">
        <v>767</v>
      </c>
      <c r="F6891">
        <v>2</v>
      </c>
      <c r="G6891" s="308">
        <f>COMEDORES!G182</f>
        <v>3000</v>
      </c>
      <c r="H6891" s="308">
        <f>COMEDORES!H182</f>
        <v>0</v>
      </c>
    </row>
    <row r="6892" spans="1:8" x14ac:dyDescent="0.3">
      <c r="A6892" t="s">
        <v>628</v>
      </c>
      <c r="B6892" t="s">
        <v>155</v>
      </c>
      <c r="C6892" t="s">
        <v>159</v>
      </c>
      <c r="D6892" t="s">
        <v>746</v>
      </c>
      <c r="E6892" t="s">
        <v>768</v>
      </c>
      <c r="F6892">
        <v>3</v>
      </c>
      <c r="G6892" s="308">
        <f>COMEDORES!I182</f>
        <v>3300</v>
      </c>
      <c r="H6892" s="308">
        <f>COMEDORES!J182</f>
        <v>0</v>
      </c>
    </row>
    <row r="6893" spans="1:8" x14ac:dyDescent="0.3">
      <c r="A6893" t="s">
        <v>628</v>
      </c>
      <c r="B6893" t="s">
        <v>155</v>
      </c>
      <c r="C6893" t="s">
        <v>159</v>
      </c>
      <c r="D6893" t="s">
        <v>746</v>
      </c>
      <c r="E6893" t="s">
        <v>769</v>
      </c>
      <c r="F6893">
        <v>4</v>
      </c>
      <c r="G6893" s="308">
        <f>COMEDORES!K182</f>
        <v>2850</v>
      </c>
      <c r="H6893" s="308">
        <f>COMEDORES!L182</f>
        <v>0</v>
      </c>
    </row>
    <row r="6894" spans="1:8" x14ac:dyDescent="0.3">
      <c r="A6894" t="s">
        <v>628</v>
      </c>
      <c r="B6894" t="s">
        <v>155</v>
      </c>
      <c r="C6894" t="s">
        <v>159</v>
      </c>
      <c r="D6894" t="s">
        <v>746</v>
      </c>
      <c r="E6894" t="s">
        <v>770</v>
      </c>
      <c r="F6894">
        <v>5</v>
      </c>
      <c r="G6894" s="308">
        <f>COMEDORES!M182</f>
        <v>2934</v>
      </c>
      <c r="H6894" s="308">
        <f>COMEDORES!N182</f>
        <v>0</v>
      </c>
    </row>
    <row r="6895" spans="1:8" x14ac:dyDescent="0.3">
      <c r="A6895" t="s">
        <v>628</v>
      </c>
      <c r="B6895" t="s">
        <v>155</v>
      </c>
      <c r="C6895" t="s">
        <v>159</v>
      </c>
      <c r="D6895" t="s">
        <v>746</v>
      </c>
      <c r="E6895" t="s">
        <v>771</v>
      </c>
      <c r="F6895">
        <v>6</v>
      </c>
      <c r="G6895" s="308">
        <f>COMEDORES!O182</f>
        <v>3150</v>
      </c>
      <c r="H6895" s="308">
        <f>COMEDORES!P182</f>
        <v>0</v>
      </c>
    </row>
    <row r="6896" spans="1:8" x14ac:dyDescent="0.3">
      <c r="A6896" t="s">
        <v>628</v>
      </c>
      <c r="B6896" t="s">
        <v>155</v>
      </c>
      <c r="C6896" t="s">
        <v>159</v>
      </c>
      <c r="D6896" t="s">
        <v>746</v>
      </c>
      <c r="E6896" t="s">
        <v>772</v>
      </c>
      <c r="F6896">
        <v>7</v>
      </c>
      <c r="G6896" s="308">
        <f>COMEDORES!Q182</f>
        <v>3450</v>
      </c>
      <c r="H6896" s="308">
        <f>COMEDORES!R182</f>
        <v>0</v>
      </c>
    </row>
    <row r="6897" spans="1:8" x14ac:dyDescent="0.3">
      <c r="A6897" t="s">
        <v>628</v>
      </c>
      <c r="B6897" t="s">
        <v>155</v>
      </c>
      <c r="C6897" t="s">
        <v>399</v>
      </c>
      <c r="D6897" t="s">
        <v>745</v>
      </c>
      <c r="E6897" t="s">
        <v>766</v>
      </c>
      <c r="F6897">
        <v>1</v>
      </c>
      <c r="G6897" s="308">
        <f>COMEDORES!E183</f>
        <v>0</v>
      </c>
      <c r="H6897" s="308">
        <f>COMEDORES!F183</f>
        <v>0</v>
      </c>
    </row>
    <row r="6898" spans="1:8" x14ac:dyDescent="0.3">
      <c r="A6898" t="s">
        <v>628</v>
      </c>
      <c r="B6898" t="s">
        <v>155</v>
      </c>
      <c r="C6898" t="s">
        <v>399</v>
      </c>
      <c r="D6898" t="s">
        <v>745</v>
      </c>
      <c r="E6898" t="s">
        <v>767</v>
      </c>
      <c r="F6898">
        <v>2</v>
      </c>
      <c r="G6898" s="308">
        <f>COMEDORES!G183</f>
        <v>0</v>
      </c>
      <c r="H6898" s="308">
        <f>COMEDORES!H183</f>
        <v>0</v>
      </c>
    </row>
    <row r="6899" spans="1:8" x14ac:dyDescent="0.3">
      <c r="A6899" t="s">
        <v>628</v>
      </c>
      <c r="B6899" t="s">
        <v>155</v>
      </c>
      <c r="C6899" t="s">
        <v>399</v>
      </c>
      <c r="D6899" t="s">
        <v>745</v>
      </c>
      <c r="E6899" t="s">
        <v>768</v>
      </c>
      <c r="F6899">
        <v>3</v>
      </c>
      <c r="G6899" s="308">
        <f>COMEDORES!I183</f>
        <v>0</v>
      </c>
      <c r="H6899" s="308">
        <f>COMEDORES!J183</f>
        <v>0</v>
      </c>
    </row>
    <row r="6900" spans="1:8" x14ac:dyDescent="0.3">
      <c r="A6900" t="s">
        <v>628</v>
      </c>
      <c r="B6900" t="s">
        <v>155</v>
      </c>
      <c r="C6900" t="s">
        <v>399</v>
      </c>
      <c r="D6900" t="s">
        <v>745</v>
      </c>
      <c r="E6900" t="s">
        <v>769</v>
      </c>
      <c r="F6900">
        <v>4</v>
      </c>
      <c r="G6900" s="308">
        <f>COMEDORES!K183</f>
        <v>0</v>
      </c>
      <c r="H6900" s="308">
        <f>COMEDORES!L183</f>
        <v>0</v>
      </c>
    </row>
    <row r="6901" spans="1:8" x14ac:dyDescent="0.3">
      <c r="A6901" t="s">
        <v>628</v>
      </c>
      <c r="B6901" t="s">
        <v>155</v>
      </c>
      <c r="C6901" t="s">
        <v>399</v>
      </c>
      <c r="D6901" t="s">
        <v>745</v>
      </c>
      <c r="E6901" t="s">
        <v>770</v>
      </c>
      <c r="F6901">
        <v>5</v>
      </c>
      <c r="G6901" s="308">
        <f>COMEDORES!M183</f>
        <v>0</v>
      </c>
      <c r="H6901" s="308">
        <f>COMEDORES!N183</f>
        <v>0</v>
      </c>
    </row>
    <row r="6902" spans="1:8" x14ac:dyDescent="0.3">
      <c r="A6902" t="s">
        <v>628</v>
      </c>
      <c r="B6902" t="s">
        <v>155</v>
      </c>
      <c r="C6902" t="s">
        <v>399</v>
      </c>
      <c r="D6902" t="s">
        <v>745</v>
      </c>
      <c r="E6902" t="s">
        <v>771</v>
      </c>
      <c r="F6902">
        <v>6</v>
      </c>
      <c r="G6902" s="308">
        <f>COMEDORES!O183</f>
        <v>1300</v>
      </c>
      <c r="H6902" s="308">
        <f>COMEDORES!P183</f>
        <v>0</v>
      </c>
    </row>
    <row r="6903" spans="1:8" x14ac:dyDescent="0.3">
      <c r="A6903" t="s">
        <v>628</v>
      </c>
      <c r="B6903" t="s">
        <v>155</v>
      </c>
      <c r="C6903" t="s">
        <v>399</v>
      </c>
      <c r="D6903" t="s">
        <v>745</v>
      </c>
      <c r="E6903" t="s">
        <v>772</v>
      </c>
      <c r="F6903">
        <v>7</v>
      </c>
      <c r="G6903" s="308">
        <f>COMEDORES!Q183</f>
        <v>2300</v>
      </c>
      <c r="H6903" s="308">
        <f>COMEDORES!R183</f>
        <v>103759.5</v>
      </c>
    </row>
    <row r="6904" spans="1:8" x14ac:dyDescent="0.3">
      <c r="A6904" t="s">
        <v>628</v>
      </c>
      <c r="B6904" t="s">
        <v>155</v>
      </c>
      <c r="C6904" t="s">
        <v>399</v>
      </c>
      <c r="D6904" t="s">
        <v>746</v>
      </c>
      <c r="E6904" t="s">
        <v>766</v>
      </c>
      <c r="F6904">
        <v>1</v>
      </c>
      <c r="G6904" s="308">
        <f>COMEDORES!E184</f>
        <v>0</v>
      </c>
      <c r="H6904" s="308">
        <f>COMEDORES!F184</f>
        <v>0</v>
      </c>
    </row>
    <row r="6905" spans="1:8" x14ac:dyDescent="0.3">
      <c r="A6905" t="s">
        <v>628</v>
      </c>
      <c r="B6905" t="s">
        <v>155</v>
      </c>
      <c r="C6905" t="s">
        <v>399</v>
      </c>
      <c r="D6905" t="s">
        <v>746</v>
      </c>
      <c r="E6905" t="s">
        <v>767</v>
      </c>
      <c r="F6905">
        <v>2</v>
      </c>
      <c r="G6905" s="308">
        <f>COMEDORES!G184</f>
        <v>0</v>
      </c>
      <c r="H6905" s="308">
        <f>COMEDORES!H184</f>
        <v>0</v>
      </c>
    </row>
    <row r="6906" spans="1:8" x14ac:dyDescent="0.3">
      <c r="A6906" t="s">
        <v>628</v>
      </c>
      <c r="B6906" t="s">
        <v>155</v>
      </c>
      <c r="C6906" t="s">
        <v>399</v>
      </c>
      <c r="D6906" t="s">
        <v>746</v>
      </c>
      <c r="E6906" t="s">
        <v>768</v>
      </c>
      <c r="F6906">
        <v>3</v>
      </c>
      <c r="G6906" s="308">
        <f>COMEDORES!I184</f>
        <v>0</v>
      </c>
      <c r="H6906" s="308">
        <f>COMEDORES!J184</f>
        <v>0</v>
      </c>
    </row>
    <row r="6907" spans="1:8" x14ac:dyDescent="0.3">
      <c r="A6907" t="s">
        <v>628</v>
      </c>
      <c r="B6907" t="s">
        <v>155</v>
      </c>
      <c r="C6907" t="s">
        <v>399</v>
      </c>
      <c r="D6907" t="s">
        <v>746</v>
      </c>
      <c r="E6907" t="s">
        <v>769</v>
      </c>
      <c r="F6907">
        <v>4</v>
      </c>
      <c r="G6907" s="308">
        <f>COMEDORES!K184</f>
        <v>0</v>
      </c>
      <c r="H6907" s="308">
        <f>COMEDORES!L184</f>
        <v>0</v>
      </c>
    </row>
    <row r="6908" spans="1:8" x14ac:dyDescent="0.3">
      <c r="A6908" t="s">
        <v>628</v>
      </c>
      <c r="B6908" t="s">
        <v>155</v>
      </c>
      <c r="C6908" t="s">
        <v>399</v>
      </c>
      <c r="D6908" t="s">
        <v>746</v>
      </c>
      <c r="E6908" t="s">
        <v>770</v>
      </c>
      <c r="F6908">
        <v>5</v>
      </c>
      <c r="G6908" s="308">
        <f>COMEDORES!M184</f>
        <v>0</v>
      </c>
      <c r="H6908" s="308">
        <f>COMEDORES!N184</f>
        <v>0</v>
      </c>
    </row>
    <row r="6909" spans="1:8" x14ac:dyDescent="0.3">
      <c r="A6909" t="s">
        <v>628</v>
      </c>
      <c r="B6909" t="s">
        <v>155</v>
      </c>
      <c r="C6909" t="s">
        <v>399</v>
      </c>
      <c r="D6909" t="s">
        <v>746</v>
      </c>
      <c r="E6909" t="s">
        <v>771</v>
      </c>
      <c r="F6909">
        <v>6</v>
      </c>
      <c r="G6909" s="308">
        <f>COMEDORES!O184</f>
        <v>1950</v>
      </c>
      <c r="H6909" s="308">
        <f>COMEDORES!P184</f>
        <v>0</v>
      </c>
    </row>
    <row r="6910" spans="1:8" x14ac:dyDescent="0.3">
      <c r="A6910" t="s">
        <v>628</v>
      </c>
      <c r="B6910" t="s">
        <v>155</v>
      </c>
      <c r="C6910" t="s">
        <v>399</v>
      </c>
      <c r="D6910" t="s">
        <v>746</v>
      </c>
      <c r="E6910" t="s">
        <v>772</v>
      </c>
      <c r="F6910">
        <v>7</v>
      </c>
      <c r="G6910" s="308">
        <f>COMEDORES!Q184</f>
        <v>3450</v>
      </c>
      <c r="H6910" s="308">
        <f>COMEDORES!R184</f>
        <v>0</v>
      </c>
    </row>
    <row r="6911" spans="1:8" x14ac:dyDescent="0.3">
      <c r="A6911" t="s">
        <v>628</v>
      </c>
      <c r="B6911" t="s">
        <v>155</v>
      </c>
      <c r="C6911" t="s">
        <v>161</v>
      </c>
      <c r="D6911" t="s">
        <v>745</v>
      </c>
      <c r="E6911" t="s">
        <v>766</v>
      </c>
      <c r="F6911">
        <v>1</v>
      </c>
      <c r="G6911" s="308">
        <f>COMEDORES!E185</f>
        <v>2560</v>
      </c>
      <c r="H6911" s="308">
        <f>COMEDORES!F185</f>
        <v>0</v>
      </c>
    </row>
    <row r="6912" spans="1:8" x14ac:dyDescent="0.3">
      <c r="A6912" t="s">
        <v>628</v>
      </c>
      <c r="B6912" t="s">
        <v>155</v>
      </c>
      <c r="C6912" t="s">
        <v>161</v>
      </c>
      <c r="D6912" t="s">
        <v>745</v>
      </c>
      <c r="E6912" t="s">
        <v>767</v>
      </c>
      <c r="F6912">
        <v>2</v>
      </c>
      <c r="G6912" s="308">
        <f>COMEDORES!G185</f>
        <v>3200</v>
      </c>
      <c r="H6912" s="308">
        <f>COMEDORES!H185</f>
        <v>173310</v>
      </c>
    </row>
    <row r="6913" spans="1:8" x14ac:dyDescent="0.3">
      <c r="A6913" t="s">
        <v>628</v>
      </c>
      <c r="B6913" t="s">
        <v>155</v>
      </c>
      <c r="C6913" t="s">
        <v>161</v>
      </c>
      <c r="D6913" t="s">
        <v>745</v>
      </c>
      <c r="E6913" t="s">
        <v>768</v>
      </c>
      <c r="F6913">
        <v>3</v>
      </c>
      <c r="G6913" s="308">
        <f>COMEDORES!I185</f>
        <v>3520</v>
      </c>
      <c r="H6913" s="308">
        <f>COMEDORES!J185</f>
        <v>167220</v>
      </c>
    </row>
    <row r="6914" spans="1:8" x14ac:dyDescent="0.3">
      <c r="A6914" t="s">
        <v>628</v>
      </c>
      <c r="B6914" t="s">
        <v>155</v>
      </c>
      <c r="C6914" t="s">
        <v>161</v>
      </c>
      <c r="D6914" t="s">
        <v>745</v>
      </c>
      <c r="E6914" t="s">
        <v>769</v>
      </c>
      <c r="F6914">
        <v>4</v>
      </c>
      <c r="G6914" s="308">
        <f>COMEDORES!K185</f>
        <v>3040</v>
      </c>
      <c r="H6914" s="308">
        <f>COMEDORES!L185</f>
        <v>259069.80000000005</v>
      </c>
    </row>
    <row r="6915" spans="1:8" x14ac:dyDescent="0.3">
      <c r="A6915" t="s">
        <v>628</v>
      </c>
      <c r="B6915" t="s">
        <v>155</v>
      </c>
      <c r="C6915" t="s">
        <v>161</v>
      </c>
      <c r="D6915" t="s">
        <v>745</v>
      </c>
      <c r="E6915" t="s">
        <v>770</v>
      </c>
      <c r="F6915">
        <v>5</v>
      </c>
      <c r="G6915" s="308">
        <f>COMEDORES!M185</f>
        <v>3200</v>
      </c>
      <c r="H6915" s="308">
        <f>COMEDORES!N185</f>
        <v>223742.1</v>
      </c>
    </row>
    <row r="6916" spans="1:8" x14ac:dyDescent="0.3">
      <c r="A6916" t="s">
        <v>628</v>
      </c>
      <c r="B6916" t="s">
        <v>155</v>
      </c>
      <c r="C6916" t="s">
        <v>161</v>
      </c>
      <c r="D6916" t="s">
        <v>745</v>
      </c>
      <c r="E6916" t="s">
        <v>771</v>
      </c>
      <c r="F6916">
        <v>6</v>
      </c>
      <c r="G6916" s="308">
        <f>COMEDORES!O185</f>
        <v>3360</v>
      </c>
      <c r="H6916" s="308">
        <f>COMEDORES!P185</f>
        <v>228092.40000000002</v>
      </c>
    </row>
    <row r="6917" spans="1:8" x14ac:dyDescent="0.3">
      <c r="A6917" t="s">
        <v>628</v>
      </c>
      <c r="B6917" t="s">
        <v>155</v>
      </c>
      <c r="C6917" t="s">
        <v>161</v>
      </c>
      <c r="D6917" t="s">
        <v>745</v>
      </c>
      <c r="E6917" t="s">
        <v>772</v>
      </c>
      <c r="F6917">
        <v>7</v>
      </c>
      <c r="G6917" s="308">
        <f>COMEDORES!Q185</f>
        <v>3680</v>
      </c>
      <c r="H6917" s="308">
        <f>COMEDORES!R185</f>
        <v>247293.89999999991</v>
      </c>
    </row>
    <row r="6918" spans="1:8" x14ac:dyDescent="0.3">
      <c r="A6918" t="s">
        <v>628</v>
      </c>
      <c r="B6918" t="s">
        <v>155</v>
      </c>
      <c r="C6918" t="s">
        <v>161</v>
      </c>
      <c r="D6918" t="s">
        <v>746</v>
      </c>
      <c r="E6918" t="s">
        <v>766</v>
      </c>
      <c r="F6918">
        <v>1</v>
      </c>
      <c r="G6918" s="308">
        <f>COMEDORES!E186</f>
        <v>3570</v>
      </c>
      <c r="H6918" s="308">
        <f>COMEDORES!F186</f>
        <v>0</v>
      </c>
    </row>
    <row r="6919" spans="1:8" x14ac:dyDescent="0.3">
      <c r="A6919" t="s">
        <v>628</v>
      </c>
      <c r="B6919" t="s">
        <v>155</v>
      </c>
      <c r="C6919" t="s">
        <v>161</v>
      </c>
      <c r="D6919" t="s">
        <v>746</v>
      </c>
      <c r="E6919" t="s">
        <v>767</v>
      </c>
      <c r="F6919">
        <v>2</v>
      </c>
      <c r="G6919" s="308">
        <f>COMEDORES!G186</f>
        <v>4200</v>
      </c>
      <c r="H6919" s="308">
        <f>COMEDORES!H186</f>
        <v>0</v>
      </c>
    </row>
    <row r="6920" spans="1:8" x14ac:dyDescent="0.3">
      <c r="A6920" t="s">
        <v>628</v>
      </c>
      <c r="B6920" t="s">
        <v>155</v>
      </c>
      <c r="C6920" t="s">
        <v>161</v>
      </c>
      <c r="D6920" t="s">
        <v>746</v>
      </c>
      <c r="E6920" t="s">
        <v>768</v>
      </c>
      <c r="F6920">
        <v>3</v>
      </c>
      <c r="G6920" s="308">
        <f>COMEDORES!I186</f>
        <v>4620</v>
      </c>
      <c r="H6920" s="308">
        <f>COMEDORES!J186</f>
        <v>0</v>
      </c>
    </row>
    <row r="6921" spans="1:8" x14ac:dyDescent="0.3">
      <c r="A6921" t="s">
        <v>628</v>
      </c>
      <c r="B6921" t="s">
        <v>155</v>
      </c>
      <c r="C6921" t="s">
        <v>161</v>
      </c>
      <c r="D6921" t="s">
        <v>746</v>
      </c>
      <c r="E6921" t="s">
        <v>769</v>
      </c>
      <c r="F6921">
        <v>4</v>
      </c>
      <c r="G6921" s="308">
        <f>COMEDORES!K186</f>
        <v>3990</v>
      </c>
      <c r="H6921" s="308">
        <f>COMEDORES!L186</f>
        <v>0</v>
      </c>
    </row>
    <row r="6922" spans="1:8" x14ac:dyDescent="0.3">
      <c r="A6922" t="s">
        <v>628</v>
      </c>
      <c r="B6922" t="s">
        <v>155</v>
      </c>
      <c r="C6922" t="s">
        <v>161</v>
      </c>
      <c r="D6922" t="s">
        <v>746</v>
      </c>
      <c r="E6922" t="s">
        <v>770</v>
      </c>
      <c r="F6922">
        <v>5</v>
      </c>
      <c r="G6922" s="308">
        <f>COMEDORES!M186</f>
        <v>3976</v>
      </c>
      <c r="H6922" s="308">
        <f>COMEDORES!N186</f>
        <v>0</v>
      </c>
    </row>
    <row r="6923" spans="1:8" x14ac:dyDescent="0.3">
      <c r="A6923" t="s">
        <v>628</v>
      </c>
      <c r="B6923" t="s">
        <v>155</v>
      </c>
      <c r="C6923" t="s">
        <v>161</v>
      </c>
      <c r="D6923" t="s">
        <v>746</v>
      </c>
      <c r="E6923" t="s">
        <v>771</v>
      </c>
      <c r="F6923">
        <v>6</v>
      </c>
      <c r="G6923" s="308">
        <f>COMEDORES!O186</f>
        <v>4410</v>
      </c>
      <c r="H6923" s="308">
        <f>COMEDORES!P186</f>
        <v>0</v>
      </c>
    </row>
    <row r="6924" spans="1:8" x14ac:dyDescent="0.3">
      <c r="A6924" t="s">
        <v>628</v>
      </c>
      <c r="B6924" t="s">
        <v>155</v>
      </c>
      <c r="C6924" t="s">
        <v>161</v>
      </c>
      <c r="D6924" t="s">
        <v>746</v>
      </c>
      <c r="E6924" t="s">
        <v>772</v>
      </c>
      <c r="F6924">
        <v>7</v>
      </c>
      <c r="G6924" s="308">
        <f>COMEDORES!Q186</f>
        <v>4830</v>
      </c>
      <c r="H6924" s="308">
        <f>COMEDORES!R186</f>
        <v>0</v>
      </c>
    </row>
    <row r="6925" spans="1:8" x14ac:dyDescent="0.3">
      <c r="A6925" t="s">
        <v>628</v>
      </c>
      <c r="B6925" t="s">
        <v>162</v>
      </c>
      <c r="C6925" t="s">
        <v>166</v>
      </c>
      <c r="D6925" t="s">
        <v>745</v>
      </c>
      <c r="E6925" t="s">
        <v>766</v>
      </c>
      <c r="F6925">
        <v>1</v>
      </c>
      <c r="G6925" s="308">
        <f>COMEDORES!E187</f>
        <v>1200</v>
      </c>
      <c r="H6925" s="308">
        <f>COMEDORES!F187</f>
        <v>0</v>
      </c>
    </row>
    <row r="6926" spans="1:8" x14ac:dyDescent="0.3">
      <c r="A6926" t="s">
        <v>628</v>
      </c>
      <c r="B6926" t="s">
        <v>162</v>
      </c>
      <c r="C6926" t="s">
        <v>166</v>
      </c>
      <c r="D6926" t="s">
        <v>745</v>
      </c>
      <c r="E6926" t="s">
        <v>767</v>
      </c>
      <c r="F6926">
        <v>2</v>
      </c>
      <c r="G6926" s="308">
        <f>COMEDORES!G187</f>
        <v>1500</v>
      </c>
      <c r="H6926" s="308">
        <f>COMEDORES!H187</f>
        <v>89025</v>
      </c>
    </row>
    <row r="6927" spans="1:8" x14ac:dyDescent="0.3">
      <c r="A6927" t="s">
        <v>628</v>
      </c>
      <c r="B6927" t="s">
        <v>162</v>
      </c>
      <c r="C6927" t="s">
        <v>166</v>
      </c>
      <c r="D6927" t="s">
        <v>745</v>
      </c>
      <c r="E6927" t="s">
        <v>768</v>
      </c>
      <c r="F6927">
        <v>3</v>
      </c>
      <c r="G6927" s="308">
        <f>COMEDORES!I187</f>
        <v>1650</v>
      </c>
      <c r="H6927" s="308">
        <f>COMEDORES!J187</f>
        <v>106500</v>
      </c>
    </row>
    <row r="6928" spans="1:8" x14ac:dyDescent="0.3">
      <c r="A6928" t="s">
        <v>628</v>
      </c>
      <c r="B6928" t="s">
        <v>162</v>
      </c>
      <c r="C6928" t="s">
        <v>166</v>
      </c>
      <c r="D6928" t="s">
        <v>745</v>
      </c>
      <c r="E6928" t="s">
        <v>769</v>
      </c>
      <c r="F6928">
        <v>4</v>
      </c>
      <c r="G6928" s="308">
        <f>COMEDORES!K187</f>
        <v>1425</v>
      </c>
      <c r="H6928" s="308">
        <f>COMEDORES!L187</f>
        <v>159043.5</v>
      </c>
    </row>
    <row r="6929" spans="1:8" x14ac:dyDescent="0.3">
      <c r="A6929" t="s">
        <v>628</v>
      </c>
      <c r="B6929" t="s">
        <v>162</v>
      </c>
      <c r="C6929" t="s">
        <v>166</v>
      </c>
      <c r="D6929" t="s">
        <v>745</v>
      </c>
      <c r="E6929" t="s">
        <v>770</v>
      </c>
      <c r="F6929">
        <v>5</v>
      </c>
      <c r="G6929" s="308">
        <f>COMEDORES!M187</f>
        <v>1500</v>
      </c>
      <c r="H6929" s="308">
        <f>COMEDORES!N187</f>
        <v>137355.75</v>
      </c>
    </row>
    <row r="6930" spans="1:8" x14ac:dyDescent="0.3">
      <c r="A6930" t="s">
        <v>628</v>
      </c>
      <c r="B6930" t="s">
        <v>162</v>
      </c>
      <c r="C6930" t="s">
        <v>166</v>
      </c>
      <c r="D6930" t="s">
        <v>745</v>
      </c>
      <c r="E6930" t="s">
        <v>771</v>
      </c>
      <c r="F6930">
        <v>6</v>
      </c>
      <c r="G6930" s="308">
        <f>COMEDORES!O187</f>
        <v>1575</v>
      </c>
      <c r="H6930" s="308">
        <f>COMEDORES!P187</f>
        <v>144585</v>
      </c>
    </row>
    <row r="6931" spans="1:8" x14ac:dyDescent="0.3">
      <c r="A6931" t="s">
        <v>628</v>
      </c>
      <c r="B6931" t="s">
        <v>162</v>
      </c>
      <c r="C6931" t="s">
        <v>166</v>
      </c>
      <c r="D6931" t="s">
        <v>745</v>
      </c>
      <c r="E6931" t="s">
        <v>772</v>
      </c>
      <c r="F6931">
        <v>7</v>
      </c>
      <c r="G6931" s="308">
        <f>COMEDORES!Q187</f>
        <v>1725</v>
      </c>
      <c r="H6931" s="308">
        <f>COMEDORES!R187</f>
        <v>151814.25</v>
      </c>
    </row>
    <row r="6932" spans="1:8" x14ac:dyDescent="0.3">
      <c r="A6932" t="s">
        <v>628</v>
      </c>
      <c r="B6932" t="s">
        <v>162</v>
      </c>
      <c r="C6932" t="s">
        <v>166</v>
      </c>
      <c r="D6932" t="s">
        <v>746</v>
      </c>
      <c r="E6932" t="s">
        <v>766</v>
      </c>
      <c r="F6932">
        <v>1</v>
      </c>
      <c r="G6932" s="308">
        <f>COMEDORES!E188</f>
        <v>2550</v>
      </c>
      <c r="H6932" s="308">
        <f>COMEDORES!F188</f>
        <v>0</v>
      </c>
    </row>
    <row r="6933" spans="1:8" x14ac:dyDescent="0.3">
      <c r="A6933" t="s">
        <v>628</v>
      </c>
      <c r="B6933" t="s">
        <v>162</v>
      </c>
      <c r="C6933" t="s">
        <v>166</v>
      </c>
      <c r="D6933" t="s">
        <v>746</v>
      </c>
      <c r="E6933" t="s">
        <v>767</v>
      </c>
      <c r="F6933">
        <v>2</v>
      </c>
      <c r="G6933" s="308">
        <f>COMEDORES!G188</f>
        <v>3000</v>
      </c>
      <c r="H6933" s="308">
        <f>COMEDORES!H188</f>
        <v>0</v>
      </c>
    </row>
    <row r="6934" spans="1:8" x14ac:dyDescent="0.3">
      <c r="A6934" t="s">
        <v>628</v>
      </c>
      <c r="B6934" t="s">
        <v>162</v>
      </c>
      <c r="C6934" t="s">
        <v>166</v>
      </c>
      <c r="D6934" t="s">
        <v>746</v>
      </c>
      <c r="E6934" t="s">
        <v>768</v>
      </c>
      <c r="F6934">
        <v>3</v>
      </c>
      <c r="G6934" s="308">
        <f>COMEDORES!I188</f>
        <v>3300</v>
      </c>
      <c r="H6934" s="308">
        <f>COMEDORES!J188</f>
        <v>0</v>
      </c>
    </row>
    <row r="6935" spans="1:8" x14ac:dyDescent="0.3">
      <c r="A6935" t="s">
        <v>628</v>
      </c>
      <c r="B6935" t="s">
        <v>162</v>
      </c>
      <c r="C6935" t="s">
        <v>166</v>
      </c>
      <c r="D6935" t="s">
        <v>746</v>
      </c>
      <c r="E6935" t="s">
        <v>769</v>
      </c>
      <c r="F6935">
        <v>4</v>
      </c>
      <c r="G6935" s="308">
        <f>COMEDORES!K188</f>
        <v>2850</v>
      </c>
      <c r="H6935" s="308">
        <f>COMEDORES!L188</f>
        <v>0</v>
      </c>
    </row>
    <row r="6936" spans="1:8" x14ac:dyDescent="0.3">
      <c r="A6936" t="s">
        <v>628</v>
      </c>
      <c r="B6936" t="s">
        <v>162</v>
      </c>
      <c r="C6936" t="s">
        <v>166</v>
      </c>
      <c r="D6936" t="s">
        <v>746</v>
      </c>
      <c r="E6936" t="s">
        <v>770</v>
      </c>
      <c r="F6936">
        <v>5</v>
      </c>
      <c r="G6936" s="308">
        <f>COMEDORES!M188</f>
        <v>3000</v>
      </c>
      <c r="H6936" s="308">
        <f>COMEDORES!N188</f>
        <v>0</v>
      </c>
    </row>
    <row r="6937" spans="1:8" x14ac:dyDescent="0.3">
      <c r="A6937" t="s">
        <v>628</v>
      </c>
      <c r="B6937" t="s">
        <v>162</v>
      </c>
      <c r="C6937" t="s">
        <v>166</v>
      </c>
      <c r="D6937" t="s">
        <v>746</v>
      </c>
      <c r="E6937" t="s">
        <v>771</v>
      </c>
      <c r="F6937">
        <v>6</v>
      </c>
      <c r="G6937" s="308">
        <f>COMEDORES!O188</f>
        <v>3150</v>
      </c>
      <c r="H6937" s="308">
        <f>COMEDORES!P188</f>
        <v>0</v>
      </c>
    </row>
    <row r="6938" spans="1:8" x14ac:dyDescent="0.3">
      <c r="A6938" t="s">
        <v>628</v>
      </c>
      <c r="B6938" t="s">
        <v>162</v>
      </c>
      <c r="C6938" t="s">
        <v>166</v>
      </c>
      <c r="D6938" t="s">
        <v>746</v>
      </c>
      <c r="E6938" t="s">
        <v>772</v>
      </c>
      <c r="F6938">
        <v>7</v>
      </c>
      <c r="G6938" s="308">
        <f>COMEDORES!Q188</f>
        <v>3450</v>
      </c>
      <c r="H6938" s="308">
        <f>COMEDORES!R188</f>
        <v>0</v>
      </c>
    </row>
    <row r="6939" spans="1:8" x14ac:dyDescent="0.3">
      <c r="A6939" t="s">
        <v>628</v>
      </c>
      <c r="B6939" t="s">
        <v>162</v>
      </c>
      <c r="C6939" t="s">
        <v>167</v>
      </c>
      <c r="D6939" t="s">
        <v>745</v>
      </c>
      <c r="E6939" t="s">
        <v>766</v>
      </c>
      <c r="F6939">
        <v>1</v>
      </c>
      <c r="G6939" s="308">
        <f>COMEDORES!E189</f>
        <v>1600</v>
      </c>
      <c r="H6939" s="308">
        <f>COMEDORES!F189</f>
        <v>0</v>
      </c>
    </row>
    <row r="6940" spans="1:8" x14ac:dyDescent="0.3">
      <c r="A6940" t="s">
        <v>628</v>
      </c>
      <c r="B6940" t="s">
        <v>162</v>
      </c>
      <c r="C6940" t="s">
        <v>167</v>
      </c>
      <c r="D6940" t="s">
        <v>745</v>
      </c>
      <c r="E6940" t="s">
        <v>767</v>
      </c>
      <c r="F6940">
        <v>2</v>
      </c>
      <c r="G6940" s="308">
        <f>COMEDORES!G189</f>
        <v>2000</v>
      </c>
      <c r="H6940" s="308">
        <f>COMEDORES!H189</f>
        <v>89650</v>
      </c>
    </row>
    <row r="6941" spans="1:8" x14ac:dyDescent="0.3">
      <c r="A6941" t="s">
        <v>628</v>
      </c>
      <c r="B6941" t="s">
        <v>162</v>
      </c>
      <c r="C6941" t="s">
        <v>167</v>
      </c>
      <c r="D6941" t="s">
        <v>745</v>
      </c>
      <c r="E6941" t="s">
        <v>768</v>
      </c>
      <c r="F6941">
        <v>3</v>
      </c>
      <c r="G6941" s="308">
        <f>COMEDORES!I189</f>
        <v>2200</v>
      </c>
      <c r="H6941" s="308">
        <f>COMEDORES!J189</f>
        <v>191250</v>
      </c>
    </row>
    <row r="6942" spans="1:8" x14ac:dyDescent="0.3">
      <c r="A6942" t="s">
        <v>628</v>
      </c>
      <c r="B6942" t="s">
        <v>162</v>
      </c>
      <c r="C6942" t="s">
        <v>167</v>
      </c>
      <c r="D6942" t="s">
        <v>745</v>
      </c>
      <c r="E6942" t="s">
        <v>769</v>
      </c>
      <c r="F6942">
        <v>4</v>
      </c>
      <c r="G6942" s="308">
        <f>COMEDORES!K189</f>
        <v>1900</v>
      </c>
      <c r="H6942" s="308">
        <f>COMEDORES!L189</f>
        <v>212058</v>
      </c>
    </row>
    <row r="6943" spans="1:8" x14ac:dyDescent="0.3">
      <c r="A6943" t="s">
        <v>628</v>
      </c>
      <c r="B6943" t="s">
        <v>162</v>
      </c>
      <c r="C6943" t="s">
        <v>167</v>
      </c>
      <c r="D6943" t="s">
        <v>745</v>
      </c>
      <c r="E6943" t="s">
        <v>770</v>
      </c>
      <c r="F6943">
        <v>5</v>
      </c>
      <c r="G6943" s="308">
        <f>COMEDORES!M189</f>
        <v>2000</v>
      </c>
      <c r="H6943" s="308">
        <f>COMEDORES!N189</f>
        <v>183141</v>
      </c>
    </row>
    <row r="6944" spans="1:8" x14ac:dyDescent="0.3">
      <c r="A6944" t="s">
        <v>628</v>
      </c>
      <c r="B6944" t="s">
        <v>162</v>
      </c>
      <c r="C6944" t="s">
        <v>167</v>
      </c>
      <c r="D6944" t="s">
        <v>745</v>
      </c>
      <c r="E6944" t="s">
        <v>771</v>
      </c>
      <c r="F6944">
        <v>6</v>
      </c>
      <c r="G6944" s="308">
        <f>COMEDORES!O189</f>
        <v>2100</v>
      </c>
      <c r="H6944" s="308">
        <f>COMEDORES!P189</f>
        <v>192780</v>
      </c>
    </row>
    <row r="6945" spans="1:8" x14ac:dyDescent="0.3">
      <c r="A6945" t="s">
        <v>628</v>
      </c>
      <c r="B6945" t="s">
        <v>162</v>
      </c>
      <c r="C6945" t="s">
        <v>167</v>
      </c>
      <c r="D6945" t="s">
        <v>745</v>
      </c>
      <c r="E6945" t="s">
        <v>772</v>
      </c>
      <c r="F6945">
        <v>7</v>
      </c>
      <c r="G6945" s="308">
        <f>COMEDORES!Q189</f>
        <v>1100</v>
      </c>
      <c r="H6945" s="308">
        <f>COMEDORES!R189</f>
        <v>202419</v>
      </c>
    </row>
    <row r="6946" spans="1:8" x14ac:dyDescent="0.3">
      <c r="A6946" t="s">
        <v>628</v>
      </c>
      <c r="B6946" t="s">
        <v>162</v>
      </c>
      <c r="C6946" t="s">
        <v>167</v>
      </c>
      <c r="D6946" t="s">
        <v>746</v>
      </c>
      <c r="E6946" t="s">
        <v>766</v>
      </c>
      <c r="F6946">
        <v>1</v>
      </c>
      <c r="G6946" s="308">
        <f>COMEDORES!E190</f>
        <v>3400</v>
      </c>
      <c r="H6946" s="308">
        <f>COMEDORES!F190</f>
        <v>0</v>
      </c>
    </row>
    <row r="6947" spans="1:8" x14ac:dyDescent="0.3">
      <c r="A6947" t="s">
        <v>628</v>
      </c>
      <c r="B6947" t="s">
        <v>162</v>
      </c>
      <c r="C6947" t="s">
        <v>167</v>
      </c>
      <c r="D6947" t="s">
        <v>746</v>
      </c>
      <c r="E6947" t="s">
        <v>767</v>
      </c>
      <c r="F6947">
        <v>2</v>
      </c>
      <c r="G6947" s="308">
        <f>COMEDORES!G190</f>
        <v>4000</v>
      </c>
      <c r="H6947" s="308">
        <f>COMEDORES!H190</f>
        <v>0</v>
      </c>
    </row>
    <row r="6948" spans="1:8" x14ac:dyDescent="0.3">
      <c r="A6948" t="s">
        <v>628</v>
      </c>
      <c r="B6948" t="s">
        <v>162</v>
      </c>
      <c r="C6948" t="s">
        <v>167</v>
      </c>
      <c r="D6948" t="s">
        <v>746</v>
      </c>
      <c r="E6948" t="s">
        <v>768</v>
      </c>
      <c r="F6948">
        <v>3</v>
      </c>
      <c r="G6948" s="308">
        <f>COMEDORES!I190</f>
        <v>4400</v>
      </c>
      <c r="H6948" s="308">
        <f>COMEDORES!J190</f>
        <v>0</v>
      </c>
    </row>
    <row r="6949" spans="1:8" x14ac:dyDescent="0.3">
      <c r="A6949" t="s">
        <v>628</v>
      </c>
      <c r="B6949" t="s">
        <v>162</v>
      </c>
      <c r="C6949" t="s">
        <v>167</v>
      </c>
      <c r="D6949" t="s">
        <v>746</v>
      </c>
      <c r="E6949" t="s">
        <v>769</v>
      </c>
      <c r="F6949">
        <v>4</v>
      </c>
      <c r="G6949" s="308">
        <f>COMEDORES!K190</f>
        <v>3800</v>
      </c>
      <c r="H6949" s="308">
        <f>COMEDORES!L190</f>
        <v>0</v>
      </c>
    </row>
    <row r="6950" spans="1:8" x14ac:dyDescent="0.3">
      <c r="A6950" t="s">
        <v>628</v>
      </c>
      <c r="B6950" t="s">
        <v>162</v>
      </c>
      <c r="C6950" t="s">
        <v>167</v>
      </c>
      <c r="D6950" t="s">
        <v>746</v>
      </c>
      <c r="E6950" t="s">
        <v>770</v>
      </c>
      <c r="F6950">
        <v>5</v>
      </c>
      <c r="G6950" s="308">
        <f>COMEDORES!M190</f>
        <v>4000</v>
      </c>
      <c r="H6950" s="308">
        <f>COMEDORES!N190</f>
        <v>0</v>
      </c>
    </row>
    <row r="6951" spans="1:8" x14ac:dyDescent="0.3">
      <c r="A6951" t="s">
        <v>628</v>
      </c>
      <c r="B6951" t="s">
        <v>162</v>
      </c>
      <c r="C6951" t="s">
        <v>167</v>
      </c>
      <c r="D6951" t="s">
        <v>746</v>
      </c>
      <c r="E6951" t="s">
        <v>771</v>
      </c>
      <c r="F6951">
        <v>6</v>
      </c>
      <c r="G6951" s="308">
        <f>COMEDORES!O190</f>
        <v>4200</v>
      </c>
      <c r="H6951" s="308">
        <f>COMEDORES!P190</f>
        <v>0</v>
      </c>
    </row>
    <row r="6952" spans="1:8" x14ac:dyDescent="0.3">
      <c r="A6952" t="s">
        <v>628</v>
      </c>
      <c r="B6952" t="s">
        <v>162</v>
      </c>
      <c r="C6952" t="s">
        <v>167</v>
      </c>
      <c r="D6952" t="s">
        <v>746</v>
      </c>
      <c r="E6952" t="s">
        <v>772</v>
      </c>
      <c r="F6952">
        <v>7</v>
      </c>
      <c r="G6952" s="308">
        <f>COMEDORES!Q190</f>
        <v>2200</v>
      </c>
      <c r="H6952" s="308">
        <f>COMEDORES!R190</f>
        <v>0</v>
      </c>
    </row>
    <row r="6953" spans="1:8" x14ac:dyDescent="0.3">
      <c r="A6953" t="s">
        <v>628</v>
      </c>
      <c r="B6953" t="s">
        <v>162</v>
      </c>
      <c r="C6953" t="s">
        <v>168</v>
      </c>
      <c r="D6953" t="s">
        <v>745</v>
      </c>
      <c r="E6953" t="s">
        <v>766</v>
      </c>
      <c r="F6953">
        <v>1</v>
      </c>
      <c r="G6953" s="308">
        <f>COMEDORES!E191</f>
        <v>2400</v>
      </c>
      <c r="H6953" s="308">
        <f>COMEDORES!F191</f>
        <v>0</v>
      </c>
    </row>
    <row r="6954" spans="1:8" x14ac:dyDescent="0.3">
      <c r="A6954" t="s">
        <v>628</v>
      </c>
      <c r="B6954" t="s">
        <v>162</v>
      </c>
      <c r="C6954" t="s">
        <v>168</v>
      </c>
      <c r="D6954" t="s">
        <v>745</v>
      </c>
      <c r="E6954" t="s">
        <v>767</v>
      </c>
      <c r="F6954">
        <v>2</v>
      </c>
      <c r="G6954" s="308">
        <f>COMEDORES!G191</f>
        <v>2950</v>
      </c>
      <c r="H6954" s="308">
        <f>COMEDORES!H191</f>
        <v>89925</v>
      </c>
    </row>
    <row r="6955" spans="1:8" x14ac:dyDescent="0.3">
      <c r="A6955" t="s">
        <v>628</v>
      </c>
      <c r="B6955" t="s">
        <v>162</v>
      </c>
      <c r="C6955" t="s">
        <v>168</v>
      </c>
      <c r="D6955" t="s">
        <v>745</v>
      </c>
      <c r="E6955" t="s">
        <v>768</v>
      </c>
      <c r="F6955">
        <v>3</v>
      </c>
      <c r="G6955" s="308">
        <f>COMEDORES!I191</f>
        <v>2200</v>
      </c>
      <c r="H6955" s="308">
        <f>COMEDORES!J191</f>
        <v>183750</v>
      </c>
    </row>
    <row r="6956" spans="1:8" x14ac:dyDescent="0.3">
      <c r="A6956" t="s">
        <v>628</v>
      </c>
      <c r="B6956" t="s">
        <v>162</v>
      </c>
      <c r="C6956" t="s">
        <v>168</v>
      </c>
      <c r="D6956" t="s">
        <v>745</v>
      </c>
      <c r="E6956" t="s">
        <v>769</v>
      </c>
      <c r="F6956">
        <v>4</v>
      </c>
      <c r="G6956" s="308">
        <f>COMEDORES!K191</f>
        <v>1900</v>
      </c>
      <c r="H6956" s="308">
        <f>COMEDORES!L191</f>
        <v>175593</v>
      </c>
    </row>
    <row r="6957" spans="1:8" x14ac:dyDescent="0.3">
      <c r="A6957" t="s">
        <v>628</v>
      </c>
      <c r="B6957" t="s">
        <v>162</v>
      </c>
      <c r="C6957" t="s">
        <v>168</v>
      </c>
      <c r="D6957" t="s">
        <v>745</v>
      </c>
      <c r="E6957" t="s">
        <v>770</v>
      </c>
      <c r="F6957">
        <v>5</v>
      </c>
      <c r="G6957" s="308">
        <f>COMEDORES!M191</f>
        <v>2000</v>
      </c>
      <c r="H6957" s="308">
        <f>COMEDORES!N191</f>
        <v>151648.5</v>
      </c>
    </row>
    <row r="6958" spans="1:8" x14ac:dyDescent="0.3">
      <c r="A6958" t="s">
        <v>628</v>
      </c>
      <c r="B6958" t="s">
        <v>162</v>
      </c>
      <c r="C6958" t="s">
        <v>168</v>
      </c>
      <c r="D6958" t="s">
        <v>745</v>
      </c>
      <c r="E6958" t="s">
        <v>771</v>
      </c>
      <c r="F6958">
        <v>6</v>
      </c>
      <c r="G6958" s="308">
        <f>COMEDORES!O191</f>
        <v>2100</v>
      </c>
      <c r="H6958" s="308">
        <f>COMEDORES!P191</f>
        <v>159630</v>
      </c>
    </row>
    <row r="6959" spans="1:8" x14ac:dyDescent="0.3">
      <c r="A6959" t="s">
        <v>628</v>
      </c>
      <c r="B6959" t="s">
        <v>162</v>
      </c>
      <c r="C6959" t="s">
        <v>168</v>
      </c>
      <c r="D6959" t="s">
        <v>745</v>
      </c>
      <c r="E6959" t="s">
        <v>772</v>
      </c>
      <c r="F6959">
        <v>7</v>
      </c>
      <c r="G6959" s="308">
        <f>COMEDORES!Q191</f>
        <v>2300</v>
      </c>
      <c r="H6959" s="308">
        <f>COMEDORES!R191</f>
        <v>167611.5</v>
      </c>
    </row>
    <row r="6960" spans="1:8" x14ac:dyDescent="0.3">
      <c r="A6960" t="s">
        <v>628</v>
      </c>
      <c r="B6960" t="s">
        <v>162</v>
      </c>
      <c r="C6960" t="s">
        <v>168</v>
      </c>
      <c r="D6960" t="s">
        <v>746</v>
      </c>
      <c r="E6960" t="s">
        <v>766</v>
      </c>
      <c r="F6960">
        <v>1</v>
      </c>
      <c r="G6960" s="308">
        <f>COMEDORES!E192</f>
        <v>2550</v>
      </c>
      <c r="H6960" s="308">
        <f>COMEDORES!F192</f>
        <v>0</v>
      </c>
    </row>
    <row r="6961" spans="1:8" x14ac:dyDescent="0.3">
      <c r="A6961" t="s">
        <v>628</v>
      </c>
      <c r="B6961" t="s">
        <v>162</v>
      </c>
      <c r="C6961" t="s">
        <v>168</v>
      </c>
      <c r="D6961" t="s">
        <v>746</v>
      </c>
      <c r="E6961" t="s">
        <v>767</v>
      </c>
      <c r="F6961">
        <v>2</v>
      </c>
      <c r="G6961" s="308">
        <f>COMEDORES!G192</f>
        <v>3000</v>
      </c>
      <c r="H6961" s="308">
        <f>COMEDORES!H192</f>
        <v>0</v>
      </c>
    </row>
    <row r="6962" spans="1:8" x14ac:dyDescent="0.3">
      <c r="A6962" t="s">
        <v>628</v>
      </c>
      <c r="B6962" t="s">
        <v>162</v>
      </c>
      <c r="C6962" t="s">
        <v>168</v>
      </c>
      <c r="D6962" t="s">
        <v>746</v>
      </c>
      <c r="E6962" t="s">
        <v>768</v>
      </c>
      <c r="F6962">
        <v>3</v>
      </c>
      <c r="G6962" s="308">
        <f>COMEDORES!I192</f>
        <v>3300</v>
      </c>
      <c r="H6962" s="308">
        <f>COMEDORES!J192</f>
        <v>0</v>
      </c>
    </row>
    <row r="6963" spans="1:8" x14ac:dyDescent="0.3">
      <c r="A6963" t="s">
        <v>628</v>
      </c>
      <c r="B6963" t="s">
        <v>162</v>
      </c>
      <c r="C6963" t="s">
        <v>168</v>
      </c>
      <c r="D6963" t="s">
        <v>746</v>
      </c>
      <c r="E6963" t="s">
        <v>769</v>
      </c>
      <c r="F6963">
        <v>4</v>
      </c>
      <c r="G6963" s="308">
        <f>COMEDORES!K192</f>
        <v>2850</v>
      </c>
      <c r="H6963" s="308">
        <f>COMEDORES!L192</f>
        <v>0</v>
      </c>
    </row>
    <row r="6964" spans="1:8" x14ac:dyDescent="0.3">
      <c r="A6964" t="s">
        <v>628</v>
      </c>
      <c r="B6964" t="s">
        <v>162</v>
      </c>
      <c r="C6964" t="s">
        <v>168</v>
      </c>
      <c r="D6964" t="s">
        <v>746</v>
      </c>
      <c r="E6964" t="s">
        <v>770</v>
      </c>
      <c r="F6964">
        <v>5</v>
      </c>
      <c r="G6964" s="308">
        <f>COMEDORES!M192</f>
        <v>3000</v>
      </c>
      <c r="H6964" s="308">
        <f>COMEDORES!N192</f>
        <v>0</v>
      </c>
    </row>
    <row r="6965" spans="1:8" x14ac:dyDescent="0.3">
      <c r="A6965" t="s">
        <v>628</v>
      </c>
      <c r="B6965" t="s">
        <v>162</v>
      </c>
      <c r="C6965" t="s">
        <v>168</v>
      </c>
      <c r="D6965" t="s">
        <v>746</v>
      </c>
      <c r="E6965" t="s">
        <v>771</v>
      </c>
      <c r="F6965">
        <v>6</v>
      </c>
      <c r="G6965" s="308">
        <f>COMEDORES!O192</f>
        <v>3150</v>
      </c>
      <c r="H6965" s="308">
        <f>COMEDORES!P192</f>
        <v>0</v>
      </c>
    </row>
    <row r="6966" spans="1:8" x14ac:dyDescent="0.3">
      <c r="A6966" t="s">
        <v>628</v>
      </c>
      <c r="B6966" t="s">
        <v>162</v>
      </c>
      <c r="C6966" t="s">
        <v>168</v>
      </c>
      <c r="D6966" t="s">
        <v>746</v>
      </c>
      <c r="E6966" t="s">
        <v>772</v>
      </c>
      <c r="F6966">
        <v>7</v>
      </c>
      <c r="G6966" s="308">
        <f>COMEDORES!Q192</f>
        <v>3450</v>
      </c>
      <c r="H6966" s="308">
        <f>COMEDORES!R192</f>
        <v>0</v>
      </c>
    </row>
    <row r="6967" spans="1:8" x14ac:dyDescent="0.3">
      <c r="A6967" t="s">
        <v>628</v>
      </c>
      <c r="B6967" t="s">
        <v>162</v>
      </c>
      <c r="C6967" t="s">
        <v>169</v>
      </c>
      <c r="D6967" t="s">
        <v>745</v>
      </c>
      <c r="E6967" t="s">
        <v>766</v>
      </c>
      <c r="F6967">
        <v>1</v>
      </c>
      <c r="G6967" s="308">
        <f>COMEDORES!E193</f>
        <v>0</v>
      </c>
      <c r="H6967" s="308">
        <f>COMEDORES!F193</f>
        <v>0</v>
      </c>
    </row>
    <row r="6968" spans="1:8" x14ac:dyDescent="0.3">
      <c r="A6968" t="s">
        <v>628</v>
      </c>
      <c r="B6968" t="s">
        <v>162</v>
      </c>
      <c r="C6968" t="s">
        <v>169</v>
      </c>
      <c r="D6968" t="s">
        <v>745</v>
      </c>
      <c r="E6968" t="s">
        <v>767</v>
      </c>
      <c r="F6968">
        <v>2</v>
      </c>
      <c r="G6968" s="308">
        <f>COMEDORES!G193</f>
        <v>0</v>
      </c>
      <c r="H6968" s="308">
        <f>COMEDORES!H193</f>
        <v>0</v>
      </c>
    </row>
    <row r="6969" spans="1:8" x14ac:dyDescent="0.3">
      <c r="A6969" t="s">
        <v>628</v>
      </c>
      <c r="B6969" t="s">
        <v>162</v>
      </c>
      <c r="C6969" t="s">
        <v>169</v>
      </c>
      <c r="D6969" t="s">
        <v>745</v>
      </c>
      <c r="E6969" t="s">
        <v>768</v>
      </c>
      <c r="F6969">
        <v>3</v>
      </c>
      <c r="G6969" s="308">
        <f>COMEDORES!I193</f>
        <v>1700</v>
      </c>
      <c r="H6969" s="308">
        <f>COMEDORES!J193</f>
        <v>0</v>
      </c>
    </row>
    <row r="6970" spans="1:8" x14ac:dyDescent="0.3">
      <c r="A6970" t="s">
        <v>628</v>
      </c>
      <c r="B6970" t="s">
        <v>162</v>
      </c>
      <c r="C6970" t="s">
        <v>169</v>
      </c>
      <c r="D6970" t="s">
        <v>745</v>
      </c>
      <c r="E6970" t="s">
        <v>769</v>
      </c>
      <c r="F6970">
        <v>4</v>
      </c>
      <c r="G6970" s="308">
        <f>COMEDORES!K193</f>
        <v>1900</v>
      </c>
      <c r="H6970" s="308">
        <f>COMEDORES!L193</f>
        <v>132676.5</v>
      </c>
    </row>
    <row r="6971" spans="1:8" x14ac:dyDescent="0.3">
      <c r="A6971" t="s">
        <v>628</v>
      </c>
      <c r="B6971" t="s">
        <v>162</v>
      </c>
      <c r="C6971" t="s">
        <v>169</v>
      </c>
      <c r="D6971" t="s">
        <v>745</v>
      </c>
      <c r="E6971" t="s">
        <v>770</v>
      </c>
      <c r="F6971">
        <v>5</v>
      </c>
      <c r="G6971" s="308">
        <f>COMEDORES!M193</f>
        <v>2000</v>
      </c>
      <c r="H6971" s="308">
        <f>COMEDORES!N193</f>
        <v>151648.5</v>
      </c>
    </row>
    <row r="6972" spans="1:8" x14ac:dyDescent="0.3">
      <c r="A6972" t="s">
        <v>628</v>
      </c>
      <c r="B6972" t="s">
        <v>162</v>
      </c>
      <c r="C6972" t="s">
        <v>169</v>
      </c>
      <c r="D6972" t="s">
        <v>745</v>
      </c>
      <c r="E6972" t="s">
        <v>771</v>
      </c>
      <c r="F6972">
        <v>6</v>
      </c>
      <c r="G6972" s="308">
        <f>COMEDORES!O193</f>
        <v>2100</v>
      </c>
      <c r="H6972" s="308">
        <f>COMEDORES!P193</f>
        <v>159630</v>
      </c>
    </row>
    <row r="6973" spans="1:8" x14ac:dyDescent="0.3">
      <c r="A6973" t="s">
        <v>628</v>
      </c>
      <c r="B6973" t="s">
        <v>162</v>
      </c>
      <c r="C6973" t="s">
        <v>169</v>
      </c>
      <c r="D6973" t="s">
        <v>745</v>
      </c>
      <c r="E6973" t="s">
        <v>772</v>
      </c>
      <c r="F6973">
        <v>7</v>
      </c>
      <c r="G6973" s="308">
        <f>COMEDORES!Q193</f>
        <v>2300</v>
      </c>
      <c r="H6973" s="308">
        <f>COMEDORES!R193</f>
        <v>167611.5</v>
      </c>
    </row>
    <row r="6974" spans="1:8" x14ac:dyDescent="0.3">
      <c r="A6974" t="s">
        <v>628</v>
      </c>
      <c r="B6974" t="s">
        <v>162</v>
      </c>
      <c r="C6974" t="s">
        <v>169</v>
      </c>
      <c r="D6974" t="s">
        <v>746</v>
      </c>
      <c r="E6974" t="s">
        <v>766</v>
      </c>
      <c r="F6974">
        <v>1</v>
      </c>
      <c r="G6974" s="308">
        <f>COMEDORES!E194</f>
        <v>0</v>
      </c>
      <c r="H6974" s="308">
        <f>COMEDORES!F194</f>
        <v>0</v>
      </c>
    </row>
    <row r="6975" spans="1:8" x14ac:dyDescent="0.3">
      <c r="A6975" t="s">
        <v>628</v>
      </c>
      <c r="B6975" t="s">
        <v>162</v>
      </c>
      <c r="C6975" t="s">
        <v>169</v>
      </c>
      <c r="D6975" t="s">
        <v>746</v>
      </c>
      <c r="E6975" t="s">
        <v>767</v>
      </c>
      <c r="F6975">
        <v>2</v>
      </c>
      <c r="G6975" s="308">
        <f>COMEDORES!G194</f>
        <v>0</v>
      </c>
      <c r="H6975" s="308">
        <f>COMEDORES!H194</f>
        <v>0</v>
      </c>
    </row>
    <row r="6976" spans="1:8" x14ac:dyDescent="0.3">
      <c r="A6976" t="s">
        <v>628</v>
      </c>
      <c r="B6976" t="s">
        <v>162</v>
      </c>
      <c r="C6976" t="s">
        <v>169</v>
      </c>
      <c r="D6976" t="s">
        <v>746</v>
      </c>
      <c r="E6976" t="s">
        <v>768</v>
      </c>
      <c r="F6976">
        <v>3</v>
      </c>
      <c r="G6976" s="308">
        <f>COMEDORES!I194</f>
        <v>2550</v>
      </c>
      <c r="H6976" s="308">
        <f>COMEDORES!J194</f>
        <v>0</v>
      </c>
    </row>
    <row r="6977" spans="1:8" x14ac:dyDescent="0.3">
      <c r="A6977" t="s">
        <v>628</v>
      </c>
      <c r="B6977" t="s">
        <v>162</v>
      </c>
      <c r="C6977" t="s">
        <v>169</v>
      </c>
      <c r="D6977" t="s">
        <v>746</v>
      </c>
      <c r="E6977" t="s">
        <v>769</v>
      </c>
      <c r="F6977">
        <v>4</v>
      </c>
      <c r="G6977" s="308">
        <f>COMEDORES!K194</f>
        <v>2850</v>
      </c>
      <c r="H6977" s="308">
        <f>COMEDORES!L194</f>
        <v>0</v>
      </c>
    </row>
    <row r="6978" spans="1:8" x14ac:dyDescent="0.3">
      <c r="A6978" t="s">
        <v>628</v>
      </c>
      <c r="B6978" t="s">
        <v>162</v>
      </c>
      <c r="C6978" t="s">
        <v>169</v>
      </c>
      <c r="D6978" t="s">
        <v>746</v>
      </c>
      <c r="E6978" t="s">
        <v>770</v>
      </c>
      <c r="F6978">
        <v>5</v>
      </c>
      <c r="G6978" s="308">
        <f>COMEDORES!M194</f>
        <v>3000</v>
      </c>
      <c r="H6978" s="308">
        <f>COMEDORES!N194</f>
        <v>0</v>
      </c>
    </row>
    <row r="6979" spans="1:8" x14ac:dyDescent="0.3">
      <c r="A6979" t="s">
        <v>628</v>
      </c>
      <c r="B6979" t="s">
        <v>162</v>
      </c>
      <c r="C6979" t="s">
        <v>169</v>
      </c>
      <c r="D6979" t="s">
        <v>746</v>
      </c>
      <c r="E6979" t="s">
        <v>771</v>
      </c>
      <c r="F6979">
        <v>6</v>
      </c>
      <c r="G6979" s="308">
        <f>COMEDORES!O194</f>
        <v>3150</v>
      </c>
      <c r="H6979" s="308">
        <f>COMEDORES!P194</f>
        <v>0</v>
      </c>
    </row>
    <row r="6980" spans="1:8" x14ac:dyDescent="0.3">
      <c r="A6980" t="s">
        <v>628</v>
      </c>
      <c r="B6980" t="s">
        <v>162</v>
      </c>
      <c r="C6980" t="s">
        <v>169</v>
      </c>
      <c r="D6980" t="s">
        <v>746</v>
      </c>
      <c r="E6980" t="s">
        <v>772</v>
      </c>
      <c r="F6980">
        <v>7</v>
      </c>
      <c r="G6980" s="308">
        <f>COMEDORES!Q194</f>
        <v>3300</v>
      </c>
      <c r="H6980" s="308">
        <f>COMEDORES!R194</f>
        <v>0</v>
      </c>
    </row>
    <row r="6981" spans="1:8" x14ac:dyDescent="0.3">
      <c r="A6981" t="s">
        <v>628</v>
      </c>
      <c r="B6981" t="s">
        <v>162</v>
      </c>
      <c r="C6981" t="s">
        <v>650</v>
      </c>
      <c r="D6981" t="s">
        <v>745</v>
      </c>
      <c r="E6981" t="s">
        <v>766</v>
      </c>
      <c r="F6981">
        <v>1</v>
      </c>
      <c r="G6981" s="308">
        <f>COMEDORES!E195</f>
        <v>0</v>
      </c>
      <c r="H6981" s="308">
        <f>COMEDORES!F195</f>
        <v>0</v>
      </c>
    </row>
    <row r="6982" spans="1:8" x14ac:dyDescent="0.3">
      <c r="A6982" t="s">
        <v>628</v>
      </c>
      <c r="B6982" t="s">
        <v>162</v>
      </c>
      <c r="C6982" t="s">
        <v>650</v>
      </c>
      <c r="D6982" t="s">
        <v>745</v>
      </c>
      <c r="E6982" t="s">
        <v>767</v>
      </c>
      <c r="F6982">
        <v>2</v>
      </c>
      <c r="G6982" s="308">
        <f>COMEDORES!G195</f>
        <v>0</v>
      </c>
      <c r="H6982" s="308">
        <f>COMEDORES!H195</f>
        <v>0</v>
      </c>
    </row>
    <row r="6983" spans="1:8" x14ac:dyDescent="0.3">
      <c r="A6983" t="s">
        <v>628</v>
      </c>
      <c r="B6983" t="s">
        <v>162</v>
      </c>
      <c r="C6983" t="s">
        <v>650</v>
      </c>
      <c r="D6983" t="s">
        <v>745</v>
      </c>
      <c r="E6983" t="s">
        <v>768</v>
      </c>
      <c r="F6983">
        <v>3</v>
      </c>
      <c r="G6983" s="308">
        <f>COMEDORES!I195</f>
        <v>0</v>
      </c>
      <c r="H6983" s="308">
        <f>COMEDORES!J195</f>
        <v>0</v>
      </c>
    </row>
    <row r="6984" spans="1:8" x14ac:dyDescent="0.3">
      <c r="A6984" t="s">
        <v>628</v>
      </c>
      <c r="B6984" t="s">
        <v>162</v>
      </c>
      <c r="C6984" t="s">
        <v>650</v>
      </c>
      <c r="D6984" t="s">
        <v>745</v>
      </c>
      <c r="E6984" t="s">
        <v>769</v>
      </c>
      <c r="F6984">
        <v>4</v>
      </c>
      <c r="G6984" s="308">
        <f>COMEDORES!K195</f>
        <v>0</v>
      </c>
      <c r="H6984" s="308">
        <f>COMEDORES!L195</f>
        <v>0</v>
      </c>
    </row>
    <row r="6985" spans="1:8" x14ac:dyDescent="0.3">
      <c r="A6985" t="s">
        <v>628</v>
      </c>
      <c r="B6985" t="s">
        <v>162</v>
      </c>
      <c r="C6985" t="s">
        <v>650</v>
      </c>
      <c r="D6985" t="s">
        <v>745</v>
      </c>
      <c r="E6985" t="s">
        <v>770</v>
      </c>
      <c r="F6985">
        <v>5</v>
      </c>
      <c r="G6985" s="308">
        <f>COMEDORES!M195</f>
        <v>0</v>
      </c>
      <c r="H6985" s="308">
        <f>COMEDORES!N195</f>
        <v>0</v>
      </c>
    </row>
    <row r="6986" spans="1:8" x14ac:dyDescent="0.3">
      <c r="A6986" t="s">
        <v>628</v>
      </c>
      <c r="B6986" t="s">
        <v>162</v>
      </c>
      <c r="C6986" t="s">
        <v>650</v>
      </c>
      <c r="D6986" t="s">
        <v>745</v>
      </c>
      <c r="E6986" t="s">
        <v>771</v>
      </c>
      <c r="F6986">
        <v>6</v>
      </c>
      <c r="G6986" s="308">
        <f>COMEDORES!O195</f>
        <v>0</v>
      </c>
      <c r="H6986" s="308">
        <f>COMEDORES!P195</f>
        <v>0</v>
      </c>
    </row>
    <row r="6987" spans="1:8" x14ac:dyDescent="0.3">
      <c r="A6987" t="s">
        <v>628</v>
      </c>
      <c r="B6987" t="s">
        <v>162</v>
      </c>
      <c r="C6987" t="s">
        <v>650</v>
      </c>
      <c r="D6987" t="s">
        <v>745</v>
      </c>
      <c r="E6987" t="s">
        <v>772</v>
      </c>
      <c r="F6987">
        <v>7</v>
      </c>
      <c r="G6987" s="308">
        <f>COMEDORES!Q195</f>
        <v>800</v>
      </c>
      <c r="H6987" s="308">
        <f>COMEDORES!R195</f>
        <v>0</v>
      </c>
    </row>
    <row r="6988" spans="1:8" x14ac:dyDescent="0.3">
      <c r="A6988" t="s">
        <v>628</v>
      </c>
      <c r="B6988" t="s">
        <v>162</v>
      </c>
      <c r="C6988" t="s">
        <v>650</v>
      </c>
      <c r="D6988" t="s">
        <v>746</v>
      </c>
      <c r="E6988" t="s">
        <v>766</v>
      </c>
      <c r="F6988">
        <v>1</v>
      </c>
      <c r="G6988" s="308">
        <f>COMEDORES!E196</f>
        <v>0</v>
      </c>
      <c r="H6988" s="308">
        <f>COMEDORES!F196</f>
        <v>0</v>
      </c>
    </row>
    <row r="6989" spans="1:8" x14ac:dyDescent="0.3">
      <c r="A6989" t="s">
        <v>628</v>
      </c>
      <c r="B6989" t="s">
        <v>162</v>
      </c>
      <c r="C6989" t="s">
        <v>650</v>
      </c>
      <c r="D6989" t="s">
        <v>746</v>
      </c>
      <c r="E6989" t="s">
        <v>767</v>
      </c>
      <c r="F6989">
        <v>2</v>
      </c>
      <c r="G6989" s="308">
        <f>COMEDORES!G196</f>
        <v>0</v>
      </c>
      <c r="H6989" s="308">
        <f>COMEDORES!H196</f>
        <v>0</v>
      </c>
    </row>
    <row r="6990" spans="1:8" x14ac:dyDescent="0.3">
      <c r="A6990" t="s">
        <v>628</v>
      </c>
      <c r="B6990" t="s">
        <v>162</v>
      </c>
      <c r="C6990" t="s">
        <v>650</v>
      </c>
      <c r="D6990" t="s">
        <v>746</v>
      </c>
      <c r="E6990" t="s">
        <v>768</v>
      </c>
      <c r="F6990">
        <v>3</v>
      </c>
      <c r="G6990" s="308">
        <f>COMEDORES!I196</f>
        <v>0</v>
      </c>
      <c r="H6990" s="308">
        <f>COMEDORES!J196</f>
        <v>0</v>
      </c>
    </row>
    <row r="6991" spans="1:8" x14ac:dyDescent="0.3">
      <c r="A6991" t="s">
        <v>628</v>
      </c>
      <c r="B6991" t="s">
        <v>162</v>
      </c>
      <c r="C6991" t="s">
        <v>650</v>
      </c>
      <c r="D6991" t="s">
        <v>746</v>
      </c>
      <c r="E6991" t="s">
        <v>769</v>
      </c>
      <c r="F6991">
        <v>4</v>
      </c>
      <c r="G6991" s="308">
        <f>COMEDORES!K196</f>
        <v>0</v>
      </c>
      <c r="H6991" s="308">
        <f>COMEDORES!L196</f>
        <v>0</v>
      </c>
    </row>
    <row r="6992" spans="1:8" x14ac:dyDescent="0.3">
      <c r="A6992" t="s">
        <v>628</v>
      </c>
      <c r="B6992" t="s">
        <v>162</v>
      </c>
      <c r="C6992" t="s">
        <v>650</v>
      </c>
      <c r="D6992" t="s">
        <v>746</v>
      </c>
      <c r="E6992" t="s">
        <v>770</v>
      </c>
      <c r="F6992">
        <v>5</v>
      </c>
      <c r="G6992" s="308">
        <f>COMEDORES!M196</f>
        <v>0</v>
      </c>
      <c r="H6992" s="308">
        <f>COMEDORES!N196</f>
        <v>0</v>
      </c>
    </row>
    <row r="6993" spans="1:8" x14ac:dyDescent="0.3">
      <c r="A6993" t="s">
        <v>628</v>
      </c>
      <c r="B6993" t="s">
        <v>162</v>
      </c>
      <c r="C6993" t="s">
        <v>650</v>
      </c>
      <c r="D6993" t="s">
        <v>746</v>
      </c>
      <c r="E6993" t="s">
        <v>771</v>
      </c>
      <c r="F6993">
        <v>6</v>
      </c>
      <c r="G6993" s="308">
        <f>COMEDORES!O196</f>
        <v>0</v>
      </c>
      <c r="H6993" s="308">
        <f>COMEDORES!P196</f>
        <v>0</v>
      </c>
    </row>
    <row r="6994" spans="1:8" x14ac:dyDescent="0.3">
      <c r="A6994" t="s">
        <v>628</v>
      </c>
      <c r="B6994" t="s">
        <v>162</v>
      </c>
      <c r="C6994" t="s">
        <v>650</v>
      </c>
      <c r="D6994" t="s">
        <v>746</v>
      </c>
      <c r="E6994" t="s">
        <v>772</v>
      </c>
      <c r="F6994">
        <v>7</v>
      </c>
      <c r="G6994" s="308">
        <f>COMEDORES!Q196</f>
        <v>1200</v>
      </c>
      <c r="H6994" s="308">
        <f>COMEDORES!R196</f>
        <v>0</v>
      </c>
    </row>
    <row r="6995" spans="1:8" x14ac:dyDescent="0.3">
      <c r="A6995" t="s">
        <v>628</v>
      </c>
      <c r="B6995" t="s">
        <v>162</v>
      </c>
      <c r="C6995" t="s">
        <v>171</v>
      </c>
      <c r="D6995" t="s">
        <v>745</v>
      </c>
      <c r="E6995" t="s">
        <v>766</v>
      </c>
      <c r="F6995">
        <v>1</v>
      </c>
      <c r="G6995" s="308">
        <f>COMEDORES!E197</f>
        <v>0</v>
      </c>
      <c r="H6995" s="308">
        <f>COMEDORES!F197</f>
        <v>0</v>
      </c>
    </row>
    <row r="6996" spans="1:8" x14ac:dyDescent="0.3">
      <c r="A6996" t="s">
        <v>628</v>
      </c>
      <c r="B6996" t="s">
        <v>162</v>
      </c>
      <c r="C6996" t="s">
        <v>171</v>
      </c>
      <c r="D6996" t="s">
        <v>745</v>
      </c>
      <c r="E6996" t="s">
        <v>767</v>
      </c>
      <c r="F6996">
        <v>2</v>
      </c>
      <c r="G6996" s="308">
        <f>COMEDORES!G197</f>
        <v>0</v>
      </c>
      <c r="H6996" s="308">
        <f>COMEDORES!H197</f>
        <v>0</v>
      </c>
    </row>
    <row r="6997" spans="1:8" x14ac:dyDescent="0.3">
      <c r="A6997" t="s">
        <v>628</v>
      </c>
      <c r="B6997" t="s">
        <v>162</v>
      </c>
      <c r="C6997" t="s">
        <v>171</v>
      </c>
      <c r="D6997" t="s">
        <v>745</v>
      </c>
      <c r="E6997" t="s">
        <v>768</v>
      </c>
      <c r="F6997">
        <v>3</v>
      </c>
      <c r="G6997" s="308">
        <f>COMEDORES!I197</f>
        <v>0</v>
      </c>
      <c r="H6997" s="308">
        <f>COMEDORES!J197</f>
        <v>0</v>
      </c>
    </row>
    <row r="6998" spans="1:8" x14ac:dyDescent="0.3">
      <c r="A6998" t="s">
        <v>628</v>
      </c>
      <c r="B6998" t="s">
        <v>162</v>
      </c>
      <c r="C6998" t="s">
        <v>171</v>
      </c>
      <c r="D6998" t="s">
        <v>745</v>
      </c>
      <c r="E6998" t="s">
        <v>769</v>
      </c>
      <c r="F6998">
        <v>4</v>
      </c>
      <c r="G6998" s="308">
        <f>COMEDORES!K197</f>
        <v>0</v>
      </c>
      <c r="H6998" s="308">
        <f>COMEDORES!L197</f>
        <v>0</v>
      </c>
    </row>
    <row r="6999" spans="1:8" x14ac:dyDescent="0.3">
      <c r="A6999" t="s">
        <v>628</v>
      </c>
      <c r="B6999" t="s">
        <v>162</v>
      </c>
      <c r="C6999" t="s">
        <v>171</v>
      </c>
      <c r="D6999" t="s">
        <v>745</v>
      </c>
      <c r="E6999" t="s">
        <v>770</v>
      </c>
      <c r="F6999">
        <v>5</v>
      </c>
      <c r="G6999" s="308">
        <f>COMEDORES!M197</f>
        <v>0</v>
      </c>
      <c r="H6999" s="308">
        <f>COMEDORES!N197</f>
        <v>0</v>
      </c>
    </row>
    <row r="7000" spans="1:8" x14ac:dyDescent="0.3">
      <c r="A7000" t="s">
        <v>628</v>
      </c>
      <c r="B7000" t="s">
        <v>162</v>
      </c>
      <c r="C7000" t="s">
        <v>171</v>
      </c>
      <c r="D7000" t="s">
        <v>745</v>
      </c>
      <c r="E7000" t="s">
        <v>771</v>
      </c>
      <c r="F7000">
        <v>6</v>
      </c>
      <c r="G7000" s="308">
        <f>COMEDORES!O197</f>
        <v>0</v>
      </c>
      <c r="H7000" s="308">
        <f>COMEDORES!P197</f>
        <v>0</v>
      </c>
    </row>
    <row r="7001" spans="1:8" x14ac:dyDescent="0.3">
      <c r="A7001" t="s">
        <v>628</v>
      </c>
      <c r="B7001" t="s">
        <v>162</v>
      </c>
      <c r="C7001" t="s">
        <v>171</v>
      </c>
      <c r="D7001" t="s">
        <v>745</v>
      </c>
      <c r="E7001" t="s">
        <v>772</v>
      </c>
      <c r="F7001">
        <v>7</v>
      </c>
      <c r="G7001" s="308">
        <f>COMEDORES!Q197</f>
        <v>2600</v>
      </c>
      <c r="H7001" s="308">
        <f>COMEDORES!R197</f>
        <v>0</v>
      </c>
    </row>
    <row r="7002" spans="1:8" x14ac:dyDescent="0.3">
      <c r="A7002" t="s">
        <v>628</v>
      </c>
      <c r="B7002" t="s">
        <v>162</v>
      </c>
      <c r="C7002" t="s">
        <v>171</v>
      </c>
      <c r="D7002" t="s">
        <v>746</v>
      </c>
      <c r="E7002" t="s">
        <v>766</v>
      </c>
      <c r="F7002">
        <v>1</v>
      </c>
      <c r="G7002" s="308">
        <f>COMEDORES!E198</f>
        <v>0</v>
      </c>
      <c r="H7002" s="308">
        <f>COMEDORES!F198</f>
        <v>0</v>
      </c>
    </row>
    <row r="7003" spans="1:8" x14ac:dyDescent="0.3">
      <c r="A7003" t="s">
        <v>628</v>
      </c>
      <c r="B7003" t="s">
        <v>162</v>
      </c>
      <c r="C7003" t="s">
        <v>171</v>
      </c>
      <c r="D7003" t="s">
        <v>746</v>
      </c>
      <c r="E7003" t="s">
        <v>767</v>
      </c>
      <c r="F7003">
        <v>2</v>
      </c>
      <c r="G7003" s="308">
        <f>COMEDORES!G198</f>
        <v>0</v>
      </c>
      <c r="H7003" s="308">
        <f>COMEDORES!H198</f>
        <v>0</v>
      </c>
    </row>
    <row r="7004" spans="1:8" x14ac:dyDescent="0.3">
      <c r="A7004" t="s">
        <v>628</v>
      </c>
      <c r="B7004" t="s">
        <v>162</v>
      </c>
      <c r="C7004" t="s">
        <v>171</v>
      </c>
      <c r="D7004" t="s">
        <v>746</v>
      </c>
      <c r="E7004" t="s">
        <v>768</v>
      </c>
      <c r="F7004">
        <v>3</v>
      </c>
      <c r="G7004" s="308">
        <f>COMEDORES!I198</f>
        <v>0</v>
      </c>
      <c r="H7004" s="308">
        <f>COMEDORES!J198</f>
        <v>0</v>
      </c>
    </row>
    <row r="7005" spans="1:8" x14ac:dyDescent="0.3">
      <c r="A7005" t="s">
        <v>628</v>
      </c>
      <c r="B7005" t="s">
        <v>162</v>
      </c>
      <c r="C7005" t="s">
        <v>171</v>
      </c>
      <c r="D7005" t="s">
        <v>746</v>
      </c>
      <c r="E7005" t="s">
        <v>769</v>
      </c>
      <c r="F7005">
        <v>4</v>
      </c>
      <c r="G7005" s="308">
        <f>COMEDORES!K198</f>
        <v>0</v>
      </c>
      <c r="H7005" s="308">
        <f>COMEDORES!L198</f>
        <v>0</v>
      </c>
    </row>
    <row r="7006" spans="1:8" x14ac:dyDescent="0.3">
      <c r="A7006" t="s">
        <v>628</v>
      </c>
      <c r="B7006" t="s">
        <v>162</v>
      </c>
      <c r="C7006" t="s">
        <v>171</v>
      </c>
      <c r="D7006" t="s">
        <v>746</v>
      </c>
      <c r="E7006" t="s">
        <v>770</v>
      </c>
      <c r="F7006">
        <v>5</v>
      </c>
      <c r="G7006" s="308">
        <f>COMEDORES!M198</f>
        <v>0</v>
      </c>
      <c r="H7006" s="308">
        <f>COMEDORES!N198</f>
        <v>0</v>
      </c>
    </row>
    <row r="7007" spans="1:8" x14ac:dyDescent="0.3">
      <c r="A7007" t="s">
        <v>628</v>
      </c>
      <c r="B7007" t="s">
        <v>162</v>
      </c>
      <c r="C7007" t="s">
        <v>171</v>
      </c>
      <c r="D7007" t="s">
        <v>746</v>
      </c>
      <c r="E7007" t="s">
        <v>771</v>
      </c>
      <c r="F7007">
        <v>6</v>
      </c>
      <c r="G7007" s="308">
        <f>COMEDORES!O198</f>
        <v>0</v>
      </c>
      <c r="H7007" s="308">
        <f>COMEDORES!P198</f>
        <v>0</v>
      </c>
    </row>
    <row r="7008" spans="1:8" x14ac:dyDescent="0.3">
      <c r="A7008" t="s">
        <v>628</v>
      </c>
      <c r="B7008" t="s">
        <v>162</v>
      </c>
      <c r="C7008" t="s">
        <v>171</v>
      </c>
      <c r="D7008" t="s">
        <v>746</v>
      </c>
      <c r="E7008" t="s">
        <v>772</v>
      </c>
      <c r="F7008">
        <v>7</v>
      </c>
      <c r="G7008" s="308">
        <f>COMEDORES!Q198</f>
        <v>3250</v>
      </c>
      <c r="H7008" s="308">
        <f>COMEDORES!R198</f>
        <v>0</v>
      </c>
    </row>
    <row r="7009" spans="1:8" x14ac:dyDescent="0.3">
      <c r="A7009" t="s">
        <v>628</v>
      </c>
      <c r="B7009" t="s">
        <v>162</v>
      </c>
      <c r="C7009" t="s">
        <v>651</v>
      </c>
      <c r="D7009" t="s">
        <v>745</v>
      </c>
      <c r="E7009" t="s">
        <v>766</v>
      </c>
      <c r="F7009">
        <v>1</v>
      </c>
      <c r="G7009" s="308">
        <f>COMEDORES!E199</f>
        <v>0</v>
      </c>
      <c r="H7009" s="308">
        <f>COMEDORES!F199</f>
        <v>0</v>
      </c>
    </row>
    <row r="7010" spans="1:8" x14ac:dyDescent="0.3">
      <c r="A7010" t="s">
        <v>628</v>
      </c>
      <c r="B7010" t="s">
        <v>162</v>
      </c>
      <c r="C7010" t="s">
        <v>651</v>
      </c>
      <c r="D7010" t="s">
        <v>745</v>
      </c>
      <c r="E7010" t="s">
        <v>767</v>
      </c>
      <c r="F7010">
        <v>2</v>
      </c>
      <c r="G7010" s="308">
        <f>COMEDORES!G199</f>
        <v>0</v>
      </c>
      <c r="H7010" s="308">
        <f>COMEDORES!H199</f>
        <v>0</v>
      </c>
    </row>
    <row r="7011" spans="1:8" x14ac:dyDescent="0.3">
      <c r="A7011" t="s">
        <v>628</v>
      </c>
      <c r="B7011" t="s">
        <v>162</v>
      </c>
      <c r="C7011" t="s">
        <v>651</v>
      </c>
      <c r="D7011" t="s">
        <v>745</v>
      </c>
      <c r="E7011" t="s">
        <v>768</v>
      </c>
      <c r="F7011">
        <v>3</v>
      </c>
      <c r="G7011" s="308">
        <f>COMEDORES!I199</f>
        <v>0</v>
      </c>
      <c r="H7011" s="308">
        <f>COMEDORES!J199</f>
        <v>0</v>
      </c>
    </row>
    <row r="7012" spans="1:8" x14ac:dyDescent="0.3">
      <c r="A7012" t="s">
        <v>628</v>
      </c>
      <c r="B7012" t="s">
        <v>162</v>
      </c>
      <c r="C7012" t="s">
        <v>651</v>
      </c>
      <c r="D7012" t="s">
        <v>745</v>
      </c>
      <c r="E7012" t="s">
        <v>769</v>
      </c>
      <c r="F7012">
        <v>4</v>
      </c>
      <c r="G7012" s="308">
        <f>COMEDORES!K199</f>
        <v>0</v>
      </c>
      <c r="H7012" s="308">
        <f>COMEDORES!L199</f>
        <v>0</v>
      </c>
    </row>
    <row r="7013" spans="1:8" x14ac:dyDescent="0.3">
      <c r="A7013" t="s">
        <v>628</v>
      </c>
      <c r="B7013" t="s">
        <v>162</v>
      </c>
      <c r="C7013" t="s">
        <v>651</v>
      </c>
      <c r="D7013" t="s">
        <v>745</v>
      </c>
      <c r="E7013" t="s">
        <v>770</v>
      </c>
      <c r="F7013">
        <v>5</v>
      </c>
      <c r="G7013" s="308">
        <f>COMEDORES!M199</f>
        <v>0</v>
      </c>
      <c r="H7013" s="308">
        <f>COMEDORES!N199</f>
        <v>0</v>
      </c>
    </row>
    <row r="7014" spans="1:8" x14ac:dyDescent="0.3">
      <c r="A7014" t="s">
        <v>628</v>
      </c>
      <c r="B7014" t="s">
        <v>162</v>
      </c>
      <c r="C7014" t="s">
        <v>651</v>
      </c>
      <c r="D7014" t="s">
        <v>745</v>
      </c>
      <c r="E7014" t="s">
        <v>771</v>
      </c>
      <c r="F7014">
        <v>6</v>
      </c>
      <c r="G7014" s="308">
        <f>COMEDORES!O199</f>
        <v>0</v>
      </c>
      <c r="H7014" s="308">
        <f>COMEDORES!P199</f>
        <v>0</v>
      </c>
    </row>
    <row r="7015" spans="1:8" x14ac:dyDescent="0.3">
      <c r="A7015" t="s">
        <v>628</v>
      </c>
      <c r="B7015" t="s">
        <v>162</v>
      </c>
      <c r="C7015" t="s">
        <v>651</v>
      </c>
      <c r="D7015" t="s">
        <v>745</v>
      </c>
      <c r="E7015" t="s">
        <v>772</v>
      </c>
      <c r="F7015">
        <v>7</v>
      </c>
      <c r="G7015" s="308">
        <f>COMEDORES!Q199</f>
        <v>1950</v>
      </c>
      <c r="H7015" s="308">
        <f>COMEDORES!R199</f>
        <v>0</v>
      </c>
    </row>
    <row r="7016" spans="1:8" x14ac:dyDescent="0.3">
      <c r="A7016" t="s">
        <v>628</v>
      </c>
      <c r="B7016" t="s">
        <v>162</v>
      </c>
      <c r="C7016" t="s">
        <v>651</v>
      </c>
      <c r="D7016" t="s">
        <v>746</v>
      </c>
      <c r="E7016" t="s">
        <v>766</v>
      </c>
      <c r="F7016">
        <v>1</v>
      </c>
      <c r="G7016" s="308">
        <f>COMEDORES!E200</f>
        <v>0</v>
      </c>
      <c r="H7016" s="308">
        <f>COMEDORES!F200</f>
        <v>0</v>
      </c>
    </row>
    <row r="7017" spans="1:8" x14ac:dyDescent="0.3">
      <c r="A7017" t="s">
        <v>628</v>
      </c>
      <c r="B7017" t="s">
        <v>162</v>
      </c>
      <c r="C7017" t="s">
        <v>651</v>
      </c>
      <c r="D7017" t="s">
        <v>746</v>
      </c>
      <c r="E7017" t="s">
        <v>767</v>
      </c>
      <c r="F7017">
        <v>2</v>
      </c>
      <c r="G7017" s="308">
        <f>COMEDORES!G200</f>
        <v>0</v>
      </c>
      <c r="H7017" s="308">
        <f>COMEDORES!H200</f>
        <v>0</v>
      </c>
    </row>
    <row r="7018" spans="1:8" x14ac:dyDescent="0.3">
      <c r="A7018" t="s">
        <v>628</v>
      </c>
      <c r="B7018" t="s">
        <v>162</v>
      </c>
      <c r="C7018" t="s">
        <v>651</v>
      </c>
      <c r="D7018" t="s">
        <v>746</v>
      </c>
      <c r="E7018" t="s">
        <v>768</v>
      </c>
      <c r="F7018">
        <v>3</v>
      </c>
      <c r="G7018" s="308">
        <f>COMEDORES!I200</f>
        <v>0</v>
      </c>
      <c r="H7018" s="308">
        <f>COMEDORES!J200</f>
        <v>0</v>
      </c>
    </row>
    <row r="7019" spans="1:8" x14ac:dyDescent="0.3">
      <c r="A7019" t="s">
        <v>628</v>
      </c>
      <c r="B7019" t="s">
        <v>162</v>
      </c>
      <c r="C7019" t="s">
        <v>651</v>
      </c>
      <c r="D7019" t="s">
        <v>746</v>
      </c>
      <c r="E7019" t="s">
        <v>769</v>
      </c>
      <c r="F7019">
        <v>4</v>
      </c>
      <c r="G7019" s="308">
        <f>COMEDORES!K200</f>
        <v>0</v>
      </c>
      <c r="H7019" s="308">
        <f>COMEDORES!L200</f>
        <v>0</v>
      </c>
    </row>
    <row r="7020" spans="1:8" x14ac:dyDescent="0.3">
      <c r="A7020" t="s">
        <v>628</v>
      </c>
      <c r="B7020" t="s">
        <v>162</v>
      </c>
      <c r="C7020" t="s">
        <v>651</v>
      </c>
      <c r="D7020" t="s">
        <v>746</v>
      </c>
      <c r="E7020" t="s">
        <v>770</v>
      </c>
      <c r="F7020">
        <v>5</v>
      </c>
      <c r="G7020" s="308">
        <f>COMEDORES!M200</f>
        <v>0</v>
      </c>
      <c r="H7020" s="308">
        <f>COMEDORES!N200</f>
        <v>0</v>
      </c>
    </row>
    <row r="7021" spans="1:8" x14ac:dyDescent="0.3">
      <c r="A7021" t="s">
        <v>628</v>
      </c>
      <c r="B7021" t="s">
        <v>162</v>
      </c>
      <c r="C7021" t="s">
        <v>651</v>
      </c>
      <c r="D7021" t="s">
        <v>746</v>
      </c>
      <c r="E7021" t="s">
        <v>771</v>
      </c>
      <c r="F7021">
        <v>6</v>
      </c>
      <c r="G7021" s="308">
        <f>COMEDORES!O200</f>
        <v>0</v>
      </c>
      <c r="H7021" s="308">
        <f>COMEDORES!P200</f>
        <v>0</v>
      </c>
    </row>
    <row r="7022" spans="1:8" x14ac:dyDescent="0.3">
      <c r="A7022" t="s">
        <v>628</v>
      </c>
      <c r="B7022" t="s">
        <v>162</v>
      </c>
      <c r="C7022" t="s">
        <v>651</v>
      </c>
      <c r="D7022" t="s">
        <v>746</v>
      </c>
      <c r="E7022" t="s">
        <v>772</v>
      </c>
      <c r="F7022">
        <v>7</v>
      </c>
      <c r="G7022" s="308">
        <f>COMEDORES!Q200</f>
        <v>2600</v>
      </c>
      <c r="H7022" s="308">
        <f>COMEDORES!R200</f>
        <v>0</v>
      </c>
    </row>
    <row r="7023" spans="1:8" x14ac:dyDescent="0.3">
      <c r="A7023" t="s">
        <v>628</v>
      </c>
      <c r="B7023" t="s">
        <v>162</v>
      </c>
      <c r="C7023" t="s">
        <v>400</v>
      </c>
      <c r="D7023" t="s">
        <v>745</v>
      </c>
      <c r="E7023" t="s">
        <v>766</v>
      </c>
      <c r="F7023">
        <v>1</v>
      </c>
      <c r="G7023" s="308">
        <f>COMEDORES!E201</f>
        <v>2560</v>
      </c>
      <c r="H7023" s="308">
        <f>COMEDORES!F201</f>
        <v>0</v>
      </c>
    </row>
    <row r="7024" spans="1:8" x14ac:dyDescent="0.3">
      <c r="A7024" t="s">
        <v>628</v>
      </c>
      <c r="B7024" t="s">
        <v>162</v>
      </c>
      <c r="C7024" t="s">
        <v>400</v>
      </c>
      <c r="D7024" t="s">
        <v>745</v>
      </c>
      <c r="E7024" t="s">
        <v>767</v>
      </c>
      <c r="F7024">
        <v>2</v>
      </c>
      <c r="G7024" s="308">
        <f>COMEDORES!G201</f>
        <v>3200</v>
      </c>
      <c r="H7024" s="308">
        <f>COMEDORES!H201</f>
        <v>173805</v>
      </c>
    </row>
    <row r="7025" spans="1:8" x14ac:dyDescent="0.3">
      <c r="A7025" t="s">
        <v>628</v>
      </c>
      <c r="B7025" t="s">
        <v>162</v>
      </c>
      <c r="C7025" t="s">
        <v>400</v>
      </c>
      <c r="D7025" t="s">
        <v>745</v>
      </c>
      <c r="E7025" t="s">
        <v>768</v>
      </c>
      <c r="F7025">
        <v>3</v>
      </c>
      <c r="G7025" s="308">
        <f>COMEDORES!I201</f>
        <v>3520</v>
      </c>
      <c r="H7025" s="308">
        <f>COMEDORES!J201</f>
        <v>168120</v>
      </c>
    </row>
    <row r="7026" spans="1:8" x14ac:dyDescent="0.3">
      <c r="A7026" t="s">
        <v>628</v>
      </c>
      <c r="B7026" t="s">
        <v>162</v>
      </c>
      <c r="C7026" t="s">
        <v>400</v>
      </c>
      <c r="D7026" t="s">
        <v>745</v>
      </c>
      <c r="E7026" t="s">
        <v>769</v>
      </c>
      <c r="F7026">
        <v>4</v>
      </c>
      <c r="G7026" s="308">
        <f>COMEDORES!K201</f>
        <v>3040</v>
      </c>
      <c r="H7026" s="308">
        <f>COMEDORES!L201</f>
        <v>251776.80000000005</v>
      </c>
    </row>
    <row r="7027" spans="1:8" x14ac:dyDescent="0.3">
      <c r="A7027" t="s">
        <v>628</v>
      </c>
      <c r="B7027" t="s">
        <v>162</v>
      </c>
      <c r="C7027" t="s">
        <v>400</v>
      </c>
      <c r="D7027" t="s">
        <v>745</v>
      </c>
      <c r="E7027" t="s">
        <v>770</v>
      </c>
      <c r="F7027">
        <v>5</v>
      </c>
      <c r="G7027" s="308">
        <f>COMEDORES!M201</f>
        <v>3200</v>
      </c>
      <c r="H7027" s="308">
        <f>COMEDORES!N201</f>
        <v>216382.8</v>
      </c>
    </row>
    <row r="7028" spans="1:8" x14ac:dyDescent="0.3">
      <c r="A7028" t="s">
        <v>628</v>
      </c>
      <c r="B7028" t="s">
        <v>162</v>
      </c>
      <c r="C7028" t="s">
        <v>400</v>
      </c>
      <c r="D7028" t="s">
        <v>745</v>
      </c>
      <c r="E7028" t="s">
        <v>771</v>
      </c>
      <c r="F7028">
        <v>6</v>
      </c>
      <c r="G7028" s="308">
        <f>COMEDORES!O201</f>
        <v>3360</v>
      </c>
      <c r="H7028" s="308">
        <f>COMEDORES!P201</f>
        <v>222258</v>
      </c>
    </row>
    <row r="7029" spans="1:8" x14ac:dyDescent="0.3">
      <c r="A7029" t="s">
        <v>628</v>
      </c>
      <c r="B7029" t="s">
        <v>162</v>
      </c>
      <c r="C7029" t="s">
        <v>400</v>
      </c>
      <c r="D7029" t="s">
        <v>745</v>
      </c>
      <c r="E7029" t="s">
        <v>772</v>
      </c>
      <c r="F7029">
        <v>7</v>
      </c>
      <c r="G7029" s="308">
        <f>COMEDORES!Q201</f>
        <v>3680</v>
      </c>
      <c r="H7029" s="308">
        <f>COMEDORES!R201</f>
        <v>240332.39999999991</v>
      </c>
    </row>
    <row r="7030" spans="1:8" x14ac:dyDescent="0.3">
      <c r="A7030" t="s">
        <v>628</v>
      </c>
      <c r="B7030" t="s">
        <v>162</v>
      </c>
      <c r="C7030" t="s">
        <v>400</v>
      </c>
      <c r="D7030" t="s">
        <v>746</v>
      </c>
      <c r="E7030" t="s">
        <v>766</v>
      </c>
      <c r="F7030">
        <v>1</v>
      </c>
      <c r="G7030" s="308">
        <f>COMEDORES!E202</f>
        <v>3400</v>
      </c>
      <c r="H7030" s="308">
        <f>COMEDORES!F202</f>
        <v>0</v>
      </c>
    </row>
    <row r="7031" spans="1:8" x14ac:dyDescent="0.3">
      <c r="A7031" t="s">
        <v>628</v>
      </c>
      <c r="B7031" t="s">
        <v>162</v>
      </c>
      <c r="C7031" t="s">
        <v>400</v>
      </c>
      <c r="D7031" t="s">
        <v>746</v>
      </c>
      <c r="E7031" t="s">
        <v>767</v>
      </c>
      <c r="F7031">
        <v>2</v>
      </c>
      <c r="G7031" s="308">
        <f>COMEDORES!G202</f>
        <v>4000</v>
      </c>
      <c r="H7031" s="308">
        <f>COMEDORES!H202</f>
        <v>0</v>
      </c>
    </row>
    <row r="7032" spans="1:8" x14ac:dyDescent="0.3">
      <c r="A7032" t="s">
        <v>628</v>
      </c>
      <c r="B7032" t="s">
        <v>162</v>
      </c>
      <c r="C7032" t="s">
        <v>400</v>
      </c>
      <c r="D7032" t="s">
        <v>746</v>
      </c>
      <c r="E7032" t="s">
        <v>768</v>
      </c>
      <c r="F7032">
        <v>3</v>
      </c>
      <c r="G7032" s="308">
        <f>COMEDORES!I202</f>
        <v>4400</v>
      </c>
      <c r="H7032" s="308">
        <f>COMEDORES!J202</f>
        <v>0</v>
      </c>
    </row>
    <row r="7033" spans="1:8" x14ac:dyDescent="0.3">
      <c r="A7033" t="s">
        <v>628</v>
      </c>
      <c r="B7033" t="s">
        <v>162</v>
      </c>
      <c r="C7033" t="s">
        <v>400</v>
      </c>
      <c r="D7033" t="s">
        <v>746</v>
      </c>
      <c r="E7033" t="s">
        <v>769</v>
      </c>
      <c r="F7033">
        <v>4</v>
      </c>
      <c r="G7033" s="308">
        <f>COMEDORES!K202</f>
        <v>3768</v>
      </c>
      <c r="H7033" s="308">
        <f>COMEDORES!L202</f>
        <v>0</v>
      </c>
    </row>
    <row r="7034" spans="1:8" x14ac:dyDescent="0.3">
      <c r="A7034" t="s">
        <v>628</v>
      </c>
      <c r="B7034" t="s">
        <v>162</v>
      </c>
      <c r="C7034" t="s">
        <v>400</v>
      </c>
      <c r="D7034" t="s">
        <v>746</v>
      </c>
      <c r="E7034" t="s">
        <v>770</v>
      </c>
      <c r="F7034">
        <v>5</v>
      </c>
      <c r="G7034" s="308">
        <f>COMEDORES!M202</f>
        <v>3800</v>
      </c>
      <c r="H7034" s="308">
        <f>COMEDORES!N202</f>
        <v>0</v>
      </c>
    </row>
    <row r="7035" spans="1:8" x14ac:dyDescent="0.3">
      <c r="A7035" t="s">
        <v>628</v>
      </c>
      <c r="B7035" t="s">
        <v>162</v>
      </c>
      <c r="C7035" t="s">
        <v>400</v>
      </c>
      <c r="D7035" t="s">
        <v>746</v>
      </c>
      <c r="E7035" t="s">
        <v>771</v>
      </c>
      <c r="F7035">
        <v>6</v>
      </c>
      <c r="G7035" s="308">
        <f>COMEDORES!O202</f>
        <v>4200</v>
      </c>
      <c r="H7035" s="308">
        <f>COMEDORES!P202</f>
        <v>0</v>
      </c>
    </row>
    <row r="7036" spans="1:8" x14ac:dyDescent="0.3">
      <c r="A7036" t="s">
        <v>628</v>
      </c>
      <c r="B7036" t="s">
        <v>162</v>
      </c>
      <c r="C7036" t="s">
        <v>400</v>
      </c>
      <c r="D7036" t="s">
        <v>746</v>
      </c>
      <c r="E7036" t="s">
        <v>772</v>
      </c>
      <c r="F7036">
        <v>7</v>
      </c>
      <c r="G7036" s="308">
        <f>COMEDORES!Q202</f>
        <v>4600</v>
      </c>
      <c r="H7036" s="308">
        <f>COMEDORES!R202</f>
        <v>0</v>
      </c>
    </row>
    <row r="7037" spans="1:8" x14ac:dyDescent="0.3">
      <c r="A7037" t="s">
        <v>628</v>
      </c>
      <c r="B7037" t="s">
        <v>162</v>
      </c>
      <c r="C7037" t="s">
        <v>175</v>
      </c>
      <c r="D7037" t="s">
        <v>745</v>
      </c>
      <c r="E7037" t="s">
        <v>766</v>
      </c>
      <c r="F7037">
        <v>1</v>
      </c>
      <c r="G7037" s="308">
        <f>COMEDORES!E203</f>
        <v>0</v>
      </c>
      <c r="H7037" s="308">
        <f>COMEDORES!F203</f>
        <v>0</v>
      </c>
    </row>
    <row r="7038" spans="1:8" x14ac:dyDescent="0.3">
      <c r="A7038" t="s">
        <v>628</v>
      </c>
      <c r="B7038" t="s">
        <v>162</v>
      </c>
      <c r="C7038" t="s">
        <v>175</v>
      </c>
      <c r="D7038" t="s">
        <v>745</v>
      </c>
      <c r="E7038" t="s">
        <v>767</v>
      </c>
      <c r="F7038">
        <v>2</v>
      </c>
      <c r="G7038" s="308">
        <f>COMEDORES!G203</f>
        <v>0</v>
      </c>
      <c r="H7038" s="308">
        <f>COMEDORES!H203</f>
        <v>0</v>
      </c>
    </row>
    <row r="7039" spans="1:8" x14ac:dyDescent="0.3">
      <c r="A7039" t="s">
        <v>628</v>
      </c>
      <c r="B7039" t="s">
        <v>162</v>
      </c>
      <c r="C7039" t="s">
        <v>175</v>
      </c>
      <c r="D7039" t="s">
        <v>745</v>
      </c>
      <c r="E7039" t="s">
        <v>768</v>
      </c>
      <c r="F7039">
        <v>3</v>
      </c>
      <c r="G7039" s="308">
        <f>COMEDORES!I203</f>
        <v>0</v>
      </c>
      <c r="H7039" s="308">
        <f>COMEDORES!J203</f>
        <v>0</v>
      </c>
    </row>
    <row r="7040" spans="1:8" x14ac:dyDescent="0.3">
      <c r="A7040" t="s">
        <v>628</v>
      </c>
      <c r="B7040" t="s">
        <v>162</v>
      </c>
      <c r="C7040" t="s">
        <v>175</v>
      </c>
      <c r="D7040" t="s">
        <v>745</v>
      </c>
      <c r="E7040" t="s">
        <v>769</v>
      </c>
      <c r="F7040">
        <v>4</v>
      </c>
      <c r="G7040" s="308">
        <f>COMEDORES!K203</f>
        <v>0</v>
      </c>
      <c r="H7040" s="308">
        <f>COMEDORES!L203</f>
        <v>0</v>
      </c>
    </row>
    <row r="7041" spans="1:8" x14ac:dyDescent="0.3">
      <c r="A7041" t="s">
        <v>628</v>
      </c>
      <c r="B7041" t="s">
        <v>162</v>
      </c>
      <c r="C7041" t="s">
        <v>175</v>
      </c>
      <c r="D7041" t="s">
        <v>745</v>
      </c>
      <c r="E7041" t="s">
        <v>770</v>
      </c>
      <c r="F7041">
        <v>5</v>
      </c>
      <c r="G7041" s="308">
        <f>COMEDORES!M203</f>
        <v>800</v>
      </c>
      <c r="H7041" s="308">
        <f>COMEDORES!N203</f>
        <v>0</v>
      </c>
    </row>
    <row r="7042" spans="1:8" x14ac:dyDescent="0.3">
      <c r="A7042" t="s">
        <v>628</v>
      </c>
      <c r="B7042" t="s">
        <v>162</v>
      </c>
      <c r="C7042" t="s">
        <v>175</v>
      </c>
      <c r="D7042" t="s">
        <v>745</v>
      </c>
      <c r="E7042" t="s">
        <v>771</v>
      </c>
      <c r="F7042">
        <v>6</v>
      </c>
      <c r="G7042" s="308">
        <f>COMEDORES!O203</f>
        <v>2100</v>
      </c>
      <c r="H7042" s="308">
        <f>COMEDORES!P203</f>
        <v>60080.55</v>
      </c>
    </row>
    <row r="7043" spans="1:8" x14ac:dyDescent="0.3">
      <c r="A7043" t="s">
        <v>628</v>
      </c>
      <c r="B7043" t="s">
        <v>162</v>
      </c>
      <c r="C7043" t="s">
        <v>175</v>
      </c>
      <c r="D7043" t="s">
        <v>745</v>
      </c>
      <c r="E7043" t="s">
        <v>772</v>
      </c>
      <c r="F7043">
        <v>7</v>
      </c>
      <c r="G7043" s="308">
        <f>COMEDORES!Q203</f>
        <v>2300</v>
      </c>
      <c r="H7043" s="308">
        <f>COMEDORES!R203</f>
        <v>167611.5</v>
      </c>
    </row>
    <row r="7044" spans="1:8" x14ac:dyDescent="0.3">
      <c r="A7044" t="s">
        <v>628</v>
      </c>
      <c r="B7044" t="s">
        <v>162</v>
      </c>
      <c r="C7044" t="s">
        <v>175</v>
      </c>
      <c r="D7044" t="s">
        <v>746</v>
      </c>
      <c r="E7044" t="s">
        <v>766</v>
      </c>
      <c r="F7044">
        <v>1</v>
      </c>
      <c r="G7044" s="308">
        <f>COMEDORES!E204</f>
        <v>0</v>
      </c>
      <c r="H7044" s="308">
        <f>COMEDORES!F204</f>
        <v>0</v>
      </c>
    </row>
    <row r="7045" spans="1:8" x14ac:dyDescent="0.3">
      <c r="A7045" t="s">
        <v>628</v>
      </c>
      <c r="B7045" t="s">
        <v>162</v>
      </c>
      <c r="C7045" t="s">
        <v>175</v>
      </c>
      <c r="D7045" t="s">
        <v>746</v>
      </c>
      <c r="E7045" t="s">
        <v>767</v>
      </c>
      <c r="F7045">
        <v>2</v>
      </c>
      <c r="G7045" s="308">
        <f>COMEDORES!G204</f>
        <v>0</v>
      </c>
      <c r="H7045" s="308">
        <f>COMEDORES!H204</f>
        <v>0</v>
      </c>
    </row>
    <row r="7046" spans="1:8" x14ac:dyDescent="0.3">
      <c r="A7046" t="s">
        <v>628</v>
      </c>
      <c r="B7046" t="s">
        <v>162</v>
      </c>
      <c r="C7046" t="s">
        <v>175</v>
      </c>
      <c r="D7046" t="s">
        <v>746</v>
      </c>
      <c r="E7046" t="s">
        <v>768</v>
      </c>
      <c r="F7046">
        <v>3</v>
      </c>
      <c r="G7046" s="308">
        <f>COMEDORES!I204</f>
        <v>0</v>
      </c>
      <c r="H7046" s="308">
        <f>COMEDORES!J204</f>
        <v>0</v>
      </c>
    </row>
    <row r="7047" spans="1:8" x14ac:dyDescent="0.3">
      <c r="A7047" t="s">
        <v>628</v>
      </c>
      <c r="B7047" t="s">
        <v>162</v>
      </c>
      <c r="C7047" t="s">
        <v>175</v>
      </c>
      <c r="D7047" t="s">
        <v>746</v>
      </c>
      <c r="E7047" t="s">
        <v>769</v>
      </c>
      <c r="F7047">
        <v>4</v>
      </c>
      <c r="G7047" s="308">
        <f>COMEDORES!K204</f>
        <v>0</v>
      </c>
      <c r="H7047" s="308">
        <f>COMEDORES!L204</f>
        <v>0</v>
      </c>
    </row>
    <row r="7048" spans="1:8" x14ac:dyDescent="0.3">
      <c r="A7048" t="s">
        <v>628</v>
      </c>
      <c r="B7048" t="s">
        <v>162</v>
      </c>
      <c r="C7048" t="s">
        <v>175</v>
      </c>
      <c r="D7048" t="s">
        <v>746</v>
      </c>
      <c r="E7048" t="s">
        <v>770</v>
      </c>
      <c r="F7048">
        <v>5</v>
      </c>
      <c r="G7048" s="308">
        <f>COMEDORES!M204</f>
        <v>1177</v>
      </c>
      <c r="H7048" s="308">
        <f>COMEDORES!N204</f>
        <v>0</v>
      </c>
    </row>
    <row r="7049" spans="1:8" x14ac:dyDescent="0.3">
      <c r="A7049" t="s">
        <v>628</v>
      </c>
      <c r="B7049" t="s">
        <v>162</v>
      </c>
      <c r="C7049" t="s">
        <v>175</v>
      </c>
      <c r="D7049" t="s">
        <v>746</v>
      </c>
      <c r="E7049" t="s">
        <v>771</v>
      </c>
      <c r="F7049">
        <v>6</v>
      </c>
      <c r="G7049" s="308">
        <f>COMEDORES!O204</f>
        <v>3150</v>
      </c>
      <c r="H7049" s="308">
        <f>COMEDORES!P204</f>
        <v>0</v>
      </c>
    </row>
    <row r="7050" spans="1:8" x14ac:dyDescent="0.3">
      <c r="A7050" t="s">
        <v>628</v>
      </c>
      <c r="B7050" t="s">
        <v>162</v>
      </c>
      <c r="C7050" t="s">
        <v>175</v>
      </c>
      <c r="D7050" t="s">
        <v>746</v>
      </c>
      <c r="E7050" t="s">
        <v>772</v>
      </c>
      <c r="F7050">
        <v>7</v>
      </c>
      <c r="G7050" s="308">
        <f>COMEDORES!Q204</f>
        <v>3450</v>
      </c>
      <c r="H7050" s="308">
        <f>COMEDORES!R204</f>
        <v>0</v>
      </c>
    </row>
    <row r="7051" spans="1:8" x14ac:dyDescent="0.3">
      <c r="A7051" t="s">
        <v>628</v>
      </c>
      <c r="B7051" t="s">
        <v>162</v>
      </c>
      <c r="C7051" t="s">
        <v>176</v>
      </c>
      <c r="D7051" t="s">
        <v>745</v>
      </c>
      <c r="E7051" t="s">
        <v>766</v>
      </c>
      <c r="F7051">
        <v>1</v>
      </c>
      <c r="G7051" s="308">
        <f>COMEDORES!E205</f>
        <v>0</v>
      </c>
      <c r="H7051" s="308">
        <f>COMEDORES!F205</f>
        <v>0</v>
      </c>
    </row>
    <row r="7052" spans="1:8" x14ac:dyDescent="0.3">
      <c r="A7052" t="s">
        <v>628</v>
      </c>
      <c r="B7052" t="s">
        <v>162</v>
      </c>
      <c r="C7052" t="s">
        <v>176</v>
      </c>
      <c r="D7052" t="s">
        <v>745</v>
      </c>
      <c r="E7052" t="s">
        <v>767</v>
      </c>
      <c r="F7052">
        <v>2</v>
      </c>
      <c r="G7052" s="308">
        <f>COMEDORES!G205</f>
        <v>0</v>
      </c>
      <c r="H7052" s="308">
        <f>COMEDORES!H205</f>
        <v>0</v>
      </c>
    </row>
    <row r="7053" spans="1:8" x14ac:dyDescent="0.3">
      <c r="A7053" t="s">
        <v>628</v>
      </c>
      <c r="B7053" t="s">
        <v>162</v>
      </c>
      <c r="C7053" t="s">
        <v>176</v>
      </c>
      <c r="D7053" t="s">
        <v>745</v>
      </c>
      <c r="E7053" t="s">
        <v>768</v>
      </c>
      <c r="F7053">
        <v>3</v>
      </c>
      <c r="G7053" s="308">
        <f>COMEDORES!I205</f>
        <v>0</v>
      </c>
      <c r="H7053" s="308">
        <f>COMEDORES!J205</f>
        <v>0</v>
      </c>
    </row>
    <row r="7054" spans="1:8" x14ac:dyDescent="0.3">
      <c r="A7054" t="s">
        <v>628</v>
      </c>
      <c r="B7054" t="s">
        <v>162</v>
      </c>
      <c r="C7054" t="s">
        <v>176</v>
      </c>
      <c r="D7054" t="s">
        <v>745</v>
      </c>
      <c r="E7054" t="s">
        <v>769</v>
      </c>
      <c r="F7054">
        <v>4</v>
      </c>
      <c r="G7054" s="308">
        <f>COMEDORES!K205</f>
        <v>2175</v>
      </c>
      <c r="H7054" s="308">
        <f>COMEDORES!L205</f>
        <v>0</v>
      </c>
    </row>
    <row r="7055" spans="1:8" x14ac:dyDescent="0.3">
      <c r="A7055" t="s">
        <v>628</v>
      </c>
      <c r="B7055" t="s">
        <v>162</v>
      </c>
      <c r="C7055" t="s">
        <v>176</v>
      </c>
      <c r="D7055" t="s">
        <v>745</v>
      </c>
      <c r="E7055" t="s">
        <v>770</v>
      </c>
      <c r="F7055">
        <v>5</v>
      </c>
      <c r="G7055" s="308">
        <f>COMEDORES!M205</f>
        <v>2500</v>
      </c>
      <c r="H7055" s="308">
        <f>COMEDORES!N205</f>
        <v>184785.75</v>
      </c>
    </row>
    <row r="7056" spans="1:8" x14ac:dyDescent="0.3">
      <c r="A7056" t="s">
        <v>628</v>
      </c>
      <c r="B7056" t="s">
        <v>162</v>
      </c>
      <c r="C7056" t="s">
        <v>176</v>
      </c>
      <c r="D7056" t="s">
        <v>745</v>
      </c>
      <c r="E7056" t="s">
        <v>771</v>
      </c>
      <c r="F7056">
        <v>6</v>
      </c>
      <c r="G7056" s="308">
        <f>COMEDORES!O205</f>
        <v>2625</v>
      </c>
      <c r="H7056" s="308">
        <f>COMEDORES!P205</f>
        <v>207825</v>
      </c>
    </row>
    <row r="7057" spans="1:8" x14ac:dyDescent="0.3">
      <c r="A7057" t="s">
        <v>628</v>
      </c>
      <c r="B7057" t="s">
        <v>162</v>
      </c>
      <c r="C7057" t="s">
        <v>176</v>
      </c>
      <c r="D7057" t="s">
        <v>745</v>
      </c>
      <c r="E7057" t="s">
        <v>772</v>
      </c>
      <c r="F7057">
        <v>7</v>
      </c>
      <c r="G7057" s="308">
        <f>COMEDORES!Q205</f>
        <v>2875</v>
      </c>
      <c r="H7057" s="308">
        <f>COMEDORES!R205</f>
        <v>218216.25</v>
      </c>
    </row>
    <row r="7058" spans="1:8" x14ac:dyDescent="0.3">
      <c r="A7058" t="s">
        <v>628</v>
      </c>
      <c r="B7058" t="s">
        <v>162</v>
      </c>
      <c r="C7058" t="s">
        <v>176</v>
      </c>
      <c r="D7058" t="s">
        <v>746</v>
      </c>
      <c r="E7058" t="s">
        <v>766</v>
      </c>
      <c r="F7058">
        <v>1</v>
      </c>
      <c r="G7058" s="308">
        <f>COMEDORES!E206</f>
        <v>0</v>
      </c>
      <c r="H7058" s="308">
        <f>COMEDORES!F206</f>
        <v>0</v>
      </c>
    </row>
    <row r="7059" spans="1:8" x14ac:dyDescent="0.3">
      <c r="A7059" t="s">
        <v>628</v>
      </c>
      <c r="B7059" t="s">
        <v>162</v>
      </c>
      <c r="C7059" t="s">
        <v>176</v>
      </c>
      <c r="D7059" t="s">
        <v>746</v>
      </c>
      <c r="E7059" t="s">
        <v>767</v>
      </c>
      <c r="F7059">
        <v>2</v>
      </c>
      <c r="G7059" s="308">
        <f>COMEDORES!G206</f>
        <v>0</v>
      </c>
      <c r="H7059" s="308">
        <f>COMEDORES!H206</f>
        <v>0</v>
      </c>
    </row>
    <row r="7060" spans="1:8" x14ac:dyDescent="0.3">
      <c r="A7060" t="s">
        <v>628</v>
      </c>
      <c r="B7060" t="s">
        <v>162</v>
      </c>
      <c r="C7060" t="s">
        <v>176</v>
      </c>
      <c r="D7060" t="s">
        <v>746</v>
      </c>
      <c r="E7060" t="s">
        <v>768</v>
      </c>
      <c r="F7060">
        <v>3</v>
      </c>
      <c r="G7060" s="308">
        <f>COMEDORES!I206</f>
        <v>0</v>
      </c>
      <c r="H7060" s="308">
        <f>COMEDORES!J206</f>
        <v>0</v>
      </c>
    </row>
    <row r="7061" spans="1:8" x14ac:dyDescent="0.3">
      <c r="A7061" t="s">
        <v>628</v>
      </c>
      <c r="B7061" t="s">
        <v>162</v>
      </c>
      <c r="C7061" t="s">
        <v>176</v>
      </c>
      <c r="D7061" t="s">
        <v>746</v>
      </c>
      <c r="E7061" t="s">
        <v>769</v>
      </c>
      <c r="F7061">
        <v>4</v>
      </c>
      <c r="G7061" s="308">
        <f>COMEDORES!K206</f>
        <v>3600</v>
      </c>
      <c r="H7061" s="308">
        <f>COMEDORES!L206</f>
        <v>0</v>
      </c>
    </row>
    <row r="7062" spans="1:8" x14ac:dyDescent="0.3">
      <c r="A7062" t="s">
        <v>628</v>
      </c>
      <c r="B7062" t="s">
        <v>162</v>
      </c>
      <c r="C7062" t="s">
        <v>176</v>
      </c>
      <c r="D7062" t="s">
        <v>746</v>
      </c>
      <c r="E7062" t="s">
        <v>770</v>
      </c>
      <c r="F7062">
        <v>5</v>
      </c>
      <c r="G7062" s="308">
        <f>COMEDORES!M206</f>
        <v>4000</v>
      </c>
      <c r="H7062" s="308">
        <f>COMEDORES!N206</f>
        <v>0</v>
      </c>
    </row>
    <row r="7063" spans="1:8" x14ac:dyDescent="0.3">
      <c r="A7063" t="s">
        <v>628</v>
      </c>
      <c r="B7063" t="s">
        <v>162</v>
      </c>
      <c r="C7063" t="s">
        <v>176</v>
      </c>
      <c r="D7063" t="s">
        <v>746</v>
      </c>
      <c r="E7063" t="s">
        <v>771</v>
      </c>
      <c r="F7063">
        <v>6</v>
      </c>
      <c r="G7063" s="308">
        <f>COMEDORES!O206</f>
        <v>4200</v>
      </c>
      <c r="H7063" s="308">
        <f>COMEDORES!P206</f>
        <v>0</v>
      </c>
    </row>
    <row r="7064" spans="1:8" x14ac:dyDescent="0.3">
      <c r="A7064" t="s">
        <v>628</v>
      </c>
      <c r="B7064" t="s">
        <v>162</v>
      </c>
      <c r="C7064" t="s">
        <v>176</v>
      </c>
      <c r="D7064" t="s">
        <v>746</v>
      </c>
      <c r="E7064" t="s">
        <v>772</v>
      </c>
      <c r="F7064">
        <v>7</v>
      </c>
      <c r="G7064" s="308">
        <f>COMEDORES!Q206</f>
        <v>4600</v>
      </c>
      <c r="H7064" s="308">
        <f>COMEDORES!R206</f>
        <v>0</v>
      </c>
    </row>
    <row r="7065" spans="1:8" x14ac:dyDescent="0.3">
      <c r="A7065" t="s">
        <v>628</v>
      </c>
      <c r="B7065" t="s">
        <v>162</v>
      </c>
      <c r="C7065" t="s">
        <v>401</v>
      </c>
      <c r="D7065" t="s">
        <v>745</v>
      </c>
      <c r="E7065" t="s">
        <v>766</v>
      </c>
      <c r="F7065">
        <v>1</v>
      </c>
      <c r="G7065" s="308">
        <f>COMEDORES!E207</f>
        <v>0</v>
      </c>
      <c r="H7065" s="308">
        <f>COMEDORES!F207</f>
        <v>0</v>
      </c>
    </row>
    <row r="7066" spans="1:8" x14ac:dyDescent="0.3">
      <c r="A7066" t="s">
        <v>628</v>
      </c>
      <c r="B7066" t="s">
        <v>162</v>
      </c>
      <c r="C7066" t="s">
        <v>401</v>
      </c>
      <c r="D7066" t="s">
        <v>745</v>
      </c>
      <c r="E7066" t="s">
        <v>767</v>
      </c>
      <c r="F7066">
        <v>2</v>
      </c>
      <c r="G7066" s="308">
        <f>COMEDORES!G207</f>
        <v>0</v>
      </c>
      <c r="H7066" s="308">
        <f>COMEDORES!H207</f>
        <v>0</v>
      </c>
    </row>
    <row r="7067" spans="1:8" x14ac:dyDescent="0.3">
      <c r="A7067" t="s">
        <v>628</v>
      </c>
      <c r="B7067" t="s">
        <v>162</v>
      </c>
      <c r="C7067" t="s">
        <v>401</v>
      </c>
      <c r="D7067" t="s">
        <v>745</v>
      </c>
      <c r="E7067" t="s">
        <v>768</v>
      </c>
      <c r="F7067">
        <v>3</v>
      </c>
      <c r="G7067" s="308">
        <f>COMEDORES!I207</f>
        <v>0</v>
      </c>
      <c r="H7067" s="308">
        <f>COMEDORES!J207</f>
        <v>0</v>
      </c>
    </row>
    <row r="7068" spans="1:8" x14ac:dyDescent="0.3">
      <c r="A7068" t="s">
        <v>628</v>
      </c>
      <c r="B7068" t="s">
        <v>162</v>
      </c>
      <c r="C7068" t="s">
        <v>401</v>
      </c>
      <c r="D7068" t="s">
        <v>745</v>
      </c>
      <c r="E7068" t="s">
        <v>769</v>
      </c>
      <c r="F7068">
        <v>4</v>
      </c>
      <c r="G7068" s="308">
        <f>COMEDORES!K207</f>
        <v>0</v>
      </c>
      <c r="H7068" s="308">
        <f>COMEDORES!L207</f>
        <v>0</v>
      </c>
    </row>
    <row r="7069" spans="1:8" x14ac:dyDescent="0.3">
      <c r="A7069" t="s">
        <v>628</v>
      </c>
      <c r="B7069" t="s">
        <v>162</v>
      </c>
      <c r="C7069" t="s">
        <v>401</v>
      </c>
      <c r="D7069" t="s">
        <v>745</v>
      </c>
      <c r="E7069" t="s">
        <v>770</v>
      </c>
      <c r="F7069">
        <v>5</v>
      </c>
      <c r="G7069" s="308">
        <f>COMEDORES!M207</f>
        <v>0</v>
      </c>
      <c r="H7069" s="308">
        <f>COMEDORES!N207</f>
        <v>0</v>
      </c>
    </row>
    <row r="7070" spans="1:8" x14ac:dyDescent="0.3">
      <c r="A7070" t="s">
        <v>628</v>
      </c>
      <c r="B7070" t="s">
        <v>162</v>
      </c>
      <c r="C7070" t="s">
        <v>401</v>
      </c>
      <c r="D7070" t="s">
        <v>745</v>
      </c>
      <c r="E7070" t="s">
        <v>771</v>
      </c>
      <c r="F7070">
        <v>6</v>
      </c>
      <c r="G7070" s="308">
        <f>COMEDORES!O207</f>
        <v>1700</v>
      </c>
      <c r="H7070" s="308">
        <f>COMEDORES!P207</f>
        <v>0</v>
      </c>
    </row>
    <row r="7071" spans="1:8" x14ac:dyDescent="0.3">
      <c r="A7071" t="s">
        <v>628</v>
      </c>
      <c r="B7071" t="s">
        <v>162</v>
      </c>
      <c r="C7071" t="s">
        <v>401</v>
      </c>
      <c r="D7071" t="s">
        <v>745</v>
      </c>
      <c r="E7071" t="s">
        <v>772</v>
      </c>
      <c r="F7071">
        <v>7</v>
      </c>
      <c r="G7071" s="308">
        <f>COMEDORES!Q207</f>
        <v>2300</v>
      </c>
      <c r="H7071" s="308">
        <f>COMEDORES!R207</f>
        <v>135685.5</v>
      </c>
    </row>
    <row r="7072" spans="1:8" x14ac:dyDescent="0.3">
      <c r="A7072" t="s">
        <v>628</v>
      </c>
      <c r="B7072" t="s">
        <v>162</v>
      </c>
      <c r="C7072" t="s">
        <v>401</v>
      </c>
      <c r="D7072" t="s">
        <v>746</v>
      </c>
      <c r="E7072" t="s">
        <v>766</v>
      </c>
      <c r="F7072">
        <v>1</v>
      </c>
      <c r="G7072" s="308">
        <f>COMEDORES!E208</f>
        <v>0</v>
      </c>
      <c r="H7072" s="308">
        <f>COMEDORES!F208</f>
        <v>0</v>
      </c>
    </row>
    <row r="7073" spans="1:8" x14ac:dyDescent="0.3">
      <c r="A7073" t="s">
        <v>628</v>
      </c>
      <c r="B7073" t="s">
        <v>162</v>
      </c>
      <c r="C7073" t="s">
        <v>401</v>
      </c>
      <c r="D7073" t="s">
        <v>746</v>
      </c>
      <c r="E7073" t="s">
        <v>767</v>
      </c>
      <c r="F7073">
        <v>2</v>
      </c>
      <c r="G7073" s="308">
        <f>COMEDORES!G208</f>
        <v>0</v>
      </c>
      <c r="H7073" s="308">
        <f>COMEDORES!H208</f>
        <v>0</v>
      </c>
    </row>
    <row r="7074" spans="1:8" x14ac:dyDescent="0.3">
      <c r="A7074" t="s">
        <v>628</v>
      </c>
      <c r="B7074" t="s">
        <v>162</v>
      </c>
      <c r="C7074" t="s">
        <v>401</v>
      </c>
      <c r="D7074" t="s">
        <v>746</v>
      </c>
      <c r="E7074" t="s">
        <v>768</v>
      </c>
      <c r="F7074">
        <v>3</v>
      </c>
      <c r="G7074" s="308">
        <f>COMEDORES!I208</f>
        <v>0</v>
      </c>
      <c r="H7074" s="308">
        <f>COMEDORES!J208</f>
        <v>0</v>
      </c>
    </row>
    <row r="7075" spans="1:8" x14ac:dyDescent="0.3">
      <c r="A7075" t="s">
        <v>628</v>
      </c>
      <c r="B7075" t="s">
        <v>162</v>
      </c>
      <c r="C7075" t="s">
        <v>401</v>
      </c>
      <c r="D7075" t="s">
        <v>746</v>
      </c>
      <c r="E7075" t="s">
        <v>769</v>
      </c>
      <c r="F7075">
        <v>4</v>
      </c>
      <c r="G7075" s="308">
        <f>COMEDORES!K208</f>
        <v>0</v>
      </c>
      <c r="H7075" s="308">
        <f>COMEDORES!L208</f>
        <v>0</v>
      </c>
    </row>
    <row r="7076" spans="1:8" x14ac:dyDescent="0.3">
      <c r="A7076" t="s">
        <v>628</v>
      </c>
      <c r="B7076" t="s">
        <v>162</v>
      </c>
      <c r="C7076" t="s">
        <v>401</v>
      </c>
      <c r="D7076" t="s">
        <v>746</v>
      </c>
      <c r="E7076" t="s">
        <v>770</v>
      </c>
      <c r="F7076">
        <v>5</v>
      </c>
      <c r="G7076" s="308">
        <f>COMEDORES!M208</f>
        <v>0</v>
      </c>
      <c r="H7076" s="308">
        <f>COMEDORES!N208</f>
        <v>0</v>
      </c>
    </row>
    <row r="7077" spans="1:8" x14ac:dyDescent="0.3">
      <c r="A7077" t="s">
        <v>628</v>
      </c>
      <c r="B7077" t="s">
        <v>162</v>
      </c>
      <c r="C7077" t="s">
        <v>401</v>
      </c>
      <c r="D7077" t="s">
        <v>746</v>
      </c>
      <c r="E7077" t="s">
        <v>771</v>
      </c>
      <c r="F7077">
        <v>6</v>
      </c>
      <c r="G7077" s="308">
        <f>COMEDORES!O208</f>
        <v>2550</v>
      </c>
      <c r="H7077" s="308">
        <f>COMEDORES!P208</f>
        <v>0</v>
      </c>
    </row>
    <row r="7078" spans="1:8" x14ac:dyDescent="0.3">
      <c r="A7078" t="s">
        <v>628</v>
      </c>
      <c r="B7078" t="s">
        <v>162</v>
      </c>
      <c r="C7078" t="s">
        <v>401</v>
      </c>
      <c r="D7078" t="s">
        <v>746</v>
      </c>
      <c r="E7078" t="s">
        <v>772</v>
      </c>
      <c r="F7078">
        <v>7</v>
      </c>
      <c r="G7078" s="308">
        <f>COMEDORES!Q208</f>
        <v>3450</v>
      </c>
      <c r="H7078" s="308">
        <f>COMEDORES!R208</f>
        <v>0</v>
      </c>
    </row>
    <row r="7079" spans="1:8" x14ac:dyDescent="0.3">
      <c r="A7079" t="s">
        <v>628</v>
      </c>
      <c r="B7079" t="s">
        <v>402</v>
      </c>
      <c r="C7079" t="s">
        <v>125</v>
      </c>
      <c r="D7079" t="s">
        <v>745</v>
      </c>
      <c r="E7079" t="s">
        <v>766</v>
      </c>
      <c r="F7079">
        <v>1</v>
      </c>
      <c r="G7079" s="308">
        <f>COMEDORES!E209</f>
        <v>1600</v>
      </c>
      <c r="H7079" s="308">
        <f>COMEDORES!F209</f>
        <v>0</v>
      </c>
    </row>
    <row r="7080" spans="1:8" x14ac:dyDescent="0.3">
      <c r="A7080" t="s">
        <v>628</v>
      </c>
      <c r="B7080" t="s">
        <v>402</v>
      </c>
      <c r="C7080" t="s">
        <v>125</v>
      </c>
      <c r="D7080" t="s">
        <v>745</v>
      </c>
      <c r="E7080" t="s">
        <v>767</v>
      </c>
      <c r="F7080">
        <v>2</v>
      </c>
      <c r="G7080" s="308">
        <f>COMEDORES!G209</f>
        <v>2000</v>
      </c>
      <c r="H7080" s="308">
        <f>COMEDORES!H209</f>
        <v>89700</v>
      </c>
    </row>
    <row r="7081" spans="1:8" x14ac:dyDescent="0.3">
      <c r="A7081" t="s">
        <v>628</v>
      </c>
      <c r="B7081" t="s">
        <v>402</v>
      </c>
      <c r="C7081" t="s">
        <v>125</v>
      </c>
      <c r="D7081" t="s">
        <v>745</v>
      </c>
      <c r="E7081" t="s">
        <v>768</v>
      </c>
      <c r="F7081">
        <v>3</v>
      </c>
      <c r="G7081" s="308">
        <f>COMEDORES!I209</f>
        <v>2200</v>
      </c>
      <c r="H7081" s="308">
        <f>COMEDORES!J209</f>
        <v>169800</v>
      </c>
    </row>
    <row r="7082" spans="1:8" x14ac:dyDescent="0.3">
      <c r="A7082" t="s">
        <v>628</v>
      </c>
      <c r="B7082" t="s">
        <v>402</v>
      </c>
      <c r="C7082" t="s">
        <v>125</v>
      </c>
      <c r="D7082" t="s">
        <v>745</v>
      </c>
      <c r="E7082" t="s">
        <v>769</v>
      </c>
      <c r="F7082">
        <v>4</v>
      </c>
      <c r="G7082" s="308">
        <f>COMEDORES!K209</f>
        <v>1900</v>
      </c>
      <c r="H7082" s="308">
        <f>COMEDORES!L209</f>
        <v>196251</v>
      </c>
    </row>
    <row r="7083" spans="1:8" x14ac:dyDescent="0.3">
      <c r="A7083" t="s">
        <v>628</v>
      </c>
      <c r="B7083" t="s">
        <v>402</v>
      </c>
      <c r="C7083" t="s">
        <v>125</v>
      </c>
      <c r="D7083" t="s">
        <v>745</v>
      </c>
      <c r="E7083" t="s">
        <v>770</v>
      </c>
      <c r="F7083">
        <v>5</v>
      </c>
      <c r="G7083" s="308">
        <f>COMEDORES!M209</f>
        <v>2000</v>
      </c>
      <c r="H7083" s="308">
        <f>COMEDORES!N209</f>
        <v>169489.5</v>
      </c>
    </row>
    <row r="7084" spans="1:8" x14ac:dyDescent="0.3">
      <c r="A7084" t="s">
        <v>628</v>
      </c>
      <c r="B7084" t="s">
        <v>402</v>
      </c>
      <c r="C7084" t="s">
        <v>125</v>
      </c>
      <c r="D7084" t="s">
        <v>745</v>
      </c>
      <c r="E7084" t="s">
        <v>771</v>
      </c>
      <c r="F7084">
        <v>6</v>
      </c>
      <c r="G7084" s="308">
        <f>COMEDORES!O209</f>
        <v>2100</v>
      </c>
      <c r="H7084" s="308">
        <f>COMEDORES!P209</f>
        <v>178410</v>
      </c>
    </row>
    <row r="7085" spans="1:8" x14ac:dyDescent="0.3">
      <c r="A7085" t="s">
        <v>628</v>
      </c>
      <c r="B7085" t="s">
        <v>402</v>
      </c>
      <c r="C7085" t="s">
        <v>125</v>
      </c>
      <c r="D7085" t="s">
        <v>745</v>
      </c>
      <c r="E7085" t="s">
        <v>772</v>
      </c>
      <c r="F7085">
        <v>7</v>
      </c>
      <c r="G7085" s="308">
        <f>COMEDORES!Q209</f>
        <v>2300</v>
      </c>
      <c r="H7085" s="308">
        <f>COMEDORES!R209</f>
        <v>187330.5</v>
      </c>
    </row>
    <row r="7086" spans="1:8" x14ac:dyDescent="0.3">
      <c r="A7086" t="s">
        <v>628</v>
      </c>
      <c r="B7086" t="s">
        <v>402</v>
      </c>
      <c r="C7086" t="s">
        <v>125</v>
      </c>
      <c r="D7086" t="s">
        <v>746</v>
      </c>
      <c r="E7086" t="s">
        <v>766</v>
      </c>
      <c r="F7086">
        <v>1</v>
      </c>
      <c r="G7086" s="308">
        <f>COMEDORES!E210</f>
        <v>2550</v>
      </c>
      <c r="H7086" s="308">
        <f>COMEDORES!F210</f>
        <v>0</v>
      </c>
    </row>
    <row r="7087" spans="1:8" x14ac:dyDescent="0.3">
      <c r="A7087" t="s">
        <v>628</v>
      </c>
      <c r="B7087" t="s">
        <v>402</v>
      </c>
      <c r="C7087" t="s">
        <v>125</v>
      </c>
      <c r="D7087" t="s">
        <v>746</v>
      </c>
      <c r="E7087" t="s">
        <v>767</v>
      </c>
      <c r="F7087">
        <v>2</v>
      </c>
      <c r="G7087" s="308">
        <f>COMEDORES!G210</f>
        <v>3000</v>
      </c>
      <c r="H7087" s="308">
        <f>COMEDORES!H210</f>
        <v>0</v>
      </c>
    </row>
    <row r="7088" spans="1:8" x14ac:dyDescent="0.3">
      <c r="A7088" t="s">
        <v>628</v>
      </c>
      <c r="B7088" t="s">
        <v>402</v>
      </c>
      <c r="C7088" t="s">
        <v>125</v>
      </c>
      <c r="D7088" t="s">
        <v>746</v>
      </c>
      <c r="E7088" t="s">
        <v>768</v>
      </c>
      <c r="F7088">
        <v>3</v>
      </c>
      <c r="G7088" s="308">
        <f>COMEDORES!I210</f>
        <v>3300</v>
      </c>
      <c r="H7088" s="308">
        <f>COMEDORES!J210</f>
        <v>0</v>
      </c>
    </row>
    <row r="7089" spans="1:8" x14ac:dyDescent="0.3">
      <c r="A7089" t="s">
        <v>628</v>
      </c>
      <c r="B7089" t="s">
        <v>402</v>
      </c>
      <c r="C7089" t="s">
        <v>125</v>
      </c>
      <c r="D7089" t="s">
        <v>746</v>
      </c>
      <c r="E7089" t="s">
        <v>769</v>
      </c>
      <c r="F7089">
        <v>4</v>
      </c>
      <c r="G7089" s="308">
        <f>COMEDORES!K210</f>
        <v>2850</v>
      </c>
      <c r="H7089" s="308">
        <f>COMEDORES!L210</f>
        <v>0</v>
      </c>
    </row>
    <row r="7090" spans="1:8" x14ac:dyDescent="0.3">
      <c r="A7090" t="s">
        <v>628</v>
      </c>
      <c r="B7090" t="s">
        <v>402</v>
      </c>
      <c r="C7090" t="s">
        <v>125</v>
      </c>
      <c r="D7090" t="s">
        <v>746</v>
      </c>
      <c r="E7090" t="s">
        <v>770</v>
      </c>
      <c r="F7090">
        <v>5</v>
      </c>
      <c r="G7090" s="308">
        <f>COMEDORES!M210</f>
        <v>3000</v>
      </c>
      <c r="H7090" s="308">
        <f>COMEDORES!N210</f>
        <v>0</v>
      </c>
    </row>
    <row r="7091" spans="1:8" x14ac:dyDescent="0.3">
      <c r="A7091" t="s">
        <v>628</v>
      </c>
      <c r="B7091" t="s">
        <v>402</v>
      </c>
      <c r="C7091" t="s">
        <v>125</v>
      </c>
      <c r="D7091" t="s">
        <v>746</v>
      </c>
      <c r="E7091" t="s">
        <v>771</v>
      </c>
      <c r="F7091">
        <v>6</v>
      </c>
      <c r="G7091" s="308">
        <f>COMEDORES!O210</f>
        <v>3150</v>
      </c>
      <c r="H7091" s="308">
        <f>COMEDORES!P210</f>
        <v>0</v>
      </c>
    </row>
    <row r="7092" spans="1:8" x14ac:dyDescent="0.3">
      <c r="A7092" t="s">
        <v>628</v>
      </c>
      <c r="B7092" t="s">
        <v>402</v>
      </c>
      <c r="C7092" t="s">
        <v>125</v>
      </c>
      <c r="D7092" t="s">
        <v>746</v>
      </c>
      <c r="E7092" t="s">
        <v>772</v>
      </c>
      <c r="F7092">
        <v>7</v>
      </c>
      <c r="G7092" s="308">
        <f>COMEDORES!Q210</f>
        <v>3450</v>
      </c>
      <c r="H7092" s="308">
        <f>COMEDORES!R210</f>
        <v>0</v>
      </c>
    </row>
    <row r="7093" spans="1:8" x14ac:dyDescent="0.3">
      <c r="A7093" t="s">
        <v>628</v>
      </c>
      <c r="B7093" t="s">
        <v>402</v>
      </c>
      <c r="C7093" t="s">
        <v>183</v>
      </c>
      <c r="D7093" t="s">
        <v>745</v>
      </c>
      <c r="E7093" t="s">
        <v>766</v>
      </c>
      <c r="F7093">
        <v>1</v>
      </c>
      <c r="G7093" s="308">
        <f>COMEDORES!E211</f>
        <v>2400</v>
      </c>
      <c r="H7093" s="308">
        <f>COMEDORES!F211</f>
        <v>0</v>
      </c>
    </row>
    <row r="7094" spans="1:8" x14ac:dyDescent="0.3">
      <c r="A7094" t="s">
        <v>628</v>
      </c>
      <c r="B7094" t="s">
        <v>402</v>
      </c>
      <c r="C7094" t="s">
        <v>183</v>
      </c>
      <c r="D7094" t="s">
        <v>745</v>
      </c>
      <c r="E7094" t="s">
        <v>767</v>
      </c>
      <c r="F7094">
        <v>2</v>
      </c>
      <c r="G7094" s="308">
        <f>COMEDORES!G211</f>
        <v>3000</v>
      </c>
      <c r="H7094" s="308">
        <f>COMEDORES!H211</f>
        <v>173000</v>
      </c>
    </row>
    <row r="7095" spans="1:8" x14ac:dyDescent="0.3">
      <c r="A7095" t="s">
        <v>628</v>
      </c>
      <c r="B7095" t="s">
        <v>402</v>
      </c>
      <c r="C7095" t="s">
        <v>183</v>
      </c>
      <c r="D7095" t="s">
        <v>745</v>
      </c>
      <c r="E7095" t="s">
        <v>768</v>
      </c>
      <c r="F7095">
        <v>3</v>
      </c>
      <c r="G7095" s="308">
        <f>COMEDORES!I211</f>
        <v>3300</v>
      </c>
      <c r="H7095" s="308">
        <f>COMEDORES!J211</f>
        <v>166950</v>
      </c>
    </row>
    <row r="7096" spans="1:8" x14ac:dyDescent="0.3">
      <c r="A7096" t="s">
        <v>628</v>
      </c>
      <c r="B7096" t="s">
        <v>402</v>
      </c>
      <c r="C7096" t="s">
        <v>183</v>
      </c>
      <c r="D7096" t="s">
        <v>745</v>
      </c>
      <c r="E7096" t="s">
        <v>769</v>
      </c>
      <c r="F7096">
        <v>4</v>
      </c>
      <c r="G7096" s="308">
        <f>COMEDORES!K211</f>
        <v>2850</v>
      </c>
      <c r="H7096" s="308">
        <f>COMEDORES!L211</f>
        <v>273999</v>
      </c>
    </row>
    <row r="7097" spans="1:8" x14ac:dyDescent="0.3">
      <c r="A7097" t="s">
        <v>628</v>
      </c>
      <c r="B7097" t="s">
        <v>402</v>
      </c>
      <c r="C7097" t="s">
        <v>183</v>
      </c>
      <c r="D7097" t="s">
        <v>745</v>
      </c>
      <c r="E7097" t="s">
        <v>770</v>
      </c>
      <c r="F7097">
        <v>5</v>
      </c>
      <c r="G7097" s="308">
        <f>COMEDORES!M211</f>
        <v>3000</v>
      </c>
      <c r="H7097" s="308">
        <f>COMEDORES!N211</f>
        <v>236635.5</v>
      </c>
    </row>
    <row r="7098" spans="1:8" x14ac:dyDescent="0.3">
      <c r="A7098" t="s">
        <v>628</v>
      </c>
      <c r="B7098" t="s">
        <v>402</v>
      </c>
      <c r="C7098" t="s">
        <v>183</v>
      </c>
      <c r="D7098" t="s">
        <v>745</v>
      </c>
      <c r="E7098" t="s">
        <v>771</v>
      </c>
      <c r="F7098">
        <v>6</v>
      </c>
      <c r="G7098" s="308">
        <f>COMEDORES!O211</f>
        <v>3150</v>
      </c>
      <c r="H7098" s="308">
        <f>COMEDORES!P211</f>
        <v>249090</v>
      </c>
    </row>
    <row r="7099" spans="1:8" x14ac:dyDescent="0.3">
      <c r="A7099" t="s">
        <v>628</v>
      </c>
      <c r="B7099" t="s">
        <v>402</v>
      </c>
      <c r="C7099" t="s">
        <v>183</v>
      </c>
      <c r="D7099" t="s">
        <v>745</v>
      </c>
      <c r="E7099" t="s">
        <v>772</v>
      </c>
      <c r="F7099">
        <v>7</v>
      </c>
      <c r="G7099" s="308">
        <f>COMEDORES!Q211</f>
        <v>3450</v>
      </c>
      <c r="H7099" s="308">
        <f>COMEDORES!R211</f>
        <v>261544.5</v>
      </c>
    </row>
    <row r="7100" spans="1:8" x14ac:dyDescent="0.3">
      <c r="A7100" t="s">
        <v>628</v>
      </c>
      <c r="B7100" t="s">
        <v>402</v>
      </c>
      <c r="C7100" t="s">
        <v>183</v>
      </c>
      <c r="D7100" t="s">
        <v>746</v>
      </c>
      <c r="E7100" t="s">
        <v>766</v>
      </c>
      <c r="F7100">
        <v>1</v>
      </c>
      <c r="G7100" s="308">
        <f>COMEDORES!E212</f>
        <v>3400</v>
      </c>
      <c r="H7100" s="308">
        <f>COMEDORES!F212</f>
        <v>0</v>
      </c>
    </row>
    <row r="7101" spans="1:8" x14ac:dyDescent="0.3">
      <c r="A7101" t="s">
        <v>628</v>
      </c>
      <c r="B7101" t="s">
        <v>402</v>
      </c>
      <c r="C7101" t="s">
        <v>183</v>
      </c>
      <c r="D7101" t="s">
        <v>746</v>
      </c>
      <c r="E7101" t="s">
        <v>767</v>
      </c>
      <c r="F7101">
        <v>2</v>
      </c>
      <c r="G7101" s="308">
        <f>COMEDORES!G212</f>
        <v>4000</v>
      </c>
      <c r="H7101" s="308">
        <f>COMEDORES!H212</f>
        <v>0</v>
      </c>
    </row>
    <row r="7102" spans="1:8" x14ac:dyDescent="0.3">
      <c r="A7102" t="s">
        <v>628</v>
      </c>
      <c r="B7102" t="s">
        <v>402</v>
      </c>
      <c r="C7102" t="s">
        <v>183</v>
      </c>
      <c r="D7102" t="s">
        <v>746</v>
      </c>
      <c r="E7102" t="s">
        <v>768</v>
      </c>
      <c r="F7102">
        <v>3</v>
      </c>
      <c r="G7102" s="308">
        <f>COMEDORES!I212</f>
        <v>4400</v>
      </c>
      <c r="H7102" s="308">
        <f>COMEDORES!J212</f>
        <v>0</v>
      </c>
    </row>
    <row r="7103" spans="1:8" x14ac:dyDescent="0.3">
      <c r="A7103" t="s">
        <v>628</v>
      </c>
      <c r="B7103" t="s">
        <v>402</v>
      </c>
      <c r="C7103" t="s">
        <v>183</v>
      </c>
      <c r="D7103" t="s">
        <v>746</v>
      </c>
      <c r="E7103" t="s">
        <v>769</v>
      </c>
      <c r="F7103">
        <v>4</v>
      </c>
      <c r="G7103" s="308">
        <f>COMEDORES!K212</f>
        <v>3800</v>
      </c>
      <c r="H7103" s="308">
        <f>COMEDORES!L212</f>
        <v>0</v>
      </c>
    </row>
    <row r="7104" spans="1:8" x14ac:dyDescent="0.3">
      <c r="A7104" t="s">
        <v>628</v>
      </c>
      <c r="B7104" t="s">
        <v>402</v>
      </c>
      <c r="C7104" t="s">
        <v>183</v>
      </c>
      <c r="D7104" t="s">
        <v>746</v>
      </c>
      <c r="E7104" t="s">
        <v>770</v>
      </c>
      <c r="F7104">
        <v>5</v>
      </c>
      <c r="G7104" s="308">
        <f>COMEDORES!M212</f>
        <v>4000</v>
      </c>
      <c r="H7104" s="308">
        <f>COMEDORES!N212</f>
        <v>0</v>
      </c>
    </row>
    <row r="7105" spans="1:8" x14ac:dyDescent="0.3">
      <c r="A7105" t="s">
        <v>628</v>
      </c>
      <c r="B7105" t="s">
        <v>402</v>
      </c>
      <c r="C7105" t="s">
        <v>183</v>
      </c>
      <c r="D7105" t="s">
        <v>746</v>
      </c>
      <c r="E7105" t="s">
        <v>771</v>
      </c>
      <c r="F7105">
        <v>6</v>
      </c>
      <c r="G7105" s="308">
        <f>COMEDORES!O212</f>
        <v>4200</v>
      </c>
      <c r="H7105" s="308">
        <f>COMEDORES!P212</f>
        <v>0</v>
      </c>
    </row>
    <row r="7106" spans="1:8" x14ac:dyDescent="0.3">
      <c r="A7106" t="s">
        <v>628</v>
      </c>
      <c r="B7106" t="s">
        <v>402</v>
      </c>
      <c r="C7106" t="s">
        <v>183</v>
      </c>
      <c r="D7106" t="s">
        <v>746</v>
      </c>
      <c r="E7106" t="s">
        <v>772</v>
      </c>
      <c r="F7106">
        <v>7</v>
      </c>
      <c r="G7106" s="308">
        <f>COMEDORES!Q212</f>
        <v>4573</v>
      </c>
      <c r="H7106" s="308">
        <f>COMEDORES!R212</f>
        <v>0</v>
      </c>
    </row>
    <row r="7107" spans="1:8" x14ac:dyDescent="0.3">
      <c r="A7107" t="s">
        <v>628</v>
      </c>
      <c r="B7107" t="s">
        <v>402</v>
      </c>
      <c r="C7107" t="s">
        <v>184</v>
      </c>
      <c r="D7107" t="s">
        <v>745</v>
      </c>
      <c r="E7107" t="s">
        <v>766</v>
      </c>
      <c r="F7107">
        <v>1</v>
      </c>
      <c r="G7107" s="308">
        <f>COMEDORES!E213</f>
        <v>2400</v>
      </c>
      <c r="H7107" s="308">
        <f>COMEDORES!F213</f>
        <v>0</v>
      </c>
    </row>
    <row r="7108" spans="1:8" x14ac:dyDescent="0.3">
      <c r="A7108" t="s">
        <v>628</v>
      </c>
      <c r="B7108" t="s">
        <v>402</v>
      </c>
      <c r="C7108" t="s">
        <v>184</v>
      </c>
      <c r="D7108" t="s">
        <v>745</v>
      </c>
      <c r="E7108" t="s">
        <v>767</v>
      </c>
      <c r="F7108">
        <v>2</v>
      </c>
      <c r="G7108" s="308">
        <f>COMEDORES!G213</f>
        <v>3000</v>
      </c>
      <c r="H7108" s="308">
        <f>COMEDORES!H213</f>
        <v>173000</v>
      </c>
    </row>
    <row r="7109" spans="1:8" x14ac:dyDescent="0.3">
      <c r="A7109" t="s">
        <v>628</v>
      </c>
      <c r="B7109" t="s">
        <v>402</v>
      </c>
      <c r="C7109" t="s">
        <v>184</v>
      </c>
      <c r="D7109" t="s">
        <v>745</v>
      </c>
      <c r="E7109" t="s">
        <v>768</v>
      </c>
      <c r="F7109">
        <v>3</v>
      </c>
      <c r="G7109" s="308">
        <f>COMEDORES!I213</f>
        <v>3300</v>
      </c>
      <c r="H7109" s="308">
        <f>COMEDORES!J213</f>
        <v>166950</v>
      </c>
    </row>
    <row r="7110" spans="1:8" x14ac:dyDescent="0.3">
      <c r="A7110" t="s">
        <v>628</v>
      </c>
      <c r="B7110" t="s">
        <v>402</v>
      </c>
      <c r="C7110" t="s">
        <v>184</v>
      </c>
      <c r="D7110" t="s">
        <v>745</v>
      </c>
      <c r="E7110" t="s">
        <v>769</v>
      </c>
      <c r="F7110">
        <v>4</v>
      </c>
      <c r="G7110" s="308">
        <f>COMEDORES!K213</f>
        <v>2850</v>
      </c>
      <c r="H7110" s="308">
        <f>COMEDORES!L213</f>
        <v>273999</v>
      </c>
    </row>
    <row r="7111" spans="1:8" x14ac:dyDescent="0.3">
      <c r="A7111" t="s">
        <v>628</v>
      </c>
      <c r="B7111" t="s">
        <v>402</v>
      </c>
      <c r="C7111" t="s">
        <v>184</v>
      </c>
      <c r="D7111" t="s">
        <v>745</v>
      </c>
      <c r="E7111" t="s">
        <v>770</v>
      </c>
      <c r="F7111">
        <v>5</v>
      </c>
      <c r="G7111" s="308">
        <f>COMEDORES!M213</f>
        <v>3000</v>
      </c>
      <c r="H7111" s="308">
        <f>COMEDORES!N213</f>
        <v>236635.5</v>
      </c>
    </row>
    <row r="7112" spans="1:8" x14ac:dyDescent="0.3">
      <c r="A7112" t="s">
        <v>628</v>
      </c>
      <c r="B7112" t="s">
        <v>402</v>
      </c>
      <c r="C7112" t="s">
        <v>184</v>
      </c>
      <c r="D7112" t="s">
        <v>745</v>
      </c>
      <c r="E7112" t="s">
        <v>771</v>
      </c>
      <c r="F7112">
        <v>6</v>
      </c>
      <c r="G7112" s="308">
        <f>COMEDORES!O213</f>
        <v>3150</v>
      </c>
      <c r="H7112" s="308">
        <f>COMEDORES!P213</f>
        <v>249090</v>
      </c>
    </row>
    <row r="7113" spans="1:8" x14ac:dyDescent="0.3">
      <c r="A7113" t="s">
        <v>628</v>
      </c>
      <c r="B7113" t="s">
        <v>402</v>
      </c>
      <c r="C7113" t="s">
        <v>184</v>
      </c>
      <c r="D7113" t="s">
        <v>745</v>
      </c>
      <c r="E7113" t="s">
        <v>772</v>
      </c>
      <c r="F7113">
        <v>7</v>
      </c>
      <c r="G7113" s="308">
        <f>COMEDORES!Q213</f>
        <v>3450</v>
      </c>
      <c r="H7113" s="308">
        <f>COMEDORES!R213</f>
        <v>261544.5</v>
      </c>
    </row>
    <row r="7114" spans="1:8" x14ac:dyDescent="0.3">
      <c r="A7114" t="s">
        <v>628</v>
      </c>
      <c r="B7114" t="s">
        <v>402</v>
      </c>
      <c r="C7114" t="s">
        <v>184</v>
      </c>
      <c r="D7114" t="s">
        <v>746</v>
      </c>
      <c r="E7114" t="s">
        <v>766</v>
      </c>
      <c r="F7114">
        <v>1</v>
      </c>
      <c r="G7114" s="308">
        <f>COMEDORES!E214</f>
        <v>3400</v>
      </c>
      <c r="H7114" s="308">
        <f>COMEDORES!F214</f>
        <v>0</v>
      </c>
    </row>
    <row r="7115" spans="1:8" x14ac:dyDescent="0.3">
      <c r="A7115" t="s">
        <v>628</v>
      </c>
      <c r="B7115" t="s">
        <v>402</v>
      </c>
      <c r="C7115" t="s">
        <v>184</v>
      </c>
      <c r="D7115" t="s">
        <v>746</v>
      </c>
      <c r="E7115" t="s">
        <v>767</v>
      </c>
      <c r="F7115">
        <v>2</v>
      </c>
      <c r="G7115" s="308">
        <f>COMEDORES!G214</f>
        <v>4000</v>
      </c>
      <c r="H7115" s="308">
        <f>COMEDORES!H214</f>
        <v>0</v>
      </c>
    </row>
    <row r="7116" spans="1:8" x14ac:dyDescent="0.3">
      <c r="A7116" t="s">
        <v>628</v>
      </c>
      <c r="B7116" t="s">
        <v>402</v>
      </c>
      <c r="C7116" t="s">
        <v>184</v>
      </c>
      <c r="D7116" t="s">
        <v>746</v>
      </c>
      <c r="E7116" t="s">
        <v>768</v>
      </c>
      <c r="F7116">
        <v>3</v>
      </c>
      <c r="G7116" s="308">
        <f>COMEDORES!I214</f>
        <v>4400</v>
      </c>
      <c r="H7116" s="308">
        <f>COMEDORES!J214</f>
        <v>0</v>
      </c>
    </row>
    <row r="7117" spans="1:8" x14ac:dyDescent="0.3">
      <c r="A7117" t="s">
        <v>628</v>
      </c>
      <c r="B7117" t="s">
        <v>402</v>
      </c>
      <c r="C7117" t="s">
        <v>184</v>
      </c>
      <c r="D7117" t="s">
        <v>746</v>
      </c>
      <c r="E7117" t="s">
        <v>769</v>
      </c>
      <c r="F7117">
        <v>4</v>
      </c>
      <c r="G7117" s="308">
        <f>COMEDORES!K214</f>
        <v>3800</v>
      </c>
      <c r="H7117" s="308">
        <f>COMEDORES!L214</f>
        <v>0</v>
      </c>
    </row>
    <row r="7118" spans="1:8" x14ac:dyDescent="0.3">
      <c r="A7118" t="s">
        <v>628</v>
      </c>
      <c r="B7118" t="s">
        <v>402</v>
      </c>
      <c r="C7118" t="s">
        <v>184</v>
      </c>
      <c r="D7118" t="s">
        <v>746</v>
      </c>
      <c r="E7118" t="s">
        <v>770</v>
      </c>
      <c r="F7118">
        <v>5</v>
      </c>
      <c r="G7118" s="308">
        <f>COMEDORES!M214</f>
        <v>4000</v>
      </c>
      <c r="H7118" s="308">
        <f>COMEDORES!N214</f>
        <v>0</v>
      </c>
    </row>
    <row r="7119" spans="1:8" x14ac:dyDescent="0.3">
      <c r="A7119" t="s">
        <v>628</v>
      </c>
      <c r="B7119" t="s">
        <v>402</v>
      </c>
      <c r="C7119" t="s">
        <v>184</v>
      </c>
      <c r="D7119" t="s">
        <v>746</v>
      </c>
      <c r="E7119" t="s">
        <v>771</v>
      </c>
      <c r="F7119">
        <v>6</v>
      </c>
      <c r="G7119" s="308">
        <f>COMEDORES!O214</f>
        <v>4200</v>
      </c>
      <c r="H7119" s="308">
        <f>COMEDORES!P214</f>
        <v>0</v>
      </c>
    </row>
    <row r="7120" spans="1:8" x14ac:dyDescent="0.3">
      <c r="A7120" t="s">
        <v>628</v>
      </c>
      <c r="B7120" t="s">
        <v>402</v>
      </c>
      <c r="C7120" t="s">
        <v>184</v>
      </c>
      <c r="D7120" t="s">
        <v>746</v>
      </c>
      <c r="E7120" t="s">
        <v>772</v>
      </c>
      <c r="F7120">
        <v>7</v>
      </c>
      <c r="G7120" s="308">
        <f>COMEDORES!Q214</f>
        <v>4600</v>
      </c>
      <c r="H7120" s="308">
        <f>COMEDORES!R214</f>
        <v>0</v>
      </c>
    </row>
    <row r="7121" spans="1:8" x14ac:dyDescent="0.3">
      <c r="A7121" t="s">
        <v>628</v>
      </c>
      <c r="B7121" t="s">
        <v>402</v>
      </c>
      <c r="C7121" t="s">
        <v>186</v>
      </c>
      <c r="D7121" t="s">
        <v>745</v>
      </c>
      <c r="E7121" t="s">
        <v>766</v>
      </c>
      <c r="F7121">
        <v>1</v>
      </c>
      <c r="G7121" s="308">
        <f>COMEDORES!E215</f>
        <v>1600</v>
      </c>
      <c r="H7121" s="308">
        <f>COMEDORES!F215</f>
        <v>0</v>
      </c>
    </row>
    <row r="7122" spans="1:8" x14ac:dyDescent="0.3">
      <c r="A7122" t="s">
        <v>628</v>
      </c>
      <c r="B7122" t="s">
        <v>402</v>
      </c>
      <c r="C7122" t="s">
        <v>186</v>
      </c>
      <c r="D7122" t="s">
        <v>745</v>
      </c>
      <c r="E7122" t="s">
        <v>767</v>
      </c>
      <c r="F7122">
        <v>2</v>
      </c>
      <c r="G7122" s="308">
        <f>COMEDORES!G215</f>
        <v>2000</v>
      </c>
      <c r="H7122" s="308">
        <f>COMEDORES!H215</f>
        <v>138675</v>
      </c>
    </row>
    <row r="7123" spans="1:8" x14ac:dyDescent="0.3">
      <c r="A7123" t="s">
        <v>628</v>
      </c>
      <c r="B7123" t="s">
        <v>402</v>
      </c>
      <c r="C7123" t="s">
        <v>186</v>
      </c>
      <c r="D7123" t="s">
        <v>745</v>
      </c>
      <c r="E7123" t="s">
        <v>768</v>
      </c>
      <c r="F7123">
        <v>3</v>
      </c>
      <c r="G7123" s="308">
        <f>COMEDORES!I215</f>
        <v>2200</v>
      </c>
      <c r="H7123" s="308">
        <f>COMEDORES!J215</f>
        <v>127350</v>
      </c>
    </row>
    <row r="7124" spans="1:8" x14ac:dyDescent="0.3">
      <c r="A7124" t="s">
        <v>628</v>
      </c>
      <c r="B7124" t="s">
        <v>402</v>
      </c>
      <c r="C7124" t="s">
        <v>186</v>
      </c>
      <c r="D7124" t="s">
        <v>745</v>
      </c>
      <c r="E7124" t="s">
        <v>769</v>
      </c>
      <c r="F7124">
        <v>4</v>
      </c>
      <c r="G7124" s="308">
        <f>COMEDORES!K215</f>
        <v>2250</v>
      </c>
      <c r="H7124" s="308">
        <f>COMEDORES!L215</f>
        <v>196251</v>
      </c>
    </row>
    <row r="7125" spans="1:8" x14ac:dyDescent="0.3">
      <c r="A7125" t="s">
        <v>628</v>
      </c>
      <c r="B7125" t="s">
        <v>402</v>
      </c>
      <c r="C7125" t="s">
        <v>186</v>
      </c>
      <c r="D7125" t="s">
        <v>745</v>
      </c>
      <c r="E7125" t="s">
        <v>770</v>
      </c>
      <c r="F7125">
        <v>5</v>
      </c>
      <c r="G7125" s="308">
        <f>COMEDORES!M215</f>
        <v>2500</v>
      </c>
      <c r="H7125" s="308">
        <f>COMEDORES!N215</f>
        <v>194227.5</v>
      </c>
    </row>
    <row r="7126" spans="1:8" x14ac:dyDescent="0.3">
      <c r="A7126" t="s">
        <v>628</v>
      </c>
      <c r="B7126" t="s">
        <v>402</v>
      </c>
      <c r="C7126" t="s">
        <v>186</v>
      </c>
      <c r="D7126" t="s">
        <v>745</v>
      </c>
      <c r="E7126" t="s">
        <v>771</v>
      </c>
      <c r="F7126">
        <v>6</v>
      </c>
      <c r="G7126" s="308">
        <f>COMEDORES!O215</f>
        <v>2625</v>
      </c>
      <c r="H7126" s="308">
        <f>COMEDORES!P215</f>
        <v>213750</v>
      </c>
    </row>
    <row r="7127" spans="1:8" x14ac:dyDescent="0.3">
      <c r="A7127" t="s">
        <v>628</v>
      </c>
      <c r="B7127" t="s">
        <v>402</v>
      </c>
      <c r="C7127" t="s">
        <v>186</v>
      </c>
      <c r="D7127" t="s">
        <v>745</v>
      </c>
      <c r="E7127" t="s">
        <v>772</v>
      </c>
      <c r="F7127">
        <v>7</v>
      </c>
      <c r="G7127" s="308">
        <f>COMEDORES!Q215</f>
        <v>2875</v>
      </c>
      <c r="H7127" s="308">
        <f>COMEDORES!R215</f>
        <v>224437.5</v>
      </c>
    </row>
    <row r="7128" spans="1:8" x14ac:dyDescent="0.3">
      <c r="A7128" t="s">
        <v>628</v>
      </c>
      <c r="B7128" t="s">
        <v>402</v>
      </c>
      <c r="C7128" t="s">
        <v>186</v>
      </c>
      <c r="D7128" t="s">
        <v>746</v>
      </c>
      <c r="E7128" t="s">
        <v>766</v>
      </c>
      <c r="F7128">
        <v>1</v>
      </c>
      <c r="G7128" s="308">
        <f>COMEDORES!E216</f>
        <v>2550</v>
      </c>
      <c r="H7128" s="308">
        <f>COMEDORES!F216</f>
        <v>0</v>
      </c>
    </row>
    <row r="7129" spans="1:8" x14ac:dyDescent="0.3">
      <c r="A7129" t="s">
        <v>628</v>
      </c>
      <c r="B7129" t="s">
        <v>402</v>
      </c>
      <c r="C7129" t="s">
        <v>186</v>
      </c>
      <c r="D7129" t="s">
        <v>746</v>
      </c>
      <c r="E7129" t="s">
        <v>767</v>
      </c>
      <c r="F7129">
        <v>2</v>
      </c>
      <c r="G7129" s="308">
        <f>COMEDORES!G216</f>
        <v>3000</v>
      </c>
      <c r="H7129" s="308">
        <f>COMEDORES!H216</f>
        <v>0</v>
      </c>
    </row>
    <row r="7130" spans="1:8" x14ac:dyDescent="0.3">
      <c r="A7130" t="s">
        <v>628</v>
      </c>
      <c r="B7130" t="s">
        <v>402</v>
      </c>
      <c r="C7130" t="s">
        <v>186</v>
      </c>
      <c r="D7130" t="s">
        <v>746</v>
      </c>
      <c r="E7130" t="s">
        <v>768</v>
      </c>
      <c r="F7130">
        <v>3</v>
      </c>
      <c r="G7130" s="308">
        <f>COMEDORES!I216</f>
        <v>3300</v>
      </c>
      <c r="H7130" s="308">
        <f>COMEDORES!J216</f>
        <v>0</v>
      </c>
    </row>
    <row r="7131" spans="1:8" x14ac:dyDescent="0.3">
      <c r="A7131" t="s">
        <v>628</v>
      </c>
      <c r="B7131" t="s">
        <v>402</v>
      </c>
      <c r="C7131" t="s">
        <v>186</v>
      </c>
      <c r="D7131" t="s">
        <v>746</v>
      </c>
      <c r="E7131" t="s">
        <v>769</v>
      </c>
      <c r="F7131">
        <v>4</v>
      </c>
      <c r="G7131" s="308">
        <f>COMEDORES!K216</f>
        <v>3200</v>
      </c>
      <c r="H7131" s="308">
        <f>COMEDORES!L216</f>
        <v>0</v>
      </c>
    </row>
    <row r="7132" spans="1:8" x14ac:dyDescent="0.3">
      <c r="A7132" t="s">
        <v>628</v>
      </c>
      <c r="B7132" t="s">
        <v>402</v>
      </c>
      <c r="C7132" t="s">
        <v>186</v>
      </c>
      <c r="D7132" t="s">
        <v>746</v>
      </c>
      <c r="E7132" t="s">
        <v>770</v>
      </c>
      <c r="F7132">
        <v>5</v>
      </c>
      <c r="G7132" s="308">
        <f>COMEDORES!M216</f>
        <v>3500</v>
      </c>
      <c r="H7132" s="308">
        <f>COMEDORES!N216</f>
        <v>0</v>
      </c>
    </row>
    <row r="7133" spans="1:8" x14ac:dyDescent="0.3">
      <c r="A7133" t="s">
        <v>628</v>
      </c>
      <c r="B7133" t="s">
        <v>402</v>
      </c>
      <c r="C7133" t="s">
        <v>186</v>
      </c>
      <c r="D7133" t="s">
        <v>746</v>
      </c>
      <c r="E7133" t="s">
        <v>771</v>
      </c>
      <c r="F7133">
        <v>6</v>
      </c>
      <c r="G7133" s="308">
        <f>COMEDORES!O216</f>
        <v>3675</v>
      </c>
      <c r="H7133" s="308">
        <f>COMEDORES!P216</f>
        <v>0</v>
      </c>
    </row>
    <row r="7134" spans="1:8" x14ac:dyDescent="0.3">
      <c r="A7134" t="s">
        <v>628</v>
      </c>
      <c r="B7134" t="s">
        <v>402</v>
      </c>
      <c r="C7134" t="s">
        <v>186</v>
      </c>
      <c r="D7134" t="s">
        <v>746</v>
      </c>
      <c r="E7134" t="s">
        <v>772</v>
      </c>
      <c r="F7134">
        <v>7</v>
      </c>
      <c r="G7134" s="308">
        <f>COMEDORES!Q216</f>
        <v>4025</v>
      </c>
      <c r="H7134" s="308">
        <f>COMEDORES!R216</f>
        <v>0</v>
      </c>
    </row>
    <row r="7135" spans="1:8" x14ac:dyDescent="0.3">
      <c r="A7135" t="s">
        <v>628</v>
      </c>
      <c r="B7135" t="s">
        <v>402</v>
      </c>
      <c r="C7135" t="s">
        <v>188</v>
      </c>
      <c r="D7135" t="s">
        <v>745</v>
      </c>
      <c r="E7135" t="s">
        <v>766</v>
      </c>
      <c r="F7135">
        <v>1</v>
      </c>
      <c r="G7135" s="308">
        <f>COMEDORES!E217</f>
        <v>0</v>
      </c>
      <c r="H7135" s="308">
        <f>COMEDORES!F217</f>
        <v>0</v>
      </c>
    </row>
    <row r="7136" spans="1:8" x14ac:dyDescent="0.3">
      <c r="A7136" t="s">
        <v>628</v>
      </c>
      <c r="B7136" t="s">
        <v>402</v>
      </c>
      <c r="C7136" t="s">
        <v>188</v>
      </c>
      <c r="D7136" t="s">
        <v>745</v>
      </c>
      <c r="E7136" t="s">
        <v>767</v>
      </c>
      <c r="F7136">
        <v>2</v>
      </c>
      <c r="G7136" s="308">
        <f>COMEDORES!G217</f>
        <v>0</v>
      </c>
      <c r="H7136" s="308">
        <f>COMEDORES!H217</f>
        <v>0</v>
      </c>
    </row>
    <row r="7137" spans="1:8" x14ac:dyDescent="0.3">
      <c r="A7137" t="s">
        <v>628</v>
      </c>
      <c r="B7137" t="s">
        <v>402</v>
      </c>
      <c r="C7137" t="s">
        <v>188</v>
      </c>
      <c r="D7137" t="s">
        <v>745</v>
      </c>
      <c r="E7137" t="s">
        <v>768</v>
      </c>
      <c r="F7137">
        <v>3</v>
      </c>
      <c r="G7137" s="308">
        <f>COMEDORES!I217</f>
        <v>1600</v>
      </c>
      <c r="H7137" s="308">
        <f>COMEDORES!J217</f>
        <v>0</v>
      </c>
    </row>
    <row r="7138" spans="1:8" x14ac:dyDescent="0.3">
      <c r="A7138" t="s">
        <v>628</v>
      </c>
      <c r="B7138" t="s">
        <v>402</v>
      </c>
      <c r="C7138" t="s">
        <v>188</v>
      </c>
      <c r="D7138" t="s">
        <v>745</v>
      </c>
      <c r="E7138" t="s">
        <v>769</v>
      </c>
      <c r="F7138">
        <v>4</v>
      </c>
      <c r="G7138" s="308">
        <f>COMEDORES!K217</f>
        <v>1900</v>
      </c>
      <c r="H7138" s="308">
        <f>COMEDORES!L217</f>
        <v>139365</v>
      </c>
    </row>
    <row r="7139" spans="1:8" x14ac:dyDescent="0.3">
      <c r="A7139" t="s">
        <v>628</v>
      </c>
      <c r="B7139" t="s">
        <v>402</v>
      </c>
      <c r="C7139" t="s">
        <v>188</v>
      </c>
      <c r="D7139" t="s">
        <v>745</v>
      </c>
      <c r="E7139" t="s">
        <v>770</v>
      </c>
      <c r="F7139">
        <v>5</v>
      </c>
      <c r="G7139" s="308">
        <f>COMEDORES!M217</f>
        <v>2000</v>
      </c>
      <c r="H7139" s="308">
        <f>COMEDORES!N217</f>
        <v>169489.5</v>
      </c>
    </row>
    <row r="7140" spans="1:8" x14ac:dyDescent="0.3">
      <c r="A7140" t="s">
        <v>628</v>
      </c>
      <c r="B7140" t="s">
        <v>402</v>
      </c>
      <c r="C7140" t="s">
        <v>188</v>
      </c>
      <c r="D7140" t="s">
        <v>745</v>
      </c>
      <c r="E7140" t="s">
        <v>771</v>
      </c>
      <c r="F7140">
        <v>6</v>
      </c>
      <c r="G7140" s="308">
        <f>COMEDORES!O217</f>
        <v>2100</v>
      </c>
      <c r="H7140" s="308">
        <f>COMEDORES!P217</f>
        <v>178410</v>
      </c>
    </row>
    <row r="7141" spans="1:8" x14ac:dyDescent="0.3">
      <c r="A7141" t="s">
        <v>628</v>
      </c>
      <c r="B7141" t="s">
        <v>402</v>
      </c>
      <c r="C7141" t="s">
        <v>188</v>
      </c>
      <c r="D7141" t="s">
        <v>745</v>
      </c>
      <c r="E7141" t="s">
        <v>772</v>
      </c>
      <c r="F7141">
        <v>7</v>
      </c>
      <c r="G7141" s="308">
        <f>COMEDORES!Q217</f>
        <v>2273</v>
      </c>
      <c r="H7141" s="308">
        <f>COMEDORES!R217</f>
        <v>187330.5</v>
      </c>
    </row>
    <row r="7142" spans="1:8" x14ac:dyDescent="0.3">
      <c r="A7142" t="s">
        <v>628</v>
      </c>
      <c r="B7142" t="s">
        <v>402</v>
      </c>
      <c r="C7142" t="s">
        <v>188</v>
      </c>
      <c r="D7142" t="s">
        <v>746</v>
      </c>
      <c r="E7142" t="s">
        <v>766</v>
      </c>
      <c r="F7142">
        <v>1</v>
      </c>
      <c r="G7142" s="308">
        <f>COMEDORES!E218</f>
        <v>0</v>
      </c>
      <c r="H7142" s="308">
        <f>COMEDORES!F218</f>
        <v>0</v>
      </c>
    </row>
    <row r="7143" spans="1:8" x14ac:dyDescent="0.3">
      <c r="A7143" t="s">
        <v>628</v>
      </c>
      <c r="B7143" t="s">
        <v>402</v>
      </c>
      <c r="C7143" t="s">
        <v>188</v>
      </c>
      <c r="D7143" t="s">
        <v>746</v>
      </c>
      <c r="E7143" t="s">
        <v>767</v>
      </c>
      <c r="F7143">
        <v>2</v>
      </c>
      <c r="G7143" s="308">
        <f>COMEDORES!G218</f>
        <v>0</v>
      </c>
      <c r="H7143" s="308">
        <f>COMEDORES!H218</f>
        <v>0</v>
      </c>
    </row>
    <row r="7144" spans="1:8" x14ac:dyDescent="0.3">
      <c r="A7144" t="s">
        <v>628</v>
      </c>
      <c r="B7144" t="s">
        <v>402</v>
      </c>
      <c r="C7144" t="s">
        <v>188</v>
      </c>
      <c r="D7144" t="s">
        <v>746</v>
      </c>
      <c r="E7144" t="s">
        <v>768</v>
      </c>
      <c r="F7144">
        <v>3</v>
      </c>
      <c r="G7144" s="308">
        <f>COMEDORES!I218</f>
        <v>2400</v>
      </c>
      <c r="H7144" s="308">
        <f>COMEDORES!J218</f>
        <v>0</v>
      </c>
    </row>
    <row r="7145" spans="1:8" x14ac:dyDescent="0.3">
      <c r="A7145" t="s">
        <v>628</v>
      </c>
      <c r="B7145" t="s">
        <v>402</v>
      </c>
      <c r="C7145" t="s">
        <v>188</v>
      </c>
      <c r="D7145" t="s">
        <v>746</v>
      </c>
      <c r="E7145" t="s">
        <v>769</v>
      </c>
      <c r="F7145">
        <v>4</v>
      </c>
      <c r="G7145" s="308">
        <f>COMEDORES!K218</f>
        <v>2850</v>
      </c>
      <c r="H7145" s="308">
        <f>COMEDORES!L218</f>
        <v>0</v>
      </c>
    </row>
    <row r="7146" spans="1:8" x14ac:dyDescent="0.3">
      <c r="A7146" t="s">
        <v>628</v>
      </c>
      <c r="B7146" t="s">
        <v>402</v>
      </c>
      <c r="C7146" t="s">
        <v>188</v>
      </c>
      <c r="D7146" t="s">
        <v>746</v>
      </c>
      <c r="E7146" t="s">
        <v>770</v>
      </c>
      <c r="F7146">
        <v>5</v>
      </c>
      <c r="G7146" s="308">
        <f>COMEDORES!M218</f>
        <v>3000</v>
      </c>
      <c r="H7146" s="308">
        <f>COMEDORES!N218</f>
        <v>0</v>
      </c>
    </row>
    <row r="7147" spans="1:8" x14ac:dyDescent="0.3">
      <c r="A7147" t="s">
        <v>628</v>
      </c>
      <c r="B7147" t="s">
        <v>402</v>
      </c>
      <c r="C7147" t="s">
        <v>188</v>
      </c>
      <c r="D7147" t="s">
        <v>746</v>
      </c>
      <c r="E7147" t="s">
        <v>771</v>
      </c>
      <c r="F7147">
        <v>6</v>
      </c>
      <c r="G7147" s="308">
        <f>COMEDORES!O218</f>
        <v>3150</v>
      </c>
      <c r="H7147" s="308">
        <f>COMEDORES!P218</f>
        <v>0</v>
      </c>
    </row>
    <row r="7148" spans="1:8" x14ac:dyDescent="0.3">
      <c r="A7148" t="s">
        <v>628</v>
      </c>
      <c r="B7148" t="s">
        <v>402</v>
      </c>
      <c r="C7148" t="s">
        <v>188</v>
      </c>
      <c r="D7148" t="s">
        <v>746</v>
      </c>
      <c r="E7148" t="s">
        <v>772</v>
      </c>
      <c r="F7148">
        <v>7</v>
      </c>
      <c r="G7148" s="308">
        <f>COMEDORES!Q218</f>
        <v>3450</v>
      </c>
      <c r="H7148" s="308">
        <f>COMEDORES!R218</f>
        <v>0</v>
      </c>
    </row>
    <row r="7149" spans="1:8" x14ac:dyDescent="0.3">
      <c r="A7149" t="s">
        <v>628</v>
      </c>
      <c r="B7149" t="s">
        <v>402</v>
      </c>
      <c r="C7149" t="s">
        <v>189</v>
      </c>
      <c r="D7149" t="s">
        <v>745</v>
      </c>
      <c r="E7149" t="s">
        <v>766</v>
      </c>
      <c r="F7149">
        <v>1</v>
      </c>
      <c r="G7149" s="308">
        <f>COMEDORES!E219</f>
        <v>0</v>
      </c>
      <c r="H7149" s="308">
        <f>COMEDORES!F219</f>
        <v>0</v>
      </c>
    </row>
    <row r="7150" spans="1:8" x14ac:dyDescent="0.3">
      <c r="A7150" t="s">
        <v>628</v>
      </c>
      <c r="B7150" t="s">
        <v>402</v>
      </c>
      <c r="C7150" t="s">
        <v>189</v>
      </c>
      <c r="D7150" t="s">
        <v>745</v>
      </c>
      <c r="E7150" t="s">
        <v>767</v>
      </c>
      <c r="F7150">
        <v>2</v>
      </c>
      <c r="G7150" s="308">
        <f>COMEDORES!G219</f>
        <v>0</v>
      </c>
      <c r="H7150" s="308">
        <f>COMEDORES!H219</f>
        <v>0</v>
      </c>
    </row>
    <row r="7151" spans="1:8" x14ac:dyDescent="0.3">
      <c r="A7151" t="s">
        <v>628</v>
      </c>
      <c r="B7151" t="s">
        <v>402</v>
      </c>
      <c r="C7151" t="s">
        <v>189</v>
      </c>
      <c r="D7151" t="s">
        <v>745</v>
      </c>
      <c r="E7151" t="s">
        <v>768</v>
      </c>
      <c r="F7151">
        <v>3</v>
      </c>
      <c r="G7151" s="308">
        <f>COMEDORES!I219</f>
        <v>0</v>
      </c>
      <c r="H7151" s="308">
        <f>COMEDORES!J219</f>
        <v>0</v>
      </c>
    </row>
    <row r="7152" spans="1:8" x14ac:dyDescent="0.3">
      <c r="A7152" t="s">
        <v>628</v>
      </c>
      <c r="B7152" t="s">
        <v>402</v>
      </c>
      <c r="C7152" t="s">
        <v>189</v>
      </c>
      <c r="D7152" t="s">
        <v>745</v>
      </c>
      <c r="E7152" t="s">
        <v>769</v>
      </c>
      <c r="F7152">
        <v>4</v>
      </c>
      <c r="G7152" s="308">
        <f>COMEDORES!K219</f>
        <v>0</v>
      </c>
      <c r="H7152" s="308">
        <f>COMEDORES!L219</f>
        <v>0</v>
      </c>
    </row>
    <row r="7153" spans="1:8" x14ac:dyDescent="0.3">
      <c r="A7153" t="s">
        <v>628</v>
      </c>
      <c r="B7153" t="s">
        <v>402</v>
      </c>
      <c r="C7153" t="s">
        <v>189</v>
      </c>
      <c r="D7153" t="s">
        <v>745</v>
      </c>
      <c r="E7153" t="s">
        <v>770</v>
      </c>
      <c r="F7153">
        <v>5</v>
      </c>
      <c r="G7153" s="308">
        <f>COMEDORES!M219</f>
        <v>1800</v>
      </c>
      <c r="H7153" s="308">
        <f>COMEDORES!N219</f>
        <v>0</v>
      </c>
    </row>
    <row r="7154" spans="1:8" x14ac:dyDescent="0.3">
      <c r="A7154" t="s">
        <v>628</v>
      </c>
      <c r="B7154" t="s">
        <v>402</v>
      </c>
      <c r="C7154" t="s">
        <v>189</v>
      </c>
      <c r="D7154" t="s">
        <v>745</v>
      </c>
      <c r="E7154" t="s">
        <v>771</v>
      </c>
      <c r="F7154">
        <v>6</v>
      </c>
      <c r="G7154" s="308">
        <f>COMEDORES!O219</f>
        <v>2100</v>
      </c>
      <c r="H7154" s="308">
        <f>COMEDORES!P219</f>
        <v>160569</v>
      </c>
    </row>
    <row r="7155" spans="1:8" x14ac:dyDescent="0.3">
      <c r="A7155" t="s">
        <v>628</v>
      </c>
      <c r="B7155" t="s">
        <v>402</v>
      </c>
      <c r="C7155" t="s">
        <v>189</v>
      </c>
      <c r="D7155" t="s">
        <v>745</v>
      </c>
      <c r="E7155" t="s">
        <v>772</v>
      </c>
      <c r="F7155">
        <v>7</v>
      </c>
      <c r="G7155" s="308">
        <f>COMEDORES!Q219</f>
        <v>2300</v>
      </c>
      <c r="H7155" s="308">
        <f>COMEDORES!R219</f>
        <v>187330.5</v>
      </c>
    </row>
    <row r="7156" spans="1:8" x14ac:dyDescent="0.3">
      <c r="A7156" t="s">
        <v>628</v>
      </c>
      <c r="B7156" t="s">
        <v>402</v>
      </c>
      <c r="C7156" t="s">
        <v>189</v>
      </c>
      <c r="D7156" t="s">
        <v>746</v>
      </c>
      <c r="E7156" t="s">
        <v>766</v>
      </c>
      <c r="F7156">
        <v>1</v>
      </c>
      <c r="G7156" s="308">
        <f>COMEDORES!E220</f>
        <v>0</v>
      </c>
      <c r="H7156" s="308">
        <f>COMEDORES!F220</f>
        <v>0</v>
      </c>
    </row>
    <row r="7157" spans="1:8" x14ac:dyDescent="0.3">
      <c r="A7157" t="s">
        <v>628</v>
      </c>
      <c r="B7157" t="s">
        <v>402</v>
      </c>
      <c r="C7157" t="s">
        <v>189</v>
      </c>
      <c r="D7157" t="s">
        <v>746</v>
      </c>
      <c r="E7157" t="s">
        <v>767</v>
      </c>
      <c r="F7157">
        <v>2</v>
      </c>
      <c r="G7157" s="308">
        <f>COMEDORES!G220</f>
        <v>0</v>
      </c>
      <c r="H7157" s="308">
        <f>COMEDORES!H220</f>
        <v>0</v>
      </c>
    </row>
    <row r="7158" spans="1:8" x14ac:dyDescent="0.3">
      <c r="A7158" t="s">
        <v>628</v>
      </c>
      <c r="B7158" t="s">
        <v>402</v>
      </c>
      <c r="C7158" t="s">
        <v>189</v>
      </c>
      <c r="D7158" t="s">
        <v>746</v>
      </c>
      <c r="E7158" t="s">
        <v>768</v>
      </c>
      <c r="F7158">
        <v>3</v>
      </c>
      <c r="G7158" s="308">
        <f>COMEDORES!I220</f>
        <v>0</v>
      </c>
      <c r="H7158" s="308">
        <f>COMEDORES!J220</f>
        <v>0</v>
      </c>
    </row>
    <row r="7159" spans="1:8" x14ac:dyDescent="0.3">
      <c r="A7159" t="s">
        <v>628</v>
      </c>
      <c r="B7159" t="s">
        <v>402</v>
      </c>
      <c r="C7159" t="s">
        <v>189</v>
      </c>
      <c r="D7159" t="s">
        <v>746</v>
      </c>
      <c r="E7159" t="s">
        <v>769</v>
      </c>
      <c r="F7159">
        <v>4</v>
      </c>
      <c r="G7159" s="308">
        <f>COMEDORES!K220</f>
        <v>0</v>
      </c>
      <c r="H7159" s="308">
        <f>COMEDORES!L220</f>
        <v>0</v>
      </c>
    </row>
    <row r="7160" spans="1:8" x14ac:dyDescent="0.3">
      <c r="A7160" t="s">
        <v>628</v>
      </c>
      <c r="B7160" t="s">
        <v>402</v>
      </c>
      <c r="C7160" t="s">
        <v>189</v>
      </c>
      <c r="D7160" t="s">
        <v>746</v>
      </c>
      <c r="E7160" t="s">
        <v>770</v>
      </c>
      <c r="F7160">
        <v>5</v>
      </c>
      <c r="G7160" s="308">
        <f>COMEDORES!M220</f>
        <v>2700</v>
      </c>
      <c r="H7160" s="308">
        <f>COMEDORES!N220</f>
        <v>0</v>
      </c>
    </row>
    <row r="7161" spans="1:8" x14ac:dyDescent="0.3">
      <c r="A7161" t="s">
        <v>628</v>
      </c>
      <c r="B7161" t="s">
        <v>402</v>
      </c>
      <c r="C7161" t="s">
        <v>189</v>
      </c>
      <c r="D7161" t="s">
        <v>746</v>
      </c>
      <c r="E7161" t="s">
        <v>771</v>
      </c>
      <c r="F7161">
        <v>6</v>
      </c>
      <c r="G7161" s="308">
        <f>COMEDORES!O220</f>
        <v>3150</v>
      </c>
      <c r="H7161" s="308">
        <f>COMEDORES!P220</f>
        <v>0</v>
      </c>
    </row>
    <row r="7162" spans="1:8" x14ac:dyDescent="0.3">
      <c r="A7162" t="s">
        <v>628</v>
      </c>
      <c r="B7162" t="s">
        <v>402</v>
      </c>
      <c r="C7162" t="s">
        <v>189</v>
      </c>
      <c r="D7162" t="s">
        <v>746</v>
      </c>
      <c r="E7162" t="s">
        <v>772</v>
      </c>
      <c r="F7162">
        <v>7</v>
      </c>
      <c r="G7162" s="308">
        <f>COMEDORES!Q220</f>
        <v>3450</v>
      </c>
      <c r="H7162" s="308">
        <f>COMEDORES!R220</f>
        <v>0</v>
      </c>
    </row>
    <row r="7163" spans="1:8" x14ac:dyDescent="0.3">
      <c r="A7163" t="s">
        <v>628</v>
      </c>
      <c r="B7163" t="s">
        <v>402</v>
      </c>
      <c r="C7163" t="s">
        <v>185</v>
      </c>
      <c r="D7163" t="s">
        <v>745</v>
      </c>
      <c r="E7163" t="s">
        <v>766</v>
      </c>
      <c r="F7163">
        <v>1</v>
      </c>
      <c r="G7163" s="308">
        <f>COMEDORES!E221</f>
        <v>0</v>
      </c>
      <c r="H7163" s="308">
        <f>COMEDORES!F221</f>
        <v>0</v>
      </c>
    </row>
    <row r="7164" spans="1:8" x14ac:dyDescent="0.3">
      <c r="A7164" t="s">
        <v>628</v>
      </c>
      <c r="B7164" t="s">
        <v>402</v>
      </c>
      <c r="C7164" t="s">
        <v>185</v>
      </c>
      <c r="D7164" t="s">
        <v>745</v>
      </c>
      <c r="E7164" t="s">
        <v>767</v>
      </c>
      <c r="F7164">
        <v>2</v>
      </c>
      <c r="G7164" s="308">
        <f>COMEDORES!G221</f>
        <v>0</v>
      </c>
      <c r="H7164" s="308">
        <f>COMEDORES!H221</f>
        <v>0</v>
      </c>
    </row>
    <row r="7165" spans="1:8" x14ac:dyDescent="0.3">
      <c r="A7165" t="s">
        <v>628</v>
      </c>
      <c r="B7165" t="s">
        <v>402</v>
      </c>
      <c r="C7165" t="s">
        <v>185</v>
      </c>
      <c r="D7165" t="s">
        <v>745</v>
      </c>
      <c r="E7165" t="s">
        <v>768</v>
      </c>
      <c r="F7165">
        <v>3</v>
      </c>
      <c r="G7165" s="308">
        <f>COMEDORES!I221</f>
        <v>0</v>
      </c>
      <c r="H7165" s="308">
        <f>COMEDORES!J221</f>
        <v>0</v>
      </c>
    </row>
    <row r="7166" spans="1:8" x14ac:dyDescent="0.3">
      <c r="A7166" t="s">
        <v>628</v>
      </c>
      <c r="B7166" t="s">
        <v>402</v>
      </c>
      <c r="C7166" t="s">
        <v>185</v>
      </c>
      <c r="D7166" t="s">
        <v>745</v>
      </c>
      <c r="E7166" t="s">
        <v>769</v>
      </c>
      <c r="F7166">
        <v>4</v>
      </c>
      <c r="G7166" s="308">
        <f>COMEDORES!K221</f>
        <v>0</v>
      </c>
      <c r="H7166" s="308">
        <f>COMEDORES!L221</f>
        <v>0</v>
      </c>
    </row>
    <row r="7167" spans="1:8" x14ac:dyDescent="0.3">
      <c r="A7167" t="s">
        <v>628</v>
      </c>
      <c r="B7167" t="s">
        <v>402</v>
      </c>
      <c r="C7167" t="s">
        <v>185</v>
      </c>
      <c r="D7167" t="s">
        <v>745</v>
      </c>
      <c r="E7167" t="s">
        <v>770</v>
      </c>
      <c r="F7167">
        <v>5</v>
      </c>
      <c r="G7167" s="308">
        <f>COMEDORES!M221</f>
        <v>300</v>
      </c>
      <c r="H7167" s="308">
        <f>COMEDORES!N221</f>
        <v>0</v>
      </c>
    </row>
    <row r="7168" spans="1:8" x14ac:dyDescent="0.3">
      <c r="A7168" t="s">
        <v>628</v>
      </c>
      <c r="B7168" t="s">
        <v>402</v>
      </c>
      <c r="C7168" t="s">
        <v>185</v>
      </c>
      <c r="D7168" t="s">
        <v>745</v>
      </c>
      <c r="E7168" t="s">
        <v>771</v>
      </c>
      <c r="F7168">
        <v>6</v>
      </c>
      <c r="G7168" s="308">
        <f>COMEDORES!O221</f>
        <v>2400</v>
      </c>
      <c r="H7168" s="308">
        <f>COMEDORES!P221</f>
        <v>0</v>
      </c>
    </row>
    <row r="7169" spans="1:8" x14ac:dyDescent="0.3">
      <c r="A7169" t="s">
        <v>628</v>
      </c>
      <c r="B7169" t="s">
        <v>402</v>
      </c>
      <c r="C7169" t="s">
        <v>185</v>
      </c>
      <c r="D7169" t="s">
        <v>745</v>
      </c>
      <c r="E7169" t="s">
        <v>772</v>
      </c>
      <c r="F7169">
        <v>7</v>
      </c>
      <c r="G7169" s="308">
        <f>COMEDORES!Q221</f>
        <v>2300</v>
      </c>
      <c r="H7169" s="308">
        <f>COMEDORES!R221</f>
        <v>214092</v>
      </c>
    </row>
    <row r="7170" spans="1:8" x14ac:dyDescent="0.3">
      <c r="A7170" t="s">
        <v>628</v>
      </c>
      <c r="B7170" t="s">
        <v>402</v>
      </c>
      <c r="C7170" t="s">
        <v>185</v>
      </c>
      <c r="D7170" t="s">
        <v>746</v>
      </c>
      <c r="E7170" t="s">
        <v>766</v>
      </c>
      <c r="F7170">
        <v>1</v>
      </c>
      <c r="G7170" s="308">
        <f>COMEDORES!E222</f>
        <v>0</v>
      </c>
      <c r="H7170" s="308">
        <f>COMEDORES!F222</f>
        <v>0</v>
      </c>
    </row>
    <row r="7171" spans="1:8" x14ac:dyDescent="0.3">
      <c r="A7171" t="s">
        <v>628</v>
      </c>
      <c r="B7171" t="s">
        <v>402</v>
      </c>
      <c r="C7171" t="s">
        <v>185</v>
      </c>
      <c r="D7171" t="s">
        <v>746</v>
      </c>
      <c r="E7171" t="s">
        <v>767</v>
      </c>
      <c r="F7171">
        <v>2</v>
      </c>
      <c r="G7171" s="308">
        <f>COMEDORES!G222</f>
        <v>0</v>
      </c>
      <c r="H7171" s="308">
        <f>COMEDORES!H222</f>
        <v>0</v>
      </c>
    </row>
    <row r="7172" spans="1:8" x14ac:dyDescent="0.3">
      <c r="A7172" t="s">
        <v>628</v>
      </c>
      <c r="B7172" t="s">
        <v>402</v>
      </c>
      <c r="C7172" t="s">
        <v>185</v>
      </c>
      <c r="D7172" t="s">
        <v>746</v>
      </c>
      <c r="E7172" t="s">
        <v>768</v>
      </c>
      <c r="F7172">
        <v>3</v>
      </c>
      <c r="G7172" s="308">
        <f>COMEDORES!I222</f>
        <v>0</v>
      </c>
      <c r="H7172" s="308">
        <f>COMEDORES!J222</f>
        <v>0</v>
      </c>
    </row>
    <row r="7173" spans="1:8" x14ac:dyDescent="0.3">
      <c r="A7173" t="s">
        <v>628</v>
      </c>
      <c r="B7173" t="s">
        <v>402</v>
      </c>
      <c r="C7173" t="s">
        <v>185</v>
      </c>
      <c r="D7173" t="s">
        <v>746</v>
      </c>
      <c r="E7173" t="s">
        <v>769</v>
      </c>
      <c r="F7173">
        <v>4</v>
      </c>
      <c r="G7173" s="308">
        <f>COMEDORES!K222</f>
        <v>0</v>
      </c>
      <c r="H7173" s="308">
        <f>COMEDORES!L222</f>
        <v>0</v>
      </c>
    </row>
    <row r="7174" spans="1:8" x14ac:dyDescent="0.3">
      <c r="A7174" t="s">
        <v>628</v>
      </c>
      <c r="B7174" t="s">
        <v>402</v>
      </c>
      <c r="C7174" t="s">
        <v>185</v>
      </c>
      <c r="D7174" t="s">
        <v>746</v>
      </c>
      <c r="E7174" t="s">
        <v>770</v>
      </c>
      <c r="F7174">
        <v>5</v>
      </c>
      <c r="G7174" s="308">
        <f>COMEDORES!M222</f>
        <v>450</v>
      </c>
      <c r="H7174" s="308">
        <f>COMEDORES!N222</f>
        <v>0</v>
      </c>
    </row>
    <row r="7175" spans="1:8" x14ac:dyDescent="0.3">
      <c r="A7175" t="s">
        <v>628</v>
      </c>
      <c r="B7175" t="s">
        <v>402</v>
      </c>
      <c r="C7175" t="s">
        <v>185</v>
      </c>
      <c r="D7175" t="s">
        <v>746</v>
      </c>
      <c r="E7175" t="s">
        <v>771</v>
      </c>
      <c r="F7175">
        <v>6</v>
      </c>
      <c r="G7175" s="308">
        <f>COMEDORES!O222</f>
        <v>3600</v>
      </c>
      <c r="H7175" s="308">
        <f>COMEDORES!P222</f>
        <v>0</v>
      </c>
    </row>
    <row r="7176" spans="1:8" x14ac:dyDescent="0.3">
      <c r="A7176" t="s">
        <v>628</v>
      </c>
      <c r="B7176" t="s">
        <v>402</v>
      </c>
      <c r="C7176" t="s">
        <v>185</v>
      </c>
      <c r="D7176" t="s">
        <v>746</v>
      </c>
      <c r="E7176" t="s">
        <v>772</v>
      </c>
      <c r="F7176">
        <v>7</v>
      </c>
      <c r="G7176" s="308">
        <f>COMEDORES!Q222</f>
        <v>3450</v>
      </c>
      <c r="H7176" s="308">
        <f>COMEDORES!R222</f>
        <v>0</v>
      </c>
    </row>
    <row r="7177" spans="1:8" x14ac:dyDescent="0.3">
      <c r="A7177" t="s">
        <v>628</v>
      </c>
      <c r="B7177" t="s">
        <v>402</v>
      </c>
      <c r="C7177" t="s">
        <v>187</v>
      </c>
      <c r="D7177" t="s">
        <v>745</v>
      </c>
      <c r="E7177" t="s">
        <v>766</v>
      </c>
      <c r="F7177">
        <v>1</v>
      </c>
      <c r="G7177" s="308">
        <f>COMEDORES!E223</f>
        <v>0</v>
      </c>
      <c r="H7177" s="308">
        <f>COMEDORES!F223</f>
        <v>0</v>
      </c>
    </row>
    <row r="7178" spans="1:8" x14ac:dyDescent="0.3">
      <c r="A7178" t="s">
        <v>628</v>
      </c>
      <c r="B7178" t="s">
        <v>402</v>
      </c>
      <c r="C7178" t="s">
        <v>187</v>
      </c>
      <c r="D7178" t="s">
        <v>745</v>
      </c>
      <c r="E7178" t="s">
        <v>767</v>
      </c>
      <c r="F7178">
        <v>2</v>
      </c>
      <c r="G7178" s="308">
        <f>COMEDORES!G223</f>
        <v>0</v>
      </c>
      <c r="H7178" s="308">
        <f>COMEDORES!H223</f>
        <v>0</v>
      </c>
    </row>
    <row r="7179" spans="1:8" x14ac:dyDescent="0.3">
      <c r="A7179" t="s">
        <v>628</v>
      </c>
      <c r="B7179" t="s">
        <v>402</v>
      </c>
      <c r="C7179" t="s">
        <v>187</v>
      </c>
      <c r="D7179" t="s">
        <v>745</v>
      </c>
      <c r="E7179" t="s">
        <v>768</v>
      </c>
      <c r="F7179">
        <v>3</v>
      </c>
      <c r="G7179" s="308">
        <f>COMEDORES!I223</f>
        <v>0</v>
      </c>
      <c r="H7179" s="308">
        <f>COMEDORES!J223</f>
        <v>0</v>
      </c>
    </row>
    <row r="7180" spans="1:8" x14ac:dyDescent="0.3">
      <c r="A7180" t="s">
        <v>628</v>
      </c>
      <c r="B7180" t="s">
        <v>402</v>
      </c>
      <c r="C7180" t="s">
        <v>187</v>
      </c>
      <c r="D7180" t="s">
        <v>745</v>
      </c>
      <c r="E7180" t="s">
        <v>769</v>
      </c>
      <c r="F7180">
        <v>4</v>
      </c>
      <c r="G7180" s="308">
        <f>COMEDORES!K223</f>
        <v>0</v>
      </c>
      <c r="H7180" s="308">
        <f>COMEDORES!L223</f>
        <v>0</v>
      </c>
    </row>
    <row r="7181" spans="1:8" x14ac:dyDescent="0.3">
      <c r="A7181" t="s">
        <v>628</v>
      </c>
      <c r="B7181" t="s">
        <v>402</v>
      </c>
      <c r="C7181" t="s">
        <v>187</v>
      </c>
      <c r="D7181" t="s">
        <v>745</v>
      </c>
      <c r="E7181" t="s">
        <v>770</v>
      </c>
      <c r="F7181">
        <v>5</v>
      </c>
      <c r="G7181" s="308">
        <f>COMEDORES!M223</f>
        <v>800</v>
      </c>
      <c r="H7181" s="308">
        <f>COMEDORES!N223</f>
        <v>0</v>
      </c>
    </row>
    <row r="7182" spans="1:8" x14ac:dyDescent="0.3">
      <c r="A7182" t="s">
        <v>628</v>
      </c>
      <c r="B7182" t="s">
        <v>402</v>
      </c>
      <c r="C7182" t="s">
        <v>187</v>
      </c>
      <c r="D7182" t="s">
        <v>745</v>
      </c>
      <c r="E7182" t="s">
        <v>771</v>
      </c>
      <c r="F7182">
        <v>6</v>
      </c>
      <c r="G7182" s="308">
        <f>COMEDORES!O223</f>
        <v>2100</v>
      </c>
      <c r="H7182" s="308">
        <f>COMEDORES!P223</f>
        <v>71364</v>
      </c>
    </row>
    <row r="7183" spans="1:8" x14ac:dyDescent="0.3">
      <c r="A7183" t="s">
        <v>628</v>
      </c>
      <c r="B7183" t="s">
        <v>402</v>
      </c>
      <c r="C7183" t="s">
        <v>187</v>
      </c>
      <c r="D7183" t="s">
        <v>745</v>
      </c>
      <c r="E7183" t="s">
        <v>772</v>
      </c>
      <c r="F7183">
        <v>7</v>
      </c>
      <c r="G7183" s="308">
        <f>COMEDORES!Q223</f>
        <v>2300</v>
      </c>
      <c r="H7183" s="308">
        <f>COMEDORES!R223</f>
        <v>187330.5</v>
      </c>
    </row>
    <row r="7184" spans="1:8" x14ac:dyDescent="0.3">
      <c r="A7184" t="s">
        <v>628</v>
      </c>
      <c r="B7184" t="s">
        <v>402</v>
      </c>
      <c r="C7184" t="s">
        <v>187</v>
      </c>
      <c r="D7184" t="s">
        <v>746</v>
      </c>
      <c r="E7184" t="s">
        <v>766</v>
      </c>
      <c r="F7184">
        <v>1</v>
      </c>
      <c r="G7184" s="308">
        <f>COMEDORES!E224</f>
        <v>0</v>
      </c>
      <c r="H7184" s="308">
        <f>COMEDORES!F224</f>
        <v>0</v>
      </c>
    </row>
    <row r="7185" spans="1:8" x14ac:dyDescent="0.3">
      <c r="A7185" t="s">
        <v>628</v>
      </c>
      <c r="B7185" t="s">
        <v>402</v>
      </c>
      <c r="C7185" t="s">
        <v>187</v>
      </c>
      <c r="D7185" t="s">
        <v>746</v>
      </c>
      <c r="E7185" t="s">
        <v>767</v>
      </c>
      <c r="F7185">
        <v>2</v>
      </c>
      <c r="G7185" s="308">
        <f>COMEDORES!G224</f>
        <v>0</v>
      </c>
      <c r="H7185" s="308">
        <f>COMEDORES!H224</f>
        <v>0</v>
      </c>
    </row>
    <row r="7186" spans="1:8" x14ac:dyDescent="0.3">
      <c r="A7186" t="s">
        <v>628</v>
      </c>
      <c r="B7186" t="s">
        <v>402</v>
      </c>
      <c r="C7186" t="s">
        <v>187</v>
      </c>
      <c r="D7186" t="s">
        <v>746</v>
      </c>
      <c r="E7186" t="s">
        <v>768</v>
      </c>
      <c r="F7186">
        <v>3</v>
      </c>
      <c r="G7186" s="308">
        <f>COMEDORES!I224</f>
        <v>0</v>
      </c>
      <c r="H7186" s="308">
        <f>COMEDORES!J224</f>
        <v>0</v>
      </c>
    </row>
    <row r="7187" spans="1:8" x14ac:dyDescent="0.3">
      <c r="A7187" t="s">
        <v>628</v>
      </c>
      <c r="B7187" t="s">
        <v>402</v>
      </c>
      <c r="C7187" t="s">
        <v>187</v>
      </c>
      <c r="D7187" t="s">
        <v>746</v>
      </c>
      <c r="E7187" t="s">
        <v>769</v>
      </c>
      <c r="F7187">
        <v>4</v>
      </c>
      <c r="G7187" s="308">
        <f>COMEDORES!K224</f>
        <v>0</v>
      </c>
      <c r="H7187" s="308">
        <f>COMEDORES!L224</f>
        <v>0</v>
      </c>
    </row>
    <row r="7188" spans="1:8" x14ac:dyDescent="0.3">
      <c r="A7188" t="s">
        <v>628</v>
      </c>
      <c r="B7188" t="s">
        <v>402</v>
      </c>
      <c r="C7188" t="s">
        <v>187</v>
      </c>
      <c r="D7188" t="s">
        <v>746</v>
      </c>
      <c r="E7188" t="s">
        <v>770</v>
      </c>
      <c r="F7188">
        <v>5</v>
      </c>
      <c r="G7188" s="308">
        <f>COMEDORES!M224</f>
        <v>1200</v>
      </c>
      <c r="H7188" s="308">
        <f>COMEDORES!N224</f>
        <v>0</v>
      </c>
    </row>
    <row r="7189" spans="1:8" x14ac:dyDescent="0.3">
      <c r="A7189" t="s">
        <v>628</v>
      </c>
      <c r="B7189" t="s">
        <v>402</v>
      </c>
      <c r="C7189" t="s">
        <v>187</v>
      </c>
      <c r="D7189" t="s">
        <v>746</v>
      </c>
      <c r="E7189" t="s">
        <v>771</v>
      </c>
      <c r="F7189">
        <v>6</v>
      </c>
      <c r="G7189" s="308">
        <f>COMEDORES!O224</f>
        <v>3150</v>
      </c>
      <c r="H7189" s="308">
        <f>COMEDORES!P224</f>
        <v>0</v>
      </c>
    </row>
    <row r="7190" spans="1:8" x14ac:dyDescent="0.3">
      <c r="A7190" t="s">
        <v>628</v>
      </c>
      <c r="B7190" t="s">
        <v>402</v>
      </c>
      <c r="C7190" t="s">
        <v>187</v>
      </c>
      <c r="D7190" t="s">
        <v>746</v>
      </c>
      <c r="E7190" t="s">
        <v>772</v>
      </c>
      <c r="F7190">
        <v>7</v>
      </c>
      <c r="G7190" s="308">
        <f>COMEDORES!Q224</f>
        <v>3450</v>
      </c>
      <c r="H7190" s="308">
        <f>COMEDORES!R224</f>
        <v>0</v>
      </c>
    </row>
    <row r="7191" spans="1:8" x14ac:dyDescent="0.3">
      <c r="A7191" t="s">
        <v>628</v>
      </c>
      <c r="B7191" t="s">
        <v>191</v>
      </c>
      <c r="C7191" t="s">
        <v>194</v>
      </c>
      <c r="D7191" t="s">
        <v>745</v>
      </c>
      <c r="E7191" t="s">
        <v>766</v>
      </c>
      <c r="F7191">
        <v>1</v>
      </c>
      <c r="G7191" s="308">
        <f>COMEDORES!E225</f>
        <v>2700</v>
      </c>
      <c r="H7191" s="308">
        <f>COMEDORES!F225</f>
        <v>0</v>
      </c>
    </row>
    <row r="7192" spans="1:8" x14ac:dyDescent="0.3">
      <c r="A7192" t="s">
        <v>628</v>
      </c>
      <c r="B7192" t="s">
        <v>191</v>
      </c>
      <c r="C7192" t="s">
        <v>194</v>
      </c>
      <c r="D7192" t="s">
        <v>745</v>
      </c>
      <c r="E7192" t="s">
        <v>767</v>
      </c>
      <c r="F7192">
        <v>2</v>
      </c>
      <c r="G7192" s="308">
        <f>COMEDORES!G225</f>
        <v>2750</v>
      </c>
      <c r="H7192" s="308">
        <f>COMEDORES!H225</f>
        <v>0</v>
      </c>
    </row>
    <row r="7193" spans="1:8" x14ac:dyDescent="0.3">
      <c r="A7193" t="s">
        <v>628</v>
      </c>
      <c r="B7193" t="s">
        <v>191</v>
      </c>
      <c r="C7193" t="s">
        <v>194</v>
      </c>
      <c r="D7193" t="s">
        <v>745</v>
      </c>
      <c r="E7193" t="s">
        <v>768</v>
      </c>
      <c r="F7193">
        <v>3</v>
      </c>
      <c r="G7193" s="308">
        <f>COMEDORES!I225</f>
        <v>2200</v>
      </c>
      <c r="H7193" s="308">
        <f>COMEDORES!J225</f>
        <v>472948</v>
      </c>
    </row>
    <row r="7194" spans="1:8" x14ac:dyDescent="0.3">
      <c r="A7194" t="s">
        <v>628</v>
      </c>
      <c r="B7194" t="s">
        <v>191</v>
      </c>
      <c r="C7194" t="s">
        <v>194</v>
      </c>
      <c r="D7194" t="s">
        <v>745</v>
      </c>
      <c r="E7194" t="s">
        <v>769</v>
      </c>
      <c r="F7194">
        <v>4</v>
      </c>
      <c r="G7194" s="308">
        <f>COMEDORES!K225</f>
        <v>1900</v>
      </c>
      <c r="H7194" s="308">
        <f>COMEDORES!L225</f>
        <v>171450</v>
      </c>
    </row>
    <row r="7195" spans="1:8" x14ac:dyDescent="0.3">
      <c r="A7195" t="s">
        <v>628</v>
      </c>
      <c r="B7195" t="s">
        <v>191</v>
      </c>
      <c r="C7195" t="s">
        <v>194</v>
      </c>
      <c r="D7195" t="s">
        <v>745</v>
      </c>
      <c r="E7195" t="s">
        <v>770</v>
      </c>
      <c r="F7195">
        <v>5</v>
      </c>
      <c r="G7195" s="308">
        <f>COMEDORES!M225</f>
        <v>2000</v>
      </c>
      <c r="H7195" s="308">
        <f>COMEDORES!N225</f>
        <v>120650</v>
      </c>
    </row>
    <row r="7196" spans="1:8" x14ac:dyDescent="0.3">
      <c r="A7196" t="s">
        <v>628</v>
      </c>
      <c r="B7196" t="s">
        <v>191</v>
      </c>
      <c r="C7196" t="s">
        <v>194</v>
      </c>
      <c r="D7196" t="s">
        <v>745</v>
      </c>
      <c r="E7196" t="s">
        <v>771</v>
      </c>
      <c r="F7196">
        <v>6</v>
      </c>
      <c r="G7196" s="308">
        <f>COMEDORES!O225</f>
        <v>2100</v>
      </c>
      <c r="H7196" s="308">
        <f>COMEDORES!P225</f>
        <v>127000</v>
      </c>
    </row>
    <row r="7197" spans="1:8" x14ac:dyDescent="0.3">
      <c r="A7197" t="s">
        <v>628</v>
      </c>
      <c r="B7197" t="s">
        <v>191</v>
      </c>
      <c r="C7197" t="s">
        <v>194</v>
      </c>
      <c r="D7197" t="s">
        <v>745</v>
      </c>
      <c r="E7197" t="s">
        <v>772</v>
      </c>
      <c r="F7197">
        <v>7</v>
      </c>
      <c r="G7197" s="308">
        <f>COMEDORES!Q225</f>
        <v>2300</v>
      </c>
      <c r="H7197" s="308">
        <f>COMEDORES!R225</f>
        <v>133350</v>
      </c>
    </row>
    <row r="7198" spans="1:8" x14ac:dyDescent="0.3">
      <c r="A7198" t="s">
        <v>628</v>
      </c>
      <c r="B7198" t="s">
        <v>191</v>
      </c>
      <c r="C7198" t="s">
        <v>194</v>
      </c>
      <c r="D7198" t="s">
        <v>746</v>
      </c>
      <c r="E7198" t="s">
        <v>766</v>
      </c>
      <c r="F7198">
        <v>1</v>
      </c>
      <c r="G7198" s="308">
        <f>COMEDORES!E226</f>
        <v>4750</v>
      </c>
      <c r="H7198" s="308">
        <f>COMEDORES!F226</f>
        <v>0</v>
      </c>
    </row>
    <row r="7199" spans="1:8" x14ac:dyDescent="0.3">
      <c r="A7199" t="s">
        <v>628</v>
      </c>
      <c r="B7199" t="s">
        <v>191</v>
      </c>
      <c r="C7199" t="s">
        <v>194</v>
      </c>
      <c r="D7199" t="s">
        <v>746</v>
      </c>
      <c r="E7199" t="s">
        <v>767</v>
      </c>
      <c r="F7199">
        <v>2</v>
      </c>
      <c r="G7199" s="308">
        <f>COMEDORES!G226</f>
        <v>4500</v>
      </c>
      <c r="H7199" s="308">
        <f>COMEDORES!H226</f>
        <v>0</v>
      </c>
    </row>
    <row r="7200" spans="1:8" x14ac:dyDescent="0.3">
      <c r="A7200" t="s">
        <v>628</v>
      </c>
      <c r="B7200" t="s">
        <v>191</v>
      </c>
      <c r="C7200" t="s">
        <v>194</v>
      </c>
      <c r="D7200" t="s">
        <v>746</v>
      </c>
      <c r="E7200" t="s">
        <v>768</v>
      </c>
      <c r="F7200">
        <v>3</v>
      </c>
      <c r="G7200" s="308">
        <f>COMEDORES!I226</f>
        <v>3300</v>
      </c>
      <c r="H7200" s="308">
        <f>COMEDORES!J226</f>
        <v>0</v>
      </c>
    </row>
    <row r="7201" spans="1:8" x14ac:dyDescent="0.3">
      <c r="A7201" t="s">
        <v>628</v>
      </c>
      <c r="B7201" t="s">
        <v>191</v>
      </c>
      <c r="C7201" t="s">
        <v>194</v>
      </c>
      <c r="D7201" t="s">
        <v>746</v>
      </c>
      <c r="E7201" t="s">
        <v>769</v>
      </c>
      <c r="F7201">
        <v>4</v>
      </c>
      <c r="G7201" s="308">
        <f>COMEDORES!K226</f>
        <v>2850</v>
      </c>
      <c r="H7201" s="308">
        <f>COMEDORES!L226</f>
        <v>0</v>
      </c>
    </row>
    <row r="7202" spans="1:8" x14ac:dyDescent="0.3">
      <c r="A7202" t="s">
        <v>628</v>
      </c>
      <c r="B7202" t="s">
        <v>191</v>
      </c>
      <c r="C7202" t="s">
        <v>194</v>
      </c>
      <c r="D7202" t="s">
        <v>746</v>
      </c>
      <c r="E7202" t="s">
        <v>770</v>
      </c>
      <c r="F7202">
        <v>5</v>
      </c>
      <c r="G7202" s="308">
        <f>COMEDORES!M226</f>
        <v>3000</v>
      </c>
      <c r="H7202" s="308">
        <f>COMEDORES!N226</f>
        <v>0</v>
      </c>
    </row>
    <row r="7203" spans="1:8" x14ac:dyDescent="0.3">
      <c r="A7203" t="s">
        <v>628</v>
      </c>
      <c r="B7203" t="s">
        <v>191</v>
      </c>
      <c r="C7203" t="s">
        <v>194</v>
      </c>
      <c r="D7203" t="s">
        <v>746</v>
      </c>
      <c r="E7203" t="s">
        <v>771</v>
      </c>
      <c r="F7203">
        <v>6</v>
      </c>
      <c r="G7203" s="308">
        <f>COMEDORES!O226</f>
        <v>3150</v>
      </c>
      <c r="H7203" s="308">
        <f>COMEDORES!P226</f>
        <v>0</v>
      </c>
    </row>
    <row r="7204" spans="1:8" x14ac:dyDescent="0.3">
      <c r="A7204" t="s">
        <v>628</v>
      </c>
      <c r="B7204" t="s">
        <v>191</v>
      </c>
      <c r="C7204" t="s">
        <v>194</v>
      </c>
      <c r="D7204" t="s">
        <v>746</v>
      </c>
      <c r="E7204" t="s">
        <v>772</v>
      </c>
      <c r="F7204">
        <v>7</v>
      </c>
      <c r="G7204" s="308">
        <f>COMEDORES!Q226</f>
        <v>3450</v>
      </c>
      <c r="H7204" s="308">
        <f>COMEDORES!R226</f>
        <v>0</v>
      </c>
    </row>
    <row r="7205" spans="1:8" x14ac:dyDescent="0.3">
      <c r="A7205" t="s">
        <v>628</v>
      </c>
      <c r="B7205" t="s">
        <v>191</v>
      </c>
      <c r="C7205" t="s">
        <v>652</v>
      </c>
      <c r="D7205" t="s">
        <v>745</v>
      </c>
      <c r="E7205" t="s">
        <v>766</v>
      </c>
      <c r="F7205">
        <v>1</v>
      </c>
      <c r="G7205" s="308">
        <f>COMEDORES!E227</f>
        <v>0</v>
      </c>
      <c r="H7205" s="308">
        <f>COMEDORES!F227</f>
        <v>0</v>
      </c>
    </row>
    <row r="7206" spans="1:8" x14ac:dyDescent="0.3">
      <c r="A7206" t="s">
        <v>628</v>
      </c>
      <c r="B7206" t="s">
        <v>191</v>
      </c>
      <c r="C7206" t="s">
        <v>652</v>
      </c>
      <c r="D7206" t="s">
        <v>745</v>
      </c>
      <c r="E7206" t="s">
        <v>767</v>
      </c>
      <c r="F7206">
        <v>2</v>
      </c>
      <c r="G7206" s="308">
        <f>COMEDORES!G227</f>
        <v>0</v>
      </c>
      <c r="H7206" s="308">
        <f>COMEDORES!H227</f>
        <v>0</v>
      </c>
    </row>
    <row r="7207" spans="1:8" x14ac:dyDescent="0.3">
      <c r="A7207" t="s">
        <v>628</v>
      </c>
      <c r="B7207" t="s">
        <v>191</v>
      </c>
      <c r="C7207" t="s">
        <v>652</v>
      </c>
      <c r="D7207" t="s">
        <v>745</v>
      </c>
      <c r="E7207" t="s">
        <v>768</v>
      </c>
      <c r="F7207">
        <v>3</v>
      </c>
      <c r="G7207" s="308">
        <f>COMEDORES!I227</f>
        <v>0</v>
      </c>
      <c r="H7207" s="308">
        <f>COMEDORES!J227</f>
        <v>0</v>
      </c>
    </row>
    <row r="7208" spans="1:8" x14ac:dyDescent="0.3">
      <c r="A7208" t="s">
        <v>628</v>
      </c>
      <c r="B7208" t="s">
        <v>191</v>
      </c>
      <c r="C7208" t="s">
        <v>652</v>
      </c>
      <c r="D7208" t="s">
        <v>745</v>
      </c>
      <c r="E7208" t="s">
        <v>769</v>
      </c>
      <c r="F7208">
        <v>4</v>
      </c>
      <c r="G7208" s="308">
        <f>COMEDORES!K227</f>
        <v>0</v>
      </c>
      <c r="H7208" s="308">
        <f>COMEDORES!L227</f>
        <v>0</v>
      </c>
    </row>
    <row r="7209" spans="1:8" x14ac:dyDescent="0.3">
      <c r="A7209" t="s">
        <v>628</v>
      </c>
      <c r="B7209" t="s">
        <v>191</v>
      </c>
      <c r="C7209" t="s">
        <v>652</v>
      </c>
      <c r="D7209" t="s">
        <v>745</v>
      </c>
      <c r="E7209" t="s">
        <v>770</v>
      </c>
      <c r="F7209">
        <v>5</v>
      </c>
      <c r="G7209" s="308">
        <f>COMEDORES!M227</f>
        <v>0</v>
      </c>
      <c r="H7209" s="308">
        <f>COMEDORES!N227</f>
        <v>0</v>
      </c>
    </row>
    <row r="7210" spans="1:8" x14ac:dyDescent="0.3">
      <c r="A7210" t="s">
        <v>628</v>
      </c>
      <c r="B7210" t="s">
        <v>191</v>
      </c>
      <c r="C7210" t="s">
        <v>652</v>
      </c>
      <c r="D7210" t="s">
        <v>745</v>
      </c>
      <c r="E7210" t="s">
        <v>771</v>
      </c>
      <c r="F7210">
        <v>6</v>
      </c>
      <c r="G7210" s="308">
        <f>COMEDORES!O227</f>
        <v>0</v>
      </c>
      <c r="H7210" s="308">
        <f>COMEDORES!P227</f>
        <v>0</v>
      </c>
    </row>
    <row r="7211" spans="1:8" x14ac:dyDescent="0.3">
      <c r="A7211" t="s">
        <v>628</v>
      </c>
      <c r="B7211" t="s">
        <v>191</v>
      </c>
      <c r="C7211" t="s">
        <v>652</v>
      </c>
      <c r="D7211" t="s">
        <v>745</v>
      </c>
      <c r="E7211" t="s">
        <v>772</v>
      </c>
      <c r="F7211">
        <v>7</v>
      </c>
      <c r="G7211" s="308">
        <f>COMEDORES!Q227</f>
        <v>2366</v>
      </c>
      <c r="H7211" s="308">
        <f>COMEDORES!R227</f>
        <v>0</v>
      </c>
    </row>
    <row r="7212" spans="1:8" x14ac:dyDescent="0.3">
      <c r="A7212" t="s">
        <v>628</v>
      </c>
      <c r="B7212" t="s">
        <v>191</v>
      </c>
      <c r="C7212" t="s">
        <v>652</v>
      </c>
      <c r="D7212" t="s">
        <v>746</v>
      </c>
      <c r="E7212" t="s">
        <v>766</v>
      </c>
      <c r="F7212">
        <v>1</v>
      </c>
      <c r="G7212" s="308">
        <f>COMEDORES!E228</f>
        <v>0</v>
      </c>
      <c r="H7212" s="308">
        <f>COMEDORES!F228</f>
        <v>0</v>
      </c>
    </row>
    <row r="7213" spans="1:8" x14ac:dyDescent="0.3">
      <c r="A7213" t="s">
        <v>628</v>
      </c>
      <c r="B7213" t="s">
        <v>191</v>
      </c>
      <c r="C7213" t="s">
        <v>652</v>
      </c>
      <c r="D7213" t="s">
        <v>746</v>
      </c>
      <c r="E7213" t="s">
        <v>767</v>
      </c>
      <c r="F7213">
        <v>2</v>
      </c>
      <c r="G7213" s="308">
        <f>COMEDORES!G228</f>
        <v>0</v>
      </c>
      <c r="H7213" s="308">
        <f>COMEDORES!H228</f>
        <v>0</v>
      </c>
    </row>
    <row r="7214" spans="1:8" x14ac:dyDescent="0.3">
      <c r="A7214" t="s">
        <v>628</v>
      </c>
      <c r="B7214" t="s">
        <v>191</v>
      </c>
      <c r="C7214" t="s">
        <v>652</v>
      </c>
      <c r="D7214" t="s">
        <v>746</v>
      </c>
      <c r="E7214" t="s">
        <v>768</v>
      </c>
      <c r="F7214">
        <v>3</v>
      </c>
      <c r="G7214" s="308">
        <f>COMEDORES!I228</f>
        <v>0</v>
      </c>
      <c r="H7214" s="308">
        <f>COMEDORES!J228</f>
        <v>0</v>
      </c>
    </row>
    <row r="7215" spans="1:8" x14ac:dyDescent="0.3">
      <c r="A7215" t="s">
        <v>628</v>
      </c>
      <c r="B7215" t="s">
        <v>191</v>
      </c>
      <c r="C7215" t="s">
        <v>652</v>
      </c>
      <c r="D7215" t="s">
        <v>746</v>
      </c>
      <c r="E7215" t="s">
        <v>769</v>
      </c>
      <c r="F7215">
        <v>4</v>
      </c>
      <c r="G7215" s="308">
        <f>COMEDORES!K228</f>
        <v>0</v>
      </c>
      <c r="H7215" s="308">
        <f>COMEDORES!L228</f>
        <v>0</v>
      </c>
    </row>
    <row r="7216" spans="1:8" x14ac:dyDescent="0.3">
      <c r="A7216" t="s">
        <v>628</v>
      </c>
      <c r="B7216" t="s">
        <v>191</v>
      </c>
      <c r="C7216" t="s">
        <v>652</v>
      </c>
      <c r="D7216" t="s">
        <v>746</v>
      </c>
      <c r="E7216" t="s">
        <v>770</v>
      </c>
      <c r="F7216">
        <v>5</v>
      </c>
      <c r="G7216" s="308">
        <f>COMEDORES!M228</f>
        <v>0</v>
      </c>
      <c r="H7216" s="308">
        <f>COMEDORES!N228</f>
        <v>0</v>
      </c>
    </row>
    <row r="7217" spans="1:8" x14ac:dyDescent="0.3">
      <c r="A7217" t="s">
        <v>628</v>
      </c>
      <c r="B7217" t="s">
        <v>191</v>
      </c>
      <c r="C7217" t="s">
        <v>652</v>
      </c>
      <c r="D7217" t="s">
        <v>746</v>
      </c>
      <c r="E7217" t="s">
        <v>771</v>
      </c>
      <c r="F7217">
        <v>6</v>
      </c>
      <c r="G7217" s="308">
        <f>COMEDORES!O228</f>
        <v>0</v>
      </c>
      <c r="H7217" s="308">
        <f>COMEDORES!P228</f>
        <v>0</v>
      </c>
    </row>
    <row r="7218" spans="1:8" x14ac:dyDescent="0.3">
      <c r="A7218" t="s">
        <v>628</v>
      </c>
      <c r="B7218" t="s">
        <v>191</v>
      </c>
      <c r="C7218" t="s">
        <v>652</v>
      </c>
      <c r="D7218" t="s">
        <v>746</v>
      </c>
      <c r="E7218" t="s">
        <v>772</v>
      </c>
      <c r="F7218">
        <v>7</v>
      </c>
      <c r="G7218" s="308">
        <f>COMEDORES!Q228</f>
        <v>2850</v>
      </c>
      <c r="H7218" s="308">
        <f>COMEDORES!R228</f>
        <v>0</v>
      </c>
    </row>
    <row r="7219" spans="1:8" x14ac:dyDescent="0.3">
      <c r="A7219" t="s">
        <v>628</v>
      </c>
      <c r="B7219" t="s">
        <v>191</v>
      </c>
      <c r="C7219" t="s">
        <v>653</v>
      </c>
      <c r="D7219" t="s">
        <v>745</v>
      </c>
      <c r="E7219" t="s">
        <v>766</v>
      </c>
      <c r="F7219">
        <v>1</v>
      </c>
      <c r="G7219" s="308">
        <f>COMEDORES!E229</f>
        <v>0</v>
      </c>
      <c r="H7219" s="308">
        <f>COMEDORES!F229</f>
        <v>0</v>
      </c>
    </row>
    <row r="7220" spans="1:8" x14ac:dyDescent="0.3">
      <c r="A7220" t="s">
        <v>628</v>
      </c>
      <c r="B7220" t="s">
        <v>191</v>
      </c>
      <c r="C7220" t="s">
        <v>653</v>
      </c>
      <c r="D7220" t="s">
        <v>745</v>
      </c>
      <c r="E7220" t="s">
        <v>767</v>
      </c>
      <c r="F7220">
        <v>2</v>
      </c>
      <c r="G7220" s="308">
        <f>COMEDORES!G229</f>
        <v>0</v>
      </c>
      <c r="H7220" s="308">
        <f>COMEDORES!H229</f>
        <v>0</v>
      </c>
    </row>
    <row r="7221" spans="1:8" x14ac:dyDescent="0.3">
      <c r="A7221" t="s">
        <v>628</v>
      </c>
      <c r="B7221" t="s">
        <v>191</v>
      </c>
      <c r="C7221" t="s">
        <v>653</v>
      </c>
      <c r="D7221" t="s">
        <v>745</v>
      </c>
      <c r="E7221" t="s">
        <v>768</v>
      </c>
      <c r="F7221">
        <v>3</v>
      </c>
      <c r="G7221" s="308">
        <f>COMEDORES!I229</f>
        <v>0</v>
      </c>
      <c r="H7221" s="308">
        <f>COMEDORES!J229</f>
        <v>0</v>
      </c>
    </row>
    <row r="7222" spans="1:8" x14ac:dyDescent="0.3">
      <c r="A7222" t="s">
        <v>628</v>
      </c>
      <c r="B7222" t="s">
        <v>191</v>
      </c>
      <c r="C7222" t="s">
        <v>653</v>
      </c>
      <c r="D7222" t="s">
        <v>745</v>
      </c>
      <c r="E7222" t="s">
        <v>769</v>
      </c>
      <c r="F7222">
        <v>4</v>
      </c>
      <c r="G7222" s="308">
        <f>COMEDORES!K229</f>
        <v>0</v>
      </c>
      <c r="H7222" s="308">
        <f>COMEDORES!L229</f>
        <v>0</v>
      </c>
    </row>
    <row r="7223" spans="1:8" x14ac:dyDescent="0.3">
      <c r="A7223" t="s">
        <v>628</v>
      </c>
      <c r="B7223" t="s">
        <v>191</v>
      </c>
      <c r="C7223" t="s">
        <v>653</v>
      </c>
      <c r="D7223" t="s">
        <v>745</v>
      </c>
      <c r="E7223" t="s">
        <v>770</v>
      </c>
      <c r="F7223">
        <v>5</v>
      </c>
      <c r="G7223" s="308">
        <f>COMEDORES!M229</f>
        <v>0</v>
      </c>
      <c r="H7223" s="308">
        <f>COMEDORES!N229</f>
        <v>0</v>
      </c>
    </row>
    <row r="7224" spans="1:8" x14ac:dyDescent="0.3">
      <c r="A7224" t="s">
        <v>628</v>
      </c>
      <c r="B7224" t="s">
        <v>191</v>
      </c>
      <c r="C7224" t="s">
        <v>653</v>
      </c>
      <c r="D7224" t="s">
        <v>745</v>
      </c>
      <c r="E7224" t="s">
        <v>771</v>
      </c>
      <c r="F7224">
        <v>6</v>
      </c>
      <c r="G7224" s="308">
        <f>COMEDORES!O229</f>
        <v>0</v>
      </c>
      <c r="H7224" s="308">
        <f>COMEDORES!P229</f>
        <v>0</v>
      </c>
    </row>
    <row r="7225" spans="1:8" x14ac:dyDescent="0.3">
      <c r="A7225" t="s">
        <v>628</v>
      </c>
      <c r="B7225" t="s">
        <v>191</v>
      </c>
      <c r="C7225" t="s">
        <v>653</v>
      </c>
      <c r="D7225" t="s">
        <v>745</v>
      </c>
      <c r="E7225" t="s">
        <v>772</v>
      </c>
      <c r="F7225">
        <v>7</v>
      </c>
      <c r="G7225" s="308">
        <f>COMEDORES!Q229</f>
        <v>2387</v>
      </c>
      <c r="H7225" s="308">
        <f>COMEDORES!R229</f>
        <v>0</v>
      </c>
    </row>
    <row r="7226" spans="1:8" x14ac:dyDescent="0.3">
      <c r="A7226" t="s">
        <v>628</v>
      </c>
      <c r="B7226" t="s">
        <v>191</v>
      </c>
      <c r="C7226" t="s">
        <v>653</v>
      </c>
      <c r="D7226" t="s">
        <v>746</v>
      </c>
      <c r="E7226" t="s">
        <v>766</v>
      </c>
      <c r="F7226">
        <v>1</v>
      </c>
      <c r="G7226" s="308">
        <f>COMEDORES!E230</f>
        <v>0</v>
      </c>
      <c r="H7226" s="308">
        <f>COMEDORES!F230</f>
        <v>0</v>
      </c>
    </row>
    <row r="7227" spans="1:8" x14ac:dyDescent="0.3">
      <c r="A7227" t="s">
        <v>628</v>
      </c>
      <c r="B7227" t="s">
        <v>191</v>
      </c>
      <c r="C7227" t="s">
        <v>653</v>
      </c>
      <c r="D7227" t="s">
        <v>746</v>
      </c>
      <c r="E7227" t="s">
        <v>767</v>
      </c>
      <c r="F7227">
        <v>2</v>
      </c>
      <c r="G7227" s="308">
        <f>COMEDORES!G230</f>
        <v>0</v>
      </c>
      <c r="H7227" s="308">
        <f>COMEDORES!H230</f>
        <v>0</v>
      </c>
    </row>
    <row r="7228" spans="1:8" x14ac:dyDescent="0.3">
      <c r="A7228" t="s">
        <v>628</v>
      </c>
      <c r="B7228" t="s">
        <v>191</v>
      </c>
      <c r="C7228" t="s">
        <v>653</v>
      </c>
      <c r="D7228" t="s">
        <v>746</v>
      </c>
      <c r="E7228" t="s">
        <v>768</v>
      </c>
      <c r="F7228">
        <v>3</v>
      </c>
      <c r="G7228" s="308">
        <f>COMEDORES!I230</f>
        <v>0</v>
      </c>
      <c r="H7228" s="308">
        <f>COMEDORES!J230</f>
        <v>0</v>
      </c>
    </row>
    <row r="7229" spans="1:8" x14ac:dyDescent="0.3">
      <c r="A7229" t="s">
        <v>628</v>
      </c>
      <c r="B7229" t="s">
        <v>191</v>
      </c>
      <c r="C7229" t="s">
        <v>653</v>
      </c>
      <c r="D7229" t="s">
        <v>746</v>
      </c>
      <c r="E7229" t="s">
        <v>769</v>
      </c>
      <c r="F7229">
        <v>4</v>
      </c>
      <c r="G7229" s="308">
        <f>COMEDORES!K230</f>
        <v>0</v>
      </c>
      <c r="H7229" s="308">
        <f>COMEDORES!L230</f>
        <v>0</v>
      </c>
    </row>
    <row r="7230" spans="1:8" x14ac:dyDescent="0.3">
      <c r="A7230" t="s">
        <v>628</v>
      </c>
      <c r="B7230" t="s">
        <v>191</v>
      </c>
      <c r="C7230" t="s">
        <v>653</v>
      </c>
      <c r="D7230" t="s">
        <v>746</v>
      </c>
      <c r="E7230" t="s">
        <v>770</v>
      </c>
      <c r="F7230">
        <v>5</v>
      </c>
      <c r="G7230" s="308">
        <f>COMEDORES!M230</f>
        <v>0</v>
      </c>
      <c r="H7230" s="308">
        <f>COMEDORES!N230</f>
        <v>0</v>
      </c>
    </row>
    <row r="7231" spans="1:8" x14ac:dyDescent="0.3">
      <c r="A7231" t="s">
        <v>628</v>
      </c>
      <c r="B7231" t="s">
        <v>191</v>
      </c>
      <c r="C7231" t="s">
        <v>653</v>
      </c>
      <c r="D7231" t="s">
        <v>746</v>
      </c>
      <c r="E7231" t="s">
        <v>771</v>
      </c>
      <c r="F7231">
        <v>6</v>
      </c>
      <c r="G7231" s="308">
        <f>COMEDORES!O230</f>
        <v>0</v>
      </c>
      <c r="H7231" s="308">
        <f>COMEDORES!P230</f>
        <v>0</v>
      </c>
    </row>
    <row r="7232" spans="1:8" x14ac:dyDescent="0.3">
      <c r="A7232" t="s">
        <v>628</v>
      </c>
      <c r="B7232" t="s">
        <v>191</v>
      </c>
      <c r="C7232" t="s">
        <v>653</v>
      </c>
      <c r="D7232" t="s">
        <v>746</v>
      </c>
      <c r="E7232" t="s">
        <v>772</v>
      </c>
      <c r="F7232">
        <v>7</v>
      </c>
      <c r="G7232" s="308">
        <f>COMEDORES!Q230</f>
        <v>3200</v>
      </c>
      <c r="H7232" s="308">
        <f>COMEDORES!R230</f>
        <v>0</v>
      </c>
    </row>
    <row r="7233" spans="1:8" x14ac:dyDescent="0.3">
      <c r="A7233" t="s">
        <v>628</v>
      </c>
      <c r="B7233" t="s">
        <v>215</v>
      </c>
      <c r="C7233" t="s">
        <v>654</v>
      </c>
      <c r="D7233" t="s">
        <v>745</v>
      </c>
      <c r="E7233" t="s">
        <v>766</v>
      </c>
      <c r="F7233">
        <v>1</v>
      </c>
      <c r="G7233" s="308">
        <f>COMEDORES!E231</f>
        <v>0</v>
      </c>
      <c r="H7233" s="308">
        <f>COMEDORES!F231</f>
        <v>0</v>
      </c>
    </row>
    <row r="7234" spans="1:8" x14ac:dyDescent="0.3">
      <c r="A7234" t="s">
        <v>628</v>
      </c>
      <c r="B7234" t="s">
        <v>215</v>
      </c>
      <c r="C7234" t="s">
        <v>654</v>
      </c>
      <c r="D7234" t="s">
        <v>745</v>
      </c>
      <c r="E7234" t="s">
        <v>767</v>
      </c>
      <c r="F7234">
        <v>2</v>
      </c>
      <c r="G7234" s="308">
        <f>COMEDORES!G231</f>
        <v>0</v>
      </c>
      <c r="H7234" s="308">
        <f>COMEDORES!H231</f>
        <v>0</v>
      </c>
    </row>
    <row r="7235" spans="1:8" x14ac:dyDescent="0.3">
      <c r="A7235" t="s">
        <v>628</v>
      </c>
      <c r="B7235" t="s">
        <v>215</v>
      </c>
      <c r="C7235" t="s">
        <v>654</v>
      </c>
      <c r="D7235" t="s">
        <v>745</v>
      </c>
      <c r="E7235" t="s">
        <v>768</v>
      </c>
      <c r="F7235">
        <v>3</v>
      </c>
      <c r="G7235" s="308">
        <f>COMEDORES!I231</f>
        <v>0</v>
      </c>
      <c r="H7235" s="308">
        <f>COMEDORES!J231</f>
        <v>0</v>
      </c>
    </row>
    <row r="7236" spans="1:8" x14ac:dyDescent="0.3">
      <c r="A7236" t="s">
        <v>628</v>
      </c>
      <c r="B7236" t="s">
        <v>215</v>
      </c>
      <c r="C7236" t="s">
        <v>654</v>
      </c>
      <c r="D7236" t="s">
        <v>745</v>
      </c>
      <c r="E7236" t="s">
        <v>769</v>
      </c>
      <c r="F7236">
        <v>4</v>
      </c>
      <c r="G7236" s="308">
        <f>COMEDORES!K231</f>
        <v>0</v>
      </c>
      <c r="H7236" s="308">
        <f>COMEDORES!L231</f>
        <v>0</v>
      </c>
    </row>
    <row r="7237" spans="1:8" x14ac:dyDescent="0.3">
      <c r="A7237" t="s">
        <v>628</v>
      </c>
      <c r="B7237" t="s">
        <v>215</v>
      </c>
      <c r="C7237" t="s">
        <v>654</v>
      </c>
      <c r="D7237" t="s">
        <v>745</v>
      </c>
      <c r="E7237" t="s">
        <v>770</v>
      </c>
      <c r="F7237">
        <v>5</v>
      </c>
      <c r="G7237" s="308">
        <f>COMEDORES!M231</f>
        <v>0</v>
      </c>
      <c r="H7237" s="308">
        <f>COMEDORES!N231</f>
        <v>0</v>
      </c>
    </row>
    <row r="7238" spans="1:8" x14ac:dyDescent="0.3">
      <c r="A7238" t="s">
        <v>628</v>
      </c>
      <c r="B7238" t="s">
        <v>215</v>
      </c>
      <c r="C7238" t="s">
        <v>654</v>
      </c>
      <c r="D7238" t="s">
        <v>745</v>
      </c>
      <c r="E7238" t="s">
        <v>771</v>
      </c>
      <c r="F7238">
        <v>6</v>
      </c>
      <c r="G7238" s="308">
        <f>COMEDORES!O231</f>
        <v>0</v>
      </c>
      <c r="H7238" s="308">
        <f>COMEDORES!P231</f>
        <v>0</v>
      </c>
    </row>
    <row r="7239" spans="1:8" x14ac:dyDescent="0.3">
      <c r="A7239" t="s">
        <v>628</v>
      </c>
      <c r="B7239" t="s">
        <v>215</v>
      </c>
      <c r="C7239" t="s">
        <v>654</v>
      </c>
      <c r="D7239" t="s">
        <v>745</v>
      </c>
      <c r="E7239" t="s">
        <v>772</v>
      </c>
      <c r="F7239">
        <v>7</v>
      </c>
      <c r="G7239" s="308">
        <f>COMEDORES!Q231</f>
        <v>1488</v>
      </c>
      <c r="H7239" s="308">
        <f>COMEDORES!R231</f>
        <v>0</v>
      </c>
    </row>
    <row r="7240" spans="1:8" x14ac:dyDescent="0.3">
      <c r="A7240" t="s">
        <v>628</v>
      </c>
      <c r="B7240" t="s">
        <v>215</v>
      </c>
      <c r="C7240" t="s">
        <v>654</v>
      </c>
      <c r="D7240" t="s">
        <v>746</v>
      </c>
      <c r="E7240" t="s">
        <v>766</v>
      </c>
      <c r="F7240">
        <v>1</v>
      </c>
      <c r="G7240" s="308">
        <f>COMEDORES!E232</f>
        <v>0</v>
      </c>
      <c r="H7240" s="308">
        <f>COMEDORES!F232</f>
        <v>0</v>
      </c>
    </row>
    <row r="7241" spans="1:8" x14ac:dyDescent="0.3">
      <c r="A7241" t="s">
        <v>628</v>
      </c>
      <c r="B7241" t="s">
        <v>215</v>
      </c>
      <c r="C7241" t="s">
        <v>654</v>
      </c>
      <c r="D7241" t="s">
        <v>746</v>
      </c>
      <c r="E7241" t="s">
        <v>767</v>
      </c>
      <c r="F7241">
        <v>2</v>
      </c>
      <c r="G7241" s="308">
        <f>COMEDORES!G232</f>
        <v>0</v>
      </c>
      <c r="H7241" s="308">
        <f>COMEDORES!H232</f>
        <v>0</v>
      </c>
    </row>
    <row r="7242" spans="1:8" x14ac:dyDescent="0.3">
      <c r="A7242" t="s">
        <v>628</v>
      </c>
      <c r="B7242" t="s">
        <v>215</v>
      </c>
      <c r="C7242" t="s">
        <v>654</v>
      </c>
      <c r="D7242" t="s">
        <v>746</v>
      </c>
      <c r="E7242" t="s">
        <v>768</v>
      </c>
      <c r="F7242">
        <v>3</v>
      </c>
      <c r="G7242" s="308">
        <f>COMEDORES!I232</f>
        <v>0</v>
      </c>
      <c r="H7242" s="308">
        <f>COMEDORES!J232</f>
        <v>0</v>
      </c>
    </row>
    <row r="7243" spans="1:8" x14ac:dyDescent="0.3">
      <c r="A7243" t="s">
        <v>628</v>
      </c>
      <c r="B7243" t="s">
        <v>215</v>
      </c>
      <c r="C7243" t="s">
        <v>654</v>
      </c>
      <c r="D7243" t="s">
        <v>746</v>
      </c>
      <c r="E7243" t="s">
        <v>769</v>
      </c>
      <c r="F7243">
        <v>4</v>
      </c>
      <c r="G7243" s="308">
        <f>COMEDORES!K232</f>
        <v>0</v>
      </c>
      <c r="H7243" s="308">
        <f>COMEDORES!L232</f>
        <v>0</v>
      </c>
    </row>
    <row r="7244" spans="1:8" x14ac:dyDescent="0.3">
      <c r="A7244" t="s">
        <v>628</v>
      </c>
      <c r="B7244" t="s">
        <v>215</v>
      </c>
      <c r="C7244" t="s">
        <v>654</v>
      </c>
      <c r="D7244" t="s">
        <v>746</v>
      </c>
      <c r="E7244" t="s">
        <v>770</v>
      </c>
      <c r="F7244">
        <v>5</v>
      </c>
      <c r="G7244" s="308">
        <f>COMEDORES!M232</f>
        <v>0</v>
      </c>
      <c r="H7244" s="308">
        <f>COMEDORES!N232</f>
        <v>0</v>
      </c>
    </row>
    <row r="7245" spans="1:8" x14ac:dyDescent="0.3">
      <c r="A7245" t="s">
        <v>628</v>
      </c>
      <c r="B7245" t="s">
        <v>215</v>
      </c>
      <c r="C7245" t="s">
        <v>654</v>
      </c>
      <c r="D7245" t="s">
        <v>746</v>
      </c>
      <c r="E7245" t="s">
        <v>771</v>
      </c>
      <c r="F7245">
        <v>6</v>
      </c>
      <c r="G7245" s="308">
        <f>COMEDORES!O232</f>
        <v>0</v>
      </c>
      <c r="H7245" s="308">
        <f>COMEDORES!P232</f>
        <v>0</v>
      </c>
    </row>
    <row r="7246" spans="1:8" x14ac:dyDescent="0.3">
      <c r="A7246" t="s">
        <v>628</v>
      </c>
      <c r="B7246" t="s">
        <v>215</v>
      </c>
      <c r="C7246" t="s">
        <v>654</v>
      </c>
      <c r="D7246" t="s">
        <v>746</v>
      </c>
      <c r="E7246" t="s">
        <v>772</v>
      </c>
      <c r="F7246">
        <v>7</v>
      </c>
      <c r="G7246" s="308">
        <f>COMEDORES!Q232</f>
        <v>1976</v>
      </c>
      <c r="H7246" s="308">
        <f>COMEDORES!R232</f>
        <v>0</v>
      </c>
    </row>
    <row r="7247" spans="1:8" x14ac:dyDescent="0.3">
      <c r="A7247" t="s">
        <v>628</v>
      </c>
      <c r="B7247" t="s">
        <v>215</v>
      </c>
      <c r="C7247" t="s">
        <v>403</v>
      </c>
      <c r="D7247" t="s">
        <v>745</v>
      </c>
      <c r="E7247" t="s">
        <v>766</v>
      </c>
      <c r="F7247">
        <v>1</v>
      </c>
      <c r="G7247" s="308">
        <f>COMEDORES!E233</f>
        <v>0</v>
      </c>
      <c r="H7247" s="308">
        <f>COMEDORES!F233</f>
        <v>0</v>
      </c>
    </row>
    <row r="7248" spans="1:8" x14ac:dyDescent="0.3">
      <c r="A7248" t="s">
        <v>628</v>
      </c>
      <c r="B7248" t="s">
        <v>215</v>
      </c>
      <c r="C7248" t="s">
        <v>403</v>
      </c>
      <c r="D7248" t="s">
        <v>745</v>
      </c>
      <c r="E7248" t="s">
        <v>767</v>
      </c>
      <c r="F7248">
        <v>2</v>
      </c>
      <c r="G7248" s="308">
        <f>COMEDORES!G233</f>
        <v>0</v>
      </c>
      <c r="H7248" s="308">
        <f>COMEDORES!H233</f>
        <v>0</v>
      </c>
    </row>
    <row r="7249" spans="1:8" x14ac:dyDescent="0.3">
      <c r="A7249" t="s">
        <v>628</v>
      </c>
      <c r="B7249" t="s">
        <v>215</v>
      </c>
      <c r="C7249" t="s">
        <v>403</v>
      </c>
      <c r="D7249" t="s">
        <v>745</v>
      </c>
      <c r="E7249" t="s">
        <v>768</v>
      </c>
      <c r="F7249">
        <v>3</v>
      </c>
      <c r="G7249" s="308">
        <f>COMEDORES!I233</f>
        <v>2400</v>
      </c>
      <c r="H7249" s="308">
        <f>COMEDORES!J233</f>
        <v>0</v>
      </c>
    </row>
    <row r="7250" spans="1:8" x14ac:dyDescent="0.3">
      <c r="A7250" t="s">
        <v>628</v>
      </c>
      <c r="B7250" t="s">
        <v>215</v>
      </c>
      <c r="C7250" t="s">
        <v>403</v>
      </c>
      <c r="D7250" t="s">
        <v>745</v>
      </c>
      <c r="E7250" t="s">
        <v>769</v>
      </c>
      <c r="F7250">
        <v>4</v>
      </c>
      <c r="G7250" s="308">
        <f>COMEDORES!K233</f>
        <v>2850</v>
      </c>
      <c r="H7250" s="308">
        <f>COMEDORES!L233</f>
        <v>192617.82</v>
      </c>
    </row>
    <row r="7251" spans="1:8" x14ac:dyDescent="0.3">
      <c r="A7251" t="s">
        <v>628</v>
      </c>
      <c r="B7251" t="s">
        <v>215</v>
      </c>
      <c r="C7251" t="s">
        <v>403</v>
      </c>
      <c r="D7251" t="s">
        <v>745</v>
      </c>
      <c r="E7251" t="s">
        <v>770</v>
      </c>
      <c r="F7251">
        <v>5</v>
      </c>
      <c r="G7251" s="308">
        <f>COMEDORES!M233</f>
        <v>2462</v>
      </c>
      <c r="H7251" s="308">
        <f>COMEDORES!N233</f>
        <v>235968.6</v>
      </c>
    </row>
    <row r="7252" spans="1:8" x14ac:dyDescent="0.3">
      <c r="A7252" t="s">
        <v>628</v>
      </c>
      <c r="B7252" t="s">
        <v>215</v>
      </c>
      <c r="C7252" t="s">
        <v>403</v>
      </c>
      <c r="D7252" t="s">
        <v>745</v>
      </c>
      <c r="E7252" t="s">
        <v>771</v>
      </c>
      <c r="F7252">
        <v>6</v>
      </c>
      <c r="G7252" s="308">
        <f>COMEDORES!O233</f>
        <v>2625</v>
      </c>
      <c r="H7252" s="308">
        <f>COMEDORES!P233</f>
        <v>230997.06</v>
      </c>
    </row>
    <row r="7253" spans="1:8" x14ac:dyDescent="0.3">
      <c r="A7253" t="s">
        <v>628</v>
      </c>
      <c r="B7253" t="s">
        <v>215</v>
      </c>
      <c r="C7253" t="s">
        <v>403</v>
      </c>
      <c r="D7253" t="s">
        <v>745</v>
      </c>
      <c r="E7253" t="s">
        <v>772</v>
      </c>
      <c r="F7253">
        <v>7</v>
      </c>
      <c r="G7253" s="308">
        <f>COMEDORES!Q233</f>
        <v>2475</v>
      </c>
      <c r="H7253" s="308">
        <f>COMEDORES!R233</f>
        <v>234626.25</v>
      </c>
    </row>
    <row r="7254" spans="1:8" x14ac:dyDescent="0.3">
      <c r="A7254" t="s">
        <v>628</v>
      </c>
      <c r="B7254" t="s">
        <v>215</v>
      </c>
      <c r="C7254" t="s">
        <v>403</v>
      </c>
      <c r="D7254" t="s">
        <v>746</v>
      </c>
      <c r="E7254" t="s">
        <v>766</v>
      </c>
      <c r="F7254">
        <v>1</v>
      </c>
      <c r="G7254" s="308">
        <f>COMEDORES!E234</f>
        <v>0</v>
      </c>
      <c r="H7254" s="308">
        <f>COMEDORES!F234</f>
        <v>0</v>
      </c>
    </row>
    <row r="7255" spans="1:8" x14ac:dyDescent="0.3">
      <c r="A7255" t="s">
        <v>628</v>
      </c>
      <c r="B7255" t="s">
        <v>215</v>
      </c>
      <c r="C7255" t="s">
        <v>403</v>
      </c>
      <c r="D7255" t="s">
        <v>746</v>
      </c>
      <c r="E7255" t="s">
        <v>767</v>
      </c>
      <c r="F7255">
        <v>2</v>
      </c>
      <c r="G7255" s="308">
        <f>COMEDORES!G234</f>
        <v>0</v>
      </c>
      <c r="H7255" s="308">
        <f>COMEDORES!H234</f>
        <v>0</v>
      </c>
    </row>
    <row r="7256" spans="1:8" x14ac:dyDescent="0.3">
      <c r="A7256" t="s">
        <v>628</v>
      </c>
      <c r="B7256" t="s">
        <v>215</v>
      </c>
      <c r="C7256" t="s">
        <v>403</v>
      </c>
      <c r="D7256" t="s">
        <v>746</v>
      </c>
      <c r="E7256" t="s">
        <v>768</v>
      </c>
      <c r="F7256">
        <v>3</v>
      </c>
      <c r="G7256" s="308">
        <f>COMEDORES!I234</f>
        <v>3200</v>
      </c>
      <c r="H7256" s="308">
        <f>COMEDORES!J234</f>
        <v>0</v>
      </c>
    </row>
    <row r="7257" spans="1:8" x14ac:dyDescent="0.3">
      <c r="A7257" t="s">
        <v>628</v>
      </c>
      <c r="B7257" t="s">
        <v>215</v>
      </c>
      <c r="C7257" t="s">
        <v>403</v>
      </c>
      <c r="D7257" t="s">
        <v>746</v>
      </c>
      <c r="E7257" t="s">
        <v>769</v>
      </c>
      <c r="F7257">
        <v>4</v>
      </c>
      <c r="G7257" s="308">
        <f>COMEDORES!K234</f>
        <v>3782</v>
      </c>
      <c r="H7257" s="308">
        <f>COMEDORES!L234</f>
        <v>0</v>
      </c>
    </row>
    <row r="7258" spans="1:8" x14ac:dyDescent="0.3">
      <c r="A7258" t="s">
        <v>628</v>
      </c>
      <c r="B7258" t="s">
        <v>215</v>
      </c>
      <c r="C7258" t="s">
        <v>403</v>
      </c>
      <c r="D7258" t="s">
        <v>746</v>
      </c>
      <c r="E7258" t="s">
        <v>770</v>
      </c>
      <c r="F7258">
        <v>5</v>
      </c>
      <c r="G7258" s="308">
        <f>COMEDORES!M234</f>
        <v>4000</v>
      </c>
      <c r="H7258" s="308">
        <f>COMEDORES!N234</f>
        <v>0</v>
      </c>
    </row>
    <row r="7259" spans="1:8" x14ac:dyDescent="0.3">
      <c r="A7259" t="s">
        <v>628</v>
      </c>
      <c r="B7259" t="s">
        <v>215</v>
      </c>
      <c r="C7259" t="s">
        <v>403</v>
      </c>
      <c r="D7259" t="s">
        <v>746</v>
      </c>
      <c r="E7259" t="s">
        <v>771</v>
      </c>
      <c r="F7259">
        <v>6</v>
      </c>
      <c r="G7259" s="308">
        <f>COMEDORES!O234</f>
        <v>3950</v>
      </c>
      <c r="H7259" s="308">
        <f>COMEDORES!P234</f>
        <v>0</v>
      </c>
    </row>
    <row r="7260" spans="1:8" x14ac:dyDescent="0.3">
      <c r="A7260" t="s">
        <v>628</v>
      </c>
      <c r="B7260" t="s">
        <v>215</v>
      </c>
      <c r="C7260" t="s">
        <v>403</v>
      </c>
      <c r="D7260" t="s">
        <v>746</v>
      </c>
      <c r="E7260" t="s">
        <v>772</v>
      </c>
      <c r="F7260">
        <v>7</v>
      </c>
      <c r="G7260" s="308">
        <f>COMEDORES!Q234</f>
        <v>3425</v>
      </c>
      <c r="H7260" s="308">
        <f>COMEDORES!R234</f>
        <v>0</v>
      </c>
    </row>
    <row r="7261" spans="1:8" x14ac:dyDescent="0.3">
      <c r="A7261" t="s">
        <v>628</v>
      </c>
      <c r="B7261" t="s">
        <v>215</v>
      </c>
      <c r="C7261" t="s">
        <v>228</v>
      </c>
      <c r="D7261" t="s">
        <v>745</v>
      </c>
      <c r="E7261" t="s">
        <v>766</v>
      </c>
      <c r="F7261">
        <v>1</v>
      </c>
      <c r="G7261" s="308">
        <f>COMEDORES!E235</f>
        <v>0</v>
      </c>
      <c r="H7261" s="308">
        <f>COMEDORES!F235</f>
        <v>0</v>
      </c>
    </row>
    <row r="7262" spans="1:8" x14ac:dyDescent="0.3">
      <c r="A7262" t="s">
        <v>628</v>
      </c>
      <c r="B7262" t="s">
        <v>215</v>
      </c>
      <c r="C7262" t="s">
        <v>228</v>
      </c>
      <c r="D7262" t="s">
        <v>745</v>
      </c>
      <c r="E7262" t="s">
        <v>767</v>
      </c>
      <c r="F7262">
        <v>2</v>
      </c>
      <c r="G7262" s="308">
        <f>COMEDORES!G235</f>
        <v>0</v>
      </c>
      <c r="H7262" s="308">
        <f>COMEDORES!H235</f>
        <v>0</v>
      </c>
    </row>
    <row r="7263" spans="1:8" x14ac:dyDescent="0.3">
      <c r="A7263" t="s">
        <v>628</v>
      </c>
      <c r="B7263" t="s">
        <v>215</v>
      </c>
      <c r="C7263" t="s">
        <v>228</v>
      </c>
      <c r="D7263" t="s">
        <v>745</v>
      </c>
      <c r="E7263" t="s">
        <v>768</v>
      </c>
      <c r="F7263">
        <v>3</v>
      </c>
      <c r="G7263" s="308">
        <f>COMEDORES!I235</f>
        <v>0</v>
      </c>
      <c r="H7263" s="308">
        <f>COMEDORES!J235</f>
        <v>0</v>
      </c>
    </row>
    <row r="7264" spans="1:8" x14ac:dyDescent="0.3">
      <c r="A7264" t="s">
        <v>628</v>
      </c>
      <c r="B7264" t="s">
        <v>215</v>
      </c>
      <c r="C7264" t="s">
        <v>228</v>
      </c>
      <c r="D7264" t="s">
        <v>745</v>
      </c>
      <c r="E7264" t="s">
        <v>769</v>
      </c>
      <c r="F7264">
        <v>4</v>
      </c>
      <c r="G7264" s="308">
        <f>COMEDORES!K235</f>
        <v>0</v>
      </c>
      <c r="H7264" s="308">
        <f>COMEDORES!L235</f>
        <v>0</v>
      </c>
    </row>
    <row r="7265" spans="1:8" x14ac:dyDescent="0.3">
      <c r="A7265" t="s">
        <v>628</v>
      </c>
      <c r="B7265" t="s">
        <v>215</v>
      </c>
      <c r="C7265" t="s">
        <v>228</v>
      </c>
      <c r="D7265" t="s">
        <v>745</v>
      </c>
      <c r="E7265" t="s">
        <v>770</v>
      </c>
      <c r="F7265">
        <v>5</v>
      </c>
      <c r="G7265" s="308">
        <f>COMEDORES!M235</f>
        <v>0</v>
      </c>
      <c r="H7265" s="308">
        <f>COMEDORES!N235</f>
        <v>0</v>
      </c>
    </row>
    <row r="7266" spans="1:8" x14ac:dyDescent="0.3">
      <c r="A7266" t="s">
        <v>628</v>
      </c>
      <c r="B7266" t="s">
        <v>215</v>
      </c>
      <c r="C7266" t="s">
        <v>228</v>
      </c>
      <c r="D7266" t="s">
        <v>745</v>
      </c>
      <c r="E7266" t="s">
        <v>771</v>
      </c>
      <c r="F7266">
        <v>6</v>
      </c>
      <c r="G7266" s="308">
        <f>COMEDORES!O235</f>
        <v>0</v>
      </c>
      <c r="H7266" s="308">
        <f>COMEDORES!P235</f>
        <v>0</v>
      </c>
    </row>
    <row r="7267" spans="1:8" x14ac:dyDescent="0.3">
      <c r="A7267" t="s">
        <v>628</v>
      </c>
      <c r="B7267" t="s">
        <v>215</v>
      </c>
      <c r="C7267" t="s">
        <v>228</v>
      </c>
      <c r="D7267" t="s">
        <v>745</v>
      </c>
      <c r="E7267" t="s">
        <v>772</v>
      </c>
      <c r="F7267">
        <v>7</v>
      </c>
      <c r="G7267" s="308">
        <f>COMEDORES!Q235</f>
        <v>3000</v>
      </c>
      <c r="H7267" s="308">
        <f>COMEDORES!R235</f>
        <v>0</v>
      </c>
    </row>
    <row r="7268" spans="1:8" x14ac:dyDescent="0.3">
      <c r="A7268" t="s">
        <v>628</v>
      </c>
      <c r="B7268" t="s">
        <v>215</v>
      </c>
      <c r="C7268" t="s">
        <v>228</v>
      </c>
      <c r="D7268" t="s">
        <v>746</v>
      </c>
      <c r="E7268" t="s">
        <v>766</v>
      </c>
      <c r="F7268">
        <v>1</v>
      </c>
      <c r="G7268" s="308">
        <f>COMEDORES!E236</f>
        <v>0</v>
      </c>
      <c r="H7268" s="308">
        <f>COMEDORES!F236</f>
        <v>0</v>
      </c>
    </row>
    <row r="7269" spans="1:8" x14ac:dyDescent="0.3">
      <c r="A7269" t="s">
        <v>628</v>
      </c>
      <c r="B7269" t="s">
        <v>215</v>
      </c>
      <c r="C7269" t="s">
        <v>228</v>
      </c>
      <c r="D7269" t="s">
        <v>746</v>
      </c>
      <c r="E7269" t="s">
        <v>767</v>
      </c>
      <c r="F7269">
        <v>2</v>
      </c>
      <c r="G7269" s="308">
        <f>COMEDORES!G236</f>
        <v>0</v>
      </c>
      <c r="H7269" s="308">
        <f>COMEDORES!H236</f>
        <v>0</v>
      </c>
    </row>
    <row r="7270" spans="1:8" x14ac:dyDescent="0.3">
      <c r="A7270" t="s">
        <v>628</v>
      </c>
      <c r="B7270" t="s">
        <v>215</v>
      </c>
      <c r="C7270" t="s">
        <v>228</v>
      </c>
      <c r="D7270" t="s">
        <v>746</v>
      </c>
      <c r="E7270" t="s">
        <v>768</v>
      </c>
      <c r="F7270">
        <v>3</v>
      </c>
      <c r="G7270" s="308">
        <f>COMEDORES!I236</f>
        <v>0</v>
      </c>
      <c r="H7270" s="308">
        <f>COMEDORES!J236</f>
        <v>0</v>
      </c>
    </row>
    <row r="7271" spans="1:8" x14ac:dyDescent="0.3">
      <c r="A7271" t="s">
        <v>628</v>
      </c>
      <c r="B7271" t="s">
        <v>215</v>
      </c>
      <c r="C7271" t="s">
        <v>228</v>
      </c>
      <c r="D7271" t="s">
        <v>746</v>
      </c>
      <c r="E7271" t="s">
        <v>769</v>
      </c>
      <c r="F7271">
        <v>4</v>
      </c>
      <c r="G7271" s="308">
        <f>COMEDORES!K236</f>
        <v>0</v>
      </c>
      <c r="H7271" s="308">
        <f>COMEDORES!L236</f>
        <v>0</v>
      </c>
    </row>
    <row r="7272" spans="1:8" x14ac:dyDescent="0.3">
      <c r="A7272" t="s">
        <v>628</v>
      </c>
      <c r="B7272" t="s">
        <v>215</v>
      </c>
      <c r="C7272" t="s">
        <v>228</v>
      </c>
      <c r="D7272" t="s">
        <v>746</v>
      </c>
      <c r="E7272" t="s">
        <v>770</v>
      </c>
      <c r="F7272">
        <v>5</v>
      </c>
      <c r="G7272" s="308">
        <f>COMEDORES!M236</f>
        <v>0</v>
      </c>
      <c r="H7272" s="308">
        <f>COMEDORES!N236</f>
        <v>0</v>
      </c>
    </row>
    <row r="7273" spans="1:8" x14ac:dyDescent="0.3">
      <c r="A7273" t="s">
        <v>628</v>
      </c>
      <c r="B7273" t="s">
        <v>215</v>
      </c>
      <c r="C7273" t="s">
        <v>228</v>
      </c>
      <c r="D7273" t="s">
        <v>746</v>
      </c>
      <c r="E7273" t="s">
        <v>771</v>
      </c>
      <c r="F7273">
        <v>6</v>
      </c>
      <c r="G7273" s="308">
        <f>COMEDORES!O236</f>
        <v>0</v>
      </c>
      <c r="H7273" s="308">
        <f>COMEDORES!P236</f>
        <v>0</v>
      </c>
    </row>
    <row r="7274" spans="1:8" x14ac:dyDescent="0.3">
      <c r="A7274" t="s">
        <v>628</v>
      </c>
      <c r="B7274" t="s">
        <v>215</v>
      </c>
      <c r="C7274" t="s">
        <v>228</v>
      </c>
      <c r="D7274" t="s">
        <v>746</v>
      </c>
      <c r="E7274" t="s">
        <v>772</v>
      </c>
      <c r="F7274">
        <v>7</v>
      </c>
      <c r="G7274" s="308">
        <f>COMEDORES!Q236</f>
        <v>4000</v>
      </c>
      <c r="H7274" s="308">
        <f>COMEDORES!R236</f>
        <v>0</v>
      </c>
    </row>
    <row r="7275" spans="1:8" x14ac:dyDescent="0.3">
      <c r="A7275" t="s">
        <v>628</v>
      </c>
      <c r="B7275" t="s">
        <v>215</v>
      </c>
      <c r="C7275" t="s">
        <v>404</v>
      </c>
      <c r="D7275" t="s">
        <v>745</v>
      </c>
      <c r="E7275" t="s">
        <v>766</v>
      </c>
      <c r="F7275">
        <v>1</v>
      </c>
      <c r="G7275" s="308">
        <f>COMEDORES!E237</f>
        <v>2250</v>
      </c>
      <c r="H7275" s="308">
        <f>COMEDORES!F237</f>
        <v>0</v>
      </c>
    </row>
    <row r="7276" spans="1:8" x14ac:dyDescent="0.3">
      <c r="A7276" t="s">
        <v>628</v>
      </c>
      <c r="B7276" t="s">
        <v>215</v>
      </c>
      <c r="C7276" t="s">
        <v>404</v>
      </c>
      <c r="D7276" t="s">
        <v>745</v>
      </c>
      <c r="E7276" t="s">
        <v>767</v>
      </c>
      <c r="F7276">
        <v>2</v>
      </c>
      <c r="G7276" s="308">
        <f>COMEDORES!G237</f>
        <v>2500</v>
      </c>
      <c r="H7276" s="308">
        <f>COMEDORES!H237</f>
        <v>0</v>
      </c>
    </row>
    <row r="7277" spans="1:8" x14ac:dyDescent="0.3">
      <c r="A7277" t="s">
        <v>628</v>
      </c>
      <c r="B7277" t="s">
        <v>215</v>
      </c>
      <c r="C7277" t="s">
        <v>404</v>
      </c>
      <c r="D7277" t="s">
        <v>745</v>
      </c>
      <c r="E7277" t="s">
        <v>768</v>
      </c>
      <c r="F7277">
        <v>3</v>
      </c>
      <c r="G7277" s="308">
        <f>COMEDORES!I237</f>
        <v>2750</v>
      </c>
      <c r="H7277" s="308">
        <f>COMEDORES!J237</f>
        <v>412608.75</v>
      </c>
    </row>
    <row r="7278" spans="1:8" x14ac:dyDescent="0.3">
      <c r="A7278" t="s">
        <v>628</v>
      </c>
      <c r="B7278" t="s">
        <v>215</v>
      </c>
      <c r="C7278" t="s">
        <v>404</v>
      </c>
      <c r="D7278" t="s">
        <v>745</v>
      </c>
      <c r="E7278" t="s">
        <v>769</v>
      </c>
      <c r="F7278">
        <v>4</v>
      </c>
      <c r="G7278" s="308">
        <f>COMEDORES!K237</f>
        <v>2125</v>
      </c>
      <c r="H7278" s="308">
        <f>COMEDORES!L237</f>
        <v>232976.09999999998</v>
      </c>
    </row>
    <row r="7279" spans="1:8" x14ac:dyDescent="0.3">
      <c r="A7279" t="s">
        <v>628</v>
      </c>
      <c r="B7279" t="s">
        <v>215</v>
      </c>
      <c r="C7279" t="s">
        <v>404</v>
      </c>
      <c r="D7279" t="s">
        <v>745</v>
      </c>
      <c r="E7279" t="s">
        <v>770</v>
      </c>
      <c r="F7279">
        <v>5</v>
      </c>
      <c r="G7279" s="308">
        <f>COMEDORES!M237</f>
        <v>2000</v>
      </c>
      <c r="H7279" s="308">
        <f>COMEDORES!N237</f>
        <v>185392.5</v>
      </c>
    </row>
    <row r="7280" spans="1:8" x14ac:dyDescent="0.3">
      <c r="A7280" t="s">
        <v>628</v>
      </c>
      <c r="B7280" t="s">
        <v>215</v>
      </c>
      <c r="C7280" t="s">
        <v>404</v>
      </c>
      <c r="D7280" t="s">
        <v>745</v>
      </c>
      <c r="E7280" t="s">
        <v>771</v>
      </c>
      <c r="F7280">
        <v>6</v>
      </c>
      <c r="G7280" s="308">
        <f>COMEDORES!O237</f>
        <v>2100</v>
      </c>
      <c r="H7280" s="308">
        <f>COMEDORES!P237</f>
        <v>178410</v>
      </c>
    </row>
    <row r="7281" spans="1:8" x14ac:dyDescent="0.3">
      <c r="A7281" t="s">
        <v>628</v>
      </c>
      <c r="B7281" t="s">
        <v>215</v>
      </c>
      <c r="C7281" t="s">
        <v>404</v>
      </c>
      <c r="D7281" t="s">
        <v>745</v>
      </c>
      <c r="E7281" t="s">
        <v>772</v>
      </c>
      <c r="F7281">
        <v>7</v>
      </c>
      <c r="G7281" s="308">
        <f>COMEDORES!Q237</f>
        <v>2300</v>
      </c>
      <c r="H7281" s="308">
        <f>COMEDORES!R237</f>
        <v>187330.50000000012</v>
      </c>
    </row>
    <row r="7282" spans="1:8" x14ac:dyDescent="0.3">
      <c r="A7282" t="s">
        <v>628</v>
      </c>
      <c r="B7282" t="s">
        <v>215</v>
      </c>
      <c r="C7282" t="s">
        <v>404</v>
      </c>
      <c r="D7282" t="s">
        <v>746</v>
      </c>
      <c r="E7282" t="s">
        <v>766</v>
      </c>
      <c r="F7282">
        <v>1</v>
      </c>
      <c r="G7282" s="308">
        <f>COMEDORES!E238</f>
        <v>3325</v>
      </c>
      <c r="H7282" s="308">
        <f>COMEDORES!F238</f>
        <v>0</v>
      </c>
    </row>
    <row r="7283" spans="1:8" x14ac:dyDescent="0.3">
      <c r="A7283" t="s">
        <v>628</v>
      </c>
      <c r="B7283" t="s">
        <v>215</v>
      </c>
      <c r="C7283" t="s">
        <v>404</v>
      </c>
      <c r="D7283" t="s">
        <v>746</v>
      </c>
      <c r="E7283" t="s">
        <v>767</v>
      </c>
      <c r="F7283">
        <v>2</v>
      </c>
      <c r="G7283" s="308">
        <f>COMEDORES!G238</f>
        <v>3500</v>
      </c>
      <c r="H7283" s="308">
        <f>COMEDORES!H238</f>
        <v>0</v>
      </c>
    </row>
    <row r="7284" spans="1:8" x14ac:dyDescent="0.3">
      <c r="A7284" t="s">
        <v>628</v>
      </c>
      <c r="B7284" t="s">
        <v>215</v>
      </c>
      <c r="C7284" t="s">
        <v>404</v>
      </c>
      <c r="D7284" t="s">
        <v>746</v>
      </c>
      <c r="E7284" t="s">
        <v>768</v>
      </c>
      <c r="F7284">
        <v>3</v>
      </c>
      <c r="G7284" s="308">
        <f>COMEDORES!I238</f>
        <v>3850</v>
      </c>
      <c r="H7284" s="308">
        <f>COMEDORES!J238</f>
        <v>0</v>
      </c>
    </row>
    <row r="7285" spans="1:8" x14ac:dyDescent="0.3">
      <c r="A7285" t="s">
        <v>628</v>
      </c>
      <c r="B7285" t="s">
        <v>215</v>
      </c>
      <c r="C7285" t="s">
        <v>404</v>
      </c>
      <c r="D7285" t="s">
        <v>746</v>
      </c>
      <c r="E7285" t="s">
        <v>769</v>
      </c>
      <c r="F7285">
        <v>4</v>
      </c>
      <c r="G7285" s="308">
        <f>COMEDORES!K238</f>
        <v>3075</v>
      </c>
      <c r="H7285" s="308">
        <f>COMEDORES!L238</f>
        <v>0</v>
      </c>
    </row>
    <row r="7286" spans="1:8" x14ac:dyDescent="0.3">
      <c r="A7286" t="s">
        <v>628</v>
      </c>
      <c r="B7286" t="s">
        <v>215</v>
      </c>
      <c r="C7286" t="s">
        <v>404</v>
      </c>
      <c r="D7286" t="s">
        <v>746</v>
      </c>
      <c r="E7286" t="s">
        <v>770</v>
      </c>
      <c r="F7286">
        <v>5</v>
      </c>
      <c r="G7286" s="308">
        <f>COMEDORES!M238</f>
        <v>3000</v>
      </c>
      <c r="H7286" s="308">
        <f>COMEDORES!N238</f>
        <v>0</v>
      </c>
    </row>
    <row r="7287" spans="1:8" x14ac:dyDescent="0.3">
      <c r="A7287" t="s">
        <v>628</v>
      </c>
      <c r="B7287" t="s">
        <v>215</v>
      </c>
      <c r="C7287" t="s">
        <v>404</v>
      </c>
      <c r="D7287" t="s">
        <v>746</v>
      </c>
      <c r="E7287" t="s">
        <v>771</v>
      </c>
      <c r="F7287">
        <v>6</v>
      </c>
      <c r="G7287" s="308">
        <f>COMEDORES!O238</f>
        <v>3750</v>
      </c>
      <c r="H7287" s="308">
        <f>COMEDORES!P238</f>
        <v>0</v>
      </c>
    </row>
    <row r="7288" spans="1:8" x14ac:dyDescent="0.3">
      <c r="A7288" t="s">
        <v>628</v>
      </c>
      <c r="B7288" t="s">
        <v>215</v>
      </c>
      <c r="C7288" t="s">
        <v>404</v>
      </c>
      <c r="D7288" t="s">
        <v>746</v>
      </c>
      <c r="E7288" t="s">
        <v>772</v>
      </c>
      <c r="F7288">
        <v>7</v>
      </c>
      <c r="G7288" s="308">
        <f>COMEDORES!Q238</f>
        <v>3200</v>
      </c>
      <c r="H7288" s="308">
        <f>COMEDORES!R238</f>
        <v>0</v>
      </c>
    </row>
    <row r="7289" spans="1:8" x14ac:dyDescent="0.3">
      <c r="A7289" t="s">
        <v>628</v>
      </c>
      <c r="B7289" t="s">
        <v>215</v>
      </c>
      <c r="C7289" t="s">
        <v>655</v>
      </c>
      <c r="D7289" t="s">
        <v>745</v>
      </c>
      <c r="E7289" t="s">
        <v>766</v>
      </c>
      <c r="F7289">
        <v>1</v>
      </c>
      <c r="G7289" s="308">
        <f>COMEDORES!E239</f>
        <v>0</v>
      </c>
      <c r="H7289" s="308">
        <f>COMEDORES!F239</f>
        <v>0</v>
      </c>
    </row>
    <row r="7290" spans="1:8" x14ac:dyDescent="0.3">
      <c r="A7290" t="s">
        <v>628</v>
      </c>
      <c r="B7290" t="s">
        <v>215</v>
      </c>
      <c r="C7290" t="s">
        <v>655</v>
      </c>
      <c r="D7290" t="s">
        <v>745</v>
      </c>
      <c r="E7290" t="s">
        <v>767</v>
      </c>
      <c r="F7290">
        <v>2</v>
      </c>
      <c r="G7290" s="308">
        <f>COMEDORES!G239</f>
        <v>0</v>
      </c>
      <c r="H7290" s="308">
        <f>COMEDORES!H239</f>
        <v>0</v>
      </c>
    </row>
    <row r="7291" spans="1:8" x14ac:dyDescent="0.3">
      <c r="A7291" t="s">
        <v>628</v>
      </c>
      <c r="B7291" t="s">
        <v>215</v>
      </c>
      <c r="C7291" t="s">
        <v>655</v>
      </c>
      <c r="D7291" t="s">
        <v>745</v>
      </c>
      <c r="E7291" t="s">
        <v>768</v>
      </c>
      <c r="F7291">
        <v>3</v>
      </c>
      <c r="G7291" s="308">
        <f>COMEDORES!I239</f>
        <v>0</v>
      </c>
      <c r="H7291" s="308">
        <f>COMEDORES!J239</f>
        <v>0</v>
      </c>
    </row>
    <row r="7292" spans="1:8" x14ac:dyDescent="0.3">
      <c r="A7292" t="s">
        <v>628</v>
      </c>
      <c r="B7292" t="s">
        <v>215</v>
      </c>
      <c r="C7292" t="s">
        <v>655</v>
      </c>
      <c r="D7292" t="s">
        <v>745</v>
      </c>
      <c r="E7292" t="s">
        <v>769</v>
      </c>
      <c r="F7292">
        <v>4</v>
      </c>
      <c r="G7292" s="308">
        <f>COMEDORES!K239</f>
        <v>0</v>
      </c>
      <c r="H7292" s="308">
        <f>COMEDORES!L239</f>
        <v>0</v>
      </c>
    </row>
    <row r="7293" spans="1:8" x14ac:dyDescent="0.3">
      <c r="A7293" t="s">
        <v>628</v>
      </c>
      <c r="B7293" t="s">
        <v>215</v>
      </c>
      <c r="C7293" t="s">
        <v>655</v>
      </c>
      <c r="D7293" t="s">
        <v>745</v>
      </c>
      <c r="E7293" t="s">
        <v>770</v>
      </c>
      <c r="F7293">
        <v>5</v>
      </c>
      <c r="G7293" s="308">
        <f>COMEDORES!M239</f>
        <v>0</v>
      </c>
      <c r="H7293" s="308">
        <f>COMEDORES!N239</f>
        <v>0</v>
      </c>
    </row>
    <row r="7294" spans="1:8" x14ac:dyDescent="0.3">
      <c r="A7294" t="s">
        <v>628</v>
      </c>
      <c r="B7294" t="s">
        <v>215</v>
      </c>
      <c r="C7294" t="s">
        <v>655</v>
      </c>
      <c r="D7294" t="s">
        <v>745</v>
      </c>
      <c r="E7294" t="s">
        <v>771</v>
      </c>
      <c r="F7294">
        <v>6</v>
      </c>
      <c r="G7294" s="308">
        <f>COMEDORES!O239</f>
        <v>0</v>
      </c>
      <c r="H7294" s="308">
        <f>COMEDORES!P239</f>
        <v>0</v>
      </c>
    </row>
    <row r="7295" spans="1:8" x14ac:dyDescent="0.3">
      <c r="A7295" t="s">
        <v>628</v>
      </c>
      <c r="B7295" t="s">
        <v>215</v>
      </c>
      <c r="C7295" t="s">
        <v>655</v>
      </c>
      <c r="D7295" t="s">
        <v>745</v>
      </c>
      <c r="E7295" t="s">
        <v>772</v>
      </c>
      <c r="F7295">
        <v>7</v>
      </c>
      <c r="G7295" s="308">
        <f>COMEDORES!Q239</f>
        <v>1500</v>
      </c>
      <c r="H7295" s="308">
        <f>COMEDORES!R239</f>
        <v>0</v>
      </c>
    </row>
    <row r="7296" spans="1:8" x14ac:dyDescent="0.3">
      <c r="A7296" t="s">
        <v>628</v>
      </c>
      <c r="B7296" t="s">
        <v>215</v>
      </c>
      <c r="C7296" t="s">
        <v>655</v>
      </c>
      <c r="D7296" t="s">
        <v>746</v>
      </c>
      <c r="E7296" t="s">
        <v>766</v>
      </c>
      <c r="F7296">
        <v>1</v>
      </c>
      <c r="G7296" s="308">
        <f>COMEDORES!E240</f>
        <v>0</v>
      </c>
      <c r="H7296" s="308">
        <f>COMEDORES!F240</f>
        <v>0</v>
      </c>
    </row>
    <row r="7297" spans="1:8" x14ac:dyDescent="0.3">
      <c r="A7297" t="s">
        <v>628</v>
      </c>
      <c r="B7297" t="s">
        <v>215</v>
      </c>
      <c r="C7297" t="s">
        <v>655</v>
      </c>
      <c r="D7297" t="s">
        <v>746</v>
      </c>
      <c r="E7297" t="s">
        <v>767</v>
      </c>
      <c r="F7297">
        <v>2</v>
      </c>
      <c r="G7297" s="308">
        <f>COMEDORES!G240</f>
        <v>0</v>
      </c>
      <c r="H7297" s="308">
        <f>COMEDORES!H240</f>
        <v>0</v>
      </c>
    </row>
    <row r="7298" spans="1:8" x14ac:dyDescent="0.3">
      <c r="A7298" t="s">
        <v>628</v>
      </c>
      <c r="B7298" t="s">
        <v>215</v>
      </c>
      <c r="C7298" t="s">
        <v>655</v>
      </c>
      <c r="D7298" t="s">
        <v>746</v>
      </c>
      <c r="E7298" t="s">
        <v>768</v>
      </c>
      <c r="F7298">
        <v>3</v>
      </c>
      <c r="G7298" s="308">
        <f>COMEDORES!I240</f>
        <v>0</v>
      </c>
      <c r="H7298" s="308">
        <f>COMEDORES!J240</f>
        <v>0</v>
      </c>
    </row>
    <row r="7299" spans="1:8" x14ac:dyDescent="0.3">
      <c r="A7299" t="s">
        <v>628</v>
      </c>
      <c r="B7299" t="s">
        <v>215</v>
      </c>
      <c r="C7299" t="s">
        <v>655</v>
      </c>
      <c r="D7299" t="s">
        <v>746</v>
      </c>
      <c r="E7299" t="s">
        <v>769</v>
      </c>
      <c r="F7299">
        <v>4</v>
      </c>
      <c r="G7299" s="308">
        <f>COMEDORES!K240</f>
        <v>0</v>
      </c>
      <c r="H7299" s="308">
        <f>COMEDORES!L240</f>
        <v>0</v>
      </c>
    </row>
    <row r="7300" spans="1:8" x14ac:dyDescent="0.3">
      <c r="A7300" t="s">
        <v>628</v>
      </c>
      <c r="B7300" t="s">
        <v>215</v>
      </c>
      <c r="C7300" t="s">
        <v>655</v>
      </c>
      <c r="D7300" t="s">
        <v>746</v>
      </c>
      <c r="E7300" t="s">
        <v>770</v>
      </c>
      <c r="F7300">
        <v>5</v>
      </c>
      <c r="G7300" s="308">
        <f>COMEDORES!M240</f>
        <v>0</v>
      </c>
      <c r="H7300" s="308">
        <f>COMEDORES!N240</f>
        <v>0</v>
      </c>
    </row>
    <row r="7301" spans="1:8" x14ac:dyDescent="0.3">
      <c r="A7301" t="s">
        <v>628</v>
      </c>
      <c r="B7301" t="s">
        <v>215</v>
      </c>
      <c r="C7301" t="s">
        <v>655</v>
      </c>
      <c r="D7301" t="s">
        <v>746</v>
      </c>
      <c r="E7301" t="s">
        <v>771</v>
      </c>
      <c r="F7301">
        <v>6</v>
      </c>
      <c r="G7301" s="308">
        <f>COMEDORES!O240</f>
        <v>0</v>
      </c>
      <c r="H7301" s="308">
        <f>COMEDORES!P240</f>
        <v>0</v>
      </c>
    </row>
    <row r="7302" spans="1:8" x14ac:dyDescent="0.3">
      <c r="A7302" t="s">
        <v>628</v>
      </c>
      <c r="B7302" t="s">
        <v>215</v>
      </c>
      <c r="C7302" t="s">
        <v>655</v>
      </c>
      <c r="D7302" t="s">
        <v>746</v>
      </c>
      <c r="E7302" t="s">
        <v>772</v>
      </c>
      <c r="F7302">
        <v>7</v>
      </c>
      <c r="G7302" s="308">
        <f>COMEDORES!Q240</f>
        <v>2000</v>
      </c>
      <c r="H7302" s="308">
        <f>COMEDORES!R240</f>
        <v>0</v>
      </c>
    </row>
    <row r="7303" spans="1:8" x14ac:dyDescent="0.3">
      <c r="A7303" t="s">
        <v>628</v>
      </c>
      <c r="B7303" t="s">
        <v>215</v>
      </c>
      <c r="C7303" t="s">
        <v>405</v>
      </c>
      <c r="D7303" t="s">
        <v>745</v>
      </c>
      <c r="E7303" t="s">
        <v>766</v>
      </c>
      <c r="F7303">
        <v>1</v>
      </c>
      <c r="G7303" s="308">
        <f>COMEDORES!E241</f>
        <v>2608</v>
      </c>
      <c r="H7303" s="308">
        <f>COMEDORES!F241</f>
        <v>0</v>
      </c>
    </row>
    <row r="7304" spans="1:8" x14ac:dyDescent="0.3">
      <c r="A7304" t="s">
        <v>628</v>
      </c>
      <c r="B7304" t="s">
        <v>215</v>
      </c>
      <c r="C7304" t="s">
        <v>405</v>
      </c>
      <c r="D7304" t="s">
        <v>745</v>
      </c>
      <c r="E7304" t="s">
        <v>767</v>
      </c>
      <c r="F7304">
        <v>2</v>
      </c>
      <c r="G7304" s="308">
        <f>COMEDORES!G241</f>
        <v>3000</v>
      </c>
      <c r="H7304" s="308">
        <f>COMEDORES!H241</f>
        <v>0</v>
      </c>
    </row>
    <row r="7305" spans="1:8" x14ac:dyDescent="0.3">
      <c r="A7305" t="s">
        <v>628</v>
      </c>
      <c r="B7305" t="s">
        <v>215</v>
      </c>
      <c r="C7305" t="s">
        <v>405</v>
      </c>
      <c r="D7305" t="s">
        <v>745</v>
      </c>
      <c r="E7305" t="s">
        <v>768</v>
      </c>
      <c r="F7305">
        <v>3</v>
      </c>
      <c r="G7305" s="308">
        <f>COMEDORES!I241</f>
        <v>3300</v>
      </c>
      <c r="H7305" s="308">
        <f>COMEDORES!J241</f>
        <v>477587.04</v>
      </c>
    </row>
    <row r="7306" spans="1:8" x14ac:dyDescent="0.3">
      <c r="A7306" t="s">
        <v>628</v>
      </c>
      <c r="B7306" t="s">
        <v>215</v>
      </c>
      <c r="C7306" t="s">
        <v>405</v>
      </c>
      <c r="D7306" t="s">
        <v>745</v>
      </c>
      <c r="E7306" t="s">
        <v>769</v>
      </c>
      <c r="F7306">
        <v>4</v>
      </c>
      <c r="G7306" s="308">
        <f>COMEDORES!K241</f>
        <v>2350</v>
      </c>
      <c r="H7306" s="308">
        <f>COMEDORES!L241</f>
        <v>273999.00000000006</v>
      </c>
    </row>
    <row r="7307" spans="1:8" x14ac:dyDescent="0.3">
      <c r="A7307" t="s">
        <v>628</v>
      </c>
      <c r="B7307" t="s">
        <v>215</v>
      </c>
      <c r="C7307" t="s">
        <v>405</v>
      </c>
      <c r="D7307" t="s">
        <v>745</v>
      </c>
      <c r="E7307" t="s">
        <v>770</v>
      </c>
      <c r="F7307">
        <v>5</v>
      </c>
      <c r="G7307" s="308">
        <f>COMEDORES!M241</f>
        <v>2000</v>
      </c>
      <c r="H7307" s="308">
        <f>COMEDORES!N241</f>
        <v>201295.5</v>
      </c>
    </row>
    <row r="7308" spans="1:8" x14ac:dyDescent="0.3">
      <c r="A7308" t="s">
        <v>628</v>
      </c>
      <c r="B7308" t="s">
        <v>215</v>
      </c>
      <c r="C7308" t="s">
        <v>405</v>
      </c>
      <c r="D7308" t="s">
        <v>745</v>
      </c>
      <c r="E7308" t="s">
        <v>771</v>
      </c>
      <c r="F7308">
        <v>6</v>
      </c>
      <c r="G7308" s="308">
        <f>COMEDORES!O241</f>
        <v>2000</v>
      </c>
      <c r="H7308" s="308">
        <f>COMEDORES!P241</f>
        <v>178410</v>
      </c>
    </row>
    <row r="7309" spans="1:8" x14ac:dyDescent="0.3">
      <c r="A7309" t="s">
        <v>628</v>
      </c>
      <c r="B7309" t="s">
        <v>215</v>
      </c>
      <c r="C7309" t="s">
        <v>405</v>
      </c>
      <c r="D7309" t="s">
        <v>745</v>
      </c>
      <c r="E7309" t="s">
        <v>772</v>
      </c>
      <c r="F7309">
        <v>7</v>
      </c>
      <c r="G7309" s="308">
        <f>COMEDORES!Q241</f>
        <v>2200</v>
      </c>
      <c r="H7309" s="308">
        <f>COMEDORES!R241</f>
        <v>183967.5</v>
      </c>
    </row>
    <row r="7310" spans="1:8" x14ac:dyDescent="0.3">
      <c r="A7310" t="s">
        <v>628</v>
      </c>
      <c r="B7310" t="s">
        <v>215</v>
      </c>
      <c r="C7310" t="s">
        <v>405</v>
      </c>
      <c r="D7310" t="s">
        <v>746</v>
      </c>
      <c r="E7310" t="s">
        <v>766</v>
      </c>
      <c r="F7310">
        <v>1</v>
      </c>
      <c r="G7310" s="308">
        <f>COMEDORES!E242</f>
        <v>3726</v>
      </c>
      <c r="H7310" s="308">
        <f>COMEDORES!F242</f>
        <v>0</v>
      </c>
    </row>
    <row r="7311" spans="1:8" x14ac:dyDescent="0.3">
      <c r="A7311" t="s">
        <v>628</v>
      </c>
      <c r="B7311" t="s">
        <v>215</v>
      </c>
      <c r="C7311" t="s">
        <v>405</v>
      </c>
      <c r="D7311" t="s">
        <v>746</v>
      </c>
      <c r="E7311" t="s">
        <v>767</v>
      </c>
      <c r="F7311">
        <v>2</v>
      </c>
      <c r="G7311" s="308">
        <f>COMEDORES!G242</f>
        <v>4050</v>
      </c>
      <c r="H7311" s="308">
        <f>COMEDORES!H242</f>
        <v>0</v>
      </c>
    </row>
    <row r="7312" spans="1:8" x14ac:dyDescent="0.3">
      <c r="A7312" t="s">
        <v>628</v>
      </c>
      <c r="B7312" t="s">
        <v>215</v>
      </c>
      <c r="C7312" t="s">
        <v>405</v>
      </c>
      <c r="D7312" t="s">
        <v>746</v>
      </c>
      <c r="E7312" t="s">
        <v>768</v>
      </c>
      <c r="F7312">
        <v>3</v>
      </c>
      <c r="G7312" s="308">
        <f>COMEDORES!I242</f>
        <v>4400</v>
      </c>
      <c r="H7312" s="308">
        <f>COMEDORES!J242</f>
        <v>0</v>
      </c>
    </row>
    <row r="7313" spans="1:8" x14ac:dyDescent="0.3">
      <c r="A7313" t="s">
        <v>628</v>
      </c>
      <c r="B7313" t="s">
        <v>215</v>
      </c>
      <c r="C7313" t="s">
        <v>405</v>
      </c>
      <c r="D7313" t="s">
        <v>746</v>
      </c>
      <c r="E7313" t="s">
        <v>769</v>
      </c>
      <c r="F7313">
        <v>4</v>
      </c>
      <c r="G7313" s="308">
        <f>COMEDORES!K242</f>
        <v>3300</v>
      </c>
      <c r="H7313" s="308">
        <f>COMEDORES!L242</f>
        <v>0</v>
      </c>
    </row>
    <row r="7314" spans="1:8" x14ac:dyDescent="0.3">
      <c r="A7314" t="s">
        <v>628</v>
      </c>
      <c r="B7314" t="s">
        <v>215</v>
      </c>
      <c r="C7314" t="s">
        <v>405</v>
      </c>
      <c r="D7314" t="s">
        <v>746</v>
      </c>
      <c r="E7314" t="s">
        <v>770</v>
      </c>
      <c r="F7314">
        <v>5</v>
      </c>
      <c r="G7314" s="308">
        <f>COMEDORES!M242</f>
        <v>3000</v>
      </c>
      <c r="H7314" s="308">
        <f>COMEDORES!N242</f>
        <v>0</v>
      </c>
    </row>
    <row r="7315" spans="1:8" x14ac:dyDescent="0.3">
      <c r="A7315" t="s">
        <v>628</v>
      </c>
      <c r="B7315" t="s">
        <v>215</v>
      </c>
      <c r="C7315" t="s">
        <v>405</v>
      </c>
      <c r="D7315" t="s">
        <v>746</v>
      </c>
      <c r="E7315" t="s">
        <v>771</v>
      </c>
      <c r="F7315">
        <v>6</v>
      </c>
      <c r="G7315" s="308">
        <f>COMEDORES!O242</f>
        <v>3150</v>
      </c>
      <c r="H7315" s="308">
        <f>COMEDORES!P242</f>
        <v>0</v>
      </c>
    </row>
    <row r="7316" spans="1:8" x14ac:dyDescent="0.3">
      <c r="A7316" t="s">
        <v>628</v>
      </c>
      <c r="B7316" t="s">
        <v>215</v>
      </c>
      <c r="C7316" t="s">
        <v>405</v>
      </c>
      <c r="D7316" t="s">
        <v>746</v>
      </c>
      <c r="E7316" t="s">
        <v>772</v>
      </c>
      <c r="F7316">
        <v>7</v>
      </c>
      <c r="G7316" s="308">
        <f>COMEDORES!Q242</f>
        <v>3450</v>
      </c>
      <c r="H7316" s="308">
        <f>COMEDORES!R242</f>
        <v>0</v>
      </c>
    </row>
    <row r="7317" spans="1:8" x14ac:dyDescent="0.3">
      <c r="A7317" t="s">
        <v>628</v>
      </c>
      <c r="B7317" t="s">
        <v>215</v>
      </c>
      <c r="C7317" t="s">
        <v>406</v>
      </c>
      <c r="D7317" t="s">
        <v>745</v>
      </c>
      <c r="E7317" t="s">
        <v>766</v>
      </c>
      <c r="F7317">
        <v>1</v>
      </c>
      <c r="G7317" s="308">
        <f>COMEDORES!E243</f>
        <v>2240</v>
      </c>
      <c r="H7317" s="308">
        <f>COMEDORES!F243</f>
        <v>0</v>
      </c>
    </row>
    <row r="7318" spans="1:8" x14ac:dyDescent="0.3">
      <c r="A7318" t="s">
        <v>628</v>
      </c>
      <c r="B7318" t="s">
        <v>215</v>
      </c>
      <c r="C7318" t="s">
        <v>406</v>
      </c>
      <c r="D7318" t="s">
        <v>745</v>
      </c>
      <c r="E7318" t="s">
        <v>767</v>
      </c>
      <c r="F7318">
        <v>2</v>
      </c>
      <c r="G7318" s="308">
        <f>COMEDORES!G243</f>
        <v>2500</v>
      </c>
      <c r="H7318" s="308">
        <f>COMEDORES!H243</f>
        <v>0</v>
      </c>
    </row>
    <row r="7319" spans="1:8" x14ac:dyDescent="0.3">
      <c r="A7319" t="s">
        <v>628</v>
      </c>
      <c r="B7319" t="s">
        <v>215</v>
      </c>
      <c r="C7319" t="s">
        <v>406</v>
      </c>
      <c r="D7319" t="s">
        <v>745</v>
      </c>
      <c r="E7319" t="s">
        <v>768</v>
      </c>
      <c r="F7319">
        <v>3</v>
      </c>
      <c r="G7319" s="308">
        <f>COMEDORES!I243</f>
        <v>2750</v>
      </c>
      <c r="H7319" s="308">
        <f>COMEDORES!J243</f>
        <v>358834.95</v>
      </c>
    </row>
    <row r="7320" spans="1:8" x14ac:dyDescent="0.3">
      <c r="A7320" t="s">
        <v>628</v>
      </c>
      <c r="B7320" t="s">
        <v>215</v>
      </c>
      <c r="C7320" t="s">
        <v>406</v>
      </c>
      <c r="D7320" t="s">
        <v>745</v>
      </c>
      <c r="E7320" t="s">
        <v>769</v>
      </c>
      <c r="F7320">
        <v>4</v>
      </c>
      <c r="G7320" s="308">
        <f>COMEDORES!K243</f>
        <v>2375</v>
      </c>
      <c r="H7320" s="308">
        <f>COMEDORES!L243</f>
        <v>203309.99999999994</v>
      </c>
    </row>
    <row r="7321" spans="1:8" x14ac:dyDescent="0.3">
      <c r="A7321" t="s">
        <v>628</v>
      </c>
      <c r="B7321" t="s">
        <v>215</v>
      </c>
      <c r="C7321" t="s">
        <v>406</v>
      </c>
      <c r="D7321" t="s">
        <v>745</v>
      </c>
      <c r="E7321" t="s">
        <v>770</v>
      </c>
      <c r="F7321">
        <v>5</v>
      </c>
      <c r="G7321" s="308">
        <f>COMEDORES!M243</f>
        <v>2500</v>
      </c>
      <c r="H7321" s="308">
        <f>COMEDORES!N243</f>
        <v>144184</v>
      </c>
    </row>
    <row r="7322" spans="1:8" x14ac:dyDescent="0.3">
      <c r="A7322" t="s">
        <v>628</v>
      </c>
      <c r="B7322" t="s">
        <v>215</v>
      </c>
      <c r="C7322" t="s">
        <v>406</v>
      </c>
      <c r="D7322" t="s">
        <v>745</v>
      </c>
      <c r="E7322" t="s">
        <v>771</v>
      </c>
      <c r="F7322">
        <v>6</v>
      </c>
      <c r="G7322" s="308">
        <f>COMEDORES!O243</f>
        <v>2625</v>
      </c>
      <c r="H7322" s="308">
        <f>COMEDORES!P243</f>
        <v>152000</v>
      </c>
    </row>
    <row r="7323" spans="1:8" x14ac:dyDescent="0.3">
      <c r="A7323" t="s">
        <v>628</v>
      </c>
      <c r="B7323" t="s">
        <v>215</v>
      </c>
      <c r="C7323" t="s">
        <v>406</v>
      </c>
      <c r="D7323" t="s">
        <v>745</v>
      </c>
      <c r="E7323" t="s">
        <v>772</v>
      </c>
      <c r="F7323">
        <v>7</v>
      </c>
      <c r="G7323" s="308">
        <f>COMEDORES!Q243</f>
        <v>2875</v>
      </c>
      <c r="H7323" s="308">
        <f>COMEDORES!R243</f>
        <v>159600</v>
      </c>
    </row>
    <row r="7324" spans="1:8" x14ac:dyDescent="0.3">
      <c r="A7324" t="s">
        <v>628</v>
      </c>
      <c r="B7324" t="s">
        <v>215</v>
      </c>
      <c r="C7324" t="s">
        <v>406</v>
      </c>
      <c r="D7324" t="s">
        <v>746</v>
      </c>
      <c r="E7324" t="s">
        <v>766</v>
      </c>
      <c r="F7324">
        <v>1</v>
      </c>
      <c r="G7324" s="308">
        <f>COMEDORES!E244</f>
        <v>3325</v>
      </c>
      <c r="H7324" s="308">
        <f>COMEDORES!F244</f>
        <v>0</v>
      </c>
    </row>
    <row r="7325" spans="1:8" x14ac:dyDescent="0.3">
      <c r="A7325" t="s">
        <v>628</v>
      </c>
      <c r="B7325" t="s">
        <v>215</v>
      </c>
      <c r="C7325" t="s">
        <v>406</v>
      </c>
      <c r="D7325" t="s">
        <v>746</v>
      </c>
      <c r="E7325" t="s">
        <v>767</v>
      </c>
      <c r="F7325">
        <v>2</v>
      </c>
      <c r="G7325" s="308">
        <f>COMEDORES!G244</f>
        <v>3500</v>
      </c>
      <c r="H7325" s="308">
        <f>COMEDORES!H244</f>
        <v>0</v>
      </c>
    </row>
    <row r="7326" spans="1:8" x14ac:dyDescent="0.3">
      <c r="A7326" t="s">
        <v>628</v>
      </c>
      <c r="B7326" t="s">
        <v>215</v>
      </c>
      <c r="C7326" t="s">
        <v>406</v>
      </c>
      <c r="D7326" t="s">
        <v>746</v>
      </c>
      <c r="E7326" t="s">
        <v>768</v>
      </c>
      <c r="F7326">
        <v>3</v>
      </c>
      <c r="G7326" s="308">
        <f>COMEDORES!I244</f>
        <v>3850</v>
      </c>
      <c r="H7326" s="308">
        <f>COMEDORES!J244</f>
        <v>0</v>
      </c>
    </row>
    <row r="7327" spans="1:8" x14ac:dyDescent="0.3">
      <c r="A7327" t="s">
        <v>628</v>
      </c>
      <c r="B7327" t="s">
        <v>215</v>
      </c>
      <c r="C7327" t="s">
        <v>406</v>
      </c>
      <c r="D7327" t="s">
        <v>746</v>
      </c>
      <c r="E7327" t="s">
        <v>769</v>
      </c>
      <c r="F7327">
        <v>4</v>
      </c>
      <c r="G7327" s="308">
        <f>COMEDORES!K244</f>
        <v>3317</v>
      </c>
      <c r="H7327" s="308">
        <f>COMEDORES!L244</f>
        <v>0</v>
      </c>
    </row>
    <row r="7328" spans="1:8" x14ac:dyDescent="0.3">
      <c r="A7328" t="s">
        <v>628</v>
      </c>
      <c r="B7328" t="s">
        <v>215</v>
      </c>
      <c r="C7328" t="s">
        <v>406</v>
      </c>
      <c r="D7328" t="s">
        <v>746</v>
      </c>
      <c r="E7328" t="s">
        <v>770</v>
      </c>
      <c r="F7328">
        <v>5</v>
      </c>
      <c r="G7328" s="308">
        <f>COMEDORES!M244</f>
        <v>3500</v>
      </c>
      <c r="H7328" s="308">
        <f>COMEDORES!N244</f>
        <v>0</v>
      </c>
    </row>
    <row r="7329" spans="1:8" x14ac:dyDescent="0.3">
      <c r="A7329" t="s">
        <v>628</v>
      </c>
      <c r="B7329" t="s">
        <v>215</v>
      </c>
      <c r="C7329" t="s">
        <v>406</v>
      </c>
      <c r="D7329" t="s">
        <v>746</v>
      </c>
      <c r="E7329" t="s">
        <v>771</v>
      </c>
      <c r="F7329">
        <v>6</v>
      </c>
      <c r="G7329" s="308">
        <f>COMEDORES!O244</f>
        <v>3675</v>
      </c>
      <c r="H7329" s="308">
        <f>COMEDORES!P244</f>
        <v>0</v>
      </c>
    </row>
    <row r="7330" spans="1:8" x14ac:dyDescent="0.3">
      <c r="A7330" t="s">
        <v>628</v>
      </c>
      <c r="B7330" t="s">
        <v>215</v>
      </c>
      <c r="C7330" t="s">
        <v>406</v>
      </c>
      <c r="D7330" t="s">
        <v>746</v>
      </c>
      <c r="E7330" t="s">
        <v>772</v>
      </c>
      <c r="F7330">
        <v>7</v>
      </c>
      <c r="G7330" s="308">
        <f>COMEDORES!Q244</f>
        <v>4025</v>
      </c>
      <c r="H7330" s="308">
        <f>COMEDORES!R244</f>
        <v>0</v>
      </c>
    </row>
    <row r="7331" spans="1:8" x14ac:dyDescent="0.3">
      <c r="A7331" t="s">
        <v>628</v>
      </c>
      <c r="B7331" t="s">
        <v>237</v>
      </c>
      <c r="C7331" t="s">
        <v>238</v>
      </c>
      <c r="D7331" t="s">
        <v>745</v>
      </c>
      <c r="E7331" t="s">
        <v>766</v>
      </c>
      <c r="F7331">
        <v>1</v>
      </c>
      <c r="G7331" s="308">
        <f>COMEDORES!E245</f>
        <v>0</v>
      </c>
      <c r="H7331" s="308">
        <f>COMEDORES!F245</f>
        <v>0</v>
      </c>
    </row>
    <row r="7332" spans="1:8" x14ac:dyDescent="0.3">
      <c r="A7332" t="s">
        <v>628</v>
      </c>
      <c r="B7332" t="s">
        <v>237</v>
      </c>
      <c r="C7332" t="s">
        <v>238</v>
      </c>
      <c r="D7332" t="s">
        <v>745</v>
      </c>
      <c r="E7332" t="s">
        <v>767</v>
      </c>
      <c r="F7332">
        <v>2</v>
      </c>
      <c r="G7332" s="308">
        <f>COMEDORES!G245</f>
        <v>0</v>
      </c>
      <c r="H7332" s="308">
        <f>COMEDORES!H245</f>
        <v>0</v>
      </c>
    </row>
    <row r="7333" spans="1:8" x14ac:dyDescent="0.3">
      <c r="A7333" t="s">
        <v>628</v>
      </c>
      <c r="B7333" t="s">
        <v>237</v>
      </c>
      <c r="C7333" t="s">
        <v>238</v>
      </c>
      <c r="D7333" t="s">
        <v>745</v>
      </c>
      <c r="E7333" t="s">
        <v>768</v>
      </c>
      <c r="F7333">
        <v>3</v>
      </c>
      <c r="G7333" s="308">
        <f>COMEDORES!I245</f>
        <v>0</v>
      </c>
      <c r="H7333" s="308">
        <f>COMEDORES!J245</f>
        <v>0</v>
      </c>
    </row>
    <row r="7334" spans="1:8" x14ac:dyDescent="0.3">
      <c r="A7334" t="s">
        <v>628</v>
      </c>
      <c r="B7334" t="s">
        <v>237</v>
      </c>
      <c r="C7334" t="s">
        <v>238</v>
      </c>
      <c r="D7334" t="s">
        <v>745</v>
      </c>
      <c r="E7334" t="s">
        <v>769</v>
      </c>
      <c r="F7334">
        <v>4</v>
      </c>
      <c r="G7334" s="308">
        <f>COMEDORES!K245</f>
        <v>0</v>
      </c>
      <c r="H7334" s="308">
        <f>COMEDORES!L245</f>
        <v>0</v>
      </c>
    </row>
    <row r="7335" spans="1:8" x14ac:dyDescent="0.3">
      <c r="A7335" t="s">
        <v>628</v>
      </c>
      <c r="B7335" t="s">
        <v>237</v>
      </c>
      <c r="C7335" t="s">
        <v>238</v>
      </c>
      <c r="D7335" t="s">
        <v>745</v>
      </c>
      <c r="E7335" t="s">
        <v>770</v>
      </c>
      <c r="F7335">
        <v>5</v>
      </c>
      <c r="G7335" s="308">
        <f>COMEDORES!M245</f>
        <v>1800</v>
      </c>
      <c r="H7335" s="308">
        <f>COMEDORES!N245</f>
        <v>0</v>
      </c>
    </row>
    <row r="7336" spans="1:8" x14ac:dyDescent="0.3">
      <c r="A7336" t="s">
        <v>628</v>
      </c>
      <c r="B7336" t="s">
        <v>237</v>
      </c>
      <c r="C7336" t="s">
        <v>238</v>
      </c>
      <c r="D7336" t="s">
        <v>745</v>
      </c>
      <c r="E7336" t="s">
        <v>771</v>
      </c>
      <c r="F7336">
        <v>6</v>
      </c>
      <c r="G7336" s="308">
        <f>COMEDORES!O245</f>
        <v>2081</v>
      </c>
      <c r="H7336" s="308">
        <f>COMEDORES!P245</f>
        <v>146291.4</v>
      </c>
    </row>
    <row r="7337" spans="1:8" x14ac:dyDescent="0.3">
      <c r="A7337" t="s">
        <v>628</v>
      </c>
      <c r="B7337" t="s">
        <v>237</v>
      </c>
      <c r="C7337" t="s">
        <v>238</v>
      </c>
      <c r="D7337" t="s">
        <v>745</v>
      </c>
      <c r="E7337" t="s">
        <v>772</v>
      </c>
      <c r="F7337">
        <v>7</v>
      </c>
      <c r="G7337" s="308">
        <f>COMEDORES!Q245</f>
        <v>2300</v>
      </c>
      <c r="H7337" s="308">
        <f>COMEDORES!R245</f>
        <v>175461.66</v>
      </c>
    </row>
    <row r="7338" spans="1:8" x14ac:dyDescent="0.3">
      <c r="A7338" t="s">
        <v>628</v>
      </c>
      <c r="B7338" t="s">
        <v>237</v>
      </c>
      <c r="C7338" t="s">
        <v>238</v>
      </c>
      <c r="D7338" t="s">
        <v>746</v>
      </c>
      <c r="E7338" t="s">
        <v>766</v>
      </c>
      <c r="F7338">
        <v>1</v>
      </c>
      <c r="G7338" s="308">
        <f>COMEDORES!E246</f>
        <v>0</v>
      </c>
      <c r="H7338" s="308">
        <f>COMEDORES!F246</f>
        <v>0</v>
      </c>
    </row>
    <row r="7339" spans="1:8" x14ac:dyDescent="0.3">
      <c r="A7339" t="s">
        <v>628</v>
      </c>
      <c r="B7339" t="s">
        <v>237</v>
      </c>
      <c r="C7339" t="s">
        <v>238</v>
      </c>
      <c r="D7339" t="s">
        <v>746</v>
      </c>
      <c r="E7339" t="s">
        <v>767</v>
      </c>
      <c r="F7339">
        <v>2</v>
      </c>
      <c r="G7339" s="308">
        <f>COMEDORES!G246</f>
        <v>0</v>
      </c>
      <c r="H7339" s="308">
        <f>COMEDORES!H246</f>
        <v>0</v>
      </c>
    </row>
    <row r="7340" spans="1:8" x14ac:dyDescent="0.3">
      <c r="A7340" t="s">
        <v>628</v>
      </c>
      <c r="B7340" t="s">
        <v>237</v>
      </c>
      <c r="C7340" t="s">
        <v>238</v>
      </c>
      <c r="D7340" t="s">
        <v>746</v>
      </c>
      <c r="E7340" t="s">
        <v>768</v>
      </c>
      <c r="F7340">
        <v>3</v>
      </c>
      <c r="G7340" s="308">
        <f>COMEDORES!I246</f>
        <v>0</v>
      </c>
      <c r="H7340" s="308">
        <f>COMEDORES!J246</f>
        <v>0</v>
      </c>
    </row>
    <row r="7341" spans="1:8" x14ac:dyDescent="0.3">
      <c r="A7341" t="s">
        <v>628</v>
      </c>
      <c r="B7341" t="s">
        <v>237</v>
      </c>
      <c r="C7341" t="s">
        <v>238</v>
      </c>
      <c r="D7341" t="s">
        <v>746</v>
      </c>
      <c r="E7341" t="s">
        <v>769</v>
      </c>
      <c r="F7341">
        <v>4</v>
      </c>
      <c r="G7341" s="308">
        <f>COMEDORES!K246</f>
        <v>0</v>
      </c>
      <c r="H7341" s="308">
        <f>COMEDORES!L246</f>
        <v>0</v>
      </c>
    </row>
    <row r="7342" spans="1:8" x14ac:dyDescent="0.3">
      <c r="A7342" t="s">
        <v>628</v>
      </c>
      <c r="B7342" t="s">
        <v>237</v>
      </c>
      <c r="C7342" t="s">
        <v>238</v>
      </c>
      <c r="D7342" t="s">
        <v>746</v>
      </c>
      <c r="E7342" t="s">
        <v>770</v>
      </c>
      <c r="F7342">
        <v>5</v>
      </c>
      <c r="G7342" s="308">
        <f>COMEDORES!M246</f>
        <v>2534</v>
      </c>
      <c r="H7342" s="308">
        <f>COMEDORES!N246</f>
        <v>0</v>
      </c>
    </row>
    <row r="7343" spans="1:8" x14ac:dyDescent="0.3">
      <c r="A7343" t="s">
        <v>628</v>
      </c>
      <c r="B7343" t="s">
        <v>237</v>
      </c>
      <c r="C7343" t="s">
        <v>238</v>
      </c>
      <c r="D7343" t="s">
        <v>746</v>
      </c>
      <c r="E7343" t="s">
        <v>771</v>
      </c>
      <c r="F7343">
        <v>6</v>
      </c>
      <c r="G7343" s="308">
        <f>COMEDORES!O246</f>
        <v>3110</v>
      </c>
      <c r="H7343" s="308">
        <f>COMEDORES!P246</f>
        <v>0</v>
      </c>
    </row>
    <row r="7344" spans="1:8" x14ac:dyDescent="0.3">
      <c r="A7344" t="s">
        <v>628</v>
      </c>
      <c r="B7344" t="s">
        <v>237</v>
      </c>
      <c r="C7344" t="s">
        <v>238</v>
      </c>
      <c r="D7344" t="s">
        <v>746</v>
      </c>
      <c r="E7344" t="s">
        <v>772</v>
      </c>
      <c r="F7344">
        <v>7</v>
      </c>
      <c r="G7344" s="308">
        <f>COMEDORES!Q246</f>
        <v>3377</v>
      </c>
      <c r="H7344" s="308">
        <f>COMEDORES!R246</f>
        <v>0</v>
      </c>
    </row>
    <row r="7345" spans="1:8" x14ac:dyDescent="0.3">
      <c r="A7345" t="s">
        <v>628</v>
      </c>
      <c r="B7345" t="s">
        <v>237</v>
      </c>
      <c r="C7345" t="s">
        <v>407</v>
      </c>
      <c r="D7345" t="s">
        <v>745</v>
      </c>
      <c r="E7345" t="s">
        <v>766</v>
      </c>
      <c r="F7345">
        <v>1</v>
      </c>
      <c r="G7345" s="308">
        <f>COMEDORES!E247</f>
        <v>0</v>
      </c>
      <c r="H7345" s="308">
        <f>COMEDORES!F247</f>
        <v>0</v>
      </c>
    </row>
    <row r="7346" spans="1:8" x14ac:dyDescent="0.3">
      <c r="A7346" t="s">
        <v>628</v>
      </c>
      <c r="B7346" t="s">
        <v>237</v>
      </c>
      <c r="C7346" t="s">
        <v>407</v>
      </c>
      <c r="D7346" t="s">
        <v>745</v>
      </c>
      <c r="E7346" t="s">
        <v>767</v>
      </c>
      <c r="F7346">
        <v>2</v>
      </c>
      <c r="G7346" s="308">
        <f>COMEDORES!G247</f>
        <v>0</v>
      </c>
      <c r="H7346" s="308">
        <f>COMEDORES!H247</f>
        <v>0</v>
      </c>
    </row>
    <row r="7347" spans="1:8" x14ac:dyDescent="0.3">
      <c r="A7347" t="s">
        <v>628</v>
      </c>
      <c r="B7347" t="s">
        <v>237</v>
      </c>
      <c r="C7347" t="s">
        <v>407</v>
      </c>
      <c r="D7347" t="s">
        <v>745</v>
      </c>
      <c r="E7347" t="s">
        <v>768</v>
      </c>
      <c r="F7347">
        <v>3</v>
      </c>
      <c r="G7347" s="308">
        <f>COMEDORES!I247</f>
        <v>0</v>
      </c>
      <c r="H7347" s="308">
        <f>COMEDORES!J247</f>
        <v>0</v>
      </c>
    </row>
    <row r="7348" spans="1:8" x14ac:dyDescent="0.3">
      <c r="A7348" t="s">
        <v>628</v>
      </c>
      <c r="B7348" t="s">
        <v>237</v>
      </c>
      <c r="C7348" t="s">
        <v>407</v>
      </c>
      <c r="D7348" t="s">
        <v>745</v>
      </c>
      <c r="E7348" t="s">
        <v>769</v>
      </c>
      <c r="F7348">
        <v>4</v>
      </c>
      <c r="G7348" s="308">
        <f>COMEDORES!K247</f>
        <v>0</v>
      </c>
      <c r="H7348" s="308">
        <f>COMEDORES!L247</f>
        <v>0</v>
      </c>
    </row>
    <row r="7349" spans="1:8" x14ac:dyDescent="0.3">
      <c r="A7349" t="s">
        <v>628</v>
      </c>
      <c r="B7349" t="s">
        <v>237</v>
      </c>
      <c r="C7349" t="s">
        <v>407</v>
      </c>
      <c r="D7349" t="s">
        <v>745</v>
      </c>
      <c r="E7349" t="s">
        <v>770</v>
      </c>
      <c r="F7349">
        <v>5</v>
      </c>
      <c r="G7349" s="308">
        <f>COMEDORES!M247</f>
        <v>0</v>
      </c>
      <c r="H7349" s="308">
        <f>COMEDORES!N247</f>
        <v>0</v>
      </c>
    </row>
    <row r="7350" spans="1:8" x14ac:dyDescent="0.3">
      <c r="A7350" t="s">
        <v>628</v>
      </c>
      <c r="B7350" t="s">
        <v>237</v>
      </c>
      <c r="C7350" t="s">
        <v>407</v>
      </c>
      <c r="D7350" t="s">
        <v>745</v>
      </c>
      <c r="E7350" t="s">
        <v>771</v>
      </c>
      <c r="F7350">
        <v>6</v>
      </c>
      <c r="G7350" s="308">
        <f>COMEDORES!O247</f>
        <v>853</v>
      </c>
      <c r="H7350" s="308">
        <f>COMEDORES!P247</f>
        <v>0</v>
      </c>
    </row>
    <row r="7351" spans="1:8" x14ac:dyDescent="0.3">
      <c r="A7351" t="s">
        <v>628</v>
      </c>
      <c r="B7351" t="s">
        <v>237</v>
      </c>
      <c r="C7351" t="s">
        <v>407</v>
      </c>
      <c r="D7351" t="s">
        <v>745</v>
      </c>
      <c r="E7351" t="s">
        <v>772</v>
      </c>
      <c r="F7351">
        <v>7</v>
      </c>
      <c r="G7351" s="308">
        <f>COMEDORES!Q247</f>
        <v>2230</v>
      </c>
      <c r="H7351" s="308">
        <f>COMEDORES!R247</f>
        <v>74561.58</v>
      </c>
    </row>
    <row r="7352" spans="1:8" x14ac:dyDescent="0.3">
      <c r="A7352" t="s">
        <v>628</v>
      </c>
      <c r="B7352" t="s">
        <v>237</v>
      </c>
      <c r="C7352" t="s">
        <v>407</v>
      </c>
      <c r="D7352" t="s">
        <v>746</v>
      </c>
      <c r="E7352" t="s">
        <v>766</v>
      </c>
      <c r="F7352">
        <v>1</v>
      </c>
      <c r="G7352" s="308">
        <f>COMEDORES!E248</f>
        <v>0</v>
      </c>
      <c r="H7352" s="308">
        <f>COMEDORES!F248</f>
        <v>0</v>
      </c>
    </row>
    <row r="7353" spans="1:8" x14ac:dyDescent="0.3">
      <c r="A7353" t="s">
        <v>628</v>
      </c>
      <c r="B7353" t="s">
        <v>237</v>
      </c>
      <c r="C7353" t="s">
        <v>407</v>
      </c>
      <c r="D7353" t="s">
        <v>746</v>
      </c>
      <c r="E7353" t="s">
        <v>767</v>
      </c>
      <c r="F7353">
        <v>2</v>
      </c>
      <c r="G7353" s="308">
        <f>COMEDORES!G248</f>
        <v>0</v>
      </c>
      <c r="H7353" s="308">
        <f>COMEDORES!H248</f>
        <v>0</v>
      </c>
    </row>
    <row r="7354" spans="1:8" x14ac:dyDescent="0.3">
      <c r="A7354" t="s">
        <v>628</v>
      </c>
      <c r="B7354" t="s">
        <v>237</v>
      </c>
      <c r="C7354" t="s">
        <v>407</v>
      </c>
      <c r="D7354" t="s">
        <v>746</v>
      </c>
      <c r="E7354" t="s">
        <v>768</v>
      </c>
      <c r="F7354">
        <v>3</v>
      </c>
      <c r="G7354" s="308">
        <f>COMEDORES!I248</f>
        <v>0</v>
      </c>
      <c r="H7354" s="308">
        <f>COMEDORES!J248</f>
        <v>0</v>
      </c>
    </row>
    <row r="7355" spans="1:8" x14ac:dyDescent="0.3">
      <c r="A7355" t="s">
        <v>628</v>
      </c>
      <c r="B7355" t="s">
        <v>237</v>
      </c>
      <c r="C7355" t="s">
        <v>407</v>
      </c>
      <c r="D7355" t="s">
        <v>746</v>
      </c>
      <c r="E7355" t="s">
        <v>769</v>
      </c>
      <c r="F7355">
        <v>4</v>
      </c>
      <c r="G7355" s="308">
        <f>COMEDORES!K248</f>
        <v>0</v>
      </c>
      <c r="H7355" s="308">
        <f>COMEDORES!L248</f>
        <v>0</v>
      </c>
    </row>
    <row r="7356" spans="1:8" x14ac:dyDescent="0.3">
      <c r="A7356" t="s">
        <v>628</v>
      </c>
      <c r="B7356" t="s">
        <v>237</v>
      </c>
      <c r="C7356" t="s">
        <v>407</v>
      </c>
      <c r="D7356" t="s">
        <v>746</v>
      </c>
      <c r="E7356" t="s">
        <v>770</v>
      </c>
      <c r="F7356">
        <v>5</v>
      </c>
      <c r="G7356" s="308">
        <f>COMEDORES!M248</f>
        <v>0</v>
      </c>
      <c r="H7356" s="308">
        <f>COMEDORES!N248</f>
        <v>0</v>
      </c>
    </row>
    <row r="7357" spans="1:8" x14ac:dyDescent="0.3">
      <c r="A7357" t="s">
        <v>628</v>
      </c>
      <c r="B7357" t="s">
        <v>237</v>
      </c>
      <c r="C7357" t="s">
        <v>407</v>
      </c>
      <c r="D7357" t="s">
        <v>746</v>
      </c>
      <c r="E7357" t="s">
        <v>771</v>
      </c>
      <c r="F7357">
        <v>6</v>
      </c>
      <c r="G7357" s="308">
        <f>COMEDORES!O248</f>
        <v>1350</v>
      </c>
      <c r="H7357" s="308">
        <f>COMEDORES!P248</f>
        <v>0</v>
      </c>
    </row>
    <row r="7358" spans="1:8" x14ac:dyDescent="0.3">
      <c r="A7358" t="s">
        <v>628</v>
      </c>
      <c r="B7358" t="s">
        <v>237</v>
      </c>
      <c r="C7358" t="s">
        <v>407</v>
      </c>
      <c r="D7358" t="s">
        <v>746</v>
      </c>
      <c r="E7358" t="s">
        <v>772</v>
      </c>
      <c r="F7358">
        <v>7</v>
      </c>
      <c r="G7358" s="308">
        <f>COMEDORES!Q248</f>
        <v>3436</v>
      </c>
      <c r="H7358" s="308">
        <f>COMEDORES!R248</f>
        <v>0</v>
      </c>
    </row>
    <row r="7359" spans="1:8" x14ac:dyDescent="0.3">
      <c r="A7359" t="s">
        <v>628</v>
      </c>
      <c r="B7359" t="s">
        <v>237</v>
      </c>
      <c r="C7359" t="s">
        <v>240</v>
      </c>
      <c r="D7359" t="s">
        <v>745</v>
      </c>
      <c r="E7359" t="s">
        <v>766</v>
      </c>
      <c r="F7359">
        <v>1</v>
      </c>
      <c r="G7359" s="308">
        <f>COMEDORES!E249</f>
        <v>0</v>
      </c>
      <c r="H7359" s="308">
        <f>COMEDORES!F249</f>
        <v>0</v>
      </c>
    </row>
    <row r="7360" spans="1:8" x14ac:dyDescent="0.3">
      <c r="A7360" t="s">
        <v>628</v>
      </c>
      <c r="B7360" t="s">
        <v>237</v>
      </c>
      <c r="C7360" t="s">
        <v>240</v>
      </c>
      <c r="D7360" t="s">
        <v>745</v>
      </c>
      <c r="E7360" t="s">
        <v>767</v>
      </c>
      <c r="F7360">
        <v>2</v>
      </c>
      <c r="G7360" s="308">
        <f>COMEDORES!G249</f>
        <v>0</v>
      </c>
      <c r="H7360" s="308">
        <f>COMEDORES!H249</f>
        <v>0</v>
      </c>
    </row>
    <row r="7361" spans="1:8" x14ac:dyDescent="0.3">
      <c r="A7361" t="s">
        <v>628</v>
      </c>
      <c r="B7361" t="s">
        <v>237</v>
      </c>
      <c r="C7361" t="s">
        <v>240</v>
      </c>
      <c r="D7361" t="s">
        <v>745</v>
      </c>
      <c r="E7361" t="s">
        <v>768</v>
      </c>
      <c r="F7361">
        <v>3</v>
      </c>
      <c r="G7361" s="308">
        <f>COMEDORES!I249</f>
        <v>0</v>
      </c>
      <c r="H7361" s="308">
        <f>COMEDORES!J249</f>
        <v>0</v>
      </c>
    </row>
    <row r="7362" spans="1:8" x14ac:dyDescent="0.3">
      <c r="A7362" t="s">
        <v>628</v>
      </c>
      <c r="B7362" t="s">
        <v>237</v>
      </c>
      <c r="C7362" t="s">
        <v>240</v>
      </c>
      <c r="D7362" t="s">
        <v>745</v>
      </c>
      <c r="E7362" t="s">
        <v>769</v>
      </c>
      <c r="F7362">
        <v>4</v>
      </c>
      <c r="G7362" s="308">
        <f>COMEDORES!K249</f>
        <v>0</v>
      </c>
      <c r="H7362" s="308">
        <f>COMEDORES!L249</f>
        <v>0</v>
      </c>
    </row>
    <row r="7363" spans="1:8" x14ac:dyDescent="0.3">
      <c r="A7363" t="s">
        <v>628</v>
      </c>
      <c r="B7363" t="s">
        <v>237</v>
      </c>
      <c r="C7363" t="s">
        <v>240</v>
      </c>
      <c r="D7363" t="s">
        <v>745</v>
      </c>
      <c r="E7363" t="s">
        <v>770</v>
      </c>
      <c r="F7363">
        <v>5</v>
      </c>
      <c r="G7363" s="308">
        <f>COMEDORES!M249</f>
        <v>680</v>
      </c>
      <c r="H7363" s="308">
        <f>COMEDORES!N249</f>
        <v>0</v>
      </c>
    </row>
    <row r="7364" spans="1:8" x14ac:dyDescent="0.3">
      <c r="A7364" t="s">
        <v>628</v>
      </c>
      <c r="B7364" t="s">
        <v>237</v>
      </c>
      <c r="C7364" t="s">
        <v>240</v>
      </c>
      <c r="D7364" t="s">
        <v>745</v>
      </c>
      <c r="E7364" t="s">
        <v>771</v>
      </c>
      <c r="F7364">
        <v>6</v>
      </c>
      <c r="G7364" s="308">
        <f>COMEDORES!O249</f>
        <v>2100</v>
      </c>
      <c r="H7364" s="308">
        <f>COMEDORES!P249</f>
        <v>63784.800000000003</v>
      </c>
    </row>
    <row r="7365" spans="1:8" x14ac:dyDescent="0.3">
      <c r="A7365" t="s">
        <v>628</v>
      </c>
      <c r="B7365" t="s">
        <v>237</v>
      </c>
      <c r="C7365" t="s">
        <v>240</v>
      </c>
      <c r="D7365" t="s">
        <v>745</v>
      </c>
      <c r="E7365" t="s">
        <v>772</v>
      </c>
      <c r="F7365">
        <v>7</v>
      </c>
      <c r="G7365" s="308">
        <f>COMEDORES!Q249</f>
        <v>2298</v>
      </c>
      <c r="H7365" s="308">
        <f>COMEDORES!R249</f>
        <v>174285</v>
      </c>
    </row>
    <row r="7366" spans="1:8" x14ac:dyDescent="0.3">
      <c r="A7366" t="s">
        <v>628</v>
      </c>
      <c r="B7366" t="s">
        <v>237</v>
      </c>
      <c r="C7366" t="s">
        <v>240</v>
      </c>
      <c r="D7366" t="s">
        <v>746</v>
      </c>
      <c r="E7366" t="s">
        <v>766</v>
      </c>
      <c r="F7366">
        <v>1</v>
      </c>
      <c r="G7366" s="308">
        <f>COMEDORES!E250</f>
        <v>0</v>
      </c>
      <c r="H7366" s="308">
        <f>COMEDORES!F250</f>
        <v>0</v>
      </c>
    </row>
    <row r="7367" spans="1:8" x14ac:dyDescent="0.3">
      <c r="A7367" t="s">
        <v>628</v>
      </c>
      <c r="B7367" t="s">
        <v>237</v>
      </c>
      <c r="C7367" t="s">
        <v>240</v>
      </c>
      <c r="D7367" t="s">
        <v>746</v>
      </c>
      <c r="E7367" t="s">
        <v>767</v>
      </c>
      <c r="F7367">
        <v>2</v>
      </c>
      <c r="G7367" s="308">
        <f>COMEDORES!G250</f>
        <v>0</v>
      </c>
      <c r="H7367" s="308">
        <f>COMEDORES!H250</f>
        <v>0</v>
      </c>
    </row>
    <row r="7368" spans="1:8" x14ac:dyDescent="0.3">
      <c r="A7368" t="s">
        <v>628</v>
      </c>
      <c r="B7368" t="s">
        <v>237</v>
      </c>
      <c r="C7368" t="s">
        <v>240</v>
      </c>
      <c r="D7368" t="s">
        <v>746</v>
      </c>
      <c r="E7368" t="s">
        <v>768</v>
      </c>
      <c r="F7368">
        <v>3</v>
      </c>
      <c r="G7368" s="308">
        <f>COMEDORES!I250</f>
        <v>0</v>
      </c>
      <c r="H7368" s="308">
        <f>COMEDORES!J250</f>
        <v>0</v>
      </c>
    </row>
    <row r="7369" spans="1:8" x14ac:dyDescent="0.3">
      <c r="A7369" t="s">
        <v>628</v>
      </c>
      <c r="B7369" t="s">
        <v>237</v>
      </c>
      <c r="C7369" t="s">
        <v>240</v>
      </c>
      <c r="D7369" t="s">
        <v>746</v>
      </c>
      <c r="E7369" t="s">
        <v>769</v>
      </c>
      <c r="F7369">
        <v>4</v>
      </c>
      <c r="G7369" s="308">
        <f>COMEDORES!K250</f>
        <v>0</v>
      </c>
      <c r="H7369" s="308">
        <f>COMEDORES!L250</f>
        <v>0</v>
      </c>
    </row>
    <row r="7370" spans="1:8" x14ac:dyDescent="0.3">
      <c r="A7370" t="s">
        <v>628</v>
      </c>
      <c r="B7370" t="s">
        <v>237</v>
      </c>
      <c r="C7370" t="s">
        <v>240</v>
      </c>
      <c r="D7370" t="s">
        <v>746</v>
      </c>
      <c r="E7370" t="s">
        <v>770</v>
      </c>
      <c r="F7370">
        <v>5</v>
      </c>
      <c r="G7370" s="308">
        <f>COMEDORES!M250</f>
        <v>1200</v>
      </c>
      <c r="H7370" s="308">
        <f>COMEDORES!N250</f>
        <v>0</v>
      </c>
    </row>
    <row r="7371" spans="1:8" x14ac:dyDescent="0.3">
      <c r="A7371" t="s">
        <v>628</v>
      </c>
      <c r="B7371" t="s">
        <v>237</v>
      </c>
      <c r="C7371" t="s">
        <v>240</v>
      </c>
      <c r="D7371" t="s">
        <v>746</v>
      </c>
      <c r="E7371" t="s">
        <v>771</v>
      </c>
      <c r="F7371">
        <v>6</v>
      </c>
      <c r="G7371" s="308">
        <f>COMEDORES!O250</f>
        <v>3150</v>
      </c>
      <c r="H7371" s="308">
        <f>COMEDORES!P250</f>
        <v>0</v>
      </c>
    </row>
    <row r="7372" spans="1:8" x14ac:dyDescent="0.3">
      <c r="A7372" t="s">
        <v>628</v>
      </c>
      <c r="B7372" t="s">
        <v>237</v>
      </c>
      <c r="C7372" t="s">
        <v>240</v>
      </c>
      <c r="D7372" t="s">
        <v>746</v>
      </c>
      <c r="E7372" t="s">
        <v>772</v>
      </c>
      <c r="F7372">
        <v>7</v>
      </c>
      <c r="G7372" s="308">
        <f>COMEDORES!Q250</f>
        <v>3415</v>
      </c>
      <c r="H7372" s="308">
        <f>COMEDORES!R250</f>
        <v>0</v>
      </c>
    </row>
    <row r="7373" spans="1:8" x14ac:dyDescent="0.3">
      <c r="A7373" t="s">
        <v>628</v>
      </c>
      <c r="B7373" t="s">
        <v>237</v>
      </c>
      <c r="C7373" t="s">
        <v>656</v>
      </c>
      <c r="D7373" t="s">
        <v>745</v>
      </c>
      <c r="E7373" t="s">
        <v>766</v>
      </c>
      <c r="F7373">
        <v>1</v>
      </c>
      <c r="G7373" s="308">
        <f>COMEDORES!E251</f>
        <v>0</v>
      </c>
      <c r="H7373" s="308">
        <f>COMEDORES!F251</f>
        <v>0</v>
      </c>
    </row>
    <row r="7374" spans="1:8" x14ac:dyDescent="0.3">
      <c r="A7374" t="s">
        <v>628</v>
      </c>
      <c r="B7374" t="s">
        <v>237</v>
      </c>
      <c r="C7374" t="s">
        <v>656</v>
      </c>
      <c r="D7374" t="s">
        <v>745</v>
      </c>
      <c r="E7374" t="s">
        <v>767</v>
      </c>
      <c r="F7374">
        <v>2</v>
      </c>
      <c r="G7374" s="308">
        <f>COMEDORES!G251</f>
        <v>0</v>
      </c>
      <c r="H7374" s="308">
        <f>COMEDORES!H251</f>
        <v>0</v>
      </c>
    </row>
    <row r="7375" spans="1:8" x14ac:dyDescent="0.3">
      <c r="A7375" t="s">
        <v>628</v>
      </c>
      <c r="B7375" t="s">
        <v>237</v>
      </c>
      <c r="C7375" t="s">
        <v>656</v>
      </c>
      <c r="D7375" t="s">
        <v>745</v>
      </c>
      <c r="E7375" t="s">
        <v>768</v>
      </c>
      <c r="F7375">
        <v>3</v>
      </c>
      <c r="G7375" s="308">
        <f>COMEDORES!I251</f>
        <v>0</v>
      </c>
      <c r="H7375" s="308">
        <f>COMEDORES!J251</f>
        <v>0</v>
      </c>
    </row>
    <row r="7376" spans="1:8" x14ac:dyDescent="0.3">
      <c r="A7376" t="s">
        <v>628</v>
      </c>
      <c r="B7376" t="s">
        <v>237</v>
      </c>
      <c r="C7376" t="s">
        <v>656</v>
      </c>
      <c r="D7376" t="s">
        <v>745</v>
      </c>
      <c r="E7376" t="s">
        <v>769</v>
      </c>
      <c r="F7376">
        <v>4</v>
      </c>
      <c r="G7376" s="308">
        <f>COMEDORES!K251</f>
        <v>0</v>
      </c>
      <c r="H7376" s="308">
        <f>COMEDORES!L251</f>
        <v>0</v>
      </c>
    </row>
    <row r="7377" spans="1:8" x14ac:dyDescent="0.3">
      <c r="A7377" t="s">
        <v>628</v>
      </c>
      <c r="B7377" t="s">
        <v>237</v>
      </c>
      <c r="C7377" t="s">
        <v>656</v>
      </c>
      <c r="D7377" t="s">
        <v>745</v>
      </c>
      <c r="E7377" t="s">
        <v>770</v>
      </c>
      <c r="F7377">
        <v>5</v>
      </c>
      <c r="G7377" s="308">
        <f>COMEDORES!M251</f>
        <v>0</v>
      </c>
      <c r="H7377" s="308">
        <f>COMEDORES!N251</f>
        <v>0</v>
      </c>
    </row>
    <row r="7378" spans="1:8" x14ac:dyDescent="0.3">
      <c r="A7378" t="s">
        <v>628</v>
      </c>
      <c r="B7378" t="s">
        <v>237</v>
      </c>
      <c r="C7378" t="s">
        <v>656</v>
      </c>
      <c r="D7378" t="s">
        <v>745</v>
      </c>
      <c r="E7378" t="s">
        <v>771</v>
      </c>
      <c r="F7378">
        <v>6</v>
      </c>
      <c r="G7378" s="308">
        <f>COMEDORES!O251</f>
        <v>0</v>
      </c>
      <c r="H7378" s="308">
        <f>COMEDORES!P251</f>
        <v>0</v>
      </c>
    </row>
    <row r="7379" spans="1:8" x14ac:dyDescent="0.3">
      <c r="A7379" t="s">
        <v>628</v>
      </c>
      <c r="B7379" t="s">
        <v>237</v>
      </c>
      <c r="C7379" t="s">
        <v>656</v>
      </c>
      <c r="D7379" t="s">
        <v>745</v>
      </c>
      <c r="E7379" t="s">
        <v>772</v>
      </c>
      <c r="F7379">
        <v>7</v>
      </c>
      <c r="G7379" s="308">
        <f>COMEDORES!Q251</f>
        <v>3000</v>
      </c>
      <c r="H7379" s="308">
        <f>COMEDORES!R251</f>
        <v>0</v>
      </c>
    </row>
    <row r="7380" spans="1:8" x14ac:dyDescent="0.3">
      <c r="A7380" t="s">
        <v>628</v>
      </c>
      <c r="B7380" t="s">
        <v>237</v>
      </c>
      <c r="C7380" t="s">
        <v>656</v>
      </c>
      <c r="D7380" t="s">
        <v>746</v>
      </c>
      <c r="E7380" t="s">
        <v>766</v>
      </c>
      <c r="F7380">
        <v>1</v>
      </c>
      <c r="G7380" s="308">
        <f>COMEDORES!E252</f>
        <v>0</v>
      </c>
      <c r="H7380" s="308">
        <f>COMEDORES!F252</f>
        <v>0</v>
      </c>
    </row>
    <row r="7381" spans="1:8" x14ac:dyDescent="0.3">
      <c r="A7381" t="s">
        <v>628</v>
      </c>
      <c r="B7381" t="s">
        <v>237</v>
      </c>
      <c r="C7381" t="s">
        <v>656</v>
      </c>
      <c r="D7381" t="s">
        <v>746</v>
      </c>
      <c r="E7381" t="s">
        <v>767</v>
      </c>
      <c r="F7381">
        <v>2</v>
      </c>
      <c r="G7381" s="308">
        <f>COMEDORES!G252</f>
        <v>0</v>
      </c>
      <c r="H7381" s="308">
        <f>COMEDORES!H252</f>
        <v>0</v>
      </c>
    </row>
    <row r="7382" spans="1:8" x14ac:dyDescent="0.3">
      <c r="A7382" t="s">
        <v>628</v>
      </c>
      <c r="B7382" t="s">
        <v>237</v>
      </c>
      <c r="C7382" t="s">
        <v>656</v>
      </c>
      <c r="D7382" t="s">
        <v>746</v>
      </c>
      <c r="E7382" t="s">
        <v>768</v>
      </c>
      <c r="F7382">
        <v>3</v>
      </c>
      <c r="G7382" s="308">
        <f>COMEDORES!I252</f>
        <v>0</v>
      </c>
      <c r="H7382" s="308">
        <f>COMEDORES!J252</f>
        <v>0</v>
      </c>
    </row>
    <row r="7383" spans="1:8" x14ac:dyDescent="0.3">
      <c r="A7383" t="s">
        <v>628</v>
      </c>
      <c r="B7383" t="s">
        <v>237</v>
      </c>
      <c r="C7383" t="s">
        <v>656</v>
      </c>
      <c r="D7383" t="s">
        <v>746</v>
      </c>
      <c r="E7383" t="s">
        <v>769</v>
      </c>
      <c r="F7383">
        <v>4</v>
      </c>
      <c r="G7383" s="308">
        <f>COMEDORES!K252</f>
        <v>0</v>
      </c>
      <c r="H7383" s="308">
        <f>COMEDORES!L252</f>
        <v>0</v>
      </c>
    </row>
    <row r="7384" spans="1:8" x14ac:dyDescent="0.3">
      <c r="A7384" t="s">
        <v>628</v>
      </c>
      <c r="B7384" t="s">
        <v>237</v>
      </c>
      <c r="C7384" t="s">
        <v>656</v>
      </c>
      <c r="D7384" t="s">
        <v>746</v>
      </c>
      <c r="E7384" t="s">
        <v>770</v>
      </c>
      <c r="F7384">
        <v>5</v>
      </c>
      <c r="G7384" s="308">
        <f>COMEDORES!M252</f>
        <v>0</v>
      </c>
      <c r="H7384" s="308">
        <f>COMEDORES!N252</f>
        <v>0</v>
      </c>
    </row>
    <row r="7385" spans="1:8" x14ac:dyDescent="0.3">
      <c r="A7385" t="s">
        <v>628</v>
      </c>
      <c r="B7385" t="s">
        <v>237</v>
      </c>
      <c r="C7385" t="s">
        <v>656</v>
      </c>
      <c r="D7385" t="s">
        <v>746</v>
      </c>
      <c r="E7385" t="s">
        <v>771</v>
      </c>
      <c r="F7385">
        <v>6</v>
      </c>
      <c r="G7385" s="308">
        <f>COMEDORES!O252</f>
        <v>0</v>
      </c>
      <c r="H7385" s="308">
        <f>COMEDORES!P252</f>
        <v>0</v>
      </c>
    </row>
    <row r="7386" spans="1:8" x14ac:dyDescent="0.3">
      <c r="A7386" t="s">
        <v>628</v>
      </c>
      <c r="B7386" t="s">
        <v>237</v>
      </c>
      <c r="C7386" t="s">
        <v>656</v>
      </c>
      <c r="D7386" t="s">
        <v>746</v>
      </c>
      <c r="E7386" t="s">
        <v>772</v>
      </c>
      <c r="F7386">
        <v>7</v>
      </c>
      <c r="G7386" s="308">
        <f>COMEDORES!Q252</f>
        <v>3800</v>
      </c>
      <c r="H7386" s="308">
        <f>COMEDORES!R252</f>
        <v>0</v>
      </c>
    </row>
    <row r="7387" spans="1:8" x14ac:dyDescent="0.3">
      <c r="A7387" t="s">
        <v>628</v>
      </c>
      <c r="B7387" t="s">
        <v>237</v>
      </c>
      <c r="C7387" t="s">
        <v>657</v>
      </c>
      <c r="D7387" t="s">
        <v>745</v>
      </c>
      <c r="E7387" t="s">
        <v>766</v>
      </c>
      <c r="F7387">
        <v>1</v>
      </c>
      <c r="G7387" s="308">
        <f>COMEDORES!E253</f>
        <v>0</v>
      </c>
      <c r="H7387" s="308">
        <f>COMEDORES!F253</f>
        <v>0</v>
      </c>
    </row>
    <row r="7388" spans="1:8" x14ac:dyDescent="0.3">
      <c r="A7388" t="s">
        <v>628</v>
      </c>
      <c r="B7388" t="s">
        <v>237</v>
      </c>
      <c r="C7388" t="s">
        <v>657</v>
      </c>
      <c r="D7388" t="s">
        <v>745</v>
      </c>
      <c r="E7388" t="s">
        <v>767</v>
      </c>
      <c r="F7388">
        <v>2</v>
      </c>
      <c r="G7388" s="308">
        <f>COMEDORES!G253</f>
        <v>0</v>
      </c>
      <c r="H7388" s="308">
        <f>COMEDORES!H253</f>
        <v>0</v>
      </c>
    </row>
    <row r="7389" spans="1:8" x14ac:dyDescent="0.3">
      <c r="A7389" t="s">
        <v>628</v>
      </c>
      <c r="B7389" t="s">
        <v>237</v>
      </c>
      <c r="C7389" t="s">
        <v>657</v>
      </c>
      <c r="D7389" t="s">
        <v>745</v>
      </c>
      <c r="E7389" t="s">
        <v>768</v>
      </c>
      <c r="F7389">
        <v>3</v>
      </c>
      <c r="G7389" s="308">
        <f>COMEDORES!I253</f>
        <v>0</v>
      </c>
      <c r="H7389" s="308">
        <f>COMEDORES!J253</f>
        <v>0</v>
      </c>
    </row>
    <row r="7390" spans="1:8" x14ac:dyDescent="0.3">
      <c r="A7390" t="s">
        <v>628</v>
      </c>
      <c r="B7390" t="s">
        <v>237</v>
      </c>
      <c r="C7390" t="s">
        <v>657</v>
      </c>
      <c r="D7390" t="s">
        <v>745</v>
      </c>
      <c r="E7390" t="s">
        <v>769</v>
      </c>
      <c r="F7390">
        <v>4</v>
      </c>
      <c r="G7390" s="308">
        <f>COMEDORES!K253</f>
        <v>0</v>
      </c>
      <c r="H7390" s="308">
        <f>COMEDORES!L253</f>
        <v>0</v>
      </c>
    </row>
    <row r="7391" spans="1:8" x14ac:dyDescent="0.3">
      <c r="A7391" t="s">
        <v>628</v>
      </c>
      <c r="B7391" t="s">
        <v>237</v>
      </c>
      <c r="C7391" t="s">
        <v>657</v>
      </c>
      <c r="D7391" t="s">
        <v>745</v>
      </c>
      <c r="E7391" t="s">
        <v>770</v>
      </c>
      <c r="F7391">
        <v>5</v>
      </c>
      <c r="G7391" s="308">
        <f>COMEDORES!M253</f>
        <v>0</v>
      </c>
      <c r="H7391" s="308">
        <f>COMEDORES!N253</f>
        <v>0</v>
      </c>
    </row>
    <row r="7392" spans="1:8" x14ac:dyDescent="0.3">
      <c r="A7392" t="s">
        <v>628</v>
      </c>
      <c r="B7392" t="s">
        <v>237</v>
      </c>
      <c r="C7392" t="s">
        <v>657</v>
      </c>
      <c r="D7392" t="s">
        <v>745</v>
      </c>
      <c r="E7392" t="s">
        <v>771</v>
      </c>
      <c r="F7392">
        <v>6</v>
      </c>
      <c r="G7392" s="308">
        <f>COMEDORES!O253</f>
        <v>0</v>
      </c>
      <c r="H7392" s="308">
        <f>COMEDORES!P253</f>
        <v>0</v>
      </c>
    </row>
    <row r="7393" spans="1:8" x14ac:dyDescent="0.3">
      <c r="A7393" t="s">
        <v>628</v>
      </c>
      <c r="B7393" t="s">
        <v>237</v>
      </c>
      <c r="C7393" t="s">
        <v>657</v>
      </c>
      <c r="D7393" t="s">
        <v>745</v>
      </c>
      <c r="E7393" t="s">
        <v>772</v>
      </c>
      <c r="F7393">
        <v>7</v>
      </c>
      <c r="G7393" s="308">
        <f>COMEDORES!Q253</f>
        <v>2960</v>
      </c>
      <c r="H7393" s="308">
        <f>COMEDORES!R253</f>
        <v>0</v>
      </c>
    </row>
    <row r="7394" spans="1:8" x14ac:dyDescent="0.3">
      <c r="A7394" t="s">
        <v>628</v>
      </c>
      <c r="B7394" t="s">
        <v>237</v>
      </c>
      <c r="C7394" t="s">
        <v>657</v>
      </c>
      <c r="D7394" t="s">
        <v>746</v>
      </c>
      <c r="E7394" t="s">
        <v>766</v>
      </c>
      <c r="F7394">
        <v>1</v>
      </c>
      <c r="G7394" s="308">
        <f>COMEDORES!E254</f>
        <v>0</v>
      </c>
      <c r="H7394" s="308">
        <f>COMEDORES!F254</f>
        <v>0</v>
      </c>
    </row>
    <row r="7395" spans="1:8" x14ac:dyDescent="0.3">
      <c r="A7395" t="s">
        <v>628</v>
      </c>
      <c r="B7395" t="s">
        <v>237</v>
      </c>
      <c r="C7395" t="s">
        <v>657</v>
      </c>
      <c r="D7395" t="s">
        <v>746</v>
      </c>
      <c r="E7395" t="s">
        <v>767</v>
      </c>
      <c r="F7395">
        <v>2</v>
      </c>
      <c r="G7395" s="308">
        <f>COMEDORES!G254</f>
        <v>0</v>
      </c>
      <c r="H7395" s="308">
        <f>COMEDORES!H254</f>
        <v>0</v>
      </c>
    </row>
    <row r="7396" spans="1:8" x14ac:dyDescent="0.3">
      <c r="A7396" t="s">
        <v>628</v>
      </c>
      <c r="B7396" t="s">
        <v>237</v>
      </c>
      <c r="C7396" t="s">
        <v>657</v>
      </c>
      <c r="D7396" t="s">
        <v>746</v>
      </c>
      <c r="E7396" t="s">
        <v>768</v>
      </c>
      <c r="F7396">
        <v>3</v>
      </c>
      <c r="G7396" s="308">
        <f>COMEDORES!I254</f>
        <v>0</v>
      </c>
      <c r="H7396" s="308">
        <f>COMEDORES!J254</f>
        <v>0</v>
      </c>
    </row>
    <row r="7397" spans="1:8" x14ac:dyDescent="0.3">
      <c r="A7397" t="s">
        <v>628</v>
      </c>
      <c r="B7397" t="s">
        <v>237</v>
      </c>
      <c r="C7397" t="s">
        <v>657</v>
      </c>
      <c r="D7397" t="s">
        <v>746</v>
      </c>
      <c r="E7397" t="s">
        <v>769</v>
      </c>
      <c r="F7397">
        <v>4</v>
      </c>
      <c r="G7397" s="308">
        <f>COMEDORES!K254</f>
        <v>0</v>
      </c>
      <c r="H7397" s="308">
        <f>COMEDORES!L254</f>
        <v>0</v>
      </c>
    </row>
    <row r="7398" spans="1:8" x14ac:dyDescent="0.3">
      <c r="A7398" t="s">
        <v>628</v>
      </c>
      <c r="B7398" t="s">
        <v>237</v>
      </c>
      <c r="C7398" t="s">
        <v>657</v>
      </c>
      <c r="D7398" t="s">
        <v>746</v>
      </c>
      <c r="E7398" t="s">
        <v>770</v>
      </c>
      <c r="F7398">
        <v>5</v>
      </c>
      <c r="G7398" s="308">
        <f>COMEDORES!M254</f>
        <v>0</v>
      </c>
      <c r="H7398" s="308">
        <f>COMEDORES!N254</f>
        <v>0</v>
      </c>
    </row>
    <row r="7399" spans="1:8" x14ac:dyDescent="0.3">
      <c r="A7399" t="s">
        <v>628</v>
      </c>
      <c r="B7399" t="s">
        <v>237</v>
      </c>
      <c r="C7399" t="s">
        <v>657</v>
      </c>
      <c r="D7399" t="s">
        <v>746</v>
      </c>
      <c r="E7399" t="s">
        <v>771</v>
      </c>
      <c r="F7399">
        <v>6</v>
      </c>
      <c r="G7399" s="308">
        <f>COMEDORES!O254</f>
        <v>0</v>
      </c>
      <c r="H7399" s="308">
        <f>COMEDORES!P254</f>
        <v>0</v>
      </c>
    </row>
    <row r="7400" spans="1:8" x14ac:dyDescent="0.3">
      <c r="A7400" t="s">
        <v>628</v>
      </c>
      <c r="B7400" t="s">
        <v>237</v>
      </c>
      <c r="C7400" t="s">
        <v>657</v>
      </c>
      <c r="D7400" t="s">
        <v>746</v>
      </c>
      <c r="E7400" t="s">
        <v>772</v>
      </c>
      <c r="F7400">
        <v>7</v>
      </c>
      <c r="G7400" s="308">
        <f>COMEDORES!Q254</f>
        <v>4000</v>
      </c>
      <c r="H7400" s="308">
        <f>COMEDORES!R254</f>
        <v>0</v>
      </c>
    </row>
    <row r="7401" spans="1:8" x14ac:dyDescent="0.3">
      <c r="A7401" t="s">
        <v>628</v>
      </c>
      <c r="B7401" t="s">
        <v>237</v>
      </c>
      <c r="C7401" t="s">
        <v>243</v>
      </c>
      <c r="D7401" t="s">
        <v>745</v>
      </c>
      <c r="E7401" t="s">
        <v>766</v>
      </c>
      <c r="F7401">
        <v>1</v>
      </c>
      <c r="G7401" s="308">
        <f>COMEDORES!E255</f>
        <v>0</v>
      </c>
      <c r="H7401" s="308">
        <f>COMEDORES!F255</f>
        <v>0</v>
      </c>
    </row>
    <row r="7402" spans="1:8" x14ac:dyDescent="0.3">
      <c r="A7402" t="s">
        <v>628</v>
      </c>
      <c r="B7402" t="s">
        <v>237</v>
      </c>
      <c r="C7402" t="s">
        <v>243</v>
      </c>
      <c r="D7402" t="s">
        <v>745</v>
      </c>
      <c r="E7402" t="s">
        <v>767</v>
      </c>
      <c r="F7402">
        <v>2</v>
      </c>
      <c r="G7402" s="308">
        <f>COMEDORES!G255</f>
        <v>0</v>
      </c>
      <c r="H7402" s="308">
        <f>COMEDORES!H255</f>
        <v>0</v>
      </c>
    </row>
    <row r="7403" spans="1:8" x14ac:dyDescent="0.3">
      <c r="A7403" t="s">
        <v>628</v>
      </c>
      <c r="B7403" t="s">
        <v>237</v>
      </c>
      <c r="C7403" t="s">
        <v>243</v>
      </c>
      <c r="D7403" t="s">
        <v>745</v>
      </c>
      <c r="E7403" t="s">
        <v>768</v>
      </c>
      <c r="F7403">
        <v>3</v>
      </c>
      <c r="G7403" s="308">
        <f>COMEDORES!I255</f>
        <v>0</v>
      </c>
      <c r="H7403" s="308">
        <f>COMEDORES!J255</f>
        <v>0</v>
      </c>
    </row>
    <row r="7404" spans="1:8" x14ac:dyDescent="0.3">
      <c r="A7404" t="s">
        <v>628</v>
      </c>
      <c r="B7404" t="s">
        <v>237</v>
      </c>
      <c r="C7404" t="s">
        <v>243</v>
      </c>
      <c r="D7404" t="s">
        <v>745</v>
      </c>
      <c r="E7404" t="s">
        <v>769</v>
      </c>
      <c r="F7404">
        <v>4</v>
      </c>
      <c r="G7404" s="308">
        <f>COMEDORES!K255</f>
        <v>0</v>
      </c>
      <c r="H7404" s="308">
        <f>COMEDORES!L255</f>
        <v>0</v>
      </c>
    </row>
    <row r="7405" spans="1:8" x14ac:dyDescent="0.3">
      <c r="A7405" t="s">
        <v>628</v>
      </c>
      <c r="B7405" t="s">
        <v>237</v>
      </c>
      <c r="C7405" t="s">
        <v>243</v>
      </c>
      <c r="D7405" t="s">
        <v>745</v>
      </c>
      <c r="E7405" t="s">
        <v>770</v>
      </c>
      <c r="F7405">
        <v>5</v>
      </c>
      <c r="G7405" s="308">
        <f>COMEDORES!M255</f>
        <v>100</v>
      </c>
      <c r="H7405" s="308">
        <f>COMEDORES!N255</f>
        <v>0</v>
      </c>
    </row>
    <row r="7406" spans="1:8" x14ac:dyDescent="0.3">
      <c r="A7406" t="s">
        <v>628</v>
      </c>
      <c r="B7406" t="s">
        <v>237</v>
      </c>
      <c r="C7406" t="s">
        <v>243</v>
      </c>
      <c r="D7406" t="s">
        <v>745</v>
      </c>
      <c r="E7406" t="s">
        <v>771</v>
      </c>
      <c r="F7406">
        <v>6</v>
      </c>
      <c r="G7406" s="308">
        <f>COMEDORES!O255</f>
        <v>2200</v>
      </c>
      <c r="H7406" s="308">
        <f>COMEDORES!P255</f>
        <v>0</v>
      </c>
    </row>
    <row r="7407" spans="1:8" x14ac:dyDescent="0.3">
      <c r="A7407" t="s">
        <v>628</v>
      </c>
      <c r="B7407" t="s">
        <v>237</v>
      </c>
      <c r="C7407" t="s">
        <v>243</v>
      </c>
      <c r="D7407" t="s">
        <v>745</v>
      </c>
      <c r="E7407" t="s">
        <v>772</v>
      </c>
      <c r="F7407">
        <v>7</v>
      </c>
      <c r="G7407" s="308">
        <f>COMEDORES!Q255</f>
        <v>2300</v>
      </c>
      <c r="H7407" s="308">
        <f>COMEDORES!R255</f>
        <v>176418</v>
      </c>
    </row>
    <row r="7408" spans="1:8" x14ac:dyDescent="0.3">
      <c r="A7408" t="s">
        <v>628</v>
      </c>
      <c r="B7408" t="s">
        <v>237</v>
      </c>
      <c r="C7408" t="s">
        <v>243</v>
      </c>
      <c r="D7408" t="s">
        <v>746</v>
      </c>
      <c r="E7408" t="s">
        <v>766</v>
      </c>
      <c r="F7408">
        <v>1</v>
      </c>
      <c r="G7408" s="308">
        <f>COMEDORES!E256</f>
        <v>0</v>
      </c>
      <c r="H7408" s="308">
        <f>COMEDORES!F256</f>
        <v>0</v>
      </c>
    </row>
    <row r="7409" spans="1:8" x14ac:dyDescent="0.3">
      <c r="A7409" t="s">
        <v>628</v>
      </c>
      <c r="B7409" t="s">
        <v>237</v>
      </c>
      <c r="C7409" t="s">
        <v>243</v>
      </c>
      <c r="D7409" t="s">
        <v>746</v>
      </c>
      <c r="E7409" t="s">
        <v>767</v>
      </c>
      <c r="F7409">
        <v>2</v>
      </c>
      <c r="G7409" s="308">
        <f>COMEDORES!G256</f>
        <v>0</v>
      </c>
      <c r="H7409" s="308">
        <f>COMEDORES!H256</f>
        <v>0</v>
      </c>
    </row>
    <row r="7410" spans="1:8" x14ac:dyDescent="0.3">
      <c r="A7410" t="s">
        <v>628</v>
      </c>
      <c r="B7410" t="s">
        <v>237</v>
      </c>
      <c r="C7410" t="s">
        <v>243</v>
      </c>
      <c r="D7410" t="s">
        <v>746</v>
      </c>
      <c r="E7410" t="s">
        <v>768</v>
      </c>
      <c r="F7410">
        <v>3</v>
      </c>
      <c r="G7410" s="308">
        <f>COMEDORES!I256</f>
        <v>0</v>
      </c>
      <c r="H7410" s="308">
        <f>COMEDORES!J256</f>
        <v>0</v>
      </c>
    </row>
    <row r="7411" spans="1:8" x14ac:dyDescent="0.3">
      <c r="A7411" t="s">
        <v>628</v>
      </c>
      <c r="B7411" t="s">
        <v>237</v>
      </c>
      <c r="C7411" t="s">
        <v>243</v>
      </c>
      <c r="D7411" t="s">
        <v>746</v>
      </c>
      <c r="E7411" t="s">
        <v>769</v>
      </c>
      <c r="F7411">
        <v>4</v>
      </c>
      <c r="G7411" s="308">
        <f>COMEDORES!K256</f>
        <v>0</v>
      </c>
      <c r="H7411" s="308">
        <f>COMEDORES!L256</f>
        <v>0</v>
      </c>
    </row>
    <row r="7412" spans="1:8" x14ac:dyDescent="0.3">
      <c r="A7412" t="s">
        <v>628</v>
      </c>
      <c r="B7412" t="s">
        <v>237</v>
      </c>
      <c r="C7412" t="s">
        <v>243</v>
      </c>
      <c r="D7412" t="s">
        <v>746</v>
      </c>
      <c r="E7412" t="s">
        <v>770</v>
      </c>
      <c r="F7412">
        <v>5</v>
      </c>
      <c r="G7412" s="308">
        <f>COMEDORES!M256</f>
        <v>150</v>
      </c>
      <c r="H7412" s="308">
        <f>COMEDORES!N256</f>
        <v>0</v>
      </c>
    </row>
    <row r="7413" spans="1:8" x14ac:dyDescent="0.3">
      <c r="A7413" t="s">
        <v>628</v>
      </c>
      <c r="B7413" t="s">
        <v>237</v>
      </c>
      <c r="C7413" t="s">
        <v>243</v>
      </c>
      <c r="D7413" t="s">
        <v>746</v>
      </c>
      <c r="E7413" t="s">
        <v>771</v>
      </c>
      <c r="F7413">
        <v>6</v>
      </c>
      <c r="G7413" s="308">
        <f>COMEDORES!O256</f>
        <v>3270</v>
      </c>
      <c r="H7413" s="308">
        <f>COMEDORES!P256</f>
        <v>0</v>
      </c>
    </row>
    <row r="7414" spans="1:8" x14ac:dyDescent="0.3">
      <c r="A7414" t="s">
        <v>628</v>
      </c>
      <c r="B7414" t="s">
        <v>237</v>
      </c>
      <c r="C7414" t="s">
        <v>243</v>
      </c>
      <c r="D7414" t="s">
        <v>746</v>
      </c>
      <c r="E7414" t="s">
        <v>772</v>
      </c>
      <c r="F7414">
        <v>7</v>
      </c>
      <c r="G7414" s="308">
        <f>COMEDORES!Q256</f>
        <v>3420</v>
      </c>
      <c r="H7414" s="308">
        <f>COMEDORES!R256</f>
        <v>0</v>
      </c>
    </row>
    <row r="7415" spans="1:8" x14ac:dyDescent="0.3">
      <c r="A7415" t="s">
        <v>628</v>
      </c>
      <c r="B7415" t="s">
        <v>246</v>
      </c>
      <c r="C7415" t="s">
        <v>658</v>
      </c>
      <c r="D7415" t="s">
        <v>745</v>
      </c>
      <c r="E7415" t="s">
        <v>766</v>
      </c>
      <c r="F7415">
        <v>1</v>
      </c>
      <c r="G7415" s="308">
        <f>COMEDORES!E257</f>
        <v>0</v>
      </c>
      <c r="H7415" s="308">
        <f>COMEDORES!F257</f>
        <v>0</v>
      </c>
    </row>
    <row r="7416" spans="1:8" x14ac:dyDescent="0.3">
      <c r="A7416" t="s">
        <v>628</v>
      </c>
      <c r="B7416" t="s">
        <v>246</v>
      </c>
      <c r="C7416" t="s">
        <v>658</v>
      </c>
      <c r="D7416" t="s">
        <v>745</v>
      </c>
      <c r="E7416" t="s">
        <v>767</v>
      </c>
      <c r="F7416">
        <v>2</v>
      </c>
      <c r="G7416" s="308">
        <f>COMEDORES!G257</f>
        <v>0</v>
      </c>
      <c r="H7416" s="308">
        <f>COMEDORES!H257</f>
        <v>0</v>
      </c>
    </row>
    <row r="7417" spans="1:8" x14ac:dyDescent="0.3">
      <c r="A7417" t="s">
        <v>628</v>
      </c>
      <c r="B7417" t="s">
        <v>246</v>
      </c>
      <c r="C7417" t="s">
        <v>658</v>
      </c>
      <c r="D7417" t="s">
        <v>745</v>
      </c>
      <c r="E7417" t="s">
        <v>768</v>
      </c>
      <c r="F7417">
        <v>3</v>
      </c>
      <c r="G7417" s="308">
        <f>COMEDORES!I257</f>
        <v>0</v>
      </c>
      <c r="H7417" s="308">
        <f>COMEDORES!J257</f>
        <v>0</v>
      </c>
    </row>
    <row r="7418" spans="1:8" x14ac:dyDescent="0.3">
      <c r="A7418" t="s">
        <v>628</v>
      </c>
      <c r="B7418" t="s">
        <v>246</v>
      </c>
      <c r="C7418" t="s">
        <v>658</v>
      </c>
      <c r="D7418" t="s">
        <v>745</v>
      </c>
      <c r="E7418" t="s">
        <v>769</v>
      </c>
      <c r="F7418">
        <v>4</v>
      </c>
      <c r="G7418" s="308">
        <f>COMEDORES!K257</f>
        <v>0</v>
      </c>
      <c r="H7418" s="308">
        <f>COMEDORES!L257</f>
        <v>0</v>
      </c>
    </row>
    <row r="7419" spans="1:8" x14ac:dyDescent="0.3">
      <c r="A7419" t="s">
        <v>628</v>
      </c>
      <c r="B7419" t="s">
        <v>246</v>
      </c>
      <c r="C7419" t="s">
        <v>658</v>
      </c>
      <c r="D7419" t="s">
        <v>745</v>
      </c>
      <c r="E7419" t="s">
        <v>770</v>
      </c>
      <c r="F7419">
        <v>5</v>
      </c>
      <c r="G7419" s="308">
        <f>COMEDORES!M257</f>
        <v>0</v>
      </c>
      <c r="H7419" s="308">
        <f>COMEDORES!N257</f>
        <v>0</v>
      </c>
    </row>
    <row r="7420" spans="1:8" x14ac:dyDescent="0.3">
      <c r="A7420" t="s">
        <v>628</v>
      </c>
      <c r="B7420" t="s">
        <v>246</v>
      </c>
      <c r="C7420" t="s">
        <v>658</v>
      </c>
      <c r="D7420" t="s">
        <v>745</v>
      </c>
      <c r="E7420" t="s">
        <v>771</v>
      </c>
      <c r="F7420">
        <v>6</v>
      </c>
      <c r="G7420" s="308">
        <f>COMEDORES!O257</f>
        <v>0</v>
      </c>
      <c r="H7420" s="308">
        <f>COMEDORES!P257</f>
        <v>0</v>
      </c>
    </row>
    <row r="7421" spans="1:8" x14ac:dyDescent="0.3">
      <c r="A7421" t="s">
        <v>628</v>
      </c>
      <c r="B7421" t="s">
        <v>246</v>
      </c>
      <c r="C7421" t="s">
        <v>658</v>
      </c>
      <c r="D7421" t="s">
        <v>745</v>
      </c>
      <c r="E7421" t="s">
        <v>772</v>
      </c>
      <c r="F7421">
        <v>7</v>
      </c>
      <c r="G7421" s="308">
        <f>COMEDORES!Q257</f>
        <v>2000</v>
      </c>
      <c r="H7421" s="308">
        <f>COMEDORES!R257</f>
        <v>0</v>
      </c>
    </row>
    <row r="7422" spans="1:8" x14ac:dyDescent="0.3">
      <c r="A7422" t="s">
        <v>628</v>
      </c>
      <c r="B7422" t="s">
        <v>246</v>
      </c>
      <c r="C7422" t="s">
        <v>658</v>
      </c>
      <c r="D7422" t="s">
        <v>746</v>
      </c>
      <c r="E7422" t="s">
        <v>766</v>
      </c>
      <c r="F7422">
        <v>1</v>
      </c>
      <c r="G7422" s="308">
        <f>COMEDORES!E258</f>
        <v>0</v>
      </c>
      <c r="H7422" s="308">
        <f>COMEDORES!F258</f>
        <v>0</v>
      </c>
    </row>
    <row r="7423" spans="1:8" x14ac:dyDescent="0.3">
      <c r="A7423" t="s">
        <v>628</v>
      </c>
      <c r="B7423" t="s">
        <v>246</v>
      </c>
      <c r="C7423" t="s">
        <v>658</v>
      </c>
      <c r="D7423" t="s">
        <v>746</v>
      </c>
      <c r="E7423" t="s">
        <v>767</v>
      </c>
      <c r="F7423">
        <v>2</v>
      </c>
      <c r="G7423" s="308">
        <f>COMEDORES!G258</f>
        <v>0</v>
      </c>
      <c r="H7423" s="308">
        <f>COMEDORES!H258</f>
        <v>0</v>
      </c>
    </row>
    <row r="7424" spans="1:8" x14ac:dyDescent="0.3">
      <c r="A7424" t="s">
        <v>628</v>
      </c>
      <c r="B7424" t="s">
        <v>246</v>
      </c>
      <c r="C7424" t="s">
        <v>658</v>
      </c>
      <c r="D7424" t="s">
        <v>746</v>
      </c>
      <c r="E7424" t="s">
        <v>768</v>
      </c>
      <c r="F7424">
        <v>3</v>
      </c>
      <c r="G7424" s="308">
        <f>COMEDORES!I258</f>
        <v>0</v>
      </c>
      <c r="H7424" s="308">
        <f>COMEDORES!J258</f>
        <v>0</v>
      </c>
    </row>
    <row r="7425" spans="1:8" x14ac:dyDescent="0.3">
      <c r="A7425" t="s">
        <v>628</v>
      </c>
      <c r="B7425" t="s">
        <v>246</v>
      </c>
      <c r="C7425" t="s">
        <v>658</v>
      </c>
      <c r="D7425" t="s">
        <v>746</v>
      </c>
      <c r="E7425" t="s">
        <v>769</v>
      </c>
      <c r="F7425">
        <v>4</v>
      </c>
      <c r="G7425" s="308">
        <f>COMEDORES!K258</f>
        <v>0</v>
      </c>
      <c r="H7425" s="308">
        <f>COMEDORES!L258</f>
        <v>0</v>
      </c>
    </row>
    <row r="7426" spans="1:8" x14ac:dyDescent="0.3">
      <c r="A7426" t="s">
        <v>628</v>
      </c>
      <c r="B7426" t="s">
        <v>246</v>
      </c>
      <c r="C7426" t="s">
        <v>658</v>
      </c>
      <c r="D7426" t="s">
        <v>746</v>
      </c>
      <c r="E7426" t="s">
        <v>770</v>
      </c>
      <c r="F7426">
        <v>5</v>
      </c>
      <c r="G7426" s="308">
        <f>COMEDORES!M258</f>
        <v>0</v>
      </c>
      <c r="H7426" s="308">
        <f>COMEDORES!N258</f>
        <v>0</v>
      </c>
    </row>
    <row r="7427" spans="1:8" x14ac:dyDescent="0.3">
      <c r="A7427" t="s">
        <v>628</v>
      </c>
      <c r="B7427" t="s">
        <v>246</v>
      </c>
      <c r="C7427" t="s">
        <v>658</v>
      </c>
      <c r="D7427" t="s">
        <v>746</v>
      </c>
      <c r="E7427" t="s">
        <v>771</v>
      </c>
      <c r="F7427">
        <v>6</v>
      </c>
      <c r="G7427" s="308">
        <f>COMEDORES!O258</f>
        <v>0</v>
      </c>
      <c r="H7427" s="308">
        <f>COMEDORES!P258</f>
        <v>0</v>
      </c>
    </row>
    <row r="7428" spans="1:8" x14ac:dyDescent="0.3">
      <c r="A7428" t="s">
        <v>628</v>
      </c>
      <c r="B7428" t="s">
        <v>246</v>
      </c>
      <c r="C7428" t="s">
        <v>658</v>
      </c>
      <c r="D7428" t="s">
        <v>746</v>
      </c>
      <c r="E7428" t="s">
        <v>772</v>
      </c>
      <c r="F7428">
        <v>7</v>
      </c>
      <c r="G7428" s="308">
        <f>COMEDORES!Q258</f>
        <v>3000</v>
      </c>
      <c r="H7428" s="308">
        <f>COMEDORES!R258</f>
        <v>0</v>
      </c>
    </row>
    <row r="7429" spans="1:8" x14ac:dyDescent="0.3">
      <c r="A7429" t="s">
        <v>628</v>
      </c>
      <c r="B7429" t="s">
        <v>246</v>
      </c>
      <c r="C7429" t="s">
        <v>408</v>
      </c>
      <c r="D7429" t="s">
        <v>745</v>
      </c>
      <c r="E7429" t="s">
        <v>766</v>
      </c>
      <c r="F7429">
        <v>1</v>
      </c>
      <c r="G7429" s="308">
        <f>COMEDORES!E259</f>
        <v>2629</v>
      </c>
      <c r="H7429" s="308">
        <f>COMEDORES!F259</f>
        <v>0</v>
      </c>
    </row>
    <row r="7430" spans="1:8" x14ac:dyDescent="0.3">
      <c r="A7430" t="s">
        <v>628</v>
      </c>
      <c r="B7430" t="s">
        <v>246</v>
      </c>
      <c r="C7430" t="s">
        <v>408</v>
      </c>
      <c r="D7430" t="s">
        <v>745</v>
      </c>
      <c r="E7430" t="s">
        <v>767</v>
      </c>
      <c r="F7430">
        <v>2</v>
      </c>
      <c r="G7430" s="308">
        <f>COMEDORES!G259</f>
        <v>3000</v>
      </c>
      <c r="H7430" s="308">
        <f>COMEDORES!H259</f>
        <v>0</v>
      </c>
    </row>
    <row r="7431" spans="1:8" x14ac:dyDescent="0.3">
      <c r="A7431" t="s">
        <v>628</v>
      </c>
      <c r="B7431" t="s">
        <v>246</v>
      </c>
      <c r="C7431" t="s">
        <v>408</v>
      </c>
      <c r="D7431" t="s">
        <v>745</v>
      </c>
      <c r="E7431" t="s">
        <v>768</v>
      </c>
      <c r="F7431">
        <v>3</v>
      </c>
      <c r="G7431" s="308">
        <f>COMEDORES!I259</f>
        <v>3300</v>
      </c>
      <c r="H7431" s="308">
        <f>COMEDORES!J259</f>
        <v>427946.61</v>
      </c>
    </row>
    <row r="7432" spans="1:8" x14ac:dyDescent="0.3">
      <c r="A7432" t="s">
        <v>628</v>
      </c>
      <c r="B7432" t="s">
        <v>246</v>
      </c>
      <c r="C7432" t="s">
        <v>408</v>
      </c>
      <c r="D7432" t="s">
        <v>745</v>
      </c>
      <c r="E7432" t="s">
        <v>769</v>
      </c>
      <c r="F7432">
        <v>4</v>
      </c>
      <c r="G7432" s="308">
        <f>COMEDORES!K259</f>
        <v>2850</v>
      </c>
      <c r="H7432" s="308">
        <f>COMEDORES!L259</f>
        <v>244726.05000000005</v>
      </c>
    </row>
    <row r="7433" spans="1:8" x14ac:dyDescent="0.3">
      <c r="A7433" t="s">
        <v>628</v>
      </c>
      <c r="B7433" t="s">
        <v>246</v>
      </c>
      <c r="C7433" t="s">
        <v>408</v>
      </c>
      <c r="D7433" t="s">
        <v>745</v>
      </c>
      <c r="E7433" t="s">
        <v>770</v>
      </c>
      <c r="F7433">
        <v>5</v>
      </c>
      <c r="G7433" s="308">
        <f>COMEDORES!M259</f>
        <v>3000</v>
      </c>
      <c r="H7433" s="308">
        <f>COMEDORES!N259</f>
        <v>211726.5</v>
      </c>
    </row>
    <row r="7434" spans="1:8" x14ac:dyDescent="0.3">
      <c r="A7434" t="s">
        <v>628</v>
      </c>
      <c r="B7434" t="s">
        <v>246</v>
      </c>
      <c r="C7434" t="s">
        <v>408</v>
      </c>
      <c r="D7434" t="s">
        <v>745</v>
      </c>
      <c r="E7434" t="s">
        <v>771</v>
      </c>
      <c r="F7434">
        <v>6</v>
      </c>
      <c r="G7434" s="308">
        <f>COMEDORES!O259</f>
        <v>3150</v>
      </c>
      <c r="H7434" s="308">
        <f>COMEDORES!P259</f>
        <v>222869.99999999988</v>
      </c>
    </row>
    <row r="7435" spans="1:8" x14ac:dyDescent="0.3">
      <c r="A7435" t="s">
        <v>628</v>
      </c>
      <c r="B7435" t="s">
        <v>246</v>
      </c>
      <c r="C7435" t="s">
        <v>408</v>
      </c>
      <c r="D7435" t="s">
        <v>745</v>
      </c>
      <c r="E7435" t="s">
        <v>772</v>
      </c>
      <c r="F7435">
        <v>7</v>
      </c>
      <c r="G7435" s="308">
        <f>COMEDORES!Q259</f>
        <v>3450</v>
      </c>
      <c r="H7435" s="308">
        <f>COMEDORES!R259</f>
        <v>234013.5</v>
      </c>
    </row>
    <row r="7436" spans="1:8" x14ac:dyDescent="0.3">
      <c r="A7436" t="s">
        <v>628</v>
      </c>
      <c r="B7436" t="s">
        <v>246</v>
      </c>
      <c r="C7436" t="s">
        <v>408</v>
      </c>
      <c r="D7436" t="s">
        <v>746</v>
      </c>
      <c r="E7436" t="s">
        <v>766</v>
      </c>
      <c r="F7436">
        <v>1</v>
      </c>
      <c r="G7436" s="308">
        <f>COMEDORES!E260</f>
        <v>3800</v>
      </c>
      <c r="H7436" s="308">
        <f>COMEDORES!F260</f>
        <v>0</v>
      </c>
    </row>
    <row r="7437" spans="1:8" x14ac:dyDescent="0.3">
      <c r="A7437" t="s">
        <v>628</v>
      </c>
      <c r="B7437" t="s">
        <v>246</v>
      </c>
      <c r="C7437" t="s">
        <v>408</v>
      </c>
      <c r="D7437" t="s">
        <v>746</v>
      </c>
      <c r="E7437" t="s">
        <v>767</v>
      </c>
      <c r="F7437">
        <v>2</v>
      </c>
      <c r="G7437" s="308">
        <f>COMEDORES!G260</f>
        <v>4000</v>
      </c>
      <c r="H7437" s="308">
        <f>COMEDORES!H260</f>
        <v>0</v>
      </c>
    </row>
    <row r="7438" spans="1:8" x14ac:dyDescent="0.3">
      <c r="A7438" t="s">
        <v>628</v>
      </c>
      <c r="B7438" t="s">
        <v>246</v>
      </c>
      <c r="C7438" t="s">
        <v>408</v>
      </c>
      <c r="D7438" t="s">
        <v>746</v>
      </c>
      <c r="E7438" t="s">
        <v>768</v>
      </c>
      <c r="F7438">
        <v>3</v>
      </c>
      <c r="G7438" s="308">
        <f>COMEDORES!I260</f>
        <v>4400</v>
      </c>
      <c r="H7438" s="308">
        <f>COMEDORES!J260</f>
        <v>0</v>
      </c>
    </row>
    <row r="7439" spans="1:8" x14ac:dyDescent="0.3">
      <c r="A7439" t="s">
        <v>628</v>
      </c>
      <c r="B7439" t="s">
        <v>246</v>
      </c>
      <c r="C7439" t="s">
        <v>408</v>
      </c>
      <c r="D7439" t="s">
        <v>746</v>
      </c>
      <c r="E7439" t="s">
        <v>769</v>
      </c>
      <c r="F7439">
        <v>4</v>
      </c>
      <c r="G7439" s="308">
        <f>COMEDORES!K260</f>
        <v>3800</v>
      </c>
      <c r="H7439" s="308">
        <f>COMEDORES!L260</f>
        <v>0</v>
      </c>
    </row>
    <row r="7440" spans="1:8" x14ac:dyDescent="0.3">
      <c r="A7440" t="s">
        <v>628</v>
      </c>
      <c r="B7440" t="s">
        <v>246</v>
      </c>
      <c r="C7440" t="s">
        <v>408</v>
      </c>
      <c r="D7440" t="s">
        <v>746</v>
      </c>
      <c r="E7440" t="s">
        <v>770</v>
      </c>
      <c r="F7440">
        <v>5</v>
      </c>
      <c r="G7440" s="308">
        <f>COMEDORES!M260</f>
        <v>4000</v>
      </c>
      <c r="H7440" s="308">
        <f>COMEDORES!N260</f>
        <v>0</v>
      </c>
    </row>
    <row r="7441" spans="1:8" x14ac:dyDescent="0.3">
      <c r="A7441" t="s">
        <v>628</v>
      </c>
      <c r="B7441" t="s">
        <v>246</v>
      </c>
      <c r="C7441" t="s">
        <v>408</v>
      </c>
      <c r="D7441" t="s">
        <v>746</v>
      </c>
      <c r="E7441" t="s">
        <v>771</v>
      </c>
      <c r="F7441">
        <v>6</v>
      </c>
      <c r="G7441" s="308">
        <f>COMEDORES!O260</f>
        <v>4200</v>
      </c>
      <c r="H7441" s="308">
        <f>COMEDORES!P260</f>
        <v>0</v>
      </c>
    </row>
    <row r="7442" spans="1:8" x14ac:dyDescent="0.3">
      <c r="A7442" t="s">
        <v>628</v>
      </c>
      <c r="B7442" t="s">
        <v>246</v>
      </c>
      <c r="C7442" t="s">
        <v>408</v>
      </c>
      <c r="D7442" t="s">
        <v>746</v>
      </c>
      <c r="E7442" t="s">
        <v>772</v>
      </c>
      <c r="F7442">
        <v>7</v>
      </c>
      <c r="G7442" s="308">
        <f>COMEDORES!Q260</f>
        <v>4600</v>
      </c>
      <c r="H7442" s="308">
        <f>COMEDORES!R260</f>
        <v>0</v>
      </c>
    </row>
    <row r="7443" spans="1:8" x14ac:dyDescent="0.3">
      <c r="A7443" t="s">
        <v>628</v>
      </c>
      <c r="B7443" t="s">
        <v>263</v>
      </c>
      <c r="C7443" t="s">
        <v>267</v>
      </c>
      <c r="D7443" t="s">
        <v>745</v>
      </c>
      <c r="E7443" t="s">
        <v>766</v>
      </c>
      <c r="F7443">
        <v>1</v>
      </c>
      <c r="G7443" s="308">
        <f>COMEDORES!E261</f>
        <v>1080</v>
      </c>
      <c r="H7443" s="308">
        <f>COMEDORES!F261</f>
        <v>0</v>
      </c>
    </row>
    <row r="7444" spans="1:8" x14ac:dyDescent="0.3">
      <c r="A7444" t="s">
        <v>628</v>
      </c>
      <c r="B7444" t="s">
        <v>263</v>
      </c>
      <c r="C7444" t="s">
        <v>267</v>
      </c>
      <c r="D7444" t="s">
        <v>745</v>
      </c>
      <c r="E7444" t="s">
        <v>767</v>
      </c>
      <c r="F7444">
        <v>2</v>
      </c>
      <c r="G7444" s="308">
        <f>COMEDORES!G261</f>
        <v>1200</v>
      </c>
      <c r="H7444" s="308">
        <f>COMEDORES!H261</f>
        <v>0</v>
      </c>
    </row>
    <row r="7445" spans="1:8" x14ac:dyDescent="0.3">
      <c r="A7445" t="s">
        <v>628</v>
      </c>
      <c r="B7445" t="s">
        <v>263</v>
      </c>
      <c r="C7445" t="s">
        <v>267</v>
      </c>
      <c r="D7445" t="s">
        <v>745</v>
      </c>
      <c r="E7445" t="s">
        <v>768</v>
      </c>
      <c r="F7445">
        <v>3</v>
      </c>
      <c r="G7445" s="308">
        <f>COMEDORES!I261</f>
        <v>1320</v>
      </c>
      <c r="H7445" s="308">
        <f>COMEDORES!J261</f>
        <v>252781.2</v>
      </c>
    </row>
    <row r="7446" spans="1:8" x14ac:dyDescent="0.3">
      <c r="A7446" t="s">
        <v>628</v>
      </c>
      <c r="B7446" t="s">
        <v>263</v>
      </c>
      <c r="C7446" t="s">
        <v>267</v>
      </c>
      <c r="D7446" t="s">
        <v>745</v>
      </c>
      <c r="E7446" t="s">
        <v>769</v>
      </c>
      <c r="F7446">
        <v>4</v>
      </c>
      <c r="G7446" s="308">
        <f>COMEDORES!K261</f>
        <v>1140</v>
      </c>
      <c r="H7446" s="308">
        <f>COMEDORES!L261</f>
        <v>143712.79999999999</v>
      </c>
    </row>
    <row r="7447" spans="1:8" x14ac:dyDescent="0.3">
      <c r="A7447" t="s">
        <v>628</v>
      </c>
      <c r="B7447" t="s">
        <v>263</v>
      </c>
      <c r="C7447" t="s">
        <v>267</v>
      </c>
      <c r="D7447" t="s">
        <v>745</v>
      </c>
      <c r="E7447" t="s">
        <v>770</v>
      </c>
      <c r="F7447">
        <v>5</v>
      </c>
      <c r="G7447" s="308">
        <f>COMEDORES!M261</f>
        <v>1200</v>
      </c>
      <c r="H7447" s="308">
        <f>COMEDORES!N261</f>
        <v>124115.6</v>
      </c>
    </row>
    <row r="7448" spans="1:8" x14ac:dyDescent="0.3">
      <c r="A7448" t="s">
        <v>628</v>
      </c>
      <c r="B7448" t="s">
        <v>263</v>
      </c>
      <c r="C7448" t="s">
        <v>267</v>
      </c>
      <c r="D7448" t="s">
        <v>745</v>
      </c>
      <c r="E7448" t="s">
        <v>771</v>
      </c>
      <c r="F7448">
        <v>6</v>
      </c>
      <c r="G7448" s="308">
        <f>COMEDORES!O261</f>
        <v>1260</v>
      </c>
      <c r="H7448" s="308">
        <f>COMEDORES!P261</f>
        <v>130648</v>
      </c>
    </row>
    <row r="7449" spans="1:8" x14ac:dyDescent="0.3">
      <c r="A7449" t="s">
        <v>628</v>
      </c>
      <c r="B7449" t="s">
        <v>263</v>
      </c>
      <c r="C7449" t="s">
        <v>267</v>
      </c>
      <c r="D7449" t="s">
        <v>745</v>
      </c>
      <c r="E7449" t="s">
        <v>772</v>
      </c>
      <c r="F7449">
        <v>7</v>
      </c>
      <c r="G7449" s="308">
        <f>COMEDORES!Q261</f>
        <v>1380</v>
      </c>
      <c r="H7449" s="308">
        <f>COMEDORES!R261</f>
        <v>137180.39999999991</v>
      </c>
    </row>
    <row r="7450" spans="1:8" x14ac:dyDescent="0.3">
      <c r="A7450" t="s">
        <v>628</v>
      </c>
      <c r="B7450" t="s">
        <v>263</v>
      </c>
      <c r="C7450" t="s">
        <v>267</v>
      </c>
      <c r="D7450" t="s">
        <v>746</v>
      </c>
      <c r="E7450" t="s">
        <v>766</v>
      </c>
      <c r="F7450">
        <v>1</v>
      </c>
      <c r="G7450" s="308">
        <f>COMEDORES!E262</f>
        <v>2375</v>
      </c>
      <c r="H7450" s="308">
        <f>COMEDORES!F262</f>
        <v>0</v>
      </c>
    </row>
    <row r="7451" spans="1:8" x14ac:dyDescent="0.3">
      <c r="A7451" t="s">
        <v>628</v>
      </c>
      <c r="B7451" t="s">
        <v>263</v>
      </c>
      <c r="C7451" t="s">
        <v>267</v>
      </c>
      <c r="D7451" t="s">
        <v>746</v>
      </c>
      <c r="E7451" t="s">
        <v>767</v>
      </c>
      <c r="F7451">
        <v>2</v>
      </c>
      <c r="G7451" s="308">
        <f>COMEDORES!G262</f>
        <v>2500</v>
      </c>
      <c r="H7451" s="308">
        <f>COMEDORES!H262</f>
        <v>0</v>
      </c>
    </row>
    <row r="7452" spans="1:8" x14ac:dyDescent="0.3">
      <c r="A7452" t="s">
        <v>628</v>
      </c>
      <c r="B7452" t="s">
        <v>263</v>
      </c>
      <c r="C7452" t="s">
        <v>267</v>
      </c>
      <c r="D7452" t="s">
        <v>746</v>
      </c>
      <c r="E7452" t="s">
        <v>768</v>
      </c>
      <c r="F7452">
        <v>3</v>
      </c>
      <c r="G7452" s="308">
        <f>COMEDORES!I262</f>
        <v>2750</v>
      </c>
      <c r="H7452" s="308">
        <f>COMEDORES!J262</f>
        <v>0</v>
      </c>
    </row>
    <row r="7453" spans="1:8" x14ac:dyDescent="0.3">
      <c r="A7453" t="s">
        <v>628</v>
      </c>
      <c r="B7453" t="s">
        <v>263</v>
      </c>
      <c r="C7453" t="s">
        <v>267</v>
      </c>
      <c r="D7453" t="s">
        <v>746</v>
      </c>
      <c r="E7453" t="s">
        <v>769</v>
      </c>
      <c r="F7453">
        <v>4</v>
      </c>
      <c r="G7453" s="308">
        <f>COMEDORES!K262</f>
        <v>2375</v>
      </c>
      <c r="H7453" s="308">
        <f>COMEDORES!L262</f>
        <v>0</v>
      </c>
    </row>
    <row r="7454" spans="1:8" x14ac:dyDescent="0.3">
      <c r="A7454" t="s">
        <v>628</v>
      </c>
      <c r="B7454" t="s">
        <v>263</v>
      </c>
      <c r="C7454" t="s">
        <v>267</v>
      </c>
      <c r="D7454" t="s">
        <v>746</v>
      </c>
      <c r="E7454" t="s">
        <v>770</v>
      </c>
      <c r="F7454">
        <v>5</v>
      </c>
      <c r="G7454" s="308">
        <f>COMEDORES!M262</f>
        <v>2500</v>
      </c>
      <c r="H7454" s="308">
        <f>COMEDORES!N262</f>
        <v>0</v>
      </c>
    </row>
    <row r="7455" spans="1:8" x14ac:dyDescent="0.3">
      <c r="A7455" t="s">
        <v>628</v>
      </c>
      <c r="B7455" t="s">
        <v>263</v>
      </c>
      <c r="C7455" t="s">
        <v>267</v>
      </c>
      <c r="D7455" t="s">
        <v>746</v>
      </c>
      <c r="E7455" t="s">
        <v>771</v>
      </c>
      <c r="F7455">
        <v>6</v>
      </c>
      <c r="G7455" s="308">
        <f>COMEDORES!O262</f>
        <v>2625</v>
      </c>
      <c r="H7455" s="308">
        <f>COMEDORES!P262</f>
        <v>0</v>
      </c>
    </row>
    <row r="7456" spans="1:8" x14ac:dyDescent="0.3">
      <c r="A7456" t="s">
        <v>628</v>
      </c>
      <c r="B7456" t="s">
        <v>263</v>
      </c>
      <c r="C7456" t="s">
        <v>267</v>
      </c>
      <c r="D7456" t="s">
        <v>746</v>
      </c>
      <c r="E7456" t="s">
        <v>772</v>
      </c>
      <c r="F7456">
        <v>7</v>
      </c>
      <c r="G7456" s="308">
        <f>COMEDORES!Q262</f>
        <v>2875</v>
      </c>
      <c r="H7456" s="308">
        <f>COMEDORES!R262</f>
        <v>0</v>
      </c>
    </row>
    <row r="7457" spans="1:8" x14ac:dyDescent="0.3">
      <c r="A7457" t="s">
        <v>628</v>
      </c>
      <c r="B7457" t="s">
        <v>263</v>
      </c>
      <c r="C7457" t="s">
        <v>271</v>
      </c>
      <c r="D7457" t="s">
        <v>745</v>
      </c>
      <c r="E7457" t="s">
        <v>766</v>
      </c>
      <c r="F7457">
        <v>1</v>
      </c>
      <c r="G7457" s="308">
        <f>COMEDORES!E263</f>
        <v>0</v>
      </c>
      <c r="H7457" s="308">
        <f>COMEDORES!F263</f>
        <v>0</v>
      </c>
    </row>
    <row r="7458" spans="1:8" x14ac:dyDescent="0.3">
      <c r="A7458" t="s">
        <v>628</v>
      </c>
      <c r="B7458" t="s">
        <v>263</v>
      </c>
      <c r="C7458" t="s">
        <v>271</v>
      </c>
      <c r="D7458" t="s">
        <v>745</v>
      </c>
      <c r="E7458" t="s">
        <v>767</v>
      </c>
      <c r="F7458">
        <v>2</v>
      </c>
      <c r="G7458" s="308">
        <f>COMEDORES!G263</f>
        <v>0</v>
      </c>
      <c r="H7458" s="308">
        <f>COMEDORES!H263</f>
        <v>0</v>
      </c>
    </row>
    <row r="7459" spans="1:8" x14ac:dyDescent="0.3">
      <c r="A7459" t="s">
        <v>628</v>
      </c>
      <c r="B7459" t="s">
        <v>263</v>
      </c>
      <c r="C7459" t="s">
        <v>271</v>
      </c>
      <c r="D7459" t="s">
        <v>745</v>
      </c>
      <c r="E7459" t="s">
        <v>768</v>
      </c>
      <c r="F7459">
        <v>3</v>
      </c>
      <c r="G7459" s="308">
        <f>COMEDORES!I263</f>
        <v>0</v>
      </c>
      <c r="H7459" s="308">
        <f>COMEDORES!J263</f>
        <v>0</v>
      </c>
    </row>
    <row r="7460" spans="1:8" x14ac:dyDescent="0.3">
      <c r="A7460" t="s">
        <v>628</v>
      </c>
      <c r="B7460" t="s">
        <v>263</v>
      </c>
      <c r="C7460" t="s">
        <v>271</v>
      </c>
      <c r="D7460" t="s">
        <v>745</v>
      </c>
      <c r="E7460" t="s">
        <v>769</v>
      </c>
      <c r="F7460">
        <v>4</v>
      </c>
      <c r="G7460" s="308">
        <f>COMEDORES!K263</f>
        <v>900</v>
      </c>
      <c r="H7460" s="308">
        <f>COMEDORES!L263</f>
        <v>0</v>
      </c>
    </row>
    <row r="7461" spans="1:8" x14ac:dyDescent="0.3">
      <c r="A7461" t="s">
        <v>628</v>
      </c>
      <c r="B7461" t="s">
        <v>263</v>
      </c>
      <c r="C7461" t="s">
        <v>271</v>
      </c>
      <c r="D7461" t="s">
        <v>745</v>
      </c>
      <c r="E7461" t="s">
        <v>770</v>
      </c>
      <c r="F7461">
        <v>5</v>
      </c>
      <c r="G7461" s="308">
        <f>COMEDORES!M263</f>
        <v>2000</v>
      </c>
      <c r="H7461" s="308">
        <f>COMEDORES!N263</f>
        <v>78876</v>
      </c>
    </row>
    <row r="7462" spans="1:8" x14ac:dyDescent="0.3">
      <c r="A7462" t="s">
        <v>628</v>
      </c>
      <c r="B7462" t="s">
        <v>263</v>
      </c>
      <c r="C7462" t="s">
        <v>271</v>
      </c>
      <c r="D7462" t="s">
        <v>745</v>
      </c>
      <c r="E7462" t="s">
        <v>771</v>
      </c>
      <c r="F7462">
        <v>6</v>
      </c>
      <c r="G7462" s="308">
        <f>COMEDORES!O263</f>
        <v>2100</v>
      </c>
      <c r="H7462" s="308">
        <f>COMEDORES!P263</f>
        <v>175280</v>
      </c>
    </row>
    <row r="7463" spans="1:8" x14ac:dyDescent="0.3">
      <c r="A7463" t="s">
        <v>628</v>
      </c>
      <c r="B7463" t="s">
        <v>263</v>
      </c>
      <c r="C7463" t="s">
        <v>271</v>
      </c>
      <c r="D7463" t="s">
        <v>745</v>
      </c>
      <c r="E7463" t="s">
        <v>772</v>
      </c>
      <c r="F7463">
        <v>7</v>
      </c>
      <c r="G7463" s="308">
        <f>COMEDORES!Q263</f>
        <v>2300</v>
      </c>
      <c r="H7463" s="308">
        <f>COMEDORES!R263</f>
        <v>184044</v>
      </c>
    </row>
    <row r="7464" spans="1:8" x14ac:dyDescent="0.3">
      <c r="A7464" t="s">
        <v>628</v>
      </c>
      <c r="B7464" t="s">
        <v>263</v>
      </c>
      <c r="C7464" t="s">
        <v>271</v>
      </c>
      <c r="D7464" t="s">
        <v>746</v>
      </c>
      <c r="E7464" t="s">
        <v>766</v>
      </c>
      <c r="F7464">
        <v>1</v>
      </c>
      <c r="G7464" s="308">
        <f>COMEDORES!E264</f>
        <v>0</v>
      </c>
      <c r="H7464" s="308">
        <f>COMEDORES!F264</f>
        <v>0</v>
      </c>
    </row>
    <row r="7465" spans="1:8" x14ac:dyDescent="0.3">
      <c r="A7465" t="s">
        <v>628</v>
      </c>
      <c r="B7465" t="s">
        <v>263</v>
      </c>
      <c r="C7465" t="s">
        <v>271</v>
      </c>
      <c r="D7465" t="s">
        <v>746</v>
      </c>
      <c r="E7465" t="s">
        <v>767</v>
      </c>
      <c r="F7465">
        <v>2</v>
      </c>
      <c r="G7465" s="308">
        <f>COMEDORES!G264</f>
        <v>0</v>
      </c>
      <c r="H7465" s="308">
        <f>COMEDORES!H264</f>
        <v>0</v>
      </c>
    </row>
    <row r="7466" spans="1:8" x14ac:dyDescent="0.3">
      <c r="A7466" t="s">
        <v>628</v>
      </c>
      <c r="B7466" t="s">
        <v>263</v>
      </c>
      <c r="C7466" t="s">
        <v>271</v>
      </c>
      <c r="D7466" t="s">
        <v>746</v>
      </c>
      <c r="E7466" t="s">
        <v>768</v>
      </c>
      <c r="F7466">
        <v>3</v>
      </c>
      <c r="G7466" s="308">
        <f>COMEDORES!I264</f>
        <v>0</v>
      </c>
      <c r="H7466" s="308">
        <f>COMEDORES!J264</f>
        <v>0</v>
      </c>
    </row>
    <row r="7467" spans="1:8" x14ac:dyDescent="0.3">
      <c r="A7467" t="s">
        <v>628</v>
      </c>
      <c r="B7467" t="s">
        <v>263</v>
      </c>
      <c r="C7467" t="s">
        <v>271</v>
      </c>
      <c r="D7467" t="s">
        <v>746</v>
      </c>
      <c r="E7467" t="s">
        <v>769</v>
      </c>
      <c r="F7467">
        <v>4</v>
      </c>
      <c r="G7467" s="308">
        <f>COMEDORES!K264</f>
        <v>1350</v>
      </c>
      <c r="H7467" s="308">
        <f>COMEDORES!L264</f>
        <v>0</v>
      </c>
    </row>
    <row r="7468" spans="1:8" x14ac:dyDescent="0.3">
      <c r="A7468" t="s">
        <v>628</v>
      </c>
      <c r="B7468" t="s">
        <v>263</v>
      </c>
      <c r="C7468" t="s">
        <v>271</v>
      </c>
      <c r="D7468" t="s">
        <v>746</v>
      </c>
      <c r="E7468" t="s">
        <v>770</v>
      </c>
      <c r="F7468">
        <v>5</v>
      </c>
      <c r="G7468" s="308">
        <f>COMEDORES!M264</f>
        <v>3000</v>
      </c>
      <c r="H7468" s="308">
        <f>COMEDORES!N264</f>
        <v>0</v>
      </c>
    </row>
    <row r="7469" spans="1:8" x14ac:dyDescent="0.3">
      <c r="A7469" t="s">
        <v>628</v>
      </c>
      <c r="B7469" t="s">
        <v>263</v>
      </c>
      <c r="C7469" t="s">
        <v>271</v>
      </c>
      <c r="D7469" t="s">
        <v>746</v>
      </c>
      <c r="E7469" t="s">
        <v>771</v>
      </c>
      <c r="F7469">
        <v>6</v>
      </c>
      <c r="G7469" s="308">
        <f>COMEDORES!O264</f>
        <v>3150</v>
      </c>
      <c r="H7469" s="308">
        <f>COMEDORES!P264</f>
        <v>0</v>
      </c>
    </row>
    <row r="7470" spans="1:8" x14ac:dyDescent="0.3">
      <c r="A7470" t="s">
        <v>628</v>
      </c>
      <c r="B7470" t="s">
        <v>263</v>
      </c>
      <c r="C7470" t="s">
        <v>271</v>
      </c>
      <c r="D7470" t="s">
        <v>746</v>
      </c>
      <c r="E7470" t="s">
        <v>772</v>
      </c>
      <c r="F7470">
        <v>7</v>
      </c>
      <c r="G7470" s="308">
        <f>COMEDORES!Q264</f>
        <v>3436</v>
      </c>
      <c r="H7470" s="308">
        <f>COMEDORES!R264</f>
        <v>0</v>
      </c>
    </row>
    <row r="7471" spans="1:8" x14ac:dyDescent="0.3">
      <c r="A7471" t="s">
        <v>628</v>
      </c>
      <c r="B7471" t="s">
        <v>263</v>
      </c>
      <c r="C7471" t="s">
        <v>273</v>
      </c>
      <c r="D7471" t="s">
        <v>745</v>
      </c>
      <c r="E7471" t="s">
        <v>766</v>
      </c>
      <c r="F7471">
        <v>1</v>
      </c>
      <c r="G7471" s="308">
        <f>COMEDORES!E265</f>
        <v>1800</v>
      </c>
      <c r="H7471" s="308">
        <f>COMEDORES!F265</f>
        <v>0</v>
      </c>
    </row>
    <row r="7472" spans="1:8" x14ac:dyDescent="0.3">
      <c r="A7472" t="s">
        <v>628</v>
      </c>
      <c r="B7472" t="s">
        <v>263</v>
      </c>
      <c r="C7472" t="s">
        <v>273</v>
      </c>
      <c r="D7472" t="s">
        <v>745</v>
      </c>
      <c r="E7472" t="s">
        <v>767</v>
      </c>
      <c r="F7472">
        <v>2</v>
      </c>
      <c r="G7472" s="308">
        <f>COMEDORES!G265</f>
        <v>2000</v>
      </c>
      <c r="H7472" s="308">
        <f>COMEDORES!H265</f>
        <v>0</v>
      </c>
    </row>
    <row r="7473" spans="1:8" x14ac:dyDescent="0.3">
      <c r="A7473" t="s">
        <v>628</v>
      </c>
      <c r="B7473" t="s">
        <v>263</v>
      </c>
      <c r="C7473" t="s">
        <v>273</v>
      </c>
      <c r="D7473" t="s">
        <v>745</v>
      </c>
      <c r="E7473" t="s">
        <v>768</v>
      </c>
      <c r="F7473">
        <v>3</v>
      </c>
      <c r="G7473" s="308">
        <f>COMEDORES!I265</f>
        <v>2200</v>
      </c>
      <c r="H7473" s="308">
        <f>COMEDORES!J265</f>
        <v>338492</v>
      </c>
    </row>
    <row r="7474" spans="1:8" x14ac:dyDescent="0.3">
      <c r="A7474" t="s">
        <v>628</v>
      </c>
      <c r="B7474" t="s">
        <v>263</v>
      </c>
      <c r="C7474" t="s">
        <v>273</v>
      </c>
      <c r="D7474" t="s">
        <v>745</v>
      </c>
      <c r="E7474" t="s">
        <v>769</v>
      </c>
      <c r="F7474">
        <v>4</v>
      </c>
      <c r="G7474" s="308">
        <f>COMEDORES!K265</f>
        <v>1000</v>
      </c>
      <c r="H7474" s="308">
        <f>COMEDORES!L265</f>
        <v>187348</v>
      </c>
    </row>
    <row r="7475" spans="1:8" x14ac:dyDescent="0.3">
      <c r="A7475" t="s">
        <v>628</v>
      </c>
      <c r="B7475" t="s">
        <v>263</v>
      </c>
      <c r="C7475" t="s">
        <v>273</v>
      </c>
      <c r="D7475" t="s">
        <v>745</v>
      </c>
      <c r="E7475" t="s">
        <v>770</v>
      </c>
      <c r="F7475">
        <v>5</v>
      </c>
      <c r="G7475" s="308">
        <f>COMEDORES!M265</f>
        <v>0</v>
      </c>
      <c r="H7475" s="308">
        <f>COMEDORES!N265</f>
        <v>82180</v>
      </c>
    </row>
    <row r="7476" spans="1:8" x14ac:dyDescent="0.3">
      <c r="A7476" t="s">
        <v>628</v>
      </c>
      <c r="B7476" t="s">
        <v>263</v>
      </c>
      <c r="C7476" t="s">
        <v>273</v>
      </c>
      <c r="D7476" t="s">
        <v>745</v>
      </c>
      <c r="E7476" t="s">
        <v>771</v>
      </c>
      <c r="F7476">
        <v>6</v>
      </c>
      <c r="G7476" s="308">
        <f>COMEDORES!O265</f>
        <v>0</v>
      </c>
      <c r="H7476" s="308">
        <f>COMEDORES!P265</f>
        <v>0</v>
      </c>
    </row>
    <row r="7477" spans="1:8" x14ac:dyDescent="0.3">
      <c r="A7477" t="s">
        <v>628</v>
      </c>
      <c r="B7477" t="s">
        <v>263</v>
      </c>
      <c r="C7477" t="s">
        <v>273</v>
      </c>
      <c r="D7477" t="s">
        <v>745</v>
      </c>
      <c r="E7477" t="s">
        <v>772</v>
      </c>
      <c r="F7477">
        <v>7</v>
      </c>
      <c r="G7477" s="308">
        <f>COMEDORES!Q265</f>
        <v>0</v>
      </c>
      <c r="H7477" s="308">
        <f>COMEDORES!R265</f>
        <v>0</v>
      </c>
    </row>
    <row r="7478" spans="1:8" x14ac:dyDescent="0.3">
      <c r="A7478" t="s">
        <v>628</v>
      </c>
      <c r="B7478" t="s">
        <v>263</v>
      </c>
      <c r="C7478" t="s">
        <v>273</v>
      </c>
      <c r="D7478" t="s">
        <v>746</v>
      </c>
      <c r="E7478" t="s">
        <v>766</v>
      </c>
      <c r="F7478">
        <v>1</v>
      </c>
      <c r="G7478" s="308">
        <f>COMEDORES!E266</f>
        <v>2850</v>
      </c>
      <c r="H7478" s="308">
        <f>COMEDORES!F266</f>
        <v>0</v>
      </c>
    </row>
    <row r="7479" spans="1:8" x14ac:dyDescent="0.3">
      <c r="A7479" t="s">
        <v>628</v>
      </c>
      <c r="B7479" t="s">
        <v>263</v>
      </c>
      <c r="C7479" t="s">
        <v>273</v>
      </c>
      <c r="D7479" t="s">
        <v>746</v>
      </c>
      <c r="E7479" t="s">
        <v>767</v>
      </c>
      <c r="F7479">
        <v>2</v>
      </c>
      <c r="G7479" s="308">
        <f>COMEDORES!G266</f>
        <v>3000</v>
      </c>
      <c r="H7479" s="308">
        <f>COMEDORES!H266</f>
        <v>0</v>
      </c>
    </row>
    <row r="7480" spans="1:8" x14ac:dyDescent="0.3">
      <c r="A7480" t="s">
        <v>628</v>
      </c>
      <c r="B7480" t="s">
        <v>263</v>
      </c>
      <c r="C7480" t="s">
        <v>273</v>
      </c>
      <c r="D7480" t="s">
        <v>746</v>
      </c>
      <c r="E7480" t="s">
        <v>768</v>
      </c>
      <c r="F7480">
        <v>3</v>
      </c>
      <c r="G7480" s="308">
        <f>COMEDORES!I266</f>
        <v>3300</v>
      </c>
      <c r="H7480" s="308">
        <f>COMEDORES!J266</f>
        <v>0</v>
      </c>
    </row>
    <row r="7481" spans="1:8" x14ac:dyDescent="0.3">
      <c r="A7481" t="s">
        <v>628</v>
      </c>
      <c r="B7481" t="s">
        <v>263</v>
      </c>
      <c r="C7481" t="s">
        <v>273</v>
      </c>
      <c r="D7481" t="s">
        <v>746</v>
      </c>
      <c r="E7481" t="s">
        <v>769</v>
      </c>
      <c r="F7481">
        <v>4</v>
      </c>
      <c r="G7481" s="308">
        <f>COMEDORES!K266</f>
        <v>1350</v>
      </c>
      <c r="H7481" s="308">
        <f>COMEDORES!L266</f>
        <v>0</v>
      </c>
    </row>
    <row r="7482" spans="1:8" x14ac:dyDescent="0.3">
      <c r="A7482" t="s">
        <v>628</v>
      </c>
      <c r="B7482" t="s">
        <v>263</v>
      </c>
      <c r="C7482" t="s">
        <v>273</v>
      </c>
      <c r="D7482" t="s">
        <v>746</v>
      </c>
      <c r="E7482" t="s">
        <v>770</v>
      </c>
      <c r="F7482">
        <v>5</v>
      </c>
      <c r="G7482" s="308">
        <f>COMEDORES!M266</f>
        <v>0</v>
      </c>
      <c r="H7482" s="308">
        <f>COMEDORES!N266</f>
        <v>0</v>
      </c>
    </row>
    <row r="7483" spans="1:8" x14ac:dyDescent="0.3">
      <c r="A7483" t="s">
        <v>628</v>
      </c>
      <c r="B7483" t="s">
        <v>263</v>
      </c>
      <c r="C7483" t="s">
        <v>273</v>
      </c>
      <c r="D7483" t="s">
        <v>746</v>
      </c>
      <c r="E7483" t="s">
        <v>771</v>
      </c>
      <c r="F7483">
        <v>6</v>
      </c>
      <c r="G7483" s="308">
        <f>COMEDORES!O266</f>
        <v>0</v>
      </c>
      <c r="H7483" s="308">
        <f>COMEDORES!P266</f>
        <v>0</v>
      </c>
    </row>
    <row r="7484" spans="1:8" x14ac:dyDescent="0.3">
      <c r="A7484" t="s">
        <v>628</v>
      </c>
      <c r="B7484" t="s">
        <v>263</v>
      </c>
      <c r="C7484" t="s">
        <v>273</v>
      </c>
      <c r="D7484" t="s">
        <v>746</v>
      </c>
      <c r="E7484" t="s">
        <v>772</v>
      </c>
      <c r="F7484">
        <v>7</v>
      </c>
      <c r="G7484" s="308">
        <f>COMEDORES!Q266</f>
        <v>0</v>
      </c>
      <c r="H7484" s="308">
        <f>COMEDORES!R266</f>
        <v>0</v>
      </c>
    </row>
    <row r="7485" spans="1:8" x14ac:dyDescent="0.3">
      <c r="A7485" t="s">
        <v>628</v>
      </c>
      <c r="B7485" t="s">
        <v>263</v>
      </c>
      <c r="C7485" t="s">
        <v>274</v>
      </c>
      <c r="D7485" t="s">
        <v>745</v>
      </c>
      <c r="E7485" t="s">
        <v>766</v>
      </c>
      <c r="F7485">
        <v>1</v>
      </c>
      <c r="G7485" s="308">
        <f>COMEDORES!E267</f>
        <v>3600</v>
      </c>
      <c r="H7485" s="308">
        <f>COMEDORES!F267</f>
        <v>0</v>
      </c>
    </row>
    <row r="7486" spans="1:8" x14ac:dyDescent="0.3">
      <c r="A7486" t="s">
        <v>628</v>
      </c>
      <c r="B7486" t="s">
        <v>263</v>
      </c>
      <c r="C7486" t="s">
        <v>274</v>
      </c>
      <c r="D7486" t="s">
        <v>745</v>
      </c>
      <c r="E7486" t="s">
        <v>767</v>
      </c>
      <c r="F7486">
        <v>2</v>
      </c>
      <c r="G7486" s="308">
        <f>COMEDORES!G267</f>
        <v>4000</v>
      </c>
      <c r="H7486" s="308">
        <f>COMEDORES!H267</f>
        <v>0</v>
      </c>
    </row>
    <row r="7487" spans="1:8" x14ac:dyDescent="0.3">
      <c r="A7487" t="s">
        <v>628</v>
      </c>
      <c r="B7487" t="s">
        <v>263</v>
      </c>
      <c r="C7487" t="s">
        <v>274</v>
      </c>
      <c r="D7487" t="s">
        <v>745</v>
      </c>
      <c r="E7487" t="s">
        <v>768</v>
      </c>
      <c r="F7487">
        <v>3</v>
      </c>
      <c r="G7487" s="308">
        <f>COMEDORES!I267</f>
        <v>4400</v>
      </c>
      <c r="H7487" s="308">
        <f>COMEDORES!J267</f>
        <v>596904</v>
      </c>
    </row>
    <row r="7488" spans="1:8" x14ac:dyDescent="0.3">
      <c r="A7488" t="s">
        <v>628</v>
      </c>
      <c r="B7488" t="s">
        <v>263</v>
      </c>
      <c r="C7488" t="s">
        <v>274</v>
      </c>
      <c r="D7488" t="s">
        <v>745</v>
      </c>
      <c r="E7488" t="s">
        <v>769</v>
      </c>
      <c r="F7488">
        <v>4</v>
      </c>
      <c r="G7488" s="308">
        <f>COMEDORES!K267</f>
        <v>3800</v>
      </c>
      <c r="H7488" s="308">
        <f>COMEDORES!L267</f>
        <v>329868</v>
      </c>
    </row>
    <row r="7489" spans="1:8" x14ac:dyDescent="0.3">
      <c r="A7489" t="s">
        <v>628</v>
      </c>
      <c r="B7489" t="s">
        <v>263</v>
      </c>
      <c r="C7489" t="s">
        <v>274</v>
      </c>
      <c r="D7489" t="s">
        <v>745</v>
      </c>
      <c r="E7489" t="s">
        <v>770</v>
      </c>
      <c r="F7489">
        <v>5</v>
      </c>
      <c r="G7489" s="308">
        <f>COMEDORES!M267</f>
        <v>3800</v>
      </c>
      <c r="H7489" s="308">
        <f>COMEDORES!N267</f>
        <v>294994</v>
      </c>
    </row>
    <row r="7490" spans="1:8" x14ac:dyDescent="0.3">
      <c r="A7490" t="s">
        <v>628</v>
      </c>
      <c r="B7490" t="s">
        <v>263</v>
      </c>
      <c r="C7490" t="s">
        <v>274</v>
      </c>
      <c r="D7490" t="s">
        <v>745</v>
      </c>
      <c r="E7490" t="s">
        <v>771</v>
      </c>
      <c r="F7490">
        <v>6</v>
      </c>
      <c r="G7490" s="308">
        <f>COMEDORES!O267</f>
        <v>4185</v>
      </c>
      <c r="H7490" s="308">
        <f>COMEDORES!P267</f>
        <v>307552</v>
      </c>
    </row>
    <row r="7491" spans="1:8" x14ac:dyDescent="0.3">
      <c r="A7491" t="s">
        <v>628</v>
      </c>
      <c r="B7491" t="s">
        <v>263</v>
      </c>
      <c r="C7491" t="s">
        <v>274</v>
      </c>
      <c r="D7491" t="s">
        <v>745</v>
      </c>
      <c r="E7491" t="s">
        <v>772</v>
      </c>
      <c r="F7491">
        <v>7</v>
      </c>
      <c r="G7491" s="308">
        <f>COMEDORES!Q267</f>
        <v>4600</v>
      </c>
      <c r="H7491" s="308">
        <f>COMEDORES!R267</f>
        <v>329372.39999999991</v>
      </c>
    </row>
    <row r="7492" spans="1:8" x14ac:dyDescent="0.3">
      <c r="A7492" t="s">
        <v>628</v>
      </c>
      <c r="B7492" t="s">
        <v>263</v>
      </c>
      <c r="C7492" t="s">
        <v>274</v>
      </c>
      <c r="D7492" t="s">
        <v>746</v>
      </c>
      <c r="E7492" t="s">
        <v>766</v>
      </c>
      <c r="F7492">
        <v>1</v>
      </c>
      <c r="G7492" s="308">
        <f>COMEDORES!E268</f>
        <v>4500</v>
      </c>
      <c r="H7492" s="308">
        <f>COMEDORES!F268</f>
        <v>0</v>
      </c>
    </row>
    <row r="7493" spans="1:8" x14ac:dyDescent="0.3">
      <c r="A7493" t="s">
        <v>628</v>
      </c>
      <c r="B7493" t="s">
        <v>263</v>
      </c>
      <c r="C7493" t="s">
        <v>274</v>
      </c>
      <c r="D7493" t="s">
        <v>746</v>
      </c>
      <c r="E7493" t="s">
        <v>767</v>
      </c>
      <c r="F7493">
        <v>2</v>
      </c>
      <c r="G7493" s="308">
        <f>COMEDORES!G268</f>
        <v>5000</v>
      </c>
      <c r="H7493" s="308">
        <f>COMEDORES!H268</f>
        <v>0</v>
      </c>
    </row>
    <row r="7494" spans="1:8" x14ac:dyDescent="0.3">
      <c r="A7494" t="s">
        <v>628</v>
      </c>
      <c r="B7494" t="s">
        <v>263</v>
      </c>
      <c r="C7494" t="s">
        <v>274</v>
      </c>
      <c r="D7494" t="s">
        <v>746</v>
      </c>
      <c r="E7494" t="s">
        <v>768</v>
      </c>
      <c r="F7494">
        <v>3</v>
      </c>
      <c r="G7494" s="308">
        <f>COMEDORES!I268</f>
        <v>5500</v>
      </c>
      <c r="H7494" s="308">
        <f>COMEDORES!J268</f>
        <v>0</v>
      </c>
    </row>
    <row r="7495" spans="1:8" x14ac:dyDescent="0.3">
      <c r="A7495" t="s">
        <v>628</v>
      </c>
      <c r="B7495" t="s">
        <v>263</v>
      </c>
      <c r="C7495" t="s">
        <v>274</v>
      </c>
      <c r="D7495" t="s">
        <v>746</v>
      </c>
      <c r="E7495" t="s">
        <v>769</v>
      </c>
      <c r="F7495">
        <v>4</v>
      </c>
      <c r="G7495" s="308">
        <f>COMEDORES!K268</f>
        <v>4655</v>
      </c>
      <c r="H7495" s="308">
        <f>COMEDORES!L268</f>
        <v>0</v>
      </c>
    </row>
    <row r="7496" spans="1:8" x14ac:dyDescent="0.3">
      <c r="A7496" t="s">
        <v>628</v>
      </c>
      <c r="B7496" t="s">
        <v>263</v>
      </c>
      <c r="C7496" t="s">
        <v>274</v>
      </c>
      <c r="D7496" t="s">
        <v>746</v>
      </c>
      <c r="E7496" t="s">
        <v>770</v>
      </c>
      <c r="F7496">
        <v>5</v>
      </c>
      <c r="G7496" s="308">
        <f>COMEDORES!M268</f>
        <v>5000</v>
      </c>
      <c r="H7496" s="308">
        <f>COMEDORES!N268</f>
        <v>0</v>
      </c>
    </row>
    <row r="7497" spans="1:8" x14ac:dyDescent="0.3">
      <c r="A7497" t="s">
        <v>628</v>
      </c>
      <c r="B7497" t="s">
        <v>263</v>
      </c>
      <c r="C7497" t="s">
        <v>274</v>
      </c>
      <c r="D7497" t="s">
        <v>746</v>
      </c>
      <c r="E7497" t="s">
        <v>771</v>
      </c>
      <c r="F7497">
        <v>6</v>
      </c>
      <c r="G7497" s="308">
        <f>COMEDORES!O268</f>
        <v>5250</v>
      </c>
      <c r="H7497" s="308">
        <f>COMEDORES!P268</f>
        <v>0</v>
      </c>
    </row>
    <row r="7498" spans="1:8" x14ac:dyDescent="0.3">
      <c r="A7498" t="s">
        <v>628</v>
      </c>
      <c r="B7498" t="s">
        <v>263</v>
      </c>
      <c r="C7498" t="s">
        <v>274</v>
      </c>
      <c r="D7498" t="s">
        <v>746</v>
      </c>
      <c r="E7498" t="s">
        <v>772</v>
      </c>
      <c r="F7498">
        <v>7</v>
      </c>
      <c r="G7498" s="308">
        <f>COMEDORES!Q268</f>
        <v>5750</v>
      </c>
      <c r="H7498" s="308">
        <f>COMEDORES!R268</f>
        <v>0</v>
      </c>
    </row>
    <row r="7499" spans="1:8" x14ac:dyDescent="0.3">
      <c r="A7499" t="s">
        <v>628</v>
      </c>
      <c r="B7499" t="s">
        <v>263</v>
      </c>
      <c r="C7499" t="s">
        <v>747</v>
      </c>
      <c r="D7499" t="s">
        <v>745</v>
      </c>
      <c r="E7499" t="s">
        <v>766</v>
      </c>
      <c r="F7499">
        <v>1</v>
      </c>
      <c r="G7499" s="308">
        <f>COMEDORES!E269</f>
        <v>1800</v>
      </c>
      <c r="H7499" s="308">
        <f>COMEDORES!F269</f>
        <v>0</v>
      </c>
    </row>
    <row r="7500" spans="1:8" x14ac:dyDescent="0.3">
      <c r="A7500" t="s">
        <v>628</v>
      </c>
      <c r="B7500" t="s">
        <v>263</v>
      </c>
      <c r="C7500" t="s">
        <v>747</v>
      </c>
      <c r="D7500" t="s">
        <v>745</v>
      </c>
      <c r="E7500" t="s">
        <v>767</v>
      </c>
      <c r="F7500">
        <v>2</v>
      </c>
      <c r="G7500" s="308">
        <f>COMEDORES!G269</f>
        <v>2000</v>
      </c>
      <c r="H7500" s="308">
        <f>COMEDORES!H269</f>
        <v>0</v>
      </c>
    </row>
    <row r="7501" spans="1:8" x14ac:dyDescent="0.3">
      <c r="A7501" t="s">
        <v>628</v>
      </c>
      <c r="B7501" t="s">
        <v>263</v>
      </c>
      <c r="C7501" t="s">
        <v>747</v>
      </c>
      <c r="D7501" t="s">
        <v>745</v>
      </c>
      <c r="E7501" t="s">
        <v>768</v>
      </c>
      <c r="F7501">
        <v>3</v>
      </c>
      <c r="G7501" s="308">
        <f>COMEDORES!I269</f>
        <v>2200</v>
      </c>
      <c r="H7501" s="308">
        <f>COMEDORES!J269</f>
        <v>336417.2</v>
      </c>
    </row>
    <row r="7502" spans="1:8" x14ac:dyDescent="0.3">
      <c r="A7502" t="s">
        <v>628</v>
      </c>
      <c r="B7502" t="s">
        <v>263</v>
      </c>
      <c r="C7502" t="s">
        <v>747</v>
      </c>
      <c r="D7502" t="s">
        <v>745</v>
      </c>
      <c r="E7502" t="s">
        <v>769</v>
      </c>
      <c r="F7502">
        <v>4</v>
      </c>
      <c r="G7502" s="308">
        <f>COMEDORES!K269</f>
        <v>1800</v>
      </c>
      <c r="H7502" s="308">
        <f>COMEDORES!L269</f>
        <v>190077.99999999994</v>
      </c>
    </row>
    <row r="7503" spans="1:8" x14ac:dyDescent="0.3">
      <c r="A7503" t="s">
        <v>628</v>
      </c>
      <c r="B7503" t="s">
        <v>263</v>
      </c>
      <c r="C7503" t="s">
        <v>747</v>
      </c>
      <c r="D7503" t="s">
        <v>745</v>
      </c>
      <c r="E7503" t="s">
        <v>770</v>
      </c>
      <c r="F7503">
        <v>5</v>
      </c>
      <c r="G7503" s="308">
        <f>COMEDORES!M269</f>
        <v>2000</v>
      </c>
      <c r="H7503" s="308">
        <f>COMEDORES!N269</f>
        <v>157242.4</v>
      </c>
    </row>
    <row r="7504" spans="1:8" x14ac:dyDescent="0.3">
      <c r="A7504" t="s">
        <v>628</v>
      </c>
      <c r="B7504" t="s">
        <v>263</v>
      </c>
      <c r="C7504" t="s">
        <v>747</v>
      </c>
      <c r="D7504" t="s">
        <v>745</v>
      </c>
      <c r="E7504" t="s">
        <v>771</v>
      </c>
      <c r="F7504">
        <v>6</v>
      </c>
      <c r="G7504" s="308">
        <f>COMEDORES!O269</f>
        <v>2100</v>
      </c>
      <c r="H7504" s="308">
        <f>COMEDORES!P269</f>
        <v>167672.40000000002</v>
      </c>
    </row>
    <row r="7505" spans="1:8" x14ac:dyDescent="0.3">
      <c r="A7505" t="s">
        <v>628</v>
      </c>
      <c r="B7505" t="s">
        <v>263</v>
      </c>
      <c r="C7505" t="s">
        <v>747</v>
      </c>
      <c r="D7505" t="s">
        <v>745</v>
      </c>
      <c r="E7505" t="s">
        <v>772</v>
      </c>
      <c r="F7505">
        <v>7</v>
      </c>
      <c r="G7505" s="308">
        <f>COMEDORES!Q269</f>
        <v>1100</v>
      </c>
      <c r="H7505" s="308">
        <f>COMEDORES!R269</f>
        <v>172250.40000000002</v>
      </c>
    </row>
    <row r="7506" spans="1:8" x14ac:dyDescent="0.3">
      <c r="A7506" t="s">
        <v>628</v>
      </c>
      <c r="B7506" t="s">
        <v>263</v>
      </c>
      <c r="C7506" t="s">
        <v>747</v>
      </c>
      <c r="D7506" t="s">
        <v>746</v>
      </c>
      <c r="E7506" t="s">
        <v>766</v>
      </c>
      <c r="F7506">
        <v>1</v>
      </c>
      <c r="G7506" s="308">
        <f>COMEDORES!E270</f>
        <v>2850</v>
      </c>
      <c r="H7506" s="308">
        <f>COMEDORES!F270</f>
        <v>0</v>
      </c>
    </row>
    <row r="7507" spans="1:8" x14ac:dyDescent="0.3">
      <c r="A7507" t="s">
        <v>628</v>
      </c>
      <c r="B7507" t="s">
        <v>263</v>
      </c>
      <c r="C7507" t="s">
        <v>747</v>
      </c>
      <c r="D7507" t="s">
        <v>746</v>
      </c>
      <c r="E7507" t="s">
        <v>767</v>
      </c>
      <c r="F7507">
        <v>2</v>
      </c>
      <c r="G7507" s="308">
        <f>COMEDORES!G270</f>
        <v>3000</v>
      </c>
      <c r="H7507" s="308">
        <f>COMEDORES!H270</f>
        <v>0</v>
      </c>
    </row>
    <row r="7508" spans="1:8" x14ac:dyDescent="0.3">
      <c r="A7508" t="s">
        <v>628</v>
      </c>
      <c r="B7508" t="s">
        <v>263</v>
      </c>
      <c r="C7508" t="s">
        <v>747</v>
      </c>
      <c r="D7508" t="s">
        <v>746</v>
      </c>
      <c r="E7508" t="s">
        <v>768</v>
      </c>
      <c r="F7508">
        <v>3</v>
      </c>
      <c r="G7508" s="308">
        <f>COMEDORES!I270</f>
        <v>3300</v>
      </c>
      <c r="H7508" s="308">
        <f>COMEDORES!J270</f>
        <v>0</v>
      </c>
    </row>
    <row r="7509" spans="1:8" x14ac:dyDescent="0.3">
      <c r="A7509" t="s">
        <v>628</v>
      </c>
      <c r="B7509" t="s">
        <v>263</v>
      </c>
      <c r="C7509" t="s">
        <v>747</v>
      </c>
      <c r="D7509" t="s">
        <v>746</v>
      </c>
      <c r="E7509" t="s">
        <v>769</v>
      </c>
      <c r="F7509">
        <v>4</v>
      </c>
      <c r="G7509" s="308">
        <f>COMEDORES!K270</f>
        <v>2686</v>
      </c>
      <c r="H7509" s="308">
        <f>COMEDORES!L270</f>
        <v>0</v>
      </c>
    </row>
    <row r="7510" spans="1:8" x14ac:dyDescent="0.3">
      <c r="A7510" t="s">
        <v>628</v>
      </c>
      <c r="B7510" t="s">
        <v>263</v>
      </c>
      <c r="C7510" t="s">
        <v>747</v>
      </c>
      <c r="D7510" t="s">
        <v>746</v>
      </c>
      <c r="E7510" t="s">
        <v>770</v>
      </c>
      <c r="F7510">
        <v>5</v>
      </c>
      <c r="G7510" s="308">
        <f>COMEDORES!M270</f>
        <v>2791</v>
      </c>
      <c r="H7510" s="308">
        <f>COMEDORES!N270</f>
        <v>0</v>
      </c>
    </row>
    <row r="7511" spans="1:8" x14ac:dyDescent="0.3">
      <c r="A7511" t="s">
        <v>628</v>
      </c>
      <c r="B7511" t="s">
        <v>263</v>
      </c>
      <c r="C7511" t="s">
        <v>747</v>
      </c>
      <c r="D7511" t="s">
        <v>746</v>
      </c>
      <c r="E7511" t="s">
        <v>771</v>
      </c>
      <c r="F7511">
        <v>6</v>
      </c>
      <c r="G7511" s="308">
        <f>COMEDORES!O270</f>
        <v>2826</v>
      </c>
      <c r="H7511" s="308">
        <f>COMEDORES!P270</f>
        <v>0</v>
      </c>
    </row>
    <row r="7512" spans="1:8" x14ac:dyDescent="0.3">
      <c r="A7512" t="s">
        <v>628</v>
      </c>
      <c r="B7512" t="s">
        <v>263</v>
      </c>
      <c r="C7512" t="s">
        <v>747</v>
      </c>
      <c r="D7512" t="s">
        <v>746</v>
      </c>
      <c r="E7512" t="s">
        <v>772</v>
      </c>
      <c r="F7512">
        <v>7</v>
      </c>
      <c r="G7512" s="308">
        <f>COMEDORES!Q270</f>
        <v>1650</v>
      </c>
      <c r="H7512" s="308">
        <f>COMEDORES!R270</f>
        <v>0</v>
      </c>
    </row>
    <row r="7513" spans="1:8" x14ac:dyDescent="0.3">
      <c r="A7513" t="s">
        <v>628</v>
      </c>
      <c r="B7513" t="s">
        <v>263</v>
      </c>
      <c r="C7513" t="s">
        <v>659</v>
      </c>
      <c r="D7513" t="s">
        <v>745</v>
      </c>
      <c r="E7513" t="s">
        <v>766</v>
      </c>
      <c r="F7513">
        <v>1</v>
      </c>
      <c r="G7513" s="308">
        <f>COMEDORES!E271</f>
        <v>0</v>
      </c>
      <c r="H7513" s="308">
        <f>COMEDORES!F271</f>
        <v>0</v>
      </c>
    </row>
    <row r="7514" spans="1:8" x14ac:dyDescent="0.3">
      <c r="A7514" t="s">
        <v>628</v>
      </c>
      <c r="B7514" t="s">
        <v>263</v>
      </c>
      <c r="C7514" t="s">
        <v>659</v>
      </c>
      <c r="D7514" t="s">
        <v>745</v>
      </c>
      <c r="E7514" t="s">
        <v>767</v>
      </c>
      <c r="F7514">
        <v>2</v>
      </c>
      <c r="G7514" s="308">
        <f>COMEDORES!G271</f>
        <v>0</v>
      </c>
      <c r="H7514" s="308">
        <f>COMEDORES!H271</f>
        <v>0</v>
      </c>
    </row>
    <row r="7515" spans="1:8" x14ac:dyDescent="0.3">
      <c r="A7515" t="s">
        <v>628</v>
      </c>
      <c r="B7515" t="s">
        <v>263</v>
      </c>
      <c r="C7515" t="s">
        <v>659</v>
      </c>
      <c r="D7515" t="s">
        <v>745</v>
      </c>
      <c r="E7515" t="s">
        <v>768</v>
      </c>
      <c r="F7515">
        <v>3</v>
      </c>
      <c r="G7515" s="308">
        <f>COMEDORES!I271</f>
        <v>0</v>
      </c>
      <c r="H7515" s="308">
        <f>COMEDORES!J271</f>
        <v>0</v>
      </c>
    </row>
    <row r="7516" spans="1:8" x14ac:dyDescent="0.3">
      <c r="A7516" t="s">
        <v>628</v>
      </c>
      <c r="B7516" t="s">
        <v>263</v>
      </c>
      <c r="C7516" t="s">
        <v>659</v>
      </c>
      <c r="D7516" t="s">
        <v>745</v>
      </c>
      <c r="E7516" t="s">
        <v>769</v>
      </c>
      <c r="F7516">
        <v>4</v>
      </c>
      <c r="G7516" s="308">
        <f>COMEDORES!K271</f>
        <v>0</v>
      </c>
      <c r="H7516" s="308">
        <f>COMEDORES!L271</f>
        <v>0</v>
      </c>
    </row>
    <row r="7517" spans="1:8" x14ac:dyDescent="0.3">
      <c r="A7517" t="s">
        <v>628</v>
      </c>
      <c r="B7517" t="s">
        <v>263</v>
      </c>
      <c r="C7517" t="s">
        <v>659</v>
      </c>
      <c r="D7517" t="s">
        <v>745</v>
      </c>
      <c r="E7517" t="s">
        <v>770</v>
      </c>
      <c r="F7517">
        <v>5</v>
      </c>
      <c r="G7517" s="308">
        <f>COMEDORES!M271</f>
        <v>0</v>
      </c>
      <c r="H7517" s="308">
        <f>COMEDORES!N271</f>
        <v>0</v>
      </c>
    </row>
    <row r="7518" spans="1:8" x14ac:dyDescent="0.3">
      <c r="A7518" t="s">
        <v>628</v>
      </c>
      <c r="B7518" t="s">
        <v>263</v>
      </c>
      <c r="C7518" t="s">
        <v>659</v>
      </c>
      <c r="D7518" t="s">
        <v>745</v>
      </c>
      <c r="E7518" t="s">
        <v>771</v>
      </c>
      <c r="F7518">
        <v>6</v>
      </c>
      <c r="G7518" s="308">
        <f>COMEDORES!O271</f>
        <v>0</v>
      </c>
      <c r="H7518" s="308">
        <f>COMEDORES!P271</f>
        <v>0</v>
      </c>
    </row>
    <row r="7519" spans="1:8" x14ac:dyDescent="0.3">
      <c r="A7519" t="s">
        <v>628</v>
      </c>
      <c r="B7519" t="s">
        <v>263</v>
      </c>
      <c r="C7519" t="s">
        <v>659</v>
      </c>
      <c r="D7519" t="s">
        <v>745</v>
      </c>
      <c r="E7519" t="s">
        <v>772</v>
      </c>
      <c r="F7519">
        <v>7</v>
      </c>
      <c r="G7519" s="308">
        <f>COMEDORES!Q271</f>
        <v>1500</v>
      </c>
      <c r="H7519" s="308">
        <f>COMEDORES!R271</f>
        <v>0</v>
      </c>
    </row>
    <row r="7520" spans="1:8" x14ac:dyDescent="0.3">
      <c r="A7520" t="s">
        <v>628</v>
      </c>
      <c r="B7520" t="s">
        <v>263</v>
      </c>
      <c r="C7520" t="s">
        <v>659</v>
      </c>
      <c r="D7520" t="s">
        <v>746</v>
      </c>
      <c r="E7520" t="s">
        <v>766</v>
      </c>
      <c r="F7520">
        <v>1</v>
      </c>
      <c r="G7520" s="308">
        <f>COMEDORES!E272</f>
        <v>0</v>
      </c>
      <c r="H7520" s="308">
        <f>COMEDORES!F272</f>
        <v>0</v>
      </c>
    </row>
    <row r="7521" spans="1:8" x14ac:dyDescent="0.3">
      <c r="A7521" t="s">
        <v>628</v>
      </c>
      <c r="B7521" t="s">
        <v>263</v>
      </c>
      <c r="C7521" t="s">
        <v>659</v>
      </c>
      <c r="D7521" t="s">
        <v>746</v>
      </c>
      <c r="E7521" t="s">
        <v>767</v>
      </c>
      <c r="F7521">
        <v>2</v>
      </c>
      <c r="G7521" s="308">
        <f>COMEDORES!G272</f>
        <v>0</v>
      </c>
      <c r="H7521" s="308">
        <f>COMEDORES!H272</f>
        <v>0</v>
      </c>
    </row>
    <row r="7522" spans="1:8" x14ac:dyDescent="0.3">
      <c r="A7522" t="s">
        <v>628</v>
      </c>
      <c r="B7522" t="s">
        <v>263</v>
      </c>
      <c r="C7522" t="s">
        <v>659</v>
      </c>
      <c r="D7522" t="s">
        <v>746</v>
      </c>
      <c r="E7522" t="s">
        <v>768</v>
      </c>
      <c r="F7522">
        <v>3</v>
      </c>
      <c r="G7522" s="308">
        <f>COMEDORES!I272</f>
        <v>0</v>
      </c>
      <c r="H7522" s="308">
        <f>COMEDORES!J272</f>
        <v>0</v>
      </c>
    </row>
    <row r="7523" spans="1:8" x14ac:dyDescent="0.3">
      <c r="A7523" t="s">
        <v>628</v>
      </c>
      <c r="B7523" t="s">
        <v>263</v>
      </c>
      <c r="C7523" t="s">
        <v>659</v>
      </c>
      <c r="D7523" t="s">
        <v>746</v>
      </c>
      <c r="E7523" t="s">
        <v>769</v>
      </c>
      <c r="F7523">
        <v>4</v>
      </c>
      <c r="G7523" s="308">
        <f>COMEDORES!K272</f>
        <v>0</v>
      </c>
      <c r="H7523" s="308">
        <f>COMEDORES!L272</f>
        <v>0</v>
      </c>
    </row>
    <row r="7524" spans="1:8" x14ac:dyDescent="0.3">
      <c r="A7524" t="s">
        <v>628</v>
      </c>
      <c r="B7524" t="s">
        <v>263</v>
      </c>
      <c r="C7524" t="s">
        <v>659</v>
      </c>
      <c r="D7524" t="s">
        <v>746</v>
      </c>
      <c r="E7524" t="s">
        <v>770</v>
      </c>
      <c r="F7524">
        <v>5</v>
      </c>
      <c r="G7524" s="308">
        <f>COMEDORES!M272</f>
        <v>0</v>
      </c>
      <c r="H7524" s="308">
        <f>COMEDORES!N272</f>
        <v>0</v>
      </c>
    </row>
    <row r="7525" spans="1:8" x14ac:dyDescent="0.3">
      <c r="A7525" t="s">
        <v>628</v>
      </c>
      <c r="B7525" t="s">
        <v>263</v>
      </c>
      <c r="C7525" t="s">
        <v>659</v>
      </c>
      <c r="D7525" t="s">
        <v>746</v>
      </c>
      <c r="E7525" t="s">
        <v>771</v>
      </c>
      <c r="F7525">
        <v>6</v>
      </c>
      <c r="G7525" s="308">
        <f>COMEDORES!O272</f>
        <v>0</v>
      </c>
      <c r="H7525" s="308">
        <f>COMEDORES!P272</f>
        <v>0</v>
      </c>
    </row>
    <row r="7526" spans="1:8" x14ac:dyDescent="0.3">
      <c r="A7526" t="s">
        <v>628</v>
      </c>
      <c r="B7526" t="s">
        <v>263</v>
      </c>
      <c r="C7526" t="s">
        <v>659</v>
      </c>
      <c r="D7526" t="s">
        <v>746</v>
      </c>
      <c r="E7526" t="s">
        <v>772</v>
      </c>
      <c r="F7526">
        <v>7</v>
      </c>
      <c r="G7526" s="308">
        <f>COMEDORES!Q272</f>
        <v>2000</v>
      </c>
      <c r="H7526" s="308">
        <f>COMEDORES!R272</f>
        <v>0</v>
      </c>
    </row>
    <row r="7527" spans="1:8" x14ac:dyDescent="0.3">
      <c r="A7527" t="s">
        <v>628</v>
      </c>
      <c r="B7527" t="s">
        <v>263</v>
      </c>
      <c r="C7527" t="s">
        <v>660</v>
      </c>
      <c r="D7527" t="s">
        <v>745</v>
      </c>
      <c r="E7527" t="s">
        <v>766</v>
      </c>
      <c r="F7527">
        <v>1</v>
      </c>
      <c r="G7527" s="308">
        <f>COMEDORES!E273</f>
        <v>0</v>
      </c>
      <c r="H7527" s="308">
        <f>COMEDORES!F273</f>
        <v>0</v>
      </c>
    </row>
    <row r="7528" spans="1:8" x14ac:dyDescent="0.3">
      <c r="A7528" t="s">
        <v>628</v>
      </c>
      <c r="B7528" t="s">
        <v>263</v>
      </c>
      <c r="C7528" t="s">
        <v>660</v>
      </c>
      <c r="D7528" t="s">
        <v>745</v>
      </c>
      <c r="E7528" t="s">
        <v>767</v>
      </c>
      <c r="F7528">
        <v>2</v>
      </c>
      <c r="G7528" s="308">
        <f>COMEDORES!G273</f>
        <v>0</v>
      </c>
      <c r="H7528" s="308">
        <f>COMEDORES!H273</f>
        <v>0</v>
      </c>
    </row>
    <row r="7529" spans="1:8" x14ac:dyDescent="0.3">
      <c r="A7529" t="s">
        <v>628</v>
      </c>
      <c r="B7529" t="s">
        <v>263</v>
      </c>
      <c r="C7529" t="s">
        <v>660</v>
      </c>
      <c r="D7529" t="s">
        <v>745</v>
      </c>
      <c r="E7529" t="s">
        <v>768</v>
      </c>
      <c r="F7529">
        <v>3</v>
      </c>
      <c r="G7529" s="308">
        <f>COMEDORES!I273</f>
        <v>0</v>
      </c>
      <c r="H7529" s="308">
        <f>COMEDORES!J273</f>
        <v>0</v>
      </c>
    </row>
    <row r="7530" spans="1:8" x14ac:dyDescent="0.3">
      <c r="A7530" t="s">
        <v>628</v>
      </c>
      <c r="B7530" t="s">
        <v>263</v>
      </c>
      <c r="C7530" t="s">
        <v>660</v>
      </c>
      <c r="D7530" t="s">
        <v>745</v>
      </c>
      <c r="E7530" t="s">
        <v>769</v>
      </c>
      <c r="F7530">
        <v>4</v>
      </c>
      <c r="G7530" s="308">
        <f>COMEDORES!K273</f>
        <v>0</v>
      </c>
      <c r="H7530" s="308">
        <f>COMEDORES!L273</f>
        <v>0</v>
      </c>
    </row>
    <row r="7531" spans="1:8" x14ac:dyDescent="0.3">
      <c r="A7531" t="s">
        <v>628</v>
      </c>
      <c r="B7531" t="s">
        <v>263</v>
      </c>
      <c r="C7531" t="s">
        <v>660</v>
      </c>
      <c r="D7531" t="s">
        <v>745</v>
      </c>
      <c r="E7531" t="s">
        <v>770</v>
      </c>
      <c r="F7531">
        <v>5</v>
      </c>
      <c r="G7531" s="308">
        <f>COMEDORES!M273</f>
        <v>0</v>
      </c>
      <c r="H7531" s="308">
        <f>COMEDORES!N273</f>
        <v>0</v>
      </c>
    </row>
    <row r="7532" spans="1:8" x14ac:dyDescent="0.3">
      <c r="A7532" t="s">
        <v>628</v>
      </c>
      <c r="B7532" t="s">
        <v>263</v>
      </c>
      <c r="C7532" t="s">
        <v>660</v>
      </c>
      <c r="D7532" t="s">
        <v>745</v>
      </c>
      <c r="E7532" t="s">
        <v>771</v>
      </c>
      <c r="F7532">
        <v>6</v>
      </c>
      <c r="G7532" s="308">
        <f>COMEDORES!O273</f>
        <v>0</v>
      </c>
      <c r="H7532" s="308">
        <f>COMEDORES!P273</f>
        <v>0</v>
      </c>
    </row>
    <row r="7533" spans="1:8" x14ac:dyDescent="0.3">
      <c r="A7533" t="s">
        <v>628</v>
      </c>
      <c r="B7533" t="s">
        <v>263</v>
      </c>
      <c r="C7533" t="s">
        <v>660</v>
      </c>
      <c r="D7533" t="s">
        <v>745</v>
      </c>
      <c r="E7533" t="s">
        <v>772</v>
      </c>
      <c r="F7533">
        <v>7</v>
      </c>
      <c r="G7533" s="308">
        <f>COMEDORES!Q273</f>
        <v>1500</v>
      </c>
      <c r="H7533" s="308">
        <f>COMEDORES!R273</f>
        <v>0</v>
      </c>
    </row>
    <row r="7534" spans="1:8" x14ac:dyDescent="0.3">
      <c r="A7534" t="s">
        <v>628</v>
      </c>
      <c r="B7534" t="s">
        <v>263</v>
      </c>
      <c r="C7534" t="s">
        <v>660</v>
      </c>
      <c r="D7534" t="s">
        <v>746</v>
      </c>
      <c r="E7534" t="s">
        <v>766</v>
      </c>
      <c r="F7534">
        <v>1</v>
      </c>
      <c r="G7534" s="308">
        <f>COMEDORES!E274</f>
        <v>0</v>
      </c>
      <c r="H7534" s="308">
        <f>COMEDORES!F274</f>
        <v>0</v>
      </c>
    </row>
    <row r="7535" spans="1:8" x14ac:dyDescent="0.3">
      <c r="A7535" t="s">
        <v>628</v>
      </c>
      <c r="B7535" t="s">
        <v>263</v>
      </c>
      <c r="C7535" t="s">
        <v>660</v>
      </c>
      <c r="D7535" t="s">
        <v>746</v>
      </c>
      <c r="E7535" t="s">
        <v>767</v>
      </c>
      <c r="F7535">
        <v>2</v>
      </c>
      <c r="G7535" s="308">
        <f>COMEDORES!G274</f>
        <v>0</v>
      </c>
      <c r="H7535" s="308">
        <f>COMEDORES!H274</f>
        <v>0</v>
      </c>
    </row>
    <row r="7536" spans="1:8" x14ac:dyDescent="0.3">
      <c r="A7536" t="s">
        <v>628</v>
      </c>
      <c r="B7536" t="s">
        <v>263</v>
      </c>
      <c r="C7536" t="s">
        <v>660</v>
      </c>
      <c r="D7536" t="s">
        <v>746</v>
      </c>
      <c r="E7536" t="s">
        <v>768</v>
      </c>
      <c r="F7536">
        <v>3</v>
      </c>
      <c r="G7536" s="308">
        <f>COMEDORES!I274</f>
        <v>0</v>
      </c>
      <c r="H7536" s="308">
        <f>COMEDORES!J274</f>
        <v>0</v>
      </c>
    </row>
    <row r="7537" spans="1:8" x14ac:dyDescent="0.3">
      <c r="A7537" t="s">
        <v>628</v>
      </c>
      <c r="B7537" t="s">
        <v>263</v>
      </c>
      <c r="C7537" t="s">
        <v>660</v>
      </c>
      <c r="D7537" t="s">
        <v>746</v>
      </c>
      <c r="E7537" t="s">
        <v>769</v>
      </c>
      <c r="F7537">
        <v>4</v>
      </c>
      <c r="G7537" s="308">
        <f>COMEDORES!K274</f>
        <v>0</v>
      </c>
      <c r="H7537" s="308">
        <f>COMEDORES!L274</f>
        <v>0</v>
      </c>
    </row>
    <row r="7538" spans="1:8" x14ac:dyDescent="0.3">
      <c r="A7538" t="s">
        <v>628</v>
      </c>
      <c r="B7538" t="s">
        <v>263</v>
      </c>
      <c r="C7538" t="s">
        <v>660</v>
      </c>
      <c r="D7538" t="s">
        <v>746</v>
      </c>
      <c r="E7538" t="s">
        <v>770</v>
      </c>
      <c r="F7538">
        <v>5</v>
      </c>
      <c r="G7538" s="308">
        <f>COMEDORES!M274</f>
        <v>0</v>
      </c>
      <c r="H7538" s="308">
        <f>COMEDORES!N274</f>
        <v>0</v>
      </c>
    </row>
    <row r="7539" spans="1:8" x14ac:dyDescent="0.3">
      <c r="A7539" t="s">
        <v>628</v>
      </c>
      <c r="B7539" t="s">
        <v>263</v>
      </c>
      <c r="C7539" t="s">
        <v>660</v>
      </c>
      <c r="D7539" t="s">
        <v>746</v>
      </c>
      <c r="E7539" t="s">
        <v>771</v>
      </c>
      <c r="F7539">
        <v>6</v>
      </c>
      <c r="G7539" s="308">
        <f>COMEDORES!O274</f>
        <v>0</v>
      </c>
      <c r="H7539" s="308">
        <f>COMEDORES!P274</f>
        <v>0</v>
      </c>
    </row>
    <row r="7540" spans="1:8" x14ac:dyDescent="0.3">
      <c r="A7540" t="s">
        <v>628</v>
      </c>
      <c r="B7540" t="s">
        <v>263</v>
      </c>
      <c r="C7540" t="s">
        <v>660</v>
      </c>
      <c r="D7540" t="s">
        <v>746</v>
      </c>
      <c r="E7540" t="s">
        <v>772</v>
      </c>
      <c r="F7540">
        <v>7</v>
      </c>
      <c r="G7540" s="308">
        <f>COMEDORES!Q274</f>
        <v>2000</v>
      </c>
      <c r="H7540" s="308">
        <f>COMEDORES!R274</f>
        <v>0</v>
      </c>
    </row>
    <row r="7541" spans="1:8" x14ac:dyDescent="0.3">
      <c r="A7541" t="s">
        <v>628</v>
      </c>
      <c r="B7541" t="s">
        <v>263</v>
      </c>
      <c r="C7541" t="s">
        <v>410</v>
      </c>
      <c r="D7541" t="s">
        <v>745</v>
      </c>
      <c r="E7541" t="s">
        <v>766</v>
      </c>
      <c r="F7541">
        <v>1</v>
      </c>
      <c r="G7541" s="308">
        <f>COMEDORES!E275</f>
        <v>0</v>
      </c>
      <c r="H7541" s="308">
        <f>COMEDORES!F275</f>
        <v>0</v>
      </c>
    </row>
    <row r="7542" spans="1:8" x14ac:dyDescent="0.3">
      <c r="A7542" t="s">
        <v>628</v>
      </c>
      <c r="B7542" t="s">
        <v>263</v>
      </c>
      <c r="C7542" t="s">
        <v>410</v>
      </c>
      <c r="D7542" t="s">
        <v>745</v>
      </c>
      <c r="E7542" t="s">
        <v>767</v>
      </c>
      <c r="F7542">
        <v>2</v>
      </c>
      <c r="G7542" s="308">
        <f>COMEDORES!G275</f>
        <v>0</v>
      </c>
      <c r="H7542" s="308">
        <f>COMEDORES!H275</f>
        <v>0</v>
      </c>
    </row>
    <row r="7543" spans="1:8" x14ac:dyDescent="0.3">
      <c r="A7543" t="s">
        <v>628</v>
      </c>
      <c r="B7543" t="s">
        <v>263</v>
      </c>
      <c r="C7543" t="s">
        <v>410</v>
      </c>
      <c r="D7543" t="s">
        <v>745</v>
      </c>
      <c r="E7543" t="s">
        <v>768</v>
      </c>
      <c r="F7543">
        <v>3</v>
      </c>
      <c r="G7543" s="308">
        <f>COMEDORES!I275</f>
        <v>0</v>
      </c>
      <c r="H7543" s="308">
        <f>COMEDORES!J275</f>
        <v>0</v>
      </c>
    </row>
    <row r="7544" spans="1:8" x14ac:dyDescent="0.3">
      <c r="A7544" t="s">
        <v>628</v>
      </c>
      <c r="B7544" t="s">
        <v>263</v>
      </c>
      <c r="C7544" t="s">
        <v>410</v>
      </c>
      <c r="D7544" t="s">
        <v>745</v>
      </c>
      <c r="E7544" t="s">
        <v>769</v>
      </c>
      <c r="F7544">
        <v>4</v>
      </c>
      <c r="G7544" s="308">
        <f>COMEDORES!K275</f>
        <v>873</v>
      </c>
      <c r="H7544" s="308">
        <f>COMEDORES!L275</f>
        <v>0</v>
      </c>
    </row>
    <row r="7545" spans="1:8" x14ac:dyDescent="0.3">
      <c r="A7545" t="s">
        <v>628</v>
      </c>
      <c r="B7545" t="s">
        <v>263</v>
      </c>
      <c r="C7545" t="s">
        <v>410</v>
      </c>
      <c r="D7545" t="s">
        <v>745</v>
      </c>
      <c r="E7545" t="s">
        <v>770</v>
      </c>
      <c r="F7545">
        <v>5</v>
      </c>
      <c r="G7545" s="308">
        <f>COMEDORES!M275</f>
        <v>2000</v>
      </c>
      <c r="H7545" s="308">
        <f>COMEDORES!N275</f>
        <v>77983.92</v>
      </c>
    </row>
    <row r="7546" spans="1:8" x14ac:dyDescent="0.3">
      <c r="A7546" t="s">
        <v>628</v>
      </c>
      <c r="B7546" t="s">
        <v>263</v>
      </c>
      <c r="C7546" t="s">
        <v>410</v>
      </c>
      <c r="D7546" t="s">
        <v>745</v>
      </c>
      <c r="E7546" t="s">
        <v>771</v>
      </c>
      <c r="F7546">
        <v>6</v>
      </c>
      <c r="G7546" s="308">
        <f>COMEDORES!O275</f>
        <v>2100</v>
      </c>
      <c r="H7546" s="308">
        <f>COMEDORES!P275</f>
        <v>175280</v>
      </c>
    </row>
    <row r="7547" spans="1:8" x14ac:dyDescent="0.3">
      <c r="A7547" t="s">
        <v>628</v>
      </c>
      <c r="B7547" t="s">
        <v>263</v>
      </c>
      <c r="C7547" t="s">
        <v>410</v>
      </c>
      <c r="D7547" t="s">
        <v>745</v>
      </c>
      <c r="E7547" t="s">
        <v>772</v>
      </c>
      <c r="F7547">
        <v>7</v>
      </c>
      <c r="G7547" s="308">
        <f>COMEDORES!Q275</f>
        <v>2300</v>
      </c>
      <c r="H7547" s="308">
        <f>COMEDORES!R275</f>
        <v>184044</v>
      </c>
    </row>
    <row r="7548" spans="1:8" x14ac:dyDescent="0.3">
      <c r="A7548" t="s">
        <v>628</v>
      </c>
      <c r="B7548" t="s">
        <v>263</v>
      </c>
      <c r="C7548" t="s">
        <v>410</v>
      </c>
      <c r="D7548" t="s">
        <v>746</v>
      </c>
      <c r="E7548" t="s">
        <v>766</v>
      </c>
      <c r="F7548">
        <v>1</v>
      </c>
      <c r="G7548" s="308">
        <f>COMEDORES!E276</f>
        <v>0</v>
      </c>
      <c r="H7548" s="308">
        <f>COMEDORES!F276</f>
        <v>0</v>
      </c>
    </row>
    <row r="7549" spans="1:8" x14ac:dyDescent="0.3">
      <c r="A7549" t="s">
        <v>628</v>
      </c>
      <c r="B7549" t="s">
        <v>263</v>
      </c>
      <c r="C7549" t="s">
        <v>410</v>
      </c>
      <c r="D7549" t="s">
        <v>746</v>
      </c>
      <c r="E7549" t="s">
        <v>767</v>
      </c>
      <c r="F7549">
        <v>2</v>
      </c>
      <c r="G7549" s="308">
        <f>COMEDORES!G276</f>
        <v>0</v>
      </c>
      <c r="H7549" s="308">
        <f>COMEDORES!H276</f>
        <v>0</v>
      </c>
    </row>
    <row r="7550" spans="1:8" x14ac:dyDescent="0.3">
      <c r="A7550" t="s">
        <v>628</v>
      </c>
      <c r="B7550" t="s">
        <v>263</v>
      </c>
      <c r="C7550" t="s">
        <v>410</v>
      </c>
      <c r="D7550" t="s">
        <v>746</v>
      </c>
      <c r="E7550" t="s">
        <v>768</v>
      </c>
      <c r="F7550">
        <v>3</v>
      </c>
      <c r="G7550" s="308">
        <f>COMEDORES!I276</f>
        <v>0</v>
      </c>
      <c r="H7550" s="308">
        <f>COMEDORES!J276</f>
        <v>0</v>
      </c>
    </row>
    <row r="7551" spans="1:8" x14ac:dyDescent="0.3">
      <c r="A7551" t="s">
        <v>628</v>
      </c>
      <c r="B7551" t="s">
        <v>263</v>
      </c>
      <c r="C7551" t="s">
        <v>410</v>
      </c>
      <c r="D7551" t="s">
        <v>746</v>
      </c>
      <c r="E7551" t="s">
        <v>769</v>
      </c>
      <c r="F7551">
        <v>4</v>
      </c>
      <c r="G7551" s="308">
        <f>COMEDORES!K276</f>
        <v>1350</v>
      </c>
      <c r="H7551" s="308">
        <f>COMEDORES!L276</f>
        <v>0</v>
      </c>
    </row>
    <row r="7552" spans="1:8" x14ac:dyDescent="0.3">
      <c r="A7552" t="s">
        <v>628</v>
      </c>
      <c r="B7552" t="s">
        <v>263</v>
      </c>
      <c r="C7552" t="s">
        <v>410</v>
      </c>
      <c r="D7552" t="s">
        <v>746</v>
      </c>
      <c r="E7552" t="s">
        <v>770</v>
      </c>
      <c r="F7552">
        <v>5</v>
      </c>
      <c r="G7552" s="308">
        <f>COMEDORES!M276</f>
        <v>3000</v>
      </c>
      <c r="H7552" s="308">
        <f>COMEDORES!N276</f>
        <v>0</v>
      </c>
    </row>
    <row r="7553" spans="1:8" x14ac:dyDescent="0.3">
      <c r="A7553" t="s">
        <v>628</v>
      </c>
      <c r="B7553" t="s">
        <v>263</v>
      </c>
      <c r="C7553" t="s">
        <v>410</v>
      </c>
      <c r="D7553" t="s">
        <v>746</v>
      </c>
      <c r="E7553" t="s">
        <v>771</v>
      </c>
      <c r="F7553">
        <v>6</v>
      </c>
      <c r="G7553" s="308">
        <f>COMEDORES!O276</f>
        <v>3150</v>
      </c>
      <c r="H7553" s="308">
        <f>COMEDORES!P276</f>
        <v>0</v>
      </c>
    </row>
    <row r="7554" spans="1:8" x14ac:dyDescent="0.3">
      <c r="A7554" t="s">
        <v>628</v>
      </c>
      <c r="B7554" t="s">
        <v>263</v>
      </c>
      <c r="C7554" t="s">
        <v>410</v>
      </c>
      <c r="D7554" t="s">
        <v>746</v>
      </c>
      <c r="E7554" t="s">
        <v>772</v>
      </c>
      <c r="F7554">
        <v>7</v>
      </c>
      <c r="G7554" s="308">
        <f>COMEDORES!Q276</f>
        <v>3436</v>
      </c>
      <c r="H7554" s="308">
        <f>COMEDORES!R276</f>
        <v>0</v>
      </c>
    </row>
    <row r="7555" spans="1:8" x14ac:dyDescent="0.3">
      <c r="A7555" t="s">
        <v>628</v>
      </c>
      <c r="B7555" t="s">
        <v>263</v>
      </c>
      <c r="C7555" t="s">
        <v>283</v>
      </c>
      <c r="D7555" t="s">
        <v>745</v>
      </c>
      <c r="E7555" t="s">
        <v>766</v>
      </c>
      <c r="F7555">
        <v>1</v>
      </c>
      <c r="G7555" s="308">
        <f>COMEDORES!E277</f>
        <v>1350</v>
      </c>
      <c r="H7555" s="308">
        <f>COMEDORES!F277</f>
        <v>0</v>
      </c>
    </row>
    <row r="7556" spans="1:8" x14ac:dyDescent="0.3">
      <c r="A7556" t="s">
        <v>628</v>
      </c>
      <c r="B7556" t="s">
        <v>263</v>
      </c>
      <c r="C7556" t="s">
        <v>283</v>
      </c>
      <c r="D7556" t="s">
        <v>745</v>
      </c>
      <c r="E7556" t="s">
        <v>767</v>
      </c>
      <c r="F7556">
        <v>2</v>
      </c>
      <c r="G7556" s="308">
        <f>COMEDORES!G277</f>
        <v>1500</v>
      </c>
      <c r="H7556" s="308">
        <f>COMEDORES!H277</f>
        <v>0</v>
      </c>
    </row>
    <row r="7557" spans="1:8" x14ac:dyDescent="0.3">
      <c r="A7557" t="s">
        <v>628</v>
      </c>
      <c r="B7557" t="s">
        <v>263</v>
      </c>
      <c r="C7557" t="s">
        <v>283</v>
      </c>
      <c r="D7557" t="s">
        <v>745</v>
      </c>
      <c r="E7557" t="s">
        <v>768</v>
      </c>
      <c r="F7557">
        <v>3</v>
      </c>
      <c r="G7557" s="308">
        <f>COMEDORES!I277</f>
        <v>1650</v>
      </c>
      <c r="H7557" s="308">
        <f>COMEDORES!J277</f>
        <v>271614</v>
      </c>
    </row>
    <row r="7558" spans="1:8" x14ac:dyDescent="0.3">
      <c r="A7558" t="s">
        <v>628</v>
      </c>
      <c r="B7558" t="s">
        <v>263</v>
      </c>
      <c r="C7558" t="s">
        <v>283</v>
      </c>
      <c r="D7558" t="s">
        <v>745</v>
      </c>
      <c r="E7558" t="s">
        <v>769</v>
      </c>
      <c r="F7558">
        <v>4</v>
      </c>
      <c r="G7558" s="308">
        <f>COMEDORES!K277</f>
        <v>1425</v>
      </c>
      <c r="H7558" s="308">
        <f>COMEDORES!L277</f>
        <v>147588</v>
      </c>
    </row>
    <row r="7559" spans="1:8" x14ac:dyDescent="0.3">
      <c r="A7559" t="s">
        <v>628</v>
      </c>
      <c r="B7559" t="s">
        <v>263</v>
      </c>
      <c r="C7559" t="s">
        <v>283</v>
      </c>
      <c r="D7559" t="s">
        <v>745</v>
      </c>
      <c r="E7559" t="s">
        <v>770</v>
      </c>
      <c r="F7559">
        <v>5</v>
      </c>
      <c r="G7559" s="308">
        <f>COMEDORES!M277</f>
        <v>1500</v>
      </c>
      <c r="H7559" s="308">
        <f>COMEDORES!N277</f>
        <v>124432</v>
      </c>
    </row>
    <row r="7560" spans="1:8" x14ac:dyDescent="0.3">
      <c r="A7560" t="s">
        <v>628</v>
      </c>
      <c r="B7560" t="s">
        <v>263</v>
      </c>
      <c r="C7560" t="s">
        <v>283</v>
      </c>
      <c r="D7560" t="s">
        <v>745</v>
      </c>
      <c r="E7560" t="s">
        <v>771</v>
      </c>
      <c r="F7560">
        <v>6</v>
      </c>
      <c r="G7560" s="308">
        <f>COMEDORES!O277</f>
        <v>1575</v>
      </c>
      <c r="H7560" s="308">
        <f>COMEDORES!P277</f>
        <v>122360</v>
      </c>
    </row>
    <row r="7561" spans="1:8" x14ac:dyDescent="0.3">
      <c r="A7561" t="s">
        <v>628</v>
      </c>
      <c r="B7561" t="s">
        <v>263</v>
      </c>
      <c r="C7561" t="s">
        <v>283</v>
      </c>
      <c r="D7561" t="s">
        <v>745</v>
      </c>
      <c r="E7561" t="s">
        <v>772</v>
      </c>
      <c r="F7561">
        <v>7</v>
      </c>
      <c r="G7561" s="308">
        <f>COMEDORES!Q277</f>
        <v>1725</v>
      </c>
      <c r="H7561" s="308">
        <f>COMEDORES!R277</f>
        <v>128478</v>
      </c>
    </row>
    <row r="7562" spans="1:8" x14ac:dyDescent="0.3">
      <c r="A7562" t="s">
        <v>628</v>
      </c>
      <c r="B7562" t="s">
        <v>263</v>
      </c>
      <c r="C7562" t="s">
        <v>283</v>
      </c>
      <c r="D7562" t="s">
        <v>746</v>
      </c>
      <c r="E7562" t="s">
        <v>766</v>
      </c>
      <c r="F7562">
        <v>1</v>
      </c>
      <c r="G7562" s="308">
        <f>COMEDORES!E278</f>
        <v>2375</v>
      </c>
      <c r="H7562" s="308">
        <f>COMEDORES!F278</f>
        <v>0</v>
      </c>
    </row>
    <row r="7563" spans="1:8" x14ac:dyDescent="0.3">
      <c r="A7563" t="s">
        <v>628</v>
      </c>
      <c r="B7563" t="s">
        <v>263</v>
      </c>
      <c r="C7563" t="s">
        <v>283</v>
      </c>
      <c r="D7563" t="s">
        <v>746</v>
      </c>
      <c r="E7563" t="s">
        <v>767</v>
      </c>
      <c r="F7563">
        <v>2</v>
      </c>
      <c r="G7563" s="308">
        <f>COMEDORES!G278</f>
        <v>2500</v>
      </c>
      <c r="H7563" s="308">
        <f>COMEDORES!H278</f>
        <v>0</v>
      </c>
    </row>
    <row r="7564" spans="1:8" x14ac:dyDescent="0.3">
      <c r="A7564" t="s">
        <v>628</v>
      </c>
      <c r="B7564" t="s">
        <v>263</v>
      </c>
      <c r="C7564" t="s">
        <v>283</v>
      </c>
      <c r="D7564" t="s">
        <v>746</v>
      </c>
      <c r="E7564" t="s">
        <v>768</v>
      </c>
      <c r="F7564">
        <v>3</v>
      </c>
      <c r="G7564" s="308">
        <f>COMEDORES!I278</f>
        <v>2750</v>
      </c>
      <c r="H7564" s="308">
        <f>COMEDORES!J278</f>
        <v>0</v>
      </c>
    </row>
    <row r="7565" spans="1:8" x14ac:dyDescent="0.3">
      <c r="A7565" t="s">
        <v>628</v>
      </c>
      <c r="B7565" t="s">
        <v>263</v>
      </c>
      <c r="C7565" t="s">
        <v>283</v>
      </c>
      <c r="D7565" t="s">
        <v>746</v>
      </c>
      <c r="E7565" t="s">
        <v>769</v>
      </c>
      <c r="F7565">
        <v>4</v>
      </c>
      <c r="G7565" s="308">
        <f>COMEDORES!K278</f>
        <v>2125</v>
      </c>
      <c r="H7565" s="308">
        <f>COMEDORES!L278</f>
        <v>0</v>
      </c>
    </row>
    <row r="7566" spans="1:8" x14ac:dyDescent="0.3">
      <c r="A7566" t="s">
        <v>628</v>
      </c>
      <c r="B7566" t="s">
        <v>263</v>
      </c>
      <c r="C7566" t="s">
        <v>283</v>
      </c>
      <c r="D7566" t="s">
        <v>746</v>
      </c>
      <c r="E7566" t="s">
        <v>770</v>
      </c>
      <c r="F7566">
        <v>5</v>
      </c>
      <c r="G7566" s="308">
        <f>COMEDORES!M278</f>
        <v>2000</v>
      </c>
      <c r="H7566" s="308">
        <f>COMEDORES!N278</f>
        <v>0</v>
      </c>
    </row>
    <row r="7567" spans="1:8" x14ac:dyDescent="0.3">
      <c r="A7567" t="s">
        <v>628</v>
      </c>
      <c r="B7567" t="s">
        <v>263</v>
      </c>
      <c r="C7567" t="s">
        <v>283</v>
      </c>
      <c r="D7567" t="s">
        <v>746</v>
      </c>
      <c r="E7567" t="s">
        <v>771</v>
      </c>
      <c r="F7567">
        <v>6</v>
      </c>
      <c r="G7567" s="308">
        <f>COMEDORES!O278</f>
        <v>2100</v>
      </c>
      <c r="H7567" s="308">
        <f>COMEDORES!P278</f>
        <v>0</v>
      </c>
    </row>
    <row r="7568" spans="1:8" x14ac:dyDescent="0.3">
      <c r="A7568" t="s">
        <v>628</v>
      </c>
      <c r="B7568" t="s">
        <v>263</v>
      </c>
      <c r="C7568" t="s">
        <v>283</v>
      </c>
      <c r="D7568" t="s">
        <v>746</v>
      </c>
      <c r="E7568" t="s">
        <v>772</v>
      </c>
      <c r="F7568">
        <v>7</v>
      </c>
      <c r="G7568" s="308">
        <f>COMEDORES!Q278</f>
        <v>2300</v>
      </c>
      <c r="H7568" s="308">
        <f>COMEDORES!R278</f>
        <v>0</v>
      </c>
    </row>
    <row r="7569" spans="1:8" x14ac:dyDescent="0.3">
      <c r="A7569" t="s">
        <v>628</v>
      </c>
      <c r="B7569" t="s">
        <v>263</v>
      </c>
      <c r="C7569" t="s">
        <v>263</v>
      </c>
      <c r="D7569" t="s">
        <v>745</v>
      </c>
      <c r="E7569" t="s">
        <v>766</v>
      </c>
      <c r="F7569">
        <v>1</v>
      </c>
      <c r="G7569" s="308">
        <f>COMEDORES!E279</f>
        <v>2700</v>
      </c>
      <c r="H7569" s="308">
        <f>COMEDORES!F279</f>
        <v>0</v>
      </c>
    </row>
    <row r="7570" spans="1:8" x14ac:dyDescent="0.3">
      <c r="A7570" t="s">
        <v>628</v>
      </c>
      <c r="B7570" t="s">
        <v>263</v>
      </c>
      <c r="C7570" t="s">
        <v>263</v>
      </c>
      <c r="D7570" t="s">
        <v>745</v>
      </c>
      <c r="E7570" t="s">
        <v>767</v>
      </c>
      <c r="F7570">
        <v>2</v>
      </c>
      <c r="G7570" s="308">
        <f>COMEDORES!G279</f>
        <v>3000</v>
      </c>
      <c r="H7570" s="308">
        <f>COMEDORES!H279</f>
        <v>0</v>
      </c>
    </row>
    <row r="7571" spans="1:8" x14ac:dyDescent="0.3">
      <c r="A7571" t="s">
        <v>628</v>
      </c>
      <c r="B7571" t="s">
        <v>263</v>
      </c>
      <c r="C7571" t="s">
        <v>263</v>
      </c>
      <c r="D7571" t="s">
        <v>745</v>
      </c>
      <c r="E7571" t="s">
        <v>768</v>
      </c>
      <c r="F7571">
        <v>3</v>
      </c>
      <c r="G7571" s="308">
        <f>COMEDORES!I279</f>
        <v>3300</v>
      </c>
      <c r="H7571" s="308">
        <f>COMEDORES!J279</f>
        <v>472248</v>
      </c>
    </row>
    <row r="7572" spans="1:8" x14ac:dyDescent="0.3">
      <c r="A7572" t="s">
        <v>628</v>
      </c>
      <c r="B7572" t="s">
        <v>263</v>
      </c>
      <c r="C7572" t="s">
        <v>263</v>
      </c>
      <c r="D7572" t="s">
        <v>745</v>
      </c>
      <c r="E7572" t="s">
        <v>769</v>
      </c>
      <c r="F7572">
        <v>4</v>
      </c>
      <c r="G7572" s="308">
        <f>COMEDORES!K279</f>
        <v>2850</v>
      </c>
      <c r="H7572" s="308">
        <f>COMEDORES!L279</f>
        <v>256956</v>
      </c>
    </row>
    <row r="7573" spans="1:8" x14ac:dyDescent="0.3">
      <c r="A7573" t="s">
        <v>628</v>
      </c>
      <c r="B7573" t="s">
        <v>263</v>
      </c>
      <c r="C7573" t="s">
        <v>263</v>
      </c>
      <c r="D7573" t="s">
        <v>745</v>
      </c>
      <c r="E7573" t="s">
        <v>770</v>
      </c>
      <c r="F7573">
        <v>5</v>
      </c>
      <c r="G7573" s="308">
        <f>COMEDORES!M279</f>
        <v>3000</v>
      </c>
      <c r="H7573" s="308">
        <f>COMEDORES!N279</f>
        <v>232484</v>
      </c>
    </row>
    <row r="7574" spans="1:8" x14ac:dyDescent="0.3">
      <c r="A7574" t="s">
        <v>628</v>
      </c>
      <c r="B7574" t="s">
        <v>263</v>
      </c>
      <c r="C7574" t="s">
        <v>263</v>
      </c>
      <c r="D7574" t="s">
        <v>745</v>
      </c>
      <c r="E7574" t="s">
        <v>771</v>
      </c>
      <c r="F7574">
        <v>6</v>
      </c>
      <c r="G7574" s="308">
        <f>COMEDORES!O279</f>
        <v>3150</v>
      </c>
      <c r="H7574" s="308">
        <f>COMEDORES!P279</f>
        <v>244720</v>
      </c>
    </row>
    <row r="7575" spans="1:8" x14ac:dyDescent="0.3">
      <c r="A7575" t="s">
        <v>628</v>
      </c>
      <c r="B7575" t="s">
        <v>263</v>
      </c>
      <c r="C7575" t="s">
        <v>263</v>
      </c>
      <c r="D7575" t="s">
        <v>745</v>
      </c>
      <c r="E7575" t="s">
        <v>772</v>
      </c>
      <c r="F7575">
        <v>7</v>
      </c>
      <c r="G7575" s="308">
        <f>COMEDORES!Q279</f>
        <v>3450</v>
      </c>
      <c r="H7575" s="308">
        <f>COMEDORES!R279</f>
        <v>256956</v>
      </c>
    </row>
    <row r="7576" spans="1:8" x14ac:dyDescent="0.3">
      <c r="A7576" t="s">
        <v>628</v>
      </c>
      <c r="B7576" t="s">
        <v>263</v>
      </c>
      <c r="C7576" t="s">
        <v>263</v>
      </c>
      <c r="D7576" t="s">
        <v>746</v>
      </c>
      <c r="E7576" t="s">
        <v>766</v>
      </c>
      <c r="F7576">
        <v>1</v>
      </c>
      <c r="G7576" s="308">
        <f>COMEDORES!E280</f>
        <v>3800</v>
      </c>
      <c r="H7576" s="308">
        <f>COMEDORES!F280</f>
        <v>0</v>
      </c>
    </row>
    <row r="7577" spans="1:8" x14ac:dyDescent="0.3">
      <c r="A7577" t="s">
        <v>628</v>
      </c>
      <c r="B7577" t="s">
        <v>263</v>
      </c>
      <c r="C7577" t="s">
        <v>263</v>
      </c>
      <c r="D7577" t="s">
        <v>746</v>
      </c>
      <c r="E7577" t="s">
        <v>767</v>
      </c>
      <c r="F7577">
        <v>2</v>
      </c>
      <c r="G7577" s="308">
        <f>COMEDORES!G280</f>
        <v>4000</v>
      </c>
      <c r="H7577" s="308">
        <f>COMEDORES!H280</f>
        <v>0</v>
      </c>
    </row>
    <row r="7578" spans="1:8" x14ac:dyDescent="0.3">
      <c r="A7578" t="s">
        <v>628</v>
      </c>
      <c r="B7578" t="s">
        <v>263</v>
      </c>
      <c r="C7578" t="s">
        <v>263</v>
      </c>
      <c r="D7578" t="s">
        <v>746</v>
      </c>
      <c r="E7578" t="s">
        <v>768</v>
      </c>
      <c r="F7578">
        <v>3</v>
      </c>
      <c r="G7578" s="308">
        <f>COMEDORES!I280</f>
        <v>4400</v>
      </c>
      <c r="H7578" s="308">
        <f>COMEDORES!J280</f>
        <v>0</v>
      </c>
    </row>
    <row r="7579" spans="1:8" x14ac:dyDescent="0.3">
      <c r="A7579" t="s">
        <v>628</v>
      </c>
      <c r="B7579" t="s">
        <v>263</v>
      </c>
      <c r="C7579" t="s">
        <v>263</v>
      </c>
      <c r="D7579" t="s">
        <v>746</v>
      </c>
      <c r="E7579" t="s">
        <v>769</v>
      </c>
      <c r="F7579">
        <v>4</v>
      </c>
      <c r="G7579" s="308">
        <f>COMEDORES!K280</f>
        <v>3800</v>
      </c>
      <c r="H7579" s="308">
        <f>COMEDORES!L280</f>
        <v>0</v>
      </c>
    </row>
    <row r="7580" spans="1:8" x14ac:dyDescent="0.3">
      <c r="A7580" t="s">
        <v>628</v>
      </c>
      <c r="B7580" t="s">
        <v>263</v>
      </c>
      <c r="C7580" t="s">
        <v>263</v>
      </c>
      <c r="D7580" t="s">
        <v>746</v>
      </c>
      <c r="E7580" t="s">
        <v>770</v>
      </c>
      <c r="F7580">
        <v>5</v>
      </c>
      <c r="G7580" s="308">
        <f>COMEDORES!M280</f>
        <v>4000</v>
      </c>
      <c r="H7580" s="308">
        <f>COMEDORES!N280</f>
        <v>0</v>
      </c>
    </row>
    <row r="7581" spans="1:8" x14ac:dyDescent="0.3">
      <c r="A7581" t="s">
        <v>628</v>
      </c>
      <c r="B7581" t="s">
        <v>263</v>
      </c>
      <c r="C7581" t="s">
        <v>263</v>
      </c>
      <c r="D7581" t="s">
        <v>746</v>
      </c>
      <c r="E7581" t="s">
        <v>771</v>
      </c>
      <c r="F7581">
        <v>6</v>
      </c>
      <c r="G7581" s="308">
        <f>COMEDORES!O280</f>
        <v>4200</v>
      </c>
      <c r="H7581" s="308">
        <f>COMEDORES!P280</f>
        <v>0</v>
      </c>
    </row>
    <row r="7582" spans="1:8" x14ac:dyDescent="0.3">
      <c r="A7582" t="s">
        <v>628</v>
      </c>
      <c r="B7582" t="s">
        <v>263</v>
      </c>
      <c r="C7582" t="s">
        <v>263</v>
      </c>
      <c r="D7582" t="s">
        <v>746</v>
      </c>
      <c r="E7582" t="s">
        <v>772</v>
      </c>
      <c r="F7582">
        <v>7</v>
      </c>
      <c r="G7582" s="308">
        <f>COMEDORES!Q280</f>
        <v>4600</v>
      </c>
      <c r="H7582" s="308">
        <f>COMEDORES!R280</f>
        <v>0</v>
      </c>
    </row>
    <row r="7583" spans="1:8" x14ac:dyDescent="0.3">
      <c r="A7583" t="s">
        <v>628</v>
      </c>
      <c r="B7583" t="s">
        <v>263</v>
      </c>
      <c r="C7583" t="s">
        <v>285</v>
      </c>
      <c r="D7583" t="s">
        <v>745</v>
      </c>
      <c r="E7583" t="s">
        <v>766</v>
      </c>
      <c r="F7583">
        <v>1</v>
      </c>
      <c r="G7583" s="308">
        <f>COMEDORES!E281</f>
        <v>0</v>
      </c>
      <c r="H7583" s="308">
        <f>COMEDORES!F281</f>
        <v>0</v>
      </c>
    </row>
    <row r="7584" spans="1:8" x14ac:dyDescent="0.3">
      <c r="A7584" t="s">
        <v>628</v>
      </c>
      <c r="B7584" t="s">
        <v>263</v>
      </c>
      <c r="C7584" t="s">
        <v>285</v>
      </c>
      <c r="D7584" t="s">
        <v>745</v>
      </c>
      <c r="E7584" t="s">
        <v>767</v>
      </c>
      <c r="F7584">
        <v>2</v>
      </c>
      <c r="G7584" s="308">
        <f>COMEDORES!G281</f>
        <v>0</v>
      </c>
      <c r="H7584" s="308">
        <f>COMEDORES!H281</f>
        <v>0</v>
      </c>
    </row>
    <row r="7585" spans="1:8" x14ac:dyDescent="0.3">
      <c r="A7585" t="s">
        <v>628</v>
      </c>
      <c r="B7585" t="s">
        <v>263</v>
      </c>
      <c r="C7585" t="s">
        <v>285</v>
      </c>
      <c r="D7585" t="s">
        <v>745</v>
      </c>
      <c r="E7585" t="s">
        <v>768</v>
      </c>
      <c r="F7585">
        <v>3</v>
      </c>
      <c r="G7585" s="308">
        <f>COMEDORES!I281</f>
        <v>0</v>
      </c>
      <c r="H7585" s="308">
        <f>COMEDORES!J281</f>
        <v>0</v>
      </c>
    </row>
    <row r="7586" spans="1:8" x14ac:dyDescent="0.3">
      <c r="A7586" t="s">
        <v>628</v>
      </c>
      <c r="B7586" t="s">
        <v>263</v>
      </c>
      <c r="C7586" t="s">
        <v>285</v>
      </c>
      <c r="D7586" t="s">
        <v>745</v>
      </c>
      <c r="E7586" t="s">
        <v>769</v>
      </c>
      <c r="F7586">
        <v>4</v>
      </c>
      <c r="G7586" s="308">
        <f>COMEDORES!K281</f>
        <v>996</v>
      </c>
      <c r="H7586" s="308">
        <f>COMEDORES!L281</f>
        <v>0</v>
      </c>
    </row>
    <row r="7587" spans="1:8" x14ac:dyDescent="0.3">
      <c r="A7587" t="s">
        <v>628</v>
      </c>
      <c r="B7587" t="s">
        <v>263</v>
      </c>
      <c r="C7587" t="s">
        <v>285</v>
      </c>
      <c r="D7587" t="s">
        <v>745</v>
      </c>
      <c r="E7587" t="s">
        <v>770</v>
      </c>
      <c r="F7587">
        <v>5</v>
      </c>
      <c r="G7587" s="308">
        <f>COMEDORES!M281</f>
        <v>1863</v>
      </c>
      <c r="H7587" s="308">
        <f>COMEDORES!N281</f>
        <v>86525.04</v>
      </c>
    </row>
    <row r="7588" spans="1:8" x14ac:dyDescent="0.3">
      <c r="A7588" t="s">
        <v>628</v>
      </c>
      <c r="B7588" t="s">
        <v>263</v>
      </c>
      <c r="C7588" t="s">
        <v>285</v>
      </c>
      <c r="D7588" t="s">
        <v>745</v>
      </c>
      <c r="E7588" t="s">
        <v>771</v>
      </c>
      <c r="F7588">
        <v>6</v>
      </c>
      <c r="G7588" s="308">
        <f>COMEDORES!O281</f>
        <v>2100</v>
      </c>
      <c r="H7588" s="308">
        <f>COMEDORES!P281</f>
        <v>158195.52000000002</v>
      </c>
    </row>
    <row r="7589" spans="1:8" x14ac:dyDescent="0.3">
      <c r="A7589" t="s">
        <v>628</v>
      </c>
      <c r="B7589" t="s">
        <v>263</v>
      </c>
      <c r="C7589" t="s">
        <v>285</v>
      </c>
      <c r="D7589" t="s">
        <v>745</v>
      </c>
      <c r="E7589" t="s">
        <v>772</v>
      </c>
      <c r="F7589">
        <v>7</v>
      </c>
      <c r="G7589" s="308">
        <f>COMEDORES!Q281</f>
        <v>1100</v>
      </c>
      <c r="H7589" s="308">
        <f>COMEDORES!R281</f>
        <v>178584</v>
      </c>
    </row>
    <row r="7590" spans="1:8" x14ac:dyDescent="0.3">
      <c r="A7590" t="s">
        <v>628</v>
      </c>
      <c r="B7590" t="s">
        <v>263</v>
      </c>
      <c r="C7590" t="s">
        <v>285</v>
      </c>
      <c r="D7590" t="s">
        <v>746</v>
      </c>
      <c r="E7590" t="s">
        <v>766</v>
      </c>
      <c r="F7590">
        <v>1</v>
      </c>
      <c r="G7590" s="308">
        <f>COMEDORES!E282</f>
        <v>0</v>
      </c>
      <c r="H7590" s="308">
        <f>COMEDORES!F282</f>
        <v>0</v>
      </c>
    </row>
    <row r="7591" spans="1:8" x14ac:dyDescent="0.3">
      <c r="A7591" t="s">
        <v>628</v>
      </c>
      <c r="B7591" t="s">
        <v>263</v>
      </c>
      <c r="C7591" t="s">
        <v>285</v>
      </c>
      <c r="D7591" t="s">
        <v>746</v>
      </c>
      <c r="E7591" t="s">
        <v>767</v>
      </c>
      <c r="F7591">
        <v>2</v>
      </c>
      <c r="G7591" s="308">
        <f>COMEDORES!G282</f>
        <v>0</v>
      </c>
      <c r="H7591" s="308">
        <f>COMEDORES!H282</f>
        <v>0</v>
      </c>
    </row>
    <row r="7592" spans="1:8" x14ac:dyDescent="0.3">
      <c r="A7592" t="s">
        <v>628</v>
      </c>
      <c r="B7592" t="s">
        <v>263</v>
      </c>
      <c r="C7592" t="s">
        <v>285</v>
      </c>
      <c r="D7592" t="s">
        <v>746</v>
      </c>
      <c r="E7592" t="s">
        <v>768</v>
      </c>
      <c r="F7592">
        <v>3</v>
      </c>
      <c r="G7592" s="308">
        <f>COMEDORES!I282</f>
        <v>0</v>
      </c>
      <c r="H7592" s="308">
        <f>COMEDORES!J282</f>
        <v>0</v>
      </c>
    </row>
    <row r="7593" spans="1:8" x14ac:dyDescent="0.3">
      <c r="A7593" t="s">
        <v>628</v>
      </c>
      <c r="B7593" t="s">
        <v>263</v>
      </c>
      <c r="C7593" t="s">
        <v>285</v>
      </c>
      <c r="D7593" t="s">
        <v>746</v>
      </c>
      <c r="E7593" t="s">
        <v>769</v>
      </c>
      <c r="F7593">
        <v>4</v>
      </c>
      <c r="G7593" s="308">
        <f>COMEDORES!K282</f>
        <v>1473</v>
      </c>
      <c r="H7593" s="308">
        <f>COMEDORES!L282</f>
        <v>0</v>
      </c>
    </row>
    <row r="7594" spans="1:8" x14ac:dyDescent="0.3">
      <c r="A7594" t="s">
        <v>628</v>
      </c>
      <c r="B7594" t="s">
        <v>263</v>
      </c>
      <c r="C7594" t="s">
        <v>285</v>
      </c>
      <c r="D7594" t="s">
        <v>746</v>
      </c>
      <c r="E7594" t="s">
        <v>770</v>
      </c>
      <c r="F7594">
        <v>5</v>
      </c>
      <c r="G7594" s="308">
        <f>COMEDORES!M282</f>
        <v>2655</v>
      </c>
      <c r="H7594" s="308">
        <f>COMEDORES!N282</f>
        <v>0</v>
      </c>
    </row>
    <row r="7595" spans="1:8" x14ac:dyDescent="0.3">
      <c r="A7595" t="s">
        <v>628</v>
      </c>
      <c r="B7595" t="s">
        <v>263</v>
      </c>
      <c r="C7595" t="s">
        <v>285</v>
      </c>
      <c r="D7595" t="s">
        <v>746</v>
      </c>
      <c r="E7595" t="s">
        <v>771</v>
      </c>
      <c r="F7595">
        <v>6</v>
      </c>
      <c r="G7595" s="308">
        <f>COMEDORES!O282</f>
        <v>3000</v>
      </c>
      <c r="H7595" s="308">
        <f>COMEDORES!P282</f>
        <v>0</v>
      </c>
    </row>
    <row r="7596" spans="1:8" x14ac:dyDescent="0.3">
      <c r="A7596" t="s">
        <v>628</v>
      </c>
      <c r="B7596" t="s">
        <v>263</v>
      </c>
      <c r="C7596" t="s">
        <v>285</v>
      </c>
      <c r="D7596" t="s">
        <v>746</v>
      </c>
      <c r="E7596" t="s">
        <v>772</v>
      </c>
      <c r="F7596">
        <v>7</v>
      </c>
      <c r="G7596" s="308">
        <f>COMEDORES!Q282</f>
        <v>1650</v>
      </c>
      <c r="H7596" s="308">
        <f>COMEDORES!R282</f>
        <v>0</v>
      </c>
    </row>
    <row r="7597" spans="1:8" x14ac:dyDescent="0.3">
      <c r="A7597" t="s">
        <v>628</v>
      </c>
      <c r="B7597" t="s">
        <v>263</v>
      </c>
      <c r="C7597" t="s">
        <v>412</v>
      </c>
      <c r="D7597" t="s">
        <v>745</v>
      </c>
      <c r="E7597" t="s">
        <v>766</v>
      </c>
      <c r="F7597">
        <v>1</v>
      </c>
      <c r="G7597" s="308">
        <f>COMEDORES!E283</f>
        <v>1800</v>
      </c>
      <c r="H7597" s="308">
        <f>COMEDORES!F283</f>
        <v>0</v>
      </c>
    </row>
    <row r="7598" spans="1:8" x14ac:dyDescent="0.3">
      <c r="A7598" t="s">
        <v>628</v>
      </c>
      <c r="B7598" t="s">
        <v>263</v>
      </c>
      <c r="C7598" t="s">
        <v>412</v>
      </c>
      <c r="D7598" t="s">
        <v>745</v>
      </c>
      <c r="E7598" t="s">
        <v>767</v>
      </c>
      <c r="F7598">
        <v>2</v>
      </c>
      <c r="G7598" s="308">
        <f>COMEDORES!G283</f>
        <v>2000</v>
      </c>
      <c r="H7598" s="308">
        <f>COMEDORES!H283</f>
        <v>0</v>
      </c>
    </row>
    <row r="7599" spans="1:8" x14ac:dyDescent="0.3">
      <c r="A7599" t="s">
        <v>628</v>
      </c>
      <c r="B7599" t="s">
        <v>263</v>
      </c>
      <c r="C7599" t="s">
        <v>412</v>
      </c>
      <c r="D7599" t="s">
        <v>745</v>
      </c>
      <c r="E7599" t="s">
        <v>768</v>
      </c>
      <c r="F7599">
        <v>3</v>
      </c>
      <c r="G7599" s="308">
        <f>COMEDORES!I283</f>
        <v>2200</v>
      </c>
      <c r="H7599" s="308">
        <f>COMEDORES!J283</f>
        <v>338492</v>
      </c>
    </row>
    <row r="7600" spans="1:8" x14ac:dyDescent="0.3">
      <c r="A7600" t="s">
        <v>628</v>
      </c>
      <c r="B7600" t="s">
        <v>263</v>
      </c>
      <c r="C7600" t="s">
        <v>412</v>
      </c>
      <c r="D7600" t="s">
        <v>745</v>
      </c>
      <c r="E7600" t="s">
        <v>769</v>
      </c>
      <c r="F7600">
        <v>4</v>
      </c>
      <c r="G7600" s="308">
        <f>COMEDORES!K283</f>
        <v>1425</v>
      </c>
      <c r="H7600" s="308">
        <f>COMEDORES!L283</f>
        <v>188678</v>
      </c>
    </row>
    <row r="7601" spans="1:8" x14ac:dyDescent="0.3">
      <c r="A7601" t="s">
        <v>628</v>
      </c>
      <c r="B7601" t="s">
        <v>263</v>
      </c>
      <c r="C7601" t="s">
        <v>412</v>
      </c>
      <c r="D7601" t="s">
        <v>745</v>
      </c>
      <c r="E7601" t="s">
        <v>770</v>
      </c>
      <c r="F7601">
        <v>5</v>
      </c>
      <c r="G7601" s="308">
        <f>COMEDORES!M283</f>
        <v>1500</v>
      </c>
      <c r="H7601" s="308">
        <f>COMEDORES!N283</f>
        <v>150822</v>
      </c>
    </row>
    <row r="7602" spans="1:8" x14ac:dyDescent="0.3">
      <c r="A7602" t="s">
        <v>628</v>
      </c>
      <c r="B7602" t="s">
        <v>263</v>
      </c>
      <c r="C7602" t="s">
        <v>412</v>
      </c>
      <c r="D7602" t="s">
        <v>745</v>
      </c>
      <c r="E7602" t="s">
        <v>771</v>
      </c>
      <c r="F7602">
        <v>6</v>
      </c>
      <c r="G7602" s="308">
        <f>COMEDORES!O283</f>
        <v>1575</v>
      </c>
      <c r="H7602" s="308">
        <f>COMEDORES!P283</f>
        <v>158760</v>
      </c>
    </row>
    <row r="7603" spans="1:8" x14ac:dyDescent="0.3">
      <c r="A7603" t="s">
        <v>628</v>
      </c>
      <c r="B7603" t="s">
        <v>263</v>
      </c>
      <c r="C7603" t="s">
        <v>412</v>
      </c>
      <c r="D7603" t="s">
        <v>745</v>
      </c>
      <c r="E7603" t="s">
        <v>772</v>
      </c>
      <c r="F7603">
        <v>7</v>
      </c>
      <c r="G7603" s="308">
        <f>COMEDORES!Q283</f>
        <v>1725</v>
      </c>
      <c r="H7603" s="308">
        <f>COMEDORES!R283</f>
        <v>166698</v>
      </c>
    </row>
    <row r="7604" spans="1:8" x14ac:dyDescent="0.3">
      <c r="A7604" t="s">
        <v>628</v>
      </c>
      <c r="B7604" t="s">
        <v>263</v>
      </c>
      <c r="C7604" t="s">
        <v>412</v>
      </c>
      <c r="D7604" t="s">
        <v>746</v>
      </c>
      <c r="E7604" t="s">
        <v>766</v>
      </c>
      <c r="F7604">
        <v>1</v>
      </c>
      <c r="G7604" s="308">
        <f>COMEDORES!E284</f>
        <v>2834</v>
      </c>
      <c r="H7604" s="308">
        <f>COMEDORES!F284</f>
        <v>0</v>
      </c>
    </row>
    <row r="7605" spans="1:8" x14ac:dyDescent="0.3">
      <c r="A7605" t="s">
        <v>628</v>
      </c>
      <c r="B7605" t="s">
        <v>263</v>
      </c>
      <c r="C7605" t="s">
        <v>412</v>
      </c>
      <c r="D7605" t="s">
        <v>746</v>
      </c>
      <c r="E7605" t="s">
        <v>767</v>
      </c>
      <c r="F7605">
        <v>2</v>
      </c>
      <c r="G7605" s="308">
        <f>COMEDORES!G284</f>
        <v>3000</v>
      </c>
      <c r="H7605" s="308">
        <f>COMEDORES!H284</f>
        <v>0</v>
      </c>
    </row>
    <row r="7606" spans="1:8" x14ac:dyDescent="0.3">
      <c r="A7606" t="s">
        <v>628</v>
      </c>
      <c r="B7606" t="s">
        <v>263</v>
      </c>
      <c r="C7606" t="s">
        <v>412</v>
      </c>
      <c r="D7606" t="s">
        <v>746</v>
      </c>
      <c r="E7606" t="s">
        <v>768</v>
      </c>
      <c r="F7606">
        <v>3</v>
      </c>
      <c r="G7606" s="308">
        <f>COMEDORES!I284</f>
        <v>3300</v>
      </c>
      <c r="H7606" s="308">
        <f>COMEDORES!J284</f>
        <v>0</v>
      </c>
    </row>
    <row r="7607" spans="1:8" x14ac:dyDescent="0.3">
      <c r="A7607" t="s">
        <v>628</v>
      </c>
      <c r="B7607" t="s">
        <v>263</v>
      </c>
      <c r="C7607" t="s">
        <v>412</v>
      </c>
      <c r="D7607" t="s">
        <v>746</v>
      </c>
      <c r="E7607" t="s">
        <v>769</v>
      </c>
      <c r="F7607">
        <v>4</v>
      </c>
      <c r="G7607" s="308">
        <f>COMEDORES!K284</f>
        <v>2850</v>
      </c>
      <c r="H7607" s="308">
        <f>COMEDORES!L284</f>
        <v>0</v>
      </c>
    </row>
    <row r="7608" spans="1:8" x14ac:dyDescent="0.3">
      <c r="A7608" t="s">
        <v>628</v>
      </c>
      <c r="B7608" t="s">
        <v>263</v>
      </c>
      <c r="C7608" t="s">
        <v>412</v>
      </c>
      <c r="D7608" t="s">
        <v>746</v>
      </c>
      <c r="E7608" t="s">
        <v>770</v>
      </c>
      <c r="F7608">
        <v>5</v>
      </c>
      <c r="G7608" s="308">
        <f>COMEDORES!M284</f>
        <v>3000</v>
      </c>
      <c r="H7608" s="308">
        <f>COMEDORES!N284</f>
        <v>0</v>
      </c>
    </row>
    <row r="7609" spans="1:8" x14ac:dyDescent="0.3">
      <c r="A7609" t="s">
        <v>628</v>
      </c>
      <c r="B7609" t="s">
        <v>263</v>
      </c>
      <c r="C7609" t="s">
        <v>412</v>
      </c>
      <c r="D7609" t="s">
        <v>746</v>
      </c>
      <c r="E7609" t="s">
        <v>771</v>
      </c>
      <c r="F7609">
        <v>6</v>
      </c>
      <c r="G7609" s="308">
        <f>COMEDORES!O284</f>
        <v>3150</v>
      </c>
      <c r="H7609" s="308">
        <f>COMEDORES!P284</f>
        <v>0</v>
      </c>
    </row>
    <row r="7610" spans="1:8" x14ac:dyDescent="0.3">
      <c r="A7610" t="s">
        <v>628</v>
      </c>
      <c r="B7610" t="s">
        <v>263</v>
      </c>
      <c r="C7610" t="s">
        <v>412</v>
      </c>
      <c r="D7610" t="s">
        <v>746</v>
      </c>
      <c r="E7610" t="s">
        <v>772</v>
      </c>
      <c r="F7610">
        <v>7</v>
      </c>
      <c r="G7610" s="308">
        <f>COMEDORES!Q284</f>
        <v>3450</v>
      </c>
      <c r="H7610" s="308">
        <f>COMEDORES!R284</f>
        <v>0</v>
      </c>
    </row>
    <row r="7611" spans="1:8" x14ac:dyDescent="0.3">
      <c r="A7611" t="s">
        <v>628</v>
      </c>
      <c r="B7611" t="s">
        <v>263</v>
      </c>
      <c r="C7611" t="s">
        <v>286</v>
      </c>
      <c r="D7611" t="s">
        <v>745</v>
      </c>
      <c r="E7611" t="s">
        <v>766</v>
      </c>
      <c r="F7611">
        <v>1</v>
      </c>
      <c r="G7611" s="308">
        <f>COMEDORES!E285</f>
        <v>0</v>
      </c>
      <c r="H7611" s="308">
        <f>COMEDORES!F285</f>
        <v>0</v>
      </c>
    </row>
    <row r="7612" spans="1:8" x14ac:dyDescent="0.3">
      <c r="A7612" t="s">
        <v>628</v>
      </c>
      <c r="B7612" t="s">
        <v>263</v>
      </c>
      <c r="C7612" t="s">
        <v>286</v>
      </c>
      <c r="D7612" t="s">
        <v>745</v>
      </c>
      <c r="E7612" t="s">
        <v>767</v>
      </c>
      <c r="F7612">
        <v>2</v>
      </c>
      <c r="G7612" s="308">
        <f>COMEDORES!G285</f>
        <v>0</v>
      </c>
      <c r="H7612" s="308">
        <f>COMEDORES!H285</f>
        <v>0</v>
      </c>
    </row>
    <row r="7613" spans="1:8" x14ac:dyDescent="0.3">
      <c r="A7613" t="s">
        <v>628</v>
      </c>
      <c r="B7613" t="s">
        <v>263</v>
      </c>
      <c r="C7613" t="s">
        <v>286</v>
      </c>
      <c r="D7613" t="s">
        <v>745</v>
      </c>
      <c r="E7613" t="s">
        <v>768</v>
      </c>
      <c r="F7613">
        <v>3</v>
      </c>
      <c r="G7613" s="308">
        <f>COMEDORES!I285</f>
        <v>0</v>
      </c>
      <c r="H7613" s="308">
        <f>COMEDORES!J285</f>
        <v>0</v>
      </c>
    </row>
    <row r="7614" spans="1:8" x14ac:dyDescent="0.3">
      <c r="A7614" t="s">
        <v>628</v>
      </c>
      <c r="B7614" t="s">
        <v>263</v>
      </c>
      <c r="C7614" t="s">
        <v>286</v>
      </c>
      <c r="D7614" t="s">
        <v>745</v>
      </c>
      <c r="E7614" t="s">
        <v>769</v>
      </c>
      <c r="F7614">
        <v>4</v>
      </c>
      <c r="G7614" s="308">
        <f>COMEDORES!K285</f>
        <v>0</v>
      </c>
      <c r="H7614" s="308">
        <f>COMEDORES!L285</f>
        <v>0</v>
      </c>
    </row>
    <row r="7615" spans="1:8" x14ac:dyDescent="0.3">
      <c r="A7615" t="s">
        <v>628</v>
      </c>
      <c r="B7615" t="s">
        <v>263</v>
      </c>
      <c r="C7615" t="s">
        <v>286</v>
      </c>
      <c r="D7615" t="s">
        <v>745</v>
      </c>
      <c r="E7615" t="s">
        <v>770</v>
      </c>
      <c r="F7615">
        <v>5</v>
      </c>
      <c r="G7615" s="308">
        <f>COMEDORES!M285</f>
        <v>0</v>
      </c>
      <c r="H7615" s="308">
        <f>COMEDORES!N285</f>
        <v>0</v>
      </c>
    </row>
    <row r="7616" spans="1:8" x14ac:dyDescent="0.3">
      <c r="A7616" t="s">
        <v>628</v>
      </c>
      <c r="B7616" t="s">
        <v>263</v>
      </c>
      <c r="C7616" t="s">
        <v>286</v>
      </c>
      <c r="D7616" t="s">
        <v>745</v>
      </c>
      <c r="E7616" t="s">
        <v>771</v>
      </c>
      <c r="F7616">
        <v>6</v>
      </c>
      <c r="G7616" s="308">
        <f>COMEDORES!O285</f>
        <v>1300</v>
      </c>
      <c r="H7616" s="308">
        <f>COMEDORES!P285</f>
        <v>0</v>
      </c>
    </row>
    <row r="7617" spans="1:8" x14ac:dyDescent="0.3">
      <c r="A7617" t="s">
        <v>628</v>
      </c>
      <c r="B7617" t="s">
        <v>263</v>
      </c>
      <c r="C7617" t="s">
        <v>286</v>
      </c>
      <c r="D7617" t="s">
        <v>745</v>
      </c>
      <c r="E7617" t="s">
        <v>772</v>
      </c>
      <c r="F7617">
        <v>7</v>
      </c>
      <c r="G7617" s="308">
        <f>COMEDORES!Q285</f>
        <v>2300</v>
      </c>
      <c r="H7617" s="308">
        <f>COMEDORES!R285</f>
        <v>113932</v>
      </c>
    </row>
    <row r="7618" spans="1:8" x14ac:dyDescent="0.3">
      <c r="A7618" t="s">
        <v>628</v>
      </c>
      <c r="B7618" t="s">
        <v>263</v>
      </c>
      <c r="C7618" t="s">
        <v>286</v>
      </c>
      <c r="D7618" t="s">
        <v>746</v>
      </c>
      <c r="E7618" t="s">
        <v>766</v>
      </c>
      <c r="F7618">
        <v>1</v>
      </c>
      <c r="G7618" s="308">
        <f>COMEDORES!E286</f>
        <v>0</v>
      </c>
      <c r="H7618" s="308">
        <f>COMEDORES!F286</f>
        <v>0</v>
      </c>
    </row>
    <row r="7619" spans="1:8" x14ac:dyDescent="0.3">
      <c r="A7619" t="s">
        <v>628</v>
      </c>
      <c r="B7619" t="s">
        <v>263</v>
      </c>
      <c r="C7619" t="s">
        <v>286</v>
      </c>
      <c r="D7619" t="s">
        <v>746</v>
      </c>
      <c r="E7619" t="s">
        <v>767</v>
      </c>
      <c r="F7619">
        <v>2</v>
      </c>
      <c r="G7619" s="308">
        <f>COMEDORES!G286</f>
        <v>0</v>
      </c>
      <c r="H7619" s="308">
        <f>COMEDORES!H286</f>
        <v>0</v>
      </c>
    </row>
    <row r="7620" spans="1:8" x14ac:dyDescent="0.3">
      <c r="A7620" t="s">
        <v>628</v>
      </c>
      <c r="B7620" t="s">
        <v>263</v>
      </c>
      <c r="C7620" t="s">
        <v>286</v>
      </c>
      <c r="D7620" t="s">
        <v>746</v>
      </c>
      <c r="E7620" t="s">
        <v>768</v>
      </c>
      <c r="F7620">
        <v>3</v>
      </c>
      <c r="G7620" s="308">
        <f>COMEDORES!I286</f>
        <v>0</v>
      </c>
      <c r="H7620" s="308">
        <f>COMEDORES!J286</f>
        <v>0</v>
      </c>
    </row>
    <row r="7621" spans="1:8" x14ac:dyDescent="0.3">
      <c r="A7621" t="s">
        <v>628</v>
      </c>
      <c r="B7621" t="s">
        <v>263</v>
      </c>
      <c r="C7621" t="s">
        <v>286</v>
      </c>
      <c r="D7621" t="s">
        <v>746</v>
      </c>
      <c r="E7621" t="s">
        <v>769</v>
      </c>
      <c r="F7621">
        <v>4</v>
      </c>
      <c r="G7621" s="308">
        <f>COMEDORES!K286</f>
        <v>0</v>
      </c>
      <c r="H7621" s="308">
        <f>COMEDORES!L286</f>
        <v>0</v>
      </c>
    </row>
    <row r="7622" spans="1:8" x14ac:dyDescent="0.3">
      <c r="A7622" t="s">
        <v>628</v>
      </c>
      <c r="B7622" t="s">
        <v>263</v>
      </c>
      <c r="C7622" t="s">
        <v>286</v>
      </c>
      <c r="D7622" t="s">
        <v>746</v>
      </c>
      <c r="E7622" t="s">
        <v>770</v>
      </c>
      <c r="F7622">
        <v>5</v>
      </c>
      <c r="G7622" s="308">
        <f>COMEDORES!M286</f>
        <v>0</v>
      </c>
      <c r="H7622" s="308">
        <f>COMEDORES!N286</f>
        <v>0</v>
      </c>
    </row>
    <row r="7623" spans="1:8" x14ac:dyDescent="0.3">
      <c r="A7623" t="s">
        <v>628</v>
      </c>
      <c r="B7623" t="s">
        <v>263</v>
      </c>
      <c r="C7623" t="s">
        <v>286</v>
      </c>
      <c r="D7623" t="s">
        <v>746</v>
      </c>
      <c r="E7623" t="s">
        <v>771</v>
      </c>
      <c r="F7623">
        <v>6</v>
      </c>
      <c r="G7623" s="308">
        <f>COMEDORES!O286</f>
        <v>1950</v>
      </c>
      <c r="H7623" s="308">
        <f>COMEDORES!P286</f>
        <v>0</v>
      </c>
    </row>
    <row r="7624" spans="1:8" x14ac:dyDescent="0.3">
      <c r="A7624" t="s">
        <v>628</v>
      </c>
      <c r="B7624" t="s">
        <v>263</v>
      </c>
      <c r="C7624" t="s">
        <v>286</v>
      </c>
      <c r="D7624" t="s">
        <v>746</v>
      </c>
      <c r="E7624" t="s">
        <v>772</v>
      </c>
      <c r="F7624">
        <v>7</v>
      </c>
      <c r="G7624" s="308">
        <f>COMEDORES!Q286</f>
        <v>3450</v>
      </c>
      <c r="H7624" s="308">
        <f>COMEDORES!R286</f>
        <v>0</v>
      </c>
    </row>
    <row r="7625" spans="1:8" x14ac:dyDescent="0.3">
      <c r="A7625" t="s">
        <v>628</v>
      </c>
      <c r="B7625" t="s">
        <v>292</v>
      </c>
      <c r="C7625" t="s">
        <v>293</v>
      </c>
      <c r="D7625" t="s">
        <v>745</v>
      </c>
      <c r="E7625" t="s">
        <v>766</v>
      </c>
      <c r="F7625">
        <v>1</v>
      </c>
      <c r="G7625" s="308">
        <f>COMEDORES!E287</f>
        <v>2521</v>
      </c>
      <c r="H7625" s="308">
        <f>COMEDORES!F287</f>
        <v>0</v>
      </c>
    </row>
    <row r="7626" spans="1:8" x14ac:dyDescent="0.3">
      <c r="A7626" t="s">
        <v>628</v>
      </c>
      <c r="B7626" t="s">
        <v>292</v>
      </c>
      <c r="C7626" t="s">
        <v>293</v>
      </c>
      <c r="D7626" t="s">
        <v>745</v>
      </c>
      <c r="E7626" t="s">
        <v>767</v>
      </c>
      <c r="F7626">
        <v>2</v>
      </c>
      <c r="G7626" s="308">
        <f>COMEDORES!G287</f>
        <v>2724</v>
      </c>
      <c r="H7626" s="308">
        <f>COMEDORES!H287</f>
        <v>137262.6</v>
      </c>
    </row>
    <row r="7627" spans="1:8" x14ac:dyDescent="0.3">
      <c r="A7627" t="s">
        <v>628</v>
      </c>
      <c r="B7627" t="s">
        <v>292</v>
      </c>
      <c r="C7627" t="s">
        <v>293</v>
      </c>
      <c r="D7627" t="s">
        <v>745</v>
      </c>
      <c r="E7627" t="s">
        <v>768</v>
      </c>
      <c r="F7627">
        <v>3</v>
      </c>
      <c r="G7627" s="308">
        <f>COMEDORES!I287</f>
        <v>2750</v>
      </c>
      <c r="H7627" s="308">
        <f>COMEDORES!J287</f>
        <v>118146</v>
      </c>
    </row>
    <row r="7628" spans="1:8" x14ac:dyDescent="0.3">
      <c r="A7628" t="s">
        <v>628</v>
      </c>
      <c r="B7628" t="s">
        <v>292</v>
      </c>
      <c r="C7628" t="s">
        <v>293</v>
      </c>
      <c r="D7628" t="s">
        <v>745</v>
      </c>
      <c r="E7628" t="s">
        <v>769</v>
      </c>
      <c r="F7628">
        <v>4</v>
      </c>
      <c r="G7628" s="308">
        <f>COMEDORES!K287</f>
        <v>2375</v>
      </c>
      <c r="H7628" s="308">
        <f>COMEDORES!L287</f>
        <v>236249.99999999997</v>
      </c>
    </row>
    <row r="7629" spans="1:8" x14ac:dyDescent="0.3">
      <c r="A7629" t="s">
        <v>628</v>
      </c>
      <c r="B7629" t="s">
        <v>292</v>
      </c>
      <c r="C7629" t="s">
        <v>293</v>
      </c>
      <c r="D7629" t="s">
        <v>745</v>
      </c>
      <c r="E7629" t="s">
        <v>770</v>
      </c>
      <c r="F7629">
        <v>5</v>
      </c>
      <c r="G7629" s="308">
        <f>COMEDORES!M287</f>
        <v>2500</v>
      </c>
      <c r="H7629" s="308">
        <f>COMEDORES!N287</f>
        <v>166250</v>
      </c>
    </row>
    <row r="7630" spans="1:8" x14ac:dyDescent="0.3">
      <c r="A7630" t="s">
        <v>628</v>
      </c>
      <c r="B7630" t="s">
        <v>292</v>
      </c>
      <c r="C7630" t="s">
        <v>293</v>
      </c>
      <c r="D7630" t="s">
        <v>745</v>
      </c>
      <c r="E7630" t="s">
        <v>771</v>
      </c>
      <c r="F7630">
        <v>6</v>
      </c>
      <c r="G7630" s="308">
        <f>COMEDORES!O287</f>
        <v>2625</v>
      </c>
      <c r="H7630" s="308">
        <f>COMEDORES!P287</f>
        <v>182562.5</v>
      </c>
    </row>
    <row r="7631" spans="1:8" x14ac:dyDescent="0.3">
      <c r="A7631" t="s">
        <v>628</v>
      </c>
      <c r="B7631" t="s">
        <v>292</v>
      </c>
      <c r="C7631" t="s">
        <v>293</v>
      </c>
      <c r="D7631" t="s">
        <v>745</v>
      </c>
      <c r="E7631" t="s">
        <v>772</v>
      </c>
      <c r="F7631">
        <v>7</v>
      </c>
      <c r="G7631" s="308">
        <f>COMEDORES!Q287</f>
        <v>2875</v>
      </c>
      <c r="H7631" s="308">
        <f>COMEDORES!R287</f>
        <v>198187.5</v>
      </c>
    </row>
    <row r="7632" spans="1:8" x14ac:dyDescent="0.3">
      <c r="A7632" t="s">
        <v>628</v>
      </c>
      <c r="B7632" t="s">
        <v>292</v>
      </c>
      <c r="C7632" t="s">
        <v>293</v>
      </c>
      <c r="D7632" t="s">
        <v>746</v>
      </c>
      <c r="E7632" t="s">
        <v>766</v>
      </c>
      <c r="F7632">
        <v>1</v>
      </c>
      <c r="G7632" s="308">
        <f>COMEDORES!E288</f>
        <v>3420</v>
      </c>
      <c r="H7632" s="308">
        <f>COMEDORES!F288</f>
        <v>0</v>
      </c>
    </row>
    <row r="7633" spans="1:8" x14ac:dyDescent="0.3">
      <c r="A7633" t="s">
        <v>628</v>
      </c>
      <c r="B7633" t="s">
        <v>292</v>
      </c>
      <c r="C7633" t="s">
        <v>293</v>
      </c>
      <c r="D7633" t="s">
        <v>746</v>
      </c>
      <c r="E7633" t="s">
        <v>767</v>
      </c>
      <c r="F7633">
        <v>2</v>
      </c>
      <c r="G7633" s="308">
        <f>COMEDORES!G288</f>
        <v>3700</v>
      </c>
      <c r="H7633" s="308">
        <f>COMEDORES!H288</f>
        <v>0</v>
      </c>
    </row>
    <row r="7634" spans="1:8" x14ac:dyDescent="0.3">
      <c r="A7634" t="s">
        <v>628</v>
      </c>
      <c r="B7634" t="s">
        <v>292</v>
      </c>
      <c r="C7634" t="s">
        <v>293</v>
      </c>
      <c r="D7634" t="s">
        <v>746</v>
      </c>
      <c r="E7634" t="s">
        <v>768</v>
      </c>
      <c r="F7634">
        <v>3</v>
      </c>
      <c r="G7634" s="308">
        <f>COMEDORES!I288</f>
        <v>4400</v>
      </c>
      <c r="H7634" s="308">
        <f>COMEDORES!J288</f>
        <v>0</v>
      </c>
    </row>
    <row r="7635" spans="1:8" x14ac:dyDescent="0.3">
      <c r="A7635" t="s">
        <v>628</v>
      </c>
      <c r="B7635" t="s">
        <v>292</v>
      </c>
      <c r="C7635" t="s">
        <v>293</v>
      </c>
      <c r="D7635" t="s">
        <v>746</v>
      </c>
      <c r="E7635" t="s">
        <v>769</v>
      </c>
      <c r="F7635">
        <v>4</v>
      </c>
      <c r="G7635" s="308">
        <f>COMEDORES!K288</f>
        <v>3800</v>
      </c>
      <c r="H7635" s="308">
        <f>COMEDORES!L288</f>
        <v>0</v>
      </c>
    </row>
    <row r="7636" spans="1:8" x14ac:dyDescent="0.3">
      <c r="A7636" t="s">
        <v>628</v>
      </c>
      <c r="B7636" t="s">
        <v>292</v>
      </c>
      <c r="C7636" t="s">
        <v>293</v>
      </c>
      <c r="D7636" t="s">
        <v>746</v>
      </c>
      <c r="E7636" t="s">
        <v>770</v>
      </c>
      <c r="F7636">
        <v>5</v>
      </c>
      <c r="G7636" s="308">
        <f>COMEDORES!M288</f>
        <v>4275</v>
      </c>
      <c r="H7636" s="308">
        <f>COMEDORES!N288</f>
        <v>0</v>
      </c>
    </row>
    <row r="7637" spans="1:8" x14ac:dyDescent="0.3">
      <c r="A7637" t="s">
        <v>628</v>
      </c>
      <c r="B7637" t="s">
        <v>292</v>
      </c>
      <c r="C7637" t="s">
        <v>293</v>
      </c>
      <c r="D7637" t="s">
        <v>746</v>
      </c>
      <c r="E7637" t="s">
        <v>771</v>
      </c>
      <c r="F7637">
        <v>6</v>
      </c>
      <c r="G7637" s="308">
        <f>COMEDORES!O288</f>
        <v>4725</v>
      </c>
      <c r="H7637" s="308">
        <f>COMEDORES!P288</f>
        <v>0</v>
      </c>
    </row>
    <row r="7638" spans="1:8" x14ac:dyDescent="0.3">
      <c r="A7638" t="s">
        <v>628</v>
      </c>
      <c r="B7638" t="s">
        <v>292</v>
      </c>
      <c r="C7638" t="s">
        <v>293</v>
      </c>
      <c r="D7638" t="s">
        <v>746</v>
      </c>
      <c r="E7638" t="s">
        <v>772</v>
      </c>
      <c r="F7638">
        <v>7</v>
      </c>
      <c r="G7638" s="308">
        <f>COMEDORES!Q288</f>
        <v>5175</v>
      </c>
      <c r="H7638" s="308">
        <f>COMEDORES!R288</f>
        <v>0</v>
      </c>
    </row>
    <row r="7639" spans="1:8" x14ac:dyDescent="0.3">
      <c r="A7639" t="s">
        <v>628</v>
      </c>
      <c r="B7639" t="s">
        <v>292</v>
      </c>
      <c r="C7639" t="s">
        <v>294</v>
      </c>
      <c r="D7639" t="s">
        <v>745</v>
      </c>
      <c r="E7639" t="s">
        <v>766</v>
      </c>
      <c r="F7639">
        <v>1</v>
      </c>
      <c r="G7639" s="308">
        <f>COMEDORES!E289</f>
        <v>1350</v>
      </c>
      <c r="H7639" s="308">
        <f>COMEDORES!F289</f>
        <v>0</v>
      </c>
    </row>
    <row r="7640" spans="1:8" x14ac:dyDescent="0.3">
      <c r="A7640" t="s">
        <v>628</v>
      </c>
      <c r="B7640" t="s">
        <v>292</v>
      </c>
      <c r="C7640" t="s">
        <v>294</v>
      </c>
      <c r="D7640" t="s">
        <v>745</v>
      </c>
      <c r="E7640" t="s">
        <v>767</v>
      </c>
      <c r="F7640">
        <v>2</v>
      </c>
      <c r="G7640" s="308">
        <f>COMEDORES!G289</f>
        <v>1500</v>
      </c>
      <c r="H7640" s="308">
        <f>COMEDORES!H289</f>
        <v>86493.75</v>
      </c>
    </row>
    <row r="7641" spans="1:8" x14ac:dyDescent="0.3">
      <c r="A7641" t="s">
        <v>628</v>
      </c>
      <c r="B7641" t="s">
        <v>292</v>
      </c>
      <c r="C7641" t="s">
        <v>294</v>
      </c>
      <c r="D7641" t="s">
        <v>745</v>
      </c>
      <c r="E7641" t="s">
        <v>768</v>
      </c>
      <c r="F7641">
        <v>3</v>
      </c>
      <c r="G7641" s="308">
        <f>COMEDORES!I289</f>
        <v>1650</v>
      </c>
      <c r="H7641" s="308">
        <f>COMEDORES!J289</f>
        <v>83193.75</v>
      </c>
    </row>
    <row r="7642" spans="1:8" x14ac:dyDescent="0.3">
      <c r="A7642" t="s">
        <v>628</v>
      </c>
      <c r="B7642" t="s">
        <v>292</v>
      </c>
      <c r="C7642" t="s">
        <v>294</v>
      </c>
      <c r="D7642" t="s">
        <v>745</v>
      </c>
      <c r="E7642" t="s">
        <v>769</v>
      </c>
      <c r="F7642">
        <v>4</v>
      </c>
      <c r="G7642" s="308">
        <f>COMEDORES!K289</f>
        <v>1425</v>
      </c>
      <c r="H7642" s="308">
        <f>COMEDORES!L289</f>
        <v>157950</v>
      </c>
    </row>
    <row r="7643" spans="1:8" x14ac:dyDescent="0.3">
      <c r="A7643" t="s">
        <v>628</v>
      </c>
      <c r="B7643" t="s">
        <v>292</v>
      </c>
      <c r="C7643" t="s">
        <v>294</v>
      </c>
      <c r="D7643" t="s">
        <v>745</v>
      </c>
      <c r="E7643" t="s">
        <v>770</v>
      </c>
      <c r="F7643">
        <v>5</v>
      </c>
      <c r="G7643" s="308">
        <f>COMEDORES!M289</f>
        <v>1500</v>
      </c>
      <c r="H7643" s="308">
        <f>COMEDORES!N289</f>
        <v>115425</v>
      </c>
    </row>
    <row r="7644" spans="1:8" x14ac:dyDescent="0.3">
      <c r="A7644" t="s">
        <v>628</v>
      </c>
      <c r="B7644" t="s">
        <v>292</v>
      </c>
      <c r="C7644" t="s">
        <v>294</v>
      </c>
      <c r="D7644" t="s">
        <v>745</v>
      </c>
      <c r="E7644" t="s">
        <v>771</v>
      </c>
      <c r="F7644">
        <v>6</v>
      </c>
      <c r="G7644" s="308">
        <f>COMEDORES!O289</f>
        <v>1575</v>
      </c>
      <c r="H7644" s="308">
        <f>COMEDORES!P289</f>
        <v>121500</v>
      </c>
    </row>
    <row r="7645" spans="1:8" x14ac:dyDescent="0.3">
      <c r="A7645" t="s">
        <v>628</v>
      </c>
      <c r="B7645" t="s">
        <v>292</v>
      </c>
      <c r="C7645" t="s">
        <v>294</v>
      </c>
      <c r="D7645" t="s">
        <v>745</v>
      </c>
      <c r="E7645" t="s">
        <v>772</v>
      </c>
      <c r="F7645">
        <v>7</v>
      </c>
      <c r="G7645" s="308">
        <f>COMEDORES!Q289</f>
        <v>1725</v>
      </c>
      <c r="H7645" s="308">
        <f>COMEDORES!R289</f>
        <v>127575</v>
      </c>
    </row>
    <row r="7646" spans="1:8" x14ac:dyDescent="0.3">
      <c r="A7646" t="s">
        <v>628</v>
      </c>
      <c r="B7646" t="s">
        <v>292</v>
      </c>
      <c r="C7646" t="s">
        <v>294</v>
      </c>
      <c r="D7646" t="s">
        <v>746</v>
      </c>
      <c r="E7646" t="s">
        <v>766</v>
      </c>
      <c r="F7646">
        <v>1</v>
      </c>
      <c r="G7646" s="308">
        <f>COMEDORES!E290</f>
        <v>2850</v>
      </c>
      <c r="H7646" s="308">
        <f>COMEDORES!F290</f>
        <v>0</v>
      </c>
    </row>
    <row r="7647" spans="1:8" x14ac:dyDescent="0.3">
      <c r="A7647" t="s">
        <v>628</v>
      </c>
      <c r="B7647" t="s">
        <v>292</v>
      </c>
      <c r="C7647" t="s">
        <v>294</v>
      </c>
      <c r="D7647" t="s">
        <v>746</v>
      </c>
      <c r="E7647" t="s">
        <v>767</v>
      </c>
      <c r="F7647">
        <v>2</v>
      </c>
      <c r="G7647" s="308">
        <f>COMEDORES!G290</f>
        <v>3000</v>
      </c>
      <c r="H7647" s="308">
        <f>COMEDORES!H290</f>
        <v>0</v>
      </c>
    </row>
    <row r="7648" spans="1:8" x14ac:dyDescent="0.3">
      <c r="A7648" t="s">
        <v>628</v>
      </c>
      <c r="B7648" t="s">
        <v>292</v>
      </c>
      <c r="C7648" t="s">
        <v>294</v>
      </c>
      <c r="D7648" t="s">
        <v>746</v>
      </c>
      <c r="E7648" t="s">
        <v>768</v>
      </c>
      <c r="F7648">
        <v>3</v>
      </c>
      <c r="G7648" s="308">
        <f>COMEDORES!I290</f>
        <v>3300</v>
      </c>
      <c r="H7648" s="308">
        <f>COMEDORES!J290</f>
        <v>0</v>
      </c>
    </row>
    <row r="7649" spans="1:8" x14ac:dyDescent="0.3">
      <c r="A7649" t="s">
        <v>628</v>
      </c>
      <c r="B7649" t="s">
        <v>292</v>
      </c>
      <c r="C7649" t="s">
        <v>294</v>
      </c>
      <c r="D7649" t="s">
        <v>746</v>
      </c>
      <c r="E7649" t="s">
        <v>769</v>
      </c>
      <c r="F7649">
        <v>4</v>
      </c>
      <c r="G7649" s="308">
        <f>COMEDORES!K290</f>
        <v>2850</v>
      </c>
      <c r="H7649" s="308">
        <f>COMEDORES!L290</f>
        <v>0</v>
      </c>
    </row>
    <row r="7650" spans="1:8" x14ac:dyDescent="0.3">
      <c r="A7650" t="s">
        <v>628</v>
      </c>
      <c r="B7650" t="s">
        <v>292</v>
      </c>
      <c r="C7650" t="s">
        <v>294</v>
      </c>
      <c r="D7650" t="s">
        <v>746</v>
      </c>
      <c r="E7650" t="s">
        <v>770</v>
      </c>
      <c r="F7650">
        <v>5</v>
      </c>
      <c r="G7650" s="308">
        <f>COMEDORES!M290</f>
        <v>3000</v>
      </c>
      <c r="H7650" s="308">
        <f>COMEDORES!N290</f>
        <v>0</v>
      </c>
    </row>
    <row r="7651" spans="1:8" x14ac:dyDescent="0.3">
      <c r="A7651" t="s">
        <v>628</v>
      </c>
      <c r="B7651" t="s">
        <v>292</v>
      </c>
      <c r="C7651" t="s">
        <v>294</v>
      </c>
      <c r="D7651" t="s">
        <v>746</v>
      </c>
      <c r="E7651" t="s">
        <v>771</v>
      </c>
      <c r="F7651">
        <v>6</v>
      </c>
      <c r="G7651" s="308">
        <f>COMEDORES!O290</f>
        <v>3150</v>
      </c>
      <c r="H7651" s="308">
        <f>COMEDORES!P290</f>
        <v>0</v>
      </c>
    </row>
    <row r="7652" spans="1:8" x14ac:dyDescent="0.3">
      <c r="A7652" t="s">
        <v>628</v>
      </c>
      <c r="B7652" t="s">
        <v>292</v>
      </c>
      <c r="C7652" t="s">
        <v>294</v>
      </c>
      <c r="D7652" t="s">
        <v>746</v>
      </c>
      <c r="E7652" t="s">
        <v>772</v>
      </c>
      <c r="F7652">
        <v>7</v>
      </c>
      <c r="G7652" s="308">
        <f>COMEDORES!Q290</f>
        <v>3450</v>
      </c>
      <c r="H7652" s="308">
        <f>COMEDORES!R290</f>
        <v>0</v>
      </c>
    </row>
    <row r="7653" spans="1:8" x14ac:dyDescent="0.3">
      <c r="A7653" t="s">
        <v>628</v>
      </c>
      <c r="B7653" t="s">
        <v>292</v>
      </c>
      <c r="C7653" t="s">
        <v>295</v>
      </c>
      <c r="D7653" t="s">
        <v>745</v>
      </c>
      <c r="E7653" t="s">
        <v>766</v>
      </c>
      <c r="F7653">
        <v>1</v>
      </c>
      <c r="G7653" s="308">
        <f>COMEDORES!E291</f>
        <v>2075</v>
      </c>
      <c r="H7653" s="308">
        <f>COMEDORES!F291</f>
        <v>0</v>
      </c>
    </row>
    <row r="7654" spans="1:8" x14ac:dyDescent="0.3">
      <c r="A7654" t="s">
        <v>628</v>
      </c>
      <c r="B7654" t="s">
        <v>292</v>
      </c>
      <c r="C7654" t="s">
        <v>295</v>
      </c>
      <c r="D7654" t="s">
        <v>745</v>
      </c>
      <c r="E7654" t="s">
        <v>767</v>
      </c>
      <c r="F7654">
        <v>2</v>
      </c>
      <c r="G7654" s="308">
        <f>COMEDORES!G291</f>
        <v>2000</v>
      </c>
      <c r="H7654" s="308">
        <f>COMEDORES!H291</f>
        <v>74962.5</v>
      </c>
    </row>
    <row r="7655" spans="1:8" x14ac:dyDescent="0.3">
      <c r="A7655" t="s">
        <v>628</v>
      </c>
      <c r="B7655" t="s">
        <v>292</v>
      </c>
      <c r="C7655" t="s">
        <v>295</v>
      </c>
      <c r="D7655" t="s">
        <v>745</v>
      </c>
      <c r="E7655" t="s">
        <v>768</v>
      </c>
      <c r="F7655">
        <v>3</v>
      </c>
      <c r="G7655" s="308">
        <f>COMEDORES!I291</f>
        <v>2200</v>
      </c>
      <c r="H7655" s="308">
        <f>COMEDORES!J291</f>
        <v>146206.25</v>
      </c>
    </row>
    <row r="7656" spans="1:8" x14ac:dyDescent="0.3">
      <c r="A7656" t="s">
        <v>628</v>
      </c>
      <c r="B7656" t="s">
        <v>292</v>
      </c>
      <c r="C7656" t="s">
        <v>295</v>
      </c>
      <c r="D7656" t="s">
        <v>745</v>
      </c>
      <c r="E7656" t="s">
        <v>769</v>
      </c>
      <c r="F7656">
        <v>4</v>
      </c>
      <c r="G7656" s="308">
        <f>COMEDORES!K291</f>
        <v>1900</v>
      </c>
      <c r="H7656" s="308">
        <f>COMEDORES!L291</f>
        <v>218700</v>
      </c>
    </row>
    <row r="7657" spans="1:8" x14ac:dyDescent="0.3">
      <c r="A7657" t="s">
        <v>628</v>
      </c>
      <c r="B7657" t="s">
        <v>292</v>
      </c>
      <c r="C7657" t="s">
        <v>295</v>
      </c>
      <c r="D7657" t="s">
        <v>745</v>
      </c>
      <c r="E7657" t="s">
        <v>770</v>
      </c>
      <c r="F7657">
        <v>5</v>
      </c>
      <c r="G7657" s="308">
        <f>COMEDORES!M291</f>
        <v>2000</v>
      </c>
      <c r="H7657" s="308">
        <f>COMEDORES!N291</f>
        <v>153900</v>
      </c>
    </row>
    <row r="7658" spans="1:8" x14ac:dyDescent="0.3">
      <c r="A7658" t="s">
        <v>628</v>
      </c>
      <c r="B7658" t="s">
        <v>292</v>
      </c>
      <c r="C7658" t="s">
        <v>295</v>
      </c>
      <c r="D7658" t="s">
        <v>745</v>
      </c>
      <c r="E7658" t="s">
        <v>771</v>
      </c>
      <c r="F7658">
        <v>6</v>
      </c>
      <c r="G7658" s="308">
        <f>COMEDORES!O291</f>
        <v>2100</v>
      </c>
      <c r="H7658" s="308">
        <f>COMEDORES!P291</f>
        <v>162000</v>
      </c>
    </row>
    <row r="7659" spans="1:8" x14ac:dyDescent="0.3">
      <c r="A7659" t="s">
        <v>628</v>
      </c>
      <c r="B7659" t="s">
        <v>292</v>
      </c>
      <c r="C7659" t="s">
        <v>295</v>
      </c>
      <c r="D7659" t="s">
        <v>745</v>
      </c>
      <c r="E7659" t="s">
        <v>772</v>
      </c>
      <c r="F7659">
        <v>7</v>
      </c>
      <c r="G7659" s="308">
        <f>COMEDORES!Q291</f>
        <v>2300</v>
      </c>
      <c r="H7659" s="308">
        <f>COMEDORES!R291</f>
        <v>170100</v>
      </c>
    </row>
    <row r="7660" spans="1:8" x14ac:dyDescent="0.3">
      <c r="A7660" t="s">
        <v>628</v>
      </c>
      <c r="B7660" t="s">
        <v>292</v>
      </c>
      <c r="C7660" t="s">
        <v>295</v>
      </c>
      <c r="D7660" t="s">
        <v>746</v>
      </c>
      <c r="E7660" t="s">
        <v>766</v>
      </c>
      <c r="F7660">
        <v>1</v>
      </c>
      <c r="G7660" s="308">
        <f>COMEDORES!E292</f>
        <v>3600</v>
      </c>
      <c r="H7660" s="308">
        <f>COMEDORES!F292</f>
        <v>0</v>
      </c>
    </row>
    <row r="7661" spans="1:8" x14ac:dyDescent="0.3">
      <c r="A7661" t="s">
        <v>628</v>
      </c>
      <c r="B7661" t="s">
        <v>292</v>
      </c>
      <c r="C7661" t="s">
        <v>295</v>
      </c>
      <c r="D7661" t="s">
        <v>746</v>
      </c>
      <c r="E7661" t="s">
        <v>767</v>
      </c>
      <c r="F7661">
        <v>2</v>
      </c>
      <c r="G7661" s="308">
        <f>COMEDORES!G292</f>
        <v>4000</v>
      </c>
      <c r="H7661" s="308">
        <f>COMEDORES!H292</f>
        <v>0</v>
      </c>
    </row>
    <row r="7662" spans="1:8" x14ac:dyDescent="0.3">
      <c r="A7662" t="s">
        <v>628</v>
      </c>
      <c r="B7662" t="s">
        <v>292</v>
      </c>
      <c r="C7662" t="s">
        <v>295</v>
      </c>
      <c r="D7662" t="s">
        <v>746</v>
      </c>
      <c r="E7662" t="s">
        <v>768</v>
      </c>
      <c r="F7662">
        <v>3</v>
      </c>
      <c r="G7662" s="308">
        <f>COMEDORES!I292</f>
        <v>4400</v>
      </c>
      <c r="H7662" s="308">
        <f>COMEDORES!J292</f>
        <v>0</v>
      </c>
    </row>
    <row r="7663" spans="1:8" x14ac:dyDescent="0.3">
      <c r="A7663" t="s">
        <v>628</v>
      </c>
      <c r="B7663" t="s">
        <v>292</v>
      </c>
      <c r="C7663" t="s">
        <v>295</v>
      </c>
      <c r="D7663" t="s">
        <v>746</v>
      </c>
      <c r="E7663" t="s">
        <v>769</v>
      </c>
      <c r="F7663">
        <v>4</v>
      </c>
      <c r="G7663" s="308">
        <f>COMEDORES!K292</f>
        <v>3800</v>
      </c>
      <c r="H7663" s="308">
        <f>COMEDORES!L292</f>
        <v>0</v>
      </c>
    </row>
    <row r="7664" spans="1:8" x14ac:dyDescent="0.3">
      <c r="A7664" t="s">
        <v>628</v>
      </c>
      <c r="B7664" t="s">
        <v>292</v>
      </c>
      <c r="C7664" t="s">
        <v>295</v>
      </c>
      <c r="D7664" t="s">
        <v>746</v>
      </c>
      <c r="E7664" t="s">
        <v>770</v>
      </c>
      <c r="F7664">
        <v>5</v>
      </c>
      <c r="G7664" s="308">
        <f>COMEDORES!M292</f>
        <v>4000</v>
      </c>
      <c r="H7664" s="308">
        <f>COMEDORES!N292</f>
        <v>0</v>
      </c>
    </row>
    <row r="7665" spans="1:8" x14ac:dyDescent="0.3">
      <c r="A7665" t="s">
        <v>628</v>
      </c>
      <c r="B7665" t="s">
        <v>292</v>
      </c>
      <c r="C7665" t="s">
        <v>295</v>
      </c>
      <c r="D7665" t="s">
        <v>746</v>
      </c>
      <c r="E7665" t="s">
        <v>771</v>
      </c>
      <c r="F7665">
        <v>6</v>
      </c>
      <c r="G7665" s="308">
        <f>COMEDORES!O292</f>
        <v>4200</v>
      </c>
      <c r="H7665" s="308">
        <f>COMEDORES!P292</f>
        <v>0</v>
      </c>
    </row>
    <row r="7666" spans="1:8" x14ac:dyDescent="0.3">
      <c r="A7666" t="s">
        <v>628</v>
      </c>
      <c r="B7666" t="s">
        <v>292</v>
      </c>
      <c r="C7666" t="s">
        <v>295</v>
      </c>
      <c r="D7666" t="s">
        <v>746</v>
      </c>
      <c r="E7666" t="s">
        <v>772</v>
      </c>
      <c r="F7666">
        <v>7</v>
      </c>
      <c r="G7666" s="308">
        <f>COMEDORES!Q292</f>
        <v>4600</v>
      </c>
      <c r="H7666" s="308">
        <f>COMEDORES!R292</f>
        <v>0</v>
      </c>
    </row>
    <row r="7667" spans="1:8" x14ac:dyDescent="0.3">
      <c r="A7667" t="s">
        <v>628</v>
      </c>
      <c r="B7667" t="s">
        <v>292</v>
      </c>
      <c r="C7667" t="s">
        <v>296</v>
      </c>
      <c r="D7667" t="s">
        <v>745</v>
      </c>
      <c r="E7667" t="s">
        <v>766</v>
      </c>
      <c r="F7667">
        <v>1</v>
      </c>
      <c r="G7667" s="308">
        <f>COMEDORES!E293</f>
        <v>2125</v>
      </c>
      <c r="H7667" s="308">
        <f>COMEDORES!F293</f>
        <v>0</v>
      </c>
    </row>
    <row r="7668" spans="1:8" x14ac:dyDescent="0.3">
      <c r="A7668" t="s">
        <v>628</v>
      </c>
      <c r="B7668" t="s">
        <v>292</v>
      </c>
      <c r="C7668" t="s">
        <v>296</v>
      </c>
      <c r="D7668" t="s">
        <v>745</v>
      </c>
      <c r="E7668" t="s">
        <v>767</v>
      </c>
      <c r="F7668">
        <v>2</v>
      </c>
      <c r="G7668" s="308">
        <f>COMEDORES!G293</f>
        <v>2375</v>
      </c>
      <c r="H7668" s="308">
        <f>COMEDORES!H293</f>
        <v>74962.5</v>
      </c>
    </row>
    <row r="7669" spans="1:8" x14ac:dyDescent="0.3">
      <c r="A7669" t="s">
        <v>628</v>
      </c>
      <c r="B7669" t="s">
        <v>292</v>
      </c>
      <c r="C7669" t="s">
        <v>296</v>
      </c>
      <c r="D7669" t="s">
        <v>745</v>
      </c>
      <c r="E7669" t="s">
        <v>768</v>
      </c>
      <c r="F7669">
        <v>3</v>
      </c>
      <c r="G7669" s="308">
        <f>COMEDORES!I293</f>
        <v>2200</v>
      </c>
      <c r="H7669" s="308">
        <f>COMEDORES!J293</f>
        <v>155237.5</v>
      </c>
    </row>
    <row r="7670" spans="1:8" x14ac:dyDescent="0.3">
      <c r="A7670" t="s">
        <v>628</v>
      </c>
      <c r="B7670" t="s">
        <v>292</v>
      </c>
      <c r="C7670" t="s">
        <v>296</v>
      </c>
      <c r="D7670" t="s">
        <v>745</v>
      </c>
      <c r="E7670" t="s">
        <v>769</v>
      </c>
      <c r="F7670">
        <v>4</v>
      </c>
      <c r="G7670" s="308">
        <f>COMEDORES!K293</f>
        <v>1900</v>
      </c>
      <c r="H7670" s="308">
        <f>COMEDORES!L293</f>
        <v>218700</v>
      </c>
    </row>
    <row r="7671" spans="1:8" x14ac:dyDescent="0.3">
      <c r="A7671" t="s">
        <v>628</v>
      </c>
      <c r="B7671" t="s">
        <v>292</v>
      </c>
      <c r="C7671" t="s">
        <v>296</v>
      </c>
      <c r="D7671" t="s">
        <v>745</v>
      </c>
      <c r="E7671" t="s">
        <v>770</v>
      </c>
      <c r="F7671">
        <v>5</v>
      </c>
      <c r="G7671" s="308">
        <f>COMEDORES!M293</f>
        <v>2000</v>
      </c>
      <c r="H7671" s="308">
        <f>COMEDORES!N293</f>
        <v>153900</v>
      </c>
    </row>
    <row r="7672" spans="1:8" x14ac:dyDescent="0.3">
      <c r="A7672" t="s">
        <v>628</v>
      </c>
      <c r="B7672" t="s">
        <v>292</v>
      </c>
      <c r="C7672" t="s">
        <v>296</v>
      </c>
      <c r="D7672" t="s">
        <v>745</v>
      </c>
      <c r="E7672" t="s">
        <v>771</v>
      </c>
      <c r="F7672">
        <v>6</v>
      </c>
      <c r="G7672" s="308">
        <f>COMEDORES!O293</f>
        <v>2500</v>
      </c>
      <c r="H7672" s="308">
        <f>COMEDORES!P293</f>
        <v>162000</v>
      </c>
    </row>
    <row r="7673" spans="1:8" x14ac:dyDescent="0.3">
      <c r="A7673" t="s">
        <v>628</v>
      </c>
      <c r="B7673" t="s">
        <v>292</v>
      </c>
      <c r="C7673" t="s">
        <v>296</v>
      </c>
      <c r="D7673" t="s">
        <v>745</v>
      </c>
      <c r="E7673" t="s">
        <v>772</v>
      </c>
      <c r="F7673">
        <v>7</v>
      </c>
      <c r="G7673" s="308">
        <f>COMEDORES!Q293</f>
        <v>2300</v>
      </c>
      <c r="H7673" s="308">
        <f>COMEDORES!R293</f>
        <v>210650</v>
      </c>
    </row>
    <row r="7674" spans="1:8" x14ac:dyDescent="0.3">
      <c r="A7674" t="s">
        <v>628</v>
      </c>
      <c r="B7674" t="s">
        <v>292</v>
      </c>
      <c r="C7674" t="s">
        <v>296</v>
      </c>
      <c r="D7674" t="s">
        <v>746</v>
      </c>
      <c r="E7674" t="s">
        <v>766</v>
      </c>
      <c r="F7674">
        <v>1</v>
      </c>
      <c r="G7674" s="308">
        <f>COMEDORES!E294</f>
        <v>3600</v>
      </c>
      <c r="H7674" s="308">
        <f>COMEDORES!F294</f>
        <v>0</v>
      </c>
    </row>
    <row r="7675" spans="1:8" x14ac:dyDescent="0.3">
      <c r="A7675" t="s">
        <v>628</v>
      </c>
      <c r="B7675" t="s">
        <v>292</v>
      </c>
      <c r="C7675" t="s">
        <v>296</v>
      </c>
      <c r="D7675" t="s">
        <v>746</v>
      </c>
      <c r="E7675" t="s">
        <v>767</v>
      </c>
      <c r="F7675">
        <v>2</v>
      </c>
      <c r="G7675" s="308">
        <f>COMEDORES!G294</f>
        <v>4000</v>
      </c>
      <c r="H7675" s="308">
        <f>COMEDORES!H294</f>
        <v>0</v>
      </c>
    </row>
    <row r="7676" spans="1:8" x14ac:dyDescent="0.3">
      <c r="A7676" t="s">
        <v>628</v>
      </c>
      <c r="B7676" t="s">
        <v>292</v>
      </c>
      <c r="C7676" t="s">
        <v>296</v>
      </c>
      <c r="D7676" t="s">
        <v>746</v>
      </c>
      <c r="E7676" t="s">
        <v>768</v>
      </c>
      <c r="F7676">
        <v>3</v>
      </c>
      <c r="G7676" s="308">
        <f>COMEDORES!I294</f>
        <v>4400</v>
      </c>
      <c r="H7676" s="308">
        <f>COMEDORES!J294</f>
        <v>0</v>
      </c>
    </row>
    <row r="7677" spans="1:8" x14ac:dyDescent="0.3">
      <c r="A7677" t="s">
        <v>628</v>
      </c>
      <c r="B7677" t="s">
        <v>292</v>
      </c>
      <c r="C7677" t="s">
        <v>296</v>
      </c>
      <c r="D7677" t="s">
        <v>746</v>
      </c>
      <c r="E7677" t="s">
        <v>769</v>
      </c>
      <c r="F7677">
        <v>4</v>
      </c>
      <c r="G7677" s="308">
        <f>COMEDORES!K294</f>
        <v>3800</v>
      </c>
      <c r="H7677" s="308">
        <f>COMEDORES!L294</f>
        <v>0</v>
      </c>
    </row>
    <row r="7678" spans="1:8" x14ac:dyDescent="0.3">
      <c r="A7678" t="s">
        <v>628</v>
      </c>
      <c r="B7678" t="s">
        <v>292</v>
      </c>
      <c r="C7678" t="s">
        <v>296</v>
      </c>
      <c r="D7678" t="s">
        <v>746</v>
      </c>
      <c r="E7678" t="s">
        <v>770</v>
      </c>
      <c r="F7678">
        <v>5</v>
      </c>
      <c r="G7678" s="308">
        <f>COMEDORES!M294</f>
        <v>4000</v>
      </c>
      <c r="H7678" s="308">
        <f>COMEDORES!N294</f>
        <v>0</v>
      </c>
    </row>
    <row r="7679" spans="1:8" x14ac:dyDescent="0.3">
      <c r="A7679" t="s">
        <v>628</v>
      </c>
      <c r="B7679" t="s">
        <v>292</v>
      </c>
      <c r="C7679" t="s">
        <v>296</v>
      </c>
      <c r="D7679" t="s">
        <v>746</v>
      </c>
      <c r="E7679" t="s">
        <v>771</v>
      </c>
      <c r="F7679">
        <v>6</v>
      </c>
      <c r="G7679" s="308">
        <f>COMEDORES!O294</f>
        <v>4800</v>
      </c>
      <c r="H7679" s="308">
        <f>COMEDORES!P294</f>
        <v>0</v>
      </c>
    </row>
    <row r="7680" spans="1:8" x14ac:dyDescent="0.3">
      <c r="A7680" t="s">
        <v>628</v>
      </c>
      <c r="B7680" t="s">
        <v>292</v>
      </c>
      <c r="C7680" t="s">
        <v>296</v>
      </c>
      <c r="D7680" t="s">
        <v>746</v>
      </c>
      <c r="E7680" t="s">
        <v>772</v>
      </c>
      <c r="F7680">
        <v>7</v>
      </c>
      <c r="G7680" s="308">
        <f>COMEDORES!Q294</f>
        <v>4600</v>
      </c>
      <c r="H7680" s="308">
        <f>COMEDORES!R294</f>
        <v>0</v>
      </c>
    </row>
    <row r="7681" spans="1:8" x14ac:dyDescent="0.3">
      <c r="A7681" t="s">
        <v>628</v>
      </c>
      <c r="B7681" t="s">
        <v>292</v>
      </c>
      <c r="C7681" t="s">
        <v>298</v>
      </c>
      <c r="D7681" t="s">
        <v>745</v>
      </c>
      <c r="E7681" t="s">
        <v>766</v>
      </c>
      <c r="F7681">
        <v>1</v>
      </c>
      <c r="G7681" s="308">
        <f>COMEDORES!E295</f>
        <v>2700</v>
      </c>
      <c r="H7681" s="308">
        <f>COMEDORES!F295</f>
        <v>0</v>
      </c>
    </row>
    <row r="7682" spans="1:8" x14ac:dyDescent="0.3">
      <c r="A7682" t="s">
        <v>628</v>
      </c>
      <c r="B7682" t="s">
        <v>292</v>
      </c>
      <c r="C7682" t="s">
        <v>298</v>
      </c>
      <c r="D7682" t="s">
        <v>745</v>
      </c>
      <c r="E7682" t="s">
        <v>767</v>
      </c>
      <c r="F7682">
        <v>2</v>
      </c>
      <c r="G7682" s="308">
        <f>COMEDORES!G295</f>
        <v>2950</v>
      </c>
      <c r="H7682" s="308">
        <f>COMEDORES!H295</f>
        <v>87862.5</v>
      </c>
    </row>
    <row r="7683" spans="1:8" x14ac:dyDescent="0.3">
      <c r="A7683" t="s">
        <v>628</v>
      </c>
      <c r="B7683" t="s">
        <v>292</v>
      </c>
      <c r="C7683" t="s">
        <v>298</v>
      </c>
      <c r="D7683" t="s">
        <v>745</v>
      </c>
      <c r="E7683" t="s">
        <v>768</v>
      </c>
      <c r="F7683">
        <v>3</v>
      </c>
      <c r="G7683" s="308">
        <f>COMEDORES!I295</f>
        <v>2200</v>
      </c>
      <c r="H7683" s="308">
        <f>COMEDORES!J295</f>
        <v>166925</v>
      </c>
    </row>
    <row r="7684" spans="1:8" x14ac:dyDescent="0.3">
      <c r="A7684" t="s">
        <v>628</v>
      </c>
      <c r="B7684" t="s">
        <v>292</v>
      </c>
      <c r="C7684" t="s">
        <v>298</v>
      </c>
      <c r="D7684" t="s">
        <v>745</v>
      </c>
      <c r="E7684" t="s">
        <v>769</v>
      </c>
      <c r="F7684">
        <v>4</v>
      </c>
      <c r="G7684" s="308">
        <f>COMEDORES!K295</f>
        <v>1900</v>
      </c>
      <c r="H7684" s="308">
        <f>COMEDORES!L295</f>
        <v>230249</v>
      </c>
    </row>
    <row r="7685" spans="1:8" x14ac:dyDescent="0.3">
      <c r="A7685" t="s">
        <v>628</v>
      </c>
      <c r="B7685" t="s">
        <v>292</v>
      </c>
      <c r="C7685" t="s">
        <v>298</v>
      </c>
      <c r="D7685" t="s">
        <v>745</v>
      </c>
      <c r="E7685" t="s">
        <v>770</v>
      </c>
      <c r="F7685">
        <v>5</v>
      </c>
      <c r="G7685" s="308">
        <f>COMEDORES!M295</f>
        <v>2000</v>
      </c>
      <c r="H7685" s="308">
        <f>COMEDORES!N295</f>
        <v>183141</v>
      </c>
    </row>
    <row r="7686" spans="1:8" x14ac:dyDescent="0.3">
      <c r="A7686" t="s">
        <v>628</v>
      </c>
      <c r="B7686" t="s">
        <v>292</v>
      </c>
      <c r="C7686" t="s">
        <v>298</v>
      </c>
      <c r="D7686" t="s">
        <v>745</v>
      </c>
      <c r="E7686" t="s">
        <v>771</v>
      </c>
      <c r="F7686">
        <v>6</v>
      </c>
      <c r="G7686" s="308">
        <f>COMEDORES!O295</f>
        <v>2100</v>
      </c>
      <c r="H7686" s="308">
        <f>COMEDORES!P295</f>
        <v>192780</v>
      </c>
    </row>
    <row r="7687" spans="1:8" x14ac:dyDescent="0.3">
      <c r="A7687" t="s">
        <v>628</v>
      </c>
      <c r="B7687" t="s">
        <v>292</v>
      </c>
      <c r="C7687" t="s">
        <v>298</v>
      </c>
      <c r="D7687" t="s">
        <v>745</v>
      </c>
      <c r="E7687" t="s">
        <v>772</v>
      </c>
      <c r="F7687">
        <v>7</v>
      </c>
      <c r="G7687" s="308">
        <f>COMEDORES!Q295</f>
        <v>2200</v>
      </c>
      <c r="H7687" s="308">
        <f>COMEDORES!R295</f>
        <v>202419</v>
      </c>
    </row>
    <row r="7688" spans="1:8" x14ac:dyDescent="0.3">
      <c r="A7688" t="s">
        <v>628</v>
      </c>
      <c r="B7688" t="s">
        <v>292</v>
      </c>
      <c r="C7688" t="s">
        <v>298</v>
      </c>
      <c r="D7688" t="s">
        <v>746</v>
      </c>
      <c r="E7688" t="s">
        <v>766</v>
      </c>
      <c r="F7688">
        <v>1</v>
      </c>
      <c r="G7688" s="308">
        <f>COMEDORES!E296</f>
        <v>3800</v>
      </c>
      <c r="H7688" s="308">
        <f>COMEDORES!F296</f>
        <v>0</v>
      </c>
    </row>
    <row r="7689" spans="1:8" x14ac:dyDescent="0.3">
      <c r="A7689" t="s">
        <v>628</v>
      </c>
      <c r="B7689" t="s">
        <v>292</v>
      </c>
      <c r="C7689" t="s">
        <v>298</v>
      </c>
      <c r="D7689" t="s">
        <v>746</v>
      </c>
      <c r="E7689" t="s">
        <v>767</v>
      </c>
      <c r="F7689">
        <v>2</v>
      </c>
      <c r="G7689" s="308">
        <f>COMEDORES!G296</f>
        <v>4000</v>
      </c>
      <c r="H7689" s="308">
        <f>COMEDORES!H296</f>
        <v>0</v>
      </c>
    </row>
    <row r="7690" spans="1:8" x14ac:dyDescent="0.3">
      <c r="A7690" t="s">
        <v>628</v>
      </c>
      <c r="B7690" t="s">
        <v>292</v>
      </c>
      <c r="C7690" t="s">
        <v>298</v>
      </c>
      <c r="D7690" t="s">
        <v>746</v>
      </c>
      <c r="E7690" t="s">
        <v>768</v>
      </c>
      <c r="F7690">
        <v>3</v>
      </c>
      <c r="G7690" s="308">
        <f>COMEDORES!I296</f>
        <v>4400</v>
      </c>
      <c r="H7690" s="308">
        <f>COMEDORES!J296</f>
        <v>0</v>
      </c>
    </row>
    <row r="7691" spans="1:8" x14ac:dyDescent="0.3">
      <c r="A7691" t="s">
        <v>628</v>
      </c>
      <c r="B7691" t="s">
        <v>292</v>
      </c>
      <c r="C7691" t="s">
        <v>298</v>
      </c>
      <c r="D7691" t="s">
        <v>746</v>
      </c>
      <c r="E7691" t="s">
        <v>769</v>
      </c>
      <c r="F7691">
        <v>4</v>
      </c>
      <c r="G7691" s="308">
        <f>COMEDORES!K296</f>
        <v>3800</v>
      </c>
      <c r="H7691" s="308">
        <f>COMEDORES!L296</f>
        <v>0</v>
      </c>
    </row>
    <row r="7692" spans="1:8" x14ac:dyDescent="0.3">
      <c r="A7692" t="s">
        <v>628</v>
      </c>
      <c r="B7692" t="s">
        <v>292</v>
      </c>
      <c r="C7692" t="s">
        <v>298</v>
      </c>
      <c r="D7692" t="s">
        <v>746</v>
      </c>
      <c r="E7692" t="s">
        <v>770</v>
      </c>
      <c r="F7692">
        <v>5</v>
      </c>
      <c r="G7692" s="308">
        <f>COMEDORES!M296</f>
        <v>4000</v>
      </c>
      <c r="H7692" s="308">
        <f>COMEDORES!N296</f>
        <v>0</v>
      </c>
    </row>
    <row r="7693" spans="1:8" x14ac:dyDescent="0.3">
      <c r="A7693" t="s">
        <v>628</v>
      </c>
      <c r="B7693" t="s">
        <v>292</v>
      </c>
      <c r="C7693" t="s">
        <v>298</v>
      </c>
      <c r="D7693" t="s">
        <v>746</v>
      </c>
      <c r="E7693" t="s">
        <v>771</v>
      </c>
      <c r="F7693">
        <v>6</v>
      </c>
      <c r="G7693" s="308">
        <f>COMEDORES!O296</f>
        <v>4200</v>
      </c>
      <c r="H7693" s="308">
        <f>COMEDORES!P296</f>
        <v>0</v>
      </c>
    </row>
    <row r="7694" spans="1:8" x14ac:dyDescent="0.3">
      <c r="A7694" t="s">
        <v>628</v>
      </c>
      <c r="B7694" t="s">
        <v>292</v>
      </c>
      <c r="C7694" t="s">
        <v>298</v>
      </c>
      <c r="D7694" t="s">
        <v>746</v>
      </c>
      <c r="E7694" t="s">
        <v>772</v>
      </c>
      <c r="F7694">
        <v>7</v>
      </c>
      <c r="G7694" s="308">
        <f>COMEDORES!Q296</f>
        <v>4499</v>
      </c>
      <c r="H7694" s="308">
        <f>COMEDORES!R296</f>
        <v>0</v>
      </c>
    </row>
    <row r="7695" spans="1:8" x14ac:dyDescent="0.3">
      <c r="A7695" t="s">
        <v>628</v>
      </c>
      <c r="B7695" t="s">
        <v>292</v>
      </c>
      <c r="C7695" t="s">
        <v>300</v>
      </c>
      <c r="D7695" t="s">
        <v>745</v>
      </c>
      <c r="E7695" t="s">
        <v>766</v>
      </c>
      <c r="F7695">
        <v>1</v>
      </c>
      <c r="G7695" s="308">
        <f>COMEDORES!E297</f>
        <v>2700</v>
      </c>
      <c r="H7695" s="308">
        <f>COMEDORES!F297</f>
        <v>0</v>
      </c>
    </row>
    <row r="7696" spans="1:8" x14ac:dyDescent="0.3">
      <c r="A7696" t="s">
        <v>628</v>
      </c>
      <c r="B7696" t="s">
        <v>292</v>
      </c>
      <c r="C7696" t="s">
        <v>300</v>
      </c>
      <c r="D7696" t="s">
        <v>745</v>
      </c>
      <c r="E7696" t="s">
        <v>767</v>
      </c>
      <c r="F7696">
        <v>2</v>
      </c>
      <c r="G7696" s="308">
        <f>COMEDORES!G297</f>
        <v>3000</v>
      </c>
      <c r="H7696" s="308">
        <f>COMEDORES!H297</f>
        <v>87862.5</v>
      </c>
    </row>
    <row r="7697" spans="1:8" x14ac:dyDescent="0.3">
      <c r="A7697" t="s">
        <v>628</v>
      </c>
      <c r="B7697" t="s">
        <v>292</v>
      </c>
      <c r="C7697" t="s">
        <v>300</v>
      </c>
      <c r="D7697" t="s">
        <v>745</v>
      </c>
      <c r="E7697" t="s">
        <v>768</v>
      </c>
      <c r="F7697">
        <v>3</v>
      </c>
      <c r="G7697" s="308">
        <f>COMEDORES!I297</f>
        <v>3300</v>
      </c>
      <c r="H7697" s="308">
        <f>COMEDORES!J297</f>
        <v>166925</v>
      </c>
    </row>
    <row r="7698" spans="1:8" x14ac:dyDescent="0.3">
      <c r="A7698" t="s">
        <v>628</v>
      </c>
      <c r="B7698" t="s">
        <v>292</v>
      </c>
      <c r="C7698" t="s">
        <v>300</v>
      </c>
      <c r="D7698" t="s">
        <v>745</v>
      </c>
      <c r="E7698" t="s">
        <v>769</v>
      </c>
      <c r="F7698">
        <v>4</v>
      </c>
      <c r="G7698" s="308">
        <f>COMEDORES!K297</f>
        <v>2850</v>
      </c>
      <c r="H7698" s="308">
        <f>COMEDORES!L297</f>
        <v>253800</v>
      </c>
    </row>
    <row r="7699" spans="1:8" x14ac:dyDescent="0.3">
      <c r="A7699" t="s">
        <v>628</v>
      </c>
      <c r="B7699" t="s">
        <v>292</v>
      </c>
      <c r="C7699" t="s">
        <v>300</v>
      </c>
      <c r="D7699" t="s">
        <v>745</v>
      </c>
      <c r="E7699" t="s">
        <v>770</v>
      </c>
      <c r="F7699">
        <v>5</v>
      </c>
      <c r="G7699" s="308">
        <f>COMEDORES!M297</f>
        <v>3000</v>
      </c>
      <c r="H7699" s="308">
        <f>COMEDORES!N297</f>
        <v>178600</v>
      </c>
    </row>
    <row r="7700" spans="1:8" x14ac:dyDescent="0.3">
      <c r="A7700" t="s">
        <v>628</v>
      </c>
      <c r="B7700" t="s">
        <v>292</v>
      </c>
      <c r="C7700" t="s">
        <v>300</v>
      </c>
      <c r="D7700" t="s">
        <v>745</v>
      </c>
      <c r="E7700" t="s">
        <v>771</v>
      </c>
      <c r="F7700">
        <v>6</v>
      </c>
      <c r="G7700" s="308">
        <f>COMEDORES!O297</f>
        <v>3150</v>
      </c>
      <c r="H7700" s="308">
        <f>COMEDORES!P297</f>
        <v>201750</v>
      </c>
    </row>
    <row r="7701" spans="1:8" x14ac:dyDescent="0.3">
      <c r="A7701" t="s">
        <v>628</v>
      </c>
      <c r="B7701" t="s">
        <v>292</v>
      </c>
      <c r="C7701" t="s">
        <v>300</v>
      </c>
      <c r="D7701" t="s">
        <v>745</v>
      </c>
      <c r="E7701" t="s">
        <v>772</v>
      </c>
      <c r="F7701">
        <v>7</v>
      </c>
      <c r="G7701" s="308">
        <f>COMEDORES!Q297</f>
        <v>3450</v>
      </c>
      <c r="H7701" s="308">
        <f>COMEDORES!R297</f>
        <v>211837.5</v>
      </c>
    </row>
    <row r="7702" spans="1:8" x14ac:dyDescent="0.3">
      <c r="A7702" t="s">
        <v>628</v>
      </c>
      <c r="B7702" t="s">
        <v>292</v>
      </c>
      <c r="C7702" t="s">
        <v>300</v>
      </c>
      <c r="D7702" t="s">
        <v>746</v>
      </c>
      <c r="E7702" t="s">
        <v>766</v>
      </c>
      <c r="F7702">
        <v>1</v>
      </c>
      <c r="G7702" s="308">
        <f>COMEDORES!E298</f>
        <v>3800</v>
      </c>
      <c r="H7702" s="308">
        <f>COMEDORES!F298</f>
        <v>0</v>
      </c>
    </row>
    <row r="7703" spans="1:8" x14ac:dyDescent="0.3">
      <c r="A7703" t="s">
        <v>628</v>
      </c>
      <c r="B7703" t="s">
        <v>292</v>
      </c>
      <c r="C7703" t="s">
        <v>300</v>
      </c>
      <c r="D7703" t="s">
        <v>746</v>
      </c>
      <c r="E7703" t="s">
        <v>767</v>
      </c>
      <c r="F7703">
        <v>2</v>
      </c>
      <c r="G7703" s="308">
        <f>COMEDORES!G298</f>
        <v>4000</v>
      </c>
      <c r="H7703" s="308">
        <f>COMEDORES!H298</f>
        <v>0</v>
      </c>
    </row>
    <row r="7704" spans="1:8" x14ac:dyDescent="0.3">
      <c r="A7704" t="s">
        <v>628</v>
      </c>
      <c r="B7704" t="s">
        <v>292</v>
      </c>
      <c r="C7704" t="s">
        <v>300</v>
      </c>
      <c r="D7704" t="s">
        <v>746</v>
      </c>
      <c r="E7704" t="s">
        <v>768</v>
      </c>
      <c r="F7704">
        <v>3</v>
      </c>
      <c r="G7704" s="308">
        <f>COMEDORES!I298</f>
        <v>4400</v>
      </c>
      <c r="H7704" s="308">
        <f>COMEDORES!J298</f>
        <v>0</v>
      </c>
    </row>
    <row r="7705" spans="1:8" x14ac:dyDescent="0.3">
      <c r="A7705" t="s">
        <v>628</v>
      </c>
      <c r="B7705" t="s">
        <v>292</v>
      </c>
      <c r="C7705" t="s">
        <v>300</v>
      </c>
      <c r="D7705" t="s">
        <v>746</v>
      </c>
      <c r="E7705" t="s">
        <v>769</v>
      </c>
      <c r="F7705">
        <v>4</v>
      </c>
      <c r="G7705" s="308">
        <f>COMEDORES!K298</f>
        <v>3800</v>
      </c>
      <c r="H7705" s="308">
        <f>COMEDORES!L298</f>
        <v>0</v>
      </c>
    </row>
    <row r="7706" spans="1:8" x14ac:dyDescent="0.3">
      <c r="A7706" t="s">
        <v>628</v>
      </c>
      <c r="B7706" t="s">
        <v>292</v>
      </c>
      <c r="C7706" t="s">
        <v>300</v>
      </c>
      <c r="D7706" t="s">
        <v>746</v>
      </c>
      <c r="E7706" t="s">
        <v>770</v>
      </c>
      <c r="F7706">
        <v>5</v>
      </c>
      <c r="G7706" s="308">
        <f>COMEDORES!M298</f>
        <v>4500</v>
      </c>
      <c r="H7706" s="308">
        <f>COMEDORES!N298</f>
        <v>0</v>
      </c>
    </row>
    <row r="7707" spans="1:8" x14ac:dyDescent="0.3">
      <c r="A7707" t="s">
        <v>628</v>
      </c>
      <c r="B7707" t="s">
        <v>292</v>
      </c>
      <c r="C7707" t="s">
        <v>300</v>
      </c>
      <c r="D7707" t="s">
        <v>746</v>
      </c>
      <c r="E7707" t="s">
        <v>771</v>
      </c>
      <c r="F7707">
        <v>6</v>
      </c>
      <c r="G7707" s="308">
        <f>COMEDORES!O298</f>
        <v>4725</v>
      </c>
      <c r="H7707" s="308">
        <f>COMEDORES!P298</f>
        <v>0</v>
      </c>
    </row>
    <row r="7708" spans="1:8" x14ac:dyDescent="0.3">
      <c r="A7708" t="s">
        <v>628</v>
      </c>
      <c r="B7708" t="s">
        <v>292</v>
      </c>
      <c r="C7708" t="s">
        <v>300</v>
      </c>
      <c r="D7708" t="s">
        <v>746</v>
      </c>
      <c r="E7708" t="s">
        <v>772</v>
      </c>
      <c r="F7708">
        <v>7</v>
      </c>
      <c r="G7708" s="308">
        <f>COMEDORES!Q298</f>
        <v>5175</v>
      </c>
      <c r="H7708" s="308">
        <f>COMEDORES!R298</f>
        <v>0</v>
      </c>
    </row>
    <row r="7709" spans="1:8" x14ac:dyDescent="0.3">
      <c r="A7709" t="s">
        <v>628</v>
      </c>
      <c r="B7709" t="s">
        <v>292</v>
      </c>
      <c r="C7709" t="s">
        <v>302</v>
      </c>
      <c r="D7709" t="s">
        <v>745</v>
      </c>
      <c r="E7709" t="s">
        <v>766</v>
      </c>
      <c r="F7709">
        <v>1</v>
      </c>
      <c r="G7709" s="308">
        <f>COMEDORES!E299</f>
        <v>0</v>
      </c>
      <c r="H7709" s="308">
        <f>COMEDORES!F299</f>
        <v>0</v>
      </c>
    </row>
    <row r="7710" spans="1:8" x14ac:dyDescent="0.3">
      <c r="A7710" t="s">
        <v>628</v>
      </c>
      <c r="B7710" t="s">
        <v>292</v>
      </c>
      <c r="C7710" t="s">
        <v>302</v>
      </c>
      <c r="D7710" t="s">
        <v>745</v>
      </c>
      <c r="E7710" t="s">
        <v>767</v>
      </c>
      <c r="F7710">
        <v>2</v>
      </c>
      <c r="G7710" s="308">
        <f>COMEDORES!G299</f>
        <v>0</v>
      </c>
      <c r="H7710" s="308">
        <f>COMEDORES!H299</f>
        <v>0</v>
      </c>
    </row>
    <row r="7711" spans="1:8" x14ac:dyDescent="0.3">
      <c r="A7711" t="s">
        <v>628</v>
      </c>
      <c r="B7711" t="s">
        <v>292</v>
      </c>
      <c r="C7711" t="s">
        <v>302</v>
      </c>
      <c r="D7711" t="s">
        <v>745</v>
      </c>
      <c r="E7711" t="s">
        <v>768</v>
      </c>
      <c r="F7711">
        <v>3</v>
      </c>
      <c r="G7711" s="308">
        <f>COMEDORES!I299</f>
        <v>2125</v>
      </c>
      <c r="H7711" s="308">
        <f>COMEDORES!J299</f>
        <v>0</v>
      </c>
    </row>
    <row r="7712" spans="1:8" x14ac:dyDescent="0.3">
      <c r="A7712" t="s">
        <v>628</v>
      </c>
      <c r="B7712" t="s">
        <v>292</v>
      </c>
      <c r="C7712" t="s">
        <v>302</v>
      </c>
      <c r="D7712" t="s">
        <v>745</v>
      </c>
      <c r="E7712" t="s">
        <v>769</v>
      </c>
      <c r="F7712">
        <v>4</v>
      </c>
      <c r="G7712" s="308">
        <f>COMEDORES!K299</f>
        <v>2375</v>
      </c>
      <c r="H7712" s="308">
        <f>COMEDORES!L299</f>
        <v>162562.5</v>
      </c>
    </row>
    <row r="7713" spans="1:8" x14ac:dyDescent="0.3">
      <c r="A7713" t="s">
        <v>628</v>
      </c>
      <c r="B7713" t="s">
        <v>292</v>
      </c>
      <c r="C7713" t="s">
        <v>302</v>
      </c>
      <c r="D7713" t="s">
        <v>745</v>
      </c>
      <c r="E7713" t="s">
        <v>770</v>
      </c>
      <c r="F7713">
        <v>5</v>
      </c>
      <c r="G7713" s="308">
        <f>COMEDORES!M299</f>
        <v>2500</v>
      </c>
      <c r="H7713" s="308">
        <f>COMEDORES!N299</f>
        <v>181687.5</v>
      </c>
    </row>
    <row r="7714" spans="1:8" x14ac:dyDescent="0.3">
      <c r="A7714" t="s">
        <v>628</v>
      </c>
      <c r="B7714" t="s">
        <v>292</v>
      </c>
      <c r="C7714" t="s">
        <v>302</v>
      </c>
      <c r="D7714" t="s">
        <v>745</v>
      </c>
      <c r="E7714" t="s">
        <v>771</v>
      </c>
      <c r="F7714">
        <v>6</v>
      </c>
      <c r="G7714" s="308">
        <f>COMEDORES!O299</f>
        <v>2625</v>
      </c>
      <c r="H7714" s="308">
        <f>COMEDORES!P299</f>
        <v>191250</v>
      </c>
    </row>
    <row r="7715" spans="1:8" x14ac:dyDescent="0.3">
      <c r="A7715" t="s">
        <v>628</v>
      </c>
      <c r="B7715" t="s">
        <v>292</v>
      </c>
      <c r="C7715" t="s">
        <v>302</v>
      </c>
      <c r="D7715" t="s">
        <v>745</v>
      </c>
      <c r="E7715" t="s">
        <v>772</v>
      </c>
      <c r="F7715">
        <v>7</v>
      </c>
      <c r="G7715" s="308">
        <f>COMEDORES!Q299</f>
        <v>2875</v>
      </c>
      <c r="H7715" s="308">
        <f>COMEDORES!R299</f>
        <v>200812.5</v>
      </c>
    </row>
    <row r="7716" spans="1:8" x14ac:dyDescent="0.3">
      <c r="A7716" t="s">
        <v>628</v>
      </c>
      <c r="B7716" t="s">
        <v>292</v>
      </c>
      <c r="C7716" t="s">
        <v>302</v>
      </c>
      <c r="D7716" t="s">
        <v>746</v>
      </c>
      <c r="E7716" t="s">
        <v>766</v>
      </c>
      <c r="F7716">
        <v>1</v>
      </c>
      <c r="G7716" s="308">
        <f>COMEDORES!E300</f>
        <v>0</v>
      </c>
      <c r="H7716" s="308">
        <f>COMEDORES!F300</f>
        <v>0</v>
      </c>
    </row>
    <row r="7717" spans="1:8" x14ac:dyDescent="0.3">
      <c r="A7717" t="s">
        <v>628</v>
      </c>
      <c r="B7717" t="s">
        <v>292</v>
      </c>
      <c r="C7717" t="s">
        <v>302</v>
      </c>
      <c r="D7717" t="s">
        <v>746</v>
      </c>
      <c r="E7717" t="s">
        <v>767</v>
      </c>
      <c r="F7717">
        <v>2</v>
      </c>
      <c r="G7717" s="308">
        <f>COMEDORES!G300</f>
        <v>0</v>
      </c>
      <c r="H7717" s="308">
        <f>COMEDORES!H300</f>
        <v>0</v>
      </c>
    </row>
    <row r="7718" spans="1:8" x14ac:dyDescent="0.3">
      <c r="A7718" t="s">
        <v>628</v>
      </c>
      <c r="B7718" t="s">
        <v>292</v>
      </c>
      <c r="C7718" t="s">
        <v>302</v>
      </c>
      <c r="D7718" t="s">
        <v>746</v>
      </c>
      <c r="E7718" t="s">
        <v>768</v>
      </c>
      <c r="F7718">
        <v>3</v>
      </c>
      <c r="G7718" s="308">
        <f>COMEDORES!I300</f>
        <v>2975</v>
      </c>
      <c r="H7718" s="308">
        <f>COMEDORES!J300</f>
        <v>0</v>
      </c>
    </row>
    <row r="7719" spans="1:8" x14ac:dyDescent="0.3">
      <c r="A7719" t="s">
        <v>628</v>
      </c>
      <c r="B7719" t="s">
        <v>292</v>
      </c>
      <c r="C7719" t="s">
        <v>302</v>
      </c>
      <c r="D7719" t="s">
        <v>746</v>
      </c>
      <c r="E7719" t="s">
        <v>769</v>
      </c>
      <c r="F7719">
        <v>4</v>
      </c>
      <c r="G7719" s="308">
        <f>COMEDORES!K300</f>
        <v>3325</v>
      </c>
      <c r="H7719" s="308">
        <f>COMEDORES!L300</f>
        <v>0</v>
      </c>
    </row>
    <row r="7720" spans="1:8" x14ac:dyDescent="0.3">
      <c r="A7720" t="s">
        <v>628</v>
      </c>
      <c r="B7720" t="s">
        <v>292</v>
      </c>
      <c r="C7720" t="s">
        <v>302</v>
      </c>
      <c r="D7720" t="s">
        <v>746</v>
      </c>
      <c r="E7720" t="s">
        <v>770</v>
      </c>
      <c r="F7720">
        <v>5</v>
      </c>
      <c r="G7720" s="308">
        <f>COMEDORES!M300</f>
        <v>3500</v>
      </c>
      <c r="H7720" s="308">
        <f>COMEDORES!N300</f>
        <v>0</v>
      </c>
    </row>
    <row r="7721" spans="1:8" x14ac:dyDescent="0.3">
      <c r="A7721" t="s">
        <v>628</v>
      </c>
      <c r="B7721" t="s">
        <v>292</v>
      </c>
      <c r="C7721" t="s">
        <v>302</v>
      </c>
      <c r="D7721" t="s">
        <v>746</v>
      </c>
      <c r="E7721" t="s">
        <v>771</v>
      </c>
      <c r="F7721">
        <v>6</v>
      </c>
      <c r="G7721" s="308">
        <f>COMEDORES!O300</f>
        <v>3675</v>
      </c>
      <c r="H7721" s="308">
        <f>COMEDORES!P300</f>
        <v>0</v>
      </c>
    </row>
    <row r="7722" spans="1:8" x14ac:dyDescent="0.3">
      <c r="A7722" t="s">
        <v>628</v>
      </c>
      <c r="B7722" t="s">
        <v>292</v>
      </c>
      <c r="C7722" t="s">
        <v>302</v>
      </c>
      <c r="D7722" t="s">
        <v>746</v>
      </c>
      <c r="E7722" t="s">
        <v>772</v>
      </c>
      <c r="F7722">
        <v>7</v>
      </c>
      <c r="G7722" s="308">
        <f>COMEDORES!Q300</f>
        <v>4001</v>
      </c>
      <c r="H7722" s="308">
        <f>COMEDORES!R300</f>
        <v>0</v>
      </c>
    </row>
    <row r="7723" spans="1:8" x14ac:dyDescent="0.3">
      <c r="A7723" t="s">
        <v>628</v>
      </c>
      <c r="B7723" t="s">
        <v>292</v>
      </c>
      <c r="C7723" t="s">
        <v>303</v>
      </c>
      <c r="D7723" t="s">
        <v>745</v>
      </c>
      <c r="E7723" t="s">
        <v>766</v>
      </c>
      <c r="F7723">
        <v>1</v>
      </c>
      <c r="G7723" s="308">
        <f>COMEDORES!E301</f>
        <v>2880</v>
      </c>
      <c r="H7723" s="308">
        <f>COMEDORES!F301</f>
        <v>0</v>
      </c>
    </row>
    <row r="7724" spans="1:8" x14ac:dyDescent="0.3">
      <c r="A7724" t="s">
        <v>628</v>
      </c>
      <c r="B7724" t="s">
        <v>292</v>
      </c>
      <c r="C7724" t="s">
        <v>303</v>
      </c>
      <c r="D7724" t="s">
        <v>745</v>
      </c>
      <c r="E7724" t="s">
        <v>767</v>
      </c>
      <c r="F7724">
        <v>2</v>
      </c>
      <c r="G7724" s="308">
        <f>COMEDORES!G301</f>
        <v>3200</v>
      </c>
      <c r="H7724" s="308">
        <f>COMEDORES!H301</f>
        <v>169365.3</v>
      </c>
    </row>
    <row r="7725" spans="1:8" x14ac:dyDescent="0.3">
      <c r="A7725" t="s">
        <v>628</v>
      </c>
      <c r="B7725" t="s">
        <v>292</v>
      </c>
      <c r="C7725" t="s">
        <v>303</v>
      </c>
      <c r="D7725" t="s">
        <v>745</v>
      </c>
      <c r="E7725" t="s">
        <v>768</v>
      </c>
      <c r="F7725">
        <v>3</v>
      </c>
      <c r="G7725" s="308">
        <f>COMEDORES!I301</f>
        <v>3520</v>
      </c>
      <c r="H7725" s="308">
        <f>COMEDORES!J301</f>
        <v>136666.5</v>
      </c>
    </row>
    <row r="7726" spans="1:8" x14ac:dyDescent="0.3">
      <c r="A7726" t="s">
        <v>628</v>
      </c>
      <c r="B7726" t="s">
        <v>292</v>
      </c>
      <c r="C7726" t="s">
        <v>303</v>
      </c>
      <c r="D7726" t="s">
        <v>745</v>
      </c>
      <c r="E7726" t="s">
        <v>769</v>
      </c>
      <c r="F7726">
        <v>4</v>
      </c>
      <c r="G7726" s="308">
        <f>COMEDORES!K301</f>
        <v>3040</v>
      </c>
      <c r="H7726" s="308">
        <f>COMEDORES!L301</f>
        <v>268245.00000000006</v>
      </c>
    </row>
    <row r="7727" spans="1:8" x14ac:dyDescent="0.3">
      <c r="A7727" t="s">
        <v>628</v>
      </c>
      <c r="B7727" t="s">
        <v>292</v>
      </c>
      <c r="C7727" t="s">
        <v>303</v>
      </c>
      <c r="D7727" t="s">
        <v>745</v>
      </c>
      <c r="E7727" t="s">
        <v>770</v>
      </c>
      <c r="F7727">
        <v>5</v>
      </c>
      <c r="G7727" s="308">
        <f>COMEDORES!M301</f>
        <v>3200</v>
      </c>
      <c r="H7727" s="308">
        <f>COMEDORES!N301</f>
        <v>188765</v>
      </c>
    </row>
    <row r="7728" spans="1:8" x14ac:dyDescent="0.3">
      <c r="A7728" t="s">
        <v>628</v>
      </c>
      <c r="B7728" t="s">
        <v>292</v>
      </c>
      <c r="C7728" t="s">
        <v>303</v>
      </c>
      <c r="D7728" t="s">
        <v>745</v>
      </c>
      <c r="E7728" t="s">
        <v>771</v>
      </c>
      <c r="F7728">
        <v>6</v>
      </c>
      <c r="G7728" s="308">
        <f>COMEDORES!O301</f>
        <v>3360</v>
      </c>
      <c r="H7728" s="308">
        <f>COMEDORES!P301</f>
        <v>198700</v>
      </c>
    </row>
    <row r="7729" spans="1:8" x14ac:dyDescent="0.3">
      <c r="A7729" t="s">
        <v>628</v>
      </c>
      <c r="B7729" t="s">
        <v>292</v>
      </c>
      <c r="C7729" t="s">
        <v>303</v>
      </c>
      <c r="D7729" t="s">
        <v>745</v>
      </c>
      <c r="E7729" t="s">
        <v>772</v>
      </c>
      <c r="F7729">
        <v>7</v>
      </c>
      <c r="G7729" s="308">
        <f>COMEDORES!Q301</f>
        <v>3680</v>
      </c>
      <c r="H7729" s="308">
        <f>COMEDORES!R301</f>
        <v>208635</v>
      </c>
    </row>
    <row r="7730" spans="1:8" x14ac:dyDescent="0.3">
      <c r="A7730" t="s">
        <v>628</v>
      </c>
      <c r="B7730" t="s">
        <v>292</v>
      </c>
      <c r="C7730" t="s">
        <v>303</v>
      </c>
      <c r="D7730" t="s">
        <v>746</v>
      </c>
      <c r="E7730" t="s">
        <v>766</v>
      </c>
      <c r="F7730">
        <v>1</v>
      </c>
      <c r="G7730" s="308">
        <f>COMEDORES!E302</f>
        <v>3990</v>
      </c>
      <c r="H7730" s="308">
        <f>COMEDORES!F302</f>
        <v>0</v>
      </c>
    </row>
    <row r="7731" spans="1:8" x14ac:dyDescent="0.3">
      <c r="A7731" t="s">
        <v>628</v>
      </c>
      <c r="B7731" t="s">
        <v>292</v>
      </c>
      <c r="C7731" t="s">
        <v>303</v>
      </c>
      <c r="D7731" t="s">
        <v>746</v>
      </c>
      <c r="E7731" t="s">
        <v>767</v>
      </c>
      <c r="F7731">
        <v>2</v>
      </c>
      <c r="G7731" s="308">
        <f>COMEDORES!G302</f>
        <v>4200</v>
      </c>
      <c r="H7731" s="308">
        <f>COMEDORES!H302</f>
        <v>0</v>
      </c>
    </row>
    <row r="7732" spans="1:8" x14ac:dyDescent="0.3">
      <c r="A7732" t="s">
        <v>628</v>
      </c>
      <c r="B7732" t="s">
        <v>292</v>
      </c>
      <c r="C7732" t="s">
        <v>303</v>
      </c>
      <c r="D7732" t="s">
        <v>746</v>
      </c>
      <c r="E7732" t="s">
        <v>768</v>
      </c>
      <c r="F7732">
        <v>3</v>
      </c>
      <c r="G7732" s="308">
        <f>COMEDORES!I302</f>
        <v>4620</v>
      </c>
      <c r="H7732" s="308">
        <f>COMEDORES!J302</f>
        <v>0</v>
      </c>
    </row>
    <row r="7733" spans="1:8" x14ac:dyDescent="0.3">
      <c r="A7733" t="s">
        <v>628</v>
      </c>
      <c r="B7733" t="s">
        <v>292</v>
      </c>
      <c r="C7733" t="s">
        <v>303</v>
      </c>
      <c r="D7733" t="s">
        <v>746</v>
      </c>
      <c r="E7733" t="s">
        <v>769</v>
      </c>
      <c r="F7733">
        <v>4</v>
      </c>
      <c r="G7733" s="308">
        <f>COMEDORES!K302</f>
        <v>3990</v>
      </c>
      <c r="H7733" s="308">
        <f>COMEDORES!L302</f>
        <v>0</v>
      </c>
    </row>
    <row r="7734" spans="1:8" x14ac:dyDescent="0.3">
      <c r="A7734" t="s">
        <v>628</v>
      </c>
      <c r="B7734" t="s">
        <v>292</v>
      </c>
      <c r="C7734" t="s">
        <v>303</v>
      </c>
      <c r="D7734" t="s">
        <v>746</v>
      </c>
      <c r="E7734" t="s">
        <v>770</v>
      </c>
      <c r="F7734">
        <v>5</v>
      </c>
      <c r="G7734" s="308">
        <f>COMEDORES!M302</f>
        <v>4200</v>
      </c>
      <c r="H7734" s="308">
        <f>COMEDORES!N302</f>
        <v>0</v>
      </c>
    </row>
    <row r="7735" spans="1:8" x14ac:dyDescent="0.3">
      <c r="A7735" t="s">
        <v>628</v>
      </c>
      <c r="B7735" t="s">
        <v>292</v>
      </c>
      <c r="C7735" t="s">
        <v>303</v>
      </c>
      <c r="D7735" t="s">
        <v>746</v>
      </c>
      <c r="E7735" t="s">
        <v>771</v>
      </c>
      <c r="F7735">
        <v>6</v>
      </c>
      <c r="G7735" s="308">
        <f>COMEDORES!O302</f>
        <v>4410</v>
      </c>
      <c r="H7735" s="308">
        <f>COMEDORES!P302</f>
        <v>0</v>
      </c>
    </row>
    <row r="7736" spans="1:8" x14ac:dyDescent="0.3">
      <c r="A7736" t="s">
        <v>628</v>
      </c>
      <c r="B7736" t="s">
        <v>292</v>
      </c>
      <c r="C7736" t="s">
        <v>303</v>
      </c>
      <c r="D7736" t="s">
        <v>746</v>
      </c>
      <c r="E7736" t="s">
        <v>772</v>
      </c>
      <c r="F7736">
        <v>7</v>
      </c>
      <c r="G7736" s="308">
        <f>COMEDORES!Q302</f>
        <v>4830</v>
      </c>
      <c r="H7736" s="308">
        <f>COMEDORES!R302</f>
        <v>0</v>
      </c>
    </row>
    <row r="7737" spans="1:8" x14ac:dyDescent="0.3">
      <c r="A7737" t="s">
        <v>628</v>
      </c>
      <c r="B7737" t="s">
        <v>292</v>
      </c>
      <c r="C7737" t="s">
        <v>305</v>
      </c>
      <c r="D7737" t="s">
        <v>745</v>
      </c>
      <c r="E7737" t="s">
        <v>766</v>
      </c>
      <c r="F7737">
        <v>1</v>
      </c>
      <c r="G7737" s="308">
        <f>COMEDORES!E303</f>
        <v>0</v>
      </c>
      <c r="H7737" s="308">
        <f>COMEDORES!F303</f>
        <v>0</v>
      </c>
    </row>
    <row r="7738" spans="1:8" x14ac:dyDescent="0.3">
      <c r="A7738" t="s">
        <v>628</v>
      </c>
      <c r="B7738" t="s">
        <v>292</v>
      </c>
      <c r="C7738" t="s">
        <v>305</v>
      </c>
      <c r="D7738" t="s">
        <v>745</v>
      </c>
      <c r="E7738" t="s">
        <v>767</v>
      </c>
      <c r="F7738">
        <v>2</v>
      </c>
      <c r="G7738" s="308">
        <f>COMEDORES!G303</f>
        <v>0</v>
      </c>
      <c r="H7738" s="308">
        <f>COMEDORES!H303</f>
        <v>0</v>
      </c>
    </row>
    <row r="7739" spans="1:8" x14ac:dyDescent="0.3">
      <c r="A7739" t="s">
        <v>628</v>
      </c>
      <c r="B7739" t="s">
        <v>292</v>
      </c>
      <c r="C7739" t="s">
        <v>305</v>
      </c>
      <c r="D7739" t="s">
        <v>745</v>
      </c>
      <c r="E7739" t="s">
        <v>768</v>
      </c>
      <c r="F7739">
        <v>3</v>
      </c>
      <c r="G7739" s="308">
        <f>COMEDORES!I303</f>
        <v>0</v>
      </c>
      <c r="H7739" s="308">
        <f>COMEDORES!J303</f>
        <v>0</v>
      </c>
    </row>
    <row r="7740" spans="1:8" x14ac:dyDescent="0.3">
      <c r="A7740" t="s">
        <v>628</v>
      </c>
      <c r="B7740" t="s">
        <v>292</v>
      </c>
      <c r="C7740" t="s">
        <v>305</v>
      </c>
      <c r="D7740" t="s">
        <v>745</v>
      </c>
      <c r="E7740" t="s">
        <v>769</v>
      </c>
      <c r="F7740">
        <v>4</v>
      </c>
      <c r="G7740" s="308">
        <f>COMEDORES!K303</f>
        <v>0</v>
      </c>
      <c r="H7740" s="308">
        <f>COMEDORES!L303</f>
        <v>0</v>
      </c>
    </row>
    <row r="7741" spans="1:8" x14ac:dyDescent="0.3">
      <c r="A7741" t="s">
        <v>628</v>
      </c>
      <c r="B7741" t="s">
        <v>292</v>
      </c>
      <c r="C7741" t="s">
        <v>305</v>
      </c>
      <c r="D7741" t="s">
        <v>745</v>
      </c>
      <c r="E7741" t="s">
        <v>770</v>
      </c>
      <c r="F7741">
        <v>5</v>
      </c>
      <c r="G7741" s="308">
        <f>COMEDORES!M303</f>
        <v>0</v>
      </c>
      <c r="H7741" s="308">
        <f>COMEDORES!N303</f>
        <v>0</v>
      </c>
    </row>
    <row r="7742" spans="1:8" x14ac:dyDescent="0.3">
      <c r="A7742" t="s">
        <v>628</v>
      </c>
      <c r="B7742" t="s">
        <v>292</v>
      </c>
      <c r="C7742" t="s">
        <v>305</v>
      </c>
      <c r="D7742" t="s">
        <v>745</v>
      </c>
      <c r="E7742" t="s">
        <v>771</v>
      </c>
      <c r="F7742">
        <v>6</v>
      </c>
      <c r="G7742" s="308">
        <f>COMEDORES!O303</f>
        <v>1500</v>
      </c>
      <c r="H7742" s="308">
        <f>COMEDORES!P303</f>
        <v>0</v>
      </c>
    </row>
    <row r="7743" spans="1:8" x14ac:dyDescent="0.3">
      <c r="A7743" t="s">
        <v>628</v>
      </c>
      <c r="B7743" t="s">
        <v>292</v>
      </c>
      <c r="C7743" t="s">
        <v>305</v>
      </c>
      <c r="D7743" t="s">
        <v>745</v>
      </c>
      <c r="E7743" t="s">
        <v>772</v>
      </c>
      <c r="F7743">
        <v>7</v>
      </c>
      <c r="G7743" s="308">
        <f>COMEDORES!Q303</f>
        <v>2300</v>
      </c>
      <c r="H7743" s="308">
        <f>COMEDORES!R303</f>
        <v>119722.5</v>
      </c>
    </row>
    <row r="7744" spans="1:8" x14ac:dyDescent="0.3">
      <c r="A7744" t="s">
        <v>628</v>
      </c>
      <c r="B7744" t="s">
        <v>292</v>
      </c>
      <c r="C7744" t="s">
        <v>305</v>
      </c>
      <c r="D7744" t="s">
        <v>746</v>
      </c>
      <c r="E7744" t="s">
        <v>766</v>
      </c>
      <c r="F7744">
        <v>1</v>
      </c>
      <c r="G7744" s="308">
        <f>COMEDORES!E304</f>
        <v>0</v>
      </c>
      <c r="H7744" s="308">
        <f>COMEDORES!F304</f>
        <v>0</v>
      </c>
    </row>
    <row r="7745" spans="1:8" x14ac:dyDescent="0.3">
      <c r="A7745" t="s">
        <v>628</v>
      </c>
      <c r="B7745" t="s">
        <v>292</v>
      </c>
      <c r="C7745" t="s">
        <v>305</v>
      </c>
      <c r="D7745" t="s">
        <v>746</v>
      </c>
      <c r="E7745" t="s">
        <v>767</v>
      </c>
      <c r="F7745">
        <v>2</v>
      </c>
      <c r="G7745" s="308">
        <f>COMEDORES!G304</f>
        <v>0</v>
      </c>
      <c r="H7745" s="308">
        <f>COMEDORES!H304</f>
        <v>0</v>
      </c>
    </row>
    <row r="7746" spans="1:8" x14ac:dyDescent="0.3">
      <c r="A7746" t="s">
        <v>628</v>
      </c>
      <c r="B7746" t="s">
        <v>292</v>
      </c>
      <c r="C7746" t="s">
        <v>305</v>
      </c>
      <c r="D7746" t="s">
        <v>746</v>
      </c>
      <c r="E7746" t="s">
        <v>768</v>
      </c>
      <c r="F7746">
        <v>3</v>
      </c>
      <c r="G7746" s="308">
        <f>COMEDORES!I304</f>
        <v>0</v>
      </c>
      <c r="H7746" s="308">
        <f>COMEDORES!J304</f>
        <v>0</v>
      </c>
    </row>
    <row r="7747" spans="1:8" x14ac:dyDescent="0.3">
      <c r="A7747" t="s">
        <v>628</v>
      </c>
      <c r="B7747" t="s">
        <v>292</v>
      </c>
      <c r="C7747" t="s">
        <v>305</v>
      </c>
      <c r="D7747" t="s">
        <v>746</v>
      </c>
      <c r="E7747" t="s">
        <v>769</v>
      </c>
      <c r="F7747">
        <v>4</v>
      </c>
      <c r="G7747" s="308">
        <f>COMEDORES!K304</f>
        <v>0</v>
      </c>
      <c r="H7747" s="308">
        <f>COMEDORES!L304</f>
        <v>0</v>
      </c>
    </row>
    <row r="7748" spans="1:8" x14ac:dyDescent="0.3">
      <c r="A7748" t="s">
        <v>628</v>
      </c>
      <c r="B7748" t="s">
        <v>292</v>
      </c>
      <c r="C7748" t="s">
        <v>305</v>
      </c>
      <c r="D7748" t="s">
        <v>746</v>
      </c>
      <c r="E7748" t="s">
        <v>770</v>
      </c>
      <c r="F7748">
        <v>5</v>
      </c>
      <c r="G7748" s="308">
        <f>COMEDORES!M304</f>
        <v>0</v>
      </c>
      <c r="H7748" s="308">
        <f>COMEDORES!N304</f>
        <v>0</v>
      </c>
    </row>
    <row r="7749" spans="1:8" x14ac:dyDescent="0.3">
      <c r="A7749" t="s">
        <v>628</v>
      </c>
      <c r="B7749" t="s">
        <v>292</v>
      </c>
      <c r="C7749" t="s">
        <v>305</v>
      </c>
      <c r="D7749" t="s">
        <v>746</v>
      </c>
      <c r="E7749" t="s">
        <v>771</v>
      </c>
      <c r="F7749">
        <v>6</v>
      </c>
      <c r="G7749" s="308">
        <f>COMEDORES!O304</f>
        <v>2250</v>
      </c>
      <c r="H7749" s="308">
        <f>COMEDORES!P304</f>
        <v>0</v>
      </c>
    </row>
    <row r="7750" spans="1:8" x14ac:dyDescent="0.3">
      <c r="A7750" t="s">
        <v>628</v>
      </c>
      <c r="B7750" t="s">
        <v>292</v>
      </c>
      <c r="C7750" t="s">
        <v>305</v>
      </c>
      <c r="D7750" t="s">
        <v>746</v>
      </c>
      <c r="E7750" t="s">
        <v>772</v>
      </c>
      <c r="F7750">
        <v>7</v>
      </c>
      <c r="G7750" s="308">
        <f>COMEDORES!Q304</f>
        <v>3440</v>
      </c>
      <c r="H7750" s="308">
        <f>COMEDORES!R304</f>
        <v>0</v>
      </c>
    </row>
    <row r="7751" spans="1:8" x14ac:dyDescent="0.3">
      <c r="A7751" t="s">
        <v>628</v>
      </c>
      <c r="B7751" t="s">
        <v>292</v>
      </c>
      <c r="C7751" t="s">
        <v>306</v>
      </c>
      <c r="D7751" t="s">
        <v>745</v>
      </c>
      <c r="E7751" t="s">
        <v>766</v>
      </c>
      <c r="F7751">
        <v>1</v>
      </c>
      <c r="G7751" s="308">
        <f>COMEDORES!E305</f>
        <v>0</v>
      </c>
      <c r="H7751" s="308">
        <f>COMEDORES!F305</f>
        <v>0</v>
      </c>
    </row>
    <row r="7752" spans="1:8" x14ac:dyDescent="0.3">
      <c r="A7752" t="s">
        <v>628</v>
      </c>
      <c r="B7752" t="s">
        <v>292</v>
      </c>
      <c r="C7752" t="s">
        <v>306</v>
      </c>
      <c r="D7752" t="s">
        <v>745</v>
      </c>
      <c r="E7752" t="s">
        <v>767</v>
      </c>
      <c r="F7752">
        <v>2</v>
      </c>
      <c r="G7752" s="308">
        <f>COMEDORES!G305</f>
        <v>0</v>
      </c>
      <c r="H7752" s="308">
        <f>COMEDORES!H305</f>
        <v>0</v>
      </c>
    </row>
    <row r="7753" spans="1:8" x14ac:dyDescent="0.3">
      <c r="A7753" t="s">
        <v>628</v>
      </c>
      <c r="B7753" t="s">
        <v>292</v>
      </c>
      <c r="C7753" t="s">
        <v>306</v>
      </c>
      <c r="D7753" t="s">
        <v>745</v>
      </c>
      <c r="E7753" t="s">
        <v>768</v>
      </c>
      <c r="F7753">
        <v>3</v>
      </c>
      <c r="G7753" s="308">
        <f>COMEDORES!I305</f>
        <v>1700</v>
      </c>
      <c r="H7753" s="308">
        <f>COMEDORES!J305</f>
        <v>0</v>
      </c>
    </row>
    <row r="7754" spans="1:8" x14ac:dyDescent="0.3">
      <c r="A7754" t="s">
        <v>628</v>
      </c>
      <c r="B7754" t="s">
        <v>292</v>
      </c>
      <c r="C7754" t="s">
        <v>306</v>
      </c>
      <c r="D7754" t="s">
        <v>745</v>
      </c>
      <c r="E7754" t="s">
        <v>769</v>
      </c>
      <c r="F7754">
        <v>4</v>
      </c>
      <c r="G7754" s="308">
        <f>COMEDORES!K305</f>
        <v>1900</v>
      </c>
      <c r="H7754" s="308">
        <f>COMEDORES!L305</f>
        <v>132676.5</v>
      </c>
    </row>
    <row r="7755" spans="1:8" x14ac:dyDescent="0.3">
      <c r="A7755" t="s">
        <v>628</v>
      </c>
      <c r="B7755" t="s">
        <v>292</v>
      </c>
      <c r="C7755" t="s">
        <v>306</v>
      </c>
      <c r="D7755" t="s">
        <v>745</v>
      </c>
      <c r="E7755" t="s">
        <v>770</v>
      </c>
      <c r="F7755">
        <v>5</v>
      </c>
      <c r="G7755" s="308">
        <f>COMEDORES!M305</f>
        <v>2000</v>
      </c>
      <c r="H7755" s="308">
        <f>COMEDORES!N305</f>
        <v>151648.5</v>
      </c>
    </row>
    <row r="7756" spans="1:8" x14ac:dyDescent="0.3">
      <c r="A7756" t="s">
        <v>628</v>
      </c>
      <c r="B7756" t="s">
        <v>292</v>
      </c>
      <c r="C7756" t="s">
        <v>306</v>
      </c>
      <c r="D7756" t="s">
        <v>745</v>
      </c>
      <c r="E7756" t="s">
        <v>771</v>
      </c>
      <c r="F7756">
        <v>6</v>
      </c>
      <c r="G7756" s="308">
        <f>COMEDORES!O305</f>
        <v>2100</v>
      </c>
      <c r="H7756" s="308">
        <f>COMEDORES!P305</f>
        <v>159630</v>
      </c>
    </row>
    <row r="7757" spans="1:8" x14ac:dyDescent="0.3">
      <c r="A7757" t="s">
        <v>628</v>
      </c>
      <c r="B7757" t="s">
        <v>292</v>
      </c>
      <c r="C7757" t="s">
        <v>306</v>
      </c>
      <c r="D7757" t="s">
        <v>745</v>
      </c>
      <c r="E7757" t="s">
        <v>772</v>
      </c>
      <c r="F7757">
        <v>7</v>
      </c>
      <c r="G7757" s="308">
        <f>COMEDORES!Q305</f>
        <v>2300</v>
      </c>
      <c r="H7757" s="308">
        <f>COMEDORES!R305</f>
        <v>185844</v>
      </c>
    </row>
    <row r="7758" spans="1:8" x14ac:dyDescent="0.3">
      <c r="A7758" t="s">
        <v>628</v>
      </c>
      <c r="B7758" t="s">
        <v>292</v>
      </c>
      <c r="C7758" t="s">
        <v>306</v>
      </c>
      <c r="D7758" t="s">
        <v>746</v>
      </c>
      <c r="E7758" t="s">
        <v>766</v>
      </c>
      <c r="F7758">
        <v>1</v>
      </c>
      <c r="G7758" s="308">
        <f>COMEDORES!E306</f>
        <v>0</v>
      </c>
      <c r="H7758" s="308">
        <f>COMEDORES!F306</f>
        <v>0</v>
      </c>
    </row>
    <row r="7759" spans="1:8" x14ac:dyDescent="0.3">
      <c r="A7759" t="s">
        <v>628</v>
      </c>
      <c r="B7759" t="s">
        <v>292</v>
      </c>
      <c r="C7759" t="s">
        <v>306</v>
      </c>
      <c r="D7759" t="s">
        <v>746</v>
      </c>
      <c r="E7759" t="s">
        <v>767</v>
      </c>
      <c r="F7759">
        <v>2</v>
      </c>
      <c r="G7759" s="308">
        <f>COMEDORES!G306</f>
        <v>0</v>
      </c>
      <c r="H7759" s="308">
        <f>COMEDORES!H306</f>
        <v>0</v>
      </c>
    </row>
    <row r="7760" spans="1:8" x14ac:dyDescent="0.3">
      <c r="A7760" t="s">
        <v>628</v>
      </c>
      <c r="B7760" t="s">
        <v>292</v>
      </c>
      <c r="C7760" t="s">
        <v>306</v>
      </c>
      <c r="D7760" t="s">
        <v>746</v>
      </c>
      <c r="E7760" t="s">
        <v>768</v>
      </c>
      <c r="F7760">
        <v>3</v>
      </c>
      <c r="G7760" s="308">
        <f>COMEDORES!I306</f>
        <v>2550</v>
      </c>
      <c r="H7760" s="308">
        <f>COMEDORES!J306</f>
        <v>0</v>
      </c>
    </row>
    <row r="7761" spans="1:8" x14ac:dyDescent="0.3">
      <c r="A7761" t="s">
        <v>628</v>
      </c>
      <c r="B7761" t="s">
        <v>292</v>
      </c>
      <c r="C7761" t="s">
        <v>306</v>
      </c>
      <c r="D7761" t="s">
        <v>746</v>
      </c>
      <c r="E7761" t="s">
        <v>769</v>
      </c>
      <c r="F7761">
        <v>4</v>
      </c>
      <c r="G7761" s="308">
        <f>COMEDORES!K306</f>
        <v>2850</v>
      </c>
      <c r="H7761" s="308">
        <f>COMEDORES!L306</f>
        <v>0</v>
      </c>
    </row>
    <row r="7762" spans="1:8" x14ac:dyDescent="0.3">
      <c r="A7762" t="s">
        <v>628</v>
      </c>
      <c r="B7762" t="s">
        <v>292</v>
      </c>
      <c r="C7762" t="s">
        <v>306</v>
      </c>
      <c r="D7762" t="s">
        <v>746</v>
      </c>
      <c r="E7762" t="s">
        <v>770</v>
      </c>
      <c r="F7762">
        <v>5</v>
      </c>
      <c r="G7762" s="308">
        <f>COMEDORES!M306</f>
        <v>3000</v>
      </c>
      <c r="H7762" s="308">
        <f>COMEDORES!N306</f>
        <v>0</v>
      </c>
    </row>
    <row r="7763" spans="1:8" x14ac:dyDescent="0.3">
      <c r="A7763" t="s">
        <v>628</v>
      </c>
      <c r="B7763" t="s">
        <v>292</v>
      </c>
      <c r="C7763" t="s">
        <v>306</v>
      </c>
      <c r="D7763" t="s">
        <v>746</v>
      </c>
      <c r="E7763" t="s">
        <v>771</v>
      </c>
      <c r="F7763">
        <v>6</v>
      </c>
      <c r="G7763" s="308">
        <f>COMEDORES!O306</f>
        <v>3700</v>
      </c>
      <c r="H7763" s="308">
        <f>COMEDORES!P306</f>
        <v>0</v>
      </c>
    </row>
    <row r="7764" spans="1:8" x14ac:dyDescent="0.3">
      <c r="A7764" t="s">
        <v>628</v>
      </c>
      <c r="B7764" t="s">
        <v>292</v>
      </c>
      <c r="C7764" t="s">
        <v>306</v>
      </c>
      <c r="D7764" t="s">
        <v>746</v>
      </c>
      <c r="E7764" t="s">
        <v>772</v>
      </c>
      <c r="F7764">
        <v>7</v>
      </c>
      <c r="G7764" s="308">
        <f>COMEDORES!Q306</f>
        <v>4570</v>
      </c>
      <c r="H7764" s="308">
        <f>COMEDORES!R306</f>
        <v>0</v>
      </c>
    </row>
    <row r="7765" spans="1:8" x14ac:dyDescent="0.3">
      <c r="A7765" t="s">
        <v>628</v>
      </c>
      <c r="B7765" t="s">
        <v>307</v>
      </c>
      <c r="C7765" t="s">
        <v>307</v>
      </c>
      <c r="D7765" t="s">
        <v>745</v>
      </c>
      <c r="E7765" t="s">
        <v>766</v>
      </c>
      <c r="F7765">
        <v>1</v>
      </c>
      <c r="G7765" s="308">
        <f>COMEDORES!E307</f>
        <v>0</v>
      </c>
      <c r="H7765" s="308">
        <f>COMEDORES!F307</f>
        <v>0</v>
      </c>
    </row>
    <row r="7766" spans="1:8" x14ac:dyDescent="0.3">
      <c r="A7766" t="s">
        <v>628</v>
      </c>
      <c r="B7766" t="s">
        <v>307</v>
      </c>
      <c r="C7766" t="s">
        <v>307</v>
      </c>
      <c r="D7766" t="s">
        <v>745</v>
      </c>
      <c r="E7766" t="s">
        <v>767</v>
      </c>
      <c r="F7766">
        <v>2</v>
      </c>
      <c r="G7766" s="308">
        <f>COMEDORES!G307</f>
        <v>0</v>
      </c>
      <c r="H7766" s="308">
        <f>COMEDORES!H307</f>
        <v>0</v>
      </c>
    </row>
    <row r="7767" spans="1:8" x14ac:dyDescent="0.3">
      <c r="A7767" t="s">
        <v>628</v>
      </c>
      <c r="B7767" t="s">
        <v>307</v>
      </c>
      <c r="C7767" t="s">
        <v>307</v>
      </c>
      <c r="D7767" t="s">
        <v>745</v>
      </c>
      <c r="E7767" t="s">
        <v>768</v>
      </c>
      <c r="F7767">
        <v>3</v>
      </c>
      <c r="G7767" s="308">
        <f>COMEDORES!I307</f>
        <v>0</v>
      </c>
      <c r="H7767" s="308">
        <f>COMEDORES!J307</f>
        <v>0</v>
      </c>
    </row>
    <row r="7768" spans="1:8" x14ac:dyDescent="0.3">
      <c r="A7768" t="s">
        <v>628</v>
      </c>
      <c r="B7768" t="s">
        <v>307</v>
      </c>
      <c r="C7768" t="s">
        <v>307</v>
      </c>
      <c r="D7768" t="s">
        <v>745</v>
      </c>
      <c r="E7768" t="s">
        <v>769</v>
      </c>
      <c r="F7768">
        <v>4</v>
      </c>
      <c r="G7768" s="308">
        <f>COMEDORES!K307</f>
        <v>0</v>
      </c>
      <c r="H7768" s="308">
        <f>COMEDORES!L307</f>
        <v>0</v>
      </c>
    </row>
    <row r="7769" spans="1:8" x14ac:dyDescent="0.3">
      <c r="A7769" t="s">
        <v>628</v>
      </c>
      <c r="B7769" t="s">
        <v>307</v>
      </c>
      <c r="C7769" t="s">
        <v>307</v>
      </c>
      <c r="D7769" t="s">
        <v>745</v>
      </c>
      <c r="E7769" t="s">
        <v>770</v>
      </c>
      <c r="F7769">
        <v>5</v>
      </c>
      <c r="G7769" s="308">
        <f>COMEDORES!M307</f>
        <v>0</v>
      </c>
      <c r="H7769" s="308">
        <f>COMEDORES!N307</f>
        <v>0</v>
      </c>
    </row>
    <row r="7770" spans="1:8" x14ac:dyDescent="0.3">
      <c r="A7770" t="s">
        <v>628</v>
      </c>
      <c r="B7770" t="s">
        <v>307</v>
      </c>
      <c r="C7770" t="s">
        <v>307</v>
      </c>
      <c r="D7770" t="s">
        <v>745</v>
      </c>
      <c r="E7770" t="s">
        <v>771</v>
      </c>
      <c r="F7770">
        <v>6</v>
      </c>
      <c r="G7770" s="308">
        <f>COMEDORES!O307</f>
        <v>0</v>
      </c>
      <c r="H7770" s="308">
        <f>COMEDORES!P307</f>
        <v>0</v>
      </c>
    </row>
    <row r="7771" spans="1:8" x14ac:dyDescent="0.3">
      <c r="A7771" t="s">
        <v>628</v>
      </c>
      <c r="B7771" t="s">
        <v>307</v>
      </c>
      <c r="C7771" t="s">
        <v>307</v>
      </c>
      <c r="D7771" t="s">
        <v>745</v>
      </c>
      <c r="E7771" t="s">
        <v>772</v>
      </c>
      <c r="F7771">
        <v>7</v>
      </c>
      <c r="G7771" s="308">
        <f>COMEDORES!Q307</f>
        <v>2382</v>
      </c>
      <c r="H7771" s="308">
        <f>COMEDORES!R307</f>
        <v>0</v>
      </c>
    </row>
    <row r="7772" spans="1:8" x14ac:dyDescent="0.3">
      <c r="A7772" t="s">
        <v>628</v>
      </c>
      <c r="B7772" t="s">
        <v>307</v>
      </c>
      <c r="C7772" t="s">
        <v>307</v>
      </c>
      <c r="D7772" t="s">
        <v>746</v>
      </c>
      <c r="E7772" t="s">
        <v>766</v>
      </c>
      <c r="F7772">
        <v>1</v>
      </c>
      <c r="G7772" s="308">
        <f>COMEDORES!E308</f>
        <v>0</v>
      </c>
      <c r="H7772" s="308">
        <f>COMEDORES!F308</f>
        <v>0</v>
      </c>
    </row>
    <row r="7773" spans="1:8" x14ac:dyDescent="0.3">
      <c r="A7773" t="s">
        <v>628</v>
      </c>
      <c r="B7773" t="s">
        <v>307</v>
      </c>
      <c r="C7773" t="s">
        <v>307</v>
      </c>
      <c r="D7773" t="s">
        <v>746</v>
      </c>
      <c r="E7773" t="s">
        <v>767</v>
      </c>
      <c r="F7773">
        <v>2</v>
      </c>
      <c r="G7773" s="308">
        <f>COMEDORES!G308</f>
        <v>0</v>
      </c>
      <c r="H7773" s="308">
        <f>COMEDORES!H308</f>
        <v>0</v>
      </c>
    </row>
    <row r="7774" spans="1:8" x14ac:dyDescent="0.3">
      <c r="A7774" t="s">
        <v>628</v>
      </c>
      <c r="B7774" t="s">
        <v>307</v>
      </c>
      <c r="C7774" t="s">
        <v>307</v>
      </c>
      <c r="D7774" t="s">
        <v>746</v>
      </c>
      <c r="E7774" t="s">
        <v>768</v>
      </c>
      <c r="F7774">
        <v>3</v>
      </c>
      <c r="G7774" s="308">
        <f>COMEDORES!I308</f>
        <v>0</v>
      </c>
      <c r="H7774" s="308">
        <f>COMEDORES!J308</f>
        <v>0</v>
      </c>
    </row>
    <row r="7775" spans="1:8" x14ac:dyDescent="0.3">
      <c r="A7775" t="s">
        <v>628</v>
      </c>
      <c r="B7775" t="s">
        <v>307</v>
      </c>
      <c r="C7775" t="s">
        <v>307</v>
      </c>
      <c r="D7775" t="s">
        <v>746</v>
      </c>
      <c r="E7775" t="s">
        <v>769</v>
      </c>
      <c r="F7775">
        <v>4</v>
      </c>
      <c r="G7775" s="308">
        <f>COMEDORES!K308</f>
        <v>0</v>
      </c>
      <c r="H7775" s="308">
        <f>COMEDORES!L308</f>
        <v>0</v>
      </c>
    </row>
    <row r="7776" spans="1:8" x14ac:dyDescent="0.3">
      <c r="A7776" t="s">
        <v>628</v>
      </c>
      <c r="B7776" t="s">
        <v>307</v>
      </c>
      <c r="C7776" t="s">
        <v>307</v>
      </c>
      <c r="D7776" t="s">
        <v>746</v>
      </c>
      <c r="E7776" t="s">
        <v>770</v>
      </c>
      <c r="F7776">
        <v>5</v>
      </c>
      <c r="G7776" s="308">
        <f>COMEDORES!M308</f>
        <v>0</v>
      </c>
      <c r="H7776" s="308">
        <f>COMEDORES!N308</f>
        <v>0</v>
      </c>
    </row>
    <row r="7777" spans="1:8" x14ac:dyDescent="0.3">
      <c r="A7777" t="s">
        <v>628</v>
      </c>
      <c r="B7777" t="s">
        <v>307</v>
      </c>
      <c r="C7777" t="s">
        <v>307</v>
      </c>
      <c r="D7777" t="s">
        <v>746</v>
      </c>
      <c r="E7777" t="s">
        <v>771</v>
      </c>
      <c r="F7777">
        <v>6</v>
      </c>
      <c r="G7777" s="308">
        <f>COMEDORES!O308</f>
        <v>0</v>
      </c>
      <c r="H7777" s="308">
        <f>COMEDORES!P308</f>
        <v>0</v>
      </c>
    </row>
    <row r="7778" spans="1:8" x14ac:dyDescent="0.3">
      <c r="A7778" t="s">
        <v>628</v>
      </c>
      <c r="B7778" t="s">
        <v>307</v>
      </c>
      <c r="C7778" t="s">
        <v>307</v>
      </c>
      <c r="D7778" t="s">
        <v>746</v>
      </c>
      <c r="E7778" t="s">
        <v>772</v>
      </c>
      <c r="F7778">
        <v>7</v>
      </c>
      <c r="G7778" s="308">
        <f>COMEDORES!Q308</f>
        <v>3200</v>
      </c>
      <c r="H7778" s="308">
        <f>COMEDORES!R308</f>
        <v>0</v>
      </c>
    </row>
    <row r="7779" spans="1:8" x14ac:dyDescent="0.3">
      <c r="A7779" t="s">
        <v>628</v>
      </c>
      <c r="B7779" t="s">
        <v>307</v>
      </c>
      <c r="C7779" t="s">
        <v>322</v>
      </c>
      <c r="D7779" t="s">
        <v>745</v>
      </c>
      <c r="E7779" t="s">
        <v>766</v>
      </c>
      <c r="F7779">
        <v>1</v>
      </c>
      <c r="G7779" s="308">
        <f>COMEDORES!E309</f>
        <v>1800</v>
      </c>
      <c r="H7779" s="308">
        <f>COMEDORES!F309</f>
        <v>0</v>
      </c>
    </row>
    <row r="7780" spans="1:8" x14ac:dyDescent="0.3">
      <c r="A7780" t="s">
        <v>628</v>
      </c>
      <c r="B7780" t="s">
        <v>307</v>
      </c>
      <c r="C7780" t="s">
        <v>322</v>
      </c>
      <c r="D7780" t="s">
        <v>745</v>
      </c>
      <c r="E7780" t="s">
        <v>767</v>
      </c>
      <c r="F7780">
        <v>2</v>
      </c>
      <c r="G7780" s="308">
        <f>COMEDORES!G309</f>
        <v>2000</v>
      </c>
      <c r="H7780" s="308">
        <f>COMEDORES!H309</f>
        <v>0</v>
      </c>
    </row>
    <row r="7781" spans="1:8" x14ac:dyDescent="0.3">
      <c r="A7781" t="s">
        <v>628</v>
      </c>
      <c r="B7781" t="s">
        <v>307</v>
      </c>
      <c r="C7781" t="s">
        <v>322</v>
      </c>
      <c r="D7781" t="s">
        <v>745</v>
      </c>
      <c r="E7781" t="s">
        <v>768</v>
      </c>
      <c r="F7781">
        <v>3</v>
      </c>
      <c r="G7781" s="308">
        <f>COMEDORES!I309</f>
        <v>2200</v>
      </c>
      <c r="H7781" s="308">
        <f>COMEDORES!J309</f>
        <v>338492</v>
      </c>
    </row>
    <row r="7782" spans="1:8" x14ac:dyDescent="0.3">
      <c r="A7782" t="s">
        <v>628</v>
      </c>
      <c r="B7782" t="s">
        <v>307</v>
      </c>
      <c r="C7782" t="s">
        <v>322</v>
      </c>
      <c r="D7782" t="s">
        <v>745</v>
      </c>
      <c r="E7782" t="s">
        <v>769</v>
      </c>
      <c r="F7782">
        <v>4</v>
      </c>
      <c r="G7782" s="308">
        <f>COMEDORES!K309</f>
        <v>1900</v>
      </c>
      <c r="H7782" s="308">
        <f>COMEDORES!L309</f>
        <v>191170</v>
      </c>
    </row>
    <row r="7783" spans="1:8" x14ac:dyDescent="0.3">
      <c r="A7783" t="s">
        <v>628</v>
      </c>
      <c r="B7783" t="s">
        <v>307</v>
      </c>
      <c r="C7783" t="s">
        <v>322</v>
      </c>
      <c r="D7783" t="s">
        <v>745</v>
      </c>
      <c r="E7783" t="s">
        <v>770</v>
      </c>
      <c r="F7783">
        <v>5</v>
      </c>
      <c r="G7783" s="308">
        <f>COMEDORES!M309</f>
        <v>1400</v>
      </c>
      <c r="H7783" s="308">
        <f>COMEDORES!N309</f>
        <v>166516</v>
      </c>
    </row>
    <row r="7784" spans="1:8" x14ac:dyDescent="0.3">
      <c r="A7784" t="s">
        <v>628</v>
      </c>
      <c r="B7784" t="s">
        <v>307</v>
      </c>
      <c r="C7784" t="s">
        <v>322</v>
      </c>
      <c r="D7784" t="s">
        <v>745</v>
      </c>
      <c r="E7784" t="s">
        <v>771</v>
      </c>
      <c r="F7784">
        <v>6</v>
      </c>
      <c r="G7784" s="308">
        <f>COMEDORES!O309</f>
        <v>1470</v>
      </c>
      <c r="H7784" s="308">
        <f>COMEDORES!P309</f>
        <v>107590</v>
      </c>
    </row>
    <row r="7785" spans="1:8" x14ac:dyDescent="0.3">
      <c r="A7785" t="s">
        <v>628</v>
      </c>
      <c r="B7785" t="s">
        <v>307</v>
      </c>
      <c r="C7785" t="s">
        <v>322</v>
      </c>
      <c r="D7785" t="s">
        <v>745</v>
      </c>
      <c r="E7785" t="s">
        <v>772</v>
      </c>
      <c r="F7785">
        <v>7</v>
      </c>
      <c r="G7785" s="308">
        <f>COMEDORES!Q309</f>
        <v>1540</v>
      </c>
      <c r="H7785" s="308">
        <f>COMEDORES!R309</f>
        <v>113542.80000000005</v>
      </c>
    </row>
    <row r="7786" spans="1:8" x14ac:dyDescent="0.3">
      <c r="A7786" t="s">
        <v>628</v>
      </c>
      <c r="B7786" t="s">
        <v>307</v>
      </c>
      <c r="C7786" t="s">
        <v>322</v>
      </c>
      <c r="D7786" t="s">
        <v>746</v>
      </c>
      <c r="E7786" t="s">
        <v>766</v>
      </c>
      <c r="F7786">
        <v>1</v>
      </c>
      <c r="G7786" s="308">
        <f>COMEDORES!E310</f>
        <v>2850</v>
      </c>
      <c r="H7786" s="308">
        <f>COMEDORES!F310</f>
        <v>0</v>
      </c>
    </row>
    <row r="7787" spans="1:8" x14ac:dyDescent="0.3">
      <c r="A7787" t="s">
        <v>628</v>
      </c>
      <c r="B7787" t="s">
        <v>307</v>
      </c>
      <c r="C7787" t="s">
        <v>322</v>
      </c>
      <c r="D7787" t="s">
        <v>746</v>
      </c>
      <c r="E7787" t="s">
        <v>767</v>
      </c>
      <c r="F7787">
        <v>2</v>
      </c>
      <c r="G7787" s="308">
        <f>COMEDORES!G310</f>
        <v>3000</v>
      </c>
      <c r="H7787" s="308">
        <f>COMEDORES!H310</f>
        <v>0</v>
      </c>
    </row>
    <row r="7788" spans="1:8" x14ac:dyDescent="0.3">
      <c r="A7788" t="s">
        <v>628</v>
      </c>
      <c r="B7788" t="s">
        <v>307</v>
      </c>
      <c r="C7788" t="s">
        <v>322</v>
      </c>
      <c r="D7788" t="s">
        <v>746</v>
      </c>
      <c r="E7788" t="s">
        <v>768</v>
      </c>
      <c r="F7788">
        <v>3</v>
      </c>
      <c r="G7788" s="308">
        <f>COMEDORES!I310</f>
        <v>3300</v>
      </c>
      <c r="H7788" s="308">
        <f>COMEDORES!J310</f>
        <v>0</v>
      </c>
    </row>
    <row r="7789" spans="1:8" x14ac:dyDescent="0.3">
      <c r="A7789" t="s">
        <v>628</v>
      </c>
      <c r="B7789" t="s">
        <v>307</v>
      </c>
      <c r="C7789" t="s">
        <v>322</v>
      </c>
      <c r="D7789" t="s">
        <v>746</v>
      </c>
      <c r="E7789" t="s">
        <v>769</v>
      </c>
      <c r="F7789">
        <v>4</v>
      </c>
      <c r="G7789" s="308">
        <f>COMEDORES!K310</f>
        <v>2850</v>
      </c>
      <c r="H7789" s="308">
        <f>COMEDORES!L310</f>
        <v>0</v>
      </c>
    </row>
    <row r="7790" spans="1:8" x14ac:dyDescent="0.3">
      <c r="A7790" t="s">
        <v>628</v>
      </c>
      <c r="B7790" t="s">
        <v>307</v>
      </c>
      <c r="C7790" t="s">
        <v>322</v>
      </c>
      <c r="D7790" t="s">
        <v>746</v>
      </c>
      <c r="E7790" t="s">
        <v>770</v>
      </c>
      <c r="F7790">
        <v>5</v>
      </c>
      <c r="G7790" s="308">
        <f>COMEDORES!M310</f>
        <v>1685</v>
      </c>
      <c r="H7790" s="308">
        <f>COMEDORES!N310</f>
        <v>0</v>
      </c>
    </row>
    <row r="7791" spans="1:8" x14ac:dyDescent="0.3">
      <c r="A7791" t="s">
        <v>628</v>
      </c>
      <c r="B7791" t="s">
        <v>307</v>
      </c>
      <c r="C7791" t="s">
        <v>322</v>
      </c>
      <c r="D7791" t="s">
        <v>746</v>
      </c>
      <c r="E7791" t="s">
        <v>771</v>
      </c>
      <c r="F7791">
        <v>6</v>
      </c>
      <c r="G7791" s="308">
        <f>COMEDORES!O310</f>
        <v>1785</v>
      </c>
      <c r="H7791" s="308">
        <f>COMEDORES!P310</f>
        <v>0</v>
      </c>
    </row>
    <row r="7792" spans="1:8" x14ac:dyDescent="0.3">
      <c r="A7792" t="s">
        <v>628</v>
      </c>
      <c r="B7792" t="s">
        <v>307</v>
      </c>
      <c r="C7792" t="s">
        <v>322</v>
      </c>
      <c r="D7792" t="s">
        <v>746</v>
      </c>
      <c r="E7792" t="s">
        <v>772</v>
      </c>
      <c r="F7792">
        <v>7</v>
      </c>
      <c r="G7792" s="308">
        <f>COMEDORES!Q310</f>
        <v>1955</v>
      </c>
      <c r="H7792" s="308">
        <f>COMEDORES!R310</f>
        <v>0</v>
      </c>
    </row>
    <row r="7793" spans="1:8" x14ac:dyDescent="0.3">
      <c r="A7793" t="s">
        <v>628</v>
      </c>
      <c r="B7793" t="s">
        <v>413</v>
      </c>
      <c r="C7793" t="s">
        <v>328</v>
      </c>
      <c r="D7793" t="s">
        <v>745</v>
      </c>
      <c r="E7793" t="s">
        <v>766</v>
      </c>
      <c r="F7793">
        <v>1</v>
      </c>
      <c r="G7793" s="308">
        <f>COMEDORES!E311</f>
        <v>3600</v>
      </c>
      <c r="H7793" s="308">
        <f>COMEDORES!F311</f>
        <v>0</v>
      </c>
    </row>
    <row r="7794" spans="1:8" x14ac:dyDescent="0.3">
      <c r="A7794" t="s">
        <v>628</v>
      </c>
      <c r="B7794" t="s">
        <v>413</v>
      </c>
      <c r="C7794" t="s">
        <v>328</v>
      </c>
      <c r="D7794" t="s">
        <v>745</v>
      </c>
      <c r="E7794" t="s">
        <v>767</v>
      </c>
      <c r="F7794">
        <v>2</v>
      </c>
      <c r="G7794" s="308">
        <f>COMEDORES!G311</f>
        <v>4000</v>
      </c>
      <c r="H7794" s="308">
        <f>COMEDORES!H311</f>
        <v>0</v>
      </c>
    </row>
    <row r="7795" spans="1:8" x14ac:dyDescent="0.3">
      <c r="A7795" t="s">
        <v>628</v>
      </c>
      <c r="B7795" t="s">
        <v>413</v>
      </c>
      <c r="C7795" t="s">
        <v>328</v>
      </c>
      <c r="D7795" t="s">
        <v>745</v>
      </c>
      <c r="E7795" t="s">
        <v>768</v>
      </c>
      <c r="F7795">
        <v>3</v>
      </c>
      <c r="G7795" s="308">
        <f>COMEDORES!I311</f>
        <v>4400</v>
      </c>
      <c r="H7795" s="308">
        <f>COMEDORES!J311</f>
        <v>584361</v>
      </c>
    </row>
    <row r="7796" spans="1:8" x14ac:dyDescent="0.3">
      <c r="A7796" t="s">
        <v>628</v>
      </c>
      <c r="B7796" t="s">
        <v>413</v>
      </c>
      <c r="C7796" t="s">
        <v>328</v>
      </c>
      <c r="D7796" t="s">
        <v>745</v>
      </c>
      <c r="E7796" t="s">
        <v>769</v>
      </c>
      <c r="F7796">
        <v>4</v>
      </c>
      <c r="G7796" s="308">
        <f>COMEDORES!K311</f>
        <v>3800</v>
      </c>
      <c r="H7796" s="308">
        <f>COMEDORES!L311</f>
        <v>333234</v>
      </c>
    </row>
    <row r="7797" spans="1:8" x14ac:dyDescent="0.3">
      <c r="A7797" t="s">
        <v>628</v>
      </c>
      <c r="B7797" t="s">
        <v>413</v>
      </c>
      <c r="C7797" t="s">
        <v>328</v>
      </c>
      <c r="D7797" t="s">
        <v>745</v>
      </c>
      <c r="E7797" t="s">
        <v>770</v>
      </c>
      <c r="F7797">
        <v>5</v>
      </c>
      <c r="G7797" s="308">
        <f>COMEDORES!M311</f>
        <v>4000</v>
      </c>
      <c r="H7797" s="308">
        <f>COMEDORES!N311</f>
        <v>287055.90000000002</v>
      </c>
    </row>
    <row r="7798" spans="1:8" x14ac:dyDescent="0.3">
      <c r="A7798" t="s">
        <v>628</v>
      </c>
      <c r="B7798" t="s">
        <v>413</v>
      </c>
      <c r="C7798" t="s">
        <v>328</v>
      </c>
      <c r="D7798" t="s">
        <v>745</v>
      </c>
      <c r="E7798" t="s">
        <v>771</v>
      </c>
      <c r="F7798">
        <v>6</v>
      </c>
      <c r="G7798" s="308">
        <f>COMEDORES!O311</f>
        <v>4200</v>
      </c>
      <c r="H7798" s="308">
        <f>COMEDORES!P311</f>
        <v>302940</v>
      </c>
    </row>
    <row r="7799" spans="1:8" x14ac:dyDescent="0.3">
      <c r="A7799" t="s">
        <v>628</v>
      </c>
      <c r="B7799" t="s">
        <v>413</v>
      </c>
      <c r="C7799" t="s">
        <v>328</v>
      </c>
      <c r="D7799" t="s">
        <v>745</v>
      </c>
      <c r="E7799" t="s">
        <v>772</v>
      </c>
      <c r="F7799">
        <v>7</v>
      </c>
      <c r="G7799" s="308">
        <f>COMEDORES!Q311</f>
        <v>4600</v>
      </c>
      <c r="H7799" s="308">
        <f>COMEDORES!R311</f>
        <v>318087</v>
      </c>
    </row>
    <row r="7800" spans="1:8" x14ac:dyDescent="0.3">
      <c r="A7800" t="s">
        <v>628</v>
      </c>
      <c r="B7800" t="s">
        <v>413</v>
      </c>
      <c r="C7800" t="s">
        <v>328</v>
      </c>
      <c r="D7800" t="s">
        <v>746</v>
      </c>
      <c r="E7800" t="s">
        <v>766</v>
      </c>
      <c r="F7800">
        <v>1</v>
      </c>
      <c r="G7800" s="308">
        <f>COMEDORES!E312</f>
        <v>4750</v>
      </c>
      <c r="H7800" s="308">
        <f>COMEDORES!F312</f>
        <v>0</v>
      </c>
    </row>
    <row r="7801" spans="1:8" x14ac:dyDescent="0.3">
      <c r="A7801" t="s">
        <v>628</v>
      </c>
      <c r="B7801" t="s">
        <v>413</v>
      </c>
      <c r="C7801" t="s">
        <v>328</v>
      </c>
      <c r="D7801" t="s">
        <v>746</v>
      </c>
      <c r="E7801" t="s">
        <v>767</v>
      </c>
      <c r="F7801">
        <v>2</v>
      </c>
      <c r="G7801" s="308">
        <f>COMEDORES!G312</f>
        <v>5000</v>
      </c>
      <c r="H7801" s="308">
        <f>COMEDORES!H312</f>
        <v>0</v>
      </c>
    </row>
    <row r="7802" spans="1:8" x14ac:dyDescent="0.3">
      <c r="A7802" t="s">
        <v>628</v>
      </c>
      <c r="B7802" t="s">
        <v>413</v>
      </c>
      <c r="C7802" t="s">
        <v>328</v>
      </c>
      <c r="D7802" t="s">
        <v>746</v>
      </c>
      <c r="E7802" t="s">
        <v>768</v>
      </c>
      <c r="F7802">
        <v>3</v>
      </c>
      <c r="G7802" s="308">
        <f>COMEDORES!I312</f>
        <v>5500</v>
      </c>
      <c r="H7802" s="308">
        <f>COMEDORES!J312</f>
        <v>0</v>
      </c>
    </row>
    <row r="7803" spans="1:8" x14ac:dyDescent="0.3">
      <c r="A7803" t="s">
        <v>628</v>
      </c>
      <c r="B7803" t="s">
        <v>413</v>
      </c>
      <c r="C7803" t="s">
        <v>328</v>
      </c>
      <c r="D7803" t="s">
        <v>746</v>
      </c>
      <c r="E7803" t="s">
        <v>769</v>
      </c>
      <c r="F7803">
        <v>4</v>
      </c>
      <c r="G7803" s="308">
        <f>COMEDORES!K312</f>
        <v>4729</v>
      </c>
      <c r="H7803" s="308">
        <f>COMEDORES!L312</f>
        <v>0</v>
      </c>
    </row>
    <row r="7804" spans="1:8" x14ac:dyDescent="0.3">
      <c r="A7804" t="s">
        <v>628</v>
      </c>
      <c r="B7804" t="s">
        <v>413</v>
      </c>
      <c r="C7804" t="s">
        <v>328</v>
      </c>
      <c r="D7804" t="s">
        <v>746</v>
      </c>
      <c r="E7804" t="s">
        <v>770</v>
      </c>
      <c r="F7804">
        <v>5</v>
      </c>
      <c r="G7804" s="308">
        <f>COMEDORES!M312</f>
        <v>5000</v>
      </c>
      <c r="H7804" s="308">
        <f>COMEDORES!N312</f>
        <v>0</v>
      </c>
    </row>
    <row r="7805" spans="1:8" x14ac:dyDescent="0.3">
      <c r="A7805" t="s">
        <v>628</v>
      </c>
      <c r="B7805" t="s">
        <v>413</v>
      </c>
      <c r="C7805" t="s">
        <v>328</v>
      </c>
      <c r="D7805" t="s">
        <v>746</v>
      </c>
      <c r="E7805" t="s">
        <v>771</v>
      </c>
      <c r="F7805">
        <v>6</v>
      </c>
      <c r="G7805" s="308">
        <f>COMEDORES!O312</f>
        <v>5250</v>
      </c>
      <c r="H7805" s="308">
        <f>COMEDORES!P312</f>
        <v>0</v>
      </c>
    </row>
    <row r="7806" spans="1:8" x14ac:dyDescent="0.3">
      <c r="A7806" t="s">
        <v>628</v>
      </c>
      <c r="B7806" t="s">
        <v>413</v>
      </c>
      <c r="C7806" t="s">
        <v>328</v>
      </c>
      <c r="D7806" t="s">
        <v>746</v>
      </c>
      <c r="E7806" t="s">
        <v>772</v>
      </c>
      <c r="F7806">
        <v>7</v>
      </c>
      <c r="G7806" s="308">
        <f>COMEDORES!Q312</f>
        <v>5750</v>
      </c>
      <c r="H7806" s="308">
        <f>COMEDORES!R312</f>
        <v>0</v>
      </c>
    </row>
    <row r="7807" spans="1:8" x14ac:dyDescent="0.3">
      <c r="A7807" t="s">
        <v>628</v>
      </c>
      <c r="B7807" t="s">
        <v>413</v>
      </c>
      <c r="C7807" t="s">
        <v>331</v>
      </c>
      <c r="D7807" t="s">
        <v>745</v>
      </c>
      <c r="E7807" t="s">
        <v>766</v>
      </c>
      <c r="F7807">
        <v>1</v>
      </c>
      <c r="G7807" s="308">
        <f>COMEDORES!E313</f>
        <v>2700</v>
      </c>
      <c r="H7807" s="308">
        <f>COMEDORES!F313</f>
        <v>0</v>
      </c>
    </row>
    <row r="7808" spans="1:8" x14ac:dyDescent="0.3">
      <c r="A7808" t="s">
        <v>628</v>
      </c>
      <c r="B7808" t="s">
        <v>413</v>
      </c>
      <c r="C7808" t="s">
        <v>331</v>
      </c>
      <c r="D7808" t="s">
        <v>745</v>
      </c>
      <c r="E7808" t="s">
        <v>767</v>
      </c>
      <c r="F7808">
        <v>2</v>
      </c>
      <c r="G7808" s="308">
        <f>COMEDORES!G313</f>
        <v>3000</v>
      </c>
      <c r="H7808" s="308">
        <f>COMEDORES!H313</f>
        <v>0</v>
      </c>
    </row>
    <row r="7809" spans="1:8" x14ac:dyDescent="0.3">
      <c r="A7809" t="s">
        <v>628</v>
      </c>
      <c r="B7809" t="s">
        <v>413</v>
      </c>
      <c r="C7809" t="s">
        <v>331</v>
      </c>
      <c r="D7809" t="s">
        <v>745</v>
      </c>
      <c r="E7809" t="s">
        <v>768</v>
      </c>
      <c r="F7809">
        <v>3</v>
      </c>
      <c r="G7809" s="308">
        <f>COMEDORES!I313</f>
        <v>3300</v>
      </c>
      <c r="H7809" s="308">
        <f>COMEDORES!J313</f>
        <v>511124.04</v>
      </c>
    </row>
    <row r="7810" spans="1:8" x14ac:dyDescent="0.3">
      <c r="A7810" t="s">
        <v>628</v>
      </c>
      <c r="B7810" t="s">
        <v>413</v>
      </c>
      <c r="C7810" t="s">
        <v>331</v>
      </c>
      <c r="D7810" t="s">
        <v>745</v>
      </c>
      <c r="E7810" t="s">
        <v>769</v>
      </c>
      <c r="F7810">
        <v>4</v>
      </c>
      <c r="G7810" s="308">
        <f>COMEDORES!K313</f>
        <v>2850</v>
      </c>
      <c r="H7810" s="308">
        <f>COMEDORES!L313</f>
        <v>298188.00000000006</v>
      </c>
    </row>
    <row r="7811" spans="1:8" x14ac:dyDescent="0.3">
      <c r="A7811" t="s">
        <v>628</v>
      </c>
      <c r="B7811" t="s">
        <v>413</v>
      </c>
      <c r="C7811" t="s">
        <v>331</v>
      </c>
      <c r="D7811" t="s">
        <v>745</v>
      </c>
      <c r="E7811" t="s">
        <v>770</v>
      </c>
      <c r="F7811">
        <v>5</v>
      </c>
      <c r="G7811" s="308">
        <f>COMEDORES!M313</f>
        <v>3000</v>
      </c>
      <c r="H7811" s="308">
        <f>COMEDORES!N313</f>
        <v>250786.8</v>
      </c>
    </row>
    <row r="7812" spans="1:8" x14ac:dyDescent="0.3">
      <c r="A7812" t="s">
        <v>628</v>
      </c>
      <c r="B7812" t="s">
        <v>413</v>
      </c>
      <c r="C7812" t="s">
        <v>331</v>
      </c>
      <c r="D7812" t="s">
        <v>745</v>
      </c>
      <c r="E7812" t="s">
        <v>771</v>
      </c>
      <c r="F7812">
        <v>6</v>
      </c>
      <c r="G7812" s="308">
        <f>COMEDORES!O313</f>
        <v>3150</v>
      </c>
      <c r="H7812" s="308">
        <f>COMEDORES!P313</f>
        <v>271080</v>
      </c>
    </row>
    <row r="7813" spans="1:8" x14ac:dyDescent="0.3">
      <c r="A7813" t="s">
        <v>628</v>
      </c>
      <c r="B7813" t="s">
        <v>413</v>
      </c>
      <c r="C7813" t="s">
        <v>331</v>
      </c>
      <c r="D7813" t="s">
        <v>745</v>
      </c>
      <c r="E7813" t="s">
        <v>772</v>
      </c>
      <c r="F7813">
        <v>7</v>
      </c>
      <c r="G7813" s="308">
        <f>COMEDORES!Q313</f>
        <v>3394</v>
      </c>
      <c r="H7813" s="308">
        <f>COMEDORES!R313</f>
        <v>284634</v>
      </c>
    </row>
    <row r="7814" spans="1:8" x14ac:dyDescent="0.3">
      <c r="A7814" t="s">
        <v>628</v>
      </c>
      <c r="B7814" t="s">
        <v>413</v>
      </c>
      <c r="C7814" t="s">
        <v>331</v>
      </c>
      <c r="D7814" t="s">
        <v>746</v>
      </c>
      <c r="E7814" t="s">
        <v>766</v>
      </c>
      <c r="F7814">
        <v>1</v>
      </c>
      <c r="G7814" s="308">
        <f>COMEDORES!E314</f>
        <v>4500</v>
      </c>
      <c r="H7814" s="308">
        <f>COMEDORES!F314</f>
        <v>0</v>
      </c>
    </row>
    <row r="7815" spans="1:8" x14ac:dyDescent="0.3">
      <c r="A7815" t="s">
        <v>628</v>
      </c>
      <c r="B7815" t="s">
        <v>413</v>
      </c>
      <c r="C7815" t="s">
        <v>331</v>
      </c>
      <c r="D7815" t="s">
        <v>746</v>
      </c>
      <c r="E7815" t="s">
        <v>767</v>
      </c>
      <c r="F7815">
        <v>2</v>
      </c>
      <c r="G7815" s="308">
        <f>COMEDORES!G314</f>
        <v>5000</v>
      </c>
      <c r="H7815" s="308">
        <f>COMEDORES!H314</f>
        <v>0</v>
      </c>
    </row>
    <row r="7816" spans="1:8" x14ac:dyDescent="0.3">
      <c r="A7816" t="s">
        <v>628</v>
      </c>
      <c r="B7816" t="s">
        <v>413</v>
      </c>
      <c r="C7816" t="s">
        <v>331</v>
      </c>
      <c r="D7816" t="s">
        <v>746</v>
      </c>
      <c r="E7816" t="s">
        <v>768</v>
      </c>
      <c r="F7816">
        <v>3</v>
      </c>
      <c r="G7816" s="308">
        <f>COMEDORES!I314</f>
        <v>5500</v>
      </c>
      <c r="H7816" s="308">
        <f>COMEDORES!J314</f>
        <v>0</v>
      </c>
    </row>
    <row r="7817" spans="1:8" x14ac:dyDescent="0.3">
      <c r="A7817" t="s">
        <v>628</v>
      </c>
      <c r="B7817" t="s">
        <v>413</v>
      </c>
      <c r="C7817" t="s">
        <v>331</v>
      </c>
      <c r="D7817" t="s">
        <v>746</v>
      </c>
      <c r="E7817" t="s">
        <v>769</v>
      </c>
      <c r="F7817">
        <v>4</v>
      </c>
      <c r="G7817" s="308">
        <f>COMEDORES!K314</f>
        <v>4558</v>
      </c>
      <c r="H7817" s="308">
        <f>COMEDORES!L314</f>
        <v>0</v>
      </c>
    </row>
    <row r="7818" spans="1:8" x14ac:dyDescent="0.3">
      <c r="A7818" t="s">
        <v>628</v>
      </c>
      <c r="B7818" t="s">
        <v>413</v>
      </c>
      <c r="C7818" t="s">
        <v>331</v>
      </c>
      <c r="D7818" t="s">
        <v>746</v>
      </c>
      <c r="E7818" t="s">
        <v>770</v>
      </c>
      <c r="F7818">
        <v>5</v>
      </c>
      <c r="G7818" s="308">
        <f>COMEDORES!M314</f>
        <v>5000</v>
      </c>
      <c r="H7818" s="308">
        <f>COMEDORES!N314</f>
        <v>0</v>
      </c>
    </row>
    <row r="7819" spans="1:8" x14ac:dyDescent="0.3">
      <c r="A7819" t="s">
        <v>628</v>
      </c>
      <c r="B7819" t="s">
        <v>413</v>
      </c>
      <c r="C7819" t="s">
        <v>331</v>
      </c>
      <c r="D7819" t="s">
        <v>746</v>
      </c>
      <c r="E7819" t="s">
        <v>771</v>
      </c>
      <c r="F7819">
        <v>6</v>
      </c>
      <c r="G7819" s="308">
        <f>COMEDORES!O314</f>
        <v>5250</v>
      </c>
      <c r="H7819" s="308">
        <f>COMEDORES!P314</f>
        <v>0</v>
      </c>
    </row>
    <row r="7820" spans="1:8" x14ac:dyDescent="0.3">
      <c r="A7820" t="s">
        <v>628</v>
      </c>
      <c r="B7820" t="s">
        <v>413</v>
      </c>
      <c r="C7820" t="s">
        <v>331</v>
      </c>
      <c r="D7820" t="s">
        <v>746</v>
      </c>
      <c r="E7820" t="s">
        <v>772</v>
      </c>
      <c r="F7820">
        <v>7</v>
      </c>
      <c r="G7820" s="308">
        <f>COMEDORES!Q314</f>
        <v>5300</v>
      </c>
      <c r="H7820" s="308">
        <f>COMEDORES!R314</f>
        <v>0</v>
      </c>
    </row>
    <row r="7821" spans="1:8" x14ac:dyDescent="0.3">
      <c r="A7821" t="s">
        <v>628</v>
      </c>
      <c r="B7821" t="s">
        <v>413</v>
      </c>
      <c r="C7821" t="s">
        <v>333</v>
      </c>
      <c r="D7821" t="s">
        <v>745</v>
      </c>
      <c r="E7821" t="s">
        <v>766</v>
      </c>
      <c r="F7821">
        <v>1</v>
      </c>
      <c r="G7821" s="308">
        <f>COMEDORES!E315</f>
        <v>2250</v>
      </c>
      <c r="H7821" s="308">
        <f>COMEDORES!F315</f>
        <v>0</v>
      </c>
    </row>
    <row r="7822" spans="1:8" x14ac:dyDescent="0.3">
      <c r="A7822" t="s">
        <v>628</v>
      </c>
      <c r="B7822" t="s">
        <v>413</v>
      </c>
      <c r="C7822" t="s">
        <v>333</v>
      </c>
      <c r="D7822" t="s">
        <v>745</v>
      </c>
      <c r="E7822" t="s">
        <v>767</v>
      </c>
      <c r="F7822">
        <v>2</v>
      </c>
      <c r="G7822" s="308">
        <f>COMEDORES!G315</f>
        <v>2500</v>
      </c>
      <c r="H7822" s="308">
        <f>COMEDORES!H315</f>
        <v>0</v>
      </c>
    </row>
    <row r="7823" spans="1:8" x14ac:dyDescent="0.3">
      <c r="A7823" t="s">
        <v>628</v>
      </c>
      <c r="B7823" t="s">
        <v>413</v>
      </c>
      <c r="C7823" t="s">
        <v>333</v>
      </c>
      <c r="D7823" t="s">
        <v>745</v>
      </c>
      <c r="E7823" t="s">
        <v>768</v>
      </c>
      <c r="F7823">
        <v>3</v>
      </c>
      <c r="G7823" s="308">
        <f>COMEDORES!I315</f>
        <v>2750</v>
      </c>
      <c r="H7823" s="308">
        <f>COMEDORES!J315</f>
        <v>423360</v>
      </c>
    </row>
    <row r="7824" spans="1:8" x14ac:dyDescent="0.3">
      <c r="A7824" t="s">
        <v>628</v>
      </c>
      <c r="B7824" t="s">
        <v>413</v>
      </c>
      <c r="C7824" t="s">
        <v>333</v>
      </c>
      <c r="D7824" t="s">
        <v>745</v>
      </c>
      <c r="E7824" t="s">
        <v>769</v>
      </c>
      <c r="F7824">
        <v>4</v>
      </c>
      <c r="G7824" s="308">
        <f>COMEDORES!K315</f>
        <v>2375</v>
      </c>
      <c r="H7824" s="308">
        <f>COMEDORES!L315</f>
        <v>240686.09999999998</v>
      </c>
    </row>
    <row r="7825" spans="1:8" x14ac:dyDescent="0.3">
      <c r="A7825" t="s">
        <v>628</v>
      </c>
      <c r="B7825" t="s">
        <v>413</v>
      </c>
      <c r="C7825" t="s">
        <v>333</v>
      </c>
      <c r="D7825" t="s">
        <v>745</v>
      </c>
      <c r="E7825" t="s">
        <v>770</v>
      </c>
      <c r="F7825">
        <v>5</v>
      </c>
      <c r="G7825" s="308">
        <f>COMEDORES!M315</f>
        <v>2375</v>
      </c>
      <c r="H7825" s="308">
        <f>COMEDORES!N315</f>
        <v>206906.4</v>
      </c>
    </row>
    <row r="7826" spans="1:8" x14ac:dyDescent="0.3">
      <c r="A7826" t="s">
        <v>628</v>
      </c>
      <c r="B7826" t="s">
        <v>413</v>
      </c>
      <c r="C7826" t="s">
        <v>333</v>
      </c>
      <c r="D7826" t="s">
        <v>745</v>
      </c>
      <c r="E7826" t="s">
        <v>771</v>
      </c>
      <c r="F7826">
        <v>6</v>
      </c>
      <c r="G7826" s="308">
        <f>COMEDORES!O315</f>
        <v>2625</v>
      </c>
      <c r="H7826" s="308">
        <f>COMEDORES!P315</f>
        <v>209047.5</v>
      </c>
    </row>
    <row r="7827" spans="1:8" x14ac:dyDescent="0.3">
      <c r="A7827" t="s">
        <v>628</v>
      </c>
      <c r="B7827" t="s">
        <v>413</v>
      </c>
      <c r="C7827" t="s">
        <v>333</v>
      </c>
      <c r="D7827" t="s">
        <v>745</v>
      </c>
      <c r="E7827" t="s">
        <v>772</v>
      </c>
      <c r="F7827">
        <v>7</v>
      </c>
      <c r="G7827" s="308">
        <f>COMEDORES!Q315</f>
        <v>2800</v>
      </c>
      <c r="H7827" s="308">
        <f>COMEDORES!R315</f>
        <v>231052.5</v>
      </c>
    </row>
    <row r="7828" spans="1:8" x14ac:dyDescent="0.3">
      <c r="A7828" t="s">
        <v>628</v>
      </c>
      <c r="B7828" t="s">
        <v>413</v>
      </c>
      <c r="C7828" t="s">
        <v>333</v>
      </c>
      <c r="D7828" t="s">
        <v>746</v>
      </c>
      <c r="E7828" t="s">
        <v>766</v>
      </c>
      <c r="F7828">
        <v>1</v>
      </c>
      <c r="G7828" s="308">
        <f>COMEDORES!E316</f>
        <v>3750</v>
      </c>
      <c r="H7828" s="308">
        <f>COMEDORES!F316</f>
        <v>0</v>
      </c>
    </row>
    <row r="7829" spans="1:8" x14ac:dyDescent="0.3">
      <c r="A7829" t="s">
        <v>628</v>
      </c>
      <c r="B7829" t="s">
        <v>413</v>
      </c>
      <c r="C7829" t="s">
        <v>333</v>
      </c>
      <c r="D7829" t="s">
        <v>746</v>
      </c>
      <c r="E7829" t="s">
        <v>767</v>
      </c>
      <c r="F7829">
        <v>2</v>
      </c>
      <c r="G7829" s="308">
        <f>COMEDORES!G316</f>
        <v>4000</v>
      </c>
      <c r="H7829" s="308">
        <f>COMEDORES!H316</f>
        <v>0</v>
      </c>
    </row>
    <row r="7830" spans="1:8" x14ac:dyDescent="0.3">
      <c r="A7830" t="s">
        <v>628</v>
      </c>
      <c r="B7830" t="s">
        <v>413</v>
      </c>
      <c r="C7830" t="s">
        <v>333</v>
      </c>
      <c r="D7830" t="s">
        <v>746</v>
      </c>
      <c r="E7830" t="s">
        <v>768</v>
      </c>
      <c r="F7830">
        <v>3</v>
      </c>
      <c r="G7830" s="308">
        <f>COMEDORES!I316</f>
        <v>4400</v>
      </c>
      <c r="H7830" s="308">
        <f>COMEDORES!J316</f>
        <v>0</v>
      </c>
    </row>
    <row r="7831" spans="1:8" x14ac:dyDescent="0.3">
      <c r="A7831" t="s">
        <v>628</v>
      </c>
      <c r="B7831" t="s">
        <v>413</v>
      </c>
      <c r="C7831" t="s">
        <v>333</v>
      </c>
      <c r="D7831" t="s">
        <v>746</v>
      </c>
      <c r="E7831" t="s">
        <v>769</v>
      </c>
      <c r="F7831">
        <v>4</v>
      </c>
      <c r="G7831" s="308">
        <f>COMEDORES!K316</f>
        <v>3739</v>
      </c>
      <c r="H7831" s="308">
        <f>COMEDORES!L316</f>
        <v>0</v>
      </c>
    </row>
    <row r="7832" spans="1:8" x14ac:dyDescent="0.3">
      <c r="A7832" t="s">
        <v>628</v>
      </c>
      <c r="B7832" t="s">
        <v>413</v>
      </c>
      <c r="C7832" t="s">
        <v>333</v>
      </c>
      <c r="D7832" t="s">
        <v>746</v>
      </c>
      <c r="E7832" t="s">
        <v>770</v>
      </c>
      <c r="F7832">
        <v>5</v>
      </c>
      <c r="G7832" s="308">
        <f>COMEDORES!M316</f>
        <v>3800</v>
      </c>
      <c r="H7832" s="308">
        <f>COMEDORES!N316</f>
        <v>0</v>
      </c>
    </row>
    <row r="7833" spans="1:8" x14ac:dyDescent="0.3">
      <c r="A7833" t="s">
        <v>628</v>
      </c>
      <c r="B7833" t="s">
        <v>413</v>
      </c>
      <c r="C7833" t="s">
        <v>333</v>
      </c>
      <c r="D7833" t="s">
        <v>746</v>
      </c>
      <c r="E7833" t="s">
        <v>771</v>
      </c>
      <c r="F7833">
        <v>6</v>
      </c>
      <c r="G7833" s="308">
        <f>COMEDORES!O316</f>
        <v>4200</v>
      </c>
      <c r="H7833" s="308">
        <f>COMEDORES!P316</f>
        <v>0</v>
      </c>
    </row>
    <row r="7834" spans="1:8" x14ac:dyDescent="0.3">
      <c r="A7834" t="s">
        <v>628</v>
      </c>
      <c r="B7834" t="s">
        <v>413</v>
      </c>
      <c r="C7834" t="s">
        <v>333</v>
      </c>
      <c r="D7834" t="s">
        <v>746</v>
      </c>
      <c r="E7834" t="s">
        <v>772</v>
      </c>
      <c r="F7834">
        <v>7</v>
      </c>
      <c r="G7834" s="308">
        <f>COMEDORES!Q316</f>
        <v>4600</v>
      </c>
      <c r="H7834" s="308">
        <f>COMEDORES!R316</f>
        <v>0</v>
      </c>
    </row>
    <row r="7835" spans="1:8" x14ac:dyDescent="0.3">
      <c r="A7835" t="s">
        <v>628</v>
      </c>
      <c r="B7835" t="s">
        <v>413</v>
      </c>
      <c r="C7835" t="s">
        <v>334</v>
      </c>
      <c r="D7835" t="s">
        <v>745</v>
      </c>
      <c r="E7835" t="s">
        <v>766</v>
      </c>
      <c r="F7835">
        <v>1</v>
      </c>
      <c r="G7835" s="308">
        <f>COMEDORES!E317</f>
        <v>2100</v>
      </c>
      <c r="H7835" s="308">
        <f>COMEDORES!F317</f>
        <v>0</v>
      </c>
    </row>
    <row r="7836" spans="1:8" x14ac:dyDescent="0.3">
      <c r="A7836" t="s">
        <v>628</v>
      </c>
      <c r="B7836" t="s">
        <v>413</v>
      </c>
      <c r="C7836" t="s">
        <v>334</v>
      </c>
      <c r="D7836" t="s">
        <v>745</v>
      </c>
      <c r="E7836" t="s">
        <v>767</v>
      </c>
      <c r="F7836">
        <v>2</v>
      </c>
      <c r="G7836" s="308">
        <f>COMEDORES!G317</f>
        <v>1500</v>
      </c>
      <c r="H7836" s="308">
        <f>COMEDORES!H317</f>
        <v>0</v>
      </c>
    </row>
    <row r="7837" spans="1:8" x14ac:dyDescent="0.3">
      <c r="A7837" t="s">
        <v>628</v>
      </c>
      <c r="B7837" t="s">
        <v>413</v>
      </c>
      <c r="C7837" t="s">
        <v>334</v>
      </c>
      <c r="D7837" t="s">
        <v>745</v>
      </c>
      <c r="E7837" t="s">
        <v>768</v>
      </c>
      <c r="F7837">
        <v>3</v>
      </c>
      <c r="G7837" s="308">
        <f>COMEDORES!I317</f>
        <v>1650</v>
      </c>
      <c r="H7837" s="308">
        <f>COMEDORES!J317</f>
        <v>290196</v>
      </c>
    </row>
    <row r="7838" spans="1:8" x14ac:dyDescent="0.3">
      <c r="A7838" t="s">
        <v>628</v>
      </c>
      <c r="B7838" t="s">
        <v>413</v>
      </c>
      <c r="C7838" t="s">
        <v>334</v>
      </c>
      <c r="D7838" t="s">
        <v>745</v>
      </c>
      <c r="E7838" t="s">
        <v>769</v>
      </c>
      <c r="F7838">
        <v>4</v>
      </c>
      <c r="G7838" s="308">
        <f>COMEDORES!K317</f>
        <v>1425</v>
      </c>
      <c r="H7838" s="308">
        <f>COMEDORES!L317</f>
        <v>129789</v>
      </c>
    </row>
    <row r="7839" spans="1:8" x14ac:dyDescent="0.3">
      <c r="A7839" t="s">
        <v>628</v>
      </c>
      <c r="B7839" t="s">
        <v>413</v>
      </c>
      <c r="C7839" t="s">
        <v>334</v>
      </c>
      <c r="D7839" t="s">
        <v>745</v>
      </c>
      <c r="E7839" t="s">
        <v>770</v>
      </c>
      <c r="F7839">
        <v>5</v>
      </c>
      <c r="G7839" s="308">
        <f>COMEDORES!M317</f>
        <v>1500</v>
      </c>
      <c r="H7839" s="308">
        <f>COMEDORES!N317</f>
        <v>112090.5</v>
      </c>
    </row>
    <row r="7840" spans="1:8" x14ac:dyDescent="0.3">
      <c r="A7840" t="s">
        <v>628</v>
      </c>
      <c r="B7840" t="s">
        <v>413</v>
      </c>
      <c r="C7840" t="s">
        <v>334</v>
      </c>
      <c r="D7840" t="s">
        <v>745</v>
      </c>
      <c r="E7840" t="s">
        <v>771</v>
      </c>
      <c r="F7840">
        <v>6</v>
      </c>
      <c r="G7840" s="308">
        <f>COMEDORES!O317</f>
        <v>1575</v>
      </c>
      <c r="H7840" s="308">
        <f>COMEDORES!P317</f>
        <v>117990</v>
      </c>
    </row>
    <row r="7841" spans="1:8" x14ac:dyDescent="0.3">
      <c r="A7841" t="s">
        <v>628</v>
      </c>
      <c r="B7841" t="s">
        <v>413</v>
      </c>
      <c r="C7841" t="s">
        <v>334</v>
      </c>
      <c r="D7841" t="s">
        <v>745</v>
      </c>
      <c r="E7841" t="s">
        <v>772</v>
      </c>
      <c r="F7841">
        <v>7</v>
      </c>
      <c r="G7841" s="308">
        <f>COMEDORES!Q317</f>
        <v>1725</v>
      </c>
      <c r="H7841" s="308">
        <f>COMEDORES!R317</f>
        <v>123889.5</v>
      </c>
    </row>
    <row r="7842" spans="1:8" x14ac:dyDescent="0.3">
      <c r="A7842" t="s">
        <v>628</v>
      </c>
      <c r="B7842" t="s">
        <v>413</v>
      </c>
      <c r="C7842" t="s">
        <v>334</v>
      </c>
      <c r="D7842" t="s">
        <v>746</v>
      </c>
      <c r="E7842" t="s">
        <v>766</v>
      </c>
      <c r="F7842">
        <v>1</v>
      </c>
      <c r="G7842" s="308">
        <f>COMEDORES!E318</f>
        <v>3000</v>
      </c>
      <c r="H7842" s="308">
        <f>COMEDORES!F318</f>
        <v>0</v>
      </c>
    </row>
    <row r="7843" spans="1:8" x14ac:dyDescent="0.3">
      <c r="A7843" t="s">
        <v>628</v>
      </c>
      <c r="B7843" t="s">
        <v>413</v>
      </c>
      <c r="C7843" t="s">
        <v>334</v>
      </c>
      <c r="D7843" t="s">
        <v>746</v>
      </c>
      <c r="E7843" t="s">
        <v>767</v>
      </c>
      <c r="F7843">
        <v>2</v>
      </c>
      <c r="G7843" s="308">
        <f>COMEDORES!G318</f>
        <v>2000</v>
      </c>
      <c r="H7843" s="308">
        <f>COMEDORES!H318</f>
        <v>0</v>
      </c>
    </row>
    <row r="7844" spans="1:8" x14ac:dyDescent="0.3">
      <c r="A7844" t="s">
        <v>628</v>
      </c>
      <c r="B7844" t="s">
        <v>413</v>
      </c>
      <c r="C7844" t="s">
        <v>334</v>
      </c>
      <c r="D7844" t="s">
        <v>746</v>
      </c>
      <c r="E7844" t="s">
        <v>768</v>
      </c>
      <c r="F7844">
        <v>3</v>
      </c>
      <c r="G7844" s="308">
        <f>COMEDORES!I318</f>
        <v>2200</v>
      </c>
      <c r="H7844" s="308">
        <f>COMEDORES!J318</f>
        <v>0</v>
      </c>
    </row>
    <row r="7845" spans="1:8" x14ac:dyDescent="0.3">
      <c r="A7845" t="s">
        <v>628</v>
      </c>
      <c r="B7845" t="s">
        <v>413</v>
      </c>
      <c r="C7845" t="s">
        <v>334</v>
      </c>
      <c r="D7845" t="s">
        <v>746</v>
      </c>
      <c r="E7845" t="s">
        <v>769</v>
      </c>
      <c r="F7845">
        <v>4</v>
      </c>
      <c r="G7845" s="308">
        <f>COMEDORES!K318</f>
        <v>1900</v>
      </c>
      <c r="H7845" s="308">
        <f>COMEDORES!L318</f>
        <v>0</v>
      </c>
    </row>
    <row r="7846" spans="1:8" x14ac:dyDescent="0.3">
      <c r="A7846" t="s">
        <v>628</v>
      </c>
      <c r="B7846" t="s">
        <v>413</v>
      </c>
      <c r="C7846" t="s">
        <v>334</v>
      </c>
      <c r="D7846" t="s">
        <v>746</v>
      </c>
      <c r="E7846" t="s">
        <v>770</v>
      </c>
      <c r="F7846">
        <v>5</v>
      </c>
      <c r="G7846" s="308">
        <f>COMEDORES!M318</f>
        <v>2000</v>
      </c>
      <c r="H7846" s="308">
        <f>COMEDORES!N318</f>
        <v>0</v>
      </c>
    </row>
    <row r="7847" spans="1:8" x14ac:dyDescent="0.3">
      <c r="A7847" t="s">
        <v>628</v>
      </c>
      <c r="B7847" t="s">
        <v>413</v>
      </c>
      <c r="C7847" t="s">
        <v>334</v>
      </c>
      <c r="D7847" t="s">
        <v>746</v>
      </c>
      <c r="E7847" t="s">
        <v>771</v>
      </c>
      <c r="F7847">
        <v>6</v>
      </c>
      <c r="G7847" s="308">
        <f>COMEDORES!O318</f>
        <v>2100</v>
      </c>
      <c r="H7847" s="308">
        <f>COMEDORES!P318</f>
        <v>0</v>
      </c>
    </row>
    <row r="7848" spans="1:8" x14ac:dyDescent="0.3">
      <c r="A7848" t="s">
        <v>628</v>
      </c>
      <c r="B7848" t="s">
        <v>413</v>
      </c>
      <c r="C7848" t="s">
        <v>334</v>
      </c>
      <c r="D7848" t="s">
        <v>746</v>
      </c>
      <c r="E7848" t="s">
        <v>772</v>
      </c>
      <c r="F7848">
        <v>7</v>
      </c>
      <c r="G7848" s="308">
        <f>COMEDORES!Q318</f>
        <v>2300</v>
      </c>
      <c r="H7848" s="308">
        <f>COMEDORES!R318</f>
        <v>0</v>
      </c>
    </row>
    <row r="7849" spans="1:8" x14ac:dyDescent="0.3">
      <c r="A7849" t="s">
        <v>628</v>
      </c>
      <c r="B7849" t="s">
        <v>413</v>
      </c>
      <c r="C7849" t="s">
        <v>335</v>
      </c>
      <c r="D7849" t="s">
        <v>745</v>
      </c>
      <c r="E7849" t="s">
        <v>766</v>
      </c>
      <c r="F7849">
        <v>1</v>
      </c>
      <c r="G7849" s="308">
        <f>COMEDORES!E319</f>
        <v>3600</v>
      </c>
      <c r="H7849" s="308">
        <f>COMEDORES!F319</f>
        <v>0</v>
      </c>
    </row>
    <row r="7850" spans="1:8" x14ac:dyDescent="0.3">
      <c r="A7850" t="s">
        <v>628</v>
      </c>
      <c r="B7850" t="s">
        <v>413</v>
      </c>
      <c r="C7850" t="s">
        <v>335</v>
      </c>
      <c r="D7850" t="s">
        <v>745</v>
      </c>
      <c r="E7850" t="s">
        <v>767</v>
      </c>
      <c r="F7850">
        <v>2</v>
      </c>
      <c r="G7850" s="308">
        <f>COMEDORES!G319</f>
        <v>4000</v>
      </c>
      <c r="H7850" s="308">
        <f>COMEDORES!H319</f>
        <v>0</v>
      </c>
    </row>
    <row r="7851" spans="1:8" x14ac:dyDescent="0.3">
      <c r="A7851" t="s">
        <v>628</v>
      </c>
      <c r="B7851" t="s">
        <v>413</v>
      </c>
      <c r="C7851" t="s">
        <v>335</v>
      </c>
      <c r="D7851" t="s">
        <v>745</v>
      </c>
      <c r="E7851" t="s">
        <v>768</v>
      </c>
      <c r="F7851">
        <v>3</v>
      </c>
      <c r="G7851" s="308">
        <f>COMEDORES!I319</f>
        <v>4400</v>
      </c>
      <c r="H7851" s="308">
        <f>COMEDORES!J319</f>
        <v>584361</v>
      </c>
    </row>
    <row r="7852" spans="1:8" x14ac:dyDescent="0.3">
      <c r="A7852" t="s">
        <v>628</v>
      </c>
      <c r="B7852" t="s">
        <v>413</v>
      </c>
      <c r="C7852" t="s">
        <v>335</v>
      </c>
      <c r="D7852" t="s">
        <v>745</v>
      </c>
      <c r="E7852" t="s">
        <v>769</v>
      </c>
      <c r="F7852">
        <v>4</v>
      </c>
      <c r="G7852" s="308">
        <f>COMEDORES!K319</f>
        <v>3800</v>
      </c>
      <c r="H7852" s="308">
        <f>COMEDORES!L319</f>
        <v>333234</v>
      </c>
    </row>
    <row r="7853" spans="1:8" x14ac:dyDescent="0.3">
      <c r="A7853" t="s">
        <v>628</v>
      </c>
      <c r="B7853" t="s">
        <v>413</v>
      </c>
      <c r="C7853" t="s">
        <v>335</v>
      </c>
      <c r="D7853" t="s">
        <v>745</v>
      </c>
      <c r="E7853" t="s">
        <v>770</v>
      </c>
      <c r="F7853">
        <v>5</v>
      </c>
      <c r="G7853" s="308">
        <f>COMEDORES!M319</f>
        <v>4000</v>
      </c>
      <c r="H7853" s="308">
        <f>COMEDORES!N319</f>
        <v>287793</v>
      </c>
    </row>
    <row r="7854" spans="1:8" x14ac:dyDescent="0.3">
      <c r="A7854" t="s">
        <v>628</v>
      </c>
      <c r="B7854" t="s">
        <v>413</v>
      </c>
      <c r="C7854" t="s">
        <v>335</v>
      </c>
      <c r="D7854" t="s">
        <v>745</v>
      </c>
      <c r="E7854" t="s">
        <v>771</v>
      </c>
      <c r="F7854">
        <v>6</v>
      </c>
      <c r="G7854" s="308">
        <f>COMEDORES!O319</f>
        <v>4200</v>
      </c>
      <c r="H7854" s="308">
        <f>COMEDORES!P319</f>
        <v>302940</v>
      </c>
    </row>
    <row r="7855" spans="1:8" x14ac:dyDescent="0.3">
      <c r="A7855" t="s">
        <v>628</v>
      </c>
      <c r="B7855" t="s">
        <v>413</v>
      </c>
      <c r="C7855" t="s">
        <v>335</v>
      </c>
      <c r="D7855" t="s">
        <v>745</v>
      </c>
      <c r="E7855" t="s">
        <v>772</v>
      </c>
      <c r="F7855">
        <v>7</v>
      </c>
      <c r="G7855" s="308">
        <f>COMEDORES!Q319</f>
        <v>4600</v>
      </c>
      <c r="H7855" s="308">
        <f>COMEDORES!R319</f>
        <v>318087</v>
      </c>
    </row>
    <row r="7856" spans="1:8" x14ac:dyDescent="0.3">
      <c r="A7856" t="s">
        <v>628</v>
      </c>
      <c r="B7856" t="s">
        <v>413</v>
      </c>
      <c r="C7856" t="s">
        <v>335</v>
      </c>
      <c r="D7856" t="s">
        <v>746</v>
      </c>
      <c r="E7856" t="s">
        <v>766</v>
      </c>
      <c r="F7856">
        <v>1</v>
      </c>
      <c r="G7856" s="308">
        <f>COMEDORES!E320</f>
        <v>4750</v>
      </c>
      <c r="H7856" s="308">
        <f>COMEDORES!F320</f>
        <v>0</v>
      </c>
    </row>
    <row r="7857" spans="1:8" x14ac:dyDescent="0.3">
      <c r="A7857" t="s">
        <v>628</v>
      </c>
      <c r="B7857" t="s">
        <v>413</v>
      </c>
      <c r="C7857" t="s">
        <v>335</v>
      </c>
      <c r="D7857" t="s">
        <v>746</v>
      </c>
      <c r="E7857" t="s">
        <v>767</v>
      </c>
      <c r="F7857">
        <v>2</v>
      </c>
      <c r="G7857" s="308">
        <f>COMEDORES!G320</f>
        <v>5000</v>
      </c>
      <c r="H7857" s="308">
        <f>COMEDORES!H320</f>
        <v>0</v>
      </c>
    </row>
    <row r="7858" spans="1:8" x14ac:dyDescent="0.3">
      <c r="A7858" t="s">
        <v>628</v>
      </c>
      <c r="B7858" t="s">
        <v>413</v>
      </c>
      <c r="C7858" t="s">
        <v>335</v>
      </c>
      <c r="D7858" t="s">
        <v>746</v>
      </c>
      <c r="E7858" t="s">
        <v>768</v>
      </c>
      <c r="F7858">
        <v>3</v>
      </c>
      <c r="G7858" s="308">
        <f>COMEDORES!I320</f>
        <v>5500</v>
      </c>
      <c r="H7858" s="308">
        <f>COMEDORES!J320</f>
        <v>0</v>
      </c>
    </row>
    <row r="7859" spans="1:8" x14ac:dyDescent="0.3">
      <c r="A7859" t="s">
        <v>628</v>
      </c>
      <c r="B7859" t="s">
        <v>413</v>
      </c>
      <c r="C7859" t="s">
        <v>335</v>
      </c>
      <c r="D7859" t="s">
        <v>746</v>
      </c>
      <c r="E7859" t="s">
        <v>769</v>
      </c>
      <c r="F7859">
        <v>4</v>
      </c>
      <c r="G7859" s="308">
        <f>COMEDORES!K320</f>
        <v>4750</v>
      </c>
      <c r="H7859" s="308">
        <f>COMEDORES!L320</f>
        <v>0</v>
      </c>
    </row>
    <row r="7860" spans="1:8" x14ac:dyDescent="0.3">
      <c r="A7860" t="s">
        <v>628</v>
      </c>
      <c r="B7860" t="s">
        <v>413</v>
      </c>
      <c r="C7860" t="s">
        <v>335</v>
      </c>
      <c r="D7860" t="s">
        <v>746</v>
      </c>
      <c r="E7860" t="s">
        <v>770</v>
      </c>
      <c r="F7860">
        <v>5</v>
      </c>
      <c r="G7860" s="308">
        <f>COMEDORES!M320</f>
        <v>5000</v>
      </c>
      <c r="H7860" s="308">
        <f>COMEDORES!N320</f>
        <v>0</v>
      </c>
    </row>
    <row r="7861" spans="1:8" x14ac:dyDescent="0.3">
      <c r="A7861" t="s">
        <v>628</v>
      </c>
      <c r="B7861" t="s">
        <v>413</v>
      </c>
      <c r="C7861" t="s">
        <v>335</v>
      </c>
      <c r="D7861" t="s">
        <v>746</v>
      </c>
      <c r="E7861" t="s">
        <v>771</v>
      </c>
      <c r="F7861">
        <v>6</v>
      </c>
      <c r="G7861" s="308">
        <f>COMEDORES!O320</f>
        <v>5250</v>
      </c>
      <c r="H7861" s="308">
        <f>COMEDORES!P320</f>
        <v>0</v>
      </c>
    </row>
    <row r="7862" spans="1:8" x14ac:dyDescent="0.3">
      <c r="A7862" t="s">
        <v>628</v>
      </c>
      <c r="B7862" t="s">
        <v>413</v>
      </c>
      <c r="C7862" t="s">
        <v>335</v>
      </c>
      <c r="D7862" t="s">
        <v>746</v>
      </c>
      <c r="E7862" t="s">
        <v>772</v>
      </c>
      <c r="F7862">
        <v>7</v>
      </c>
      <c r="G7862" s="308">
        <f>COMEDORES!Q320</f>
        <v>5750</v>
      </c>
      <c r="H7862" s="308">
        <f>COMEDORES!R320</f>
        <v>0</v>
      </c>
    </row>
    <row r="7863" spans="1:8" x14ac:dyDescent="0.3">
      <c r="A7863" t="s">
        <v>628</v>
      </c>
      <c r="B7863" t="s">
        <v>413</v>
      </c>
      <c r="C7863" t="s">
        <v>336</v>
      </c>
      <c r="D7863" t="s">
        <v>745</v>
      </c>
      <c r="E7863" t="s">
        <v>766</v>
      </c>
      <c r="F7863">
        <v>1</v>
      </c>
      <c r="G7863" s="308">
        <f>COMEDORES!E321</f>
        <v>2300</v>
      </c>
      <c r="H7863" s="308">
        <f>COMEDORES!F321</f>
        <v>0</v>
      </c>
    </row>
    <row r="7864" spans="1:8" x14ac:dyDescent="0.3">
      <c r="A7864" t="s">
        <v>628</v>
      </c>
      <c r="B7864" t="s">
        <v>413</v>
      </c>
      <c r="C7864" t="s">
        <v>336</v>
      </c>
      <c r="D7864" t="s">
        <v>745</v>
      </c>
      <c r="E7864" t="s">
        <v>767</v>
      </c>
      <c r="F7864">
        <v>2</v>
      </c>
      <c r="G7864" s="308">
        <f>COMEDORES!G321</f>
        <v>2000</v>
      </c>
      <c r="H7864" s="308">
        <f>COMEDORES!H321</f>
        <v>0</v>
      </c>
    </row>
    <row r="7865" spans="1:8" x14ac:dyDescent="0.3">
      <c r="A7865" t="s">
        <v>628</v>
      </c>
      <c r="B7865" t="s">
        <v>413</v>
      </c>
      <c r="C7865" t="s">
        <v>336</v>
      </c>
      <c r="D7865" t="s">
        <v>745</v>
      </c>
      <c r="E7865" t="s">
        <v>768</v>
      </c>
      <c r="F7865">
        <v>3</v>
      </c>
      <c r="G7865" s="308">
        <f>COMEDORES!I321</f>
        <v>2200</v>
      </c>
      <c r="H7865" s="308">
        <f>COMEDORES!J321</f>
        <v>361638</v>
      </c>
    </row>
    <row r="7866" spans="1:8" x14ac:dyDescent="0.3">
      <c r="A7866" t="s">
        <v>628</v>
      </c>
      <c r="B7866" t="s">
        <v>413</v>
      </c>
      <c r="C7866" t="s">
        <v>336</v>
      </c>
      <c r="D7866" t="s">
        <v>745</v>
      </c>
      <c r="E7866" t="s">
        <v>769</v>
      </c>
      <c r="F7866">
        <v>4</v>
      </c>
      <c r="G7866" s="308">
        <f>COMEDORES!K321</f>
        <v>1900</v>
      </c>
      <c r="H7866" s="308">
        <f>COMEDORES!L321</f>
        <v>185922</v>
      </c>
    </row>
    <row r="7867" spans="1:8" x14ac:dyDescent="0.3">
      <c r="A7867" t="s">
        <v>628</v>
      </c>
      <c r="B7867" t="s">
        <v>413</v>
      </c>
      <c r="C7867" t="s">
        <v>336</v>
      </c>
      <c r="D7867" t="s">
        <v>745</v>
      </c>
      <c r="E7867" t="s">
        <v>770</v>
      </c>
      <c r="F7867">
        <v>5</v>
      </c>
      <c r="G7867" s="308">
        <f>COMEDORES!M321</f>
        <v>2000</v>
      </c>
      <c r="H7867" s="308">
        <f>COMEDORES!N321</f>
        <v>160569</v>
      </c>
    </row>
    <row r="7868" spans="1:8" x14ac:dyDescent="0.3">
      <c r="A7868" t="s">
        <v>628</v>
      </c>
      <c r="B7868" t="s">
        <v>413</v>
      </c>
      <c r="C7868" t="s">
        <v>336</v>
      </c>
      <c r="D7868" t="s">
        <v>745</v>
      </c>
      <c r="E7868" t="s">
        <v>771</v>
      </c>
      <c r="F7868">
        <v>6</v>
      </c>
      <c r="G7868" s="308">
        <f>COMEDORES!O321</f>
        <v>2100</v>
      </c>
      <c r="H7868" s="308">
        <f>COMEDORES!P321</f>
        <v>169020</v>
      </c>
    </row>
    <row r="7869" spans="1:8" x14ac:dyDescent="0.3">
      <c r="A7869" t="s">
        <v>628</v>
      </c>
      <c r="B7869" t="s">
        <v>413</v>
      </c>
      <c r="C7869" t="s">
        <v>336</v>
      </c>
      <c r="D7869" t="s">
        <v>745</v>
      </c>
      <c r="E7869" t="s">
        <v>772</v>
      </c>
      <c r="F7869">
        <v>7</v>
      </c>
      <c r="G7869" s="308">
        <f>COMEDORES!Q321</f>
        <v>2300</v>
      </c>
      <c r="H7869" s="308">
        <f>COMEDORES!R321</f>
        <v>177471</v>
      </c>
    </row>
    <row r="7870" spans="1:8" x14ac:dyDescent="0.3">
      <c r="A7870" t="s">
        <v>628</v>
      </c>
      <c r="B7870" t="s">
        <v>413</v>
      </c>
      <c r="C7870" t="s">
        <v>336</v>
      </c>
      <c r="D7870" t="s">
        <v>746</v>
      </c>
      <c r="E7870" t="s">
        <v>766</v>
      </c>
      <c r="F7870">
        <v>1</v>
      </c>
      <c r="G7870" s="308">
        <f>COMEDORES!E322</f>
        <v>3400</v>
      </c>
      <c r="H7870" s="308">
        <f>COMEDORES!F322</f>
        <v>0</v>
      </c>
    </row>
    <row r="7871" spans="1:8" x14ac:dyDescent="0.3">
      <c r="A7871" t="s">
        <v>628</v>
      </c>
      <c r="B7871" t="s">
        <v>413</v>
      </c>
      <c r="C7871" t="s">
        <v>336</v>
      </c>
      <c r="D7871" t="s">
        <v>746</v>
      </c>
      <c r="E7871" t="s">
        <v>767</v>
      </c>
      <c r="F7871">
        <v>2</v>
      </c>
      <c r="G7871" s="308">
        <f>COMEDORES!G322</f>
        <v>3000</v>
      </c>
      <c r="H7871" s="308">
        <f>COMEDORES!H322</f>
        <v>0</v>
      </c>
    </row>
    <row r="7872" spans="1:8" x14ac:dyDescent="0.3">
      <c r="A7872" t="s">
        <v>628</v>
      </c>
      <c r="B7872" t="s">
        <v>413</v>
      </c>
      <c r="C7872" t="s">
        <v>336</v>
      </c>
      <c r="D7872" t="s">
        <v>746</v>
      </c>
      <c r="E7872" t="s">
        <v>768</v>
      </c>
      <c r="F7872">
        <v>3</v>
      </c>
      <c r="G7872" s="308">
        <f>COMEDORES!I322</f>
        <v>3300</v>
      </c>
      <c r="H7872" s="308">
        <f>COMEDORES!J322</f>
        <v>0</v>
      </c>
    </row>
    <row r="7873" spans="1:8" x14ac:dyDescent="0.3">
      <c r="A7873" t="s">
        <v>628</v>
      </c>
      <c r="B7873" t="s">
        <v>413</v>
      </c>
      <c r="C7873" t="s">
        <v>336</v>
      </c>
      <c r="D7873" t="s">
        <v>746</v>
      </c>
      <c r="E7873" t="s">
        <v>769</v>
      </c>
      <c r="F7873">
        <v>4</v>
      </c>
      <c r="G7873" s="308">
        <f>COMEDORES!K322</f>
        <v>2850</v>
      </c>
      <c r="H7873" s="308">
        <f>COMEDORES!L322</f>
        <v>0</v>
      </c>
    </row>
    <row r="7874" spans="1:8" x14ac:dyDescent="0.3">
      <c r="A7874" t="s">
        <v>628</v>
      </c>
      <c r="B7874" t="s">
        <v>413</v>
      </c>
      <c r="C7874" t="s">
        <v>336</v>
      </c>
      <c r="D7874" t="s">
        <v>746</v>
      </c>
      <c r="E7874" t="s">
        <v>770</v>
      </c>
      <c r="F7874">
        <v>5</v>
      </c>
      <c r="G7874" s="308">
        <f>COMEDORES!M322</f>
        <v>3000</v>
      </c>
      <c r="H7874" s="308">
        <f>COMEDORES!N322</f>
        <v>0</v>
      </c>
    </row>
    <row r="7875" spans="1:8" x14ac:dyDescent="0.3">
      <c r="A7875" t="s">
        <v>628</v>
      </c>
      <c r="B7875" t="s">
        <v>413</v>
      </c>
      <c r="C7875" t="s">
        <v>336</v>
      </c>
      <c r="D7875" t="s">
        <v>746</v>
      </c>
      <c r="E7875" t="s">
        <v>771</v>
      </c>
      <c r="F7875">
        <v>6</v>
      </c>
      <c r="G7875" s="308">
        <f>COMEDORES!O322</f>
        <v>3150</v>
      </c>
      <c r="H7875" s="308">
        <f>COMEDORES!P322</f>
        <v>0</v>
      </c>
    </row>
    <row r="7876" spans="1:8" x14ac:dyDescent="0.3">
      <c r="A7876" t="s">
        <v>628</v>
      </c>
      <c r="B7876" t="s">
        <v>413</v>
      </c>
      <c r="C7876" t="s">
        <v>336</v>
      </c>
      <c r="D7876" t="s">
        <v>746</v>
      </c>
      <c r="E7876" t="s">
        <v>772</v>
      </c>
      <c r="F7876">
        <v>7</v>
      </c>
      <c r="G7876" s="308">
        <f>COMEDORES!Q322</f>
        <v>3450</v>
      </c>
      <c r="H7876" s="308">
        <f>COMEDORES!R322</f>
        <v>0</v>
      </c>
    </row>
    <row r="7877" spans="1:8" x14ac:dyDescent="0.3">
      <c r="A7877" t="s">
        <v>628</v>
      </c>
      <c r="B7877" t="s">
        <v>413</v>
      </c>
      <c r="C7877" t="s">
        <v>415</v>
      </c>
      <c r="D7877" t="s">
        <v>745</v>
      </c>
      <c r="E7877" t="s">
        <v>766</v>
      </c>
      <c r="F7877">
        <v>1</v>
      </c>
      <c r="G7877" s="308">
        <f>COMEDORES!E323</f>
        <v>0</v>
      </c>
      <c r="H7877" s="308">
        <f>COMEDORES!F323</f>
        <v>0</v>
      </c>
    </row>
    <row r="7878" spans="1:8" x14ac:dyDescent="0.3">
      <c r="A7878" t="s">
        <v>628</v>
      </c>
      <c r="B7878" t="s">
        <v>413</v>
      </c>
      <c r="C7878" t="s">
        <v>415</v>
      </c>
      <c r="D7878" t="s">
        <v>745</v>
      </c>
      <c r="E7878" t="s">
        <v>767</v>
      </c>
      <c r="F7878">
        <v>2</v>
      </c>
      <c r="G7878" s="308">
        <f>COMEDORES!G323</f>
        <v>0</v>
      </c>
      <c r="H7878" s="308">
        <f>COMEDORES!H323</f>
        <v>0</v>
      </c>
    </row>
    <row r="7879" spans="1:8" x14ac:dyDescent="0.3">
      <c r="A7879" t="s">
        <v>628</v>
      </c>
      <c r="B7879" t="s">
        <v>413</v>
      </c>
      <c r="C7879" t="s">
        <v>415</v>
      </c>
      <c r="D7879" t="s">
        <v>745</v>
      </c>
      <c r="E7879" t="s">
        <v>768</v>
      </c>
      <c r="F7879">
        <v>3</v>
      </c>
      <c r="G7879" s="308">
        <f>COMEDORES!I323</f>
        <v>0</v>
      </c>
      <c r="H7879" s="308">
        <f>COMEDORES!J323</f>
        <v>0</v>
      </c>
    </row>
    <row r="7880" spans="1:8" x14ac:dyDescent="0.3">
      <c r="A7880" t="s">
        <v>628</v>
      </c>
      <c r="B7880" t="s">
        <v>413</v>
      </c>
      <c r="C7880" t="s">
        <v>415</v>
      </c>
      <c r="D7880" t="s">
        <v>745</v>
      </c>
      <c r="E7880" t="s">
        <v>769</v>
      </c>
      <c r="F7880">
        <v>4</v>
      </c>
      <c r="G7880" s="308">
        <f>COMEDORES!K323</f>
        <v>0</v>
      </c>
      <c r="H7880" s="308">
        <f>COMEDORES!L323</f>
        <v>0</v>
      </c>
    </row>
    <row r="7881" spans="1:8" x14ac:dyDescent="0.3">
      <c r="A7881" t="s">
        <v>628</v>
      </c>
      <c r="B7881" t="s">
        <v>413</v>
      </c>
      <c r="C7881" t="s">
        <v>415</v>
      </c>
      <c r="D7881" t="s">
        <v>745</v>
      </c>
      <c r="E7881" t="s">
        <v>770</v>
      </c>
      <c r="F7881">
        <v>5</v>
      </c>
      <c r="G7881" s="308">
        <f>COMEDORES!M323</f>
        <v>1800</v>
      </c>
      <c r="H7881" s="308">
        <f>COMEDORES!N323</f>
        <v>0</v>
      </c>
    </row>
    <row r="7882" spans="1:8" x14ac:dyDescent="0.3">
      <c r="A7882" t="s">
        <v>628</v>
      </c>
      <c r="B7882" t="s">
        <v>413</v>
      </c>
      <c r="C7882" t="s">
        <v>415</v>
      </c>
      <c r="D7882" t="s">
        <v>745</v>
      </c>
      <c r="E7882" t="s">
        <v>771</v>
      </c>
      <c r="F7882">
        <v>6</v>
      </c>
      <c r="G7882" s="308">
        <f>COMEDORES!O323</f>
        <v>2100</v>
      </c>
      <c r="H7882" s="308">
        <f>COMEDORES!P323</f>
        <v>120603</v>
      </c>
    </row>
    <row r="7883" spans="1:8" x14ac:dyDescent="0.3">
      <c r="A7883" t="s">
        <v>628</v>
      </c>
      <c r="B7883" t="s">
        <v>413</v>
      </c>
      <c r="C7883" t="s">
        <v>415</v>
      </c>
      <c r="D7883" t="s">
        <v>745</v>
      </c>
      <c r="E7883" t="s">
        <v>772</v>
      </c>
      <c r="F7883">
        <v>7</v>
      </c>
      <c r="G7883" s="308">
        <f>COMEDORES!Q323</f>
        <v>2400</v>
      </c>
      <c r="H7883" s="308">
        <f>COMEDORES!R323</f>
        <v>133350</v>
      </c>
    </row>
    <row r="7884" spans="1:8" x14ac:dyDescent="0.3">
      <c r="A7884" t="s">
        <v>628</v>
      </c>
      <c r="B7884" t="s">
        <v>413</v>
      </c>
      <c r="C7884" t="s">
        <v>415</v>
      </c>
      <c r="D7884" t="s">
        <v>746</v>
      </c>
      <c r="E7884" t="s">
        <v>766</v>
      </c>
      <c r="F7884">
        <v>1</v>
      </c>
      <c r="G7884" s="308">
        <f>COMEDORES!E324</f>
        <v>0</v>
      </c>
      <c r="H7884" s="308">
        <f>COMEDORES!F324</f>
        <v>0</v>
      </c>
    </row>
    <row r="7885" spans="1:8" x14ac:dyDescent="0.3">
      <c r="A7885" t="s">
        <v>628</v>
      </c>
      <c r="B7885" t="s">
        <v>413</v>
      </c>
      <c r="C7885" t="s">
        <v>415</v>
      </c>
      <c r="D7885" t="s">
        <v>746</v>
      </c>
      <c r="E7885" t="s">
        <v>767</v>
      </c>
      <c r="F7885">
        <v>2</v>
      </c>
      <c r="G7885" s="308">
        <f>COMEDORES!G324</f>
        <v>0</v>
      </c>
      <c r="H7885" s="308">
        <f>COMEDORES!H324</f>
        <v>0</v>
      </c>
    </row>
    <row r="7886" spans="1:8" x14ac:dyDescent="0.3">
      <c r="A7886" t="s">
        <v>628</v>
      </c>
      <c r="B7886" t="s">
        <v>413</v>
      </c>
      <c r="C7886" t="s">
        <v>415</v>
      </c>
      <c r="D7886" t="s">
        <v>746</v>
      </c>
      <c r="E7886" t="s">
        <v>768</v>
      </c>
      <c r="F7886">
        <v>3</v>
      </c>
      <c r="G7886" s="308">
        <f>COMEDORES!I324</f>
        <v>0</v>
      </c>
      <c r="H7886" s="308">
        <f>COMEDORES!J324</f>
        <v>0</v>
      </c>
    </row>
    <row r="7887" spans="1:8" x14ac:dyDescent="0.3">
      <c r="A7887" t="s">
        <v>628</v>
      </c>
      <c r="B7887" t="s">
        <v>413</v>
      </c>
      <c r="C7887" t="s">
        <v>415</v>
      </c>
      <c r="D7887" t="s">
        <v>746</v>
      </c>
      <c r="E7887" t="s">
        <v>769</v>
      </c>
      <c r="F7887">
        <v>4</v>
      </c>
      <c r="G7887" s="308">
        <f>COMEDORES!K324</f>
        <v>0</v>
      </c>
      <c r="H7887" s="308">
        <f>COMEDORES!L324</f>
        <v>0</v>
      </c>
    </row>
    <row r="7888" spans="1:8" x14ac:dyDescent="0.3">
      <c r="A7888" t="s">
        <v>628</v>
      </c>
      <c r="B7888" t="s">
        <v>413</v>
      </c>
      <c r="C7888" t="s">
        <v>415</v>
      </c>
      <c r="D7888" t="s">
        <v>746</v>
      </c>
      <c r="E7888" t="s">
        <v>770</v>
      </c>
      <c r="F7888">
        <v>5</v>
      </c>
      <c r="G7888" s="308">
        <f>COMEDORES!M324</f>
        <v>2700</v>
      </c>
      <c r="H7888" s="308">
        <f>COMEDORES!N324</f>
        <v>0</v>
      </c>
    </row>
    <row r="7889" spans="1:8" x14ac:dyDescent="0.3">
      <c r="A7889" t="s">
        <v>628</v>
      </c>
      <c r="B7889" t="s">
        <v>413</v>
      </c>
      <c r="C7889" t="s">
        <v>415</v>
      </c>
      <c r="D7889" t="s">
        <v>746</v>
      </c>
      <c r="E7889" t="s">
        <v>771</v>
      </c>
      <c r="F7889">
        <v>6</v>
      </c>
      <c r="G7889" s="308">
        <f>COMEDORES!O324</f>
        <v>3150</v>
      </c>
      <c r="H7889" s="308">
        <f>COMEDORES!P324</f>
        <v>0</v>
      </c>
    </row>
    <row r="7890" spans="1:8" x14ac:dyDescent="0.3">
      <c r="A7890" t="s">
        <v>628</v>
      </c>
      <c r="B7890" t="s">
        <v>413</v>
      </c>
      <c r="C7890" t="s">
        <v>415</v>
      </c>
      <c r="D7890" t="s">
        <v>746</v>
      </c>
      <c r="E7890" t="s">
        <v>772</v>
      </c>
      <c r="F7890">
        <v>7</v>
      </c>
      <c r="G7890" s="308">
        <f>COMEDORES!Q324</f>
        <v>3600</v>
      </c>
      <c r="H7890" s="308">
        <f>COMEDORES!R324</f>
        <v>0</v>
      </c>
    </row>
    <row r="7891" spans="1:8" x14ac:dyDescent="0.3">
      <c r="A7891" t="s">
        <v>628</v>
      </c>
      <c r="B7891" t="s">
        <v>413</v>
      </c>
      <c r="C7891" t="s">
        <v>283</v>
      </c>
      <c r="D7891" t="s">
        <v>745</v>
      </c>
      <c r="E7891" t="s">
        <v>766</v>
      </c>
      <c r="F7891">
        <v>1</v>
      </c>
      <c r="G7891" s="308">
        <f>COMEDORES!E325</f>
        <v>1800</v>
      </c>
      <c r="H7891" s="308">
        <f>COMEDORES!F325</f>
        <v>0</v>
      </c>
    </row>
    <row r="7892" spans="1:8" x14ac:dyDescent="0.3">
      <c r="A7892" t="s">
        <v>628</v>
      </c>
      <c r="B7892" t="s">
        <v>413</v>
      </c>
      <c r="C7892" t="s">
        <v>283</v>
      </c>
      <c r="D7892" t="s">
        <v>745</v>
      </c>
      <c r="E7892" t="s">
        <v>767</v>
      </c>
      <c r="F7892">
        <v>2</v>
      </c>
      <c r="G7892" s="308">
        <f>COMEDORES!G325</f>
        <v>2000</v>
      </c>
      <c r="H7892" s="308">
        <f>COMEDORES!H325</f>
        <v>0</v>
      </c>
    </row>
    <row r="7893" spans="1:8" x14ac:dyDescent="0.3">
      <c r="A7893" t="s">
        <v>628</v>
      </c>
      <c r="B7893" t="s">
        <v>413</v>
      </c>
      <c r="C7893" t="s">
        <v>283</v>
      </c>
      <c r="D7893" t="s">
        <v>745</v>
      </c>
      <c r="E7893" t="s">
        <v>768</v>
      </c>
      <c r="F7893">
        <v>3</v>
      </c>
      <c r="G7893" s="308">
        <f>COMEDORES!I325</f>
        <v>2200</v>
      </c>
      <c r="H7893" s="308">
        <f>COMEDORES!J325</f>
        <v>257958</v>
      </c>
    </row>
    <row r="7894" spans="1:8" x14ac:dyDescent="0.3">
      <c r="A7894" t="s">
        <v>628</v>
      </c>
      <c r="B7894" t="s">
        <v>413</v>
      </c>
      <c r="C7894" t="s">
        <v>283</v>
      </c>
      <c r="D7894" t="s">
        <v>745</v>
      </c>
      <c r="E7894" t="s">
        <v>769</v>
      </c>
      <c r="F7894">
        <v>4</v>
      </c>
      <c r="G7894" s="308">
        <f>COMEDORES!K325</f>
        <v>1900</v>
      </c>
      <c r="H7894" s="308">
        <f>COMEDORES!L325</f>
        <v>147312</v>
      </c>
    </row>
    <row r="7895" spans="1:8" x14ac:dyDescent="0.3">
      <c r="A7895" t="s">
        <v>628</v>
      </c>
      <c r="B7895" t="s">
        <v>413</v>
      </c>
      <c r="C7895" t="s">
        <v>283</v>
      </c>
      <c r="D7895" t="s">
        <v>745</v>
      </c>
      <c r="E7895" t="s">
        <v>770</v>
      </c>
      <c r="F7895">
        <v>5</v>
      </c>
      <c r="G7895" s="308">
        <f>COMEDORES!M325</f>
        <v>2000</v>
      </c>
      <c r="H7895" s="308">
        <f>COMEDORES!N325</f>
        <v>127224</v>
      </c>
    </row>
    <row r="7896" spans="1:8" x14ac:dyDescent="0.3">
      <c r="A7896" t="s">
        <v>628</v>
      </c>
      <c r="B7896" t="s">
        <v>413</v>
      </c>
      <c r="C7896" t="s">
        <v>283</v>
      </c>
      <c r="D7896" t="s">
        <v>745</v>
      </c>
      <c r="E7896" t="s">
        <v>771</v>
      </c>
      <c r="F7896">
        <v>6</v>
      </c>
      <c r="G7896" s="308">
        <f>COMEDORES!O325</f>
        <v>2100</v>
      </c>
      <c r="H7896" s="308">
        <f>COMEDORES!P325</f>
        <v>133920</v>
      </c>
    </row>
    <row r="7897" spans="1:8" x14ac:dyDescent="0.3">
      <c r="A7897" t="s">
        <v>628</v>
      </c>
      <c r="B7897" t="s">
        <v>413</v>
      </c>
      <c r="C7897" t="s">
        <v>283</v>
      </c>
      <c r="D7897" t="s">
        <v>745</v>
      </c>
      <c r="E7897" t="s">
        <v>772</v>
      </c>
      <c r="F7897">
        <v>7</v>
      </c>
      <c r="G7897" s="308">
        <f>COMEDORES!Q325</f>
        <v>2300</v>
      </c>
      <c r="H7897" s="308">
        <f>COMEDORES!R325</f>
        <v>140616</v>
      </c>
    </row>
    <row r="7898" spans="1:8" x14ac:dyDescent="0.3">
      <c r="A7898" t="s">
        <v>628</v>
      </c>
      <c r="B7898" t="s">
        <v>413</v>
      </c>
      <c r="C7898" t="s">
        <v>283</v>
      </c>
      <c r="D7898" t="s">
        <v>746</v>
      </c>
      <c r="E7898" t="s">
        <v>766</v>
      </c>
      <c r="F7898">
        <v>1</v>
      </c>
      <c r="G7898" s="308">
        <f>COMEDORES!E326</f>
        <v>1900</v>
      </c>
      <c r="H7898" s="308">
        <f>COMEDORES!F326</f>
        <v>0</v>
      </c>
    </row>
    <row r="7899" spans="1:8" x14ac:dyDescent="0.3">
      <c r="A7899" t="s">
        <v>628</v>
      </c>
      <c r="B7899" t="s">
        <v>413</v>
      </c>
      <c r="C7899" t="s">
        <v>283</v>
      </c>
      <c r="D7899" t="s">
        <v>746</v>
      </c>
      <c r="E7899" t="s">
        <v>767</v>
      </c>
      <c r="F7899">
        <v>2</v>
      </c>
      <c r="G7899" s="308">
        <f>COMEDORES!G326</f>
        <v>2000</v>
      </c>
      <c r="H7899" s="308">
        <f>COMEDORES!H326</f>
        <v>0</v>
      </c>
    </row>
    <row r="7900" spans="1:8" x14ac:dyDescent="0.3">
      <c r="A7900" t="s">
        <v>628</v>
      </c>
      <c r="B7900" t="s">
        <v>413</v>
      </c>
      <c r="C7900" t="s">
        <v>283</v>
      </c>
      <c r="D7900" t="s">
        <v>746</v>
      </c>
      <c r="E7900" t="s">
        <v>768</v>
      </c>
      <c r="F7900">
        <v>3</v>
      </c>
      <c r="G7900" s="308">
        <f>COMEDORES!I326</f>
        <v>2200</v>
      </c>
      <c r="H7900" s="308">
        <f>COMEDORES!J326</f>
        <v>0</v>
      </c>
    </row>
    <row r="7901" spans="1:8" x14ac:dyDescent="0.3">
      <c r="A7901" t="s">
        <v>628</v>
      </c>
      <c r="B7901" t="s">
        <v>413</v>
      </c>
      <c r="C7901" t="s">
        <v>283</v>
      </c>
      <c r="D7901" t="s">
        <v>746</v>
      </c>
      <c r="E7901" t="s">
        <v>769</v>
      </c>
      <c r="F7901">
        <v>4</v>
      </c>
      <c r="G7901" s="308">
        <f>COMEDORES!K326</f>
        <v>1900</v>
      </c>
      <c r="H7901" s="308">
        <f>COMEDORES!L326</f>
        <v>0</v>
      </c>
    </row>
    <row r="7902" spans="1:8" x14ac:dyDescent="0.3">
      <c r="A7902" t="s">
        <v>628</v>
      </c>
      <c r="B7902" t="s">
        <v>413</v>
      </c>
      <c r="C7902" t="s">
        <v>283</v>
      </c>
      <c r="D7902" t="s">
        <v>746</v>
      </c>
      <c r="E7902" t="s">
        <v>770</v>
      </c>
      <c r="F7902">
        <v>5</v>
      </c>
      <c r="G7902" s="308">
        <f>COMEDORES!M326</f>
        <v>2000</v>
      </c>
      <c r="H7902" s="308">
        <f>COMEDORES!N326</f>
        <v>0</v>
      </c>
    </row>
    <row r="7903" spans="1:8" x14ac:dyDescent="0.3">
      <c r="A7903" t="s">
        <v>628</v>
      </c>
      <c r="B7903" t="s">
        <v>413</v>
      </c>
      <c r="C7903" t="s">
        <v>283</v>
      </c>
      <c r="D7903" t="s">
        <v>746</v>
      </c>
      <c r="E7903" t="s">
        <v>771</v>
      </c>
      <c r="F7903">
        <v>6</v>
      </c>
      <c r="G7903" s="308">
        <f>COMEDORES!O326</f>
        <v>2100</v>
      </c>
      <c r="H7903" s="308">
        <f>COMEDORES!P326</f>
        <v>0</v>
      </c>
    </row>
    <row r="7904" spans="1:8" x14ac:dyDescent="0.3">
      <c r="A7904" t="s">
        <v>628</v>
      </c>
      <c r="B7904" t="s">
        <v>413</v>
      </c>
      <c r="C7904" t="s">
        <v>283</v>
      </c>
      <c r="D7904" t="s">
        <v>746</v>
      </c>
      <c r="E7904" t="s">
        <v>772</v>
      </c>
      <c r="F7904">
        <v>7</v>
      </c>
      <c r="G7904" s="308">
        <f>COMEDORES!Q326</f>
        <v>2300</v>
      </c>
      <c r="H7904" s="308">
        <f>COMEDORES!R326</f>
        <v>0</v>
      </c>
    </row>
    <row r="7905" spans="1:8" x14ac:dyDescent="0.3">
      <c r="A7905" t="s">
        <v>628</v>
      </c>
      <c r="B7905" t="s">
        <v>413</v>
      </c>
      <c r="C7905" t="s">
        <v>343</v>
      </c>
      <c r="D7905" t="s">
        <v>745</v>
      </c>
      <c r="E7905" t="s">
        <v>766</v>
      </c>
      <c r="F7905">
        <v>1</v>
      </c>
      <c r="G7905" s="308">
        <f>COMEDORES!E327</f>
        <v>1350</v>
      </c>
      <c r="H7905" s="308">
        <f>COMEDORES!F327</f>
        <v>0</v>
      </c>
    </row>
    <row r="7906" spans="1:8" x14ac:dyDescent="0.3">
      <c r="A7906" t="s">
        <v>628</v>
      </c>
      <c r="B7906" t="s">
        <v>413</v>
      </c>
      <c r="C7906" t="s">
        <v>343</v>
      </c>
      <c r="D7906" t="s">
        <v>745</v>
      </c>
      <c r="E7906" t="s">
        <v>767</v>
      </c>
      <c r="F7906">
        <v>2</v>
      </c>
      <c r="G7906" s="308">
        <f>COMEDORES!G327</f>
        <v>1500</v>
      </c>
      <c r="H7906" s="308">
        <f>COMEDORES!H327</f>
        <v>0</v>
      </c>
    </row>
    <row r="7907" spans="1:8" x14ac:dyDescent="0.3">
      <c r="A7907" t="s">
        <v>628</v>
      </c>
      <c r="B7907" t="s">
        <v>413</v>
      </c>
      <c r="C7907" t="s">
        <v>343</v>
      </c>
      <c r="D7907" t="s">
        <v>745</v>
      </c>
      <c r="E7907" t="s">
        <v>768</v>
      </c>
      <c r="F7907">
        <v>3</v>
      </c>
      <c r="G7907" s="308">
        <f>COMEDORES!I327</f>
        <v>1650</v>
      </c>
      <c r="H7907" s="308">
        <f>COMEDORES!J327</f>
        <v>227691</v>
      </c>
    </row>
    <row r="7908" spans="1:8" x14ac:dyDescent="0.3">
      <c r="A7908" t="s">
        <v>628</v>
      </c>
      <c r="B7908" t="s">
        <v>413</v>
      </c>
      <c r="C7908" t="s">
        <v>343</v>
      </c>
      <c r="D7908" t="s">
        <v>745</v>
      </c>
      <c r="E7908" t="s">
        <v>769</v>
      </c>
      <c r="F7908">
        <v>4</v>
      </c>
      <c r="G7908" s="308">
        <f>COMEDORES!K327</f>
        <v>1425</v>
      </c>
      <c r="H7908" s="308">
        <f>COMEDORES!L327</f>
        <v>129789</v>
      </c>
    </row>
    <row r="7909" spans="1:8" x14ac:dyDescent="0.3">
      <c r="A7909" t="s">
        <v>628</v>
      </c>
      <c r="B7909" t="s">
        <v>413</v>
      </c>
      <c r="C7909" t="s">
        <v>343</v>
      </c>
      <c r="D7909" t="s">
        <v>745</v>
      </c>
      <c r="E7909" t="s">
        <v>770</v>
      </c>
      <c r="F7909">
        <v>5</v>
      </c>
      <c r="G7909" s="308">
        <f>COMEDORES!M327</f>
        <v>1500</v>
      </c>
      <c r="H7909" s="308">
        <f>COMEDORES!N327</f>
        <v>111879.9</v>
      </c>
    </row>
    <row r="7910" spans="1:8" x14ac:dyDescent="0.3">
      <c r="A7910" t="s">
        <v>628</v>
      </c>
      <c r="B7910" t="s">
        <v>413</v>
      </c>
      <c r="C7910" t="s">
        <v>343</v>
      </c>
      <c r="D7910" t="s">
        <v>745</v>
      </c>
      <c r="E7910" t="s">
        <v>771</v>
      </c>
      <c r="F7910">
        <v>6</v>
      </c>
      <c r="G7910" s="308">
        <f>COMEDORES!O327</f>
        <v>1575</v>
      </c>
      <c r="H7910" s="308">
        <f>COMEDORES!P327</f>
        <v>117990</v>
      </c>
    </row>
    <row r="7911" spans="1:8" x14ac:dyDescent="0.3">
      <c r="A7911" t="s">
        <v>628</v>
      </c>
      <c r="B7911" t="s">
        <v>413</v>
      </c>
      <c r="C7911" t="s">
        <v>343</v>
      </c>
      <c r="D7911" t="s">
        <v>745</v>
      </c>
      <c r="E7911" t="s">
        <v>772</v>
      </c>
      <c r="F7911">
        <v>7</v>
      </c>
      <c r="G7911" s="308">
        <f>COMEDORES!Q327</f>
        <v>1725</v>
      </c>
      <c r="H7911" s="308">
        <f>COMEDORES!R327</f>
        <v>123889.5</v>
      </c>
    </row>
    <row r="7912" spans="1:8" x14ac:dyDescent="0.3">
      <c r="A7912" t="s">
        <v>628</v>
      </c>
      <c r="B7912" t="s">
        <v>413</v>
      </c>
      <c r="C7912" t="s">
        <v>343</v>
      </c>
      <c r="D7912" t="s">
        <v>746</v>
      </c>
      <c r="E7912" t="s">
        <v>766</v>
      </c>
      <c r="F7912">
        <v>1</v>
      </c>
      <c r="G7912" s="308">
        <f>COMEDORES!E328</f>
        <v>1900</v>
      </c>
      <c r="H7912" s="308">
        <f>COMEDORES!F328</f>
        <v>0</v>
      </c>
    </row>
    <row r="7913" spans="1:8" x14ac:dyDescent="0.3">
      <c r="A7913" t="s">
        <v>628</v>
      </c>
      <c r="B7913" t="s">
        <v>413</v>
      </c>
      <c r="C7913" t="s">
        <v>343</v>
      </c>
      <c r="D7913" t="s">
        <v>746</v>
      </c>
      <c r="E7913" t="s">
        <v>767</v>
      </c>
      <c r="F7913">
        <v>2</v>
      </c>
      <c r="G7913" s="308">
        <f>COMEDORES!G328</f>
        <v>2000</v>
      </c>
      <c r="H7913" s="308">
        <f>COMEDORES!H328</f>
        <v>0</v>
      </c>
    </row>
    <row r="7914" spans="1:8" x14ac:dyDescent="0.3">
      <c r="A7914" t="s">
        <v>628</v>
      </c>
      <c r="B7914" t="s">
        <v>413</v>
      </c>
      <c r="C7914" t="s">
        <v>343</v>
      </c>
      <c r="D7914" t="s">
        <v>746</v>
      </c>
      <c r="E7914" t="s">
        <v>768</v>
      </c>
      <c r="F7914">
        <v>3</v>
      </c>
      <c r="G7914" s="308">
        <f>COMEDORES!I328</f>
        <v>2200</v>
      </c>
      <c r="H7914" s="308">
        <f>COMEDORES!J328</f>
        <v>0</v>
      </c>
    </row>
    <row r="7915" spans="1:8" x14ac:dyDescent="0.3">
      <c r="A7915" t="s">
        <v>628</v>
      </c>
      <c r="B7915" t="s">
        <v>413</v>
      </c>
      <c r="C7915" t="s">
        <v>343</v>
      </c>
      <c r="D7915" t="s">
        <v>746</v>
      </c>
      <c r="E7915" t="s">
        <v>769</v>
      </c>
      <c r="F7915">
        <v>4</v>
      </c>
      <c r="G7915" s="308">
        <f>COMEDORES!K328</f>
        <v>1894</v>
      </c>
      <c r="H7915" s="308">
        <f>COMEDORES!L328</f>
        <v>0</v>
      </c>
    </row>
    <row r="7916" spans="1:8" x14ac:dyDescent="0.3">
      <c r="A7916" t="s">
        <v>628</v>
      </c>
      <c r="B7916" t="s">
        <v>413</v>
      </c>
      <c r="C7916" t="s">
        <v>343</v>
      </c>
      <c r="D7916" t="s">
        <v>746</v>
      </c>
      <c r="E7916" t="s">
        <v>770</v>
      </c>
      <c r="F7916">
        <v>5</v>
      </c>
      <c r="G7916" s="308">
        <f>COMEDORES!M328</f>
        <v>2000</v>
      </c>
      <c r="H7916" s="308">
        <f>COMEDORES!N328</f>
        <v>0</v>
      </c>
    </row>
    <row r="7917" spans="1:8" x14ac:dyDescent="0.3">
      <c r="A7917" t="s">
        <v>628</v>
      </c>
      <c r="B7917" t="s">
        <v>413</v>
      </c>
      <c r="C7917" t="s">
        <v>343</v>
      </c>
      <c r="D7917" t="s">
        <v>746</v>
      </c>
      <c r="E7917" t="s">
        <v>771</v>
      </c>
      <c r="F7917">
        <v>6</v>
      </c>
      <c r="G7917" s="308">
        <f>COMEDORES!O328</f>
        <v>2100</v>
      </c>
      <c r="H7917" s="308">
        <f>COMEDORES!P328</f>
        <v>0</v>
      </c>
    </row>
    <row r="7918" spans="1:8" x14ac:dyDescent="0.3">
      <c r="A7918" t="s">
        <v>628</v>
      </c>
      <c r="B7918" t="s">
        <v>413</v>
      </c>
      <c r="C7918" t="s">
        <v>343</v>
      </c>
      <c r="D7918" t="s">
        <v>746</v>
      </c>
      <c r="E7918" t="s">
        <v>772</v>
      </c>
      <c r="F7918">
        <v>7</v>
      </c>
      <c r="G7918" s="308">
        <f>COMEDORES!Q328</f>
        <v>2300</v>
      </c>
      <c r="H7918" s="308">
        <f>COMEDORES!R328</f>
        <v>0</v>
      </c>
    </row>
    <row r="7919" spans="1:8" x14ac:dyDescent="0.3">
      <c r="A7919" t="s">
        <v>628</v>
      </c>
      <c r="B7919" t="s">
        <v>413</v>
      </c>
      <c r="C7919" t="s">
        <v>142</v>
      </c>
      <c r="D7919" t="s">
        <v>745</v>
      </c>
      <c r="E7919" t="s">
        <v>766</v>
      </c>
      <c r="F7919">
        <v>1</v>
      </c>
      <c r="G7919" s="308">
        <f>COMEDORES!E329</f>
        <v>3150</v>
      </c>
      <c r="H7919" s="308">
        <f>COMEDORES!F329</f>
        <v>0</v>
      </c>
    </row>
    <row r="7920" spans="1:8" x14ac:dyDescent="0.3">
      <c r="A7920" t="s">
        <v>628</v>
      </c>
      <c r="B7920" t="s">
        <v>413</v>
      </c>
      <c r="C7920" t="s">
        <v>142</v>
      </c>
      <c r="D7920" t="s">
        <v>745</v>
      </c>
      <c r="E7920" t="s">
        <v>767</v>
      </c>
      <c r="F7920">
        <v>2</v>
      </c>
      <c r="G7920" s="308">
        <f>COMEDORES!G329</f>
        <v>3000</v>
      </c>
      <c r="H7920" s="308">
        <f>COMEDORES!H329</f>
        <v>0</v>
      </c>
    </row>
    <row r="7921" spans="1:8" x14ac:dyDescent="0.3">
      <c r="A7921" t="s">
        <v>628</v>
      </c>
      <c r="B7921" t="s">
        <v>413</v>
      </c>
      <c r="C7921" t="s">
        <v>142</v>
      </c>
      <c r="D7921" t="s">
        <v>745</v>
      </c>
      <c r="E7921" t="s">
        <v>768</v>
      </c>
      <c r="F7921">
        <v>3</v>
      </c>
      <c r="G7921" s="308">
        <f>COMEDORES!I329</f>
        <v>3300</v>
      </c>
      <c r="H7921" s="308">
        <f>COMEDORES!J329</f>
        <v>537972.84</v>
      </c>
    </row>
    <row r="7922" spans="1:8" x14ac:dyDescent="0.3">
      <c r="A7922" t="s">
        <v>628</v>
      </c>
      <c r="B7922" t="s">
        <v>413</v>
      </c>
      <c r="C7922" t="s">
        <v>142</v>
      </c>
      <c r="D7922" t="s">
        <v>745</v>
      </c>
      <c r="E7922" t="s">
        <v>769</v>
      </c>
      <c r="F7922">
        <v>4</v>
      </c>
      <c r="G7922" s="308">
        <f>COMEDORES!K329</f>
        <v>2850</v>
      </c>
      <c r="H7922" s="308">
        <f>COMEDORES!L329</f>
        <v>293905.80000000005</v>
      </c>
    </row>
    <row r="7923" spans="1:8" x14ac:dyDescent="0.3">
      <c r="A7923" t="s">
        <v>628</v>
      </c>
      <c r="B7923" t="s">
        <v>413</v>
      </c>
      <c r="C7923" t="s">
        <v>142</v>
      </c>
      <c r="D7923" t="s">
        <v>745</v>
      </c>
      <c r="E7923" t="s">
        <v>770</v>
      </c>
      <c r="F7923">
        <v>5</v>
      </c>
      <c r="G7923" s="308">
        <f>COMEDORES!M329</f>
        <v>2990</v>
      </c>
      <c r="H7923" s="308">
        <f>COMEDORES!N329</f>
        <v>252155.7</v>
      </c>
    </row>
    <row r="7924" spans="1:8" x14ac:dyDescent="0.3">
      <c r="A7924" t="s">
        <v>628</v>
      </c>
      <c r="B7924" t="s">
        <v>413</v>
      </c>
      <c r="C7924" t="s">
        <v>142</v>
      </c>
      <c r="D7924" t="s">
        <v>745</v>
      </c>
      <c r="E7924" t="s">
        <v>771</v>
      </c>
      <c r="F7924">
        <v>6</v>
      </c>
      <c r="G7924" s="308">
        <f>COMEDORES!O329</f>
        <v>3150</v>
      </c>
      <c r="H7924" s="308">
        <f>COMEDORES!P329</f>
        <v>272972.69999999995</v>
      </c>
    </row>
    <row r="7925" spans="1:8" x14ac:dyDescent="0.3">
      <c r="A7925" t="s">
        <v>628</v>
      </c>
      <c r="B7925" t="s">
        <v>413</v>
      </c>
      <c r="C7925" t="s">
        <v>142</v>
      </c>
      <c r="D7925" t="s">
        <v>745</v>
      </c>
      <c r="E7925" t="s">
        <v>772</v>
      </c>
      <c r="F7925">
        <v>7</v>
      </c>
      <c r="G7925" s="308">
        <f>COMEDORES!Q329</f>
        <v>3418</v>
      </c>
      <c r="H7925" s="308">
        <f>COMEDORES!R329</f>
        <v>284634</v>
      </c>
    </row>
    <row r="7926" spans="1:8" x14ac:dyDescent="0.3">
      <c r="A7926" t="s">
        <v>628</v>
      </c>
      <c r="B7926" t="s">
        <v>413</v>
      </c>
      <c r="C7926" t="s">
        <v>142</v>
      </c>
      <c r="D7926" t="s">
        <v>746</v>
      </c>
      <c r="E7926" t="s">
        <v>766</v>
      </c>
      <c r="F7926">
        <v>1</v>
      </c>
      <c r="G7926" s="308">
        <f>COMEDORES!E330</f>
        <v>4750</v>
      </c>
      <c r="H7926" s="308">
        <f>COMEDORES!F330</f>
        <v>0</v>
      </c>
    </row>
    <row r="7927" spans="1:8" x14ac:dyDescent="0.3">
      <c r="A7927" t="s">
        <v>628</v>
      </c>
      <c r="B7927" t="s">
        <v>413</v>
      </c>
      <c r="C7927" t="s">
        <v>142</v>
      </c>
      <c r="D7927" t="s">
        <v>746</v>
      </c>
      <c r="E7927" t="s">
        <v>767</v>
      </c>
      <c r="F7927">
        <v>2</v>
      </c>
      <c r="G7927" s="308">
        <f>COMEDORES!G330</f>
        <v>5000</v>
      </c>
      <c r="H7927" s="308">
        <f>COMEDORES!H330</f>
        <v>0</v>
      </c>
    </row>
    <row r="7928" spans="1:8" x14ac:dyDescent="0.3">
      <c r="A7928" t="s">
        <v>628</v>
      </c>
      <c r="B7928" t="s">
        <v>413</v>
      </c>
      <c r="C7928" t="s">
        <v>142</v>
      </c>
      <c r="D7928" t="s">
        <v>746</v>
      </c>
      <c r="E7928" t="s">
        <v>768</v>
      </c>
      <c r="F7928">
        <v>3</v>
      </c>
      <c r="G7928" s="308">
        <f>COMEDORES!I330</f>
        <v>5500</v>
      </c>
      <c r="H7928" s="308">
        <f>COMEDORES!J330</f>
        <v>0</v>
      </c>
    </row>
    <row r="7929" spans="1:8" x14ac:dyDescent="0.3">
      <c r="A7929" t="s">
        <v>628</v>
      </c>
      <c r="B7929" t="s">
        <v>413</v>
      </c>
      <c r="C7929" t="s">
        <v>142</v>
      </c>
      <c r="D7929" t="s">
        <v>746</v>
      </c>
      <c r="E7929" t="s">
        <v>769</v>
      </c>
      <c r="F7929">
        <v>4</v>
      </c>
      <c r="G7929" s="308">
        <f>COMEDORES!K330</f>
        <v>4597</v>
      </c>
      <c r="H7929" s="308">
        <f>COMEDORES!L330</f>
        <v>0</v>
      </c>
    </row>
    <row r="7930" spans="1:8" x14ac:dyDescent="0.3">
      <c r="A7930" t="s">
        <v>628</v>
      </c>
      <c r="B7930" t="s">
        <v>413</v>
      </c>
      <c r="C7930" t="s">
        <v>142</v>
      </c>
      <c r="D7930" t="s">
        <v>746</v>
      </c>
      <c r="E7930" t="s">
        <v>770</v>
      </c>
      <c r="F7930">
        <v>5</v>
      </c>
      <c r="G7930" s="308">
        <f>COMEDORES!M330</f>
        <v>5063</v>
      </c>
      <c r="H7930" s="308">
        <f>COMEDORES!N330</f>
        <v>0</v>
      </c>
    </row>
    <row r="7931" spans="1:8" x14ac:dyDescent="0.3">
      <c r="A7931" t="s">
        <v>628</v>
      </c>
      <c r="B7931" t="s">
        <v>413</v>
      </c>
      <c r="C7931" t="s">
        <v>142</v>
      </c>
      <c r="D7931" t="s">
        <v>746</v>
      </c>
      <c r="E7931" t="s">
        <v>771</v>
      </c>
      <c r="F7931">
        <v>6</v>
      </c>
      <c r="G7931" s="308">
        <f>COMEDORES!O330</f>
        <v>5250</v>
      </c>
      <c r="H7931" s="308">
        <f>COMEDORES!P330</f>
        <v>0</v>
      </c>
    </row>
    <row r="7932" spans="1:8" x14ac:dyDescent="0.3">
      <c r="A7932" t="s">
        <v>628</v>
      </c>
      <c r="B7932" t="s">
        <v>413</v>
      </c>
      <c r="C7932" t="s">
        <v>142</v>
      </c>
      <c r="D7932" t="s">
        <v>746</v>
      </c>
      <c r="E7932" t="s">
        <v>772</v>
      </c>
      <c r="F7932">
        <v>7</v>
      </c>
      <c r="G7932" s="308">
        <f>COMEDORES!Q330</f>
        <v>5550</v>
      </c>
      <c r="H7932" s="308">
        <f>COMEDORES!R330</f>
        <v>0</v>
      </c>
    </row>
    <row r="7933" spans="1:8" x14ac:dyDescent="0.3">
      <c r="A7933" t="s">
        <v>628</v>
      </c>
      <c r="B7933" t="s">
        <v>413</v>
      </c>
      <c r="C7933" t="s">
        <v>345</v>
      </c>
      <c r="D7933" t="s">
        <v>745</v>
      </c>
      <c r="E7933" t="s">
        <v>766</v>
      </c>
      <c r="F7933">
        <v>1</v>
      </c>
      <c r="G7933" s="308">
        <f>COMEDORES!E331</f>
        <v>1800</v>
      </c>
      <c r="H7933" s="308">
        <f>COMEDORES!F331</f>
        <v>0</v>
      </c>
    </row>
    <row r="7934" spans="1:8" x14ac:dyDescent="0.3">
      <c r="A7934" t="s">
        <v>628</v>
      </c>
      <c r="B7934" t="s">
        <v>413</v>
      </c>
      <c r="C7934" t="s">
        <v>345</v>
      </c>
      <c r="D7934" t="s">
        <v>745</v>
      </c>
      <c r="E7934" t="s">
        <v>767</v>
      </c>
      <c r="F7934">
        <v>2</v>
      </c>
      <c r="G7934" s="308">
        <f>COMEDORES!G331</f>
        <v>2000</v>
      </c>
      <c r="H7934" s="308">
        <f>COMEDORES!H331</f>
        <v>0</v>
      </c>
    </row>
    <row r="7935" spans="1:8" x14ac:dyDescent="0.3">
      <c r="A7935" t="s">
        <v>628</v>
      </c>
      <c r="B7935" t="s">
        <v>413</v>
      </c>
      <c r="C7935" t="s">
        <v>345</v>
      </c>
      <c r="D7935" t="s">
        <v>745</v>
      </c>
      <c r="E7935" t="s">
        <v>768</v>
      </c>
      <c r="F7935">
        <v>3</v>
      </c>
      <c r="G7935" s="308">
        <f>COMEDORES!I331</f>
        <v>2200</v>
      </c>
      <c r="H7935" s="308">
        <f>COMEDORES!J331</f>
        <v>292180.5</v>
      </c>
    </row>
    <row r="7936" spans="1:8" x14ac:dyDescent="0.3">
      <c r="A7936" t="s">
        <v>628</v>
      </c>
      <c r="B7936" t="s">
        <v>413</v>
      </c>
      <c r="C7936" t="s">
        <v>345</v>
      </c>
      <c r="D7936" t="s">
        <v>745</v>
      </c>
      <c r="E7936" t="s">
        <v>769</v>
      </c>
      <c r="F7936">
        <v>4</v>
      </c>
      <c r="G7936" s="308">
        <f>COMEDORES!K331</f>
        <v>1900</v>
      </c>
      <c r="H7936" s="308">
        <f>COMEDORES!L331</f>
        <v>166617</v>
      </c>
    </row>
    <row r="7937" spans="1:8" x14ac:dyDescent="0.3">
      <c r="A7937" t="s">
        <v>628</v>
      </c>
      <c r="B7937" t="s">
        <v>413</v>
      </c>
      <c r="C7937" t="s">
        <v>345</v>
      </c>
      <c r="D7937" t="s">
        <v>745</v>
      </c>
      <c r="E7937" t="s">
        <v>770</v>
      </c>
      <c r="F7937">
        <v>5</v>
      </c>
      <c r="G7937" s="308">
        <f>COMEDORES!M331</f>
        <v>2000</v>
      </c>
      <c r="H7937" s="308">
        <f>COMEDORES!N331</f>
        <v>143896.5</v>
      </c>
    </row>
    <row r="7938" spans="1:8" x14ac:dyDescent="0.3">
      <c r="A7938" t="s">
        <v>628</v>
      </c>
      <c r="B7938" t="s">
        <v>413</v>
      </c>
      <c r="C7938" t="s">
        <v>345</v>
      </c>
      <c r="D7938" t="s">
        <v>745</v>
      </c>
      <c r="E7938" t="s">
        <v>771</v>
      </c>
      <c r="F7938">
        <v>6</v>
      </c>
      <c r="G7938" s="308">
        <f>COMEDORES!O331</f>
        <v>1950</v>
      </c>
      <c r="H7938" s="308">
        <f>COMEDORES!P331</f>
        <v>151470</v>
      </c>
    </row>
    <row r="7939" spans="1:8" x14ac:dyDescent="0.3">
      <c r="A7939" t="s">
        <v>628</v>
      </c>
      <c r="B7939" t="s">
        <v>413</v>
      </c>
      <c r="C7939" t="s">
        <v>345</v>
      </c>
      <c r="D7939" t="s">
        <v>745</v>
      </c>
      <c r="E7939" t="s">
        <v>772</v>
      </c>
      <c r="F7939">
        <v>7</v>
      </c>
      <c r="G7939" s="308">
        <f>COMEDORES!Q331</f>
        <v>2300</v>
      </c>
      <c r="H7939" s="308">
        <f>COMEDORES!R331</f>
        <v>159043.5</v>
      </c>
    </row>
    <row r="7940" spans="1:8" x14ac:dyDescent="0.3">
      <c r="A7940" t="s">
        <v>628</v>
      </c>
      <c r="B7940" t="s">
        <v>413</v>
      </c>
      <c r="C7940" t="s">
        <v>345</v>
      </c>
      <c r="D7940" t="s">
        <v>746</v>
      </c>
      <c r="E7940" t="s">
        <v>766</v>
      </c>
      <c r="F7940">
        <v>1</v>
      </c>
      <c r="G7940" s="308">
        <f>COMEDORES!E332</f>
        <v>2375</v>
      </c>
      <c r="H7940" s="308">
        <f>COMEDORES!F332</f>
        <v>0</v>
      </c>
    </row>
    <row r="7941" spans="1:8" x14ac:dyDescent="0.3">
      <c r="A7941" t="s">
        <v>628</v>
      </c>
      <c r="B7941" t="s">
        <v>413</v>
      </c>
      <c r="C7941" t="s">
        <v>345</v>
      </c>
      <c r="D7941" t="s">
        <v>746</v>
      </c>
      <c r="E7941" t="s">
        <v>767</v>
      </c>
      <c r="F7941">
        <v>2</v>
      </c>
      <c r="G7941" s="308">
        <f>COMEDORES!G332</f>
        <v>2500</v>
      </c>
      <c r="H7941" s="308">
        <f>COMEDORES!H332</f>
        <v>0</v>
      </c>
    </row>
    <row r="7942" spans="1:8" x14ac:dyDescent="0.3">
      <c r="A7942" t="s">
        <v>628</v>
      </c>
      <c r="B7942" t="s">
        <v>413</v>
      </c>
      <c r="C7942" t="s">
        <v>345</v>
      </c>
      <c r="D7942" t="s">
        <v>746</v>
      </c>
      <c r="E7942" t="s">
        <v>768</v>
      </c>
      <c r="F7942">
        <v>3</v>
      </c>
      <c r="G7942" s="308">
        <f>COMEDORES!I332</f>
        <v>2750</v>
      </c>
      <c r="H7942" s="308">
        <f>COMEDORES!J332</f>
        <v>0</v>
      </c>
    </row>
    <row r="7943" spans="1:8" x14ac:dyDescent="0.3">
      <c r="A7943" t="s">
        <v>628</v>
      </c>
      <c r="B7943" t="s">
        <v>413</v>
      </c>
      <c r="C7943" t="s">
        <v>345</v>
      </c>
      <c r="D7943" t="s">
        <v>746</v>
      </c>
      <c r="E7943" t="s">
        <v>769</v>
      </c>
      <c r="F7943">
        <v>4</v>
      </c>
      <c r="G7943" s="308">
        <f>COMEDORES!K332</f>
        <v>2375</v>
      </c>
      <c r="H7943" s="308">
        <f>COMEDORES!L332</f>
        <v>0</v>
      </c>
    </row>
    <row r="7944" spans="1:8" x14ac:dyDescent="0.3">
      <c r="A7944" t="s">
        <v>628</v>
      </c>
      <c r="B7944" t="s">
        <v>413</v>
      </c>
      <c r="C7944" t="s">
        <v>345</v>
      </c>
      <c r="D7944" t="s">
        <v>746</v>
      </c>
      <c r="E7944" t="s">
        <v>770</v>
      </c>
      <c r="F7944">
        <v>5</v>
      </c>
      <c r="G7944" s="308">
        <f>COMEDORES!M332</f>
        <v>2500</v>
      </c>
      <c r="H7944" s="308">
        <f>COMEDORES!N332</f>
        <v>0</v>
      </c>
    </row>
    <row r="7945" spans="1:8" x14ac:dyDescent="0.3">
      <c r="A7945" t="s">
        <v>628</v>
      </c>
      <c r="B7945" t="s">
        <v>413</v>
      </c>
      <c r="C7945" t="s">
        <v>345</v>
      </c>
      <c r="D7945" t="s">
        <v>746</v>
      </c>
      <c r="E7945" t="s">
        <v>771</v>
      </c>
      <c r="F7945">
        <v>6</v>
      </c>
      <c r="G7945" s="308">
        <f>COMEDORES!O332</f>
        <v>2475</v>
      </c>
      <c r="H7945" s="308">
        <f>COMEDORES!P332</f>
        <v>0</v>
      </c>
    </row>
    <row r="7946" spans="1:8" x14ac:dyDescent="0.3">
      <c r="A7946" t="s">
        <v>628</v>
      </c>
      <c r="B7946" t="s">
        <v>413</v>
      </c>
      <c r="C7946" t="s">
        <v>345</v>
      </c>
      <c r="D7946" t="s">
        <v>746</v>
      </c>
      <c r="E7946" t="s">
        <v>772</v>
      </c>
      <c r="F7946">
        <v>7</v>
      </c>
      <c r="G7946" s="308">
        <f>COMEDORES!Q332</f>
        <v>2875</v>
      </c>
      <c r="H7946" s="308">
        <f>COMEDORES!R332</f>
        <v>0</v>
      </c>
    </row>
    <row r="7947" spans="1:8" x14ac:dyDescent="0.3">
      <c r="A7947" t="s">
        <v>628</v>
      </c>
      <c r="B7947" t="s">
        <v>355</v>
      </c>
      <c r="C7947" t="s">
        <v>348</v>
      </c>
      <c r="D7947" t="s">
        <v>745</v>
      </c>
      <c r="E7947" t="s">
        <v>766</v>
      </c>
      <c r="F7947">
        <v>1</v>
      </c>
      <c r="G7947" s="308">
        <f>COMEDORES!E333</f>
        <v>0</v>
      </c>
      <c r="H7947" s="308">
        <f>COMEDORES!F333</f>
        <v>0</v>
      </c>
    </row>
    <row r="7948" spans="1:8" x14ac:dyDescent="0.3">
      <c r="A7948" t="s">
        <v>628</v>
      </c>
      <c r="B7948" t="s">
        <v>355</v>
      </c>
      <c r="C7948" t="s">
        <v>348</v>
      </c>
      <c r="D7948" t="s">
        <v>745</v>
      </c>
      <c r="E7948" t="s">
        <v>767</v>
      </c>
      <c r="F7948">
        <v>2</v>
      </c>
      <c r="G7948" s="308">
        <f>COMEDORES!G333</f>
        <v>0</v>
      </c>
      <c r="H7948" s="308">
        <f>COMEDORES!H333</f>
        <v>0</v>
      </c>
    </row>
    <row r="7949" spans="1:8" x14ac:dyDescent="0.3">
      <c r="A7949" t="s">
        <v>628</v>
      </c>
      <c r="B7949" t="s">
        <v>355</v>
      </c>
      <c r="C7949" t="s">
        <v>348</v>
      </c>
      <c r="D7949" t="s">
        <v>745</v>
      </c>
      <c r="E7949" t="s">
        <v>768</v>
      </c>
      <c r="F7949">
        <v>3</v>
      </c>
      <c r="G7949" s="308">
        <f>COMEDORES!I333</f>
        <v>0</v>
      </c>
      <c r="H7949" s="308">
        <f>COMEDORES!J333</f>
        <v>0</v>
      </c>
    </row>
    <row r="7950" spans="1:8" x14ac:dyDescent="0.3">
      <c r="A7950" t="s">
        <v>628</v>
      </c>
      <c r="B7950" t="s">
        <v>355</v>
      </c>
      <c r="C7950" t="s">
        <v>348</v>
      </c>
      <c r="D7950" t="s">
        <v>745</v>
      </c>
      <c r="E7950" t="s">
        <v>769</v>
      </c>
      <c r="F7950">
        <v>4</v>
      </c>
      <c r="G7950" s="308">
        <f>COMEDORES!K333</f>
        <v>0</v>
      </c>
      <c r="H7950" s="308">
        <f>COMEDORES!L333</f>
        <v>0</v>
      </c>
    </row>
    <row r="7951" spans="1:8" x14ac:dyDescent="0.3">
      <c r="A7951" t="s">
        <v>628</v>
      </c>
      <c r="B7951" t="s">
        <v>355</v>
      </c>
      <c r="C7951" t="s">
        <v>348</v>
      </c>
      <c r="D7951" t="s">
        <v>745</v>
      </c>
      <c r="E7951" t="s">
        <v>770</v>
      </c>
      <c r="F7951">
        <v>5</v>
      </c>
      <c r="G7951" s="308">
        <f>COMEDORES!M333</f>
        <v>0</v>
      </c>
      <c r="H7951" s="308">
        <f>COMEDORES!N333</f>
        <v>0</v>
      </c>
    </row>
    <row r="7952" spans="1:8" x14ac:dyDescent="0.3">
      <c r="A7952" t="s">
        <v>628</v>
      </c>
      <c r="B7952" t="s">
        <v>355</v>
      </c>
      <c r="C7952" t="s">
        <v>348</v>
      </c>
      <c r="D7952" t="s">
        <v>745</v>
      </c>
      <c r="E7952" t="s">
        <v>771</v>
      </c>
      <c r="F7952">
        <v>6</v>
      </c>
      <c r="G7952" s="308">
        <f>COMEDORES!O333</f>
        <v>0</v>
      </c>
      <c r="H7952" s="308">
        <f>COMEDORES!P333</f>
        <v>0</v>
      </c>
    </row>
    <row r="7953" spans="1:8" x14ac:dyDescent="0.3">
      <c r="A7953" t="s">
        <v>628</v>
      </c>
      <c r="B7953" t="s">
        <v>355</v>
      </c>
      <c r="C7953" t="s">
        <v>348</v>
      </c>
      <c r="D7953" t="s">
        <v>745</v>
      </c>
      <c r="E7953" t="s">
        <v>772</v>
      </c>
      <c r="F7953">
        <v>7</v>
      </c>
      <c r="G7953" s="308">
        <f>COMEDORES!Q333</f>
        <v>2382</v>
      </c>
      <c r="H7953" s="308">
        <f>COMEDORES!R333</f>
        <v>0</v>
      </c>
    </row>
    <row r="7954" spans="1:8" x14ac:dyDescent="0.3">
      <c r="A7954" t="s">
        <v>628</v>
      </c>
      <c r="B7954" t="s">
        <v>355</v>
      </c>
      <c r="C7954" t="s">
        <v>348</v>
      </c>
      <c r="D7954" t="s">
        <v>746</v>
      </c>
      <c r="E7954" t="s">
        <v>766</v>
      </c>
      <c r="F7954">
        <v>1</v>
      </c>
      <c r="G7954" s="308">
        <f>COMEDORES!E334</f>
        <v>0</v>
      </c>
      <c r="H7954" s="308">
        <f>COMEDORES!F334</f>
        <v>0</v>
      </c>
    </row>
    <row r="7955" spans="1:8" x14ac:dyDescent="0.3">
      <c r="A7955" t="s">
        <v>628</v>
      </c>
      <c r="B7955" t="s">
        <v>355</v>
      </c>
      <c r="C7955" t="s">
        <v>348</v>
      </c>
      <c r="D7955" t="s">
        <v>746</v>
      </c>
      <c r="E7955" t="s">
        <v>767</v>
      </c>
      <c r="F7955">
        <v>2</v>
      </c>
      <c r="G7955" s="308">
        <f>COMEDORES!G334</f>
        <v>0</v>
      </c>
      <c r="H7955" s="308">
        <f>COMEDORES!H334</f>
        <v>0</v>
      </c>
    </row>
    <row r="7956" spans="1:8" x14ac:dyDescent="0.3">
      <c r="A7956" t="s">
        <v>628</v>
      </c>
      <c r="B7956" t="s">
        <v>355</v>
      </c>
      <c r="C7956" t="s">
        <v>348</v>
      </c>
      <c r="D7956" t="s">
        <v>746</v>
      </c>
      <c r="E7956" t="s">
        <v>768</v>
      </c>
      <c r="F7956">
        <v>3</v>
      </c>
      <c r="G7956" s="308">
        <f>COMEDORES!I334</f>
        <v>0</v>
      </c>
      <c r="H7956" s="308">
        <f>COMEDORES!J334</f>
        <v>0</v>
      </c>
    </row>
    <row r="7957" spans="1:8" x14ac:dyDescent="0.3">
      <c r="A7957" t="s">
        <v>628</v>
      </c>
      <c r="B7957" t="s">
        <v>355</v>
      </c>
      <c r="C7957" t="s">
        <v>348</v>
      </c>
      <c r="D7957" t="s">
        <v>746</v>
      </c>
      <c r="E7957" t="s">
        <v>769</v>
      </c>
      <c r="F7957">
        <v>4</v>
      </c>
      <c r="G7957" s="308">
        <f>COMEDORES!K334</f>
        <v>0</v>
      </c>
      <c r="H7957" s="308">
        <f>COMEDORES!L334</f>
        <v>0</v>
      </c>
    </row>
    <row r="7958" spans="1:8" x14ac:dyDescent="0.3">
      <c r="A7958" t="s">
        <v>628</v>
      </c>
      <c r="B7958" t="s">
        <v>355</v>
      </c>
      <c r="C7958" t="s">
        <v>348</v>
      </c>
      <c r="D7958" t="s">
        <v>746</v>
      </c>
      <c r="E7958" t="s">
        <v>770</v>
      </c>
      <c r="F7958">
        <v>5</v>
      </c>
      <c r="G7958" s="308">
        <f>COMEDORES!M334</f>
        <v>0</v>
      </c>
      <c r="H7958" s="308">
        <f>COMEDORES!N334</f>
        <v>0</v>
      </c>
    </row>
    <row r="7959" spans="1:8" x14ac:dyDescent="0.3">
      <c r="A7959" t="s">
        <v>628</v>
      </c>
      <c r="B7959" t="s">
        <v>355</v>
      </c>
      <c r="C7959" t="s">
        <v>348</v>
      </c>
      <c r="D7959" t="s">
        <v>746</v>
      </c>
      <c r="E7959" t="s">
        <v>771</v>
      </c>
      <c r="F7959">
        <v>6</v>
      </c>
      <c r="G7959" s="308">
        <f>COMEDORES!O334</f>
        <v>0</v>
      </c>
      <c r="H7959" s="308">
        <f>COMEDORES!P334</f>
        <v>0</v>
      </c>
    </row>
    <row r="7960" spans="1:8" x14ac:dyDescent="0.3">
      <c r="A7960" t="s">
        <v>628</v>
      </c>
      <c r="B7960" t="s">
        <v>355</v>
      </c>
      <c r="C7960" t="s">
        <v>348</v>
      </c>
      <c r="D7960" t="s">
        <v>746</v>
      </c>
      <c r="E7960" t="s">
        <v>772</v>
      </c>
      <c r="F7960">
        <v>7</v>
      </c>
      <c r="G7960" s="308">
        <f>COMEDORES!Q334</f>
        <v>3200</v>
      </c>
      <c r="H7960" s="308">
        <f>COMEDORES!R334</f>
        <v>0</v>
      </c>
    </row>
    <row r="7961" spans="1:8" x14ac:dyDescent="0.3">
      <c r="A7961" t="s">
        <v>628</v>
      </c>
      <c r="B7961" t="s">
        <v>355</v>
      </c>
      <c r="C7961" t="s">
        <v>352</v>
      </c>
      <c r="D7961" t="s">
        <v>745</v>
      </c>
      <c r="E7961" t="s">
        <v>766</v>
      </c>
      <c r="F7961">
        <v>1</v>
      </c>
      <c r="G7961" s="308">
        <f>COMEDORES!E335</f>
        <v>0</v>
      </c>
      <c r="H7961" s="308">
        <f>COMEDORES!F335</f>
        <v>0</v>
      </c>
    </row>
    <row r="7962" spans="1:8" x14ac:dyDescent="0.3">
      <c r="A7962" t="s">
        <v>628</v>
      </c>
      <c r="B7962" t="s">
        <v>355</v>
      </c>
      <c r="C7962" t="s">
        <v>352</v>
      </c>
      <c r="D7962" t="s">
        <v>745</v>
      </c>
      <c r="E7962" t="s">
        <v>767</v>
      </c>
      <c r="F7962">
        <v>2</v>
      </c>
      <c r="G7962" s="308">
        <f>COMEDORES!G335</f>
        <v>0</v>
      </c>
      <c r="H7962" s="308">
        <f>COMEDORES!H335</f>
        <v>0</v>
      </c>
    </row>
    <row r="7963" spans="1:8" x14ac:dyDescent="0.3">
      <c r="A7963" t="s">
        <v>628</v>
      </c>
      <c r="B7963" t="s">
        <v>355</v>
      </c>
      <c r="C7963" t="s">
        <v>352</v>
      </c>
      <c r="D7963" t="s">
        <v>745</v>
      </c>
      <c r="E7963" t="s">
        <v>768</v>
      </c>
      <c r="F7963">
        <v>3</v>
      </c>
      <c r="G7963" s="308">
        <f>COMEDORES!I335</f>
        <v>0</v>
      </c>
      <c r="H7963" s="308">
        <f>COMEDORES!J335</f>
        <v>0</v>
      </c>
    </row>
    <row r="7964" spans="1:8" x14ac:dyDescent="0.3">
      <c r="A7964" t="s">
        <v>628</v>
      </c>
      <c r="B7964" t="s">
        <v>355</v>
      </c>
      <c r="C7964" t="s">
        <v>352</v>
      </c>
      <c r="D7964" t="s">
        <v>745</v>
      </c>
      <c r="E7964" t="s">
        <v>769</v>
      </c>
      <c r="F7964">
        <v>4</v>
      </c>
      <c r="G7964" s="308">
        <f>COMEDORES!K335</f>
        <v>0</v>
      </c>
      <c r="H7964" s="308">
        <f>COMEDORES!L335</f>
        <v>0</v>
      </c>
    </row>
    <row r="7965" spans="1:8" x14ac:dyDescent="0.3">
      <c r="A7965" t="s">
        <v>628</v>
      </c>
      <c r="B7965" t="s">
        <v>355</v>
      </c>
      <c r="C7965" t="s">
        <v>352</v>
      </c>
      <c r="D7965" t="s">
        <v>745</v>
      </c>
      <c r="E7965" t="s">
        <v>770</v>
      </c>
      <c r="F7965">
        <v>5</v>
      </c>
      <c r="G7965" s="308">
        <f>COMEDORES!M335</f>
        <v>0</v>
      </c>
      <c r="H7965" s="308">
        <f>COMEDORES!N335</f>
        <v>0</v>
      </c>
    </row>
    <row r="7966" spans="1:8" x14ac:dyDescent="0.3">
      <c r="A7966" t="s">
        <v>628</v>
      </c>
      <c r="B7966" t="s">
        <v>355</v>
      </c>
      <c r="C7966" t="s">
        <v>352</v>
      </c>
      <c r="D7966" t="s">
        <v>745</v>
      </c>
      <c r="E7966" t="s">
        <v>771</v>
      </c>
      <c r="F7966">
        <v>6</v>
      </c>
      <c r="G7966" s="308">
        <f>COMEDORES!O335</f>
        <v>0</v>
      </c>
      <c r="H7966" s="308">
        <f>COMEDORES!P335</f>
        <v>0</v>
      </c>
    </row>
    <row r="7967" spans="1:8" x14ac:dyDescent="0.3">
      <c r="A7967" t="s">
        <v>628</v>
      </c>
      <c r="B7967" t="s">
        <v>355</v>
      </c>
      <c r="C7967" t="s">
        <v>352</v>
      </c>
      <c r="D7967" t="s">
        <v>745</v>
      </c>
      <c r="E7967" t="s">
        <v>772</v>
      </c>
      <c r="F7967">
        <v>7</v>
      </c>
      <c r="G7967" s="308">
        <f>COMEDORES!Q335</f>
        <v>2400</v>
      </c>
      <c r="H7967" s="308">
        <f>COMEDORES!R335</f>
        <v>0</v>
      </c>
    </row>
    <row r="7968" spans="1:8" x14ac:dyDescent="0.3">
      <c r="A7968" t="s">
        <v>628</v>
      </c>
      <c r="B7968" t="s">
        <v>355</v>
      </c>
      <c r="C7968" t="s">
        <v>352</v>
      </c>
      <c r="D7968" t="s">
        <v>746</v>
      </c>
      <c r="E7968" t="s">
        <v>766</v>
      </c>
      <c r="F7968">
        <v>1</v>
      </c>
      <c r="G7968" s="308">
        <f>COMEDORES!E336</f>
        <v>0</v>
      </c>
      <c r="H7968" s="308">
        <f>COMEDORES!F336</f>
        <v>0</v>
      </c>
    </row>
    <row r="7969" spans="1:8" x14ac:dyDescent="0.3">
      <c r="A7969" t="s">
        <v>628</v>
      </c>
      <c r="B7969" t="s">
        <v>355</v>
      </c>
      <c r="C7969" t="s">
        <v>352</v>
      </c>
      <c r="D7969" t="s">
        <v>746</v>
      </c>
      <c r="E7969" t="s">
        <v>767</v>
      </c>
      <c r="F7969">
        <v>2</v>
      </c>
      <c r="G7969" s="308">
        <f>COMEDORES!G336</f>
        <v>0</v>
      </c>
      <c r="H7969" s="308">
        <f>COMEDORES!H336</f>
        <v>0</v>
      </c>
    </row>
    <row r="7970" spans="1:8" x14ac:dyDescent="0.3">
      <c r="A7970" t="s">
        <v>628</v>
      </c>
      <c r="B7970" t="s">
        <v>355</v>
      </c>
      <c r="C7970" t="s">
        <v>352</v>
      </c>
      <c r="D7970" t="s">
        <v>746</v>
      </c>
      <c r="E7970" t="s">
        <v>768</v>
      </c>
      <c r="F7970">
        <v>3</v>
      </c>
      <c r="G7970" s="308">
        <f>COMEDORES!I336</f>
        <v>0</v>
      </c>
      <c r="H7970" s="308">
        <f>COMEDORES!J336</f>
        <v>0</v>
      </c>
    </row>
    <row r="7971" spans="1:8" x14ac:dyDescent="0.3">
      <c r="A7971" t="s">
        <v>628</v>
      </c>
      <c r="B7971" t="s">
        <v>355</v>
      </c>
      <c r="C7971" t="s">
        <v>352</v>
      </c>
      <c r="D7971" t="s">
        <v>746</v>
      </c>
      <c r="E7971" t="s">
        <v>769</v>
      </c>
      <c r="F7971">
        <v>4</v>
      </c>
      <c r="G7971" s="308">
        <f>COMEDORES!K336</f>
        <v>0</v>
      </c>
      <c r="H7971" s="308">
        <f>COMEDORES!L336</f>
        <v>0</v>
      </c>
    </row>
    <row r="7972" spans="1:8" x14ac:dyDescent="0.3">
      <c r="A7972" t="s">
        <v>628</v>
      </c>
      <c r="B7972" t="s">
        <v>355</v>
      </c>
      <c r="C7972" t="s">
        <v>352</v>
      </c>
      <c r="D7972" t="s">
        <v>746</v>
      </c>
      <c r="E7972" t="s">
        <v>770</v>
      </c>
      <c r="F7972">
        <v>5</v>
      </c>
      <c r="G7972" s="308">
        <f>COMEDORES!M336</f>
        <v>0</v>
      </c>
      <c r="H7972" s="308">
        <f>COMEDORES!N336</f>
        <v>0</v>
      </c>
    </row>
    <row r="7973" spans="1:8" x14ac:dyDescent="0.3">
      <c r="A7973" t="s">
        <v>628</v>
      </c>
      <c r="B7973" t="s">
        <v>355</v>
      </c>
      <c r="C7973" t="s">
        <v>352</v>
      </c>
      <c r="D7973" t="s">
        <v>746</v>
      </c>
      <c r="E7973" t="s">
        <v>771</v>
      </c>
      <c r="F7973">
        <v>6</v>
      </c>
      <c r="G7973" s="308">
        <f>COMEDORES!O336</f>
        <v>0</v>
      </c>
      <c r="H7973" s="308">
        <f>COMEDORES!P336</f>
        <v>0</v>
      </c>
    </row>
    <row r="7974" spans="1:8" x14ac:dyDescent="0.3">
      <c r="A7974" t="s">
        <v>628</v>
      </c>
      <c r="B7974" t="s">
        <v>355</v>
      </c>
      <c r="C7974" t="s">
        <v>352</v>
      </c>
      <c r="D7974" t="s">
        <v>746</v>
      </c>
      <c r="E7974" t="s">
        <v>772</v>
      </c>
      <c r="F7974">
        <v>7</v>
      </c>
      <c r="G7974" s="308">
        <f>COMEDORES!Q336</f>
        <v>3200</v>
      </c>
      <c r="H7974" s="308">
        <f>COMEDORES!R336</f>
        <v>0</v>
      </c>
    </row>
    <row r="7975" spans="1:8" x14ac:dyDescent="0.3">
      <c r="A7975" t="s">
        <v>628</v>
      </c>
      <c r="B7975" t="s">
        <v>355</v>
      </c>
      <c r="C7975" t="s">
        <v>416</v>
      </c>
      <c r="D7975" t="s">
        <v>745</v>
      </c>
      <c r="E7975" t="s">
        <v>766</v>
      </c>
      <c r="F7975">
        <v>1</v>
      </c>
      <c r="G7975" s="308">
        <f>COMEDORES!E337</f>
        <v>2700</v>
      </c>
      <c r="H7975" s="308">
        <f>COMEDORES!F337</f>
        <v>0</v>
      </c>
    </row>
    <row r="7976" spans="1:8" x14ac:dyDescent="0.3">
      <c r="A7976" t="s">
        <v>628</v>
      </c>
      <c r="B7976" t="s">
        <v>355</v>
      </c>
      <c r="C7976" t="s">
        <v>416</v>
      </c>
      <c r="D7976" t="s">
        <v>745</v>
      </c>
      <c r="E7976" t="s">
        <v>767</v>
      </c>
      <c r="F7976">
        <v>2</v>
      </c>
      <c r="G7976" s="308">
        <f>COMEDORES!G337</f>
        <v>2750</v>
      </c>
      <c r="H7976" s="308">
        <f>COMEDORES!H337</f>
        <v>0</v>
      </c>
    </row>
    <row r="7977" spans="1:8" x14ac:dyDescent="0.3">
      <c r="A7977" t="s">
        <v>628</v>
      </c>
      <c r="B7977" t="s">
        <v>355</v>
      </c>
      <c r="C7977" t="s">
        <v>416</v>
      </c>
      <c r="D7977" t="s">
        <v>745</v>
      </c>
      <c r="E7977" t="s">
        <v>768</v>
      </c>
      <c r="F7977">
        <v>3</v>
      </c>
      <c r="G7977" s="308">
        <f>COMEDORES!I337</f>
        <v>2200</v>
      </c>
      <c r="H7977" s="308">
        <f>COMEDORES!J337</f>
        <v>411068</v>
      </c>
    </row>
    <row r="7978" spans="1:8" x14ac:dyDescent="0.3">
      <c r="A7978" t="s">
        <v>628</v>
      </c>
      <c r="B7978" t="s">
        <v>355</v>
      </c>
      <c r="C7978" t="s">
        <v>416</v>
      </c>
      <c r="D7978" t="s">
        <v>745</v>
      </c>
      <c r="E7978" t="s">
        <v>769</v>
      </c>
      <c r="F7978">
        <v>4</v>
      </c>
      <c r="G7978" s="308">
        <f>COMEDORES!K337</f>
        <v>1900</v>
      </c>
      <c r="H7978" s="308">
        <f>COMEDORES!L337</f>
        <v>210600</v>
      </c>
    </row>
    <row r="7979" spans="1:8" x14ac:dyDescent="0.3">
      <c r="A7979" t="s">
        <v>628</v>
      </c>
      <c r="B7979" t="s">
        <v>355</v>
      </c>
      <c r="C7979" t="s">
        <v>416</v>
      </c>
      <c r="D7979" t="s">
        <v>745</v>
      </c>
      <c r="E7979" t="s">
        <v>770</v>
      </c>
      <c r="F7979">
        <v>5</v>
      </c>
      <c r="G7979" s="308">
        <f>COMEDORES!M337</f>
        <v>2000</v>
      </c>
      <c r="H7979" s="308">
        <f>COMEDORES!N337</f>
        <v>148200</v>
      </c>
    </row>
    <row r="7980" spans="1:8" x14ac:dyDescent="0.3">
      <c r="A7980" t="s">
        <v>628</v>
      </c>
      <c r="B7980" t="s">
        <v>355</v>
      </c>
      <c r="C7980" t="s">
        <v>416</v>
      </c>
      <c r="D7980" t="s">
        <v>745</v>
      </c>
      <c r="E7980" t="s">
        <v>771</v>
      </c>
      <c r="F7980">
        <v>6</v>
      </c>
      <c r="G7980" s="308">
        <f>COMEDORES!O337</f>
        <v>2100</v>
      </c>
      <c r="H7980" s="308">
        <f>COMEDORES!P337</f>
        <v>156000</v>
      </c>
    </row>
    <row r="7981" spans="1:8" x14ac:dyDescent="0.3">
      <c r="A7981" t="s">
        <v>628</v>
      </c>
      <c r="B7981" t="s">
        <v>355</v>
      </c>
      <c r="C7981" t="s">
        <v>416</v>
      </c>
      <c r="D7981" t="s">
        <v>745</v>
      </c>
      <c r="E7981" t="s">
        <v>772</v>
      </c>
      <c r="F7981">
        <v>7</v>
      </c>
      <c r="G7981" s="308">
        <f>COMEDORES!Q337</f>
        <v>2300</v>
      </c>
      <c r="H7981" s="308">
        <f>COMEDORES!R337</f>
        <v>163800</v>
      </c>
    </row>
    <row r="7982" spans="1:8" x14ac:dyDescent="0.3">
      <c r="A7982" t="s">
        <v>628</v>
      </c>
      <c r="B7982" t="s">
        <v>355</v>
      </c>
      <c r="C7982" t="s">
        <v>416</v>
      </c>
      <c r="D7982" t="s">
        <v>746</v>
      </c>
      <c r="E7982" t="s">
        <v>766</v>
      </c>
      <c r="F7982">
        <v>1</v>
      </c>
      <c r="G7982" s="308">
        <f>COMEDORES!E338</f>
        <v>3800</v>
      </c>
      <c r="H7982" s="308">
        <f>COMEDORES!F338</f>
        <v>0</v>
      </c>
    </row>
    <row r="7983" spans="1:8" x14ac:dyDescent="0.3">
      <c r="A7983" t="s">
        <v>628</v>
      </c>
      <c r="B7983" t="s">
        <v>355</v>
      </c>
      <c r="C7983" t="s">
        <v>416</v>
      </c>
      <c r="D7983" t="s">
        <v>746</v>
      </c>
      <c r="E7983" t="s">
        <v>767</v>
      </c>
      <c r="F7983">
        <v>2</v>
      </c>
      <c r="G7983" s="308">
        <f>COMEDORES!G338</f>
        <v>4000</v>
      </c>
      <c r="H7983" s="308">
        <f>COMEDORES!H338</f>
        <v>0</v>
      </c>
    </row>
    <row r="7984" spans="1:8" x14ac:dyDescent="0.3">
      <c r="A7984" t="s">
        <v>628</v>
      </c>
      <c r="B7984" t="s">
        <v>355</v>
      </c>
      <c r="C7984" t="s">
        <v>416</v>
      </c>
      <c r="D7984" t="s">
        <v>746</v>
      </c>
      <c r="E7984" t="s">
        <v>768</v>
      </c>
      <c r="F7984">
        <v>3</v>
      </c>
      <c r="G7984" s="308">
        <f>COMEDORES!I338</f>
        <v>4400</v>
      </c>
      <c r="H7984" s="308">
        <f>COMEDORES!J338</f>
        <v>0</v>
      </c>
    </row>
    <row r="7985" spans="1:8" x14ac:dyDescent="0.3">
      <c r="A7985" t="s">
        <v>628</v>
      </c>
      <c r="B7985" t="s">
        <v>355</v>
      </c>
      <c r="C7985" t="s">
        <v>416</v>
      </c>
      <c r="D7985" t="s">
        <v>746</v>
      </c>
      <c r="E7985" t="s">
        <v>769</v>
      </c>
      <c r="F7985">
        <v>4</v>
      </c>
      <c r="G7985" s="308">
        <f>COMEDORES!K338</f>
        <v>3800</v>
      </c>
      <c r="H7985" s="308">
        <f>COMEDORES!L338</f>
        <v>0</v>
      </c>
    </row>
    <row r="7986" spans="1:8" x14ac:dyDescent="0.3">
      <c r="A7986" t="s">
        <v>628</v>
      </c>
      <c r="B7986" t="s">
        <v>355</v>
      </c>
      <c r="C7986" t="s">
        <v>416</v>
      </c>
      <c r="D7986" t="s">
        <v>746</v>
      </c>
      <c r="E7986" t="s">
        <v>770</v>
      </c>
      <c r="F7986">
        <v>5</v>
      </c>
      <c r="G7986" s="308">
        <f>COMEDORES!M338</f>
        <v>4000</v>
      </c>
      <c r="H7986" s="308">
        <f>COMEDORES!N338</f>
        <v>0</v>
      </c>
    </row>
    <row r="7987" spans="1:8" x14ac:dyDescent="0.3">
      <c r="A7987" t="s">
        <v>628</v>
      </c>
      <c r="B7987" t="s">
        <v>355</v>
      </c>
      <c r="C7987" t="s">
        <v>416</v>
      </c>
      <c r="D7987" t="s">
        <v>746</v>
      </c>
      <c r="E7987" t="s">
        <v>771</v>
      </c>
      <c r="F7987">
        <v>6</v>
      </c>
      <c r="G7987" s="308">
        <f>COMEDORES!O338</f>
        <v>4200</v>
      </c>
      <c r="H7987" s="308">
        <f>COMEDORES!P338</f>
        <v>0</v>
      </c>
    </row>
    <row r="7988" spans="1:8" x14ac:dyDescent="0.3">
      <c r="A7988" t="s">
        <v>628</v>
      </c>
      <c r="B7988" t="s">
        <v>355</v>
      </c>
      <c r="C7988" t="s">
        <v>416</v>
      </c>
      <c r="D7988" t="s">
        <v>746</v>
      </c>
      <c r="E7988" t="s">
        <v>772</v>
      </c>
      <c r="F7988">
        <v>7</v>
      </c>
      <c r="G7988" s="308">
        <f>COMEDORES!Q338</f>
        <v>4600</v>
      </c>
      <c r="H7988" s="308">
        <f>COMEDORES!R338</f>
        <v>0</v>
      </c>
    </row>
    <row r="7989" spans="1:8" x14ac:dyDescent="0.3">
      <c r="A7989" t="s">
        <v>628</v>
      </c>
      <c r="B7989" t="s">
        <v>355</v>
      </c>
      <c r="C7989" t="s">
        <v>354</v>
      </c>
      <c r="D7989" t="s">
        <v>745</v>
      </c>
      <c r="E7989" t="s">
        <v>766</v>
      </c>
      <c r="F7989">
        <v>1</v>
      </c>
      <c r="G7989" s="308">
        <f>COMEDORES!E339</f>
        <v>3600</v>
      </c>
      <c r="H7989" s="308">
        <f>COMEDORES!F339</f>
        <v>0</v>
      </c>
    </row>
    <row r="7990" spans="1:8" x14ac:dyDescent="0.3">
      <c r="A7990" t="s">
        <v>628</v>
      </c>
      <c r="B7990" t="s">
        <v>355</v>
      </c>
      <c r="C7990" t="s">
        <v>354</v>
      </c>
      <c r="D7990" t="s">
        <v>745</v>
      </c>
      <c r="E7990" t="s">
        <v>767</v>
      </c>
      <c r="F7990">
        <v>2</v>
      </c>
      <c r="G7990" s="308">
        <f>COMEDORES!G339</f>
        <v>3500</v>
      </c>
      <c r="H7990" s="308">
        <f>COMEDORES!H339</f>
        <v>0</v>
      </c>
    </row>
    <row r="7991" spans="1:8" x14ac:dyDescent="0.3">
      <c r="A7991" t="s">
        <v>628</v>
      </c>
      <c r="B7991" t="s">
        <v>355</v>
      </c>
      <c r="C7991" t="s">
        <v>354</v>
      </c>
      <c r="D7991" t="s">
        <v>745</v>
      </c>
      <c r="E7991" t="s">
        <v>768</v>
      </c>
      <c r="F7991">
        <v>3</v>
      </c>
      <c r="G7991" s="308">
        <f>COMEDORES!I339</f>
        <v>2200</v>
      </c>
      <c r="H7991" s="308">
        <f>COMEDORES!J339</f>
        <v>527464</v>
      </c>
    </row>
    <row r="7992" spans="1:8" x14ac:dyDescent="0.3">
      <c r="A7992" t="s">
        <v>628</v>
      </c>
      <c r="B7992" t="s">
        <v>355</v>
      </c>
      <c r="C7992" t="s">
        <v>354</v>
      </c>
      <c r="D7992" t="s">
        <v>745</v>
      </c>
      <c r="E7992" t="s">
        <v>769</v>
      </c>
      <c r="F7992">
        <v>4</v>
      </c>
      <c r="G7992" s="308">
        <f>COMEDORES!K339</f>
        <v>1900</v>
      </c>
      <c r="H7992" s="308">
        <f>COMEDORES!L339</f>
        <v>192037.5</v>
      </c>
    </row>
    <row r="7993" spans="1:8" x14ac:dyDescent="0.3">
      <c r="A7993" t="s">
        <v>628</v>
      </c>
      <c r="B7993" t="s">
        <v>355</v>
      </c>
      <c r="C7993" t="s">
        <v>354</v>
      </c>
      <c r="D7993" t="s">
        <v>745</v>
      </c>
      <c r="E7993" t="s">
        <v>770</v>
      </c>
      <c r="F7993">
        <v>5</v>
      </c>
      <c r="G7993" s="308">
        <f>COMEDORES!M339</f>
        <v>2000</v>
      </c>
      <c r="H7993" s="308">
        <f>COMEDORES!N339</f>
        <v>135137.5</v>
      </c>
    </row>
    <row r="7994" spans="1:8" x14ac:dyDescent="0.3">
      <c r="A7994" t="s">
        <v>628</v>
      </c>
      <c r="B7994" t="s">
        <v>355</v>
      </c>
      <c r="C7994" t="s">
        <v>354</v>
      </c>
      <c r="D7994" t="s">
        <v>745</v>
      </c>
      <c r="E7994" t="s">
        <v>771</v>
      </c>
      <c r="F7994">
        <v>6</v>
      </c>
      <c r="G7994" s="308">
        <f>COMEDORES!O339</f>
        <v>2100</v>
      </c>
      <c r="H7994" s="308">
        <f>COMEDORES!P339</f>
        <v>142250</v>
      </c>
    </row>
    <row r="7995" spans="1:8" x14ac:dyDescent="0.3">
      <c r="A7995" t="s">
        <v>628</v>
      </c>
      <c r="B7995" t="s">
        <v>355</v>
      </c>
      <c r="C7995" t="s">
        <v>354</v>
      </c>
      <c r="D7995" t="s">
        <v>745</v>
      </c>
      <c r="E7995" t="s">
        <v>772</v>
      </c>
      <c r="F7995">
        <v>7</v>
      </c>
      <c r="G7995" s="308">
        <f>COMEDORES!Q339</f>
        <v>2300</v>
      </c>
      <c r="H7995" s="308">
        <f>COMEDORES!R339</f>
        <v>149362.5</v>
      </c>
    </row>
    <row r="7996" spans="1:8" x14ac:dyDescent="0.3">
      <c r="A7996" t="s">
        <v>628</v>
      </c>
      <c r="B7996" t="s">
        <v>355</v>
      </c>
      <c r="C7996" t="s">
        <v>354</v>
      </c>
      <c r="D7996" t="s">
        <v>746</v>
      </c>
      <c r="E7996" t="s">
        <v>766</v>
      </c>
      <c r="F7996">
        <v>1</v>
      </c>
      <c r="G7996" s="308">
        <f>COMEDORES!E340</f>
        <v>4750</v>
      </c>
      <c r="H7996" s="308">
        <f>COMEDORES!F340</f>
        <v>0</v>
      </c>
    </row>
    <row r="7997" spans="1:8" x14ac:dyDescent="0.3">
      <c r="A7997" t="s">
        <v>628</v>
      </c>
      <c r="B7997" t="s">
        <v>355</v>
      </c>
      <c r="C7997" t="s">
        <v>354</v>
      </c>
      <c r="D7997" t="s">
        <v>746</v>
      </c>
      <c r="E7997" t="s">
        <v>767</v>
      </c>
      <c r="F7997">
        <v>2</v>
      </c>
      <c r="G7997" s="308">
        <f>COMEDORES!G340</f>
        <v>4625</v>
      </c>
      <c r="H7997" s="308">
        <f>COMEDORES!H340</f>
        <v>0</v>
      </c>
    </row>
    <row r="7998" spans="1:8" x14ac:dyDescent="0.3">
      <c r="A7998" t="s">
        <v>628</v>
      </c>
      <c r="B7998" t="s">
        <v>355</v>
      </c>
      <c r="C7998" t="s">
        <v>354</v>
      </c>
      <c r="D7998" t="s">
        <v>746</v>
      </c>
      <c r="E7998" t="s">
        <v>768</v>
      </c>
      <c r="F7998">
        <v>3</v>
      </c>
      <c r="G7998" s="308">
        <f>COMEDORES!I340</f>
        <v>3850</v>
      </c>
      <c r="H7998" s="308">
        <f>COMEDORES!J340</f>
        <v>0</v>
      </c>
    </row>
    <row r="7999" spans="1:8" x14ac:dyDescent="0.3">
      <c r="A7999" t="s">
        <v>628</v>
      </c>
      <c r="B7999" t="s">
        <v>355</v>
      </c>
      <c r="C7999" t="s">
        <v>354</v>
      </c>
      <c r="D7999" t="s">
        <v>746</v>
      </c>
      <c r="E7999" t="s">
        <v>769</v>
      </c>
      <c r="F7999">
        <v>4</v>
      </c>
      <c r="G7999" s="308">
        <f>COMEDORES!K340</f>
        <v>3325</v>
      </c>
      <c r="H7999" s="308">
        <f>COMEDORES!L340</f>
        <v>0</v>
      </c>
    </row>
    <row r="8000" spans="1:8" x14ac:dyDescent="0.3">
      <c r="A8000" t="s">
        <v>628</v>
      </c>
      <c r="B8000" t="s">
        <v>355</v>
      </c>
      <c r="C8000" t="s">
        <v>354</v>
      </c>
      <c r="D8000" t="s">
        <v>746</v>
      </c>
      <c r="E8000" t="s">
        <v>770</v>
      </c>
      <c r="F8000">
        <v>5</v>
      </c>
      <c r="G8000" s="308">
        <f>COMEDORES!M340</f>
        <v>3500</v>
      </c>
      <c r="H8000" s="308">
        <f>COMEDORES!N340</f>
        <v>0</v>
      </c>
    </row>
    <row r="8001" spans="1:8" x14ac:dyDescent="0.3">
      <c r="A8001" t="s">
        <v>628</v>
      </c>
      <c r="B8001" t="s">
        <v>355</v>
      </c>
      <c r="C8001" t="s">
        <v>354</v>
      </c>
      <c r="D8001" t="s">
        <v>746</v>
      </c>
      <c r="E8001" t="s">
        <v>771</v>
      </c>
      <c r="F8001">
        <v>6</v>
      </c>
      <c r="G8001" s="308">
        <f>COMEDORES!O340</f>
        <v>3675</v>
      </c>
      <c r="H8001" s="308">
        <f>COMEDORES!P340</f>
        <v>0</v>
      </c>
    </row>
    <row r="8002" spans="1:8" x14ac:dyDescent="0.3">
      <c r="A8002" t="s">
        <v>628</v>
      </c>
      <c r="B8002" t="s">
        <v>355</v>
      </c>
      <c r="C8002" t="s">
        <v>354</v>
      </c>
      <c r="D8002" t="s">
        <v>746</v>
      </c>
      <c r="E8002" t="s">
        <v>772</v>
      </c>
      <c r="F8002">
        <v>7</v>
      </c>
      <c r="G8002" s="308">
        <f>COMEDORES!Q340</f>
        <v>4025</v>
      </c>
      <c r="H8002" s="308">
        <f>COMEDORES!R340</f>
        <v>0</v>
      </c>
    </row>
    <row r="8003" spans="1:8" x14ac:dyDescent="0.3">
      <c r="A8003" t="s">
        <v>628</v>
      </c>
      <c r="B8003" t="s">
        <v>355</v>
      </c>
      <c r="C8003" t="s">
        <v>347</v>
      </c>
      <c r="D8003" t="s">
        <v>745</v>
      </c>
      <c r="E8003" t="s">
        <v>766</v>
      </c>
      <c r="F8003">
        <v>1</v>
      </c>
      <c r="G8003" s="308">
        <f>COMEDORES!E341</f>
        <v>2700</v>
      </c>
      <c r="H8003" s="308">
        <f>COMEDORES!F341</f>
        <v>0</v>
      </c>
    </row>
    <row r="8004" spans="1:8" x14ac:dyDescent="0.3">
      <c r="A8004" t="s">
        <v>628</v>
      </c>
      <c r="B8004" t="s">
        <v>355</v>
      </c>
      <c r="C8004" t="s">
        <v>347</v>
      </c>
      <c r="D8004" t="s">
        <v>745</v>
      </c>
      <c r="E8004" t="s">
        <v>767</v>
      </c>
      <c r="F8004">
        <v>2</v>
      </c>
      <c r="G8004" s="308">
        <f>COMEDORES!G341</f>
        <v>2750</v>
      </c>
      <c r="H8004" s="308">
        <f>COMEDORES!H341</f>
        <v>0</v>
      </c>
    </row>
    <row r="8005" spans="1:8" x14ac:dyDescent="0.3">
      <c r="A8005" t="s">
        <v>628</v>
      </c>
      <c r="B8005" t="s">
        <v>355</v>
      </c>
      <c r="C8005" t="s">
        <v>347</v>
      </c>
      <c r="D8005" t="s">
        <v>745</v>
      </c>
      <c r="E8005" t="s">
        <v>768</v>
      </c>
      <c r="F8005">
        <v>3</v>
      </c>
      <c r="G8005" s="308">
        <f>COMEDORES!I341</f>
        <v>2200</v>
      </c>
      <c r="H8005" s="308">
        <f>COMEDORES!J341</f>
        <v>472948</v>
      </c>
    </row>
    <row r="8006" spans="1:8" x14ac:dyDescent="0.3">
      <c r="A8006" t="s">
        <v>628</v>
      </c>
      <c r="B8006" t="s">
        <v>355</v>
      </c>
      <c r="C8006" t="s">
        <v>347</v>
      </c>
      <c r="D8006" t="s">
        <v>745</v>
      </c>
      <c r="E8006" t="s">
        <v>769</v>
      </c>
      <c r="F8006">
        <v>4</v>
      </c>
      <c r="G8006" s="308">
        <f>COMEDORES!K341</f>
        <v>1900</v>
      </c>
      <c r="H8006" s="308">
        <f>COMEDORES!L341</f>
        <v>205200</v>
      </c>
    </row>
    <row r="8007" spans="1:8" x14ac:dyDescent="0.3">
      <c r="A8007" t="s">
        <v>628</v>
      </c>
      <c r="B8007" t="s">
        <v>355</v>
      </c>
      <c r="C8007" t="s">
        <v>347</v>
      </c>
      <c r="D8007" t="s">
        <v>745</v>
      </c>
      <c r="E8007" t="s">
        <v>770</v>
      </c>
      <c r="F8007">
        <v>5</v>
      </c>
      <c r="G8007" s="308">
        <f>COMEDORES!M341</f>
        <v>2000</v>
      </c>
      <c r="H8007" s="308">
        <f>COMEDORES!N341</f>
        <v>144400</v>
      </c>
    </row>
    <row r="8008" spans="1:8" x14ac:dyDescent="0.3">
      <c r="A8008" t="s">
        <v>628</v>
      </c>
      <c r="B8008" t="s">
        <v>355</v>
      </c>
      <c r="C8008" t="s">
        <v>347</v>
      </c>
      <c r="D8008" t="s">
        <v>745</v>
      </c>
      <c r="E8008" t="s">
        <v>771</v>
      </c>
      <c r="F8008">
        <v>6</v>
      </c>
      <c r="G8008" s="308">
        <f>COMEDORES!O341</f>
        <v>2100</v>
      </c>
      <c r="H8008" s="308">
        <f>COMEDORES!P341</f>
        <v>152000</v>
      </c>
    </row>
    <row r="8009" spans="1:8" x14ac:dyDescent="0.3">
      <c r="A8009" t="s">
        <v>628</v>
      </c>
      <c r="B8009" t="s">
        <v>355</v>
      </c>
      <c r="C8009" t="s">
        <v>347</v>
      </c>
      <c r="D8009" t="s">
        <v>745</v>
      </c>
      <c r="E8009" t="s">
        <v>772</v>
      </c>
      <c r="F8009">
        <v>7</v>
      </c>
      <c r="G8009" s="308">
        <f>COMEDORES!Q341</f>
        <v>2300</v>
      </c>
      <c r="H8009" s="308">
        <f>COMEDORES!R341</f>
        <v>159600</v>
      </c>
    </row>
    <row r="8010" spans="1:8" x14ac:dyDescent="0.3">
      <c r="A8010" t="s">
        <v>628</v>
      </c>
      <c r="B8010" t="s">
        <v>355</v>
      </c>
      <c r="C8010" t="s">
        <v>347</v>
      </c>
      <c r="D8010" t="s">
        <v>746</v>
      </c>
      <c r="E8010" t="s">
        <v>766</v>
      </c>
      <c r="F8010">
        <v>1</v>
      </c>
      <c r="G8010" s="308">
        <f>COMEDORES!E342</f>
        <v>4750</v>
      </c>
      <c r="H8010" s="308">
        <f>COMEDORES!F342</f>
        <v>0</v>
      </c>
    </row>
    <row r="8011" spans="1:8" x14ac:dyDescent="0.3">
      <c r="A8011" t="s">
        <v>628</v>
      </c>
      <c r="B8011" t="s">
        <v>355</v>
      </c>
      <c r="C8011" t="s">
        <v>347</v>
      </c>
      <c r="D8011" t="s">
        <v>746</v>
      </c>
      <c r="E8011" t="s">
        <v>767</v>
      </c>
      <c r="F8011">
        <v>2</v>
      </c>
      <c r="G8011" s="308">
        <f>COMEDORES!G342</f>
        <v>4750</v>
      </c>
      <c r="H8011" s="308">
        <f>COMEDORES!H342</f>
        <v>0</v>
      </c>
    </row>
    <row r="8012" spans="1:8" x14ac:dyDescent="0.3">
      <c r="A8012" t="s">
        <v>628</v>
      </c>
      <c r="B8012" t="s">
        <v>355</v>
      </c>
      <c r="C8012" t="s">
        <v>347</v>
      </c>
      <c r="D8012" t="s">
        <v>746</v>
      </c>
      <c r="E8012" t="s">
        <v>768</v>
      </c>
      <c r="F8012">
        <v>3</v>
      </c>
      <c r="G8012" s="308">
        <f>COMEDORES!I342</f>
        <v>4400</v>
      </c>
      <c r="H8012" s="308">
        <f>COMEDORES!J342</f>
        <v>0</v>
      </c>
    </row>
    <row r="8013" spans="1:8" x14ac:dyDescent="0.3">
      <c r="A8013" t="s">
        <v>628</v>
      </c>
      <c r="B8013" t="s">
        <v>355</v>
      </c>
      <c r="C8013" t="s">
        <v>347</v>
      </c>
      <c r="D8013" t="s">
        <v>746</v>
      </c>
      <c r="E8013" t="s">
        <v>769</v>
      </c>
      <c r="F8013">
        <v>4</v>
      </c>
      <c r="G8013" s="308">
        <f>COMEDORES!K342</f>
        <v>3800</v>
      </c>
      <c r="H8013" s="308">
        <f>COMEDORES!L342</f>
        <v>0</v>
      </c>
    </row>
    <row r="8014" spans="1:8" x14ac:dyDescent="0.3">
      <c r="A8014" t="s">
        <v>628</v>
      </c>
      <c r="B8014" t="s">
        <v>355</v>
      </c>
      <c r="C8014" t="s">
        <v>347</v>
      </c>
      <c r="D8014" t="s">
        <v>746</v>
      </c>
      <c r="E8014" t="s">
        <v>770</v>
      </c>
      <c r="F8014">
        <v>5</v>
      </c>
      <c r="G8014" s="308">
        <f>COMEDORES!M342</f>
        <v>4000</v>
      </c>
      <c r="H8014" s="308">
        <f>COMEDORES!N342</f>
        <v>0</v>
      </c>
    </row>
    <row r="8015" spans="1:8" x14ac:dyDescent="0.3">
      <c r="A8015" t="s">
        <v>628</v>
      </c>
      <c r="B8015" t="s">
        <v>355</v>
      </c>
      <c r="C8015" t="s">
        <v>347</v>
      </c>
      <c r="D8015" t="s">
        <v>746</v>
      </c>
      <c r="E8015" t="s">
        <v>771</v>
      </c>
      <c r="F8015">
        <v>6</v>
      </c>
      <c r="G8015" s="308">
        <f>COMEDORES!O342</f>
        <v>4200</v>
      </c>
      <c r="H8015" s="308">
        <f>COMEDORES!P342</f>
        <v>0</v>
      </c>
    </row>
    <row r="8016" spans="1:8" x14ac:dyDescent="0.3">
      <c r="A8016" t="s">
        <v>628</v>
      </c>
      <c r="B8016" t="s">
        <v>355</v>
      </c>
      <c r="C8016" t="s">
        <v>347</v>
      </c>
      <c r="D8016" t="s">
        <v>746</v>
      </c>
      <c r="E8016" t="s">
        <v>772</v>
      </c>
      <c r="F8016">
        <v>7</v>
      </c>
      <c r="G8016" s="308">
        <f>COMEDORES!Q342</f>
        <v>4600</v>
      </c>
      <c r="H8016" s="308">
        <f>COMEDORES!R342</f>
        <v>0</v>
      </c>
    </row>
    <row r="8017" spans="1:8" x14ac:dyDescent="0.3">
      <c r="A8017" t="s">
        <v>628</v>
      </c>
      <c r="B8017" t="s">
        <v>356</v>
      </c>
      <c r="C8017" t="s">
        <v>357</v>
      </c>
      <c r="D8017" t="s">
        <v>745</v>
      </c>
      <c r="E8017" t="s">
        <v>766</v>
      </c>
      <c r="F8017">
        <v>1</v>
      </c>
      <c r="G8017" s="308">
        <f>COMEDORES!E343</f>
        <v>1800</v>
      </c>
      <c r="H8017" s="308">
        <f>COMEDORES!F343</f>
        <v>0</v>
      </c>
    </row>
    <row r="8018" spans="1:8" x14ac:dyDescent="0.3">
      <c r="A8018" t="s">
        <v>628</v>
      </c>
      <c r="B8018" t="s">
        <v>356</v>
      </c>
      <c r="C8018" t="s">
        <v>357</v>
      </c>
      <c r="D8018" t="s">
        <v>745</v>
      </c>
      <c r="E8018" t="s">
        <v>767</v>
      </c>
      <c r="F8018">
        <v>2</v>
      </c>
      <c r="G8018" s="308">
        <f>COMEDORES!G343</f>
        <v>1785</v>
      </c>
      <c r="H8018" s="308">
        <f>COMEDORES!H343</f>
        <v>0</v>
      </c>
    </row>
    <row r="8019" spans="1:8" x14ac:dyDescent="0.3">
      <c r="A8019" t="s">
        <v>628</v>
      </c>
      <c r="B8019" t="s">
        <v>356</v>
      </c>
      <c r="C8019" t="s">
        <v>357</v>
      </c>
      <c r="D8019" t="s">
        <v>745</v>
      </c>
      <c r="E8019" t="s">
        <v>768</v>
      </c>
      <c r="F8019">
        <v>3</v>
      </c>
      <c r="G8019" s="308">
        <f>COMEDORES!I343</f>
        <v>1650</v>
      </c>
      <c r="H8019" s="308">
        <f>COMEDORES!J343</f>
        <v>356491.25</v>
      </c>
    </row>
    <row r="8020" spans="1:8" x14ac:dyDescent="0.3">
      <c r="A8020" t="s">
        <v>628</v>
      </c>
      <c r="B8020" t="s">
        <v>356</v>
      </c>
      <c r="C8020" t="s">
        <v>357</v>
      </c>
      <c r="D8020" t="s">
        <v>745</v>
      </c>
      <c r="E8020" t="s">
        <v>769</v>
      </c>
      <c r="F8020">
        <v>4</v>
      </c>
      <c r="G8020" s="308">
        <f>COMEDORES!K343</f>
        <v>1410</v>
      </c>
      <c r="H8020" s="308">
        <f>COMEDORES!L343</f>
        <v>176593.34999999998</v>
      </c>
    </row>
    <row r="8021" spans="1:8" x14ac:dyDescent="0.3">
      <c r="A8021" t="s">
        <v>628</v>
      </c>
      <c r="B8021" t="s">
        <v>356</v>
      </c>
      <c r="C8021" t="s">
        <v>357</v>
      </c>
      <c r="D8021" t="s">
        <v>745</v>
      </c>
      <c r="E8021" t="s">
        <v>770</v>
      </c>
      <c r="F8021">
        <v>5</v>
      </c>
      <c r="G8021" s="308">
        <f>COMEDORES!M343</f>
        <v>1465</v>
      </c>
      <c r="H8021" s="308">
        <f>COMEDORES!N343</f>
        <v>143168.9</v>
      </c>
    </row>
    <row r="8022" spans="1:8" x14ac:dyDescent="0.3">
      <c r="A8022" t="s">
        <v>628</v>
      </c>
      <c r="B8022" t="s">
        <v>356</v>
      </c>
      <c r="C8022" t="s">
        <v>357</v>
      </c>
      <c r="D8022" t="s">
        <v>745</v>
      </c>
      <c r="E8022" t="s">
        <v>771</v>
      </c>
      <c r="F8022">
        <v>6</v>
      </c>
      <c r="G8022" s="308">
        <f>COMEDORES!O343</f>
        <v>1568</v>
      </c>
      <c r="H8022" s="308">
        <f>COMEDORES!P343</f>
        <v>154155.80000000005</v>
      </c>
    </row>
    <row r="8023" spans="1:8" x14ac:dyDescent="0.3">
      <c r="A8023" t="s">
        <v>628</v>
      </c>
      <c r="B8023" t="s">
        <v>356</v>
      </c>
      <c r="C8023" t="s">
        <v>357</v>
      </c>
      <c r="D8023" t="s">
        <v>745</v>
      </c>
      <c r="E8023" t="s">
        <v>772</v>
      </c>
      <c r="F8023">
        <v>7</v>
      </c>
      <c r="G8023" s="308">
        <f>COMEDORES!Q343</f>
        <v>1708</v>
      </c>
      <c r="H8023" s="308">
        <f>COMEDORES!R343</f>
        <v>167436.01</v>
      </c>
    </row>
    <row r="8024" spans="1:8" x14ac:dyDescent="0.3">
      <c r="A8024" t="s">
        <v>628</v>
      </c>
      <c r="B8024" t="s">
        <v>356</v>
      </c>
      <c r="C8024" t="s">
        <v>357</v>
      </c>
      <c r="D8024" t="s">
        <v>746</v>
      </c>
      <c r="E8024" t="s">
        <v>766</v>
      </c>
      <c r="F8024">
        <v>1</v>
      </c>
      <c r="G8024" s="308">
        <f>COMEDORES!E344</f>
        <v>3555</v>
      </c>
      <c r="H8024" s="308">
        <f>COMEDORES!F344</f>
        <v>0</v>
      </c>
    </row>
    <row r="8025" spans="1:8" x14ac:dyDescent="0.3">
      <c r="A8025" t="s">
        <v>628</v>
      </c>
      <c r="B8025" t="s">
        <v>356</v>
      </c>
      <c r="C8025" t="s">
        <v>357</v>
      </c>
      <c r="D8025" t="s">
        <v>746</v>
      </c>
      <c r="E8025" t="s">
        <v>767</v>
      </c>
      <c r="F8025">
        <v>2</v>
      </c>
      <c r="G8025" s="308">
        <f>COMEDORES!G344</f>
        <v>3539</v>
      </c>
      <c r="H8025" s="308">
        <f>COMEDORES!H344</f>
        <v>0</v>
      </c>
    </row>
    <row r="8026" spans="1:8" x14ac:dyDescent="0.3">
      <c r="A8026" t="s">
        <v>628</v>
      </c>
      <c r="B8026" t="s">
        <v>356</v>
      </c>
      <c r="C8026" t="s">
        <v>357</v>
      </c>
      <c r="D8026" t="s">
        <v>746</v>
      </c>
      <c r="E8026" t="s">
        <v>768</v>
      </c>
      <c r="F8026">
        <v>3</v>
      </c>
      <c r="G8026" s="308">
        <f>COMEDORES!I344</f>
        <v>3850</v>
      </c>
      <c r="H8026" s="308">
        <f>COMEDORES!J344</f>
        <v>0</v>
      </c>
    </row>
    <row r="8027" spans="1:8" x14ac:dyDescent="0.3">
      <c r="A8027" t="s">
        <v>628</v>
      </c>
      <c r="B8027" t="s">
        <v>356</v>
      </c>
      <c r="C8027" t="s">
        <v>357</v>
      </c>
      <c r="D8027" t="s">
        <v>746</v>
      </c>
      <c r="E8027" t="s">
        <v>769</v>
      </c>
      <c r="F8027">
        <v>4</v>
      </c>
      <c r="G8027" s="308">
        <f>COMEDORES!K344</f>
        <v>2876</v>
      </c>
      <c r="H8027" s="308">
        <f>COMEDORES!L344</f>
        <v>0</v>
      </c>
    </row>
    <row r="8028" spans="1:8" x14ac:dyDescent="0.3">
      <c r="A8028" t="s">
        <v>628</v>
      </c>
      <c r="B8028" t="s">
        <v>356</v>
      </c>
      <c r="C8028" t="s">
        <v>357</v>
      </c>
      <c r="D8028" t="s">
        <v>746</v>
      </c>
      <c r="E8028" t="s">
        <v>770</v>
      </c>
      <c r="F8028">
        <v>5</v>
      </c>
      <c r="G8028" s="308">
        <f>COMEDORES!M344</f>
        <v>3145</v>
      </c>
      <c r="H8028" s="308">
        <f>COMEDORES!N344</f>
        <v>0</v>
      </c>
    </row>
    <row r="8029" spans="1:8" x14ac:dyDescent="0.3">
      <c r="A8029" t="s">
        <v>628</v>
      </c>
      <c r="B8029" t="s">
        <v>356</v>
      </c>
      <c r="C8029" t="s">
        <v>357</v>
      </c>
      <c r="D8029" t="s">
        <v>746</v>
      </c>
      <c r="E8029" t="s">
        <v>771</v>
      </c>
      <c r="F8029">
        <v>6</v>
      </c>
      <c r="G8029" s="308">
        <f>COMEDORES!O344</f>
        <v>3437</v>
      </c>
      <c r="H8029" s="308">
        <f>COMEDORES!P344</f>
        <v>0</v>
      </c>
    </row>
    <row r="8030" spans="1:8" x14ac:dyDescent="0.3">
      <c r="A8030" t="s">
        <v>628</v>
      </c>
      <c r="B8030" t="s">
        <v>356</v>
      </c>
      <c r="C8030" t="s">
        <v>357</v>
      </c>
      <c r="D8030" t="s">
        <v>746</v>
      </c>
      <c r="E8030" t="s">
        <v>772</v>
      </c>
      <c r="F8030">
        <v>7</v>
      </c>
      <c r="G8030" s="308">
        <f>COMEDORES!Q344</f>
        <v>3657</v>
      </c>
      <c r="H8030" s="308">
        <f>COMEDORES!R344</f>
        <v>0</v>
      </c>
    </row>
    <row r="8031" spans="1:8" x14ac:dyDescent="0.3">
      <c r="A8031" t="s">
        <v>628</v>
      </c>
      <c r="B8031" t="s">
        <v>356</v>
      </c>
      <c r="C8031" t="s">
        <v>359</v>
      </c>
      <c r="D8031" t="s">
        <v>745</v>
      </c>
      <c r="E8031" t="s">
        <v>766</v>
      </c>
      <c r="F8031">
        <v>1</v>
      </c>
      <c r="G8031" s="308">
        <f>COMEDORES!E345</f>
        <v>1800</v>
      </c>
      <c r="H8031" s="308">
        <f>COMEDORES!F345</f>
        <v>0</v>
      </c>
    </row>
    <row r="8032" spans="1:8" x14ac:dyDescent="0.3">
      <c r="A8032" t="s">
        <v>628</v>
      </c>
      <c r="B8032" t="s">
        <v>356</v>
      </c>
      <c r="C8032" t="s">
        <v>359</v>
      </c>
      <c r="D8032" t="s">
        <v>745</v>
      </c>
      <c r="E8032" t="s">
        <v>767</v>
      </c>
      <c r="F8032">
        <v>2</v>
      </c>
      <c r="G8032" s="308">
        <f>COMEDORES!G345</f>
        <v>1900</v>
      </c>
      <c r="H8032" s="308">
        <f>COMEDORES!H345</f>
        <v>0</v>
      </c>
    </row>
    <row r="8033" spans="1:8" x14ac:dyDescent="0.3">
      <c r="A8033" t="s">
        <v>628</v>
      </c>
      <c r="B8033" t="s">
        <v>356</v>
      </c>
      <c r="C8033" t="s">
        <v>359</v>
      </c>
      <c r="D8033" t="s">
        <v>745</v>
      </c>
      <c r="E8033" t="s">
        <v>768</v>
      </c>
      <c r="F8033">
        <v>3</v>
      </c>
      <c r="G8033" s="308">
        <f>COMEDORES!I345</f>
        <v>1980</v>
      </c>
      <c r="H8033" s="308">
        <f>COMEDORES!J345</f>
        <v>359191.6</v>
      </c>
    </row>
    <row r="8034" spans="1:8" x14ac:dyDescent="0.3">
      <c r="A8034" t="s">
        <v>628</v>
      </c>
      <c r="B8034" t="s">
        <v>356</v>
      </c>
      <c r="C8034" t="s">
        <v>359</v>
      </c>
      <c r="D8034" t="s">
        <v>745</v>
      </c>
      <c r="E8034" t="s">
        <v>769</v>
      </c>
      <c r="F8034">
        <v>4</v>
      </c>
      <c r="G8034" s="308">
        <f>COMEDORES!K345</f>
        <v>1677</v>
      </c>
      <c r="H8034" s="308">
        <f>COMEDORES!L345</f>
        <v>155763.29000000004</v>
      </c>
    </row>
    <row r="8035" spans="1:8" x14ac:dyDescent="0.3">
      <c r="A8035" t="s">
        <v>628</v>
      </c>
      <c r="B8035" t="s">
        <v>356</v>
      </c>
      <c r="C8035" t="s">
        <v>359</v>
      </c>
      <c r="D8035" t="s">
        <v>745</v>
      </c>
      <c r="E8035" t="s">
        <v>770</v>
      </c>
      <c r="F8035">
        <v>5</v>
      </c>
      <c r="G8035" s="308">
        <f>COMEDORES!M345</f>
        <v>1708</v>
      </c>
      <c r="H8035" s="308">
        <f>COMEDORES!N345</f>
        <v>138805.94</v>
      </c>
    </row>
    <row r="8036" spans="1:8" x14ac:dyDescent="0.3">
      <c r="A8036" t="s">
        <v>628</v>
      </c>
      <c r="B8036" t="s">
        <v>356</v>
      </c>
      <c r="C8036" t="s">
        <v>359</v>
      </c>
      <c r="D8036" t="s">
        <v>745</v>
      </c>
      <c r="E8036" t="s">
        <v>771</v>
      </c>
      <c r="F8036">
        <v>6</v>
      </c>
      <c r="G8036" s="308">
        <f>COMEDORES!O345</f>
        <v>1759</v>
      </c>
      <c r="H8036" s="308">
        <f>COMEDORES!P345</f>
        <v>148560.06000000006</v>
      </c>
    </row>
    <row r="8037" spans="1:8" x14ac:dyDescent="0.3">
      <c r="A8037" t="s">
        <v>628</v>
      </c>
      <c r="B8037" t="s">
        <v>356</v>
      </c>
      <c r="C8037" t="s">
        <v>359</v>
      </c>
      <c r="D8037" t="s">
        <v>745</v>
      </c>
      <c r="E8037" t="s">
        <v>772</v>
      </c>
      <c r="F8037">
        <v>7</v>
      </c>
      <c r="G8037" s="308">
        <f>COMEDORES!Q345</f>
        <v>2010</v>
      </c>
      <c r="H8037" s="308">
        <f>COMEDORES!R345</f>
        <v>155115.62999999989</v>
      </c>
    </row>
    <row r="8038" spans="1:8" x14ac:dyDescent="0.3">
      <c r="A8038" t="s">
        <v>628</v>
      </c>
      <c r="B8038" t="s">
        <v>356</v>
      </c>
      <c r="C8038" t="s">
        <v>359</v>
      </c>
      <c r="D8038" t="s">
        <v>746</v>
      </c>
      <c r="E8038" t="s">
        <v>766</v>
      </c>
      <c r="F8038">
        <v>1</v>
      </c>
      <c r="G8038" s="308">
        <f>COMEDORES!E346</f>
        <v>3605</v>
      </c>
      <c r="H8038" s="308">
        <f>COMEDORES!F346</f>
        <v>0</v>
      </c>
    </row>
    <row r="8039" spans="1:8" x14ac:dyDescent="0.3">
      <c r="A8039" t="s">
        <v>628</v>
      </c>
      <c r="B8039" t="s">
        <v>356</v>
      </c>
      <c r="C8039" t="s">
        <v>359</v>
      </c>
      <c r="D8039" t="s">
        <v>746</v>
      </c>
      <c r="E8039" t="s">
        <v>767</v>
      </c>
      <c r="F8039">
        <v>2</v>
      </c>
      <c r="G8039" s="308">
        <f>COMEDORES!G346</f>
        <v>3500</v>
      </c>
      <c r="H8039" s="308">
        <f>COMEDORES!H346</f>
        <v>0</v>
      </c>
    </row>
    <row r="8040" spans="1:8" x14ac:dyDescent="0.3">
      <c r="A8040" t="s">
        <v>628</v>
      </c>
      <c r="B8040" t="s">
        <v>356</v>
      </c>
      <c r="C8040" t="s">
        <v>359</v>
      </c>
      <c r="D8040" t="s">
        <v>746</v>
      </c>
      <c r="E8040" t="s">
        <v>768</v>
      </c>
      <c r="F8040">
        <v>3</v>
      </c>
      <c r="G8040" s="308">
        <f>COMEDORES!I346</f>
        <v>3300</v>
      </c>
      <c r="H8040" s="308">
        <f>COMEDORES!J346</f>
        <v>0</v>
      </c>
    </row>
    <row r="8041" spans="1:8" x14ac:dyDescent="0.3">
      <c r="A8041" t="s">
        <v>628</v>
      </c>
      <c r="B8041" t="s">
        <v>356</v>
      </c>
      <c r="C8041" t="s">
        <v>359</v>
      </c>
      <c r="D8041" t="s">
        <v>746</v>
      </c>
      <c r="E8041" t="s">
        <v>769</v>
      </c>
      <c r="F8041">
        <v>4</v>
      </c>
      <c r="G8041" s="308">
        <f>COMEDORES!K346</f>
        <v>2573</v>
      </c>
      <c r="H8041" s="308">
        <f>COMEDORES!L346</f>
        <v>0</v>
      </c>
    </row>
    <row r="8042" spans="1:8" x14ac:dyDescent="0.3">
      <c r="A8042" t="s">
        <v>628</v>
      </c>
      <c r="B8042" t="s">
        <v>356</v>
      </c>
      <c r="C8042" t="s">
        <v>359</v>
      </c>
      <c r="D8042" t="s">
        <v>746</v>
      </c>
      <c r="E8042" t="s">
        <v>770</v>
      </c>
      <c r="F8042">
        <v>5</v>
      </c>
      <c r="G8042" s="308">
        <f>COMEDORES!M346</f>
        <v>2762</v>
      </c>
      <c r="H8042" s="308">
        <f>COMEDORES!N346</f>
        <v>0</v>
      </c>
    </row>
    <row r="8043" spans="1:8" x14ac:dyDescent="0.3">
      <c r="A8043" t="s">
        <v>628</v>
      </c>
      <c r="B8043" t="s">
        <v>356</v>
      </c>
      <c r="C8043" t="s">
        <v>359</v>
      </c>
      <c r="D8043" t="s">
        <v>746</v>
      </c>
      <c r="E8043" t="s">
        <v>771</v>
      </c>
      <c r="F8043">
        <v>6</v>
      </c>
      <c r="G8043" s="308">
        <f>COMEDORES!O346</f>
        <v>2906</v>
      </c>
      <c r="H8043" s="308">
        <f>COMEDORES!P346</f>
        <v>0</v>
      </c>
    </row>
    <row r="8044" spans="1:8" x14ac:dyDescent="0.3">
      <c r="A8044" t="s">
        <v>628</v>
      </c>
      <c r="B8044" t="s">
        <v>356</v>
      </c>
      <c r="C8044" t="s">
        <v>359</v>
      </c>
      <c r="D8044" t="s">
        <v>746</v>
      </c>
      <c r="E8044" t="s">
        <v>772</v>
      </c>
      <c r="F8044">
        <v>7</v>
      </c>
      <c r="G8044" s="308">
        <f>COMEDORES!Q346</f>
        <v>3146</v>
      </c>
      <c r="H8044" s="308">
        <f>COMEDORES!R346</f>
        <v>0</v>
      </c>
    </row>
    <row r="8045" spans="1:8" x14ac:dyDescent="0.3">
      <c r="A8045" t="s">
        <v>628</v>
      </c>
      <c r="B8045" t="s">
        <v>356</v>
      </c>
      <c r="C8045" t="s">
        <v>360</v>
      </c>
      <c r="D8045" t="s">
        <v>745</v>
      </c>
      <c r="E8045" t="s">
        <v>766</v>
      </c>
      <c r="F8045">
        <v>1</v>
      </c>
      <c r="G8045" s="308">
        <f>COMEDORES!E347</f>
        <v>1800</v>
      </c>
      <c r="H8045" s="308">
        <f>COMEDORES!F347</f>
        <v>0</v>
      </c>
    </row>
    <row r="8046" spans="1:8" x14ac:dyDescent="0.3">
      <c r="A8046" t="s">
        <v>628</v>
      </c>
      <c r="B8046" t="s">
        <v>356</v>
      </c>
      <c r="C8046" t="s">
        <v>360</v>
      </c>
      <c r="D8046" t="s">
        <v>745</v>
      </c>
      <c r="E8046" t="s">
        <v>767</v>
      </c>
      <c r="F8046">
        <v>2</v>
      </c>
      <c r="G8046" s="308">
        <f>COMEDORES!G347</f>
        <v>1560</v>
      </c>
      <c r="H8046" s="308">
        <f>COMEDORES!H347</f>
        <v>0</v>
      </c>
    </row>
    <row r="8047" spans="1:8" x14ac:dyDescent="0.3">
      <c r="A8047" t="s">
        <v>628</v>
      </c>
      <c r="B8047" t="s">
        <v>356</v>
      </c>
      <c r="C8047" t="s">
        <v>360</v>
      </c>
      <c r="D8047" t="s">
        <v>745</v>
      </c>
      <c r="E8047" t="s">
        <v>768</v>
      </c>
      <c r="F8047">
        <v>3</v>
      </c>
      <c r="G8047" s="308">
        <f>COMEDORES!I347</f>
        <v>1760</v>
      </c>
      <c r="H8047" s="308">
        <f>COMEDORES!J347</f>
        <v>298946.5</v>
      </c>
    </row>
    <row r="8048" spans="1:8" x14ac:dyDescent="0.3">
      <c r="A8048" t="s">
        <v>628</v>
      </c>
      <c r="B8048" t="s">
        <v>356</v>
      </c>
      <c r="C8048" t="s">
        <v>360</v>
      </c>
      <c r="D8048" t="s">
        <v>745</v>
      </c>
      <c r="E8048" t="s">
        <v>769</v>
      </c>
      <c r="F8048">
        <v>4</v>
      </c>
      <c r="G8048" s="308">
        <f>COMEDORES!K347</f>
        <v>1500</v>
      </c>
      <c r="H8048" s="308">
        <f>COMEDORES!L347</f>
        <v>147875.83000000002</v>
      </c>
    </row>
    <row r="8049" spans="1:8" x14ac:dyDescent="0.3">
      <c r="A8049" t="s">
        <v>628</v>
      </c>
      <c r="B8049" t="s">
        <v>356</v>
      </c>
      <c r="C8049" t="s">
        <v>360</v>
      </c>
      <c r="D8049" t="s">
        <v>745</v>
      </c>
      <c r="E8049" t="s">
        <v>770</v>
      </c>
      <c r="F8049">
        <v>5</v>
      </c>
      <c r="G8049" s="308">
        <f>COMEDORES!M347</f>
        <v>1568</v>
      </c>
      <c r="H8049" s="308">
        <f>COMEDORES!N347</f>
        <v>122832.8</v>
      </c>
    </row>
    <row r="8050" spans="1:8" x14ac:dyDescent="0.3">
      <c r="A8050" t="s">
        <v>628</v>
      </c>
      <c r="B8050" t="s">
        <v>356</v>
      </c>
      <c r="C8050" t="s">
        <v>360</v>
      </c>
      <c r="D8050" t="s">
        <v>745</v>
      </c>
      <c r="E8050" t="s">
        <v>771</v>
      </c>
      <c r="F8050">
        <v>6</v>
      </c>
      <c r="G8050" s="308">
        <f>COMEDORES!O347</f>
        <v>1659</v>
      </c>
      <c r="H8050" s="308">
        <f>COMEDORES!P347</f>
        <v>133606.10999999999</v>
      </c>
    </row>
    <row r="8051" spans="1:8" x14ac:dyDescent="0.3">
      <c r="A8051" t="s">
        <v>628</v>
      </c>
      <c r="B8051" t="s">
        <v>356</v>
      </c>
      <c r="C8051" t="s">
        <v>360</v>
      </c>
      <c r="D8051" t="s">
        <v>745</v>
      </c>
      <c r="E8051" t="s">
        <v>772</v>
      </c>
      <c r="F8051">
        <v>7</v>
      </c>
      <c r="G8051" s="308">
        <f>COMEDORES!Q347</f>
        <v>1835</v>
      </c>
      <c r="H8051" s="308">
        <f>COMEDORES!R347</f>
        <v>142618.22999999998</v>
      </c>
    </row>
    <row r="8052" spans="1:8" x14ac:dyDescent="0.3">
      <c r="A8052" t="s">
        <v>628</v>
      </c>
      <c r="B8052" t="s">
        <v>356</v>
      </c>
      <c r="C8052" t="s">
        <v>360</v>
      </c>
      <c r="D8052" t="s">
        <v>746</v>
      </c>
      <c r="E8052" t="s">
        <v>766</v>
      </c>
      <c r="F8052">
        <v>1</v>
      </c>
      <c r="G8052" s="308">
        <f>COMEDORES!E348</f>
        <v>2786</v>
      </c>
      <c r="H8052" s="308">
        <f>COMEDORES!F348</f>
        <v>0</v>
      </c>
    </row>
    <row r="8053" spans="1:8" x14ac:dyDescent="0.3">
      <c r="A8053" t="s">
        <v>628</v>
      </c>
      <c r="B8053" t="s">
        <v>356</v>
      </c>
      <c r="C8053" t="s">
        <v>360</v>
      </c>
      <c r="D8053" t="s">
        <v>746</v>
      </c>
      <c r="E8053" t="s">
        <v>767</v>
      </c>
      <c r="F8053">
        <v>2</v>
      </c>
      <c r="G8053" s="308">
        <f>COMEDORES!G348</f>
        <v>2600</v>
      </c>
      <c r="H8053" s="308">
        <f>COMEDORES!H348</f>
        <v>0</v>
      </c>
    </row>
    <row r="8054" spans="1:8" x14ac:dyDescent="0.3">
      <c r="A8054" t="s">
        <v>628</v>
      </c>
      <c r="B8054" t="s">
        <v>356</v>
      </c>
      <c r="C8054" t="s">
        <v>360</v>
      </c>
      <c r="D8054" t="s">
        <v>746</v>
      </c>
      <c r="E8054" t="s">
        <v>768</v>
      </c>
      <c r="F8054">
        <v>3</v>
      </c>
      <c r="G8054" s="308">
        <f>COMEDORES!I348</f>
        <v>2860</v>
      </c>
      <c r="H8054" s="308">
        <f>COMEDORES!J348</f>
        <v>0</v>
      </c>
    </row>
    <row r="8055" spans="1:8" x14ac:dyDescent="0.3">
      <c r="A8055" t="s">
        <v>628</v>
      </c>
      <c r="B8055" t="s">
        <v>356</v>
      </c>
      <c r="C8055" t="s">
        <v>360</v>
      </c>
      <c r="D8055" t="s">
        <v>746</v>
      </c>
      <c r="E8055" t="s">
        <v>769</v>
      </c>
      <c r="F8055">
        <v>4</v>
      </c>
      <c r="G8055" s="308">
        <f>COMEDORES!K348</f>
        <v>2204</v>
      </c>
      <c r="H8055" s="308">
        <f>COMEDORES!L348</f>
        <v>0</v>
      </c>
    </row>
    <row r="8056" spans="1:8" x14ac:dyDescent="0.3">
      <c r="A8056" t="s">
        <v>628</v>
      </c>
      <c r="B8056" t="s">
        <v>356</v>
      </c>
      <c r="C8056" t="s">
        <v>360</v>
      </c>
      <c r="D8056" t="s">
        <v>746</v>
      </c>
      <c r="E8056" t="s">
        <v>770</v>
      </c>
      <c r="F8056">
        <v>5</v>
      </c>
      <c r="G8056" s="308">
        <f>COMEDORES!M348</f>
        <v>2455</v>
      </c>
      <c r="H8056" s="308">
        <f>COMEDORES!N348</f>
        <v>0</v>
      </c>
    </row>
    <row r="8057" spans="1:8" x14ac:dyDescent="0.3">
      <c r="A8057" t="s">
        <v>628</v>
      </c>
      <c r="B8057" t="s">
        <v>356</v>
      </c>
      <c r="C8057" t="s">
        <v>360</v>
      </c>
      <c r="D8057" t="s">
        <v>746</v>
      </c>
      <c r="E8057" t="s">
        <v>771</v>
      </c>
      <c r="F8057">
        <v>6</v>
      </c>
      <c r="G8057" s="308">
        <f>COMEDORES!O348</f>
        <v>2634</v>
      </c>
      <c r="H8057" s="308">
        <f>COMEDORES!P348</f>
        <v>0</v>
      </c>
    </row>
    <row r="8058" spans="1:8" x14ac:dyDescent="0.3">
      <c r="A8058" t="s">
        <v>628</v>
      </c>
      <c r="B8058" t="s">
        <v>356</v>
      </c>
      <c r="C8058" t="s">
        <v>360</v>
      </c>
      <c r="D8058" t="s">
        <v>746</v>
      </c>
      <c r="E8058" t="s">
        <v>772</v>
      </c>
      <c r="F8058">
        <v>7</v>
      </c>
      <c r="G8058" s="308">
        <f>COMEDORES!Q348</f>
        <v>2752</v>
      </c>
      <c r="H8058" s="308">
        <f>COMEDORES!R348</f>
        <v>0</v>
      </c>
    </row>
    <row r="8059" spans="1:8" x14ac:dyDescent="0.3">
      <c r="A8059" t="s">
        <v>628</v>
      </c>
      <c r="B8059" t="s">
        <v>356</v>
      </c>
      <c r="C8059" t="s">
        <v>361</v>
      </c>
      <c r="D8059" t="s">
        <v>745</v>
      </c>
      <c r="E8059" t="s">
        <v>766</v>
      </c>
      <c r="F8059">
        <v>1</v>
      </c>
      <c r="G8059" s="308">
        <f>COMEDORES!E349</f>
        <v>1800</v>
      </c>
      <c r="H8059" s="308">
        <f>COMEDORES!F349</f>
        <v>0</v>
      </c>
    </row>
    <row r="8060" spans="1:8" x14ac:dyDescent="0.3">
      <c r="A8060" t="s">
        <v>628</v>
      </c>
      <c r="B8060" t="s">
        <v>356</v>
      </c>
      <c r="C8060" t="s">
        <v>361</v>
      </c>
      <c r="D8060" t="s">
        <v>745</v>
      </c>
      <c r="E8060" t="s">
        <v>767</v>
      </c>
      <c r="F8060">
        <v>2</v>
      </c>
      <c r="G8060" s="308">
        <f>COMEDORES!G349</f>
        <v>1750</v>
      </c>
      <c r="H8060" s="308">
        <f>COMEDORES!H349</f>
        <v>0</v>
      </c>
    </row>
    <row r="8061" spans="1:8" x14ac:dyDescent="0.3">
      <c r="A8061" t="s">
        <v>628</v>
      </c>
      <c r="B8061" t="s">
        <v>356</v>
      </c>
      <c r="C8061" t="s">
        <v>361</v>
      </c>
      <c r="D8061" t="s">
        <v>745</v>
      </c>
      <c r="E8061" t="s">
        <v>768</v>
      </c>
      <c r="F8061">
        <v>3</v>
      </c>
      <c r="G8061" s="308">
        <f>COMEDORES!I349</f>
        <v>1650</v>
      </c>
      <c r="H8061" s="308">
        <f>COMEDORES!J349</f>
        <v>302343.8</v>
      </c>
    </row>
    <row r="8062" spans="1:8" x14ac:dyDescent="0.3">
      <c r="A8062" t="s">
        <v>628</v>
      </c>
      <c r="B8062" t="s">
        <v>356</v>
      </c>
      <c r="C8062" t="s">
        <v>361</v>
      </c>
      <c r="D8062" t="s">
        <v>745</v>
      </c>
      <c r="E8062" t="s">
        <v>769</v>
      </c>
      <c r="F8062">
        <v>4</v>
      </c>
      <c r="G8062" s="308">
        <f>COMEDORES!K349</f>
        <v>1316</v>
      </c>
      <c r="H8062" s="308">
        <f>COMEDORES!L349</f>
        <v>123831.32</v>
      </c>
    </row>
    <row r="8063" spans="1:8" x14ac:dyDescent="0.3">
      <c r="A8063" t="s">
        <v>628</v>
      </c>
      <c r="B8063" t="s">
        <v>356</v>
      </c>
      <c r="C8063" t="s">
        <v>361</v>
      </c>
      <c r="D8063" t="s">
        <v>745</v>
      </c>
      <c r="E8063" t="s">
        <v>770</v>
      </c>
      <c r="F8063">
        <v>5</v>
      </c>
      <c r="G8063" s="308">
        <f>COMEDORES!M349</f>
        <v>1388</v>
      </c>
      <c r="H8063" s="308">
        <f>COMEDORES!N349</f>
        <v>110740.32</v>
      </c>
    </row>
    <row r="8064" spans="1:8" x14ac:dyDescent="0.3">
      <c r="A8064" t="s">
        <v>628</v>
      </c>
      <c r="B8064" t="s">
        <v>356</v>
      </c>
      <c r="C8064" t="s">
        <v>361</v>
      </c>
      <c r="D8064" t="s">
        <v>745</v>
      </c>
      <c r="E8064" t="s">
        <v>771</v>
      </c>
      <c r="F8064">
        <v>6</v>
      </c>
      <c r="G8064" s="308">
        <f>COMEDORES!O349</f>
        <v>1543</v>
      </c>
      <c r="H8064" s="308">
        <f>COMEDORES!P349</f>
        <v>112321.84000000008</v>
      </c>
    </row>
    <row r="8065" spans="1:8" x14ac:dyDescent="0.3">
      <c r="A8065" t="s">
        <v>628</v>
      </c>
      <c r="B8065" t="s">
        <v>356</v>
      </c>
      <c r="C8065" t="s">
        <v>361</v>
      </c>
      <c r="D8065" t="s">
        <v>745</v>
      </c>
      <c r="E8065" t="s">
        <v>772</v>
      </c>
      <c r="F8065">
        <v>7</v>
      </c>
      <c r="G8065" s="308">
        <f>COMEDORES!Q349</f>
        <v>1688</v>
      </c>
      <c r="H8065" s="308">
        <f>COMEDORES!R349</f>
        <v>133926.76</v>
      </c>
    </row>
    <row r="8066" spans="1:8" x14ac:dyDescent="0.3">
      <c r="A8066" t="s">
        <v>628</v>
      </c>
      <c r="B8066" t="s">
        <v>356</v>
      </c>
      <c r="C8066" t="s">
        <v>361</v>
      </c>
      <c r="D8066" t="s">
        <v>746</v>
      </c>
      <c r="E8066" t="s">
        <v>766</v>
      </c>
      <c r="F8066">
        <v>1</v>
      </c>
      <c r="G8066" s="308">
        <f>COMEDORES!E350</f>
        <v>2804</v>
      </c>
      <c r="H8066" s="308">
        <f>COMEDORES!F350</f>
        <v>0</v>
      </c>
    </row>
    <row r="8067" spans="1:8" x14ac:dyDescent="0.3">
      <c r="A8067" t="s">
        <v>628</v>
      </c>
      <c r="B8067" t="s">
        <v>356</v>
      </c>
      <c r="C8067" t="s">
        <v>361</v>
      </c>
      <c r="D8067" t="s">
        <v>746</v>
      </c>
      <c r="E8067" t="s">
        <v>767</v>
      </c>
      <c r="F8067">
        <v>2</v>
      </c>
      <c r="G8067" s="308">
        <f>COMEDORES!G350</f>
        <v>2750</v>
      </c>
      <c r="H8067" s="308">
        <f>COMEDORES!H350</f>
        <v>0</v>
      </c>
    </row>
    <row r="8068" spans="1:8" x14ac:dyDescent="0.3">
      <c r="A8068" t="s">
        <v>628</v>
      </c>
      <c r="B8068" t="s">
        <v>356</v>
      </c>
      <c r="C8068" t="s">
        <v>361</v>
      </c>
      <c r="D8068" t="s">
        <v>746</v>
      </c>
      <c r="E8068" t="s">
        <v>768</v>
      </c>
      <c r="F8068">
        <v>3</v>
      </c>
      <c r="G8068" s="308">
        <f>COMEDORES!I350</f>
        <v>2750</v>
      </c>
      <c r="H8068" s="308">
        <f>COMEDORES!J350</f>
        <v>0</v>
      </c>
    </row>
    <row r="8069" spans="1:8" x14ac:dyDescent="0.3">
      <c r="A8069" t="s">
        <v>628</v>
      </c>
      <c r="B8069" t="s">
        <v>356</v>
      </c>
      <c r="C8069" t="s">
        <v>361</v>
      </c>
      <c r="D8069" t="s">
        <v>746</v>
      </c>
      <c r="E8069" t="s">
        <v>769</v>
      </c>
      <c r="F8069">
        <v>4</v>
      </c>
      <c r="G8069" s="308">
        <f>COMEDORES!K350</f>
        <v>2020</v>
      </c>
      <c r="H8069" s="308">
        <f>COMEDORES!L350</f>
        <v>0</v>
      </c>
    </row>
    <row r="8070" spans="1:8" x14ac:dyDescent="0.3">
      <c r="A8070" t="s">
        <v>628</v>
      </c>
      <c r="B8070" t="s">
        <v>356</v>
      </c>
      <c r="C8070" t="s">
        <v>361</v>
      </c>
      <c r="D8070" t="s">
        <v>746</v>
      </c>
      <c r="E8070" t="s">
        <v>770</v>
      </c>
      <c r="F8070">
        <v>5</v>
      </c>
      <c r="G8070" s="308">
        <f>COMEDORES!M350</f>
        <v>2006</v>
      </c>
      <c r="H8070" s="308">
        <f>COMEDORES!N350</f>
        <v>0</v>
      </c>
    </row>
    <row r="8071" spans="1:8" x14ac:dyDescent="0.3">
      <c r="A8071" t="s">
        <v>628</v>
      </c>
      <c r="B8071" t="s">
        <v>356</v>
      </c>
      <c r="C8071" t="s">
        <v>361</v>
      </c>
      <c r="D8071" t="s">
        <v>746</v>
      </c>
      <c r="E8071" t="s">
        <v>771</v>
      </c>
      <c r="F8071">
        <v>6</v>
      </c>
      <c r="G8071" s="308">
        <f>COMEDORES!O350</f>
        <v>2487</v>
      </c>
      <c r="H8071" s="308">
        <f>COMEDORES!P350</f>
        <v>0</v>
      </c>
    </row>
    <row r="8072" spans="1:8" x14ac:dyDescent="0.3">
      <c r="A8072" t="s">
        <v>628</v>
      </c>
      <c r="B8072" t="s">
        <v>356</v>
      </c>
      <c r="C8072" t="s">
        <v>361</v>
      </c>
      <c r="D8072" t="s">
        <v>746</v>
      </c>
      <c r="E8072" t="s">
        <v>772</v>
      </c>
      <c r="F8072">
        <v>7</v>
      </c>
      <c r="G8072" s="308">
        <f>COMEDORES!Q350</f>
        <v>2572</v>
      </c>
      <c r="H8072" s="308">
        <f>COMEDORES!R350</f>
        <v>0</v>
      </c>
    </row>
    <row r="8073" spans="1:8" x14ac:dyDescent="0.3">
      <c r="A8073" t="s">
        <v>628</v>
      </c>
      <c r="B8073" t="s">
        <v>356</v>
      </c>
      <c r="C8073" t="s">
        <v>363</v>
      </c>
      <c r="D8073" t="s">
        <v>745</v>
      </c>
      <c r="E8073" t="s">
        <v>766</v>
      </c>
      <c r="F8073">
        <v>1</v>
      </c>
      <c r="G8073" s="308">
        <f>COMEDORES!E351</f>
        <v>0</v>
      </c>
      <c r="H8073" s="308">
        <f>COMEDORES!F351</f>
        <v>0</v>
      </c>
    </row>
    <row r="8074" spans="1:8" x14ac:dyDescent="0.3">
      <c r="A8074" t="s">
        <v>628</v>
      </c>
      <c r="B8074" t="s">
        <v>356</v>
      </c>
      <c r="C8074" t="s">
        <v>363</v>
      </c>
      <c r="D8074" t="s">
        <v>745</v>
      </c>
      <c r="E8074" t="s">
        <v>767</v>
      </c>
      <c r="F8074">
        <v>2</v>
      </c>
      <c r="G8074" s="308">
        <f>COMEDORES!G351</f>
        <v>0</v>
      </c>
      <c r="H8074" s="308">
        <f>COMEDORES!H351</f>
        <v>0</v>
      </c>
    </row>
    <row r="8075" spans="1:8" x14ac:dyDescent="0.3">
      <c r="A8075" t="s">
        <v>628</v>
      </c>
      <c r="B8075" t="s">
        <v>356</v>
      </c>
      <c r="C8075" t="s">
        <v>363</v>
      </c>
      <c r="D8075" t="s">
        <v>745</v>
      </c>
      <c r="E8075" t="s">
        <v>768</v>
      </c>
      <c r="F8075">
        <v>3</v>
      </c>
      <c r="G8075" s="308">
        <f>COMEDORES!I351</f>
        <v>0</v>
      </c>
      <c r="H8075" s="308">
        <f>COMEDORES!J351</f>
        <v>0</v>
      </c>
    </row>
    <row r="8076" spans="1:8" x14ac:dyDescent="0.3">
      <c r="A8076" t="s">
        <v>628</v>
      </c>
      <c r="B8076" t="s">
        <v>356</v>
      </c>
      <c r="C8076" t="s">
        <v>363</v>
      </c>
      <c r="D8076" t="s">
        <v>745</v>
      </c>
      <c r="E8076" t="s">
        <v>769</v>
      </c>
      <c r="F8076">
        <v>4</v>
      </c>
      <c r="G8076" s="308">
        <f>COMEDORES!K351</f>
        <v>0</v>
      </c>
      <c r="H8076" s="308">
        <f>COMEDORES!L351</f>
        <v>0</v>
      </c>
    </row>
    <row r="8077" spans="1:8" x14ac:dyDescent="0.3">
      <c r="A8077" t="s">
        <v>628</v>
      </c>
      <c r="B8077" t="s">
        <v>356</v>
      </c>
      <c r="C8077" t="s">
        <v>363</v>
      </c>
      <c r="D8077" t="s">
        <v>745</v>
      </c>
      <c r="E8077" t="s">
        <v>770</v>
      </c>
      <c r="F8077">
        <v>5</v>
      </c>
      <c r="G8077" s="308">
        <f>COMEDORES!M351</f>
        <v>0</v>
      </c>
      <c r="H8077" s="308">
        <f>COMEDORES!N351</f>
        <v>0</v>
      </c>
    </row>
    <row r="8078" spans="1:8" x14ac:dyDescent="0.3">
      <c r="A8078" t="s">
        <v>628</v>
      </c>
      <c r="B8078" t="s">
        <v>356</v>
      </c>
      <c r="C8078" t="s">
        <v>363</v>
      </c>
      <c r="D8078" t="s">
        <v>745</v>
      </c>
      <c r="E8078" t="s">
        <v>771</v>
      </c>
      <c r="F8078">
        <v>6</v>
      </c>
      <c r="G8078" s="308">
        <f>COMEDORES!O351</f>
        <v>0</v>
      </c>
      <c r="H8078" s="308">
        <f>COMEDORES!P351</f>
        <v>0</v>
      </c>
    </row>
    <row r="8079" spans="1:8" x14ac:dyDescent="0.3">
      <c r="A8079" t="s">
        <v>628</v>
      </c>
      <c r="B8079" t="s">
        <v>356</v>
      </c>
      <c r="C8079" t="s">
        <v>363</v>
      </c>
      <c r="D8079" t="s">
        <v>745</v>
      </c>
      <c r="E8079" t="s">
        <v>772</v>
      </c>
      <c r="F8079">
        <v>7</v>
      </c>
      <c r="G8079" s="308">
        <f>COMEDORES!Q351</f>
        <v>800</v>
      </c>
      <c r="H8079" s="308">
        <f>COMEDORES!R351</f>
        <v>0</v>
      </c>
    </row>
    <row r="8080" spans="1:8" x14ac:dyDescent="0.3">
      <c r="A8080" t="s">
        <v>628</v>
      </c>
      <c r="B8080" t="s">
        <v>356</v>
      </c>
      <c r="C8080" t="s">
        <v>363</v>
      </c>
      <c r="D8080" t="s">
        <v>746</v>
      </c>
      <c r="E8080" t="s">
        <v>766</v>
      </c>
      <c r="F8080">
        <v>1</v>
      </c>
      <c r="G8080" s="308">
        <f>COMEDORES!E352</f>
        <v>0</v>
      </c>
      <c r="H8080" s="308">
        <f>COMEDORES!F352</f>
        <v>0</v>
      </c>
    </row>
    <row r="8081" spans="1:8" x14ac:dyDescent="0.3">
      <c r="A8081" t="s">
        <v>628</v>
      </c>
      <c r="B8081" t="s">
        <v>356</v>
      </c>
      <c r="C8081" t="s">
        <v>363</v>
      </c>
      <c r="D8081" t="s">
        <v>746</v>
      </c>
      <c r="E8081" t="s">
        <v>767</v>
      </c>
      <c r="F8081">
        <v>2</v>
      </c>
      <c r="G8081" s="308">
        <f>COMEDORES!G352</f>
        <v>0</v>
      </c>
      <c r="H8081" s="308">
        <f>COMEDORES!H352</f>
        <v>0</v>
      </c>
    </row>
    <row r="8082" spans="1:8" x14ac:dyDescent="0.3">
      <c r="A8082" t="s">
        <v>628</v>
      </c>
      <c r="B8082" t="s">
        <v>356</v>
      </c>
      <c r="C8082" t="s">
        <v>363</v>
      </c>
      <c r="D8082" t="s">
        <v>746</v>
      </c>
      <c r="E8082" t="s">
        <v>768</v>
      </c>
      <c r="F8082">
        <v>3</v>
      </c>
      <c r="G8082" s="308">
        <f>COMEDORES!I352</f>
        <v>0</v>
      </c>
      <c r="H8082" s="308">
        <f>COMEDORES!J352</f>
        <v>0</v>
      </c>
    </row>
    <row r="8083" spans="1:8" x14ac:dyDescent="0.3">
      <c r="A8083" t="s">
        <v>628</v>
      </c>
      <c r="B8083" t="s">
        <v>356</v>
      </c>
      <c r="C8083" t="s">
        <v>363</v>
      </c>
      <c r="D8083" t="s">
        <v>746</v>
      </c>
      <c r="E8083" t="s">
        <v>769</v>
      </c>
      <c r="F8083">
        <v>4</v>
      </c>
      <c r="G8083" s="308">
        <f>COMEDORES!K352</f>
        <v>0</v>
      </c>
      <c r="H8083" s="308">
        <f>COMEDORES!L352</f>
        <v>0</v>
      </c>
    </row>
    <row r="8084" spans="1:8" x14ac:dyDescent="0.3">
      <c r="A8084" t="s">
        <v>628</v>
      </c>
      <c r="B8084" t="s">
        <v>356</v>
      </c>
      <c r="C8084" t="s">
        <v>363</v>
      </c>
      <c r="D8084" t="s">
        <v>746</v>
      </c>
      <c r="E8084" t="s">
        <v>770</v>
      </c>
      <c r="F8084">
        <v>5</v>
      </c>
      <c r="G8084" s="308">
        <f>COMEDORES!M352</f>
        <v>0</v>
      </c>
      <c r="H8084" s="308">
        <f>COMEDORES!N352</f>
        <v>0</v>
      </c>
    </row>
    <row r="8085" spans="1:8" x14ac:dyDescent="0.3">
      <c r="A8085" t="s">
        <v>628</v>
      </c>
      <c r="B8085" t="s">
        <v>356</v>
      </c>
      <c r="C8085" t="s">
        <v>363</v>
      </c>
      <c r="D8085" t="s">
        <v>746</v>
      </c>
      <c r="E8085" t="s">
        <v>771</v>
      </c>
      <c r="F8085">
        <v>6</v>
      </c>
      <c r="G8085" s="308">
        <f>COMEDORES!O352</f>
        <v>0</v>
      </c>
      <c r="H8085" s="308">
        <f>COMEDORES!P352</f>
        <v>0</v>
      </c>
    </row>
    <row r="8086" spans="1:8" x14ac:dyDescent="0.3">
      <c r="A8086" t="s">
        <v>628</v>
      </c>
      <c r="B8086" t="s">
        <v>356</v>
      </c>
      <c r="C8086" t="s">
        <v>363</v>
      </c>
      <c r="D8086" t="s">
        <v>746</v>
      </c>
      <c r="E8086" t="s">
        <v>772</v>
      </c>
      <c r="F8086">
        <v>7</v>
      </c>
      <c r="G8086" s="308">
        <f>COMEDORES!Q352</f>
        <v>1187</v>
      </c>
      <c r="H8086" s="308">
        <f>COMEDORES!R352</f>
        <v>0</v>
      </c>
    </row>
    <row r="8087" spans="1:8" x14ac:dyDescent="0.3">
      <c r="A8087" t="s">
        <v>628</v>
      </c>
      <c r="B8087" t="s">
        <v>356</v>
      </c>
      <c r="C8087" t="s">
        <v>364</v>
      </c>
      <c r="D8087" t="s">
        <v>745</v>
      </c>
      <c r="E8087" t="s">
        <v>766</v>
      </c>
      <c r="F8087">
        <v>1</v>
      </c>
      <c r="G8087" s="308">
        <f>COMEDORES!E353</f>
        <v>1350</v>
      </c>
      <c r="H8087" s="308">
        <f>COMEDORES!F353</f>
        <v>0</v>
      </c>
    </row>
    <row r="8088" spans="1:8" x14ac:dyDescent="0.3">
      <c r="A8088" t="s">
        <v>628</v>
      </c>
      <c r="B8088" t="s">
        <v>356</v>
      </c>
      <c r="C8088" t="s">
        <v>364</v>
      </c>
      <c r="D8088" t="s">
        <v>745</v>
      </c>
      <c r="E8088" t="s">
        <v>767</v>
      </c>
      <c r="F8088">
        <v>2</v>
      </c>
      <c r="G8088" s="308">
        <f>COMEDORES!G353</f>
        <v>1500</v>
      </c>
      <c r="H8088" s="308">
        <f>COMEDORES!H353</f>
        <v>0</v>
      </c>
    </row>
    <row r="8089" spans="1:8" x14ac:dyDescent="0.3">
      <c r="A8089" t="s">
        <v>628</v>
      </c>
      <c r="B8089" t="s">
        <v>356</v>
      </c>
      <c r="C8089" t="s">
        <v>364</v>
      </c>
      <c r="D8089" t="s">
        <v>745</v>
      </c>
      <c r="E8089" t="s">
        <v>768</v>
      </c>
      <c r="F8089">
        <v>3</v>
      </c>
      <c r="G8089" s="308">
        <f>COMEDORES!I353</f>
        <v>1650</v>
      </c>
      <c r="H8089" s="308">
        <f>COMEDORES!J353</f>
        <v>251585.7</v>
      </c>
    </row>
    <row r="8090" spans="1:8" x14ac:dyDescent="0.3">
      <c r="A8090" t="s">
        <v>628</v>
      </c>
      <c r="B8090" t="s">
        <v>356</v>
      </c>
      <c r="C8090" t="s">
        <v>364</v>
      </c>
      <c r="D8090" t="s">
        <v>745</v>
      </c>
      <c r="E8090" t="s">
        <v>769</v>
      </c>
      <c r="F8090">
        <v>4</v>
      </c>
      <c r="G8090" s="308">
        <f>COMEDORES!K353</f>
        <v>1405</v>
      </c>
      <c r="H8090" s="308">
        <f>COMEDORES!L353</f>
        <v>137777.74</v>
      </c>
    </row>
    <row r="8091" spans="1:8" x14ac:dyDescent="0.3">
      <c r="A8091" t="s">
        <v>628</v>
      </c>
      <c r="B8091" t="s">
        <v>356</v>
      </c>
      <c r="C8091" t="s">
        <v>364</v>
      </c>
      <c r="D8091" t="s">
        <v>745</v>
      </c>
      <c r="E8091" t="s">
        <v>770</v>
      </c>
      <c r="F8091">
        <v>5</v>
      </c>
      <c r="G8091" s="308">
        <f>COMEDORES!M353</f>
        <v>1480</v>
      </c>
      <c r="H8091" s="308">
        <f>COMEDORES!N353</f>
        <v>116313.8</v>
      </c>
    </row>
    <row r="8092" spans="1:8" x14ac:dyDescent="0.3">
      <c r="A8092" t="s">
        <v>628</v>
      </c>
      <c r="B8092" t="s">
        <v>356</v>
      </c>
      <c r="C8092" t="s">
        <v>364</v>
      </c>
      <c r="D8092" t="s">
        <v>745</v>
      </c>
      <c r="E8092" t="s">
        <v>771</v>
      </c>
      <c r="F8092">
        <v>6</v>
      </c>
      <c r="G8092" s="308">
        <f>COMEDORES!O353</f>
        <v>1566</v>
      </c>
      <c r="H8092" s="308">
        <f>COMEDORES!P353</f>
        <v>128615.09999999998</v>
      </c>
    </row>
    <row r="8093" spans="1:8" x14ac:dyDescent="0.3">
      <c r="A8093" t="s">
        <v>628</v>
      </c>
      <c r="B8093" t="s">
        <v>356</v>
      </c>
      <c r="C8093" t="s">
        <v>364</v>
      </c>
      <c r="D8093" t="s">
        <v>745</v>
      </c>
      <c r="E8093" t="s">
        <v>772</v>
      </c>
      <c r="F8093">
        <v>7</v>
      </c>
      <c r="G8093" s="308">
        <f>COMEDORES!Q353</f>
        <v>1692</v>
      </c>
      <c r="H8093" s="308">
        <f>COMEDORES!R353</f>
        <v>136334.02000000002</v>
      </c>
    </row>
    <row r="8094" spans="1:8" x14ac:dyDescent="0.3">
      <c r="A8094" t="s">
        <v>628</v>
      </c>
      <c r="B8094" t="s">
        <v>356</v>
      </c>
      <c r="C8094" t="s">
        <v>364</v>
      </c>
      <c r="D8094" t="s">
        <v>746</v>
      </c>
      <c r="E8094" t="s">
        <v>766</v>
      </c>
      <c r="F8094">
        <v>1</v>
      </c>
      <c r="G8094" s="308">
        <f>COMEDORES!E354</f>
        <v>2334</v>
      </c>
      <c r="H8094" s="308">
        <f>COMEDORES!F354</f>
        <v>0</v>
      </c>
    </row>
    <row r="8095" spans="1:8" x14ac:dyDescent="0.3">
      <c r="A8095" t="s">
        <v>628</v>
      </c>
      <c r="B8095" t="s">
        <v>356</v>
      </c>
      <c r="C8095" t="s">
        <v>364</v>
      </c>
      <c r="D8095" t="s">
        <v>746</v>
      </c>
      <c r="E8095" t="s">
        <v>767</v>
      </c>
      <c r="F8095">
        <v>2</v>
      </c>
      <c r="G8095" s="308">
        <f>COMEDORES!G354</f>
        <v>2382</v>
      </c>
      <c r="H8095" s="308">
        <f>COMEDORES!H354</f>
        <v>0</v>
      </c>
    </row>
    <row r="8096" spans="1:8" x14ac:dyDescent="0.3">
      <c r="A8096" t="s">
        <v>628</v>
      </c>
      <c r="B8096" t="s">
        <v>356</v>
      </c>
      <c r="C8096" t="s">
        <v>364</v>
      </c>
      <c r="D8096" t="s">
        <v>746</v>
      </c>
      <c r="E8096" t="s">
        <v>768</v>
      </c>
      <c r="F8096">
        <v>3</v>
      </c>
      <c r="G8096" s="308">
        <f>COMEDORES!I354</f>
        <v>2750</v>
      </c>
      <c r="H8096" s="308">
        <f>COMEDORES!J354</f>
        <v>0</v>
      </c>
    </row>
    <row r="8097" spans="1:8" x14ac:dyDescent="0.3">
      <c r="A8097" t="s">
        <v>628</v>
      </c>
      <c r="B8097" t="s">
        <v>356</v>
      </c>
      <c r="C8097" t="s">
        <v>364</v>
      </c>
      <c r="D8097" t="s">
        <v>746</v>
      </c>
      <c r="E8097" t="s">
        <v>769</v>
      </c>
      <c r="F8097">
        <v>4</v>
      </c>
      <c r="G8097" s="308">
        <f>COMEDORES!K354</f>
        <v>2226</v>
      </c>
      <c r="H8097" s="308">
        <f>COMEDORES!L354</f>
        <v>0</v>
      </c>
    </row>
    <row r="8098" spans="1:8" x14ac:dyDescent="0.3">
      <c r="A8098" t="s">
        <v>628</v>
      </c>
      <c r="B8098" t="s">
        <v>356</v>
      </c>
      <c r="C8098" t="s">
        <v>364</v>
      </c>
      <c r="D8098" t="s">
        <v>746</v>
      </c>
      <c r="E8098" t="s">
        <v>770</v>
      </c>
      <c r="F8098">
        <v>5</v>
      </c>
      <c r="G8098" s="308">
        <f>COMEDORES!M354</f>
        <v>2390</v>
      </c>
      <c r="H8098" s="308">
        <f>COMEDORES!N354</f>
        <v>0</v>
      </c>
    </row>
    <row r="8099" spans="1:8" x14ac:dyDescent="0.3">
      <c r="A8099" t="s">
        <v>628</v>
      </c>
      <c r="B8099" t="s">
        <v>356</v>
      </c>
      <c r="C8099" t="s">
        <v>364</v>
      </c>
      <c r="D8099" t="s">
        <v>746</v>
      </c>
      <c r="E8099" t="s">
        <v>771</v>
      </c>
      <c r="F8099">
        <v>6</v>
      </c>
      <c r="G8099" s="308">
        <f>COMEDORES!O354</f>
        <v>2536</v>
      </c>
      <c r="H8099" s="308">
        <f>COMEDORES!P354</f>
        <v>0</v>
      </c>
    </row>
    <row r="8100" spans="1:8" x14ac:dyDescent="0.3">
      <c r="A8100" t="s">
        <v>628</v>
      </c>
      <c r="B8100" t="s">
        <v>356</v>
      </c>
      <c r="C8100" t="s">
        <v>364</v>
      </c>
      <c r="D8100" t="s">
        <v>746</v>
      </c>
      <c r="E8100" t="s">
        <v>772</v>
      </c>
      <c r="F8100">
        <v>7</v>
      </c>
      <c r="G8100" s="308">
        <f>COMEDORES!Q354</f>
        <v>2681</v>
      </c>
      <c r="H8100" s="308">
        <f>COMEDORES!R354</f>
        <v>0</v>
      </c>
    </row>
    <row r="8101" spans="1:8" x14ac:dyDescent="0.3">
      <c r="A8101" t="s">
        <v>628</v>
      </c>
      <c r="B8101" t="s">
        <v>356</v>
      </c>
      <c r="C8101" t="s">
        <v>417</v>
      </c>
      <c r="D8101" t="s">
        <v>745</v>
      </c>
      <c r="E8101" t="s">
        <v>766</v>
      </c>
      <c r="F8101">
        <v>1</v>
      </c>
      <c r="G8101" s="308">
        <f>COMEDORES!E355</f>
        <v>0</v>
      </c>
      <c r="H8101" s="308">
        <f>COMEDORES!F355</f>
        <v>0</v>
      </c>
    </row>
    <row r="8102" spans="1:8" x14ac:dyDescent="0.3">
      <c r="A8102" t="s">
        <v>628</v>
      </c>
      <c r="B8102" t="s">
        <v>356</v>
      </c>
      <c r="C8102" t="s">
        <v>417</v>
      </c>
      <c r="D8102" t="s">
        <v>745</v>
      </c>
      <c r="E8102" t="s">
        <v>767</v>
      </c>
      <c r="F8102">
        <v>2</v>
      </c>
      <c r="G8102" s="308">
        <f>COMEDORES!G355</f>
        <v>0</v>
      </c>
      <c r="H8102" s="308">
        <f>COMEDORES!H355</f>
        <v>0</v>
      </c>
    </row>
    <row r="8103" spans="1:8" x14ac:dyDescent="0.3">
      <c r="A8103" t="s">
        <v>628</v>
      </c>
      <c r="B8103" t="s">
        <v>356</v>
      </c>
      <c r="C8103" t="s">
        <v>417</v>
      </c>
      <c r="D8103" t="s">
        <v>745</v>
      </c>
      <c r="E8103" t="s">
        <v>768</v>
      </c>
      <c r="F8103">
        <v>3</v>
      </c>
      <c r="G8103" s="308">
        <f>COMEDORES!I355</f>
        <v>0</v>
      </c>
      <c r="H8103" s="308">
        <f>COMEDORES!J355</f>
        <v>0</v>
      </c>
    </row>
    <row r="8104" spans="1:8" x14ac:dyDescent="0.3">
      <c r="A8104" t="s">
        <v>628</v>
      </c>
      <c r="B8104" t="s">
        <v>356</v>
      </c>
      <c r="C8104" t="s">
        <v>417</v>
      </c>
      <c r="D8104" t="s">
        <v>745</v>
      </c>
      <c r="E8104" t="s">
        <v>769</v>
      </c>
      <c r="F8104">
        <v>4</v>
      </c>
      <c r="G8104" s="308">
        <f>COMEDORES!K355</f>
        <v>0</v>
      </c>
      <c r="H8104" s="308">
        <f>COMEDORES!L355</f>
        <v>0</v>
      </c>
    </row>
    <row r="8105" spans="1:8" x14ac:dyDescent="0.3">
      <c r="A8105" t="s">
        <v>628</v>
      </c>
      <c r="B8105" t="s">
        <v>356</v>
      </c>
      <c r="C8105" t="s">
        <v>417</v>
      </c>
      <c r="D8105" t="s">
        <v>745</v>
      </c>
      <c r="E8105" t="s">
        <v>770</v>
      </c>
      <c r="F8105">
        <v>5</v>
      </c>
      <c r="G8105" s="308">
        <f>COMEDORES!M355</f>
        <v>0</v>
      </c>
      <c r="H8105" s="308">
        <f>COMEDORES!N355</f>
        <v>0</v>
      </c>
    </row>
    <row r="8106" spans="1:8" x14ac:dyDescent="0.3">
      <c r="A8106" t="s">
        <v>628</v>
      </c>
      <c r="B8106" t="s">
        <v>356</v>
      </c>
      <c r="C8106" t="s">
        <v>417</v>
      </c>
      <c r="D8106" t="s">
        <v>745</v>
      </c>
      <c r="E8106" t="s">
        <v>771</v>
      </c>
      <c r="F8106">
        <v>6</v>
      </c>
      <c r="G8106" s="308">
        <f>COMEDORES!O355</f>
        <v>900</v>
      </c>
      <c r="H8106" s="308">
        <f>COMEDORES!P355</f>
        <v>0</v>
      </c>
    </row>
    <row r="8107" spans="1:8" x14ac:dyDescent="0.3">
      <c r="A8107" t="s">
        <v>628</v>
      </c>
      <c r="B8107" t="s">
        <v>356</v>
      </c>
      <c r="C8107" t="s">
        <v>417</v>
      </c>
      <c r="D8107" t="s">
        <v>745</v>
      </c>
      <c r="E8107" t="s">
        <v>772</v>
      </c>
      <c r="F8107">
        <v>7</v>
      </c>
      <c r="G8107" s="308">
        <f>COMEDORES!Q355</f>
        <v>2300</v>
      </c>
      <c r="H8107" s="308">
        <f>COMEDORES!R355</f>
        <v>72686.850000000006</v>
      </c>
    </row>
    <row r="8108" spans="1:8" x14ac:dyDescent="0.3">
      <c r="A8108" t="s">
        <v>628</v>
      </c>
      <c r="B8108" t="s">
        <v>356</v>
      </c>
      <c r="C8108" t="s">
        <v>417</v>
      </c>
      <c r="D8108" t="s">
        <v>746</v>
      </c>
      <c r="E8108" t="s">
        <v>766</v>
      </c>
      <c r="F8108">
        <v>1</v>
      </c>
      <c r="G8108" s="308">
        <f>COMEDORES!E356</f>
        <v>0</v>
      </c>
      <c r="H8108" s="308">
        <f>COMEDORES!F356</f>
        <v>0</v>
      </c>
    </row>
    <row r="8109" spans="1:8" x14ac:dyDescent="0.3">
      <c r="A8109" t="s">
        <v>628</v>
      </c>
      <c r="B8109" t="s">
        <v>356</v>
      </c>
      <c r="C8109" t="s">
        <v>417</v>
      </c>
      <c r="D8109" t="s">
        <v>746</v>
      </c>
      <c r="E8109" t="s">
        <v>767</v>
      </c>
      <c r="F8109">
        <v>2</v>
      </c>
      <c r="G8109" s="308">
        <f>COMEDORES!G356</f>
        <v>0</v>
      </c>
      <c r="H8109" s="308">
        <f>COMEDORES!H356</f>
        <v>0</v>
      </c>
    </row>
    <row r="8110" spans="1:8" x14ac:dyDescent="0.3">
      <c r="A8110" t="s">
        <v>628</v>
      </c>
      <c r="B8110" t="s">
        <v>356</v>
      </c>
      <c r="C8110" t="s">
        <v>417</v>
      </c>
      <c r="D8110" t="s">
        <v>746</v>
      </c>
      <c r="E8110" t="s">
        <v>768</v>
      </c>
      <c r="F8110">
        <v>3</v>
      </c>
      <c r="G8110" s="308">
        <f>COMEDORES!I356</f>
        <v>0</v>
      </c>
      <c r="H8110" s="308">
        <f>COMEDORES!J356</f>
        <v>0</v>
      </c>
    </row>
    <row r="8111" spans="1:8" x14ac:dyDescent="0.3">
      <c r="A8111" t="s">
        <v>628</v>
      </c>
      <c r="B8111" t="s">
        <v>356</v>
      </c>
      <c r="C8111" t="s">
        <v>417</v>
      </c>
      <c r="D8111" t="s">
        <v>746</v>
      </c>
      <c r="E8111" t="s">
        <v>769</v>
      </c>
      <c r="F8111">
        <v>4</v>
      </c>
      <c r="G8111" s="308">
        <f>COMEDORES!K356</f>
        <v>0</v>
      </c>
      <c r="H8111" s="308">
        <f>COMEDORES!L356</f>
        <v>0</v>
      </c>
    </row>
    <row r="8112" spans="1:8" x14ac:dyDescent="0.3">
      <c r="A8112" t="s">
        <v>628</v>
      </c>
      <c r="B8112" t="s">
        <v>356</v>
      </c>
      <c r="C8112" t="s">
        <v>417</v>
      </c>
      <c r="D8112" t="s">
        <v>746</v>
      </c>
      <c r="E8112" t="s">
        <v>770</v>
      </c>
      <c r="F8112">
        <v>5</v>
      </c>
      <c r="G8112" s="308">
        <f>COMEDORES!M356</f>
        <v>0</v>
      </c>
      <c r="H8112" s="308">
        <f>COMEDORES!N356</f>
        <v>0</v>
      </c>
    </row>
    <row r="8113" spans="1:8" x14ac:dyDescent="0.3">
      <c r="A8113" t="s">
        <v>628</v>
      </c>
      <c r="B8113" t="s">
        <v>356</v>
      </c>
      <c r="C8113" t="s">
        <v>417</v>
      </c>
      <c r="D8113" t="s">
        <v>746</v>
      </c>
      <c r="E8113" t="s">
        <v>771</v>
      </c>
      <c r="F8113">
        <v>6</v>
      </c>
      <c r="G8113" s="308">
        <f>COMEDORES!O356</f>
        <v>1293</v>
      </c>
      <c r="H8113" s="308">
        <f>COMEDORES!P356</f>
        <v>0</v>
      </c>
    </row>
    <row r="8114" spans="1:8" x14ac:dyDescent="0.3">
      <c r="A8114" t="s">
        <v>628</v>
      </c>
      <c r="B8114" t="s">
        <v>356</v>
      </c>
      <c r="C8114" t="s">
        <v>417</v>
      </c>
      <c r="D8114" t="s">
        <v>746</v>
      </c>
      <c r="E8114" t="s">
        <v>772</v>
      </c>
      <c r="F8114">
        <v>7</v>
      </c>
      <c r="G8114" s="308">
        <f>COMEDORES!Q356</f>
        <v>3401</v>
      </c>
      <c r="H8114" s="308">
        <f>COMEDORES!R356</f>
        <v>0</v>
      </c>
    </row>
    <row r="8115" spans="1:8" x14ac:dyDescent="0.3">
      <c r="A8115" t="s">
        <v>628</v>
      </c>
      <c r="B8115" t="s">
        <v>356</v>
      </c>
      <c r="C8115" t="s">
        <v>366</v>
      </c>
      <c r="D8115" t="s">
        <v>745</v>
      </c>
      <c r="E8115" t="s">
        <v>766</v>
      </c>
      <c r="F8115">
        <v>1</v>
      </c>
      <c r="G8115" s="308">
        <f>COMEDORES!E357</f>
        <v>1800</v>
      </c>
      <c r="H8115" s="308">
        <f>COMEDORES!F357</f>
        <v>0</v>
      </c>
    </row>
    <row r="8116" spans="1:8" x14ac:dyDescent="0.3">
      <c r="A8116" t="s">
        <v>628</v>
      </c>
      <c r="B8116" t="s">
        <v>356</v>
      </c>
      <c r="C8116" t="s">
        <v>366</v>
      </c>
      <c r="D8116" t="s">
        <v>745</v>
      </c>
      <c r="E8116" t="s">
        <v>767</v>
      </c>
      <c r="F8116">
        <v>2</v>
      </c>
      <c r="G8116" s="308">
        <f>COMEDORES!G357</f>
        <v>1750</v>
      </c>
      <c r="H8116" s="308">
        <f>COMEDORES!H357</f>
        <v>0</v>
      </c>
    </row>
    <row r="8117" spans="1:8" x14ac:dyDescent="0.3">
      <c r="A8117" t="s">
        <v>628</v>
      </c>
      <c r="B8117" t="s">
        <v>356</v>
      </c>
      <c r="C8117" t="s">
        <v>366</v>
      </c>
      <c r="D8117" t="s">
        <v>745</v>
      </c>
      <c r="E8117" t="s">
        <v>768</v>
      </c>
      <c r="F8117">
        <v>3</v>
      </c>
      <c r="G8117" s="308">
        <f>COMEDORES!I357</f>
        <v>1650</v>
      </c>
      <c r="H8117" s="308">
        <f>COMEDORES!J357</f>
        <v>367488.75</v>
      </c>
    </row>
    <row r="8118" spans="1:8" x14ac:dyDescent="0.3">
      <c r="A8118" t="s">
        <v>628</v>
      </c>
      <c r="B8118" t="s">
        <v>356</v>
      </c>
      <c r="C8118" t="s">
        <v>366</v>
      </c>
      <c r="D8118" t="s">
        <v>745</v>
      </c>
      <c r="E8118" t="s">
        <v>769</v>
      </c>
      <c r="F8118">
        <v>4</v>
      </c>
      <c r="G8118" s="308">
        <f>COMEDORES!K357</f>
        <v>1412</v>
      </c>
      <c r="H8118" s="308">
        <f>COMEDORES!L357</f>
        <v>178268.15000000002</v>
      </c>
    </row>
    <row r="8119" spans="1:8" x14ac:dyDescent="0.3">
      <c r="A8119" t="s">
        <v>628</v>
      </c>
      <c r="B8119" t="s">
        <v>356</v>
      </c>
      <c r="C8119" t="s">
        <v>366</v>
      </c>
      <c r="D8119" t="s">
        <v>745</v>
      </c>
      <c r="E8119" t="s">
        <v>770</v>
      </c>
      <c r="F8119">
        <v>5</v>
      </c>
      <c r="G8119" s="308">
        <f>COMEDORES!M357</f>
        <v>1500</v>
      </c>
      <c r="H8119" s="308">
        <f>COMEDORES!N357</f>
        <v>153325.29</v>
      </c>
    </row>
    <row r="8120" spans="1:8" x14ac:dyDescent="0.3">
      <c r="A8120" t="s">
        <v>628</v>
      </c>
      <c r="B8120" t="s">
        <v>356</v>
      </c>
      <c r="C8120" t="s">
        <v>366</v>
      </c>
      <c r="D8120" t="s">
        <v>745</v>
      </c>
      <c r="E8120" t="s">
        <v>771</v>
      </c>
      <c r="F8120">
        <v>6</v>
      </c>
      <c r="G8120" s="308">
        <f>COMEDORES!O357</f>
        <v>1125</v>
      </c>
      <c r="H8120" s="308">
        <f>COMEDORES!P357</f>
        <v>165550.80000000005</v>
      </c>
    </row>
    <row r="8121" spans="1:8" x14ac:dyDescent="0.3">
      <c r="A8121" t="s">
        <v>628</v>
      </c>
      <c r="B8121" t="s">
        <v>356</v>
      </c>
      <c r="C8121" t="s">
        <v>366</v>
      </c>
      <c r="D8121" t="s">
        <v>745</v>
      </c>
      <c r="E8121" t="s">
        <v>772</v>
      </c>
      <c r="F8121">
        <v>7</v>
      </c>
      <c r="G8121" s="308">
        <f>COMEDORES!Q357</f>
        <v>1684</v>
      </c>
      <c r="H8121" s="308">
        <f>COMEDORES!R357</f>
        <v>123060.69999999984</v>
      </c>
    </row>
    <row r="8122" spans="1:8" x14ac:dyDescent="0.3">
      <c r="A8122" t="s">
        <v>628</v>
      </c>
      <c r="B8122" t="s">
        <v>356</v>
      </c>
      <c r="C8122" t="s">
        <v>366</v>
      </c>
      <c r="D8122" t="s">
        <v>746</v>
      </c>
      <c r="E8122" t="s">
        <v>766</v>
      </c>
      <c r="F8122">
        <v>1</v>
      </c>
      <c r="G8122" s="308">
        <f>COMEDORES!E358</f>
        <v>3790</v>
      </c>
      <c r="H8122" s="308">
        <f>COMEDORES!F358</f>
        <v>0</v>
      </c>
    </row>
    <row r="8123" spans="1:8" x14ac:dyDescent="0.3">
      <c r="A8123" t="s">
        <v>628</v>
      </c>
      <c r="B8123" t="s">
        <v>356</v>
      </c>
      <c r="C8123" t="s">
        <v>366</v>
      </c>
      <c r="D8123" t="s">
        <v>746</v>
      </c>
      <c r="E8123" t="s">
        <v>767</v>
      </c>
      <c r="F8123">
        <v>2</v>
      </c>
      <c r="G8123" s="308">
        <f>COMEDORES!G358</f>
        <v>3655</v>
      </c>
      <c r="H8123" s="308">
        <f>COMEDORES!H358</f>
        <v>0</v>
      </c>
    </row>
    <row r="8124" spans="1:8" x14ac:dyDescent="0.3">
      <c r="A8124" t="s">
        <v>628</v>
      </c>
      <c r="B8124" t="s">
        <v>356</v>
      </c>
      <c r="C8124" t="s">
        <v>366</v>
      </c>
      <c r="D8124" t="s">
        <v>746</v>
      </c>
      <c r="E8124" t="s">
        <v>768</v>
      </c>
      <c r="F8124">
        <v>3</v>
      </c>
      <c r="G8124" s="308">
        <f>COMEDORES!I358</f>
        <v>3850</v>
      </c>
      <c r="H8124" s="308">
        <f>COMEDORES!J358</f>
        <v>0</v>
      </c>
    </row>
    <row r="8125" spans="1:8" x14ac:dyDescent="0.3">
      <c r="A8125" t="s">
        <v>628</v>
      </c>
      <c r="B8125" t="s">
        <v>356</v>
      </c>
      <c r="C8125" t="s">
        <v>366</v>
      </c>
      <c r="D8125" t="s">
        <v>746</v>
      </c>
      <c r="E8125" t="s">
        <v>769</v>
      </c>
      <c r="F8125">
        <v>4</v>
      </c>
      <c r="G8125" s="308">
        <f>COMEDORES!K358</f>
        <v>3189</v>
      </c>
      <c r="H8125" s="308">
        <f>COMEDORES!L358</f>
        <v>0</v>
      </c>
    </row>
    <row r="8126" spans="1:8" x14ac:dyDescent="0.3">
      <c r="A8126" t="s">
        <v>628</v>
      </c>
      <c r="B8126" t="s">
        <v>356</v>
      </c>
      <c r="C8126" t="s">
        <v>366</v>
      </c>
      <c r="D8126" t="s">
        <v>746</v>
      </c>
      <c r="E8126" t="s">
        <v>770</v>
      </c>
      <c r="F8126">
        <v>5</v>
      </c>
      <c r="G8126" s="308">
        <f>COMEDORES!M358</f>
        <v>3444</v>
      </c>
      <c r="H8126" s="308">
        <f>COMEDORES!N358</f>
        <v>0</v>
      </c>
    </row>
    <row r="8127" spans="1:8" x14ac:dyDescent="0.3">
      <c r="A8127" t="s">
        <v>628</v>
      </c>
      <c r="B8127" t="s">
        <v>356</v>
      </c>
      <c r="C8127" t="s">
        <v>366</v>
      </c>
      <c r="D8127" t="s">
        <v>746</v>
      </c>
      <c r="E8127" t="s">
        <v>771</v>
      </c>
      <c r="F8127">
        <v>6</v>
      </c>
      <c r="G8127" s="308">
        <f>COMEDORES!O358</f>
        <v>2551</v>
      </c>
      <c r="H8127" s="308">
        <f>COMEDORES!P358</f>
        <v>0</v>
      </c>
    </row>
    <row r="8128" spans="1:8" x14ac:dyDescent="0.3">
      <c r="A8128" t="s">
        <v>628</v>
      </c>
      <c r="B8128" t="s">
        <v>356</v>
      </c>
      <c r="C8128" t="s">
        <v>366</v>
      </c>
      <c r="D8128" t="s">
        <v>746</v>
      </c>
      <c r="E8128" t="s">
        <v>772</v>
      </c>
      <c r="F8128">
        <v>7</v>
      </c>
      <c r="G8128" s="308">
        <f>COMEDORES!Q358</f>
        <v>3861</v>
      </c>
      <c r="H8128" s="308">
        <f>COMEDORES!R358</f>
        <v>0</v>
      </c>
    </row>
    <row r="8129" spans="1:8" x14ac:dyDescent="0.3">
      <c r="A8129" t="s">
        <v>630</v>
      </c>
      <c r="B8129" t="s">
        <v>100</v>
      </c>
      <c r="C8129" t="s">
        <v>100</v>
      </c>
      <c r="D8129" t="s">
        <v>748</v>
      </c>
      <c r="E8129" t="s">
        <v>773</v>
      </c>
      <c r="F8129">
        <v>8</v>
      </c>
      <c r="G8129" s="308">
        <f>BOLSA!W9</f>
        <v>58528</v>
      </c>
      <c r="H8129" s="308">
        <f>BOLSA!X9</f>
        <v>19021600</v>
      </c>
    </row>
    <row r="8130" spans="1:8" x14ac:dyDescent="0.3">
      <c r="A8130" t="s">
        <v>630</v>
      </c>
      <c r="B8130" t="s">
        <v>100</v>
      </c>
      <c r="C8130" t="s">
        <v>114</v>
      </c>
      <c r="D8130" t="s">
        <v>748</v>
      </c>
      <c r="E8130" t="s">
        <v>773</v>
      </c>
      <c r="F8130">
        <v>8</v>
      </c>
      <c r="G8130" s="308">
        <f>BOLSA!W10</f>
        <v>4752</v>
      </c>
      <c r="H8130" s="308">
        <f>BOLSA!X10</f>
        <v>1544400</v>
      </c>
    </row>
    <row r="8131" spans="1:8" x14ac:dyDescent="0.3">
      <c r="A8131" t="s">
        <v>630</v>
      </c>
      <c r="B8131" t="s">
        <v>100</v>
      </c>
      <c r="C8131" t="s">
        <v>108</v>
      </c>
      <c r="D8131" t="s">
        <v>748</v>
      </c>
      <c r="E8131" t="s">
        <v>773</v>
      </c>
      <c r="F8131">
        <v>8</v>
      </c>
      <c r="G8131" s="308">
        <f>BOLSA!W11</f>
        <v>6136</v>
      </c>
      <c r="H8131" s="308">
        <f>BOLSA!X11</f>
        <v>1994200</v>
      </c>
    </row>
    <row r="8132" spans="1:8" x14ac:dyDescent="0.3">
      <c r="A8132" t="s">
        <v>630</v>
      </c>
      <c r="B8132" t="s">
        <v>100</v>
      </c>
      <c r="C8132" t="s">
        <v>107</v>
      </c>
      <c r="D8132" t="s">
        <v>748</v>
      </c>
      <c r="E8132" t="s">
        <v>773</v>
      </c>
      <c r="F8132">
        <v>8</v>
      </c>
      <c r="G8132" s="308">
        <f>BOLSA!W12</f>
        <v>1799</v>
      </c>
      <c r="H8132" s="308">
        <f>BOLSA!X12</f>
        <v>584675</v>
      </c>
    </row>
    <row r="8133" spans="1:8" x14ac:dyDescent="0.3">
      <c r="A8133" t="s">
        <v>630</v>
      </c>
      <c r="B8133" t="s">
        <v>100</v>
      </c>
      <c r="C8133" t="s">
        <v>106</v>
      </c>
      <c r="D8133" t="s">
        <v>748</v>
      </c>
      <c r="E8133" t="s">
        <v>773</v>
      </c>
      <c r="F8133">
        <v>8</v>
      </c>
      <c r="G8133" s="308">
        <f>BOLSA!W13</f>
        <v>24463</v>
      </c>
      <c r="H8133" s="308">
        <f>BOLSA!X13</f>
        <v>7950475</v>
      </c>
    </row>
    <row r="8134" spans="1:8" x14ac:dyDescent="0.3">
      <c r="A8134" t="s">
        <v>630</v>
      </c>
      <c r="B8134" t="s">
        <v>100</v>
      </c>
      <c r="C8134" t="s">
        <v>102</v>
      </c>
      <c r="D8134" t="s">
        <v>748</v>
      </c>
      <c r="E8134" t="s">
        <v>773</v>
      </c>
      <c r="F8134">
        <v>8</v>
      </c>
      <c r="G8134" s="308">
        <f>BOLSA!W14</f>
        <v>21757</v>
      </c>
      <c r="H8134" s="308">
        <f>BOLSA!X14</f>
        <v>7071025</v>
      </c>
    </row>
    <row r="8135" spans="1:8" x14ac:dyDescent="0.3">
      <c r="A8135" t="s">
        <v>630</v>
      </c>
      <c r="B8135" t="s">
        <v>100</v>
      </c>
      <c r="C8135" t="s">
        <v>111</v>
      </c>
      <c r="D8135" t="s">
        <v>748</v>
      </c>
      <c r="E8135" t="s">
        <v>773</v>
      </c>
      <c r="F8135">
        <v>8</v>
      </c>
      <c r="G8135" s="308">
        <f>BOLSA!W15</f>
        <v>23281</v>
      </c>
      <c r="H8135" s="308">
        <f>BOLSA!X15</f>
        <v>7566325</v>
      </c>
    </row>
    <row r="8136" spans="1:8" x14ac:dyDescent="0.3">
      <c r="A8136" t="s">
        <v>630</v>
      </c>
      <c r="B8136" t="s">
        <v>100</v>
      </c>
      <c r="C8136" t="s">
        <v>105</v>
      </c>
      <c r="D8136" t="s">
        <v>748</v>
      </c>
      <c r="E8136" t="s">
        <v>773</v>
      </c>
      <c r="F8136">
        <v>8</v>
      </c>
      <c r="G8136" s="308">
        <f>BOLSA!W16</f>
        <v>31811</v>
      </c>
      <c r="H8136" s="308">
        <f>BOLSA!X16</f>
        <v>10338575</v>
      </c>
    </row>
    <row r="8137" spans="1:8" x14ac:dyDescent="0.3">
      <c r="A8137" t="s">
        <v>630</v>
      </c>
      <c r="B8137" t="s">
        <v>100</v>
      </c>
      <c r="C8137" t="s">
        <v>112</v>
      </c>
      <c r="D8137" t="s">
        <v>748</v>
      </c>
      <c r="E8137" t="s">
        <v>773</v>
      </c>
      <c r="F8137">
        <v>8</v>
      </c>
      <c r="G8137" s="308">
        <f>BOLSA!W17</f>
        <v>21574</v>
      </c>
      <c r="H8137" s="308">
        <f>BOLSA!X17</f>
        <v>7011550</v>
      </c>
    </row>
    <row r="8138" spans="1:8" x14ac:dyDescent="0.3">
      <c r="A8138" t="s">
        <v>630</v>
      </c>
      <c r="B8138" t="s">
        <v>100</v>
      </c>
      <c r="C8138" t="s">
        <v>109</v>
      </c>
      <c r="D8138" t="s">
        <v>748</v>
      </c>
      <c r="E8138" t="s">
        <v>773</v>
      </c>
      <c r="F8138">
        <v>8</v>
      </c>
      <c r="G8138" s="308">
        <f>BOLSA!W18</f>
        <v>39931</v>
      </c>
      <c r="H8138" s="308">
        <f>BOLSA!X18</f>
        <v>12977575</v>
      </c>
    </row>
    <row r="8139" spans="1:8" x14ac:dyDescent="0.3">
      <c r="A8139" t="s">
        <v>630</v>
      </c>
      <c r="B8139" t="s">
        <v>100</v>
      </c>
      <c r="C8139" t="s">
        <v>113</v>
      </c>
      <c r="D8139" t="s">
        <v>748</v>
      </c>
      <c r="E8139" t="s">
        <v>773</v>
      </c>
      <c r="F8139">
        <v>8</v>
      </c>
      <c r="G8139" s="308">
        <f>BOLSA!W19</f>
        <v>19168</v>
      </c>
      <c r="H8139" s="308">
        <f>BOLSA!X19</f>
        <v>6229600</v>
      </c>
    </row>
    <row r="8140" spans="1:8" x14ac:dyDescent="0.3">
      <c r="A8140" t="s">
        <v>630</v>
      </c>
      <c r="B8140" t="s">
        <v>100</v>
      </c>
      <c r="C8140" t="s">
        <v>103</v>
      </c>
      <c r="D8140" t="s">
        <v>748</v>
      </c>
      <c r="E8140" t="s">
        <v>773</v>
      </c>
      <c r="F8140">
        <v>8</v>
      </c>
      <c r="G8140" s="308">
        <f>BOLSA!W20</f>
        <v>6165</v>
      </c>
      <c r="H8140" s="308">
        <f>BOLSA!X20</f>
        <v>2003625</v>
      </c>
    </row>
    <row r="8141" spans="1:8" x14ac:dyDescent="0.3">
      <c r="A8141" t="s">
        <v>630</v>
      </c>
      <c r="B8141" t="s">
        <v>100</v>
      </c>
      <c r="C8141" t="s">
        <v>104</v>
      </c>
      <c r="D8141" t="s">
        <v>748</v>
      </c>
      <c r="E8141" t="s">
        <v>773</v>
      </c>
      <c r="F8141">
        <v>8</v>
      </c>
      <c r="G8141" s="308">
        <f>BOLSA!W21</f>
        <v>6325</v>
      </c>
      <c r="H8141" s="308">
        <f>BOLSA!X21</f>
        <v>2055625</v>
      </c>
    </row>
    <row r="8142" spans="1:8" x14ac:dyDescent="0.3">
      <c r="A8142" t="s">
        <v>630</v>
      </c>
      <c r="B8142" t="s">
        <v>100</v>
      </c>
      <c r="C8142" t="s">
        <v>101</v>
      </c>
      <c r="D8142" t="s">
        <v>748</v>
      </c>
      <c r="E8142" t="s">
        <v>773</v>
      </c>
      <c r="F8142">
        <v>8</v>
      </c>
      <c r="G8142" s="308">
        <f>BOLSA!W22</f>
        <v>16008</v>
      </c>
      <c r="H8142" s="308">
        <f>BOLSA!X22</f>
        <v>5202600</v>
      </c>
    </row>
    <row r="8143" spans="1:8" x14ac:dyDescent="0.3">
      <c r="A8143" t="s">
        <v>630</v>
      </c>
      <c r="B8143" t="s">
        <v>100</v>
      </c>
      <c r="C8143" t="s">
        <v>116</v>
      </c>
      <c r="D8143" t="s">
        <v>748</v>
      </c>
      <c r="E8143" t="s">
        <v>773</v>
      </c>
      <c r="F8143">
        <v>8</v>
      </c>
      <c r="G8143" s="308">
        <f>BOLSA!W23</f>
        <v>76340</v>
      </c>
      <c r="H8143" s="308">
        <f>BOLSA!X23</f>
        <v>24810500</v>
      </c>
    </row>
    <row r="8144" spans="1:8" x14ac:dyDescent="0.3">
      <c r="A8144" t="s">
        <v>630</v>
      </c>
      <c r="B8144" t="s">
        <v>100</v>
      </c>
      <c r="C8144" t="s">
        <v>115</v>
      </c>
      <c r="D8144" t="s">
        <v>748</v>
      </c>
      <c r="E8144" t="s">
        <v>773</v>
      </c>
      <c r="F8144">
        <v>8</v>
      </c>
      <c r="G8144" s="308">
        <f>BOLSA!W24</f>
        <v>38738</v>
      </c>
      <c r="H8144" s="308">
        <f>BOLSA!X24</f>
        <v>12589850</v>
      </c>
    </row>
    <row r="8145" spans="1:8" x14ac:dyDescent="0.3">
      <c r="A8145" t="s">
        <v>630</v>
      </c>
      <c r="B8145" t="s">
        <v>100</v>
      </c>
      <c r="C8145" t="s">
        <v>110</v>
      </c>
      <c r="D8145" t="s">
        <v>748</v>
      </c>
      <c r="E8145" t="s">
        <v>773</v>
      </c>
      <c r="F8145">
        <v>8</v>
      </c>
      <c r="G8145" s="308">
        <f>BOLSA!W25</f>
        <v>14898</v>
      </c>
      <c r="H8145" s="308">
        <f>BOLSA!X25</f>
        <v>4841850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RESUMEN EJECUTIVO</vt:lpstr>
      <vt:lpstr>INTEGRADO</vt:lpstr>
      <vt:lpstr>BECA MEDIA</vt:lpstr>
      <vt:lpstr>BECA SUPERIOR</vt:lpstr>
      <vt:lpstr>JOVENES PROTAGONISTAS</vt:lpstr>
      <vt:lpstr>BOLSA</vt:lpstr>
      <vt:lpstr>COMEDORES</vt:lpstr>
      <vt:lpstr>BASE CONSOLIDADA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Wanda Mariana Valdizón Burmester</dc:creator>
  <cp:lastModifiedBy>Joshua DJ Producer</cp:lastModifiedBy>
  <dcterms:created xsi:type="dcterms:W3CDTF">2026-07-06T17:58:47Z</dcterms:created>
  <dcterms:modified xsi:type="dcterms:W3CDTF">2026-08-12T14:47:49Z</dcterms:modified>
</cp:coreProperties>
</file>