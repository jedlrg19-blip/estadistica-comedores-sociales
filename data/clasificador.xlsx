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528D1245-2E79-4732-88B2-3168950228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MEDORES " sheetId="9" r:id="rId1"/>
  </sheets>
  <definedNames>
    <definedName name="_xlnm._FilterDatabase" localSheetId="0" hidden="1">'COMEDORES '!$B$8:$M$19</definedName>
    <definedName name="_xlnm.Print_Area" localSheetId="0">'COMEDORES '!$B$1:$M$19</definedName>
    <definedName name="_xlnm.Print_Titles" localSheetId="0">'COMEDORES 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" i="9" l="1"/>
  <c r="D13" i="9"/>
  <c r="E13" i="9"/>
  <c r="F13" i="9"/>
  <c r="G13" i="9"/>
  <c r="H13" i="9"/>
  <c r="I13" i="9"/>
  <c r="J13" i="9"/>
  <c r="K13" i="9"/>
  <c r="L13" i="9"/>
  <c r="B13" i="9"/>
</calcChain>
</file>

<file path=xl/sharedStrings.xml><?xml version="1.0" encoding="utf-8"?>
<sst xmlns="http://schemas.openxmlformats.org/spreadsheetml/2006/main" count="20" uniqueCount="20">
  <si>
    <t>Sexo</t>
  </si>
  <si>
    <t>Edad</t>
  </si>
  <si>
    <t>Grupo Étnico</t>
  </si>
  <si>
    <t>0 hasta Menores de 13 años
(Niñez)</t>
  </si>
  <si>
    <t>13 hasta 30 años
(Juventud)</t>
  </si>
  <si>
    <t>Mayores de 30 hasta 60 años
(Adultos)</t>
  </si>
  <si>
    <t>Mayores de 60 años
(Tercera Edad)</t>
  </si>
  <si>
    <t>Maya</t>
  </si>
  <si>
    <t>Xinca</t>
  </si>
  <si>
    <t>Garifuna</t>
  </si>
  <si>
    <t>Mestizo</t>
  </si>
  <si>
    <t>Otro</t>
  </si>
  <si>
    <t>ene-abr</t>
  </si>
  <si>
    <t>may</t>
  </si>
  <si>
    <t>TOTAL</t>
  </si>
  <si>
    <t>Raciones</t>
  </si>
  <si>
    <t>Femenino</t>
  </si>
  <si>
    <t>Masculino</t>
  </si>
  <si>
    <t>Jun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</si>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</sst>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Q&quot;* #,##0.00_-;\-&quot;Q&quot;* #,##0.00_-;_-&quot;Q&quot;* &quot;-&quot;??_-;_-@_-"/>
    <numFmt numFmtId="164" formatCode="_(* #,##0_);_(* \(#,##0\);_(* &quot;-&quot;??_);_(@_)"/>
    <numFmt numFmtId="165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Century Gothic"/>
      <family val="2"/>
    </font>
    <font>
      <b/>
      <sz val="10"/>
      <color indexed="8"/>
      <name val="Century Gothic"/>
      <family val="2"/>
    </font>
    <font>
      <b/>
      <sz val="10"/>
      <color theme="1"/>
      <name val="Century Gothic"/>
      <family val="2"/>
    </font>
    <font>
      <sz val="11"/>
      <color theme="1"/>
      <name val="Arial Narrow"/>
      <family val="2"/>
    </font>
    <font>
      <sz val="11"/>
      <color indexed="8"/>
      <name val="Calibri"/>
      <family val="2"/>
    </font>
    <font>
      <sz val="11"/>
      <color indexed="8"/>
      <name val="Arial Narrow"/>
      <family val="2"/>
    </font>
    <font>
      <b/>
      <sz val="10"/>
      <name val="Century Gothic"/>
      <family val="2"/>
    </font>
    <font>
      <sz val="10"/>
      <color theme="1"/>
      <name val="Century Gothic"/>
      <family val="2"/>
    </font>
    <font>
      <b/>
      <sz val="11"/>
      <color theme="1"/>
      <name val="Arial Narrow"/>
      <family val="2"/>
    </font>
    <font>
      <b/>
      <sz val="11"/>
      <color indexed="8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165" fontId="6" fillId="0" borderId="0" applyFont="0" applyFill="0" applyBorder="0" applyAlignment="0" applyProtection="0"/>
  </cellStyleXfs>
  <cellXfs count="34">
    <xf numFmtId="0" fontId="0" fillId="0" borderId="0" xfId="0"/>
    <xf numFmtId="0" fontId="2" fillId="4" borderId="0" xfId="0" applyFont="1" applyFill="1"/>
    <xf numFmtId="4" fontId="2" fillId="4" borderId="0" xfId="0" applyNumberFormat="1" applyFont="1" applyFill="1"/>
    <xf numFmtId="0" fontId="3" fillId="4" borderId="0" xfId="0" applyFont="1" applyFill="1"/>
    <xf numFmtId="164" fontId="7" fillId="5" borderId="8" xfId="3" applyNumberFormat="1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/>
    </xf>
    <xf numFmtId="3" fontId="7" fillId="5" borderId="8" xfId="0" applyNumberFormat="1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4" fontId="3" fillId="4" borderId="6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44" fontId="3" fillId="4" borderId="0" xfId="0" applyNumberFormat="1" applyFont="1" applyFill="1"/>
    <xf numFmtId="0" fontId="9" fillId="3" borderId="0" xfId="2" applyFont="1" applyAlignment="1"/>
    <xf numFmtId="0" fontId="8" fillId="4" borderId="0" xfId="0" applyFont="1" applyFill="1" applyAlignment="1">
      <alignment horizontal="left"/>
    </xf>
    <xf numFmtId="0" fontId="4" fillId="3" borderId="0" xfId="2" applyFont="1" applyAlignment="1"/>
    <xf numFmtId="3" fontId="5" fillId="0" borderId="8" xfId="0" applyNumberFormat="1" applyFont="1" applyBorder="1" applyAlignment="1">
      <alignment horizontal="center"/>
    </xf>
    <xf numFmtId="3" fontId="10" fillId="0" borderId="8" xfId="0" applyNumberFormat="1" applyFont="1" applyBorder="1" applyAlignment="1">
      <alignment horizontal="center"/>
    </xf>
    <xf numFmtId="3" fontId="11" fillId="5" borderId="8" xfId="0" applyNumberFormat="1" applyFont="1" applyFill="1" applyBorder="1" applyAlignment="1">
      <alignment horizontal="center"/>
    </xf>
    <xf numFmtId="164" fontId="11" fillId="5" borderId="8" xfId="3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3" borderId="1" xfId="2" applyFont="1" applyBorder="1" applyAlignment="1">
      <alignment horizontal="center" vertical="center"/>
    </xf>
    <xf numFmtId="0" fontId="4" fillId="3" borderId="2" xfId="2" applyFont="1" applyBorder="1" applyAlignment="1">
      <alignment horizontal="center" vertical="center"/>
    </xf>
    <xf numFmtId="0" fontId="8" fillId="2" borderId="10" xfId="1" applyFont="1" applyBorder="1" applyAlignment="1">
      <alignment horizontal="center" vertical="center" wrapText="1"/>
    </xf>
    <xf numFmtId="0" fontId="8" fillId="2" borderId="9" xfId="1" applyFont="1" applyBorder="1" applyAlignment="1">
      <alignment horizontal="center" vertical="center" wrapText="1"/>
    </xf>
    <xf numFmtId="0" fontId="8" fillId="2" borderId="1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3" xfId="1" applyFont="1" applyBorder="1" applyAlignment="1">
      <alignment horizontal="center" vertical="center" wrapText="1"/>
    </xf>
  </cellXfs>
  <cellStyles count="4">
    <cellStyle name="20% - Énfasis4" xfId="1" builtinId="42"/>
    <cellStyle name="40% - Énfasis4" xfId="2" builtinId="43"/>
    <cellStyle name="Millares 2" xfId="3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M19"/>
  <sheetViews>
    <sheetView showGridLines="0" showZeros="0" tabSelected="1" zoomScale="85" zoomScaleNormal="85" zoomScaleSheetLayoutView="100" workbookViewId="0">
      <selection activeCell="H17" sqref="H17"/>
    </sheetView>
  </sheetViews>
  <sheetFormatPr baseColWidth="10" defaultColWidth="11.44140625" defaultRowHeight="13.2" x14ac:dyDescent="0.25"/>
  <cols>
    <col min="1" max="1" width="11.44140625" style="23"/>
    <col min="2" max="2" width="14.44140625" style="1" bestFit="1" customWidth="1"/>
    <col min="3" max="4" width="12.88671875" style="1" customWidth="1"/>
    <col min="5" max="5" width="16.33203125" style="1" customWidth="1"/>
    <col min="6" max="6" width="13.88671875" style="1" customWidth="1"/>
    <col min="7" max="7" width="14.109375" style="1" customWidth="1"/>
    <col min="8" max="8" width="17.33203125" style="1" customWidth="1"/>
    <col min="9" max="9" width="13.88671875" style="1" customWidth="1"/>
    <col min="10" max="10" width="8.6640625" style="1" customWidth="1"/>
    <col min="11" max="11" width="12" style="1" customWidth="1"/>
    <col min="12" max="12" width="16.109375" style="2" customWidth="1"/>
    <col min="13" max="13" width="9.88671875" style="1" customWidth="1"/>
    <col min="14" max="16384" width="11.44140625" style="1"/>
  </cols>
  <sheetData>
    <row r="1" spans="1:13" x14ac:dyDescent="0.25">
      <c r="C1" s="3"/>
      <c r="L1" s="1"/>
    </row>
    <row r="2" spans="1:13" x14ac:dyDescent="0.25"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 x14ac:dyDescent="0.25">
      <c r="B3" s="17"/>
      <c r="C3" s="18"/>
      <c r="D3" s="16"/>
      <c r="E3" s="16"/>
      <c r="F3" s="16"/>
      <c r="G3" s="16"/>
      <c r="H3" s="16"/>
      <c r="I3" s="16"/>
      <c r="J3" s="16"/>
      <c r="K3" s="16"/>
      <c r="L3" s="16"/>
      <c r="M3" s="16"/>
    </row>
    <row r="4" spans="1:13" s="3" customFormat="1" ht="12.6" x14ac:dyDescent="0.2">
      <c r="A4" s="24"/>
      <c r="I4" s="15"/>
    </row>
    <row r="5" spans="1:13" s="3" customFormat="1" thickBot="1" x14ac:dyDescent="0.25">
      <c r="A5" s="24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</row>
    <row r="6" spans="1:13" s="3" customFormat="1" thickBot="1" x14ac:dyDescent="0.25">
      <c r="A6" s="24"/>
      <c r="B6" s="27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</row>
    <row r="7" spans="1:13" s="3" customFormat="1" ht="33" customHeight="1" thickBot="1" x14ac:dyDescent="0.25">
      <c r="A7" s="24"/>
      <c r="B7" s="29" t="s">
        <v>0</v>
      </c>
      <c r="C7" s="30"/>
      <c r="D7" s="30"/>
      <c r="E7" s="31" t="s">
        <v>1</v>
      </c>
      <c r="F7" s="32"/>
      <c r="G7" s="32"/>
      <c r="H7" s="33"/>
      <c r="I7" s="31" t="s">
        <v>2</v>
      </c>
      <c r="J7" s="32"/>
      <c r="K7" s="32"/>
      <c r="L7" s="32"/>
      <c r="M7" s="33"/>
    </row>
    <row r="8" spans="1:13" s="3" customFormat="1" ht="53.25" customHeight="1" thickBot="1" x14ac:dyDescent="0.25">
      <c r="A8" s="24"/>
      <c r="B8" s="7" t="s">
        <v>15</v>
      </c>
      <c r="C8" s="10" t="s">
        <v>16</v>
      </c>
      <c r="D8" s="10" t="s">
        <v>17</v>
      </c>
      <c r="E8" s="14" t="s">
        <v>3</v>
      </c>
      <c r="F8" s="13" t="s">
        <v>4</v>
      </c>
      <c r="G8" s="12" t="s">
        <v>5</v>
      </c>
      <c r="H8" s="11" t="s">
        <v>6</v>
      </c>
      <c r="I8" s="7" t="s">
        <v>7</v>
      </c>
      <c r="J8" s="10" t="s">
        <v>8</v>
      </c>
      <c r="K8" s="10" t="s">
        <v>9</v>
      </c>
      <c r="L8" s="9" t="s">
        <v>10</v>
      </c>
      <c r="M8" s="8" t="s">
        <v>11</v>
      </c>
    </row>
    <row r="9" spans="1:13" s="3" customFormat="1" ht="18" customHeight="1" x14ac:dyDescent="0.25">
      <c r="A9" s="23" t="s">
        <v>12</v>
      </c>
      <c r="B9" s="19">
        <v>2676459</v>
      </c>
      <c r="C9" s="19">
        <v>1365056</v>
      </c>
      <c r="D9" s="19">
        <v>1311403</v>
      </c>
      <c r="E9" s="19">
        <v>579184</v>
      </c>
      <c r="F9" s="19">
        <v>583057</v>
      </c>
      <c r="G9" s="19">
        <v>1044633</v>
      </c>
      <c r="H9" s="19">
        <v>469585</v>
      </c>
      <c r="I9" s="19">
        <v>294359</v>
      </c>
      <c r="J9" s="19">
        <v>12</v>
      </c>
      <c r="K9" s="19">
        <v>109</v>
      </c>
      <c r="L9" s="19">
        <v>2381979</v>
      </c>
      <c r="M9" s="4">
        <v>0</v>
      </c>
    </row>
    <row r="10" spans="1:13" s="3" customFormat="1" ht="18" customHeight="1" x14ac:dyDescent="0.25">
      <c r="A10" s="23" t="s">
        <v>13</v>
      </c>
      <c r="B10" s="19">
        <v>725572</v>
      </c>
      <c r="C10" s="19">
        <v>373048</v>
      </c>
      <c r="D10" s="19">
        <v>352524</v>
      </c>
      <c r="E10" s="19">
        <v>167206</v>
      </c>
      <c r="F10" s="19">
        <v>152486</v>
      </c>
      <c r="G10" s="19">
        <v>266207</v>
      </c>
      <c r="H10" s="19">
        <v>139673</v>
      </c>
      <c r="I10" s="19">
        <v>19859</v>
      </c>
      <c r="J10" s="4">
        <v>0</v>
      </c>
      <c r="K10" s="19">
        <v>1</v>
      </c>
      <c r="L10" s="19">
        <v>705712</v>
      </c>
      <c r="M10" s="4">
        <v>0</v>
      </c>
    </row>
    <row r="11" spans="1:13" s="3" customFormat="1" ht="18" customHeight="1" x14ac:dyDescent="0.25">
      <c r="A11" s="23" t="s">
        <v>18</v>
      </c>
      <c r="B11" s="19">
        <v>820652</v>
      </c>
      <c r="C11" s="19">
        <v>436124</v>
      </c>
      <c r="D11" s="19">
        <v>384528</v>
      </c>
      <c r="E11" s="19">
        <v>178290</v>
      </c>
      <c r="F11" s="19">
        <v>168453</v>
      </c>
      <c r="G11" s="19">
        <v>323873</v>
      </c>
      <c r="H11" s="19">
        <v>150036</v>
      </c>
      <c r="I11" s="19">
        <v>23914</v>
      </c>
      <c r="J11" s="19">
        <v>1</v>
      </c>
      <c r="K11" s="4">
        <v>0</v>
      </c>
      <c r="L11" s="19">
        <v>796737</v>
      </c>
      <c r="M11" s="4">
        <v>0</v>
      </c>
    </row>
    <row r="12" spans="1:13" s="3" customFormat="1" ht="18" customHeight="1" x14ac:dyDescent="0.25">
      <c r="A12" s="23" t="s">
        <v>19</v>
      </c>
      <c r="B12" s="19">
        <v>1066904</v>
      </c>
      <c r="C12" s="19">
        <v>577923</v>
      </c>
      <c r="D12" s="19">
        <v>488981</v>
      </c>
      <c r="E12" s="19">
        <v>238796</v>
      </c>
      <c r="F12" s="19">
        <v>218010</v>
      </c>
      <c r="G12" s="19">
        <v>408798</v>
      </c>
      <c r="H12" s="19">
        <v>201300</v>
      </c>
      <c r="I12" s="19">
        <v>28403</v>
      </c>
      <c r="J12" s="19">
        <v>1</v>
      </c>
      <c r="K12" s="19">
        <v>6</v>
      </c>
      <c r="L12" s="19">
        <v>1038494</v>
      </c>
      <c r="M12" s="4">
        <v>0</v>
      </c>
    </row>
    <row r="13" spans="1:13" s="3" customFormat="1" ht="18" customHeight="1" x14ac:dyDescent="0.25">
      <c r="A13" s="24" t="s">
        <v>14</v>
      </c>
      <c r="B13" s="20">
        <f>SUM(B9:B12)</f>
        <v>5289587</v>
      </c>
      <c r="C13" s="20">
        <f t="shared" ref="C13:M13" si="0">SUM(C9:C12)</f>
        <v>2752151</v>
      </c>
      <c r="D13" s="20">
        <f t="shared" si="0"/>
        <v>2537436</v>
      </c>
      <c r="E13" s="20">
        <f t="shared" si="0"/>
        <v>1163476</v>
      </c>
      <c r="F13" s="20">
        <f t="shared" si="0"/>
        <v>1122006</v>
      </c>
      <c r="G13" s="20">
        <f t="shared" si="0"/>
        <v>2043511</v>
      </c>
      <c r="H13" s="20">
        <f t="shared" si="0"/>
        <v>960594</v>
      </c>
      <c r="I13" s="20">
        <f t="shared" si="0"/>
        <v>366535</v>
      </c>
      <c r="J13" s="20">
        <f t="shared" si="0"/>
        <v>14</v>
      </c>
      <c r="K13" s="20">
        <f t="shared" si="0"/>
        <v>116</v>
      </c>
      <c r="L13" s="20">
        <f t="shared" si="0"/>
        <v>4922922</v>
      </c>
      <c r="M13" s="4">
        <v>0</v>
      </c>
    </row>
    <row r="14" spans="1:13" s="3" customFormat="1" ht="18" customHeight="1" x14ac:dyDescent="0.25">
      <c r="A14" s="24"/>
      <c r="B14" s="20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</row>
    <row r="15" spans="1:13" s="3" customFormat="1" ht="18" customHeight="1" x14ac:dyDescent="0.25">
      <c r="A15" s="24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2"/>
    </row>
    <row r="16" spans="1:13" s="3" customFormat="1" ht="18" customHeight="1" x14ac:dyDescent="0.25">
      <c r="A16" s="24"/>
      <c r="B16" s="20"/>
      <c r="C16" s="21"/>
      <c r="D16" s="21"/>
      <c r="E16" s="22"/>
      <c r="F16" s="22"/>
      <c r="G16" s="22"/>
      <c r="H16" s="22"/>
      <c r="I16" s="22"/>
      <c r="J16" s="22"/>
      <c r="K16" s="22"/>
      <c r="L16" s="22"/>
      <c r="M16" s="22"/>
    </row>
    <row r="17" spans="1:13" s="3" customFormat="1" ht="18" customHeight="1" x14ac:dyDescent="0.25">
      <c r="A17" s="24"/>
      <c r="B17" s="20"/>
      <c r="C17" s="21"/>
      <c r="D17" s="21"/>
      <c r="E17" s="22"/>
      <c r="F17" s="22"/>
      <c r="G17" s="22"/>
      <c r="H17" s="22"/>
      <c r="I17" s="22"/>
      <c r="J17" s="22"/>
      <c r="K17" s="22"/>
      <c r="L17" s="22"/>
      <c r="M17" s="22"/>
    </row>
    <row r="18" spans="1:13" s="3" customFormat="1" ht="18" customHeight="1" x14ac:dyDescent="0.25">
      <c r="A18" s="24"/>
      <c r="B18" s="20"/>
      <c r="C18" s="21"/>
      <c r="D18" s="21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3" customFormat="1" ht="18" customHeight="1" x14ac:dyDescent="0.25">
      <c r="A19" s="24"/>
      <c r="B19" s="5"/>
      <c r="C19" s="6"/>
      <c r="D19" s="6"/>
      <c r="E19" s="4"/>
      <c r="F19" s="4"/>
      <c r="G19" s="4"/>
      <c r="H19" s="4"/>
      <c r="I19" s="4"/>
      <c r="J19" s="4"/>
      <c r="K19" s="4"/>
      <c r="L19" s="4"/>
      <c r="M19" s="4"/>
    </row>
  </sheetData>
  <mergeCells count="6">
    <mergeCell ref="B2:M2"/>
    <mergeCell ref="B5:M5"/>
    <mergeCell ref="B6:M6"/>
    <mergeCell ref="B7:D7"/>
    <mergeCell ref="E7:H7"/>
    <mergeCell ref="I7:M7"/>
  </mergeCells>
  <printOptions horizontalCentered="1"/>
  <pageMargins left="0.7" right="0.7" top="0.75" bottom="0.75" header="0.3" footer="0.3"/>
  <pageSetup scale="70" fitToHeight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COMEDORES </vt:lpstr>
      <vt:lpstr>'COMEDORES '!Área_de_impresión</vt:lpstr>
      <vt:lpstr>'COMEDORES 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2026-08-05T17:44:19Z</dcterms:modified>
</cp:coreProperties>
</file>